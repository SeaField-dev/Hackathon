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namedSheetViews/namedSheetView2.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openboxsoftwareweb.sharepoint.com/sites/GraingerPLC/Project Documents/SVOT &amp; Tenancy Review (Renewals)/02. Analysis/Info from Client/"/>
    </mc:Choice>
  </mc:AlternateContent>
  <xr:revisionPtr revIDLastSave="367" documentId="8_{A2004369-3DC5-418E-9318-8902C4765F59}" xr6:coauthVersionLast="47" xr6:coauthVersionMax="47" xr10:uidLastSave="{1ABFC376-578D-4291-9475-FEE59EADFA3C}"/>
  <bookViews>
    <workbookView xWindow="31050" yWindow="9540" windowWidth="26805" windowHeight="11295" tabRatio="662" xr2:uid="{00000000-000D-0000-FFFF-FFFF00000000}"/>
  </bookViews>
  <sheets>
    <sheet name="Apartments" sheetId="1" r:id="rId1"/>
    <sheet name="Licences" sheetId="2" r:id="rId2"/>
    <sheet name="DO NOT APPROACH" sheetId="6" r:id="rId3"/>
    <sheet name="Neg Requests" sheetId="3" r:id="rId4"/>
    <sheet name="July Summary" sheetId="7" r:id="rId5"/>
    <sheet name="August Summary" sheetId="8" r:id="rId6"/>
    <sheet name="Combined Summaries" sheetId="4" r:id="rId7"/>
    <sheet name="Barnum and Condor Feedback" sheetId="9" r:id="rId8"/>
  </sheets>
  <definedNames>
    <definedName name="_xlnm._FilterDatabase" localSheetId="0" hidden="1">Apartments!$A$1:$XES$1269</definedName>
    <definedName name="_xlnm._FilterDatabase" localSheetId="7" hidden="1">'Barnum and Condor Feedback'!$A$1:$E$1</definedName>
    <definedName name="_xlnm._FilterDatabase" localSheetId="2" hidden="1">'DO NOT APPROACH'!$A$1:$XEN$57</definedName>
    <definedName name="_xlnm._FilterDatabase" localSheetId="1" hidden="1">Licences!$A$1:$AC$299</definedName>
    <definedName name="_xlnm._FilterDatabase" localSheetId="3" hidden="1">'Neg Requests'!$A$1:$T$126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6" i="7" l="1"/>
  <c r="O125" i="3"/>
  <c r="O126" i="3"/>
  <c r="N125" i="3"/>
  <c r="N126" i="3"/>
  <c r="L125" i="3"/>
  <c r="L126" i="3"/>
  <c r="J125" i="3"/>
  <c r="J126" i="3"/>
  <c r="O124" i="3"/>
  <c r="N124" i="3"/>
  <c r="L124" i="3"/>
  <c r="J124" i="3"/>
  <c r="O123" i="3"/>
  <c r="N123" i="3"/>
  <c r="L123" i="3"/>
  <c r="J123" i="3"/>
  <c r="O122" i="3" l="1"/>
  <c r="N122" i="3"/>
  <c r="J122" i="3"/>
  <c r="L122" i="3"/>
  <c r="O121" i="3"/>
  <c r="N121" i="3"/>
  <c r="L121" i="3"/>
  <c r="J121" i="3"/>
  <c r="U734" i="1"/>
  <c r="S591" i="1"/>
  <c r="O116" i="3"/>
  <c r="O117" i="3"/>
  <c r="O118" i="3"/>
  <c r="O119" i="3"/>
  <c r="O120" i="3"/>
  <c r="N116" i="3"/>
  <c r="N117" i="3"/>
  <c r="N118" i="3"/>
  <c r="N119" i="3"/>
  <c r="N120" i="3"/>
  <c r="L116" i="3"/>
  <c r="L117" i="3"/>
  <c r="L118" i="3"/>
  <c r="L119" i="3"/>
  <c r="L120" i="3"/>
  <c r="J116" i="3"/>
  <c r="J117" i="3"/>
  <c r="J118" i="3"/>
  <c r="J119" i="3"/>
  <c r="J120" i="3"/>
  <c r="N115" i="3"/>
  <c r="O115" i="3"/>
  <c r="L115" i="3"/>
  <c r="J115" i="3"/>
  <c r="O114" i="3"/>
  <c r="N114" i="3"/>
  <c r="L114" i="3"/>
  <c r="J114" i="3"/>
  <c r="O113" i="3"/>
  <c r="L113" i="3"/>
  <c r="N113" i="3"/>
  <c r="J113" i="3"/>
  <c r="O112" i="3"/>
  <c r="N112" i="3"/>
  <c r="L112" i="3"/>
  <c r="J112" i="3"/>
  <c r="N110" i="3"/>
  <c r="N111" i="3"/>
  <c r="L110" i="3"/>
  <c r="L111" i="3"/>
  <c r="J110" i="3"/>
  <c r="J111" i="3"/>
  <c r="O109" i="3"/>
  <c r="N109" i="3"/>
  <c r="L109" i="3"/>
  <c r="J109" i="3"/>
  <c r="N108" i="3"/>
  <c r="O108" i="3"/>
  <c r="L108" i="3"/>
  <c r="J108" i="3"/>
  <c r="O106" i="3"/>
  <c r="O107" i="3"/>
  <c r="N107" i="3"/>
  <c r="L107" i="3"/>
  <c r="J107" i="3"/>
  <c r="J106" i="3"/>
  <c r="N106" i="3"/>
  <c r="L106" i="3"/>
  <c r="O105" i="3"/>
  <c r="N105" i="3"/>
  <c r="L105" i="3"/>
  <c r="J105" i="3"/>
  <c r="J104" i="3"/>
  <c r="N104" i="3"/>
  <c r="O104" i="3"/>
  <c r="O103" i="3"/>
  <c r="N103" i="3"/>
  <c r="L103" i="3"/>
  <c r="L104" i="3"/>
  <c r="J103" i="3"/>
  <c r="O102" i="3"/>
  <c r="N102" i="3"/>
  <c r="L102" i="3"/>
  <c r="J102" i="3"/>
  <c r="J101" i="3"/>
  <c r="L101" i="3"/>
  <c r="O101" i="3"/>
  <c r="N101" i="3"/>
  <c r="O100" i="3"/>
  <c r="N100" i="3"/>
  <c r="L100" i="3"/>
  <c r="J100" i="3"/>
  <c r="O99" i="3"/>
  <c r="N99" i="3"/>
  <c r="L99" i="3"/>
  <c r="J99" i="3"/>
  <c r="O97" i="3"/>
  <c r="O98" i="3"/>
  <c r="N97" i="3"/>
  <c r="N98" i="3"/>
  <c r="L97" i="3"/>
  <c r="L98" i="3"/>
  <c r="J98" i="3"/>
  <c r="J97" i="3"/>
  <c r="O96" i="3"/>
  <c r="N96" i="3"/>
  <c r="L96" i="3"/>
  <c r="J96" i="3"/>
  <c r="J95" i="3"/>
  <c r="L95" i="3"/>
  <c r="N95" i="3"/>
  <c r="O95" i="3"/>
  <c r="J94" i="3"/>
  <c r="L94" i="3"/>
  <c r="O94" i="3"/>
  <c r="N94" i="3"/>
  <c r="U320" i="1"/>
  <c r="L93" i="3"/>
  <c r="J93" i="3"/>
  <c r="J92" i="3"/>
  <c r="X1122" i="1"/>
  <c r="X1121" i="1"/>
  <c r="J91" i="3"/>
  <c r="J90" i="3"/>
  <c r="J89" i="3"/>
  <c r="J88" i="3"/>
  <c r="J87" i="3"/>
  <c r="J86" i="3"/>
  <c r="L92" i="3"/>
  <c r="L91" i="3"/>
  <c r="L90" i="3"/>
  <c r="L89" i="3"/>
  <c r="L88" i="3"/>
  <c r="L87" i="3"/>
  <c r="L86" i="3"/>
  <c r="O93" i="3"/>
  <c r="O91" i="3"/>
  <c r="O90" i="3"/>
  <c r="O89" i="3"/>
  <c r="O88" i="3"/>
  <c r="O87" i="3"/>
  <c r="O86" i="3"/>
  <c r="N93" i="3"/>
  <c r="N92" i="3"/>
  <c r="N91" i="3"/>
  <c r="N90" i="3"/>
  <c r="N89" i="3"/>
  <c r="N88" i="3"/>
  <c r="N87" i="3"/>
  <c r="N86" i="3"/>
  <c r="O84" i="3"/>
  <c r="O85" i="3"/>
  <c r="N84" i="3"/>
  <c r="N85" i="3"/>
  <c r="L84" i="3"/>
  <c r="L85" i="3"/>
  <c r="J84" i="3"/>
  <c r="J85" i="3"/>
  <c r="O83" i="3"/>
  <c r="N83" i="3"/>
  <c r="L83" i="3"/>
  <c r="J83" i="3"/>
  <c r="O82" i="3"/>
  <c r="N82" i="3"/>
  <c r="L82" i="3"/>
  <c r="J82" i="3"/>
  <c r="J81" i="3"/>
  <c r="L81" i="3"/>
  <c r="O81" i="3"/>
  <c r="N81" i="3"/>
  <c r="O79" i="3"/>
  <c r="O80" i="3"/>
  <c r="N79" i="3"/>
  <c r="N80" i="3"/>
  <c r="O78" i="3"/>
  <c r="J78" i="3"/>
  <c r="J79" i="3"/>
  <c r="J80" i="3"/>
  <c r="L78" i="3"/>
  <c r="L79" i="3"/>
  <c r="L80" i="3"/>
  <c r="N78" i="3"/>
  <c r="J77" i="3"/>
  <c r="L77" i="3"/>
  <c r="O77" i="3"/>
  <c r="N77" i="3"/>
  <c r="J76" i="3"/>
  <c r="J75" i="3"/>
  <c r="L76" i="3"/>
  <c r="O76" i="3"/>
  <c r="O75" i="3"/>
  <c r="N76" i="3"/>
  <c r="N75" i="3"/>
  <c r="O74" i="3"/>
  <c r="O73" i="3"/>
  <c r="O72" i="3"/>
  <c r="O71" i="3"/>
  <c r="N74" i="3"/>
  <c r="N73" i="3"/>
  <c r="N72" i="3"/>
  <c r="N71" i="3"/>
  <c r="L74" i="3"/>
  <c r="L73" i="3"/>
  <c r="L72" i="3"/>
  <c r="L71" i="3"/>
  <c r="J74" i="3"/>
  <c r="J73" i="3"/>
  <c r="J72" i="3"/>
  <c r="J71" i="3"/>
  <c r="U739" i="1"/>
  <c r="X149" i="1"/>
  <c r="L62" i="3"/>
  <c r="AO506" i="1"/>
  <c r="AO507" i="1"/>
  <c r="AO508" i="1"/>
  <c r="AO509" i="1"/>
  <c r="AO510" i="1"/>
  <c r="AO511" i="1"/>
  <c r="AO1203" i="1"/>
  <c r="AO512" i="1"/>
  <c r="AO513" i="1"/>
  <c r="AO1204" i="1"/>
  <c r="AO1205" i="1"/>
  <c r="AO1206" i="1"/>
  <c r="AO1225" i="1"/>
  <c r="AO97" i="1"/>
  <c r="AO696" i="1"/>
  <c r="AO398" i="1"/>
  <c r="AO1098" i="1"/>
  <c r="AO588" i="1"/>
  <c r="AO93" i="1"/>
  <c r="AO709" i="1"/>
  <c r="AO1200" i="1"/>
  <c r="AO1201" i="1"/>
  <c r="AO1202" i="1"/>
  <c r="AO505" i="1"/>
  <c r="AO399" i="1"/>
  <c r="AO400" i="1"/>
  <c r="AO94" i="1"/>
  <c r="AO95" i="1"/>
  <c r="AO96" i="1"/>
  <c r="O59" i="3"/>
  <c r="O60" i="3"/>
  <c r="O61" i="3"/>
  <c r="O62" i="3"/>
  <c r="O63" i="3"/>
  <c r="O64" i="3"/>
  <c r="O65" i="3"/>
  <c r="O66" i="3"/>
  <c r="O67" i="3"/>
  <c r="O68" i="3"/>
  <c r="O69" i="3"/>
  <c r="O70" i="3"/>
  <c r="N61" i="3"/>
  <c r="N62" i="3"/>
  <c r="N63" i="3"/>
  <c r="N64" i="3"/>
  <c r="N65" i="3"/>
  <c r="N66" i="3"/>
  <c r="N67" i="3"/>
  <c r="N68" i="3"/>
  <c r="N69" i="3"/>
  <c r="N70" i="3"/>
  <c r="L61" i="3"/>
  <c r="L63" i="3"/>
  <c r="L64" i="3"/>
  <c r="L65" i="3"/>
  <c r="L66" i="3"/>
  <c r="L67" i="3"/>
  <c r="L68" i="3"/>
  <c r="L69" i="3"/>
  <c r="L70" i="3"/>
  <c r="J61" i="3"/>
  <c r="J62" i="3"/>
  <c r="J63" i="3"/>
  <c r="J64" i="3"/>
  <c r="J65" i="3"/>
  <c r="J66" i="3"/>
  <c r="J67" i="3"/>
  <c r="J68" i="3"/>
  <c r="J69" i="3"/>
  <c r="J70" i="3"/>
  <c r="N59" i="3"/>
  <c r="N60" i="3"/>
  <c r="L59" i="3"/>
  <c r="L60" i="3"/>
  <c r="J60" i="3"/>
  <c r="J59" i="3"/>
  <c r="O52" i="3"/>
  <c r="O53" i="3"/>
  <c r="O54" i="3"/>
  <c r="O55" i="3"/>
  <c r="O56" i="3"/>
  <c r="O57" i="3"/>
  <c r="O58" i="3"/>
  <c r="N52" i="3"/>
  <c r="N53" i="3"/>
  <c r="N54" i="3"/>
  <c r="N55" i="3"/>
  <c r="N56" i="3"/>
  <c r="N57" i="3"/>
  <c r="N58" i="3"/>
  <c r="L52" i="3"/>
  <c r="L53" i="3"/>
  <c r="L54" i="3"/>
  <c r="L55" i="3"/>
  <c r="L56" i="3"/>
  <c r="L57" i="3"/>
  <c r="L58" i="3"/>
  <c r="J52" i="3"/>
  <c r="J53" i="3"/>
  <c r="J54" i="3"/>
  <c r="J55" i="3"/>
  <c r="J56" i="3"/>
  <c r="J57" i="3"/>
  <c r="J58" i="3"/>
  <c r="O51" i="3"/>
  <c r="X143" i="1"/>
  <c r="X142" i="1"/>
  <c r="AC93" i="1"/>
  <c r="N51" i="3"/>
  <c r="L51" i="3"/>
  <c r="J51" i="3"/>
  <c r="O50" i="3"/>
  <c r="N50" i="3"/>
  <c r="L50" i="3"/>
  <c r="J50" i="3"/>
  <c r="X141" i="1"/>
  <c r="O33" i="3"/>
  <c r="Z398" i="1"/>
  <c r="O49" i="3"/>
  <c r="N49" i="3"/>
  <c r="L49" i="3"/>
  <c r="J49" i="3"/>
  <c r="O48" i="3"/>
  <c r="N48" i="3"/>
  <c r="L48" i="3"/>
  <c r="J48" i="3"/>
  <c r="O47" i="3"/>
  <c r="N47" i="3"/>
  <c r="L47" i="3"/>
  <c r="J47" i="3"/>
  <c r="S93" i="1"/>
  <c r="AG93" i="1" s="1"/>
  <c r="S696" i="1"/>
  <c r="AA696" i="1" s="1"/>
  <c r="S1098" i="1"/>
  <c r="AA1098" i="1" s="1"/>
  <c r="S588" i="1"/>
  <c r="AA588" i="1" s="1"/>
  <c r="S398" i="1"/>
  <c r="AD398" i="1" s="1"/>
  <c r="S709" i="1"/>
  <c r="AG709" i="1" s="1"/>
  <c r="O46" i="3"/>
  <c r="N46" i="3"/>
  <c r="L46" i="3"/>
  <c r="J46" i="3"/>
  <c r="AF93" i="1"/>
  <c r="AF696" i="1"/>
  <c r="AF1098" i="1"/>
  <c r="AF588" i="1"/>
  <c r="AF398" i="1"/>
  <c r="AF709" i="1"/>
  <c r="AC696" i="1"/>
  <c r="AC1098" i="1"/>
  <c r="AC588" i="1"/>
  <c r="AC398" i="1"/>
  <c r="AC709" i="1"/>
  <c r="Z93" i="1"/>
  <c r="Z696" i="1"/>
  <c r="Z1098" i="1"/>
  <c r="Z588" i="1"/>
  <c r="Z709" i="1"/>
  <c r="B93" i="1"/>
  <c r="B696" i="1"/>
  <c r="B1098" i="1"/>
  <c r="B588" i="1"/>
  <c r="B398" i="1"/>
  <c r="B709" i="1"/>
  <c r="O45" i="3"/>
  <c r="N45" i="3"/>
  <c r="J45" i="3"/>
  <c r="L45" i="3"/>
  <c r="J44" i="3"/>
  <c r="L44" i="3"/>
  <c r="O44" i="3"/>
  <c r="N44" i="3"/>
  <c r="J43" i="3"/>
  <c r="O43" i="3"/>
  <c r="N43" i="3"/>
  <c r="L43" i="3"/>
  <c r="O42" i="3"/>
  <c r="N42" i="3"/>
  <c r="L42" i="3"/>
  <c r="J42" i="3"/>
  <c r="O41" i="3"/>
  <c r="N41" i="3"/>
  <c r="J41" i="3"/>
  <c r="L41" i="3"/>
  <c r="J40" i="3"/>
  <c r="L40" i="3"/>
  <c r="N40" i="3"/>
  <c r="O40" i="3"/>
  <c r="O39" i="3"/>
  <c r="N39" i="3"/>
  <c r="L39" i="3"/>
  <c r="J39" i="3"/>
  <c r="O37" i="3"/>
  <c r="O38" i="3"/>
  <c r="N37" i="3"/>
  <c r="N38" i="3"/>
  <c r="L36" i="3"/>
  <c r="L37" i="3"/>
  <c r="L38" i="3"/>
  <c r="J37" i="3"/>
  <c r="J38" i="3"/>
  <c r="O36" i="3"/>
  <c r="N36" i="3"/>
  <c r="J36" i="3"/>
  <c r="L35" i="3"/>
  <c r="O34" i="3"/>
  <c r="O35" i="3"/>
  <c r="N30" i="3"/>
  <c r="N31" i="3"/>
  <c r="N32" i="3"/>
  <c r="N33" i="3"/>
  <c r="N34" i="3"/>
  <c r="N35" i="3"/>
  <c r="L32" i="3"/>
  <c r="L33" i="3"/>
  <c r="L34" i="3"/>
  <c r="J32" i="3"/>
  <c r="J33" i="3"/>
  <c r="J34" i="3"/>
  <c r="J35" i="3"/>
  <c r="O30" i="3"/>
  <c r="O31" i="3"/>
  <c r="O32" i="3"/>
  <c r="N29" i="3"/>
  <c r="L30" i="3"/>
  <c r="L31" i="3"/>
  <c r="J30" i="3"/>
  <c r="J31" i="3"/>
  <c r="O29" i="3"/>
  <c r="O28" i="3"/>
  <c r="L29" i="3"/>
  <c r="J29" i="3"/>
  <c r="X862" i="1"/>
  <c r="X870" i="1"/>
  <c r="X869" i="1"/>
  <c r="X868" i="1"/>
  <c r="X889" i="1"/>
  <c r="X860" i="1"/>
  <c r="X890" i="1"/>
  <c r="X885" i="1"/>
  <c r="X851" i="1"/>
  <c r="X858" i="1"/>
  <c r="X921" i="1"/>
  <c r="X899" i="1"/>
  <c r="X926" i="1"/>
  <c r="X907" i="1"/>
  <c r="X891" i="1"/>
  <c r="X929" i="1"/>
  <c r="X919" i="1"/>
  <c r="X867" i="1"/>
  <c r="X902" i="1"/>
  <c r="X892" i="1"/>
  <c r="X893" i="1"/>
  <c r="X865" i="1"/>
  <c r="X285" i="1"/>
  <c r="X286" i="1"/>
  <c r="X692" i="1"/>
  <c r="X685" i="1"/>
  <c r="X684" i="1"/>
  <c r="X679" i="1"/>
  <c r="X686" i="1"/>
  <c r="X691" i="1"/>
  <c r="X676" i="1"/>
  <c r="X683" i="1"/>
  <c r="X687" i="1"/>
  <c r="X680" i="1"/>
  <c r="X670" i="1"/>
  <c r="X669" i="1"/>
  <c r="X672" i="1"/>
  <c r="X677" i="1"/>
  <c r="X667" i="1"/>
  <c r="X673" i="1"/>
  <c r="X342" i="1"/>
  <c r="X335" i="1"/>
  <c r="X327" i="1"/>
  <c r="X326" i="1"/>
  <c r="X338" i="1"/>
  <c r="X334" i="1"/>
  <c r="X340" i="1"/>
  <c r="X337" i="1"/>
  <c r="X329" i="1"/>
  <c r="X330" i="1"/>
  <c r="X331" i="1"/>
  <c r="X339" i="1"/>
  <c r="X328" i="1"/>
  <c r="X325" i="1"/>
  <c r="X301" i="1"/>
  <c r="X310" i="1"/>
  <c r="X307" i="1"/>
  <c r="X318" i="1"/>
  <c r="X303" i="1"/>
  <c r="X313" i="1"/>
  <c r="X294" i="1"/>
  <c r="X306" i="1"/>
  <c r="X315" i="1"/>
  <c r="X297" i="1"/>
  <c r="X317" i="1"/>
  <c r="X295" i="1"/>
  <c r="X304" i="1"/>
  <c r="X309" i="1"/>
  <c r="X319" i="1"/>
  <c r="X322" i="1"/>
  <c r="X321" i="1"/>
  <c r="X287" i="1"/>
  <c r="X292" i="1"/>
  <c r="X298" i="1"/>
  <c r="X296" i="1"/>
  <c r="X308" i="1"/>
  <c r="X323" i="1"/>
  <c r="X341" i="1"/>
  <c r="X311" i="1"/>
  <c r="X305" i="1"/>
  <c r="X316" i="1"/>
  <c r="X291" i="1"/>
  <c r="X293" i="1"/>
  <c r="X288" i="1"/>
  <c r="X312" i="1"/>
  <c r="X299" i="1"/>
  <c r="X320" i="1"/>
  <c r="X300" i="1"/>
  <c r="X314" i="1"/>
  <c r="X302" i="1"/>
  <c r="X393" i="1"/>
  <c r="X381" i="1"/>
  <c r="X382" i="1"/>
  <c r="X397" i="1"/>
  <c r="X392" i="1"/>
  <c r="X384" i="1"/>
  <c r="X395" i="1"/>
  <c r="X394" i="1"/>
  <c r="X383" i="1"/>
  <c r="X390" i="1"/>
  <c r="X396" i="1"/>
  <c r="X391" i="1"/>
  <c r="X374" i="1"/>
  <c r="X380" i="1"/>
  <c r="X376" i="1"/>
  <c r="X373" i="1"/>
  <c r="X375" i="1"/>
  <c r="X377" i="1"/>
  <c r="X866" i="1"/>
  <c r="X864" i="1"/>
  <c r="X872" i="1"/>
  <c r="X855" i="1"/>
  <c r="X859" i="1"/>
  <c r="X848" i="1"/>
  <c r="X852" i="1"/>
  <c r="X857" i="1"/>
  <c r="X854" i="1"/>
  <c r="X850" i="1"/>
  <c r="X863" i="1"/>
  <c r="X853" i="1"/>
  <c r="X884" i="1"/>
  <c r="X861" i="1"/>
  <c r="X849" i="1"/>
  <c r="X897" i="1"/>
  <c r="X910" i="1"/>
  <c r="X932" i="1"/>
  <c r="X905" i="1"/>
  <c r="X931" i="1"/>
  <c r="X938" i="1"/>
  <c r="X914" i="1"/>
  <c r="X915" i="1"/>
  <c r="X935" i="1"/>
  <c r="X920" i="1"/>
  <c r="X937" i="1"/>
  <c r="X916" i="1"/>
  <c r="X886" i="1"/>
  <c r="X918" i="1"/>
  <c r="X936" i="1"/>
  <c r="X896" i="1"/>
  <c r="X846" i="1"/>
  <c r="X888" i="1"/>
  <c r="X904" i="1"/>
  <c r="X895" i="1"/>
  <c r="X925" i="1"/>
  <c r="X894" i="1"/>
  <c r="X906" i="1"/>
  <c r="X901" i="1"/>
  <c r="X909" i="1"/>
  <c r="X908" i="1"/>
  <c r="X912" i="1"/>
  <c r="X911" i="1"/>
  <c r="X843" i="1"/>
  <c r="X930" i="1"/>
  <c r="X913" i="1"/>
  <c r="X934" i="1"/>
  <c r="X847" i="1"/>
  <c r="X844" i="1"/>
  <c r="X871" i="1"/>
  <c r="X856" i="1"/>
  <c r="X178" i="1"/>
  <c r="X177" i="1"/>
  <c r="X179" i="1"/>
  <c r="X183" i="1"/>
  <c r="X214" i="1"/>
  <c r="X215" i="1"/>
  <c r="X242" i="1"/>
  <c r="X246" i="1"/>
  <c r="X170" i="1"/>
  <c r="X217" i="1"/>
  <c r="X169" i="1"/>
  <c r="X240" i="1"/>
  <c r="X229" i="1"/>
  <c r="X245" i="1"/>
  <c r="X267" i="1"/>
  <c r="X228" i="1"/>
  <c r="X266" i="1"/>
  <c r="X247" i="1"/>
  <c r="X209" i="1"/>
  <c r="X184" i="1"/>
  <c r="X203" i="1"/>
  <c r="X190" i="1"/>
  <c r="X189" i="1"/>
  <c r="X194" i="1"/>
  <c r="X196" i="1"/>
  <c r="X200" i="1"/>
  <c r="X208" i="1"/>
  <c r="X202" i="1"/>
  <c r="X199" i="1"/>
  <c r="X201" i="1"/>
  <c r="X206" i="1"/>
  <c r="X211" i="1"/>
  <c r="X188" i="1"/>
  <c r="X210" i="1"/>
  <c r="X198" i="1"/>
  <c r="X191" i="1"/>
  <c r="X197" i="1"/>
  <c r="X212" i="1"/>
  <c r="X187" i="1"/>
  <c r="X207" i="1"/>
  <c r="X230" i="1"/>
  <c r="X167" i="1"/>
  <c r="X232" i="1"/>
  <c r="X239" i="1"/>
  <c r="X234" i="1"/>
  <c r="X171" i="1"/>
  <c r="X243" i="1"/>
  <c r="X222" i="1"/>
  <c r="X271" i="1"/>
  <c r="X216" i="1"/>
  <c r="X256" i="1"/>
  <c r="X237" i="1"/>
  <c r="X235" i="1"/>
  <c r="X252" i="1"/>
  <c r="X262" i="1"/>
  <c r="X261" i="1"/>
  <c r="X176" i="1"/>
  <c r="X226" i="1"/>
  <c r="X181" i="1"/>
  <c r="X172" i="1"/>
  <c r="X225" i="1"/>
  <c r="X257" i="1"/>
  <c r="X255" i="1"/>
  <c r="X263" i="1"/>
  <c r="X270" i="1"/>
  <c r="X180" i="1"/>
  <c r="X168" i="1"/>
  <c r="X253" i="1"/>
  <c r="X272" i="1"/>
  <c r="X251" i="1"/>
  <c r="X250" i="1"/>
  <c r="X223" i="1"/>
  <c r="X258" i="1"/>
  <c r="X264" i="1"/>
  <c r="X269" i="1"/>
  <c r="X204" i="1"/>
  <c r="X193" i="1"/>
  <c r="X182" i="1"/>
  <c r="X173" i="1"/>
  <c r="X195" i="1"/>
  <c r="X192" i="1"/>
  <c r="X205" i="1"/>
  <c r="X221" i="1"/>
  <c r="X185" i="1"/>
  <c r="X186" i="1"/>
  <c r="X213" i="1"/>
  <c r="X248" i="1"/>
  <c r="X254" i="1"/>
  <c r="X244" i="1"/>
  <c r="X238" i="1"/>
  <c r="X174" i="1"/>
  <c r="X233" i="1"/>
  <c r="X227" i="1"/>
  <c r="X241" i="1"/>
  <c r="X268" i="1"/>
  <c r="X224" i="1"/>
  <c r="X218" i="1"/>
  <c r="X231" i="1"/>
  <c r="X236" i="1"/>
  <c r="X219" i="1"/>
  <c r="X259" i="1"/>
  <c r="X265" i="1"/>
  <c r="X249" i="1"/>
  <c r="X220" i="1"/>
  <c r="X260" i="1"/>
  <c r="X175" i="1"/>
  <c r="X462" i="1"/>
  <c r="X464" i="1"/>
  <c r="X438" i="1"/>
  <c r="X463" i="1"/>
  <c r="X466" i="1"/>
  <c r="X465" i="1"/>
  <c r="X468" i="1"/>
  <c r="X467" i="1"/>
  <c r="X470" i="1"/>
  <c r="X471" i="1"/>
  <c r="X475" i="1"/>
  <c r="X474" i="1"/>
  <c r="X473" i="1"/>
  <c r="X472" i="1"/>
  <c r="X476" i="1"/>
  <c r="X477" i="1"/>
  <c r="X461" i="1"/>
  <c r="X478" i="1"/>
  <c r="X469" i="1"/>
  <c r="X479" i="1"/>
  <c r="X480" i="1"/>
  <c r="X482" i="1"/>
  <c r="X481" i="1"/>
  <c r="X483" i="1"/>
  <c r="X484" i="1"/>
  <c r="X485" i="1"/>
  <c r="X486" i="1"/>
  <c r="X487" i="1"/>
  <c r="X488" i="1"/>
  <c r="X445" i="1"/>
  <c r="X490" i="1"/>
  <c r="X489" i="1"/>
  <c r="X491" i="1"/>
  <c r="X492" i="1"/>
  <c r="X493" i="1"/>
  <c r="X494" i="1"/>
  <c r="X495" i="1"/>
  <c r="X496" i="1"/>
  <c r="X455" i="1"/>
  <c r="X446" i="1"/>
  <c r="X444" i="1"/>
  <c r="X443" i="1"/>
  <c r="X452" i="1"/>
  <c r="X457" i="1"/>
  <c r="X458" i="1"/>
  <c r="X449" i="1"/>
  <c r="X448" i="1"/>
  <c r="X440" i="1"/>
  <c r="X439" i="1"/>
  <c r="X447" i="1"/>
  <c r="X441" i="1"/>
  <c r="X456" i="1"/>
  <c r="X437" i="1"/>
  <c r="X442" i="1"/>
  <c r="X450" i="1"/>
  <c r="X453" i="1"/>
  <c r="X454" i="1"/>
  <c r="X451" i="1"/>
  <c r="X460" i="1"/>
  <c r="X459" i="1"/>
  <c r="X114" i="1"/>
  <c r="X156" i="1"/>
  <c r="X151" i="1"/>
  <c r="X140" i="1"/>
  <c r="X157" i="1"/>
  <c r="X112" i="1"/>
  <c r="X144" i="1"/>
  <c r="X154" i="1"/>
  <c r="X133" i="1"/>
  <c r="X155" i="1"/>
  <c r="X146" i="1"/>
  <c r="X138" i="1"/>
  <c r="X135" i="1"/>
  <c r="X152" i="1"/>
  <c r="X132" i="1"/>
  <c r="X130" i="1"/>
  <c r="X128" i="1"/>
  <c r="X118" i="1"/>
  <c r="X145" i="1"/>
  <c r="X126" i="1"/>
  <c r="X125" i="1"/>
  <c r="X127" i="1"/>
  <c r="X147" i="1"/>
  <c r="X150" i="1"/>
  <c r="X148" i="1"/>
  <c r="X153" i="1"/>
  <c r="X131" i="1"/>
  <c r="X124" i="1"/>
  <c r="X121" i="1"/>
  <c r="X134" i="1"/>
  <c r="X115" i="1"/>
  <c r="X116" i="1"/>
  <c r="X139" i="1"/>
  <c r="X123" i="1"/>
  <c r="X137" i="1"/>
  <c r="X136" i="1"/>
  <c r="X117" i="1"/>
  <c r="X119" i="1"/>
  <c r="X120" i="1"/>
  <c r="X129" i="1"/>
  <c r="X113" i="1"/>
  <c r="X1028" i="1"/>
  <c r="X1027" i="1"/>
  <c r="X1025" i="1"/>
  <c r="X1019" i="1"/>
  <c r="X1020" i="1"/>
  <c r="X1017" i="1"/>
  <c r="X1021" i="1"/>
  <c r="X1119" i="1"/>
  <c r="X1110" i="1"/>
  <c r="X1120" i="1"/>
  <c r="X1123" i="1"/>
  <c r="X1118" i="1"/>
  <c r="X613" i="1"/>
  <c r="X593" i="1"/>
  <c r="X601" i="1"/>
  <c r="X599" i="1"/>
  <c r="X596" i="1"/>
  <c r="X602" i="1"/>
  <c r="X603" i="1"/>
  <c r="X620" i="1"/>
  <c r="X592" i="1"/>
  <c r="X609" i="1"/>
  <c r="X606" i="1"/>
  <c r="X616" i="1"/>
  <c r="X595" i="1"/>
  <c r="X604" i="1"/>
  <c r="X605" i="1"/>
  <c r="X610" i="1"/>
  <c r="X614" i="1"/>
  <c r="X615" i="1"/>
  <c r="X1038" i="1"/>
  <c r="X1037" i="1"/>
  <c r="X1033" i="1"/>
  <c r="X1035" i="1"/>
  <c r="X1034" i="1"/>
  <c r="X1036" i="1"/>
  <c r="X1030" i="1"/>
  <c r="X1031" i="1"/>
  <c r="X1022" i="1"/>
  <c r="X1023" i="1"/>
  <c r="X1026" i="1"/>
  <c r="X621" i="1"/>
  <c r="X1014" i="1"/>
  <c r="X1018" i="1"/>
  <c r="X1016" i="1"/>
  <c r="X1013" i="1"/>
  <c r="X1111" i="1"/>
  <c r="X1117" i="1"/>
  <c r="X1116" i="1"/>
  <c r="X1113" i="1"/>
  <c r="X1114" i="1"/>
  <c r="X1115" i="1"/>
  <c r="X1112" i="1"/>
  <c r="X622" i="1"/>
  <c r="X612" i="1"/>
  <c r="X600" i="1"/>
  <c r="X611" i="1"/>
  <c r="X619" i="1"/>
  <c r="X618" i="1"/>
  <c r="X636" i="1"/>
  <c r="X634" i="1"/>
  <c r="X626" i="1"/>
  <c r="X637" i="1"/>
  <c r="X630" i="1"/>
  <c r="X617" i="1"/>
  <c r="X624" i="1"/>
  <c r="X629" i="1"/>
  <c r="X631" i="1"/>
  <c r="X625" i="1"/>
  <c r="X633" i="1"/>
  <c r="X627" i="1"/>
  <c r="X623" i="1"/>
  <c r="X632" i="1"/>
  <c r="X628" i="1"/>
  <c r="X591" i="1"/>
  <c r="X608" i="1"/>
  <c r="O23" i="3"/>
  <c r="O24" i="3"/>
  <c r="O25" i="3"/>
  <c r="O26" i="3"/>
  <c r="O27" i="3"/>
  <c r="N23" i="3"/>
  <c r="N24" i="3"/>
  <c r="N25" i="3"/>
  <c r="N26" i="3"/>
  <c r="N27" i="3"/>
  <c r="N28" i="3"/>
  <c r="L23" i="3"/>
  <c r="L24" i="3"/>
  <c r="L25" i="3"/>
  <c r="L26" i="3"/>
  <c r="L27" i="3"/>
  <c r="L28" i="3"/>
  <c r="J23" i="3"/>
  <c r="J24" i="3"/>
  <c r="J25" i="3"/>
  <c r="J26" i="3"/>
  <c r="J27" i="3"/>
  <c r="J28" i="3"/>
  <c r="O15" i="3"/>
  <c r="N15" i="3"/>
  <c r="K15" i="3"/>
  <c r="L15" i="3" s="1"/>
  <c r="O4" i="3"/>
  <c r="O5" i="3"/>
  <c r="O6" i="3"/>
  <c r="O7" i="3"/>
  <c r="O8" i="3"/>
  <c r="O9" i="3"/>
  <c r="O10" i="3"/>
  <c r="O11" i="3"/>
  <c r="O12" i="3"/>
  <c r="O13" i="3"/>
  <c r="O14" i="3"/>
  <c r="O16" i="3"/>
  <c r="O17" i="3"/>
  <c r="O18" i="3"/>
  <c r="O19" i="3"/>
  <c r="O20" i="3"/>
  <c r="O21" i="3"/>
  <c r="O22" i="3"/>
  <c r="N4" i="3"/>
  <c r="N5" i="3"/>
  <c r="N6" i="3"/>
  <c r="N7" i="3"/>
  <c r="N8" i="3"/>
  <c r="N9" i="3"/>
  <c r="N10" i="3"/>
  <c r="N11" i="3"/>
  <c r="N12" i="3"/>
  <c r="N13" i="3"/>
  <c r="N14" i="3"/>
  <c r="N16" i="3"/>
  <c r="N17" i="3"/>
  <c r="N18" i="3"/>
  <c r="N19" i="3"/>
  <c r="N20" i="3"/>
  <c r="N21" i="3"/>
  <c r="N22" i="3"/>
  <c r="L4" i="3"/>
  <c r="L5" i="3"/>
  <c r="L6" i="3"/>
  <c r="L7" i="3"/>
  <c r="L8" i="3"/>
  <c r="L9" i="3"/>
  <c r="L10" i="3"/>
  <c r="L11" i="3"/>
  <c r="L12" i="3"/>
  <c r="L13" i="3"/>
  <c r="L14" i="3"/>
  <c r="L16" i="3"/>
  <c r="L17" i="3"/>
  <c r="L18" i="3"/>
  <c r="L19" i="3"/>
  <c r="L20" i="3"/>
  <c r="L21" i="3"/>
  <c r="L22" i="3"/>
  <c r="J4" i="3"/>
  <c r="J5" i="3"/>
  <c r="J6" i="3"/>
  <c r="J7" i="3"/>
  <c r="J8" i="3"/>
  <c r="J9" i="3"/>
  <c r="J10" i="3"/>
  <c r="J11" i="3"/>
  <c r="J12" i="3"/>
  <c r="J13" i="3"/>
  <c r="J14" i="3"/>
  <c r="J15" i="3"/>
  <c r="J16" i="3"/>
  <c r="J17" i="3"/>
  <c r="J18" i="3"/>
  <c r="J19" i="3"/>
  <c r="J20" i="3"/>
  <c r="J21" i="3"/>
  <c r="J22" i="3"/>
  <c r="O3" i="3"/>
  <c r="O2" i="3"/>
  <c r="N3" i="3"/>
  <c r="N2" i="3"/>
  <c r="L3" i="3"/>
  <c r="L2" i="3"/>
  <c r="J3" i="3"/>
  <c r="J2" i="3"/>
  <c r="B34" i="8"/>
  <c r="B35" i="8"/>
  <c r="B36" i="8"/>
  <c r="B37" i="8"/>
  <c r="B38" i="8"/>
  <c r="A40" i="8"/>
  <c r="A39" i="8"/>
  <c r="A38" i="8"/>
  <c r="A37" i="8"/>
  <c r="A36" i="8"/>
  <c r="A35" i="8"/>
  <c r="A34" i="8"/>
  <c r="A33" i="8"/>
  <c r="A32" i="8"/>
  <c r="A31" i="8"/>
  <c r="A30" i="8"/>
  <c r="A29" i="8"/>
  <c r="A28" i="8"/>
  <c r="A27" i="8"/>
  <c r="E5" i="8"/>
  <c r="D5" i="8"/>
  <c r="B5" i="8"/>
  <c r="G92" i="3" l="1"/>
  <c r="G5" i="8"/>
  <c r="AG1098" i="1"/>
  <c r="AD1098" i="1"/>
  <c r="AA709" i="1"/>
  <c r="AD588" i="1"/>
  <c r="AD709" i="1"/>
  <c r="AA93" i="1"/>
  <c r="AD696" i="1"/>
  <c r="AD93" i="1"/>
  <c r="AG398" i="1"/>
  <c r="AA398" i="1"/>
  <c r="AG588" i="1"/>
  <c r="AG696" i="1"/>
  <c r="B34" i="7"/>
  <c r="B35" i="7"/>
  <c r="B36" i="7"/>
  <c r="B37" i="7"/>
  <c r="B38" i="7"/>
  <c r="A40" i="7"/>
  <c r="A39" i="7"/>
  <c r="A38" i="7"/>
  <c r="A37" i="7"/>
  <c r="A36" i="7"/>
  <c r="A35" i="7"/>
  <c r="A34" i="7"/>
  <c r="A33" i="7"/>
  <c r="A32" i="7"/>
  <c r="A31" i="7"/>
  <c r="A30" i="7"/>
  <c r="A29" i="7"/>
  <c r="A28" i="7"/>
  <c r="A27" i="7"/>
  <c r="E62" i="4"/>
  <c r="E63" i="4"/>
  <c r="E64" i="4"/>
  <c r="E65" i="4"/>
  <c r="E66" i="4"/>
  <c r="E78" i="4"/>
  <c r="E79" i="4"/>
  <c r="E80" i="4"/>
  <c r="E81" i="4"/>
  <c r="E82" i="4"/>
  <c r="E83" i="4"/>
  <c r="E61" i="4"/>
  <c r="B62" i="4"/>
  <c r="B63" i="4"/>
  <c r="B64" i="4"/>
  <c r="B65" i="4"/>
  <c r="B66" i="4"/>
  <c r="B67" i="4"/>
  <c r="B68" i="4"/>
  <c r="B69" i="4"/>
  <c r="B70" i="4"/>
  <c r="B71" i="4"/>
  <c r="B72" i="4"/>
  <c r="B73" i="4"/>
  <c r="B74" i="4"/>
  <c r="B75" i="4"/>
  <c r="B76" i="4"/>
  <c r="B77" i="4"/>
  <c r="B78" i="4"/>
  <c r="B79" i="4"/>
  <c r="B80" i="4"/>
  <c r="B81" i="4"/>
  <c r="B82" i="4"/>
  <c r="B83" i="4"/>
  <c r="B61" i="4"/>
  <c r="A39" i="4"/>
  <c r="A40" i="4"/>
  <c r="A41" i="4"/>
  <c r="A42" i="4"/>
  <c r="A43" i="4"/>
  <c r="A44" i="4"/>
  <c r="A45" i="4"/>
  <c r="A46" i="4"/>
  <c r="A47" i="4"/>
  <c r="A48" i="4"/>
  <c r="D5" i="7" l="1"/>
  <c r="B5" i="7"/>
  <c r="E5" i="7"/>
  <c r="B4" i="1"/>
  <c r="B5" i="1"/>
  <c r="B6" i="1"/>
  <c r="B7" i="1"/>
  <c r="B8" i="1"/>
  <c r="B9" i="1"/>
  <c r="B10" i="1"/>
  <c r="B11" i="1"/>
  <c r="B3" i="1"/>
  <c r="B18" i="1"/>
  <c r="B2" i="1"/>
  <c r="B19" i="1"/>
  <c r="B15" i="1"/>
  <c r="B13" i="1"/>
  <c r="B17" i="1"/>
  <c r="B12" i="1"/>
  <c r="B16" i="1"/>
  <c r="B20" i="1"/>
  <c r="B21" i="1"/>
  <c r="B22" i="1"/>
  <c r="B23" i="1"/>
  <c r="B24" i="1"/>
  <c r="B25" i="1"/>
  <c r="B26" i="1"/>
  <c r="B27" i="1"/>
  <c r="B28" i="1"/>
  <c r="B29" i="1"/>
  <c r="B30" i="1"/>
  <c r="B31" i="1"/>
  <c r="B35" i="1"/>
  <c r="B36" i="1"/>
  <c r="B33" i="1"/>
  <c r="B32" i="1"/>
  <c r="B34" i="1"/>
  <c r="B37" i="1"/>
  <c r="B38" i="1"/>
  <c r="B52" i="1"/>
  <c r="B48" i="1"/>
  <c r="B40" i="1"/>
  <c r="B50" i="1"/>
  <c r="B51" i="1"/>
  <c r="B39" i="1"/>
  <c r="B41" i="1"/>
  <c r="B47" i="1"/>
  <c r="B53" i="1"/>
  <c r="B54" i="1"/>
  <c r="B49" i="1"/>
  <c r="B42" i="1"/>
  <c r="B43" i="1"/>
  <c r="B44" i="1"/>
  <c r="B45" i="1"/>
  <c r="B46" i="1"/>
  <c r="B60" i="1"/>
  <c r="B70" i="1"/>
  <c r="B76" i="1"/>
  <c r="B77" i="1"/>
  <c r="B59" i="1"/>
  <c r="B73" i="1"/>
  <c r="B58" i="1"/>
  <c r="B75" i="1"/>
  <c r="B74" i="1"/>
  <c r="B69" i="1"/>
  <c r="B68" i="1"/>
  <c r="B57" i="1"/>
  <c r="B55" i="1"/>
  <c r="B71" i="1"/>
  <c r="B56" i="1"/>
  <c r="B61" i="1"/>
  <c r="B62" i="1"/>
  <c r="B63" i="1"/>
  <c r="B64" i="1"/>
  <c r="B72" i="1"/>
  <c r="B65" i="1"/>
  <c r="B66" i="1"/>
  <c r="B67" i="1"/>
  <c r="B87" i="1"/>
  <c r="B90" i="1"/>
  <c r="B89" i="1"/>
  <c r="B91" i="1"/>
  <c r="B80" i="1"/>
  <c r="B92" i="1"/>
  <c r="B88" i="1"/>
  <c r="B81" i="1"/>
  <c r="B82" i="1"/>
  <c r="B83" i="1"/>
  <c r="B84" i="1"/>
  <c r="B85" i="1"/>
  <c r="B78" i="1"/>
  <c r="B79" i="1"/>
  <c r="B86" i="1"/>
  <c r="B94" i="1"/>
  <c r="B95" i="1"/>
  <c r="B96" i="1"/>
  <c r="B97" i="1"/>
  <c r="B100" i="1"/>
  <c r="B101" i="1"/>
  <c r="B102" i="1"/>
  <c r="B103" i="1"/>
  <c r="B104" i="1"/>
  <c r="B98" i="1"/>
  <c r="B99" i="1"/>
  <c r="B105" i="1"/>
  <c r="B106" i="1"/>
  <c r="B108" i="1"/>
  <c r="B107" i="1"/>
  <c r="B109" i="1"/>
  <c r="B110" i="1"/>
  <c r="B111" i="1"/>
  <c r="B158" i="1"/>
  <c r="B156" i="1"/>
  <c r="B143" i="1"/>
  <c r="B151" i="1"/>
  <c r="B140" i="1"/>
  <c r="B149" i="1"/>
  <c r="B157" i="1"/>
  <c r="B112" i="1"/>
  <c r="B144" i="1"/>
  <c r="B154" i="1"/>
  <c r="B133" i="1"/>
  <c r="B155" i="1"/>
  <c r="B146" i="1"/>
  <c r="B138" i="1"/>
  <c r="B141" i="1"/>
  <c r="B135" i="1"/>
  <c r="B152" i="1"/>
  <c r="B114" i="1"/>
  <c r="B132" i="1"/>
  <c r="B130" i="1"/>
  <c r="B128" i="1"/>
  <c r="B118" i="1"/>
  <c r="B145" i="1"/>
  <c r="B126" i="1"/>
  <c r="B125" i="1"/>
  <c r="B147" i="1"/>
  <c r="B150" i="1"/>
  <c r="B148" i="1"/>
  <c r="B142" i="1"/>
  <c r="B153" i="1"/>
  <c r="B127" i="1"/>
  <c r="B131" i="1"/>
  <c r="B124" i="1"/>
  <c r="B121" i="1"/>
  <c r="B134" i="1"/>
  <c r="B115" i="1"/>
  <c r="B116" i="1"/>
  <c r="B139" i="1"/>
  <c r="B123" i="1"/>
  <c r="B137" i="1"/>
  <c r="B136" i="1"/>
  <c r="B117" i="1"/>
  <c r="B122" i="1"/>
  <c r="B119" i="1"/>
  <c r="B120" i="1"/>
  <c r="B129" i="1"/>
  <c r="B113" i="1"/>
  <c r="B159" i="1"/>
  <c r="B162" i="1"/>
  <c r="B163" i="1"/>
  <c r="B164" i="1"/>
  <c r="B160" i="1"/>
  <c r="B161" i="1"/>
  <c r="B165" i="1"/>
  <c r="B166" i="1"/>
  <c r="B175" i="1"/>
  <c r="B247" i="1"/>
  <c r="B269" i="1"/>
  <c r="B260" i="1"/>
  <c r="B250" i="1"/>
  <c r="B223" i="1"/>
  <c r="B258" i="1"/>
  <c r="B264" i="1"/>
  <c r="B267" i="1"/>
  <c r="B228" i="1"/>
  <c r="B266" i="1"/>
  <c r="B251" i="1"/>
  <c r="B249" i="1"/>
  <c r="B220" i="1"/>
  <c r="B168" i="1"/>
  <c r="B253" i="1"/>
  <c r="B272" i="1"/>
  <c r="B265" i="1"/>
  <c r="B270" i="1"/>
  <c r="B180" i="1"/>
  <c r="B245" i="1"/>
  <c r="B225" i="1"/>
  <c r="B257" i="1"/>
  <c r="B255" i="1"/>
  <c r="B263" i="1"/>
  <c r="B229" i="1"/>
  <c r="B181" i="1"/>
  <c r="B172" i="1"/>
  <c r="B236" i="1"/>
  <c r="B219" i="1"/>
  <c r="B259" i="1"/>
  <c r="B176" i="1"/>
  <c r="B226" i="1"/>
  <c r="B205" i="1"/>
  <c r="B262" i="1"/>
  <c r="B261" i="1"/>
  <c r="B240" i="1"/>
  <c r="B256" i="1"/>
  <c r="B237" i="1"/>
  <c r="B235" i="1"/>
  <c r="B252" i="1"/>
  <c r="B218" i="1"/>
  <c r="B231" i="1"/>
  <c r="B211" i="1"/>
  <c r="B210" i="1"/>
  <c r="B183" i="1"/>
  <c r="B200" i="1"/>
  <c r="B213" i="1"/>
  <c r="B208" i="1"/>
  <c r="B202" i="1"/>
  <c r="B199" i="1"/>
  <c r="B201" i="1"/>
  <c r="B215" i="1"/>
  <c r="B206" i="1"/>
  <c r="B195" i="1"/>
  <c r="B192" i="1"/>
  <c r="B191" i="1"/>
  <c r="B197" i="1"/>
  <c r="B221" i="1"/>
  <c r="B189" i="1"/>
  <c r="B194" i="1"/>
  <c r="B212" i="1"/>
  <c r="B185" i="1"/>
  <c r="B196" i="1"/>
  <c r="B198" i="1"/>
  <c r="B214" i="1"/>
  <c r="B187" i="1"/>
  <c r="B224" i="1"/>
  <c r="B271" i="1"/>
  <c r="B216" i="1"/>
  <c r="B268" i="1"/>
  <c r="B234" i="1"/>
  <c r="B171" i="1"/>
  <c r="B243" i="1"/>
  <c r="B222" i="1"/>
  <c r="B169" i="1"/>
  <c r="B241" i="1"/>
  <c r="B239" i="1"/>
  <c r="B227" i="1"/>
  <c r="B232" i="1"/>
  <c r="B170" i="1"/>
  <c r="B217" i="1"/>
  <c r="B230" i="1"/>
  <c r="B167" i="1"/>
  <c r="B233" i="1"/>
  <c r="B246" i="1"/>
  <c r="B238" i="1"/>
  <c r="B174" i="1"/>
  <c r="B190" i="1"/>
  <c r="B179" i="1"/>
  <c r="B203" i="1"/>
  <c r="B173" i="1"/>
  <c r="B184" i="1"/>
  <c r="B207" i="1"/>
  <c r="B186" i="1"/>
  <c r="B177" i="1"/>
  <c r="B182" i="1"/>
  <c r="B188" i="1"/>
  <c r="B178" i="1"/>
  <c r="B204" i="1"/>
  <c r="B193" i="1"/>
  <c r="B209" i="1"/>
  <c r="B248" i="1"/>
  <c r="B254" i="1"/>
  <c r="B244" i="1"/>
  <c r="B242" i="1"/>
  <c r="B273" i="1"/>
  <c r="B274" i="1"/>
  <c r="B280" i="1"/>
  <c r="B279" i="1"/>
  <c r="B275" i="1"/>
  <c r="B276" i="1"/>
  <c r="B277" i="1"/>
  <c r="B278" i="1"/>
  <c r="B282" i="1"/>
  <c r="B283" i="1"/>
  <c r="B281" i="1"/>
  <c r="B284" i="1"/>
  <c r="B332" i="1"/>
  <c r="B302" i="1"/>
  <c r="B289" i="1"/>
  <c r="B300" i="1"/>
  <c r="B314" i="1"/>
  <c r="B333" i="1"/>
  <c r="B293" i="1"/>
  <c r="B288" i="1"/>
  <c r="B312" i="1"/>
  <c r="B299" i="1"/>
  <c r="B320" i="1"/>
  <c r="B285" i="1"/>
  <c r="B322" i="1"/>
  <c r="B321" i="1"/>
  <c r="B287" i="1"/>
  <c r="B292" i="1"/>
  <c r="B298" i="1"/>
  <c r="B296" i="1"/>
  <c r="B328" i="1"/>
  <c r="B325" i="1"/>
  <c r="B301" i="1"/>
  <c r="B324" i="1"/>
  <c r="B338" i="1"/>
  <c r="B334" i="1"/>
  <c r="B340" i="1"/>
  <c r="B337" i="1"/>
  <c r="B329" i="1"/>
  <c r="B330" i="1"/>
  <c r="B331" i="1"/>
  <c r="B339" i="1"/>
  <c r="B290" i="1"/>
  <c r="B342" i="1"/>
  <c r="B335" i="1"/>
  <c r="B327" i="1"/>
  <c r="B326" i="1"/>
  <c r="B308" i="1"/>
  <c r="B323" i="1"/>
  <c r="B341" i="1"/>
  <c r="B311" i="1"/>
  <c r="B305" i="1"/>
  <c r="B316" i="1"/>
  <c r="B291" i="1"/>
  <c r="B336" i="1"/>
  <c r="B295" i="1"/>
  <c r="B304" i="1"/>
  <c r="B309" i="1"/>
  <c r="B319" i="1"/>
  <c r="B297" i="1"/>
  <c r="B286" i="1"/>
  <c r="B317" i="1"/>
  <c r="B310" i="1"/>
  <c r="B307" i="1"/>
  <c r="B318" i="1"/>
  <c r="B303" i="1"/>
  <c r="B313" i="1"/>
  <c r="B294" i="1"/>
  <c r="B306" i="1"/>
  <c r="B315" i="1"/>
  <c r="B343" i="1"/>
  <c r="B346" i="1"/>
  <c r="B352" i="1"/>
  <c r="B349" i="1"/>
  <c r="B371" i="1"/>
  <c r="B369" i="1"/>
  <c r="B347" i="1"/>
  <c r="B348" i="1"/>
  <c r="B372" i="1"/>
  <c r="B370" i="1"/>
  <c r="B350" i="1"/>
  <c r="B345" i="1"/>
  <c r="B368" i="1"/>
  <c r="B351" i="1"/>
  <c r="B353" i="1"/>
  <c r="B354" i="1"/>
  <c r="B355" i="1"/>
  <c r="B356" i="1"/>
  <c r="B357" i="1"/>
  <c r="B358" i="1"/>
  <c r="B359" i="1"/>
  <c r="B360" i="1"/>
  <c r="B361" i="1"/>
  <c r="B362" i="1"/>
  <c r="B363" i="1"/>
  <c r="B364" i="1"/>
  <c r="B365" i="1"/>
  <c r="B366" i="1"/>
  <c r="B344" i="1"/>
  <c r="B367" i="1"/>
  <c r="B384" i="1"/>
  <c r="B395" i="1"/>
  <c r="B394" i="1"/>
  <c r="B383" i="1"/>
  <c r="B390" i="1"/>
  <c r="B396" i="1"/>
  <c r="B391" i="1"/>
  <c r="B382" i="1"/>
  <c r="B392" i="1"/>
  <c r="B393" i="1"/>
  <c r="B381" i="1"/>
  <c r="B397" i="1"/>
  <c r="B377" i="1"/>
  <c r="B376" i="1"/>
  <c r="B373" i="1"/>
  <c r="B375" i="1"/>
  <c r="B378" i="1"/>
  <c r="B380" i="1"/>
  <c r="B385" i="1"/>
  <c r="B386" i="1"/>
  <c r="B379" i="1"/>
  <c r="B387" i="1"/>
  <c r="B374" i="1"/>
  <c r="B388" i="1"/>
  <c r="B389" i="1"/>
  <c r="B399" i="1"/>
  <c r="B400" i="1"/>
  <c r="B403" i="1"/>
  <c r="B402" i="1"/>
  <c r="B404" i="1"/>
  <c r="B405" i="1"/>
  <c r="B401" i="1"/>
  <c r="B406" i="1"/>
  <c r="B407" i="1"/>
  <c r="B408" i="1"/>
  <c r="B409" i="1"/>
  <c r="B410" i="1"/>
  <c r="B411" i="1"/>
  <c r="B412" i="1"/>
  <c r="B413" i="1"/>
  <c r="B414" i="1"/>
  <c r="B415" i="1"/>
  <c r="B435" i="1"/>
  <c r="B419" i="1"/>
  <c r="B424" i="1"/>
  <c r="B432" i="1"/>
  <c r="B423" i="1"/>
  <c r="B436" i="1"/>
  <c r="B434" i="1"/>
  <c r="B433" i="1"/>
  <c r="B425" i="1"/>
  <c r="B426" i="1"/>
  <c r="B422" i="1"/>
  <c r="B420" i="1"/>
  <c r="B427" i="1"/>
  <c r="B428" i="1"/>
  <c r="B429" i="1"/>
  <c r="B430" i="1"/>
  <c r="B417" i="1"/>
  <c r="B421" i="1"/>
  <c r="B418" i="1"/>
  <c r="B416" i="1"/>
  <c r="B431" i="1"/>
  <c r="B466" i="1"/>
  <c r="B465" i="1"/>
  <c r="B490" i="1"/>
  <c r="B494" i="1"/>
  <c r="B492" i="1"/>
  <c r="B480" i="1"/>
  <c r="B462" i="1"/>
  <c r="B484" i="1"/>
  <c r="B468" i="1"/>
  <c r="B489" i="1"/>
  <c r="B475" i="1"/>
  <c r="B470" i="1"/>
  <c r="B467" i="1"/>
  <c r="B472" i="1"/>
  <c r="B493" i="1"/>
  <c r="B482" i="1"/>
  <c r="B461" i="1"/>
  <c r="B491" i="1"/>
  <c r="B469" i="1"/>
  <c r="B478" i="1"/>
  <c r="B474" i="1"/>
  <c r="B495" i="1"/>
  <c r="B488" i="1"/>
  <c r="B473" i="1"/>
  <c r="B464" i="1"/>
  <c r="B471" i="1"/>
  <c r="B438" i="1"/>
  <c r="B481" i="1"/>
  <c r="B486" i="1"/>
  <c r="B445" i="1"/>
  <c r="B487" i="1"/>
  <c r="B463" i="1"/>
  <c r="B485" i="1"/>
  <c r="B477" i="1"/>
  <c r="B479" i="1"/>
  <c r="B483" i="1"/>
  <c r="B496" i="1"/>
  <c r="B476" i="1"/>
  <c r="B459" i="1"/>
  <c r="B439" i="1"/>
  <c r="B447" i="1"/>
  <c r="B441" i="1"/>
  <c r="B456" i="1"/>
  <c r="B437" i="1"/>
  <c r="B442" i="1"/>
  <c r="B450" i="1"/>
  <c r="B453" i="1"/>
  <c r="B454" i="1"/>
  <c r="B451" i="1"/>
  <c r="B460" i="1"/>
  <c r="B448" i="1"/>
  <c r="B440" i="1"/>
  <c r="B444" i="1"/>
  <c r="B443" i="1"/>
  <c r="B452" i="1"/>
  <c r="B457" i="1"/>
  <c r="B458" i="1"/>
  <c r="B449" i="1"/>
  <c r="B455" i="1"/>
  <c r="B446" i="1"/>
  <c r="B500" i="1"/>
  <c r="B501" i="1"/>
  <c r="B502" i="1"/>
  <c r="B497" i="1"/>
  <c r="B498" i="1"/>
  <c r="B499" i="1"/>
  <c r="B503" i="1"/>
  <c r="B504" i="1"/>
  <c r="B506" i="1"/>
  <c r="B507" i="1"/>
  <c r="B508" i="1"/>
  <c r="B509" i="1"/>
  <c r="B510" i="1"/>
  <c r="B511" i="1"/>
  <c r="B505" i="1"/>
  <c r="B512" i="1"/>
  <c r="B513" i="1"/>
  <c r="B523" i="1"/>
  <c r="B526" i="1"/>
  <c r="B530" i="1"/>
  <c r="B531" i="1"/>
  <c r="B532" i="1"/>
  <c r="B519" i="1"/>
  <c r="B520" i="1"/>
  <c r="B547" i="1"/>
  <c r="B524" i="1"/>
  <c r="B525" i="1"/>
  <c r="B527" i="1"/>
  <c r="B533" i="1"/>
  <c r="B548" i="1"/>
  <c r="B534" i="1"/>
  <c r="B521" i="1"/>
  <c r="B544" i="1"/>
  <c r="B528" i="1"/>
  <c r="B522" i="1"/>
  <c r="B529" i="1"/>
  <c r="B535" i="1"/>
  <c r="B514" i="1"/>
  <c r="B515" i="1"/>
  <c r="B516" i="1"/>
  <c r="B517" i="1"/>
  <c r="B518" i="1"/>
  <c r="B536" i="1"/>
  <c r="B538" i="1"/>
  <c r="B539" i="1"/>
  <c r="B540" i="1"/>
  <c r="B541" i="1"/>
  <c r="B542" i="1"/>
  <c r="B543" i="1"/>
  <c r="B545" i="1"/>
  <c r="B546" i="1"/>
  <c r="B549" i="1"/>
  <c r="B550" i="1"/>
  <c r="B537" i="1"/>
  <c r="B561" i="1"/>
  <c r="B562" i="1"/>
  <c r="B563" i="1"/>
  <c r="B565" i="1"/>
  <c r="B573" i="1"/>
  <c r="B566" i="1"/>
  <c r="B567" i="1"/>
  <c r="B568" i="1"/>
  <c r="B569" i="1"/>
  <c r="B570" i="1"/>
  <c r="B571" i="1"/>
  <c r="B552" i="1"/>
  <c r="B551" i="1"/>
  <c r="B553" i="1"/>
  <c r="B554" i="1"/>
  <c r="B555" i="1"/>
  <c r="B556" i="1"/>
  <c r="B557" i="1"/>
  <c r="B558" i="1"/>
  <c r="B559" i="1"/>
  <c r="B560" i="1"/>
  <c r="B564" i="1"/>
  <c r="B572" i="1"/>
  <c r="B574" i="1"/>
  <c r="B575" i="1"/>
  <c r="B576" i="1"/>
  <c r="B577" i="1"/>
  <c r="B578" i="1"/>
  <c r="B579" i="1"/>
  <c r="B580" i="1"/>
  <c r="B584" i="1"/>
  <c r="B585" i="1"/>
  <c r="B581" i="1"/>
  <c r="B582" i="1"/>
  <c r="B583" i="1"/>
  <c r="B586" i="1"/>
  <c r="B587" i="1"/>
  <c r="B589" i="1"/>
  <c r="B590" i="1"/>
  <c r="B594" i="1"/>
  <c r="B636" i="1"/>
  <c r="B634" i="1"/>
  <c r="B626" i="1"/>
  <c r="B637" i="1"/>
  <c r="B630" i="1"/>
  <c r="B617" i="1"/>
  <c r="B635" i="1"/>
  <c r="B624" i="1"/>
  <c r="B629" i="1"/>
  <c r="B631" i="1"/>
  <c r="B625" i="1"/>
  <c r="B633" i="1"/>
  <c r="B627" i="1"/>
  <c r="B623" i="1"/>
  <c r="B632" i="1"/>
  <c r="B628" i="1"/>
  <c r="B591" i="1"/>
  <c r="B613" i="1"/>
  <c r="B593" i="1"/>
  <c r="B622" i="1"/>
  <c r="B601" i="1"/>
  <c r="B599" i="1"/>
  <c r="B596" i="1"/>
  <c r="B602" i="1"/>
  <c r="B598" i="1"/>
  <c r="B621" i="1"/>
  <c r="B597" i="1"/>
  <c r="B603" i="1"/>
  <c r="B612" i="1"/>
  <c r="B620" i="1"/>
  <c r="B600" i="1"/>
  <c r="B592" i="1"/>
  <c r="B608" i="1"/>
  <c r="B609" i="1"/>
  <c r="B607" i="1"/>
  <c r="B606" i="1"/>
  <c r="B611" i="1"/>
  <c r="B616" i="1"/>
  <c r="B595" i="1"/>
  <c r="B619" i="1"/>
  <c r="B604" i="1"/>
  <c r="B605" i="1"/>
  <c r="B610" i="1"/>
  <c r="B618" i="1"/>
  <c r="B614" i="1"/>
  <c r="B615" i="1"/>
  <c r="B640" i="1"/>
  <c r="B638" i="1"/>
  <c r="B639" i="1"/>
  <c r="B641" i="1"/>
  <c r="B650" i="1"/>
  <c r="B647" i="1"/>
  <c r="B651" i="1"/>
  <c r="B652" i="1"/>
  <c r="B648" i="1"/>
  <c r="B649" i="1"/>
  <c r="B642" i="1"/>
  <c r="B643" i="1"/>
  <c r="B645" i="1"/>
  <c r="B654" i="1"/>
  <c r="B656" i="1"/>
  <c r="B657" i="1"/>
  <c r="B658" i="1"/>
  <c r="B660" i="1"/>
  <c r="B646" i="1"/>
  <c r="B655" i="1"/>
  <c r="B659" i="1"/>
  <c r="B653" i="1"/>
  <c r="B644" i="1"/>
  <c r="B661" i="1"/>
  <c r="B663" i="1"/>
  <c r="B664" i="1"/>
  <c r="B662" i="1"/>
  <c r="B665" i="1"/>
  <c r="B680" i="1"/>
  <c r="B695" i="1"/>
  <c r="B690" i="1"/>
  <c r="B683" i="1"/>
  <c r="B687" i="1"/>
  <c r="B678" i="1"/>
  <c r="B676" i="1"/>
  <c r="B693" i="1"/>
  <c r="B694" i="1"/>
  <c r="B681" i="1"/>
  <c r="B686" i="1"/>
  <c r="B691" i="1"/>
  <c r="B675" i="1"/>
  <c r="B682" i="1"/>
  <c r="B679" i="1"/>
  <c r="B689" i="1"/>
  <c r="B692" i="1"/>
  <c r="B685" i="1"/>
  <c r="B684" i="1"/>
  <c r="B677" i="1"/>
  <c r="B667" i="1"/>
  <c r="B673" i="1"/>
  <c r="B671" i="1"/>
  <c r="B666" i="1"/>
  <c r="B669" i="1"/>
  <c r="B672" i="1"/>
  <c r="B674" i="1"/>
  <c r="B688" i="1"/>
  <c r="B668" i="1"/>
  <c r="B670" i="1"/>
  <c r="B701" i="1"/>
  <c r="B702" i="1"/>
  <c r="B703" i="1"/>
  <c r="B704" i="1"/>
  <c r="B705" i="1"/>
  <c r="B697" i="1"/>
  <c r="B698" i="1"/>
  <c r="B699" i="1"/>
  <c r="B700" i="1"/>
  <c r="B706" i="1"/>
  <c r="B707" i="1"/>
  <c r="B708" i="1"/>
  <c r="B719" i="1"/>
  <c r="B720" i="1"/>
  <c r="B721" i="1"/>
  <c r="B722" i="1"/>
  <c r="B723" i="1"/>
  <c r="B724" i="1"/>
  <c r="B725" i="1"/>
  <c r="B726" i="1"/>
  <c r="B710" i="1"/>
  <c r="B711" i="1"/>
  <c r="B712" i="1"/>
  <c r="B713" i="1"/>
  <c r="B714" i="1"/>
  <c r="B715" i="1"/>
  <c r="B716" i="1"/>
  <c r="B717" i="1"/>
  <c r="B718" i="1"/>
  <c r="B729" i="1"/>
  <c r="B730" i="1"/>
  <c r="B727" i="1"/>
  <c r="B728" i="1"/>
  <c r="B731" i="1"/>
  <c r="B732" i="1"/>
  <c r="B733" i="1"/>
  <c r="B734" i="1"/>
  <c r="B735" i="1"/>
  <c r="B736" i="1"/>
  <c r="B787" i="1"/>
  <c r="B756" i="1"/>
  <c r="B755" i="1"/>
  <c r="B749" i="1"/>
  <c r="B747" i="1"/>
  <c r="B742" i="1"/>
  <c r="B748" i="1"/>
  <c r="B757" i="1"/>
  <c r="B750" i="1"/>
  <c r="B761" i="1"/>
  <c r="B751" i="1"/>
  <c r="B753" i="1"/>
  <c r="B743" i="1"/>
  <c r="B745" i="1"/>
  <c r="B737" i="1"/>
  <c r="B752" i="1"/>
  <c r="B744" i="1"/>
  <c r="B759" i="1"/>
  <c r="B740" i="1"/>
  <c r="B741" i="1"/>
  <c r="B758" i="1"/>
  <c r="B760" i="1"/>
  <c r="B754" i="1"/>
  <c r="B738" i="1"/>
  <c r="B739" i="1"/>
  <c r="B762" i="1"/>
  <c r="B763" i="1"/>
  <c r="B764" i="1"/>
  <c r="B765" i="1"/>
  <c r="B766" i="1"/>
  <c r="B767" i="1"/>
  <c r="B768" i="1"/>
  <c r="B769" i="1"/>
  <c r="B770" i="1"/>
  <c r="B771" i="1"/>
  <c r="B772" i="1"/>
  <c r="B773" i="1"/>
  <c r="B774" i="1"/>
  <c r="B775" i="1"/>
  <c r="B776" i="1"/>
  <c r="B777" i="1"/>
  <c r="B778" i="1"/>
  <c r="B779" i="1"/>
  <c r="B780" i="1"/>
  <c r="B781" i="1"/>
  <c r="B782" i="1"/>
  <c r="B783" i="1"/>
  <c r="B784" i="1"/>
  <c r="B785" i="1"/>
  <c r="B746" i="1"/>
  <c r="B786" i="1"/>
  <c r="B795" i="1"/>
  <c r="B834" i="1"/>
  <c r="B802" i="1"/>
  <c r="B796" i="1"/>
  <c r="B811" i="1"/>
  <c r="B828" i="1"/>
  <c r="B813" i="1"/>
  <c r="B797" i="1"/>
  <c r="B824" i="1"/>
  <c r="B825" i="1"/>
  <c r="B829" i="1"/>
  <c r="B839" i="1"/>
  <c r="B820" i="1"/>
  <c r="B826" i="1"/>
  <c r="B819" i="1"/>
  <c r="B812" i="1"/>
  <c r="B798" i="1"/>
  <c r="B799" i="1"/>
  <c r="B835" i="1"/>
  <c r="B830" i="1"/>
  <c r="B814" i="1"/>
  <c r="B800" i="1"/>
  <c r="B836" i="1"/>
  <c r="B837" i="1"/>
  <c r="B815" i="1"/>
  <c r="B821" i="1"/>
  <c r="B817" i="1"/>
  <c r="B818" i="1"/>
  <c r="B823" i="1"/>
  <c r="B803" i="1"/>
  <c r="B801" i="1"/>
  <c r="B790" i="1"/>
  <c r="B792" i="1"/>
  <c r="B822" i="1"/>
  <c r="B793" i="1"/>
  <c r="B816" i="1"/>
  <c r="B831" i="1"/>
  <c r="B838" i="1"/>
  <c r="B832" i="1"/>
  <c r="B804" i="1"/>
  <c r="B827" i="1"/>
  <c r="B794" i="1"/>
  <c r="B791" i="1"/>
  <c r="B833" i="1"/>
  <c r="B805" i="1"/>
  <c r="B806" i="1"/>
  <c r="B807" i="1"/>
  <c r="B808" i="1"/>
  <c r="B809" i="1"/>
  <c r="B810" i="1"/>
  <c r="B788" i="1"/>
  <c r="B789" i="1"/>
  <c r="B840" i="1"/>
  <c r="B841" i="1"/>
  <c r="B893" i="1"/>
  <c r="B922" i="1"/>
  <c r="B934" i="1"/>
  <c r="B842" i="1"/>
  <c r="B911" i="1"/>
  <c r="B843" i="1"/>
  <c r="B930" i="1"/>
  <c r="B913" i="1"/>
  <c r="B892" i="1"/>
  <c r="B923" i="1"/>
  <c r="B906" i="1"/>
  <c r="B901" i="1"/>
  <c r="B909" i="1"/>
  <c r="B908" i="1"/>
  <c r="B912" i="1"/>
  <c r="B903" i="1"/>
  <c r="B924" i="1"/>
  <c r="B894" i="1"/>
  <c r="B902" i="1"/>
  <c r="B925" i="1"/>
  <c r="B867" i="1"/>
  <c r="B904" i="1"/>
  <c r="B895" i="1"/>
  <c r="B900" i="1"/>
  <c r="B846" i="1"/>
  <c r="B888" i="1"/>
  <c r="B887" i="1"/>
  <c r="B919" i="1"/>
  <c r="B896" i="1"/>
  <c r="B929" i="1"/>
  <c r="B927" i="1"/>
  <c r="B886" i="1"/>
  <c r="B918" i="1"/>
  <c r="B936" i="1"/>
  <c r="B907" i="1"/>
  <c r="B891" i="1"/>
  <c r="B938" i="1"/>
  <c r="B914" i="1"/>
  <c r="B915" i="1"/>
  <c r="B935" i="1"/>
  <c r="B920" i="1"/>
  <c r="B937" i="1"/>
  <c r="B916" i="1"/>
  <c r="B926" i="1"/>
  <c r="B931" i="1"/>
  <c r="B845" i="1"/>
  <c r="B899" i="1"/>
  <c r="B910" i="1"/>
  <c r="B932" i="1"/>
  <c r="B905" i="1"/>
  <c r="B898" i="1"/>
  <c r="B917" i="1"/>
  <c r="B897" i="1"/>
  <c r="B921" i="1"/>
  <c r="B933" i="1"/>
  <c r="B863" i="1"/>
  <c r="B847" i="1"/>
  <c r="B884" i="1"/>
  <c r="B844" i="1"/>
  <c r="B858" i="1"/>
  <c r="B853" i="1"/>
  <c r="B890" i="1"/>
  <c r="B876" i="1"/>
  <c r="B854" i="1"/>
  <c r="B873" i="1"/>
  <c r="B850" i="1"/>
  <c r="B877" i="1"/>
  <c r="B857" i="1"/>
  <c r="B852" i="1"/>
  <c r="B860" i="1"/>
  <c r="B848" i="1"/>
  <c r="B889" i="1"/>
  <c r="B878" i="1"/>
  <c r="B879" i="1"/>
  <c r="B869" i="1"/>
  <c r="B849" i="1"/>
  <c r="B865" i="1"/>
  <c r="B874" i="1"/>
  <c r="B868" i="1"/>
  <c r="B880" i="1"/>
  <c r="B859" i="1"/>
  <c r="B870" i="1"/>
  <c r="B856" i="1"/>
  <c r="B881" i="1"/>
  <c r="B861" i="1"/>
  <c r="B855" i="1"/>
  <c r="B862" i="1"/>
  <c r="B851" i="1"/>
  <c r="B872" i="1"/>
  <c r="B875" i="1"/>
  <c r="B871" i="1"/>
  <c r="B882" i="1"/>
  <c r="B885" i="1"/>
  <c r="B883" i="1"/>
  <c r="B928" i="1"/>
  <c r="B866" i="1"/>
  <c r="B864" i="1"/>
  <c r="B981" i="1"/>
  <c r="B946" i="1"/>
  <c r="B952" i="1"/>
  <c r="B1006" i="1"/>
  <c r="B1009" i="1"/>
  <c r="B940" i="1"/>
  <c r="B941" i="1"/>
  <c r="B953" i="1"/>
  <c r="B948" i="1"/>
  <c r="B961" i="1"/>
  <c r="B1010" i="1"/>
  <c r="B942" i="1"/>
  <c r="B1000" i="1"/>
  <c r="B1007" i="1"/>
  <c r="B957" i="1"/>
  <c r="B944" i="1"/>
  <c r="B960" i="1"/>
  <c r="B959" i="1"/>
  <c r="B1003" i="1"/>
  <c r="B1005" i="1"/>
  <c r="B1008" i="1"/>
  <c r="B939" i="1"/>
  <c r="B949" i="1"/>
  <c r="B958" i="1"/>
  <c r="B943" i="1"/>
  <c r="B1004" i="1"/>
  <c r="B950" i="1"/>
  <c r="B947" i="1"/>
  <c r="B956" i="1"/>
  <c r="B1011" i="1"/>
  <c r="B954" i="1"/>
  <c r="B1001" i="1"/>
  <c r="B951" i="1"/>
  <c r="B945" i="1"/>
  <c r="B1002" i="1"/>
  <c r="B955" i="1"/>
  <c r="B962" i="1"/>
  <c r="B963" i="1"/>
  <c r="B964" i="1"/>
  <c r="B965" i="1"/>
  <c r="B966" i="1"/>
  <c r="B967" i="1"/>
  <c r="B968" i="1"/>
  <c r="B969" i="1"/>
  <c r="B970" i="1"/>
  <c r="B971" i="1"/>
  <c r="B972" i="1"/>
  <c r="B973" i="1"/>
  <c r="B974" i="1"/>
  <c r="B975" i="1"/>
  <c r="B976" i="1"/>
  <c r="B977" i="1"/>
  <c r="B978" i="1"/>
  <c r="B979" i="1"/>
  <c r="B980" i="1"/>
  <c r="B982" i="1"/>
  <c r="B983" i="1"/>
  <c r="B984" i="1"/>
  <c r="B985" i="1"/>
  <c r="B986" i="1"/>
  <c r="B987" i="1"/>
  <c r="B988" i="1"/>
  <c r="B989" i="1"/>
  <c r="B990" i="1"/>
  <c r="B991" i="1"/>
  <c r="B992" i="1"/>
  <c r="B993" i="1"/>
  <c r="B994" i="1"/>
  <c r="B995" i="1"/>
  <c r="B996" i="1"/>
  <c r="B997" i="1"/>
  <c r="B998" i="1"/>
  <c r="B999" i="1"/>
  <c r="B1038" i="1"/>
  <c r="B1037" i="1"/>
  <c r="B1033" i="1"/>
  <c r="B1035" i="1"/>
  <c r="B1034" i="1"/>
  <c r="B1036" i="1"/>
  <c r="B1030" i="1"/>
  <c r="B1012" i="1"/>
  <c r="B1031" i="1"/>
  <c r="B1022" i="1"/>
  <c r="B1023" i="1"/>
  <c r="B1026" i="1"/>
  <c r="B1032" i="1"/>
  <c r="B1029" i="1"/>
  <c r="B1028" i="1"/>
  <c r="B1024" i="1"/>
  <c r="B1027" i="1"/>
  <c r="B1025" i="1"/>
  <c r="B1014" i="1"/>
  <c r="B1019" i="1"/>
  <c r="B1015" i="1"/>
  <c r="B1020" i="1"/>
  <c r="B1018" i="1"/>
  <c r="B1016" i="1"/>
  <c r="B1017" i="1"/>
  <c r="B1021" i="1"/>
  <c r="B1013" i="1"/>
  <c r="B1043" i="1"/>
  <c r="B1050" i="1"/>
  <c r="B1040" i="1"/>
  <c r="B1041" i="1"/>
  <c r="B1047" i="1"/>
  <c r="B1044" i="1"/>
  <c r="B1042" i="1"/>
  <c r="B1067" i="1"/>
  <c r="B1039" i="1"/>
  <c r="B1045" i="1"/>
  <c r="B1064" i="1"/>
  <c r="B1048" i="1"/>
  <c r="B1066" i="1"/>
  <c r="B1053" i="1"/>
  <c r="B1046" i="1"/>
  <c r="B1049" i="1"/>
  <c r="B1062" i="1"/>
  <c r="B1061" i="1"/>
  <c r="B1065" i="1"/>
  <c r="B1063" i="1"/>
  <c r="B1051" i="1"/>
  <c r="B1052" i="1"/>
  <c r="B1054" i="1"/>
  <c r="B1055" i="1"/>
  <c r="B1056" i="1"/>
  <c r="B1057" i="1"/>
  <c r="B1058" i="1"/>
  <c r="B1059" i="1"/>
  <c r="B1060" i="1"/>
  <c r="B1089" i="1"/>
  <c r="B1090" i="1"/>
  <c r="B1086" i="1"/>
  <c r="B1076" i="1"/>
  <c r="B1091" i="1"/>
  <c r="B1092" i="1"/>
  <c r="B1083" i="1"/>
  <c r="B1077" i="1"/>
  <c r="B1093" i="1"/>
  <c r="B1094" i="1"/>
  <c r="B1078" i="1"/>
  <c r="B1079" i="1"/>
  <c r="B1080" i="1"/>
  <c r="B1095" i="1"/>
  <c r="B1096" i="1"/>
  <c r="B1081" i="1"/>
  <c r="B1082" i="1"/>
  <c r="B1084" i="1"/>
  <c r="B1085" i="1"/>
  <c r="B1087" i="1"/>
  <c r="B1097" i="1"/>
  <c r="B1088" i="1"/>
  <c r="B1068" i="1"/>
  <c r="B1069" i="1"/>
  <c r="B1070" i="1"/>
  <c r="B1071" i="1"/>
  <c r="B1099" i="1"/>
  <c r="B1072" i="1"/>
  <c r="B1073" i="1"/>
  <c r="B1100" i="1"/>
  <c r="B1074" i="1"/>
  <c r="B1075" i="1"/>
  <c r="B1102" i="1"/>
  <c r="B1103" i="1"/>
  <c r="B1104" i="1"/>
  <c r="B1105" i="1"/>
  <c r="B1106" i="1"/>
  <c r="B1107" i="1"/>
  <c r="B1108" i="1"/>
  <c r="B1109" i="1"/>
  <c r="B1101" i="1"/>
  <c r="B1121" i="1"/>
  <c r="B1110" i="1"/>
  <c r="B1120" i="1"/>
  <c r="B1123" i="1"/>
  <c r="B1118" i="1"/>
  <c r="B1122" i="1"/>
  <c r="B1117" i="1"/>
  <c r="B1116" i="1"/>
  <c r="B1113" i="1"/>
  <c r="B1114" i="1"/>
  <c r="B1115" i="1"/>
  <c r="B1112" i="1"/>
  <c r="B1111" i="1"/>
  <c r="B1124" i="1"/>
  <c r="B1125" i="1"/>
  <c r="B1126" i="1"/>
  <c r="B1127" i="1"/>
  <c r="B1128" i="1"/>
  <c r="B1129" i="1"/>
  <c r="B1130" i="1"/>
  <c r="B1131" i="1"/>
  <c r="B1132" i="1"/>
  <c r="B1142" i="1"/>
  <c r="B1143" i="1"/>
  <c r="B1144" i="1"/>
  <c r="B1133" i="1"/>
  <c r="B1134" i="1"/>
  <c r="B1135" i="1"/>
  <c r="B1136" i="1"/>
  <c r="B1137" i="1"/>
  <c r="B1138" i="1"/>
  <c r="B1139" i="1"/>
  <c r="B1140" i="1"/>
  <c r="B1141" i="1"/>
  <c r="B1145" i="1"/>
  <c r="B1146" i="1"/>
  <c r="B1147" i="1"/>
  <c r="B1154" i="1"/>
  <c r="B1172" i="1"/>
  <c r="B1155" i="1"/>
  <c r="B1156" i="1"/>
  <c r="B1165" i="1"/>
  <c r="B1157" i="1"/>
  <c r="B1167" i="1"/>
  <c r="B1158" i="1"/>
  <c r="B1159" i="1"/>
  <c r="B1169" i="1"/>
  <c r="B1190" i="1"/>
  <c r="B1170" i="1"/>
  <c r="B1173" i="1"/>
  <c r="B1160" i="1"/>
  <c r="B1174" i="1"/>
  <c r="B1175" i="1"/>
  <c r="B1153" i="1"/>
  <c r="B1166" i="1"/>
  <c r="B1168" i="1"/>
  <c r="B1161" i="1"/>
  <c r="B1176" i="1"/>
  <c r="B1162" i="1"/>
  <c r="B1177" i="1"/>
  <c r="B1163" i="1"/>
  <c r="B1171" i="1"/>
  <c r="B1164" i="1"/>
  <c r="B1178" i="1"/>
  <c r="B1148" i="1"/>
  <c r="B1149" i="1"/>
  <c r="B1150" i="1"/>
  <c r="B1151" i="1"/>
  <c r="B1152" i="1"/>
  <c r="B1179" i="1"/>
  <c r="B1180" i="1"/>
  <c r="B1181" i="1"/>
  <c r="B1182" i="1"/>
  <c r="B1183" i="1"/>
  <c r="B1184" i="1"/>
  <c r="B1185" i="1"/>
  <c r="B1186" i="1"/>
  <c r="B1187" i="1"/>
  <c r="B1188" i="1"/>
  <c r="B1189" i="1"/>
  <c r="B1191" i="1"/>
  <c r="B1192" i="1"/>
  <c r="B1193" i="1"/>
  <c r="B1194" i="1"/>
  <c r="B1195" i="1"/>
  <c r="B1199" i="1"/>
  <c r="B1196" i="1"/>
  <c r="B1197" i="1"/>
  <c r="B1198" i="1"/>
  <c r="B1200" i="1"/>
  <c r="B1201" i="1"/>
  <c r="B1202" i="1"/>
  <c r="B1203" i="1"/>
  <c r="B1204" i="1"/>
  <c r="B1205" i="1"/>
  <c r="B1206" i="1"/>
  <c r="B1213" i="1"/>
  <c r="B1212" i="1"/>
  <c r="B1207" i="1"/>
  <c r="B1208" i="1"/>
  <c r="B1214" i="1"/>
  <c r="B1215" i="1"/>
  <c r="B1216" i="1"/>
  <c r="B1209" i="1"/>
  <c r="B1210" i="1"/>
  <c r="B1226" i="1"/>
  <c r="B1211" i="1"/>
  <c r="B1222" i="1"/>
  <c r="B1220" i="1"/>
  <c r="B1218" i="1"/>
  <c r="B1219" i="1"/>
  <c r="B1217" i="1"/>
  <c r="B1221" i="1"/>
  <c r="B1223" i="1"/>
  <c r="B1224" i="1"/>
  <c r="B1225" i="1"/>
  <c r="B1234" i="1"/>
  <c r="B1230" i="1"/>
  <c r="B1241" i="1"/>
  <c r="B1238" i="1"/>
  <c r="B1239" i="1"/>
  <c r="B1237" i="1"/>
  <c r="B1240" i="1"/>
  <c r="B1231" i="1"/>
  <c r="B1229" i="1"/>
  <c r="B1232" i="1"/>
  <c r="B1233" i="1"/>
  <c r="B1228" i="1"/>
  <c r="B1235" i="1"/>
  <c r="B1236" i="1"/>
  <c r="B1227" i="1"/>
  <c r="B1255" i="1"/>
  <c r="B1246" i="1"/>
  <c r="B1247" i="1"/>
  <c r="B1244" i="1"/>
  <c r="B1243" i="1"/>
  <c r="B1256" i="1"/>
  <c r="B1254" i="1"/>
  <c r="B1245" i="1"/>
  <c r="B1242" i="1"/>
  <c r="B1248" i="1"/>
  <c r="B1249" i="1"/>
  <c r="B1250" i="1"/>
  <c r="B1251" i="1"/>
  <c r="B1252" i="1"/>
  <c r="B1253" i="1"/>
  <c r="B1258" i="1"/>
  <c r="B1259" i="1"/>
  <c r="B1268" i="1"/>
  <c r="B1260" i="1"/>
  <c r="B1261" i="1"/>
  <c r="B1262" i="1"/>
  <c r="B1257" i="1"/>
  <c r="B1263" i="1"/>
  <c r="B1264" i="1"/>
  <c r="B1269" i="1"/>
  <c r="B1265" i="1"/>
  <c r="B1266" i="1"/>
  <c r="B1267" i="1"/>
  <c r="B14" i="1"/>
  <c r="AE1055" i="1"/>
  <c r="AE1091" i="1"/>
  <c r="AE1121" i="1"/>
  <c r="AE1110" i="1"/>
  <c r="AE1120" i="1"/>
  <c r="AE1118" i="1"/>
  <c r="AE1122" i="1"/>
  <c r="AE1117" i="1"/>
  <c r="AE1116" i="1"/>
  <c r="AE1113" i="1"/>
  <c r="AE1114" i="1"/>
  <c r="AE1115" i="1"/>
  <c r="AE1112" i="1"/>
  <c r="AE1119" i="1"/>
  <c r="AE1111" i="1"/>
  <c r="AE509" i="1"/>
  <c r="AE510" i="1"/>
  <c r="AE511" i="1"/>
  <c r="AE507" i="1"/>
  <c r="AE506" i="1"/>
  <c r="AE508" i="1"/>
  <c r="AE505" i="1"/>
  <c r="AE512" i="1"/>
  <c r="AE513" i="1"/>
  <c r="AE544" i="1"/>
  <c r="AE545" i="1"/>
  <c r="AE537" i="1"/>
  <c r="AE579" i="1"/>
  <c r="AE580" i="1"/>
  <c r="AE589" i="1"/>
  <c r="AE590" i="1"/>
  <c r="AE640" i="1"/>
  <c r="AE638" i="1"/>
  <c r="AE639" i="1"/>
  <c r="AE641" i="1"/>
  <c r="AE650" i="1"/>
  <c r="AE647" i="1"/>
  <c r="AE651" i="1"/>
  <c r="AE652" i="1"/>
  <c r="AE648" i="1"/>
  <c r="AE649" i="1"/>
  <c r="AE642" i="1"/>
  <c r="AE643" i="1"/>
  <c r="AE645" i="1"/>
  <c r="AE654" i="1"/>
  <c r="AE656" i="1"/>
  <c r="AE657" i="1"/>
  <c r="AE658" i="1"/>
  <c r="AE646" i="1"/>
  <c r="AE655" i="1"/>
  <c r="AE659" i="1"/>
  <c r="AE653" i="1"/>
  <c r="AE644" i="1"/>
  <c r="AE661" i="1"/>
  <c r="AE723" i="1"/>
  <c r="AE726" i="1"/>
  <c r="AE727" i="1"/>
  <c r="AE736" i="1"/>
  <c r="AE787" i="1"/>
  <c r="AE756" i="1"/>
  <c r="AE755" i="1"/>
  <c r="AE749" i="1"/>
  <c r="AE747" i="1"/>
  <c r="AE742" i="1"/>
  <c r="AE748" i="1"/>
  <c r="AE757" i="1"/>
  <c r="AE750" i="1"/>
  <c r="AE761" i="1"/>
  <c r="AE751" i="1"/>
  <c r="AE753" i="1"/>
  <c r="AE743" i="1"/>
  <c r="AE745" i="1"/>
  <c r="AE737" i="1"/>
  <c r="AE752" i="1"/>
  <c r="AE744" i="1"/>
  <c r="AE759" i="1"/>
  <c r="AE740" i="1"/>
  <c r="AE741" i="1"/>
  <c r="AE758" i="1"/>
  <c r="AE760" i="1"/>
  <c r="AE754" i="1"/>
  <c r="AE738" i="1"/>
  <c r="AE739" i="1"/>
  <c r="AE762" i="1"/>
  <c r="AE763" i="1"/>
  <c r="AE764" i="1"/>
  <c r="AE765" i="1"/>
  <c r="AE766" i="1"/>
  <c r="AE767" i="1"/>
  <c r="AE768" i="1"/>
  <c r="AE769" i="1"/>
  <c r="AE770" i="1"/>
  <c r="AE771" i="1"/>
  <c r="AE772" i="1"/>
  <c r="AE773" i="1"/>
  <c r="AE774" i="1"/>
  <c r="AE775" i="1"/>
  <c r="AE776" i="1"/>
  <c r="AE777" i="1"/>
  <c r="AE778" i="1"/>
  <c r="AE779" i="1"/>
  <c r="AE780" i="1"/>
  <c r="AE781" i="1"/>
  <c r="AE782" i="1"/>
  <c r="AE783" i="1"/>
  <c r="AE784" i="1"/>
  <c r="AE785" i="1"/>
  <c r="AE746" i="1"/>
  <c r="AE786" i="1"/>
  <c r="AE795" i="1"/>
  <c r="AE834" i="1"/>
  <c r="AE802" i="1"/>
  <c r="AE796" i="1"/>
  <c r="AE811" i="1"/>
  <c r="AE828" i="1"/>
  <c r="AE813" i="1"/>
  <c r="AE797" i="1"/>
  <c r="AE824" i="1"/>
  <c r="AE825" i="1"/>
  <c r="AE829" i="1"/>
  <c r="AE839" i="1"/>
  <c r="AE820" i="1"/>
  <c r="AE826" i="1"/>
  <c r="AE819" i="1"/>
  <c r="AE812" i="1"/>
  <c r="AE798" i="1"/>
  <c r="AE799" i="1"/>
  <c r="AE835" i="1"/>
  <c r="AE830" i="1"/>
  <c r="AE814" i="1"/>
  <c r="AE800" i="1"/>
  <c r="AE836" i="1"/>
  <c r="AE837" i="1"/>
  <c r="AE815" i="1"/>
  <c r="AE821" i="1"/>
  <c r="AE817" i="1"/>
  <c r="AE818" i="1"/>
  <c r="AE823" i="1"/>
  <c r="AE803" i="1"/>
  <c r="AE801" i="1"/>
  <c r="AE790" i="1"/>
  <c r="AE792" i="1"/>
  <c r="AE822" i="1"/>
  <c r="AE793" i="1"/>
  <c r="AE816" i="1"/>
  <c r="AE831" i="1"/>
  <c r="AE838" i="1"/>
  <c r="AE832" i="1"/>
  <c r="AE804" i="1"/>
  <c r="AE827" i="1"/>
  <c r="AE794" i="1"/>
  <c r="AE791" i="1"/>
  <c r="AE833" i="1"/>
  <c r="AE805" i="1"/>
  <c r="AE806" i="1"/>
  <c r="AE807" i="1"/>
  <c r="AE808" i="1"/>
  <c r="AE809" i="1"/>
  <c r="AE810" i="1"/>
  <c r="AE788" i="1"/>
  <c r="AE789" i="1"/>
  <c r="AE840" i="1"/>
  <c r="AE841" i="1"/>
  <c r="AB1013" i="1"/>
  <c r="AE1013" i="1" s="1"/>
  <c r="AB1014" i="1"/>
  <c r="AB1032" i="1"/>
  <c r="AB1029" i="1"/>
  <c r="AB1028" i="1"/>
  <c r="AE1028" i="1" s="1"/>
  <c r="AB1023" i="1"/>
  <c r="AB1012" i="1"/>
  <c r="AB1035" i="1"/>
  <c r="AB1034" i="1"/>
  <c r="AB1036" i="1"/>
  <c r="AB998" i="1"/>
  <c r="AB990" i="1"/>
  <c r="AB991" i="1"/>
  <c r="AB993" i="1"/>
  <c r="AB994" i="1"/>
  <c r="AB995" i="1"/>
  <c r="AB996" i="1"/>
  <c r="AE996" i="1" s="1"/>
  <c r="AB988" i="1"/>
  <c r="AB984" i="1"/>
  <c r="AB986" i="1"/>
  <c r="AB978" i="1"/>
  <c r="AB979" i="1"/>
  <c r="AE979" i="1" s="1"/>
  <c r="AB972" i="1"/>
  <c r="AB973" i="1"/>
  <c r="AB974" i="1"/>
  <c r="AB975" i="1"/>
  <c r="AB967" i="1"/>
  <c r="AB968" i="1"/>
  <c r="AB969" i="1"/>
  <c r="AB970" i="1"/>
  <c r="AB964" i="1"/>
  <c r="AB965" i="1"/>
  <c r="AE965" i="1" s="1"/>
  <c r="AB956" i="1"/>
  <c r="AB1011" i="1"/>
  <c r="AB954" i="1"/>
  <c r="AE954" i="1" s="1"/>
  <c r="AB1001" i="1"/>
  <c r="AB951" i="1"/>
  <c r="AB945" i="1"/>
  <c r="AB1002" i="1"/>
  <c r="AB955" i="1"/>
  <c r="AB962" i="1"/>
  <c r="AB1004" i="1"/>
  <c r="AB950" i="1"/>
  <c r="AE950" i="1" s="1"/>
  <c r="AB1008" i="1"/>
  <c r="AB939" i="1"/>
  <c r="AB949" i="1"/>
  <c r="AB958" i="1"/>
  <c r="AB960" i="1"/>
  <c r="AB959" i="1"/>
  <c r="AB1003" i="1"/>
  <c r="AB1000" i="1"/>
  <c r="AE1000" i="1" s="1"/>
  <c r="AB1007" i="1"/>
  <c r="AB957" i="1"/>
  <c r="AB1010" i="1"/>
  <c r="AB948" i="1"/>
  <c r="AB940" i="1"/>
  <c r="AB941" i="1"/>
  <c r="AB952" i="1"/>
  <c r="AB1006" i="1"/>
  <c r="AB885" i="1"/>
  <c r="AE885" i="1" s="1"/>
  <c r="AB851" i="1"/>
  <c r="AE851" i="1" s="1"/>
  <c r="AB861" i="1"/>
  <c r="AE861" i="1" s="1"/>
  <c r="AB849" i="1"/>
  <c r="AE849" i="1" s="1"/>
  <c r="AB878" i="1"/>
  <c r="AE878" i="1" s="1"/>
  <c r="AB848" i="1"/>
  <c r="AE848" i="1" s="1"/>
  <c r="AB852" i="1"/>
  <c r="AE852" i="1" s="1"/>
  <c r="AB854" i="1"/>
  <c r="AE854" i="1" s="1"/>
  <c r="AB873" i="1"/>
  <c r="AB850" i="1"/>
  <c r="AE850" i="1" s="1"/>
  <c r="AB853" i="1"/>
  <c r="AE853" i="1" s="1"/>
  <c r="AB847" i="1"/>
  <c r="AE847" i="1" s="1"/>
  <c r="AB884" i="1"/>
  <c r="AE884" i="1" s="1"/>
  <c r="AB844" i="1"/>
  <c r="AB845" i="1"/>
  <c r="AB899" i="1"/>
  <c r="AE899" i="1" s="1"/>
  <c r="AB935" i="1"/>
  <c r="AE935" i="1" s="1"/>
  <c r="AB891" i="1"/>
  <c r="AE891" i="1" s="1"/>
  <c r="AB918" i="1"/>
  <c r="AE918" i="1" s="1"/>
  <c r="AB896" i="1"/>
  <c r="AB929" i="1"/>
  <c r="AE929" i="1" s="1"/>
  <c r="AB927" i="1"/>
  <c r="AE927" i="1" s="1"/>
  <c r="AB904" i="1"/>
  <c r="AE904" i="1" s="1"/>
  <c r="AB895" i="1"/>
  <c r="AE895" i="1" s="1"/>
  <c r="AB906" i="1"/>
  <c r="AB901" i="1"/>
  <c r="AE901" i="1" s="1"/>
  <c r="AB909" i="1"/>
  <c r="AB908" i="1"/>
  <c r="AE908" i="1" s="1"/>
  <c r="AB912" i="1"/>
  <c r="AE912" i="1" s="1"/>
  <c r="AB903" i="1"/>
  <c r="AB924" i="1"/>
  <c r="AB894" i="1"/>
  <c r="AE894" i="1" s="1"/>
  <c r="AB911" i="1"/>
  <c r="AE911" i="1" s="1"/>
  <c r="AB934" i="1"/>
  <c r="AE934" i="1" s="1"/>
  <c r="AB893" i="1"/>
  <c r="AE893" i="1" s="1"/>
  <c r="AB667" i="1"/>
  <c r="AE667" i="1" s="1"/>
  <c r="AB673" i="1"/>
  <c r="AE673" i="1" s="1"/>
  <c r="AB675" i="1"/>
  <c r="AE675" i="1" s="1"/>
  <c r="AB676" i="1"/>
  <c r="AE676" i="1" s="1"/>
  <c r="AB614" i="1"/>
  <c r="AE614" i="1" s="1"/>
  <c r="AB615" i="1"/>
  <c r="AE615" i="1" s="1"/>
  <c r="AB619" i="1"/>
  <c r="AB604" i="1"/>
  <c r="AE604" i="1" s="1"/>
  <c r="AB605" i="1"/>
  <c r="AE605" i="1" s="1"/>
  <c r="AB610" i="1"/>
  <c r="AE610" i="1" s="1"/>
  <c r="AB600" i="1"/>
  <c r="AE600" i="1" s="1"/>
  <c r="AB592" i="1"/>
  <c r="AE592" i="1" s="1"/>
  <c r="AB608" i="1"/>
  <c r="AE608" i="1" s="1"/>
  <c r="AB609" i="1"/>
  <c r="AE609" i="1" s="1"/>
  <c r="AB607" i="1"/>
  <c r="AE607" i="1" s="1"/>
  <c r="AB606" i="1"/>
  <c r="AE606" i="1" s="1"/>
  <c r="AB611" i="1"/>
  <c r="AE611" i="1" s="1"/>
  <c r="AB616" i="1"/>
  <c r="AE616" i="1" s="1"/>
  <c r="AB603" i="1"/>
  <c r="AE603" i="1" s="1"/>
  <c r="AB627" i="1"/>
  <c r="AE627" i="1" s="1"/>
  <c r="AB623" i="1"/>
  <c r="AE623" i="1" s="1"/>
  <c r="AB632" i="1"/>
  <c r="AE632" i="1" s="1"/>
  <c r="AB628" i="1"/>
  <c r="AE628" i="1" s="1"/>
  <c r="AB591" i="1"/>
  <c r="AE591" i="1" s="1"/>
  <c r="AB613" i="1"/>
  <c r="AE613" i="1" s="1"/>
  <c r="AB593" i="1"/>
  <c r="AE593" i="1" s="1"/>
  <c r="AB622" i="1"/>
  <c r="AE622" i="1" s="1"/>
  <c r="AB601" i="1"/>
  <c r="AE601" i="1" s="1"/>
  <c r="AB599" i="1"/>
  <c r="AE599" i="1" s="1"/>
  <c r="AB596" i="1"/>
  <c r="AE596" i="1" s="1"/>
  <c r="AB602" i="1"/>
  <c r="AE602" i="1" s="1"/>
  <c r="AB629" i="1"/>
  <c r="AE629" i="1" s="1"/>
  <c r="AB631" i="1"/>
  <c r="AE631" i="1" s="1"/>
  <c r="AB625" i="1"/>
  <c r="AE625" i="1" s="1"/>
  <c r="AB635" i="1"/>
  <c r="AB637" i="1"/>
  <c r="AB594" i="1"/>
  <c r="AE594" i="1" s="1"/>
  <c r="AB636" i="1"/>
  <c r="AE636" i="1" s="1"/>
  <c r="AB458" i="1"/>
  <c r="AE458" i="1" s="1"/>
  <c r="AB449" i="1"/>
  <c r="AE449" i="1" s="1"/>
  <c r="AB443" i="1"/>
  <c r="AE443" i="1" s="1"/>
  <c r="AB452" i="1"/>
  <c r="AE452" i="1" s="1"/>
  <c r="AB450" i="1"/>
  <c r="AE450" i="1" s="1"/>
  <c r="AB453" i="1"/>
  <c r="AE453" i="1" s="1"/>
  <c r="AB454" i="1"/>
  <c r="AE454" i="1" s="1"/>
  <c r="AB451" i="1"/>
  <c r="AE451" i="1" s="1"/>
  <c r="AB460" i="1"/>
  <c r="AE460" i="1" s="1"/>
  <c r="AB448" i="1"/>
  <c r="AE448" i="1" s="1"/>
  <c r="AB439" i="1"/>
  <c r="AE439" i="1" s="1"/>
  <c r="AB447" i="1"/>
  <c r="AE447" i="1" s="1"/>
  <c r="AB441" i="1"/>
  <c r="AE441" i="1" s="1"/>
  <c r="AB476" i="1"/>
  <c r="AE476" i="1" s="1"/>
  <c r="AB479" i="1"/>
  <c r="AE479" i="1" s="1"/>
  <c r="AB485" i="1"/>
  <c r="AE485" i="1" s="1"/>
  <c r="AB445" i="1"/>
  <c r="AE445" i="1" s="1"/>
  <c r="AB487" i="1"/>
  <c r="AE487" i="1" s="1"/>
  <c r="AB473" i="1"/>
  <c r="AE473" i="1" s="1"/>
  <c r="AB464" i="1"/>
  <c r="AE464" i="1" s="1"/>
  <c r="AB493" i="1"/>
  <c r="AE493" i="1" s="1"/>
  <c r="AB475" i="1"/>
  <c r="AE475" i="1" s="1"/>
  <c r="AB468" i="1"/>
  <c r="AE468" i="1" s="1"/>
  <c r="AB494" i="1"/>
  <c r="AE494" i="1" s="1"/>
  <c r="AB492" i="1"/>
  <c r="AE492" i="1" s="1"/>
  <c r="AB374" i="1"/>
  <c r="AE374" i="1" s="1"/>
  <c r="AB388" i="1"/>
  <c r="AE388" i="1" s="1"/>
  <c r="AB389" i="1"/>
  <c r="AE389" i="1" s="1"/>
  <c r="AE399" i="1"/>
  <c r="AE400" i="1"/>
  <c r="AE405" i="1"/>
  <c r="AE406" i="1"/>
  <c r="AB407" i="1"/>
  <c r="AE407" i="1" s="1"/>
  <c r="AE408" i="1"/>
  <c r="AE409" i="1"/>
  <c r="AB410" i="1"/>
  <c r="AE410" i="1" s="1"/>
  <c r="AB411" i="1"/>
  <c r="AE411" i="1" s="1"/>
  <c r="AB412" i="1"/>
  <c r="AE412" i="1" s="1"/>
  <c r="AB413" i="1"/>
  <c r="AE413" i="1" s="1"/>
  <c r="AB414" i="1"/>
  <c r="AE414" i="1" s="1"/>
  <c r="AB415" i="1"/>
  <c r="AE415" i="1" s="1"/>
  <c r="AB425" i="1"/>
  <c r="AE425" i="1" s="1"/>
  <c r="AB417" i="1"/>
  <c r="AB416" i="1"/>
  <c r="AE416" i="1" s="1"/>
  <c r="AB466" i="1"/>
  <c r="AE466" i="1" s="1"/>
  <c r="AB465" i="1"/>
  <c r="AE465" i="1" s="1"/>
  <c r="AB386" i="1"/>
  <c r="AE386" i="1" s="1"/>
  <c r="AB373" i="1"/>
  <c r="AE373" i="1" s="1"/>
  <c r="AB393" i="1"/>
  <c r="AE393" i="1" s="1"/>
  <c r="AB381" i="1"/>
  <c r="AE381" i="1" s="1"/>
  <c r="AB397" i="1"/>
  <c r="AE397" i="1" s="1"/>
  <c r="AB391" i="1"/>
  <c r="AE391" i="1" s="1"/>
  <c r="AB382" i="1"/>
  <c r="AE382" i="1" s="1"/>
  <c r="AB384" i="1"/>
  <c r="AE384" i="1" s="1"/>
  <c r="AB395" i="1"/>
  <c r="AE395" i="1" s="1"/>
  <c r="AB311" i="1"/>
  <c r="AE311" i="1" s="1"/>
  <c r="AB305" i="1"/>
  <c r="AE305" i="1" s="1"/>
  <c r="AB290" i="1"/>
  <c r="AE290" i="1" s="1"/>
  <c r="AB338" i="1"/>
  <c r="AE338" i="1" s="1"/>
  <c r="AB334" i="1"/>
  <c r="AE334" i="1" s="1"/>
  <c r="AB340" i="1"/>
  <c r="AE340" i="1" s="1"/>
  <c r="AB337" i="1"/>
  <c r="AE337" i="1" s="1"/>
  <c r="AB329" i="1"/>
  <c r="AE329" i="1" s="1"/>
  <c r="AB330" i="1"/>
  <c r="AE330" i="1" s="1"/>
  <c r="AB331" i="1"/>
  <c r="AE331" i="1" s="1"/>
  <c r="AB328" i="1"/>
  <c r="AE328" i="1" s="1"/>
  <c r="AB325" i="1"/>
  <c r="AE325" i="1" s="1"/>
  <c r="AB292" i="1"/>
  <c r="AE292" i="1" s="1"/>
  <c r="AB321" i="1"/>
  <c r="AE321" i="1" s="1"/>
  <c r="AB320" i="1"/>
  <c r="AE320" i="1" s="1"/>
  <c r="AB285" i="1"/>
  <c r="AE285" i="1" s="1"/>
  <c r="AB288" i="1"/>
  <c r="AE288" i="1" s="1"/>
  <c r="AB312" i="1"/>
  <c r="AE312" i="1" s="1"/>
  <c r="AB244" i="1"/>
  <c r="AE244" i="1" s="1"/>
  <c r="AB242" i="1"/>
  <c r="AE242" i="1" s="1"/>
  <c r="AE280" i="1"/>
  <c r="AB332" i="1"/>
  <c r="AB302" i="1"/>
  <c r="AE302" i="1" s="1"/>
  <c r="AB289" i="1"/>
  <c r="AE289" i="1" s="1"/>
  <c r="AB300" i="1"/>
  <c r="AB314" i="1"/>
  <c r="AE314" i="1" s="1"/>
  <c r="AB333" i="1"/>
  <c r="AE333" i="1" s="1"/>
  <c r="AB173" i="1"/>
  <c r="AE173" i="1" s="1"/>
  <c r="AB167" i="1"/>
  <c r="AB170" i="1"/>
  <c r="AE170" i="1" s="1"/>
  <c r="AB169" i="1"/>
  <c r="AE169" i="1" s="1"/>
  <c r="AB241" i="1"/>
  <c r="AE241" i="1" s="1"/>
  <c r="AB224" i="1"/>
  <c r="AE224" i="1" s="1"/>
  <c r="AB201" i="1"/>
  <c r="AE201" i="1" s="1"/>
  <c r="AB240" i="1"/>
  <c r="AE240" i="1" s="1"/>
  <c r="AB262" i="1"/>
  <c r="AE262" i="1" s="1"/>
  <c r="AB269" i="1"/>
  <c r="AB117" i="1"/>
  <c r="AE117" i="1" s="1"/>
  <c r="AB122" i="1"/>
  <c r="AE122" i="1" s="1"/>
  <c r="AB119" i="1"/>
  <c r="AE119" i="1" s="1"/>
  <c r="AB120" i="1"/>
  <c r="AE120" i="1" s="1"/>
  <c r="AB123" i="1"/>
  <c r="AE123" i="1" s="1"/>
  <c r="AB115" i="1"/>
  <c r="AE115" i="1" s="1"/>
  <c r="AB116" i="1"/>
  <c r="AE116" i="1" s="1"/>
  <c r="AB124" i="1"/>
  <c r="AE124" i="1" s="1"/>
  <c r="AB121" i="1"/>
  <c r="AE121" i="1" s="1"/>
  <c r="AB153" i="1"/>
  <c r="AE153" i="1" s="1"/>
  <c r="AB127" i="1"/>
  <c r="AE127" i="1" s="1"/>
  <c r="AB126" i="1"/>
  <c r="AE126" i="1" s="1"/>
  <c r="AB125" i="1"/>
  <c r="AE125" i="1" s="1"/>
  <c r="AB147" i="1"/>
  <c r="AE147" i="1" s="1"/>
  <c r="AB150" i="1"/>
  <c r="AE150" i="1" s="1"/>
  <c r="AB118" i="1"/>
  <c r="AE118" i="1" s="1"/>
  <c r="AB128" i="1"/>
  <c r="AE128" i="1" s="1"/>
  <c r="AB114" i="1"/>
  <c r="AE114" i="1" s="1"/>
  <c r="AB152" i="1"/>
  <c r="AE152" i="1" s="1"/>
  <c r="AB141" i="1"/>
  <c r="AE141" i="1" s="1"/>
  <c r="AB154" i="1"/>
  <c r="AB112" i="1"/>
  <c r="AE112" i="1" s="1"/>
  <c r="AB149" i="1"/>
  <c r="AB143" i="1"/>
  <c r="AB158" i="1"/>
  <c r="U137" i="1"/>
  <c r="A52" i="4"/>
  <c r="A51" i="4"/>
  <c r="A50" i="4"/>
  <c r="A49" i="4"/>
  <c r="A92" i="4"/>
  <c r="A91" i="4"/>
  <c r="A90" i="4"/>
  <c r="A89" i="4"/>
  <c r="S579" i="1"/>
  <c r="AA579" i="1" s="1"/>
  <c r="S580" i="1"/>
  <c r="AA580" i="1" s="1"/>
  <c r="S412" i="1"/>
  <c r="S413" i="1"/>
  <c r="AA413" i="1" s="1"/>
  <c r="S414" i="1"/>
  <c r="S415" i="1"/>
  <c r="S435" i="1"/>
  <c r="S419" i="1"/>
  <c r="S424" i="1"/>
  <c r="S432" i="1"/>
  <c r="S423" i="1"/>
  <c r="S436" i="1"/>
  <c r="S434" i="1"/>
  <c r="S433" i="1"/>
  <c r="S425" i="1"/>
  <c r="S426" i="1"/>
  <c r="S422" i="1"/>
  <c r="S420" i="1"/>
  <c r="S427" i="1"/>
  <c r="S429" i="1"/>
  <c r="S430" i="1"/>
  <c r="S421" i="1"/>
  <c r="S418" i="1"/>
  <c r="S416" i="1"/>
  <c r="S431" i="1"/>
  <c r="S100" i="1"/>
  <c r="S98" i="1"/>
  <c r="S537" i="1"/>
  <c r="S1258" i="1"/>
  <c r="S1259" i="1"/>
  <c r="S1268" i="1"/>
  <c r="AD1268" i="1" s="1"/>
  <c r="S1260" i="1"/>
  <c r="AA1260" i="1" s="1"/>
  <c r="S1261" i="1"/>
  <c r="AA1261" i="1" s="1"/>
  <c r="S1262" i="1"/>
  <c r="AD1262" i="1" s="1"/>
  <c r="S1257" i="1"/>
  <c r="AD1257" i="1" s="1"/>
  <c r="S1263" i="1"/>
  <c r="AA1263" i="1" s="1"/>
  <c r="S1264" i="1"/>
  <c r="AD1264" i="1" s="1"/>
  <c r="S1269" i="1"/>
  <c r="AG1269" i="1" s="1"/>
  <c r="S1266" i="1"/>
  <c r="S1265" i="1"/>
  <c r="S1267" i="1"/>
  <c r="S1124" i="1"/>
  <c r="S1125" i="1"/>
  <c r="AD1125" i="1" s="1"/>
  <c r="S1126" i="1"/>
  <c r="AG1126" i="1" s="1"/>
  <c r="S1127" i="1"/>
  <c r="AG1127" i="1" s="1"/>
  <c r="S1128" i="1"/>
  <c r="AD1128" i="1" s="1"/>
  <c r="S1129" i="1"/>
  <c r="AG1129" i="1" s="1"/>
  <c r="S1130" i="1"/>
  <c r="AA1130" i="1" s="1"/>
  <c r="S1131" i="1"/>
  <c r="AA1131" i="1" s="1"/>
  <c r="S1132" i="1"/>
  <c r="AD1132" i="1" s="1"/>
  <c r="S1142" i="1"/>
  <c r="AD1142" i="1" s="1"/>
  <c r="S1143" i="1"/>
  <c r="AG1143" i="1" s="1"/>
  <c r="S1144" i="1"/>
  <c r="AG1144" i="1" s="1"/>
  <c r="S1138" i="1"/>
  <c r="S1141" i="1"/>
  <c r="S1133" i="1"/>
  <c r="S1139" i="1"/>
  <c r="S1135" i="1"/>
  <c r="S1137" i="1"/>
  <c r="S1136" i="1"/>
  <c r="S1140" i="1"/>
  <c r="S1134" i="1"/>
  <c r="S1147" i="1"/>
  <c r="S1145" i="1"/>
  <c r="S1146" i="1"/>
  <c r="S1154" i="1"/>
  <c r="S1172" i="1"/>
  <c r="S1155" i="1"/>
  <c r="S1156" i="1"/>
  <c r="S1165" i="1"/>
  <c r="S1157" i="1"/>
  <c r="S1167" i="1"/>
  <c r="S1158" i="1"/>
  <c r="S1159" i="1"/>
  <c r="S1169" i="1"/>
  <c r="S1190" i="1"/>
  <c r="S1170" i="1"/>
  <c r="S1173" i="1"/>
  <c r="S1160" i="1"/>
  <c r="S1174" i="1"/>
  <c r="S1175" i="1"/>
  <c r="S1153" i="1"/>
  <c r="AG1153" i="1" s="1"/>
  <c r="S1166" i="1"/>
  <c r="S1168" i="1"/>
  <c r="S1161" i="1"/>
  <c r="S1176" i="1"/>
  <c r="S1162" i="1"/>
  <c r="S1177" i="1"/>
  <c r="S1163" i="1"/>
  <c r="S1171" i="1"/>
  <c r="S1164" i="1"/>
  <c r="S1178" i="1"/>
  <c r="AG1178" i="1" s="1"/>
  <c r="S1148" i="1"/>
  <c r="AG1148" i="1" s="1"/>
  <c r="S1149" i="1"/>
  <c r="AG1149" i="1" s="1"/>
  <c r="S1150" i="1"/>
  <c r="AD1150" i="1" s="1"/>
  <c r="S1151" i="1"/>
  <c r="AA1151" i="1" s="1"/>
  <c r="S1152" i="1"/>
  <c r="AA1152" i="1" s="1"/>
  <c r="S1179" i="1"/>
  <c r="AA1179" i="1" s="1"/>
  <c r="S1180" i="1"/>
  <c r="AG1180" i="1" s="1"/>
  <c r="S1181" i="1"/>
  <c r="AD1181" i="1" s="1"/>
  <c r="S1182" i="1"/>
  <c r="AD1182" i="1" s="1"/>
  <c r="S1183" i="1"/>
  <c r="AG1183" i="1" s="1"/>
  <c r="S1184" i="1"/>
  <c r="AA1184" i="1" s="1"/>
  <c r="S1185" i="1"/>
  <c r="AG1185" i="1" s="1"/>
  <c r="S1186" i="1"/>
  <c r="AD1186" i="1" s="1"/>
  <c r="S1187" i="1"/>
  <c r="AG1187" i="1" s="1"/>
  <c r="S1188" i="1"/>
  <c r="AG1188" i="1" s="1"/>
  <c r="S1189" i="1"/>
  <c r="AD1189" i="1" s="1"/>
  <c r="S1191" i="1"/>
  <c r="AG1191" i="1" s="1"/>
  <c r="S1192" i="1"/>
  <c r="S1193" i="1"/>
  <c r="S1194" i="1"/>
  <c r="S1195" i="1"/>
  <c r="AG1195" i="1" s="1"/>
  <c r="S1199" i="1"/>
  <c r="S1196" i="1"/>
  <c r="S1197" i="1"/>
  <c r="S1198" i="1"/>
  <c r="AD1201" i="1"/>
  <c r="AA1202" i="1"/>
  <c r="AG1203" i="1"/>
  <c r="AG1204" i="1"/>
  <c r="S1213" i="1"/>
  <c r="S1212" i="1"/>
  <c r="AG1212" i="1" s="1"/>
  <c r="S1207" i="1"/>
  <c r="AD1207" i="1" s="1"/>
  <c r="S1208" i="1"/>
  <c r="AG1208" i="1" s="1"/>
  <c r="S1214" i="1"/>
  <c r="AA1214" i="1" s="1"/>
  <c r="S1215" i="1"/>
  <c r="AD1215" i="1" s="1"/>
  <c r="S1216" i="1"/>
  <c r="AA1216" i="1" s="1"/>
  <c r="S1209" i="1"/>
  <c r="AG1209" i="1" s="1"/>
  <c r="S1210" i="1"/>
  <c r="AG1210" i="1" s="1"/>
  <c r="S1226" i="1"/>
  <c r="AG1226" i="1" s="1"/>
  <c r="S1211" i="1"/>
  <c r="AG1211" i="1" s="1"/>
  <c r="S1220" i="1"/>
  <c r="S1219" i="1"/>
  <c r="S1222" i="1"/>
  <c r="S1218" i="1"/>
  <c r="S1224" i="1"/>
  <c r="S1217" i="1"/>
  <c r="S1223" i="1"/>
  <c r="S1221" i="1"/>
  <c r="S1089" i="1"/>
  <c r="S1090" i="1"/>
  <c r="S1086" i="1"/>
  <c r="S1076" i="1"/>
  <c r="S1091" i="1"/>
  <c r="S1092" i="1"/>
  <c r="S1083" i="1"/>
  <c r="S1077" i="1"/>
  <c r="S1093" i="1"/>
  <c r="S1094" i="1"/>
  <c r="S1078" i="1"/>
  <c r="S1079" i="1"/>
  <c r="S1080" i="1"/>
  <c r="S1095" i="1"/>
  <c r="S1096" i="1"/>
  <c r="S1081" i="1"/>
  <c r="S1082" i="1"/>
  <c r="S1084" i="1"/>
  <c r="S1085" i="1"/>
  <c r="S1087" i="1"/>
  <c r="S1097" i="1"/>
  <c r="S1088" i="1"/>
  <c r="S1068" i="1"/>
  <c r="AA1068" i="1" s="1"/>
  <c r="S1069" i="1"/>
  <c r="AA1069" i="1" s="1"/>
  <c r="S1070" i="1"/>
  <c r="S1071" i="1"/>
  <c r="AA1071" i="1" s="1"/>
  <c r="S1099" i="1"/>
  <c r="AA1099" i="1" s="1"/>
  <c r="S1072" i="1"/>
  <c r="S1073" i="1"/>
  <c r="AA1073" i="1" s="1"/>
  <c r="S1100" i="1"/>
  <c r="S1074" i="1"/>
  <c r="AA1074" i="1" s="1"/>
  <c r="S1075" i="1"/>
  <c r="S1102" i="1"/>
  <c r="AA1102" i="1" s="1"/>
  <c r="S1103" i="1"/>
  <c r="S1104" i="1"/>
  <c r="S1105" i="1"/>
  <c r="S1106" i="1"/>
  <c r="AA1106" i="1" s="1"/>
  <c r="S1107" i="1"/>
  <c r="AA1107" i="1" s="1"/>
  <c r="S1108" i="1"/>
  <c r="AA1108" i="1" s="1"/>
  <c r="S1109" i="1"/>
  <c r="AA1109" i="1" s="1"/>
  <c r="S1101" i="1"/>
  <c r="S701" i="1"/>
  <c r="S704" i="1"/>
  <c r="S705" i="1"/>
  <c r="S702" i="1"/>
  <c r="S703" i="1"/>
  <c r="S697" i="1"/>
  <c r="S698" i="1"/>
  <c r="S699" i="1"/>
  <c r="AA699" i="1" s="1"/>
  <c r="S700" i="1"/>
  <c r="S706" i="1"/>
  <c r="AA706" i="1" s="1"/>
  <c r="S707" i="1"/>
  <c r="S708" i="1"/>
  <c r="AA708" i="1" s="1"/>
  <c r="S724" i="1"/>
  <c r="S725" i="1"/>
  <c r="S720" i="1"/>
  <c r="S719" i="1"/>
  <c r="S723" i="1"/>
  <c r="S721" i="1"/>
  <c r="S722" i="1"/>
  <c r="S726" i="1"/>
  <c r="S710" i="1"/>
  <c r="AA710" i="1" s="1"/>
  <c r="S711" i="1"/>
  <c r="AD711" i="1" s="1"/>
  <c r="S712" i="1"/>
  <c r="S713" i="1"/>
  <c r="S714" i="1"/>
  <c r="S715" i="1"/>
  <c r="S716" i="1"/>
  <c r="S717" i="1"/>
  <c r="AA717" i="1" s="1"/>
  <c r="S718" i="1"/>
  <c r="S730" i="1"/>
  <c r="S729" i="1"/>
  <c r="S727" i="1"/>
  <c r="AA727" i="1" s="1"/>
  <c r="S728" i="1"/>
  <c r="AD728" i="1" s="1"/>
  <c r="S731" i="1"/>
  <c r="S732" i="1"/>
  <c r="S733" i="1"/>
  <c r="AD733" i="1" s="1"/>
  <c r="S734" i="1"/>
  <c r="AA734" i="1" s="1"/>
  <c r="S735" i="1"/>
  <c r="S640" i="1"/>
  <c r="S638" i="1"/>
  <c r="S639" i="1"/>
  <c r="S641" i="1"/>
  <c r="S650" i="1"/>
  <c r="S647" i="1"/>
  <c r="S651" i="1"/>
  <c r="S652" i="1"/>
  <c r="S648" i="1"/>
  <c r="S649" i="1"/>
  <c r="S642" i="1"/>
  <c r="AD642" i="1" s="1"/>
  <c r="S643" i="1"/>
  <c r="AD643" i="1" s="1"/>
  <c r="S645" i="1"/>
  <c r="AD645" i="1" s="1"/>
  <c r="S654" i="1"/>
  <c r="AD654" i="1" s="1"/>
  <c r="S656" i="1"/>
  <c r="S657" i="1"/>
  <c r="S658" i="1"/>
  <c r="AA658" i="1" s="1"/>
  <c r="S660" i="1"/>
  <c r="AA660" i="1" s="1"/>
  <c r="S646" i="1"/>
  <c r="AA646" i="1" s="1"/>
  <c r="S655" i="1"/>
  <c r="S659" i="1"/>
  <c r="S653" i="1"/>
  <c r="S644" i="1"/>
  <c r="AD644" i="1" s="1"/>
  <c r="S661" i="1"/>
  <c r="S663" i="1"/>
  <c r="S664" i="1"/>
  <c r="S662" i="1"/>
  <c r="AD662" i="1" s="1"/>
  <c r="S665" i="1"/>
  <c r="AA665" i="1" s="1"/>
  <c r="S584" i="1"/>
  <c r="S585" i="1"/>
  <c r="S581" i="1"/>
  <c r="AA581" i="1" s="1"/>
  <c r="S582" i="1"/>
  <c r="AA582" i="1" s="1"/>
  <c r="S583" i="1"/>
  <c r="S586" i="1"/>
  <c r="AD586" i="1" s="1"/>
  <c r="S587" i="1"/>
  <c r="AD587" i="1" s="1"/>
  <c r="S589" i="1"/>
  <c r="AA589" i="1" s="1"/>
  <c r="S590" i="1"/>
  <c r="AD590" i="1" s="1"/>
  <c r="S502" i="1"/>
  <c r="S501" i="1"/>
  <c r="S500" i="1"/>
  <c r="S497" i="1"/>
  <c r="S498" i="1"/>
  <c r="AD498" i="1" s="1"/>
  <c r="S499" i="1"/>
  <c r="AA499" i="1" s="1"/>
  <c r="S503" i="1"/>
  <c r="AD503" i="1" s="1"/>
  <c r="S504" i="1"/>
  <c r="AD504" i="1" s="1"/>
  <c r="AA505" i="1"/>
  <c r="AA513" i="1"/>
  <c r="S523" i="1"/>
  <c r="S526" i="1"/>
  <c r="S530" i="1"/>
  <c r="S531" i="1"/>
  <c r="S532" i="1"/>
  <c r="S519" i="1"/>
  <c r="S520" i="1"/>
  <c r="S547" i="1"/>
  <c r="S524" i="1"/>
  <c r="S525" i="1"/>
  <c r="S527" i="1"/>
  <c r="S533" i="1"/>
  <c r="S548" i="1"/>
  <c r="S534" i="1"/>
  <c r="S521" i="1"/>
  <c r="S544" i="1"/>
  <c r="S528" i="1"/>
  <c r="S522" i="1"/>
  <c r="S529" i="1"/>
  <c r="S535" i="1"/>
  <c r="S514" i="1"/>
  <c r="AA514" i="1" s="1"/>
  <c r="S515" i="1"/>
  <c r="S516" i="1"/>
  <c r="S517" i="1"/>
  <c r="AA517" i="1" s="1"/>
  <c r="S518" i="1"/>
  <c r="S536" i="1"/>
  <c r="AA536" i="1" s="1"/>
  <c r="S538" i="1"/>
  <c r="AA538" i="1" s="1"/>
  <c r="S539" i="1"/>
  <c r="S540" i="1"/>
  <c r="S541" i="1"/>
  <c r="AA541" i="1" s="1"/>
  <c r="S542" i="1"/>
  <c r="S543" i="1"/>
  <c r="AA543" i="1" s="1"/>
  <c r="S545" i="1"/>
  <c r="S546" i="1"/>
  <c r="S549" i="1"/>
  <c r="S550" i="1"/>
  <c r="S561" i="1"/>
  <c r="S562" i="1"/>
  <c r="S563" i="1"/>
  <c r="S565" i="1"/>
  <c r="S573" i="1"/>
  <c r="S566" i="1"/>
  <c r="S567" i="1"/>
  <c r="S568" i="1"/>
  <c r="S569" i="1"/>
  <c r="S570" i="1"/>
  <c r="S571" i="1"/>
  <c r="S552" i="1"/>
  <c r="S551" i="1"/>
  <c r="AD551" i="1" s="1"/>
  <c r="S553" i="1"/>
  <c r="S554" i="1"/>
  <c r="S555" i="1"/>
  <c r="S556" i="1"/>
  <c r="S557" i="1"/>
  <c r="S558" i="1"/>
  <c r="S559" i="1"/>
  <c r="AA559" i="1" s="1"/>
  <c r="S560" i="1"/>
  <c r="AD560" i="1" s="1"/>
  <c r="S564" i="1"/>
  <c r="S572" i="1"/>
  <c r="S574" i="1"/>
  <c r="AA574" i="1" s="1"/>
  <c r="S575" i="1"/>
  <c r="S576" i="1"/>
  <c r="AA576" i="1" s="1"/>
  <c r="S577" i="1"/>
  <c r="AA577" i="1" s="1"/>
  <c r="AA400" i="1"/>
  <c r="S402" i="1"/>
  <c r="S403" i="1"/>
  <c r="S404" i="1"/>
  <c r="S405" i="1"/>
  <c r="AA405" i="1" s="1"/>
  <c r="S401" i="1"/>
  <c r="S273" i="1"/>
  <c r="S279" i="1"/>
  <c r="S280" i="1"/>
  <c r="S274" i="1"/>
  <c r="S275" i="1"/>
  <c r="AA275" i="1" s="1"/>
  <c r="S276" i="1"/>
  <c r="AA276" i="1" s="1"/>
  <c r="S277" i="1"/>
  <c r="S278" i="1"/>
  <c r="S283" i="1"/>
  <c r="S282" i="1"/>
  <c r="S281" i="1"/>
  <c r="AA281" i="1" s="1"/>
  <c r="S284" i="1"/>
  <c r="S159" i="1"/>
  <c r="S164" i="1"/>
  <c r="S163" i="1"/>
  <c r="S162" i="1"/>
  <c r="S160" i="1"/>
  <c r="AG160" i="1" s="1"/>
  <c r="S161" i="1"/>
  <c r="AG161" i="1" s="1"/>
  <c r="S165" i="1"/>
  <c r="AA165" i="1" s="1"/>
  <c r="S166" i="1"/>
  <c r="AD166" i="1" s="1"/>
  <c r="AD97" i="1"/>
  <c r="S103" i="1"/>
  <c r="S101" i="1"/>
  <c r="S104" i="1"/>
  <c r="S102" i="1"/>
  <c r="S99" i="1"/>
  <c r="AA99" i="1" s="1"/>
  <c r="S105" i="1"/>
  <c r="AG105" i="1" s="1"/>
  <c r="S106" i="1"/>
  <c r="AG106" i="1" s="1"/>
  <c r="S108" i="1"/>
  <c r="S107" i="1"/>
  <c r="AA107" i="1" s="1"/>
  <c r="S109" i="1"/>
  <c r="AD109" i="1" s="1"/>
  <c r="S110" i="1"/>
  <c r="AA110" i="1" s="1"/>
  <c r="S111" i="1"/>
  <c r="AA111" i="1" s="1"/>
  <c r="S35" i="1"/>
  <c r="S33" i="1"/>
  <c r="AG33" i="1" s="1"/>
  <c r="S32" i="1"/>
  <c r="AA32" i="1" s="1"/>
  <c r="S34" i="1"/>
  <c r="AG34" i="1" s="1"/>
  <c r="S37" i="1"/>
  <c r="AG37" i="1" s="1"/>
  <c r="S38" i="1"/>
  <c r="AG38" i="1" s="1"/>
  <c r="S36" i="1"/>
  <c r="U537" i="1"/>
  <c r="U367" i="1"/>
  <c r="AO367" i="1" s="1"/>
  <c r="S367" i="1"/>
  <c r="U344" i="1"/>
  <c r="AO344" i="1" s="1"/>
  <c r="S344" i="1"/>
  <c r="S1121" i="1"/>
  <c r="AB1021" i="1"/>
  <c r="AB1017" i="1"/>
  <c r="AB1016" i="1"/>
  <c r="AB1018" i="1"/>
  <c r="AB1020" i="1"/>
  <c r="AB1015" i="1"/>
  <c r="AB1019" i="1"/>
  <c r="AB1025" i="1"/>
  <c r="AE1025" i="1" s="1"/>
  <c r="AB1027" i="1"/>
  <c r="AE1027" i="1" s="1"/>
  <c r="AB1024" i="1"/>
  <c r="AE1024" i="1" s="1"/>
  <c r="AB1026" i="1"/>
  <c r="AB1022" i="1"/>
  <c r="AB1031" i="1"/>
  <c r="AB1030" i="1"/>
  <c r="AB1033" i="1"/>
  <c r="AB1037" i="1"/>
  <c r="AB1038" i="1"/>
  <c r="AB999" i="1"/>
  <c r="AB997" i="1"/>
  <c r="AB989" i="1"/>
  <c r="AB987" i="1"/>
  <c r="AB983" i="1"/>
  <c r="AB982" i="1"/>
  <c r="AE982" i="1" s="1"/>
  <c r="AB980" i="1"/>
  <c r="AE980" i="1" s="1"/>
  <c r="AB977" i="1"/>
  <c r="AE977" i="1" s="1"/>
  <c r="AB976" i="1"/>
  <c r="AB971" i="1"/>
  <c r="AE971" i="1" s="1"/>
  <c r="AB966" i="1"/>
  <c r="AB963" i="1"/>
  <c r="AB947" i="1"/>
  <c r="AB943" i="1"/>
  <c r="AE943" i="1" s="1"/>
  <c r="AB1005" i="1"/>
  <c r="AE1005" i="1" s="1"/>
  <c r="AB944" i="1"/>
  <c r="AB942" i="1"/>
  <c r="AB961" i="1"/>
  <c r="AB953" i="1"/>
  <c r="AB1009" i="1"/>
  <c r="AB946" i="1"/>
  <c r="AB981" i="1"/>
  <c r="AB864" i="1"/>
  <c r="AB866" i="1"/>
  <c r="AB928" i="1"/>
  <c r="AB883" i="1"/>
  <c r="AE883" i="1" s="1"/>
  <c r="AB882" i="1"/>
  <c r="AB871" i="1"/>
  <c r="AB875" i="1"/>
  <c r="AB872" i="1"/>
  <c r="AB862" i="1"/>
  <c r="AB855" i="1"/>
  <c r="AE855" i="1" s="1"/>
  <c r="AB881" i="1"/>
  <c r="AE881" i="1" s="1"/>
  <c r="AB856" i="1"/>
  <c r="AE856" i="1" s="1"/>
  <c r="AB870" i="1"/>
  <c r="AE870" i="1" s="1"/>
  <c r="AB859" i="1"/>
  <c r="AE859" i="1" s="1"/>
  <c r="AB880" i="1"/>
  <c r="AE880" i="1" s="1"/>
  <c r="AB868" i="1"/>
  <c r="AE868" i="1" s="1"/>
  <c r="AB874" i="1"/>
  <c r="AB865" i="1"/>
  <c r="AE865" i="1" s="1"/>
  <c r="AB869" i="1"/>
  <c r="AB879" i="1"/>
  <c r="AE879" i="1" s="1"/>
  <c r="AB889" i="1"/>
  <c r="AE889" i="1" s="1"/>
  <c r="AB860" i="1"/>
  <c r="AE860" i="1" s="1"/>
  <c r="AB857" i="1"/>
  <c r="AE857" i="1" s="1"/>
  <c r="AB877" i="1"/>
  <c r="AE877" i="1" s="1"/>
  <c r="AB876" i="1"/>
  <c r="AB890" i="1"/>
  <c r="AE890" i="1" s="1"/>
  <c r="AB858" i="1"/>
  <c r="AE858" i="1" s="1"/>
  <c r="AB863" i="1"/>
  <c r="AB933" i="1"/>
  <c r="AB921" i="1"/>
  <c r="AB897" i="1"/>
  <c r="AB917" i="1"/>
  <c r="AB898" i="1"/>
  <c r="AB905" i="1"/>
  <c r="AB932" i="1"/>
  <c r="AB910" i="1"/>
  <c r="AB931" i="1"/>
  <c r="AB926" i="1"/>
  <c r="AB916" i="1"/>
  <c r="AB937" i="1"/>
  <c r="AE937" i="1" s="1"/>
  <c r="AB920" i="1"/>
  <c r="AB915" i="1"/>
  <c r="AB914" i="1"/>
  <c r="AE914" i="1" s="1"/>
  <c r="AB938" i="1"/>
  <c r="AB907" i="1"/>
  <c r="AE907" i="1" s="1"/>
  <c r="AB936" i="1"/>
  <c r="AE936" i="1" s="1"/>
  <c r="AB886" i="1"/>
  <c r="AB919" i="1"/>
  <c r="AB887" i="1"/>
  <c r="AB888" i="1"/>
  <c r="AB846" i="1"/>
  <c r="AB900" i="1"/>
  <c r="AB867" i="1"/>
  <c r="AE867" i="1" s="1"/>
  <c r="AB925" i="1"/>
  <c r="AE925" i="1" s="1"/>
  <c r="AB902" i="1"/>
  <c r="AE902" i="1" s="1"/>
  <c r="AB923" i="1"/>
  <c r="AB892" i="1"/>
  <c r="AB913" i="1"/>
  <c r="AB930" i="1"/>
  <c r="AB843" i="1"/>
  <c r="AB842" i="1"/>
  <c r="AB922" i="1"/>
  <c r="AB670" i="1"/>
  <c r="AE670" i="1" s="1"/>
  <c r="AB668" i="1"/>
  <c r="AB688" i="1"/>
  <c r="AB674" i="1"/>
  <c r="AB672" i="1"/>
  <c r="AB669" i="1"/>
  <c r="AB666" i="1"/>
  <c r="AB671" i="1"/>
  <c r="AB677" i="1"/>
  <c r="AB684" i="1"/>
  <c r="AB685" i="1"/>
  <c r="AB692" i="1"/>
  <c r="AB689" i="1"/>
  <c r="AB679" i="1"/>
  <c r="AB682" i="1"/>
  <c r="AB691" i="1"/>
  <c r="AB686" i="1"/>
  <c r="AB681" i="1"/>
  <c r="AB694" i="1"/>
  <c r="AB693" i="1"/>
  <c r="AB678" i="1"/>
  <c r="AB687" i="1"/>
  <c r="AE687" i="1" s="1"/>
  <c r="AB683" i="1"/>
  <c r="AB690" i="1"/>
  <c r="AB695" i="1"/>
  <c r="AB680" i="1"/>
  <c r="AE680" i="1" s="1"/>
  <c r="AB618" i="1"/>
  <c r="AB595" i="1"/>
  <c r="AB620" i="1"/>
  <c r="AB612" i="1"/>
  <c r="AB597" i="1"/>
  <c r="AB621" i="1"/>
  <c r="AB598" i="1"/>
  <c r="AB633" i="1"/>
  <c r="AB624" i="1"/>
  <c r="AB617" i="1"/>
  <c r="AE617" i="1" s="1"/>
  <c r="AB630" i="1"/>
  <c r="AB626" i="1"/>
  <c r="AB634" i="1"/>
  <c r="AB446" i="1"/>
  <c r="AB455" i="1"/>
  <c r="AB457" i="1"/>
  <c r="AB444" i="1"/>
  <c r="AB440" i="1"/>
  <c r="AB442" i="1"/>
  <c r="AB437" i="1"/>
  <c r="AB456" i="1"/>
  <c r="AE456" i="1" s="1"/>
  <c r="AB459" i="1"/>
  <c r="AB496" i="1"/>
  <c r="AB483" i="1"/>
  <c r="AE483" i="1" s="1"/>
  <c r="AB477" i="1"/>
  <c r="AB463" i="1"/>
  <c r="AB486" i="1"/>
  <c r="AB481" i="1"/>
  <c r="AB438" i="1"/>
  <c r="AB471" i="1"/>
  <c r="AB488" i="1"/>
  <c r="AB495" i="1"/>
  <c r="AE495" i="1" s="1"/>
  <c r="AB474" i="1"/>
  <c r="AB478" i="1"/>
  <c r="AB469" i="1"/>
  <c r="AB491" i="1"/>
  <c r="AB461" i="1"/>
  <c r="AB482" i="1"/>
  <c r="AB472" i="1"/>
  <c r="AB467" i="1"/>
  <c r="AB470" i="1"/>
  <c r="AB489" i="1"/>
  <c r="AB484" i="1"/>
  <c r="AB462" i="1"/>
  <c r="AB480" i="1"/>
  <c r="AB490" i="1"/>
  <c r="AB387" i="1"/>
  <c r="AE387" i="1" s="1"/>
  <c r="AB379" i="1"/>
  <c r="AE379" i="1" s="1"/>
  <c r="AB385" i="1"/>
  <c r="AE385" i="1" s="1"/>
  <c r="AB380" i="1"/>
  <c r="AB378" i="1"/>
  <c r="AE378" i="1" s="1"/>
  <c r="AB375" i="1"/>
  <c r="AE375" i="1" s="1"/>
  <c r="AB376" i="1"/>
  <c r="AE376" i="1" s="1"/>
  <c r="AB377" i="1"/>
  <c r="AE377" i="1" s="1"/>
  <c r="AB392" i="1"/>
  <c r="AB396" i="1"/>
  <c r="AB390" i="1"/>
  <c r="AB383" i="1"/>
  <c r="AE383" i="1" s="1"/>
  <c r="AB394" i="1"/>
  <c r="AE394" i="1" s="1"/>
  <c r="AB315" i="1"/>
  <c r="AB306" i="1"/>
  <c r="AB294" i="1"/>
  <c r="AB313" i="1"/>
  <c r="AB303" i="1"/>
  <c r="AB318" i="1"/>
  <c r="AB307" i="1"/>
  <c r="AB310" i="1"/>
  <c r="AB317" i="1"/>
  <c r="AE317" i="1" s="1"/>
  <c r="AB286" i="1"/>
  <c r="AB297" i="1"/>
  <c r="AB319" i="1"/>
  <c r="AB309" i="1"/>
  <c r="AB304" i="1"/>
  <c r="AB295" i="1"/>
  <c r="AB336" i="1"/>
  <c r="AB291" i="1"/>
  <c r="AB316" i="1"/>
  <c r="AB341" i="1"/>
  <c r="AB323" i="1"/>
  <c r="AB308" i="1"/>
  <c r="AB326" i="1"/>
  <c r="AB327" i="1"/>
  <c r="AB335" i="1"/>
  <c r="AB342" i="1"/>
  <c r="AB339" i="1"/>
  <c r="AB324" i="1"/>
  <c r="AE324" i="1" s="1"/>
  <c r="AB301" i="1"/>
  <c r="AB296" i="1"/>
  <c r="AE296" i="1" s="1"/>
  <c r="AB298" i="1"/>
  <c r="AE298" i="1" s="1"/>
  <c r="AB322" i="1"/>
  <c r="AE322" i="1" s="1"/>
  <c r="AB299" i="1"/>
  <c r="AE299" i="1" s="1"/>
  <c r="AB254" i="1"/>
  <c r="AB248" i="1"/>
  <c r="AB209" i="1"/>
  <c r="AB193" i="1"/>
  <c r="AB204" i="1"/>
  <c r="AB178" i="1"/>
  <c r="AB188" i="1"/>
  <c r="AB182" i="1"/>
  <c r="AB177" i="1"/>
  <c r="AB186" i="1"/>
  <c r="AB207" i="1"/>
  <c r="AB184" i="1"/>
  <c r="AB203" i="1"/>
  <c r="AB179" i="1"/>
  <c r="AB190" i="1"/>
  <c r="AB174" i="1"/>
  <c r="AB238" i="1"/>
  <c r="AB246" i="1"/>
  <c r="AB233" i="1"/>
  <c r="AB230" i="1"/>
  <c r="AB217" i="1"/>
  <c r="AB232" i="1"/>
  <c r="AB227" i="1"/>
  <c r="AB239" i="1"/>
  <c r="AB222" i="1"/>
  <c r="AE222" i="1" s="1"/>
  <c r="AB243" i="1"/>
  <c r="AE243" i="1" s="1"/>
  <c r="AB171" i="1"/>
  <c r="AE171" i="1" s="1"/>
  <c r="AB234" i="1"/>
  <c r="AE234" i="1" s="1"/>
  <c r="AB268" i="1"/>
  <c r="AE268" i="1" s="1"/>
  <c r="AB216" i="1"/>
  <c r="AB271" i="1"/>
  <c r="AE271" i="1" s="1"/>
  <c r="AB187" i="1"/>
  <c r="AE187" i="1" s="1"/>
  <c r="AB214" i="1"/>
  <c r="AE214" i="1" s="1"/>
  <c r="AB198" i="1"/>
  <c r="AE198" i="1" s="1"/>
  <c r="AB196" i="1"/>
  <c r="AE196" i="1" s="1"/>
  <c r="AB185" i="1"/>
  <c r="AE185" i="1" s="1"/>
  <c r="AB212" i="1"/>
  <c r="AB194" i="1"/>
  <c r="AE194" i="1" s="1"/>
  <c r="AB189" i="1"/>
  <c r="AE189" i="1" s="1"/>
  <c r="AB221" i="1"/>
  <c r="AE221" i="1" s="1"/>
  <c r="AB197" i="1"/>
  <c r="AE197" i="1" s="1"/>
  <c r="AB191" i="1"/>
  <c r="AE191" i="1" s="1"/>
  <c r="AB192" i="1"/>
  <c r="AE192" i="1" s="1"/>
  <c r="AB195" i="1"/>
  <c r="AE195" i="1" s="1"/>
  <c r="AB206" i="1"/>
  <c r="AB215" i="1"/>
  <c r="AE215" i="1" s="1"/>
  <c r="AB199" i="1"/>
  <c r="AB202" i="1"/>
  <c r="AB208" i="1"/>
  <c r="AB213" i="1"/>
  <c r="AB200" i="1"/>
  <c r="AB183" i="1"/>
  <c r="AB210" i="1"/>
  <c r="AE210" i="1" s="1"/>
  <c r="AB211" i="1"/>
  <c r="AB231" i="1"/>
  <c r="AE231" i="1" s="1"/>
  <c r="AB218" i="1"/>
  <c r="AB252" i="1"/>
  <c r="AE252" i="1" s="1"/>
  <c r="AB235" i="1"/>
  <c r="AB237" i="1"/>
  <c r="AE237" i="1" s="1"/>
  <c r="AB256" i="1"/>
  <c r="AE256" i="1" s="1"/>
  <c r="AB261" i="1"/>
  <c r="AB205" i="1"/>
  <c r="AB226" i="1"/>
  <c r="AE226" i="1" s="1"/>
  <c r="AB176" i="1"/>
  <c r="AB259" i="1"/>
  <c r="AB219" i="1"/>
  <c r="AB236" i="1"/>
  <c r="AB172" i="1"/>
  <c r="AB181" i="1"/>
  <c r="AB229" i="1"/>
  <c r="AE229" i="1" s="1"/>
  <c r="AB263" i="1"/>
  <c r="AE263" i="1" s="1"/>
  <c r="AB255" i="1"/>
  <c r="AE255" i="1" s="1"/>
  <c r="AB257" i="1"/>
  <c r="AB225" i="1"/>
  <c r="AB245" i="1"/>
  <c r="AB180" i="1"/>
  <c r="AB270" i="1"/>
  <c r="AB265" i="1"/>
  <c r="AB272" i="1"/>
  <c r="AB253" i="1"/>
  <c r="AB168" i="1"/>
  <c r="AB220" i="1"/>
  <c r="AB249" i="1"/>
  <c r="AB251" i="1"/>
  <c r="AB266" i="1"/>
  <c r="AB228" i="1"/>
  <c r="AB267" i="1"/>
  <c r="AB264" i="1"/>
  <c r="AB258" i="1"/>
  <c r="AB223" i="1"/>
  <c r="AB250" i="1"/>
  <c r="AB260" i="1"/>
  <c r="AB247" i="1"/>
  <c r="AB175" i="1"/>
  <c r="AB129" i="1"/>
  <c r="AB136" i="1"/>
  <c r="AB137" i="1"/>
  <c r="AB139" i="1"/>
  <c r="AB134" i="1"/>
  <c r="AB131" i="1"/>
  <c r="AB142" i="1"/>
  <c r="AE142" i="1" s="1"/>
  <c r="AB148" i="1"/>
  <c r="AB145" i="1"/>
  <c r="AB130" i="1"/>
  <c r="AB132" i="1"/>
  <c r="AB135" i="1"/>
  <c r="AB138" i="1"/>
  <c r="AB146" i="1"/>
  <c r="AB155" i="1"/>
  <c r="AB133" i="1"/>
  <c r="AB144" i="1"/>
  <c r="AB151" i="1"/>
  <c r="S86" i="1"/>
  <c r="AA86" i="1" s="1"/>
  <c r="U86" i="1"/>
  <c r="T23" i="6"/>
  <c r="W23" i="6" s="1"/>
  <c r="AA23" i="6"/>
  <c r="AD23" i="6"/>
  <c r="T24" i="6"/>
  <c r="X24" i="6" s="1"/>
  <c r="AA24" i="6"/>
  <c r="AD24" i="6"/>
  <c r="T25" i="6"/>
  <c r="W25" i="6" s="1"/>
  <c r="AA25" i="6"/>
  <c r="AD25" i="6"/>
  <c r="T26" i="6"/>
  <c r="AC26" i="6" s="1"/>
  <c r="AA26" i="6"/>
  <c r="AD26" i="6"/>
  <c r="T27" i="6"/>
  <c r="X27" i="6" s="1"/>
  <c r="AA27" i="6"/>
  <c r="AD27" i="6"/>
  <c r="T28" i="6"/>
  <c r="W28" i="6" s="1"/>
  <c r="AA28" i="6"/>
  <c r="AD28" i="6"/>
  <c r="T29" i="6"/>
  <c r="X29" i="6" s="1"/>
  <c r="AA29" i="6"/>
  <c r="AD29" i="6"/>
  <c r="T30" i="6"/>
  <c r="W30" i="6" s="1"/>
  <c r="AA30" i="6"/>
  <c r="AD30" i="6"/>
  <c r="T31" i="6"/>
  <c r="W31" i="6" s="1"/>
  <c r="AA31" i="6"/>
  <c r="AD31" i="6"/>
  <c r="T32" i="6"/>
  <c r="X32" i="6" s="1"/>
  <c r="AA32" i="6"/>
  <c r="AD32" i="6"/>
  <c r="T33" i="6"/>
  <c r="X33" i="6" s="1"/>
  <c r="T34" i="6"/>
  <c r="Z34" i="6" s="1"/>
  <c r="X34" i="6"/>
  <c r="T35" i="6"/>
  <c r="X35" i="6" s="1"/>
  <c r="T36" i="6"/>
  <c r="Z36" i="6" s="1"/>
  <c r="T37" i="6"/>
  <c r="X37" i="6" s="1"/>
  <c r="T38" i="6"/>
  <c r="AC38" i="6" s="1"/>
  <c r="T39" i="6"/>
  <c r="X39" i="6" s="1"/>
  <c r="T40" i="6"/>
  <c r="AC40" i="6" s="1"/>
  <c r="T41" i="6"/>
  <c r="X41" i="6" s="1"/>
  <c r="T42" i="6"/>
  <c r="AC42" i="6" s="1"/>
  <c r="T43" i="6"/>
  <c r="X43" i="6" s="1"/>
  <c r="T44" i="6"/>
  <c r="AC44" i="6" s="1"/>
  <c r="T45" i="6"/>
  <c r="X45" i="6" s="1"/>
  <c r="T46" i="6"/>
  <c r="AC46" i="6" s="1"/>
  <c r="T47" i="6"/>
  <c r="W47" i="6" s="1"/>
  <c r="T48" i="6"/>
  <c r="W48" i="6" s="1"/>
  <c r="T49" i="6"/>
  <c r="W49" i="6" s="1"/>
  <c r="T50" i="6"/>
  <c r="X50" i="6" s="1"/>
  <c r="T51" i="6"/>
  <c r="Z51" i="6" s="1"/>
  <c r="T52" i="6"/>
  <c r="X52" i="6" s="1"/>
  <c r="T53" i="6"/>
  <c r="W53" i="6" s="1"/>
  <c r="T54" i="6"/>
  <c r="W54" i="6" s="1"/>
  <c r="T55" i="6"/>
  <c r="W55" i="6" s="1"/>
  <c r="T56" i="6"/>
  <c r="W56" i="6" s="1"/>
  <c r="T57" i="6"/>
  <c r="W57" i="6" s="1"/>
  <c r="B53" i="4"/>
  <c r="B3" i="4" s="1"/>
  <c r="A88" i="4"/>
  <c r="T22" i="6"/>
  <c r="R22" i="6"/>
  <c r="T21" i="6"/>
  <c r="R21" i="6"/>
  <c r="T20" i="6"/>
  <c r="R20" i="6"/>
  <c r="T19" i="6"/>
  <c r="R19" i="6"/>
  <c r="AD18" i="6"/>
  <c r="AA18" i="6"/>
  <c r="X18" i="6"/>
  <c r="T18" i="6"/>
  <c r="AD17" i="6"/>
  <c r="AA17" i="6"/>
  <c r="X17" i="6"/>
  <c r="T17" i="6"/>
  <c r="T16" i="6"/>
  <c r="R16" i="6"/>
  <c r="T15" i="6"/>
  <c r="R15" i="6"/>
  <c r="T6" i="6"/>
  <c r="R6" i="6"/>
  <c r="U1179" i="1"/>
  <c r="T5" i="6"/>
  <c r="R5" i="6"/>
  <c r="T14" i="6"/>
  <c r="R14" i="6"/>
  <c r="T13" i="6"/>
  <c r="R13" i="6"/>
  <c r="T12" i="6"/>
  <c r="R12" i="6"/>
  <c r="T4" i="6"/>
  <c r="R4" i="6"/>
  <c r="T11" i="6"/>
  <c r="R11" i="6"/>
  <c r="T10" i="6"/>
  <c r="R10" i="6"/>
  <c r="T9" i="6"/>
  <c r="R9" i="6"/>
  <c r="T8" i="6"/>
  <c r="R8" i="6"/>
  <c r="T3" i="6"/>
  <c r="R3" i="6"/>
  <c r="T2" i="6"/>
  <c r="R2" i="6"/>
  <c r="T7" i="6"/>
  <c r="R7" i="6"/>
  <c r="AG98" i="1"/>
  <c r="AD98" i="1"/>
  <c r="AA98" i="1"/>
  <c r="S31" i="1"/>
  <c r="S30" i="1"/>
  <c r="S29" i="1"/>
  <c r="S1242" i="1"/>
  <c r="S1245" i="1"/>
  <c r="S1254" i="1"/>
  <c r="S1256" i="1"/>
  <c r="S1243" i="1"/>
  <c r="S1244" i="1"/>
  <c r="S1247" i="1"/>
  <c r="S1246" i="1"/>
  <c r="S1255" i="1"/>
  <c r="S1229" i="1"/>
  <c r="S1231" i="1"/>
  <c r="S1240" i="1"/>
  <c r="S1237" i="1"/>
  <c r="S1239" i="1"/>
  <c r="S1238" i="1"/>
  <c r="S1241" i="1"/>
  <c r="S1230" i="1"/>
  <c r="S1234" i="1"/>
  <c r="AD1234" i="1" s="1"/>
  <c r="S1122" i="1"/>
  <c r="S1118" i="1"/>
  <c r="S1123" i="1"/>
  <c r="S1120" i="1"/>
  <c r="S1110" i="1"/>
  <c r="S1063" i="1"/>
  <c r="S1065" i="1"/>
  <c r="S1061" i="1"/>
  <c r="S1062" i="1"/>
  <c r="S1049" i="1"/>
  <c r="S1046" i="1"/>
  <c r="S1053" i="1"/>
  <c r="S1066" i="1"/>
  <c r="S1048" i="1"/>
  <c r="S1064" i="1"/>
  <c r="S1045" i="1"/>
  <c r="S1039" i="1"/>
  <c r="S1067" i="1"/>
  <c r="S1042" i="1"/>
  <c r="S1044" i="1"/>
  <c r="S1047" i="1"/>
  <c r="S1041" i="1"/>
  <c r="S1040" i="1"/>
  <c r="S1050" i="1"/>
  <c r="S1043" i="1"/>
  <c r="S1029" i="1"/>
  <c r="S1032" i="1"/>
  <c r="S1026" i="1"/>
  <c r="S1023" i="1"/>
  <c r="S1022" i="1"/>
  <c r="S1031" i="1"/>
  <c r="S1012" i="1"/>
  <c r="S1030" i="1"/>
  <c r="S1036" i="1"/>
  <c r="S1034" i="1"/>
  <c r="S1035" i="1"/>
  <c r="S1033" i="1"/>
  <c r="S1037" i="1"/>
  <c r="S1038" i="1"/>
  <c r="S955" i="1"/>
  <c r="S1002" i="1"/>
  <c r="S945" i="1"/>
  <c r="S951" i="1"/>
  <c r="S1001" i="1"/>
  <c r="S954" i="1"/>
  <c r="S1011" i="1"/>
  <c r="S956" i="1"/>
  <c r="S947" i="1"/>
  <c r="S950" i="1"/>
  <c r="S1004" i="1"/>
  <c r="S943" i="1"/>
  <c r="S958" i="1"/>
  <c r="S949" i="1"/>
  <c r="S939" i="1"/>
  <c r="S1008" i="1"/>
  <c r="S1005" i="1"/>
  <c r="S1003" i="1"/>
  <c r="S959" i="1"/>
  <c r="S960" i="1"/>
  <c r="S944" i="1"/>
  <c r="S957" i="1"/>
  <c r="S1007" i="1"/>
  <c r="S1000" i="1"/>
  <c r="S942" i="1"/>
  <c r="S1010" i="1"/>
  <c r="S961" i="1"/>
  <c r="S948" i="1"/>
  <c r="S953" i="1"/>
  <c r="S941" i="1"/>
  <c r="S940" i="1"/>
  <c r="S1009" i="1"/>
  <c r="S1006" i="1"/>
  <c r="S952" i="1"/>
  <c r="S946" i="1"/>
  <c r="S981" i="1"/>
  <c r="S933" i="1"/>
  <c r="S921" i="1"/>
  <c r="S897" i="1"/>
  <c r="S917" i="1"/>
  <c r="S898" i="1"/>
  <c r="S905" i="1"/>
  <c r="S932" i="1"/>
  <c r="S910" i="1"/>
  <c r="S899" i="1"/>
  <c r="S845" i="1"/>
  <c r="S931" i="1"/>
  <c r="S926" i="1"/>
  <c r="S916" i="1"/>
  <c r="S937" i="1"/>
  <c r="S920" i="1"/>
  <c r="S935" i="1"/>
  <c r="S915" i="1"/>
  <c r="S914" i="1"/>
  <c r="S938" i="1"/>
  <c r="S891" i="1"/>
  <c r="S907" i="1"/>
  <c r="S936" i="1"/>
  <c r="S918" i="1"/>
  <c r="S886" i="1"/>
  <c r="S927" i="1"/>
  <c r="S929" i="1"/>
  <c r="S896" i="1"/>
  <c r="S919" i="1"/>
  <c r="S887" i="1"/>
  <c r="S888" i="1"/>
  <c r="S846" i="1"/>
  <c r="S900" i="1"/>
  <c r="S895" i="1"/>
  <c r="S904" i="1"/>
  <c r="S867" i="1"/>
  <c r="S925" i="1"/>
  <c r="S902" i="1"/>
  <c r="S894" i="1"/>
  <c r="S924" i="1"/>
  <c r="S903" i="1"/>
  <c r="S912" i="1"/>
  <c r="S908" i="1"/>
  <c r="S909" i="1"/>
  <c r="S901" i="1"/>
  <c r="S906" i="1"/>
  <c r="S923" i="1"/>
  <c r="S892" i="1"/>
  <c r="S913" i="1"/>
  <c r="S930" i="1"/>
  <c r="S843" i="1"/>
  <c r="S911" i="1"/>
  <c r="S842" i="1"/>
  <c r="S934" i="1"/>
  <c r="S922" i="1"/>
  <c r="S893" i="1"/>
  <c r="S841" i="1"/>
  <c r="S840" i="1"/>
  <c r="S791" i="1"/>
  <c r="S794" i="1"/>
  <c r="S827" i="1"/>
  <c r="S804" i="1"/>
  <c r="S832" i="1"/>
  <c r="S838" i="1"/>
  <c r="S831" i="1"/>
  <c r="S816" i="1"/>
  <c r="S793" i="1"/>
  <c r="S822" i="1"/>
  <c r="S792" i="1"/>
  <c r="S790" i="1"/>
  <c r="S801" i="1"/>
  <c r="S803" i="1"/>
  <c r="S823" i="1"/>
  <c r="S818" i="1"/>
  <c r="S817" i="1"/>
  <c r="S821" i="1"/>
  <c r="S815" i="1"/>
  <c r="S837" i="1"/>
  <c r="S836" i="1"/>
  <c r="S800" i="1"/>
  <c r="S814" i="1"/>
  <c r="S830" i="1"/>
  <c r="S835" i="1"/>
  <c r="S799" i="1"/>
  <c r="S798" i="1"/>
  <c r="S812" i="1"/>
  <c r="S819" i="1"/>
  <c r="S826" i="1"/>
  <c r="S820" i="1"/>
  <c r="S839" i="1"/>
  <c r="S829" i="1"/>
  <c r="S825" i="1"/>
  <c r="S824" i="1"/>
  <c r="S797" i="1"/>
  <c r="S813" i="1"/>
  <c r="S828" i="1"/>
  <c r="S811" i="1"/>
  <c r="S796" i="1"/>
  <c r="S802" i="1"/>
  <c r="S834" i="1"/>
  <c r="S795" i="1"/>
  <c r="S739" i="1"/>
  <c r="S738" i="1"/>
  <c r="S754" i="1"/>
  <c r="S760" i="1"/>
  <c r="S758" i="1"/>
  <c r="S741" i="1"/>
  <c r="S740" i="1"/>
  <c r="S759" i="1"/>
  <c r="S744" i="1"/>
  <c r="S752" i="1"/>
  <c r="S737" i="1"/>
  <c r="S745" i="1"/>
  <c r="S743" i="1"/>
  <c r="S753" i="1"/>
  <c r="S751" i="1"/>
  <c r="S761" i="1"/>
  <c r="S750" i="1"/>
  <c r="S757" i="1"/>
  <c r="S748" i="1"/>
  <c r="S742" i="1"/>
  <c r="S747" i="1"/>
  <c r="S749" i="1"/>
  <c r="S755" i="1"/>
  <c r="S756" i="1"/>
  <c r="S787" i="1"/>
  <c r="S736" i="1"/>
  <c r="S684" i="1"/>
  <c r="S685" i="1"/>
  <c r="S692" i="1"/>
  <c r="S689" i="1"/>
  <c r="S679" i="1"/>
  <c r="S682" i="1"/>
  <c r="S675" i="1"/>
  <c r="S691" i="1"/>
  <c r="S686" i="1"/>
  <c r="S681" i="1"/>
  <c r="S694" i="1"/>
  <c r="S693" i="1"/>
  <c r="S676" i="1"/>
  <c r="S678" i="1"/>
  <c r="S687" i="1"/>
  <c r="S683" i="1"/>
  <c r="S690" i="1"/>
  <c r="S695" i="1"/>
  <c r="S680" i="1"/>
  <c r="S628" i="1"/>
  <c r="S632" i="1"/>
  <c r="S623" i="1"/>
  <c r="S627" i="1"/>
  <c r="S633" i="1"/>
  <c r="S625" i="1"/>
  <c r="S631" i="1"/>
  <c r="S629" i="1"/>
  <c r="S624" i="1"/>
  <c r="S635" i="1"/>
  <c r="S617" i="1"/>
  <c r="S630" i="1"/>
  <c r="S637" i="1"/>
  <c r="S626" i="1"/>
  <c r="S634" i="1"/>
  <c r="S636" i="1"/>
  <c r="S594" i="1"/>
  <c r="S476" i="1"/>
  <c r="S496" i="1"/>
  <c r="S483" i="1"/>
  <c r="S479" i="1"/>
  <c r="S477" i="1"/>
  <c r="S485" i="1"/>
  <c r="S463" i="1"/>
  <c r="S487" i="1"/>
  <c r="S445" i="1"/>
  <c r="S486" i="1"/>
  <c r="S481" i="1"/>
  <c r="S438" i="1"/>
  <c r="S471" i="1"/>
  <c r="S464" i="1"/>
  <c r="S473" i="1"/>
  <c r="S488" i="1"/>
  <c r="S495" i="1"/>
  <c r="S474" i="1"/>
  <c r="S478" i="1"/>
  <c r="S469" i="1"/>
  <c r="S491" i="1"/>
  <c r="S461" i="1"/>
  <c r="S482" i="1"/>
  <c r="S493" i="1"/>
  <c r="S472" i="1"/>
  <c r="S467" i="1"/>
  <c r="S470" i="1"/>
  <c r="S475" i="1"/>
  <c r="S489" i="1"/>
  <c r="S468" i="1"/>
  <c r="S484" i="1"/>
  <c r="S462" i="1"/>
  <c r="S480" i="1"/>
  <c r="S492" i="1"/>
  <c r="S494" i="1"/>
  <c r="S490" i="1"/>
  <c r="S465" i="1"/>
  <c r="S466" i="1"/>
  <c r="S397" i="1"/>
  <c r="S381" i="1"/>
  <c r="S393" i="1"/>
  <c r="S392" i="1"/>
  <c r="S382" i="1"/>
  <c r="S391" i="1"/>
  <c r="S396" i="1"/>
  <c r="S390" i="1"/>
  <c r="S383" i="1"/>
  <c r="S394" i="1"/>
  <c r="S395" i="1"/>
  <c r="S384" i="1"/>
  <c r="S351" i="1"/>
  <c r="S368" i="1"/>
  <c r="S345" i="1"/>
  <c r="S350" i="1"/>
  <c r="S370" i="1"/>
  <c r="S372" i="1"/>
  <c r="S348" i="1"/>
  <c r="S347" i="1"/>
  <c r="S369" i="1"/>
  <c r="S371" i="1"/>
  <c r="S349" i="1"/>
  <c r="S352" i="1"/>
  <c r="S346" i="1"/>
  <c r="S343" i="1"/>
  <c r="S326" i="1"/>
  <c r="S327" i="1"/>
  <c r="S335" i="1"/>
  <c r="S342" i="1"/>
  <c r="S290" i="1"/>
  <c r="S339" i="1"/>
  <c r="S331" i="1"/>
  <c r="S330" i="1"/>
  <c r="S329" i="1"/>
  <c r="S337" i="1"/>
  <c r="S340" i="1"/>
  <c r="S334" i="1"/>
  <c r="S338" i="1"/>
  <c r="S324" i="1"/>
  <c r="S301" i="1"/>
  <c r="S325" i="1"/>
  <c r="S328" i="1"/>
  <c r="S242" i="1"/>
  <c r="S244" i="1"/>
  <c r="S254" i="1"/>
  <c r="S248" i="1"/>
  <c r="S174" i="1"/>
  <c r="S238" i="1"/>
  <c r="S246" i="1"/>
  <c r="S233" i="1"/>
  <c r="S167" i="1"/>
  <c r="S230" i="1"/>
  <c r="S217" i="1"/>
  <c r="S170" i="1"/>
  <c r="S232" i="1"/>
  <c r="S227" i="1"/>
  <c r="S239" i="1"/>
  <c r="S241" i="1"/>
  <c r="S169" i="1"/>
  <c r="S222" i="1"/>
  <c r="S243" i="1"/>
  <c r="S171" i="1"/>
  <c r="S234" i="1"/>
  <c r="S268" i="1"/>
  <c r="S216" i="1"/>
  <c r="S271" i="1"/>
  <c r="S224" i="1"/>
  <c r="S231" i="1"/>
  <c r="S218" i="1"/>
  <c r="S252" i="1"/>
  <c r="S235" i="1"/>
  <c r="S237" i="1"/>
  <c r="S256" i="1"/>
  <c r="S240" i="1"/>
  <c r="S261" i="1"/>
  <c r="S262" i="1"/>
  <c r="S226" i="1"/>
  <c r="S176" i="1"/>
  <c r="S259" i="1"/>
  <c r="S219" i="1"/>
  <c r="S236" i="1"/>
  <c r="S172" i="1"/>
  <c r="S181" i="1"/>
  <c r="S229" i="1"/>
  <c r="S263" i="1"/>
  <c r="S255" i="1"/>
  <c r="S257" i="1"/>
  <c r="S225" i="1"/>
  <c r="S245" i="1"/>
  <c r="S180" i="1"/>
  <c r="S270" i="1"/>
  <c r="S265" i="1"/>
  <c r="S272" i="1"/>
  <c r="S253" i="1"/>
  <c r="S168" i="1"/>
  <c r="S220" i="1"/>
  <c r="S249" i="1"/>
  <c r="S251" i="1"/>
  <c r="S266" i="1"/>
  <c r="S228" i="1"/>
  <c r="S267" i="1"/>
  <c r="S264" i="1"/>
  <c r="S258" i="1"/>
  <c r="S223" i="1"/>
  <c r="S250" i="1"/>
  <c r="S260" i="1"/>
  <c r="S269" i="1"/>
  <c r="S247" i="1"/>
  <c r="S175" i="1"/>
  <c r="S153" i="1"/>
  <c r="S142" i="1"/>
  <c r="S148" i="1"/>
  <c r="S150" i="1"/>
  <c r="S147" i="1"/>
  <c r="S152" i="1"/>
  <c r="S135" i="1"/>
  <c r="S141" i="1"/>
  <c r="S138" i="1"/>
  <c r="S146" i="1"/>
  <c r="S155" i="1"/>
  <c r="S133" i="1"/>
  <c r="S154" i="1"/>
  <c r="S144" i="1"/>
  <c r="S112" i="1"/>
  <c r="S157" i="1"/>
  <c r="S149" i="1"/>
  <c r="S140" i="1"/>
  <c r="S151" i="1"/>
  <c r="S143" i="1"/>
  <c r="S156" i="1"/>
  <c r="S158" i="1"/>
  <c r="S88" i="1"/>
  <c r="S92" i="1"/>
  <c r="S80" i="1"/>
  <c r="S91" i="1"/>
  <c r="S89" i="1"/>
  <c r="S90" i="1"/>
  <c r="S87" i="1"/>
  <c r="S56" i="1"/>
  <c r="AE56" i="1" s="1"/>
  <c r="S71" i="1"/>
  <c r="AE71" i="1" s="1"/>
  <c r="S55" i="1"/>
  <c r="AE55" i="1" s="1"/>
  <c r="S57" i="1"/>
  <c r="AE57" i="1" s="1"/>
  <c r="S68" i="1"/>
  <c r="AE68" i="1" s="1"/>
  <c r="S69" i="1"/>
  <c r="AE69" i="1" s="1"/>
  <c r="S74" i="1"/>
  <c r="AE74" i="1" s="1"/>
  <c r="S75" i="1"/>
  <c r="AE75" i="1" s="1"/>
  <c r="S58" i="1"/>
  <c r="S73" i="1"/>
  <c r="AE73" i="1" s="1"/>
  <c r="S59" i="1"/>
  <c r="AE59" i="1" s="1"/>
  <c r="S77" i="1"/>
  <c r="AE77" i="1" s="1"/>
  <c r="S76" i="1"/>
  <c r="AE76" i="1" s="1"/>
  <c r="S70" i="1"/>
  <c r="AE70" i="1" s="1"/>
  <c r="S60" i="1"/>
  <c r="S42" i="1"/>
  <c r="S49" i="1"/>
  <c r="S54" i="1"/>
  <c r="S53" i="1"/>
  <c r="S47" i="1"/>
  <c r="S41" i="1"/>
  <c r="S39" i="1"/>
  <c r="S51" i="1"/>
  <c r="S50" i="1"/>
  <c r="S40" i="1"/>
  <c r="S48" i="1"/>
  <c r="S52" i="1"/>
  <c r="S16" i="1"/>
  <c r="S12" i="1"/>
  <c r="S17" i="1"/>
  <c r="S13" i="1"/>
  <c r="S15" i="1"/>
  <c r="S19" i="1"/>
  <c r="S18" i="1"/>
  <c r="S3" i="1"/>
  <c r="S14" i="1"/>
  <c r="AD60" i="1" l="1"/>
  <c r="AE60" i="1"/>
  <c r="AD58" i="1"/>
  <c r="AE58" i="1"/>
  <c r="B19" i="8"/>
  <c r="C19" i="8"/>
  <c r="E19" i="8"/>
  <c r="AC1179" i="1"/>
  <c r="AO1179" i="1"/>
  <c r="Z86" i="1"/>
  <c r="AO86" i="1"/>
  <c r="Z537" i="1"/>
  <c r="AO537" i="1"/>
  <c r="Y137" i="1"/>
  <c r="AO137" i="1"/>
  <c r="AG1259" i="1"/>
  <c r="AD1259" i="1"/>
  <c r="B6" i="8"/>
  <c r="C6" i="8"/>
  <c r="E6" i="8"/>
  <c r="B2" i="8"/>
  <c r="E2" i="8"/>
  <c r="E63" i="8"/>
  <c r="B63" i="8"/>
  <c r="C63" i="8"/>
  <c r="B32" i="8"/>
  <c r="B68" i="8"/>
  <c r="B12" i="8"/>
  <c r="C12" i="8"/>
  <c r="E17" i="8"/>
  <c r="C17" i="8"/>
  <c r="B30" i="8"/>
  <c r="B17" i="8"/>
  <c r="B27" i="8"/>
  <c r="E14" i="8"/>
  <c r="B14" i="8"/>
  <c r="C14" i="8"/>
  <c r="C28" i="8"/>
  <c r="C11" i="8"/>
  <c r="B11" i="8"/>
  <c r="E11" i="8"/>
  <c r="C35" i="8"/>
  <c r="E35" i="8"/>
  <c r="E33" i="8"/>
  <c r="C33" i="8"/>
  <c r="B59" i="8"/>
  <c r="E59" i="8"/>
  <c r="C59" i="8"/>
  <c r="E31" i="8"/>
  <c r="E62" i="8"/>
  <c r="B62" i="8"/>
  <c r="C62" i="8"/>
  <c r="E29" i="8"/>
  <c r="E71" i="8"/>
  <c r="B71" i="8"/>
  <c r="C71" i="8"/>
  <c r="E18" i="8"/>
  <c r="B31" i="8"/>
  <c r="C18" i="8"/>
  <c r="B18" i="8"/>
  <c r="C64" i="8"/>
  <c r="E64" i="8"/>
  <c r="B64" i="8"/>
  <c r="B56" i="8"/>
  <c r="C56" i="8"/>
  <c r="E56" i="8"/>
  <c r="B55" i="8"/>
  <c r="C55" i="8"/>
  <c r="E55" i="8"/>
  <c r="E49" i="8"/>
  <c r="C49" i="8"/>
  <c r="B49" i="8"/>
  <c r="B69" i="8"/>
  <c r="C69" i="8"/>
  <c r="E69" i="8"/>
  <c r="B66" i="8"/>
  <c r="C66" i="8"/>
  <c r="E66" i="8"/>
  <c r="E58" i="8"/>
  <c r="B58" i="8"/>
  <c r="C58" i="8"/>
  <c r="B54" i="8"/>
  <c r="C54" i="8"/>
  <c r="E54" i="8"/>
  <c r="C27" i="8"/>
  <c r="E13" i="8"/>
  <c r="B13" i="8"/>
  <c r="C13" i="8"/>
  <c r="C37" i="8"/>
  <c r="E37" i="8"/>
  <c r="E36" i="8"/>
  <c r="B65" i="8"/>
  <c r="C65" i="8"/>
  <c r="E65" i="8"/>
  <c r="E70" i="8"/>
  <c r="B70" i="8"/>
  <c r="C70" i="8"/>
  <c r="E40" i="8"/>
  <c r="E32" i="8"/>
  <c r="C20" i="8"/>
  <c r="B33" i="8"/>
  <c r="B20" i="8"/>
  <c r="E20" i="8"/>
  <c r="C39" i="8"/>
  <c r="E34" i="8"/>
  <c r="C61" i="8"/>
  <c r="E61" i="8"/>
  <c r="B61" i="8"/>
  <c r="B60" i="8"/>
  <c r="B57" i="8"/>
  <c r="C52" i="8"/>
  <c r="E52" i="8"/>
  <c r="B52" i="8"/>
  <c r="B39" i="8"/>
  <c r="E16" i="8"/>
  <c r="B16" i="8"/>
  <c r="C16" i="8"/>
  <c r="B29" i="8"/>
  <c r="C53" i="8"/>
  <c r="B53" i="8"/>
  <c r="E53" i="8"/>
  <c r="B51" i="8"/>
  <c r="E15" i="8"/>
  <c r="B15" i="8"/>
  <c r="B28" i="8"/>
  <c r="C15" i="8"/>
  <c r="E50" i="8"/>
  <c r="C50" i="8"/>
  <c r="B50" i="8"/>
  <c r="B67" i="8"/>
  <c r="E38" i="8"/>
  <c r="E30" i="8"/>
  <c r="B40" i="8"/>
  <c r="B2" i="7"/>
  <c r="E32" i="7"/>
  <c r="E34" i="7"/>
  <c r="E38" i="7"/>
  <c r="E30" i="7"/>
  <c r="E37" i="7"/>
  <c r="B40" i="7"/>
  <c r="B2" i="4"/>
  <c r="B12" i="7"/>
  <c r="E12" i="7"/>
  <c r="E17" i="7"/>
  <c r="B17" i="7"/>
  <c r="B30" i="7"/>
  <c r="B14" i="7"/>
  <c r="B27" i="7"/>
  <c r="E14" i="7"/>
  <c r="E31" i="7"/>
  <c r="B31" i="7"/>
  <c r="E18" i="7"/>
  <c r="B18" i="7"/>
  <c r="C70" i="4"/>
  <c r="C73" i="4"/>
  <c r="E13" i="7"/>
  <c r="B13" i="7"/>
  <c r="E33" i="7"/>
  <c r="E20" i="7"/>
  <c r="B33" i="7"/>
  <c r="B20" i="7"/>
  <c r="E11" i="7"/>
  <c r="B11" i="7"/>
  <c r="E68" i="4"/>
  <c r="E43" i="4"/>
  <c r="E29" i="7"/>
  <c r="B6" i="4"/>
  <c r="E6" i="4"/>
  <c r="B32" i="7"/>
  <c r="E19" i="7"/>
  <c r="C19" i="7"/>
  <c r="B19" i="7"/>
  <c r="E40" i="7"/>
  <c r="E35" i="7"/>
  <c r="B39" i="7"/>
  <c r="E16" i="7"/>
  <c r="B16" i="7"/>
  <c r="B29" i="7"/>
  <c r="C6" i="4"/>
  <c r="E15" i="7"/>
  <c r="C15" i="7"/>
  <c r="B28" i="7"/>
  <c r="B15" i="7"/>
  <c r="E36" i="7"/>
  <c r="G5" i="7"/>
  <c r="C63" i="4"/>
  <c r="E45" i="4"/>
  <c r="E48" i="4"/>
  <c r="E77" i="4"/>
  <c r="E73" i="4"/>
  <c r="C62" i="7"/>
  <c r="E62" i="7"/>
  <c r="B62" i="7"/>
  <c r="C66" i="4"/>
  <c r="C67" i="4"/>
  <c r="E70" i="4"/>
  <c r="E47" i="4"/>
  <c r="E76" i="4"/>
  <c r="C53" i="7"/>
  <c r="E53" i="7"/>
  <c r="B53" i="7"/>
  <c r="E42" i="4"/>
  <c r="E71" i="4"/>
  <c r="E65" i="7"/>
  <c r="B65" i="7"/>
  <c r="D65" i="7"/>
  <c r="C65" i="7"/>
  <c r="E55" i="7"/>
  <c r="C55" i="7"/>
  <c r="B55" i="7"/>
  <c r="E51" i="7"/>
  <c r="C51" i="7"/>
  <c r="B51" i="7"/>
  <c r="E67" i="7"/>
  <c r="C67" i="7"/>
  <c r="B67" i="7"/>
  <c r="E69" i="4"/>
  <c r="B50" i="7"/>
  <c r="E50" i="7"/>
  <c r="C50" i="7"/>
  <c r="E49" i="7"/>
  <c r="B49" i="7"/>
  <c r="E63" i="7"/>
  <c r="C63" i="7"/>
  <c r="B63" i="7"/>
  <c r="C64" i="4"/>
  <c r="C62" i="4"/>
  <c r="C76" i="4"/>
  <c r="E67" i="4"/>
  <c r="C68" i="7"/>
  <c r="E68" i="7"/>
  <c r="B68" i="7"/>
  <c r="C71" i="4"/>
  <c r="E46" i="4"/>
  <c r="E72" i="4"/>
  <c r="AA1258" i="1"/>
  <c r="C83" i="4"/>
  <c r="AG1200" i="1"/>
  <c r="C80" i="4"/>
  <c r="C59" i="7"/>
  <c r="B59" i="7"/>
  <c r="E59" i="7"/>
  <c r="C79" i="4"/>
  <c r="C68" i="4"/>
  <c r="C72" i="4"/>
  <c r="C75" i="4"/>
  <c r="E74" i="4"/>
  <c r="B71" i="7"/>
  <c r="C71" i="7"/>
  <c r="E71" i="7"/>
  <c r="C64" i="7"/>
  <c r="B64" i="7"/>
  <c r="E64" i="7"/>
  <c r="C56" i="7"/>
  <c r="B56" i="7"/>
  <c r="E56" i="7"/>
  <c r="C77" i="4"/>
  <c r="E75" i="4"/>
  <c r="E41" i="4"/>
  <c r="E69" i="7"/>
  <c r="C69" i="7"/>
  <c r="B69" i="7"/>
  <c r="E66" i="7"/>
  <c r="C66" i="7"/>
  <c r="B66" i="7"/>
  <c r="E58" i="7"/>
  <c r="B58" i="7"/>
  <c r="C58" i="7"/>
  <c r="E54" i="7"/>
  <c r="C54" i="7"/>
  <c r="B54" i="7"/>
  <c r="AA399" i="1"/>
  <c r="C69" i="4"/>
  <c r="AG1213" i="1"/>
  <c r="C82" i="4"/>
  <c r="C65" i="4"/>
  <c r="E44" i="4"/>
  <c r="E70" i="7"/>
  <c r="C70" i="7"/>
  <c r="B70" i="7"/>
  <c r="C74" i="4"/>
  <c r="AG1199" i="1"/>
  <c r="C81" i="4"/>
  <c r="AA1124" i="1"/>
  <c r="C78" i="4"/>
  <c r="C61" i="7"/>
  <c r="E61" i="7"/>
  <c r="B61" i="7"/>
  <c r="E60" i="7"/>
  <c r="C60" i="7"/>
  <c r="B60" i="7"/>
  <c r="E57" i="7"/>
  <c r="D57" i="7"/>
  <c r="C57" i="7"/>
  <c r="B57" i="7"/>
  <c r="E52" i="7"/>
  <c r="C52" i="7"/>
  <c r="B52" i="7"/>
  <c r="E13" i="4"/>
  <c r="B13" i="4"/>
  <c r="B20" i="4"/>
  <c r="E20" i="4"/>
  <c r="B19" i="4"/>
  <c r="C19" i="4"/>
  <c r="E19" i="4"/>
  <c r="E15" i="4"/>
  <c r="B15" i="4"/>
  <c r="C15" i="4"/>
  <c r="B12" i="4"/>
  <c r="E12" i="4"/>
  <c r="E17" i="4"/>
  <c r="B17" i="4"/>
  <c r="B14" i="4"/>
  <c r="E14" i="4"/>
  <c r="B11" i="4"/>
  <c r="E11" i="4"/>
  <c r="E16" i="4"/>
  <c r="B16" i="4"/>
  <c r="B18" i="4"/>
  <c r="E18" i="4"/>
  <c r="AG165" i="1"/>
  <c r="AG716" i="1"/>
  <c r="AG558" i="1"/>
  <c r="AG732" i="1"/>
  <c r="AG707" i="1"/>
  <c r="AA1264" i="1"/>
  <c r="AA1191" i="1"/>
  <c r="AD1191" i="1"/>
  <c r="AG1264" i="1"/>
  <c r="AG661" i="1"/>
  <c r="AD1179" i="1"/>
  <c r="AG554" i="1"/>
  <c r="AD38" i="1"/>
  <c r="AD717" i="1"/>
  <c r="AG512" i="1"/>
  <c r="AA654" i="1"/>
  <c r="AG109" i="1"/>
  <c r="AA109" i="1"/>
  <c r="AG653" i="1"/>
  <c r="AG659" i="1"/>
  <c r="AD1149" i="1"/>
  <c r="AD1127" i="1"/>
  <c r="AG552" i="1"/>
  <c r="AG572" i="1"/>
  <c r="AG166" i="1"/>
  <c r="AD708" i="1"/>
  <c r="AG1258" i="1"/>
  <c r="AA1148" i="1"/>
  <c r="AA1213" i="1"/>
  <c r="AA38" i="1"/>
  <c r="AD653" i="1"/>
  <c r="AD513" i="1"/>
  <c r="AG579" i="1"/>
  <c r="AG733" i="1"/>
  <c r="AD278" i="1"/>
  <c r="AD401" i="1"/>
  <c r="AA1182" i="1"/>
  <c r="AA1210" i="1"/>
  <c r="AD1148" i="1"/>
  <c r="AG559" i="1"/>
  <c r="AA1127" i="1"/>
  <c r="AD559" i="1"/>
  <c r="AD1269" i="1"/>
  <c r="AD400" i="1"/>
  <c r="AG717" i="1"/>
  <c r="AA733" i="1"/>
  <c r="AD552" i="1"/>
  <c r="AD1258" i="1"/>
  <c r="AD161" i="1"/>
  <c r="AG1182" i="1"/>
  <c r="AG708" i="1"/>
  <c r="AG713" i="1"/>
  <c r="AA653" i="1"/>
  <c r="AD579" i="1"/>
  <c r="AD1210" i="1"/>
  <c r="AD110" i="1"/>
  <c r="AG513" i="1"/>
  <c r="AA161" i="1"/>
  <c r="AG654" i="1"/>
  <c r="AG697" i="1"/>
  <c r="AG735" i="1"/>
  <c r="AD99" i="1"/>
  <c r="AG655" i="1"/>
  <c r="AG412" i="1"/>
  <c r="AG564" i="1"/>
  <c r="AG553" i="1"/>
  <c r="AG657" i="1"/>
  <c r="AA711" i="1"/>
  <c r="AG545" i="1"/>
  <c r="AG656" i="1"/>
  <c r="AG718" i="1"/>
  <c r="AG580" i="1"/>
  <c r="AG400" i="1"/>
  <c r="AG555" i="1"/>
  <c r="AG497" i="1"/>
  <c r="AD554" i="1"/>
  <c r="AG537" i="1"/>
  <c r="AA166" i="1"/>
  <c r="AG557" i="1"/>
  <c r="AG641" i="1"/>
  <c r="AG731" i="1"/>
  <c r="AG715" i="1"/>
  <c r="AG415" i="1"/>
  <c r="AG414" i="1"/>
  <c r="E52" i="4"/>
  <c r="AD706" i="1"/>
  <c r="AG712" i="1"/>
  <c r="AG698" i="1"/>
  <c r="E50" i="4"/>
  <c r="E49" i="4"/>
  <c r="AG284" i="1"/>
  <c r="AD275" i="1"/>
  <c r="AG399" i="1"/>
  <c r="AG575" i="1"/>
  <c r="AG714" i="1"/>
  <c r="AG700" i="1"/>
  <c r="AG583" i="1"/>
  <c r="AG556" i="1"/>
  <c r="AG404" i="1"/>
  <c r="AD412" i="1"/>
  <c r="AD277" i="1"/>
  <c r="AD1184" i="1"/>
  <c r="AG1201" i="1"/>
  <c r="AD111" i="1"/>
  <c r="AA97" i="1"/>
  <c r="AD732" i="1"/>
  <c r="AD657" i="1"/>
  <c r="AG589" i="1"/>
  <c r="AA550" i="1"/>
  <c r="AD589" i="1"/>
  <c r="AA412" i="1"/>
  <c r="AD697" i="1"/>
  <c r="AG643" i="1"/>
  <c r="AG711" i="1"/>
  <c r="AG111" i="1"/>
  <c r="AA645" i="1"/>
  <c r="AD735" i="1"/>
  <c r="AG706" i="1"/>
  <c r="AA1149" i="1"/>
  <c r="AA643" i="1"/>
  <c r="AA1100" i="1"/>
  <c r="AA1201" i="1"/>
  <c r="AA284" i="1"/>
  <c r="AD731" i="1"/>
  <c r="AD284" i="1"/>
  <c r="AG1184" i="1"/>
  <c r="AG644" i="1"/>
  <c r="AG665" i="1"/>
  <c r="AG110" i="1"/>
  <c r="AA516" i="1"/>
  <c r="AA586" i="1"/>
  <c r="AG1142" i="1"/>
  <c r="AA1150" i="1"/>
  <c r="AA657" i="1"/>
  <c r="AA515" i="1"/>
  <c r="AA718" i="1"/>
  <c r="AE695" i="1" s="1"/>
  <c r="AG695" i="1" s="1"/>
  <c r="AD1180" i="1"/>
  <c r="AG645" i="1"/>
  <c r="AA1072" i="1"/>
  <c r="AA1143" i="1"/>
  <c r="AA716" i="1"/>
  <c r="AD577" i="1"/>
  <c r="AD1209" i="1"/>
  <c r="AD107" i="1"/>
  <c r="AA1178" i="1"/>
  <c r="AA715" i="1"/>
  <c r="AA37" i="1"/>
  <c r="AD1216" i="1"/>
  <c r="AG577" i="1"/>
  <c r="AA160" i="1"/>
  <c r="AD1178" i="1"/>
  <c r="AD716" i="1"/>
  <c r="AG576" i="1"/>
  <c r="AG97" i="1"/>
  <c r="AA558" i="1"/>
  <c r="AA659" i="1"/>
  <c r="AA542" i="1"/>
  <c r="AA1257" i="1"/>
  <c r="AA1126" i="1"/>
  <c r="AA503" i="1"/>
  <c r="AA414" i="1"/>
  <c r="AD558" i="1"/>
  <c r="AD1188" i="1"/>
  <c r="AD715" i="1"/>
  <c r="AD512" i="1"/>
  <c r="AG505" i="1"/>
  <c r="AD641" i="1"/>
  <c r="AA557" i="1"/>
  <c r="AA1181" i="1"/>
  <c r="AA1105" i="1"/>
  <c r="AA655" i="1"/>
  <c r="AA1125" i="1"/>
  <c r="AA707" i="1"/>
  <c r="AA498" i="1"/>
  <c r="AD557" i="1"/>
  <c r="AD659" i="1"/>
  <c r="AD1263" i="1"/>
  <c r="AD1126" i="1"/>
  <c r="AD505" i="1"/>
  <c r="AD160" i="1"/>
  <c r="AD37" i="1"/>
  <c r="AG1216" i="1"/>
  <c r="AG504" i="1"/>
  <c r="AA512" i="1"/>
  <c r="AG1263" i="1"/>
  <c r="AG107" i="1"/>
  <c r="AA1189" i="1"/>
  <c r="AA641" i="1"/>
  <c r="AA1142" i="1"/>
  <c r="AD576" i="1"/>
  <c r="AD665" i="1"/>
  <c r="AG1189" i="1"/>
  <c r="AG1257" i="1"/>
  <c r="AA1188" i="1"/>
  <c r="AA504" i="1"/>
  <c r="AA415" i="1"/>
  <c r="AD1143" i="1"/>
  <c r="AA1180" i="1"/>
  <c r="AA1104" i="1"/>
  <c r="AA401" i="1"/>
  <c r="AD655" i="1"/>
  <c r="AD415" i="1"/>
  <c r="AG1181" i="1"/>
  <c r="AG503" i="1"/>
  <c r="AA732" i="1"/>
  <c r="AA587" i="1"/>
  <c r="AD707" i="1"/>
  <c r="AD414" i="1"/>
  <c r="AG401" i="1"/>
  <c r="AA556" i="1"/>
  <c r="AA1187" i="1"/>
  <c r="AA656" i="1"/>
  <c r="AA1269" i="1"/>
  <c r="AA1212" i="1"/>
  <c r="AA1132" i="1"/>
  <c r="AD555" i="1"/>
  <c r="AD1204" i="1"/>
  <c r="AD734" i="1"/>
  <c r="AD281" i="1"/>
  <c r="AG574" i="1"/>
  <c r="AG1132" i="1"/>
  <c r="AG281" i="1"/>
  <c r="AG413" i="1"/>
  <c r="AA555" i="1"/>
  <c r="AA1183" i="1"/>
  <c r="AA1153" i="1"/>
  <c r="AA540" i="1"/>
  <c r="AA1128" i="1"/>
  <c r="AD1187" i="1"/>
  <c r="AD656" i="1"/>
  <c r="AD1200" i="1"/>
  <c r="AD710" i="1"/>
  <c r="AD413" i="1"/>
  <c r="AG1215" i="1"/>
  <c r="AG1128" i="1"/>
  <c r="AG710" i="1"/>
  <c r="AA1215" i="1"/>
  <c r="AD556" i="1"/>
  <c r="AA539" i="1"/>
  <c r="AD1153" i="1"/>
  <c r="AD1199" i="1"/>
  <c r="AA644" i="1"/>
  <c r="AD574" i="1"/>
  <c r="AD580" i="1"/>
  <c r="AD1183" i="1"/>
  <c r="AD1226" i="1"/>
  <c r="AD165" i="1"/>
  <c r="AG734" i="1"/>
  <c r="AG499" i="1"/>
  <c r="AG587" i="1"/>
  <c r="AD646" i="1"/>
  <c r="AA1204" i="1"/>
  <c r="AD575" i="1"/>
  <c r="AA575" i="1"/>
  <c r="AA642" i="1"/>
  <c r="AA1259" i="1"/>
  <c r="AA1200" i="1"/>
  <c r="AD718" i="1"/>
  <c r="AD499" i="1"/>
  <c r="AG498" i="1"/>
  <c r="AG586" i="1"/>
  <c r="AD537" i="1"/>
  <c r="AA1199" i="1"/>
  <c r="AG1179" i="1"/>
  <c r="AG590" i="1"/>
  <c r="AA590" i="1"/>
  <c r="AG1268" i="1"/>
  <c r="AA1268" i="1"/>
  <c r="AA1262" i="1"/>
  <c r="AG1262" i="1"/>
  <c r="AA1226" i="1"/>
  <c r="AA1209" i="1"/>
  <c r="AD1211" i="1"/>
  <c r="AD1212" i="1"/>
  <c r="AD1213" i="1"/>
  <c r="AD1144" i="1"/>
  <c r="AA1144" i="1"/>
  <c r="AD1129" i="1"/>
  <c r="AG1125" i="1"/>
  <c r="AG1124" i="1"/>
  <c r="AD1124" i="1"/>
  <c r="AA731" i="1"/>
  <c r="AA537" i="1"/>
  <c r="AD700" i="1"/>
  <c r="AA728" i="1"/>
  <c r="AD572" i="1"/>
  <c r="AG728" i="1"/>
  <c r="AA549" i="1"/>
  <c r="AA552" i="1"/>
  <c r="AA1103" i="1"/>
  <c r="AA661" i="1"/>
  <c r="AA735" i="1"/>
  <c r="AA700" i="1"/>
  <c r="AA278" i="1"/>
  <c r="AA583" i="1"/>
  <c r="AG1150" i="1"/>
  <c r="AG275" i="1"/>
  <c r="AA34" i="1"/>
  <c r="AG646" i="1"/>
  <c r="AG1207" i="1"/>
  <c r="AG278" i="1"/>
  <c r="AA572" i="1"/>
  <c r="AA1211" i="1"/>
  <c r="AA697" i="1"/>
  <c r="AD583" i="1"/>
  <c r="AG551" i="1"/>
  <c r="AG99" i="1"/>
  <c r="AD714" i="1"/>
  <c r="AD497" i="1"/>
  <c r="AG642" i="1"/>
  <c r="AA554" i="1"/>
  <c r="AA1207" i="1"/>
  <c r="AD661" i="1"/>
  <c r="AA1129" i="1"/>
  <c r="AA714" i="1"/>
  <c r="AA497" i="1"/>
  <c r="AD1261" i="1"/>
  <c r="AG581" i="1"/>
  <c r="AD727" i="1"/>
  <c r="AA1208" i="1"/>
  <c r="AG1261" i="1"/>
  <c r="AA404" i="1"/>
  <c r="AG560" i="1"/>
  <c r="AA1185" i="1"/>
  <c r="AD582" i="1"/>
  <c r="AG1260" i="1"/>
  <c r="AG582" i="1"/>
  <c r="AD1260" i="1"/>
  <c r="AA1195" i="1"/>
  <c r="AD1195" i="1"/>
  <c r="AD581" i="1"/>
  <c r="AG727" i="1"/>
  <c r="AA106" i="1"/>
  <c r="AA713" i="1"/>
  <c r="AG1152" i="1"/>
  <c r="AG1202" i="1"/>
  <c r="AG277" i="1"/>
  <c r="AA553" i="1"/>
  <c r="AA712" i="1"/>
  <c r="AD564" i="1"/>
  <c r="AD1214" i="1"/>
  <c r="AD1130" i="1"/>
  <c r="AD405" i="1"/>
  <c r="AD276" i="1"/>
  <c r="AG1186" i="1"/>
  <c r="AG1151" i="1"/>
  <c r="AG658" i="1"/>
  <c r="AG1130" i="1"/>
  <c r="AG405" i="1"/>
  <c r="AG276" i="1"/>
  <c r="AA560" i="1"/>
  <c r="AA551" i="1"/>
  <c r="AD1208" i="1"/>
  <c r="AD404" i="1"/>
  <c r="AD34" i="1"/>
  <c r="AA546" i="1"/>
  <c r="AD1203" i="1"/>
  <c r="AA545" i="1"/>
  <c r="AA105" i="1"/>
  <c r="AD545" i="1"/>
  <c r="AD1131" i="1"/>
  <c r="AA1101" i="1"/>
  <c r="AA1070" i="1"/>
  <c r="AA1203" i="1"/>
  <c r="AD1152" i="1"/>
  <c r="AD106" i="1"/>
  <c r="AD32" i="1"/>
  <c r="AG32" i="1"/>
  <c r="AA518" i="1"/>
  <c r="AA33" i="1"/>
  <c r="AD658" i="1"/>
  <c r="AD1202" i="1"/>
  <c r="AG1131" i="1"/>
  <c r="AA564" i="1"/>
  <c r="AA698" i="1"/>
  <c r="AD553" i="1"/>
  <c r="AG1214" i="1"/>
  <c r="AA1075" i="1"/>
  <c r="AA277" i="1"/>
  <c r="AD1151" i="1"/>
  <c r="AD713" i="1"/>
  <c r="AD699" i="1"/>
  <c r="AD399" i="1"/>
  <c r="AD105" i="1"/>
  <c r="AD33" i="1"/>
  <c r="AG699" i="1"/>
  <c r="AA1186" i="1"/>
  <c r="AD712" i="1"/>
  <c r="AD698" i="1"/>
  <c r="AG662" i="1"/>
  <c r="AA662" i="1"/>
  <c r="AF537" i="1"/>
  <c r="AC537" i="1"/>
  <c r="AG367" i="1"/>
  <c r="AD367" i="1"/>
  <c r="AA367" i="1"/>
  <c r="AF367" i="1"/>
  <c r="AC367" i="1"/>
  <c r="Z367" i="1"/>
  <c r="AG344" i="1"/>
  <c r="AD344" i="1"/>
  <c r="AA344" i="1"/>
  <c r="AF344" i="1"/>
  <c r="AC344" i="1"/>
  <c r="Z344" i="1"/>
  <c r="AF86" i="1"/>
  <c r="AC86" i="1"/>
  <c r="AG86" i="1"/>
  <c r="AD86" i="1"/>
  <c r="X57" i="6"/>
  <c r="X49" i="6"/>
  <c r="W29" i="6"/>
  <c r="Z38" i="6"/>
  <c r="AC27" i="6"/>
  <c r="Z39" i="6"/>
  <c r="Z44" i="6"/>
  <c r="X44" i="6"/>
  <c r="X38" i="6"/>
  <c r="AC55" i="6"/>
  <c r="Z50" i="6"/>
  <c r="X26" i="6"/>
  <c r="AC47" i="6"/>
  <c r="Z41" i="6"/>
  <c r="X55" i="6"/>
  <c r="AC52" i="6"/>
  <c r="W50" i="6"/>
  <c r="X47" i="6"/>
  <c r="Z27" i="6"/>
  <c r="Z52" i="6"/>
  <c r="Z40" i="6"/>
  <c r="Z37" i="6"/>
  <c r="Z33" i="6"/>
  <c r="AC28" i="6"/>
  <c r="W27" i="6"/>
  <c r="AC25" i="6"/>
  <c r="W24" i="6"/>
  <c r="AC57" i="6"/>
  <c r="AC54" i="6"/>
  <c r="W52" i="6"/>
  <c r="AC49" i="6"/>
  <c r="Z46" i="6"/>
  <c r="Z43" i="6"/>
  <c r="X40" i="6"/>
  <c r="W32" i="6"/>
  <c r="Z57" i="6"/>
  <c r="Z54" i="6"/>
  <c r="Z49" i="6"/>
  <c r="X46" i="6"/>
  <c r="X36" i="6"/>
  <c r="AC29" i="6"/>
  <c r="X28" i="6"/>
  <c r="Z25" i="6"/>
  <c r="X54" i="6"/>
  <c r="X51" i="6"/>
  <c r="Z42" i="6"/>
  <c r="X25" i="6"/>
  <c r="W51" i="6"/>
  <c r="Z45" i="6"/>
  <c r="X42" i="6"/>
  <c r="Z35" i="6"/>
  <c r="Z29" i="6"/>
  <c r="Z26" i="6"/>
  <c r="Z55" i="6"/>
  <c r="AC50" i="6"/>
  <c r="Z47" i="6"/>
  <c r="AC45" i="6"/>
  <c r="AC43" i="6"/>
  <c r="AC41" i="6"/>
  <c r="AC39" i="6"/>
  <c r="AC37" i="6"/>
  <c r="AC35" i="6"/>
  <c r="AC33" i="6"/>
  <c r="AC30" i="6"/>
  <c r="Z28" i="6"/>
  <c r="W26" i="6"/>
  <c r="AC31" i="6"/>
  <c r="AC23" i="6"/>
  <c r="AC53" i="6"/>
  <c r="AC56" i="6"/>
  <c r="Z53" i="6"/>
  <c r="AC48" i="6"/>
  <c r="AC32" i="6"/>
  <c r="Z30" i="6"/>
  <c r="AC24" i="6"/>
  <c r="Z56" i="6"/>
  <c r="X53" i="6"/>
  <c r="AC51" i="6"/>
  <c r="Z48" i="6"/>
  <c r="Z31" i="6"/>
  <c r="X30" i="6"/>
  <c r="Z23" i="6"/>
  <c r="X56" i="6"/>
  <c r="X48" i="6"/>
  <c r="AC36" i="6"/>
  <c r="AC34" i="6"/>
  <c r="Z32" i="6"/>
  <c r="X31" i="6"/>
  <c r="Z24" i="6"/>
  <c r="X23" i="6"/>
  <c r="Z1179" i="1"/>
  <c r="AF1179" i="1"/>
  <c r="AD22" i="6"/>
  <c r="AA22" i="6"/>
  <c r="X22" i="6"/>
  <c r="AC22" i="6"/>
  <c r="Z22" i="6"/>
  <c r="W22" i="6"/>
  <c r="AD21" i="6"/>
  <c r="AA21" i="6"/>
  <c r="X21" i="6"/>
  <c r="AC21" i="6"/>
  <c r="Z21" i="6"/>
  <c r="W21" i="6"/>
  <c r="AD20" i="6"/>
  <c r="AA20" i="6"/>
  <c r="X20" i="6"/>
  <c r="AC20" i="6"/>
  <c r="Z20" i="6"/>
  <c r="W20" i="6"/>
  <c r="AD19" i="6"/>
  <c r="AA19" i="6"/>
  <c r="X19" i="6"/>
  <c r="AC19" i="6"/>
  <c r="Z19" i="6"/>
  <c r="W19" i="6"/>
  <c r="AC18" i="6"/>
  <c r="Z18" i="6"/>
  <c r="W18" i="6"/>
  <c r="AC17" i="6"/>
  <c r="Z17" i="6"/>
  <c r="W17" i="6"/>
  <c r="AD16" i="6"/>
  <c r="AA16" i="6"/>
  <c r="X16" i="6"/>
  <c r="AC16" i="6"/>
  <c r="Z16" i="6"/>
  <c r="W16" i="6"/>
  <c r="AD15" i="6"/>
  <c r="AA15" i="6"/>
  <c r="X15" i="6"/>
  <c r="AC15" i="6"/>
  <c r="Z15" i="6"/>
  <c r="W15" i="6"/>
  <c r="AD6" i="6"/>
  <c r="AA6" i="6"/>
  <c r="X6" i="6"/>
  <c r="AC6" i="6"/>
  <c r="Z6" i="6"/>
  <c r="W6" i="6"/>
  <c r="AD5" i="6"/>
  <c r="AA5" i="6"/>
  <c r="X5" i="6"/>
  <c r="AC5" i="6"/>
  <c r="Z5" i="6"/>
  <c r="W5" i="6"/>
  <c r="AD14" i="6"/>
  <c r="AA14" i="6"/>
  <c r="X14" i="6"/>
  <c r="AC14" i="6"/>
  <c r="Z14" i="6"/>
  <c r="W14" i="6"/>
  <c r="AD13" i="6"/>
  <c r="AA13" i="6"/>
  <c r="X13" i="6"/>
  <c r="AC13" i="6"/>
  <c r="Z13" i="6"/>
  <c r="W13" i="6"/>
  <c r="AD12" i="6"/>
  <c r="AA12" i="6"/>
  <c r="X12" i="6"/>
  <c r="AC12" i="6"/>
  <c r="Z12" i="6"/>
  <c r="W12" i="6"/>
  <c r="AD4" i="6"/>
  <c r="AA4" i="6"/>
  <c r="X4" i="6"/>
  <c r="AC4" i="6"/>
  <c r="Z4" i="6"/>
  <c r="W4" i="6"/>
  <c r="AD11" i="6"/>
  <c r="AA11" i="6"/>
  <c r="X11" i="6"/>
  <c r="AC11" i="6"/>
  <c r="Z11" i="6"/>
  <c r="W11" i="6"/>
  <c r="AD10" i="6"/>
  <c r="AA10" i="6"/>
  <c r="X10" i="6"/>
  <c r="AC10" i="6"/>
  <c r="Z10" i="6"/>
  <c r="W10" i="6"/>
  <c r="AD9" i="6"/>
  <c r="AA9" i="6"/>
  <c r="X9" i="6"/>
  <c r="AC9" i="6"/>
  <c r="Z9" i="6"/>
  <c r="W9" i="6"/>
  <c r="AD8" i="6"/>
  <c r="AA8" i="6"/>
  <c r="X8" i="6"/>
  <c r="AC8" i="6"/>
  <c r="Z8" i="6"/>
  <c r="W8" i="6"/>
  <c r="AD3" i="6"/>
  <c r="AA3" i="6"/>
  <c r="X3" i="6"/>
  <c r="AC3" i="6"/>
  <c r="Z3" i="6"/>
  <c r="W3" i="6"/>
  <c r="AD2" i="6"/>
  <c r="AA2" i="6"/>
  <c r="X2" i="6"/>
  <c r="AC2" i="6"/>
  <c r="Z2" i="6"/>
  <c r="W2" i="6"/>
  <c r="AD7" i="6"/>
  <c r="AA7" i="6"/>
  <c r="X7" i="6"/>
  <c r="AC7" i="6"/>
  <c r="Z7" i="6"/>
  <c r="W7" i="6"/>
  <c r="AG14" i="1"/>
  <c r="AD14" i="1"/>
  <c r="AA14" i="1"/>
  <c r="AG3" i="1"/>
  <c r="AD3" i="1"/>
  <c r="AA3" i="1"/>
  <c r="AG18" i="1"/>
  <c r="AD18" i="1"/>
  <c r="AA18" i="1"/>
  <c r="AG2" i="1"/>
  <c r="AD2" i="1"/>
  <c r="AA2" i="1"/>
  <c r="AG19" i="1"/>
  <c r="AD19" i="1"/>
  <c r="AA19" i="1"/>
  <c r="AG15" i="1"/>
  <c r="AD15" i="1"/>
  <c r="AA15" i="1"/>
  <c r="AG13" i="1"/>
  <c r="AD13" i="1"/>
  <c r="AA13" i="1"/>
  <c r="AG17" i="1"/>
  <c r="AD17" i="1"/>
  <c r="AA17" i="1"/>
  <c r="AG12" i="1"/>
  <c r="AD12" i="1"/>
  <c r="AA12" i="1"/>
  <c r="AG16" i="1"/>
  <c r="AD16" i="1"/>
  <c r="AA16" i="1"/>
  <c r="AG52" i="1"/>
  <c r="AD52" i="1"/>
  <c r="AA52" i="1"/>
  <c r="AG48" i="1"/>
  <c r="AD48" i="1"/>
  <c r="AA48" i="1"/>
  <c r="AG40" i="1"/>
  <c r="AD40" i="1"/>
  <c r="AA40" i="1"/>
  <c r="AG50" i="1"/>
  <c r="AD50" i="1"/>
  <c r="AA50" i="1"/>
  <c r="AG51" i="1"/>
  <c r="AD51" i="1"/>
  <c r="AA51" i="1"/>
  <c r="AG39" i="1"/>
  <c r="AD39" i="1"/>
  <c r="AA39" i="1"/>
  <c r="AG41" i="1"/>
  <c r="AD41" i="1"/>
  <c r="AA41" i="1"/>
  <c r="AG47" i="1"/>
  <c r="AD47" i="1"/>
  <c r="AA47" i="1"/>
  <c r="AG53" i="1"/>
  <c r="AD53" i="1"/>
  <c r="AA53" i="1"/>
  <c r="AG54" i="1"/>
  <c r="AD54" i="1"/>
  <c r="AA54" i="1"/>
  <c r="AG49" i="1"/>
  <c r="AD49" i="1"/>
  <c r="AA49" i="1"/>
  <c r="AG42" i="1"/>
  <c r="AD42" i="1"/>
  <c r="AA42" i="1"/>
  <c r="AG60" i="1"/>
  <c r="AA60" i="1"/>
  <c r="AG70" i="1"/>
  <c r="AD70" i="1"/>
  <c r="AA70" i="1"/>
  <c r="AG76" i="1"/>
  <c r="AD76" i="1"/>
  <c r="AA76" i="1"/>
  <c r="AG77" i="1"/>
  <c r="AD77" i="1"/>
  <c r="AA77" i="1"/>
  <c r="AG59" i="1"/>
  <c r="AD59" i="1"/>
  <c r="AA59" i="1"/>
  <c r="AG73" i="1"/>
  <c r="AD73" i="1"/>
  <c r="AA73" i="1"/>
  <c r="AA58" i="1"/>
  <c r="AG75" i="1"/>
  <c r="AD75" i="1"/>
  <c r="AA75" i="1"/>
  <c r="AG74" i="1"/>
  <c r="AD74" i="1"/>
  <c r="AA74" i="1"/>
  <c r="AG69" i="1"/>
  <c r="AD69" i="1"/>
  <c r="AA69" i="1"/>
  <c r="AG68" i="1"/>
  <c r="AD68" i="1"/>
  <c r="AA68" i="1"/>
  <c r="AG57" i="1"/>
  <c r="AD57" i="1"/>
  <c r="AA57" i="1"/>
  <c r="AG55" i="1"/>
  <c r="AD55" i="1"/>
  <c r="AA55" i="1"/>
  <c r="AG71" i="1"/>
  <c r="AD71" i="1"/>
  <c r="AA71" i="1"/>
  <c r="AG56" i="1"/>
  <c r="AD56" i="1"/>
  <c r="AA56" i="1"/>
  <c r="AG87" i="1"/>
  <c r="AD87" i="1"/>
  <c r="AA87" i="1"/>
  <c r="AG90" i="1"/>
  <c r="AD90" i="1"/>
  <c r="AA90" i="1"/>
  <c r="AG89" i="1"/>
  <c r="AD89" i="1"/>
  <c r="AA89" i="1"/>
  <c r="AG91" i="1"/>
  <c r="AD91" i="1"/>
  <c r="AA91" i="1"/>
  <c r="AG80" i="1"/>
  <c r="AD80" i="1"/>
  <c r="AA80" i="1"/>
  <c r="AG92" i="1"/>
  <c r="AD92" i="1"/>
  <c r="AA92" i="1"/>
  <c r="AG88" i="1"/>
  <c r="AD88" i="1"/>
  <c r="AA88" i="1"/>
  <c r="AG158" i="1"/>
  <c r="AD158" i="1"/>
  <c r="AA158" i="1"/>
  <c r="AG156" i="1"/>
  <c r="AD156" i="1"/>
  <c r="AA156" i="1"/>
  <c r="AG143" i="1"/>
  <c r="AD143" i="1"/>
  <c r="AA143" i="1"/>
  <c r="AG151" i="1"/>
  <c r="AD151" i="1"/>
  <c r="AA151" i="1"/>
  <c r="AG140" i="1"/>
  <c r="AD140" i="1"/>
  <c r="AA140" i="1"/>
  <c r="AG149" i="1"/>
  <c r="AD149" i="1"/>
  <c r="AA149" i="1"/>
  <c r="AG157" i="1"/>
  <c r="AD157" i="1"/>
  <c r="AA157" i="1"/>
  <c r="AG112" i="1"/>
  <c r="AD112" i="1"/>
  <c r="AA112" i="1"/>
  <c r="AG144" i="1"/>
  <c r="AD144" i="1"/>
  <c r="AA144" i="1"/>
  <c r="AG154" i="1"/>
  <c r="AD154" i="1"/>
  <c r="AA154" i="1"/>
  <c r="AG133" i="1"/>
  <c r="AD133" i="1"/>
  <c r="AA133" i="1"/>
  <c r="AG155" i="1"/>
  <c r="AD155" i="1"/>
  <c r="AA155" i="1"/>
  <c r="AG146" i="1"/>
  <c r="AD146" i="1"/>
  <c r="AA146" i="1"/>
  <c r="AG138" i="1"/>
  <c r="AD138" i="1"/>
  <c r="AA138" i="1"/>
  <c r="AG141" i="1"/>
  <c r="AD141" i="1"/>
  <c r="AA141" i="1"/>
  <c r="AG135" i="1"/>
  <c r="AD135" i="1"/>
  <c r="AA135" i="1"/>
  <c r="AG152" i="1"/>
  <c r="AD152" i="1"/>
  <c r="AA152" i="1"/>
  <c r="AG147" i="1"/>
  <c r="AD147" i="1"/>
  <c r="AA147" i="1"/>
  <c r="AG150" i="1"/>
  <c r="AD150" i="1"/>
  <c r="AA150" i="1"/>
  <c r="AG148" i="1"/>
  <c r="AD148" i="1"/>
  <c r="AA148" i="1"/>
  <c r="AG142" i="1"/>
  <c r="AD142" i="1"/>
  <c r="AA142" i="1"/>
  <c r="AG153" i="1"/>
  <c r="AD153" i="1"/>
  <c r="AA153" i="1"/>
  <c r="AG175" i="1"/>
  <c r="AD175" i="1"/>
  <c r="AA175" i="1"/>
  <c r="AG247" i="1"/>
  <c r="AD247" i="1"/>
  <c r="AA247" i="1"/>
  <c r="AG269" i="1"/>
  <c r="AD269" i="1"/>
  <c r="AA269" i="1"/>
  <c r="AG260" i="1"/>
  <c r="AD260" i="1"/>
  <c r="AA260" i="1"/>
  <c r="AG250" i="1"/>
  <c r="AD250" i="1"/>
  <c r="AA250" i="1"/>
  <c r="AG223" i="1"/>
  <c r="AD223" i="1"/>
  <c r="AA223" i="1"/>
  <c r="AG258" i="1"/>
  <c r="AD258" i="1"/>
  <c r="AA258" i="1"/>
  <c r="AG264" i="1"/>
  <c r="AD264" i="1"/>
  <c r="AA264" i="1"/>
  <c r="AG267" i="1"/>
  <c r="AD267" i="1"/>
  <c r="AA267" i="1"/>
  <c r="AG228" i="1"/>
  <c r="AD228" i="1"/>
  <c r="AA228" i="1"/>
  <c r="AG266" i="1"/>
  <c r="AD266" i="1"/>
  <c r="AA266" i="1"/>
  <c r="AG251" i="1"/>
  <c r="AD251" i="1"/>
  <c r="AA251" i="1"/>
  <c r="AG249" i="1"/>
  <c r="AD249" i="1"/>
  <c r="AA249" i="1"/>
  <c r="AG220" i="1"/>
  <c r="AD220" i="1"/>
  <c r="AA220" i="1"/>
  <c r="AG168" i="1"/>
  <c r="AD168" i="1"/>
  <c r="AA168" i="1"/>
  <c r="AG253" i="1"/>
  <c r="AD253" i="1"/>
  <c r="AA253" i="1"/>
  <c r="AG272" i="1"/>
  <c r="AD272" i="1"/>
  <c r="AA272" i="1"/>
  <c r="AG265" i="1"/>
  <c r="AD265" i="1"/>
  <c r="AA265" i="1"/>
  <c r="AG270" i="1"/>
  <c r="AD270" i="1"/>
  <c r="AA270" i="1"/>
  <c r="AG180" i="1"/>
  <c r="AD180" i="1"/>
  <c r="AA180" i="1"/>
  <c r="AG245" i="1"/>
  <c r="AD245" i="1"/>
  <c r="AA245" i="1"/>
  <c r="AG225" i="1"/>
  <c r="AD225" i="1"/>
  <c r="AA225" i="1"/>
  <c r="AG257" i="1"/>
  <c r="AD257" i="1"/>
  <c r="AA257" i="1"/>
  <c r="AG255" i="1"/>
  <c r="AD255" i="1"/>
  <c r="AA255" i="1"/>
  <c r="AG263" i="1"/>
  <c r="AD263" i="1"/>
  <c r="AA263" i="1"/>
  <c r="AG229" i="1"/>
  <c r="AD229" i="1"/>
  <c r="AA229" i="1"/>
  <c r="AG181" i="1"/>
  <c r="AD181" i="1"/>
  <c r="AA181" i="1"/>
  <c r="AG172" i="1"/>
  <c r="AD172" i="1"/>
  <c r="AA172" i="1"/>
  <c r="AG236" i="1"/>
  <c r="AD236" i="1"/>
  <c r="AA236" i="1"/>
  <c r="AG219" i="1"/>
  <c r="AD219" i="1"/>
  <c r="AA219" i="1"/>
  <c r="AG259" i="1"/>
  <c r="AD259" i="1"/>
  <c r="AA259" i="1"/>
  <c r="AG176" i="1"/>
  <c r="AD176" i="1"/>
  <c r="AA176" i="1"/>
  <c r="AG226" i="1"/>
  <c r="AD226" i="1"/>
  <c r="AA226" i="1"/>
  <c r="AG262" i="1"/>
  <c r="AD262" i="1"/>
  <c r="AA262" i="1"/>
  <c r="AG261" i="1"/>
  <c r="AD261" i="1"/>
  <c r="AA261" i="1"/>
  <c r="AG240" i="1"/>
  <c r="AD240" i="1"/>
  <c r="AA240" i="1"/>
  <c r="AG256" i="1"/>
  <c r="AD256" i="1"/>
  <c r="AA256" i="1"/>
  <c r="AG237" i="1"/>
  <c r="AD237" i="1"/>
  <c r="AA237" i="1"/>
  <c r="AG235" i="1"/>
  <c r="AD235" i="1"/>
  <c r="AA235" i="1"/>
  <c r="AG252" i="1"/>
  <c r="AD252" i="1"/>
  <c r="AA252" i="1"/>
  <c r="AG218" i="1"/>
  <c r="AD218" i="1"/>
  <c r="AA218" i="1"/>
  <c r="AG231" i="1"/>
  <c r="AD231" i="1"/>
  <c r="AA231" i="1"/>
  <c r="AG224" i="1"/>
  <c r="AD224" i="1"/>
  <c r="AA224" i="1"/>
  <c r="AG271" i="1"/>
  <c r="AD271" i="1"/>
  <c r="AA271" i="1"/>
  <c r="AG216" i="1"/>
  <c r="AD216" i="1"/>
  <c r="AA216" i="1"/>
  <c r="AG268" i="1"/>
  <c r="AD268" i="1"/>
  <c r="AA268" i="1"/>
  <c r="AG234" i="1"/>
  <c r="AD234" i="1"/>
  <c r="AA234" i="1"/>
  <c r="AG171" i="1"/>
  <c r="AD171" i="1"/>
  <c r="AA171" i="1"/>
  <c r="AG243" i="1"/>
  <c r="AD243" i="1"/>
  <c r="AA243" i="1"/>
  <c r="AG222" i="1"/>
  <c r="AD222" i="1"/>
  <c r="AA222" i="1"/>
  <c r="AG169" i="1"/>
  <c r="AD169" i="1"/>
  <c r="AA169" i="1"/>
  <c r="AG241" i="1"/>
  <c r="AD241" i="1"/>
  <c r="AA241" i="1"/>
  <c r="AG239" i="1"/>
  <c r="AD239" i="1"/>
  <c r="AA239" i="1"/>
  <c r="AG227" i="1"/>
  <c r="AD227" i="1"/>
  <c r="AA227" i="1"/>
  <c r="AG232" i="1"/>
  <c r="AD232" i="1"/>
  <c r="AA232" i="1"/>
  <c r="AG170" i="1"/>
  <c r="AD170" i="1"/>
  <c r="AA170" i="1"/>
  <c r="AG217" i="1"/>
  <c r="AD217" i="1"/>
  <c r="AA217" i="1"/>
  <c r="AG230" i="1"/>
  <c r="AD230" i="1"/>
  <c r="AA230" i="1"/>
  <c r="AG167" i="1"/>
  <c r="AD167" i="1"/>
  <c r="AA167" i="1"/>
  <c r="AG233" i="1"/>
  <c r="AD233" i="1"/>
  <c r="AA233" i="1"/>
  <c r="AG246" i="1"/>
  <c r="AD246" i="1"/>
  <c r="AA246" i="1"/>
  <c r="AG238" i="1"/>
  <c r="AD238" i="1"/>
  <c r="AA238" i="1"/>
  <c r="AG174" i="1"/>
  <c r="AD174" i="1"/>
  <c r="AA174" i="1"/>
  <c r="AG248" i="1"/>
  <c r="AD248" i="1"/>
  <c r="AA248" i="1"/>
  <c r="AG254" i="1"/>
  <c r="AD254" i="1"/>
  <c r="AA254" i="1"/>
  <c r="AG244" i="1"/>
  <c r="AD244" i="1"/>
  <c r="AA244" i="1"/>
  <c r="AG242" i="1"/>
  <c r="AD242" i="1"/>
  <c r="AA242" i="1"/>
  <c r="AG328" i="1"/>
  <c r="AD328" i="1"/>
  <c r="AA328" i="1"/>
  <c r="AG325" i="1"/>
  <c r="AD325" i="1"/>
  <c r="AA325" i="1"/>
  <c r="AG301" i="1"/>
  <c r="AD301" i="1"/>
  <c r="AA301" i="1"/>
  <c r="AG324" i="1"/>
  <c r="AD324" i="1"/>
  <c r="AA324" i="1"/>
  <c r="AG338" i="1"/>
  <c r="AD338" i="1"/>
  <c r="AA338" i="1"/>
  <c r="AG334" i="1"/>
  <c r="AD334" i="1"/>
  <c r="AA334" i="1"/>
  <c r="AG340" i="1"/>
  <c r="AD340" i="1"/>
  <c r="AA340" i="1"/>
  <c r="AG337" i="1"/>
  <c r="AD337" i="1"/>
  <c r="AA337" i="1"/>
  <c r="AG329" i="1"/>
  <c r="AD329" i="1"/>
  <c r="AA329" i="1"/>
  <c r="AG330" i="1"/>
  <c r="AD330" i="1"/>
  <c r="AA330" i="1"/>
  <c r="AG331" i="1"/>
  <c r="AD331" i="1"/>
  <c r="AA331" i="1"/>
  <c r="AG339" i="1"/>
  <c r="AD339" i="1"/>
  <c r="AA339" i="1"/>
  <c r="AG290" i="1"/>
  <c r="AD290" i="1"/>
  <c r="AA290" i="1"/>
  <c r="AG342" i="1"/>
  <c r="AD342" i="1"/>
  <c r="AA342" i="1"/>
  <c r="AG335" i="1"/>
  <c r="AD335" i="1"/>
  <c r="AA335" i="1"/>
  <c r="AG327" i="1"/>
  <c r="AD327" i="1"/>
  <c r="AA327" i="1"/>
  <c r="AG326" i="1"/>
  <c r="AD326" i="1"/>
  <c r="AA326" i="1"/>
  <c r="AG343" i="1"/>
  <c r="AD343" i="1"/>
  <c r="AA343" i="1"/>
  <c r="AG346" i="1"/>
  <c r="AD346" i="1"/>
  <c r="AA346" i="1"/>
  <c r="AG352" i="1"/>
  <c r="AD352" i="1"/>
  <c r="AA352" i="1"/>
  <c r="AG349" i="1"/>
  <c r="AD349" i="1"/>
  <c r="AA349" i="1"/>
  <c r="AG371" i="1"/>
  <c r="AD371" i="1"/>
  <c r="AA371" i="1"/>
  <c r="AG369" i="1"/>
  <c r="AD369" i="1"/>
  <c r="AA369" i="1"/>
  <c r="AG347" i="1"/>
  <c r="AD347" i="1"/>
  <c r="AA347" i="1"/>
  <c r="AG348" i="1"/>
  <c r="AD348" i="1"/>
  <c r="AA348" i="1"/>
  <c r="AG372" i="1"/>
  <c r="AD372" i="1"/>
  <c r="AA372" i="1"/>
  <c r="AG370" i="1"/>
  <c r="AD370" i="1"/>
  <c r="AA370" i="1"/>
  <c r="AG350" i="1"/>
  <c r="AD350" i="1"/>
  <c r="AA350" i="1"/>
  <c r="AG345" i="1"/>
  <c r="AD345" i="1"/>
  <c r="AA345" i="1"/>
  <c r="AG368" i="1"/>
  <c r="AD368" i="1"/>
  <c r="AA368" i="1"/>
  <c r="AG351" i="1"/>
  <c r="AD351" i="1"/>
  <c r="AA351" i="1"/>
  <c r="AG384" i="1"/>
  <c r="AD384" i="1"/>
  <c r="AA384" i="1"/>
  <c r="AG395" i="1"/>
  <c r="AD395" i="1"/>
  <c r="AA395" i="1"/>
  <c r="AG394" i="1"/>
  <c r="AD394" i="1"/>
  <c r="AA394" i="1"/>
  <c r="AG383" i="1"/>
  <c r="AD383" i="1"/>
  <c r="AA383" i="1"/>
  <c r="AG390" i="1"/>
  <c r="AD390" i="1"/>
  <c r="AA390" i="1"/>
  <c r="AG396" i="1"/>
  <c r="AD396" i="1"/>
  <c r="AA396" i="1"/>
  <c r="AG391" i="1"/>
  <c r="AD391" i="1"/>
  <c r="AA391" i="1"/>
  <c r="AG382" i="1"/>
  <c r="AD382" i="1"/>
  <c r="AA382" i="1"/>
  <c r="AG392" i="1"/>
  <c r="AD392" i="1"/>
  <c r="AA392" i="1"/>
  <c r="AG393" i="1"/>
  <c r="AD393" i="1"/>
  <c r="AA393" i="1"/>
  <c r="AG381" i="1"/>
  <c r="AD381" i="1"/>
  <c r="AA381" i="1"/>
  <c r="AG397" i="1"/>
  <c r="AD397" i="1"/>
  <c r="AA397" i="1"/>
  <c r="AG435" i="1"/>
  <c r="AD435" i="1"/>
  <c r="AA435" i="1"/>
  <c r="AG419" i="1"/>
  <c r="AD419" i="1"/>
  <c r="AA419" i="1"/>
  <c r="AG424" i="1"/>
  <c r="AD424" i="1"/>
  <c r="AA424" i="1"/>
  <c r="AG432" i="1"/>
  <c r="AD432" i="1"/>
  <c r="AA432" i="1"/>
  <c r="AG423" i="1"/>
  <c r="AD423" i="1"/>
  <c r="AA423" i="1"/>
  <c r="AG436" i="1"/>
  <c r="AD436" i="1"/>
  <c r="AA436" i="1"/>
  <c r="AG434" i="1"/>
  <c r="AD434" i="1"/>
  <c r="AA434" i="1"/>
  <c r="AG433" i="1"/>
  <c r="AD433" i="1"/>
  <c r="AA433" i="1"/>
  <c r="AG466" i="1"/>
  <c r="AD466" i="1"/>
  <c r="AA466" i="1"/>
  <c r="AG465" i="1"/>
  <c r="AD465" i="1"/>
  <c r="AA465" i="1"/>
  <c r="AG490" i="1"/>
  <c r="AD490" i="1"/>
  <c r="AA490" i="1"/>
  <c r="AG494" i="1"/>
  <c r="AD494" i="1"/>
  <c r="AA494" i="1"/>
  <c r="AG492" i="1"/>
  <c r="AD492" i="1"/>
  <c r="AA492" i="1"/>
  <c r="AG480" i="1"/>
  <c r="AD480" i="1"/>
  <c r="AA480" i="1"/>
  <c r="AG462" i="1"/>
  <c r="AD462" i="1"/>
  <c r="AA462" i="1"/>
  <c r="AG484" i="1"/>
  <c r="AD484" i="1"/>
  <c r="AA484" i="1"/>
  <c r="AG468" i="1"/>
  <c r="AD468" i="1"/>
  <c r="AA468" i="1"/>
  <c r="AG489" i="1"/>
  <c r="AD489" i="1"/>
  <c r="AA489" i="1"/>
  <c r="AG475" i="1"/>
  <c r="AD475" i="1"/>
  <c r="AA475" i="1"/>
  <c r="AG470" i="1"/>
  <c r="AD470" i="1"/>
  <c r="AA470" i="1"/>
  <c r="AG467" i="1"/>
  <c r="AD467" i="1"/>
  <c r="AA467" i="1"/>
  <c r="AG472" i="1"/>
  <c r="AD472" i="1"/>
  <c r="AA472" i="1"/>
  <c r="AG493" i="1"/>
  <c r="AD493" i="1"/>
  <c r="AA493" i="1"/>
  <c r="AG482" i="1"/>
  <c r="AD482" i="1"/>
  <c r="AA482" i="1"/>
  <c r="AG461" i="1"/>
  <c r="AD461" i="1"/>
  <c r="AA461" i="1"/>
  <c r="AG491" i="1"/>
  <c r="AD491" i="1"/>
  <c r="AA491" i="1"/>
  <c r="AG469" i="1"/>
  <c r="AD469" i="1"/>
  <c r="AA469" i="1"/>
  <c r="AG478" i="1"/>
  <c r="AD478" i="1"/>
  <c r="AA478" i="1"/>
  <c r="AG474" i="1"/>
  <c r="AD474" i="1"/>
  <c r="AA474" i="1"/>
  <c r="AG495" i="1"/>
  <c r="AD495" i="1"/>
  <c r="AA495" i="1"/>
  <c r="AG488" i="1"/>
  <c r="AD488" i="1"/>
  <c r="AA488" i="1"/>
  <c r="AG473" i="1"/>
  <c r="AD473" i="1"/>
  <c r="AA473" i="1"/>
  <c r="AG464" i="1"/>
  <c r="AD464" i="1"/>
  <c r="AA464" i="1"/>
  <c r="AG471" i="1"/>
  <c r="AD471" i="1"/>
  <c r="AA471" i="1"/>
  <c r="AG438" i="1"/>
  <c r="AD438" i="1"/>
  <c r="AA438" i="1"/>
  <c r="AG481" i="1"/>
  <c r="AD481" i="1"/>
  <c r="AA481" i="1"/>
  <c r="AG486" i="1"/>
  <c r="AD486" i="1"/>
  <c r="AA486" i="1"/>
  <c r="AG445" i="1"/>
  <c r="AD445" i="1"/>
  <c r="AA445" i="1"/>
  <c r="AG487" i="1"/>
  <c r="AD487" i="1"/>
  <c r="AA487" i="1"/>
  <c r="AG463" i="1"/>
  <c r="AD463" i="1"/>
  <c r="AA463" i="1"/>
  <c r="AG485" i="1"/>
  <c r="AD485" i="1"/>
  <c r="AA485" i="1"/>
  <c r="AG477" i="1"/>
  <c r="AD477" i="1"/>
  <c r="AA477" i="1"/>
  <c r="AG479" i="1"/>
  <c r="AD479" i="1"/>
  <c r="AA479" i="1"/>
  <c r="AG483" i="1"/>
  <c r="AD483" i="1"/>
  <c r="AA483" i="1"/>
  <c r="AG496" i="1"/>
  <c r="AD496" i="1"/>
  <c r="AA496" i="1"/>
  <c r="AG476" i="1"/>
  <c r="AD476" i="1"/>
  <c r="AA476" i="1"/>
  <c r="AG594" i="1"/>
  <c r="AD594" i="1"/>
  <c r="AA594" i="1"/>
  <c r="AG636" i="1"/>
  <c r="AD636" i="1"/>
  <c r="AA636" i="1"/>
  <c r="AG634" i="1"/>
  <c r="AD634" i="1"/>
  <c r="AA634" i="1"/>
  <c r="AG626" i="1"/>
  <c r="AD626" i="1"/>
  <c r="AA626" i="1"/>
  <c r="AG637" i="1"/>
  <c r="AD637" i="1"/>
  <c r="AA637" i="1"/>
  <c r="AG630" i="1"/>
  <c r="AD630" i="1"/>
  <c r="AA630" i="1"/>
  <c r="AG617" i="1"/>
  <c r="AD617" i="1"/>
  <c r="AA617" i="1"/>
  <c r="AG635" i="1"/>
  <c r="AD635" i="1"/>
  <c r="AA635" i="1"/>
  <c r="AG624" i="1"/>
  <c r="AD624" i="1"/>
  <c r="AA624" i="1"/>
  <c r="AG629" i="1"/>
  <c r="AD629" i="1"/>
  <c r="AA629" i="1"/>
  <c r="AG631" i="1"/>
  <c r="AD631" i="1"/>
  <c r="AA631" i="1"/>
  <c r="AG625" i="1"/>
  <c r="AD625" i="1"/>
  <c r="AA625" i="1"/>
  <c r="AG633" i="1"/>
  <c r="AD633" i="1"/>
  <c r="AA633" i="1"/>
  <c r="AG627" i="1"/>
  <c r="AD627" i="1"/>
  <c r="AA627" i="1"/>
  <c r="AG623" i="1"/>
  <c r="AD623" i="1"/>
  <c r="AA623" i="1"/>
  <c r="AG632" i="1"/>
  <c r="AD632" i="1"/>
  <c r="AA632" i="1"/>
  <c r="AG628" i="1"/>
  <c r="AD628" i="1"/>
  <c r="AA628" i="1"/>
  <c r="AG591" i="1"/>
  <c r="AD591" i="1"/>
  <c r="AA591" i="1"/>
  <c r="AG680" i="1"/>
  <c r="AD680" i="1"/>
  <c r="AA680" i="1"/>
  <c r="AD695" i="1"/>
  <c r="AA695" i="1"/>
  <c r="AG690" i="1"/>
  <c r="AD690" i="1"/>
  <c r="AA690" i="1"/>
  <c r="AG683" i="1"/>
  <c r="AD683" i="1"/>
  <c r="AA683" i="1"/>
  <c r="AG687" i="1"/>
  <c r="AD687" i="1"/>
  <c r="AA687" i="1"/>
  <c r="AG678" i="1"/>
  <c r="AD678" i="1"/>
  <c r="AA678" i="1"/>
  <c r="AG676" i="1"/>
  <c r="AD676" i="1"/>
  <c r="AA676" i="1"/>
  <c r="AG693" i="1"/>
  <c r="AD693" i="1"/>
  <c r="AA693" i="1"/>
  <c r="AG694" i="1"/>
  <c r="AD694" i="1"/>
  <c r="AA694" i="1"/>
  <c r="AG681" i="1"/>
  <c r="AD681" i="1"/>
  <c r="AA681" i="1"/>
  <c r="AG686" i="1"/>
  <c r="AD686" i="1"/>
  <c r="AA686" i="1"/>
  <c r="AG691" i="1"/>
  <c r="AD691" i="1"/>
  <c r="AA691" i="1"/>
  <c r="AG675" i="1"/>
  <c r="AD675" i="1"/>
  <c r="AA675" i="1"/>
  <c r="AG682" i="1"/>
  <c r="AD682" i="1"/>
  <c r="AA682" i="1"/>
  <c r="AG679" i="1"/>
  <c r="AD679" i="1"/>
  <c r="AA679" i="1"/>
  <c r="AG689" i="1"/>
  <c r="AD689" i="1"/>
  <c r="AA689" i="1"/>
  <c r="AG692" i="1"/>
  <c r="AD692" i="1"/>
  <c r="AA692" i="1"/>
  <c r="AG685" i="1"/>
  <c r="AD685" i="1"/>
  <c r="AA685" i="1"/>
  <c r="AG684" i="1"/>
  <c r="AD684" i="1"/>
  <c r="AA684" i="1"/>
  <c r="AG736" i="1"/>
  <c r="AD736" i="1"/>
  <c r="AA736" i="1"/>
  <c r="AG787" i="1"/>
  <c r="AD787" i="1"/>
  <c r="AA787" i="1"/>
  <c r="AG756" i="1"/>
  <c r="AD756" i="1"/>
  <c r="AA756" i="1"/>
  <c r="AG755" i="1"/>
  <c r="AD755" i="1"/>
  <c r="AA755" i="1"/>
  <c r="AG749" i="1"/>
  <c r="AD749" i="1"/>
  <c r="AA749" i="1"/>
  <c r="AG747" i="1"/>
  <c r="AD747" i="1"/>
  <c r="AA747" i="1"/>
  <c r="AG742" i="1"/>
  <c r="AD742" i="1"/>
  <c r="AA742" i="1"/>
  <c r="AG748" i="1"/>
  <c r="AD748" i="1"/>
  <c r="AA748" i="1"/>
  <c r="AG757" i="1"/>
  <c r="AD757" i="1"/>
  <c r="AA757" i="1"/>
  <c r="AG750" i="1"/>
  <c r="AD750" i="1"/>
  <c r="AA750" i="1"/>
  <c r="AG761" i="1"/>
  <c r="AD761" i="1"/>
  <c r="AA761" i="1"/>
  <c r="AG751" i="1"/>
  <c r="AD751" i="1"/>
  <c r="AA751" i="1"/>
  <c r="AG753" i="1"/>
  <c r="AD753" i="1"/>
  <c r="AA753" i="1"/>
  <c r="AG743" i="1"/>
  <c r="AD743" i="1"/>
  <c r="AA743" i="1"/>
  <c r="AG745" i="1"/>
  <c r="AD745" i="1"/>
  <c r="AA745" i="1"/>
  <c r="AG737" i="1"/>
  <c r="AD737" i="1"/>
  <c r="AA737" i="1"/>
  <c r="AG752" i="1"/>
  <c r="AD752" i="1"/>
  <c r="AA752" i="1"/>
  <c r="AG744" i="1"/>
  <c r="AD744" i="1"/>
  <c r="AA744" i="1"/>
  <c r="AG759" i="1"/>
  <c r="AD759" i="1"/>
  <c r="AA759" i="1"/>
  <c r="AG740" i="1"/>
  <c r="AD740" i="1"/>
  <c r="AA740" i="1"/>
  <c r="AG741" i="1"/>
  <c r="AD741" i="1"/>
  <c r="AA741" i="1"/>
  <c r="AG758" i="1"/>
  <c r="AD758" i="1"/>
  <c r="AA758" i="1"/>
  <c r="AG760" i="1"/>
  <c r="AD760" i="1"/>
  <c r="AA760" i="1"/>
  <c r="AG754" i="1"/>
  <c r="AD754" i="1"/>
  <c r="AA754" i="1"/>
  <c r="AG738" i="1"/>
  <c r="AD738" i="1"/>
  <c r="AA738" i="1"/>
  <c r="AG739" i="1"/>
  <c r="AD739" i="1"/>
  <c r="AA739" i="1"/>
  <c r="AG795" i="1"/>
  <c r="AD795" i="1"/>
  <c r="AA795" i="1"/>
  <c r="AG834" i="1"/>
  <c r="AD834" i="1"/>
  <c r="AA834" i="1"/>
  <c r="AG802" i="1"/>
  <c r="AD802" i="1"/>
  <c r="AA802" i="1"/>
  <c r="AG796" i="1"/>
  <c r="AD796" i="1"/>
  <c r="AA796" i="1"/>
  <c r="AG811" i="1"/>
  <c r="AD811" i="1"/>
  <c r="AA811" i="1"/>
  <c r="AG828" i="1"/>
  <c r="AD828" i="1"/>
  <c r="AA828" i="1"/>
  <c r="AG813" i="1"/>
  <c r="AD813" i="1"/>
  <c r="AA813" i="1"/>
  <c r="AG797" i="1"/>
  <c r="AD797" i="1"/>
  <c r="AA797" i="1"/>
  <c r="AG824" i="1"/>
  <c r="AD824" i="1"/>
  <c r="AA824" i="1"/>
  <c r="AG825" i="1"/>
  <c r="AD825" i="1"/>
  <c r="AA825" i="1"/>
  <c r="AG829" i="1"/>
  <c r="AD829" i="1"/>
  <c r="AA829" i="1"/>
  <c r="AG839" i="1"/>
  <c r="AD839" i="1"/>
  <c r="AA839" i="1"/>
  <c r="AG820" i="1"/>
  <c r="AD820" i="1"/>
  <c r="AA820" i="1"/>
  <c r="AG826" i="1"/>
  <c r="AD826" i="1"/>
  <c r="AA826" i="1"/>
  <c r="AG819" i="1"/>
  <c r="AD819" i="1"/>
  <c r="AA819" i="1"/>
  <c r="AG812" i="1"/>
  <c r="AD812" i="1"/>
  <c r="AA812" i="1"/>
  <c r="AG798" i="1"/>
  <c r="AD798" i="1"/>
  <c r="AA798" i="1"/>
  <c r="AG799" i="1"/>
  <c r="AD799" i="1"/>
  <c r="AA799" i="1"/>
  <c r="AG835" i="1"/>
  <c r="AD835" i="1"/>
  <c r="AA835" i="1"/>
  <c r="AG830" i="1"/>
  <c r="AD830" i="1"/>
  <c r="AA830" i="1"/>
  <c r="AG814" i="1"/>
  <c r="AD814" i="1"/>
  <c r="AA814" i="1"/>
  <c r="AG800" i="1"/>
  <c r="AD800" i="1"/>
  <c r="AA800" i="1"/>
  <c r="AG836" i="1"/>
  <c r="AD836" i="1"/>
  <c r="AA836" i="1"/>
  <c r="AG837" i="1"/>
  <c r="AD837" i="1"/>
  <c r="AA837" i="1"/>
  <c r="AG815" i="1"/>
  <c r="AD815" i="1"/>
  <c r="AA815" i="1"/>
  <c r="AG821" i="1"/>
  <c r="AD821" i="1"/>
  <c r="AA821" i="1"/>
  <c r="AG817" i="1"/>
  <c r="AD817" i="1"/>
  <c r="AA817" i="1"/>
  <c r="AG818" i="1"/>
  <c r="AD818" i="1"/>
  <c r="AA818" i="1"/>
  <c r="AG823" i="1"/>
  <c r="AD823" i="1"/>
  <c r="AA823" i="1"/>
  <c r="AG803" i="1"/>
  <c r="AD803" i="1"/>
  <c r="AA803" i="1"/>
  <c r="AG801" i="1"/>
  <c r="AD801" i="1"/>
  <c r="AA801" i="1"/>
  <c r="AG790" i="1"/>
  <c r="AD790" i="1"/>
  <c r="AA790" i="1"/>
  <c r="AG792" i="1"/>
  <c r="AD792" i="1"/>
  <c r="AA792" i="1"/>
  <c r="AG822" i="1"/>
  <c r="AD822" i="1"/>
  <c r="AA822" i="1"/>
  <c r="AG793" i="1"/>
  <c r="AD793" i="1"/>
  <c r="AA793" i="1"/>
  <c r="AG816" i="1"/>
  <c r="AD816" i="1"/>
  <c r="AA816" i="1"/>
  <c r="AG831" i="1"/>
  <c r="AD831" i="1"/>
  <c r="AA831" i="1"/>
  <c r="AG838" i="1"/>
  <c r="AD838" i="1"/>
  <c r="AA838" i="1"/>
  <c r="AG832" i="1"/>
  <c r="AD832" i="1"/>
  <c r="AA832" i="1"/>
  <c r="AG804" i="1"/>
  <c r="AD804" i="1"/>
  <c r="AA804" i="1"/>
  <c r="AG827" i="1"/>
  <c r="AD827" i="1"/>
  <c r="AA827" i="1"/>
  <c r="AG794" i="1"/>
  <c r="AD794" i="1"/>
  <c r="AA794" i="1"/>
  <c r="AG791" i="1"/>
  <c r="AD791" i="1"/>
  <c r="AA791" i="1"/>
  <c r="AG840" i="1"/>
  <c r="AD840" i="1"/>
  <c r="AA840" i="1"/>
  <c r="AG841" i="1"/>
  <c r="AD841" i="1"/>
  <c r="AA841" i="1"/>
  <c r="AG893" i="1"/>
  <c r="AD893" i="1"/>
  <c r="AA893" i="1"/>
  <c r="AG922" i="1"/>
  <c r="AD922" i="1"/>
  <c r="AA922" i="1"/>
  <c r="AG934" i="1"/>
  <c r="AD934" i="1"/>
  <c r="AA934" i="1"/>
  <c r="AG842" i="1"/>
  <c r="AD842" i="1"/>
  <c r="AA842" i="1"/>
  <c r="AG911" i="1"/>
  <c r="AD911" i="1"/>
  <c r="AA911" i="1"/>
  <c r="AG843" i="1"/>
  <c r="AD843" i="1"/>
  <c r="AA843" i="1"/>
  <c r="AG930" i="1"/>
  <c r="AD930" i="1"/>
  <c r="AA930" i="1"/>
  <c r="AG913" i="1"/>
  <c r="AD913" i="1"/>
  <c r="AA913" i="1"/>
  <c r="AG892" i="1"/>
  <c r="AD892" i="1"/>
  <c r="AA892" i="1"/>
  <c r="AG923" i="1"/>
  <c r="AD923" i="1"/>
  <c r="AA923" i="1"/>
  <c r="AG906" i="1"/>
  <c r="AD906" i="1"/>
  <c r="AA906" i="1"/>
  <c r="AG901" i="1"/>
  <c r="AD901" i="1"/>
  <c r="AA901" i="1"/>
  <c r="AG909" i="1"/>
  <c r="AD909" i="1"/>
  <c r="AA909" i="1"/>
  <c r="AG908" i="1"/>
  <c r="AD908" i="1"/>
  <c r="AA908" i="1"/>
  <c r="AG912" i="1"/>
  <c r="AD912" i="1"/>
  <c r="AA912" i="1"/>
  <c r="AG903" i="1"/>
  <c r="AD903" i="1"/>
  <c r="AA903" i="1"/>
  <c r="AG924" i="1"/>
  <c r="AD924" i="1"/>
  <c r="AA924" i="1"/>
  <c r="AG894" i="1"/>
  <c r="AD894" i="1"/>
  <c r="AA894" i="1"/>
  <c r="AG902" i="1"/>
  <c r="AD902" i="1"/>
  <c r="AA902" i="1"/>
  <c r="AG925" i="1"/>
  <c r="AD925" i="1"/>
  <c r="AA925" i="1"/>
  <c r="AG867" i="1"/>
  <c r="AD867" i="1"/>
  <c r="AA867" i="1"/>
  <c r="AG904" i="1"/>
  <c r="AD904" i="1"/>
  <c r="AA904" i="1"/>
  <c r="AG895" i="1"/>
  <c r="AD895" i="1"/>
  <c r="AA895" i="1"/>
  <c r="AG900" i="1"/>
  <c r="AD900" i="1"/>
  <c r="AA900" i="1"/>
  <c r="AG846" i="1"/>
  <c r="AD846" i="1"/>
  <c r="AA846" i="1"/>
  <c r="AG888" i="1"/>
  <c r="AD888" i="1"/>
  <c r="AA888" i="1"/>
  <c r="AG887" i="1"/>
  <c r="AD887" i="1"/>
  <c r="AA887" i="1"/>
  <c r="AG919" i="1"/>
  <c r="AD919" i="1"/>
  <c r="AA919" i="1"/>
  <c r="AG896" i="1"/>
  <c r="AD896" i="1"/>
  <c r="AA896" i="1"/>
  <c r="AG929" i="1"/>
  <c r="AD929" i="1"/>
  <c r="AA929" i="1"/>
  <c r="AG927" i="1"/>
  <c r="AD927" i="1"/>
  <c r="AA927" i="1"/>
  <c r="AG886" i="1"/>
  <c r="AD886" i="1"/>
  <c r="AA886" i="1"/>
  <c r="AG918" i="1"/>
  <c r="AD918" i="1"/>
  <c r="AA918" i="1"/>
  <c r="AG936" i="1"/>
  <c r="AD936" i="1"/>
  <c r="AA936" i="1"/>
  <c r="AG907" i="1"/>
  <c r="AD907" i="1"/>
  <c r="AA907" i="1"/>
  <c r="AG891" i="1"/>
  <c r="AD891" i="1"/>
  <c r="AA891" i="1"/>
  <c r="AG938" i="1"/>
  <c r="AD938" i="1"/>
  <c r="AA938" i="1"/>
  <c r="AG914" i="1"/>
  <c r="AD914" i="1"/>
  <c r="AA914" i="1"/>
  <c r="AG915" i="1"/>
  <c r="AD915" i="1"/>
  <c r="AA915" i="1"/>
  <c r="AG935" i="1"/>
  <c r="AD935" i="1"/>
  <c r="AA935" i="1"/>
  <c r="AG920" i="1"/>
  <c r="AD920" i="1"/>
  <c r="AA920" i="1"/>
  <c r="AG937" i="1"/>
  <c r="AD937" i="1"/>
  <c r="AA937" i="1"/>
  <c r="AG916" i="1"/>
  <c r="AD916" i="1"/>
  <c r="AA916" i="1"/>
  <c r="AG926" i="1"/>
  <c r="AD926" i="1"/>
  <c r="AA926" i="1"/>
  <c r="AG931" i="1"/>
  <c r="AD931" i="1"/>
  <c r="AA931" i="1"/>
  <c r="AG845" i="1"/>
  <c r="AD845" i="1"/>
  <c r="AA845" i="1"/>
  <c r="AG899" i="1"/>
  <c r="AD899" i="1"/>
  <c r="AA899" i="1"/>
  <c r="AG910" i="1"/>
  <c r="AD910" i="1"/>
  <c r="AA910" i="1"/>
  <c r="AG932" i="1"/>
  <c r="AD932" i="1"/>
  <c r="AA932" i="1"/>
  <c r="AG905" i="1"/>
  <c r="AD905" i="1"/>
  <c r="AA905" i="1"/>
  <c r="AG898" i="1"/>
  <c r="AD898" i="1"/>
  <c r="AA898" i="1"/>
  <c r="AG917" i="1"/>
  <c r="AD917" i="1"/>
  <c r="AA917" i="1"/>
  <c r="AG897" i="1"/>
  <c r="AD897" i="1"/>
  <c r="AA897" i="1"/>
  <c r="AG921" i="1"/>
  <c r="AD921" i="1"/>
  <c r="AA921" i="1"/>
  <c r="AG933" i="1"/>
  <c r="AD933" i="1"/>
  <c r="AA933" i="1"/>
  <c r="AG981" i="1"/>
  <c r="AD981" i="1"/>
  <c r="AA981" i="1"/>
  <c r="AG946" i="1"/>
  <c r="AD946" i="1"/>
  <c r="AA946" i="1"/>
  <c r="AG952" i="1"/>
  <c r="AD952" i="1"/>
  <c r="AA952" i="1"/>
  <c r="AG1006" i="1"/>
  <c r="AD1006" i="1"/>
  <c r="AA1006" i="1"/>
  <c r="AG1009" i="1"/>
  <c r="AD1009" i="1"/>
  <c r="AA1009" i="1"/>
  <c r="AG940" i="1"/>
  <c r="AD940" i="1"/>
  <c r="AA940" i="1"/>
  <c r="AG941" i="1"/>
  <c r="AD941" i="1"/>
  <c r="AA941" i="1"/>
  <c r="AG953" i="1"/>
  <c r="AD953" i="1"/>
  <c r="AA953" i="1"/>
  <c r="AG948" i="1"/>
  <c r="AD948" i="1"/>
  <c r="AA948" i="1"/>
  <c r="AG961" i="1"/>
  <c r="AD961" i="1"/>
  <c r="AA961" i="1"/>
  <c r="AG1010" i="1"/>
  <c r="AD1010" i="1"/>
  <c r="AA1010" i="1"/>
  <c r="AG942" i="1"/>
  <c r="AD942" i="1"/>
  <c r="AA942" i="1"/>
  <c r="AG1000" i="1"/>
  <c r="AD1000" i="1"/>
  <c r="AA1000" i="1"/>
  <c r="AG1007" i="1"/>
  <c r="AD1007" i="1"/>
  <c r="AA1007" i="1"/>
  <c r="AG957" i="1"/>
  <c r="AD957" i="1"/>
  <c r="AA957" i="1"/>
  <c r="AG944" i="1"/>
  <c r="AD944" i="1"/>
  <c r="AA944" i="1"/>
  <c r="AG960" i="1"/>
  <c r="AD960" i="1"/>
  <c r="AA960" i="1"/>
  <c r="AG959" i="1"/>
  <c r="AD959" i="1"/>
  <c r="AA959" i="1"/>
  <c r="AG1003" i="1"/>
  <c r="AD1003" i="1"/>
  <c r="AA1003" i="1"/>
  <c r="AG1005" i="1"/>
  <c r="AD1005" i="1"/>
  <c r="AA1005" i="1"/>
  <c r="AG1008" i="1"/>
  <c r="AD1008" i="1"/>
  <c r="AA1008" i="1"/>
  <c r="AG939" i="1"/>
  <c r="AD939" i="1"/>
  <c r="AA939" i="1"/>
  <c r="AG949" i="1"/>
  <c r="AD949" i="1"/>
  <c r="AA949" i="1"/>
  <c r="AG958" i="1"/>
  <c r="AD958" i="1"/>
  <c r="AA958" i="1"/>
  <c r="AG943" i="1"/>
  <c r="AD943" i="1"/>
  <c r="AA943" i="1"/>
  <c r="AG1004" i="1"/>
  <c r="AD1004" i="1"/>
  <c r="AA1004" i="1"/>
  <c r="AG950" i="1"/>
  <c r="AD950" i="1"/>
  <c r="AA950" i="1"/>
  <c r="AG947" i="1"/>
  <c r="AD947" i="1"/>
  <c r="AA947" i="1"/>
  <c r="AG956" i="1"/>
  <c r="AD956" i="1"/>
  <c r="AA956" i="1"/>
  <c r="AG1011" i="1"/>
  <c r="AD1011" i="1"/>
  <c r="AA1011" i="1"/>
  <c r="AG954" i="1"/>
  <c r="AD954" i="1"/>
  <c r="AA954" i="1"/>
  <c r="AG1001" i="1"/>
  <c r="AD1001" i="1"/>
  <c r="AA1001" i="1"/>
  <c r="AG951" i="1"/>
  <c r="AD951" i="1"/>
  <c r="AA951" i="1"/>
  <c r="AG945" i="1"/>
  <c r="AD945" i="1"/>
  <c r="AA945" i="1"/>
  <c r="AG1002" i="1"/>
  <c r="AD1002" i="1"/>
  <c r="AA1002" i="1"/>
  <c r="AG955" i="1"/>
  <c r="AD955" i="1"/>
  <c r="AA955" i="1"/>
  <c r="AG1038" i="1"/>
  <c r="AD1038" i="1"/>
  <c r="AA1038" i="1"/>
  <c r="AG1037" i="1"/>
  <c r="AD1037" i="1"/>
  <c r="AA1037" i="1"/>
  <c r="AG1033" i="1"/>
  <c r="AD1033" i="1"/>
  <c r="AA1033" i="1"/>
  <c r="AG1035" i="1"/>
  <c r="AD1035" i="1"/>
  <c r="AA1035" i="1"/>
  <c r="AG1034" i="1"/>
  <c r="AD1034" i="1"/>
  <c r="AA1034" i="1"/>
  <c r="AG1036" i="1"/>
  <c r="AD1036" i="1"/>
  <c r="AA1036" i="1"/>
  <c r="AG1030" i="1"/>
  <c r="AD1030" i="1"/>
  <c r="AA1030" i="1"/>
  <c r="AG1012" i="1"/>
  <c r="AD1012" i="1"/>
  <c r="AA1012" i="1"/>
  <c r="AG1031" i="1"/>
  <c r="AD1031" i="1"/>
  <c r="AA1031" i="1"/>
  <c r="AG1022" i="1"/>
  <c r="AD1022" i="1"/>
  <c r="AA1022" i="1"/>
  <c r="AG1023" i="1"/>
  <c r="AD1023" i="1"/>
  <c r="AA1023" i="1"/>
  <c r="AG1026" i="1"/>
  <c r="AD1026" i="1"/>
  <c r="AA1026" i="1"/>
  <c r="AG1032" i="1"/>
  <c r="AD1032" i="1"/>
  <c r="AA1032" i="1"/>
  <c r="AG1029" i="1"/>
  <c r="AD1029" i="1"/>
  <c r="AA1029" i="1"/>
  <c r="AG1043" i="1"/>
  <c r="AD1043" i="1"/>
  <c r="AA1043" i="1"/>
  <c r="AG1050" i="1"/>
  <c r="AD1050" i="1"/>
  <c r="AA1050" i="1"/>
  <c r="AG1040" i="1"/>
  <c r="AD1040" i="1"/>
  <c r="AA1040" i="1"/>
  <c r="AG1041" i="1"/>
  <c r="AD1041" i="1"/>
  <c r="AA1041" i="1"/>
  <c r="AG1047" i="1"/>
  <c r="AD1047" i="1"/>
  <c r="AA1047" i="1"/>
  <c r="AG1044" i="1"/>
  <c r="AD1044" i="1"/>
  <c r="AA1044" i="1"/>
  <c r="AG1042" i="1"/>
  <c r="AD1042" i="1"/>
  <c r="AA1042" i="1"/>
  <c r="AG1067" i="1"/>
  <c r="AD1067" i="1"/>
  <c r="AA1067" i="1"/>
  <c r="AG1039" i="1"/>
  <c r="AD1039" i="1"/>
  <c r="AA1039" i="1"/>
  <c r="AG1045" i="1"/>
  <c r="AD1045" i="1"/>
  <c r="AA1045" i="1"/>
  <c r="AG1064" i="1"/>
  <c r="AD1064" i="1"/>
  <c r="AA1064" i="1"/>
  <c r="AG1048" i="1"/>
  <c r="AD1048" i="1"/>
  <c r="AA1048" i="1"/>
  <c r="AG1066" i="1"/>
  <c r="AD1066" i="1"/>
  <c r="AA1066" i="1"/>
  <c r="AG1053" i="1"/>
  <c r="AD1053" i="1"/>
  <c r="AA1053" i="1"/>
  <c r="AG1046" i="1"/>
  <c r="AD1046" i="1"/>
  <c r="AA1046" i="1"/>
  <c r="AG1049" i="1"/>
  <c r="AD1049" i="1"/>
  <c r="AA1049" i="1"/>
  <c r="AG1062" i="1"/>
  <c r="AD1062" i="1"/>
  <c r="AA1062" i="1"/>
  <c r="AG1061" i="1"/>
  <c r="AD1061" i="1"/>
  <c r="AA1061" i="1"/>
  <c r="AG1065" i="1"/>
  <c r="AD1065" i="1"/>
  <c r="AA1065" i="1"/>
  <c r="AG1063" i="1"/>
  <c r="AD1063" i="1"/>
  <c r="AA1063" i="1"/>
  <c r="AG1121" i="1"/>
  <c r="AD1121" i="1"/>
  <c r="AA1121" i="1"/>
  <c r="AG1110" i="1"/>
  <c r="AD1110" i="1"/>
  <c r="AA1110" i="1"/>
  <c r="AG1120" i="1"/>
  <c r="AD1120" i="1"/>
  <c r="AA1120" i="1"/>
  <c r="AG1123" i="1"/>
  <c r="AD1123" i="1"/>
  <c r="AA1123" i="1"/>
  <c r="AG1118" i="1"/>
  <c r="AD1118" i="1"/>
  <c r="AA1118" i="1"/>
  <c r="AG1122" i="1"/>
  <c r="AD1122" i="1"/>
  <c r="AA1122" i="1"/>
  <c r="AG1234" i="1"/>
  <c r="AA1234" i="1"/>
  <c r="AG1230" i="1"/>
  <c r="AD1230" i="1"/>
  <c r="AA1230" i="1"/>
  <c r="AG1241" i="1"/>
  <c r="AD1241" i="1"/>
  <c r="AA1241" i="1"/>
  <c r="AG1238" i="1"/>
  <c r="AD1238" i="1"/>
  <c r="AA1238" i="1"/>
  <c r="AG1239" i="1"/>
  <c r="AD1239" i="1"/>
  <c r="AA1239" i="1"/>
  <c r="AG1237" i="1"/>
  <c r="AD1237" i="1"/>
  <c r="AA1237" i="1"/>
  <c r="AG1240" i="1"/>
  <c r="AD1240" i="1"/>
  <c r="AA1240" i="1"/>
  <c r="AG1231" i="1"/>
  <c r="AD1231" i="1"/>
  <c r="AA1231" i="1"/>
  <c r="AG1229" i="1"/>
  <c r="AD1229" i="1"/>
  <c r="AA1229" i="1"/>
  <c r="AG1255" i="1"/>
  <c r="AD1255" i="1"/>
  <c r="AA1255" i="1"/>
  <c r="AG1246" i="1"/>
  <c r="AD1246" i="1"/>
  <c r="AA1246" i="1"/>
  <c r="AG1247" i="1"/>
  <c r="AD1247" i="1"/>
  <c r="AA1247" i="1"/>
  <c r="AG1244" i="1"/>
  <c r="AD1244" i="1"/>
  <c r="AA1244" i="1"/>
  <c r="AG1243" i="1"/>
  <c r="AD1243" i="1"/>
  <c r="AA1243" i="1"/>
  <c r="AG1256" i="1"/>
  <c r="AD1256" i="1"/>
  <c r="AA1256" i="1"/>
  <c r="AG1254" i="1"/>
  <c r="AD1254" i="1"/>
  <c r="AA1254" i="1"/>
  <c r="AG1245" i="1"/>
  <c r="AD1245" i="1"/>
  <c r="AA1245" i="1"/>
  <c r="AG1242" i="1"/>
  <c r="AD1242" i="1"/>
  <c r="AA1242" i="1"/>
  <c r="AG29" i="1"/>
  <c r="AD29" i="1"/>
  <c r="AA29" i="1"/>
  <c r="AG30" i="1"/>
  <c r="AD30" i="1"/>
  <c r="AA30" i="1"/>
  <c r="AG31" i="1"/>
  <c r="AD31" i="1"/>
  <c r="AA31" i="1"/>
  <c r="S23" i="1"/>
  <c r="S28" i="1"/>
  <c r="S21" i="1"/>
  <c r="S24" i="1"/>
  <c r="S26" i="1"/>
  <c r="S27" i="1"/>
  <c r="S20" i="1"/>
  <c r="S22" i="1"/>
  <c r="S25" i="1"/>
  <c r="S411" i="1"/>
  <c r="S410" i="1"/>
  <c r="S409" i="1"/>
  <c r="S408" i="1"/>
  <c r="S407" i="1"/>
  <c r="S406" i="1"/>
  <c r="S1113" i="1"/>
  <c r="S1111" i="1"/>
  <c r="S1112" i="1"/>
  <c r="S1115" i="1"/>
  <c r="S1114" i="1"/>
  <c r="S1117" i="1"/>
  <c r="S1119" i="1"/>
  <c r="C29" i="8" s="1"/>
  <c r="S1116" i="1"/>
  <c r="S1013" i="1"/>
  <c r="S1018" i="1"/>
  <c r="S1014" i="1"/>
  <c r="S1016" i="1"/>
  <c r="S1024" i="1"/>
  <c r="S1015" i="1"/>
  <c r="S1025" i="1"/>
  <c r="S1020" i="1"/>
  <c r="S1019" i="1"/>
  <c r="S1017" i="1"/>
  <c r="S1021" i="1"/>
  <c r="S1028" i="1"/>
  <c r="S1027" i="1"/>
  <c r="S974" i="1"/>
  <c r="S985" i="1"/>
  <c r="S992" i="1"/>
  <c r="S975" i="1"/>
  <c r="S990" i="1"/>
  <c r="S998" i="1"/>
  <c r="S995" i="1"/>
  <c r="S971" i="1"/>
  <c r="S970" i="1"/>
  <c r="S962" i="1"/>
  <c r="S999" i="1"/>
  <c r="S966" i="1"/>
  <c r="S963" i="1"/>
  <c r="S987" i="1"/>
  <c r="S972" i="1"/>
  <c r="S969" i="1"/>
  <c r="S986" i="1"/>
  <c r="S979" i="1"/>
  <c r="S978" i="1"/>
  <c r="S982" i="1"/>
  <c r="S965" i="1"/>
  <c r="S997" i="1"/>
  <c r="S993" i="1"/>
  <c r="S991" i="1"/>
  <c r="S996" i="1"/>
  <c r="S977" i="1"/>
  <c r="S964" i="1"/>
  <c r="S994" i="1"/>
  <c r="S989" i="1"/>
  <c r="S968" i="1"/>
  <c r="S976" i="1"/>
  <c r="S973" i="1"/>
  <c r="S988" i="1"/>
  <c r="S984" i="1"/>
  <c r="S980" i="1"/>
  <c r="S967" i="1"/>
  <c r="S983" i="1"/>
  <c r="S844" i="1"/>
  <c r="S847" i="1"/>
  <c r="S873" i="1"/>
  <c r="S861" i="1"/>
  <c r="S874" i="1"/>
  <c r="S849" i="1"/>
  <c r="S875" i="1"/>
  <c r="S851" i="1"/>
  <c r="S858" i="1"/>
  <c r="S865" i="1"/>
  <c r="S871" i="1"/>
  <c r="S857" i="1"/>
  <c r="S864" i="1"/>
  <c r="S859" i="1"/>
  <c r="S860" i="1"/>
  <c r="S856" i="1"/>
  <c r="S879" i="1"/>
  <c r="S880" i="1"/>
  <c r="S848" i="1"/>
  <c r="S869" i="1"/>
  <c r="S883" i="1"/>
  <c r="S862" i="1"/>
  <c r="S889" i="1"/>
  <c r="S876" i="1"/>
  <c r="S890" i="1"/>
  <c r="S877" i="1"/>
  <c r="S854" i="1"/>
  <c r="S884" i="1"/>
  <c r="S885" i="1"/>
  <c r="S878" i="1"/>
  <c r="S852" i="1"/>
  <c r="S850" i="1"/>
  <c r="S881" i="1"/>
  <c r="S853" i="1"/>
  <c r="S872" i="1"/>
  <c r="S870" i="1"/>
  <c r="S855" i="1"/>
  <c r="S866" i="1"/>
  <c r="S928" i="1"/>
  <c r="S863" i="1"/>
  <c r="S882" i="1"/>
  <c r="S868" i="1"/>
  <c r="S789" i="1"/>
  <c r="S788" i="1"/>
  <c r="S810" i="1"/>
  <c r="S809" i="1"/>
  <c r="S808" i="1"/>
  <c r="AG808" i="1" s="1"/>
  <c r="S807" i="1"/>
  <c r="S806" i="1"/>
  <c r="S805" i="1"/>
  <c r="S833" i="1"/>
  <c r="S786" i="1"/>
  <c r="S746" i="1"/>
  <c r="S785" i="1"/>
  <c r="S784" i="1"/>
  <c r="S783" i="1"/>
  <c r="S782" i="1"/>
  <c r="S781" i="1"/>
  <c r="S780" i="1"/>
  <c r="S779" i="1"/>
  <c r="S778" i="1"/>
  <c r="S777" i="1"/>
  <c r="S776" i="1"/>
  <c r="S775" i="1"/>
  <c r="S774" i="1"/>
  <c r="S773" i="1"/>
  <c r="S772" i="1"/>
  <c r="S771" i="1"/>
  <c r="S770" i="1"/>
  <c r="S769" i="1"/>
  <c r="S768" i="1"/>
  <c r="S767" i="1"/>
  <c r="S766" i="1"/>
  <c r="S765" i="1"/>
  <c r="S764" i="1"/>
  <c r="S763" i="1"/>
  <c r="S762" i="1"/>
  <c r="S667" i="1"/>
  <c r="S673" i="1"/>
  <c r="S674" i="1"/>
  <c r="S671" i="1"/>
  <c r="S670" i="1"/>
  <c r="S688" i="1"/>
  <c r="S669" i="1"/>
  <c r="S677" i="1"/>
  <c r="S668" i="1"/>
  <c r="S672" i="1"/>
  <c r="S666" i="1"/>
  <c r="S600" i="1"/>
  <c r="S612" i="1"/>
  <c r="S622" i="1"/>
  <c r="S618" i="1"/>
  <c r="S619" i="1"/>
  <c r="S611" i="1"/>
  <c r="S597" i="1"/>
  <c r="S607" i="1"/>
  <c r="S608" i="1"/>
  <c r="S616" i="1"/>
  <c r="S615" i="1"/>
  <c r="S614" i="1"/>
  <c r="S605" i="1"/>
  <c r="S610" i="1"/>
  <c r="S592" i="1"/>
  <c r="S593" i="1"/>
  <c r="S609" i="1"/>
  <c r="S604" i="1"/>
  <c r="S598" i="1"/>
  <c r="S599" i="1"/>
  <c r="S596" i="1"/>
  <c r="S603" i="1"/>
  <c r="S595" i="1"/>
  <c r="S620" i="1"/>
  <c r="S621" i="1"/>
  <c r="S602" i="1"/>
  <c r="S601" i="1"/>
  <c r="S613" i="1"/>
  <c r="S606" i="1"/>
  <c r="S457" i="1"/>
  <c r="S452" i="1"/>
  <c r="S460" i="1"/>
  <c r="S449" i="1"/>
  <c r="S459" i="1"/>
  <c r="S458" i="1"/>
  <c r="S450" i="1"/>
  <c r="S456" i="1"/>
  <c r="S453" i="1"/>
  <c r="S455" i="1"/>
  <c r="S454" i="1"/>
  <c r="S444" i="1"/>
  <c r="S442" i="1"/>
  <c r="S443" i="1"/>
  <c r="S451" i="1"/>
  <c r="S441" i="1"/>
  <c r="S440" i="1"/>
  <c r="S439" i="1"/>
  <c r="S437" i="1"/>
  <c r="S447" i="1"/>
  <c r="S448" i="1"/>
  <c r="S446" i="1"/>
  <c r="S388" i="1"/>
  <c r="S380" i="1"/>
  <c r="S373" i="1"/>
  <c r="S374" i="1"/>
  <c r="S389" i="1"/>
  <c r="S386" i="1"/>
  <c r="S376" i="1"/>
  <c r="S379" i="1"/>
  <c r="S387" i="1"/>
  <c r="S378" i="1"/>
  <c r="S377" i="1"/>
  <c r="S375" i="1"/>
  <c r="S385" i="1"/>
  <c r="S320" i="1"/>
  <c r="S341" i="1"/>
  <c r="S302" i="1"/>
  <c r="S333" i="1"/>
  <c r="S293" i="1"/>
  <c r="S288" i="1"/>
  <c r="S321" i="1"/>
  <c r="S313" i="1"/>
  <c r="S318" i="1"/>
  <c r="S311" i="1"/>
  <c r="S312" i="1"/>
  <c r="S314" i="1"/>
  <c r="S332" i="1"/>
  <c r="S315" i="1"/>
  <c r="S309" i="1"/>
  <c r="S306" i="1"/>
  <c r="S307" i="1"/>
  <c r="S308" i="1"/>
  <c r="S303" i="1"/>
  <c r="S304" i="1"/>
  <c r="S305" i="1"/>
  <c r="S300" i="1"/>
  <c r="S297" i="1"/>
  <c r="S298" i="1"/>
  <c r="S322" i="1"/>
  <c r="S299" i="1"/>
  <c r="S296" i="1"/>
  <c r="S310" i="1"/>
  <c r="S316" i="1"/>
  <c r="S295" i="1"/>
  <c r="S294" i="1"/>
  <c r="S336" i="1"/>
  <c r="S287" i="1"/>
  <c r="S317" i="1"/>
  <c r="S291" i="1"/>
  <c r="S292" i="1"/>
  <c r="S319" i="1"/>
  <c r="S323" i="1"/>
  <c r="S286" i="1"/>
  <c r="S285" i="1"/>
  <c r="S289" i="1"/>
  <c r="S173" i="1"/>
  <c r="S210" i="1"/>
  <c r="S185" i="1"/>
  <c r="S186" i="1"/>
  <c r="S197" i="1"/>
  <c r="S207" i="1"/>
  <c r="S191" i="1"/>
  <c r="S212" i="1"/>
  <c r="S213" i="1"/>
  <c r="S187" i="1"/>
  <c r="S198" i="1"/>
  <c r="S209" i="1"/>
  <c r="S206" i="1"/>
  <c r="S211" i="1"/>
  <c r="S205" i="1"/>
  <c r="S182" i="1"/>
  <c r="S192" i="1"/>
  <c r="S200" i="1"/>
  <c r="S178" i="1"/>
  <c r="S184" i="1"/>
  <c r="S190" i="1"/>
  <c r="S194" i="1"/>
  <c r="S208" i="1"/>
  <c r="S193" i="1"/>
  <c r="S221" i="1"/>
  <c r="S201" i="1"/>
  <c r="S204" i="1"/>
  <c r="S214" i="1"/>
  <c r="S215" i="1"/>
  <c r="S203" i="1"/>
  <c r="S183" i="1"/>
  <c r="S179" i="1"/>
  <c r="S196" i="1"/>
  <c r="S188" i="1"/>
  <c r="S177" i="1"/>
  <c r="S195" i="1"/>
  <c r="S189" i="1"/>
  <c r="S199" i="1"/>
  <c r="S202" i="1"/>
  <c r="S113" i="1"/>
  <c r="S119" i="1"/>
  <c r="S122" i="1"/>
  <c r="S123" i="1"/>
  <c r="S127" i="1"/>
  <c r="S128" i="1"/>
  <c r="S136" i="1"/>
  <c r="S137" i="1"/>
  <c r="S125" i="1"/>
  <c r="S121" i="1"/>
  <c r="S134" i="1"/>
  <c r="S118" i="1"/>
  <c r="S145" i="1"/>
  <c r="S115" i="1"/>
  <c r="S131" i="1"/>
  <c r="S126" i="1"/>
  <c r="S120" i="1"/>
  <c r="S114" i="1"/>
  <c r="S124" i="1"/>
  <c r="S132" i="1"/>
  <c r="S117" i="1"/>
  <c r="S139" i="1"/>
  <c r="S116" i="1"/>
  <c r="S129" i="1"/>
  <c r="S130" i="1"/>
  <c r="S1249" i="1"/>
  <c r="S1253" i="1"/>
  <c r="S1250" i="1"/>
  <c r="S1248" i="1"/>
  <c r="S1252" i="1"/>
  <c r="S1251" i="1"/>
  <c r="S1236" i="1"/>
  <c r="S1233" i="1"/>
  <c r="S1228" i="1"/>
  <c r="S1227" i="1"/>
  <c r="S1235" i="1"/>
  <c r="S1232" i="1"/>
  <c r="S1055" i="1"/>
  <c r="S1051" i="1"/>
  <c r="S1057" i="1"/>
  <c r="S1054" i="1"/>
  <c r="S1052" i="1"/>
  <c r="S1059" i="1"/>
  <c r="S1060" i="1"/>
  <c r="S1058" i="1"/>
  <c r="S1056" i="1"/>
  <c r="S578" i="1"/>
  <c r="S364" i="1"/>
  <c r="S361" i="1"/>
  <c r="S360" i="1"/>
  <c r="S356" i="1"/>
  <c r="S365" i="1"/>
  <c r="S353" i="1"/>
  <c r="S354" i="1"/>
  <c r="S359" i="1"/>
  <c r="S363" i="1"/>
  <c r="S355" i="1"/>
  <c r="S362" i="1"/>
  <c r="S358" i="1"/>
  <c r="S357" i="1"/>
  <c r="S366" i="1"/>
  <c r="S84" i="1"/>
  <c r="S81" i="1"/>
  <c r="S82" i="1"/>
  <c r="S79" i="1"/>
  <c r="S85" i="1"/>
  <c r="S78" i="1"/>
  <c r="S83" i="1"/>
  <c r="S66" i="1"/>
  <c r="S61" i="1"/>
  <c r="S72" i="1"/>
  <c r="S65" i="1"/>
  <c r="S67" i="1"/>
  <c r="S63" i="1"/>
  <c r="S64" i="1"/>
  <c r="S62" i="1"/>
  <c r="S43" i="1"/>
  <c r="S45" i="1"/>
  <c r="S44" i="1"/>
  <c r="S46" i="1"/>
  <c r="S9" i="1"/>
  <c r="S8" i="1"/>
  <c r="S6" i="1"/>
  <c r="S10" i="1"/>
  <c r="S11" i="1"/>
  <c r="S5" i="1"/>
  <c r="S4" i="1"/>
  <c r="S7" i="1"/>
  <c r="E12" i="8" l="1"/>
  <c r="F12" i="8" s="1"/>
  <c r="AG58" i="1"/>
  <c r="E2" i="7"/>
  <c r="E2" i="4"/>
  <c r="C38" i="8"/>
  <c r="F38" i="8" s="1"/>
  <c r="C34" i="8"/>
  <c r="F34" i="8" s="1"/>
  <c r="F19" i="8"/>
  <c r="C2" i="8"/>
  <c r="C40" i="8"/>
  <c r="F40" i="8" s="1"/>
  <c r="C36" i="8"/>
  <c r="F36" i="8" s="1"/>
  <c r="C30" i="8"/>
  <c r="F30" i="8" s="1"/>
  <c r="C31" i="8"/>
  <c r="F31" i="8" s="1"/>
  <c r="C32" i="8"/>
  <c r="F32" i="8" s="1"/>
  <c r="F20" i="8"/>
  <c r="F18" i="8"/>
  <c r="F14" i="8"/>
  <c r="F16" i="8"/>
  <c r="F13" i="8"/>
  <c r="F11" i="8"/>
  <c r="F17" i="8"/>
  <c r="F15" i="8"/>
  <c r="C36" i="7"/>
  <c r="F36" i="7" s="1"/>
  <c r="C48" i="4"/>
  <c r="F48" i="4" s="1"/>
  <c r="F69" i="8"/>
  <c r="F37" i="8"/>
  <c r="B41" i="8"/>
  <c r="B3" i="8" s="1"/>
  <c r="F71" i="8"/>
  <c r="B21" i="8"/>
  <c r="F70" i="8"/>
  <c r="B72" i="8"/>
  <c r="B4" i="8" s="1"/>
  <c r="C21" i="8"/>
  <c r="F54" i="8"/>
  <c r="F52" i="8"/>
  <c r="C72" i="8"/>
  <c r="C4" i="8" s="1"/>
  <c r="F64" i="8"/>
  <c r="F59" i="8"/>
  <c r="F61" i="8"/>
  <c r="F62" i="8"/>
  <c r="F58" i="8"/>
  <c r="E72" i="8"/>
  <c r="F49" i="8"/>
  <c r="F29" i="8"/>
  <c r="F53" i="8"/>
  <c r="F65" i="8"/>
  <c r="F50" i="8"/>
  <c r="F66" i="8"/>
  <c r="F55" i="8"/>
  <c r="F33" i="8"/>
  <c r="F63" i="8"/>
  <c r="F56" i="8"/>
  <c r="F35" i="8"/>
  <c r="C2" i="7"/>
  <c r="C49" i="7"/>
  <c r="C27" i="7"/>
  <c r="C39" i="7"/>
  <c r="C29" i="7"/>
  <c r="F29" i="7" s="1"/>
  <c r="C40" i="7"/>
  <c r="F40" i="7" s="1"/>
  <c r="C30" i="7"/>
  <c r="F30" i="7" s="1"/>
  <c r="C13" i="7"/>
  <c r="F13" i="7" s="1"/>
  <c r="C32" i="7"/>
  <c r="F32" i="7" s="1"/>
  <c r="C16" i="7"/>
  <c r="F16" i="7" s="1"/>
  <c r="C35" i="7"/>
  <c r="F35" i="7" s="1"/>
  <c r="C17" i="7"/>
  <c r="F17" i="7" s="1"/>
  <c r="C34" i="7"/>
  <c r="F34" i="7" s="1"/>
  <c r="C12" i="7"/>
  <c r="F12" i="7" s="1"/>
  <c r="C31" i="7"/>
  <c r="F31" i="7" s="1"/>
  <c r="C38" i="7"/>
  <c r="F38" i="7" s="1"/>
  <c r="C28" i="7"/>
  <c r="C18" i="7"/>
  <c r="F18" i="7" s="1"/>
  <c r="C37" i="7"/>
  <c r="F37" i="7" s="1"/>
  <c r="C33" i="7"/>
  <c r="F33" i="7" s="1"/>
  <c r="C14" i="7"/>
  <c r="F14" i="7" s="1"/>
  <c r="C20" i="7"/>
  <c r="F20" i="7" s="1"/>
  <c r="C2" i="4"/>
  <c r="F15" i="7"/>
  <c r="B21" i="7"/>
  <c r="E21" i="7"/>
  <c r="F19" i="7"/>
  <c r="C11" i="7"/>
  <c r="B41" i="7"/>
  <c r="B3" i="7" s="1"/>
  <c r="F6" i="4"/>
  <c r="C12" i="4"/>
  <c r="F12" i="4" s="1"/>
  <c r="C43" i="4"/>
  <c r="F43" i="4" s="1"/>
  <c r="F61" i="7"/>
  <c r="F53" i="7"/>
  <c r="F58" i="7"/>
  <c r="C39" i="4"/>
  <c r="C13" i="4"/>
  <c r="C17" i="4"/>
  <c r="F17" i="4" s="1"/>
  <c r="C20" i="4"/>
  <c r="F20" i="4" s="1"/>
  <c r="C41" i="4"/>
  <c r="F41" i="4" s="1"/>
  <c r="C42" i="4"/>
  <c r="F42" i="4" s="1"/>
  <c r="F56" i="7"/>
  <c r="C44" i="4"/>
  <c r="F44" i="4" s="1"/>
  <c r="F70" i="7"/>
  <c r="C11" i="4"/>
  <c r="F11" i="4" s="1"/>
  <c r="C14" i="4"/>
  <c r="F14" i="4" s="1"/>
  <c r="C18" i="4"/>
  <c r="F18" i="4" s="1"/>
  <c r="G57" i="7"/>
  <c r="F57" i="7"/>
  <c r="F66" i="7"/>
  <c r="F63" i="7"/>
  <c r="C45" i="4"/>
  <c r="F45" i="4" s="1"/>
  <c r="F55" i="7"/>
  <c r="C61" i="4"/>
  <c r="F64" i="7"/>
  <c r="F67" i="7"/>
  <c r="G65" i="7"/>
  <c r="F65" i="7"/>
  <c r="F50" i="7"/>
  <c r="F52" i="7"/>
  <c r="C46" i="4"/>
  <c r="F46" i="4" s="1"/>
  <c r="F59" i="7"/>
  <c r="B72" i="7"/>
  <c r="B4" i="7" s="1"/>
  <c r="F71" i="7"/>
  <c r="C40" i="4"/>
  <c r="F68" i="7"/>
  <c r="F62" i="7"/>
  <c r="C16" i="4"/>
  <c r="F16" i="4" s="1"/>
  <c r="C47" i="4"/>
  <c r="F47" i="4" s="1"/>
  <c r="F60" i="7"/>
  <c r="F54" i="7"/>
  <c r="F69" i="7"/>
  <c r="E72" i="7"/>
  <c r="F51" i="7"/>
  <c r="F15" i="4"/>
  <c r="B84" i="4"/>
  <c r="E21" i="4"/>
  <c r="F19" i="4"/>
  <c r="B21" i="4"/>
  <c r="C49" i="4"/>
  <c r="F49" i="4" s="1"/>
  <c r="C51" i="4"/>
  <c r="C50" i="4"/>
  <c r="F50" i="4" s="1"/>
  <c r="C52" i="4"/>
  <c r="F52" i="4" s="1"/>
  <c r="AG7" i="1"/>
  <c r="AD7" i="1"/>
  <c r="AA7" i="1"/>
  <c r="AG4" i="1"/>
  <c r="AD4" i="1"/>
  <c r="AA4" i="1"/>
  <c r="AG5" i="1"/>
  <c r="AD5" i="1"/>
  <c r="AA5" i="1"/>
  <c r="AG11" i="1"/>
  <c r="AD11" i="1"/>
  <c r="AA11" i="1"/>
  <c r="AG10" i="1"/>
  <c r="AD10" i="1"/>
  <c r="AA10" i="1"/>
  <c r="AG6" i="1"/>
  <c r="AD6" i="1"/>
  <c r="AA6" i="1"/>
  <c r="AG8" i="1"/>
  <c r="AD8" i="1"/>
  <c r="AA8" i="1"/>
  <c r="AG9" i="1"/>
  <c r="AD9" i="1"/>
  <c r="AA9" i="1"/>
  <c r="AG46" i="1"/>
  <c r="AD46" i="1"/>
  <c r="AA46" i="1"/>
  <c r="AG44" i="1"/>
  <c r="AD44" i="1"/>
  <c r="AA44" i="1"/>
  <c r="AG45" i="1"/>
  <c r="AD45" i="1"/>
  <c r="AA45" i="1"/>
  <c r="AG43" i="1"/>
  <c r="AD43" i="1"/>
  <c r="AA43" i="1"/>
  <c r="AG62" i="1"/>
  <c r="AD62" i="1"/>
  <c r="AA62" i="1"/>
  <c r="AG64" i="1"/>
  <c r="AD64" i="1"/>
  <c r="AA64" i="1"/>
  <c r="AG63" i="1"/>
  <c r="AD63" i="1"/>
  <c r="AA63" i="1"/>
  <c r="AG67" i="1"/>
  <c r="AD67" i="1"/>
  <c r="AA67" i="1"/>
  <c r="AG65" i="1"/>
  <c r="AD65" i="1"/>
  <c r="AA65" i="1"/>
  <c r="AG72" i="1"/>
  <c r="AD72" i="1"/>
  <c r="AA72" i="1"/>
  <c r="AG61" i="1"/>
  <c r="AD61" i="1"/>
  <c r="AA61" i="1"/>
  <c r="AG66" i="1"/>
  <c r="AD66" i="1"/>
  <c r="AA66" i="1"/>
  <c r="AG83" i="1"/>
  <c r="AD83" i="1"/>
  <c r="AA83" i="1"/>
  <c r="AG78" i="1"/>
  <c r="AD78" i="1"/>
  <c r="AA78" i="1"/>
  <c r="AG85" i="1"/>
  <c r="AD85" i="1"/>
  <c r="AA85" i="1"/>
  <c r="AG79" i="1"/>
  <c r="AD79" i="1"/>
  <c r="AA79" i="1"/>
  <c r="AG82" i="1"/>
  <c r="AD82" i="1"/>
  <c r="AA82" i="1"/>
  <c r="AG81" i="1"/>
  <c r="AD81" i="1"/>
  <c r="AA81" i="1"/>
  <c r="AG84" i="1"/>
  <c r="AD84" i="1"/>
  <c r="AA84" i="1"/>
  <c r="AG366" i="1"/>
  <c r="AD366" i="1"/>
  <c r="AA366" i="1"/>
  <c r="AG357" i="1"/>
  <c r="AD357" i="1"/>
  <c r="AA357" i="1"/>
  <c r="AG358" i="1"/>
  <c r="AD358" i="1"/>
  <c r="AA358" i="1"/>
  <c r="AG362" i="1"/>
  <c r="AD362" i="1"/>
  <c r="AA362" i="1"/>
  <c r="AG355" i="1"/>
  <c r="AD355" i="1"/>
  <c r="AA355" i="1"/>
  <c r="AG363" i="1"/>
  <c r="AD363" i="1"/>
  <c r="AA363" i="1"/>
  <c r="AG359" i="1"/>
  <c r="AD359" i="1"/>
  <c r="AA359" i="1"/>
  <c r="AG354" i="1"/>
  <c r="AD354" i="1"/>
  <c r="AA354" i="1"/>
  <c r="AG353" i="1"/>
  <c r="AD353" i="1"/>
  <c r="AA353" i="1"/>
  <c r="AG365" i="1"/>
  <c r="AD365" i="1"/>
  <c r="AA365" i="1"/>
  <c r="AG356" i="1"/>
  <c r="AD356" i="1"/>
  <c r="AA356" i="1"/>
  <c r="AG360" i="1"/>
  <c r="AD360" i="1"/>
  <c r="AA360" i="1"/>
  <c r="AG361" i="1"/>
  <c r="AD361" i="1"/>
  <c r="AA361" i="1"/>
  <c r="AG364" i="1"/>
  <c r="AD364" i="1"/>
  <c r="AA364" i="1"/>
  <c r="AG416" i="1"/>
  <c r="AD416" i="1"/>
  <c r="AA416" i="1"/>
  <c r="AG426" i="1"/>
  <c r="AD426" i="1"/>
  <c r="AA426" i="1"/>
  <c r="AG417" i="1"/>
  <c r="AD417" i="1"/>
  <c r="AA417" i="1"/>
  <c r="AG429" i="1"/>
  <c r="AD429" i="1"/>
  <c r="AA429" i="1"/>
  <c r="AG425" i="1"/>
  <c r="AD425" i="1"/>
  <c r="AA425" i="1"/>
  <c r="AG418" i="1"/>
  <c r="AD418" i="1"/>
  <c r="AA418" i="1"/>
  <c r="AG420" i="1"/>
  <c r="AD420" i="1"/>
  <c r="AA420" i="1"/>
  <c r="AG427" i="1"/>
  <c r="AD427" i="1"/>
  <c r="AA427" i="1"/>
  <c r="AG421" i="1"/>
  <c r="AD421" i="1"/>
  <c r="AA421" i="1"/>
  <c r="AG422" i="1"/>
  <c r="AD422" i="1"/>
  <c r="AA422" i="1"/>
  <c r="AG430" i="1"/>
  <c r="AD430" i="1"/>
  <c r="AA430" i="1"/>
  <c r="AG431" i="1"/>
  <c r="AD431" i="1"/>
  <c r="AA431" i="1"/>
  <c r="AG428" i="1"/>
  <c r="AD428" i="1"/>
  <c r="AA428" i="1"/>
  <c r="AG578" i="1"/>
  <c r="AD578" i="1"/>
  <c r="AA578" i="1"/>
  <c r="AG1056" i="1"/>
  <c r="AD1056" i="1"/>
  <c r="AA1056" i="1"/>
  <c r="AG1058" i="1"/>
  <c r="AD1058" i="1"/>
  <c r="AA1058" i="1"/>
  <c r="AG1060" i="1"/>
  <c r="AD1060" i="1"/>
  <c r="AA1060" i="1"/>
  <c r="AG1059" i="1"/>
  <c r="AD1059" i="1"/>
  <c r="AA1059" i="1"/>
  <c r="AG1052" i="1"/>
  <c r="AD1052" i="1"/>
  <c r="AA1052" i="1"/>
  <c r="AG1054" i="1"/>
  <c r="AD1054" i="1"/>
  <c r="AA1054" i="1"/>
  <c r="AG1057" i="1"/>
  <c r="AD1057" i="1"/>
  <c r="AA1057" i="1"/>
  <c r="AG1051" i="1"/>
  <c r="AD1051" i="1"/>
  <c r="AA1051" i="1"/>
  <c r="AG1055" i="1"/>
  <c r="AD1055" i="1"/>
  <c r="AA1055" i="1"/>
  <c r="AG1232" i="1"/>
  <c r="AD1232" i="1"/>
  <c r="AA1232" i="1"/>
  <c r="AG1235" i="1"/>
  <c r="AD1235" i="1"/>
  <c r="AA1235" i="1"/>
  <c r="AG1227" i="1"/>
  <c r="AD1227" i="1"/>
  <c r="AA1227" i="1"/>
  <c r="AG1228" i="1"/>
  <c r="AD1228" i="1"/>
  <c r="AA1228" i="1"/>
  <c r="AG1233" i="1"/>
  <c r="AD1233" i="1"/>
  <c r="AA1233" i="1"/>
  <c r="AG1236" i="1"/>
  <c r="AD1236" i="1"/>
  <c r="AA1236" i="1"/>
  <c r="AG1251" i="1"/>
  <c r="AD1251" i="1"/>
  <c r="AA1251" i="1"/>
  <c r="AG1252" i="1"/>
  <c r="AD1252" i="1"/>
  <c r="AA1252" i="1"/>
  <c r="AG1248" i="1"/>
  <c r="AD1248" i="1"/>
  <c r="AA1248" i="1"/>
  <c r="AG1250" i="1"/>
  <c r="AD1250" i="1"/>
  <c r="AA1250" i="1"/>
  <c r="AG1253" i="1"/>
  <c r="AD1253" i="1"/>
  <c r="AA1253" i="1"/>
  <c r="AG1249" i="1"/>
  <c r="AD1249" i="1"/>
  <c r="AA1249" i="1"/>
  <c r="AG130" i="1"/>
  <c r="AD130" i="1"/>
  <c r="AA130" i="1"/>
  <c r="AG129" i="1"/>
  <c r="AD129" i="1"/>
  <c r="AA129" i="1"/>
  <c r="AG116" i="1"/>
  <c r="AD116" i="1"/>
  <c r="AA116" i="1"/>
  <c r="AG139" i="1"/>
  <c r="AD139" i="1"/>
  <c r="AA139" i="1"/>
  <c r="AG117" i="1"/>
  <c r="AD117" i="1"/>
  <c r="AA117" i="1"/>
  <c r="AG132" i="1"/>
  <c r="AD132" i="1"/>
  <c r="AA132" i="1"/>
  <c r="AG124" i="1"/>
  <c r="AD124" i="1"/>
  <c r="AA124" i="1"/>
  <c r="AG114" i="1"/>
  <c r="AD114" i="1"/>
  <c r="AA114" i="1"/>
  <c r="AG120" i="1"/>
  <c r="AD120" i="1"/>
  <c r="AA120" i="1"/>
  <c r="AG126" i="1"/>
  <c r="AD126" i="1"/>
  <c r="AA126" i="1"/>
  <c r="AG131" i="1"/>
  <c r="AD131" i="1"/>
  <c r="AA131" i="1"/>
  <c r="AG115" i="1"/>
  <c r="AD115" i="1"/>
  <c r="AA115" i="1"/>
  <c r="AG145" i="1"/>
  <c r="AD145" i="1"/>
  <c r="AA145" i="1"/>
  <c r="AG118" i="1"/>
  <c r="AD118" i="1"/>
  <c r="AA118" i="1"/>
  <c r="AG134" i="1"/>
  <c r="AD134" i="1"/>
  <c r="AA134" i="1"/>
  <c r="AG121" i="1"/>
  <c r="AD121" i="1"/>
  <c r="AA121" i="1"/>
  <c r="AG125" i="1"/>
  <c r="AD125" i="1"/>
  <c r="AA125" i="1"/>
  <c r="AG137" i="1"/>
  <c r="AD137" i="1"/>
  <c r="AA137" i="1"/>
  <c r="AG136" i="1"/>
  <c r="AD136" i="1"/>
  <c r="AA136" i="1"/>
  <c r="AG128" i="1"/>
  <c r="AD128" i="1"/>
  <c r="AA128" i="1"/>
  <c r="AG127" i="1"/>
  <c r="AD127" i="1"/>
  <c r="AA127" i="1"/>
  <c r="AG123" i="1"/>
  <c r="AD123" i="1"/>
  <c r="AA123" i="1"/>
  <c r="AG122" i="1"/>
  <c r="AD122" i="1"/>
  <c r="AA122" i="1"/>
  <c r="AG119" i="1"/>
  <c r="AD119" i="1"/>
  <c r="AA119" i="1"/>
  <c r="AG113" i="1"/>
  <c r="AD113" i="1"/>
  <c r="AA113" i="1"/>
  <c r="AG202" i="1"/>
  <c r="AD202" i="1"/>
  <c r="AA202" i="1"/>
  <c r="AG199" i="1"/>
  <c r="AD199" i="1"/>
  <c r="AA199" i="1"/>
  <c r="AG189" i="1"/>
  <c r="AD189" i="1"/>
  <c r="AA189" i="1"/>
  <c r="AG195" i="1"/>
  <c r="AD195" i="1"/>
  <c r="AA195" i="1"/>
  <c r="AG177" i="1"/>
  <c r="AD177" i="1"/>
  <c r="AA177" i="1"/>
  <c r="AG188" i="1"/>
  <c r="AD188" i="1"/>
  <c r="AA188" i="1"/>
  <c r="AG196" i="1"/>
  <c r="AD196" i="1"/>
  <c r="AA196" i="1"/>
  <c r="AG179" i="1"/>
  <c r="AD179" i="1"/>
  <c r="AA179" i="1"/>
  <c r="AG183" i="1"/>
  <c r="AD183" i="1"/>
  <c r="AA183" i="1"/>
  <c r="AG203" i="1"/>
  <c r="AD203" i="1"/>
  <c r="AA203" i="1"/>
  <c r="AG215" i="1"/>
  <c r="AD215" i="1"/>
  <c r="AA215" i="1"/>
  <c r="AG214" i="1"/>
  <c r="AD214" i="1"/>
  <c r="AA214" i="1"/>
  <c r="AG204" i="1"/>
  <c r="AD204" i="1"/>
  <c r="AA204" i="1"/>
  <c r="AG201" i="1"/>
  <c r="AD201" i="1"/>
  <c r="AA201" i="1"/>
  <c r="AG221" i="1"/>
  <c r="AD221" i="1"/>
  <c r="AA221" i="1"/>
  <c r="AG193" i="1"/>
  <c r="AD193" i="1"/>
  <c r="AA193" i="1"/>
  <c r="AG208" i="1"/>
  <c r="AD208" i="1"/>
  <c r="AA208" i="1"/>
  <c r="AG194" i="1"/>
  <c r="AD194" i="1"/>
  <c r="AA194" i="1"/>
  <c r="AG190" i="1"/>
  <c r="AD190" i="1"/>
  <c r="AA190" i="1"/>
  <c r="AG184" i="1"/>
  <c r="AD184" i="1"/>
  <c r="AA184" i="1"/>
  <c r="AG178" i="1"/>
  <c r="AD178" i="1"/>
  <c r="AA178" i="1"/>
  <c r="AG200" i="1"/>
  <c r="AD200" i="1"/>
  <c r="AA200" i="1"/>
  <c r="AG192" i="1"/>
  <c r="AD192" i="1"/>
  <c r="AA192" i="1"/>
  <c r="AG182" i="1"/>
  <c r="AD182" i="1"/>
  <c r="AA182" i="1"/>
  <c r="AG205" i="1"/>
  <c r="AD205" i="1"/>
  <c r="AA205" i="1"/>
  <c r="AG211" i="1"/>
  <c r="AD211" i="1"/>
  <c r="AA211" i="1"/>
  <c r="AG206" i="1"/>
  <c r="AD206" i="1"/>
  <c r="AA206" i="1"/>
  <c r="AG209" i="1"/>
  <c r="AD209" i="1"/>
  <c r="AA209" i="1"/>
  <c r="AG198" i="1"/>
  <c r="AD198" i="1"/>
  <c r="AA198" i="1"/>
  <c r="AG187" i="1"/>
  <c r="AD187" i="1"/>
  <c r="AA187" i="1"/>
  <c r="AG213" i="1"/>
  <c r="AD213" i="1"/>
  <c r="AA213" i="1"/>
  <c r="AG212" i="1"/>
  <c r="AD212" i="1"/>
  <c r="AA212" i="1"/>
  <c r="AG191" i="1"/>
  <c r="AD191" i="1"/>
  <c r="AA191" i="1"/>
  <c r="AG207" i="1"/>
  <c r="AD207" i="1"/>
  <c r="AA207" i="1"/>
  <c r="AG197" i="1"/>
  <c r="AD197" i="1"/>
  <c r="AA197" i="1"/>
  <c r="AG186" i="1"/>
  <c r="AD186" i="1"/>
  <c r="AA186" i="1"/>
  <c r="AG185" i="1"/>
  <c r="AD185" i="1"/>
  <c r="AA185" i="1"/>
  <c r="AG210" i="1"/>
  <c r="AD210" i="1"/>
  <c r="AA210" i="1"/>
  <c r="AG173" i="1"/>
  <c r="AD173" i="1"/>
  <c r="AA173" i="1"/>
  <c r="AG289" i="1"/>
  <c r="AD289" i="1"/>
  <c r="AA289" i="1"/>
  <c r="AG285" i="1"/>
  <c r="AD285" i="1"/>
  <c r="AA285" i="1"/>
  <c r="AG286" i="1"/>
  <c r="AD286" i="1"/>
  <c r="AA286" i="1"/>
  <c r="AG323" i="1"/>
  <c r="AD323" i="1"/>
  <c r="AA323" i="1"/>
  <c r="AG319" i="1"/>
  <c r="AD319" i="1"/>
  <c r="AA319" i="1"/>
  <c r="AG292" i="1"/>
  <c r="AD292" i="1"/>
  <c r="AA292" i="1"/>
  <c r="AG291" i="1"/>
  <c r="AD291" i="1"/>
  <c r="AA291" i="1"/>
  <c r="AG317" i="1"/>
  <c r="AD317" i="1"/>
  <c r="AA317" i="1"/>
  <c r="AG287" i="1"/>
  <c r="AD287" i="1"/>
  <c r="AA287" i="1"/>
  <c r="AG336" i="1"/>
  <c r="AD336" i="1"/>
  <c r="AA336" i="1"/>
  <c r="AG294" i="1"/>
  <c r="AD294" i="1"/>
  <c r="AA294" i="1"/>
  <c r="AG295" i="1"/>
  <c r="AD295" i="1"/>
  <c r="AA295" i="1"/>
  <c r="AG316" i="1"/>
  <c r="AD316" i="1"/>
  <c r="AA316" i="1"/>
  <c r="AG310" i="1"/>
  <c r="AD310" i="1"/>
  <c r="AA310" i="1"/>
  <c r="AG296" i="1"/>
  <c r="AD296" i="1"/>
  <c r="AA296" i="1"/>
  <c r="AG299" i="1"/>
  <c r="AD299" i="1"/>
  <c r="AA299" i="1"/>
  <c r="AG322" i="1"/>
  <c r="AD322" i="1"/>
  <c r="AA322" i="1"/>
  <c r="AG298" i="1"/>
  <c r="AD298" i="1"/>
  <c r="AA298" i="1"/>
  <c r="AG297" i="1"/>
  <c r="AD297" i="1"/>
  <c r="AA297" i="1"/>
  <c r="AG300" i="1"/>
  <c r="AD300" i="1"/>
  <c r="AA300" i="1"/>
  <c r="AG305" i="1"/>
  <c r="AD305" i="1"/>
  <c r="AA305" i="1"/>
  <c r="AG304" i="1"/>
  <c r="AD304" i="1"/>
  <c r="AA304" i="1"/>
  <c r="AG303" i="1"/>
  <c r="AD303" i="1"/>
  <c r="AA303" i="1"/>
  <c r="AG308" i="1"/>
  <c r="AD308" i="1"/>
  <c r="AA308" i="1"/>
  <c r="AG307" i="1"/>
  <c r="AD307" i="1"/>
  <c r="AA307" i="1"/>
  <c r="AG306" i="1"/>
  <c r="AD306" i="1"/>
  <c r="AA306" i="1"/>
  <c r="AG309" i="1"/>
  <c r="AD309" i="1"/>
  <c r="AA309" i="1"/>
  <c r="AG315" i="1"/>
  <c r="AD315" i="1"/>
  <c r="AA315" i="1"/>
  <c r="AG332" i="1"/>
  <c r="AD332" i="1"/>
  <c r="AA332" i="1"/>
  <c r="AG314" i="1"/>
  <c r="AD314" i="1"/>
  <c r="AA314" i="1"/>
  <c r="AG312" i="1"/>
  <c r="AD312" i="1"/>
  <c r="AA312" i="1"/>
  <c r="AG311" i="1"/>
  <c r="AD311" i="1"/>
  <c r="AA311" i="1"/>
  <c r="AG318" i="1"/>
  <c r="AD318" i="1"/>
  <c r="AA318" i="1"/>
  <c r="AG313" i="1"/>
  <c r="AD313" i="1"/>
  <c r="AA313" i="1"/>
  <c r="AG321" i="1"/>
  <c r="AD321" i="1"/>
  <c r="AA321" i="1"/>
  <c r="AG288" i="1"/>
  <c r="AD288" i="1"/>
  <c r="AA288" i="1"/>
  <c r="AG293" i="1"/>
  <c r="AD293" i="1"/>
  <c r="AA293" i="1"/>
  <c r="AG333" i="1"/>
  <c r="AD333" i="1"/>
  <c r="AA333" i="1"/>
  <c r="AG302" i="1"/>
  <c r="AD302" i="1"/>
  <c r="AA302" i="1"/>
  <c r="AG341" i="1"/>
  <c r="AD341" i="1"/>
  <c r="AA341" i="1"/>
  <c r="AG320" i="1"/>
  <c r="AD320" i="1"/>
  <c r="AA320" i="1"/>
  <c r="AG385" i="1"/>
  <c r="AD385" i="1"/>
  <c r="AA385" i="1"/>
  <c r="AG375" i="1"/>
  <c r="AD375" i="1"/>
  <c r="AA375" i="1"/>
  <c r="AG377" i="1"/>
  <c r="AD377" i="1"/>
  <c r="AA377" i="1"/>
  <c r="AG378" i="1"/>
  <c r="AD378" i="1"/>
  <c r="AA378" i="1"/>
  <c r="AG387" i="1"/>
  <c r="AD387" i="1"/>
  <c r="AA387" i="1"/>
  <c r="AG379" i="1"/>
  <c r="AD379" i="1"/>
  <c r="AA379" i="1"/>
  <c r="AG376" i="1"/>
  <c r="AD376" i="1"/>
  <c r="AA376" i="1"/>
  <c r="AG386" i="1"/>
  <c r="AD386" i="1"/>
  <c r="AA386" i="1"/>
  <c r="AG389" i="1"/>
  <c r="AD389" i="1"/>
  <c r="AA389" i="1"/>
  <c r="AG374" i="1"/>
  <c r="AD374" i="1"/>
  <c r="AA374" i="1"/>
  <c r="AG373" i="1"/>
  <c r="AD373" i="1"/>
  <c r="AA373" i="1"/>
  <c r="AG380" i="1"/>
  <c r="AD380" i="1"/>
  <c r="AA380" i="1"/>
  <c r="AG388" i="1"/>
  <c r="AD388" i="1"/>
  <c r="AA388" i="1"/>
  <c r="AG446" i="1"/>
  <c r="AD446" i="1"/>
  <c r="AA446" i="1"/>
  <c r="AG448" i="1"/>
  <c r="AD448" i="1"/>
  <c r="AA448" i="1"/>
  <c r="AG447" i="1"/>
  <c r="AD447" i="1"/>
  <c r="AA447" i="1"/>
  <c r="AG437" i="1"/>
  <c r="AD437" i="1"/>
  <c r="AA437" i="1"/>
  <c r="AG439" i="1"/>
  <c r="AD439" i="1"/>
  <c r="AA439" i="1"/>
  <c r="AG440" i="1"/>
  <c r="AD440" i="1"/>
  <c r="AA440" i="1"/>
  <c r="AG441" i="1"/>
  <c r="AD441" i="1"/>
  <c r="AA441" i="1"/>
  <c r="AG451" i="1"/>
  <c r="AD451" i="1"/>
  <c r="AA451" i="1"/>
  <c r="AG443" i="1"/>
  <c r="AD443" i="1"/>
  <c r="AA443" i="1"/>
  <c r="AG442" i="1"/>
  <c r="AD442" i="1"/>
  <c r="AA442" i="1"/>
  <c r="AG444" i="1"/>
  <c r="AD444" i="1"/>
  <c r="AA444" i="1"/>
  <c r="AG454" i="1"/>
  <c r="AD454" i="1"/>
  <c r="AA454" i="1"/>
  <c r="AG455" i="1"/>
  <c r="AD455" i="1"/>
  <c r="AA455" i="1"/>
  <c r="AG453" i="1"/>
  <c r="AD453" i="1"/>
  <c r="AA453" i="1"/>
  <c r="AG456" i="1"/>
  <c r="AD456" i="1"/>
  <c r="AA456" i="1"/>
  <c r="AG450" i="1"/>
  <c r="AD450" i="1"/>
  <c r="AA450" i="1"/>
  <c r="AG458" i="1"/>
  <c r="AD458" i="1"/>
  <c r="AA458" i="1"/>
  <c r="AG459" i="1"/>
  <c r="AD459" i="1"/>
  <c r="AA459" i="1"/>
  <c r="AG449" i="1"/>
  <c r="AD449" i="1"/>
  <c r="AA449" i="1"/>
  <c r="AG460" i="1"/>
  <c r="AD460" i="1"/>
  <c r="AA460" i="1"/>
  <c r="AG452" i="1"/>
  <c r="AD452" i="1"/>
  <c r="AA452" i="1"/>
  <c r="AG457" i="1"/>
  <c r="AD457" i="1"/>
  <c r="AA457" i="1"/>
  <c r="AG606" i="1"/>
  <c r="AD606" i="1"/>
  <c r="AA606" i="1"/>
  <c r="AG613" i="1"/>
  <c r="AD613" i="1"/>
  <c r="AA613" i="1"/>
  <c r="AG601" i="1"/>
  <c r="AD601" i="1"/>
  <c r="AA601" i="1"/>
  <c r="AG602" i="1"/>
  <c r="AD602" i="1"/>
  <c r="AA602" i="1"/>
  <c r="AG621" i="1"/>
  <c r="AD621" i="1"/>
  <c r="AA621" i="1"/>
  <c r="AG620" i="1"/>
  <c r="AD620" i="1"/>
  <c r="AA620" i="1"/>
  <c r="AG595" i="1"/>
  <c r="AD595" i="1"/>
  <c r="AA595" i="1"/>
  <c r="AG603" i="1"/>
  <c r="AD603" i="1"/>
  <c r="AA603" i="1"/>
  <c r="AG596" i="1"/>
  <c r="AD596" i="1"/>
  <c r="AA596" i="1"/>
  <c r="AG599" i="1"/>
  <c r="AD599" i="1"/>
  <c r="AA599" i="1"/>
  <c r="AG598" i="1"/>
  <c r="AD598" i="1"/>
  <c r="AA598" i="1"/>
  <c r="AG604" i="1"/>
  <c r="AD604" i="1"/>
  <c r="AA604" i="1"/>
  <c r="AG609" i="1"/>
  <c r="AD609" i="1"/>
  <c r="AA609" i="1"/>
  <c r="AG593" i="1"/>
  <c r="AD593" i="1"/>
  <c r="AA593" i="1"/>
  <c r="AG592" i="1"/>
  <c r="AD592" i="1"/>
  <c r="AA592" i="1"/>
  <c r="AG610" i="1"/>
  <c r="AD610" i="1"/>
  <c r="AA610" i="1"/>
  <c r="AG605" i="1"/>
  <c r="AD605" i="1"/>
  <c r="AA605" i="1"/>
  <c r="AG614" i="1"/>
  <c r="AD614" i="1"/>
  <c r="AA614" i="1"/>
  <c r="AG615" i="1"/>
  <c r="AD615" i="1"/>
  <c r="AA615" i="1"/>
  <c r="AG616" i="1"/>
  <c r="AD616" i="1"/>
  <c r="AA616" i="1"/>
  <c r="AG608" i="1"/>
  <c r="AD608" i="1"/>
  <c r="AA608" i="1"/>
  <c r="AG607" i="1"/>
  <c r="AD607" i="1"/>
  <c r="AA607" i="1"/>
  <c r="AG597" i="1"/>
  <c r="AD597" i="1"/>
  <c r="AA597" i="1"/>
  <c r="AG611" i="1"/>
  <c r="AD611" i="1"/>
  <c r="AA611" i="1"/>
  <c r="AG619" i="1"/>
  <c r="AD619" i="1"/>
  <c r="AA619" i="1"/>
  <c r="AG618" i="1"/>
  <c r="AD618" i="1"/>
  <c r="AA618" i="1"/>
  <c r="AG622" i="1"/>
  <c r="AD622" i="1"/>
  <c r="AA622" i="1"/>
  <c r="AG612" i="1"/>
  <c r="AD612" i="1"/>
  <c r="AA612" i="1"/>
  <c r="AG600" i="1"/>
  <c r="AD600" i="1"/>
  <c r="AA600" i="1"/>
  <c r="AG666" i="1"/>
  <c r="AD666" i="1"/>
  <c r="AA666" i="1"/>
  <c r="AG672" i="1"/>
  <c r="AD672" i="1"/>
  <c r="AA672" i="1"/>
  <c r="AG668" i="1"/>
  <c r="AD668" i="1"/>
  <c r="AA668" i="1"/>
  <c r="AG677" i="1"/>
  <c r="AD677" i="1"/>
  <c r="AA677" i="1"/>
  <c r="AG669" i="1"/>
  <c r="AD669" i="1"/>
  <c r="AA669" i="1"/>
  <c r="AG688" i="1"/>
  <c r="AD688" i="1"/>
  <c r="AA688" i="1"/>
  <c r="AG670" i="1"/>
  <c r="AD670" i="1"/>
  <c r="AA670" i="1"/>
  <c r="AG671" i="1"/>
  <c r="AD671" i="1"/>
  <c r="AA671" i="1"/>
  <c r="AG674" i="1"/>
  <c r="AD674" i="1"/>
  <c r="AA674" i="1"/>
  <c r="AG673" i="1"/>
  <c r="AD673" i="1"/>
  <c r="AA673" i="1"/>
  <c r="AG667" i="1"/>
  <c r="AD667" i="1"/>
  <c r="AA667" i="1"/>
  <c r="AG762" i="1"/>
  <c r="AD762" i="1"/>
  <c r="AA762" i="1"/>
  <c r="AG763" i="1"/>
  <c r="AD763" i="1"/>
  <c r="AA763" i="1"/>
  <c r="AG764" i="1"/>
  <c r="AD764" i="1"/>
  <c r="AA764" i="1"/>
  <c r="AG765" i="1"/>
  <c r="AD765" i="1"/>
  <c r="AA765" i="1"/>
  <c r="AG766" i="1"/>
  <c r="AD766" i="1"/>
  <c r="AA766" i="1"/>
  <c r="AG767" i="1"/>
  <c r="AD767" i="1"/>
  <c r="AA767" i="1"/>
  <c r="AG768" i="1"/>
  <c r="AD768" i="1"/>
  <c r="AA768" i="1"/>
  <c r="AG769" i="1"/>
  <c r="AD769" i="1"/>
  <c r="AA769" i="1"/>
  <c r="AG770" i="1"/>
  <c r="AD770" i="1"/>
  <c r="AA770" i="1"/>
  <c r="AG771" i="1"/>
  <c r="AD771" i="1"/>
  <c r="AA771" i="1"/>
  <c r="AG772" i="1"/>
  <c r="AD772" i="1"/>
  <c r="AA772" i="1"/>
  <c r="AG773" i="1"/>
  <c r="AD773" i="1"/>
  <c r="AA773" i="1"/>
  <c r="AG774" i="1"/>
  <c r="AD774" i="1"/>
  <c r="AA774" i="1"/>
  <c r="AG775" i="1"/>
  <c r="AD775" i="1"/>
  <c r="AA775" i="1"/>
  <c r="AG776" i="1"/>
  <c r="AD776" i="1"/>
  <c r="AA776" i="1"/>
  <c r="AG777" i="1"/>
  <c r="AD777" i="1"/>
  <c r="AA777" i="1"/>
  <c r="AG778" i="1"/>
  <c r="AD778" i="1"/>
  <c r="AA778" i="1"/>
  <c r="AG779" i="1"/>
  <c r="AD779" i="1"/>
  <c r="AA779" i="1"/>
  <c r="AG780" i="1"/>
  <c r="AD780" i="1"/>
  <c r="AA780" i="1"/>
  <c r="AG781" i="1"/>
  <c r="AD781" i="1"/>
  <c r="AA781" i="1"/>
  <c r="AG782" i="1"/>
  <c r="AD782" i="1"/>
  <c r="AA782" i="1"/>
  <c r="AG783" i="1"/>
  <c r="AD783" i="1"/>
  <c r="AA783" i="1"/>
  <c r="AG784" i="1"/>
  <c r="AD784" i="1"/>
  <c r="AA784" i="1"/>
  <c r="AG785" i="1"/>
  <c r="AD785" i="1"/>
  <c r="AA785" i="1"/>
  <c r="AG746" i="1"/>
  <c r="AD746" i="1"/>
  <c r="AA746" i="1"/>
  <c r="AG786" i="1"/>
  <c r="AD786" i="1"/>
  <c r="AA786" i="1"/>
  <c r="AG833" i="1"/>
  <c r="AD833" i="1"/>
  <c r="AA833" i="1"/>
  <c r="AG805" i="1"/>
  <c r="AD805" i="1"/>
  <c r="AA805" i="1"/>
  <c r="AG806" i="1"/>
  <c r="AD806" i="1"/>
  <c r="AA806" i="1"/>
  <c r="AG807" i="1"/>
  <c r="AD807" i="1"/>
  <c r="AA807" i="1"/>
  <c r="AD808" i="1"/>
  <c r="AA808" i="1"/>
  <c r="AG809" i="1"/>
  <c r="AD809" i="1"/>
  <c r="AA809" i="1"/>
  <c r="AG810" i="1"/>
  <c r="AD810" i="1"/>
  <c r="AA810" i="1"/>
  <c r="AG788" i="1"/>
  <c r="AD788" i="1"/>
  <c r="AA788" i="1"/>
  <c r="AG789" i="1"/>
  <c r="AD789" i="1"/>
  <c r="AA789" i="1"/>
  <c r="AG868" i="1"/>
  <c r="AD868" i="1"/>
  <c r="AA868" i="1"/>
  <c r="AG882" i="1"/>
  <c r="AD882" i="1"/>
  <c r="AA882" i="1"/>
  <c r="AG863" i="1"/>
  <c r="AD863" i="1"/>
  <c r="AA863" i="1"/>
  <c r="AG928" i="1"/>
  <c r="AD928" i="1"/>
  <c r="AA928" i="1"/>
  <c r="AG866" i="1"/>
  <c r="AD866" i="1"/>
  <c r="AA866" i="1"/>
  <c r="AG855" i="1"/>
  <c r="AD855" i="1"/>
  <c r="AA855" i="1"/>
  <c r="AG870" i="1"/>
  <c r="AD870" i="1"/>
  <c r="AA870" i="1"/>
  <c r="AG872" i="1"/>
  <c r="AD872" i="1"/>
  <c r="AA872" i="1"/>
  <c r="AG853" i="1"/>
  <c r="AD853" i="1"/>
  <c r="AA853" i="1"/>
  <c r="AG881" i="1"/>
  <c r="AD881" i="1"/>
  <c r="AA881" i="1"/>
  <c r="AG850" i="1"/>
  <c r="AD850" i="1"/>
  <c r="AA850" i="1"/>
  <c r="AG852" i="1"/>
  <c r="AD852" i="1"/>
  <c r="AA852" i="1"/>
  <c r="AG878" i="1"/>
  <c r="AD878" i="1"/>
  <c r="AA878" i="1"/>
  <c r="AG885" i="1"/>
  <c r="AD885" i="1"/>
  <c r="AA885" i="1"/>
  <c r="AG884" i="1"/>
  <c r="AD884" i="1"/>
  <c r="AA884" i="1"/>
  <c r="AG854" i="1"/>
  <c r="AD854" i="1"/>
  <c r="AA854" i="1"/>
  <c r="AG877" i="1"/>
  <c r="AD877" i="1"/>
  <c r="AA877" i="1"/>
  <c r="AG890" i="1"/>
  <c r="AD890" i="1"/>
  <c r="AA890" i="1"/>
  <c r="AG876" i="1"/>
  <c r="AD876" i="1"/>
  <c r="AA876" i="1"/>
  <c r="AG889" i="1"/>
  <c r="AD889" i="1"/>
  <c r="AA889" i="1"/>
  <c r="AG862" i="1"/>
  <c r="AD862" i="1"/>
  <c r="AA862" i="1"/>
  <c r="AG883" i="1"/>
  <c r="AD883" i="1"/>
  <c r="AA883" i="1"/>
  <c r="AG869" i="1"/>
  <c r="AD869" i="1"/>
  <c r="AA869" i="1"/>
  <c r="AG848" i="1"/>
  <c r="AD848" i="1"/>
  <c r="AA848" i="1"/>
  <c r="AG880" i="1"/>
  <c r="AD880" i="1"/>
  <c r="AA880" i="1"/>
  <c r="AG879" i="1"/>
  <c r="AD879" i="1"/>
  <c r="AA879" i="1"/>
  <c r="AG856" i="1"/>
  <c r="AD856" i="1"/>
  <c r="AA856" i="1"/>
  <c r="AG860" i="1"/>
  <c r="AD860" i="1"/>
  <c r="AA860" i="1"/>
  <c r="AG859" i="1"/>
  <c r="AD859" i="1"/>
  <c r="AA859" i="1"/>
  <c r="AG864" i="1"/>
  <c r="AD864" i="1"/>
  <c r="AA864" i="1"/>
  <c r="AG857" i="1"/>
  <c r="AD857" i="1"/>
  <c r="AA857" i="1"/>
  <c r="AG871" i="1"/>
  <c r="AD871" i="1"/>
  <c r="AA871" i="1"/>
  <c r="AG865" i="1"/>
  <c r="AD865" i="1"/>
  <c r="AA865" i="1"/>
  <c r="AG858" i="1"/>
  <c r="AD858" i="1"/>
  <c r="AA858" i="1"/>
  <c r="AG851" i="1"/>
  <c r="AD851" i="1"/>
  <c r="AA851" i="1"/>
  <c r="AG875" i="1"/>
  <c r="AD875" i="1"/>
  <c r="AA875" i="1"/>
  <c r="AG849" i="1"/>
  <c r="AD849" i="1"/>
  <c r="AA849" i="1"/>
  <c r="AG874" i="1"/>
  <c r="AD874" i="1"/>
  <c r="AA874" i="1"/>
  <c r="AG861" i="1"/>
  <c r="AD861" i="1"/>
  <c r="AA861" i="1"/>
  <c r="AG873" i="1"/>
  <c r="AD873" i="1"/>
  <c r="AA873" i="1"/>
  <c r="AG847" i="1"/>
  <c r="AD847" i="1"/>
  <c r="AA847" i="1"/>
  <c r="AG844" i="1"/>
  <c r="AD844" i="1"/>
  <c r="AA844" i="1"/>
  <c r="AG983" i="1"/>
  <c r="AD983" i="1"/>
  <c r="AA983" i="1"/>
  <c r="AG967" i="1"/>
  <c r="AD967" i="1"/>
  <c r="AA967" i="1"/>
  <c r="AG980" i="1"/>
  <c r="AD980" i="1"/>
  <c r="AA980" i="1"/>
  <c r="AG984" i="1"/>
  <c r="AD984" i="1"/>
  <c r="AA984" i="1"/>
  <c r="AG988" i="1"/>
  <c r="AD988" i="1"/>
  <c r="AA988" i="1"/>
  <c r="AG973" i="1"/>
  <c r="AD973" i="1"/>
  <c r="AA973" i="1"/>
  <c r="AG976" i="1"/>
  <c r="AD976" i="1"/>
  <c r="AA976" i="1"/>
  <c r="AG968" i="1"/>
  <c r="AD968" i="1"/>
  <c r="AA968" i="1"/>
  <c r="AG989" i="1"/>
  <c r="AD989" i="1"/>
  <c r="AA989" i="1"/>
  <c r="AG994" i="1"/>
  <c r="AD994" i="1"/>
  <c r="AA994" i="1"/>
  <c r="AG964" i="1"/>
  <c r="AD964" i="1"/>
  <c r="AA964" i="1"/>
  <c r="AG977" i="1"/>
  <c r="AD977" i="1"/>
  <c r="AA977" i="1"/>
  <c r="AG996" i="1"/>
  <c r="AD996" i="1"/>
  <c r="AA996" i="1"/>
  <c r="AG991" i="1"/>
  <c r="AD991" i="1"/>
  <c r="AA991" i="1"/>
  <c r="AG993" i="1"/>
  <c r="AD993" i="1"/>
  <c r="AA993" i="1"/>
  <c r="AG997" i="1"/>
  <c r="AD997" i="1"/>
  <c r="AA997" i="1"/>
  <c r="AG965" i="1"/>
  <c r="AD965" i="1"/>
  <c r="AA965" i="1"/>
  <c r="AG982" i="1"/>
  <c r="AD982" i="1"/>
  <c r="AA982" i="1"/>
  <c r="AG978" i="1"/>
  <c r="AD978" i="1"/>
  <c r="AA978" i="1"/>
  <c r="AG979" i="1"/>
  <c r="AD979" i="1"/>
  <c r="AA979" i="1"/>
  <c r="AG986" i="1"/>
  <c r="AD986" i="1"/>
  <c r="AA986" i="1"/>
  <c r="AG969" i="1"/>
  <c r="AD969" i="1"/>
  <c r="AA969" i="1"/>
  <c r="AG972" i="1"/>
  <c r="AD972" i="1"/>
  <c r="AA972" i="1"/>
  <c r="AG987" i="1"/>
  <c r="AD987" i="1"/>
  <c r="AA987" i="1"/>
  <c r="AG963" i="1"/>
  <c r="AD963" i="1"/>
  <c r="AA963" i="1"/>
  <c r="AG966" i="1"/>
  <c r="AD966" i="1"/>
  <c r="AA966" i="1"/>
  <c r="AG999" i="1"/>
  <c r="AD999" i="1"/>
  <c r="AA999" i="1"/>
  <c r="AG962" i="1"/>
  <c r="AD962" i="1"/>
  <c r="AA962" i="1"/>
  <c r="AG970" i="1"/>
  <c r="AD970" i="1"/>
  <c r="AA970" i="1"/>
  <c r="AG971" i="1"/>
  <c r="AD971" i="1"/>
  <c r="AA971" i="1"/>
  <c r="AG995" i="1"/>
  <c r="AD995" i="1"/>
  <c r="AA995" i="1"/>
  <c r="AG998" i="1"/>
  <c r="AD998" i="1"/>
  <c r="AA998" i="1"/>
  <c r="AG990" i="1"/>
  <c r="AD990" i="1"/>
  <c r="AA990" i="1"/>
  <c r="AG975" i="1"/>
  <c r="AD975" i="1"/>
  <c r="AA975" i="1"/>
  <c r="AG992" i="1"/>
  <c r="AD992" i="1"/>
  <c r="AA992" i="1"/>
  <c r="AG985" i="1"/>
  <c r="AD985" i="1"/>
  <c r="AA985" i="1"/>
  <c r="AG974" i="1"/>
  <c r="AD974" i="1"/>
  <c r="AA974" i="1"/>
  <c r="AG1027" i="1"/>
  <c r="AD1027" i="1"/>
  <c r="AA1027" i="1"/>
  <c r="AG1028" i="1"/>
  <c r="AD1028" i="1"/>
  <c r="AA1028" i="1"/>
  <c r="AG1021" i="1"/>
  <c r="AD1021" i="1"/>
  <c r="AA1021" i="1"/>
  <c r="AG1017" i="1"/>
  <c r="AD1017" i="1"/>
  <c r="AA1017" i="1"/>
  <c r="AG1019" i="1"/>
  <c r="AD1019" i="1"/>
  <c r="AA1019" i="1"/>
  <c r="AG1020" i="1"/>
  <c r="AD1020" i="1"/>
  <c r="AA1020" i="1"/>
  <c r="AG1025" i="1"/>
  <c r="AD1025" i="1"/>
  <c r="AA1025" i="1"/>
  <c r="AG1015" i="1"/>
  <c r="AD1015" i="1"/>
  <c r="AA1015" i="1"/>
  <c r="AG1024" i="1"/>
  <c r="AD1024" i="1"/>
  <c r="AA1024" i="1"/>
  <c r="AG1016" i="1"/>
  <c r="AD1016" i="1"/>
  <c r="AA1016" i="1"/>
  <c r="AG1014" i="1"/>
  <c r="AD1014" i="1"/>
  <c r="AA1014" i="1"/>
  <c r="AG1018" i="1"/>
  <c r="AD1018" i="1"/>
  <c r="AA1018" i="1"/>
  <c r="AG1013" i="1"/>
  <c r="AD1013" i="1"/>
  <c r="AA1013" i="1"/>
  <c r="AG1116" i="1"/>
  <c r="AD1116" i="1"/>
  <c r="AA1116" i="1"/>
  <c r="AG1119" i="1"/>
  <c r="AD1119" i="1"/>
  <c r="AA1119" i="1"/>
  <c r="AG1117" i="1"/>
  <c r="AD1117" i="1"/>
  <c r="AA1117" i="1"/>
  <c r="AG1114" i="1"/>
  <c r="AD1114" i="1"/>
  <c r="AA1114" i="1"/>
  <c r="AG1115" i="1"/>
  <c r="AD1115" i="1"/>
  <c r="AA1115" i="1"/>
  <c r="AG1112" i="1"/>
  <c r="AD1112" i="1"/>
  <c r="AA1112" i="1"/>
  <c r="AG1111" i="1"/>
  <c r="AD1111" i="1"/>
  <c r="AA1111" i="1"/>
  <c r="AG1113" i="1"/>
  <c r="AD1113" i="1"/>
  <c r="AA1113" i="1"/>
  <c r="AG584" i="1"/>
  <c r="AD584" i="1"/>
  <c r="AA584" i="1"/>
  <c r="AG585" i="1"/>
  <c r="AD585" i="1"/>
  <c r="AA585" i="1"/>
  <c r="AG406" i="1"/>
  <c r="AD406" i="1"/>
  <c r="AA406" i="1"/>
  <c r="AG407" i="1"/>
  <c r="AD407" i="1"/>
  <c r="AA407" i="1"/>
  <c r="AG408" i="1"/>
  <c r="AD408" i="1"/>
  <c r="AA408" i="1"/>
  <c r="AG409" i="1"/>
  <c r="AD409" i="1"/>
  <c r="AA409" i="1"/>
  <c r="AG410" i="1"/>
  <c r="AD410" i="1"/>
  <c r="AA410" i="1"/>
  <c r="AG411" i="1"/>
  <c r="AD411" i="1"/>
  <c r="AA411" i="1"/>
  <c r="AG25" i="1"/>
  <c r="AD25" i="1"/>
  <c r="AA25" i="1"/>
  <c r="AG22" i="1"/>
  <c r="AD22" i="1"/>
  <c r="AA22" i="1"/>
  <c r="AG20" i="1"/>
  <c r="AD20" i="1"/>
  <c r="AA20" i="1"/>
  <c r="AG27" i="1"/>
  <c r="AD27" i="1"/>
  <c r="AA27" i="1"/>
  <c r="AG26" i="1"/>
  <c r="AD26" i="1"/>
  <c r="AA26" i="1"/>
  <c r="AG24" i="1"/>
  <c r="AD24" i="1"/>
  <c r="AA24" i="1"/>
  <c r="AG21" i="1"/>
  <c r="AD21" i="1"/>
  <c r="AA21" i="1"/>
  <c r="AG28" i="1"/>
  <c r="AD28" i="1"/>
  <c r="AA28" i="1"/>
  <c r="AG23" i="1"/>
  <c r="AD23" i="1"/>
  <c r="AA23" i="1"/>
  <c r="AG35" i="1"/>
  <c r="AD35" i="1"/>
  <c r="AA35" i="1"/>
  <c r="AG36" i="1"/>
  <c r="AD36" i="1"/>
  <c r="AA36" i="1"/>
  <c r="AG95" i="1"/>
  <c r="AD95" i="1"/>
  <c r="AA95" i="1"/>
  <c r="AG96" i="1"/>
  <c r="AD96" i="1"/>
  <c r="AA96" i="1"/>
  <c r="AG94" i="1"/>
  <c r="AD94" i="1"/>
  <c r="AA94" i="1"/>
  <c r="AG102" i="1"/>
  <c r="AD102" i="1"/>
  <c r="AA102" i="1"/>
  <c r="AG103" i="1"/>
  <c r="AD103" i="1"/>
  <c r="AA103" i="1"/>
  <c r="AG100" i="1"/>
  <c r="AD100" i="1"/>
  <c r="AA100" i="1"/>
  <c r="AG104" i="1"/>
  <c r="AD104" i="1"/>
  <c r="AA104" i="1"/>
  <c r="AG101" i="1"/>
  <c r="AD101" i="1"/>
  <c r="AA101" i="1"/>
  <c r="AG108" i="1"/>
  <c r="AD108" i="1"/>
  <c r="AA108" i="1"/>
  <c r="AG163" i="1"/>
  <c r="AD163" i="1"/>
  <c r="AA163" i="1"/>
  <c r="AG164" i="1"/>
  <c r="AD164" i="1"/>
  <c r="AA164" i="1"/>
  <c r="AG162" i="1"/>
  <c r="AD162" i="1"/>
  <c r="AA162" i="1"/>
  <c r="AG274" i="1"/>
  <c r="AD274" i="1"/>
  <c r="AA274" i="1"/>
  <c r="AG279" i="1"/>
  <c r="AD279" i="1"/>
  <c r="AA279" i="1"/>
  <c r="AG280" i="1"/>
  <c r="AD280" i="1"/>
  <c r="AA280" i="1"/>
  <c r="AG283" i="1"/>
  <c r="AD283" i="1"/>
  <c r="AA283" i="1"/>
  <c r="AG282" i="1"/>
  <c r="AD282" i="1"/>
  <c r="AA282" i="1"/>
  <c r="AG403" i="1"/>
  <c r="AD403" i="1"/>
  <c r="AA403" i="1"/>
  <c r="AG402" i="1"/>
  <c r="AD402" i="1"/>
  <c r="AA402" i="1"/>
  <c r="AG501" i="1"/>
  <c r="AD501" i="1"/>
  <c r="AA501" i="1"/>
  <c r="AG502" i="1"/>
  <c r="AD502" i="1"/>
  <c r="AA502" i="1"/>
  <c r="AG500" i="1"/>
  <c r="AD500" i="1"/>
  <c r="AA500" i="1"/>
  <c r="AG510" i="1"/>
  <c r="AD510" i="1"/>
  <c r="AA510" i="1"/>
  <c r="AG509" i="1"/>
  <c r="AD509" i="1"/>
  <c r="AA509" i="1"/>
  <c r="AG511" i="1"/>
  <c r="AD511" i="1"/>
  <c r="AA511" i="1"/>
  <c r="AG506" i="1"/>
  <c r="AD506" i="1"/>
  <c r="AA506" i="1"/>
  <c r="AG507" i="1"/>
  <c r="AD507" i="1"/>
  <c r="AA507" i="1"/>
  <c r="AG508" i="1"/>
  <c r="AD508" i="1"/>
  <c r="AA508" i="1"/>
  <c r="AG663" i="1"/>
  <c r="AD663" i="1"/>
  <c r="AA663" i="1"/>
  <c r="AG664" i="1"/>
  <c r="AD664" i="1"/>
  <c r="AA664" i="1"/>
  <c r="AG702" i="1"/>
  <c r="AD702" i="1"/>
  <c r="AA702" i="1"/>
  <c r="AG705" i="1"/>
  <c r="AD705" i="1"/>
  <c r="AA705" i="1"/>
  <c r="AG703" i="1"/>
  <c r="AD703" i="1"/>
  <c r="AA703" i="1"/>
  <c r="AG704" i="1"/>
  <c r="AD704" i="1"/>
  <c r="AA704" i="1"/>
  <c r="AG701" i="1"/>
  <c r="AD701" i="1"/>
  <c r="AA701" i="1"/>
  <c r="AG720" i="1"/>
  <c r="AD720" i="1"/>
  <c r="AA720" i="1"/>
  <c r="AG723" i="1"/>
  <c r="AD723" i="1"/>
  <c r="AA723" i="1"/>
  <c r="AG725" i="1"/>
  <c r="AD725" i="1"/>
  <c r="AA725" i="1"/>
  <c r="AG726" i="1"/>
  <c r="AD726" i="1"/>
  <c r="AA726" i="1"/>
  <c r="AG724" i="1"/>
  <c r="AD724" i="1"/>
  <c r="AA724" i="1"/>
  <c r="AG719" i="1"/>
  <c r="AD719" i="1"/>
  <c r="AA719" i="1"/>
  <c r="AG721" i="1"/>
  <c r="AD721" i="1"/>
  <c r="AA721" i="1"/>
  <c r="AG722" i="1"/>
  <c r="AD722" i="1"/>
  <c r="AA722" i="1"/>
  <c r="AG729" i="1"/>
  <c r="AD729" i="1"/>
  <c r="AA729" i="1"/>
  <c r="AG730" i="1"/>
  <c r="AD730" i="1"/>
  <c r="AA730" i="1"/>
  <c r="AG1138" i="1"/>
  <c r="AD1138" i="1"/>
  <c r="AA1138" i="1"/>
  <c r="AG1133" i="1"/>
  <c r="AD1133" i="1"/>
  <c r="AA1133" i="1"/>
  <c r="AG1137" i="1"/>
  <c r="AD1137" i="1"/>
  <c r="AA1137" i="1"/>
  <c r="AG1135" i="1"/>
  <c r="AD1135" i="1"/>
  <c r="AA1135" i="1"/>
  <c r="AG1141" i="1"/>
  <c r="AD1141" i="1"/>
  <c r="AA1141" i="1"/>
  <c r="AG1140" i="1"/>
  <c r="AD1140" i="1"/>
  <c r="AA1140" i="1"/>
  <c r="AG1134" i="1"/>
  <c r="AD1134" i="1"/>
  <c r="AA1134" i="1"/>
  <c r="AG1139" i="1"/>
  <c r="AD1139" i="1"/>
  <c r="AA1139" i="1"/>
  <c r="AG1136" i="1"/>
  <c r="AD1136" i="1"/>
  <c r="AA1136" i="1"/>
  <c r="AG1147" i="1"/>
  <c r="AD1147" i="1"/>
  <c r="AA1147" i="1"/>
  <c r="AG1145" i="1"/>
  <c r="AD1145" i="1"/>
  <c r="AA1145" i="1"/>
  <c r="AG1146" i="1"/>
  <c r="AD1146" i="1"/>
  <c r="AA1146" i="1"/>
  <c r="AG1197" i="1"/>
  <c r="AD1197" i="1"/>
  <c r="AA1197" i="1"/>
  <c r="AG1196" i="1"/>
  <c r="AD1196" i="1"/>
  <c r="AA1196" i="1"/>
  <c r="AG1198" i="1"/>
  <c r="AD1198" i="1"/>
  <c r="AA1198" i="1"/>
  <c r="AG1206" i="1"/>
  <c r="AD1206" i="1"/>
  <c r="AA1206" i="1"/>
  <c r="AG1205" i="1"/>
  <c r="AD1205" i="1"/>
  <c r="AA1205" i="1"/>
  <c r="AG1217" i="1"/>
  <c r="AD1217" i="1"/>
  <c r="AA1217" i="1"/>
  <c r="AG1218" i="1"/>
  <c r="AD1218" i="1"/>
  <c r="AA1218" i="1"/>
  <c r="AG1219" i="1"/>
  <c r="AD1219" i="1"/>
  <c r="AA1219" i="1"/>
  <c r="AG1220" i="1"/>
  <c r="AD1220" i="1"/>
  <c r="AA1220" i="1"/>
  <c r="AG1221" i="1"/>
  <c r="AD1221" i="1"/>
  <c r="AA1221" i="1"/>
  <c r="AG1222" i="1"/>
  <c r="AD1222" i="1"/>
  <c r="AA1222" i="1"/>
  <c r="AG1223" i="1"/>
  <c r="AD1223" i="1"/>
  <c r="AA1223" i="1"/>
  <c r="AG1224" i="1"/>
  <c r="AD1224" i="1"/>
  <c r="AA1224" i="1"/>
  <c r="AG1225" i="1"/>
  <c r="AD1225" i="1"/>
  <c r="AA1225" i="1"/>
  <c r="AG1266" i="1"/>
  <c r="AD1266" i="1"/>
  <c r="AA1266" i="1"/>
  <c r="AG1265" i="1"/>
  <c r="AD1265" i="1"/>
  <c r="AA1265" i="1"/>
  <c r="AG1267" i="1"/>
  <c r="AD1267" i="1"/>
  <c r="AA1267" i="1"/>
  <c r="AA535" i="1"/>
  <c r="AA532" i="1"/>
  <c r="AA548" i="1"/>
  <c r="AA530" i="1"/>
  <c r="AA531" i="1"/>
  <c r="AA547" i="1"/>
  <c r="AA533" i="1"/>
  <c r="AA534" i="1"/>
  <c r="AA522" i="1"/>
  <c r="AA519" i="1"/>
  <c r="AA521" i="1"/>
  <c r="AG544" i="1"/>
  <c r="AD544" i="1"/>
  <c r="AA544" i="1"/>
  <c r="AA520" i="1"/>
  <c r="AA525" i="1"/>
  <c r="AA523" i="1"/>
  <c r="AA524" i="1"/>
  <c r="AA526" i="1"/>
  <c r="AA527" i="1"/>
  <c r="AA528" i="1"/>
  <c r="AA529" i="1"/>
  <c r="AG640" i="1"/>
  <c r="AD640" i="1"/>
  <c r="AA640" i="1"/>
  <c r="AG638" i="1"/>
  <c r="AD638" i="1"/>
  <c r="AA638" i="1"/>
  <c r="AG639" i="1"/>
  <c r="AD639" i="1"/>
  <c r="AA639" i="1"/>
  <c r="AG650" i="1"/>
  <c r="AD650" i="1"/>
  <c r="AA650" i="1"/>
  <c r="AG647" i="1"/>
  <c r="AD647" i="1"/>
  <c r="AA647" i="1"/>
  <c r="AG651" i="1"/>
  <c r="AD651" i="1"/>
  <c r="AA651" i="1"/>
  <c r="AG652" i="1"/>
  <c r="AD652" i="1"/>
  <c r="AA652" i="1"/>
  <c r="AG649" i="1"/>
  <c r="AD649" i="1"/>
  <c r="AA649" i="1"/>
  <c r="AG648" i="1"/>
  <c r="AD648" i="1"/>
  <c r="AA648" i="1"/>
  <c r="AA1093" i="1"/>
  <c r="AA1096" i="1"/>
  <c r="AA1090" i="1"/>
  <c r="AA1097" i="1"/>
  <c r="AA1095" i="1"/>
  <c r="AA1092" i="1"/>
  <c r="AA1094" i="1"/>
  <c r="AG1091" i="1"/>
  <c r="AD1091" i="1"/>
  <c r="AA1091" i="1"/>
  <c r="AA1089" i="1"/>
  <c r="AA1080" i="1"/>
  <c r="AA1081" i="1"/>
  <c r="AA1076" i="1"/>
  <c r="AA1078" i="1"/>
  <c r="AA1079" i="1"/>
  <c r="AA1077" i="1"/>
  <c r="AA1082" i="1"/>
  <c r="AA1084" i="1"/>
  <c r="AA1083" i="1"/>
  <c r="AA1085" i="1"/>
  <c r="AA1087" i="1"/>
  <c r="AA1088" i="1"/>
  <c r="AA1086" i="1"/>
  <c r="AG1168" i="1"/>
  <c r="AD1168" i="1"/>
  <c r="AA1168" i="1"/>
  <c r="AG1167" i="1"/>
  <c r="AD1167" i="1"/>
  <c r="AA1167" i="1"/>
  <c r="AG1175" i="1"/>
  <c r="AA1175" i="1"/>
  <c r="AG1172" i="1"/>
  <c r="AD1172" i="1"/>
  <c r="AA1172" i="1"/>
  <c r="AG1174" i="1"/>
  <c r="AD1174" i="1"/>
  <c r="AA1174" i="1"/>
  <c r="AG1190" i="1"/>
  <c r="AD1190" i="1"/>
  <c r="AA1190" i="1"/>
  <c r="AG1177" i="1"/>
  <c r="AA1177" i="1"/>
  <c r="AG1173" i="1"/>
  <c r="AD1173" i="1"/>
  <c r="AA1173" i="1"/>
  <c r="AG1176" i="1"/>
  <c r="AA1176" i="1"/>
  <c r="AG1162" i="1"/>
  <c r="AA1162" i="1"/>
  <c r="AG1154" i="1"/>
  <c r="AD1154" i="1"/>
  <c r="AA1154" i="1"/>
  <c r="AG1156" i="1"/>
  <c r="AA1156" i="1"/>
  <c r="AG1158" i="1"/>
  <c r="AD1158" i="1"/>
  <c r="AA1158" i="1"/>
  <c r="AG1160" i="1"/>
  <c r="AD1160" i="1"/>
  <c r="AA1160" i="1"/>
  <c r="AG1155" i="1"/>
  <c r="AD1155" i="1"/>
  <c r="AA1155" i="1"/>
  <c r="AG1157" i="1"/>
  <c r="AD1157" i="1"/>
  <c r="AA1157" i="1"/>
  <c r="AG1163" i="1"/>
  <c r="AD1163" i="1"/>
  <c r="AA1163" i="1"/>
  <c r="AG1161" i="1"/>
  <c r="AD1161" i="1"/>
  <c r="AA1161" i="1"/>
  <c r="AG1164" i="1"/>
  <c r="AD1164" i="1"/>
  <c r="AA1164" i="1"/>
  <c r="AG1166" i="1"/>
  <c r="AD1166" i="1"/>
  <c r="AA1166" i="1"/>
  <c r="AG1165" i="1"/>
  <c r="AD1165" i="1"/>
  <c r="AA1165" i="1"/>
  <c r="AG1169" i="1"/>
  <c r="AD1169" i="1"/>
  <c r="AA1169" i="1"/>
  <c r="AG1171" i="1"/>
  <c r="AA1171" i="1"/>
  <c r="AG1170" i="1"/>
  <c r="AD1170" i="1"/>
  <c r="AA1170" i="1"/>
  <c r="AG1159" i="1"/>
  <c r="AD1159" i="1"/>
  <c r="AA1159" i="1"/>
  <c r="AG159" i="1"/>
  <c r="AD159" i="1"/>
  <c r="AA159" i="1"/>
  <c r="AG273" i="1"/>
  <c r="AD273" i="1"/>
  <c r="AA273" i="1"/>
  <c r="AG1193" i="1"/>
  <c r="AD1193" i="1"/>
  <c r="AA1193" i="1"/>
  <c r="AG1194" i="1"/>
  <c r="AD1194" i="1"/>
  <c r="AA1194" i="1"/>
  <c r="AG1192" i="1"/>
  <c r="AD1192" i="1"/>
  <c r="AA1192" i="1"/>
  <c r="AG566" i="1"/>
  <c r="AD566" i="1"/>
  <c r="AA566" i="1"/>
  <c r="AG569" i="1"/>
  <c r="AD569" i="1"/>
  <c r="AA569" i="1"/>
  <c r="AG571" i="1"/>
  <c r="AD571" i="1"/>
  <c r="AA571" i="1"/>
  <c r="AG562" i="1"/>
  <c r="AD562" i="1"/>
  <c r="AA562" i="1"/>
  <c r="AG563" i="1"/>
  <c r="AD563" i="1"/>
  <c r="AA563" i="1"/>
  <c r="AG567" i="1"/>
  <c r="AD567" i="1"/>
  <c r="AA567" i="1"/>
  <c r="AG568" i="1"/>
  <c r="AD568" i="1"/>
  <c r="AA568" i="1"/>
  <c r="AG565" i="1"/>
  <c r="AD565" i="1"/>
  <c r="AA565" i="1"/>
  <c r="AG573" i="1"/>
  <c r="AD573" i="1"/>
  <c r="AA573" i="1"/>
  <c r="AG561" i="1"/>
  <c r="AD561" i="1"/>
  <c r="AA561" i="1"/>
  <c r="AG570" i="1"/>
  <c r="AD570" i="1"/>
  <c r="AA570" i="1"/>
  <c r="AB660" i="1"/>
  <c r="AB1093" i="1"/>
  <c r="AB1096" i="1"/>
  <c r="AB1090" i="1"/>
  <c r="AB1097" i="1"/>
  <c r="AB1095" i="1"/>
  <c r="AB1092" i="1"/>
  <c r="AB1094" i="1"/>
  <c r="AB1089" i="1"/>
  <c r="AB1080" i="1"/>
  <c r="AB1081" i="1"/>
  <c r="AB1076" i="1"/>
  <c r="AB1078" i="1"/>
  <c r="AB1079" i="1"/>
  <c r="AB1077" i="1"/>
  <c r="AB1082" i="1"/>
  <c r="AB1084" i="1"/>
  <c r="AB1083" i="1"/>
  <c r="AB1085" i="1"/>
  <c r="AB1087" i="1"/>
  <c r="AB1088" i="1"/>
  <c r="AB1086" i="1"/>
  <c r="AB1068" i="1"/>
  <c r="AB1069" i="1"/>
  <c r="AB1070" i="1"/>
  <c r="AB1071" i="1"/>
  <c r="AB1099" i="1"/>
  <c r="AB1072" i="1"/>
  <c r="AB1073" i="1"/>
  <c r="AB1100" i="1"/>
  <c r="AB1074" i="1"/>
  <c r="AB1075" i="1"/>
  <c r="AB1102" i="1"/>
  <c r="AB1103" i="1"/>
  <c r="AB1104" i="1"/>
  <c r="AB1105" i="1"/>
  <c r="AB1106" i="1"/>
  <c r="AB1107" i="1"/>
  <c r="AB1108" i="1"/>
  <c r="AB1109" i="1"/>
  <c r="AB1101" i="1"/>
  <c r="AB532" i="1"/>
  <c r="AB548" i="1"/>
  <c r="AB530" i="1"/>
  <c r="AB531" i="1"/>
  <c r="AB547" i="1"/>
  <c r="AB533" i="1"/>
  <c r="AB534" i="1"/>
  <c r="AB522" i="1"/>
  <c r="AB519" i="1"/>
  <c r="AB521" i="1"/>
  <c r="AB520" i="1"/>
  <c r="AB525" i="1"/>
  <c r="AB523" i="1"/>
  <c r="AB524" i="1"/>
  <c r="AB526" i="1"/>
  <c r="AB527" i="1"/>
  <c r="AB528" i="1"/>
  <c r="AB529" i="1"/>
  <c r="AB515" i="1"/>
  <c r="AB516" i="1"/>
  <c r="AB517" i="1"/>
  <c r="AB518" i="1"/>
  <c r="AB536" i="1"/>
  <c r="AB538" i="1"/>
  <c r="AB539" i="1"/>
  <c r="AB540" i="1"/>
  <c r="AB541" i="1"/>
  <c r="AB542" i="1"/>
  <c r="AB543" i="1"/>
  <c r="AB546" i="1"/>
  <c r="AB549" i="1"/>
  <c r="AB550" i="1"/>
  <c r="AB535" i="1"/>
  <c r="B93" i="4"/>
  <c r="B5" i="4" s="1"/>
  <c r="E21" i="8" l="1"/>
  <c r="F2" i="7"/>
  <c r="F2" i="4"/>
  <c r="C41" i="8"/>
  <c r="C3" i="8" s="1"/>
  <c r="F21" i="8"/>
  <c r="E4" i="8"/>
  <c r="F72" i="8"/>
  <c r="F2" i="8"/>
  <c r="E4" i="7"/>
  <c r="C41" i="7"/>
  <c r="C3" i="7" s="1"/>
  <c r="C21" i="7"/>
  <c r="C72" i="7"/>
  <c r="F11" i="7"/>
  <c r="F21" i="7" s="1"/>
  <c r="C21" i="4"/>
  <c r="F13" i="4"/>
  <c r="F21" i="4" s="1"/>
  <c r="C53" i="4"/>
  <c r="C3" i="4" s="1"/>
  <c r="AD523" i="1"/>
  <c r="AE523" i="1"/>
  <c r="AD531" i="1"/>
  <c r="AE531" i="1"/>
  <c r="AG531" i="1" s="1"/>
  <c r="AD1088" i="1"/>
  <c r="AE1088" i="1"/>
  <c r="AG1088" i="1" s="1"/>
  <c r="AD1097" i="1"/>
  <c r="AE1097" i="1"/>
  <c r="AG1097" i="1" s="1"/>
  <c r="AD547" i="1"/>
  <c r="AE547" i="1"/>
  <c r="AG547" i="1" s="1"/>
  <c r="AD1079" i="1"/>
  <c r="AE1079" i="1"/>
  <c r="AG1079" i="1" s="1"/>
  <c r="AD541" i="1"/>
  <c r="AE541" i="1"/>
  <c r="AG541" i="1" s="1"/>
  <c r="AD525" i="1"/>
  <c r="AE525" i="1"/>
  <c r="AG525" i="1" s="1"/>
  <c r="AD1106" i="1"/>
  <c r="AE1106" i="1"/>
  <c r="AG1106" i="1" s="1"/>
  <c r="AD1078" i="1"/>
  <c r="AE1078" i="1"/>
  <c r="AG1078" i="1" s="1"/>
  <c r="AD540" i="1"/>
  <c r="AE540" i="1"/>
  <c r="AG540" i="1" s="1"/>
  <c r="AD514" i="1"/>
  <c r="AG514" i="1"/>
  <c r="AD520" i="1"/>
  <c r="AE520" i="1"/>
  <c r="AG520" i="1" s="1"/>
  <c r="AD530" i="1"/>
  <c r="AE530" i="1"/>
  <c r="AG530" i="1" s="1"/>
  <c r="AD1105" i="1"/>
  <c r="AE1105" i="1"/>
  <c r="AG1105" i="1" s="1"/>
  <c r="AD1072" i="1"/>
  <c r="AE1072" i="1"/>
  <c r="AG1072" i="1" s="1"/>
  <c r="AD1087" i="1"/>
  <c r="AE1087" i="1"/>
  <c r="AG1087" i="1" s="1"/>
  <c r="AD1076" i="1"/>
  <c r="AE1076" i="1"/>
  <c r="AD1090" i="1"/>
  <c r="AE1090" i="1"/>
  <c r="AG1090" i="1" s="1"/>
  <c r="AD1100" i="1"/>
  <c r="AE1100" i="1"/>
  <c r="AG1100" i="1" s="1"/>
  <c r="AD515" i="1"/>
  <c r="AE515" i="1"/>
  <c r="AD1073" i="1"/>
  <c r="AE1073" i="1"/>
  <c r="AG1073" i="1" s="1"/>
  <c r="AD535" i="1"/>
  <c r="AE535" i="1"/>
  <c r="AD539" i="1"/>
  <c r="AE539" i="1"/>
  <c r="AG539" i="1" s="1"/>
  <c r="AD529" i="1"/>
  <c r="AE529" i="1"/>
  <c r="AG529" i="1" s="1"/>
  <c r="AD521" i="1"/>
  <c r="AE521" i="1"/>
  <c r="AG521" i="1" s="1"/>
  <c r="AD548" i="1"/>
  <c r="AE548" i="1"/>
  <c r="AG548" i="1" s="1"/>
  <c r="AD1104" i="1"/>
  <c r="AE1104" i="1"/>
  <c r="AG1104" i="1" s="1"/>
  <c r="AD1099" i="1"/>
  <c r="AE1099" i="1"/>
  <c r="AG1099" i="1" s="1"/>
  <c r="AD1085" i="1"/>
  <c r="AE1085" i="1"/>
  <c r="AG1085" i="1" s="1"/>
  <c r="AD1081" i="1"/>
  <c r="AE1081" i="1"/>
  <c r="AG1081" i="1" s="1"/>
  <c r="AD1096" i="1"/>
  <c r="AE1096" i="1"/>
  <c r="AG1096" i="1" s="1"/>
  <c r="AD1071" i="1"/>
  <c r="AE1071" i="1"/>
  <c r="AG1071" i="1" s="1"/>
  <c r="AD1107" i="1"/>
  <c r="AE1107" i="1"/>
  <c r="AG1107" i="1" s="1"/>
  <c r="AD1095" i="1"/>
  <c r="AE1095" i="1"/>
  <c r="AG1095" i="1" s="1"/>
  <c r="AD538" i="1"/>
  <c r="AE538" i="1"/>
  <c r="AG538" i="1" s="1"/>
  <c r="AD519" i="1"/>
  <c r="AE519" i="1"/>
  <c r="AG519" i="1" s="1"/>
  <c r="AD1103" i="1"/>
  <c r="AE1103" i="1"/>
  <c r="AG1103" i="1" s="1"/>
  <c r="AD1080" i="1"/>
  <c r="AE1080" i="1"/>
  <c r="AG1080" i="1" s="1"/>
  <c r="AD1093" i="1"/>
  <c r="AE1093" i="1"/>
  <c r="AD527" i="1"/>
  <c r="AE527" i="1"/>
  <c r="AG527" i="1" s="1"/>
  <c r="AD1102" i="1"/>
  <c r="AE1102" i="1"/>
  <c r="AG1102" i="1" s="1"/>
  <c r="AD1084" i="1"/>
  <c r="AE1084" i="1"/>
  <c r="AG1084" i="1" s="1"/>
  <c r="AD660" i="1"/>
  <c r="AE660" i="1"/>
  <c r="D89" i="4" s="1"/>
  <c r="AD542" i="1"/>
  <c r="AE542" i="1"/>
  <c r="AG542" i="1" s="1"/>
  <c r="AD1086" i="1"/>
  <c r="AE1086" i="1"/>
  <c r="AG1086" i="1" s="1"/>
  <c r="AD550" i="1"/>
  <c r="AE550" i="1"/>
  <c r="AG550" i="1" s="1"/>
  <c r="AD528" i="1"/>
  <c r="AE528" i="1"/>
  <c r="AG528" i="1" s="1"/>
  <c r="AD532" i="1"/>
  <c r="AE532" i="1"/>
  <c r="AG532" i="1" s="1"/>
  <c r="AD1083" i="1"/>
  <c r="AE1083" i="1"/>
  <c r="AG1083" i="1" s="1"/>
  <c r="AD549" i="1"/>
  <c r="AE549" i="1"/>
  <c r="AG549" i="1" s="1"/>
  <c r="AD536" i="1"/>
  <c r="AE536" i="1"/>
  <c r="AG536" i="1" s="1"/>
  <c r="AD522" i="1"/>
  <c r="AE522" i="1"/>
  <c r="AG522" i="1" s="1"/>
  <c r="AD1101" i="1"/>
  <c r="AE1101" i="1"/>
  <c r="AG1101" i="1" s="1"/>
  <c r="AD1070" i="1"/>
  <c r="AE1070" i="1"/>
  <c r="AG1070" i="1" s="1"/>
  <c r="AD1089" i="1"/>
  <c r="AE1089" i="1"/>
  <c r="AD546" i="1"/>
  <c r="AE546" i="1"/>
  <c r="AG546" i="1" s="1"/>
  <c r="AD518" i="1"/>
  <c r="AE518" i="1"/>
  <c r="AG518" i="1" s="1"/>
  <c r="AD526" i="1"/>
  <c r="AE526" i="1"/>
  <c r="AG526" i="1" s="1"/>
  <c r="AD534" i="1"/>
  <c r="AE534" i="1"/>
  <c r="AG534" i="1" s="1"/>
  <c r="AD1109" i="1"/>
  <c r="AE1109" i="1"/>
  <c r="AG1109" i="1" s="1"/>
  <c r="AD1075" i="1"/>
  <c r="AE1075" i="1"/>
  <c r="AG1075" i="1" s="1"/>
  <c r="AD1069" i="1"/>
  <c r="AE1069" i="1"/>
  <c r="AG1069" i="1" s="1"/>
  <c r="AD1082" i="1"/>
  <c r="AE1082" i="1"/>
  <c r="AG1082" i="1" s="1"/>
  <c r="AD1094" i="1"/>
  <c r="AE1094" i="1"/>
  <c r="AG1094" i="1" s="1"/>
  <c r="AD516" i="1"/>
  <c r="AE516" i="1"/>
  <c r="AG516" i="1" s="1"/>
  <c r="AD543" i="1"/>
  <c r="AE543" i="1"/>
  <c r="AG543" i="1" s="1"/>
  <c r="AD517" i="1"/>
  <c r="AE517" i="1"/>
  <c r="AG517" i="1" s="1"/>
  <c r="AD524" i="1"/>
  <c r="AE524" i="1"/>
  <c r="AG524" i="1" s="1"/>
  <c r="AD533" i="1"/>
  <c r="AE533" i="1"/>
  <c r="AG533" i="1" s="1"/>
  <c r="AD1108" i="1"/>
  <c r="AE1108" i="1"/>
  <c r="AG1108" i="1" s="1"/>
  <c r="AD1074" i="1"/>
  <c r="AE1074" i="1"/>
  <c r="AG1074" i="1" s="1"/>
  <c r="AD1068" i="1"/>
  <c r="AE1068" i="1"/>
  <c r="AD1077" i="1"/>
  <c r="AE1077" i="1"/>
  <c r="AG1077" i="1" s="1"/>
  <c r="AD1092" i="1"/>
  <c r="AE1092" i="1"/>
  <c r="AG1092" i="1" s="1"/>
  <c r="U1265" i="1"/>
  <c r="AO1265" i="1" s="1"/>
  <c r="U1267" i="1"/>
  <c r="U1258" i="1"/>
  <c r="AO1258" i="1" s="1"/>
  <c r="U1259" i="1"/>
  <c r="AO1259" i="1" s="1"/>
  <c r="U1268" i="1"/>
  <c r="U1260" i="1"/>
  <c r="U1261" i="1"/>
  <c r="U1262" i="1"/>
  <c r="U1257" i="1"/>
  <c r="U1263" i="1"/>
  <c r="U1264" i="1"/>
  <c r="U1269" i="1"/>
  <c r="U1251" i="1"/>
  <c r="U1252" i="1"/>
  <c r="U1248" i="1"/>
  <c r="AO1248" i="1" s="1"/>
  <c r="U1250" i="1"/>
  <c r="U1253" i="1"/>
  <c r="U1249" i="1"/>
  <c r="U1246" i="1"/>
  <c r="U1242" i="1"/>
  <c r="U1243" i="1"/>
  <c r="U1244" i="1"/>
  <c r="U1245" i="1"/>
  <c r="U1247" i="1"/>
  <c r="U1254" i="1"/>
  <c r="U1255" i="1"/>
  <c r="AO1255" i="1" s="1"/>
  <c r="U1256" i="1"/>
  <c r="U1232" i="1"/>
  <c r="AO1232" i="1" s="1"/>
  <c r="U1235" i="1"/>
  <c r="U1227" i="1"/>
  <c r="U1228" i="1"/>
  <c r="U1233" i="1"/>
  <c r="U1236" i="1"/>
  <c r="U1230" i="1"/>
  <c r="U1241" i="1"/>
  <c r="U1229" i="1"/>
  <c r="U1234" i="1"/>
  <c r="AO1234" i="1" s="1"/>
  <c r="U1237" i="1"/>
  <c r="U1238" i="1"/>
  <c r="U1239" i="1"/>
  <c r="U1240" i="1"/>
  <c r="U1231" i="1"/>
  <c r="U1213" i="1"/>
  <c r="AO1213" i="1" s="1"/>
  <c r="U1217" i="1"/>
  <c r="U1218" i="1"/>
  <c r="U1219" i="1"/>
  <c r="U1220" i="1"/>
  <c r="U1221" i="1"/>
  <c r="U1222" i="1"/>
  <c r="AO1222" i="1" s="1"/>
  <c r="U1223" i="1"/>
  <c r="U1224" i="1"/>
  <c r="AF1225" i="1"/>
  <c r="U1212" i="1"/>
  <c r="U1207" i="1"/>
  <c r="U1208" i="1"/>
  <c r="U1214" i="1"/>
  <c r="U1215" i="1"/>
  <c r="U1216" i="1"/>
  <c r="U1209" i="1"/>
  <c r="U1210" i="1"/>
  <c r="U1226" i="1"/>
  <c r="U1211" i="1"/>
  <c r="AF1206" i="1"/>
  <c r="AF1201" i="1"/>
  <c r="AF1202" i="1"/>
  <c r="AF1203" i="1"/>
  <c r="AF1204" i="1"/>
  <c r="U1197" i="1"/>
  <c r="U1196" i="1"/>
  <c r="AO1196" i="1" s="1"/>
  <c r="U1198" i="1"/>
  <c r="U1199" i="1"/>
  <c r="U1195" i="1"/>
  <c r="U1193" i="1"/>
  <c r="U1194" i="1"/>
  <c r="U1192" i="1"/>
  <c r="U1153" i="1"/>
  <c r="U1168" i="1"/>
  <c r="U1167" i="1"/>
  <c r="U1175" i="1"/>
  <c r="AO1175" i="1" s="1"/>
  <c r="U1172" i="1"/>
  <c r="U1174" i="1"/>
  <c r="U1190" i="1"/>
  <c r="U1177" i="1"/>
  <c r="AO1177" i="1" s="1"/>
  <c r="U1173" i="1"/>
  <c r="U1176" i="1"/>
  <c r="AO1176" i="1" s="1"/>
  <c r="U1162" i="1"/>
  <c r="AO1162" i="1" s="1"/>
  <c r="U1154" i="1"/>
  <c r="AO1154" i="1" s="1"/>
  <c r="U1156" i="1"/>
  <c r="AO1156" i="1" s="1"/>
  <c r="U1158" i="1"/>
  <c r="U1160" i="1"/>
  <c r="U1155" i="1"/>
  <c r="U1157" i="1"/>
  <c r="U1163" i="1"/>
  <c r="U1161" i="1"/>
  <c r="U1164" i="1"/>
  <c r="U1166" i="1"/>
  <c r="U1165" i="1"/>
  <c r="U1169" i="1"/>
  <c r="U1171" i="1"/>
  <c r="AO1171" i="1" s="1"/>
  <c r="U1170" i="1"/>
  <c r="U1178" i="1"/>
  <c r="U1148" i="1"/>
  <c r="U1149" i="1"/>
  <c r="U1150" i="1"/>
  <c r="U1151" i="1"/>
  <c r="U1152" i="1"/>
  <c r="U1180" i="1"/>
  <c r="U1181" i="1"/>
  <c r="U1182" i="1"/>
  <c r="U1183" i="1"/>
  <c r="U1184" i="1"/>
  <c r="U1185" i="1"/>
  <c r="AO1185" i="1" s="1"/>
  <c r="U1186" i="1"/>
  <c r="U1187" i="1"/>
  <c r="U1188" i="1"/>
  <c r="U1189" i="1"/>
  <c r="U1191" i="1"/>
  <c r="U1159" i="1"/>
  <c r="U1147" i="1"/>
  <c r="U1145" i="1"/>
  <c r="AO1145" i="1" s="1"/>
  <c r="U1146" i="1"/>
  <c r="U1138" i="1"/>
  <c r="U1133" i="1"/>
  <c r="AO1133" i="1" s="1"/>
  <c r="U1137" i="1"/>
  <c r="U1135" i="1"/>
  <c r="U1141" i="1"/>
  <c r="U1140" i="1"/>
  <c r="U1134" i="1"/>
  <c r="U1139" i="1"/>
  <c r="U1136" i="1"/>
  <c r="U1124" i="1"/>
  <c r="AO1124" i="1" s="1"/>
  <c r="U1125" i="1"/>
  <c r="U1126" i="1"/>
  <c r="U1127" i="1"/>
  <c r="U1128" i="1"/>
  <c r="U1129" i="1"/>
  <c r="U1130" i="1"/>
  <c r="U1131" i="1"/>
  <c r="U1132" i="1"/>
  <c r="U1142" i="1"/>
  <c r="U1143" i="1"/>
  <c r="U1144" i="1"/>
  <c r="U1120" i="1"/>
  <c r="AO1120" i="1" s="1"/>
  <c r="U1116" i="1"/>
  <c r="AO1116" i="1" s="1"/>
  <c r="U1119" i="1"/>
  <c r="AO1119" i="1" s="1"/>
  <c r="U1117" i="1"/>
  <c r="U1110" i="1"/>
  <c r="AO1110" i="1" s="1"/>
  <c r="U1123" i="1"/>
  <c r="AO1123" i="1" s="1"/>
  <c r="U1122" i="1"/>
  <c r="AO1122" i="1" s="1"/>
  <c r="U1114" i="1"/>
  <c r="AO1114" i="1" s="1"/>
  <c r="U1115" i="1"/>
  <c r="AO1115" i="1" s="1"/>
  <c r="U1112" i="1"/>
  <c r="AO1112" i="1" s="1"/>
  <c r="U1111" i="1"/>
  <c r="U1113" i="1"/>
  <c r="AO1113" i="1" s="1"/>
  <c r="U1118" i="1"/>
  <c r="AO1118" i="1" s="1"/>
  <c r="U1121" i="1"/>
  <c r="U1093" i="1"/>
  <c r="AO1093" i="1" s="1"/>
  <c r="U1096" i="1"/>
  <c r="AO1096" i="1" s="1"/>
  <c r="U1090" i="1"/>
  <c r="AO1090" i="1" s="1"/>
  <c r="U1097" i="1"/>
  <c r="AO1097" i="1" s="1"/>
  <c r="U1095" i="1"/>
  <c r="AO1095" i="1" s="1"/>
  <c r="U1092" i="1"/>
  <c r="AO1092" i="1" s="1"/>
  <c r="U1094" i="1"/>
  <c r="AO1094" i="1" s="1"/>
  <c r="U1091" i="1"/>
  <c r="U1089" i="1"/>
  <c r="AO1089" i="1" s="1"/>
  <c r="U1080" i="1"/>
  <c r="AO1080" i="1" s="1"/>
  <c r="U1081" i="1"/>
  <c r="AO1081" i="1" s="1"/>
  <c r="U1076" i="1"/>
  <c r="AO1076" i="1" s="1"/>
  <c r="U1078" i="1"/>
  <c r="AO1078" i="1" s="1"/>
  <c r="U1079" i="1"/>
  <c r="AO1079" i="1" s="1"/>
  <c r="U1077" i="1"/>
  <c r="AO1077" i="1" s="1"/>
  <c r="U1082" i="1"/>
  <c r="AO1082" i="1" s="1"/>
  <c r="U1084" i="1"/>
  <c r="AO1084" i="1" s="1"/>
  <c r="U1083" i="1"/>
  <c r="AO1083" i="1" s="1"/>
  <c r="U1085" i="1"/>
  <c r="AO1085" i="1" s="1"/>
  <c r="U1087" i="1"/>
  <c r="AO1087" i="1" s="1"/>
  <c r="U1088" i="1"/>
  <c r="AO1088" i="1" s="1"/>
  <c r="U1086" i="1"/>
  <c r="AO1086" i="1" s="1"/>
  <c r="U1068" i="1"/>
  <c r="AO1068" i="1" s="1"/>
  <c r="U1069" i="1"/>
  <c r="AO1069" i="1" s="1"/>
  <c r="U1070" i="1"/>
  <c r="AO1070" i="1" s="1"/>
  <c r="U1071" i="1"/>
  <c r="AO1071" i="1" s="1"/>
  <c r="U1099" i="1"/>
  <c r="AO1099" i="1" s="1"/>
  <c r="U1072" i="1"/>
  <c r="AO1072" i="1" s="1"/>
  <c r="U1073" i="1"/>
  <c r="AO1073" i="1" s="1"/>
  <c r="U1100" i="1"/>
  <c r="AO1100" i="1" s="1"/>
  <c r="U1074" i="1"/>
  <c r="AO1074" i="1" s="1"/>
  <c r="U1075" i="1"/>
  <c r="AO1075" i="1" s="1"/>
  <c r="U1102" i="1"/>
  <c r="AO1102" i="1" s="1"/>
  <c r="U1103" i="1"/>
  <c r="AO1103" i="1" s="1"/>
  <c r="U1104" i="1"/>
  <c r="AO1104" i="1" s="1"/>
  <c r="U1105" i="1"/>
  <c r="AO1105" i="1" s="1"/>
  <c r="U1106" i="1"/>
  <c r="AO1106" i="1" s="1"/>
  <c r="U1107" i="1"/>
  <c r="AO1107" i="1" s="1"/>
  <c r="U1108" i="1"/>
  <c r="AO1108" i="1" s="1"/>
  <c r="U1109" i="1"/>
  <c r="AO1109" i="1" s="1"/>
  <c r="U1101" i="1"/>
  <c r="AO1101" i="1" s="1"/>
  <c r="U1056" i="1"/>
  <c r="U1058" i="1"/>
  <c r="U1060" i="1"/>
  <c r="U1059" i="1"/>
  <c r="U1052" i="1"/>
  <c r="U1054" i="1"/>
  <c r="U1057" i="1"/>
  <c r="U1051" i="1"/>
  <c r="AO1051" i="1" s="1"/>
  <c r="U1061" i="1"/>
  <c r="U1062" i="1"/>
  <c r="U1063" i="1"/>
  <c r="U1039" i="1"/>
  <c r="U1040" i="1"/>
  <c r="U1041" i="1"/>
  <c r="U1042" i="1"/>
  <c r="U1064" i="1"/>
  <c r="U1043" i="1"/>
  <c r="AO1043" i="1" s="1"/>
  <c r="U1044" i="1"/>
  <c r="U1045" i="1"/>
  <c r="U1065" i="1"/>
  <c r="U1046" i="1"/>
  <c r="U1047" i="1"/>
  <c r="U1066" i="1"/>
  <c r="U1048" i="1"/>
  <c r="U1049" i="1"/>
  <c r="U1050" i="1"/>
  <c r="U1067" i="1"/>
  <c r="U1053" i="1"/>
  <c r="U1055" i="1"/>
  <c r="U1027" i="1"/>
  <c r="AO1027" i="1" s="1"/>
  <c r="U1028" i="1"/>
  <c r="U1021" i="1"/>
  <c r="AO1021" i="1" s="1"/>
  <c r="U1017" i="1"/>
  <c r="AO1017" i="1" s="1"/>
  <c r="U1019" i="1"/>
  <c r="AO1019" i="1" s="1"/>
  <c r="U1020" i="1"/>
  <c r="AO1020" i="1" s="1"/>
  <c r="U1025" i="1"/>
  <c r="AO1025" i="1" s="1"/>
  <c r="U1015" i="1"/>
  <c r="AO1015" i="1" s="1"/>
  <c r="U1024" i="1"/>
  <c r="AO1024" i="1" s="1"/>
  <c r="U1016" i="1"/>
  <c r="AO1016" i="1" s="1"/>
  <c r="U1014" i="1"/>
  <c r="AO1014" i="1" s="1"/>
  <c r="U1018" i="1"/>
  <c r="AO1018" i="1" s="1"/>
  <c r="U1013" i="1"/>
  <c r="AO1013" i="1" s="1"/>
  <c r="U1012" i="1"/>
  <c r="AO1012" i="1" s="1"/>
  <c r="U1022" i="1"/>
  <c r="AO1022" i="1" s="1"/>
  <c r="U1023" i="1"/>
  <c r="AO1023" i="1" s="1"/>
  <c r="U1026" i="1"/>
  <c r="AO1026" i="1" s="1"/>
  <c r="U1030" i="1"/>
  <c r="AO1030" i="1" s="1"/>
  <c r="U1029" i="1"/>
  <c r="U1031" i="1"/>
  <c r="AO1031" i="1" s="1"/>
  <c r="U1032" i="1"/>
  <c r="AO1032" i="1" s="1"/>
  <c r="U1033" i="1"/>
  <c r="AO1033" i="1" s="1"/>
  <c r="U1034" i="1"/>
  <c r="AO1034" i="1" s="1"/>
  <c r="U1035" i="1"/>
  <c r="AO1035" i="1" s="1"/>
  <c r="U1037" i="1"/>
  <c r="AO1037" i="1" s="1"/>
  <c r="U1036" i="1"/>
  <c r="AO1036" i="1" s="1"/>
  <c r="U1038" i="1"/>
  <c r="U983" i="1"/>
  <c r="U967" i="1"/>
  <c r="U980" i="1"/>
  <c r="U984" i="1"/>
  <c r="U988" i="1"/>
  <c r="U973" i="1"/>
  <c r="U976" i="1"/>
  <c r="U968" i="1"/>
  <c r="U989" i="1"/>
  <c r="U994" i="1"/>
  <c r="U964" i="1"/>
  <c r="U977" i="1"/>
  <c r="U996" i="1"/>
  <c r="U991" i="1"/>
  <c r="U993" i="1"/>
  <c r="U997" i="1"/>
  <c r="U965" i="1"/>
  <c r="U982" i="1"/>
  <c r="U978" i="1"/>
  <c r="U979" i="1"/>
  <c r="U986" i="1"/>
  <c r="U969" i="1"/>
  <c r="U972" i="1"/>
  <c r="U987" i="1"/>
  <c r="U963" i="1"/>
  <c r="U966" i="1"/>
  <c r="U999" i="1"/>
  <c r="U962" i="1"/>
  <c r="AO962" i="1" s="1"/>
  <c r="U970" i="1"/>
  <c r="U971" i="1"/>
  <c r="U995" i="1"/>
  <c r="U998" i="1"/>
  <c r="U939" i="1"/>
  <c r="U940" i="1"/>
  <c r="U941" i="1"/>
  <c r="U942" i="1"/>
  <c r="U943" i="1"/>
  <c r="U944" i="1"/>
  <c r="U945" i="1"/>
  <c r="U946" i="1"/>
  <c r="U947" i="1"/>
  <c r="U948" i="1"/>
  <c r="U949" i="1"/>
  <c r="U950" i="1"/>
  <c r="U951" i="1"/>
  <c r="U952" i="1"/>
  <c r="U953" i="1"/>
  <c r="U954" i="1"/>
  <c r="U955" i="1"/>
  <c r="U956" i="1"/>
  <c r="U957" i="1"/>
  <c r="U958" i="1"/>
  <c r="U959" i="1"/>
  <c r="U960" i="1"/>
  <c r="U961" i="1"/>
  <c r="U981" i="1"/>
  <c r="AO981" i="1" s="1"/>
  <c r="U1001" i="1"/>
  <c r="U1002" i="1"/>
  <c r="U1003" i="1"/>
  <c r="U1004" i="1"/>
  <c r="U1005" i="1"/>
  <c r="U1006" i="1"/>
  <c r="U1007" i="1"/>
  <c r="U1008" i="1"/>
  <c r="U1009" i="1"/>
  <c r="U1010" i="1"/>
  <c r="U1011" i="1"/>
  <c r="U990" i="1"/>
  <c r="U975" i="1"/>
  <c r="U992" i="1"/>
  <c r="U985" i="1"/>
  <c r="U974" i="1"/>
  <c r="U1000" i="1"/>
  <c r="U868" i="1"/>
  <c r="AO868" i="1" s="1"/>
  <c r="U882" i="1"/>
  <c r="U863" i="1"/>
  <c r="U928" i="1"/>
  <c r="U866" i="1"/>
  <c r="AO866" i="1" s="1"/>
  <c r="U855" i="1"/>
  <c r="AO855" i="1" s="1"/>
  <c r="U870" i="1"/>
  <c r="AO870" i="1" s="1"/>
  <c r="U872" i="1"/>
  <c r="AO872" i="1" s="1"/>
  <c r="U853" i="1"/>
  <c r="AO853" i="1" s="1"/>
  <c r="U881" i="1"/>
  <c r="U850" i="1"/>
  <c r="AO850" i="1" s="1"/>
  <c r="U852" i="1"/>
  <c r="AO852" i="1" s="1"/>
  <c r="U878" i="1"/>
  <c r="U885" i="1"/>
  <c r="AO885" i="1" s="1"/>
  <c r="U884" i="1"/>
  <c r="AO884" i="1" s="1"/>
  <c r="U854" i="1"/>
  <c r="AO854" i="1" s="1"/>
  <c r="U877" i="1"/>
  <c r="U890" i="1"/>
  <c r="AO890" i="1" s="1"/>
  <c r="U876" i="1"/>
  <c r="U889" i="1"/>
  <c r="AO889" i="1" s="1"/>
  <c r="U862" i="1"/>
  <c r="AO862" i="1" s="1"/>
  <c r="U883" i="1"/>
  <c r="U869" i="1"/>
  <c r="AO869" i="1" s="1"/>
  <c r="U848" i="1"/>
  <c r="AO848" i="1" s="1"/>
  <c r="U880" i="1"/>
  <c r="U879" i="1"/>
  <c r="U856" i="1"/>
  <c r="AO856" i="1" s="1"/>
  <c r="U860" i="1"/>
  <c r="AO860" i="1" s="1"/>
  <c r="U859" i="1"/>
  <c r="AO859" i="1" s="1"/>
  <c r="U864" i="1"/>
  <c r="AO864" i="1" s="1"/>
  <c r="U857" i="1"/>
  <c r="AO857" i="1" s="1"/>
  <c r="U871" i="1"/>
  <c r="AO871" i="1" s="1"/>
  <c r="U865" i="1"/>
  <c r="AO865" i="1" s="1"/>
  <c r="U858" i="1"/>
  <c r="AO858" i="1" s="1"/>
  <c r="U851" i="1"/>
  <c r="AO851" i="1" s="1"/>
  <c r="U875" i="1"/>
  <c r="U849" i="1"/>
  <c r="AO849" i="1" s="1"/>
  <c r="U874" i="1"/>
  <c r="U861" i="1"/>
  <c r="AO861" i="1" s="1"/>
  <c r="U842" i="1"/>
  <c r="U843" i="1"/>
  <c r="AO843" i="1" s="1"/>
  <c r="U846" i="1"/>
  <c r="AO846" i="1" s="1"/>
  <c r="U887" i="1"/>
  <c r="U886" i="1"/>
  <c r="AO886" i="1" s="1"/>
  <c r="U888" i="1"/>
  <c r="AO888" i="1" s="1"/>
  <c r="U892" i="1"/>
  <c r="AO892" i="1" s="1"/>
  <c r="U891" i="1"/>
  <c r="AO891" i="1" s="1"/>
  <c r="U893" i="1"/>
  <c r="U867" i="1"/>
  <c r="AO867" i="1" s="1"/>
  <c r="U894" i="1"/>
  <c r="AO894" i="1" s="1"/>
  <c r="U895" i="1"/>
  <c r="AO895" i="1" s="1"/>
  <c r="U896" i="1"/>
  <c r="AO896" i="1" s="1"/>
  <c r="U897" i="1"/>
  <c r="AO897" i="1" s="1"/>
  <c r="U898" i="1"/>
  <c r="U900" i="1"/>
  <c r="U899" i="1"/>
  <c r="AO899" i="1" s="1"/>
  <c r="U901" i="1"/>
  <c r="AO901" i="1" s="1"/>
  <c r="U903" i="1"/>
  <c r="U902" i="1"/>
  <c r="AO902" i="1" s="1"/>
  <c r="U904" i="1"/>
  <c r="AO904" i="1" s="1"/>
  <c r="U905" i="1"/>
  <c r="AO905" i="1" s="1"/>
  <c r="U906" i="1"/>
  <c r="AO906" i="1" s="1"/>
  <c r="U907" i="1"/>
  <c r="AO907" i="1" s="1"/>
  <c r="U908" i="1"/>
  <c r="AO908" i="1" s="1"/>
  <c r="U909" i="1"/>
  <c r="AO909" i="1" s="1"/>
  <c r="U910" i="1"/>
  <c r="AO910" i="1" s="1"/>
  <c r="U911" i="1"/>
  <c r="AO911" i="1" s="1"/>
  <c r="U913" i="1"/>
  <c r="AO913" i="1" s="1"/>
  <c r="U912" i="1"/>
  <c r="AO912" i="1" s="1"/>
  <c r="U914" i="1"/>
  <c r="AO914" i="1" s="1"/>
  <c r="U915" i="1"/>
  <c r="AO915" i="1" s="1"/>
  <c r="U916" i="1"/>
  <c r="AO916" i="1" s="1"/>
  <c r="U917" i="1"/>
  <c r="U922" i="1"/>
  <c r="U923" i="1"/>
  <c r="U919" i="1"/>
  <c r="AO919" i="1" s="1"/>
  <c r="U918" i="1"/>
  <c r="AO918" i="1" s="1"/>
  <c r="U920" i="1"/>
  <c r="AO920" i="1" s="1"/>
  <c r="U921" i="1"/>
  <c r="AO921" i="1" s="1"/>
  <c r="U924" i="1"/>
  <c r="U925" i="1"/>
  <c r="AO925" i="1" s="1"/>
  <c r="U926" i="1"/>
  <c r="AO926" i="1" s="1"/>
  <c r="U927" i="1"/>
  <c r="U930" i="1"/>
  <c r="AO930" i="1" s="1"/>
  <c r="U929" i="1"/>
  <c r="AO929" i="1" s="1"/>
  <c r="U931" i="1"/>
  <c r="AO931" i="1" s="1"/>
  <c r="U932" i="1"/>
  <c r="AO932" i="1" s="1"/>
  <c r="U933" i="1"/>
  <c r="U934" i="1"/>
  <c r="AO934" i="1" s="1"/>
  <c r="U936" i="1"/>
  <c r="AO936" i="1" s="1"/>
  <c r="U938" i="1"/>
  <c r="AO938" i="1" s="1"/>
  <c r="U935" i="1"/>
  <c r="AO935" i="1" s="1"/>
  <c r="U937" i="1"/>
  <c r="AO937" i="1" s="1"/>
  <c r="U873" i="1"/>
  <c r="U847" i="1"/>
  <c r="AO847" i="1" s="1"/>
  <c r="U844" i="1"/>
  <c r="AO844" i="1" s="1"/>
  <c r="U845" i="1"/>
  <c r="U840" i="1"/>
  <c r="AO840" i="1" s="1"/>
  <c r="U841" i="1"/>
  <c r="U823" i="1"/>
  <c r="U833" i="1"/>
  <c r="AO833" i="1" s="1"/>
  <c r="U789" i="1"/>
  <c r="U790" i="1"/>
  <c r="U791" i="1"/>
  <c r="U795" i="1"/>
  <c r="AO795" i="1" s="1"/>
  <c r="U796" i="1"/>
  <c r="U798" i="1"/>
  <c r="U799" i="1"/>
  <c r="U800" i="1"/>
  <c r="U802" i="1"/>
  <c r="U803" i="1"/>
  <c r="U801" i="1"/>
  <c r="U804" i="1"/>
  <c r="U811" i="1"/>
  <c r="U813" i="1"/>
  <c r="U812" i="1"/>
  <c r="U814" i="1"/>
  <c r="U815" i="1"/>
  <c r="U816" i="1"/>
  <c r="U817" i="1"/>
  <c r="U818" i="1"/>
  <c r="U820" i="1"/>
  <c r="U819" i="1"/>
  <c r="U821" i="1"/>
  <c r="U824" i="1"/>
  <c r="U825" i="1"/>
  <c r="U826" i="1"/>
  <c r="U827" i="1"/>
  <c r="U828" i="1"/>
  <c r="U829" i="1"/>
  <c r="U830" i="1"/>
  <c r="U831" i="1"/>
  <c r="U832" i="1"/>
  <c r="U834" i="1"/>
  <c r="U839" i="1"/>
  <c r="U835" i="1"/>
  <c r="U836" i="1"/>
  <c r="U837" i="1"/>
  <c r="U838" i="1"/>
  <c r="U806" i="1"/>
  <c r="U809" i="1"/>
  <c r="U808" i="1"/>
  <c r="U810" i="1"/>
  <c r="U788" i="1"/>
  <c r="U807" i="1"/>
  <c r="U805" i="1"/>
  <c r="U792" i="1"/>
  <c r="AO792" i="1" s="1"/>
  <c r="U793" i="1"/>
  <c r="U794" i="1"/>
  <c r="U797" i="1"/>
  <c r="U822" i="1"/>
  <c r="U782" i="1"/>
  <c r="U780" i="1"/>
  <c r="U746" i="1"/>
  <c r="U784" i="1"/>
  <c r="U765" i="1"/>
  <c r="U766" i="1"/>
  <c r="U764" i="1"/>
  <c r="U781" i="1"/>
  <c r="U785" i="1"/>
  <c r="U740" i="1"/>
  <c r="U741" i="1"/>
  <c r="U742" i="1"/>
  <c r="U743" i="1"/>
  <c r="U744" i="1"/>
  <c r="U745" i="1"/>
  <c r="U752" i="1"/>
  <c r="U757" i="1"/>
  <c r="U762" i="1"/>
  <c r="AO762" i="1" s="1"/>
  <c r="U770" i="1"/>
  <c r="U767" i="1"/>
  <c r="U776" i="1"/>
  <c r="U768" i="1"/>
  <c r="U773" i="1"/>
  <c r="U771" i="1"/>
  <c r="U772" i="1"/>
  <c r="U763" i="1"/>
  <c r="U779" i="1"/>
  <c r="U775" i="1"/>
  <c r="U769" i="1"/>
  <c r="U786" i="1"/>
  <c r="U778" i="1"/>
  <c r="U777" i="1"/>
  <c r="U774" i="1"/>
  <c r="U783" i="1"/>
  <c r="U736" i="1"/>
  <c r="AO736" i="1" s="1"/>
  <c r="U737" i="1"/>
  <c r="U738" i="1"/>
  <c r="U747" i="1"/>
  <c r="U748" i="1"/>
  <c r="U749" i="1"/>
  <c r="U750" i="1"/>
  <c r="U751" i="1"/>
  <c r="U753" i="1"/>
  <c r="U754" i="1"/>
  <c r="U755" i="1"/>
  <c r="U756" i="1"/>
  <c r="U758" i="1"/>
  <c r="U759" i="1"/>
  <c r="U760" i="1"/>
  <c r="U761" i="1"/>
  <c r="U787" i="1"/>
  <c r="U732" i="1"/>
  <c r="AO732" i="1" s="1"/>
  <c r="U733" i="1"/>
  <c r="U735" i="1"/>
  <c r="U729" i="1"/>
  <c r="AO729" i="1" s="1"/>
  <c r="U730" i="1"/>
  <c r="U727" i="1"/>
  <c r="AO727" i="1" s="1"/>
  <c r="U728" i="1"/>
  <c r="U731" i="1"/>
  <c r="U720" i="1"/>
  <c r="U723" i="1"/>
  <c r="U725" i="1"/>
  <c r="U726" i="1"/>
  <c r="U724" i="1"/>
  <c r="U719" i="1"/>
  <c r="AO719" i="1" s="1"/>
  <c r="U721" i="1"/>
  <c r="U722" i="1"/>
  <c r="U710" i="1"/>
  <c r="AO710" i="1" s="1"/>
  <c r="U711" i="1"/>
  <c r="U712" i="1"/>
  <c r="U713" i="1"/>
  <c r="U714" i="1"/>
  <c r="U715" i="1"/>
  <c r="U716" i="1"/>
  <c r="U717" i="1"/>
  <c r="U718" i="1"/>
  <c r="U702" i="1"/>
  <c r="U705" i="1"/>
  <c r="U703" i="1"/>
  <c r="U704" i="1"/>
  <c r="U701" i="1"/>
  <c r="AO701" i="1" s="1"/>
  <c r="U697" i="1"/>
  <c r="AO697" i="1" s="1"/>
  <c r="U698" i="1"/>
  <c r="U699" i="1"/>
  <c r="U700" i="1"/>
  <c r="U706" i="1"/>
  <c r="U707" i="1"/>
  <c r="U708" i="1"/>
  <c r="U666" i="1"/>
  <c r="U672" i="1"/>
  <c r="AO672" i="1" s="1"/>
  <c r="U668" i="1"/>
  <c r="U677" i="1"/>
  <c r="U669" i="1"/>
  <c r="AO669" i="1" s="1"/>
  <c r="U688" i="1"/>
  <c r="U670" i="1"/>
  <c r="AO670" i="1" s="1"/>
  <c r="U671" i="1"/>
  <c r="U674" i="1"/>
  <c r="U673" i="1"/>
  <c r="AO673" i="1" s="1"/>
  <c r="U675" i="1"/>
  <c r="U676" i="1"/>
  <c r="AO676" i="1" s="1"/>
  <c r="U678" i="1"/>
  <c r="U679" i="1"/>
  <c r="AO679" i="1" s="1"/>
  <c r="U680" i="1"/>
  <c r="U681" i="1"/>
  <c r="U682" i="1"/>
  <c r="U683" i="1"/>
  <c r="AO683" i="1" s="1"/>
  <c r="U684" i="1"/>
  <c r="AO684" i="1" s="1"/>
  <c r="U686" i="1"/>
  <c r="AO686" i="1" s="1"/>
  <c r="U685" i="1"/>
  <c r="AO685" i="1" s="1"/>
  <c r="U687" i="1"/>
  <c r="AO687" i="1" s="1"/>
  <c r="U689" i="1"/>
  <c r="U690" i="1"/>
  <c r="U693" i="1"/>
  <c r="U691" i="1"/>
  <c r="AO691" i="1" s="1"/>
  <c r="U692" i="1"/>
  <c r="AO692" i="1" s="1"/>
  <c r="U695" i="1"/>
  <c r="U694" i="1"/>
  <c r="U667" i="1"/>
  <c r="AO667" i="1" s="1"/>
  <c r="U663" i="1"/>
  <c r="AO663" i="1" s="1"/>
  <c r="U664" i="1"/>
  <c r="U662" i="1"/>
  <c r="AO662" i="1" s="1"/>
  <c r="U665" i="1"/>
  <c r="U650" i="1"/>
  <c r="AO650" i="1" s="1"/>
  <c r="U640" i="1"/>
  <c r="AO640" i="1" s="1"/>
  <c r="U652" i="1"/>
  <c r="U648" i="1"/>
  <c r="U647" i="1"/>
  <c r="U638" i="1"/>
  <c r="U639" i="1"/>
  <c r="U649" i="1"/>
  <c r="U653" i="1"/>
  <c r="U642" i="1"/>
  <c r="U643" i="1"/>
  <c r="U644" i="1"/>
  <c r="U645" i="1"/>
  <c r="U646" i="1"/>
  <c r="U654" i="1"/>
  <c r="U655" i="1"/>
  <c r="U656" i="1"/>
  <c r="U657" i="1"/>
  <c r="U658" i="1"/>
  <c r="U659" i="1"/>
  <c r="U660" i="1"/>
  <c r="AO660" i="1" s="1"/>
  <c r="U661" i="1"/>
  <c r="U641" i="1"/>
  <c r="U651" i="1"/>
  <c r="U606" i="1"/>
  <c r="AO606" i="1" s="1"/>
  <c r="U613" i="1"/>
  <c r="U601" i="1"/>
  <c r="AO601" i="1" s="1"/>
  <c r="U602" i="1"/>
  <c r="AO602" i="1" s="1"/>
  <c r="U621" i="1"/>
  <c r="AO621" i="1" s="1"/>
  <c r="U620" i="1"/>
  <c r="AO620" i="1" s="1"/>
  <c r="U595" i="1"/>
  <c r="AO595" i="1" s="1"/>
  <c r="U603" i="1"/>
  <c r="AO603" i="1" s="1"/>
  <c r="U596" i="1"/>
  <c r="AO596" i="1" s="1"/>
  <c r="U599" i="1"/>
  <c r="AO599" i="1" s="1"/>
  <c r="U598" i="1"/>
  <c r="AO598" i="1" s="1"/>
  <c r="U604" i="1"/>
  <c r="AO604" i="1" s="1"/>
  <c r="U609" i="1"/>
  <c r="AO609" i="1" s="1"/>
  <c r="U593" i="1"/>
  <c r="AO593" i="1" s="1"/>
  <c r="U592" i="1"/>
  <c r="AO592" i="1" s="1"/>
  <c r="U610" i="1"/>
  <c r="AO610" i="1" s="1"/>
  <c r="U605" i="1"/>
  <c r="AO605" i="1" s="1"/>
  <c r="U614" i="1"/>
  <c r="AO614" i="1" s="1"/>
  <c r="U615" i="1"/>
  <c r="AO615" i="1" s="1"/>
  <c r="U616" i="1"/>
  <c r="AO616" i="1" s="1"/>
  <c r="U608" i="1"/>
  <c r="AO608" i="1" s="1"/>
  <c r="U607" i="1"/>
  <c r="AO607" i="1" s="1"/>
  <c r="U597" i="1"/>
  <c r="AO597" i="1" s="1"/>
  <c r="U611" i="1"/>
  <c r="AO611" i="1" s="1"/>
  <c r="U619" i="1"/>
  <c r="AO619" i="1" s="1"/>
  <c r="U618" i="1"/>
  <c r="AO618" i="1" s="1"/>
  <c r="U622" i="1"/>
  <c r="AO622" i="1" s="1"/>
  <c r="U612" i="1"/>
  <c r="AO612" i="1" s="1"/>
  <c r="U600" i="1"/>
  <c r="AO600" i="1" s="1"/>
  <c r="U591" i="1"/>
  <c r="U594" i="1"/>
  <c r="U617" i="1"/>
  <c r="AO617" i="1" s="1"/>
  <c r="U624" i="1"/>
  <c r="AO624" i="1" s="1"/>
  <c r="U623" i="1"/>
  <c r="AO623" i="1" s="1"/>
  <c r="U625" i="1"/>
  <c r="AO625" i="1" s="1"/>
  <c r="U626" i="1"/>
  <c r="AO626" i="1" s="1"/>
  <c r="U627" i="1"/>
  <c r="AO627" i="1" s="1"/>
  <c r="U629" i="1"/>
  <c r="AO629" i="1" s="1"/>
  <c r="U628" i="1"/>
  <c r="AO628" i="1" s="1"/>
  <c r="U630" i="1"/>
  <c r="AO630" i="1" s="1"/>
  <c r="U631" i="1"/>
  <c r="AO631" i="1" s="1"/>
  <c r="U632" i="1"/>
  <c r="AO632" i="1" s="1"/>
  <c r="U633" i="1"/>
  <c r="AO633" i="1" s="1"/>
  <c r="U634" i="1"/>
  <c r="AO634" i="1" s="1"/>
  <c r="U636" i="1"/>
  <c r="AO636" i="1" s="1"/>
  <c r="U637" i="1"/>
  <c r="AO637" i="1" s="1"/>
  <c r="U635" i="1"/>
  <c r="AO635" i="1" s="1"/>
  <c r="U589" i="1"/>
  <c r="U590" i="1"/>
  <c r="U584" i="1"/>
  <c r="U585" i="1"/>
  <c r="U581" i="1"/>
  <c r="U582" i="1"/>
  <c r="U583" i="1"/>
  <c r="U586" i="1"/>
  <c r="U587" i="1"/>
  <c r="U579" i="1"/>
  <c r="U580" i="1"/>
  <c r="U578" i="1"/>
  <c r="U566" i="1"/>
  <c r="U569" i="1"/>
  <c r="U571" i="1"/>
  <c r="U562" i="1"/>
  <c r="U563" i="1"/>
  <c r="U567" i="1"/>
  <c r="U568" i="1"/>
  <c r="U565" i="1"/>
  <c r="U573" i="1"/>
  <c r="U561" i="1"/>
  <c r="AO561" i="1" s="1"/>
  <c r="U570" i="1"/>
  <c r="U552" i="1"/>
  <c r="AO552" i="1" s="1"/>
  <c r="U551" i="1"/>
  <c r="U553" i="1"/>
  <c r="U554" i="1"/>
  <c r="U555" i="1"/>
  <c r="U556" i="1"/>
  <c r="U557" i="1"/>
  <c r="U558" i="1"/>
  <c r="U559" i="1"/>
  <c r="U560" i="1"/>
  <c r="U564" i="1"/>
  <c r="U572" i="1"/>
  <c r="U574" i="1"/>
  <c r="U575" i="1"/>
  <c r="U576" i="1"/>
  <c r="U577" i="1"/>
  <c r="U535" i="1"/>
  <c r="AO535" i="1" s="1"/>
  <c r="U532" i="1"/>
  <c r="AO532" i="1" s="1"/>
  <c r="U548" i="1"/>
  <c r="AO548" i="1" s="1"/>
  <c r="U530" i="1"/>
  <c r="AO530" i="1" s="1"/>
  <c r="U531" i="1"/>
  <c r="AO531" i="1" s="1"/>
  <c r="U547" i="1"/>
  <c r="AO547" i="1" s="1"/>
  <c r="U533" i="1"/>
  <c r="AO533" i="1" s="1"/>
  <c r="U534" i="1"/>
  <c r="AO534" i="1" s="1"/>
  <c r="U522" i="1"/>
  <c r="AO522" i="1" s="1"/>
  <c r="U519" i="1"/>
  <c r="AO519" i="1" s="1"/>
  <c r="U521" i="1"/>
  <c r="AO521" i="1" s="1"/>
  <c r="U544" i="1"/>
  <c r="U520" i="1"/>
  <c r="AO520" i="1" s="1"/>
  <c r="U525" i="1"/>
  <c r="AO525" i="1" s="1"/>
  <c r="U523" i="1"/>
  <c r="AO523" i="1" s="1"/>
  <c r="U524" i="1"/>
  <c r="AO524" i="1" s="1"/>
  <c r="U526" i="1"/>
  <c r="AO526" i="1" s="1"/>
  <c r="U527" i="1"/>
  <c r="AO527" i="1" s="1"/>
  <c r="U528" i="1"/>
  <c r="AO528" i="1" s="1"/>
  <c r="U529" i="1"/>
  <c r="AO529" i="1" s="1"/>
  <c r="U514" i="1"/>
  <c r="AO514" i="1" s="1"/>
  <c r="U515" i="1"/>
  <c r="AO515" i="1" s="1"/>
  <c r="U516" i="1"/>
  <c r="AO516" i="1" s="1"/>
  <c r="U517" i="1"/>
  <c r="AO517" i="1" s="1"/>
  <c r="U518" i="1"/>
  <c r="AO518" i="1" s="1"/>
  <c r="U536" i="1"/>
  <c r="AO536" i="1" s="1"/>
  <c r="U538" i="1"/>
  <c r="AO538" i="1" s="1"/>
  <c r="U539" i="1"/>
  <c r="AO539" i="1" s="1"/>
  <c r="U540" i="1"/>
  <c r="AO540" i="1" s="1"/>
  <c r="U541" i="1"/>
  <c r="AO541" i="1" s="1"/>
  <c r="U542" i="1"/>
  <c r="AO542" i="1" s="1"/>
  <c r="U543" i="1"/>
  <c r="AO543" i="1" s="1"/>
  <c r="U545" i="1"/>
  <c r="U546" i="1"/>
  <c r="AO546" i="1" s="1"/>
  <c r="U549" i="1"/>
  <c r="AO549" i="1" s="1"/>
  <c r="U550" i="1"/>
  <c r="AO550" i="1" s="1"/>
  <c r="AF510" i="1"/>
  <c r="AF509" i="1"/>
  <c r="AF511" i="1"/>
  <c r="AF507" i="1"/>
  <c r="AF508" i="1"/>
  <c r="AF512" i="1"/>
  <c r="AF513" i="1"/>
  <c r="U501" i="1"/>
  <c r="U502" i="1"/>
  <c r="U500" i="1"/>
  <c r="AO500" i="1" s="1"/>
  <c r="U497" i="1"/>
  <c r="AO497" i="1" s="1"/>
  <c r="U498" i="1"/>
  <c r="U499" i="1"/>
  <c r="U503" i="1"/>
  <c r="U504" i="1"/>
  <c r="U446" i="1"/>
  <c r="AO446" i="1" s="1"/>
  <c r="U448" i="1"/>
  <c r="AO448" i="1" s="1"/>
  <c r="U447" i="1"/>
  <c r="AO447" i="1" s="1"/>
  <c r="U437" i="1"/>
  <c r="AO437" i="1" s="1"/>
  <c r="U439" i="1"/>
  <c r="AO439" i="1" s="1"/>
  <c r="U440" i="1"/>
  <c r="AO440" i="1" s="1"/>
  <c r="U441" i="1"/>
  <c r="AO441" i="1" s="1"/>
  <c r="U451" i="1"/>
  <c r="AO451" i="1" s="1"/>
  <c r="U443" i="1"/>
  <c r="AO443" i="1" s="1"/>
  <c r="U442" i="1"/>
  <c r="AO442" i="1" s="1"/>
  <c r="U444" i="1"/>
  <c r="AO444" i="1" s="1"/>
  <c r="U454" i="1"/>
  <c r="AO454" i="1" s="1"/>
  <c r="U455" i="1"/>
  <c r="AO455" i="1" s="1"/>
  <c r="U453" i="1"/>
  <c r="U456" i="1"/>
  <c r="AO456" i="1" s="1"/>
  <c r="U450" i="1"/>
  <c r="AO450" i="1" s="1"/>
  <c r="U458" i="1"/>
  <c r="AO458" i="1" s="1"/>
  <c r="U459" i="1"/>
  <c r="AF459" i="1" s="1"/>
  <c r="U449" i="1"/>
  <c r="AO449" i="1" s="1"/>
  <c r="U460" i="1"/>
  <c r="AO460" i="1" s="1"/>
  <c r="U452" i="1"/>
  <c r="AO452" i="1" s="1"/>
  <c r="U461" i="1"/>
  <c r="AO461" i="1" s="1"/>
  <c r="U462" i="1"/>
  <c r="AO462" i="1" s="1"/>
  <c r="U464" i="1"/>
  <c r="AO464" i="1" s="1"/>
  <c r="U438" i="1"/>
  <c r="AO438" i="1" s="1"/>
  <c r="U463" i="1"/>
  <c r="AO463" i="1" s="1"/>
  <c r="U466" i="1"/>
  <c r="U468" i="1"/>
  <c r="AO468" i="1" s="1"/>
  <c r="U467" i="1"/>
  <c r="AO467" i="1" s="1"/>
  <c r="U469" i="1"/>
  <c r="AO469" i="1" s="1"/>
  <c r="U470" i="1"/>
  <c r="AO470" i="1" s="1"/>
  <c r="U471" i="1"/>
  <c r="AO471" i="1" s="1"/>
  <c r="U472" i="1"/>
  <c r="AO472" i="1" s="1"/>
  <c r="U475" i="1"/>
  <c r="AO475" i="1" s="1"/>
  <c r="U474" i="1"/>
  <c r="AO474" i="1" s="1"/>
  <c r="U473" i="1"/>
  <c r="AO473" i="1" s="1"/>
  <c r="U476" i="1"/>
  <c r="AO476" i="1" s="1"/>
  <c r="U477" i="1"/>
  <c r="AO477" i="1" s="1"/>
  <c r="U478" i="1"/>
  <c r="AO478" i="1" s="1"/>
  <c r="U479" i="1"/>
  <c r="AO479" i="1" s="1"/>
  <c r="U480" i="1"/>
  <c r="AO480" i="1" s="1"/>
  <c r="U482" i="1"/>
  <c r="AO482" i="1" s="1"/>
  <c r="U481" i="1"/>
  <c r="AO481" i="1" s="1"/>
  <c r="U483" i="1"/>
  <c r="AO483" i="1" s="1"/>
  <c r="U484" i="1"/>
  <c r="AO484" i="1" s="1"/>
  <c r="U485" i="1"/>
  <c r="AO485" i="1" s="1"/>
  <c r="U486" i="1"/>
  <c r="AO486" i="1" s="1"/>
  <c r="U487" i="1"/>
  <c r="AO487" i="1" s="1"/>
  <c r="U488" i="1"/>
  <c r="AO488" i="1" s="1"/>
  <c r="U490" i="1"/>
  <c r="AO490" i="1" s="1"/>
  <c r="U489" i="1"/>
  <c r="AO489" i="1" s="1"/>
  <c r="U491" i="1"/>
  <c r="AO491" i="1" s="1"/>
  <c r="U492" i="1"/>
  <c r="AO492" i="1" s="1"/>
  <c r="U493" i="1"/>
  <c r="AO493" i="1" s="1"/>
  <c r="U494" i="1"/>
  <c r="AO494" i="1" s="1"/>
  <c r="U495" i="1"/>
  <c r="AO495" i="1" s="1"/>
  <c r="U496" i="1"/>
  <c r="AO496" i="1" s="1"/>
  <c r="U457" i="1"/>
  <c r="AO457" i="1" s="1"/>
  <c r="U465" i="1"/>
  <c r="AO465" i="1" s="1"/>
  <c r="U445" i="1"/>
  <c r="AO445" i="1" s="1"/>
  <c r="U416" i="1"/>
  <c r="U426" i="1"/>
  <c r="U417" i="1"/>
  <c r="U429" i="1"/>
  <c r="U425" i="1"/>
  <c r="AO425" i="1" s="1"/>
  <c r="U418" i="1"/>
  <c r="U420" i="1"/>
  <c r="U427" i="1"/>
  <c r="U421" i="1"/>
  <c r="U422" i="1"/>
  <c r="U430" i="1"/>
  <c r="U431" i="1"/>
  <c r="U428" i="1"/>
  <c r="U423" i="1"/>
  <c r="U419" i="1"/>
  <c r="U424" i="1"/>
  <c r="U432" i="1"/>
  <c r="U433" i="1"/>
  <c r="U434" i="1"/>
  <c r="U435" i="1"/>
  <c r="AO435" i="1" s="1"/>
  <c r="U436" i="1"/>
  <c r="U410" i="1"/>
  <c r="U412" i="1"/>
  <c r="U411" i="1"/>
  <c r="U413" i="1"/>
  <c r="U414" i="1"/>
  <c r="U415" i="1"/>
  <c r="U408" i="1"/>
  <c r="U409" i="1"/>
  <c r="Z409" i="1" s="1"/>
  <c r="U407" i="1"/>
  <c r="U406" i="1"/>
  <c r="U403" i="1"/>
  <c r="AO403" i="1" s="1"/>
  <c r="U402" i="1"/>
  <c r="U404" i="1"/>
  <c r="AO404" i="1" s="1"/>
  <c r="U405" i="1"/>
  <c r="U401" i="1"/>
  <c r="AF400" i="1"/>
  <c r="U385" i="1"/>
  <c r="U375" i="1"/>
  <c r="AO375" i="1" s="1"/>
  <c r="U377" i="1"/>
  <c r="U378" i="1"/>
  <c r="U387" i="1"/>
  <c r="U379" i="1"/>
  <c r="U376" i="1"/>
  <c r="AO376" i="1" s="1"/>
  <c r="U386" i="1"/>
  <c r="U389" i="1"/>
  <c r="U381" i="1"/>
  <c r="AO381" i="1" s="1"/>
  <c r="U382" i="1"/>
  <c r="AO382" i="1" s="1"/>
  <c r="U383" i="1"/>
  <c r="AO383" i="1" s="1"/>
  <c r="U391" i="1"/>
  <c r="AO391" i="1" s="1"/>
  <c r="U392" i="1"/>
  <c r="AO392" i="1" s="1"/>
  <c r="U393" i="1"/>
  <c r="AO393" i="1" s="1"/>
  <c r="U395" i="1"/>
  <c r="AO395" i="1" s="1"/>
  <c r="U394" i="1"/>
  <c r="AO394" i="1" s="1"/>
  <c r="U396" i="1"/>
  <c r="AO396" i="1" s="1"/>
  <c r="U397" i="1"/>
  <c r="AO397" i="1" s="1"/>
  <c r="U374" i="1"/>
  <c r="AO374" i="1" s="1"/>
  <c r="U373" i="1"/>
  <c r="AO373" i="1" s="1"/>
  <c r="U380" i="1"/>
  <c r="AO380" i="1" s="1"/>
  <c r="U388" i="1"/>
  <c r="U384" i="1"/>
  <c r="U390" i="1"/>
  <c r="AO390" i="1" s="1"/>
  <c r="U366" i="1"/>
  <c r="U357" i="1"/>
  <c r="U358" i="1"/>
  <c r="U362" i="1"/>
  <c r="U355" i="1"/>
  <c r="U363" i="1"/>
  <c r="U359" i="1"/>
  <c r="U354" i="1"/>
  <c r="U353" i="1"/>
  <c r="AO353" i="1" s="1"/>
  <c r="U365" i="1"/>
  <c r="U356" i="1"/>
  <c r="U360" i="1"/>
  <c r="U361" i="1"/>
  <c r="U364" i="1"/>
  <c r="U345" i="1"/>
  <c r="U346" i="1"/>
  <c r="U343" i="1"/>
  <c r="AO343" i="1" s="1"/>
  <c r="U347" i="1"/>
  <c r="U348" i="1"/>
  <c r="U349" i="1"/>
  <c r="U350" i="1"/>
  <c r="U351" i="1"/>
  <c r="U352" i="1"/>
  <c r="U368" i="1"/>
  <c r="U369" i="1"/>
  <c r="U370" i="1"/>
  <c r="U371" i="1"/>
  <c r="U372" i="1"/>
  <c r="U289" i="1"/>
  <c r="U285" i="1"/>
  <c r="AO285" i="1" s="1"/>
  <c r="U286" i="1"/>
  <c r="AO286" i="1" s="1"/>
  <c r="U323" i="1"/>
  <c r="AO323" i="1" s="1"/>
  <c r="U319" i="1"/>
  <c r="AO319" i="1" s="1"/>
  <c r="U292" i="1"/>
  <c r="AO292" i="1" s="1"/>
  <c r="U291" i="1"/>
  <c r="AO291" i="1" s="1"/>
  <c r="U317" i="1"/>
  <c r="AO317" i="1" s="1"/>
  <c r="U287" i="1"/>
  <c r="AO287" i="1" s="1"/>
  <c r="U336" i="1"/>
  <c r="U294" i="1"/>
  <c r="AO294" i="1" s="1"/>
  <c r="U295" i="1"/>
  <c r="AO295" i="1" s="1"/>
  <c r="U316" i="1"/>
  <c r="AO316" i="1" s="1"/>
  <c r="U310" i="1"/>
  <c r="AO310" i="1" s="1"/>
  <c r="U296" i="1"/>
  <c r="AO296" i="1" s="1"/>
  <c r="U299" i="1"/>
  <c r="AO299" i="1" s="1"/>
  <c r="U322" i="1"/>
  <c r="AO322" i="1" s="1"/>
  <c r="U298" i="1"/>
  <c r="AO298" i="1" s="1"/>
  <c r="U297" i="1"/>
  <c r="AO297" i="1" s="1"/>
  <c r="U300" i="1"/>
  <c r="AO300" i="1" s="1"/>
  <c r="U305" i="1"/>
  <c r="AO305" i="1" s="1"/>
  <c r="U304" i="1"/>
  <c r="AO304" i="1" s="1"/>
  <c r="U303" i="1"/>
  <c r="AO303" i="1" s="1"/>
  <c r="U308" i="1"/>
  <c r="AO308" i="1" s="1"/>
  <c r="U307" i="1"/>
  <c r="AO307" i="1" s="1"/>
  <c r="U306" i="1"/>
  <c r="AO306" i="1" s="1"/>
  <c r="U309" i="1"/>
  <c r="AO309" i="1" s="1"/>
  <c r="U315" i="1"/>
  <c r="AO315" i="1" s="1"/>
  <c r="U332" i="1"/>
  <c r="AO332" i="1" s="1"/>
  <c r="U314" i="1"/>
  <c r="AO314" i="1" s="1"/>
  <c r="U312" i="1"/>
  <c r="AO312" i="1" s="1"/>
  <c r="U311" i="1"/>
  <c r="AO311" i="1" s="1"/>
  <c r="U318" i="1"/>
  <c r="AO318" i="1" s="1"/>
  <c r="U313" i="1"/>
  <c r="AO313" i="1" s="1"/>
  <c r="U321" i="1"/>
  <c r="AO321" i="1" s="1"/>
  <c r="U325" i="1"/>
  <c r="AO325" i="1" s="1"/>
  <c r="U327" i="1"/>
  <c r="AO327" i="1" s="1"/>
  <c r="U326" i="1"/>
  <c r="AO326" i="1" s="1"/>
  <c r="U328" i="1"/>
  <c r="U301" i="1"/>
  <c r="AO301" i="1" s="1"/>
  <c r="U334" i="1"/>
  <c r="AO334" i="1" s="1"/>
  <c r="U335" i="1"/>
  <c r="AO335" i="1" s="1"/>
  <c r="U337" i="1"/>
  <c r="AO337" i="1" s="1"/>
  <c r="U339" i="1"/>
  <c r="AO339" i="1" s="1"/>
  <c r="U342" i="1"/>
  <c r="AO342" i="1" s="1"/>
  <c r="U288" i="1"/>
  <c r="AO288" i="1" s="1"/>
  <c r="U293" i="1"/>
  <c r="AO293" i="1" s="1"/>
  <c r="U333" i="1"/>
  <c r="U302" i="1"/>
  <c r="AO302" i="1" s="1"/>
  <c r="U341" i="1"/>
  <c r="AO341" i="1" s="1"/>
  <c r="AO320" i="1"/>
  <c r="U290" i="1"/>
  <c r="U324" i="1"/>
  <c r="U329" i="1"/>
  <c r="AO329" i="1" s="1"/>
  <c r="U330" i="1"/>
  <c r="AO330" i="1" s="1"/>
  <c r="U331" i="1"/>
  <c r="AO331" i="1" s="1"/>
  <c r="U338" i="1"/>
  <c r="AO338" i="1" s="1"/>
  <c r="U340" i="1"/>
  <c r="AO340" i="1" s="1"/>
  <c r="U283" i="1"/>
  <c r="U282" i="1"/>
  <c r="AO282" i="1" s="1"/>
  <c r="U281" i="1"/>
  <c r="AO281" i="1" s="1"/>
  <c r="U284" i="1"/>
  <c r="U274" i="1"/>
  <c r="AO274" i="1" s="1"/>
  <c r="U279" i="1"/>
  <c r="U280" i="1"/>
  <c r="U275" i="1"/>
  <c r="AO275" i="1" s="1"/>
  <c r="U276" i="1"/>
  <c r="U277" i="1"/>
  <c r="U278" i="1"/>
  <c r="U273" i="1"/>
  <c r="U202" i="1"/>
  <c r="AO202" i="1" s="1"/>
  <c r="U199" i="1"/>
  <c r="AO199" i="1" s="1"/>
  <c r="U189" i="1"/>
  <c r="AO189" i="1" s="1"/>
  <c r="U195" i="1"/>
  <c r="AO195" i="1" s="1"/>
  <c r="U177" i="1"/>
  <c r="AO177" i="1" s="1"/>
  <c r="U188" i="1"/>
  <c r="AO188" i="1" s="1"/>
  <c r="U196" i="1"/>
  <c r="AO196" i="1" s="1"/>
  <c r="U179" i="1"/>
  <c r="AO179" i="1" s="1"/>
  <c r="U183" i="1"/>
  <c r="AO183" i="1" s="1"/>
  <c r="U203" i="1"/>
  <c r="AO203" i="1" s="1"/>
  <c r="U215" i="1"/>
  <c r="AO215" i="1" s="1"/>
  <c r="U214" i="1"/>
  <c r="AO214" i="1" s="1"/>
  <c r="U204" i="1"/>
  <c r="AO204" i="1" s="1"/>
  <c r="U201" i="1"/>
  <c r="AO201" i="1" s="1"/>
  <c r="U221" i="1"/>
  <c r="AO221" i="1" s="1"/>
  <c r="U193" i="1"/>
  <c r="AO193" i="1" s="1"/>
  <c r="U208" i="1"/>
  <c r="AO208" i="1" s="1"/>
  <c r="U194" i="1"/>
  <c r="AO194" i="1" s="1"/>
  <c r="U190" i="1"/>
  <c r="AO190" i="1" s="1"/>
  <c r="U184" i="1"/>
  <c r="AO184" i="1" s="1"/>
  <c r="U178" i="1"/>
  <c r="AO178" i="1" s="1"/>
  <c r="U200" i="1"/>
  <c r="AO200" i="1" s="1"/>
  <c r="U192" i="1"/>
  <c r="AO192" i="1" s="1"/>
  <c r="U182" i="1"/>
  <c r="AO182" i="1" s="1"/>
  <c r="U205" i="1"/>
  <c r="U211" i="1"/>
  <c r="AO211" i="1" s="1"/>
  <c r="U206" i="1"/>
  <c r="AO206" i="1" s="1"/>
  <c r="U209" i="1"/>
  <c r="AO209" i="1" s="1"/>
  <c r="U198" i="1"/>
  <c r="AO198" i="1" s="1"/>
  <c r="U187" i="1"/>
  <c r="AO187" i="1" s="1"/>
  <c r="U213" i="1"/>
  <c r="AO213" i="1" s="1"/>
  <c r="U212" i="1"/>
  <c r="AO212" i="1" s="1"/>
  <c r="U191" i="1"/>
  <c r="AO191" i="1" s="1"/>
  <c r="U207" i="1"/>
  <c r="AO207" i="1" s="1"/>
  <c r="U197" i="1"/>
  <c r="AO197" i="1" s="1"/>
  <c r="U186" i="1"/>
  <c r="AO186" i="1" s="1"/>
  <c r="U185" i="1"/>
  <c r="AO185" i="1" s="1"/>
  <c r="U210" i="1"/>
  <c r="AO210" i="1" s="1"/>
  <c r="U168" i="1"/>
  <c r="AO168" i="1" s="1"/>
  <c r="U167" i="1"/>
  <c r="AO167" i="1" s="1"/>
  <c r="U172" i="1"/>
  <c r="AO172" i="1" s="1"/>
  <c r="U171" i="1"/>
  <c r="AO171" i="1" s="1"/>
  <c r="U169" i="1"/>
  <c r="AO169" i="1" s="1"/>
  <c r="U170" i="1"/>
  <c r="AO170" i="1" s="1"/>
  <c r="U175" i="1"/>
  <c r="U176" i="1"/>
  <c r="AO176" i="1" s="1"/>
  <c r="U174" i="1"/>
  <c r="AO174" i="1" s="1"/>
  <c r="U180" i="1"/>
  <c r="AO180" i="1" s="1"/>
  <c r="U181" i="1"/>
  <c r="AO181" i="1" s="1"/>
  <c r="U216" i="1"/>
  <c r="AO216" i="1" s="1"/>
  <c r="U218" i="1"/>
  <c r="AO218" i="1" s="1"/>
  <c r="U217" i="1"/>
  <c r="AO217" i="1" s="1"/>
  <c r="U220" i="1"/>
  <c r="AO220" i="1" s="1"/>
  <c r="U219" i="1"/>
  <c r="AO219" i="1" s="1"/>
  <c r="U223" i="1"/>
  <c r="AO223" i="1" s="1"/>
  <c r="U222" i="1"/>
  <c r="AO222" i="1" s="1"/>
  <c r="U225" i="1"/>
  <c r="AO225" i="1" s="1"/>
  <c r="U226" i="1"/>
  <c r="AO226" i="1" s="1"/>
  <c r="U227" i="1"/>
  <c r="AO227" i="1" s="1"/>
  <c r="U228" i="1"/>
  <c r="AO228" i="1" s="1"/>
  <c r="U229" i="1"/>
  <c r="AO229" i="1" s="1"/>
  <c r="U230" i="1"/>
  <c r="AO230" i="1" s="1"/>
  <c r="U231" i="1"/>
  <c r="AO231" i="1" s="1"/>
  <c r="U232" i="1"/>
  <c r="AO232" i="1" s="1"/>
  <c r="U233" i="1"/>
  <c r="AO233" i="1" s="1"/>
  <c r="U236" i="1"/>
  <c r="AO236" i="1" s="1"/>
  <c r="U235" i="1"/>
  <c r="AO235" i="1" s="1"/>
  <c r="U234" i="1"/>
  <c r="AO234" i="1" s="1"/>
  <c r="U237" i="1"/>
  <c r="AO237" i="1" s="1"/>
  <c r="U239" i="1"/>
  <c r="AO239" i="1" s="1"/>
  <c r="U238" i="1"/>
  <c r="AO238" i="1" s="1"/>
  <c r="U240" i="1"/>
  <c r="AO240" i="1" s="1"/>
  <c r="U243" i="1"/>
  <c r="AO243" i="1" s="1"/>
  <c r="U242" i="1"/>
  <c r="AO242" i="1" s="1"/>
  <c r="U245" i="1"/>
  <c r="AO245" i="1" s="1"/>
  <c r="U246" i="1"/>
  <c r="AO246" i="1" s="1"/>
  <c r="U247" i="1"/>
  <c r="AO247" i="1" s="1"/>
  <c r="U250" i="1"/>
  <c r="AO250" i="1" s="1"/>
  <c r="U251" i="1"/>
  <c r="AO251" i="1" s="1"/>
  <c r="U249" i="1"/>
  <c r="AO249" i="1" s="1"/>
  <c r="U248" i="1"/>
  <c r="AO248" i="1" s="1"/>
  <c r="U253" i="1"/>
  <c r="AO253" i="1" s="1"/>
  <c r="U255" i="1"/>
  <c r="AO255" i="1" s="1"/>
  <c r="U252" i="1"/>
  <c r="AO252" i="1" s="1"/>
  <c r="U254" i="1"/>
  <c r="AO254" i="1" s="1"/>
  <c r="U258" i="1"/>
  <c r="AO258" i="1" s="1"/>
  <c r="U257" i="1"/>
  <c r="AO257" i="1" s="1"/>
  <c r="U256" i="1"/>
  <c r="AO256" i="1" s="1"/>
  <c r="U259" i="1"/>
  <c r="AO259" i="1" s="1"/>
  <c r="U260" i="1"/>
  <c r="AO260" i="1" s="1"/>
  <c r="U261" i="1"/>
  <c r="AO261" i="1" s="1"/>
  <c r="U264" i="1"/>
  <c r="AO264" i="1" s="1"/>
  <c r="U265" i="1"/>
  <c r="AO265" i="1" s="1"/>
  <c r="U263" i="1"/>
  <c r="AO263" i="1" s="1"/>
  <c r="U262" i="1"/>
  <c r="AO262" i="1" s="1"/>
  <c r="U269" i="1"/>
  <c r="AO269" i="1" s="1"/>
  <c r="U267" i="1"/>
  <c r="AO267" i="1" s="1"/>
  <c r="U266" i="1"/>
  <c r="AO266" i="1" s="1"/>
  <c r="U272" i="1"/>
  <c r="AO272" i="1" s="1"/>
  <c r="U270" i="1"/>
  <c r="AO270" i="1" s="1"/>
  <c r="U271" i="1"/>
  <c r="AO271" i="1" s="1"/>
  <c r="U268" i="1"/>
  <c r="AO268" i="1" s="1"/>
  <c r="U173" i="1"/>
  <c r="AO173" i="1" s="1"/>
  <c r="U224" i="1"/>
  <c r="AO224" i="1" s="1"/>
  <c r="U241" i="1"/>
  <c r="AO241" i="1" s="1"/>
  <c r="U244" i="1"/>
  <c r="AO244" i="1" s="1"/>
  <c r="U163" i="1"/>
  <c r="U164" i="1"/>
  <c r="U162" i="1"/>
  <c r="AO162" i="1" s="1"/>
  <c r="U160" i="1"/>
  <c r="AO160" i="1" s="1"/>
  <c r="U161" i="1"/>
  <c r="U165" i="1"/>
  <c r="U166" i="1"/>
  <c r="U159" i="1"/>
  <c r="U130" i="1"/>
  <c r="AO130" i="1" s="1"/>
  <c r="U129" i="1"/>
  <c r="AO129" i="1" s="1"/>
  <c r="U116" i="1"/>
  <c r="AO116" i="1" s="1"/>
  <c r="U139" i="1"/>
  <c r="AO139" i="1" s="1"/>
  <c r="U117" i="1"/>
  <c r="AO117" i="1" s="1"/>
  <c r="U132" i="1"/>
  <c r="AO132" i="1" s="1"/>
  <c r="U124" i="1"/>
  <c r="AO124" i="1" s="1"/>
  <c r="U114" i="1"/>
  <c r="U120" i="1"/>
  <c r="AO120" i="1" s="1"/>
  <c r="U126" i="1"/>
  <c r="AO126" i="1" s="1"/>
  <c r="U131" i="1"/>
  <c r="AO131" i="1" s="1"/>
  <c r="U115" i="1"/>
  <c r="AO115" i="1" s="1"/>
  <c r="U145" i="1"/>
  <c r="AO145" i="1" s="1"/>
  <c r="U118" i="1"/>
  <c r="AO118" i="1" s="1"/>
  <c r="U134" i="1"/>
  <c r="AO134" i="1" s="1"/>
  <c r="U121" i="1"/>
  <c r="AO121" i="1" s="1"/>
  <c r="U125" i="1"/>
  <c r="AO125" i="1" s="1"/>
  <c r="AF137" i="1"/>
  <c r="U136" i="1"/>
  <c r="AO136" i="1" s="1"/>
  <c r="U128" i="1"/>
  <c r="AO128" i="1" s="1"/>
  <c r="U127" i="1"/>
  <c r="AO127" i="1" s="1"/>
  <c r="U123" i="1"/>
  <c r="AO123" i="1" s="1"/>
  <c r="U122" i="1"/>
  <c r="AO122" i="1" s="1"/>
  <c r="U119" i="1"/>
  <c r="AO119" i="1" s="1"/>
  <c r="U112" i="1"/>
  <c r="AO112" i="1" s="1"/>
  <c r="U133" i="1"/>
  <c r="AO133" i="1" s="1"/>
  <c r="U135" i="1"/>
  <c r="AO135" i="1" s="1"/>
  <c r="U138" i="1"/>
  <c r="AO138" i="1" s="1"/>
  <c r="U140" i="1"/>
  <c r="AO140" i="1" s="1"/>
  <c r="U141" i="1"/>
  <c r="AO141" i="1" s="1"/>
  <c r="U142" i="1"/>
  <c r="AO142" i="1" s="1"/>
  <c r="U143" i="1"/>
  <c r="AO143" i="1" s="1"/>
  <c r="U144" i="1"/>
  <c r="AO144" i="1" s="1"/>
  <c r="U146" i="1"/>
  <c r="AO146" i="1" s="1"/>
  <c r="U147" i="1"/>
  <c r="AO147" i="1" s="1"/>
  <c r="U148" i="1"/>
  <c r="AO148" i="1" s="1"/>
  <c r="U149" i="1"/>
  <c r="AO149" i="1" s="1"/>
  <c r="U150" i="1"/>
  <c r="AO150" i="1" s="1"/>
  <c r="U151" i="1"/>
  <c r="AO151" i="1" s="1"/>
  <c r="U154" i="1"/>
  <c r="AO154" i="1" s="1"/>
  <c r="U155" i="1"/>
  <c r="AO155" i="1" s="1"/>
  <c r="U152" i="1"/>
  <c r="AO152" i="1" s="1"/>
  <c r="U153" i="1"/>
  <c r="AO153" i="1" s="1"/>
  <c r="U156" i="1"/>
  <c r="AO156" i="1" s="1"/>
  <c r="U158" i="1"/>
  <c r="U157" i="1"/>
  <c r="AO157" i="1" s="1"/>
  <c r="U113" i="1"/>
  <c r="AO113" i="1" s="1"/>
  <c r="U108" i="1"/>
  <c r="AO108" i="1" s="1"/>
  <c r="U107" i="1"/>
  <c r="AO107" i="1" s="1"/>
  <c r="U109" i="1"/>
  <c r="U110" i="1"/>
  <c r="U111" i="1"/>
  <c r="U102" i="1"/>
  <c r="AO102" i="1" s="1"/>
  <c r="U103" i="1"/>
  <c r="U100" i="1"/>
  <c r="AO100" i="1" s="1"/>
  <c r="U104" i="1"/>
  <c r="U101" i="1"/>
  <c r="AO101" i="1" s="1"/>
  <c r="U98" i="1"/>
  <c r="AO98" i="1" s="1"/>
  <c r="U99" i="1"/>
  <c r="U105" i="1"/>
  <c r="U106" i="1"/>
  <c r="AF95" i="1"/>
  <c r="AF96" i="1"/>
  <c r="U83" i="1"/>
  <c r="U78" i="1"/>
  <c r="U85" i="1"/>
  <c r="U79" i="1"/>
  <c r="U82" i="1"/>
  <c r="U81" i="1"/>
  <c r="AO81" i="1" s="1"/>
  <c r="U84" i="1"/>
  <c r="U80" i="1"/>
  <c r="U87" i="1"/>
  <c r="AO87" i="1" s="1"/>
  <c r="U88" i="1"/>
  <c r="U89" i="1"/>
  <c r="U90" i="1"/>
  <c r="U91" i="1"/>
  <c r="U92" i="1"/>
  <c r="U62" i="1"/>
  <c r="U64" i="1"/>
  <c r="U63" i="1"/>
  <c r="U67" i="1"/>
  <c r="U65" i="1"/>
  <c r="U72" i="1"/>
  <c r="U69" i="1"/>
  <c r="U70" i="1"/>
  <c r="U71" i="1"/>
  <c r="U73" i="1"/>
  <c r="U74" i="1"/>
  <c r="U55" i="1"/>
  <c r="U56" i="1"/>
  <c r="U57" i="1"/>
  <c r="U75" i="1"/>
  <c r="U58" i="1"/>
  <c r="U76" i="1"/>
  <c r="U59" i="1"/>
  <c r="U60" i="1"/>
  <c r="AO60" i="1" s="1"/>
  <c r="U77" i="1"/>
  <c r="U68" i="1"/>
  <c r="U61" i="1"/>
  <c r="AO61" i="1" s="1"/>
  <c r="U66" i="1"/>
  <c r="U46" i="1"/>
  <c r="U44" i="1"/>
  <c r="U45" i="1"/>
  <c r="U47" i="1"/>
  <c r="U50" i="1"/>
  <c r="U51" i="1"/>
  <c r="U39" i="1"/>
  <c r="U52" i="1"/>
  <c r="AO52" i="1" s="1"/>
  <c r="U48" i="1"/>
  <c r="U53" i="1"/>
  <c r="U54" i="1"/>
  <c r="U40" i="1"/>
  <c r="U41" i="1"/>
  <c r="U49" i="1"/>
  <c r="U42" i="1"/>
  <c r="U43" i="1"/>
  <c r="AO43" i="1" s="1"/>
  <c r="U35" i="1"/>
  <c r="AO35" i="1" s="1"/>
  <c r="U36" i="1"/>
  <c r="U33" i="1"/>
  <c r="AO33" i="1" s="1"/>
  <c r="U32" i="1"/>
  <c r="U34" i="1"/>
  <c r="U37" i="1"/>
  <c r="U38" i="1"/>
  <c r="U25" i="1"/>
  <c r="U22" i="1"/>
  <c r="U20" i="1"/>
  <c r="AO20" i="1" s="1"/>
  <c r="U27" i="1"/>
  <c r="U26" i="1"/>
  <c r="U24" i="1"/>
  <c r="U21" i="1"/>
  <c r="U28" i="1"/>
  <c r="U23" i="1"/>
  <c r="U29" i="1"/>
  <c r="AO29" i="1" s="1"/>
  <c r="U30" i="1"/>
  <c r="U31" i="1"/>
  <c r="U19" i="1"/>
  <c r="U7" i="1"/>
  <c r="U4" i="1"/>
  <c r="AO4" i="1" s="1"/>
  <c r="U5" i="1"/>
  <c r="U11" i="1"/>
  <c r="U10" i="1"/>
  <c r="U6" i="1"/>
  <c r="U8" i="1"/>
  <c r="U9" i="1"/>
  <c r="U15" i="1"/>
  <c r="U16" i="1"/>
  <c r="U3" i="1"/>
  <c r="AO3" i="1" s="1"/>
  <c r="U12" i="1"/>
  <c r="U17" i="1"/>
  <c r="U14" i="1"/>
  <c r="AO14" i="1" s="1"/>
  <c r="U18" i="1"/>
  <c r="U13" i="1"/>
  <c r="U1266" i="1"/>
  <c r="AO591" i="1" l="1"/>
  <c r="Y591" i="1"/>
  <c r="AO453" i="1"/>
  <c r="AF453" i="1"/>
  <c r="AG535" i="1"/>
  <c r="E27" i="7"/>
  <c r="F27" i="7" s="1"/>
  <c r="E39" i="4"/>
  <c r="F39" i="4" s="1"/>
  <c r="AG515" i="1"/>
  <c r="E27" i="8"/>
  <c r="F27" i="8" s="1"/>
  <c r="AO1029" i="1"/>
  <c r="Y1029" i="1"/>
  <c r="D19" i="8"/>
  <c r="G19" i="8" s="1"/>
  <c r="AF34" i="1"/>
  <c r="AO34" i="1"/>
  <c r="AF32" i="1"/>
  <c r="AO32" i="1"/>
  <c r="AF47" i="1"/>
  <c r="AO47" i="1"/>
  <c r="AF69" i="1"/>
  <c r="AO69" i="1"/>
  <c r="AF78" i="1"/>
  <c r="AO78" i="1"/>
  <c r="Y114" i="1"/>
  <c r="AO114" i="1"/>
  <c r="Y175" i="1"/>
  <c r="AO175" i="1"/>
  <c r="AF290" i="1"/>
  <c r="AO290" i="1"/>
  <c r="AF289" i="1"/>
  <c r="AO289" i="1"/>
  <c r="AF345" i="1"/>
  <c r="AO345" i="1"/>
  <c r="Y377" i="1"/>
  <c r="AO377" i="1"/>
  <c r="AF406" i="1"/>
  <c r="AO406" i="1"/>
  <c r="AF419" i="1"/>
  <c r="AO419" i="1"/>
  <c r="AF418" i="1"/>
  <c r="AO418" i="1"/>
  <c r="AF417" i="1"/>
  <c r="AO417" i="1"/>
  <c r="AF416" i="1"/>
  <c r="AO416" i="1"/>
  <c r="AF553" i="1"/>
  <c r="AO553" i="1"/>
  <c r="AF551" i="1"/>
  <c r="AO551" i="1"/>
  <c r="Y594" i="1"/>
  <c r="AO594" i="1"/>
  <c r="Y613" i="1"/>
  <c r="AO613" i="1"/>
  <c r="AF653" i="1"/>
  <c r="AO653" i="1"/>
  <c r="AF668" i="1"/>
  <c r="AO668" i="1"/>
  <c r="AF666" i="1"/>
  <c r="AO666" i="1"/>
  <c r="AF738" i="1"/>
  <c r="AO738" i="1"/>
  <c r="AF737" i="1"/>
  <c r="AO737" i="1"/>
  <c r="AF744" i="1"/>
  <c r="AO744" i="1"/>
  <c r="AF743" i="1"/>
  <c r="AO743" i="1"/>
  <c r="AF742" i="1"/>
  <c r="AO742" i="1"/>
  <c r="AF741" i="1"/>
  <c r="AO741" i="1"/>
  <c r="AF740" i="1"/>
  <c r="AO740" i="1"/>
  <c r="AF739" i="1"/>
  <c r="AO739" i="1"/>
  <c r="AF845" i="1"/>
  <c r="AO845" i="1"/>
  <c r="AF842" i="1"/>
  <c r="AO842" i="1"/>
  <c r="AF943" i="1"/>
  <c r="AO943" i="1"/>
  <c r="AF942" i="1"/>
  <c r="AO942" i="1"/>
  <c r="AF941" i="1"/>
  <c r="AO941" i="1"/>
  <c r="AF940" i="1"/>
  <c r="AO940" i="1"/>
  <c r="AF939" i="1"/>
  <c r="AO939" i="1"/>
  <c r="AF1061" i="1"/>
  <c r="AO1061" i="1"/>
  <c r="Y1111" i="1"/>
  <c r="AO1111" i="1"/>
  <c r="Y1117" i="1"/>
  <c r="AO1117" i="1"/>
  <c r="AF1126" i="1"/>
  <c r="AO1126" i="1"/>
  <c r="AF1125" i="1"/>
  <c r="AO1125" i="1"/>
  <c r="AF1151" i="1"/>
  <c r="AO1151" i="1"/>
  <c r="AF1150" i="1"/>
  <c r="AO1150" i="1"/>
  <c r="AF1149" i="1"/>
  <c r="AO1149" i="1"/>
  <c r="AF1148" i="1"/>
  <c r="AO1148" i="1"/>
  <c r="AF1178" i="1"/>
  <c r="AO1178" i="1"/>
  <c r="AF1207" i="1"/>
  <c r="AO1207" i="1"/>
  <c r="AF1212" i="1"/>
  <c r="AO1212" i="1"/>
  <c r="AF1227" i="1"/>
  <c r="AO1227" i="1"/>
  <c r="AF1242" i="1"/>
  <c r="AO1242" i="1"/>
  <c r="AF1246" i="1"/>
  <c r="AO1246" i="1"/>
  <c r="AF1266" i="1"/>
  <c r="AO1266" i="1"/>
  <c r="AF13" i="1"/>
  <c r="AO13" i="1"/>
  <c r="AF18" i="1"/>
  <c r="AO18" i="1"/>
  <c r="AF17" i="1"/>
  <c r="AO17" i="1"/>
  <c r="AF12" i="1"/>
  <c r="AO12" i="1"/>
  <c r="AF16" i="1"/>
  <c r="AO16" i="1"/>
  <c r="AF2" i="1"/>
  <c r="AO2" i="1"/>
  <c r="AF15" i="1"/>
  <c r="AO15" i="1"/>
  <c r="AF9" i="1"/>
  <c r="AO9" i="1"/>
  <c r="AF8" i="1"/>
  <c r="AO8" i="1"/>
  <c r="AF6" i="1"/>
  <c r="AO6" i="1"/>
  <c r="AF10" i="1"/>
  <c r="AO10" i="1"/>
  <c r="AF11" i="1"/>
  <c r="AO11" i="1"/>
  <c r="AF5" i="1"/>
  <c r="AO5" i="1"/>
  <c r="AF7" i="1"/>
  <c r="AO7" i="1"/>
  <c r="AF19" i="1"/>
  <c r="AO19" i="1"/>
  <c r="AF31" i="1"/>
  <c r="AO31" i="1"/>
  <c r="AF30" i="1"/>
  <c r="AO30" i="1"/>
  <c r="AF23" i="1"/>
  <c r="AO23" i="1"/>
  <c r="AF28" i="1"/>
  <c r="AO28" i="1"/>
  <c r="AF21" i="1"/>
  <c r="AO21" i="1"/>
  <c r="AF24" i="1"/>
  <c r="AO24" i="1"/>
  <c r="AF26" i="1"/>
  <c r="AO26" i="1"/>
  <c r="AF27" i="1"/>
  <c r="AO27" i="1"/>
  <c r="AF22" i="1"/>
  <c r="AO22" i="1"/>
  <c r="AF25" i="1"/>
  <c r="AO25" i="1"/>
  <c r="AF38" i="1"/>
  <c r="AO38" i="1"/>
  <c r="AF37" i="1"/>
  <c r="AO37" i="1"/>
  <c r="AF36" i="1"/>
  <c r="AO36" i="1"/>
  <c r="AF42" i="1"/>
  <c r="AO42" i="1"/>
  <c r="AF49" i="1"/>
  <c r="AO49" i="1"/>
  <c r="AF41" i="1"/>
  <c r="AO41" i="1"/>
  <c r="AF40" i="1"/>
  <c r="AO40" i="1"/>
  <c r="AF54" i="1"/>
  <c r="AO54" i="1"/>
  <c r="AF53" i="1"/>
  <c r="AO53" i="1"/>
  <c r="AF48" i="1"/>
  <c r="AO48" i="1"/>
  <c r="AF39" i="1"/>
  <c r="AO39" i="1"/>
  <c r="AF51" i="1"/>
  <c r="AO51" i="1"/>
  <c r="AF50" i="1"/>
  <c r="AO50" i="1"/>
  <c r="AF45" i="1"/>
  <c r="AO45" i="1"/>
  <c r="AF44" i="1"/>
  <c r="AO44" i="1"/>
  <c r="AF46" i="1"/>
  <c r="AO46" i="1"/>
  <c r="AF66" i="1"/>
  <c r="AO66" i="1"/>
  <c r="AF68" i="1"/>
  <c r="AO68" i="1"/>
  <c r="AF77" i="1"/>
  <c r="AO77" i="1"/>
  <c r="AF59" i="1"/>
  <c r="AO59" i="1"/>
  <c r="AF76" i="1"/>
  <c r="AO76" i="1"/>
  <c r="AF58" i="1"/>
  <c r="AO58" i="1"/>
  <c r="AF75" i="1"/>
  <c r="AO75" i="1"/>
  <c r="AF57" i="1"/>
  <c r="AO57" i="1"/>
  <c r="AF56" i="1"/>
  <c r="AO56" i="1"/>
  <c r="AF55" i="1"/>
  <c r="AO55" i="1"/>
  <c r="AF74" i="1"/>
  <c r="AO74" i="1"/>
  <c r="AF73" i="1"/>
  <c r="AO73" i="1"/>
  <c r="AF71" i="1"/>
  <c r="AO71" i="1"/>
  <c r="AF70" i="1"/>
  <c r="AO70" i="1"/>
  <c r="AF72" i="1"/>
  <c r="AO72" i="1"/>
  <c r="AF65" i="1"/>
  <c r="AO65" i="1"/>
  <c r="AF67" i="1"/>
  <c r="AO67" i="1"/>
  <c r="AF63" i="1"/>
  <c r="AO63" i="1"/>
  <c r="AF64" i="1"/>
  <c r="AO64" i="1"/>
  <c r="AF62" i="1"/>
  <c r="AO62" i="1"/>
  <c r="AF92" i="1"/>
  <c r="AO92" i="1"/>
  <c r="AF91" i="1"/>
  <c r="AO91" i="1"/>
  <c r="AF90" i="1"/>
  <c r="AO90" i="1"/>
  <c r="AF89" i="1"/>
  <c r="AO89" i="1"/>
  <c r="AF88" i="1"/>
  <c r="AO88" i="1"/>
  <c r="AF80" i="1"/>
  <c r="AO80" i="1"/>
  <c r="AF84" i="1"/>
  <c r="AO84" i="1"/>
  <c r="AF82" i="1"/>
  <c r="AO82" i="1"/>
  <c r="AF79" i="1"/>
  <c r="AO79" i="1"/>
  <c r="AF85" i="1"/>
  <c r="AO85" i="1"/>
  <c r="AF83" i="1"/>
  <c r="AO83" i="1"/>
  <c r="AF106" i="1"/>
  <c r="AO106" i="1"/>
  <c r="AF105" i="1"/>
  <c r="AO105" i="1"/>
  <c r="AF99" i="1"/>
  <c r="AO99" i="1"/>
  <c r="AF104" i="1"/>
  <c r="AO104" i="1"/>
  <c r="AF103" i="1"/>
  <c r="AO103" i="1"/>
  <c r="AF111" i="1"/>
  <c r="AO111" i="1"/>
  <c r="AF110" i="1"/>
  <c r="AO110" i="1"/>
  <c r="AF109" i="1"/>
  <c r="AO109" i="1"/>
  <c r="Y158" i="1"/>
  <c r="AO158" i="1"/>
  <c r="AF159" i="1"/>
  <c r="AO159" i="1"/>
  <c r="AF166" i="1"/>
  <c r="AO166" i="1"/>
  <c r="AF165" i="1"/>
  <c r="AO165" i="1"/>
  <c r="AF161" i="1"/>
  <c r="AO161" i="1"/>
  <c r="AF164" i="1"/>
  <c r="AO164" i="1"/>
  <c r="AF163" i="1"/>
  <c r="AO163" i="1"/>
  <c r="Y205" i="1"/>
  <c r="AO205" i="1"/>
  <c r="AF273" i="1"/>
  <c r="AO273" i="1"/>
  <c r="AF278" i="1"/>
  <c r="AO278" i="1"/>
  <c r="AF277" i="1"/>
  <c r="AO277" i="1"/>
  <c r="AF276" i="1"/>
  <c r="AO276" i="1"/>
  <c r="AF280" i="1"/>
  <c r="AO280" i="1"/>
  <c r="AF279" i="1"/>
  <c r="AO279" i="1"/>
  <c r="AF284" i="1"/>
  <c r="AO284" i="1"/>
  <c r="AF283" i="1"/>
  <c r="AO283" i="1"/>
  <c r="AF324" i="1"/>
  <c r="AO324" i="1"/>
  <c r="AF333" i="1"/>
  <c r="AO333" i="1"/>
  <c r="Y328" i="1"/>
  <c r="AO328" i="1"/>
  <c r="AF336" i="1"/>
  <c r="AO336" i="1"/>
  <c r="AF372" i="1"/>
  <c r="AO372" i="1"/>
  <c r="AF371" i="1"/>
  <c r="AO371" i="1"/>
  <c r="AF370" i="1"/>
  <c r="AO370" i="1"/>
  <c r="AF369" i="1"/>
  <c r="AO369" i="1"/>
  <c r="AF368" i="1"/>
  <c r="AO368" i="1"/>
  <c r="AF352" i="1"/>
  <c r="AO352" i="1"/>
  <c r="AF351" i="1"/>
  <c r="AO351" i="1"/>
  <c r="AF350" i="1"/>
  <c r="AO350" i="1"/>
  <c r="AF349" i="1"/>
  <c r="AO349" i="1"/>
  <c r="AF348" i="1"/>
  <c r="AO348" i="1"/>
  <c r="AF347" i="1"/>
  <c r="AO347" i="1"/>
  <c r="AF346" i="1"/>
  <c r="AO346" i="1"/>
  <c r="AF364" i="1"/>
  <c r="AO364" i="1"/>
  <c r="AF361" i="1"/>
  <c r="AO361" i="1"/>
  <c r="AF360" i="1"/>
  <c r="AO360" i="1"/>
  <c r="AF356" i="1"/>
  <c r="AO356" i="1"/>
  <c r="AF365" i="1"/>
  <c r="AO365" i="1"/>
  <c r="AF354" i="1"/>
  <c r="AO354" i="1"/>
  <c r="AF359" i="1"/>
  <c r="AO359" i="1"/>
  <c r="AF363" i="1"/>
  <c r="AO363" i="1"/>
  <c r="AF355" i="1"/>
  <c r="AO355" i="1"/>
  <c r="AF362" i="1"/>
  <c r="AO362" i="1"/>
  <c r="AF358" i="1"/>
  <c r="AO358" i="1"/>
  <c r="AF357" i="1"/>
  <c r="AO357" i="1"/>
  <c r="AF366" i="1"/>
  <c r="AO366" i="1"/>
  <c r="Y384" i="1"/>
  <c r="AO384" i="1"/>
  <c r="AF388" i="1"/>
  <c r="AO388" i="1"/>
  <c r="AF389" i="1"/>
  <c r="AO389" i="1"/>
  <c r="AF386" i="1"/>
  <c r="AO386" i="1"/>
  <c r="AF379" i="1"/>
  <c r="AO379" i="1"/>
  <c r="AF387" i="1"/>
  <c r="AO387" i="1"/>
  <c r="AF378" i="1"/>
  <c r="AO378" i="1"/>
  <c r="AF385" i="1"/>
  <c r="AO385" i="1"/>
  <c r="AF401" i="1"/>
  <c r="AO401" i="1"/>
  <c r="AF405" i="1"/>
  <c r="AO405" i="1"/>
  <c r="AF402" i="1"/>
  <c r="AO402" i="1"/>
  <c r="AF407" i="1"/>
  <c r="AO407" i="1"/>
  <c r="AF409" i="1"/>
  <c r="AO409" i="1"/>
  <c r="AF408" i="1"/>
  <c r="AO408" i="1"/>
  <c r="AF415" i="1"/>
  <c r="AO415" i="1"/>
  <c r="AF414" i="1"/>
  <c r="AO414" i="1"/>
  <c r="AF413" i="1"/>
  <c r="AO413" i="1"/>
  <c r="AF411" i="1"/>
  <c r="AO411" i="1"/>
  <c r="AF412" i="1"/>
  <c r="AO412" i="1"/>
  <c r="AF410" i="1"/>
  <c r="AO410" i="1"/>
  <c r="AF436" i="1"/>
  <c r="AO436" i="1"/>
  <c r="AF434" i="1"/>
  <c r="AO434" i="1"/>
  <c r="AF433" i="1"/>
  <c r="AO433" i="1"/>
  <c r="AF432" i="1"/>
  <c r="AO432" i="1"/>
  <c r="AF424" i="1"/>
  <c r="AO424" i="1"/>
  <c r="AF423" i="1"/>
  <c r="AO423" i="1"/>
  <c r="AF428" i="1"/>
  <c r="AO428" i="1"/>
  <c r="AF431" i="1"/>
  <c r="AO431" i="1"/>
  <c r="AF430" i="1"/>
  <c r="AO430" i="1"/>
  <c r="AF422" i="1"/>
  <c r="AO422" i="1"/>
  <c r="AF421" i="1"/>
  <c r="AO421" i="1"/>
  <c r="AF427" i="1"/>
  <c r="AO427" i="1"/>
  <c r="AF420" i="1"/>
  <c r="AO420" i="1"/>
  <c r="AF429" i="1"/>
  <c r="AO429" i="1"/>
  <c r="AF426" i="1"/>
  <c r="AO426" i="1"/>
  <c r="Y466" i="1"/>
  <c r="AO466" i="1"/>
  <c r="Y459" i="1"/>
  <c r="AO459" i="1"/>
  <c r="AF504" i="1"/>
  <c r="AO504" i="1"/>
  <c r="AF503" i="1"/>
  <c r="AO503" i="1"/>
  <c r="AF499" i="1"/>
  <c r="AO499" i="1"/>
  <c r="AF498" i="1"/>
  <c r="AO498" i="1"/>
  <c r="AF502" i="1"/>
  <c r="AO502" i="1"/>
  <c r="AF501" i="1"/>
  <c r="AO501" i="1"/>
  <c r="AF545" i="1"/>
  <c r="AO545" i="1"/>
  <c r="AF544" i="1"/>
  <c r="AO544" i="1"/>
  <c r="AF577" i="1"/>
  <c r="AO577" i="1"/>
  <c r="AF576" i="1"/>
  <c r="AO576" i="1"/>
  <c r="AF575" i="1"/>
  <c r="AO575" i="1"/>
  <c r="AF574" i="1"/>
  <c r="AO574" i="1"/>
  <c r="AF572" i="1"/>
  <c r="AO572" i="1"/>
  <c r="AF564" i="1"/>
  <c r="AO564" i="1"/>
  <c r="AF560" i="1"/>
  <c r="AO560" i="1"/>
  <c r="AF559" i="1"/>
  <c r="AO559" i="1"/>
  <c r="AF558" i="1"/>
  <c r="AO558" i="1"/>
  <c r="AF557" i="1"/>
  <c r="AO557" i="1"/>
  <c r="AF556" i="1"/>
  <c r="AO556" i="1"/>
  <c r="AF555" i="1"/>
  <c r="AO555" i="1"/>
  <c r="AF554" i="1"/>
  <c r="AO554" i="1"/>
  <c r="AF570" i="1"/>
  <c r="AO570" i="1"/>
  <c r="AF573" i="1"/>
  <c r="AO573" i="1"/>
  <c r="AF565" i="1"/>
  <c r="AO565" i="1"/>
  <c r="AF568" i="1"/>
  <c r="AO568" i="1"/>
  <c r="AF567" i="1"/>
  <c r="AO567" i="1"/>
  <c r="AF563" i="1"/>
  <c r="AO563" i="1"/>
  <c r="AF562" i="1"/>
  <c r="AO562" i="1"/>
  <c r="AF571" i="1"/>
  <c r="AO571" i="1"/>
  <c r="AF569" i="1"/>
  <c r="AO569" i="1"/>
  <c r="AF566" i="1"/>
  <c r="AO566" i="1"/>
  <c r="AF578" i="1"/>
  <c r="AO578" i="1"/>
  <c r="AF580" i="1"/>
  <c r="AO580" i="1"/>
  <c r="AF579" i="1"/>
  <c r="AO579" i="1"/>
  <c r="AF587" i="1"/>
  <c r="AO587" i="1"/>
  <c r="AF586" i="1"/>
  <c r="AO586" i="1"/>
  <c r="AF583" i="1"/>
  <c r="AO583" i="1"/>
  <c r="AF582" i="1"/>
  <c r="AO582" i="1"/>
  <c r="AF581" i="1"/>
  <c r="AO581" i="1"/>
  <c r="AF585" i="1"/>
  <c r="AO585" i="1"/>
  <c r="AF584" i="1"/>
  <c r="AO584" i="1"/>
  <c r="AF590" i="1"/>
  <c r="AO590" i="1"/>
  <c r="AF589" i="1"/>
  <c r="AO589" i="1"/>
  <c r="AF651" i="1"/>
  <c r="AO651" i="1"/>
  <c r="AF641" i="1"/>
  <c r="AO641" i="1"/>
  <c r="AF661" i="1"/>
  <c r="AO661" i="1"/>
  <c r="AF659" i="1"/>
  <c r="AO659" i="1"/>
  <c r="AF658" i="1"/>
  <c r="AO658" i="1"/>
  <c r="AF657" i="1"/>
  <c r="AO657" i="1"/>
  <c r="AF656" i="1"/>
  <c r="AO656" i="1"/>
  <c r="AF655" i="1"/>
  <c r="AO655" i="1"/>
  <c r="AF654" i="1"/>
  <c r="AO654" i="1"/>
  <c r="AF646" i="1"/>
  <c r="AO646" i="1"/>
  <c r="AF645" i="1"/>
  <c r="AO645" i="1"/>
  <c r="AF644" i="1"/>
  <c r="AO644" i="1"/>
  <c r="AF643" i="1"/>
  <c r="AO643" i="1"/>
  <c r="AF642" i="1"/>
  <c r="AO642" i="1"/>
  <c r="AF649" i="1"/>
  <c r="AO649" i="1"/>
  <c r="AF639" i="1"/>
  <c r="AO639" i="1"/>
  <c r="AF638" i="1"/>
  <c r="AO638" i="1"/>
  <c r="AF647" i="1"/>
  <c r="AO647" i="1"/>
  <c r="AF648" i="1"/>
  <c r="AO648" i="1"/>
  <c r="AF652" i="1"/>
  <c r="AO652" i="1"/>
  <c r="AF665" i="1"/>
  <c r="AO665" i="1"/>
  <c r="AF664" i="1"/>
  <c r="AO664" i="1"/>
  <c r="AF694" i="1"/>
  <c r="AO694" i="1"/>
  <c r="AF695" i="1"/>
  <c r="AO695" i="1"/>
  <c r="AF693" i="1"/>
  <c r="AO693" i="1"/>
  <c r="AF690" i="1"/>
  <c r="AO690" i="1"/>
  <c r="AF689" i="1"/>
  <c r="AO689" i="1"/>
  <c r="AF682" i="1"/>
  <c r="AO682" i="1"/>
  <c r="AF681" i="1"/>
  <c r="AO681" i="1"/>
  <c r="Y680" i="1"/>
  <c r="AO680" i="1"/>
  <c r="AF678" i="1"/>
  <c r="AO678" i="1"/>
  <c r="AF675" i="1"/>
  <c r="AO675" i="1"/>
  <c r="AF674" i="1"/>
  <c r="AO674" i="1"/>
  <c r="AF671" i="1"/>
  <c r="AO671" i="1"/>
  <c r="AF688" i="1"/>
  <c r="AO688" i="1"/>
  <c r="Y677" i="1"/>
  <c r="AO677" i="1"/>
  <c r="AF708" i="1"/>
  <c r="AO708" i="1"/>
  <c r="AF707" i="1"/>
  <c r="AO707" i="1"/>
  <c r="AF706" i="1"/>
  <c r="AO706" i="1"/>
  <c r="AF700" i="1"/>
  <c r="AO700" i="1"/>
  <c r="AF699" i="1"/>
  <c r="AO699" i="1"/>
  <c r="AF698" i="1"/>
  <c r="AO698" i="1"/>
  <c r="AF704" i="1"/>
  <c r="AO704" i="1"/>
  <c r="AF703" i="1"/>
  <c r="AO703" i="1"/>
  <c r="AF705" i="1"/>
  <c r="AO705" i="1"/>
  <c r="AF702" i="1"/>
  <c r="AO702" i="1"/>
  <c r="AF718" i="1"/>
  <c r="AO718" i="1"/>
  <c r="AF717" i="1"/>
  <c r="AO717" i="1"/>
  <c r="AF716" i="1"/>
  <c r="AO716" i="1"/>
  <c r="AF715" i="1"/>
  <c r="AO715" i="1"/>
  <c r="AF714" i="1"/>
  <c r="AO714" i="1"/>
  <c r="AF713" i="1"/>
  <c r="AO713" i="1"/>
  <c r="AF712" i="1"/>
  <c r="AO712" i="1"/>
  <c r="AF711" i="1"/>
  <c r="AO711" i="1"/>
  <c r="AF722" i="1"/>
  <c r="AO722" i="1"/>
  <c r="AF721" i="1"/>
  <c r="AO721" i="1"/>
  <c r="AF724" i="1"/>
  <c r="AO724" i="1"/>
  <c r="AF726" i="1"/>
  <c r="AO726" i="1"/>
  <c r="AF725" i="1"/>
  <c r="AO725" i="1"/>
  <c r="AF723" i="1"/>
  <c r="AO723" i="1"/>
  <c r="AF720" i="1"/>
  <c r="AO720" i="1"/>
  <c r="AF731" i="1"/>
  <c r="AO731" i="1"/>
  <c r="AF728" i="1"/>
  <c r="AO728" i="1"/>
  <c r="AF730" i="1"/>
  <c r="AO730" i="1"/>
  <c r="AF735" i="1"/>
  <c r="AO735" i="1"/>
  <c r="AF734" i="1"/>
  <c r="AO734" i="1"/>
  <c r="AF733" i="1"/>
  <c r="AO733" i="1"/>
  <c r="AF787" i="1"/>
  <c r="AO787" i="1"/>
  <c r="AF761" i="1"/>
  <c r="AO761" i="1"/>
  <c r="AF760" i="1"/>
  <c r="AO760" i="1"/>
  <c r="AF759" i="1"/>
  <c r="AO759" i="1"/>
  <c r="AF758" i="1"/>
  <c r="AO758" i="1"/>
  <c r="AF756" i="1"/>
  <c r="AO756" i="1"/>
  <c r="AF755" i="1"/>
  <c r="AO755" i="1"/>
  <c r="AF754" i="1"/>
  <c r="AO754" i="1"/>
  <c r="AF753" i="1"/>
  <c r="AO753" i="1"/>
  <c r="AF751" i="1"/>
  <c r="AO751" i="1"/>
  <c r="AF750" i="1"/>
  <c r="AO750" i="1"/>
  <c r="AF749" i="1"/>
  <c r="AO749" i="1"/>
  <c r="AF748" i="1"/>
  <c r="AO748" i="1"/>
  <c r="AF747" i="1"/>
  <c r="AO747" i="1"/>
  <c r="AF783" i="1"/>
  <c r="AO783" i="1"/>
  <c r="AF774" i="1"/>
  <c r="AO774" i="1"/>
  <c r="AF777" i="1"/>
  <c r="AO777" i="1"/>
  <c r="AF778" i="1"/>
  <c r="AO778" i="1"/>
  <c r="AF786" i="1"/>
  <c r="AO786" i="1"/>
  <c r="AF769" i="1"/>
  <c r="AO769" i="1"/>
  <c r="AF775" i="1"/>
  <c r="AO775" i="1"/>
  <c r="AF779" i="1"/>
  <c r="AO779" i="1"/>
  <c r="AF763" i="1"/>
  <c r="AO763" i="1"/>
  <c r="AF772" i="1"/>
  <c r="AO772" i="1"/>
  <c r="AF771" i="1"/>
  <c r="AO771" i="1"/>
  <c r="AF773" i="1"/>
  <c r="AO773" i="1"/>
  <c r="AF768" i="1"/>
  <c r="AO768" i="1"/>
  <c r="AF776" i="1"/>
  <c r="AO776" i="1"/>
  <c r="AF767" i="1"/>
  <c r="AO767" i="1"/>
  <c r="AF770" i="1"/>
  <c r="AO770" i="1"/>
  <c r="AF757" i="1"/>
  <c r="AO757" i="1"/>
  <c r="AF752" i="1"/>
  <c r="AO752" i="1"/>
  <c r="AF745" i="1"/>
  <c r="AO745" i="1"/>
  <c r="AF785" i="1"/>
  <c r="AO785" i="1"/>
  <c r="AF781" i="1"/>
  <c r="AO781" i="1"/>
  <c r="AF764" i="1"/>
  <c r="AO764" i="1"/>
  <c r="AF766" i="1"/>
  <c r="AO766" i="1"/>
  <c r="AF765" i="1"/>
  <c r="AO765" i="1"/>
  <c r="AF784" i="1"/>
  <c r="AO784" i="1"/>
  <c r="AF746" i="1"/>
  <c r="AO746" i="1"/>
  <c r="AF780" i="1"/>
  <c r="AO780" i="1"/>
  <c r="AF782" i="1"/>
  <c r="AO782" i="1"/>
  <c r="AF822" i="1"/>
  <c r="AO822" i="1"/>
  <c r="AF797" i="1"/>
  <c r="AO797" i="1"/>
  <c r="AF794" i="1"/>
  <c r="AO794" i="1"/>
  <c r="AF793" i="1"/>
  <c r="AO793" i="1"/>
  <c r="AF792" i="1"/>
  <c r="AF805" i="1"/>
  <c r="AO805" i="1"/>
  <c r="AF807" i="1"/>
  <c r="AO807" i="1"/>
  <c r="AF788" i="1"/>
  <c r="AO788" i="1"/>
  <c r="AF810" i="1"/>
  <c r="AO810" i="1"/>
  <c r="AF808" i="1"/>
  <c r="AO808" i="1"/>
  <c r="AF809" i="1"/>
  <c r="AO809" i="1"/>
  <c r="AF806" i="1"/>
  <c r="AO806" i="1"/>
  <c r="AF838" i="1"/>
  <c r="AO838" i="1"/>
  <c r="AF837" i="1"/>
  <c r="AO837" i="1"/>
  <c r="AF836" i="1"/>
  <c r="AO836" i="1"/>
  <c r="AF835" i="1"/>
  <c r="AO835" i="1"/>
  <c r="AF839" i="1"/>
  <c r="AO839" i="1"/>
  <c r="AF834" i="1"/>
  <c r="AO834" i="1"/>
  <c r="AF832" i="1"/>
  <c r="AO832" i="1"/>
  <c r="AF831" i="1"/>
  <c r="AO831" i="1"/>
  <c r="AF830" i="1"/>
  <c r="AO830" i="1"/>
  <c r="AF829" i="1"/>
  <c r="AO829" i="1"/>
  <c r="AF828" i="1"/>
  <c r="AO828" i="1"/>
  <c r="AF827" i="1"/>
  <c r="AO827" i="1"/>
  <c r="AF826" i="1"/>
  <c r="AO826" i="1"/>
  <c r="AF825" i="1"/>
  <c r="AO825" i="1"/>
  <c r="AF824" i="1"/>
  <c r="AO824" i="1"/>
  <c r="AF821" i="1"/>
  <c r="AO821" i="1"/>
  <c r="AF819" i="1"/>
  <c r="AO819" i="1"/>
  <c r="AF820" i="1"/>
  <c r="AO820" i="1"/>
  <c r="AF818" i="1"/>
  <c r="AO818" i="1"/>
  <c r="AF817" i="1"/>
  <c r="AO817" i="1"/>
  <c r="AF816" i="1"/>
  <c r="AO816" i="1"/>
  <c r="AF815" i="1"/>
  <c r="AO815" i="1"/>
  <c r="AF814" i="1"/>
  <c r="AO814" i="1"/>
  <c r="AF812" i="1"/>
  <c r="AO812" i="1"/>
  <c r="AF813" i="1"/>
  <c r="AO813" i="1"/>
  <c r="AF811" i="1"/>
  <c r="AO811" i="1"/>
  <c r="AF804" i="1"/>
  <c r="AO804" i="1"/>
  <c r="AF801" i="1"/>
  <c r="AO801" i="1"/>
  <c r="AF803" i="1"/>
  <c r="AO803" i="1"/>
  <c r="AF802" i="1"/>
  <c r="AO802" i="1"/>
  <c r="AF800" i="1"/>
  <c r="AO800" i="1"/>
  <c r="AF799" i="1"/>
  <c r="AO799" i="1"/>
  <c r="AF798" i="1"/>
  <c r="AO798" i="1"/>
  <c r="AF796" i="1"/>
  <c r="AO796" i="1"/>
  <c r="AF791" i="1"/>
  <c r="AO791" i="1"/>
  <c r="AF790" i="1"/>
  <c r="AO790" i="1"/>
  <c r="AF789" i="1"/>
  <c r="AO789" i="1"/>
  <c r="AF823" i="1"/>
  <c r="AO823" i="1"/>
  <c r="AF841" i="1"/>
  <c r="AO841" i="1"/>
  <c r="AF873" i="1"/>
  <c r="AO873" i="1"/>
  <c r="AF933" i="1"/>
  <c r="AO933" i="1"/>
  <c r="AF927" i="1"/>
  <c r="AO927" i="1"/>
  <c r="AF924" i="1"/>
  <c r="AO924" i="1"/>
  <c r="AF923" i="1"/>
  <c r="AO923" i="1"/>
  <c r="AF922" i="1"/>
  <c r="AO922" i="1"/>
  <c r="AF917" i="1"/>
  <c r="AO917" i="1"/>
  <c r="AF903" i="1"/>
  <c r="AO903" i="1"/>
  <c r="AF900" i="1"/>
  <c r="AO900" i="1"/>
  <c r="AF898" i="1"/>
  <c r="AO898" i="1"/>
  <c r="Y893" i="1"/>
  <c r="AO893" i="1"/>
  <c r="AF887" i="1"/>
  <c r="AO887" i="1"/>
  <c r="AF874" i="1"/>
  <c r="AO874" i="1"/>
  <c r="AF875" i="1"/>
  <c r="AO875" i="1"/>
  <c r="AF879" i="1"/>
  <c r="AO879" i="1"/>
  <c r="AF880" i="1"/>
  <c r="AO880" i="1"/>
  <c r="AF883" i="1"/>
  <c r="AO883" i="1"/>
  <c r="AF876" i="1"/>
  <c r="AO876" i="1"/>
  <c r="AF877" i="1"/>
  <c r="AO877" i="1"/>
  <c r="AF878" i="1"/>
  <c r="AO878" i="1"/>
  <c r="AF881" i="1"/>
  <c r="AO881" i="1"/>
  <c r="AF928" i="1"/>
  <c r="AO928" i="1"/>
  <c r="Y863" i="1"/>
  <c r="AO863" i="1"/>
  <c r="AF882" i="1"/>
  <c r="AO882" i="1"/>
  <c r="AF1000" i="1"/>
  <c r="AO1000" i="1"/>
  <c r="AF974" i="1"/>
  <c r="AO974" i="1"/>
  <c r="AF985" i="1"/>
  <c r="AO985" i="1"/>
  <c r="AF992" i="1"/>
  <c r="AO992" i="1"/>
  <c r="AF975" i="1"/>
  <c r="AO975" i="1"/>
  <c r="AF990" i="1"/>
  <c r="AO990" i="1"/>
  <c r="AF1011" i="1"/>
  <c r="AO1011" i="1"/>
  <c r="AF1010" i="1"/>
  <c r="AO1010" i="1"/>
  <c r="AF1009" i="1"/>
  <c r="AO1009" i="1"/>
  <c r="AF1008" i="1"/>
  <c r="AO1008" i="1"/>
  <c r="AF1007" i="1"/>
  <c r="AO1007" i="1"/>
  <c r="AF1006" i="1"/>
  <c r="AO1006" i="1"/>
  <c r="AF1005" i="1"/>
  <c r="AO1005" i="1"/>
  <c r="AF1004" i="1"/>
  <c r="AO1004" i="1"/>
  <c r="AF1003" i="1"/>
  <c r="AO1003" i="1"/>
  <c r="AF1002" i="1"/>
  <c r="AO1002" i="1"/>
  <c r="AF1001" i="1"/>
  <c r="AO1001" i="1"/>
  <c r="AF961" i="1"/>
  <c r="AO961" i="1"/>
  <c r="AF960" i="1"/>
  <c r="AO960" i="1"/>
  <c r="AF959" i="1"/>
  <c r="AO959" i="1"/>
  <c r="AF958" i="1"/>
  <c r="AO958" i="1"/>
  <c r="AF957" i="1"/>
  <c r="AO957" i="1"/>
  <c r="AF956" i="1"/>
  <c r="AO956" i="1"/>
  <c r="AF955" i="1"/>
  <c r="AO955" i="1"/>
  <c r="AF954" i="1"/>
  <c r="AO954" i="1"/>
  <c r="AF953" i="1"/>
  <c r="AO953" i="1"/>
  <c r="AF952" i="1"/>
  <c r="AO952" i="1"/>
  <c r="AF951" i="1"/>
  <c r="AO951" i="1"/>
  <c r="AF950" i="1"/>
  <c r="AO950" i="1"/>
  <c r="AF949" i="1"/>
  <c r="AO949" i="1"/>
  <c r="AF948" i="1"/>
  <c r="AO948" i="1"/>
  <c r="AF947" i="1"/>
  <c r="AO947" i="1"/>
  <c r="AF946" i="1"/>
  <c r="AO946" i="1"/>
  <c r="AF945" i="1"/>
  <c r="AO945" i="1"/>
  <c r="AF944" i="1"/>
  <c r="AO944" i="1"/>
  <c r="AF998" i="1"/>
  <c r="AO998" i="1"/>
  <c r="AF995" i="1"/>
  <c r="AO995" i="1"/>
  <c r="AF971" i="1"/>
  <c r="AO971" i="1"/>
  <c r="AF970" i="1"/>
  <c r="AO970" i="1"/>
  <c r="AF999" i="1"/>
  <c r="AO999" i="1"/>
  <c r="AF966" i="1"/>
  <c r="AO966" i="1"/>
  <c r="AF963" i="1"/>
  <c r="AO963" i="1"/>
  <c r="AF987" i="1"/>
  <c r="AO987" i="1"/>
  <c r="AF972" i="1"/>
  <c r="AO972" i="1"/>
  <c r="AF969" i="1"/>
  <c r="AO969" i="1"/>
  <c r="AF986" i="1"/>
  <c r="AO986" i="1"/>
  <c r="AF979" i="1"/>
  <c r="AO979" i="1"/>
  <c r="AF978" i="1"/>
  <c r="AO978" i="1"/>
  <c r="AF982" i="1"/>
  <c r="AO982" i="1"/>
  <c r="AF965" i="1"/>
  <c r="AO965" i="1"/>
  <c r="AF997" i="1"/>
  <c r="AO997" i="1"/>
  <c r="AF993" i="1"/>
  <c r="AO993" i="1"/>
  <c r="AF991" i="1"/>
  <c r="AO991" i="1"/>
  <c r="AF996" i="1"/>
  <c r="AO996" i="1"/>
  <c r="AF977" i="1"/>
  <c r="AO977" i="1"/>
  <c r="AF964" i="1"/>
  <c r="AO964" i="1"/>
  <c r="AF994" i="1"/>
  <c r="AO994" i="1"/>
  <c r="AF989" i="1"/>
  <c r="AO989" i="1"/>
  <c r="AF968" i="1"/>
  <c r="AO968" i="1"/>
  <c r="AF976" i="1"/>
  <c r="AO976" i="1"/>
  <c r="AF973" i="1"/>
  <c r="AO973" i="1"/>
  <c r="AF988" i="1"/>
  <c r="AO988" i="1"/>
  <c r="AF984" i="1"/>
  <c r="AO984" i="1"/>
  <c r="AF980" i="1"/>
  <c r="AO980" i="1"/>
  <c r="AF967" i="1"/>
  <c r="AO967" i="1"/>
  <c r="AF983" i="1"/>
  <c r="AO983" i="1"/>
  <c r="Y1038" i="1"/>
  <c r="AO1038" i="1"/>
  <c r="Y1028" i="1"/>
  <c r="AO1028" i="1"/>
  <c r="AF1055" i="1"/>
  <c r="AO1055" i="1"/>
  <c r="AF1053" i="1"/>
  <c r="AO1053" i="1"/>
  <c r="AF1067" i="1"/>
  <c r="AO1067" i="1"/>
  <c r="AF1050" i="1"/>
  <c r="AO1050" i="1"/>
  <c r="AF1049" i="1"/>
  <c r="AO1049" i="1"/>
  <c r="AF1048" i="1"/>
  <c r="AO1048" i="1"/>
  <c r="AF1066" i="1"/>
  <c r="AO1066" i="1"/>
  <c r="AF1047" i="1"/>
  <c r="AO1047" i="1"/>
  <c r="AF1046" i="1"/>
  <c r="AO1046" i="1"/>
  <c r="AF1065" i="1"/>
  <c r="AO1065" i="1"/>
  <c r="AF1045" i="1"/>
  <c r="AO1045" i="1"/>
  <c r="AF1044" i="1"/>
  <c r="AO1044" i="1"/>
  <c r="AF1064" i="1"/>
  <c r="AO1064" i="1"/>
  <c r="AF1042" i="1"/>
  <c r="AO1042" i="1"/>
  <c r="AF1041" i="1"/>
  <c r="AO1041" i="1"/>
  <c r="AF1040" i="1"/>
  <c r="AO1040" i="1"/>
  <c r="AF1039" i="1"/>
  <c r="AO1039" i="1"/>
  <c r="AF1063" i="1"/>
  <c r="AO1063" i="1"/>
  <c r="AF1062" i="1"/>
  <c r="AO1062" i="1"/>
  <c r="AF1057" i="1"/>
  <c r="AO1057" i="1"/>
  <c r="AF1054" i="1"/>
  <c r="AO1054" i="1"/>
  <c r="AF1052" i="1"/>
  <c r="AO1052" i="1"/>
  <c r="AF1059" i="1"/>
  <c r="AO1059" i="1"/>
  <c r="AF1060" i="1"/>
  <c r="AO1060" i="1"/>
  <c r="AF1058" i="1"/>
  <c r="AO1058" i="1"/>
  <c r="AF1056" i="1"/>
  <c r="AO1056" i="1"/>
  <c r="AF1091" i="1"/>
  <c r="AO1091" i="1"/>
  <c r="Y1121" i="1"/>
  <c r="AO1121" i="1"/>
  <c r="AF1144" i="1"/>
  <c r="AO1144" i="1"/>
  <c r="AF1143" i="1"/>
  <c r="AO1143" i="1"/>
  <c r="AF1142" i="1"/>
  <c r="AO1142" i="1"/>
  <c r="AF1132" i="1"/>
  <c r="AO1132" i="1"/>
  <c r="AF1131" i="1"/>
  <c r="AO1131" i="1"/>
  <c r="AF1130" i="1"/>
  <c r="AO1130" i="1"/>
  <c r="AF1129" i="1"/>
  <c r="AO1129" i="1"/>
  <c r="AF1128" i="1"/>
  <c r="AO1128" i="1"/>
  <c r="AF1127" i="1"/>
  <c r="AO1127" i="1"/>
  <c r="AF1136" i="1"/>
  <c r="AO1136" i="1"/>
  <c r="AF1139" i="1"/>
  <c r="AO1139" i="1"/>
  <c r="AF1134" i="1"/>
  <c r="AO1134" i="1"/>
  <c r="AF1140" i="1"/>
  <c r="AO1140" i="1"/>
  <c r="AF1141" i="1"/>
  <c r="AO1141" i="1"/>
  <c r="AF1135" i="1"/>
  <c r="AO1135" i="1"/>
  <c r="AF1137" i="1"/>
  <c r="AO1137" i="1"/>
  <c r="AF1138" i="1"/>
  <c r="AO1138" i="1"/>
  <c r="AF1146" i="1"/>
  <c r="AO1146" i="1"/>
  <c r="AF1147" i="1"/>
  <c r="AO1147" i="1"/>
  <c r="AF1159" i="1"/>
  <c r="AO1159" i="1"/>
  <c r="AF1191" i="1"/>
  <c r="AO1191" i="1"/>
  <c r="AF1189" i="1"/>
  <c r="AO1189" i="1"/>
  <c r="AF1188" i="1"/>
  <c r="AO1188" i="1"/>
  <c r="AF1187" i="1"/>
  <c r="AO1187" i="1"/>
  <c r="AF1186" i="1"/>
  <c r="AO1186" i="1"/>
  <c r="AF1184" i="1"/>
  <c r="AO1184" i="1"/>
  <c r="AF1183" i="1"/>
  <c r="AO1183" i="1"/>
  <c r="AF1182" i="1"/>
  <c r="AO1182" i="1"/>
  <c r="AF1181" i="1"/>
  <c r="AO1181" i="1"/>
  <c r="AF1180" i="1"/>
  <c r="AO1180" i="1"/>
  <c r="AF1152" i="1"/>
  <c r="AO1152" i="1"/>
  <c r="AF1170" i="1"/>
  <c r="AO1170" i="1"/>
  <c r="AF1169" i="1"/>
  <c r="AO1169" i="1"/>
  <c r="AF1165" i="1"/>
  <c r="AO1165" i="1"/>
  <c r="AF1166" i="1"/>
  <c r="AO1166" i="1"/>
  <c r="AF1164" i="1"/>
  <c r="AO1164" i="1"/>
  <c r="AF1161" i="1"/>
  <c r="AO1161" i="1"/>
  <c r="AF1163" i="1"/>
  <c r="AO1163" i="1"/>
  <c r="AF1157" i="1"/>
  <c r="AO1157" i="1"/>
  <c r="AF1155" i="1"/>
  <c r="AO1155" i="1"/>
  <c r="AF1160" i="1"/>
  <c r="AO1160" i="1"/>
  <c r="AF1158" i="1"/>
  <c r="AO1158" i="1"/>
  <c r="AF1173" i="1"/>
  <c r="AO1173" i="1"/>
  <c r="AF1190" i="1"/>
  <c r="AO1190" i="1"/>
  <c r="AF1174" i="1"/>
  <c r="AO1174" i="1"/>
  <c r="AF1172" i="1"/>
  <c r="AO1172" i="1"/>
  <c r="AF1167" i="1"/>
  <c r="AO1167" i="1"/>
  <c r="AF1168" i="1"/>
  <c r="AO1168" i="1"/>
  <c r="AF1153" i="1"/>
  <c r="AO1153" i="1"/>
  <c r="AF1192" i="1"/>
  <c r="AO1192" i="1"/>
  <c r="AF1194" i="1"/>
  <c r="AO1194" i="1"/>
  <c r="AF1193" i="1"/>
  <c r="AO1193" i="1"/>
  <c r="AF1195" i="1"/>
  <c r="AO1195" i="1"/>
  <c r="D69" i="8"/>
  <c r="G69" i="8" s="1"/>
  <c r="AO1199" i="1"/>
  <c r="AF1198" i="1"/>
  <c r="AO1198" i="1"/>
  <c r="AF1197" i="1"/>
  <c r="AO1197" i="1"/>
  <c r="AF1211" i="1"/>
  <c r="AO1211" i="1"/>
  <c r="AF1226" i="1"/>
  <c r="AO1226" i="1"/>
  <c r="AF1210" i="1"/>
  <c r="AO1210" i="1"/>
  <c r="AF1209" i="1"/>
  <c r="AO1209" i="1"/>
  <c r="AF1216" i="1"/>
  <c r="AO1216" i="1"/>
  <c r="AF1215" i="1"/>
  <c r="AO1215" i="1"/>
  <c r="AF1214" i="1"/>
  <c r="AO1214" i="1"/>
  <c r="AF1208" i="1"/>
  <c r="AO1208" i="1"/>
  <c r="AF1224" i="1"/>
  <c r="AO1224" i="1"/>
  <c r="AF1223" i="1"/>
  <c r="AO1223" i="1"/>
  <c r="AF1221" i="1"/>
  <c r="AO1221" i="1"/>
  <c r="AF1220" i="1"/>
  <c r="AO1220" i="1"/>
  <c r="AF1219" i="1"/>
  <c r="AO1219" i="1"/>
  <c r="AF1218" i="1"/>
  <c r="AO1218" i="1"/>
  <c r="AF1217" i="1"/>
  <c r="AO1217" i="1"/>
  <c r="AF1231" i="1"/>
  <c r="AO1231" i="1"/>
  <c r="AF1240" i="1"/>
  <c r="AO1240" i="1"/>
  <c r="AF1239" i="1"/>
  <c r="AO1239" i="1"/>
  <c r="AF1238" i="1"/>
  <c r="AO1238" i="1"/>
  <c r="AF1237" i="1"/>
  <c r="AO1237" i="1"/>
  <c r="AF1229" i="1"/>
  <c r="AO1229" i="1"/>
  <c r="AF1241" i="1"/>
  <c r="AO1241" i="1"/>
  <c r="AF1230" i="1"/>
  <c r="AO1230" i="1"/>
  <c r="AF1236" i="1"/>
  <c r="AO1236" i="1"/>
  <c r="AF1233" i="1"/>
  <c r="AO1233" i="1"/>
  <c r="AF1228" i="1"/>
  <c r="AO1228" i="1"/>
  <c r="AF1235" i="1"/>
  <c r="AO1235" i="1"/>
  <c r="AF1256" i="1"/>
  <c r="AO1256" i="1"/>
  <c r="AF1254" i="1"/>
  <c r="AO1254" i="1"/>
  <c r="AF1247" i="1"/>
  <c r="AO1247" i="1"/>
  <c r="AF1245" i="1"/>
  <c r="AO1245" i="1"/>
  <c r="AF1244" i="1"/>
  <c r="AO1244" i="1"/>
  <c r="AF1243" i="1"/>
  <c r="AO1243" i="1"/>
  <c r="AF1249" i="1"/>
  <c r="AO1249" i="1"/>
  <c r="AF1253" i="1"/>
  <c r="AO1253" i="1"/>
  <c r="AF1250" i="1"/>
  <c r="AO1250" i="1"/>
  <c r="AF1252" i="1"/>
  <c r="AO1252" i="1"/>
  <c r="AF1251" i="1"/>
  <c r="AO1251" i="1"/>
  <c r="AF1269" i="1"/>
  <c r="AO1269" i="1"/>
  <c r="AF1264" i="1"/>
  <c r="AO1264" i="1"/>
  <c r="AF1263" i="1"/>
  <c r="AO1263" i="1"/>
  <c r="AF1257" i="1"/>
  <c r="AO1257" i="1"/>
  <c r="AF1262" i="1"/>
  <c r="AO1262" i="1"/>
  <c r="AF1261" i="1"/>
  <c r="AO1261" i="1"/>
  <c r="AF1260" i="1"/>
  <c r="AO1260" i="1"/>
  <c r="AF1268" i="1"/>
  <c r="AO1268" i="1"/>
  <c r="AF1267" i="1"/>
  <c r="AO1267" i="1"/>
  <c r="E28" i="8"/>
  <c r="F28" i="8" s="1"/>
  <c r="E40" i="4"/>
  <c r="F40" i="4" s="1"/>
  <c r="E28" i="7"/>
  <c r="F28" i="7" s="1"/>
  <c r="AG1068" i="1"/>
  <c r="E39" i="8"/>
  <c r="E51" i="4"/>
  <c r="AG1076" i="1"/>
  <c r="E39" i="7"/>
  <c r="AF113" i="1"/>
  <c r="Y113" i="1"/>
  <c r="AF157" i="1"/>
  <c r="Y157" i="1"/>
  <c r="AF156" i="1"/>
  <c r="Y156" i="1"/>
  <c r="AF153" i="1"/>
  <c r="Y153" i="1"/>
  <c r="AF152" i="1"/>
  <c r="Y152" i="1"/>
  <c r="AF155" i="1"/>
  <c r="Y155" i="1"/>
  <c r="AF154" i="1"/>
  <c r="Y154" i="1"/>
  <c r="AF151" i="1"/>
  <c r="Y151" i="1"/>
  <c r="AF150" i="1"/>
  <c r="Y150" i="1"/>
  <c r="AF149" i="1"/>
  <c r="Y149" i="1"/>
  <c r="AF148" i="1"/>
  <c r="Y148" i="1"/>
  <c r="AF147" i="1"/>
  <c r="Y147" i="1"/>
  <c r="AF146" i="1"/>
  <c r="Y146" i="1"/>
  <c r="AF144" i="1"/>
  <c r="Y144" i="1"/>
  <c r="AF143" i="1"/>
  <c r="Y143" i="1"/>
  <c r="AF142" i="1"/>
  <c r="Y142" i="1"/>
  <c r="AF141" i="1"/>
  <c r="Y141" i="1"/>
  <c r="AF140" i="1"/>
  <c r="Y140" i="1"/>
  <c r="AF138" i="1"/>
  <c r="Y138" i="1"/>
  <c r="AF135" i="1"/>
  <c r="Y135" i="1"/>
  <c r="AF133" i="1"/>
  <c r="Y133" i="1"/>
  <c r="AF112" i="1"/>
  <c r="Y112" i="1"/>
  <c r="AF119" i="1"/>
  <c r="Y119" i="1"/>
  <c r="AF122" i="1"/>
  <c r="Y122" i="1"/>
  <c r="AF123" i="1"/>
  <c r="Y123" i="1"/>
  <c r="AF127" i="1"/>
  <c r="Y127" i="1"/>
  <c r="AF128" i="1"/>
  <c r="Y128" i="1"/>
  <c r="AF136" i="1"/>
  <c r="Y136" i="1"/>
  <c r="AF125" i="1"/>
  <c r="Y125" i="1"/>
  <c r="AF121" i="1"/>
  <c r="Y121" i="1"/>
  <c r="AF134" i="1"/>
  <c r="Y134" i="1"/>
  <c r="AF118" i="1"/>
  <c r="Y118" i="1"/>
  <c r="AF145" i="1"/>
  <c r="Y145" i="1"/>
  <c r="AF115" i="1"/>
  <c r="Y115" i="1"/>
  <c r="AF131" i="1"/>
  <c r="Y131" i="1"/>
  <c r="AF126" i="1"/>
  <c r="Y126" i="1"/>
  <c r="AF120" i="1"/>
  <c r="Y120" i="1"/>
  <c r="AF124" i="1"/>
  <c r="Y124" i="1"/>
  <c r="AF132" i="1"/>
  <c r="Y132" i="1"/>
  <c r="AF117" i="1"/>
  <c r="Y117" i="1"/>
  <c r="AF139" i="1"/>
  <c r="Y139" i="1"/>
  <c r="AF116" i="1"/>
  <c r="Y116" i="1"/>
  <c r="AF129" i="1"/>
  <c r="Y129" i="1"/>
  <c r="AF130" i="1"/>
  <c r="Y130" i="1"/>
  <c r="AF244" i="1"/>
  <c r="Y244" i="1"/>
  <c r="AF241" i="1"/>
  <c r="Y241" i="1"/>
  <c r="AF224" i="1"/>
  <c r="Y224" i="1"/>
  <c r="AF173" i="1"/>
  <c r="Y173" i="1"/>
  <c r="AF268" i="1"/>
  <c r="Y268" i="1"/>
  <c r="AF271" i="1"/>
  <c r="Y271" i="1"/>
  <c r="AF270" i="1"/>
  <c r="Y270" i="1"/>
  <c r="AF272" i="1"/>
  <c r="Y272" i="1"/>
  <c r="AF266" i="1"/>
  <c r="Y266" i="1"/>
  <c r="AF267" i="1"/>
  <c r="Y267" i="1"/>
  <c r="AF269" i="1"/>
  <c r="Y269" i="1"/>
  <c r="AF262" i="1"/>
  <c r="Y262" i="1"/>
  <c r="AF263" i="1"/>
  <c r="Y263" i="1"/>
  <c r="AF265" i="1"/>
  <c r="Y265" i="1"/>
  <c r="AF264" i="1"/>
  <c r="Y264" i="1"/>
  <c r="AF261" i="1"/>
  <c r="Y261" i="1"/>
  <c r="AF260" i="1"/>
  <c r="Y260" i="1"/>
  <c r="AF259" i="1"/>
  <c r="Y259" i="1"/>
  <c r="AF256" i="1"/>
  <c r="Y256" i="1"/>
  <c r="AF257" i="1"/>
  <c r="Y257" i="1"/>
  <c r="AF258" i="1"/>
  <c r="Y258" i="1"/>
  <c r="AF254" i="1"/>
  <c r="Y254" i="1"/>
  <c r="AF252" i="1"/>
  <c r="Y252" i="1"/>
  <c r="AF255" i="1"/>
  <c r="Y255" i="1"/>
  <c r="AF253" i="1"/>
  <c r="Y253" i="1"/>
  <c r="AF248" i="1"/>
  <c r="Y248" i="1"/>
  <c r="AF249" i="1"/>
  <c r="Y249" i="1"/>
  <c r="AF251" i="1"/>
  <c r="Y251" i="1"/>
  <c r="AF250" i="1"/>
  <c r="Y250" i="1"/>
  <c r="AF247" i="1"/>
  <c r="Y247" i="1"/>
  <c r="AF246" i="1"/>
  <c r="Y246" i="1"/>
  <c r="AF245" i="1"/>
  <c r="Y245" i="1"/>
  <c r="AF242" i="1"/>
  <c r="Y242" i="1"/>
  <c r="AF243" i="1"/>
  <c r="Y243" i="1"/>
  <c r="AF240" i="1"/>
  <c r="Y240" i="1"/>
  <c r="AF238" i="1"/>
  <c r="Y238" i="1"/>
  <c r="AF239" i="1"/>
  <c r="Y239" i="1"/>
  <c r="AF237" i="1"/>
  <c r="Y237" i="1"/>
  <c r="AF234" i="1"/>
  <c r="Y234" i="1"/>
  <c r="AF235" i="1"/>
  <c r="Y235" i="1"/>
  <c r="AF236" i="1"/>
  <c r="Y236" i="1"/>
  <c r="AF233" i="1"/>
  <c r="Y233" i="1"/>
  <c r="AF232" i="1"/>
  <c r="Y232" i="1"/>
  <c r="AF231" i="1"/>
  <c r="Y231" i="1"/>
  <c r="AF230" i="1"/>
  <c r="Y230" i="1"/>
  <c r="AF229" i="1"/>
  <c r="Y229" i="1"/>
  <c r="AF228" i="1"/>
  <c r="Y228" i="1"/>
  <c r="AF227" i="1"/>
  <c r="Y227" i="1"/>
  <c r="AF226" i="1"/>
  <c r="Y226" i="1"/>
  <c r="AF225" i="1"/>
  <c r="Y225" i="1"/>
  <c r="AF222" i="1"/>
  <c r="Y222" i="1"/>
  <c r="AF223" i="1"/>
  <c r="Y223" i="1"/>
  <c r="AF219" i="1"/>
  <c r="Y219" i="1"/>
  <c r="AF220" i="1"/>
  <c r="Y220" i="1"/>
  <c r="AF217" i="1"/>
  <c r="Y217" i="1"/>
  <c r="AF218" i="1"/>
  <c r="Y218" i="1"/>
  <c r="AF216" i="1"/>
  <c r="Y216" i="1"/>
  <c r="AF181" i="1"/>
  <c r="Y181" i="1"/>
  <c r="AF180" i="1"/>
  <c r="Y180" i="1"/>
  <c r="AF174" i="1"/>
  <c r="Y174" i="1"/>
  <c r="AF176" i="1"/>
  <c r="Y176" i="1"/>
  <c r="AF170" i="1"/>
  <c r="Y170" i="1"/>
  <c r="AF169" i="1"/>
  <c r="Y169" i="1"/>
  <c r="AF171" i="1"/>
  <c r="Y171" i="1"/>
  <c r="AF172" i="1"/>
  <c r="Y172" i="1"/>
  <c r="AF167" i="1"/>
  <c r="Y167" i="1"/>
  <c r="AF168" i="1"/>
  <c r="Y168" i="1"/>
  <c r="AF210" i="1"/>
  <c r="Y210" i="1"/>
  <c r="AF185" i="1"/>
  <c r="Y185" i="1"/>
  <c r="AF186" i="1"/>
  <c r="Y186" i="1"/>
  <c r="AF197" i="1"/>
  <c r="Y197" i="1"/>
  <c r="AF207" i="1"/>
  <c r="Y207" i="1"/>
  <c r="AF191" i="1"/>
  <c r="Y191" i="1"/>
  <c r="AF212" i="1"/>
  <c r="Y212" i="1"/>
  <c r="AF213" i="1"/>
  <c r="Y213" i="1"/>
  <c r="AF187" i="1"/>
  <c r="Y187" i="1"/>
  <c r="AF198" i="1"/>
  <c r="Y198" i="1"/>
  <c r="AF209" i="1"/>
  <c r="Y209" i="1"/>
  <c r="AF206" i="1"/>
  <c r="Y206" i="1"/>
  <c r="AF211" i="1"/>
  <c r="Y211" i="1"/>
  <c r="AF182" i="1"/>
  <c r="Y182" i="1"/>
  <c r="AF192" i="1"/>
  <c r="Y192" i="1"/>
  <c r="AF200" i="1"/>
  <c r="Y200" i="1"/>
  <c r="AF178" i="1"/>
  <c r="Y178" i="1"/>
  <c r="AF184" i="1"/>
  <c r="Y184" i="1"/>
  <c r="AF190" i="1"/>
  <c r="Y190" i="1"/>
  <c r="AF194" i="1"/>
  <c r="Y194" i="1"/>
  <c r="AF208" i="1"/>
  <c r="Y208" i="1"/>
  <c r="AF193" i="1"/>
  <c r="Y193" i="1"/>
  <c r="AF221" i="1"/>
  <c r="Y221" i="1"/>
  <c r="AF201" i="1"/>
  <c r="Y201" i="1"/>
  <c r="AF204" i="1"/>
  <c r="Y204" i="1"/>
  <c r="AF214" i="1"/>
  <c r="Y214" i="1"/>
  <c r="AF215" i="1"/>
  <c r="Y215" i="1"/>
  <c r="AF203" i="1"/>
  <c r="Y203" i="1"/>
  <c r="AF183" i="1"/>
  <c r="Y183" i="1"/>
  <c r="AF179" i="1"/>
  <c r="Y179" i="1"/>
  <c r="AF196" i="1"/>
  <c r="Y196" i="1"/>
  <c r="AF188" i="1"/>
  <c r="Y188" i="1"/>
  <c r="AF177" i="1"/>
  <c r="Y177" i="1"/>
  <c r="AF195" i="1"/>
  <c r="Y195" i="1"/>
  <c r="AF189" i="1"/>
  <c r="Y189" i="1"/>
  <c r="AF199" i="1"/>
  <c r="Y199" i="1"/>
  <c r="AF202" i="1"/>
  <c r="Y202" i="1"/>
  <c r="AF340" i="1"/>
  <c r="Y340" i="1"/>
  <c r="AF338" i="1"/>
  <c r="Y338" i="1"/>
  <c r="AF331" i="1"/>
  <c r="Y331" i="1"/>
  <c r="AF330" i="1"/>
  <c r="Y330" i="1"/>
  <c r="AF329" i="1"/>
  <c r="Y329" i="1"/>
  <c r="AF320" i="1"/>
  <c r="Y320" i="1"/>
  <c r="AF341" i="1"/>
  <c r="Y341" i="1"/>
  <c r="AF302" i="1"/>
  <c r="Y302" i="1"/>
  <c r="AF293" i="1"/>
  <c r="Y293" i="1"/>
  <c r="AF288" i="1"/>
  <c r="Y288" i="1"/>
  <c r="AF342" i="1"/>
  <c r="Y342" i="1"/>
  <c r="AF339" i="1"/>
  <c r="Y339" i="1"/>
  <c r="AF337" i="1"/>
  <c r="Y337" i="1"/>
  <c r="AF335" i="1"/>
  <c r="Y335" i="1"/>
  <c r="AF334" i="1"/>
  <c r="Y334" i="1"/>
  <c r="AF301" i="1"/>
  <c r="Y301" i="1"/>
  <c r="AF326" i="1"/>
  <c r="Y326" i="1"/>
  <c r="AF327" i="1"/>
  <c r="Y327" i="1"/>
  <c r="AF325" i="1"/>
  <c r="Y325" i="1"/>
  <c r="AF321" i="1"/>
  <c r="Y321" i="1"/>
  <c r="AF313" i="1"/>
  <c r="Y313" i="1"/>
  <c r="AF318" i="1"/>
  <c r="Y318" i="1"/>
  <c r="AF311" i="1"/>
  <c r="Y311" i="1"/>
  <c r="AF312" i="1"/>
  <c r="Y312" i="1"/>
  <c r="AF314" i="1"/>
  <c r="Y314" i="1"/>
  <c r="AF315" i="1"/>
  <c r="Y315" i="1"/>
  <c r="AF309" i="1"/>
  <c r="Y309" i="1"/>
  <c r="AF306" i="1"/>
  <c r="Y306" i="1"/>
  <c r="AF307" i="1"/>
  <c r="Y307" i="1"/>
  <c r="AF308" i="1"/>
  <c r="Y308" i="1"/>
  <c r="AF303" i="1"/>
  <c r="Y303" i="1"/>
  <c r="AF304" i="1"/>
  <c r="Y304" i="1"/>
  <c r="AF305" i="1"/>
  <c r="Y305" i="1"/>
  <c r="AF300" i="1"/>
  <c r="Y300" i="1"/>
  <c r="AF297" i="1"/>
  <c r="Y297" i="1"/>
  <c r="AF298" i="1"/>
  <c r="Y298" i="1"/>
  <c r="AF322" i="1"/>
  <c r="Y322" i="1"/>
  <c r="AF299" i="1"/>
  <c r="Y299" i="1"/>
  <c r="AF296" i="1"/>
  <c r="Y296" i="1"/>
  <c r="AF310" i="1"/>
  <c r="Y310" i="1"/>
  <c r="AF316" i="1"/>
  <c r="Y316" i="1"/>
  <c r="AF295" i="1"/>
  <c r="Y295" i="1"/>
  <c r="AF294" i="1"/>
  <c r="Y294" i="1"/>
  <c r="AF287" i="1"/>
  <c r="Y287" i="1"/>
  <c r="AF317" i="1"/>
  <c r="Y317" i="1"/>
  <c r="AF291" i="1"/>
  <c r="Y291" i="1"/>
  <c r="AF292" i="1"/>
  <c r="Y292" i="1"/>
  <c r="AF319" i="1"/>
  <c r="Y319" i="1"/>
  <c r="AF323" i="1"/>
  <c r="Y323" i="1"/>
  <c r="AF286" i="1"/>
  <c r="Y286" i="1"/>
  <c r="AF285" i="1"/>
  <c r="Y285" i="1"/>
  <c r="AF390" i="1"/>
  <c r="Y390" i="1"/>
  <c r="AF380" i="1"/>
  <c r="Y380" i="1"/>
  <c r="AF373" i="1"/>
  <c r="Y373" i="1"/>
  <c r="AF374" i="1"/>
  <c r="Y374" i="1"/>
  <c r="AF397" i="1"/>
  <c r="Y397" i="1"/>
  <c r="AF396" i="1"/>
  <c r="Y396" i="1"/>
  <c r="AF394" i="1"/>
  <c r="Y394" i="1"/>
  <c r="AF395" i="1"/>
  <c r="Y395" i="1"/>
  <c r="AF393" i="1"/>
  <c r="Y393" i="1"/>
  <c r="AF392" i="1"/>
  <c r="Y392" i="1"/>
  <c r="AF391" i="1"/>
  <c r="Y391" i="1"/>
  <c r="AF383" i="1"/>
  <c r="Y383" i="1"/>
  <c r="AF382" i="1"/>
  <c r="Y382" i="1"/>
  <c r="AF381" i="1"/>
  <c r="Y381" i="1"/>
  <c r="AF376" i="1"/>
  <c r="Y376" i="1"/>
  <c r="AF375" i="1"/>
  <c r="Y375" i="1"/>
  <c r="AF445" i="1"/>
  <c r="Y445" i="1"/>
  <c r="AF465" i="1"/>
  <c r="Y465" i="1"/>
  <c r="AF457" i="1"/>
  <c r="Y457" i="1"/>
  <c r="AF496" i="1"/>
  <c r="Y496" i="1"/>
  <c r="AF495" i="1"/>
  <c r="Y495" i="1"/>
  <c r="AF494" i="1"/>
  <c r="Y494" i="1"/>
  <c r="AF493" i="1"/>
  <c r="Y493" i="1"/>
  <c r="AF492" i="1"/>
  <c r="Y492" i="1"/>
  <c r="AF491" i="1"/>
  <c r="Y491" i="1"/>
  <c r="AF489" i="1"/>
  <c r="Y489" i="1"/>
  <c r="AF490" i="1"/>
  <c r="Y490" i="1"/>
  <c r="AF488" i="1"/>
  <c r="Y488" i="1"/>
  <c r="AF487" i="1"/>
  <c r="Y487" i="1"/>
  <c r="AF486" i="1"/>
  <c r="Y486" i="1"/>
  <c r="AF485" i="1"/>
  <c r="Y485" i="1"/>
  <c r="AF484" i="1"/>
  <c r="Y484" i="1"/>
  <c r="AF483" i="1"/>
  <c r="Y483" i="1"/>
  <c r="AF481" i="1"/>
  <c r="Y481" i="1"/>
  <c r="AF482" i="1"/>
  <c r="Y482" i="1"/>
  <c r="AF480" i="1"/>
  <c r="Y480" i="1"/>
  <c r="AF479" i="1"/>
  <c r="Y479" i="1"/>
  <c r="AF478" i="1"/>
  <c r="Y478" i="1"/>
  <c r="AF477" i="1"/>
  <c r="Y477" i="1"/>
  <c r="AF476" i="1"/>
  <c r="Y476" i="1"/>
  <c r="AF473" i="1"/>
  <c r="Y473" i="1"/>
  <c r="AF474" i="1"/>
  <c r="Y474" i="1"/>
  <c r="AF475" i="1"/>
  <c r="Y475" i="1"/>
  <c r="AF472" i="1"/>
  <c r="Y472" i="1"/>
  <c r="AF471" i="1"/>
  <c r="Y471" i="1"/>
  <c r="AF470" i="1"/>
  <c r="Y470" i="1"/>
  <c r="AF469" i="1"/>
  <c r="Y469" i="1"/>
  <c r="AF467" i="1"/>
  <c r="Y467" i="1"/>
  <c r="AF468" i="1"/>
  <c r="Y468" i="1"/>
  <c r="AF463" i="1"/>
  <c r="Y463" i="1"/>
  <c r="AF438" i="1"/>
  <c r="Y438" i="1"/>
  <c r="AF464" i="1"/>
  <c r="Y464" i="1"/>
  <c r="AF462" i="1"/>
  <c r="Y462" i="1"/>
  <c r="AF461" i="1"/>
  <c r="Y461" i="1"/>
  <c r="AF452" i="1"/>
  <c r="Y452" i="1"/>
  <c r="AF460" i="1"/>
  <c r="Y460" i="1"/>
  <c r="AF449" i="1"/>
  <c r="Y449" i="1"/>
  <c r="AF458" i="1"/>
  <c r="Y458" i="1"/>
  <c r="AF450" i="1"/>
  <c r="Y450" i="1"/>
  <c r="AF456" i="1"/>
  <c r="Y456" i="1"/>
  <c r="Y453" i="1"/>
  <c r="AF455" i="1"/>
  <c r="Y455" i="1"/>
  <c r="AF454" i="1"/>
  <c r="Y454" i="1"/>
  <c r="AF444" i="1"/>
  <c r="Y444" i="1"/>
  <c r="AF442" i="1"/>
  <c r="Y442" i="1"/>
  <c r="AF443" i="1"/>
  <c r="Y443" i="1"/>
  <c r="AF451" i="1"/>
  <c r="Y451" i="1"/>
  <c r="AF441" i="1"/>
  <c r="Y441" i="1"/>
  <c r="AF440" i="1"/>
  <c r="Y440" i="1"/>
  <c r="AF439" i="1"/>
  <c r="Y439" i="1"/>
  <c r="AF437" i="1"/>
  <c r="Y437" i="1"/>
  <c r="AF447" i="1"/>
  <c r="Y447" i="1"/>
  <c r="AF448" i="1"/>
  <c r="Y448" i="1"/>
  <c r="AF446" i="1"/>
  <c r="Y446" i="1"/>
  <c r="AF635" i="1"/>
  <c r="Y635" i="1"/>
  <c r="AF637" i="1"/>
  <c r="Y637" i="1"/>
  <c r="AF636" i="1"/>
  <c r="Y636" i="1"/>
  <c r="AF634" i="1"/>
  <c r="Y634" i="1"/>
  <c r="AF633" i="1"/>
  <c r="Y633" i="1"/>
  <c r="AF632" i="1"/>
  <c r="Y632" i="1"/>
  <c r="AF631" i="1"/>
  <c r="Y631" i="1"/>
  <c r="AF630" i="1"/>
  <c r="Y630" i="1"/>
  <c r="AF628" i="1"/>
  <c r="Y628" i="1"/>
  <c r="AF629" i="1"/>
  <c r="Y629" i="1"/>
  <c r="AF627" i="1"/>
  <c r="Y627" i="1"/>
  <c r="AF626" i="1"/>
  <c r="Y626" i="1"/>
  <c r="AF625" i="1"/>
  <c r="Y625" i="1"/>
  <c r="AF623" i="1"/>
  <c r="Y623" i="1"/>
  <c r="AF624" i="1"/>
  <c r="Y624" i="1"/>
  <c r="AF617" i="1"/>
  <c r="Y617" i="1"/>
  <c r="AF591" i="1"/>
  <c r="AF600" i="1"/>
  <c r="Y600" i="1"/>
  <c r="AF612" i="1"/>
  <c r="Y612" i="1"/>
  <c r="AF622" i="1"/>
  <c r="Y622" i="1"/>
  <c r="AF618" i="1"/>
  <c r="Y618" i="1"/>
  <c r="AF619" i="1"/>
  <c r="Y619" i="1"/>
  <c r="AF611" i="1"/>
  <c r="Y611" i="1"/>
  <c r="AF597" i="1"/>
  <c r="Y597" i="1"/>
  <c r="AF607" i="1"/>
  <c r="Y607" i="1"/>
  <c r="AF608" i="1"/>
  <c r="Y608" i="1"/>
  <c r="AF616" i="1"/>
  <c r="Y616" i="1"/>
  <c r="AF615" i="1"/>
  <c r="Y615" i="1"/>
  <c r="AF614" i="1"/>
  <c r="Y614" i="1"/>
  <c r="AF605" i="1"/>
  <c r="Y605" i="1"/>
  <c r="AF610" i="1"/>
  <c r="Y610" i="1"/>
  <c r="AF592" i="1"/>
  <c r="Y592" i="1"/>
  <c r="AF593" i="1"/>
  <c r="Y593" i="1"/>
  <c r="AF609" i="1"/>
  <c r="Y609" i="1"/>
  <c r="AF604" i="1"/>
  <c r="Y604" i="1"/>
  <c r="AF598" i="1"/>
  <c r="Y598" i="1"/>
  <c r="AF599" i="1"/>
  <c r="Y599" i="1"/>
  <c r="AF596" i="1"/>
  <c r="Y596" i="1"/>
  <c r="AF603" i="1"/>
  <c r="Y603" i="1"/>
  <c r="AF595" i="1"/>
  <c r="Y595" i="1"/>
  <c r="AF620" i="1"/>
  <c r="Y620" i="1"/>
  <c r="AF621" i="1"/>
  <c r="Y621" i="1"/>
  <c r="AF602" i="1"/>
  <c r="Y602" i="1"/>
  <c r="AF601" i="1"/>
  <c r="Y601" i="1"/>
  <c r="AF606" i="1"/>
  <c r="Y606" i="1"/>
  <c r="AF667" i="1"/>
  <c r="Y667" i="1"/>
  <c r="AF692" i="1"/>
  <c r="Y692" i="1"/>
  <c r="AF691" i="1"/>
  <c r="Y691" i="1"/>
  <c r="AF687" i="1"/>
  <c r="Y687" i="1"/>
  <c r="AF685" i="1"/>
  <c r="Y685" i="1"/>
  <c r="AF686" i="1"/>
  <c r="Y686" i="1"/>
  <c r="AF684" i="1"/>
  <c r="Y684" i="1"/>
  <c r="AF683" i="1"/>
  <c r="Y683" i="1"/>
  <c r="AF679" i="1"/>
  <c r="Y679" i="1"/>
  <c r="AF676" i="1"/>
  <c r="Y676" i="1"/>
  <c r="AF673" i="1"/>
  <c r="Y673" i="1"/>
  <c r="AF670" i="1"/>
  <c r="Y670" i="1"/>
  <c r="AF669" i="1"/>
  <c r="Y669" i="1"/>
  <c r="AF672" i="1"/>
  <c r="Y672" i="1"/>
  <c r="AF844" i="1"/>
  <c r="Y844" i="1"/>
  <c r="AF847" i="1"/>
  <c r="Y847" i="1"/>
  <c r="AF937" i="1"/>
  <c r="Y937" i="1"/>
  <c r="AF935" i="1"/>
  <c r="Y935" i="1"/>
  <c r="AF938" i="1"/>
  <c r="Y938" i="1"/>
  <c r="AF936" i="1"/>
  <c r="Y936" i="1"/>
  <c r="AF934" i="1"/>
  <c r="Y934" i="1"/>
  <c r="AF932" i="1"/>
  <c r="Y932" i="1"/>
  <c r="AF931" i="1"/>
  <c r="Y931" i="1"/>
  <c r="AF929" i="1"/>
  <c r="Y929" i="1"/>
  <c r="AF930" i="1"/>
  <c r="Y930" i="1"/>
  <c r="AF926" i="1"/>
  <c r="Y926" i="1"/>
  <c r="AF925" i="1"/>
  <c r="Y925" i="1"/>
  <c r="AF921" i="1"/>
  <c r="Y921" i="1"/>
  <c r="AF920" i="1"/>
  <c r="Y920" i="1"/>
  <c r="AF918" i="1"/>
  <c r="Y918" i="1"/>
  <c r="AF919" i="1"/>
  <c r="Y919" i="1"/>
  <c r="AF916" i="1"/>
  <c r="Y916" i="1"/>
  <c r="AF915" i="1"/>
  <c r="Y915" i="1"/>
  <c r="AF914" i="1"/>
  <c r="Y914" i="1"/>
  <c r="AF912" i="1"/>
  <c r="Y912" i="1"/>
  <c r="AF913" i="1"/>
  <c r="Y913" i="1"/>
  <c r="AF911" i="1"/>
  <c r="Y911" i="1"/>
  <c r="AF910" i="1"/>
  <c r="Y910" i="1"/>
  <c r="AF909" i="1"/>
  <c r="Y909" i="1"/>
  <c r="AF908" i="1"/>
  <c r="Y908" i="1"/>
  <c r="AF907" i="1"/>
  <c r="Y907" i="1"/>
  <c r="AF906" i="1"/>
  <c r="Y906" i="1"/>
  <c r="AF905" i="1"/>
  <c r="Y905" i="1"/>
  <c r="AF904" i="1"/>
  <c r="Y904" i="1"/>
  <c r="AF902" i="1"/>
  <c r="Y902" i="1"/>
  <c r="AF901" i="1"/>
  <c r="Y901" i="1"/>
  <c r="AF899" i="1"/>
  <c r="Y899" i="1"/>
  <c r="AF897" i="1"/>
  <c r="Y897" i="1"/>
  <c r="AF896" i="1"/>
  <c r="Y896" i="1"/>
  <c r="AF895" i="1"/>
  <c r="Y895" i="1"/>
  <c r="AF894" i="1"/>
  <c r="Y894" i="1"/>
  <c r="AF867" i="1"/>
  <c r="Y867" i="1"/>
  <c r="AF891" i="1"/>
  <c r="Y891" i="1"/>
  <c r="AF892" i="1"/>
  <c r="Y892" i="1"/>
  <c r="AF888" i="1"/>
  <c r="Y888" i="1"/>
  <c r="AF886" i="1"/>
  <c r="Y886" i="1"/>
  <c r="AF846" i="1"/>
  <c r="Y846" i="1"/>
  <c r="AF843" i="1"/>
  <c r="Y843" i="1"/>
  <c r="AF861" i="1"/>
  <c r="Y861" i="1"/>
  <c r="AF849" i="1"/>
  <c r="Y849" i="1"/>
  <c r="AF851" i="1"/>
  <c r="Y851" i="1"/>
  <c r="AF858" i="1"/>
  <c r="Y858" i="1"/>
  <c r="AF865" i="1"/>
  <c r="Y865" i="1"/>
  <c r="AF871" i="1"/>
  <c r="Y871" i="1"/>
  <c r="AF857" i="1"/>
  <c r="Y857" i="1"/>
  <c r="AF864" i="1"/>
  <c r="Y864" i="1"/>
  <c r="AF859" i="1"/>
  <c r="Y859" i="1"/>
  <c r="AF860" i="1"/>
  <c r="Y860" i="1"/>
  <c r="AF856" i="1"/>
  <c r="Y856" i="1"/>
  <c r="AF848" i="1"/>
  <c r="Y848" i="1"/>
  <c r="AF869" i="1"/>
  <c r="Y869" i="1"/>
  <c r="AF862" i="1"/>
  <c r="Y862" i="1"/>
  <c r="AF889" i="1"/>
  <c r="Y889" i="1"/>
  <c r="AF890" i="1"/>
  <c r="Y890" i="1"/>
  <c r="AF854" i="1"/>
  <c r="Y854" i="1"/>
  <c r="AF884" i="1"/>
  <c r="Y884" i="1"/>
  <c r="AF885" i="1"/>
  <c r="Y885" i="1"/>
  <c r="AF852" i="1"/>
  <c r="Y852" i="1"/>
  <c r="AF850" i="1"/>
  <c r="Y850" i="1"/>
  <c r="AF853" i="1"/>
  <c r="Y853" i="1"/>
  <c r="AF872" i="1"/>
  <c r="Y872" i="1"/>
  <c r="AF870" i="1"/>
  <c r="Y870" i="1"/>
  <c r="AF855" i="1"/>
  <c r="Y855" i="1"/>
  <c r="AF866" i="1"/>
  <c r="Y866" i="1"/>
  <c r="AF868" i="1"/>
  <c r="Y868" i="1"/>
  <c r="AF1036" i="1"/>
  <c r="Y1036" i="1"/>
  <c r="AF1037" i="1"/>
  <c r="Y1037" i="1"/>
  <c r="AF1035" i="1"/>
  <c r="Y1035" i="1"/>
  <c r="AF1034" i="1"/>
  <c r="Y1034" i="1"/>
  <c r="AF1033" i="1"/>
  <c r="Y1033" i="1"/>
  <c r="AF1032" i="1"/>
  <c r="Y1032" i="1"/>
  <c r="AF1031" i="1"/>
  <c r="Y1031" i="1"/>
  <c r="AF1029" i="1"/>
  <c r="AF1030" i="1"/>
  <c r="Y1030" i="1"/>
  <c r="AF1026" i="1"/>
  <c r="Y1026" i="1"/>
  <c r="AF1023" i="1"/>
  <c r="Y1023" i="1"/>
  <c r="AF1022" i="1"/>
  <c r="Y1022" i="1"/>
  <c r="AF1012" i="1"/>
  <c r="Y1012" i="1"/>
  <c r="AF1013" i="1"/>
  <c r="Y1013" i="1"/>
  <c r="AF1018" i="1"/>
  <c r="Y1018" i="1"/>
  <c r="AF1014" i="1"/>
  <c r="Y1014" i="1"/>
  <c r="AF1016" i="1"/>
  <c r="Y1016" i="1"/>
  <c r="AF1024" i="1"/>
  <c r="Y1024" i="1"/>
  <c r="AF1015" i="1"/>
  <c r="Y1015" i="1"/>
  <c r="AF1025" i="1"/>
  <c r="Y1025" i="1"/>
  <c r="AF1020" i="1"/>
  <c r="Y1020" i="1"/>
  <c r="AF1019" i="1"/>
  <c r="Y1019" i="1"/>
  <c r="AF1017" i="1"/>
  <c r="Y1017" i="1"/>
  <c r="AF1021" i="1"/>
  <c r="Y1021" i="1"/>
  <c r="AF1027" i="1"/>
  <c r="Y1027" i="1"/>
  <c r="AF1118" i="1"/>
  <c r="Y1118" i="1"/>
  <c r="AF1113" i="1"/>
  <c r="Y1113" i="1"/>
  <c r="AF1112" i="1"/>
  <c r="Y1112" i="1"/>
  <c r="AF1115" i="1"/>
  <c r="Y1115" i="1"/>
  <c r="AF1114" i="1"/>
  <c r="Y1114" i="1"/>
  <c r="AF1122" i="1"/>
  <c r="Y1122" i="1"/>
  <c r="AF1123" i="1"/>
  <c r="Y1123" i="1"/>
  <c r="AF1110" i="1"/>
  <c r="Y1110" i="1"/>
  <c r="AF1119" i="1"/>
  <c r="Y1119" i="1"/>
  <c r="AF1116" i="1"/>
  <c r="Y1116" i="1"/>
  <c r="AF1120" i="1"/>
  <c r="Y1120" i="1"/>
  <c r="AF1259" i="1"/>
  <c r="AC1259" i="1"/>
  <c r="AG1093" i="1"/>
  <c r="D92" i="4"/>
  <c r="AF3" i="1"/>
  <c r="D2" i="8"/>
  <c r="D6" i="8"/>
  <c r="G6" i="8" s="1"/>
  <c r="D40" i="8"/>
  <c r="G40" i="8" s="1"/>
  <c r="D36" i="7"/>
  <c r="G36" i="7" s="1"/>
  <c r="D70" i="7"/>
  <c r="G70" i="7" s="1"/>
  <c r="AF52" i="1"/>
  <c r="D13" i="8"/>
  <c r="G13" i="8" s="1"/>
  <c r="AF60" i="1"/>
  <c r="D12" i="8"/>
  <c r="G12" i="8" s="1"/>
  <c r="AF87" i="1"/>
  <c r="D14" i="8"/>
  <c r="G14" i="8" s="1"/>
  <c r="AF107" i="1"/>
  <c r="D53" i="8"/>
  <c r="G53" i="8" s="1"/>
  <c r="AF505" i="1"/>
  <c r="AF697" i="1"/>
  <c r="D62" i="8"/>
  <c r="G62" i="8" s="1"/>
  <c r="D34" i="8"/>
  <c r="G34" i="8" s="1"/>
  <c r="D38" i="8"/>
  <c r="G38" i="8" s="1"/>
  <c r="AF97" i="1"/>
  <c r="AF552" i="1"/>
  <c r="AF29" i="1"/>
  <c r="D49" i="8"/>
  <c r="AF275" i="1"/>
  <c r="D55" i="8"/>
  <c r="G55" i="8" s="1"/>
  <c r="AF1043" i="1"/>
  <c r="D18" i="8"/>
  <c r="G18" i="8" s="1"/>
  <c r="AF33" i="1"/>
  <c r="D50" i="8"/>
  <c r="G50" i="8" s="1"/>
  <c r="D32" i="8"/>
  <c r="G32" i="8" s="1"/>
  <c r="AF727" i="1"/>
  <c r="D64" i="8"/>
  <c r="G64" i="8" s="1"/>
  <c r="D35" i="8"/>
  <c r="G35" i="8" s="1"/>
  <c r="D66" i="8"/>
  <c r="G66" i="8" s="1"/>
  <c r="D31" i="8"/>
  <c r="G31" i="8" s="1"/>
  <c r="AF328" i="1"/>
  <c r="D29" i="8"/>
  <c r="G29" i="8" s="1"/>
  <c r="AF404" i="1"/>
  <c r="D58" i="8"/>
  <c r="G58" i="8" s="1"/>
  <c r="AF710" i="1"/>
  <c r="D63" i="8"/>
  <c r="G63" i="8" s="1"/>
  <c r="D28" i="8"/>
  <c r="D27" i="8"/>
  <c r="AF343" i="1"/>
  <c r="D17" i="8"/>
  <c r="G17" i="8" s="1"/>
  <c r="D11" i="8"/>
  <c r="G11" i="8" s="1"/>
  <c r="AF160" i="1"/>
  <c r="D54" i="8"/>
  <c r="G54" i="8" s="1"/>
  <c r="D36" i="8"/>
  <c r="G36" i="8" s="1"/>
  <c r="AF662" i="1"/>
  <c r="D61" i="8"/>
  <c r="G61" i="8" s="1"/>
  <c r="D30" i="8"/>
  <c r="G30" i="8" s="1"/>
  <c r="D33" i="8"/>
  <c r="G33" i="8" s="1"/>
  <c r="F4" i="8"/>
  <c r="AF435" i="1"/>
  <c r="D15" i="8"/>
  <c r="G15" i="8" s="1"/>
  <c r="AF497" i="1"/>
  <c r="D59" i="8"/>
  <c r="G59" i="8" s="1"/>
  <c r="AF98" i="1"/>
  <c r="D52" i="8"/>
  <c r="G52" i="8" s="1"/>
  <c r="AF101" i="1"/>
  <c r="AC101" i="1"/>
  <c r="AF281" i="1"/>
  <c r="D56" i="8"/>
  <c r="G56" i="8" s="1"/>
  <c r="D65" i="8"/>
  <c r="G65" i="8" s="1"/>
  <c r="D37" i="8"/>
  <c r="G37" i="8" s="1"/>
  <c r="D71" i="8"/>
  <c r="G71" i="8" s="1"/>
  <c r="AF1234" i="1"/>
  <c r="D16" i="8"/>
  <c r="G16" i="8" s="1"/>
  <c r="D70" i="8"/>
  <c r="G70" i="8" s="1"/>
  <c r="AF102" i="1"/>
  <c r="AC102" i="1"/>
  <c r="D39" i="8"/>
  <c r="AF1255" i="1"/>
  <c r="D20" i="8"/>
  <c r="G20" i="8" s="1"/>
  <c r="C4" i="7"/>
  <c r="F4" i="7" s="1"/>
  <c r="F72" i="7"/>
  <c r="AF1079" i="1"/>
  <c r="D2" i="7"/>
  <c r="G2" i="7" s="1"/>
  <c r="AF1075" i="1"/>
  <c r="AF519" i="1"/>
  <c r="AF521" i="1"/>
  <c r="AF530" i="1"/>
  <c r="AF542" i="1"/>
  <c r="D12" i="7"/>
  <c r="G12" i="7" s="1"/>
  <c r="D18" i="7"/>
  <c r="G18" i="7" s="1"/>
  <c r="AF1093" i="1"/>
  <c r="F49" i="7"/>
  <c r="AF516" i="1"/>
  <c r="D68" i="7"/>
  <c r="G68" i="7" s="1"/>
  <c r="D20" i="7"/>
  <c r="G20" i="7" s="1"/>
  <c r="D15" i="7"/>
  <c r="G15" i="7" s="1"/>
  <c r="D14" i="7"/>
  <c r="G14" i="7" s="1"/>
  <c r="D31" i="7"/>
  <c r="G31" i="7" s="1"/>
  <c r="D2" i="4"/>
  <c r="G2" i="4" s="1"/>
  <c r="D11" i="7"/>
  <c r="AF114" i="1"/>
  <c r="D27" i="7"/>
  <c r="AF863" i="1"/>
  <c r="D37" i="7"/>
  <c r="G37" i="7" s="1"/>
  <c r="AF962" i="1"/>
  <c r="D38" i="7"/>
  <c r="G38" i="7" s="1"/>
  <c r="AF205" i="1"/>
  <c r="D28" i="7"/>
  <c r="AF762" i="1"/>
  <c r="D34" i="7"/>
  <c r="G34" i="7" s="1"/>
  <c r="D48" i="4"/>
  <c r="G48" i="4" s="1"/>
  <c r="AF377" i="1"/>
  <c r="D30" i="7"/>
  <c r="G30" i="7" s="1"/>
  <c r="AF613" i="1"/>
  <c r="D32" i="7"/>
  <c r="G32" i="7" s="1"/>
  <c r="AF1117" i="1"/>
  <c r="D40" i="7"/>
  <c r="G40" i="7" s="1"/>
  <c r="D16" i="7"/>
  <c r="G16" i="7" s="1"/>
  <c r="AF1028" i="1"/>
  <c r="D39" i="7"/>
  <c r="AF529" i="1"/>
  <c r="D17" i="7"/>
  <c r="G17" i="7" s="1"/>
  <c r="D6" i="4"/>
  <c r="G6" i="4" s="1"/>
  <c r="D19" i="7"/>
  <c r="G19" i="7" s="1"/>
  <c r="D29" i="7"/>
  <c r="G29" i="7" s="1"/>
  <c r="D13" i="7"/>
  <c r="G13" i="7" s="1"/>
  <c r="AF677" i="1"/>
  <c r="D33" i="7"/>
  <c r="G33" i="7" s="1"/>
  <c r="AF833" i="1"/>
  <c r="D35" i="7"/>
  <c r="G35" i="7" s="1"/>
  <c r="D71" i="7"/>
  <c r="G71" i="7" s="1"/>
  <c r="AF1124" i="1"/>
  <c r="D78" i="4"/>
  <c r="D72" i="4"/>
  <c r="D60" i="7"/>
  <c r="G60" i="7" s="1"/>
  <c r="D69" i="7"/>
  <c r="G69" i="7" s="1"/>
  <c r="D74" i="4"/>
  <c r="D62" i="7"/>
  <c r="G62" i="7" s="1"/>
  <c r="D70" i="4"/>
  <c r="D58" i="7"/>
  <c r="G58" i="7" s="1"/>
  <c r="D76" i="4"/>
  <c r="D64" i="7"/>
  <c r="G64" i="7" s="1"/>
  <c r="D61" i="4"/>
  <c r="D49" i="7"/>
  <c r="D68" i="4"/>
  <c r="D56" i="7"/>
  <c r="G56" i="7" s="1"/>
  <c r="AF1213" i="1"/>
  <c r="D82" i="4"/>
  <c r="AF399" i="1"/>
  <c r="D69" i="4"/>
  <c r="D64" i="4"/>
  <c r="D52" i="7"/>
  <c r="G52" i="7" s="1"/>
  <c r="D66" i="4"/>
  <c r="D54" i="7"/>
  <c r="G54" i="7" s="1"/>
  <c r="D75" i="4"/>
  <c r="D63" i="7"/>
  <c r="G63" i="7" s="1"/>
  <c r="AF1199" i="1"/>
  <c r="D81" i="4"/>
  <c r="D65" i="4"/>
  <c r="D53" i="7"/>
  <c r="G53" i="7" s="1"/>
  <c r="D67" i="4"/>
  <c r="D55" i="7"/>
  <c r="G55" i="7" s="1"/>
  <c r="D71" i="4"/>
  <c r="D59" i="7"/>
  <c r="G59" i="7" s="1"/>
  <c r="D66" i="7"/>
  <c r="G66" i="7" s="1"/>
  <c r="AF1200" i="1"/>
  <c r="D80" i="4"/>
  <c r="D62" i="4"/>
  <c r="D50" i="7"/>
  <c r="G50" i="7" s="1"/>
  <c r="AF732" i="1"/>
  <c r="D77" i="4"/>
  <c r="AF1071" i="1"/>
  <c r="D63" i="4"/>
  <c r="D51" i="7"/>
  <c r="G51" i="7" s="1"/>
  <c r="AF546" i="1"/>
  <c r="AF515" i="1"/>
  <c r="AF1258" i="1"/>
  <c r="D83" i="4"/>
  <c r="D73" i="4"/>
  <c r="D61" i="7"/>
  <c r="G61" i="7" s="1"/>
  <c r="AF1080" i="1"/>
  <c r="D79" i="4"/>
  <c r="D67" i="7"/>
  <c r="G67" i="7" s="1"/>
  <c r="AF94" i="1"/>
  <c r="D40" i="4"/>
  <c r="D41" i="4"/>
  <c r="G41" i="4" s="1"/>
  <c r="AF353" i="1"/>
  <c r="D17" i="4"/>
  <c r="G17" i="4" s="1"/>
  <c r="AF561" i="1"/>
  <c r="D19" i="4"/>
  <c r="G19" i="4" s="1"/>
  <c r="AF663" i="1"/>
  <c r="AF1248" i="1"/>
  <c r="D20" i="4"/>
  <c r="G20" i="4" s="1"/>
  <c r="AF1145" i="1"/>
  <c r="D47" i="4"/>
  <c r="G47" i="4" s="1"/>
  <c r="AF1222" i="1"/>
  <c r="AF1265" i="1"/>
  <c r="AF108" i="1"/>
  <c r="D46" i="4"/>
  <c r="G46" i="4" s="1"/>
  <c r="AF1196" i="1"/>
  <c r="AF35" i="1"/>
  <c r="AF81" i="1"/>
  <c r="D14" i="4"/>
  <c r="G14" i="4" s="1"/>
  <c r="AF274" i="1"/>
  <c r="D44" i="4"/>
  <c r="G44" i="4" s="1"/>
  <c r="AF701" i="1"/>
  <c r="D43" i="4"/>
  <c r="G43" i="4" s="1"/>
  <c r="AF43" i="1"/>
  <c r="D13" i="4"/>
  <c r="G13" i="4" s="1"/>
  <c r="AF506" i="1"/>
  <c r="AF403" i="1"/>
  <c r="D45" i="4"/>
  <c r="G45" i="4" s="1"/>
  <c r="AF729" i="1"/>
  <c r="D42" i="4"/>
  <c r="G42" i="4" s="1"/>
  <c r="AF282" i="1"/>
  <c r="D39" i="4"/>
  <c r="AF4" i="1"/>
  <c r="D11" i="4"/>
  <c r="AF162" i="1"/>
  <c r="AF425" i="1"/>
  <c r="D15" i="4"/>
  <c r="G15" i="4" s="1"/>
  <c r="AF1051" i="1"/>
  <c r="D18" i="4"/>
  <c r="G18" i="4" s="1"/>
  <c r="AF20" i="1"/>
  <c r="AF100" i="1"/>
  <c r="AF719" i="1"/>
  <c r="AF500" i="1"/>
  <c r="AF1133" i="1"/>
  <c r="AF61" i="1"/>
  <c r="D12" i="4"/>
  <c r="G12" i="4" s="1"/>
  <c r="AF1205" i="1"/>
  <c r="AF1232" i="1"/>
  <c r="D16" i="4"/>
  <c r="G16" i="4" s="1"/>
  <c r="AF532" i="1"/>
  <c r="AF524" i="1"/>
  <c r="AF541" i="1"/>
  <c r="AF520" i="1"/>
  <c r="AF1076" i="1"/>
  <c r="AF531" i="1"/>
  <c r="AF1085" i="1"/>
  <c r="AF660" i="1"/>
  <c r="AF1083" i="1"/>
  <c r="AF522" i="1"/>
  <c r="AF527" i="1"/>
  <c r="AF533" i="1"/>
  <c r="AF547" i="1"/>
  <c r="AF540" i="1"/>
  <c r="AF1087" i="1"/>
  <c r="AF1101" i="1"/>
  <c r="AF518" i="1"/>
  <c r="AF535" i="1"/>
  <c r="AF1109" i="1"/>
  <c r="AF1082" i="1"/>
  <c r="AF1074" i="1"/>
  <c r="AF1068" i="1"/>
  <c r="AF1094" i="1"/>
  <c r="AF1073" i="1"/>
  <c r="AF1078" i="1"/>
  <c r="AF550" i="1"/>
  <c r="AF1108" i="1"/>
  <c r="AF549" i="1"/>
  <c r="AF538" i="1"/>
  <c r="AF528" i="1"/>
  <c r="AF548" i="1"/>
  <c r="AF1107" i="1"/>
  <c r="AF1086" i="1"/>
  <c r="AF1092" i="1"/>
  <c r="D51" i="4"/>
  <c r="AF1084" i="1"/>
  <c r="AF1069" i="1"/>
  <c r="AF1077" i="1"/>
  <c r="AF536" i="1"/>
  <c r="AF1106" i="1"/>
  <c r="AF1095" i="1"/>
  <c r="AF1103" i="1"/>
  <c r="D50" i="4"/>
  <c r="G50" i="4" s="1"/>
  <c r="AF1102" i="1"/>
  <c r="AF525" i="1"/>
  <c r="AF1070" i="1"/>
  <c r="AF526" i="1"/>
  <c r="AF543" i="1"/>
  <c r="AF517" i="1"/>
  <c r="AF534" i="1"/>
  <c r="AF1099" i="1"/>
  <c r="AF514" i="1"/>
  <c r="AC1121" i="1"/>
  <c r="D52" i="4"/>
  <c r="G52" i="4" s="1"/>
  <c r="AF539" i="1"/>
  <c r="AF1100" i="1"/>
  <c r="AF1088" i="1"/>
  <c r="AF1105" i="1"/>
  <c r="AF1072" i="1"/>
  <c r="AF1097" i="1"/>
  <c r="D91" i="4"/>
  <c r="AG1089" i="1"/>
  <c r="D90" i="4"/>
  <c r="AG660" i="1"/>
  <c r="AF1104" i="1"/>
  <c r="AF1081" i="1"/>
  <c r="AF1090" i="1"/>
  <c r="D88" i="4"/>
  <c r="AG523" i="1"/>
  <c r="D49" i="4"/>
  <c r="G49" i="4" s="1"/>
  <c r="AF1096" i="1"/>
  <c r="C91" i="4"/>
  <c r="C89" i="4"/>
  <c r="E89" i="4" s="1"/>
  <c r="C90" i="4"/>
  <c r="C92" i="4"/>
  <c r="AF1111" i="1"/>
  <c r="Z1111" i="1"/>
  <c r="AF680" i="1"/>
  <c r="AF893" i="1"/>
  <c r="AF981" i="1"/>
  <c r="AF1038" i="1"/>
  <c r="AF158" i="1"/>
  <c r="AF332" i="1"/>
  <c r="AF736" i="1"/>
  <c r="AF1121" i="1"/>
  <c r="AF175" i="1"/>
  <c r="AF384" i="1"/>
  <c r="AF594" i="1"/>
  <c r="AF840" i="1"/>
  <c r="AF466" i="1"/>
  <c r="AF795" i="1"/>
  <c r="AF1089" i="1"/>
  <c r="AF640" i="1"/>
  <c r="AF650" i="1"/>
  <c r="AF523" i="1"/>
  <c r="C88" i="4"/>
  <c r="AF1154" i="1"/>
  <c r="AB1185" i="1"/>
  <c r="AD1185" i="1" s="1"/>
  <c r="AF1185" i="1"/>
  <c r="AB1171" i="1"/>
  <c r="AD1171" i="1" s="1"/>
  <c r="AF1171" i="1"/>
  <c r="AB1156" i="1"/>
  <c r="AD1156" i="1" s="1"/>
  <c r="AF1156" i="1"/>
  <c r="AB1162" i="1"/>
  <c r="AD1162" i="1" s="1"/>
  <c r="AF1162" i="1"/>
  <c r="AB1176" i="1"/>
  <c r="AD1176" i="1" s="1"/>
  <c r="AF1176" i="1"/>
  <c r="AB1177" i="1"/>
  <c r="AD1177" i="1" s="1"/>
  <c r="AF1177" i="1"/>
  <c r="AB1175" i="1"/>
  <c r="AD1175" i="1" s="1"/>
  <c r="AF1175" i="1"/>
  <c r="AC77" i="1"/>
  <c r="Z77" i="1"/>
  <c r="Z142" i="1"/>
  <c r="AC142" i="1"/>
  <c r="AC216" i="1"/>
  <c r="Z216" i="1"/>
  <c r="AC334" i="1"/>
  <c r="Z334" i="1"/>
  <c r="AC355" i="1"/>
  <c r="Z355" i="1"/>
  <c r="AC457" i="1"/>
  <c r="Z457" i="1"/>
  <c r="AC501" i="1"/>
  <c r="Z501" i="1"/>
  <c r="AC571" i="1"/>
  <c r="Z571" i="1"/>
  <c r="AC608" i="1"/>
  <c r="Z608" i="1"/>
  <c r="AC665" i="1"/>
  <c r="Z665" i="1"/>
  <c r="AC721" i="1"/>
  <c r="Z721" i="1"/>
  <c r="AC784" i="1"/>
  <c r="Z784" i="1"/>
  <c r="AC930" i="1"/>
  <c r="Z930" i="1"/>
  <c r="AC870" i="1"/>
  <c r="Z870" i="1"/>
  <c r="AC987" i="1"/>
  <c r="Z987" i="1"/>
  <c r="AC1050" i="1"/>
  <c r="Z1050" i="1"/>
  <c r="AC1106" i="1"/>
  <c r="Z1106" i="1"/>
  <c r="AC1117" i="1"/>
  <c r="Z1117" i="1"/>
  <c r="AC1157" i="1"/>
  <c r="Z1157" i="1"/>
  <c r="AC1153" i="1"/>
  <c r="Z1153" i="1"/>
  <c r="AC1211" i="1"/>
  <c r="Z1211" i="1"/>
  <c r="AC1248" i="1"/>
  <c r="Z1248" i="1"/>
  <c r="AC47" i="1"/>
  <c r="Z47" i="1"/>
  <c r="AC60" i="1"/>
  <c r="Z60" i="1"/>
  <c r="AC67" i="1"/>
  <c r="Z67" i="1"/>
  <c r="AC88" i="1"/>
  <c r="Z88" i="1"/>
  <c r="AC105" i="1"/>
  <c r="Z105" i="1"/>
  <c r="Z102" i="1"/>
  <c r="AC157" i="1"/>
  <c r="Z157" i="1"/>
  <c r="AC150" i="1"/>
  <c r="Z150" i="1"/>
  <c r="AC141" i="1"/>
  <c r="Z141" i="1"/>
  <c r="AC123" i="1"/>
  <c r="Z123" i="1"/>
  <c r="AC118" i="1"/>
  <c r="Z118" i="1"/>
  <c r="AC132" i="1"/>
  <c r="Z132" i="1"/>
  <c r="AC165" i="1"/>
  <c r="Z165" i="1"/>
  <c r="AC224" i="1"/>
  <c r="Z224" i="1"/>
  <c r="AC269" i="1"/>
  <c r="Z269" i="1"/>
  <c r="AC256" i="1"/>
  <c r="Z256" i="1"/>
  <c r="AC249" i="1"/>
  <c r="Z249" i="1"/>
  <c r="AC240" i="1"/>
  <c r="Z240" i="1"/>
  <c r="AC233" i="1"/>
  <c r="Z233" i="1"/>
  <c r="AC225" i="1"/>
  <c r="Z225" i="1"/>
  <c r="AC181" i="1"/>
  <c r="Z181" i="1"/>
  <c r="AC172" i="1"/>
  <c r="Z172" i="1"/>
  <c r="AC191" i="1"/>
  <c r="Z191" i="1"/>
  <c r="AC205" i="1"/>
  <c r="Z205" i="1"/>
  <c r="AC208" i="1"/>
  <c r="Z208" i="1"/>
  <c r="AC183" i="1"/>
  <c r="Z183" i="1"/>
  <c r="AC202" i="1"/>
  <c r="Z202" i="1"/>
  <c r="AC274" i="1"/>
  <c r="Z274" i="1"/>
  <c r="AC330" i="1"/>
  <c r="Z330" i="1"/>
  <c r="AC293" i="1"/>
  <c r="Z293" i="1"/>
  <c r="AC301" i="1"/>
  <c r="Z301" i="1"/>
  <c r="AC313" i="1"/>
  <c r="Z313" i="1"/>
  <c r="AC306" i="1"/>
  <c r="Z306" i="1"/>
  <c r="AC298" i="1"/>
  <c r="Z298" i="1"/>
  <c r="AC294" i="1"/>
  <c r="Z294" i="1"/>
  <c r="AC323" i="1"/>
  <c r="Z323" i="1"/>
  <c r="AC370" i="1"/>
  <c r="Z370" i="1"/>
  <c r="AC348" i="1"/>
  <c r="Z348" i="1"/>
  <c r="AC356" i="1"/>
  <c r="Z356" i="1"/>
  <c r="AC362" i="1"/>
  <c r="Z362" i="1"/>
  <c r="AC373" i="1"/>
  <c r="Z373" i="1"/>
  <c r="AC391" i="1"/>
  <c r="Z391" i="1"/>
  <c r="AC387" i="1"/>
  <c r="Z387" i="1"/>
  <c r="AC405" i="1"/>
  <c r="Z405" i="1"/>
  <c r="AC415" i="1"/>
  <c r="Z415" i="1"/>
  <c r="AC436" i="1"/>
  <c r="Z436" i="1"/>
  <c r="AC428" i="1"/>
  <c r="Z428" i="1"/>
  <c r="AC425" i="1"/>
  <c r="Z425" i="1"/>
  <c r="AC496" i="1"/>
  <c r="Z496" i="1"/>
  <c r="AC488" i="1"/>
  <c r="Z488" i="1"/>
  <c r="AC480" i="1"/>
  <c r="Z480" i="1"/>
  <c r="AC472" i="1"/>
  <c r="Z472" i="1"/>
  <c r="AC438" i="1"/>
  <c r="Z438" i="1"/>
  <c r="AC458" i="1"/>
  <c r="Z458" i="1"/>
  <c r="AC443" i="1"/>
  <c r="Z443" i="1"/>
  <c r="AC446" i="1"/>
  <c r="Z446" i="1"/>
  <c r="AC504" i="1"/>
  <c r="Z504" i="1"/>
  <c r="AC513" i="1"/>
  <c r="Z513" i="1"/>
  <c r="AC510" i="1"/>
  <c r="Z510" i="1"/>
  <c r="AC540" i="1"/>
  <c r="Z540" i="1"/>
  <c r="AC515" i="1"/>
  <c r="Z515" i="1"/>
  <c r="AC525" i="1"/>
  <c r="Z525" i="1"/>
  <c r="AC533" i="1"/>
  <c r="Z533" i="1"/>
  <c r="AC576" i="1"/>
  <c r="Z576" i="1"/>
  <c r="AC557" i="1"/>
  <c r="Z557" i="1"/>
  <c r="AC561" i="1"/>
  <c r="Z561" i="1"/>
  <c r="AC569" i="1"/>
  <c r="Z569" i="1"/>
  <c r="AC587" i="1"/>
  <c r="Z587" i="1"/>
  <c r="AC634" i="1"/>
  <c r="Z634" i="1"/>
  <c r="AC626" i="1"/>
  <c r="Z626" i="1"/>
  <c r="Z612" i="1"/>
  <c r="AC612" i="1"/>
  <c r="AC616" i="1"/>
  <c r="Z616" i="1"/>
  <c r="AC604" i="1"/>
  <c r="Z604" i="1"/>
  <c r="AC602" i="1"/>
  <c r="Z602" i="1"/>
  <c r="AC659" i="1"/>
  <c r="Z659" i="1"/>
  <c r="AC655" i="1"/>
  <c r="Z655" i="1"/>
  <c r="AC642" i="1"/>
  <c r="Z642" i="1"/>
  <c r="AC648" i="1"/>
  <c r="Z648" i="1"/>
  <c r="AC662" i="1"/>
  <c r="Z662" i="1"/>
  <c r="AC693" i="1"/>
  <c r="Z693" i="1"/>
  <c r="AC682" i="1"/>
  <c r="Z682" i="1"/>
  <c r="AC674" i="1"/>
  <c r="Z674" i="1"/>
  <c r="AC666" i="1"/>
  <c r="Z666" i="1"/>
  <c r="AC701" i="1"/>
  <c r="Z701" i="1"/>
  <c r="AC715" i="1"/>
  <c r="Z715" i="1"/>
  <c r="AC719" i="1"/>
  <c r="Z719" i="1"/>
  <c r="AC727" i="1"/>
  <c r="Z727" i="1"/>
  <c r="AC761" i="1"/>
  <c r="Z761" i="1"/>
  <c r="AC751" i="1"/>
  <c r="Z751" i="1"/>
  <c r="AC783" i="1"/>
  <c r="Z783" i="1"/>
  <c r="AC763" i="1"/>
  <c r="Z763" i="1"/>
  <c r="AC762" i="1"/>
  <c r="Z762" i="1"/>
  <c r="AC740" i="1"/>
  <c r="Z740" i="1"/>
  <c r="AC746" i="1"/>
  <c r="Z746" i="1"/>
  <c r="AC805" i="1"/>
  <c r="Z805" i="1"/>
  <c r="AC837" i="1"/>
  <c r="Z837" i="1"/>
  <c r="AC829" i="1"/>
  <c r="Z829" i="1"/>
  <c r="AC820" i="1"/>
  <c r="Z820" i="1"/>
  <c r="AC811" i="1"/>
  <c r="Z811" i="1"/>
  <c r="AC796" i="1"/>
  <c r="Z796" i="1"/>
  <c r="AC840" i="1"/>
  <c r="Z840" i="1"/>
  <c r="AC936" i="1"/>
  <c r="Z936" i="1"/>
  <c r="AC927" i="1"/>
  <c r="Z927" i="1"/>
  <c r="AC923" i="1"/>
  <c r="Z923" i="1"/>
  <c r="AC911" i="1"/>
  <c r="Z911" i="1"/>
  <c r="AC896" i="1"/>
  <c r="Z896" i="1"/>
  <c r="AC886" i="1"/>
  <c r="Z886" i="1"/>
  <c r="AC859" i="1"/>
  <c r="Z859" i="1"/>
  <c r="AC883" i="1"/>
  <c r="Z883" i="1"/>
  <c r="AC885" i="1"/>
  <c r="Z885" i="1"/>
  <c r="AC855" i="1"/>
  <c r="Z855" i="1"/>
  <c r="AC985" i="1"/>
  <c r="Z985" i="1"/>
  <c r="AC1007" i="1"/>
  <c r="Z1007" i="1"/>
  <c r="AC961" i="1"/>
  <c r="Z961" i="1"/>
  <c r="AC953" i="1"/>
  <c r="Z953" i="1"/>
  <c r="AC945" i="1"/>
  <c r="Z945" i="1"/>
  <c r="AC995" i="1"/>
  <c r="Z995" i="1"/>
  <c r="AC972" i="1"/>
  <c r="Z972" i="1"/>
  <c r="AC993" i="1"/>
  <c r="Z993" i="1"/>
  <c r="AC976" i="1"/>
  <c r="Z976" i="1"/>
  <c r="AC1036" i="1"/>
  <c r="Z1036" i="1"/>
  <c r="AC1030" i="1"/>
  <c r="Z1030" i="1"/>
  <c r="AC1016" i="1"/>
  <c r="Z1016" i="1"/>
  <c r="AC1049" i="1"/>
  <c r="Z1049" i="1"/>
  <c r="AC1044" i="1"/>
  <c r="Z1044" i="1"/>
  <c r="AC1062" i="1"/>
  <c r="Z1062" i="1"/>
  <c r="AC1058" i="1"/>
  <c r="Z1058" i="1"/>
  <c r="AC1105" i="1"/>
  <c r="Z1105" i="1"/>
  <c r="AC1072" i="1"/>
  <c r="Z1072" i="1"/>
  <c r="AC1087" i="1"/>
  <c r="Z1087" i="1"/>
  <c r="Z1076" i="1"/>
  <c r="AC1076" i="1"/>
  <c r="AC1095" i="1"/>
  <c r="Z1095" i="1"/>
  <c r="AC1111" i="1"/>
  <c r="AC1119" i="1"/>
  <c r="Z1119" i="1"/>
  <c r="AC1130" i="1"/>
  <c r="Z1130" i="1"/>
  <c r="AC1139" i="1"/>
  <c r="Z1139" i="1"/>
  <c r="AC1138" i="1"/>
  <c r="Z1138" i="1"/>
  <c r="AC1187" i="1"/>
  <c r="Z1187" i="1"/>
  <c r="Z1171" i="1"/>
  <c r="AC1155" i="1"/>
  <c r="Z1155" i="1"/>
  <c r="Z1177" i="1"/>
  <c r="AC1192" i="1"/>
  <c r="Z1192" i="1"/>
  <c r="AC1204" i="1"/>
  <c r="Z1204" i="1"/>
  <c r="AC1226" i="1"/>
  <c r="Z1226" i="1"/>
  <c r="AC1212" i="1"/>
  <c r="Z1212" i="1"/>
  <c r="AC1219" i="1"/>
  <c r="Z1219" i="1"/>
  <c r="AC1237" i="1"/>
  <c r="Z1237" i="1"/>
  <c r="AC1227" i="1"/>
  <c r="Z1227" i="1"/>
  <c r="AC1244" i="1"/>
  <c r="Z1244" i="1"/>
  <c r="AC1252" i="1"/>
  <c r="Z1252" i="1"/>
  <c r="AC1260" i="1"/>
  <c r="Z1260" i="1"/>
  <c r="AC24" i="1"/>
  <c r="Z24" i="1"/>
  <c r="AC85" i="1"/>
  <c r="Z85" i="1"/>
  <c r="AC122" i="1"/>
  <c r="Z122" i="1"/>
  <c r="AC259" i="1"/>
  <c r="Z259" i="1"/>
  <c r="AC171" i="1"/>
  <c r="Z171" i="1"/>
  <c r="AC279" i="1"/>
  <c r="Z279" i="1"/>
  <c r="AC295" i="1"/>
  <c r="Z295" i="1"/>
  <c r="AC379" i="1"/>
  <c r="Z379" i="1"/>
  <c r="AC490" i="1"/>
  <c r="Z490" i="1"/>
  <c r="AC570" i="1"/>
  <c r="Z570" i="1"/>
  <c r="AC600" i="1"/>
  <c r="Z600" i="1"/>
  <c r="AC673" i="1"/>
  <c r="Z673" i="1"/>
  <c r="AC779" i="1"/>
  <c r="Z779" i="1"/>
  <c r="AC813" i="1"/>
  <c r="Z813" i="1"/>
  <c r="AC919" i="1"/>
  <c r="Z919" i="1"/>
  <c r="AC974" i="1"/>
  <c r="Z974" i="1"/>
  <c r="AC968" i="1"/>
  <c r="Z968" i="1"/>
  <c r="AC1063" i="1"/>
  <c r="Z1063" i="1"/>
  <c r="AC1088" i="1"/>
  <c r="Z1088" i="1"/>
  <c r="AC1133" i="1"/>
  <c r="Z1133" i="1"/>
  <c r="AC1238" i="1"/>
  <c r="Z1238" i="1"/>
  <c r="AC9" i="1"/>
  <c r="Z9" i="1"/>
  <c r="AC55" i="1"/>
  <c r="Z55" i="1"/>
  <c r="AF14" i="1"/>
  <c r="AC14" i="1"/>
  <c r="Z14" i="1"/>
  <c r="AC8" i="1"/>
  <c r="Z8" i="1"/>
  <c r="AC31" i="1"/>
  <c r="Z31" i="1"/>
  <c r="AC27" i="1"/>
  <c r="Z27" i="1"/>
  <c r="AC33" i="1"/>
  <c r="Z33" i="1"/>
  <c r="AC54" i="1"/>
  <c r="Z54" i="1"/>
  <c r="AC45" i="1"/>
  <c r="Z45" i="1"/>
  <c r="AC59" i="1"/>
  <c r="Z59" i="1"/>
  <c r="AC74" i="1"/>
  <c r="Z74" i="1"/>
  <c r="AC63" i="1"/>
  <c r="Z63" i="1"/>
  <c r="AC87" i="1"/>
  <c r="Z87" i="1"/>
  <c r="AC78" i="1"/>
  <c r="Z78" i="1"/>
  <c r="AC99" i="1"/>
  <c r="Z99" i="1"/>
  <c r="AC158" i="1"/>
  <c r="Z158" i="1"/>
  <c r="AC149" i="1"/>
  <c r="Z149" i="1"/>
  <c r="AC140" i="1"/>
  <c r="Z140" i="1"/>
  <c r="AC127" i="1"/>
  <c r="Z127" i="1"/>
  <c r="AC145" i="1"/>
  <c r="Z145" i="1"/>
  <c r="AC117" i="1"/>
  <c r="Z117" i="1"/>
  <c r="AC161" i="1"/>
  <c r="Z161" i="1"/>
  <c r="AC173" i="1"/>
  <c r="Z173" i="1"/>
  <c r="AC262" i="1"/>
  <c r="Z262" i="1"/>
  <c r="AC257" i="1"/>
  <c r="Z257" i="1"/>
  <c r="AC251" i="1"/>
  <c r="Z251" i="1"/>
  <c r="AC238" i="1"/>
  <c r="Z238" i="1"/>
  <c r="AC232" i="1"/>
  <c r="Z232" i="1"/>
  <c r="AC222" i="1"/>
  <c r="Z222" i="1"/>
  <c r="AC180" i="1"/>
  <c r="Z180" i="1"/>
  <c r="AC167" i="1"/>
  <c r="Z167" i="1"/>
  <c r="AC212" i="1"/>
  <c r="Z212" i="1"/>
  <c r="AC182" i="1"/>
  <c r="Z182" i="1"/>
  <c r="AC193" i="1"/>
  <c r="Z193" i="1"/>
  <c r="AC179" i="1"/>
  <c r="Z179" i="1"/>
  <c r="AC273" i="1"/>
  <c r="Z273" i="1"/>
  <c r="AC284" i="1"/>
  <c r="Z284" i="1"/>
  <c r="AC329" i="1"/>
  <c r="Z329" i="1"/>
  <c r="AC288" i="1"/>
  <c r="Z288" i="1"/>
  <c r="AC328" i="1"/>
  <c r="Z328" i="1"/>
  <c r="AC318" i="1"/>
  <c r="Z318" i="1"/>
  <c r="AC307" i="1"/>
  <c r="Z307" i="1"/>
  <c r="AC322" i="1"/>
  <c r="Z322" i="1"/>
  <c r="AC286" i="1"/>
  <c r="Z286" i="1"/>
  <c r="AC369" i="1"/>
  <c r="Z369" i="1"/>
  <c r="AC347" i="1"/>
  <c r="Z347" i="1"/>
  <c r="AC365" i="1"/>
  <c r="Z365" i="1"/>
  <c r="AC358" i="1"/>
  <c r="Z358" i="1"/>
  <c r="AC374" i="1"/>
  <c r="Z374" i="1"/>
  <c r="AC383" i="1"/>
  <c r="Z383" i="1"/>
  <c r="AC378" i="1"/>
  <c r="Z378" i="1"/>
  <c r="AC404" i="1"/>
  <c r="Z404" i="1"/>
  <c r="Z414" i="1"/>
  <c r="AC414" i="1"/>
  <c r="AC435" i="1"/>
  <c r="Z435" i="1"/>
  <c r="AC431" i="1"/>
  <c r="Z431" i="1"/>
  <c r="AC429" i="1"/>
  <c r="Z429" i="1"/>
  <c r="AC495" i="1"/>
  <c r="Z495" i="1"/>
  <c r="AC487" i="1"/>
  <c r="Z487" i="1"/>
  <c r="AC479" i="1"/>
  <c r="Z479" i="1"/>
  <c r="AC471" i="1"/>
  <c r="Z471" i="1"/>
  <c r="AC464" i="1"/>
  <c r="Z464" i="1"/>
  <c r="AC450" i="1"/>
  <c r="Z450" i="1"/>
  <c r="AC451" i="1"/>
  <c r="Z451" i="1"/>
  <c r="AC503" i="1"/>
  <c r="Z503" i="1"/>
  <c r="AC512" i="1"/>
  <c r="Z512" i="1"/>
  <c r="AC550" i="1"/>
  <c r="Z550" i="1"/>
  <c r="AC539" i="1"/>
  <c r="Z539" i="1"/>
  <c r="AC514" i="1"/>
  <c r="Z514" i="1"/>
  <c r="AC520" i="1"/>
  <c r="Z520" i="1"/>
  <c r="AC547" i="1"/>
  <c r="Z547" i="1"/>
  <c r="AC575" i="1"/>
  <c r="Z575" i="1"/>
  <c r="AC556" i="1"/>
  <c r="Z556" i="1"/>
  <c r="AC573" i="1"/>
  <c r="Z573" i="1"/>
  <c r="AC566" i="1"/>
  <c r="Z566" i="1"/>
  <c r="Z586" i="1"/>
  <c r="AC586" i="1"/>
  <c r="AC633" i="1"/>
  <c r="Z633" i="1"/>
  <c r="AC625" i="1"/>
  <c r="Z625" i="1"/>
  <c r="AC622" i="1"/>
  <c r="Z622" i="1"/>
  <c r="AC615" i="1"/>
  <c r="Z615" i="1"/>
  <c r="AC598" i="1"/>
  <c r="Z598" i="1"/>
  <c r="AC601" i="1"/>
  <c r="Z601" i="1"/>
  <c r="AC654" i="1"/>
  <c r="Z654" i="1"/>
  <c r="AC653" i="1"/>
  <c r="Z653" i="1"/>
  <c r="AC664" i="1"/>
  <c r="Z664" i="1"/>
  <c r="AC690" i="1"/>
  <c r="Z690" i="1"/>
  <c r="AC681" i="1"/>
  <c r="Z681" i="1"/>
  <c r="AC671" i="1"/>
  <c r="Z671" i="1"/>
  <c r="AC708" i="1"/>
  <c r="Z708" i="1"/>
  <c r="AC704" i="1"/>
  <c r="Z704" i="1"/>
  <c r="AC714" i="1"/>
  <c r="Z714" i="1"/>
  <c r="AC724" i="1"/>
  <c r="Z724" i="1"/>
  <c r="AC730" i="1"/>
  <c r="Z730" i="1"/>
  <c r="AC760" i="1"/>
  <c r="Z760" i="1"/>
  <c r="AC750" i="1"/>
  <c r="Z750" i="1"/>
  <c r="AC774" i="1"/>
  <c r="Z774" i="1"/>
  <c r="AC772" i="1"/>
  <c r="Z772" i="1"/>
  <c r="AC757" i="1"/>
  <c r="Z757" i="1"/>
  <c r="AC739" i="1"/>
  <c r="Z739" i="1"/>
  <c r="AC780" i="1"/>
  <c r="Z780" i="1"/>
  <c r="AC807" i="1"/>
  <c r="Z807" i="1"/>
  <c r="AC836" i="1"/>
  <c r="Z836" i="1"/>
  <c r="AC828" i="1"/>
  <c r="Z828" i="1"/>
  <c r="AC818" i="1"/>
  <c r="Z818" i="1"/>
  <c r="AC804" i="1"/>
  <c r="Z804" i="1"/>
  <c r="AC795" i="1"/>
  <c r="Z795" i="1"/>
  <c r="AC845" i="1"/>
  <c r="Z845" i="1"/>
  <c r="AC934" i="1"/>
  <c r="Z934" i="1"/>
  <c r="AC926" i="1"/>
  <c r="Z926" i="1"/>
  <c r="AC922" i="1"/>
  <c r="Z922" i="1"/>
  <c r="AC910" i="1"/>
  <c r="Z910" i="1"/>
  <c r="Z902" i="1"/>
  <c r="AC902" i="1"/>
  <c r="AC895" i="1"/>
  <c r="Z895" i="1"/>
  <c r="AC887" i="1"/>
  <c r="Z887" i="1"/>
  <c r="AC875" i="1"/>
  <c r="Z875" i="1"/>
  <c r="AC860" i="1"/>
  <c r="Z860" i="1"/>
  <c r="AC862" i="1"/>
  <c r="Z862" i="1"/>
  <c r="AC878" i="1"/>
  <c r="Z878" i="1"/>
  <c r="AC866" i="1"/>
  <c r="Z866" i="1"/>
  <c r="AC992" i="1"/>
  <c r="Z992" i="1"/>
  <c r="AC1006" i="1"/>
  <c r="Z1006" i="1"/>
  <c r="Z960" i="1"/>
  <c r="AC960" i="1"/>
  <c r="AC952" i="1"/>
  <c r="Z952" i="1"/>
  <c r="AC944" i="1"/>
  <c r="Z944" i="1"/>
  <c r="AC971" i="1"/>
  <c r="Z971" i="1"/>
  <c r="AC969" i="1"/>
  <c r="Z969" i="1"/>
  <c r="AC991" i="1"/>
  <c r="Z991" i="1"/>
  <c r="AC973" i="1"/>
  <c r="Z973" i="1"/>
  <c r="AC1037" i="1"/>
  <c r="Z1037" i="1"/>
  <c r="AC1026" i="1"/>
  <c r="Z1026" i="1"/>
  <c r="AC1024" i="1"/>
  <c r="Z1024" i="1"/>
  <c r="AC1021" i="1"/>
  <c r="Z1021" i="1"/>
  <c r="AC1048" i="1"/>
  <c r="Z1048" i="1"/>
  <c r="AC1043" i="1"/>
  <c r="Z1043" i="1"/>
  <c r="AC1061" i="1"/>
  <c r="Z1061" i="1"/>
  <c r="AC1056" i="1"/>
  <c r="Z1056" i="1"/>
  <c r="AC1104" i="1"/>
  <c r="Z1104" i="1"/>
  <c r="AC1099" i="1"/>
  <c r="Z1099" i="1"/>
  <c r="AC1085" i="1"/>
  <c r="Z1085" i="1"/>
  <c r="AC1081" i="1"/>
  <c r="Z1081" i="1"/>
  <c r="AC1097" i="1"/>
  <c r="Z1097" i="1"/>
  <c r="AC1112" i="1"/>
  <c r="Z1112" i="1"/>
  <c r="AC1116" i="1"/>
  <c r="Z1116" i="1"/>
  <c r="AC1129" i="1"/>
  <c r="Z1129" i="1"/>
  <c r="AC1134" i="1"/>
  <c r="Z1134" i="1"/>
  <c r="AC1146" i="1"/>
  <c r="Z1146" i="1"/>
  <c r="AC1186" i="1"/>
  <c r="Z1186" i="1"/>
  <c r="AC1152" i="1"/>
  <c r="Z1152" i="1"/>
  <c r="AC1169" i="1"/>
  <c r="Z1169" i="1"/>
  <c r="AC1160" i="1"/>
  <c r="Z1160" i="1"/>
  <c r="AC1190" i="1"/>
  <c r="Z1190" i="1"/>
  <c r="AC1194" i="1"/>
  <c r="Z1194" i="1"/>
  <c r="AC1203" i="1"/>
  <c r="Z1203" i="1"/>
  <c r="AC1210" i="1"/>
  <c r="Z1210" i="1"/>
  <c r="AC1225" i="1"/>
  <c r="Z1225" i="1"/>
  <c r="AC1218" i="1"/>
  <c r="Z1218" i="1"/>
  <c r="AC1234" i="1"/>
  <c r="Z1234" i="1"/>
  <c r="AC1235" i="1"/>
  <c r="Z1235" i="1"/>
  <c r="AC1243" i="1"/>
  <c r="Z1243" i="1"/>
  <c r="AC1251" i="1"/>
  <c r="Z1251" i="1"/>
  <c r="AC1268" i="1"/>
  <c r="Z1268" i="1"/>
  <c r="AC7" i="1"/>
  <c r="Z7" i="1"/>
  <c r="AC65" i="1"/>
  <c r="Z65" i="1"/>
  <c r="AC151" i="1"/>
  <c r="Z151" i="1"/>
  <c r="AC267" i="1"/>
  <c r="Z267" i="1"/>
  <c r="AC211" i="1"/>
  <c r="Z211" i="1"/>
  <c r="AC380" i="1"/>
  <c r="Z380" i="1"/>
  <c r="AC418" i="1"/>
  <c r="Z418" i="1"/>
  <c r="AC442" i="1"/>
  <c r="Z442" i="1"/>
  <c r="AC534" i="1"/>
  <c r="Z534" i="1"/>
  <c r="AC621" i="1"/>
  <c r="Z621" i="1"/>
  <c r="AC672" i="1"/>
  <c r="Z672" i="1"/>
  <c r="AC753" i="1"/>
  <c r="Z753" i="1"/>
  <c r="AC838" i="1"/>
  <c r="Z838" i="1"/>
  <c r="AC938" i="1"/>
  <c r="Z938" i="1"/>
  <c r="AC849" i="1"/>
  <c r="Z849" i="1"/>
  <c r="AC954" i="1"/>
  <c r="Z954" i="1"/>
  <c r="AC1029" i="1"/>
  <c r="Z1029" i="1"/>
  <c r="AC1073" i="1"/>
  <c r="Z1073" i="1"/>
  <c r="AC1180" i="1"/>
  <c r="Z1180" i="1"/>
  <c r="AC18" i="1"/>
  <c r="Z18" i="1"/>
  <c r="AC6" i="1"/>
  <c r="Z6" i="1"/>
  <c r="AC20" i="1"/>
  <c r="Z20" i="1"/>
  <c r="AC36" i="1"/>
  <c r="Z36" i="1"/>
  <c r="AC53" i="1"/>
  <c r="Z53" i="1"/>
  <c r="AC44" i="1"/>
  <c r="Z44" i="1"/>
  <c r="AC76" i="1"/>
  <c r="Z76" i="1"/>
  <c r="AC73" i="1"/>
  <c r="Z73" i="1"/>
  <c r="AC64" i="1"/>
  <c r="Z64" i="1"/>
  <c r="AC80" i="1"/>
  <c r="Z80" i="1"/>
  <c r="AC83" i="1"/>
  <c r="Z83" i="1"/>
  <c r="AC111" i="1"/>
  <c r="Z111" i="1"/>
  <c r="AC156" i="1"/>
  <c r="Z156" i="1"/>
  <c r="AC148" i="1"/>
  <c r="Z148" i="1"/>
  <c r="AC138" i="1"/>
  <c r="Z138" i="1"/>
  <c r="AC128" i="1"/>
  <c r="Z128" i="1"/>
  <c r="AC115" i="1"/>
  <c r="Z115" i="1"/>
  <c r="AC139" i="1"/>
  <c r="Z139" i="1"/>
  <c r="AC160" i="1"/>
  <c r="Z160" i="1"/>
  <c r="AC268" i="1"/>
  <c r="Z268" i="1"/>
  <c r="AC263" i="1"/>
  <c r="Z263" i="1"/>
  <c r="AC258" i="1"/>
  <c r="Z258" i="1"/>
  <c r="AC250" i="1"/>
  <c r="Z250" i="1"/>
  <c r="AC231" i="1"/>
  <c r="Z231" i="1"/>
  <c r="AC223" i="1"/>
  <c r="Z223" i="1"/>
  <c r="AC174" i="1"/>
  <c r="Z174" i="1"/>
  <c r="AC168" i="1"/>
  <c r="Z168" i="1"/>
  <c r="AC213" i="1"/>
  <c r="Z213" i="1"/>
  <c r="AC192" i="1"/>
  <c r="Z192" i="1"/>
  <c r="AC221" i="1"/>
  <c r="Z221" i="1"/>
  <c r="AC196" i="1"/>
  <c r="Z196" i="1"/>
  <c r="AC278" i="1"/>
  <c r="Z278" i="1"/>
  <c r="AC281" i="1"/>
  <c r="Z281" i="1"/>
  <c r="AC324" i="1"/>
  <c r="Z324" i="1"/>
  <c r="AC342" i="1"/>
  <c r="Z342" i="1"/>
  <c r="AC311" i="1"/>
  <c r="Z311" i="1"/>
  <c r="AC308" i="1"/>
  <c r="Z308" i="1"/>
  <c r="AC299" i="1"/>
  <c r="Z299" i="1"/>
  <c r="AC336" i="1"/>
  <c r="Z336" i="1"/>
  <c r="AC285" i="1"/>
  <c r="Z285" i="1"/>
  <c r="AC368" i="1"/>
  <c r="Z368" i="1"/>
  <c r="Z343" i="1"/>
  <c r="AC343" i="1"/>
  <c r="Z353" i="1"/>
  <c r="AC353" i="1"/>
  <c r="AC357" i="1"/>
  <c r="Z357" i="1"/>
  <c r="AC397" i="1"/>
  <c r="Z397" i="1"/>
  <c r="AC382" i="1"/>
  <c r="Z382" i="1"/>
  <c r="AC377" i="1"/>
  <c r="Z377" i="1"/>
  <c r="AC402" i="1"/>
  <c r="Z402" i="1"/>
  <c r="AC434" i="1"/>
  <c r="Z434" i="1"/>
  <c r="AC430" i="1"/>
  <c r="Z430" i="1"/>
  <c r="AC417" i="1"/>
  <c r="Z417" i="1"/>
  <c r="AC494" i="1"/>
  <c r="Z494" i="1"/>
  <c r="AC486" i="1"/>
  <c r="Z486" i="1"/>
  <c r="AC478" i="1"/>
  <c r="Z478" i="1"/>
  <c r="AC470" i="1"/>
  <c r="Z470" i="1"/>
  <c r="AC462" i="1"/>
  <c r="Z462" i="1"/>
  <c r="AC456" i="1"/>
  <c r="Z456" i="1"/>
  <c r="Z441" i="1"/>
  <c r="AC441" i="1"/>
  <c r="AC499" i="1"/>
  <c r="Z499" i="1"/>
  <c r="AC505" i="1"/>
  <c r="Z505" i="1"/>
  <c r="AC549" i="1"/>
  <c r="Z549" i="1"/>
  <c r="AC538" i="1"/>
  <c r="Z538" i="1"/>
  <c r="Z529" i="1"/>
  <c r="AC529" i="1"/>
  <c r="AC544" i="1"/>
  <c r="Z544" i="1"/>
  <c r="AC531" i="1"/>
  <c r="Z531" i="1"/>
  <c r="AC574" i="1"/>
  <c r="Z574" i="1"/>
  <c r="AC555" i="1"/>
  <c r="Z555" i="1"/>
  <c r="AC565" i="1"/>
  <c r="Z565" i="1"/>
  <c r="AC578" i="1"/>
  <c r="Z578" i="1"/>
  <c r="AC583" i="1"/>
  <c r="Z583" i="1"/>
  <c r="AC632" i="1"/>
  <c r="Z632" i="1"/>
  <c r="AC623" i="1"/>
  <c r="Z623" i="1"/>
  <c r="AC618" i="1"/>
  <c r="Z618" i="1"/>
  <c r="AC614" i="1"/>
  <c r="Z614" i="1"/>
  <c r="AC599" i="1"/>
  <c r="Z599" i="1"/>
  <c r="AC613" i="1"/>
  <c r="Z613" i="1"/>
  <c r="AC658" i="1"/>
  <c r="Z658" i="1"/>
  <c r="AC652" i="1"/>
  <c r="Z652" i="1"/>
  <c r="AC663" i="1"/>
  <c r="Z663" i="1"/>
  <c r="AC689" i="1"/>
  <c r="Z689" i="1"/>
  <c r="AC680" i="1"/>
  <c r="Z680" i="1"/>
  <c r="AC670" i="1"/>
  <c r="Z670" i="1"/>
  <c r="AC707" i="1"/>
  <c r="Z707" i="1"/>
  <c r="AC703" i="1"/>
  <c r="Z703" i="1"/>
  <c r="AC713" i="1"/>
  <c r="Z713" i="1"/>
  <c r="AC726" i="1"/>
  <c r="Z726" i="1"/>
  <c r="AC729" i="1"/>
  <c r="Z729" i="1"/>
  <c r="AC759" i="1"/>
  <c r="Z759" i="1"/>
  <c r="AC749" i="1"/>
  <c r="Z749" i="1"/>
  <c r="AC777" i="1"/>
  <c r="Z777" i="1"/>
  <c r="AC771" i="1"/>
  <c r="Z771" i="1"/>
  <c r="AC752" i="1"/>
  <c r="Z752" i="1"/>
  <c r="AC785" i="1"/>
  <c r="Z785" i="1"/>
  <c r="AC782" i="1"/>
  <c r="Z782" i="1"/>
  <c r="AC788" i="1"/>
  <c r="Z788" i="1"/>
  <c r="AC835" i="1"/>
  <c r="Z835" i="1"/>
  <c r="AC827" i="1"/>
  <c r="Z827" i="1"/>
  <c r="AC817" i="1"/>
  <c r="Z817" i="1"/>
  <c r="AC801" i="1"/>
  <c r="Z801" i="1"/>
  <c r="AC791" i="1"/>
  <c r="Z791" i="1"/>
  <c r="AC844" i="1"/>
  <c r="Z844" i="1"/>
  <c r="AC933" i="1"/>
  <c r="Z933" i="1"/>
  <c r="AC925" i="1"/>
  <c r="Z925" i="1"/>
  <c r="AC917" i="1"/>
  <c r="Z917" i="1"/>
  <c r="AC909" i="1"/>
  <c r="Z909" i="1"/>
  <c r="AC903" i="1"/>
  <c r="Z903" i="1"/>
  <c r="AC894" i="1"/>
  <c r="Z894" i="1"/>
  <c r="AC846" i="1"/>
  <c r="Z846" i="1"/>
  <c r="AC851" i="1"/>
  <c r="Z851" i="1"/>
  <c r="AC856" i="1"/>
  <c r="Z856" i="1"/>
  <c r="AC889" i="1"/>
  <c r="Z889" i="1"/>
  <c r="AC852" i="1"/>
  <c r="Z852" i="1"/>
  <c r="AC928" i="1"/>
  <c r="Z928" i="1"/>
  <c r="AC975" i="1"/>
  <c r="Z975" i="1"/>
  <c r="AC1005" i="1"/>
  <c r="Z1005" i="1"/>
  <c r="AC959" i="1"/>
  <c r="Z959" i="1"/>
  <c r="AC951" i="1"/>
  <c r="Z951" i="1"/>
  <c r="AC943" i="1"/>
  <c r="Z943" i="1"/>
  <c r="AC970" i="1"/>
  <c r="Z970" i="1"/>
  <c r="AC986" i="1"/>
  <c r="Z986" i="1"/>
  <c r="AC996" i="1"/>
  <c r="Z996" i="1"/>
  <c r="AC988" i="1"/>
  <c r="Z988" i="1"/>
  <c r="AC1035" i="1"/>
  <c r="Z1035" i="1"/>
  <c r="AC1023" i="1"/>
  <c r="Z1023" i="1"/>
  <c r="AC1015" i="1"/>
  <c r="Z1015" i="1"/>
  <c r="AC1028" i="1"/>
  <c r="Z1028" i="1"/>
  <c r="AC1064" i="1"/>
  <c r="Z1064" i="1"/>
  <c r="AC1051" i="1"/>
  <c r="Z1051" i="1"/>
  <c r="AC1101" i="1"/>
  <c r="Z1101" i="1"/>
  <c r="AC1103" i="1"/>
  <c r="Z1103" i="1"/>
  <c r="AC1071" i="1"/>
  <c r="Z1071" i="1"/>
  <c r="AC1083" i="1"/>
  <c r="Z1083" i="1"/>
  <c r="AC1080" i="1"/>
  <c r="Z1080" i="1"/>
  <c r="AC1090" i="1"/>
  <c r="Z1090" i="1"/>
  <c r="AC1115" i="1"/>
  <c r="Z1115" i="1"/>
  <c r="AC1120" i="1"/>
  <c r="Z1120" i="1"/>
  <c r="AC1128" i="1"/>
  <c r="Z1128" i="1"/>
  <c r="AC1140" i="1"/>
  <c r="Z1140" i="1"/>
  <c r="AC1145" i="1"/>
  <c r="Z1145" i="1"/>
  <c r="Z1185" i="1"/>
  <c r="AC1151" i="1"/>
  <c r="Z1151" i="1"/>
  <c r="AC1165" i="1"/>
  <c r="Z1165" i="1"/>
  <c r="AC1158" i="1"/>
  <c r="Z1158" i="1"/>
  <c r="AC1174" i="1"/>
  <c r="Z1174" i="1"/>
  <c r="AC1193" i="1"/>
  <c r="Z1193" i="1"/>
  <c r="AC1202" i="1"/>
  <c r="Z1202" i="1"/>
  <c r="AC1209" i="1"/>
  <c r="Z1209" i="1"/>
  <c r="AC1224" i="1"/>
  <c r="Z1224" i="1"/>
  <c r="AC1217" i="1"/>
  <c r="Z1217" i="1"/>
  <c r="AC1229" i="1"/>
  <c r="Z1229" i="1"/>
  <c r="AC1232" i="1"/>
  <c r="Z1232" i="1"/>
  <c r="AC1242" i="1"/>
  <c r="Z1242" i="1"/>
  <c r="AC1269" i="1"/>
  <c r="Z1269" i="1"/>
  <c r="Z1259" i="1"/>
  <c r="AC34" i="1"/>
  <c r="Z34" i="1"/>
  <c r="AC89" i="1"/>
  <c r="Z89" i="1"/>
  <c r="AC134" i="1"/>
  <c r="Z134" i="1"/>
  <c r="AC248" i="1"/>
  <c r="Z248" i="1"/>
  <c r="AC207" i="1"/>
  <c r="Z207" i="1"/>
  <c r="AC331" i="1"/>
  <c r="Z331" i="1"/>
  <c r="AC392" i="1"/>
  <c r="Z392" i="1"/>
  <c r="AC423" i="1"/>
  <c r="Z423" i="1"/>
  <c r="AC459" i="1"/>
  <c r="Z459" i="1"/>
  <c r="AC516" i="1"/>
  <c r="Z516" i="1"/>
  <c r="AC643" i="1"/>
  <c r="Z643" i="1"/>
  <c r="AC697" i="1"/>
  <c r="Z697" i="1"/>
  <c r="AC736" i="1"/>
  <c r="Z736" i="1"/>
  <c r="AC830" i="1"/>
  <c r="Z830" i="1"/>
  <c r="AC913" i="1"/>
  <c r="Z913" i="1"/>
  <c r="AC864" i="1"/>
  <c r="Z864" i="1"/>
  <c r="AC981" i="1"/>
  <c r="Z981" i="1"/>
  <c r="AC1014" i="1"/>
  <c r="Z1014" i="1"/>
  <c r="AC1131" i="1"/>
  <c r="Z1131" i="1"/>
  <c r="AC1261" i="1"/>
  <c r="Z1261" i="1"/>
  <c r="AC26" i="1"/>
  <c r="Z26" i="1"/>
  <c r="AC10" i="1"/>
  <c r="Z10" i="1"/>
  <c r="AC29" i="1"/>
  <c r="Z29" i="1"/>
  <c r="AC22" i="1"/>
  <c r="Z22" i="1"/>
  <c r="AC35" i="1"/>
  <c r="Z35" i="1"/>
  <c r="AC48" i="1"/>
  <c r="Z48" i="1"/>
  <c r="AC46" i="1"/>
  <c r="Z46" i="1"/>
  <c r="AC58" i="1"/>
  <c r="Z58" i="1"/>
  <c r="AC71" i="1"/>
  <c r="Z71" i="1"/>
  <c r="AC62" i="1"/>
  <c r="Z62" i="1"/>
  <c r="AC84" i="1"/>
  <c r="Z84" i="1"/>
  <c r="AC97" i="1"/>
  <c r="Z97" i="1"/>
  <c r="AC98" i="1"/>
  <c r="Z98" i="1"/>
  <c r="AC110" i="1"/>
  <c r="Z110" i="1"/>
  <c r="AC153" i="1"/>
  <c r="Z153" i="1"/>
  <c r="AC147" i="1"/>
  <c r="Z147" i="1"/>
  <c r="AC135" i="1"/>
  <c r="Z135" i="1"/>
  <c r="AC136" i="1"/>
  <c r="Z136" i="1"/>
  <c r="AC131" i="1"/>
  <c r="Z131" i="1"/>
  <c r="AC116" i="1"/>
  <c r="Z116" i="1"/>
  <c r="AC162" i="1"/>
  <c r="Z162" i="1"/>
  <c r="AC271" i="1"/>
  <c r="Z271" i="1"/>
  <c r="AC265" i="1"/>
  <c r="Z265" i="1"/>
  <c r="AC254" i="1"/>
  <c r="Z254" i="1"/>
  <c r="AC247" i="1"/>
  <c r="Z247" i="1"/>
  <c r="AC239" i="1"/>
  <c r="Z239" i="1"/>
  <c r="AC230" i="1"/>
  <c r="Z230" i="1"/>
  <c r="AC219" i="1"/>
  <c r="Z219" i="1"/>
  <c r="AC176" i="1"/>
  <c r="Z176" i="1"/>
  <c r="AC210" i="1"/>
  <c r="Z210" i="1"/>
  <c r="AC187" i="1"/>
  <c r="Z187" i="1"/>
  <c r="AC200" i="1"/>
  <c r="Z200" i="1"/>
  <c r="AC201" i="1"/>
  <c r="Z201" i="1"/>
  <c r="AC188" i="1"/>
  <c r="Z188" i="1"/>
  <c r="AC277" i="1"/>
  <c r="Z277" i="1"/>
  <c r="AC282" i="1"/>
  <c r="Z282" i="1"/>
  <c r="AC290" i="1"/>
  <c r="Z290" i="1"/>
  <c r="AC326" i="1"/>
  <c r="Z326" i="1"/>
  <c r="AC312" i="1"/>
  <c r="Z312" i="1"/>
  <c r="AC303" i="1"/>
  <c r="Z303" i="1"/>
  <c r="AC296" i="1"/>
  <c r="Z296" i="1"/>
  <c r="AC287" i="1"/>
  <c r="Z287" i="1"/>
  <c r="AC289" i="1"/>
  <c r="Z289" i="1"/>
  <c r="AC352" i="1"/>
  <c r="Z352" i="1"/>
  <c r="AC346" i="1"/>
  <c r="Z346" i="1"/>
  <c r="AC366" i="1"/>
  <c r="Z366" i="1"/>
  <c r="AC396" i="1"/>
  <c r="Z396" i="1"/>
  <c r="AC381" i="1"/>
  <c r="Z381" i="1"/>
  <c r="AC375" i="1"/>
  <c r="Z375" i="1"/>
  <c r="AC403" i="1"/>
  <c r="Z403" i="1"/>
  <c r="AC413" i="1"/>
  <c r="Z413" i="1"/>
  <c r="AC433" i="1"/>
  <c r="Z433" i="1"/>
  <c r="AC422" i="1"/>
  <c r="Z422" i="1"/>
  <c r="AC426" i="1"/>
  <c r="Z426" i="1"/>
  <c r="AC493" i="1"/>
  <c r="Z493" i="1"/>
  <c r="AC485" i="1"/>
  <c r="Z485" i="1"/>
  <c r="AC477" i="1"/>
  <c r="Z477" i="1"/>
  <c r="AC469" i="1"/>
  <c r="Z469" i="1"/>
  <c r="AC461" i="1"/>
  <c r="Z461" i="1"/>
  <c r="AC453" i="1"/>
  <c r="Z453" i="1"/>
  <c r="AC440" i="1"/>
  <c r="Z440" i="1"/>
  <c r="AC498" i="1"/>
  <c r="Z498" i="1"/>
  <c r="AC508" i="1"/>
  <c r="Z508" i="1"/>
  <c r="AC546" i="1"/>
  <c r="Z546" i="1"/>
  <c r="AC528" i="1"/>
  <c r="Z528" i="1"/>
  <c r="AC521" i="1"/>
  <c r="Z521" i="1"/>
  <c r="AC530" i="1"/>
  <c r="Z530" i="1"/>
  <c r="AC572" i="1"/>
  <c r="Z572" i="1"/>
  <c r="AC554" i="1"/>
  <c r="Z554" i="1"/>
  <c r="AC568" i="1"/>
  <c r="Z568" i="1"/>
  <c r="AC580" i="1"/>
  <c r="Z580" i="1"/>
  <c r="AC582" i="1"/>
  <c r="Z582" i="1"/>
  <c r="AC590" i="1"/>
  <c r="Z590" i="1"/>
  <c r="AC631" i="1"/>
  <c r="Z631" i="1"/>
  <c r="AC624" i="1"/>
  <c r="Z624" i="1"/>
  <c r="AC619" i="1"/>
  <c r="Z619" i="1"/>
  <c r="AC605" i="1"/>
  <c r="Z605" i="1"/>
  <c r="AC596" i="1"/>
  <c r="Z596" i="1"/>
  <c r="AC606" i="1"/>
  <c r="Z606" i="1"/>
  <c r="AC646" i="1"/>
  <c r="Z646" i="1"/>
  <c r="AC649" i="1"/>
  <c r="Z649" i="1"/>
  <c r="AC640" i="1"/>
  <c r="AC667" i="1"/>
  <c r="Z667" i="1"/>
  <c r="AC687" i="1"/>
  <c r="Z687" i="1"/>
  <c r="AC679" i="1"/>
  <c r="Z679" i="1"/>
  <c r="AC688" i="1"/>
  <c r="Z688" i="1"/>
  <c r="AC706" i="1"/>
  <c r="Z706" i="1"/>
  <c r="AC705" i="1"/>
  <c r="Z705" i="1"/>
  <c r="AC712" i="1"/>
  <c r="Z712" i="1"/>
  <c r="AC725" i="1"/>
  <c r="Z725" i="1"/>
  <c r="AC735" i="1"/>
  <c r="Z735" i="1"/>
  <c r="AC758" i="1"/>
  <c r="Z758" i="1"/>
  <c r="AC748" i="1"/>
  <c r="Z748" i="1"/>
  <c r="AC778" i="1"/>
  <c r="Z778" i="1"/>
  <c r="AC773" i="1"/>
  <c r="Z773" i="1"/>
  <c r="AC745" i="1"/>
  <c r="Z745" i="1"/>
  <c r="AC781" i="1"/>
  <c r="Z781" i="1"/>
  <c r="AC822" i="1"/>
  <c r="Z822" i="1"/>
  <c r="AC810" i="1"/>
  <c r="Z810" i="1"/>
  <c r="AC839" i="1"/>
  <c r="Z839" i="1"/>
  <c r="AC826" i="1"/>
  <c r="Z826" i="1"/>
  <c r="AC816" i="1"/>
  <c r="Z816" i="1"/>
  <c r="AC803" i="1"/>
  <c r="Z803" i="1"/>
  <c r="AC790" i="1"/>
  <c r="Z790" i="1"/>
  <c r="AC847" i="1"/>
  <c r="Z847" i="1"/>
  <c r="AC932" i="1"/>
  <c r="Z932" i="1"/>
  <c r="AC924" i="1"/>
  <c r="Z924" i="1"/>
  <c r="AC916" i="1"/>
  <c r="Z916" i="1"/>
  <c r="AC908" i="1"/>
  <c r="Z908" i="1"/>
  <c r="AC901" i="1"/>
  <c r="Z901" i="1"/>
  <c r="AC867" i="1"/>
  <c r="Z867" i="1"/>
  <c r="AC843" i="1"/>
  <c r="Z843" i="1"/>
  <c r="AC858" i="1"/>
  <c r="Z858" i="1"/>
  <c r="AC879" i="1"/>
  <c r="Z879" i="1"/>
  <c r="AC876" i="1"/>
  <c r="Z876" i="1"/>
  <c r="AC850" i="1"/>
  <c r="Z850" i="1"/>
  <c r="AC863" i="1"/>
  <c r="Z863" i="1"/>
  <c r="AC990" i="1"/>
  <c r="Z990" i="1"/>
  <c r="AC1004" i="1"/>
  <c r="Z1004" i="1"/>
  <c r="AC958" i="1"/>
  <c r="Z958" i="1"/>
  <c r="AC950" i="1"/>
  <c r="Z950" i="1"/>
  <c r="AC942" i="1"/>
  <c r="Z942" i="1"/>
  <c r="AC962" i="1"/>
  <c r="Z962" i="1"/>
  <c r="AC979" i="1"/>
  <c r="Z979" i="1"/>
  <c r="AC977" i="1"/>
  <c r="Z977" i="1"/>
  <c r="AC984" i="1"/>
  <c r="Z984" i="1"/>
  <c r="AC1034" i="1"/>
  <c r="Z1034" i="1"/>
  <c r="AC1022" i="1"/>
  <c r="Z1022" i="1"/>
  <c r="AC1025" i="1"/>
  <c r="Z1025" i="1"/>
  <c r="AC1027" i="1"/>
  <c r="Z1027" i="1"/>
  <c r="AC1066" i="1"/>
  <c r="Z1066" i="1"/>
  <c r="AC1042" i="1"/>
  <c r="Z1042" i="1"/>
  <c r="AC1057" i="1"/>
  <c r="Z1057" i="1"/>
  <c r="AC1102" i="1"/>
  <c r="Z1102" i="1"/>
  <c r="AC1070" i="1"/>
  <c r="Z1070" i="1"/>
  <c r="AC1084" i="1"/>
  <c r="Z1084" i="1"/>
  <c r="AC1089" i="1"/>
  <c r="Z1089" i="1"/>
  <c r="AC1096" i="1"/>
  <c r="Z1096" i="1"/>
  <c r="AC1114" i="1"/>
  <c r="Z1114" i="1"/>
  <c r="AC1144" i="1"/>
  <c r="Z1144" i="1"/>
  <c r="AC1127" i="1"/>
  <c r="Z1127" i="1"/>
  <c r="AC1141" i="1"/>
  <c r="Z1141" i="1"/>
  <c r="AC1147" i="1"/>
  <c r="Z1147" i="1"/>
  <c r="AC1184" i="1"/>
  <c r="Z1184" i="1"/>
  <c r="AC1150" i="1"/>
  <c r="Z1150" i="1"/>
  <c r="AC1166" i="1"/>
  <c r="Z1166" i="1"/>
  <c r="Z1156" i="1"/>
  <c r="AC1172" i="1"/>
  <c r="Z1172" i="1"/>
  <c r="AC1195" i="1"/>
  <c r="Z1195" i="1"/>
  <c r="AC1201" i="1"/>
  <c r="Z1201" i="1"/>
  <c r="AC1216" i="1"/>
  <c r="Z1216" i="1"/>
  <c r="AC1223" i="1"/>
  <c r="Z1223" i="1"/>
  <c r="AC1213" i="1"/>
  <c r="Z1213" i="1"/>
  <c r="AC1241" i="1"/>
  <c r="Z1241" i="1"/>
  <c r="AC1256" i="1"/>
  <c r="Z1256" i="1"/>
  <c r="AC1246" i="1"/>
  <c r="Z1246" i="1"/>
  <c r="AC1264" i="1"/>
  <c r="Z1264" i="1"/>
  <c r="AC1258" i="1"/>
  <c r="Z1258" i="1"/>
  <c r="AC41" i="1"/>
  <c r="Z41" i="1"/>
  <c r="AC106" i="1"/>
  <c r="Z106" i="1"/>
  <c r="AC166" i="1"/>
  <c r="Z166" i="1"/>
  <c r="AC236" i="1"/>
  <c r="Z236" i="1"/>
  <c r="AC203" i="1"/>
  <c r="Z203" i="1"/>
  <c r="AC309" i="1"/>
  <c r="Z309" i="1"/>
  <c r="AC360" i="1"/>
  <c r="Z360" i="1"/>
  <c r="AC410" i="1"/>
  <c r="Z410" i="1"/>
  <c r="AC482" i="1"/>
  <c r="Z482" i="1"/>
  <c r="AC448" i="1"/>
  <c r="Z448" i="1"/>
  <c r="AC523" i="1"/>
  <c r="Z523" i="1"/>
  <c r="AC558" i="1"/>
  <c r="Z558" i="1"/>
  <c r="AC627" i="1"/>
  <c r="Z627" i="1"/>
  <c r="AC660" i="1"/>
  <c r="Z660" i="1"/>
  <c r="AC683" i="1"/>
  <c r="Z683" i="1"/>
  <c r="AC787" i="1"/>
  <c r="Z787" i="1"/>
  <c r="AC792" i="1"/>
  <c r="Z792" i="1"/>
  <c r="AC841" i="1"/>
  <c r="Z841" i="1"/>
  <c r="AC888" i="1"/>
  <c r="Z888" i="1"/>
  <c r="AC884" i="1"/>
  <c r="Z884" i="1"/>
  <c r="AC946" i="1"/>
  <c r="Z946" i="1"/>
  <c r="AC1038" i="1"/>
  <c r="Z1038" i="1"/>
  <c r="AC1060" i="1"/>
  <c r="Z1060" i="1"/>
  <c r="AC1092" i="1"/>
  <c r="Z1092" i="1"/>
  <c r="AC1136" i="1"/>
  <c r="Z1136" i="1"/>
  <c r="AC1170" i="1"/>
  <c r="Z1170" i="1"/>
  <c r="AC1173" i="1"/>
  <c r="Z1173" i="1"/>
  <c r="AC1197" i="1"/>
  <c r="Z1197" i="1"/>
  <c r="AC1207" i="1"/>
  <c r="Z1207" i="1"/>
  <c r="AC19" i="1"/>
  <c r="Z19" i="1"/>
  <c r="AC30" i="1"/>
  <c r="Z30" i="1"/>
  <c r="AC3" i="1"/>
  <c r="Z3" i="1"/>
  <c r="AC11" i="1"/>
  <c r="Z11" i="1"/>
  <c r="AC23" i="1"/>
  <c r="Z23" i="1"/>
  <c r="AC25" i="1"/>
  <c r="Z25" i="1"/>
  <c r="AC43" i="1"/>
  <c r="Z43" i="1"/>
  <c r="AC52" i="1"/>
  <c r="Z52" i="1"/>
  <c r="AC66" i="1"/>
  <c r="Z66" i="1"/>
  <c r="AC70" i="1"/>
  <c r="Z70" i="1"/>
  <c r="Z92" i="1"/>
  <c r="AC92" i="1"/>
  <c r="AC81" i="1"/>
  <c r="Z81" i="1"/>
  <c r="AC94" i="1"/>
  <c r="Z94" i="1"/>
  <c r="Z101" i="1"/>
  <c r="AC109" i="1"/>
  <c r="Z109" i="1"/>
  <c r="AC152" i="1"/>
  <c r="Z152" i="1"/>
  <c r="AC146" i="1"/>
  <c r="Z146" i="1"/>
  <c r="AC133" i="1"/>
  <c r="Z133" i="1"/>
  <c r="AC137" i="1"/>
  <c r="Z137" i="1"/>
  <c r="AC126" i="1"/>
  <c r="Z126" i="1"/>
  <c r="AC129" i="1"/>
  <c r="Z129" i="1"/>
  <c r="AC164" i="1"/>
  <c r="Z164" i="1"/>
  <c r="AC270" i="1"/>
  <c r="Z270" i="1"/>
  <c r="AC264" i="1"/>
  <c r="Z264" i="1"/>
  <c r="AC252" i="1"/>
  <c r="Z252" i="1"/>
  <c r="Z246" i="1"/>
  <c r="AC246" i="1"/>
  <c r="AC237" i="1"/>
  <c r="Z237" i="1"/>
  <c r="Z229" i="1"/>
  <c r="AC229" i="1"/>
  <c r="AC220" i="1"/>
  <c r="Z220" i="1"/>
  <c r="AC175" i="1"/>
  <c r="Z175" i="1"/>
  <c r="AC185" i="1"/>
  <c r="Z185" i="1"/>
  <c r="AC198" i="1"/>
  <c r="Z198" i="1"/>
  <c r="AC178" i="1"/>
  <c r="Z178" i="1"/>
  <c r="AC204" i="1"/>
  <c r="Z204" i="1"/>
  <c r="AC177" i="1"/>
  <c r="Z177" i="1"/>
  <c r="AC276" i="1"/>
  <c r="Z276" i="1"/>
  <c r="AC283" i="1"/>
  <c r="Z283" i="1"/>
  <c r="AC320" i="1"/>
  <c r="Z320" i="1"/>
  <c r="AC339" i="1"/>
  <c r="Z339" i="1"/>
  <c r="AC327" i="1"/>
  <c r="Z327" i="1"/>
  <c r="AC314" i="1"/>
  <c r="Z314" i="1"/>
  <c r="AC304" i="1"/>
  <c r="Z304" i="1"/>
  <c r="AC310" i="1"/>
  <c r="Z310" i="1"/>
  <c r="AC317" i="1"/>
  <c r="Z317" i="1"/>
  <c r="AC372" i="1"/>
  <c r="Z372" i="1"/>
  <c r="AC351" i="1"/>
  <c r="Z351" i="1"/>
  <c r="AC345" i="1"/>
  <c r="Z345" i="1"/>
  <c r="AC354" i="1"/>
  <c r="Z354" i="1"/>
  <c r="AC390" i="1"/>
  <c r="Z390" i="1"/>
  <c r="AC394" i="1"/>
  <c r="Z394" i="1"/>
  <c r="AC389" i="1"/>
  <c r="Z389" i="1"/>
  <c r="AC385" i="1"/>
  <c r="Z385" i="1"/>
  <c r="AC406" i="1"/>
  <c r="Z406" i="1"/>
  <c r="AC432" i="1"/>
  <c r="Z432" i="1"/>
  <c r="AC421" i="1"/>
  <c r="Z421" i="1"/>
  <c r="AC416" i="1"/>
  <c r="Z416" i="1"/>
  <c r="AC492" i="1"/>
  <c r="Z492" i="1"/>
  <c r="AC484" i="1"/>
  <c r="Z484" i="1"/>
  <c r="AC476" i="1"/>
  <c r="Z476" i="1"/>
  <c r="AC467" i="1"/>
  <c r="Z467" i="1"/>
  <c r="AC452" i="1"/>
  <c r="Z452" i="1"/>
  <c r="AC455" i="1"/>
  <c r="Z455" i="1"/>
  <c r="AC439" i="1"/>
  <c r="Z439" i="1"/>
  <c r="AC497" i="1"/>
  <c r="Z497" i="1"/>
  <c r="AC507" i="1"/>
  <c r="Z507" i="1"/>
  <c r="AC545" i="1"/>
  <c r="Z545" i="1"/>
  <c r="AC536" i="1"/>
  <c r="Z536" i="1"/>
  <c r="AC527" i="1"/>
  <c r="Z527" i="1"/>
  <c r="AC519" i="1"/>
  <c r="Z519" i="1"/>
  <c r="AC548" i="1"/>
  <c r="Z548" i="1"/>
  <c r="AC564" i="1"/>
  <c r="Z564" i="1"/>
  <c r="AC553" i="1"/>
  <c r="Z553" i="1"/>
  <c r="AC567" i="1"/>
  <c r="Z567" i="1"/>
  <c r="AC579" i="1"/>
  <c r="Z579" i="1"/>
  <c r="AC581" i="1"/>
  <c r="Z581" i="1"/>
  <c r="AC589" i="1"/>
  <c r="Z589" i="1"/>
  <c r="AC630" i="1"/>
  <c r="Z630" i="1"/>
  <c r="AC617" i="1"/>
  <c r="Z617" i="1"/>
  <c r="AC611" i="1"/>
  <c r="Z611" i="1"/>
  <c r="AC610" i="1"/>
  <c r="Z610" i="1"/>
  <c r="AC603" i="1"/>
  <c r="Z603" i="1"/>
  <c r="AC651" i="1"/>
  <c r="Z651" i="1"/>
  <c r="AC657" i="1"/>
  <c r="Z657" i="1"/>
  <c r="AC645" i="1"/>
  <c r="Z645" i="1"/>
  <c r="AC639" i="1"/>
  <c r="AC650" i="1"/>
  <c r="Z650" i="1"/>
  <c r="AC694" i="1"/>
  <c r="Z694" i="1"/>
  <c r="AC685" i="1"/>
  <c r="Z685" i="1"/>
  <c r="AC678" i="1"/>
  <c r="Z678" i="1"/>
  <c r="AC669" i="1"/>
  <c r="Z669" i="1"/>
  <c r="AC700" i="1"/>
  <c r="Z700" i="1"/>
  <c r="AC702" i="1"/>
  <c r="Z702" i="1"/>
  <c r="AC711" i="1"/>
  <c r="Z711" i="1"/>
  <c r="AC723" i="1"/>
  <c r="Z723" i="1"/>
  <c r="AC734" i="1"/>
  <c r="Z734" i="1"/>
  <c r="AC756" i="1"/>
  <c r="Z756" i="1"/>
  <c r="AC747" i="1"/>
  <c r="Z747" i="1"/>
  <c r="AC786" i="1"/>
  <c r="Z786" i="1"/>
  <c r="AC768" i="1"/>
  <c r="Z768" i="1"/>
  <c r="AC744" i="1"/>
  <c r="Z744" i="1"/>
  <c r="AC764" i="1"/>
  <c r="Z764" i="1"/>
  <c r="AC797" i="1"/>
  <c r="Z797" i="1"/>
  <c r="AC808" i="1"/>
  <c r="Z808" i="1"/>
  <c r="AC834" i="1"/>
  <c r="Z834" i="1"/>
  <c r="AC825" i="1"/>
  <c r="Z825" i="1"/>
  <c r="AC815" i="1"/>
  <c r="Z815" i="1"/>
  <c r="AC802" i="1"/>
  <c r="Z802" i="1"/>
  <c r="AC789" i="1"/>
  <c r="Z789" i="1"/>
  <c r="AC873" i="1"/>
  <c r="Z873" i="1"/>
  <c r="AC931" i="1"/>
  <c r="Z931" i="1"/>
  <c r="AC921" i="1"/>
  <c r="Z921" i="1"/>
  <c r="AC915" i="1"/>
  <c r="Z915" i="1"/>
  <c r="AC907" i="1"/>
  <c r="Z907" i="1"/>
  <c r="AC899" i="1"/>
  <c r="Z899" i="1"/>
  <c r="AC893" i="1"/>
  <c r="Z893" i="1"/>
  <c r="AC842" i="1"/>
  <c r="Z842" i="1"/>
  <c r="AC865" i="1"/>
  <c r="Z865" i="1"/>
  <c r="AC880" i="1"/>
  <c r="Z880" i="1"/>
  <c r="AC890" i="1"/>
  <c r="Z890" i="1"/>
  <c r="AC881" i="1"/>
  <c r="Z881" i="1"/>
  <c r="AC882" i="1"/>
  <c r="Z882" i="1"/>
  <c r="AC1011" i="1"/>
  <c r="Z1011" i="1"/>
  <c r="AC1003" i="1"/>
  <c r="Z1003" i="1"/>
  <c r="AC957" i="1"/>
  <c r="Z957" i="1"/>
  <c r="AC949" i="1"/>
  <c r="Z949" i="1"/>
  <c r="AC941" i="1"/>
  <c r="Z941" i="1"/>
  <c r="AC999" i="1"/>
  <c r="Z999" i="1"/>
  <c r="AC978" i="1"/>
  <c r="Z978" i="1"/>
  <c r="AC964" i="1"/>
  <c r="Z964" i="1"/>
  <c r="AC980" i="1"/>
  <c r="Z980" i="1"/>
  <c r="AC1033" i="1"/>
  <c r="Z1033" i="1"/>
  <c r="AC1012" i="1"/>
  <c r="Z1012" i="1"/>
  <c r="AC1055" i="1"/>
  <c r="Z1055" i="1"/>
  <c r="AC1047" i="1"/>
  <c r="Z1047" i="1"/>
  <c r="AC1041" i="1"/>
  <c r="Z1041" i="1"/>
  <c r="AC1054" i="1"/>
  <c r="Z1054" i="1"/>
  <c r="AC1109" i="1"/>
  <c r="Z1109" i="1"/>
  <c r="AC1075" i="1"/>
  <c r="Z1075" i="1"/>
  <c r="AC1069" i="1"/>
  <c r="Z1069" i="1"/>
  <c r="AC1082" i="1"/>
  <c r="Z1082" i="1"/>
  <c r="AC1091" i="1"/>
  <c r="Z1091" i="1"/>
  <c r="AC1093" i="1"/>
  <c r="Z1093" i="1"/>
  <c r="AC1122" i="1"/>
  <c r="Z1122" i="1"/>
  <c r="AC1143" i="1"/>
  <c r="Z1143" i="1"/>
  <c r="AC1126" i="1"/>
  <c r="Z1126" i="1"/>
  <c r="AC1159" i="1"/>
  <c r="Z1159" i="1"/>
  <c r="AC1183" i="1"/>
  <c r="Z1183" i="1"/>
  <c r="AC1149" i="1"/>
  <c r="Z1149" i="1"/>
  <c r="AC1164" i="1"/>
  <c r="Z1164" i="1"/>
  <c r="AC1154" i="1"/>
  <c r="Z1154" i="1"/>
  <c r="Z1175" i="1"/>
  <c r="AC1199" i="1"/>
  <c r="Z1199" i="1"/>
  <c r="AC1200" i="1"/>
  <c r="Z1200" i="1"/>
  <c r="AC1215" i="1"/>
  <c r="Z1215" i="1"/>
  <c r="AC1222" i="1"/>
  <c r="Z1222" i="1"/>
  <c r="AC1231" i="1"/>
  <c r="Z1231" i="1"/>
  <c r="AC1230" i="1"/>
  <c r="Z1230" i="1"/>
  <c r="AC1255" i="1"/>
  <c r="Z1255" i="1"/>
  <c r="AC1249" i="1"/>
  <c r="Z1249" i="1"/>
  <c r="AC1263" i="1"/>
  <c r="Z1263" i="1"/>
  <c r="AC1267" i="1"/>
  <c r="Z1267" i="1"/>
  <c r="AC15" i="1"/>
  <c r="Z15" i="1"/>
  <c r="AC56" i="1"/>
  <c r="Z56" i="1"/>
  <c r="AC113" i="1"/>
  <c r="Z113" i="1"/>
  <c r="AC241" i="1"/>
  <c r="Z241" i="1"/>
  <c r="AC243" i="1"/>
  <c r="Z243" i="1"/>
  <c r="AC194" i="1"/>
  <c r="Z194" i="1"/>
  <c r="AC333" i="1"/>
  <c r="Z333" i="1"/>
  <c r="AC319" i="1"/>
  <c r="Z319" i="1"/>
  <c r="AC408" i="1"/>
  <c r="Z408" i="1"/>
  <c r="AC463" i="1"/>
  <c r="Z463" i="1"/>
  <c r="AC541" i="1"/>
  <c r="Z541" i="1"/>
  <c r="AC636" i="1"/>
  <c r="Z636" i="1"/>
  <c r="AC728" i="1"/>
  <c r="Z728" i="1"/>
  <c r="AC741" i="1"/>
  <c r="Z741" i="1"/>
  <c r="AC798" i="1"/>
  <c r="Z798" i="1"/>
  <c r="AC897" i="1"/>
  <c r="Z897" i="1"/>
  <c r="AC1008" i="1"/>
  <c r="Z1008" i="1"/>
  <c r="AC997" i="1"/>
  <c r="Z997" i="1"/>
  <c r="AC1045" i="1"/>
  <c r="Z1045" i="1"/>
  <c r="AC1078" i="1"/>
  <c r="Z1078" i="1"/>
  <c r="AC1188" i="1"/>
  <c r="Z1188" i="1"/>
  <c r="AC1228" i="1"/>
  <c r="Z1228" i="1"/>
  <c r="AC40" i="1"/>
  <c r="Z40" i="1"/>
  <c r="AC12" i="1"/>
  <c r="Z12" i="1"/>
  <c r="AC16" i="1"/>
  <c r="Z16" i="1"/>
  <c r="AC5" i="1"/>
  <c r="Z5" i="1"/>
  <c r="AC28" i="1"/>
  <c r="Z28" i="1"/>
  <c r="AC38" i="1"/>
  <c r="Z38" i="1"/>
  <c r="AC42" i="1"/>
  <c r="Z42" i="1"/>
  <c r="AC39" i="1"/>
  <c r="Z39" i="1"/>
  <c r="AC61" i="1"/>
  <c r="Z61" i="1"/>
  <c r="AC75" i="1"/>
  <c r="Z75" i="1"/>
  <c r="AC69" i="1"/>
  <c r="Z69" i="1"/>
  <c r="AC91" i="1"/>
  <c r="Z91" i="1"/>
  <c r="AC82" i="1"/>
  <c r="Z82" i="1"/>
  <c r="AC96" i="1"/>
  <c r="Z96" i="1"/>
  <c r="AC104" i="1"/>
  <c r="Z104" i="1"/>
  <c r="AC107" i="1"/>
  <c r="Z107" i="1"/>
  <c r="AC155" i="1"/>
  <c r="Z155" i="1"/>
  <c r="AC144" i="1"/>
  <c r="Z144" i="1"/>
  <c r="AC112" i="1"/>
  <c r="Z112" i="1"/>
  <c r="Z125" i="1"/>
  <c r="AC125" i="1"/>
  <c r="AC120" i="1"/>
  <c r="Z120" i="1"/>
  <c r="AC130" i="1"/>
  <c r="Z130" i="1"/>
  <c r="AC163" i="1"/>
  <c r="Z163" i="1"/>
  <c r="AC272" i="1"/>
  <c r="Z272" i="1"/>
  <c r="AC261" i="1"/>
  <c r="Z261" i="1"/>
  <c r="AC255" i="1"/>
  <c r="Z255" i="1"/>
  <c r="AC245" i="1"/>
  <c r="Z245" i="1"/>
  <c r="AC234" i="1"/>
  <c r="Z234" i="1"/>
  <c r="AC228" i="1"/>
  <c r="Z228" i="1"/>
  <c r="AC217" i="1"/>
  <c r="Z217" i="1"/>
  <c r="AC170" i="1"/>
  <c r="Z170" i="1"/>
  <c r="AC186" i="1"/>
  <c r="Z186" i="1"/>
  <c r="AC209" i="1"/>
  <c r="Z209" i="1"/>
  <c r="AC184" i="1"/>
  <c r="Z184" i="1"/>
  <c r="AC214" i="1"/>
  <c r="Z214" i="1"/>
  <c r="AC195" i="1"/>
  <c r="Z195" i="1"/>
  <c r="AC275" i="1"/>
  <c r="Z275" i="1"/>
  <c r="AC340" i="1"/>
  <c r="Z340" i="1"/>
  <c r="AC341" i="1"/>
  <c r="Z341" i="1"/>
  <c r="AC337" i="1"/>
  <c r="Z337" i="1"/>
  <c r="AC325" i="1"/>
  <c r="Z325" i="1"/>
  <c r="AC332" i="1"/>
  <c r="Z332" i="1"/>
  <c r="AC305" i="1"/>
  <c r="Z305" i="1"/>
  <c r="AC316" i="1"/>
  <c r="Z316" i="1"/>
  <c r="AC291" i="1"/>
  <c r="Z291" i="1"/>
  <c r="AC350" i="1"/>
  <c r="Z350" i="1"/>
  <c r="AC364" i="1"/>
  <c r="Z364" i="1"/>
  <c r="AC359" i="1"/>
  <c r="Z359" i="1"/>
  <c r="AC384" i="1"/>
  <c r="Z384" i="1"/>
  <c r="AC395" i="1"/>
  <c r="Z395" i="1"/>
  <c r="AC386" i="1"/>
  <c r="Z386" i="1"/>
  <c r="AC400" i="1"/>
  <c r="Z400" i="1"/>
  <c r="AC407" i="1"/>
  <c r="Z407" i="1"/>
  <c r="AC411" i="1"/>
  <c r="Z411" i="1"/>
  <c r="AC424" i="1"/>
  <c r="Z424" i="1"/>
  <c r="AC427" i="1"/>
  <c r="Z427" i="1"/>
  <c r="AC445" i="1"/>
  <c r="Z445" i="1"/>
  <c r="AC491" i="1"/>
  <c r="Z491" i="1"/>
  <c r="AC483" i="1"/>
  <c r="Z483" i="1"/>
  <c r="AC473" i="1"/>
  <c r="Z473" i="1"/>
  <c r="AC468" i="1"/>
  <c r="Z468" i="1"/>
  <c r="AC460" i="1"/>
  <c r="Z460" i="1"/>
  <c r="AC454" i="1"/>
  <c r="Z454" i="1"/>
  <c r="AC437" i="1"/>
  <c r="Z437" i="1"/>
  <c r="AC500" i="1"/>
  <c r="Z500" i="1"/>
  <c r="AC506" i="1"/>
  <c r="Z506" i="1"/>
  <c r="AC543" i="1"/>
  <c r="Z543" i="1"/>
  <c r="AC518" i="1"/>
  <c r="Z518" i="1"/>
  <c r="AC526" i="1"/>
  <c r="Z526" i="1"/>
  <c r="AC522" i="1"/>
  <c r="Z522" i="1"/>
  <c r="AC532" i="1"/>
  <c r="Z532" i="1"/>
  <c r="AC560" i="1"/>
  <c r="Z560" i="1"/>
  <c r="AC551" i="1"/>
  <c r="Z551" i="1"/>
  <c r="AC563" i="1"/>
  <c r="Z563" i="1"/>
  <c r="AC585" i="1"/>
  <c r="Z585" i="1"/>
  <c r="AC635" i="1"/>
  <c r="Z635" i="1"/>
  <c r="AC628" i="1"/>
  <c r="Z628" i="1"/>
  <c r="AC594" i="1"/>
  <c r="Z594" i="1"/>
  <c r="AC597" i="1"/>
  <c r="Z597" i="1"/>
  <c r="AC592" i="1"/>
  <c r="Z592" i="1"/>
  <c r="AC595" i="1"/>
  <c r="Z595" i="1"/>
  <c r="AC641" i="1"/>
  <c r="AC656" i="1"/>
  <c r="Z656" i="1"/>
  <c r="AC638" i="1"/>
  <c r="AC695" i="1"/>
  <c r="Z695" i="1"/>
  <c r="AC686" i="1"/>
  <c r="Z686" i="1"/>
  <c r="AC676" i="1"/>
  <c r="Z676" i="1"/>
  <c r="AC677" i="1"/>
  <c r="Z677" i="1"/>
  <c r="AC699" i="1"/>
  <c r="Z699" i="1"/>
  <c r="AC718" i="1"/>
  <c r="Z718" i="1"/>
  <c r="AC710" i="1"/>
  <c r="Z710" i="1"/>
  <c r="AC720" i="1"/>
  <c r="Z720" i="1"/>
  <c r="AC733" i="1"/>
  <c r="Z733" i="1"/>
  <c r="AC755" i="1"/>
  <c r="Z755" i="1"/>
  <c r="AC738" i="1"/>
  <c r="Z738" i="1"/>
  <c r="AC769" i="1"/>
  <c r="Z769" i="1"/>
  <c r="AC776" i="1"/>
  <c r="Z776" i="1"/>
  <c r="AC743" i="1"/>
  <c r="Z743" i="1"/>
  <c r="AC766" i="1"/>
  <c r="Z766" i="1"/>
  <c r="AC794" i="1"/>
  <c r="Z794" i="1"/>
  <c r="AC809" i="1"/>
  <c r="Z809" i="1"/>
  <c r="AC832" i="1"/>
  <c r="Z832" i="1"/>
  <c r="AC824" i="1"/>
  <c r="Z824" i="1"/>
  <c r="AC814" i="1"/>
  <c r="Z814" i="1"/>
  <c r="AC800" i="1"/>
  <c r="Z800" i="1"/>
  <c r="AC833" i="1"/>
  <c r="Z833" i="1"/>
  <c r="AC937" i="1"/>
  <c r="Z937" i="1"/>
  <c r="Z929" i="1"/>
  <c r="AC929" i="1"/>
  <c r="Z920" i="1"/>
  <c r="AC920" i="1"/>
  <c r="AC914" i="1"/>
  <c r="Z914" i="1"/>
  <c r="AC906" i="1"/>
  <c r="Z906" i="1"/>
  <c r="AC900" i="1"/>
  <c r="Z900" i="1"/>
  <c r="Z891" i="1"/>
  <c r="AC891" i="1"/>
  <c r="AC861" i="1"/>
  <c r="Z861" i="1"/>
  <c r="AC871" i="1"/>
  <c r="Z871" i="1"/>
  <c r="Z848" i="1"/>
  <c r="AC848" i="1"/>
  <c r="Z877" i="1"/>
  <c r="AC877" i="1"/>
  <c r="AC853" i="1"/>
  <c r="Z853" i="1"/>
  <c r="AC868" i="1"/>
  <c r="Z868" i="1"/>
  <c r="AC1010" i="1"/>
  <c r="Z1010" i="1"/>
  <c r="Z1002" i="1"/>
  <c r="AC1002" i="1"/>
  <c r="AC956" i="1"/>
  <c r="Z956" i="1"/>
  <c r="AC948" i="1"/>
  <c r="Z948" i="1"/>
  <c r="AC940" i="1"/>
  <c r="Z940" i="1"/>
  <c r="AC966" i="1"/>
  <c r="Z966" i="1"/>
  <c r="Z982" i="1"/>
  <c r="AC982" i="1"/>
  <c r="AC994" i="1"/>
  <c r="Z994" i="1"/>
  <c r="AC967" i="1"/>
  <c r="Z967" i="1"/>
  <c r="AC1032" i="1"/>
  <c r="Z1032" i="1"/>
  <c r="AC1013" i="1"/>
  <c r="Z1013" i="1"/>
  <c r="AC1020" i="1"/>
  <c r="Z1020" i="1"/>
  <c r="AC1053" i="1"/>
  <c r="Z1053" i="1"/>
  <c r="AC1046" i="1"/>
  <c r="Z1046" i="1"/>
  <c r="Z1040" i="1"/>
  <c r="AC1040" i="1"/>
  <c r="AC1052" i="1"/>
  <c r="Z1052" i="1"/>
  <c r="AC1108" i="1"/>
  <c r="Z1108" i="1"/>
  <c r="AC1074" i="1"/>
  <c r="Z1074" i="1"/>
  <c r="AC1068" i="1"/>
  <c r="Z1068" i="1"/>
  <c r="AC1077" i="1"/>
  <c r="Z1077" i="1"/>
  <c r="Z1121" i="1"/>
  <c r="AC1123" i="1"/>
  <c r="Z1123" i="1"/>
  <c r="AC1142" i="1"/>
  <c r="Z1142" i="1"/>
  <c r="AC1125" i="1"/>
  <c r="Z1125" i="1"/>
  <c r="AC1135" i="1"/>
  <c r="Z1135" i="1"/>
  <c r="AC1191" i="1"/>
  <c r="Z1191" i="1"/>
  <c r="AC1182" i="1"/>
  <c r="Z1182" i="1"/>
  <c r="AC1148" i="1"/>
  <c r="Z1148" i="1"/>
  <c r="AC1161" i="1"/>
  <c r="Z1161" i="1"/>
  <c r="Z1162" i="1"/>
  <c r="AC1167" i="1"/>
  <c r="Z1167" i="1"/>
  <c r="AC1198" i="1"/>
  <c r="Z1198" i="1"/>
  <c r="AC1205" i="1"/>
  <c r="Z1205" i="1"/>
  <c r="AC1214" i="1"/>
  <c r="Z1214" i="1"/>
  <c r="AC1221" i="1"/>
  <c r="Z1221" i="1"/>
  <c r="AC1240" i="1"/>
  <c r="Z1240" i="1"/>
  <c r="AC1236" i="1"/>
  <c r="Z1236" i="1"/>
  <c r="AC1254" i="1"/>
  <c r="Z1254" i="1"/>
  <c r="AC1253" i="1"/>
  <c r="Z1253" i="1"/>
  <c r="AC1257" i="1"/>
  <c r="Z1257" i="1"/>
  <c r="AC1265" i="1"/>
  <c r="Z1265" i="1"/>
  <c r="AC13" i="1"/>
  <c r="Z13" i="1"/>
  <c r="AC50" i="1"/>
  <c r="Z50" i="1"/>
  <c r="AC103" i="1"/>
  <c r="Z103" i="1"/>
  <c r="AC124" i="1"/>
  <c r="Z124" i="1"/>
  <c r="AC226" i="1"/>
  <c r="Z226" i="1"/>
  <c r="AC199" i="1"/>
  <c r="Z199" i="1"/>
  <c r="AC297" i="1"/>
  <c r="Z297" i="1"/>
  <c r="AC401" i="1"/>
  <c r="Z401" i="1"/>
  <c r="AC475" i="1"/>
  <c r="Z475" i="1"/>
  <c r="AC509" i="1"/>
  <c r="Z509" i="1"/>
  <c r="AC577" i="1"/>
  <c r="Z577" i="1"/>
  <c r="AC609" i="1"/>
  <c r="Z609" i="1"/>
  <c r="AC691" i="1"/>
  <c r="Z691" i="1"/>
  <c r="AC716" i="1"/>
  <c r="Z716" i="1"/>
  <c r="AC770" i="1"/>
  <c r="Z770" i="1"/>
  <c r="AC819" i="1"/>
  <c r="Z819" i="1"/>
  <c r="AC904" i="1"/>
  <c r="Z904" i="1"/>
  <c r="AC869" i="1"/>
  <c r="Z869" i="1"/>
  <c r="AC998" i="1"/>
  <c r="Z998" i="1"/>
  <c r="AC1017" i="1"/>
  <c r="Z1017" i="1"/>
  <c r="AC1113" i="1"/>
  <c r="Z1113" i="1"/>
  <c r="AC1245" i="1"/>
  <c r="Z1245" i="1"/>
  <c r="AC32" i="1"/>
  <c r="Z32" i="1"/>
  <c r="AC17" i="1"/>
  <c r="Z17" i="1"/>
  <c r="AC2" i="1"/>
  <c r="Z2" i="1"/>
  <c r="AC4" i="1"/>
  <c r="Z4" i="1"/>
  <c r="AC21" i="1"/>
  <c r="Z21" i="1"/>
  <c r="AC37" i="1"/>
  <c r="Z37" i="1"/>
  <c r="AC49" i="1"/>
  <c r="Z49" i="1"/>
  <c r="AC51" i="1"/>
  <c r="Z51" i="1"/>
  <c r="AC68" i="1"/>
  <c r="Z68" i="1"/>
  <c r="AC57" i="1"/>
  <c r="Z57" i="1"/>
  <c r="AC72" i="1"/>
  <c r="Z72" i="1"/>
  <c r="AC90" i="1"/>
  <c r="Z90" i="1"/>
  <c r="AC79" i="1"/>
  <c r="Z79" i="1"/>
  <c r="AC95" i="1"/>
  <c r="Z95" i="1"/>
  <c r="AC100" i="1"/>
  <c r="Z100" i="1"/>
  <c r="AC108" i="1"/>
  <c r="Z108" i="1"/>
  <c r="AC154" i="1"/>
  <c r="Z154" i="1"/>
  <c r="AC143" i="1"/>
  <c r="Z143" i="1"/>
  <c r="AC119" i="1"/>
  <c r="Z119" i="1"/>
  <c r="AC121" i="1"/>
  <c r="Z121" i="1"/>
  <c r="AC114" i="1"/>
  <c r="Z114" i="1"/>
  <c r="AC159" i="1"/>
  <c r="Z159" i="1"/>
  <c r="AC244" i="1"/>
  <c r="Z244" i="1"/>
  <c r="AC266" i="1"/>
  <c r="Z266" i="1"/>
  <c r="AC260" i="1"/>
  <c r="Z260" i="1"/>
  <c r="AC253" i="1"/>
  <c r="Z253" i="1"/>
  <c r="AC242" i="1"/>
  <c r="Z242" i="1"/>
  <c r="AC235" i="1"/>
  <c r="Z235" i="1"/>
  <c r="AC227" i="1"/>
  <c r="Z227" i="1"/>
  <c r="AC218" i="1"/>
  <c r="Z218" i="1"/>
  <c r="AC169" i="1"/>
  <c r="Z169" i="1"/>
  <c r="AC197" i="1"/>
  <c r="Z197" i="1"/>
  <c r="AC206" i="1"/>
  <c r="Z206" i="1"/>
  <c r="AC190" i="1"/>
  <c r="Z190" i="1"/>
  <c r="AC215" i="1"/>
  <c r="Z215" i="1"/>
  <c r="AC189" i="1"/>
  <c r="Z189" i="1"/>
  <c r="AC280" i="1"/>
  <c r="Z280" i="1"/>
  <c r="AC338" i="1"/>
  <c r="Z338" i="1"/>
  <c r="AC302" i="1"/>
  <c r="Z302" i="1"/>
  <c r="AC335" i="1"/>
  <c r="Z335" i="1"/>
  <c r="AC321" i="1"/>
  <c r="Z321" i="1"/>
  <c r="Z315" i="1"/>
  <c r="AC315" i="1"/>
  <c r="AC300" i="1"/>
  <c r="Z300" i="1"/>
  <c r="AC292" i="1"/>
  <c r="Z292" i="1"/>
  <c r="AC371" i="1"/>
  <c r="Z371" i="1"/>
  <c r="AC349" i="1"/>
  <c r="Z349" i="1"/>
  <c r="AC361" i="1"/>
  <c r="Z361" i="1"/>
  <c r="AC363" i="1"/>
  <c r="Z363" i="1"/>
  <c r="AC388" i="1"/>
  <c r="Z388" i="1"/>
  <c r="AC393" i="1"/>
  <c r="Z393" i="1"/>
  <c r="AC376" i="1"/>
  <c r="Z376" i="1"/>
  <c r="AC399" i="1"/>
  <c r="Z399" i="1"/>
  <c r="AC409" i="1"/>
  <c r="AC412" i="1"/>
  <c r="Z412" i="1"/>
  <c r="AC419" i="1"/>
  <c r="Z419" i="1"/>
  <c r="AC420" i="1"/>
  <c r="Z420" i="1"/>
  <c r="AC465" i="1"/>
  <c r="Z465" i="1"/>
  <c r="AC489" i="1"/>
  <c r="Z489" i="1"/>
  <c r="AC481" i="1"/>
  <c r="Z481" i="1"/>
  <c r="AC474" i="1"/>
  <c r="Z474" i="1"/>
  <c r="AC466" i="1"/>
  <c r="Z466" i="1"/>
  <c r="AC449" i="1"/>
  <c r="Z449" i="1"/>
  <c r="AC444" i="1"/>
  <c r="Z444" i="1"/>
  <c r="AC447" i="1"/>
  <c r="Z447" i="1"/>
  <c r="AC502" i="1"/>
  <c r="Z502" i="1"/>
  <c r="AC511" i="1"/>
  <c r="Z511" i="1"/>
  <c r="AC542" i="1"/>
  <c r="Z542" i="1"/>
  <c r="AC517" i="1"/>
  <c r="Z517" i="1"/>
  <c r="AC524" i="1"/>
  <c r="Z524" i="1"/>
  <c r="AC535" i="1"/>
  <c r="Z535" i="1"/>
  <c r="AC559" i="1"/>
  <c r="Z559" i="1"/>
  <c r="AC552" i="1"/>
  <c r="Z552" i="1"/>
  <c r="AC562" i="1"/>
  <c r="Z562" i="1"/>
  <c r="AC584" i="1"/>
  <c r="Z584" i="1"/>
  <c r="AC637" i="1"/>
  <c r="Z637" i="1"/>
  <c r="AC629" i="1"/>
  <c r="Z629" i="1"/>
  <c r="AC591" i="1"/>
  <c r="Z591" i="1"/>
  <c r="AC607" i="1"/>
  <c r="Z607" i="1"/>
  <c r="AC593" i="1"/>
  <c r="Z593" i="1"/>
  <c r="AC620" i="1"/>
  <c r="Z620" i="1"/>
  <c r="AC661" i="1"/>
  <c r="Z661" i="1"/>
  <c r="AC644" i="1"/>
  <c r="Z644" i="1"/>
  <c r="AC647" i="1"/>
  <c r="Z647" i="1"/>
  <c r="AC692" i="1"/>
  <c r="Z692" i="1"/>
  <c r="AC684" i="1"/>
  <c r="Z684" i="1"/>
  <c r="AC675" i="1"/>
  <c r="Z675" i="1"/>
  <c r="AC668" i="1"/>
  <c r="Z668" i="1"/>
  <c r="AC698" i="1"/>
  <c r="Z698" i="1"/>
  <c r="AC717" i="1"/>
  <c r="Z717" i="1"/>
  <c r="AC722" i="1"/>
  <c r="Z722" i="1"/>
  <c r="Z731" i="1"/>
  <c r="AC731" i="1"/>
  <c r="AC732" i="1"/>
  <c r="Z732" i="1"/>
  <c r="AC754" i="1"/>
  <c r="Z754" i="1"/>
  <c r="AC737" i="1"/>
  <c r="Z737" i="1"/>
  <c r="AC775" i="1"/>
  <c r="Z775" i="1"/>
  <c r="AC767" i="1"/>
  <c r="Z767" i="1"/>
  <c r="AC742" i="1"/>
  <c r="Z742" i="1"/>
  <c r="AC765" i="1"/>
  <c r="Z765" i="1"/>
  <c r="AC793" i="1"/>
  <c r="Z793" i="1"/>
  <c r="AC806" i="1"/>
  <c r="Z806" i="1"/>
  <c r="AC831" i="1"/>
  <c r="Z831" i="1"/>
  <c r="AC821" i="1"/>
  <c r="Z821" i="1"/>
  <c r="AC812" i="1"/>
  <c r="Z812" i="1"/>
  <c r="AC799" i="1"/>
  <c r="Z799" i="1"/>
  <c r="AC823" i="1"/>
  <c r="Z823" i="1"/>
  <c r="AC935" i="1"/>
  <c r="Z935" i="1"/>
  <c r="AC918" i="1"/>
  <c r="Z918" i="1"/>
  <c r="AC912" i="1"/>
  <c r="Z912" i="1"/>
  <c r="AC905" i="1"/>
  <c r="Z905" i="1"/>
  <c r="AC898" i="1"/>
  <c r="Z898" i="1"/>
  <c r="AC892" i="1"/>
  <c r="Z892" i="1"/>
  <c r="AC874" i="1"/>
  <c r="Z874" i="1"/>
  <c r="AC857" i="1"/>
  <c r="Z857" i="1"/>
  <c r="AC854" i="1"/>
  <c r="Z854" i="1"/>
  <c r="AC872" i="1"/>
  <c r="Z872" i="1"/>
  <c r="AC1000" i="1"/>
  <c r="Z1000" i="1"/>
  <c r="AC1009" i="1"/>
  <c r="Z1009" i="1"/>
  <c r="AC1001" i="1"/>
  <c r="Z1001" i="1"/>
  <c r="AC955" i="1"/>
  <c r="Z955" i="1"/>
  <c r="AC947" i="1"/>
  <c r="Z947" i="1"/>
  <c r="AC939" i="1"/>
  <c r="Z939" i="1"/>
  <c r="AC963" i="1"/>
  <c r="Z963" i="1"/>
  <c r="AC965" i="1"/>
  <c r="Z965" i="1"/>
  <c r="AC989" i="1"/>
  <c r="Z989" i="1"/>
  <c r="AC983" i="1"/>
  <c r="Z983" i="1"/>
  <c r="AC1031" i="1"/>
  <c r="Z1031" i="1"/>
  <c r="AC1018" i="1"/>
  <c r="Z1018" i="1"/>
  <c r="AC1019" i="1"/>
  <c r="Z1019" i="1"/>
  <c r="AC1067" i="1"/>
  <c r="Z1067" i="1"/>
  <c r="AC1065" i="1"/>
  <c r="Z1065" i="1"/>
  <c r="AC1039" i="1"/>
  <c r="Z1039" i="1"/>
  <c r="AC1059" i="1"/>
  <c r="Z1059" i="1"/>
  <c r="AC1107" i="1"/>
  <c r="Z1107" i="1"/>
  <c r="AC1100" i="1"/>
  <c r="Z1100" i="1"/>
  <c r="AC1086" i="1"/>
  <c r="Z1086" i="1"/>
  <c r="AC1079" i="1"/>
  <c r="Z1079" i="1"/>
  <c r="AC1094" i="1"/>
  <c r="Z1094" i="1"/>
  <c r="AC1118" i="1"/>
  <c r="Z1118" i="1"/>
  <c r="AC1110" i="1"/>
  <c r="Z1110" i="1"/>
  <c r="AC1132" i="1"/>
  <c r="Z1132" i="1"/>
  <c r="AC1124" i="1"/>
  <c r="Z1124" i="1"/>
  <c r="AC1137" i="1"/>
  <c r="Z1137" i="1"/>
  <c r="AC1189" i="1"/>
  <c r="Z1189" i="1"/>
  <c r="AC1181" i="1"/>
  <c r="Z1181" i="1"/>
  <c r="AC1178" i="1"/>
  <c r="Z1178" i="1"/>
  <c r="AC1163" i="1"/>
  <c r="Z1163" i="1"/>
  <c r="Z1176" i="1"/>
  <c r="AC1168" i="1"/>
  <c r="Z1168" i="1"/>
  <c r="AC1196" i="1"/>
  <c r="Z1196" i="1"/>
  <c r="AC1206" i="1"/>
  <c r="Z1206" i="1"/>
  <c r="AC1208" i="1"/>
  <c r="Z1208" i="1"/>
  <c r="AC1220" i="1"/>
  <c r="Z1220" i="1"/>
  <c r="AC1239" i="1"/>
  <c r="Z1239" i="1"/>
  <c r="AC1233" i="1"/>
  <c r="Z1233" i="1"/>
  <c r="AC1247" i="1"/>
  <c r="Z1247" i="1"/>
  <c r="AC1250" i="1"/>
  <c r="Z1250" i="1"/>
  <c r="AC1262" i="1"/>
  <c r="Z1262" i="1"/>
  <c r="Z1266" i="1"/>
  <c r="AC1266" i="1"/>
  <c r="G39" i="4" l="1"/>
  <c r="G51" i="4"/>
  <c r="G28" i="7"/>
  <c r="G28" i="8"/>
  <c r="G39" i="8"/>
  <c r="G40" i="4"/>
  <c r="G39" i="7"/>
  <c r="E41" i="7"/>
  <c r="F39" i="7"/>
  <c r="E53" i="4"/>
  <c r="F51" i="4"/>
  <c r="F39" i="8"/>
  <c r="E41" i="8"/>
  <c r="E92" i="4"/>
  <c r="G21" i="8"/>
  <c r="D21" i="8"/>
  <c r="G2" i="8" s="1"/>
  <c r="D72" i="8"/>
  <c r="G49" i="8"/>
  <c r="D41" i="8"/>
  <c r="G27" i="8"/>
  <c r="D41" i="7"/>
  <c r="G27" i="7"/>
  <c r="D21" i="7"/>
  <c r="G11" i="7"/>
  <c r="G21" i="7" s="1"/>
  <c r="D72" i="7"/>
  <c r="G49" i="7"/>
  <c r="D21" i="4"/>
  <c r="G11" i="4"/>
  <c r="G21" i="4" s="1"/>
  <c r="E88" i="4"/>
  <c r="E91" i="4"/>
  <c r="D93" i="4"/>
  <c r="E5" i="4" s="1"/>
  <c r="E90" i="4"/>
  <c r="AC1185" i="1"/>
  <c r="AC1162" i="1"/>
  <c r="D53" i="4"/>
  <c r="C93" i="4"/>
  <c r="AC1171" i="1"/>
  <c r="AC1176" i="1"/>
  <c r="AC1177" i="1"/>
  <c r="AC1156" i="1"/>
  <c r="AC1175" i="1"/>
  <c r="F41" i="8" l="1"/>
  <c r="E3" i="8"/>
  <c r="F3" i="8" s="1"/>
  <c r="E3" i="4"/>
  <c r="F3" i="4" s="1"/>
  <c r="F53" i="4"/>
  <c r="E3" i="7"/>
  <c r="F3" i="7" s="1"/>
  <c r="F41" i="7"/>
  <c r="D4" i="8"/>
  <c r="G4" i="8" s="1"/>
  <c r="G72" i="8"/>
  <c r="D3" i="8"/>
  <c r="G41" i="8"/>
  <c r="D4" i="7"/>
  <c r="G4" i="7" s="1"/>
  <c r="G72" i="7"/>
  <c r="D3" i="7"/>
  <c r="G41" i="7"/>
  <c r="D3" i="4"/>
  <c r="G53" i="4"/>
  <c r="E93" i="4"/>
  <c r="D5" i="4"/>
  <c r="G5" i="4" s="1"/>
  <c r="G3" i="7" l="1"/>
  <c r="G3" i="4"/>
  <c r="G3" i="8"/>
</calcChain>
</file>

<file path=xl/sharedStrings.xml><?xml version="1.0" encoding="utf-8"?>
<sst xmlns="http://schemas.openxmlformats.org/spreadsheetml/2006/main" count="27737" uniqueCount="5104">
  <si>
    <t>Diary Status</t>
  </si>
  <si>
    <t xml:space="preserve">Event month </t>
  </si>
  <si>
    <t>Event Date</t>
  </si>
  <si>
    <t>Portfolio</t>
  </si>
  <si>
    <t>Estate</t>
  </si>
  <si>
    <t>Unit Manager</t>
  </si>
  <si>
    <t>Unit Description</t>
  </si>
  <si>
    <t>Current Tenant Name</t>
  </si>
  <si>
    <t xml:space="preserve">PM Details </t>
  </si>
  <si>
    <t>Tenancy Status</t>
  </si>
  <si>
    <t>Tenancy Start Date</t>
  </si>
  <si>
    <t>Lease Start Date</t>
  </si>
  <si>
    <t>Lease End Date</t>
  </si>
  <si>
    <t>Action Type</t>
  </si>
  <si>
    <t>Unit Tenure</t>
  </si>
  <si>
    <t>September 23 Annual ERV</t>
  </si>
  <si>
    <t>September 23 Monthly ERV</t>
  </si>
  <si>
    <t xml:space="preserve">March 24 Annual ERV </t>
  </si>
  <si>
    <t>March 24 Monthly ERV</t>
  </si>
  <si>
    <t>Current Annual Rent</t>
  </si>
  <si>
    <t>Current Monthly Rent</t>
  </si>
  <si>
    <t xml:space="preserve">Previous Rent </t>
  </si>
  <si>
    <t>Price Book Rent</t>
  </si>
  <si>
    <t>NEW PRICE BOOK RENT</t>
  </si>
  <si>
    <t>NEW Price book rent /current rent %</t>
  </si>
  <si>
    <t>Price Book / Current Rent %</t>
  </si>
  <si>
    <t>Price Book / March 24 ERV %</t>
  </si>
  <si>
    <t xml:space="preserve">AM Offering </t>
  </si>
  <si>
    <t>AM Offering / Current Rent %</t>
  </si>
  <si>
    <t>AM Offering / March 24 ERV %</t>
  </si>
  <si>
    <t xml:space="preserve">AM Minimum </t>
  </si>
  <si>
    <t>AM Minimum / Current Rent %</t>
  </si>
  <si>
    <t>AM Minimum / March ERV %</t>
  </si>
  <si>
    <t>AM Comments</t>
  </si>
  <si>
    <t>Tenant Balance Status</t>
  </si>
  <si>
    <t>Unit Size</t>
  </si>
  <si>
    <t>Beds</t>
  </si>
  <si>
    <t>Baths</t>
  </si>
  <si>
    <t>Description of Unit</t>
  </si>
  <si>
    <t>rent acheived</t>
  </si>
  <si>
    <t>Rent Acheived %</t>
  </si>
  <si>
    <t>Renewal Neg</t>
  </si>
  <si>
    <t>Renewal Status</t>
  </si>
  <si>
    <t>Renewal notes</t>
  </si>
  <si>
    <t>Active</t>
  </si>
  <si>
    <t>BTR-Regions</t>
  </si>
  <si>
    <t>Pin Yard</t>
  </si>
  <si>
    <t>Ruth Friend</t>
  </si>
  <si>
    <t>815 Pin Yard, 11 Sweet Street, Leeds</t>
  </si>
  <si>
    <t>Burak Mutluer</t>
  </si>
  <si>
    <t>N/A</t>
  </si>
  <si>
    <t>Current</t>
  </si>
  <si>
    <t>New Let</t>
  </si>
  <si>
    <t>AST</t>
  </si>
  <si>
    <t>Cleared</t>
  </si>
  <si>
    <t>1</t>
  </si>
  <si>
    <t>1B2P, 1CEast, No Balcony</t>
  </si>
  <si>
    <t xml:space="preserve">Lacey </t>
  </si>
  <si>
    <t xml:space="preserve">sent </t>
  </si>
  <si>
    <t>Clippers Quay</t>
  </si>
  <si>
    <t>Helen Bowers</t>
  </si>
  <si>
    <t>718 Torrens Apt, Waterman Wlk, Salford M50</t>
  </si>
  <si>
    <t>Mr R Dunk, Mr D Shire &amp; Ms B Jones</t>
  </si>
  <si>
    <t xml:space="preserve">N/A </t>
  </si>
  <si>
    <t>Renewal</t>
  </si>
  <si>
    <t>2</t>
  </si>
  <si>
    <t>2Melbourne</t>
  </si>
  <si>
    <t>303 Tayleur Apt , Waterman Wlk, Salford M50</t>
  </si>
  <si>
    <t>Yin Lung Chiu &amp; Qijian Chen &amp; Kung Sai Chiu</t>
  </si>
  <si>
    <t>2 BedJakarta</t>
  </si>
  <si>
    <t xml:space="preserve">relocating </t>
  </si>
  <si>
    <t>512 Pin Yard, 11 Sweet Street, Leeds</t>
  </si>
  <si>
    <t>Vinay Tailor &amp; James McParlin</t>
  </si>
  <si>
    <t>2B4P, 2East, Balcony</t>
  </si>
  <si>
    <t>Pending</t>
  </si>
  <si>
    <t>The Barnum</t>
  </si>
  <si>
    <t>Natasha Burns</t>
  </si>
  <si>
    <t>102 The Barnum, 23 Queens Road, Nottingham</t>
  </si>
  <si>
    <t>Emily Posner and Alicia Buckberry</t>
  </si>
  <si>
    <t>2B4P,B4aSouth</t>
  </si>
  <si>
    <t>717 The Barnum, 23 Queens Road, Nottingham</t>
  </si>
  <si>
    <t>Daniel Worthington</t>
  </si>
  <si>
    <t>1B2P,A1South</t>
  </si>
  <si>
    <t>PRS-London &amp; SE</t>
  </si>
  <si>
    <t>Churston Close</t>
  </si>
  <si>
    <t>Hugh Peel</t>
  </si>
  <si>
    <t>Flat21,Churston Cl,162-164 Tulse Hill,SW2 3BX</t>
  </si>
  <si>
    <t>Miss Marguerite Hamnell</t>
  </si>
  <si>
    <t xml:space="preserve">Passing rent is low to increase will be substantial </t>
  </si>
  <si>
    <t>1 bed/bath(shower), o/p kit/liv - Refurb '17GF</t>
  </si>
  <si>
    <t>Jemma</t>
  </si>
  <si>
    <t>826 The Barnum, 23 Queens Road, Nottingham</t>
  </si>
  <si>
    <t>Egle Katkute</t>
  </si>
  <si>
    <t>0</t>
  </si>
  <si>
    <t>1B2P,D1North</t>
  </si>
  <si>
    <t>M06 The Barnum, 23 Queens Road, Nottingham</t>
  </si>
  <si>
    <t>Lakshmi Keshav</t>
  </si>
  <si>
    <t>1B2P,A1aEast</t>
  </si>
  <si>
    <t>The Filaments</t>
  </si>
  <si>
    <t>Samantha Lancaster</t>
  </si>
  <si>
    <t>1005, Halogen House, 217 Chapel St, Salford,</t>
  </si>
  <si>
    <t>Mr Alex Coe</t>
  </si>
  <si>
    <t>Balcony, ESE1 Bed - TYPE A</t>
  </si>
  <si>
    <t>PRS-Regions</t>
  </si>
  <si>
    <t>The Rock</t>
  </si>
  <si>
    <t>David Hancock</t>
  </si>
  <si>
    <t>29, 110 The Rock, Bury, BL9</t>
  </si>
  <si>
    <t>Mohammad Armaghan Farooq Dar</t>
  </si>
  <si>
    <t>2 Bedroom Type 2D5/Balcony &amp; Terrace</t>
  </si>
  <si>
    <t>BTR-London &amp; SE</t>
  </si>
  <si>
    <t>Gatehouse Apartments</t>
  </si>
  <si>
    <t>Alice Shaw</t>
  </si>
  <si>
    <t>1 Gatehouse Apts, 86 East St, Southampton</t>
  </si>
  <si>
    <t>Valentina Palmini &amp; Aidan Watts</t>
  </si>
  <si>
    <t>HS reduced AM min to £1155 on 20.6.24</t>
  </si>
  <si>
    <t>L1,  Encl. balcony,  Orchard L/Nursery1Bed 2P, Type 1F</t>
  </si>
  <si>
    <t>Sent</t>
  </si>
  <si>
    <t>r2r needed</t>
  </si>
  <si>
    <t>Tilt Core</t>
  </si>
  <si>
    <t>Yvonne Leggett</t>
  </si>
  <si>
    <t>184 Peckham Rye, SF, London SE22 9QA</t>
  </si>
  <si>
    <t>Ms Anna Nikitina &amp; Mr Tim Maggs</t>
  </si>
  <si>
    <t>recent gas leak, resolved. Mould in bathroom but being looked into</t>
  </si>
  <si>
    <t>NPB</t>
  </si>
  <si>
    <t>2 bed, 1 bath, kitch, liv rm, roof terraceP Refurb '18, Second floor</t>
  </si>
  <si>
    <t>signing</t>
  </si>
  <si>
    <t>Waterloo Estate</t>
  </si>
  <si>
    <t>Miranda Rowe</t>
  </si>
  <si>
    <t>6A Mitre Road, London, SE1 8PY</t>
  </si>
  <si>
    <t>Jing Lee &amp; Yu Ming Saw</t>
  </si>
  <si>
    <t>Fully refurbished (2016) 1 bed flat, in good order at last inspection, tns been in since 2023</t>
  </si>
  <si>
    <t/>
  </si>
  <si>
    <t xml:space="preserve"> </t>
  </si>
  <si>
    <t>The Tilt Works</t>
  </si>
  <si>
    <t>Mark Churchard</t>
  </si>
  <si>
    <t>308, 84 Upper Allen St, Sheffield</t>
  </si>
  <si>
    <t>Adewale Adegoke and Ademide Olukoya</t>
  </si>
  <si>
    <t xml:space="preserve">Lease up is slow so we need to try to retain </t>
  </si>
  <si>
    <t>1008 Pin Yard, 11 Sweet Street, Leeds</t>
  </si>
  <si>
    <t>C Di Leo, A Cassidy &amp; N Basaraba</t>
  </si>
  <si>
    <t>3</t>
  </si>
  <si>
    <t>3B6P, 3East, Balcony</t>
  </si>
  <si>
    <t>The Headline</t>
  </si>
  <si>
    <t>Joseph Scarrott</t>
  </si>
  <si>
    <t>202, The Headline, Wellington Park Way, Leeds</t>
  </si>
  <si>
    <t>Amy Dowsing &amp; Molly Kelly</t>
  </si>
  <si>
    <t>1 Bed, 1 Bath, Type AL2,  East</t>
  </si>
  <si>
    <t>1002 Pin Yard, 11 Sweet Street, Leeds</t>
  </si>
  <si>
    <t>Onyinyechukwu Tasie</t>
  </si>
  <si>
    <t>1B2P, 1CWest, No Balcony</t>
  </si>
  <si>
    <t>1009, Halogen House, 217 Chapel St, Salford,</t>
  </si>
  <si>
    <t>Dylan Tsang &amp; Melissa Parsons</t>
  </si>
  <si>
    <t>Balcony, WNW2 Bed - TYPE A</t>
  </si>
  <si>
    <t>1003, Halogen House, 217 Chapel St, Salford,</t>
  </si>
  <si>
    <t>Jyoti Korde</t>
  </si>
  <si>
    <t>Balcony, Dual - ESE / NNE2 Bed - TYPE B</t>
  </si>
  <si>
    <t>Kings Dock Mill</t>
  </si>
  <si>
    <t>Luke Pollard</t>
  </si>
  <si>
    <t>Apt 60, Kings Dock Mill, Liverpool, L1</t>
  </si>
  <si>
    <t>Sinead Mannion</t>
  </si>
  <si>
    <t>No Neg</t>
  </si>
  <si>
    <t>1 Bedroom</t>
  </si>
  <si>
    <t>703, Lamp House, 215 Chapel St, Salford, M3 5</t>
  </si>
  <si>
    <t>Sarah Branch</t>
  </si>
  <si>
    <t>n/a</t>
  </si>
  <si>
    <t>Balcony, SW1 Bed - TYPE B</t>
  </si>
  <si>
    <t>The Forge</t>
  </si>
  <si>
    <t>Sam Robson</t>
  </si>
  <si>
    <t>507 South, The Forge, Newcastle, NE1 3AR</t>
  </si>
  <si>
    <t>Van Bui &amp; Rao Fu</t>
  </si>
  <si>
    <t>2 bed, 2 Bath, 5th Floor</t>
  </si>
  <si>
    <t>93 Mitre Road, London, SE1 8PT</t>
  </si>
  <si>
    <t>Miss O McEwan &amp; Mr David Woodbridge</t>
  </si>
  <si>
    <t>Modernised but not refurbised 1 bed flat, awtg quotes for new flooring to bathroom, if Mr Woodbridge is not tnts partner then flat is being used a a 2 bedroom with reception room being used as 2nd bedroom which I suspect in the case as on last inspection, lounge was set up as a bedroom</t>
  </si>
  <si>
    <t>705 Ambassador Apt, Waterman Wlk, Salford M50</t>
  </si>
  <si>
    <t>Hang Ying Helen Wai &amp; Choi Ngor Wong</t>
  </si>
  <si>
    <t>3 BedShanghai</t>
  </si>
  <si>
    <t>711 Syren Apt , Ottinger Close, Salford M50</t>
  </si>
  <si>
    <t>Cieran Hammadi &amp; Harry Best &amp; Dominic Davison</t>
  </si>
  <si>
    <t>3 BedHamburg</t>
  </si>
  <si>
    <t>901, The Headline, Wellington Park Way, Leeds</t>
  </si>
  <si>
    <t>Chloe Thompson and Alexander O'Brien</t>
  </si>
  <si>
    <t>2 Bed, 2 Bath, Type CL9, balcony, East</t>
  </si>
  <si>
    <t>618 Ambassador Apt, Waterman Wlk, Salford M50</t>
  </si>
  <si>
    <t>Kwok Pik Shan &amp; Chun Hing Wu</t>
  </si>
  <si>
    <t>2 BedShanghai</t>
  </si>
  <si>
    <t>404 Syren Apt , Ottinger Close, Salford M50</t>
  </si>
  <si>
    <t>Nikolei Suray</t>
  </si>
  <si>
    <t>2 BedSaigon</t>
  </si>
  <si>
    <t>301, Halogen House, 217 Chapel St, Salford, M</t>
  </si>
  <si>
    <t>Sam Dawes &amp; Dave Jones</t>
  </si>
  <si>
    <t>Balcony, WNW2 Bed - Type P</t>
  </si>
  <si>
    <t>732 The Barnum, 23 Queens Road, Nottingham</t>
  </si>
  <si>
    <t>Jenan Almutawa</t>
  </si>
  <si>
    <t>1B2P,A1North</t>
  </si>
  <si>
    <t>733 The Barnum, 23 Queens Road, Nottingham</t>
  </si>
  <si>
    <t>Hawraa Bahman</t>
  </si>
  <si>
    <t>9, 112 The Rock, Bury, BL9</t>
  </si>
  <si>
    <t>Mohamed Shalaby</t>
  </si>
  <si>
    <t>2 Bedroom Type 2B2/Balcony</t>
  </si>
  <si>
    <t>213, The Headline, Wellington Park Way, Leeds</t>
  </si>
  <si>
    <t>Nawon Oh</t>
  </si>
  <si>
    <t>1 Bed, 1 Bath, Type AL2,  West</t>
  </si>
  <si>
    <t>317, The Headline, Wellington Park Way, Leeds</t>
  </si>
  <si>
    <t>Mohamad Kheir Kheir and Fathiah Shacfe</t>
  </si>
  <si>
    <t>2 Bed, 2 Bath, Type EL3, balcony, North</t>
  </si>
  <si>
    <t>601, The Headline, Wellington Park Way, Leeds</t>
  </si>
  <si>
    <t>Nuha Alshabi</t>
  </si>
  <si>
    <t>2 Bed, 2 Bath, Type CL6, balcony, East</t>
  </si>
  <si>
    <t>Vesta</t>
  </si>
  <si>
    <t>Millet Place</t>
  </si>
  <si>
    <t>Samson Olaniyan</t>
  </si>
  <si>
    <t>136 Adlay Apartments, E16 2YG</t>
  </si>
  <si>
    <t>Jacqueline Yeates &amp; David Simmonett</t>
  </si>
  <si>
    <t>2B3P Balcony (ensuite) + wheelchair adaptable10th Floor</t>
  </si>
  <si>
    <t>203 West, The Forge, Newcastle, NE1 3AJ</t>
  </si>
  <si>
    <t>Shir Lynn Tan</t>
  </si>
  <si>
    <t>A, 2 Bed, 2 Bath, 2F</t>
  </si>
  <si>
    <t>702, The Headline, Wellington Park Way, Leeds</t>
  </si>
  <si>
    <t>M K Amusan &amp; S Okafor-Amusan</t>
  </si>
  <si>
    <t>1 Bed, 1 Bath, Type AL7,  East</t>
  </si>
  <si>
    <t>406, The Headline, Wellington Park Way, Leeds</t>
  </si>
  <si>
    <t>Kechi Cheng</t>
  </si>
  <si>
    <t>1 Bed, 1 Bath, Type AL4,  East</t>
  </si>
  <si>
    <t>309, The Headline, Wellington Park Way, Leeds</t>
  </si>
  <si>
    <t>Can Coskun</t>
  </si>
  <si>
    <t>1 Bed, 1 Bath, Type AL3,  West</t>
  </si>
  <si>
    <t>402, The Headline, Wellington Park Way, Leeds</t>
  </si>
  <si>
    <t>Robert-Alexandru Simon</t>
  </si>
  <si>
    <t>717, The Headline, Wellington Park Way, Leeds</t>
  </si>
  <si>
    <t>Alexandra Phillips &amp; Sarah Wells</t>
  </si>
  <si>
    <t>2 Bed, 2 Bath, Type EL7, balcony, North</t>
  </si>
  <si>
    <t>802 Tayleur Apt , Waterman Wlk, Salford M50</t>
  </si>
  <si>
    <t>Ka Yin Lee</t>
  </si>
  <si>
    <t>1 BedSantos</t>
  </si>
  <si>
    <t>620 Pin Yard, 11 Sweet Street, Leeds</t>
  </si>
  <si>
    <t>George Marshall &amp; Chad Oertel</t>
  </si>
  <si>
    <t>2B4P, 2BSouth, Balcony</t>
  </si>
  <si>
    <t>38 The Gardens, LGF, London SE22 9QF</t>
  </si>
  <si>
    <t>Mr David Corkhill</t>
  </si>
  <si>
    <t>no known issues. building refurbished in 2024</t>
  </si>
  <si>
    <t xml:space="preserve">Passing rent is low compared to other units of this size </t>
  </si>
  <si>
    <t>1 Room, Kitchen, Bath Flat - ConversionLower ground floor</t>
  </si>
  <si>
    <t>1108 Pin Yard, 11 Sweet Street, Leeds</t>
  </si>
  <si>
    <t>Wojcikiewicz, McNeill, Boxall &amp; Estdale</t>
  </si>
  <si>
    <t>Flat 3,Dominic Court,43 The Gardens, SE22 9QR</t>
  </si>
  <si>
    <t>Mr Richard Calver</t>
  </si>
  <si>
    <t>2 rms, kitchen, bath P/B flat, Prtl Rfrb 2016Basement</t>
  </si>
  <si>
    <t>406 Pin Yard, 11 Sweet Street, Leeds</t>
  </si>
  <si>
    <t>Munya Jingura, Tanya Ashton &amp; Tina Ashton</t>
  </si>
  <si>
    <t>Arrears</t>
  </si>
  <si>
    <t>312 Pin Yard, 11 Sweet Street, Leeds</t>
  </si>
  <si>
    <t>James Stott and Ailidh O'Connell</t>
  </si>
  <si>
    <t>Brook Place</t>
  </si>
  <si>
    <t>Emma Cramer- Mitchell</t>
  </si>
  <si>
    <t>411, Brook Place Apts, Sheffield,  S11 8BS</t>
  </si>
  <si>
    <t>Bojian Li &amp; Jiaxin Zhao</t>
  </si>
  <si>
    <t>1  (ensuite)1 Bedroom Apartment</t>
  </si>
  <si>
    <t>1106 Pin Yard, 11 Sweet Street, Leeds</t>
  </si>
  <si>
    <t>Lauren Smith</t>
  </si>
  <si>
    <t>1B2P, 1GNorth, No Balcony</t>
  </si>
  <si>
    <t>504 Pin Yard, 11 Sweet Street, Leeds</t>
  </si>
  <si>
    <t>Rui Song</t>
  </si>
  <si>
    <t>1B2P, 1DWest, No Balcony</t>
  </si>
  <si>
    <t>508, The Headline, Wellington Park Way, Leeds</t>
  </si>
  <si>
    <t>Nana Atefah</t>
  </si>
  <si>
    <t>2 Bed, 2 Bath, Type EL5, balcony, South</t>
  </si>
  <si>
    <t>1104 Pin Yard, 11 Sweet Street, Leeds</t>
  </si>
  <si>
    <t>Morten West</t>
  </si>
  <si>
    <t>603, The Headline, Wellington Park Way, Leeds</t>
  </si>
  <si>
    <t>Isabel Harvey &amp; Harry Toole</t>
  </si>
  <si>
    <t>1 Bed, 1 Bath, Type AL6,  East</t>
  </si>
  <si>
    <t>1110 Pin Yard, 11 Sweet Street, Leeds</t>
  </si>
  <si>
    <t>Abaan Kachkar &amp; Sibtain Ali</t>
  </si>
  <si>
    <t>814 Torrens Apt, Waterman Wlk, Salford M50</t>
  </si>
  <si>
    <t>Aishath Shaufa Shareef</t>
  </si>
  <si>
    <t>1Dubai</t>
  </si>
  <si>
    <t>1002, Halogen House, 217 Chapel St, Salford,</t>
  </si>
  <si>
    <t>Ling Tang</t>
  </si>
  <si>
    <t>Balcony, Dual - WNW/NNE2 Bed - TYPE B</t>
  </si>
  <si>
    <t>1008 Tayleur Apt , Waterman Wlk, Salford M50</t>
  </si>
  <si>
    <t>Victoria Quinn</t>
  </si>
  <si>
    <t>1 BedTrieste</t>
  </si>
  <si>
    <t>416 Ambassador Apt, Waterman Wlk, Salford M50</t>
  </si>
  <si>
    <t>V. Madhusoodanan &amp; K. Jayachandran</t>
  </si>
  <si>
    <t>2 BedMelbourne</t>
  </si>
  <si>
    <t>409 Pin Yard, 11 Sweet Street, Leeds</t>
  </si>
  <si>
    <t>Aisha Anver &amp; Vikaash Thiruchelvam</t>
  </si>
  <si>
    <t>1B2P, 1FNorth, No Balcony</t>
  </si>
  <si>
    <t>704 Pin Yard, 11 Sweet Street, Leeds</t>
  </si>
  <si>
    <t>Liam Hopley</t>
  </si>
  <si>
    <t>710 Pin Yard, 11 Sweet Street, Leeds</t>
  </si>
  <si>
    <t>James Daly</t>
  </si>
  <si>
    <t>1B2P, 1ENorth, No Balcony</t>
  </si>
  <si>
    <t>610 Pin Yard, 11 Sweet Street, Leeds</t>
  </si>
  <si>
    <t>Yiu Ming Samuel Yue &amp; Thi Van Anh Trinh</t>
  </si>
  <si>
    <t>Apt 29, Kings Dock Mill, Liverpool, L1</t>
  </si>
  <si>
    <t>Ryan Williams and Jason Dominguez</t>
  </si>
  <si>
    <t>2 Bedroom</t>
  </si>
  <si>
    <t>319 The Barnum, 23 Queens Road, Nottingham</t>
  </si>
  <si>
    <t>Zaid Memon &amp; Souporni Nath</t>
  </si>
  <si>
    <t>1B2P,A14South</t>
  </si>
  <si>
    <t>702 The Barnum, 23 Queens Road, Nottingham</t>
  </si>
  <si>
    <t>Jacob Day &amp; Karim Boustani</t>
  </si>
  <si>
    <t>2B4P,B4South</t>
  </si>
  <si>
    <t>728 The Barnum, 23 Queens Road, Nottingham</t>
  </si>
  <si>
    <t>Hei Yan Ng</t>
  </si>
  <si>
    <t>516 Pin Yard, 11 Sweet Street, Leeds</t>
  </si>
  <si>
    <t>Laure Renault &amp; Elliot Payne</t>
  </si>
  <si>
    <t>59, 124 The Rock, Bury, BL9</t>
  </si>
  <si>
    <t>Haseeb Bani &amp; Zainab Bani</t>
  </si>
  <si>
    <t>2 Bedroom Type 2A5/No Balcony</t>
  </si>
  <si>
    <t>6, 15 St. Johns Gardens, Bury, BL9</t>
  </si>
  <si>
    <t>Mario Mieza &amp; Callen McKenzie</t>
  </si>
  <si>
    <t>2 Bedroom Type 2B21/Balcony</t>
  </si>
  <si>
    <t>1403,The Headline, Wellington Park Way, Leeds</t>
  </si>
  <si>
    <t>Bushra Alhuzili and Khalid Alhuzili</t>
  </si>
  <si>
    <t>2 Bed, 1 Bath, Type BL14,  West</t>
  </si>
  <si>
    <t>513 Pin Yard, 11 Sweet Street, Leeds</t>
  </si>
  <si>
    <t>P Stockdale-Muir &amp; I de la Barrera Castro</t>
  </si>
  <si>
    <t>515 Pin Yard, 11 Sweet Street, Leeds</t>
  </si>
  <si>
    <t>Jed Jones</t>
  </si>
  <si>
    <t>Grove House</t>
  </si>
  <si>
    <t>Nicolette McRae</t>
  </si>
  <si>
    <t>Flat 19 Grove House, 11-20 Tudor Grove, Londo</t>
  </si>
  <si>
    <t>Mr Nawal Mehta &amp; Mr Daniel Stern</t>
  </si>
  <si>
    <t>Major works underway - new windows being installed &amp; external works. Flat in good condition.</t>
  </si>
  <si>
    <t>Live Work</t>
  </si>
  <si>
    <t xml:space="preserve">Passing rent is low here </t>
  </si>
  <si>
    <t>S/C 2 bed/2 bath,kit,living,balcony Rfb 2019TF</t>
  </si>
  <si>
    <t>204 North, The Forge, Newcastle, NE1 3AA</t>
  </si>
  <si>
    <t>Fajer Alelaj and Fahed Almutairi</t>
  </si>
  <si>
    <t>3 Bed, 2 Bath, 2F</t>
  </si>
  <si>
    <t>801 Pin Yard, 11 Sweet Street, Leeds</t>
  </si>
  <si>
    <t>Gianluca Casagrande</t>
  </si>
  <si>
    <t>611 Pin Yard, 11 Sweet Street, Leeds</t>
  </si>
  <si>
    <t>Jack Harris &amp; Hollie Brocklehurst</t>
  </si>
  <si>
    <t>1603, Neon House, 207 Chapel St, Salford, M3</t>
  </si>
  <si>
    <t>Wing Sze Li &amp; Lai Sim Wong</t>
  </si>
  <si>
    <t>Balcony, Dual - WSW/NNW2 Bed - TYPE F</t>
  </si>
  <si>
    <t>807 Torrens Apt, Waterman Wlk, Salford M50</t>
  </si>
  <si>
    <t>Moataz Soliman &amp; Doaa Hussein</t>
  </si>
  <si>
    <t>3Dubai</t>
  </si>
  <si>
    <t>Windlass Apartments</t>
  </si>
  <si>
    <t>Nicole Freeman</t>
  </si>
  <si>
    <t>905 Windlass Apartments, 4 Hale Wharf, N17</t>
  </si>
  <si>
    <t>Jasminder Kaur</t>
  </si>
  <si>
    <t>1 Bed 2P, Type 1ASingle-Wetlands, E, Balcony/Small</t>
  </si>
  <si>
    <t>207 Windlass Apartments, 4 Hale Wharf, N17</t>
  </si>
  <si>
    <t>Mr Connor Grohmann and Miss Zanelle Prinsloo</t>
  </si>
  <si>
    <t>1 Bed 2P, Type 1EDual-Canal/Ferry Lane, S/W, Balcony/Small</t>
  </si>
  <si>
    <t>Apt 47, Kings Dock Mill, Liverpool, L1</t>
  </si>
  <si>
    <t>Mr Richard Cahill &amp; Miss Laura Gavin</t>
  </si>
  <si>
    <t>55, 15 St. Johns Gardens, Bury, BL9</t>
  </si>
  <si>
    <t>Dr Sukhbir Chandy</t>
  </si>
  <si>
    <t>2 Bedroom Type 2B7/Balcony</t>
  </si>
  <si>
    <t>Flat 11 Grove House, 11-20 Tudor Grove, Londo</t>
  </si>
  <si>
    <t>J Burnett, A Agosse &amp; W Widenska</t>
  </si>
  <si>
    <t>Major works underway - new windows being installed &amp; external works. flat in good condition.</t>
  </si>
  <si>
    <t>3 bed/2 bath (1 ens), front balcony - PRfb'19SF</t>
  </si>
  <si>
    <t>Flat 3 Grove House, 11-20 Tudor Grove, Londo</t>
  </si>
  <si>
    <t>Miss Sophie Evans and Natalia Pages</t>
  </si>
  <si>
    <t>Major works underway - new windows being installed &amp; external works. Gym below noisy.  flat in good condition - prev half refurb (kitchen is dated). large terrace which is mostly unusable due to scaffolding.</t>
  </si>
  <si>
    <t>2 bed/1 bath,kit,liv,rear balcony - PRfb '17FF</t>
  </si>
  <si>
    <t>Flat 4 Grove House, 11-20 Tudor Grove, London</t>
  </si>
  <si>
    <t>Georgia Cook &amp; Maria Hutchens</t>
  </si>
  <si>
    <t>Major works underway - new windows being installed &amp; external works. Gym below noisy. flat in good condition.</t>
  </si>
  <si>
    <t>2 bed/2 bath(1e/s),o/p kit/liv,terrace-Rfb'15FF</t>
  </si>
  <si>
    <t>410 Pin Yard, 11 Sweet Street, Leeds</t>
  </si>
  <si>
    <t>Jamie Millar</t>
  </si>
  <si>
    <t>10 Pin Yard, 11 Sweet Street, Leeds</t>
  </si>
  <si>
    <t>Grace Wilkinson</t>
  </si>
  <si>
    <t>205, Neon House, 207 Chapel St, Salford, M3 5</t>
  </si>
  <si>
    <t>Nicole Fredericks &amp; Megan West</t>
  </si>
  <si>
    <t>interested in renewal with COS</t>
  </si>
  <si>
    <t>Dual - ENE / SSE2 Bed - Type L</t>
  </si>
  <si>
    <t>1211, Neon House, 207 Chapel St, Salford, M3</t>
  </si>
  <si>
    <t>Chi Leong Lo, Lek Tong Lo &amp; Wan Yin Ip</t>
  </si>
  <si>
    <t>Balcony, WSW2 Bed - TYPE R</t>
  </si>
  <si>
    <t>Apt 142, Kings Dock Mill, Liverpool, L1</t>
  </si>
  <si>
    <t>Matas Kupraitis &amp; Domas Mickus</t>
  </si>
  <si>
    <t>2 BedroomFurnished</t>
  </si>
  <si>
    <t xml:space="preserve">Resi Salford </t>
  </si>
  <si>
    <t>Louise Spooner</t>
  </si>
  <si>
    <t>23, West Craven Street, Salford, M5</t>
  </si>
  <si>
    <t>Khalid Alsowaidan &amp; Hafia Bin Shaman</t>
  </si>
  <si>
    <t>3 BedroomFurnished - new furniture pack - July 2020</t>
  </si>
  <si>
    <t>29, West Craven Street, Salford, M5</t>
  </si>
  <si>
    <t>Mr Elliott-Griffiths, Mr Crowley &amp; Mr Jordan</t>
  </si>
  <si>
    <t>3 BedroomUnfurnished - WHITE GOODS FITTED FEB 22</t>
  </si>
  <si>
    <t>Flat 18, Poplar House, Salford, M5</t>
  </si>
  <si>
    <t>Ms Agnieszka Morejko</t>
  </si>
  <si>
    <t>2 Bedroom DuplexUnfurnished</t>
  </si>
  <si>
    <t>814 Pin Yard, 11 Sweet Street, Leeds</t>
  </si>
  <si>
    <t>Eir Causey</t>
  </si>
  <si>
    <t>Credit</t>
  </si>
  <si>
    <t>816 Pin Yard, 11 Sweet Street, Leeds</t>
  </si>
  <si>
    <t>Safaa Dimashki</t>
  </si>
  <si>
    <t>35, 15 St. Johns Gardens, Bury, BL9</t>
  </si>
  <si>
    <t>Zaynab Ishola</t>
  </si>
  <si>
    <t>2 Bedroom Type 2B24/No Balcony</t>
  </si>
  <si>
    <t>1604,The Headline, Wellington Park Way, Leeds</t>
  </si>
  <si>
    <t>Ciaran Warrington &amp; Emily Moss</t>
  </si>
  <si>
    <t>2 Bed, 2 Bath, Type EL16, balcony, North</t>
  </si>
  <si>
    <t>68, 124 The Rock, Bury, BL9</t>
  </si>
  <si>
    <t>Dmytro Vyshnevskyi &amp; Kateryna Zaiets</t>
  </si>
  <si>
    <t>1 Bedroom Type 1B5/Balcony</t>
  </si>
  <si>
    <t>810 Ambassador Apt, Waterman Wlk, Salford M50</t>
  </si>
  <si>
    <t>Luke Deardon, Sussan Fanning &amp; Jamie Fanning</t>
  </si>
  <si>
    <t>710 Ambassador Apt, Waterman Wlk, Salford M50</t>
  </si>
  <si>
    <t>Joe Gibson, Jordon Thomas &amp; Una Brophy</t>
  </si>
  <si>
    <t>Dove Road</t>
  </si>
  <si>
    <t>Flat 20 Dove Road W, London, N1 3GB</t>
  </si>
  <si>
    <t>William McKinlay &amp; Brittany Smith</t>
  </si>
  <si>
    <t>Possible Major Works start 2024 - 2025. Flat is dated but in fair condition. dont push to hard</t>
  </si>
  <si>
    <t xml:space="preserve">Major works due to commence </t>
  </si>
  <si>
    <t>S/C 1 bed/1 bath flat, o/p kitchen/living rm4F</t>
  </si>
  <si>
    <t>701, The Headline, Wellington Park Way, Leeds</t>
  </si>
  <si>
    <t>Tian Hua Du &amp; Zhiying Hou</t>
  </si>
  <si>
    <t>2 Bed, 2 Bath, Type CL7, balcony, East</t>
  </si>
  <si>
    <t>614 Pin Yard, 11 Sweet Street, Leeds</t>
  </si>
  <si>
    <t>Ezra Mugambi &amp; Eunice Joel</t>
  </si>
  <si>
    <t>218 Pin Yard, 11 Sweet Street, Leeds</t>
  </si>
  <si>
    <t>Czarina Ebarita, Jhanel Ragadio</t>
  </si>
  <si>
    <t>3B6P, 4South, Balcony</t>
  </si>
  <si>
    <t>604, Neon House, 207 Chapel St, Salford, M3 5</t>
  </si>
  <si>
    <t>Lauren Palmer, Ann-Marie Calvert, Jade Lowson</t>
  </si>
  <si>
    <t>NNW3 Bed - TYPE B</t>
  </si>
  <si>
    <t>310 Torrens Apt, Waterman Wlk, Salford M50</t>
  </si>
  <si>
    <t>Kwok Kee Thomas Tang &amp; Oi Kwan Lee</t>
  </si>
  <si>
    <t>2Valencia</t>
  </si>
  <si>
    <t>404 Ambassador Apt, Waterman Wlk, Salford M50</t>
  </si>
  <si>
    <t>Duncan McCombe &amp; Gregory Hughes</t>
  </si>
  <si>
    <t>2 BedDubai</t>
  </si>
  <si>
    <t>803 Pin Yard, 11 Sweet Street, Leeds</t>
  </si>
  <si>
    <t>Anton Chambers and Anca Curelea</t>
  </si>
  <si>
    <t>1504, Lamp House, 215 Chapel St, Salford, M3</t>
  </si>
  <si>
    <t>Kunal Pathak &amp; Bethany Mapley</t>
  </si>
  <si>
    <t>Balcony, Dual - SW/NW2 Bed - TYPE C</t>
  </si>
  <si>
    <t>808 Tayleur Apt , Waterman Wlk, Salford M50</t>
  </si>
  <si>
    <t>Megan Ashworth</t>
  </si>
  <si>
    <t>1 BedBangkok</t>
  </si>
  <si>
    <t>1204, Lamp House, 215 Chapel St, Salford, M3</t>
  </si>
  <si>
    <t>Joseph Wahl &amp; Luke McPherson</t>
  </si>
  <si>
    <t xml:space="preserve">N/A   </t>
  </si>
  <si>
    <t>1207, Halogen House, 217 Chapel St, Salford,</t>
  </si>
  <si>
    <t>Zubair Agha, Anjum Agha &amp; Rabi Agha</t>
  </si>
  <si>
    <t>N/A - But have showed interest in moving to TH207</t>
  </si>
  <si>
    <t>Balcony, Dual - ESE / SSW2 Bed - TYPE B</t>
  </si>
  <si>
    <t>Apt 55, Kings Dock Mill, Liverpool, L1</t>
  </si>
  <si>
    <t>Pride Jani &amp; Thubelihle Brandon Muyambo</t>
  </si>
  <si>
    <t>106 Ambassador Apt, Waterman Wlk, Salford M50</t>
  </si>
  <si>
    <t>E.Burroughs, E.Harper, J Murch</t>
  </si>
  <si>
    <t>3 BedDubai</t>
  </si>
  <si>
    <t>8, Cooke Place, Block E, Salford, M5</t>
  </si>
  <si>
    <t>P Rowan, M Evans &amp; A Jenkinson</t>
  </si>
  <si>
    <t>3 BedroomFurnished</t>
  </si>
  <si>
    <t>Flat 4, Juniper House, Salford, M5</t>
  </si>
  <si>
    <t>Miss Arowolo &amp; Miss Oyesola</t>
  </si>
  <si>
    <t>2 Bedroom DuplexFurnished with WM &amp; FF</t>
  </si>
  <si>
    <t>714 The Barnum, 23 Queens Road, Nottingham</t>
  </si>
  <si>
    <t>Mark Belahya</t>
  </si>
  <si>
    <t>33, 15 St. Johns Gardens, Bury, BL9</t>
  </si>
  <si>
    <t>Marwa Mohamed Abdalla Khairi &amp; Atiya Osman</t>
  </si>
  <si>
    <t>2 Bedroom Type 2B24/Balcony</t>
  </si>
  <si>
    <t>702 Pin Yard, 11 Sweet Street, Leeds</t>
  </si>
  <si>
    <t>Gary Isaacs</t>
  </si>
  <si>
    <t>10 Canonbury Heights East, Henshall St N1 3GA</t>
  </si>
  <si>
    <t>Olivia Page &amp; Lachlan Greenshields</t>
  </si>
  <si>
    <t>Possible Major Works start 2024 - 2025. flat is in good condition. no known issues</t>
  </si>
  <si>
    <t>S/C 2 bed/1 bath, o/p kitchen/living Rfb21FF</t>
  </si>
  <si>
    <t>503 Pin Yard, 11 Sweet Street, Leeds</t>
  </si>
  <si>
    <t>Laura Martin</t>
  </si>
  <si>
    <t>1405,The Headline, Wellington Park Way, Leeds</t>
  </si>
  <si>
    <t>Danya Alrebdi</t>
  </si>
  <si>
    <t>2 Bed, 2 Bath, Type EL14, balcony, North</t>
  </si>
  <si>
    <t>804 Tayleur Apt , Waterman Wlk, Salford M50</t>
  </si>
  <si>
    <t>Halah Thanoon</t>
  </si>
  <si>
    <t>2 BedBangkok</t>
  </si>
  <si>
    <t>606 Ambassador Apt, Waterman Wlk, Salford M50</t>
  </si>
  <si>
    <t>Ross Goldstone &amp; Jingwen Zhang</t>
  </si>
  <si>
    <t>1 BedValencia</t>
  </si>
  <si>
    <t>806 Ambassador Apt, Waterman Wlk, Salford M50</t>
  </si>
  <si>
    <t>Amal Almutairi</t>
  </si>
  <si>
    <t>1 BedShanghai</t>
  </si>
  <si>
    <t>706 Torrens Apt, Waterman Wlk, Salford M50</t>
  </si>
  <si>
    <t>Wendy Moneke and Wisdom Udo</t>
  </si>
  <si>
    <t>2Shanghai</t>
  </si>
  <si>
    <t>809 Syren Apt , Ottinger Close, Salford M50</t>
  </si>
  <si>
    <t>Arpit Verma &amp; Mansi Chandna</t>
  </si>
  <si>
    <t>2 BedValencia</t>
  </si>
  <si>
    <t>603 Syren Apt , Ottinger Close, Salford M50</t>
  </si>
  <si>
    <t>Kai Ho Choi</t>
  </si>
  <si>
    <t>708 Syren Apt , Ottinger Close, Salford M50</t>
  </si>
  <si>
    <t>James Lancaster</t>
  </si>
  <si>
    <t>506 Torrens Apt, Waterman Wlk, Salford M50</t>
  </si>
  <si>
    <t>Poppy Cannon &amp; Emily Gregg</t>
  </si>
  <si>
    <t>502 Tayleur Apt , Waterman Wlk, Salford M50</t>
  </si>
  <si>
    <t>Aminah Wakil</t>
  </si>
  <si>
    <t>1 BedJakarta</t>
  </si>
  <si>
    <t>907 Ambassador Apt, Waterman Wlk, Salford M50</t>
  </si>
  <si>
    <t>Nick Overd</t>
  </si>
  <si>
    <t>604 Torrens Apt, Waterman Wlk, Salford M50</t>
  </si>
  <si>
    <t>Oluwatoyin Saka &amp; Abayomi Elkanah</t>
  </si>
  <si>
    <t>1401,The Headline, Wellington Park Way, Leeds</t>
  </si>
  <si>
    <t>Dennis Khaiter and Elya Dahan</t>
  </si>
  <si>
    <t>2 Bed, 2 Bath, Type FL14, balcony, South</t>
  </si>
  <si>
    <t>402 Torrens Apt, Waterman Wlk, Salford M50</t>
  </si>
  <si>
    <t>Holly Couper &amp; Thomas Pennie</t>
  </si>
  <si>
    <t>1Melbourne</t>
  </si>
  <si>
    <t>603, Neon House, 207 Chapel St, Salford, M3 5</t>
  </si>
  <si>
    <t>Marissa R Ibargüen &amp; Rhys Thomas</t>
  </si>
  <si>
    <t>Balcony, Dual: WSW/NNW2 Bed - TYPE F</t>
  </si>
  <si>
    <t>606 Torrens Apt, Waterman Wlk, Salford M50</t>
  </si>
  <si>
    <t>Rotimi Ajetomobi &amp; Olayinka Lasisi</t>
  </si>
  <si>
    <t>2Dubai</t>
  </si>
  <si>
    <t>512 Torrens Apt, Waterman Wlk, Salford M50</t>
  </si>
  <si>
    <t>Allison Sharman &amp; Megan Martin</t>
  </si>
  <si>
    <t>616 Torrens Apt, Waterman Wlk, Salford M50</t>
  </si>
  <si>
    <t>Anfernee Wong &amp; Kit Man Poon</t>
  </si>
  <si>
    <t>304 Torrens Apt, Waterman Wlk, Salford M50</t>
  </si>
  <si>
    <t>Ayesha Pansare &amp; Jakir Qureshi</t>
  </si>
  <si>
    <t>409, Neon House, 207 Chapel St, Salford, M3 5</t>
  </si>
  <si>
    <t>Mr Jayson Chang &amp; Mr James Mcquillen</t>
  </si>
  <si>
    <t>Check with PM</t>
  </si>
  <si>
    <t>Balcony, ENE2 Bed - TYPE R</t>
  </si>
  <si>
    <t>110 Ambassador Apt, Waterman Wlk, Salford M50</t>
  </si>
  <si>
    <t>Madi Eastham &amp; Alfie Barrett</t>
  </si>
  <si>
    <t>311 Torrens Apt, Waterman Wlk, Salford M50</t>
  </si>
  <si>
    <t>Emily Parker &amp; Jamie-Lei Roberts</t>
  </si>
  <si>
    <t>301 Tayleur Apt , Waterman Wlk, Salford M50</t>
  </si>
  <si>
    <t>Chloe Copeland &amp; Sean Bryan</t>
  </si>
  <si>
    <t>1304, Lamp House, 215 Chapel St, Salford, M3</t>
  </si>
  <si>
    <t>Stefano Smith &amp; Thomas Rose</t>
  </si>
  <si>
    <t>1004, Halogen House, 217 Chapel St, Salford,</t>
  </si>
  <si>
    <t>Salman Khan, Toby Davies &amp; Huw Jones</t>
  </si>
  <si>
    <t>Balcony, ESE3 Bed - TYPE A</t>
  </si>
  <si>
    <t>407, Halogen House, 217 Chapel St, Salford, M</t>
  </si>
  <si>
    <t>Miss Sara Heirati and Mr Rhys O'Brien</t>
  </si>
  <si>
    <t>1504, Neon House, 207 Chapel St, Salford, M3</t>
  </si>
  <si>
    <t>L Stratford &amp; A Ashworth &amp; M Williams</t>
  </si>
  <si>
    <t>510,Neon House, 207 Chapel St, Salford, M3 5P</t>
  </si>
  <si>
    <t>Thomas Clare &amp; Ethan Samuels</t>
  </si>
  <si>
    <t>Balcony, ENE2 Bed - TYPE Q</t>
  </si>
  <si>
    <t>801 Tayleur Apt , Waterman Wlk, Salford M50</t>
  </si>
  <si>
    <t>Chun Kit Chu and Hoi Mei Wong</t>
  </si>
  <si>
    <t>2 BedManila</t>
  </si>
  <si>
    <t>902 Tayleur Apt , Waterman Wlk, Salford M50</t>
  </si>
  <si>
    <t>Chi Ying Chan and Tzr Kin Ken Liu</t>
  </si>
  <si>
    <t>1 BedTokyo</t>
  </si>
  <si>
    <t>1006 Tayleur Apt , Waterman Wlk, Salford M50</t>
  </si>
  <si>
    <t>Wai Yan Leung</t>
  </si>
  <si>
    <t>318 Torrens Apt, Waterman Wlk, Salford M50</t>
  </si>
  <si>
    <t>Nicholas Ndala and Sherry Gendy</t>
  </si>
  <si>
    <t>2Gothenburg</t>
  </si>
  <si>
    <t>804 Torrens Apt, Waterman Wlk, Salford M50</t>
  </si>
  <si>
    <t>Lee Watts and Izabella Davison</t>
  </si>
  <si>
    <t>216 Ambassador Apt, Waterman Wlk, Salford M50</t>
  </si>
  <si>
    <t>Ahmed Essat &amp; Samuel Hutchinson</t>
  </si>
  <si>
    <t>912 Torrens Apt, Waterman Wlk, Salford M50</t>
  </si>
  <si>
    <t>Hei Man Yiu and Kin Yip Wong</t>
  </si>
  <si>
    <t>1012 Tayleur Apt , Waterman Wlk, Salford M50</t>
  </si>
  <si>
    <t>Mr D Marston &amp; Mr C Murphy</t>
  </si>
  <si>
    <t>2 BedTokyo</t>
  </si>
  <si>
    <t>604, Halogen House, 217 Chapel St, Salford, M</t>
  </si>
  <si>
    <t>Louis King, Zebedee Marsh &amp; Cameron Smith</t>
  </si>
  <si>
    <t>1010 Tayleur Apt , Waterman Wlk, Salford M50</t>
  </si>
  <si>
    <t>Thomas Foster and Rosie Boyer</t>
  </si>
  <si>
    <t>1001, Lamp House, 215 Chapel St, Salford, M3</t>
  </si>
  <si>
    <t>Ellis Laurie Michael &amp; Rosie I Meyer Czopor</t>
  </si>
  <si>
    <t>Balcony, Dual - NE/SE2 Bed - TYPE N</t>
  </si>
  <si>
    <t>907, Halogen House, 217 Chapel St, Salford, M</t>
  </si>
  <si>
    <t>Hong-Yu Ciou &amp; Ming Kit Tung</t>
  </si>
  <si>
    <t>206, Neon House, 207 Chapel St, Salford, M3 5</t>
  </si>
  <si>
    <t>K. Howarth &amp; L. Moselhi &amp; O. Whitehurst</t>
  </si>
  <si>
    <t>WSW3 Bed - Type E</t>
  </si>
  <si>
    <t>905, Neon House, 207 Chapel St, Salford, M3 5</t>
  </si>
  <si>
    <t>Michael Midwa &amp; Amal Sandeep Radia</t>
  </si>
  <si>
    <t>Have had 1 noise complaint in july 23 and 1 months RA - Check with PM</t>
  </si>
  <si>
    <t>Balcony, Dual - NNW/ENE2 Bed - TYPE E</t>
  </si>
  <si>
    <t>203, Neon House, 207 Chapel St, Salford, M3 5</t>
  </si>
  <si>
    <t>Lucy Newby, Simone Mostaan &amp; Alexandra Deas</t>
  </si>
  <si>
    <t>Dual - ENE / SSE3 Bed - Type D</t>
  </si>
  <si>
    <t>605 Torrens Apt, Waterman Wlk, Salford M50</t>
  </si>
  <si>
    <t>Macauley Searle and Chloe Lyon</t>
  </si>
  <si>
    <t>307, Neon House, 207 Chapel St, Salford, M3 5</t>
  </si>
  <si>
    <t>J Gormley, C Justin &amp; E Stamoulakatou</t>
  </si>
  <si>
    <t>Dual - SSE/ENE3 Bed - TYPE C</t>
  </si>
  <si>
    <t>204, Neon House, 207 Chapel St, Salford, M3 5</t>
  </si>
  <si>
    <t>H Tuz-Zahra, E Bennett, B Agboola</t>
  </si>
  <si>
    <t>ENE3 Bed - Type E</t>
  </si>
  <si>
    <t>407, Neon House, 207 Chapel St, Salford, M3 5</t>
  </si>
  <si>
    <t>Ben Clayton &amp; Jack Airey &amp; James Fleming</t>
  </si>
  <si>
    <t>702, Halogen House, 217 Chapel St, Salford, M</t>
  </si>
  <si>
    <t>Emma Geoghegan &amp; Mia Kandidakis</t>
  </si>
  <si>
    <t>611, Neon House, 207 Chapel St, Salford, M3 5</t>
  </si>
  <si>
    <t>Ali Kakvi &amp; Sakina Ali Kakvi</t>
  </si>
  <si>
    <t>N/A - chair snapped when she was sat on it and think furniture is very bad qual.</t>
  </si>
  <si>
    <t>Balcony, Dual: SSE/WSW2 Bed - TYPE Q</t>
  </si>
  <si>
    <t>202 Torrens Apt, Waterman Wlk, Salford M50</t>
  </si>
  <si>
    <t>Ashwin Kumar Rajagopalan</t>
  </si>
  <si>
    <t>1Gothenburg</t>
  </si>
  <si>
    <t>Apt 130, Kings Dock Mill, Liverpool, L1</t>
  </si>
  <si>
    <t>Arshin Karami</t>
  </si>
  <si>
    <t>Apt 154, Kings Dock Mill, Liverpool, L1</t>
  </si>
  <si>
    <t>Luke Griffiths, Matthew Jones &amp; Owen Terry</t>
  </si>
  <si>
    <t>3 Bedroom</t>
  </si>
  <si>
    <t>Apt 43, Kings Dock Mill, Liverpool, L1</t>
  </si>
  <si>
    <t>Miss Nicola Yeung</t>
  </si>
  <si>
    <t>Apt 7, Kings Dock Mill, Liverpool, L1</t>
  </si>
  <si>
    <t>William Shuttleworth</t>
  </si>
  <si>
    <t>No arrears</t>
  </si>
  <si>
    <t>30, Hollies Lane, Block E, Salford, M5</t>
  </si>
  <si>
    <t>Jacob Williams, Ellis Brown &amp; Juliette Turpin</t>
  </si>
  <si>
    <t>3 Bedroom - NO WHITE GOODSFully furnished - July 22</t>
  </si>
  <si>
    <t>Flat 25, Poplar House, Salford, M5</t>
  </si>
  <si>
    <t>Daniel Manning &amp; Jason Johns</t>
  </si>
  <si>
    <t>2 Bedroom Duplex *inc FF &amp; WMFurnished</t>
  </si>
  <si>
    <t>22, 112 The Rock, Bury, BL9</t>
  </si>
  <si>
    <t>Muhammad Sajjid Akhtar &amp; Jamilah Begum</t>
  </si>
  <si>
    <t>1 Bedroom Type 1C3/Balcony</t>
  </si>
  <si>
    <t>28, 15 St. Johns Gardens, Bury, BL9</t>
  </si>
  <si>
    <t>Abdul Rehman Mehboob &amp; Farida Tariq</t>
  </si>
  <si>
    <t>1 Bedroom Type 1B4/Balcony</t>
  </si>
  <si>
    <t>41, 124 The Rock, Bury, BL9</t>
  </si>
  <si>
    <t>Ying Chan</t>
  </si>
  <si>
    <t>45, 15 St. Johns Gardens, Bury, BL9</t>
  </si>
  <si>
    <t>Chi Cheung Fong</t>
  </si>
  <si>
    <t>1 Bedroom Type 1A6/Balcony &amp; Terrace</t>
  </si>
  <si>
    <t>47, 15 St. Johns Gardens, Bury, BL9</t>
  </si>
  <si>
    <t>Abiola Awe</t>
  </si>
  <si>
    <t>Please check PB on this one and let me know if incorrect</t>
  </si>
  <si>
    <t>1 Bedroom Type 1B6/Balcony</t>
  </si>
  <si>
    <t>54, 15 St. Johns Gardens, Bury, BL9</t>
  </si>
  <si>
    <t>Mr Simon Holland &amp; Mr Jason Mcilvaney</t>
  </si>
  <si>
    <t>1 Bedroom Type 1B7/Balcony</t>
  </si>
  <si>
    <t>55, 112 The Rock, Bury, BL9</t>
  </si>
  <si>
    <t>Mrs Cheryl Dias and Mr Wilson Tauro</t>
  </si>
  <si>
    <t>2 Bedroom Type 2A7/Balcony</t>
  </si>
  <si>
    <t>Flat 12 Dove Road W, London, N1 3GB</t>
  </si>
  <si>
    <t>Olivia Lee &amp; Abigail James</t>
  </si>
  <si>
    <t>S/C 2 bed/1 bath flat, o/p kitchen/livingSF (Refurbishment Complete 04.07.2022 6M DLP)</t>
  </si>
  <si>
    <t>Flat 1 Dove Road W, London, N1 3GB</t>
  </si>
  <si>
    <t>Andreas Oetzinger</t>
  </si>
  <si>
    <t>1 bed/1 bath w/mezz, o/p kit/living Rfb21GF/Mezz</t>
  </si>
  <si>
    <t>Flat 19 Dove Road W, London, N1 3GB</t>
  </si>
  <si>
    <t>Miss C Hopkins Hall</t>
  </si>
  <si>
    <t>1 bed/1 bath flat, o/p kit/liv - Refurb '164F</t>
  </si>
  <si>
    <t>12 Canonbury Heights East, Henshall St N1 3GA</t>
  </si>
  <si>
    <t>Luke Hazelton &amp; Emma Dane</t>
  </si>
  <si>
    <t xml:space="preserve">Possible Major Works start 2024 - 2025. Flat is in very good condition. they are unhappy with residents below smoking and noise nuisance. we are trying to resolve. </t>
  </si>
  <si>
    <t>2 bed/1 bath flat, o/p kitchen/living, Rfrb21FF</t>
  </si>
  <si>
    <t>5 Canonbury Heights East, Henshall St N1 3GA</t>
  </si>
  <si>
    <t>Mr Paul Dang</t>
  </si>
  <si>
    <t xml:space="preserve">Possible Major Works start 2024 - 2025. Flat is small and pokey ! flat is in good condition - tenant has alot of belongings inside. no known issues. </t>
  </si>
  <si>
    <t>Split lvl 1bed/2bath flat,o/p kit/liv-Rfb'17GF/Mezz</t>
  </si>
  <si>
    <t>Tribe</t>
  </si>
  <si>
    <t>Mark Weeden</t>
  </si>
  <si>
    <t>21, New Islington, 43 Chippenham Road, M4 6BY</t>
  </si>
  <si>
    <t>Tsz Hin Cheng</t>
  </si>
  <si>
    <t>Scaffold &amp; facade works - standard renewal increase</t>
  </si>
  <si>
    <t>1 Bed, 4th Floor, FurnishedMiddle View, No Balcony</t>
  </si>
  <si>
    <t>22, East Quarter, 2 Ridgway Street, M4 7LB</t>
  </si>
  <si>
    <t>Miss Nicole Wijnen</t>
  </si>
  <si>
    <t>1 Bed Deluxe, 4th Floor, Furnished Canal View, No Balcony</t>
  </si>
  <si>
    <t>28, Ancoats, 2 Butler Street, M4 6BZ</t>
  </si>
  <si>
    <t>Oonati Patel &amp; Grace Watson</t>
  </si>
  <si>
    <t>2 Bed, 5th Floor, FurnishedCity View, No Balcony</t>
  </si>
  <si>
    <t>36, Ancoats, 2 Butler Street, M4 6BZ</t>
  </si>
  <si>
    <t>Rayhaan Hossen</t>
  </si>
  <si>
    <t>1 Bed Deluxe, 7th Floor, FurnishedCity View, No Balcony</t>
  </si>
  <si>
    <t>13, Ancoats, 2 Butler Street, M4 6BZ</t>
  </si>
  <si>
    <t>Oliver Patterson &amp; Nathan Ferguson</t>
  </si>
  <si>
    <t>2 Bed, 2nd Floor, FurnishedCity View, No Balcony</t>
  </si>
  <si>
    <t>33, Ancoats, 2 Butler Street, M4 6BZ</t>
  </si>
  <si>
    <t>Oliver Seymour &amp; Joshua Flynn</t>
  </si>
  <si>
    <t>2 Bed, 6th Floor, FurnishedCity View, No Balcony</t>
  </si>
  <si>
    <t>Apt 104, Kings Dock Mill, Liverpool, L1</t>
  </si>
  <si>
    <t>Jessica Thompson &amp; Grant Lenton</t>
  </si>
  <si>
    <t>They are looking to do a CofS with Grant staying and Jes leaving and being replaced by someone else</t>
  </si>
  <si>
    <t>Apt 162, Kings Dock Mill, Liverpool, L1</t>
  </si>
  <si>
    <t>Miss Ellie Keegan</t>
  </si>
  <si>
    <t>Apt 166, Kings Dock Mill, Liverpool, L1</t>
  </si>
  <si>
    <t>Hannah Bates</t>
  </si>
  <si>
    <t>Resi Oakleigh</t>
  </si>
  <si>
    <t>Flat L, Oakleigh House, Sale, M33</t>
  </si>
  <si>
    <t>Adil Anwar</t>
  </si>
  <si>
    <t>Refer to AM if any issue.  Do not want void</t>
  </si>
  <si>
    <t>1 Bedroom, 1 bathroom, open plan, basementUnfurnished with white goods</t>
  </si>
  <si>
    <t>Flat M, Oakleigh House, Sale, M33</t>
  </si>
  <si>
    <t>Samuel Chapman</t>
  </si>
  <si>
    <t>1 Bedroom, 1 bathroom, Living Room, basementUnfurnished</t>
  </si>
  <si>
    <t>Flat 30, Juniper House, Salford, M5</t>
  </si>
  <si>
    <t>Mark Balaj</t>
  </si>
  <si>
    <t>2 Bedroom Duplex - WM &amp; FFFully furnished - July 22</t>
  </si>
  <si>
    <t>27, 15 St. Johns Gardens, Bury, BL9</t>
  </si>
  <si>
    <t>Lina Achieng Ouma</t>
  </si>
  <si>
    <t>1 Bedroom Type 1A4/No Balcony Furnished 23.04.19</t>
  </si>
  <si>
    <t>56, 112 The Rock, Bury, BL9</t>
  </si>
  <si>
    <t>Chung Bin, Mingwai Kelly Bin &amp; Yee Hung Yuen</t>
  </si>
  <si>
    <t>61, 15 St. Johns Gardens, Bury, BL9</t>
  </si>
  <si>
    <t>Dr Steven Hallett</t>
  </si>
  <si>
    <t>1 Bedroom Type 1B - UNFURNISHED8/Balcony</t>
  </si>
  <si>
    <t>16, New Islington, 43 Chippenham Road, M4 6BY</t>
  </si>
  <si>
    <t>Caurie-Jade Morgan</t>
  </si>
  <si>
    <t>1 Bed, 3rd Floor, FurnishedMiddle View, No Balcony</t>
  </si>
  <si>
    <t>19, East Quarter, 2 Ridgway Street, M4 7LB</t>
  </si>
  <si>
    <t>Natasha Baker and Aaron France</t>
  </si>
  <si>
    <t>1 Bed Deluxe, 3rd Floor, FurnishedEtihad View, No Balcony</t>
  </si>
  <si>
    <t>Apt 108, Kings Dock Mill, Liverpool, L1</t>
  </si>
  <si>
    <t>Taylor Munro &amp; Emma Mullen</t>
  </si>
  <si>
    <t>Apt 171, Kings Dock Mill, Liverpool, L1</t>
  </si>
  <si>
    <t>Mr Matthew Ford &amp; Mr Graeme Wood</t>
  </si>
  <si>
    <t>Apt 56, Kings Dock Mill, Liverpool, L1</t>
  </si>
  <si>
    <t>Anurekhaa Devaraj &amp; Dhinesh Raju</t>
  </si>
  <si>
    <t>Apt 85, Kings Dock Mill, Liverpool, L1</t>
  </si>
  <si>
    <t>Paul Anthony Holmes</t>
  </si>
  <si>
    <t>23, East Quarter, 2 Ridgway Street, M4 7LB</t>
  </si>
  <si>
    <t>Ho Hin Wong, Lai Fong Kwok &amp; Yim Ting Lam</t>
  </si>
  <si>
    <t>2 Bed, 4th Floor, Furnished Canal View, No Balcony</t>
  </si>
  <si>
    <t>27, East Quarter, 2 Ridgway Street, M4 7LB</t>
  </si>
  <si>
    <t>Fabio Abreu</t>
  </si>
  <si>
    <t>1 Bed Deluxe, 5th Floor, Furnished Canal View, No Balcony</t>
  </si>
  <si>
    <t>21, 124 The Rock, Bury, BL9</t>
  </si>
  <si>
    <t>Mr David Alan Walton &amp; Miss Jennifer Foden</t>
  </si>
  <si>
    <t>AST Per</t>
  </si>
  <si>
    <t>1 Bedroom Type 1B2/No Balcony</t>
  </si>
  <si>
    <t>65, 124 The Rock, Bury, BL9</t>
  </si>
  <si>
    <t>Mrs Rabia Nazar and Mr Ali Hamza</t>
  </si>
  <si>
    <t>Studio Type A5/No Balcony</t>
  </si>
  <si>
    <t>70, 124 The Rock, Bury, BL9</t>
  </si>
  <si>
    <t>Mr Russell Smith</t>
  </si>
  <si>
    <t>30, New Islington, 43 Chippenham Road, M4 6BY</t>
  </si>
  <si>
    <t>Marlena Ngonyamo &amp; Inhye Seo</t>
  </si>
  <si>
    <t>2 Bed, 6th Floor, FurnishedEtihad View, No Balcony</t>
  </si>
  <si>
    <t>32, New Islington, 43 Chippenham Road, M4 6BY</t>
  </si>
  <si>
    <t>Khizra Fatima</t>
  </si>
  <si>
    <t>1 Bed Deluxe, 6th Floor, Furnished Canal View, No Balcony</t>
  </si>
  <si>
    <t>1207, Neon House, 207 Chapel St, Salford, M3</t>
  </si>
  <si>
    <t>Florine Odukoya</t>
  </si>
  <si>
    <t xml:space="preserve">n/a    </t>
  </si>
  <si>
    <t>Balcony, ENE1 Bed - TYPE K</t>
  </si>
  <si>
    <t>306, Halogen House, 217 Chapel St, Salford, M</t>
  </si>
  <si>
    <t>Sheena Shah</t>
  </si>
  <si>
    <t>701, Neon House, 207 Chapel St, Salford, M3 5</t>
  </si>
  <si>
    <t>Wing Suet Chan</t>
  </si>
  <si>
    <t>Dual - SSE/WSW1 Bed - TYPE D</t>
  </si>
  <si>
    <t>48, Ancoats, 2 Butler Street, M4 6BZ</t>
  </si>
  <si>
    <t>Amaresh Panda</t>
  </si>
  <si>
    <t>2 Bed, 9th Floor, FurnishedCity View, No Balcony</t>
  </si>
  <si>
    <t>Apt 116, Kings Dock Mill, Liverpool, L1</t>
  </si>
  <si>
    <t>Kate Poynter</t>
  </si>
  <si>
    <t>Apt 127, Kings Dock Mill, Liverpool, L1</t>
  </si>
  <si>
    <t>Jake Lamb, Elijah Lamb &amp; Lilly Banks</t>
  </si>
  <si>
    <t>Apt 128, Kings Dock Mill, Liverpool, L1</t>
  </si>
  <si>
    <t>C O’Donnell, N Hefford &amp; L Wilkins</t>
  </si>
  <si>
    <t>Apt 3, Kings Dock Mill, Liverpool, L1</t>
  </si>
  <si>
    <t>Xin Zhang</t>
  </si>
  <si>
    <t>Apt 4, Kings Dock Mill, Liverpool, L1</t>
  </si>
  <si>
    <t>James Campbell &amp; Nicolo Isaia</t>
  </si>
  <si>
    <t>Apt 91, Kings Dock Mill, Liverpool, L1</t>
  </si>
  <si>
    <t>Mr Kyle Blake &amp; Mr Alex Pearson</t>
  </si>
  <si>
    <t>Flat F, Oakleigh House, Sale, M33</t>
  </si>
  <si>
    <t>Mathew Roshan Blessen &amp; Anitta Sebastian</t>
  </si>
  <si>
    <t>1 Bed, 1 shower room, 1st flr - SMALL FFUnfurnished with white goods</t>
  </si>
  <si>
    <t>20, Hollies Lane, Block E, Salford, M5</t>
  </si>
  <si>
    <t>Miss Williams, Miss Gaskell &amp; Miss ONeil</t>
  </si>
  <si>
    <t>3 BedroomFurnished with white goods</t>
  </si>
  <si>
    <t>Flat 14, Juniper House, Salford, M5</t>
  </si>
  <si>
    <t>Naman Vashistha</t>
  </si>
  <si>
    <t>2 Bedroom DuplexFurnished with white goods - Feb 24</t>
  </si>
  <si>
    <t>Flat 25, Juniper House, Salford, M5</t>
  </si>
  <si>
    <t>Grace Hampson &amp; Alex Gough</t>
  </si>
  <si>
    <t>2 Bed DuplexFF with white goods - July 23</t>
  </si>
  <si>
    <t>M11 The Barnum, 23 Queens Road, Nottingham</t>
  </si>
  <si>
    <t>Solomon Kwas</t>
  </si>
  <si>
    <t>2B4P,B8South</t>
  </si>
  <si>
    <t>1206, Neon House, 207 Chapel St, Salford, M3</t>
  </si>
  <si>
    <t>Tak Leung Yiu &amp; Lai Ling Yuen</t>
  </si>
  <si>
    <t>Balcony, ENE1 Bed - TYPE F</t>
  </si>
  <si>
    <t>1303, Lamp House, 215 Chapel St, Salford, M3</t>
  </si>
  <si>
    <t>Tomos Davies</t>
  </si>
  <si>
    <t>1901, Neon House, 207 Chapel St, Salford, M3</t>
  </si>
  <si>
    <t>Xinyu Xu</t>
  </si>
  <si>
    <t>Dual - SSE/WSW1 Bed - TYPE G</t>
  </si>
  <si>
    <t>1906, Neon House, 207 Chapel St, Salford, M3</t>
  </si>
  <si>
    <t>Marek Michalowaki</t>
  </si>
  <si>
    <t>Balcony, ENE1 Bed - TYPE H</t>
  </si>
  <si>
    <t>403, Lamp House, 215 Chapel St, Salford, M3 5</t>
  </si>
  <si>
    <t>Shiron Rajendran &amp; Laura Ferris</t>
  </si>
  <si>
    <t>506, Halogen House, 217 Chapel St, Salford, M</t>
  </si>
  <si>
    <t>Kyra Ali &amp; Mariel Ferrer</t>
  </si>
  <si>
    <t xml:space="preserve">N/A - Suspect relationship breakdown so probs wont renew. </t>
  </si>
  <si>
    <t>705, Halogen House, 217 Chapel St, Salford, M</t>
  </si>
  <si>
    <t>Mr Amr Temraz</t>
  </si>
  <si>
    <t>806, Halogen House, 217 Chapel St, Salford, M</t>
  </si>
  <si>
    <t>Diala Zabalawi</t>
  </si>
  <si>
    <t>2, 124 The Rock, Bury, BL9</t>
  </si>
  <si>
    <t>Mr David Chard</t>
  </si>
  <si>
    <t>1 Bedroom Type 1D1/No Balcony</t>
  </si>
  <si>
    <t>20, 124 The Rock, Bury, BL9</t>
  </si>
  <si>
    <t>Wei Han &amp; Ye He</t>
  </si>
  <si>
    <t>1 Bedroom Type 1B2/Balcony</t>
  </si>
  <si>
    <t>24, 15 St. Johns Gardens, Bury, BL9</t>
  </si>
  <si>
    <t>Fran Spolverino &amp; Ryan Bracken</t>
  </si>
  <si>
    <t>2 Bedroom Type 2B23/Balcony</t>
  </si>
  <si>
    <t>26, 5 St. Johns Gardens, Bury, BL9</t>
  </si>
  <si>
    <t>Ms Fatemeh Mahmoudnezhad</t>
  </si>
  <si>
    <t>29, 124 The Rock, Bury, BL9</t>
  </si>
  <si>
    <t>Pui Han Shum, Wing Shing Wong &amp; Ka Wong</t>
  </si>
  <si>
    <t>2 Bedroom Type 2C3/Balcony</t>
  </si>
  <si>
    <t>4, 124 The Rock, Bury, BL9</t>
  </si>
  <si>
    <t>Pui Yee Leung &amp; Rene Koptak</t>
  </si>
  <si>
    <t>Studio Type A1/No Balcony</t>
  </si>
  <si>
    <t>5, 110 The Rock, Bury, BL9</t>
  </si>
  <si>
    <t>Zeynab Yusuf</t>
  </si>
  <si>
    <t>53, 112 The Rock, Bury, BL9</t>
  </si>
  <si>
    <t>Laura Forrest-Hinks &amp; Cieren Fitzgerald</t>
  </si>
  <si>
    <t>1 Bedroom Type 1C6/Balcony</t>
  </si>
  <si>
    <t>7, 112 The Rock, Bury, BL9</t>
  </si>
  <si>
    <t>Adam Bateman &amp; Christopher Allison</t>
  </si>
  <si>
    <t>2 Bedroom Type 2A2/Balcony</t>
  </si>
  <si>
    <t>58, Ancoats, 2 Butler Street, M4 6BZ</t>
  </si>
  <si>
    <t>Dominic Bradley &amp; Eleanor Tee</t>
  </si>
  <si>
    <t>2 Bed, 11th Floor, FurnishedCity View, No Balcony</t>
  </si>
  <si>
    <t>6, East Quarter, 2 Ridgway Street, M4 7LB</t>
  </si>
  <si>
    <t>Bradley Cole</t>
  </si>
  <si>
    <t>1 Bed, 1st Floor, FurnishedMiddle View, No Balcony</t>
  </si>
  <si>
    <t>62, New Islington, 43 Chippenham Road, M4 6BY</t>
  </si>
  <si>
    <t>Lucia Miranda &amp; Sam Barrand</t>
  </si>
  <si>
    <t>1 Bed Deluxe, 12th Floor, Furnished Canal View, No Balcony</t>
  </si>
  <si>
    <t>8, New Islington, 43 Chippenham Road, M4 6BY</t>
  </si>
  <si>
    <t>Lauren Yates</t>
  </si>
  <si>
    <t>2 Bed, 1st Floor, Furnished Canal View, No Balcony</t>
  </si>
  <si>
    <t>24, East Quarter, 2 Ridgway Street, M4 7LB</t>
  </si>
  <si>
    <t>Abigail Ehrlich</t>
  </si>
  <si>
    <t>1 Bed Deluxe, 4th Floor, FurnishedEtihad View, No Balcony</t>
  </si>
  <si>
    <t>51, Ancoats, 2 Butler Street, M4 6BZ</t>
  </si>
  <si>
    <t>Vasava Snehaben</t>
  </si>
  <si>
    <t>1 Bed Deluxe, 10th Floor, FurnishedCity View, No Balcony</t>
  </si>
  <si>
    <t>62, 124 The Rock</t>
  </si>
  <si>
    <t>No issues from PM</t>
  </si>
  <si>
    <t>355.21 sq.ft</t>
  </si>
  <si>
    <t>5th Floor</t>
  </si>
  <si>
    <t>804, Brook Place Apts, Sheffield,  S11 8DA</t>
  </si>
  <si>
    <t>Elle Hermosilla, Mark Lazarte</t>
  </si>
  <si>
    <t>Do not offer PB.  Please offer AM minimum</t>
  </si>
  <si>
    <t>Enigma Square</t>
  </si>
  <si>
    <t>Tina Viragh</t>
  </si>
  <si>
    <t>516 Enigma Square,  414 North Row, MK9 2GE</t>
  </si>
  <si>
    <t>Rakshita More and Neeraj Rao Pawar</t>
  </si>
  <si>
    <t>1B2P, 01D(J)South West, Balcony</t>
  </si>
  <si>
    <t>Sophie</t>
  </si>
  <si>
    <t>reduced &amp; 24 month</t>
  </si>
  <si>
    <t>730 Enigma Square,  414 North Row, MK9 2GF</t>
  </si>
  <si>
    <t>Norddin Yachou</t>
  </si>
  <si>
    <t>1B2P, 01E(MB)North East, Balcony</t>
  </si>
  <si>
    <t xml:space="preserve">Reduced  </t>
  </si>
  <si>
    <t>319, 84 Upper Allen St, Sheffield</t>
  </si>
  <si>
    <t>Sangwoo Han &amp; Sohryoh Hara</t>
  </si>
  <si>
    <t>532 Enigma Square,  414 North Row, MK9 2GF</t>
  </si>
  <si>
    <t>Kavan Trzebiatowsky &amp; Megan Trzebiatowsky</t>
  </si>
  <si>
    <t>Happy to renew - has had ongoing maintenance electricity tripping issues</t>
  </si>
  <si>
    <t>1B2P, 01DNorth East, Balcony</t>
  </si>
  <si>
    <t xml:space="preserve">complaining re electrics </t>
  </si>
  <si>
    <t xml:space="preserve">Active </t>
  </si>
  <si>
    <t>Gunhill</t>
  </si>
  <si>
    <t>Megan Fleming</t>
  </si>
  <si>
    <t>6 Mundy Pl, Aldershot, Hants, GU11 1FN</t>
  </si>
  <si>
    <t>K F Pisarczyk, D Filus, G Filus</t>
  </si>
  <si>
    <t>3 Bed House3B 5P</t>
  </si>
  <si>
    <t xml:space="preserve">Reduced </t>
  </si>
  <si>
    <t>107, Brook Place Apts, Sheffield,  S11 8BR</t>
  </si>
  <si>
    <t>Wai-Ho Yu</t>
  </si>
  <si>
    <t>1  (ensuite)Studio</t>
  </si>
  <si>
    <t>502, Brook Place Apts, Sheffield,  S11 8BS</t>
  </si>
  <si>
    <t>Amreen Hussain</t>
  </si>
  <si>
    <t>507, Brook Place Apts, Sheffield,  S11 8BS</t>
  </si>
  <si>
    <t>Shivali Ittan</t>
  </si>
  <si>
    <t>Ability View</t>
  </si>
  <si>
    <t>Younis Miho</t>
  </si>
  <si>
    <t>Unit 5 Ability view, 218 Kingsland Road, Lond</t>
  </si>
  <si>
    <t>Sérgio Takahata &amp; Suelen Neri Frazzato</t>
  </si>
  <si>
    <t>S/C 1 bed/1 bath flat, o/p kitchen/living rm-</t>
  </si>
  <si>
    <t>Flat 17 Ability View, 220 Kingsland Road, Lon</t>
  </si>
  <si>
    <t>Mr Tristan Kinloch Hallis</t>
  </si>
  <si>
    <t>S/C 2 bed/1 bath, o/p kitchen/living rm Rfb217F</t>
  </si>
  <si>
    <t>411 Enigma Square,  414 North Row, MK9 2FU</t>
  </si>
  <si>
    <t>Massmould Ltd</t>
  </si>
  <si>
    <t>Comp-Let</t>
  </si>
  <si>
    <t>1B2P, 01D(MJ)North East, Balcony</t>
  </si>
  <si>
    <t>NTQ</t>
  </si>
  <si>
    <t>Internal mvoe</t>
  </si>
  <si>
    <t>Gilders Yard</t>
  </si>
  <si>
    <t>James Bell</t>
  </si>
  <si>
    <t>133, Gilders Yard, 14 Great Hampton St Birm</t>
  </si>
  <si>
    <t>Busayo Longe</t>
  </si>
  <si>
    <t>2B4P, Block B Type FCourtyard, No Balcony</t>
  </si>
  <si>
    <t>ntq</t>
  </si>
  <si>
    <t xml:space="preserve">unkown </t>
  </si>
  <si>
    <t>Solstice Apartments</t>
  </si>
  <si>
    <t>301, Solstice Apts, Silbury Boulevard</t>
  </si>
  <si>
    <t>Sourabh Bitturwar and Partha Pratim Debnath</t>
  </si>
  <si>
    <t>3rd Flr, Juliette Balcony2 bed-Type 1</t>
  </si>
  <si>
    <t>COS - in signing</t>
  </si>
  <si>
    <t>305 Enigma Square,  414 North Row, MK9 2FU</t>
  </si>
  <si>
    <t>Samyak Jain and Riddhi Sargiya</t>
  </si>
  <si>
    <t>2B4P, 02F(Balconymirrored)North West, Balcony</t>
  </si>
  <si>
    <t>Reduced - 24 month</t>
  </si>
  <si>
    <t>220, 84 Upper Allen St, Sheffield</t>
  </si>
  <si>
    <t>Mulualem Gebreslassie &amp; Faley Mekonen Gesesew</t>
  </si>
  <si>
    <t>532, Brook Place Apts, Sheffield,  S11 8DA</t>
  </si>
  <si>
    <t>Matthew Flynn &amp; Lucy Osborn</t>
  </si>
  <si>
    <t>205, Brook Place Apts, Sheffield,  S11 8BR</t>
  </si>
  <si>
    <t>Dayantha Walawwatta &amp; Anuradha Abeysundera</t>
  </si>
  <si>
    <t>207, 84 Upper Allen St, Sheffield</t>
  </si>
  <si>
    <t>Xinyue Shao &amp; Gareth Grayson</t>
  </si>
  <si>
    <t>212, 84 Upper Allen St, Sheffield</t>
  </si>
  <si>
    <t>Dia Minors</t>
  </si>
  <si>
    <t>213, 84 Upper Allen St, Sheffield</t>
  </si>
  <si>
    <t>Sarpong Osei Tutu Abasimi</t>
  </si>
  <si>
    <t>201, 84 Upper Allen St, Sheffield</t>
  </si>
  <si>
    <t>Michaela Logue</t>
  </si>
  <si>
    <t>3, New Islington, 43 Chippenham Road, M4 6BY</t>
  </si>
  <si>
    <t>Mr Oliver Binns &amp; Mr William Beach</t>
  </si>
  <si>
    <t>1 Bed Deluxe, Ground Floor, FurnishedCanal View, No Balcony</t>
  </si>
  <si>
    <t>103, 84 Upper Allen St, Sheffield</t>
  </si>
  <si>
    <t>Ian Kennedy</t>
  </si>
  <si>
    <t>Vincent Square</t>
  </si>
  <si>
    <t>Kathrine Castle</t>
  </si>
  <si>
    <t>Flat 4, 52 Vincent Square</t>
  </si>
  <si>
    <t>Mr James Crompton</t>
  </si>
  <si>
    <t>Leak from the roof, repair to roof completed but need to decorate area</t>
  </si>
  <si>
    <t xml:space="preserve">Hold on offering </t>
  </si>
  <si>
    <t>Studio with mezz bed; kit/bath, Rfb 19Second/third floor</t>
  </si>
  <si>
    <t>On Hold</t>
  </si>
  <si>
    <t>606, Brook Place Apts, Sheffield,  S11 8DA</t>
  </si>
  <si>
    <t>Yingze Luo &amp; Zhuoping Sun</t>
  </si>
  <si>
    <t>2 (1 ES- 1  bath/ 1  shower)2 Bedroom Apartment</t>
  </si>
  <si>
    <t>Unit 3 Ability view, 218 Kingsland Road, Lond</t>
  </si>
  <si>
    <t>Henry McLean &amp; Maria Kontorravdis</t>
  </si>
  <si>
    <t>Studio (w/partition,o/p kit/liv - PRfb'19-</t>
  </si>
  <si>
    <t>Berewood PRS</t>
  </si>
  <si>
    <t>6, Houghton Avenue, Waterlooville, Hampshire,</t>
  </si>
  <si>
    <t>Owen Dowse &amp; Georgina Rollingson</t>
  </si>
  <si>
    <t>Mid Terrace3 Bed 5 Person</t>
  </si>
  <si>
    <t>re-offered</t>
  </si>
  <si>
    <t>628, Brook Place Apts, Sheffield,  S11 8DA</t>
  </si>
  <si>
    <t>Francois Okoroafor</t>
  </si>
  <si>
    <t>412, Brook Place Apts, Sheffield,  S11 8BS</t>
  </si>
  <si>
    <t>Fabian Adamczyk and Zhengze Guo</t>
  </si>
  <si>
    <t>Flat 33, Poplar House, Salford, M5</t>
  </si>
  <si>
    <t>Miss Sarah Griffiths &amp; Mr Paul Allen</t>
  </si>
  <si>
    <t>53, East Quarter, 2 Ridgway Street, M4 7LB</t>
  </si>
  <si>
    <t>Ellis Fisher &amp; Hope Fawkes</t>
  </si>
  <si>
    <t>2 Bed, 10th Floor, Furnished Canal View, No Balcony</t>
  </si>
  <si>
    <t>702 Enigma Square,  414 North Row, MK9 2FU</t>
  </si>
  <si>
    <t>Zunaid Adam, Yusuf Adam, Mariam Adam, Sadia Adam</t>
  </si>
  <si>
    <t>3B6P, 03ANorth West, Balcony</t>
  </si>
  <si>
    <t>Error</t>
  </si>
  <si>
    <t>prior notice</t>
  </si>
  <si>
    <t>134 Adlay Apartments, E16 2YG</t>
  </si>
  <si>
    <t>Yiran Liang &amp; Meiru Shi</t>
  </si>
  <si>
    <t>2B4P Balcony (ensuite)9th Floor</t>
  </si>
  <si>
    <t>Grainger Trust</t>
  </si>
  <si>
    <t>GT - Apex Gardens</t>
  </si>
  <si>
    <t>Alex Naumanen-Ley</t>
  </si>
  <si>
    <t>405 Aster Apts 822 Seven Sisters Rd London N1</t>
  </si>
  <si>
    <t>Anuoluwa Ibidunni</t>
  </si>
  <si>
    <t xml:space="preserve">I am happy for 405 aster to be renewed to, no issues from my side. </t>
  </si>
  <si>
    <t>DMR-AST</t>
  </si>
  <si>
    <t>DMR</t>
  </si>
  <si>
    <t>1 bedroomSouth East</t>
  </si>
  <si>
    <t>Hawkins &amp; George</t>
  </si>
  <si>
    <t>Sarah Regan</t>
  </si>
  <si>
    <t>FLAT 23 Georges Whrf Finzels Reach Bristol BS</t>
  </si>
  <si>
    <t>Yuan Ji &amp; Shuyao Huang</t>
  </si>
  <si>
    <t>2 Bed ApartmentEast Tucker Street</t>
  </si>
  <si>
    <t>COS/internal move</t>
  </si>
  <si>
    <t>passed to lettings</t>
  </si>
  <si>
    <t>70, Gilders Yard, 14 Great Hampton St, Birm</t>
  </si>
  <si>
    <t>2B4P, Block C Type ECourtyard, No Balcony</t>
  </si>
  <si>
    <t>cos fallthrough</t>
  </si>
  <si>
    <t>22 Nelson Apt, Darbyshire Rd, Aldershot, Hant</t>
  </si>
  <si>
    <t>Keilan James-Devereux</t>
  </si>
  <si>
    <t>2 Bed Flat2B 4P</t>
  </si>
  <si>
    <t xml:space="preserve">signing </t>
  </si>
  <si>
    <t xml:space="preserve">accepted </t>
  </si>
  <si>
    <t>FLAT 66 Georges Whrf Finzels Reach Bristol BS</t>
  </si>
  <si>
    <t>Gethin Rhys Bowen and Dominique Lavan</t>
  </si>
  <si>
    <t>1 Bed ApartmentFloating Harbour</t>
  </si>
  <si>
    <t>accepted - 24 month</t>
  </si>
  <si>
    <t>210, Solstice Apts, Silbury Boulevard</t>
  </si>
  <si>
    <t>Ka Ho Jeffrey Tso, Yik Ling Lam</t>
  </si>
  <si>
    <t>2nd Flr,  Juliette Balcony1 bed-Type 5</t>
  </si>
  <si>
    <t>no reason</t>
  </si>
  <si>
    <t>FLAT 116, Hawkins Ln, Finzels Reach, Bristol,</t>
  </si>
  <si>
    <t>James Mooney</t>
  </si>
  <si>
    <t>Studio ApartmentCourtyard</t>
  </si>
  <si>
    <t>accepted - 12 monhts only</t>
  </si>
  <si>
    <t>604, Brook Place Apts, Sheffield,  S11 8DA</t>
  </si>
  <si>
    <t>Ellie Ford</t>
  </si>
  <si>
    <t>2  (2 ES with 2 x baths)2 Bedroom Apartment</t>
  </si>
  <si>
    <t>514, Brook Place Apts, Sheffield,  S11 8BS</t>
  </si>
  <si>
    <t>Lin Tuleimat &amp; Ahmad Bilal</t>
  </si>
  <si>
    <t>410, Brook Place Apts, Sheffield,  S11 8BS</t>
  </si>
  <si>
    <t>Stavros Rousounides &amp; Chloe King</t>
  </si>
  <si>
    <t>314, Brook Place Apts, Sheffield,  S11 8BS</t>
  </si>
  <si>
    <t>Malcishia Iris and Tre Iris</t>
  </si>
  <si>
    <t>214, Brook Place Apts, Sheffield,  S11 8BR</t>
  </si>
  <si>
    <t>William and Claire Russell-Yarde</t>
  </si>
  <si>
    <t>316, Brook Place Apts, Sheffield,  S11 8BS</t>
  </si>
  <si>
    <t>Martha O'Toole and Lee Cutting</t>
  </si>
  <si>
    <t>114, Brook Place Apts, Sheffield,  S11 8BR</t>
  </si>
  <si>
    <t>Elisa Daykin &amp; Luke Jenner</t>
  </si>
  <si>
    <t>Eagle House</t>
  </si>
  <si>
    <t>Flat 32 Eagle House, Eagle Wharf Road, London</t>
  </si>
  <si>
    <t>Mr Harvey Blumler</t>
  </si>
  <si>
    <t xml:space="preserve">flat is dated and well in use but fair. tenant didn't put heating on, dried wet clothes and didn't ventilate flat so had a bit of mould - his responsibility but i believe we did clean it. </t>
  </si>
  <si>
    <t>S/C 1 bed/1 bath w/mezz, kitchen, livingGF</t>
  </si>
  <si>
    <t>FLAT 56, Hawkins Ln, Finzels Reach, Bristol,</t>
  </si>
  <si>
    <t>Daniel Bunt and Tom Bata-Madden</t>
  </si>
  <si>
    <t xml:space="preserve">24 months Reduced  </t>
  </si>
  <si>
    <t>515, Solstice Apts, Silbury Boulevard</t>
  </si>
  <si>
    <t>Teng Li &amp; Mengwei Sun</t>
  </si>
  <si>
    <t>5th Flr,  Juliette Balcony2 bed-Type 7</t>
  </si>
  <si>
    <t xml:space="preserve">House purchase </t>
  </si>
  <si>
    <t>724, Brook Place Apts, Sheffield,  S11 8DA</t>
  </si>
  <si>
    <t>Bin Lu and Yameng Cai</t>
  </si>
  <si>
    <t>1Studio</t>
  </si>
  <si>
    <t>41 Adlay Apartments, E16 2YG</t>
  </si>
  <si>
    <t>R Aggarwal, A Giacometto, J P Barbosa Alves</t>
  </si>
  <si>
    <t>3B6P 2xBalconies (ensuite)6th Floor</t>
  </si>
  <si>
    <t>142, Gilders Yard, 14 Great Hampton St Birm</t>
  </si>
  <si>
    <t>Phoebe Coppin &amp; Ibukunoluwa Ogungbile</t>
  </si>
  <si>
    <t>2B4P, Block B Type FEast, No Balcony</t>
  </si>
  <si>
    <t>127, Gilders Yard, 14 Great Hampton St Birm</t>
  </si>
  <si>
    <t>Joshua Indenhuck &amp; Xenia Masoura</t>
  </si>
  <si>
    <t xml:space="preserve">Yes renew - some furniture issues but resolved </t>
  </si>
  <si>
    <t>error</t>
  </si>
  <si>
    <t xml:space="preserve">internal move </t>
  </si>
  <si>
    <t>The Mint</t>
  </si>
  <si>
    <t>Kimberley Pope</t>
  </si>
  <si>
    <t>406 Assay Apartments, Station View, Guildford</t>
  </si>
  <si>
    <t>Anton and Evgeniia Tsitlionok</t>
  </si>
  <si>
    <t>1b2p, 1Cwest, Balcony</t>
  </si>
  <si>
    <t>109, Brook Place Apts, Sheffield,  S11 8BR</t>
  </si>
  <si>
    <t>Gemma Collier</t>
  </si>
  <si>
    <t>103, Gilders Yard, 14 Great Hampton St Birm</t>
  </si>
  <si>
    <t>Mears Ltd</t>
  </si>
  <si>
    <t>processed</t>
  </si>
  <si>
    <t>WinPark Estate</t>
  </si>
  <si>
    <t>Darin Solomon</t>
  </si>
  <si>
    <t>123 Union Street, London, SE1 0LG</t>
  </si>
  <si>
    <t>Wendy Farley</t>
  </si>
  <si>
    <t>FLAT 12, Hawkins Ln, Finzels Reach, Bristol,</t>
  </si>
  <si>
    <t>Mr Khalil Ghandour &amp; Mr Abdullah Al Qahtani</t>
  </si>
  <si>
    <t>2 Bed Apartment, 2 bathCourtyard - First Flooor</t>
  </si>
  <si>
    <t>final chase</t>
  </si>
  <si>
    <t>635 Enigma Square,  414 North Row, MK9 2GF</t>
  </si>
  <si>
    <t>Ting Chan</t>
  </si>
  <si>
    <t>COS</t>
  </si>
  <si>
    <t>on refs</t>
  </si>
  <si>
    <t>534 Enigma Square,  414 North Row, MK9 2GF</t>
  </si>
  <si>
    <t>Gareth Graham</t>
  </si>
  <si>
    <t>1B2P, 01C(MB)South West, Balcony</t>
  </si>
  <si>
    <t>unkown</t>
  </si>
  <si>
    <t>409 Enigma Square,  414 North Row, MK9 2FU</t>
  </si>
  <si>
    <t>Nienke Eijsvogel</t>
  </si>
  <si>
    <t>1B2P, 01D(J)North East, Balcony</t>
  </si>
  <si>
    <t xml:space="preserve">complaining re response </t>
  </si>
  <si>
    <t>FLAT 23, Hawkins Ln, Finzels Reach, Bristol,</t>
  </si>
  <si>
    <t>Hannah Lane &amp; Joel Lutman</t>
  </si>
  <si>
    <t>Will complain - had a reduced rent increase in 2023</t>
  </si>
  <si>
    <t>in neg</t>
  </si>
  <si>
    <t>complaint - with Helen</t>
  </si>
  <si>
    <t>816 Enigma Square,  414 North Row, MK9 2GF</t>
  </si>
  <si>
    <t>Olga Kopeyka</t>
  </si>
  <si>
    <t>1B2P, 01ENorth East, Balcony</t>
  </si>
  <si>
    <t>Argo Apartments</t>
  </si>
  <si>
    <t>Fatma Azakli</t>
  </si>
  <si>
    <t>69 Argo Apts, 4 Silvertown Way,London,E16 1ED</t>
  </si>
  <si>
    <t>Blake Max &amp; Mared Parry</t>
  </si>
  <si>
    <t xml:space="preserve">These residents can be very rude and threaten to go on social media for rent increases etc. </t>
  </si>
  <si>
    <t>Please do not offer yet.</t>
  </si>
  <si>
    <t>1 bed &amp; 1 bath South-West Right9th floor</t>
  </si>
  <si>
    <t>St Annes</t>
  </si>
  <si>
    <t>Flat 3, St Annes Ct, Howard Place, BN1 3UP</t>
  </si>
  <si>
    <t>Mr Yahya Khan</t>
  </si>
  <si>
    <t>Studio - Refurbished 2018 (Type C)Ground Floor</t>
  </si>
  <si>
    <t>6 Darbyshire Rd, Aldershot, Hants, GU11 1FL</t>
  </si>
  <si>
    <t>Mr G, Mr J, Miss H, Mrs L, Mr J &amp; Ms L Downes</t>
  </si>
  <si>
    <t>Happy to renew, unsure if they will want to due to on-going neighbour issues</t>
  </si>
  <si>
    <t>4</t>
  </si>
  <si>
    <t>4 Bed House4B 7P</t>
  </si>
  <si>
    <t>306 West, The Forge, Newcastle, NE1 3AJ</t>
  </si>
  <si>
    <t>Nicola Coaker and Muhammed Darboe</t>
  </si>
  <si>
    <t>A, 1 Bed, 1 Bath, 3F</t>
  </si>
  <si>
    <t>FLAT 74, Hawkins Ln, Finzels Reach, Bristol,</t>
  </si>
  <si>
    <t>Abdulaziz Bukshaisha &amp; Mohammed Y Bukshaisha</t>
  </si>
  <si>
    <t>408, Brook Place Apts, Sheffield,  S11 8BS</t>
  </si>
  <si>
    <t>Tahrik Wheeler</t>
  </si>
  <si>
    <t>Weavers Yard</t>
  </si>
  <si>
    <t>9 Bamboo House, 11 Market Street, Newbury</t>
  </si>
  <si>
    <t>Jagadishchandra K Rai &amp; Anitha J Rai</t>
  </si>
  <si>
    <t>1b2p,A.09South, No Balcony</t>
  </si>
  <si>
    <t>512 North, The Forge, Newcastle, NE1 3AH</t>
  </si>
  <si>
    <t>Toni Sullivan and Joe Dunkerton</t>
  </si>
  <si>
    <t>1 Bed, 1 Bath, 5F</t>
  </si>
  <si>
    <t>108, Brook Place Apts, Sheffield,  S11 8BR</t>
  </si>
  <si>
    <t>James Edlington</t>
  </si>
  <si>
    <t>Flat 1, 49 Vincent Square</t>
  </si>
  <si>
    <t>Daria Trebushkina</t>
  </si>
  <si>
    <t>No issues, selling the building so may query but it with them in situ</t>
  </si>
  <si>
    <t>1 bed/1 bath, liv, kit - Refurb '16Basement</t>
  </si>
  <si>
    <t>501, Brook Place Apts, Sheffield,  S11 8BS</t>
  </si>
  <si>
    <t>Hazem Abuhusain</t>
  </si>
  <si>
    <t>FLAT 73 Georges Whrf Finzels Reach Bristol BS</t>
  </si>
  <si>
    <t>Simon Griffiths &amp; Alejandra Griffiths</t>
  </si>
  <si>
    <t>2 Bed ApartmentFloating Harbour</t>
  </si>
  <si>
    <t>Denied</t>
  </si>
  <si>
    <t xml:space="preserve">S21 </t>
  </si>
  <si>
    <t>Apex Gardens</t>
  </si>
  <si>
    <t>1802 Aster Apts 822 Seven Sisters Rd London N</t>
  </si>
  <si>
    <t>Miao Ju and Daniel Kelshaw</t>
  </si>
  <si>
    <t>1 bedroomWest</t>
  </si>
  <si>
    <t>418, Brook Place Apts, Sheffield,  S11 8BS</t>
  </si>
  <si>
    <t>Harshit Kondapally and Ellie Jackson</t>
  </si>
  <si>
    <t>2 (1 ES- 2 x bath)2 Bedroom Apartment</t>
  </si>
  <si>
    <t>12, 110 The Rock, Bury, BL9</t>
  </si>
  <si>
    <t>Miss Margarita Beinoraviciute</t>
  </si>
  <si>
    <t>1 Bedroom Type 1B3/Balcony</t>
  </si>
  <si>
    <t>sent</t>
  </si>
  <si>
    <t>14 Bradbury Apt, Darbyshire Road, Hampshire,</t>
  </si>
  <si>
    <t>Adam Francis and Simran Gill</t>
  </si>
  <si>
    <t>1 Bed Flat2nd Floor</t>
  </si>
  <si>
    <t>617 Ambassador Apt, Waterman Wlk, Salford M50</t>
  </si>
  <si>
    <t>Josh Cross, James Topolinksi, Gavin Sweeney</t>
  </si>
  <si>
    <t xml:space="preserve">should be vacating </t>
  </si>
  <si>
    <t>3 BedMelbourne</t>
  </si>
  <si>
    <t>Springfield House</t>
  </si>
  <si>
    <t>Flat 35 Springfield House, Tyssen Street, Lon</t>
  </si>
  <si>
    <t>Miss Misty Ostrer</t>
  </si>
  <si>
    <t xml:space="preserve">Passing rent is low </t>
  </si>
  <si>
    <t>S/C studio w/bed area, bathroomFF</t>
  </si>
  <si>
    <t>Tabernacle Street</t>
  </si>
  <si>
    <t>Apartment 9, 130 Tabernacle Street</t>
  </si>
  <si>
    <t>Mr Gregory Brown Jr &amp; Mrs Natalie Bean</t>
  </si>
  <si>
    <t xml:space="preserve">Speak to Daisy before offering </t>
  </si>
  <si>
    <t>2 bed/1 bath, WC, o/p kit/liv - Rfrb 15'5th</t>
  </si>
  <si>
    <t>407 West, The Forge, Newcastle, NE1 3AJ</t>
  </si>
  <si>
    <t>Yat Sun Kwan</t>
  </si>
  <si>
    <t>A, 1 Bed, 1 Bath, 4F</t>
  </si>
  <si>
    <t>57c Ufford Street, London, SE1 8QB</t>
  </si>
  <si>
    <t>Ms Harriet Frances Raybould</t>
  </si>
  <si>
    <t>Fully refurbished (2021) 1 bed flat, in good order at last inspection, tnt been in since 2021, please note that tnt suffers for health issues and so renewal may require delicate handling or she may ask you to deal with her Mother</t>
  </si>
  <si>
    <t>205 Windlass Apartments, 4 Hale Wharf, N17</t>
  </si>
  <si>
    <t>Jin Hyun Cho</t>
  </si>
  <si>
    <t>1 Bed 2P, Type 1ASingle-River Lea, E, Balcony/Small</t>
  </si>
  <si>
    <t>GT - Berewood</t>
  </si>
  <si>
    <t>Shelby Overington</t>
  </si>
  <si>
    <t>25 Beatty Gardens, Waterlooville, Hampshire</t>
  </si>
  <si>
    <t>Miss Jade Deacon</t>
  </si>
  <si>
    <t>Aff Rent</t>
  </si>
  <si>
    <t xml:space="preserve">AFF R </t>
  </si>
  <si>
    <t>2b4p</t>
  </si>
  <si>
    <t>£921.01 PER MONTH</t>
  </si>
  <si>
    <t>704 Enigma Square,  414 North Row, MK9 2FU</t>
  </si>
  <si>
    <t>Michael Hollis</t>
  </si>
  <si>
    <t>1B2P, 01E(B)North East, Balcony</t>
  </si>
  <si>
    <t>FLAT 70 Georges Whrf Finzels Reach Bristol BS</t>
  </si>
  <si>
    <t>Ridwan Oyedeji &amp; Ervast Tshikesho</t>
  </si>
  <si>
    <t>2 Bed ApartmentCourtyard</t>
  </si>
  <si>
    <t>agreed - 12 monnths</t>
  </si>
  <si>
    <t>528, Brook Place Apts, Sheffield,  S11 8DA</t>
  </si>
  <si>
    <t>Madeline Rihner</t>
  </si>
  <si>
    <t>504, Solstice Apts, Silbury Boulevard</t>
  </si>
  <si>
    <t>Mr Jack Tucker</t>
  </si>
  <si>
    <t>5th Flr,  no balcony/Tce1 bed-Type 5A</t>
  </si>
  <si>
    <t>min &amp; long term</t>
  </si>
  <si>
    <t>609 Enigma Square,  414 North Row, MK9 2FU</t>
  </si>
  <si>
    <t>Ruhi Memon and Joseph Howard</t>
  </si>
  <si>
    <t>relocating UK</t>
  </si>
  <si>
    <t>The Condor</t>
  </si>
  <si>
    <t>Jessica Coates</t>
  </si>
  <si>
    <t>803 The Condor, 1 Springwell Sq</t>
  </si>
  <si>
    <t>Richard Flook</t>
  </si>
  <si>
    <t>1B2P,1DCar Park</t>
  </si>
  <si>
    <t>re-ref addding GT</t>
  </si>
  <si>
    <t>729 Enigma Square,  414 North Row, MK9 2GF</t>
  </si>
  <si>
    <t>Yuen Yan Cheung and Wai Tong Chan</t>
  </si>
  <si>
    <t>6months RIA</t>
  </si>
  <si>
    <t>Abbeville Apartments</t>
  </si>
  <si>
    <t>Apt 308, Abbeville Apts, 37 London Rd, Barkin</t>
  </si>
  <si>
    <t>Mr Mayank Jha and Mrs Tanisha Prasad</t>
  </si>
  <si>
    <t>1 Bed, Third Floor, Furnished1 Bathrooms</t>
  </si>
  <si>
    <t>516, Solstice Apts, Silbury Boulevard</t>
  </si>
  <si>
    <t>Eileen Ha-Soon</t>
  </si>
  <si>
    <t>5th Flr,  Juliette Balcony1 bed-Type 5</t>
  </si>
  <si>
    <t>accepted</t>
  </si>
  <si>
    <t>52, 112 The Rock, Bury, BL9</t>
  </si>
  <si>
    <t>Raghda Mohammedkheir &amp; Khogali Abdalla M</t>
  </si>
  <si>
    <t>2 Bedroom Type 2B6/Balcony</t>
  </si>
  <si>
    <t>607 Enigma Square,  414 North Row, MK9 2FU</t>
  </si>
  <si>
    <t>Cephas Kang</t>
  </si>
  <si>
    <t>18 Gatehouse Apts, 86 East St, Southampton</t>
  </si>
  <si>
    <t>Oi Yan Leung</t>
  </si>
  <si>
    <t xml:space="preserve">Not keen for renewal, has been rude to several members of team when trying to help her with an electric bill  "Please go ahead and offer renewals to 18 &amp; 107 Gatehouse." </t>
  </si>
  <si>
    <t>HS reduced AM min to £1205 on 20.6.24</t>
  </si>
  <si>
    <t>L1,  Encl. balcony,  Next block/internal1Bed 2P, Type 1A</t>
  </si>
  <si>
    <t>436 Enigma Square,  414 North Row, MK9 2GF</t>
  </si>
  <si>
    <t>Kathryn Percy</t>
  </si>
  <si>
    <t>1B2P, 01CSouth West, Balcony</t>
  </si>
  <si>
    <t>COS enquiry</t>
  </si>
  <si>
    <t>317 Torrens Apt, Waterman Wlk, Salford M50</t>
  </si>
  <si>
    <t>Walaa Albouraee</t>
  </si>
  <si>
    <t>3Gothenburg</t>
  </si>
  <si>
    <t>Kew Bridge Court</t>
  </si>
  <si>
    <t>82, Kew Bridge Court, London, W4 3AF</t>
  </si>
  <si>
    <t>Jed Backhouse &amp; Naomi Alice Fiona Bryer</t>
  </si>
  <si>
    <t>2 bed 2 bath(1 ensuite)small balconyx 2 RFb203rd Floor / Strand on Grn aspect</t>
  </si>
  <si>
    <t>126 Adlay Apartments, E16 2YG</t>
  </si>
  <si>
    <t>Manu Sinha &amp; Nishtha Srivastava</t>
  </si>
  <si>
    <t>2B4P Balcony (ensuite)7th Floor</t>
  </si>
  <si>
    <t>Flat 49, St Annes Hs, Buckingham Plc, BN1 3Q</t>
  </si>
  <si>
    <t>Cagri Gunduz</t>
  </si>
  <si>
    <t>Studio - Refurbished 2017 (Type C)Fourth Floor</t>
  </si>
  <si>
    <t>18 Nelson Apt, Darbyshire Rd, Aldershot, Hant</t>
  </si>
  <si>
    <t>HUZARA SHAHEEN &amp; Muhammad Hasham Jamil Gill</t>
  </si>
  <si>
    <t>req call back - left VM</t>
  </si>
  <si>
    <t>3 Bradbury Apt, Darbyshire Road, Hampshire, G</t>
  </si>
  <si>
    <t>Miss Sarah Worth</t>
  </si>
  <si>
    <t>2 Bed FlatGround Floor</t>
  </si>
  <si>
    <t>118 Assay Apartments, Station View, Guildford</t>
  </si>
  <si>
    <t>Anastasiia Mogucheva &amp; Roman Markov</t>
  </si>
  <si>
    <t>1b2p , 1FEast, Balcony</t>
  </si>
  <si>
    <t>404 Pin Yard, 11 Sweet Street, Leeds</t>
  </si>
  <si>
    <t>Aiwan Obinyan</t>
  </si>
  <si>
    <t>201 Assay Apartments, Station View, Guildford</t>
  </si>
  <si>
    <t>Athina Strati &amp; Sozos Spyrides</t>
  </si>
  <si>
    <t>1b2p, 1EEast, Balcony</t>
  </si>
  <si>
    <t>7e Mitre Road, London, SE1 8PY</t>
  </si>
  <si>
    <t>Aidan Beaumont &amp; Ella Krohn</t>
  </si>
  <si>
    <t>Partially refurbished (2017), kitchen only, 1 bed flat, in good order at last inspection, tnts been in since 2022</t>
  </si>
  <si>
    <t>523, Brook Place Apts, Sheffield,  S11 8DA</t>
  </si>
  <si>
    <t>Anna Tzaferai</t>
  </si>
  <si>
    <t>Aborted</t>
  </si>
  <si>
    <t>FLAT 98, Hawkins Ln, Finzels Reach, Bristol,</t>
  </si>
  <si>
    <t>Ziyan Huang &amp; Sheng Wang</t>
  </si>
  <si>
    <t>GT - Millet Place</t>
  </si>
  <si>
    <t>62 Poppy Apartments, E16 2YH</t>
  </si>
  <si>
    <t>Bintou Cherif</t>
  </si>
  <si>
    <t>I am happy for both 80 &amp; 62 Poppy to be renewed.</t>
  </si>
  <si>
    <t>3B5P Balcony + WC11th Floor</t>
  </si>
  <si>
    <t>c.offered 2350</t>
  </si>
  <si>
    <t>FLAT 117, Hawkins Ln, Finzels Reach, Bristol,</t>
  </si>
  <si>
    <t>Wai Kwan Kwok &amp; Kam On Li</t>
  </si>
  <si>
    <t>12 months house purchase bc</t>
  </si>
  <si>
    <t>109 Pin Yard, 11 Sweet Street, Leeds</t>
  </si>
  <si>
    <t>Lijuan Gong and Ferdinand Morgan</t>
  </si>
  <si>
    <t>FLAT 43 Georges Whrf Finzels Reach Bristol BS</t>
  </si>
  <si>
    <t>Tsoi Tung Hiu, Tsoi Cheuk Yiu &amp; Man C V Wong</t>
  </si>
  <si>
    <t>house purchase</t>
  </si>
  <si>
    <t>603 Tayleur Apt , Waterman Wlk, Salford M50</t>
  </si>
  <si>
    <t>Maha Mohsen Alhajlan</t>
  </si>
  <si>
    <t>324 Enigma Square,  414 North Row, MK9 2GE</t>
  </si>
  <si>
    <t>Mithun Mohan</t>
  </si>
  <si>
    <t>1B2P, 01BSouth East, Balcony</t>
  </si>
  <si>
    <t>11 Dorrell Apt, Darbyshire Rd, Aldershot, Han</t>
  </si>
  <si>
    <t>Miss Anna Foster</t>
  </si>
  <si>
    <t>1 Bed Flat1B 2P</t>
  </si>
  <si>
    <t>reduced price</t>
  </si>
  <si>
    <t>16 Bamboo House, 11 Market Street, Newbury</t>
  </si>
  <si>
    <t>Ling Gui &amp; Shengsheng Qiu</t>
  </si>
  <si>
    <t>2b4p,A.16South, No Balcony</t>
  </si>
  <si>
    <t>FLAT 94, Hawkins Ln, Finzels Reach, Bristol,</t>
  </si>
  <si>
    <t>Mr Settabuch Dumsri  &amp; Kevalee Thongsrisuk</t>
  </si>
  <si>
    <t>tts leaving area</t>
  </si>
  <si>
    <t>301 Enigma Square,  414 North Row, MK9 2FU</t>
  </si>
  <si>
    <t>Scott Goldson and Courteney Taylor</t>
  </si>
  <si>
    <t>1B2P, 01A_SNorth West, Balcony</t>
  </si>
  <si>
    <t xml:space="preserve">accepted orignal offer </t>
  </si>
  <si>
    <t>FLAT 28, Hawkins Ln, Finzels Reach, Bristol,</t>
  </si>
  <si>
    <t>Daniel Pandolfino and Luke Miller</t>
  </si>
  <si>
    <t xml:space="preserve">prior notice </t>
  </si>
  <si>
    <t>Apt 207, Abbeville Apts, 37 London Rd, Barkin</t>
  </si>
  <si>
    <t>Mr Edavalath Binesh &amp; Mrs Sangeetha Binesh</t>
  </si>
  <si>
    <t>1 Bed, Second Floor, Furnished1 Bathrooms</t>
  </si>
  <si>
    <t>33, East Quarter, 2 Ridgway Street, M4 7LB</t>
  </si>
  <si>
    <t>Mr Andreas Hungamo &amp; Mr Donatius Vinsentius</t>
  </si>
  <si>
    <t>2 Bed, 6th Floor, Furnished Canal View, No Balcony</t>
  </si>
  <si>
    <t>82 Gatehouse Apts, 86 East St, Southampton</t>
  </si>
  <si>
    <t>Sonam Patel &amp; Monisha Desai</t>
  </si>
  <si>
    <t>L4,  Encl. balcony,  Orchard L/Nursery2Bed 4P, Type 2D</t>
  </si>
  <si>
    <t>522, Brook Place Apts, Sheffield,  S11 8DA</t>
  </si>
  <si>
    <t>Helen Hoyle</t>
  </si>
  <si>
    <t>1002, Lamp House, 215 Chapel St, Salford, M3</t>
  </si>
  <si>
    <t>Uzoma Anthony-Uzoeto &amp; Aaron Scorse</t>
  </si>
  <si>
    <t>Balcony, Dual - SW/SE2 Bed - TYPE C</t>
  </si>
  <si>
    <t>118 Gatehouse Apts, 86 East St, Southampton</t>
  </si>
  <si>
    <t>Mikhail Snowden &amp; Joshua Darkwa</t>
  </si>
  <si>
    <t>Current complaint ongoing re. elec charge of hot water boost being left on for 3 weeks. Small amount of comp will be offerred. Sensitive situation.</t>
  </si>
  <si>
    <t>L11,  Encl. balcony,  Town Hall/River Itchen2Bed 4P, Type 2A</t>
  </si>
  <si>
    <t>3 Gatehouse Apts, 86 East St, Southampton</t>
  </si>
  <si>
    <t>Ramon D.L. Magalhaes &amp; Kathleen C.C. Da Costa</t>
  </si>
  <si>
    <t>HS reduced AM min to £1485 on 20.6.24</t>
  </si>
  <si>
    <t>L1,  Encl. balcony,  Queens way DUAL2Bed 4P, Type 2B</t>
  </si>
  <si>
    <t>Flat 1 Grove House, 11-20 Tudor Grove, Londo</t>
  </si>
  <si>
    <t>Geoffrey Brandy &amp; Henricus A Van Zoggel</t>
  </si>
  <si>
    <t>Tenant is VERY unhappy. Major works underway - new windows being installed &amp; external works. Gym directly below is very noisy and they can't work from home anymore - this is a Live Work unit. flat in good condition.</t>
  </si>
  <si>
    <t>Rent is already high here so uplift is minimal</t>
  </si>
  <si>
    <t>2 bed/1ensuite,1bath,balc - PRfb'19FF</t>
  </si>
  <si>
    <t>FLAT 39 Georges Whrf Finzels Reach Bristol BS</t>
  </si>
  <si>
    <t>Mr Luis Oliveira</t>
  </si>
  <si>
    <t>FLAT 78, Hawkins Ln, Finzels Reach, Bristol</t>
  </si>
  <si>
    <t>Miss Jennifer Wilson</t>
  </si>
  <si>
    <t>1 Bed ApartmentHawkins Lane</t>
  </si>
  <si>
    <t>accepted: requested 12 month only</t>
  </si>
  <si>
    <t>FLAT 30, Hawkins Ln, Finzels Reach, Bristol,</t>
  </si>
  <si>
    <t>Zixiu Peng and Sihan Li</t>
  </si>
  <si>
    <t>127 Adlay Apartments, E16 2YG</t>
  </si>
  <si>
    <t>Beni Grajqevci &amp; Maria Zissimides</t>
  </si>
  <si>
    <t>2B4P Balcony (ensuite)8th Floor</t>
  </si>
  <si>
    <t>38 Adlay Apartments, E16 2YG</t>
  </si>
  <si>
    <t>Temilade Ojuade</t>
  </si>
  <si>
    <t>1B2P Balcony5th Floor</t>
  </si>
  <si>
    <t>Flat 74 Springfield House, Tyssen Street, Lon</t>
  </si>
  <si>
    <t>Anna Cloke, Bronwen Parry &amp; Jemima Stobart</t>
  </si>
  <si>
    <t>3bed/2bath(split lvl)mezz,o/p kit liv-Rfrb'185F/6F</t>
  </si>
  <si>
    <t>710 North, The Forge, Newcastle, NE1 3AH</t>
  </si>
  <si>
    <t>He Cui &amp; Lu Zhang</t>
  </si>
  <si>
    <t>2 Bed, 2 Bath, 7F</t>
  </si>
  <si>
    <t>27 The Gardens, LGF Rear, London SE22 9QE</t>
  </si>
  <si>
    <t>Carolina Orlando</t>
  </si>
  <si>
    <t>1 Room, Kitchen, Bath Flat - ConversionLGF Refurbishment Completed 17.05.2022 6M DLP</t>
  </si>
  <si>
    <t>804, Neon House, 207 Chapel St, Salford, M3 5</t>
  </si>
  <si>
    <t>G. Coraini, B. S. Al'Dujaily &amp; O. King</t>
  </si>
  <si>
    <t>7  Woodward House, Waterlooville, PO7 3BP</t>
  </si>
  <si>
    <t>Mr Rob Jeffery</t>
  </si>
  <si>
    <t>2Bed 4Person</t>
  </si>
  <si>
    <t>min</t>
  </si>
  <si>
    <t>77 Mitre Road, London, SE1 8PU</t>
  </si>
  <si>
    <t>Mr Gustavo Mendez</t>
  </si>
  <si>
    <t>Partially refurbished (2017), kitchen only, 1 bed flat, in good order at last inspection, tnt been in since 2022</t>
  </si>
  <si>
    <t>FLAT 33, Hawkins Ln, Finzels Reach, Bristol,</t>
  </si>
  <si>
    <t>Aaditya Sonah Ori</t>
  </si>
  <si>
    <t>FLAT 97, Hawkins Ln, Finzels Reach, Bristol,</t>
  </si>
  <si>
    <t>Asim M A Almuqrin</t>
  </si>
  <si>
    <t>2 Bed, 2 bath ApartmentEast Tucker Street- 7th Floor</t>
  </si>
  <si>
    <t>Reduced - 12 months only</t>
  </si>
  <si>
    <t>711 Tayleur Apt , Waterman Wlk, Salford M50</t>
  </si>
  <si>
    <t>Ellie Holder, Bethany Widdop, Zak Gregory</t>
  </si>
  <si>
    <t>3 BedManila</t>
  </si>
  <si>
    <t>15, Gilders Yard, 14 Great Hampton St, Birm</t>
  </si>
  <si>
    <t>James Muxworthy</t>
  </si>
  <si>
    <t>1B2P, Block A Type ACourtyard, No Balcony</t>
  </si>
  <si>
    <t>518, Brook Place Apts, Sheffield,  S11 8DA</t>
  </si>
  <si>
    <t>Kazia Polak &amp; Andrew Quarmby</t>
  </si>
  <si>
    <t>508, Brook Place Apts, Sheffield,  S11 8BS</t>
  </si>
  <si>
    <t>Ana Marcos &amp; Renato Carvalho</t>
  </si>
  <si>
    <t>507 Tayleur Apt , Waterman Wlk, Salford M50</t>
  </si>
  <si>
    <t>Dilara Altuntas</t>
  </si>
  <si>
    <t>1 BedNassau</t>
  </si>
  <si>
    <t>309, Halogen House, 217 Chapel St, Salford, M</t>
  </si>
  <si>
    <t>Miss Elizabeth Suzanne Tingle</t>
  </si>
  <si>
    <t>98 Argo Apts, 4 Silvertown Way,London,E16 1YD</t>
  </si>
  <si>
    <t>Mr Suparno Guha</t>
  </si>
  <si>
    <t>1 bed &amp; 1 bath South-West Right12th floor</t>
  </si>
  <si>
    <t>58 Argo Apts, 4 Silvertown Way,London,E16 1ED</t>
  </si>
  <si>
    <t>Reema Sohanlal Bohara and Rohit Prakash Jain</t>
  </si>
  <si>
    <t>1 bed &amp; 1 bath South-West Right8th floor</t>
  </si>
  <si>
    <t>r2r reqiured</t>
  </si>
  <si>
    <t>GT - Wellesley</t>
  </si>
  <si>
    <t>17, Oswald Street, Aldershot, GU11 4AP</t>
  </si>
  <si>
    <t>Mrs Lucy Lawrence &amp; Mr Kris Mannering</t>
  </si>
  <si>
    <t>2 flrs, GF+ Upstairs bathOwn garden, 2 parking spaces.</t>
  </si>
  <si>
    <t>£228.31 PER WEEK</t>
  </si>
  <si>
    <t>instructed to cancel 12.03 arrears now cleared - to offer renewal for July inline with orignal renewal date. SF</t>
  </si>
  <si>
    <t>Apt 70, Kings Dock Mill, Liverpool, L1</t>
  </si>
  <si>
    <t>Miroslava Lattova</t>
  </si>
  <si>
    <t>137 The Barnum, 23 Queens Road, Nottingham</t>
  </si>
  <si>
    <t>Stuart Clarkson and Megan Grahame</t>
  </si>
  <si>
    <t>1B2P,A1eWest</t>
  </si>
  <si>
    <t>329 The Barnum, 23 Queens Road, Nottingham</t>
  </si>
  <si>
    <t>Kenneth Cauchi</t>
  </si>
  <si>
    <t>1B2P,A1bSouth</t>
  </si>
  <si>
    <t>303, Lamp House, 215 Chapel St, Salford, M3 5</t>
  </si>
  <si>
    <t>Thomas Schofield</t>
  </si>
  <si>
    <t>Development-DD</t>
  </si>
  <si>
    <t>OCCC Estate</t>
  </si>
  <si>
    <t>Flat 10, Charing House, Windmill Wlk, SE1 8TR</t>
  </si>
  <si>
    <t>Sophia De boeck, Eve Still &amp; Jennifer Simpson</t>
  </si>
  <si>
    <t>NO ISSUES NOTED - Happy to renew</t>
  </si>
  <si>
    <t>Flat 20, Charing House, Windmill Wlk, SE1 8TR</t>
  </si>
  <si>
    <t>Niall MacLean, Michael McDonald &amp; Mitchell Oddy</t>
  </si>
  <si>
    <t xml:space="preserve">Passing rent is incredibly low here compared to other flats in the building </t>
  </si>
  <si>
    <t>106 South, The Forge, Newcastle, NE1 3AR</t>
  </si>
  <si>
    <t>Richard Barnes</t>
  </si>
  <si>
    <t>1 Bed, 1 Bath, 1st Floor</t>
  </si>
  <si>
    <t>606 West, The Forge, Newcastle, NE1 3AN</t>
  </si>
  <si>
    <t>Jessica McGlone &amp; Olegas Rudgalvis</t>
  </si>
  <si>
    <t>A, 1 Bed, 1 Bath, 6F</t>
  </si>
  <si>
    <t>28 The Gardens, LGF Front, London SE22 9QE</t>
  </si>
  <si>
    <t>Miss Marta Kolesza</t>
  </si>
  <si>
    <t>ongoing issues with mould, being resolved</t>
  </si>
  <si>
    <t>8a Mitre Road, London, SE1 8PY</t>
  </si>
  <si>
    <t>Mr Thomas Carroll &amp; Mr Linas Bartusevicius</t>
  </si>
  <si>
    <t>Fully refurbished (2020) 2 bed flat, in good order at last inspection, tnts been in since 2021</t>
  </si>
  <si>
    <t>Passing rent is low compared to other units of this type</t>
  </si>
  <si>
    <t>224, Solstice Apts, Silbury Boulevard</t>
  </si>
  <si>
    <t>Mr Ibrahima Diallo &amp; Mrs Mariama Diallo</t>
  </si>
  <si>
    <t>No issues – they said their children share a room and room is getting tight?</t>
  </si>
  <si>
    <t>2nd Flr,  Juliette Balcony2 bed-Type 3</t>
  </si>
  <si>
    <t>906 The Condor, 1 Springwell Sq</t>
  </si>
  <si>
    <t>Isaac Hussain</t>
  </si>
  <si>
    <t>1B2P,1AInternal Better</t>
  </si>
  <si>
    <t>304 Enigma Square,  414 North Row, MK9 2FU</t>
  </si>
  <si>
    <t>Stephen Wearne</t>
  </si>
  <si>
    <t>1B2P, 01ANorth West, Balcony</t>
  </si>
  <si>
    <t>7 month BC</t>
  </si>
  <si>
    <t>410 Ambassador Apt, Waterman Wlk, Salford M50</t>
  </si>
  <si>
    <t>Chung Kong Tse &amp; Tak Yi Leung</t>
  </si>
  <si>
    <t>1 BedMelbourne</t>
  </si>
  <si>
    <t>302, Halogen House, 217 Chapel St, Salford, M</t>
  </si>
  <si>
    <t>Jessica Glaves &amp; Harriet Burniston</t>
  </si>
  <si>
    <t>Balcony, Dual - WNW / NNE2 Bed - Type B</t>
  </si>
  <si>
    <t>216 Torrens Apt, Waterman Wlk, Salford M50</t>
  </si>
  <si>
    <t>Ethan Cliff and Liah Cumpson</t>
  </si>
  <si>
    <t>22 Argo Apts, 4 Silvertown Way,London,E16 1ED</t>
  </si>
  <si>
    <t>AGUSTIN PALAZON HERNANDEZ</t>
  </si>
  <si>
    <t>1 bed &amp; 1 bath North-West4th floor</t>
  </si>
  <si>
    <t>37, East Quarter, 2 Ridgway Street, M4 7LB</t>
  </si>
  <si>
    <t>Miss Yasmin Shan</t>
  </si>
  <si>
    <t>1 Bed Deluxe, 7th Floor, Furnished Canal View, No Balcony</t>
  </si>
  <si>
    <t>71 Gatehouse Apts, 86 East St, Southampton</t>
  </si>
  <si>
    <t>Tadgh Anthony Horgan &amp; Alex Handsome</t>
  </si>
  <si>
    <t>HS reduced AM min to £1505 on 20.6.24</t>
  </si>
  <si>
    <t>L4,  Encl. balcony,  Orchard L/Kings Hse2Bed 4P, Type 2A</t>
  </si>
  <si>
    <t>811 Enigma Square,  414 North Row, MK9 2GE</t>
  </si>
  <si>
    <t>Lee Ni Lily Hui</t>
  </si>
  <si>
    <t>1B2P, 01ESouth West, Balcony</t>
  </si>
  <si>
    <t xml:space="preserve">Reduced &amp; final chase </t>
  </si>
  <si>
    <t>602 Tayleur Apt , Waterman Wlk, Salford M50</t>
  </si>
  <si>
    <t>Tsz Fung Lo &amp; Sin Ying Lo</t>
  </si>
  <si>
    <t>17, Kew Bridge Court, London, W4 3AE</t>
  </si>
  <si>
    <t>Federica Iannone &amp; Alfonso Magistro</t>
  </si>
  <si>
    <t>1 bed 1 bath3rd Floor / Rail aspect</t>
  </si>
  <si>
    <t>135 The Barnum, 23 Queens Road, Nottingham</t>
  </si>
  <si>
    <t>Chinenye Ugwu</t>
  </si>
  <si>
    <t>411 The Barnum, 23 Queens Road, Nottingham</t>
  </si>
  <si>
    <t>Keira Shetliffe</t>
  </si>
  <si>
    <t>432 The Barnum, 23 Queens Road, Nottingham</t>
  </si>
  <si>
    <t>James King</t>
  </si>
  <si>
    <t>48 The Gardens, GF Left (3), London, SE22 9QG</t>
  </si>
  <si>
    <t>Rebecca Writer-Davies &amp; James McNeill</t>
  </si>
  <si>
    <t>no known issues, tenants are keen to renew</t>
  </si>
  <si>
    <t xml:space="preserve">Big 1 bed </t>
  </si>
  <si>
    <t>2 Rooms, Kitchen, Bath Flat - ConversionGround floor</t>
  </si>
  <si>
    <t>Flat 2, 55 Vincent Square</t>
  </si>
  <si>
    <t>Supachaya Sriphoosanaphan</t>
  </si>
  <si>
    <t>Issue with the front door lock, keys issued, selling the building so may query but it with them in situ</t>
  </si>
  <si>
    <t>1 bed flat with liv&amp; o/p kit, bath &amp; extra WCGF Refurbishment Completed 01.10.2021 6M DLP</t>
  </si>
  <si>
    <t>3D Webber Street, London, SE1 8PZ</t>
  </si>
  <si>
    <t>Emilio Pascarelli &amp; Elio Pascarelli</t>
  </si>
  <si>
    <t xml:space="preserve">Fully refurbished 2015, 2 bed flat, in good order at last inspection, tnts been in since 2021 </t>
  </si>
  <si>
    <t xml:space="preserve">Passing rent is low compared to other units of this type </t>
  </si>
  <si>
    <t>1704, Neon House, 207 Chapel St, Salford, M3</t>
  </si>
  <si>
    <t>Cloud Imperium Games Ltd</t>
  </si>
  <si>
    <t>324, Brook Place Apts, Sheffield,  S11 8BS</t>
  </si>
  <si>
    <t>Asha Wright</t>
  </si>
  <si>
    <t>706 Enigma Square,  414 North Row, MK9 2FU</t>
  </si>
  <si>
    <t>Sandra Reid</t>
  </si>
  <si>
    <t>Happy to renew - has made previous complaints regarding high Welcome Energy bills</t>
  </si>
  <si>
    <t>627 Enigma Square,  414 North Row, MK9 2GF</t>
  </si>
  <si>
    <t>Dr Defne Elif Alev</t>
  </si>
  <si>
    <t>FLAT 14 Georges Whrf Finzels Reach Bristol BS</t>
  </si>
  <si>
    <t>Emily Wass and Tatiana Garofalidou</t>
  </si>
  <si>
    <t>526, Brook Place Apts, Sheffield,  S11 8DA</t>
  </si>
  <si>
    <t>Zore Menat &amp; Alex Jacob Parsons</t>
  </si>
  <si>
    <t>817 Enigma Square,  414 North Row, MK9 2GF</t>
  </si>
  <si>
    <t>Felix Christopher Kaiser</t>
  </si>
  <si>
    <t xml:space="preserve">2-5% </t>
  </si>
  <si>
    <t xml:space="preserve">reduced </t>
  </si>
  <si>
    <t>1204, Neon House, 207 Chapel St, Salford, M3</t>
  </si>
  <si>
    <t>805 Enigma Square,  414 North Row, MK9 2FU</t>
  </si>
  <si>
    <t>Jeron Johnson</t>
  </si>
  <si>
    <t>term</t>
  </si>
  <si>
    <t>510, Solstice Apts, Silbury Boulevard</t>
  </si>
  <si>
    <t>Clever Nyamazani</t>
  </si>
  <si>
    <t>No issues apart from family smoking from juliette doors on occasion</t>
  </si>
  <si>
    <t>5th Flr,  Juliette Balcony1 bed-Type 4</t>
  </si>
  <si>
    <t>805, The Headline, Wellington Park Way, Leeds</t>
  </si>
  <si>
    <t>Alex Brewin &amp; Francesca Wylde</t>
  </si>
  <si>
    <t>2 Bed, 2 Bath, Type DL8, balcony, East</t>
  </si>
  <si>
    <t>612 Pin Yard, 11 Sweet Street, Leeds</t>
  </si>
  <si>
    <t>Eleanor Ford &amp; Emily Howard</t>
  </si>
  <si>
    <t>319 Pin Yard, 11 Sweet Street, Leeds</t>
  </si>
  <si>
    <t>Thomas Jackson &amp; Abigail Bond</t>
  </si>
  <si>
    <t>611 Enigma Square,  414 North Row, MK9 2FU</t>
  </si>
  <si>
    <t>Paul Simard</t>
  </si>
  <si>
    <t xml:space="preserve">NTQ </t>
  </si>
  <si>
    <t>Leaving area</t>
  </si>
  <si>
    <t>47, Gilders Yard, 14 Great Hampton St, Birm</t>
  </si>
  <si>
    <t>Lorenzo Pilon &amp; Irene Aprilis</t>
  </si>
  <si>
    <t xml:space="preserve">Yes renew- but had lreak issues in bathroom mid tenancy but now resolved </t>
  </si>
  <si>
    <t>req call back; unable to leave vm &amp; emailed</t>
  </si>
  <si>
    <t>404, Neon House, 207 Chapel St, Salford, M3 5</t>
  </si>
  <si>
    <t>N. Stapleton, E. Browne &amp; M. Bateman</t>
  </si>
  <si>
    <t>704 Ambassador Apt, Waterman Wlk, Salford M50</t>
  </si>
  <si>
    <t>Youssef Hassan &amp; Reem Hassan</t>
  </si>
  <si>
    <t>1104, Neon House, 207 Chapel St, Salford, M3</t>
  </si>
  <si>
    <t>S. Gomes, A.N. Ramesh Nair &amp; S.A. Kasinathan</t>
  </si>
  <si>
    <t xml:space="preserve">Have had one noise complaint in Dec 23- check with PM. </t>
  </si>
  <si>
    <t>106 Syren Apt , Ottinger Close, Salford M50</t>
  </si>
  <si>
    <t>Alexandra Balazs &amp; Ruth Newman</t>
  </si>
  <si>
    <t>FLAT 83, Hawkins Ln, Finzels Reach, Bristol,</t>
  </si>
  <si>
    <t>Robbie Allen</t>
  </si>
  <si>
    <t>2 Bed ApartmentHawkins Lane</t>
  </si>
  <si>
    <t>1703,The Headline, Wellington Park Way, Leeds</t>
  </si>
  <si>
    <t>Sohaib Abouelela</t>
  </si>
  <si>
    <t>2 Bed, 1 Bath, Type BL17,  West</t>
  </si>
  <si>
    <t>132 Argo Apts,4 Silvertown Way,London,E16 1YD</t>
  </si>
  <si>
    <t>Martin Walter</t>
  </si>
  <si>
    <t>Nice resident, but hard to get hold of sometimes. Please let the team know if any issues contacting.</t>
  </si>
  <si>
    <t>1 bed &amp; 1 bath North-West15th floor</t>
  </si>
  <si>
    <t>Flat28,Churston Cl,162-164 Tulse Hill,SW2 3BX</t>
  </si>
  <si>
    <t>Muhammad Bilal E Habshi &amp; Ghazala Naheed</t>
  </si>
  <si>
    <t>2 bed / 1 bath, kit, liv - Refurb'17FF</t>
  </si>
  <si>
    <t>80 Poppy Apartments, E16 2YH</t>
  </si>
  <si>
    <t>Anna Govett, Ina Peja &amp; Mira Peja</t>
  </si>
  <si>
    <t>3B5P Balcony + WC14th Floor</t>
  </si>
  <si>
    <t>Flat 37, Agate Mews, Block E, Salford, M5</t>
  </si>
  <si>
    <t>Trausti Thor Anderson &amp; Arkadiusz Ludkowski</t>
  </si>
  <si>
    <t>1 Bedroom WITH FF &amp; WMFurnished</t>
  </si>
  <si>
    <t>719 The Barnum, 23 Queens Road, Nottingham</t>
  </si>
  <si>
    <t>Omid Homaee and Houra Arab</t>
  </si>
  <si>
    <t>64, East Quarter, 2 Ridgway Street, M4 7LB</t>
  </si>
  <si>
    <t>Ritchie Sanderson-Brown</t>
  </si>
  <si>
    <t>1 Bed Deluxe, 12th Floor, FurnishedEtihad View, No Balcony</t>
  </si>
  <si>
    <t>156, Gilders Yard, 14 Great Hampton St Birm</t>
  </si>
  <si>
    <t>Minqiao Huang &amp; Yu Gu,</t>
  </si>
  <si>
    <t xml:space="preserve">yes renew - had appliance issues and bathroom issue, all resolved </t>
  </si>
  <si>
    <t>2B4P, Block D Type JCourtyard, No Balcony</t>
  </si>
  <si>
    <t xml:space="preserve">Leaving country </t>
  </si>
  <si>
    <t>Flat 9, Ospringe House, Wotton St, SE1 8TP</t>
  </si>
  <si>
    <t>Elise Austin &amp; Daisy Galforg</t>
  </si>
  <si>
    <t>Streatham Estate</t>
  </si>
  <si>
    <t>68 Woodleigh Gardens, Streatham, London</t>
  </si>
  <si>
    <t>Mr Jamshed Malik &amp; Mrs Kauser Hussain</t>
  </si>
  <si>
    <t>S/C 3 bed/1 bath, WC, kitchen, living rmF/F</t>
  </si>
  <si>
    <t>302 South, The Forge, Newcastle, NE1 3AR</t>
  </si>
  <si>
    <t>Shaoyi Wang &amp; Qianhan Xia</t>
  </si>
  <si>
    <t>2 Bed, 2 Bath, 3rd Floor, Balcony</t>
  </si>
  <si>
    <t>508 North, The Forge, Newcastle, NE1 3AH</t>
  </si>
  <si>
    <t>Benjarat Kornphot &amp; Phumpitak Mungkung</t>
  </si>
  <si>
    <t>Few noise complaints, think relationship breakdown between two tenants, been quiet recently though</t>
  </si>
  <si>
    <t>2 Bed, 2 Bath, 5F</t>
  </si>
  <si>
    <t>606 South, The Forge, Newcastle, NE1 3AR</t>
  </si>
  <si>
    <t>Mayada Omer</t>
  </si>
  <si>
    <t>1 Bed, 1 Bath, 6th Floor</t>
  </si>
  <si>
    <t>707 South, The Forge, Newcastle, NE1 3AR</t>
  </si>
  <si>
    <t>Heidi Portwine</t>
  </si>
  <si>
    <t>2 Bed, 2 Bath, 7th Floor</t>
  </si>
  <si>
    <t>Flat 10,Dominic Court,43 The Gardens,SE22 9QR</t>
  </si>
  <si>
    <t>Mr Rory O'Connell</t>
  </si>
  <si>
    <t>2 Rooms, Kitchen, Bath Flat - Purpose BuiltFirst Floor</t>
  </si>
  <si>
    <t>511 Ambassador Apt, Waterman Wlk, Salford M50</t>
  </si>
  <si>
    <t>Sarbojeet Saha</t>
  </si>
  <si>
    <t>FLAT 87, Hawkins Ln, Finzels Reach, Bristol,</t>
  </si>
  <si>
    <t>Lihan Jiang</t>
  </si>
  <si>
    <t>Relocating to Millwrights</t>
  </si>
  <si>
    <t>717, Brook Place Apts, Sheffield,  S11 8DA</t>
  </si>
  <si>
    <t>Hanru Niu</t>
  </si>
  <si>
    <t>501 Pin Yard, 11 Sweet Street, Leeds</t>
  </si>
  <si>
    <t>Finlay Bamber &amp; Grace Macartney</t>
  </si>
  <si>
    <t>312, The Headline, Wellington Park Way, Leeds</t>
  </si>
  <si>
    <t>Richard Jackson &amp; Yu Xuan Chng</t>
  </si>
  <si>
    <t>713 Enigma Square,  414 North Row, MK9 2GE</t>
  </si>
  <si>
    <t>Meenam Qazi</t>
  </si>
  <si>
    <t>1B2P, 01E(B)South West, Balcony</t>
  </si>
  <si>
    <t>Unkown</t>
  </si>
  <si>
    <t>312 Tayleur Apt , Waterman Wlk, Salford M50</t>
  </si>
  <si>
    <t>Joshua Whelan and George Hewett</t>
  </si>
  <si>
    <t>10 Gore St, Salford, M3 5FP</t>
  </si>
  <si>
    <t>Ben Knights, Jasmine Prior &amp; Katie Noble</t>
  </si>
  <si>
    <t xml:space="preserve">N/A - Had a lot of back and forth at the start due to replacement wroktop </t>
  </si>
  <si>
    <t>Townhouse - 2 Storey3 Bed - Type H</t>
  </si>
  <si>
    <t>Bethnal Green</t>
  </si>
  <si>
    <t>Robert Steel</t>
  </si>
  <si>
    <t>22, Temple Dwellings, London, E2 6QG</t>
  </si>
  <si>
    <t>Youssef Hadire and Athos Croce</t>
  </si>
  <si>
    <t>No Issues, ensure we have a 6 month break clause</t>
  </si>
  <si>
    <t>1 bed/1 bath, kitch, liv rm - PRfrb '17FF</t>
  </si>
  <si>
    <t>Bishops Court</t>
  </si>
  <si>
    <t>7, Bishopscourt, 6, Radcliffe Road, Surrey</t>
  </si>
  <si>
    <t>Lucas Herron &amp; Summer Herron</t>
  </si>
  <si>
    <t>S/C P/B 2 bed, 1 bath, WC, kit, livG/f</t>
  </si>
  <si>
    <t>131 Gatehouse Apts, 86 East St, Southampton</t>
  </si>
  <si>
    <t>Anna Patricia Simonds</t>
  </si>
  <si>
    <t>L14,  Encl. balcony,  River Itchen/Cruise shi2Bed 4P, Type 2B</t>
  </si>
  <si>
    <t>8 Gatehouse Apts, 86 East St, Southampton</t>
  </si>
  <si>
    <t>Adam Else &amp; Oliver Cobb</t>
  </si>
  <si>
    <t>L1,  Juliette,  Debenhams2Bed 4P, Type 2C</t>
  </si>
  <si>
    <t>220, Solstice Apts, Silbury Boulevard</t>
  </si>
  <si>
    <t>Christina Wilson</t>
  </si>
  <si>
    <t>2nd Flr,  no balcony/Tce1 bed-Type 2</t>
  </si>
  <si>
    <t>house purchase clause</t>
  </si>
  <si>
    <t>804 Enigma Square,  414 North Row, MK9 2FU</t>
  </si>
  <si>
    <t>Ekaterina Shabalina</t>
  </si>
  <si>
    <t>1B2P, 01E(M)North East, Balcony</t>
  </si>
  <si>
    <t xml:space="preserve">Relocating in Sept </t>
  </si>
  <si>
    <t>Apt 110, Kings Dock Mill, Liverpool, L1</t>
  </si>
  <si>
    <t>Jonathon Myers</t>
  </si>
  <si>
    <t xml:space="preserve">N/A - PM Confrimed have not received any notice here </t>
  </si>
  <si>
    <t>Lacey</t>
  </si>
  <si>
    <t>17, Ancoats, 2 Butler Street, M4 6BZ</t>
  </si>
  <si>
    <t>Florence Sena</t>
  </si>
  <si>
    <t>1 Bed, 3rd Floor, FurnishedCity View, No Balcony</t>
  </si>
  <si>
    <t>FLAT 1 Georges Whrf Finzels Reach Bristol BS1</t>
  </si>
  <si>
    <t>Zongzhen Li &amp; Huiyuan Lu</t>
  </si>
  <si>
    <t>2 Bed ApartmentCourtyard/ Harbour</t>
  </si>
  <si>
    <t>COS - 12 months</t>
  </si>
  <si>
    <t>626 Enigma Square,  414 North Row, MK9 2GE</t>
  </si>
  <si>
    <t>Samuel and Sally Yeboah</t>
  </si>
  <si>
    <t>1B2P, 01B_SSouth East, Balcony</t>
  </si>
  <si>
    <t>41 The Gardens, TFF, Flat 7, London SE22 9QG</t>
  </si>
  <si>
    <t>Allan Strapasson Pin</t>
  </si>
  <si>
    <t>Studio - seperate kitchen &amp; bath - Refurb '17Third floor</t>
  </si>
  <si>
    <t>434 Enigma Square,  414 North Row, MK9 2GF</t>
  </si>
  <si>
    <t>Wai Yin Wong and Mei Ki Maggie Chau</t>
  </si>
  <si>
    <t>Short extention -2months</t>
  </si>
  <si>
    <t>Flat 10, Trelawney House, Union St, SE1 0LF</t>
  </si>
  <si>
    <t>Caleb Wong &amp; Zachary Lee</t>
  </si>
  <si>
    <t>303, Brook Place Apts, Sheffield,  S11 8BS</t>
  </si>
  <si>
    <t>Aydin Can &amp; Zoe Can</t>
  </si>
  <si>
    <t>422, Brook Place Apts, Sheffield,  S11 8BS</t>
  </si>
  <si>
    <t>Amrit Padmakar Jani &amp; Aneela Devarakonda</t>
  </si>
  <si>
    <t>416 Torrens Apt, Waterman Wlk, Salford M50</t>
  </si>
  <si>
    <t>H. Worthington &amp; G. Whitrick</t>
  </si>
  <si>
    <t>812 Enigma Square,  414 North Row, MK9 2GE</t>
  </si>
  <si>
    <t>Mr Jonas Adler</t>
  </si>
  <si>
    <t>1B2P, 01C(MB)North East, Balcony</t>
  </si>
  <si>
    <t xml:space="preserve">denied </t>
  </si>
  <si>
    <t>S21</t>
  </si>
  <si>
    <t>334 Enigma Square,  414 North Row, MK9 2GF</t>
  </si>
  <si>
    <t>Timilehin Omoloye and Oluwadoyinsola Ajala</t>
  </si>
  <si>
    <t>AM refused to reduce price</t>
  </si>
  <si>
    <t>821 Enigma Square,  414 North Row, MK9 2GF</t>
  </si>
  <si>
    <t>Raulnel Neptune</t>
  </si>
  <si>
    <t>1B2P, 01C_S(B)South West, Balcony</t>
  </si>
  <si>
    <t>36 months</t>
  </si>
  <si>
    <t>634 Enigma Square,  414 North Row, MK9 2GF</t>
  </si>
  <si>
    <t>Fatma Ali Makhzoum Abdulsalam</t>
  </si>
  <si>
    <t>relocating</t>
  </si>
  <si>
    <t>733 Enigma Square,  414 North Row, MK9 2GF</t>
  </si>
  <si>
    <t>Alex Meade</t>
  </si>
  <si>
    <t>1B2P, 01C_SSouth West, Balcony</t>
  </si>
  <si>
    <t>relocating: oversees</t>
  </si>
  <si>
    <t>810 Enigma Square,  414 North Row, MK9 2GE</t>
  </si>
  <si>
    <t>George Edwin Halliday-Taylor</t>
  </si>
  <si>
    <t>1B2P, 01CNorth East, Balcony</t>
  </si>
  <si>
    <t>511, Solstice Apts, Silbury Boulevard</t>
  </si>
  <si>
    <t>Amol Niteen Joshi &amp; Abhipsha Sur Roy</t>
  </si>
  <si>
    <t>5th Flr,  Juliette Balcony2 bed-Type 6</t>
  </si>
  <si>
    <t xml:space="preserve">Leaving area </t>
  </si>
  <si>
    <t>714 Enigma Square,  414 North Row, MK9 2GE</t>
  </si>
  <si>
    <t>Andrey Kluban</t>
  </si>
  <si>
    <t>agreed by paying x2 6 months RIA</t>
  </si>
  <si>
    <t>501 Enigma Square,  414 North Row, MK9 2FU</t>
  </si>
  <si>
    <t>Raynard Spence</t>
  </si>
  <si>
    <t>incl militery bc</t>
  </si>
  <si>
    <t>FLAT 40 Georges Whrf Finzels Reach Bristol BS</t>
  </si>
  <si>
    <t>Ciara Halpin and Toby Eldredge</t>
  </si>
  <si>
    <t>Studio ApartmentEast Tucker Street</t>
  </si>
  <si>
    <t>short term extention</t>
  </si>
  <si>
    <t>Flat 5, Juniper House, Salford, M5</t>
  </si>
  <si>
    <t>Victoria Hawkesworth &amp; Hannah Louise Davies</t>
  </si>
  <si>
    <t>2 Bedroom DuplexUnfurnished with WM &amp; FF</t>
  </si>
  <si>
    <t>526 Enigma Square,  414 North Row, MK9 2GE</t>
  </si>
  <si>
    <t>Jihun Park and Mijung Yu</t>
  </si>
  <si>
    <t>6 Hatt Street Wellesley, Aldershot GU11 4AQ</t>
  </si>
  <si>
    <t>Emma Nordlund &amp; Graham Kinge</t>
  </si>
  <si>
    <t>£820.63 PER MONTH</t>
  </si>
  <si>
    <t>66, Gilders Yard, 14 Great Hampton St, Birm</t>
  </si>
  <si>
    <t>Iqra Rafiq</t>
  </si>
  <si>
    <t>1B2P, Block C Type INorth, No Balcony</t>
  </si>
  <si>
    <t>FLAT 34, Hawkins Ln, Finzels Reach, Bristol,</t>
  </si>
  <si>
    <t>Amir Palermo &amp; Robert Sims</t>
  </si>
  <si>
    <t>416, Solstice Apts, Silbury Boulevard</t>
  </si>
  <si>
    <t>Milton Keynes Dons FC</t>
  </si>
  <si>
    <t>No issues – tenants change often</t>
  </si>
  <si>
    <t>4th Flr, Tce - Rear2 bed-Type 6A</t>
  </si>
  <si>
    <t>discussin p.occ for company let</t>
  </si>
  <si>
    <t>33, Gilders Yard, 14 Great Hampton St, Birm</t>
  </si>
  <si>
    <t>Mariyah Rehman</t>
  </si>
  <si>
    <t>1B2P, Block A Type IWest , No Balcony</t>
  </si>
  <si>
    <t>FLAT 13 Georges Whrf Finzels Reach Bristol BS</t>
  </si>
  <si>
    <t>Jin Hui Tan &amp; Jing Zhe Tan</t>
  </si>
  <si>
    <t>leaving area</t>
  </si>
  <si>
    <t>524 Enigma Square,  414 North Row, MK9 2GE</t>
  </si>
  <si>
    <t>Samantha Mpanu-Malila</t>
  </si>
  <si>
    <t>FLAT 77 Georges Whrf Finzels Reach Bristol BS</t>
  </si>
  <si>
    <t>Shengnan Li</t>
  </si>
  <si>
    <t>accepted - 12 month</t>
  </si>
  <si>
    <t>FLAT 53 Georges Whrf Finzels Reach Bristol BS</t>
  </si>
  <si>
    <t>Nathan Figureido &amp; Daniela Buglione</t>
  </si>
  <si>
    <t>1 Bed Apartment</t>
  </si>
  <si>
    <t>24 Dorrell Apt, Darbyshire Rd, Aldershot, Han</t>
  </si>
  <si>
    <t>Megan Marshall &amp; Ryan Walker</t>
  </si>
  <si>
    <t>Happy to renew, unsure if Ryan will due to relationship breakdown</t>
  </si>
  <si>
    <t>614 Enigma Square,  414 North Row, MK9 2GE</t>
  </si>
  <si>
    <t>Eucharia Okoli and Kenechukwu Okoli</t>
  </si>
  <si>
    <t>1B2P, 01DSouth West, Balcony</t>
  </si>
  <si>
    <t xml:space="preserve">error </t>
  </si>
  <si>
    <t>312 Enigma Square,  414 North Row, MK9 2FU</t>
  </si>
  <si>
    <t>Shailesh Gusain and Kirti Rana</t>
  </si>
  <si>
    <t>2B4P, 02B_S(B)South West, Balcony</t>
  </si>
  <si>
    <t>to arrange call back</t>
  </si>
  <si>
    <t>FLAT 10, Hawkins Ln, Finzels Reach, Bristol,</t>
  </si>
  <si>
    <t>Jon Cowgill</t>
  </si>
  <si>
    <t>bc</t>
  </si>
  <si>
    <t>1602, Lamp House, 215 Chapel St, Salford, M3</t>
  </si>
  <si>
    <t>Duarte Infante &amp; Zifei Zhou</t>
  </si>
  <si>
    <t>227, Solstice Apts, Silbury Boulevard</t>
  </si>
  <si>
    <t>Arunava Chatterjee</t>
  </si>
  <si>
    <t>BC request</t>
  </si>
  <si>
    <t>FLAT 1, Hawkins Ln, Finzels Reach, Bristol, B</t>
  </si>
  <si>
    <t>Yuk Yeung Wong and Po Fun Chin</t>
  </si>
  <si>
    <t>FLAT 3 Georges Whrf Finzels Reach Bristol BS1</t>
  </si>
  <si>
    <t>Yanjun Chen and Jiahui Ge</t>
  </si>
  <si>
    <t>accepted - 6 month</t>
  </si>
  <si>
    <t>FLAT 15, Hawkins Ln, Finzels Reach, Bristol,</t>
  </si>
  <si>
    <t>Dalva Gerberon &amp; Callum Harries</t>
  </si>
  <si>
    <t>112 Enigma Square,  414 North Row, MK9 2FU</t>
  </si>
  <si>
    <t>Stephen Burch</t>
  </si>
  <si>
    <t>FLAT 45, Hawkins Ln, Finzels Reach, Bristol,</t>
  </si>
  <si>
    <t>Quinn Palmer &amp; Linda Joszevics</t>
  </si>
  <si>
    <t xml:space="preserve">with AM </t>
  </si>
  <si>
    <t>FLAT 22, Hawkins Ln, Finzels Reach, Bristol,</t>
  </si>
  <si>
    <t>Zesheng Li and Ke Zhang</t>
  </si>
  <si>
    <t>1 Bed ApartmentEast Tucker Street</t>
  </si>
  <si>
    <t>123, Solstice Apts, Silbury Boulevard</t>
  </si>
  <si>
    <t>Agne Makarovaite and Amelia Stafford</t>
  </si>
  <si>
    <t>1st Flr, Tce - courtyard1 bed-Type 5</t>
  </si>
  <si>
    <t>FLAT 53, Hawkins Ln, Finzels Reach, Bristol,</t>
  </si>
  <si>
    <t>Lily Morris</t>
  </si>
  <si>
    <t>1 Bed ApartmentCourtyard</t>
  </si>
  <si>
    <t>agreed 24 months</t>
  </si>
  <si>
    <t>803 Enigma Square,  414 North Row, MK9 2FU</t>
  </si>
  <si>
    <t>Pedro Rodrigues</t>
  </si>
  <si>
    <t>poss move out</t>
  </si>
  <si>
    <t>709 Torrens Apt, Waterman Wlk, Salford M50</t>
  </si>
  <si>
    <t>Yat Long Chan</t>
  </si>
  <si>
    <t>1Shanghai</t>
  </si>
  <si>
    <t>802 Enigma Square,  414 North Row, MK9 2FU</t>
  </si>
  <si>
    <t>Karabo Sebogodi and Ditshupo Sebogodi</t>
  </si>
  <si>
    <t>Happy to renew - has complained about high Welcome Energy heating bills</t>
  </si>
  <si>
    <t>with AM</t>
  </si>
  <si>
    <t>5 Langford House, Carey Lane, Waterlooville P</t>
  </si>
  <si>
    <t>Ms Vivian Ha &amp; Shyun Ping Tiong</t>
  </si>
  <si>
    <t>1st Floor2 Bed 4 Person</t>
  </si>
  <si>
    <t>1105 Aster Apts 822 Seven Sisters Rd London N</t>
  </si>
  <si>
    <t>Mr Runjia Chen</t>
  </si>
  <si>
    <t>1 bedroomEast</t>
  </si>
  <si>
    <t>1902 Aster Apts 822 Seven Sisters Rd London N</t>
  </si>
  <si>
    <t>Momoko Otsuka</t>
  </si>
  <si>
    <t>r2r required</t>
  </si>
  <si>
    <t>802 Aster Apts 822 Seven Sisters Rd London N1</t>
  </si>
  <si>
    <t>Mr Grzegorz Telejko, Ms Flora Bihari-Kiss</t>
  </si>
  <si>
    <t>109 Argo Apts,4 Silvertown Way,London,E16 1YD</t>
  </si>
  <si>
    <t>1 bed &amp; 1 bath South-West Right13th floor</t>
  </si>
  <si>
    <t>19 Acland Street Wellesley, Aldershot GU11 4A</t>
  </si>
  <si>
    <t>Ms Sarah Norris and Mr Ben Williamson</t>
  </si>
  <si>
    <t>213, Brook Place Apts, Sheffield,  S11 8BR</t>
  </si>
  <si>
    <t>Charlotte O'Neill</t>
  </si>
  <si>
    <t xml:space="preserve">All good to offer renewal- please know this tenant changed their name to Mo- please update </t>
  </si>
  <si>
    <t>Apt 113, Abbeville Apts, 37 London Rd, Barkin</t>
  </si>
  <si>
    <t>Nishat Anjum &amp; Khawaja Hassan Munir</t>
  </si>
  <si>
    <t>1 Bed, First Floor, Furnished1 Bathrooms</t>
  </si>
  <si>
    <t>Kimmerston House</t>
  </si>
  <si>
    <t>Room 6A, Kimmerston  House</t>
  </si>
  <si>
    <t>Ding Ding</t>
  </si>
  <si>
    <t>Double bed,shared kit/bath,furnished-Rfrb 15'Third floor</t>
  </si>
  <si>
    <t>Apt 208, Abbeville Apts, 37 London Rd, Barkin</t>
  </si>
  <si>
    <t>Miss Batul Abbas &amp; Mr Durani Prasonna Vijayan</t>
  </si>
  <si>
    <t>Apt 313, Abbeville Apts, 37 London Rd, Barkin</t>
  </si>
  <si>
    <t>Mohamed Khelloufi &amp; Assia Al Jerrari</t>
  </si>
  <si>
    <t>Apt 402, Abbeville Apts, 37 London Rd, Barkin</t>
  </si>
  <si>
    <t>Mandy-Liza Lehnert,J Sowah,Elletina Mekkaoui</t>
  </si>
  <si>
    <t>3 Bed, Forth Floor, Furnished2 Bathrooms</t>
  </si>
  <si>
    <t>Apt 405, Abbeville Apts, 37 London Rd, Barkin</t>
  </si>
  <si>
    <t>Dr Anusuya Rajendran</t>
  </si>
  <si>
    <t>1 Bed, Forth Floor, Furnished1 Bathrooms</t>
  </si>
  <si>
    <t>Apt 409, Abbeville Apts, 37 London Rd, Barkin</t>
  </si>
  <si>
    <t>Amrita Poojari and Raghavendra Poojari</t>
  </si>
  <si>
    <t>Apt 412, Abbeville Apts, 37 London Rd, Barkin</t>
  </si>
  <si>
    <t>Rakesh Singh &amp; Rekha Kumari</t>
  </si>
  <si>
    <t>2 Bed, Forth Floor, Furnished1 Bathrooms</t>
  </si>
  <si>
    <t>Apt 509, Abbeville Apts, 37 London Rd, Barkin</t>
  </si>
  <si>
    <t>Ms Sarah Gifford &amp; Mr Wayne Brown</t>
  </si>
  <si>
    <t>1 Bed, Fifth Floor, Furnished1 Bathrooms</t>
  </si>
  <si>
    <t>140 Adlay Apartments, E16 2YG</t>
  </si>
  <si>
    <t>Parikshit Singh &amp; Payal Sadhwani</t>
  </si>
  <si>
    <t>2B4P Balcony (ensuite)11th Floor</t>
  </si>
  <si>
    <t>76 Adlay Apartments, E16 2YG</t>
  </si>
  <si>
    <t>Fabio Riva &amp; Lelisia Anselmo</t>
  </si>
  <si>
    <t>1B2P Balcony13th Floor</t>
  </si>
  <si>
    <t>Apt 73, Kings Dock Mill, Liverpool, L1</t>
  </si>
  <si>
    <t>Mr Edward Smith &amp; Ms Alicja Budziszewska</t>
  </si>
  <si>
    <t>45, Ancoats, 2 Butler Street, M4 6BZ</t>
  </si>
  <si>
    <t>Holly Whittaker &amp; Lucia Milone</t>
  </si>
  <si>
    <t>2 Bed, 9th Floor, FurnishedEtihad View, No Balcony</t>
  </si>
  <si>
    <t>Flat 52, St Annes Hs, Buckingham Plc, BN1 3Q</t>
  </si>
  <si>
    <t>Talia Deacon-Cole</t>
  </si>
  <si>
    <t>Studio - Refurbished 2018 (Type C)Fourth Floor</t>
  </si>
  <si>
    <t>107 South, The Forge, Newcastle, NE1 3AR</t>
  </si>
  <si>
    <t>Ngai Ping Kung &amp; Ki Fung Wong</t>
  </si>
  <si>
    <t>2 Bedroom, 2 Bath, 1st Floor</t>
  </si>
  <si>
    <t>307 Assay Apartments, Station View, Guildford</t>
  </si>
  <si>
    <t>Wing Yee Wong &amp; Mei Yee Wong</t>
  </si>
  <si>
    <t xml:space="preserve"> 1b2p, 1Cwest, Balcony</t>
  </si>
  <si>
    <t>1C Mitre Road, London, SE1 8PY</t>
  </si>
  <si>
    <t>Mr Benjamin Hilton &amp; Mr Ian Hollander</t>
  </si>
  <si>
    <t>Fully refurbised (2019) 2 bed flat, in good order at last inspection, tnts been in since 2022</t>
  </si>
  <si>
    <t>225, Solstice Apts, Silbury Boulevard</t>
  </si>
  <si>
    <t>Megi Braholli &amp; Thomas Bailey</t>
  </si>
  <si>
    <t>2nd Flr,  Juliette Balcony2 bed-Type 7</t>
  </si>
  <si>
    <t>reduced - 24month</t>
  </si>
  <si>
    <t>Ability Plaza</t>
  </si>
  <si>
    <t>Flat 16 Ability Plaza, London, E8</t>
  </si>
  <si>
    <t>Mr Justin Georges Guy Seghers</t>
  </si>
  <si>
    <t xml:space="preserve">The passing rent is incredibly low on this. Please offer but the increase will be high to bring in line with the wider market </t>
  </si>
  <si>
    <t>S/C 1 bed/1 bath w/balcony, o/p kit/livingFF</t>
  </si>
  <si>
    <t>EX 7 Ability Plaza, 310 Kingsland Rd, Lon E8</t>
  </si>
  <si>
    <t>Alfred Adeoye</t>
  </si>
  <si>
    <t>S/C 1 bed/1 bath, o/p kitchen/living rm Rfb21FF</t>
  </si>
  <si>
    <t>EX 16 Ability Plaza, 310 Kingsland Rd, Lon E8</t>
  </si>
  <si>
    <t>Anne Lancaster</t>
  </si>
  <si>
    <t>S/C 1 bed/1 bath, o/p kit/liv, Rfrb 2014TF</t>
  </si>
  <si>
    <t>EX 19 Ability Plaza, 310 Kingsland Rd, Lon E8</t>
  </si>
  <si>
    <t>Mr David Ralph &amp; Miss Prudence Bond</t>
  </si>
  <si>
    <t>S/C 1 bed/1 bath, o/p kitchen/liv, Rfrb 20144F</t>
  </si>
  <si>
    <t>Flat 76 Ability Plaza, London, E8</t>
  </si>
  <si>
    <t>Mr Jesse Laitinen</t>
  </si>
  <si>
    <t>studio/mezz/bathroom - PRfb '176F/6FA</t>
  </si>
  <si>
    <t>Flat 75 Ability Plaza, London, E8</t>
  </si>
  <si>
    <t>My Taylan Aygun</t>
  </si>
  <si>
    <t>studio/mezz/bathroom/balcony, PRfb 206F/6FA</t>
  </si>
  <si>
    <t>Flat 64 Ability Plaza, London, E8</t>
  </si>
  <si>
    <t>Peter Booth</t>
  </si>
  <si>
    <t xml:space="preserve">Passing rent is low copared to ERV and other 2 bed rents </t>
  </si>
  <si>
    <t>S/C 2 bed/1 bath, kitchen, living room4FA</t>
  </si>
  <si>
    <t>Flat 67 Ability Plaza, London, E8</t>
  </si>
  <si>
    <t>Mr S van Oossanen, Ms S Lee &amp; Mr D Cutler</t>
  </si>
  <si>
    <t>2 bed/1 bath flat, kitchen, living rm PRfb205F</t>
  </si>
  <si>
    <t>2102, Neon House, 207 Chapel St, Salford, M3</t>
  </si>
  <si>
    <t>Charles Hewish &amp; Reuben Hewish</t>
  </si>
  <si>
    <t>Balcony, Dual - SSE/WSW2 Bed - TYPE F</t>
  </si>
  <si>
    <t>207 Torrens Apt, Waterman Wlk, Salford M50</t>
  </si>
  <si>
    <t>Jacob Cutts, Ben Blackburn and Luke Ashton</t>
  </si>
  <si>
    <t>516, Brook Place Apts, Sheffield,  S11 8BS</t>
  </si>
  <si>
    <t>Safiah B Alharbi</t>
  </si>
  <si>
    <t>Brother still here despite doing COS- RST blocked his fob and Safiah is not pleased. Happy to COS to put him back on if she wishes.</t>
  </si>
  <si>
    <t>Flat 7 Ability view, 220 Kingsland Road, Lond</t>
  </si>
  <si>
    <t>Mr Tamas Koloti</t>
  </si>
  <si>
    <t>1 bed/1 bath, o/p kitch/liv rm - P Refurb '184F</t>
  </si>
  <si>
    <t>Flat 13 Ability view, 220 Kingsland Road, Lon</t>
  </si>
  <si>
    <t>Miss Rachael Valters &amp; Mr Samuel Thomas</t>
  </si>
  <si>
    <t>1 bed / 1 bath/ opne plan kitchen/living room5F</t>
  </si>
  <si>
    <t>317 Ambassador Apt, Waterman Wlk, Salford M50</t>
  </si>
  <si>
    <t>D. Stephenson &amp; R. Power &amp; C. Campbell</t>
  </si>
  <si>
    <t>606 The Condor, 1 Springwell Sq</t>
  </si>
  <si>
    <t>Robert Omondi</t>
  </si>
  <si>
    <t>0B2P,SBInternal Better</t>
  </si>
  <si>
    <t xml:space="preserve">req short term. </t>
  </si>
  <si>
    <t>109 Enigma Square,  414 North Row, MK9 2FU</t>
  </si>
  <si>
    <t>Jasmine Stigwood and James Ronan</t>
  </si>
  <si>
    <t>1B2P, 01CSouth West, No Balcony</t>
  </si>
  <si>
    <t>712 Tayleur Apt , Waterman Wlk, Salford M50</t>
  </si>
  <si>
    <t>Stephanie Adu and Anita Adu</t>
  </si>
  <si>
    <t>2 BedNassau</t>
  </si>
  <si>
    <t>304, Lamp House, 215 Chapel St, Salford, M3 5</t>
  </si>
  <si>
    <t>Evie Dowding &amp; Ieuan Hodson</t>
  </si>
  <si>
    <t>Balcony, Dual - SW / NW2 Bed  - Type C</t>
  </si>
  <si>
    <t>504 Enigma Square,  414 North Row, MK9 2FU</t>
  </si>
  <si>
    <t>John Esslemont and Kim Esslemont</t>
  </si>
  <si>
    <t>6 months - discussing bc for 12</t>
  </si>
  <si>
    <t>808, Halogen House, 217 Chapel St, Salford, M</t>
  </si>
  <si>
    <t>Katy McHugh &amp; Thomas Pickering</t>
  </si>
  <si>
    <t>Balcony, Dual - WNW/SSW2 Bed - TYPE B</t>
  </si>
  <si>
    <t>FLAT 31 Georges Whrf Finzels Reach Bristol BS</t>
  </si>
  <si>
    <t>Yu Ma &amp; Zhiyang Zhang</t>
  </si>
  <si>
    <t>Size</t>
  </si>
  <si>
    <t>7, Temple Dwellings, London, E2 6QG</t>
  </si>
  <si>
    <t>Sam Killick &amp; Chloe Smith</t>
  </si>
  <si>
    <t>some damp issues which we are sorting however no issues with tenants, offer new TA ensuring we have a 6 month break clause</t>
  </si>
  <si>
    <t>1 bed/1 bath, kitch, liv rm - PRfrb '17SF</t>
  </si>
  <si>
    <t>Great Sutton Street</t>
  </si>
  <si>
    <t>Apartment 11, 46-47 Great Sutton Street</t>
  </si>
  <si>
    <t>Zita Duarte &amp; Herman Van Wymeersch</t>
  </si>
  <si>
    <t xml:space="preserve">Flat in good condition.  recent plumbing issues and loss of use of some appliances. Dont push to hard. </t>
  </si>
  <si>
    <t>2 bed/1 bath, kit, liv, terrace - Rfrb 2014FFF</t>
  </si>
  <si>
    <t>Apartment 14, 46-47 Great Sutton Street</t>
  </si>
  <si>
    <t>Noorhan Maktabi &amp; Fares Maktabi</t>
  </si>
  <si>
    <t>2bed/1bath splt lvl, o/p kit/liv - Rfb'15B/G in car park</t>
  </si>
  <si>
    <t>66 Adlay Apartments, E16 2YG</t>
  </si>
  <si>
    <t>Hsin-Yu Wang and Jie Liu</t>
  </si>
  <si>
    <t>1B2P Balcony11th Floor</t>
  </si>
  <si>
    <t>Apt 131, Kings Dock Mill, Liverpool, L1</t>
  </si>
  <si>
    <t>Sarah Dinsmore &amp; Conor Lambe</t>
  </si>
  <si>
    <t>Apt 39, Kings Dock Mill, Liverpool, L1</t>
  </si>
  <si>
    <t>James Jarrold</t>
  </si>
  <si>
    <t>516 The Barnum, 23 Queens Road, Nottingham</t>
  </si>
  <si>
    <t>Usha Jonnalagadda</t>
  </si>
  <si>
    <t>825 The Barnum, 23 Queens Road, Nottingham</t>
  </si>
  <si>
    <t>Konstantinos Merkouriadis</t>
  </si>
  <si>
    <t>5, New Islington, 43 Chippenham Road, M4 6BY</t>
  </si>
  <si>
    <t>Arthur Raffle &amp; Euan Shields</t>
  </si>
  <si>
    <t>2 Bed, 1st Floor, FurnishedEtihad View, No Balcony</t>
  </si>
  <si>
    <t>1002 Aster Apts 822 Seven Sisters Rd London N</t>
  </si>
  <si>
    <t>Pedro Lins Conceição de Medeiros</t>
  </si>
  <si>
    <t>1103 Aster Apts 822 Seven Sisters Rd London N</t>
  </si>
  <si>
    <t>Selin Paeck &amp; Jiyoon Sung</t>
  </si>
  <si>
    <t>2 bedroomSouth West</t>
  </si>
  <si>
    <t>2001 Aster Apts 822 Seven Sisters Rd London N</t>
  </si>
  <si>
    <t>A Jessa, L Longstreet, I Cavicchi</t>
  </si>
  <si>
    <t>3 bedroomNorth West</t>
  </si>
  <si>
    <t>806 Aster Apts 822 Seven Sisters Rd London N1</t>
  </si>
  <si>
    <t>Craig Burgess &amp; Lauren Jade Zonneveld</t>
  </si>
  <si>
    <t>2 bedroomNorth East</t>
  </si>
  <si>
    <t>50, New Islington, 43 Chippenham Road, M4 6BY</t>
  </si>
  <si>
    <t>Mr Sion Sanderson &amp; Miss Emily Greenfield</t>
  </si>
  <si>
    <t>2 Bed, 10th Floor, FurnishedEtihad View, No Balcony</t>
  </si>
  <si>
    <t>Flat 65 Springfield House, Tyssen Street, Lon</t>
  </si>
  <si>
    <t>Miss Min Ju Kim &amp; Mr Steven Morrison</t>
  </si>
  <si>
    <t>Flat 15, St Annes Hs, Buckingham Plc, BN1 3Q</t>
  </si>
  <si>
    <t>Scott Haeger &amp; Aleksandra Krakowiak</t>
  </si>
  <si>
    <t>Studio - Refurbished 2017 (Type A)Ground Floor</t>
  </si>
  <si>
    <t>Apartment 3, 130 Tabernacle Street</t>
  </si>
  <si>
    <t>Louis Meyer &amp; Tristan Pahud</t>
  </si>
  <si>
    <t>2 bed/2 bath (1 ens), o/p kit/liv - Rfrb 15'2nd</t>
  </si>
  <si>
    <t>103 Mitre Road, London, SE1 8PT</t>
  </si>
  <si>
    <t>Ms Nikki Chia Wei Chuah &amp; Mr Jamie Kok Yixin</t>
  </si>
  <si>
    <t>Fully refurbised (2016) 2 bed flat, in good order at last inspection, tnts been in since 2021 with COS, had approached me a few weeks ago regarding renewal options, give 6 month or 12 month with 6 month break clause as Nikki advised she may not stay past December</t>
  </si>
  <si>
    <t>605, Brook Place Apts, Sheffield,  S11 8DA</t>
  </si>
  <si>
    <t>Abhinaya Shankar Narayanan Moorthy</t>
  </si>
  <si>
    <t>117 Pin Yard, 11 Sweet Street, Leeds</t>
  </si>
  <si>
    <t>Daniel Flint &amp; Emma Farrelly</t>
  </si>
  <si>
    <t>2B4P, 2East, No Balcony</t>
  </si>
  <si>
    <t>509 Ambassador Apt, Waterman Wlk, Salford M50</t>
  </si>
  <si>
    <t>Wing Yan Kylie Ip</t>
  </si>
  <si>
    <t>710 Torrens Apt, Waterman Wlk, Salford M50</t>
  </si>
  <si>
    <t>Abimbola Fasakin &amp; Mariam Balogun</t>
  </si>
  <si>
    <t>801 Ambassador Apt, Waterman Wlk, Salford M50</t>
  </si>
  <si>
    <t>Joshua Langham</t>
  </si>
  <si>
    <t>FLAT 52 Georges Whrf Finzels Reach Bristol BS</t>
  </si>
  <si>
    <t>Adam Newton &amp; Matthew Randall</t>
  </si>
  <si>
    <t>95 Gatehouse Apts, 86 East St, Southampton</t>
  </si>
  <si>
    <t>Sapna Rani Srivastava</t>
  </si>
  <si>
    <t>L5,  Encl. balcony,  River Itchen/Cruise ship2Bed 4P, Type 2B</t>
  </si>
  <si>
    <t>120 Gatehouse Apts, 86 East St, Southampton</t>
  </si>
  <si>
    <t>Yu Zhang and Xiao Wang</t>
  </si>
  <si>
    <t>L11,  Encl. balcony,  Cruise ship DUAL2Bed 4P, Type 2B</t>
  </si>
  <si>
    <t>125 The Barnum, 23 Queens Road, Nottingham</t>
  </si>
  <si>
    <t>Neene Gichaara &amp; Samuel Gichunge</t>
  </si>
  <si>
    <t>1B2P,A4aSouth</t>
  </si>
  <si>
    <t>801, Neon House, 207 Chapel St, Salford, M3 5</t>
  </si>
  <si>
    <t>Kristian Fairclough &amp; Katy Quinn</t>
  </si>
  <si>
    <t>N/A - but there was quite a lot of back anf forth regarding new kitchen cabinets following leak</t>
  </si>
  <si>
    <t>106 Argo Apts,4 Silvertown Way,London,E16 1YD</t>
  </si>
  <si>
    <t>Tien Tu &amp; Tam Minh Tu</t>
  </si>
  <si>
    <t>2 bed &amp; 2 bath South-West13th floor</t>
  </si>
  <si>
    <t>112 Argo Apts,4 Silvertown Way,London,E16 1YD</t>
  </si>
  <si>
    <t>1 bed &amp; 1 bath North-West13th floor</t>
  </si>
  <si>
    <t>agreed</t>
  </si>
  <si>
    <t>19 Argo Apts, 4 Silvertown Way,London,E16 1ED</t>
  </si>
  <si>
    <t>Lauren Neill &amp; Yida Zhang</t>
  </si>
  <si>
    <t>1 bed &amp; 1 bath South-West Right4th floor</t>
  </si>
  <si>
    <t>27 Argo Apts, 4 Silvertown Way,London,E16 1ED</t>
  </si>
  <si>
    <t>1 bed &amp; 1 bath South-West Left5th floor</t>
  </si>
  <si>
    <t>4 Argo Apts, 4 Silvertown Way, London,E16 1ED</t>
  </si>
  <si>
    <t>Matthew Smith &amp; Thu Huong Dao</t>
  </si>
  <si>
    <t>2 bed &amp; 2 bath North-West2nd floor</t>
  </si>
  <si>
    <t>44 Argo Apts, 4 Silvertown Way,London,E16 1ED</t>
  </si>
  <si>
    <t>Wei Jin &amp; shan li</t>
  </si>
  <si>
    <t>2 bed &amp; 2 bath East Left6th floor</t>
  </si>
  <si>
    <t>97 Argo Apts, 4 Silvertown Way,London,E16 1YD</t>
  </si>
  <si>
    <t>Mr E Katsampouris &amp; Miss A E Bakou</t>
  </si>
  <si>
    <t>1 bed &amp; 1 bath South-West Left12th floor</t>
  </si>
  <si>
    <t>1 Langford House, Carey Lane, Waterlooville P</t>
  </si>
  <si>
    <t>Kathryn Lee</t>
  </si>
  <si>
    <t>Ground Floor2 Bed 4 Person</t>
  </si>
  <si>
    <t>discussing bc</t>
  </si>
  <si>
    <t>23, 112 The Rock, Bury, BL9</t>
  </si>
  <si>
    <t>Kayode Taiwo &amp; Miracle Friday</t>
  </si>
  <si>
    <t>1 Bedroom Type 1D3/Balcony</t>
  </si>
  <si>
    <t>58, East Quarter, 2 Ridgway Street, M4 7LB</t>
  </si>
  <si>
    <t>Fynn Meredith &amp; George Hancock</t>
  </si>
  <si>
    <t>2 Bed, 11th Floor, Furnished Canal View, No Balcony</t>
  </si>
  <si>
    <t>Flat 32, St Annes Hs, Buckingham Plc, BN1 3Q</t>
  </si>
  <si>
    <t>Naomi Betteridge</t>
  </si>
  <si>
    <t>Studio - Refurbished 2018 (Type B)Second Floor</t>
  </si>
  <si>
    <t>514 Pin Yard, 11 Sweet Street, Leeds</t>
  </si>
  <si>
    <t>Nicolas Bouffard</t>
  </si>
  <si>
    <t>615 Ambassador Apt, Waterman Wlk, Salford M50</t>
  </si>
  <si>
    <t>Ana Freijo and Pierre-Nicolas Such</t>
  </si>
  <si>
    <t>505 Torrens Apt, Waterman Wlk, Salford M50</t>
  </si>
  <si>
    <t>Siu Ying Mok</t>
  </si>
  <si>
    <t>707, Neon House, 207 Chapel St, Salford, M3 5</t>
  </si>
  <si>
    <t>Kaitlin Crane, Georgina Dawson &amp; Emily James</t>
  </si>
  <si>
    <t>16 Orchard Mead, Waterlooville, PO7</t>
  </si>
  <si>
    <t>Lee McGrath &amp; Rebecca Pay</t>
  </si>
  <si>
    <t>End Terrace3 Bed 5 Person</t>
  </si>
  <si>
    <t xml:space="preserve">24 months </t>
  </si>
  <si>
    <t>2  Woodward House, Waterlooville, PO7 3BP</t>
  </si>
  <si>
    <t>Mr Joshua Legg</t>
  </si>
  <si>
    <t>same 2months' anytime bc</t>
  </si>
  <si>
    <t>23 Orchard Mead, Waterlooville, PO7</t>
  </si>
  <si>
    <t>Samantha Coombs</t>
  </si>
  <si>
    <t>End Terrace2 Bed 4 Person</t>
  </si>
  <si>
    <t>34 Houghton Avenue, Waterlooville, PO7 3AA</t>
  </si>
  <si>
    <t>Laura Hassanyeh &amp; Nawal Hassanyeh</t>
  </si>
  <si>
    <t>FLAT 5 Georges Whrf Finzels Reach Bristol BS1</t>
  </si>
  <si>
    <t>Marina Papamiltiadous &amp; Nicholas Panayiotides</t>
  </si>
  <si>
    <t>internal move - millright</t>
  </si>
  <si>
    <t>FLAT 20, Hawkins Ln, Finzels Reach, Bristol,</t>
  </si>
  <si>
    <t>Ziwen Qin &amp; Xiaofei Li</t>
  </si>
  <si>
    <t>14 Lauder Hs, Watson Ln, Waterlooville, Hants</t>
  </si>
  <si>
    <t>Mears tenancies do not renew</t>
  </si>
  <si>
    <t>1 bed 2 person</t>
  </si>
  <si>
    <t>Berry Street</t>
  </si>
  <si>
    <t>Apartment 5, 6 Berry Street</t>
  </si>
  <si>
    <t>Adalet Idil Argun, Asaria Lisa Foeh</t>
  </si>
  <si>
    <t xml:space="preserve">AM tbc re: renewal offer or not / strategy.  flat is in good condition. no known issues. </t>
  </si>
  <si>
    <t xml:space="preserve">Hold for now </t>
  </si>
  <si>
    <t>2 bed/1 bath, Kitchen, Living rm Rfrb 2015SFF</t>
  </si>
  <si>
    <t>Apartment 7, 6 Berry Street</t>
  </si>
  <si>
    <t>Olivia Robertson &amp; Kimberly F Mcpherson</t>
  </si>
  <si>
    <t>2 bed/2 bath flat w/balcony, Rfrb 2014TFF</t>
  </si>
  <si>
    <t>Jn</t>
  </si>
  <si>
    <t>N Hughes, O McGregor &amp; O Lanzalaco</t>
  </si>
  <si>
    <t>3 bed flat/2 bath/rf trrce, Rfrb 2015FFF</t>
  </si>
  <si>
    <t>33a, Temple Street, Flat 2  London, E2 6QQ</t>
  </si>
  <si>
    <t>Amadea Strassnig</t>
  </si>
  <si>
    <t>Studio flat w/kitchen &amp; bath, one reception rFF right</t>
  </si>
  <si>
    <t>408 Tayleur Apt , Waterman Wlk, Salford M50</t>
  </si>
  <si>
    <t>Ryan Ghadimi and Mariah Holland</t>
  </si>
  <si>
    <t>19, Temple Dwellings, London, E26QG</t>
  </si>
  <si>
    <t>Ramona Pimentel and Cristiano D’Argento</t>
  </si>
  <si>
    <t>1 bed/1 bath, kitch, liv rm - PRfrb '17Raised ground floor</t>
  </si>
  <si>
    <t>21, Temple Dwellings, London, E2 6QG</t>
  </si>
  <si>
    <t>Noyonika Roy</t>
  </si>
  <si>
    <t>12, Temple Dwellings, London, E2 6QG</t>
  </si>
  <si>
    <t>Vispi Birdi</t>
  </si>
  <si>
    <t>1 bed/1 bath,kitch,living rm - P Refurb '18Raised ground floor</t>
  </si>
  <si>
    <t>20, Temple Dwellings, London, E2 6QG</t>
  </si>
  <si>
    <t>Ms Claire Elizabeth Chadwick</t>
  </si>
  <si>
    <t>S/C 1 bed/1 bath flat, kitchen, living rmRaised ground floor</t>
  </si>
  <si>
    <t>38, Bishopscourt, 6, Radcliffe Road, Surrey</t>
  </si>
  <si>
    <t>Carly Campbell, Francesca Deane &amp; Chloe Adams</t>
  </si>
  <si>
    <t>S/C P/B 3 bed/1 bath, WC, kit,liv, Rfrb 2014G/f</t>
  </si>
  <si>
    <t>Apt 609, Abbeville Apts, 37 London Rd, Barkin</t>
  </si>
  <si>
    <t>Arinze Sunday Ogbonna &amp; Adriana Roccalumera</t>
  </si>
  <si>
    <t>1 Bed, Sixth Floor, Furnished1 Bathrooms</t>
  </si>
  <si>
    <t>132 Adlay Apartments, E16 2YG</t>
  </si>
  <si>
    <t>Harsha Sarwan Bansal and Moksha Bindra</t>
  </si>
  <si>
    <t>2B3P Balcony (ensuite) + wheelchair adaptable9th Floor</t>
  </si>
  <si>
    <t>2106, Neon House, 207 Chapel St, Salford, M3</t>
  </si>
  <si>
    <t>Magdy Oraby</t>
  </si>
  <si>
    <t>27, 112 The Rock, Bury, BL9</t>
  </si>
  <si>
    <t>Shing Lai</t>
  </si>
  <si>
    <t>1 Bedroom Type 1B3/No Balcony</t>
  </si>
  <si>
    <t>38, 15 St. Johns Gardens, Bury, BL9</t>
  </si>
  <si>
    <t>Sharan Noronha</t>
  </si>
  <si>
    <t>1 Bedroom Type 1B5/No Balcony</t>
  </si>
  <si>
    <t>507 Enigma Square,  414 North Row, MK9 2FU</t>
  </si>
  <si>
    <t>Bavesh Sanan and Neha Choudhary</t>
  </si>
  <si>
    <t>509 Enigma Square,  414 North Row, MK9 2FU</t>
  </si>
  <si>
    <t>Sanchit Kumar</t>
  </si>
  <si>
    <t xml:space="preserve">disputing increase - recieved high increase 6 months prior </t>
  </si>
  <si>
    <t>213 West, The Forge, Newcastle, NE1 3AJ</t>
  </si>
  <si>
    <t>S Mitchell, D Diez &amp; EJ Dickinson</t>
  </si>
  <si>
    <t>B, 3 Bed, 2 Bath, 2F</t>
  </si>
  <si>
    <t>704 South, The Forge, Newcastle, NE1 3AR</t>
  </si>
  <si>
    <t>Thomas Hamill, Jacob Fong &amp; Ethan Nicholson</t>
  </si>
  <si>
    <t>3 Bed, 3 Bath, 7th Floor, Metal Balcony</t>
  </si>
  <si>
    <t>Rev-London &amp; SE</t>
  </si>
  <si>
    <t>Chelsea Houses</t>
  </si>
  <si>
    <t>Karen Burfield</t>
  </si>
  <si>
    <t>15, Ovington Street, London, SW3</t>
  </si>
  <si>
    <t>Mr Carsten Marc</t>
  </si>
  <si>
    <t>three bedroom,one reception unfurnished</t>
  </si>
  <si>
    <t>Flat62,Churston Cl,162-164 Tulse Hill,SW2 3BX</t>
  </si>
  <si>
    <t>Miss Carla De Abreu</t>
  </si>
  <si>
    <t>Studio - Refurb 2017FF</t>
  </si>
  <si>
    <t>Flat54,Churston Cl,162-164 Tulse Hill,SW2 3BX</t>
  </si>
  <si>
    <t>Chantelle Helena Amon &amp; Rebecca Angee</t>
  </si>
  <si>
    <t>1 bed / 1 bath, kit, liv - Refurb '17FF</t>
  </si>
  <si>
    <t>Flat23,Churston Cl,162-164 Tulse Hill,SW2 3BX</t>
  </si>
  <si>
    <t>Miss Marian Guilfoyle</t>
  </si>
  <si>
    <t>804 Pin Yard, 11 Sweet Street, Leeds</t>
  </si>
  <si>
    <t>Oliver Colbran &amp; Vadim Samorokov</t>
  </si>
  <si>
    <t>401 Pin Yard, 11 Sweet Street, Leeds</t>
  </si>
  <si>
    <t>Dean Cornelius</t>
  </si>
  <si>
    <t>622, Brook Place Apts, Sheffield,  S11 8DA</t>
  </si>
  <si>
    <t>Mark Randall</t>
  </si>
  <si>
    <t>1311, Neon House, 207 Chapel St, Salford, M3</t>
  </si>
  <si>
    <t>Jodie Ann Hurst &amp; Harry Billingham</t>
  </si>
  <si>
    <t>502, Solstice Apts, Silbury Boulevard</t>
  </si>
  <si>
    <t>Joshua Tyrell</t>
  </si>
  <si>
    <t>5th Flr,  Tce - central station1 bed-Type 4B</t>
  </si>
  <si>
    <t>FLAT 90, Hawkins Ln, Finzels Reach, Bristol,</t>
  </si>
  <si>
    <t>Nadein Abdelhady &amp; Natthanicha Poomjiratchaya</t>
  </si>
  <si>
    <t xml:space="preserve">COS </t>
  </si>
  <si>
    <t>sent cos info</t>
  </si>
  <si>
    <t>504 Tayleur Apt , Waterman Wlk, Salford M50</t>
  </si>
  <si>
    <t>Niharika Ashok &amp; Etienne Develay</t>
  </si>
  <si>
    <t>1804, Neon House, 207 Chapel St, Salford, M3</t>
  </si>
  <si>
    <t>Khoa Hoang, Linh Hoang &amp; Ching Man</t>
  </si>
  <si>
    <t>809 Torrens Apt, Waterman Wlk, Salford M50</t>
  </si>
  <si>
    <t>Liam Shephard</t>
  </si>
  <si>
    <t>1Valencia</t>
  </si>
  <si>
    <t>709 Ambassador Apt, Waterman Wlk, Salford M50</t>
  </si>
  <si>
    <t>Hok Yin Kevin Chin and Yin Ling Shirley Chan</t>
  </si>
  <si>
    <t>Flat 6 Ability view, 220 Kingsland Road, Lond</t>
  </si>
  <si>
    <t>Emma Morton &amp; Ben Rubinsztein</t>
  </si>
  <si>
    <t>1 bed/1 bath, kitch, liv rm - P Refurb '184F</t>
  </si>
  <si>
    <t>16 Nelson Apt, Darbyshire Rd, Aldershot, Hant</t>
  </si>
  <si>
    <t>Olushola Olojo</t>
  </si>
  <si>
    <t>24 months</t>
  </si>
  <si>
    <t>Dibdin (Rev)</t>
  </si>
  <si>
    <t>Flat 165, Dibdin House, Maida Vale, W9 1QQ</t>
  </si>
  <si>
    <t>Luke Shaw &amp; Isobel Taylor</t>
  </si>
  <si>
    <t>1 bedroom, kitchen, living room, bathroomRefurbishment Completed 20.06.2022 (6M DLP)</t>
  </si>
  <si>
    <t>6, New Islington, 43 Chippenham Road, M4 6BY</t>
  </si>
  <si>
    <t>Mr Padraig Considine</t>
  </si>
  <si>
    <t>52, Ancoats, 2 Butler Street, M4 6BZ</t>
  </si>
  <si>
    <t>Isobel Cassidy</t>
  </si>
  <si>
    <t>1 Bed, 10th Floor, FurnishedCity View, No Balcony</t>
  </si>
  <si>
    <t>59, New Islington, 43 Chippenham Road, M4 6BY</t>
  </si>
  <si>
    <t>Oliver Tutt &amp; Rebecca Field</t>
  </si>
  <si>
    <t>1 Bed Deluxe, 11th Floor, FurnishedEtihad View, No Balcony</t>
  </si>
  <si>
    <t>Flat 9 Eagle House, Eagle Wharf Road, London,</t>
  </si>
  <si>
    <t>Xanthe Wilkins and Euan Robertson</t>
  </si>
  <si>
    <t>S/C 1 bed/1 bath flat, o/p kitchen/living rmGF (Refurbishment Complete 16.06.2022 6M DLP)</t>
  </si>
  <si>
    <t>Flat 43 Eagle House, Eagle Wharf Road, London</t>
  </si>
  <si>
    <t>A Barratt H Lawrence H Beaumont-Orr J Sidwell</t>
  </si>
  <si>
    <t xml:space="preserve">Flat in good condition but getting a little tired now. prev refurb 11 years ago . floor outside bathroom damaged due to shower, Kier was due to fix. i will inspect again. very large unit </t>
  </si>
  <si>
    <t>3 bed/1 bath/1shwr/1WC,o/p kit / liv-Rfrb'13SF + Mezz</t>
  </si>
  <si>
    <t>50, East Quarter, 2 Ridgway Street, M4 7LB</t>
  </si>
  <si>
    <t>Sophie Thompson &amp; Martha Norris</t>
  </si>
  <si>
    <t>15, East Quarter, 2 Ridgway Street, M4 7LB</t>
  </si>
  <si>
    <t>Venkata Shiva Ram Reddy Kommidi</t>
  </si>
  <si>
    <t>2 Bed, 3rd Floor, FurnishedEtihad View, No Balcony</t>
  </si>
  <si>
    <t>Shillington Old School</t>
  </si>
  <si>
    <t>1M Shillington Old School</t>
  </si>
  <si>
    <t>Tahlia Edmunds &amp; Edward Rowton-Lee</t>
  </si>
  <si>
    <t xml:space="preserve">Noise disturbance from insurance works next door </t>
  </si>
  <si>
    <t>S/C studio, bathroomGF Refurb completed 10.01.2023 (6M DLP)</t>
  </si>
  <si>
    <t>Apt 14, Kings Dock Mill, Liverpool, L1</t>
  </si>
  <si>
    <t>George Colcomb and Christina Louka</t>
  </si>
  <si>
    <t>Flat 75 Springfield House, Tyssen Street, Lon</t>
  </si>
  <si>
    <t>B Millard, G Serafini &amp; R Covill</t>
  </si>
  <si>
    <t>Flat 26, St Annes Ct, Howard Place, BN1 3UP</t>
  </si>
  <si>
    <t>Steffan Griffiths &amp; Pernille Kaastad</t>
  </si>
  <si>
    <t>Studio - Refurbished 2018 (Type C)Third Floor</t>
  </si>
  <si>
    <t>Flat 5, St Annes Ct, Howard Place, BN1 3UP</t>
  </si>
  <si>
    <t>Abeer Alnabahin</t>
  </si>
  <si>
    <t>Studio - Refurbished 2017 (Type C)Ground Floor</t>
  </si>
  <si>
    <t>46 Woodleigh Gardens, Streatham, London</t>
  </si>
  <si>
    <t>Gemma Tuvey, Ellis Brown &amp; Hannah Weatherall</t>
  </si>
  <si>
    <t>S/C 3 bed/1 bath,WC, kitchen, living rmF/F</t>
  </si>
  <si>
    <t>Apt 64, Kings Dock Mill, Liverpool, L1</t>
  </si>
  <si>
    <t>Alice Ames-Ettridge &amp; Marcus Scott</t>
  </si>
  <si>
    <t>116 The Barnum, 23 Queens Road, Nottingham</t>
  </si>
  <si>
    <t>Ping Hei Cheng</t>
  </si>
  <si>
    <t>337 The Barnum, 23 Queens Road, Nottingham</t>
  </si>
  <si>
    <t>Devishri and Bhairav Shetty</t>
  </si>
  <si>
    <t>1B2P,A1dWest</t>
  </si>
  <si>
    <t>1501, Neon House, 207 Chapel St, Salford, M3</t>
  </si>
  <si>
    <t>Julian Rabe &amp; Soumya Verma</t>
  </si>
  <si>
    <t>805 South, The Forge, Newcastle, NE1 3AR</t>
  </si>
  <si>
    <t>Heba Mahmoud &amp; Nour Bakheet</t>
  </si>
  <si>
    <t>2 Bed, 2 Bath, 8th Floor</t>
  </si>
  <si>
    <t>105 Assay Apartments, Station View, Guildford</t>
  </si>
  <si>
    <t>Zheng Wan &amp; Nuo Ding</t>
  </si>
  <si>
    <t>1b2p, 1DEast, Balcony</t>
  </si>
  <si>
    <t>218 Assay Apartments, Station View, Guildford</t>
  </si>
  <si>
    <t>Abieyuwa Oriekhoe</t>
  </si>
  <si>
    <t>408 Assay Apartments, Station View, Guildford</t>
  </si>
  <si>
    <t>Thomas Bligh</t>
  </si>
  <si>
    <t>9 Cable House, 2 Echo Walk, Newbury</t>
  </si>
  <si>
    <t>Maryna Pavlyuk</t>
  </si>
  <si>
    <t xml:space="preserve">in neg </t>
  </si>
  <si>
    <t>100 Gatehouse Apts, 86 East St, Southampton</t>
  </si>
  <si>
    <t>Sarah Swist and Theodore Cheuk On Lee</t>
  </si>
  <si>
    <t>L6,  Encl. balcony,  Cruise ship2Bed 4P, Type 2B</t>
  </si>
  <si>
    <t>112 Gatehouse Apts, 86 East St, Southampton</t>
  </si>
  <si>
    <t>Sarita Agte</t>
  </si>
  <si>
    <t>L9,  Encl. balcony,  Cruise ship2Bed 4P, Type 2B</t>
  </si>
  <si>
    <t>117 Gatehouse Apts, 86 East St, Southampton</t>
  </si>
  <si>
    <t>Katerina Kgorila</t>
  </si>
  <si>
    <t>Happy for renewal, no issues in apartment - pigeon stack</t>
  </si>
  <si>
    <t>L11,  Encl. balcony,  Town Hall1Bed 2P, Type 1F</t>
  </si>
  <si>
    <t>119 Gatehouse Apts, 86 East St, Southampton</t>
  </si>
  <si>
    <t>Nicole Broomes</t>
  </si>
  <si>
    <t>L11,  Encl. balcony,  River Itchen/Cruise shi2Bed 4P, Type 2B</t>
  </si>
  <si>
    <t>125 Gatehouse Apts, 86 East St, Southampton</t>
  </si>
  <si>
    <t>Stephen Doran</t>
  </si>
  <si>
    <t>Happy for renewal, no issues in apartment. Had pigeon issues over a year ago but was netted last year so price shouldnt be negotiated.</t>
  </si>
  <si>
    <t>L13,  Encl. balcony,  Town Hall1Bed 2P, Type 1F</t>
  </si>
  <si>
    <t>128 Gatehouse Apts, 86 East St, Southampton</t>
  </si>
  <si>
    <t>S Dimov, A Ivanov &amp; S Vangelov</t>
  </si>
  <si>
    <t>L13,  Encl. balcony,  Cruise ship2Bed 4P, Type 2B</t>
  </si>
  <si>
    <t>13 Gatehouse Apts, 86 East St, Southampton</t>
  </si>
  <si>
    <t>Kaito Queiroz &amp; Ananda Possar</t>
  </si>
  <si>
    <t>L1,  Encl. balcony,  Orchard L/Nursery2Bed 4P, Type 2D</t>
  </si>
  <si>
    <t>132 Gatehouse Apts, 86 East St, Southampton</t>
  </si>
  <si>
    <t>Harry Peacock &amp; Owen Edmonds</t>
  </si>
  <si>
    <t>L14,  Encl. balcony,  Cruise ship2Bed 4P, Type 2B</t>
  </si>
  <si>
    <t>16 Gatehouse Apts, 86 East St, Southampton</t>
  </si>
  <si>
    <t>Jie Luo &amp; Bowen Yang</t>
  </si>
  <si>
    <t>L1,  Encl. balcony,  Queens way2Bed 4P, Type 2F</t>
  </si>
  <si>
    <t>38 Gatehouse Apts, 86 East St, Southampton</t>
  </si>
  <si>
    <t>Lewis Waller &amp; Shannon Brine</t>
  </si>
  <si>
    <t>L2,  Encl. balcony,  Queens way2Bed 4P, Type 2D</t>
  </si>
  <si>
    <t>608 Windlass Apartments, 4 Hale Wharf, N17</t>
  </si>
  <si>
    <t>Miss Yidan Yin &amp; Mr Yansheng Zhou</t>
  </si>
  <si>
    <t>1 Bed 2P, Type 1HSingle-Canal, W, Balcony/Small</t>
  </si>
  <si>
    <t>Flat 18, Trelawney House, Union St, SE1 0LF</t>
  </si>
  <si>
    <t>Grace Weaver &amp; Pryanka Sood</t>
  </si>
  <si>
    <t>Refurb in 2019 - No issues noted - Happy to renew</t>
  </si>
  <si>
    <t>330, Brook Place Apts, Sheffield,  S11 8BS</t>
  </si>
  <si>
    <t>Alex Caldicott</t>
  </si>
  <si>
    <t>217 Pin Yard, 11 Sweet Street, Leeds</t>
  </si>
  <si>
    <t>Nenad Smiljanic &amp; Abigail Swift</t>
  </si>
  <si>
    <t>225 Enigma Square,  414 North Row, MK9 2GE</t>
  </si>
  <si>
    <t>Sonia Padia and Ankush Mehrotra</t>
  </si>
  <si>
    <t>woudl accept 3% uplift</t>
  </si>
  <si>
    <t>2B4P, 02ANorth West, Balcony</t>
  </si>
  <si>
    <t>reduced + 24 month</t>
  </si>
  <si>
    <t>415 Pin Yard, 11 Sweet Street, Leeds</t>
  </si>
  <si>
    <t>Rahul Redkar</t>
  </si>
  <si>
    <t>209 Halogen House, 217 Chapel St, Salford, M3</t>
  </si>
  <si>
    <t>Jack Tolley &amp; Tikita Peralta</t>
  </si>
  <si>
    <t>Townhouse - 2 Storey2 Bed - Type D</t>
  </si>
  <si>
    <t>403 Enigma Square,  414 North Row, MK9 2FU</t>
  </si>
  <si>
    <t>Saranya Srinivasan Ramanathan</t>
  </si>
  <si>
    <t>1b1p, 04A(M)South East, Balcony</t>
  </si>
  <si>
    <t>102, Solstice Apts, Silbury Boulevard -DMR</t>
  </si>
  <si>
    <t>Mr Andrew Alele</t>
  </si>
  <si>
    <t>1st Flr, no balcony/Tce1 bed-Type 2</t>
  </si>
  <si>
    <t>dmr</t>
  </si>
  <si>
    <t>FLAT 8 Georges Whrf Finzels Reach Bristol BS1</t>
  </si>
  <si>
    <t>Ashwini Kulkarni, Kaustubh Ieetkar &amp; Shivani Kulkarni</t>
  </si>
  <si>
    <t xml:space="preserve">Requested COS </t>
  </si>
  <si>
    <t>50 Argo Apts, 4 Silvertown Way,London,E16 1ED</t>
  </si>
  <si>
    <t>Mr Ioannis Arampatzis</t>
  </si>
  <si>
    <t>1 bed &amp; 1 bath West7th floor</t>
  </si>
  <si>
    <t>59 Gatehouse Apts, 86 East St, Southampton</t>
  </si>
  <si>
    <t>Conor Durnin &amp; Frederick Newbury</t>
  </si>
  <si>
    <t>L3,  Encl. balcony,  Orchard L/Nursery2Bed 4P, Type 2D</t>
  </si>
  <si>
    <t>7 Gatehouse Apts, 86 East St, Southampton</t>
  </si>
  <si>
    <t>Jack Anthony Bodicoat &amp; Isobel Butler</t>
  </si>
  <si>
    <t>L1,  Juliette,  Debenhams1Bed 2P, Type 1C</t>
  </si>
  <si>
    <t>74 Gatehouse Apts, 86 East St, Southampton</t>
  </si>
  <si>
    <t>Honnor Glynn and Mathieu Calmet Rosales</t>
  </si>
  <si>
    <t>Happy for renewal, no issues in apartment. Had minor issues with smell coming from main toilet but no action was taken</t>
  </si>
  <si>
    <t>L4,  Juliette,  Bell St/internal1Bed 2P, Type 1A</t>
  </si>
  <si>
    <t>81 Gatehouse Apts, 86 East St, Southampton</t>
  </si>
  <si>
    <t>Dylan Morris &amp; Jack Johnstone-Smith</t>
  </si>
  <si>
    <t>L4,  Encl. balcony,  Orchard L1Bed 2P, Type 1E</t>
  </si>
  <si>
    <t>107 Gatehouse Apts, 86 East St, Southampton</t>
  </si>
  <si>
    <t>Amani Althomali &amp; Mohammed Alharthi</t>
  </si>
  <si>
    <t>Keen for residents to leave - child is scratching the numbers off of the Apartment and communal signage. Struggling to get evidence. Neighbours have reported them (anonymously) and they have been spoken to but it continues. "Please go ahead and offer renewals to 18 &amp; 107 Gatehouse."</t>
  </si>
  <si>
    <t>L8,  Encl. balcony,  River Itchen/Cruise ship2Bed 4P, Type 2B</t>
  </si>
  <si>
    <t>Flat34,Churston Cl,162-164 Tulse Hill,SW2 3BX</t>
  </si>
  <si>
    <t>Samuel Linford &amp; Allyson Claire Moreira</t>
  </si>
  <si>
    <t>2 bed / 1 bath, kitch, liv rm - Refurb 2018FF</t>
  </si>
  <si>
    <t>Flat 33, Greenwood Terr, Block D, Salford, M5</t>
  </si>
  <si>
    <t>Emma Gunn</t>
  </si>
  <si>
    <t>1 BedroomFully furnished with WM &amp; FF - March 21</t>
  </si>
  <si>
    <t>34, 15 St. Johns Gardens, Bury, BL9</t>
  </si>
  <si>
    <t>Nuno Mariano &amp; Helena Santos</t>
  </si>
  <si>
    <t>2, New Islington, 43 Chippenham Road, M4 6BY</t>
  </si>
  <si>
    <t>Mr Daniel Keen</t>
  </si>
  <si>
    <t>1 Bed, Ground Floor, FurnishedMiddle View, No Balcony</t>
  </si>
  <si>
    <t>56, Ancoats, 2 Butler Street, M4 6BZ</t>
  </si>
  <si>
    <t>Chengze Yu</t>
  </si>
  <si>
    <t>1 Bed Deluxe, 11th Floor, FurnishedCity View, No Balcony</t>
  </si>
  <si>
    <t>20, New Islington, 43 Chippenham Road, M4 6BY</t>
  </si>
  <si>
    <t>Pelumi Faith Akindele &amp; Esther Tabuah Quainoo</t>
  </si>
  <si>
    <t>2 Bed, 4th Floor, FurnishedEtihad View, No Balcony</t>
  </si>
  <si>
    <t>611 North, The Forge, Newcastle, NE1 3AH</t>
  </si>
  <si>
    <t>Luke Birkenhead and Ryan Jackson</t>
  </si>
  <si>
    <t>2 Bed, 2 Bath, 6F</t>
  </si>
  <si>
    <t>505 Assay Apartments, Station View, Guildford</t>
  </si>
  <si>
    <t>Charlie King &amp; Ruth Pyall</t>
  </si>
  <si>
    <t>1105 Windlass Apartments, 4 Hale Wharf, N17</t>
  </si>
  <si>
    <t>Kieran Jandu &amp; Roberto Reghelini</t>
  </si>
  <si>
    <t>2 Bed 4P, Type 2QSingle-Canal, W, Balcony/Medium</t>
  </si>
  <si>
    <t>Flat 16, Thorold House, Pepper St, SE1 0EL</t>
  </si>
  <si>
    <t>Maanya Tandon &amp; Luke Ryan</t>
  </si>
  <si>
    <t>Refurbushed in 2021 - no issues noted - happy to renew</t>
  </si>
  <si>
    <t>2 bedroom, kitchen, living room, bathroomRefurbishment Completed 20.09.2021 (6M DLP)</t>
  </si>
  <si>
    <t>503 Ambassador Apt, Waterman Wlk, Salford M50</t>
  </si>
  <si>
    <t>Sarah Turner, Sophie Hill,Alexandra Bosworth</t>
  </si>
  <si>
    <t>3 BedNew York</t>
  </si>
  <si>
    <t>402, Solstice Apts, Silbury Boulevard</t>
  </si>
  <si>
    <t>Miss Ching Yi Choi &amp; Miss Ka Yee Chan</t>
  </si>
  <si>
    <t>4th Flr, Juliette Balcony2 bed-Type 3A</t>
  </si>
  <si>
    <t>price</t>
  </si>
  <si>
    <t>421, Solstice Apts, Silbury Boulevard</t>
  </si>
  <si>
    <t>Miss Beatriz Ribeiro</t>
  </si>
  <si>
    <t>4th Flr, Juliette Balcony2 bed-Type 7</t>
  </si>
  <si>
    <t>801, Lamp House, 215 Chapel St, Salford, M3 5</t>
  </si>
  <si>
    <t>Miss Katrina Hooton and Miss Ella Mayo</t>
  </si>
  <si>
    <t>N/A - Did get offerred goodwill gesture due to bad leak/new carpet</t>
  </si>
  <si>
    <t>3, Bishopscourt, 6, Radcliffe Road, Surrey</t>
  </si>
  <si>
    <t>Miss Siddy Balogun</t>
  </si>
  <si>
    <t>S/C P/B 3 bed, 1 bath, WC, kit, liv w/trrce1st</t>
  </si>
  <si>
    <t>50, Kew Bridge Court, London, W4 3AE</t>
  </si>
  <si>
    <t>Ebin Thomas Madathil and Jissy Thomas</t>
  </si>
  <si>
    <t>2 bed 1 bath3rd Floor / Rail &amp; Front aspect</t>
  </si>
  <si>
    <t>Flat 46, St Annes Hs, Buckingham Plc, BN1 3Q</t>
  </si>
  <si>
    <t>Linda Hall and Dzhaner Dyonmez</t>
  </si>
  <si>
    <t xml:space="preserve">Passing rent is very low compared to other units of this size </t>
  </si>
  <si>
    <t>Studio - Refurbished 2019 (Type B)Third Floor</t>
  </si>
  <si>
    <t>403 West, The Forge, Newcastle, NE1 3AJ</t>
  </si>
  <si>
    <t>Mr D Polkovnykov &amp; Ms N Sikora</t>
  </si>
  <si>
    <t>Looking to move, dont think they will renew</t>
  </si>
  <si>
    <t>A, 2 Bed, 2 Bath, 4F</t>
  </si>
  <si>
    <t>511 West, The Forge, Newcastle, NE1 3AN</t>
  </si>
  <si>
    <t>Kalum Surtees &amp; Baris Ege Uysal</t>
  </si>
  <si>
    <t>B, 2 Bed, 2 Bath, 5F</t>
  </si>
  <si>
    <t>408 Enigma Square,  414 North Row, MK9 2FU</t>
  </si>
  <si>
    <t>Faheem Sufian and Aliyah Mahmood</t>
  </si>
  <si>
    <t>rejected reduction - 12 months</t>
  </si>
  <si>
    <t>1 Mundy Pl, Aldershot, Hants, GU11 1FN</t>
  </si>
  <si>
    <t>Scott West &amp; Natasha Fotheringham</t>
  </si>
  <si>
    <t>24 month</t>
  </si>
  <si>
    <t>10 Bradbury Apt, Darbyshire Road, Hampshire,</t>
  </si>
  <si>
    <t>Jennifer Scott and Alice Page</t>
  </si>
  <si>
    <t>2 Bed Flat1st Floor</t>
  </si>
  <si>
    <t>912 The Condor, 1 Springwell Sq</t>
  </si>
  <si>
    <t>Christian Taylor</t>
  </si>
  <si>
    <t>1B2P,1DLandscape</t>
  </si>
  <si>
    <t>143, Gilders Yard, 14 Great Hampton St Birm</t>
  </si>
  <si>
    <t>Yuechuan Xing &amp; Hoang Dung Pham</t>
  </si>
  <si>
    <t>2B4P, Block B Type LEast, No Balcony</t>
  </si>
  <si>
    <t>19 Dorrell Apt, Darbyshire Rd, Aldershot, Han</t>
  </si>
  <si>
    <t>Sarah Jane Halliday and Rob Ayres</t>
  </si>
  <si>
    <t>19 Nelson Apt, Darbyshire Rd, Aldershot, Hant</t>
  </si>
  <si>
    <t>Lewis Ian Stanley Hanson &amp; Claudia J Reilly</t>
  </si>
  <si>
    <t>prefer 12 months</t>
  </si>
  <si>
    <t>2 Bradbury Apt, Darbyshire Road, Hampshire, G</t>
  </si>
  <si>
    <t>Harjit Karir &amp; Stephanie Alonzo</t>
  </si>
  <si>
    <t>1 Bed FlatGround Floor</t>
  </si>
  <si>
    <t>mid-way + bc</t>
  </si>
  <si>
    <t>20 Bradbury Apt, Darbyshire Road, Hampshire,</t>
  </si>
  <si>
    <t>Ms Francisca Carvalho Almeida Couto</t>
  </si>
  <si>
    <t>1 Bed Flat3rd Floor</t>
  </si>
  <si>
    <t xml:space="preserve">Signing </t>
  </si>
  <si>
    <t>long term</t>
  </si>
  <si>
    <t>FLAT 48 Georges Whrf Finzels Reach Bristol BS</t>
  </si>
  <si>
    <t>Alice Horn</t>
  </si>
  <si>
    <t>Will complain about construction - not directly affected</t>
  </si>
  <si>
    <t>left vm &amp; chased</t>
  </si>
  <si>
    <t>FLAT 84, Hawkins Ln, Finzels Reach, Bristol,</t>
  </si>
  <si>
    <t>Mr Babak Zakeri</t>
  </si>
  <si>
    <t>accepted - 36 month</t>
  </si>
  <si>
    <t>715 Enigma Square,  414 North Row, MK9 2GE</t>
  </si>
  <si>
    <t>Sam Tsz Cheuk Fok and Hauyi Athena Fong</t>
  </si>
  <si>
    <t>1B2P, 01E(MB)South West, Balcony</t>
  </si>
  <si>
    <t>611, Brook Place Apts, Sheffield,  S11 8DA</t>
  </si>
  <si>
    <t>Kirsty Kilbane</t>
  </si>
  <si>
    <t>17 Orchard Mead, Waterlooville, PO7</t>
  </si>
  <si>
    <t>Hayley Elizabeth Bentley</t>
  </si>
  <si>
    <t>3 bed 5 person</t>
  </si>
  <si>
    <t>101, Gilders Yard, 14 Great Hampton St Birm</t>
  </si>
  <si>
    <t>Charlotte Harper &amp; Amelia Holt</t>
  </si>
  <si>
    <t xml:space="preserve">accepted - req new furniture </t>
  </si>
  <si>
    <t>7 Nelson Apt, Darbyshire Rd, Aldershot, Hants</t>
  </si>
  <si>
    <t>Sian Amy Sliwinska</t>
  </si>
  <si>
    <t>1209, Neon House, 207 Chapel St, Salford, M3</t>
  </si>
  <si>
    <t>Jiamin Feng &amp; Wenyu Song</t>
  </si>
  <si>
    <t>N/A - Did have a security issue once, check with PM</t>
  </si>
  <si>
    <t>638 Enigma Square,  414 North Row, MK9 2GF</t>
  </si>
  <si>
    <t>Evelyn Findlay and Lucy Westbrook</t>
  </si>
  <si>
    <t>2B4P, 02B_SSouth West, Balcony</t>
  </si>
  <si>
    <t>706 Ambassador Apt, Waterman Wlk, Salford M50</t>
  </si>
  <si>
    <t>Mohamad El Nachar</t>
  </si>
  <si>
    <t>1 BedNew York</t>
  </si>
  <si>
    <t>FLAT 12 Georges Whrf Finzels Reach Bristol BS</t>
  </si>
  <si>
    <t>Huiting Yu</t>
  </si>
  <si>
    <t>910 Ambassador Apt, Waterman Wlk, Salford M50</t>
  </si>
  <si>
    <t>Sunil Jayaswal &amp; Animesh Jayaswal</t>
  </si>
  <si>
    <t>FLAT 66, Hawkins Ln, Finzels Reach, Bristol,</t>
  </si>
  <si>
    <t>Sarah Lock &amp; Ethan Howard</t>
  </si>
  <si>
    <t>703 Tayleur Apt , Waterman Wlk, Salford M50</t>
  </si>
  <si>
    <t>Alex Park &amp; Rebecca Holland</t>
  </si>
  <si>
    <t>2 BedChristchurch</t>
  </si>
  <si>
    <t>404, Halogen House, 217 Chapel St, Salford, M</t>
  </si>
  <si>
    <t>Natasha Turner, Daniel Phillips &amp; Anna Davies</t>
  </si>
  <si>
    <t>Apt 505, Abbeville Apts, 37 London Rd, Barkin</t>
  </si>
  <si>
    <t>Aanand Natarajan Rajahsekharun &amp; Aditi Ravichandran</t>
  </si>
  <si>
    <t>FLAT 32, Hawkins Ln, Finzels Reach, Bristol,</t>
  </si>
  <si>
    <t>Elizabeth Jewell</t>
  </si>
  <si>
    <t xml:space="preserve">12 months incl house purchase breakclause </t>
  </si>
  <si>
    <t>84 Gatehouse Apts, 86 East St, Southampton</t>
  </si>
  <si>
    <t>Yutian Tang and Yiming Hao</t>
  </si>
  <si>
    <t>L4,  Encl. balcony,  Queens way2Bed 4P, Type 2D</t>
  </si>
  <si>
    <t>2 Gatehouse Apts, 86 East St, Southampton</t>
  </si>
  <si>
    <t>Dusan Jovanovic &amp; Sandro Jovicic</t>
  </si>
  <si>
    <t>L1,  Encl. balcony,  Orchard L/Kings Hse2Bed 4P, Type 2A</t>
  </si>
  <si>
    <t>Apartment 8, 130 Tabernacle Street</t>
  </si>
  <si>
    <t>Chih-Yun Chen &amp; Kuan-Yu Lai</t>
  </si>
  <si>
    <t>2 bed/2 bath (1 e/s), o/p kit/liv - Rfrb 14'4th</t>
  </si>
  <si>
    <t>Apt 68, Kings Dock Mill, Liverpool, L1</t>
  </si>
  <si>
    <t>Jawad Ahmed Irfan Samsi</t>
  </si>
  <si>
    <t>736 The Barnum, 23 Queens Road, Nottingham</t>
  </si>
  <si>
    <t>Muhammad Noor &amp; Rimsha Saleem</t>
  </si>
  <si>
    <t>1B2P,A13East</t>
  </si>
  <si>
    <t>9 Rosemary Lane, Waterlooville, Hants, PO7 3A</t>
  </si>
  <si>
    <t>Stevie Figgins &amp; Gary Youngs</t>
  </si>
  <si>
    <t>4 Bed 7 person</t>
  </si>
  <si>
    <t>FLAT 86, Hawkins Ln, Finzels Reach, Bristol,</t>
  </si>
  <si>
    <t>Darja Wischerath and Ryan Famiglietti</t>
  </si>
  <si>
    <t xml:space="preserve">affordabilty </t>
  </si>
  <si>
    <t>610 The Condor, 1 Springwell Sq</t>
  </si>
  <si>
    <t>Mastoureh Sadri Pour &amp; Babak Mirzagholipour Pour</t>
  </si>
  <si>
    <t>621 The Condor, 1 Springwell Sq</t>
  </si>
  <si>
    <t>Yitong Shi</t>
  </si>
  <si>
    <t>1B2P,1DHigh Street</t>
  </si>
  <si>
    <t>work/house pruchase BC</t>
  </si>
  <si>
    <t>903 The Condor, 1 Springwell Sq</t>
  </si>
  <si>
    <t>Tom Franklin</t>
  </si>
  <si>
    <t>FLAT 13, Hawkins Ln, Finzels Reach, Bristol,</t>
  </si>
  <si>
    <t>Joana Moreira</t>
  </si>
  <si>
    <t xml:space="preserve">12 monhts </t>
  </si>
  <si>
    <t>83, Kew Bridge Court, London, W4 3AF</t>
  </si>
  <si>
    <t>Mrs Ishmeet Khanna &amp; Mr Gaurev Khanna</t>
  </si>
  <si>
    <t>2 bed 2 bath (1 ensuite) Rfb21Ground Floor / Gardens aspect</t>
  </si>
  <si>
    <t>56, Kew Bridge Court, London, W4 3AF</t>
  </si>
  <si>
    <t>Nicoleta Eftime</t>
  </si>
  <si>
    <t>2 bed 2 bath (1 ensuite) &amp; small balcony x 22nd Floor/Strand on Grn asp ref co 30/05/22</t>
  </si>
  <si>
    <t>25, Kew Bridge Court, London, W4 3AE</t>
  </si>
  <si>
    <t>Marie Korsunsky, Callum Bird &amp; Fiona Bird</t>
  </si>
  <si>
    <t>2 bed 2 bath (1 ensuite) &amp; small balcony x 23rd Floor/Rail &amp; Front aspect ref co 30/05/22</t>
  </si>
  <si>
    <t>Room 2B, Kimmerston  House</t>
  </si>
  <si>
    <t>Catherine Chong</t>
  </si>
  <si>
    <t>Single bed,shared kit/bath,furnished-Rfrb 15'Second floor</t>
  </si>
  <si>
    <t>Room 2A, Kimmerston  House</t>
  </si>
  <si>
    <t>Mr James Bruce</t>
  </si>
  <si>
    <t>Single bed,shared kit/bath,furnished-Rfrb 15'Third floor</t>
  </si>
  <si>
    <t>Room 6C, Kimmerston  House</t>
  </si>
  <si>
    <t>Mr Carlos Santiago Velazco</t>
  </si>
  <si>
    <t>Double bed,shared kit/bath,furnished-Rfrb '14First floor</t>
  </si>
  <si>
    <t>4D, Kimmerston  House</t>
  </si>
  <si>
    <t>Miss Ilona Loustric and Ms Valentina Macome</t>
  </si>
  <si>
    <t>had a damp issue which has been resolved</t>
  </si>
  <si>
    <t>S/C studio inc.mezz bed area,kit,bath-Rfrb 17Ground floor/upper ground</t>
  </si>
  <si>
    <t>5D,  Kimmerston  House</t>
  </si>
  <si>
    <t>Mr Jacob Moore</t>
  </si>
  <si>
    <t>S/C studio, open plan kit, bath - Rfrb 16'Ground</t>
  </si>
  <si>
    <t>Basement 3 Kimmerston Hse</t>
  </si>
  <si>
    <t>Tianhao Zhang</t>
  </si>
  <si>
    <t>Studio with bed area,kit,bath,terrace-Rfb '16Basement</t>
  </si>
  <si>
    <t>411 West, The Forge, Newcastle, NE1 3AJ</t>
  </si>
  <si>
    <t>Faisal Siddiqui &amp; Soha Safder</t>
  </si>
  <si>
    <t>They might be awkward, we have had to issue a few warnings about various things. They think i am picking on them.</t>
  </si>
  <si>
    <t>B, 2 Bed, 2 Bath, 4F</t>
  </si>
  <si>
    <t>213 Assay Apartments, Station View, Guildford</t>
  </si>
  <si>
    <t>Vladimir Nedvetskii &amp; Renata Zubkova</t>
  </si>
  <si>
    <t>1b2p , 1Cwest, No Balcony</t>
  </si>
  <si>
    <t>413 Assay Apartments, Station View, Guildford</t>
  </si>
  <si>
    <t>Jittrapa Phurkvimolphan</t>
  </si>
  <si>
    <t>1b2p, 1DNorth, Balcony</t>
  </si>
  <si>
    <t>507 Assay Apartments, Station View, Guildford</t>
  </si>
  <si>
    <t>Lamar Mira</t>
  </si>
  <si>
    <t>115 Assay Apartments, Station View, Guildford</t>
  </si>
  <si>
    <t>Xiaotian Xie and Jie</t>
  </si>
  <si>
    <t>209, Solstice Apts, Silbury Boulevard</t>
  </si>
  <si>
    <t>Thomas Hutchful and Rhoda Osei</t>
  </si>
  <si>
    <t xml:space="preserve">call back req </t>
  </si>
  <si>
    <t>26, Gilders Yard, 14 Great Hampton St, Birm</t>
  </si>
  <si>
    <t>Alice Ford &amp; Jack Sanders</t>
  </si>
  <si>
    <t>4, Gilders Yard, 14 Great Hampton St, Birm</t>
  </si>
  <si>
    <t>4 Carey Lane, Waterlooville PO7 3BG</t>
  </si>
  <si>
    <t>Thomas Dickson &amp; Natalie Thomas</t>
  </si>
  <si>
    <t>Flat of garage2 Bed 4 Person</t>
  </si>
  <si>
    <t>50, Gilders Yard, 14 Great Hampton St, Birm</t>
  </si>
  <si>
    <t>Sari Elshibani</t>
  </si>
  <si>
    <t>1B2P, Block C Type CCourtyard, No Balcony</t>
  </si>
  <si>
    <t>chase 1</t>
  </si>
  <si>
    <t>71, Gilders Yard, 14 Great Hampton St, Birm</t>
  </si>
  <si>
    <t>Nazli Akay Öztürk</t>
  </si>
  <si>
    <t>christmas bc</t>
  </si>
  <si>
    <t>78, Gilders Yard, 14 Great Hampton St, Birm</t>
  </si>
  <si>
    <t>Niall Devaney-Dykes &amp; Joanna Hourihan</t>
  </si>
  <si>
    <t>1B2P, Block B Type CSouth, No Balcony</t>
  </si>
  <si>
    <t>relocating abroad</t>
  </si>
  <si>
    <t>39 The Gardens, Raised GF, London SE22 9QG</t>
  </si>
  <si>
    <t>Dr Philip Bailey</t>
  </si>
  <si>
    <t>has not been happy during the major refurbishment works, has complained but not been upheld, likely will rasie this at renewal.</t>
  </si>
  <si>
    <t xml:space="preserve">Bedroom number is incorrect, this is a 2 bed </t>
  </si>
  <si>
    <t>3 Rooms, Kitchen, Bath Flat - ConversionRaised ground floor</t>
  </si>
  <si>
    <t>13 Throckmorton Street, Newbury</t>
  </si>
  <si>
    <t>Emma Ngoka</t>
  </si>
  <si>
    <t>3b50,J.01Double Aspect</t>
  </si>
  <si>
    <t>chased decision</t>
  </si>
  <si>
    <t>Flat 85 Ability Plaza, London, E8</t>
  </si>
  <si>
    <t>Theo Quarendon &amp; Amaechi Obasi</t>
  </si>
  <si>
    <t xml:space="preserve">Passing rent is low compared to ERV and other 2 bed rents </t>
  </si>
  <si>
    <t>2 bed/1 bath, kitch, liv rm - P Refurb '176FA</t>
  </si>
  <si>
    <t>Flat 9, Hoadly House, Union Street, SE1 0LB</t>
  </si>
  <si>
    <t>Rachel Diamond &amp; Cassandra Davies</t>
  </si>
  <si>
    <t>Refurbushed in 2023 - no issues noted - happy to renew</t>
  </si>
  <si>
    <t>2 Bed, 1 bathroom, Kitchen, Living Room(Split Level) Refurb comp 14/07/2023 (6M DLP)</t>
  </si>
  <si>
    <t>909 Torrens Apt, Waterman Wlk, Salford M50</t>
  </si>
  <si>
    <t>James Grant</t>
  </si>
  <si>
    <t>Nautilus Apartments</t>
  </si>
  <si>
    <t>31 Nautilus Apts, 2 Norah Smyth Rd, London</t>
  </si>
  <si>
    <t>Blessing Chukwu</t>
  </si>
  <si>
    <t>1B2P,South, Terrace</t>
  </si>
  <si>
    <t>Flat 12, Ospringe House, Wotton St, SE1 8TP</t>
  </si>
  <si>
    <t>Charlotte Bird</t>
  </si>
  <si>
    <t>upgraded for let - tnt has issue with window seals - contractor instrd - Happy to renew</t>
  </si>
  <si>
    <t>Flat 6, Croydon House, Wotton St, SE1 8TS</t>
  </si>
  <si>
    <t>Rahul Jigmet, Vallerie Toumah</t>
  </si>
  <si>
    <t>leak damages to be made good. Happy to renew</t>
  </si>
  <si>
    <t>FLAT 79, Hawkins Ln, Finzels Reach, Bristol,</t>
  </si>
  <si>
    <t>Henry King &amp; Rosie Alder</t>
  </si>
  <si>
    <t>426 Enigma Square,  414 North Row, MK9 2GE</t>
  </si>
  <si>
    <t>Sobhanman Mukhopadhyay &amp; Aryami Hazra</t>
  </si>
  <si>
    <t>House purchase</t>
  </si>
  <si>
    <t>1402, Neon House, 207 Chapel St, Salford, M3</t>
  </si>
  <si>
    <t>Ibraheem Khan &amp; Hassan Kamran</t>
  </si>
  <si>
    <t xml:space="preserve">In RA, do not issue- check with PM first. </t>
  </si>
  <si>
    <t>311 Syren Apt , Ottinger Close, Salford M50</t>
  </si>
  <si>
    <t>P. Leung, K. Lee, C. Leung &amp; Y. Leung</t>
  </si>
  <si>
    <t>FLAT 67 Georges Whrf Finzels Reach Bristol BS</t>
  </si>
  <si>
    <t>Sean Muwandi</t>
  </si>
  <si>
    <t>cos</t>
  </si>
  <si>
    <t>added to refs</t>
  </si>
  <si>
    <t>613, Solstice Apts, Silbury Boulevard</t>
  </si>
  <si>
    <t>Mr Ashley Walker</t>
  </si>
  <si>
    <t>6th Flr, Juliette Balcony1 bed-Type 5</t>
  </si>
  <si>
    <t xml:space="preserve">extended deadline poss house purchase </t>
  </si>
  <si>
    <t>805 Ambassador Apt, Waterman Wlk, Salford M50</t>
  </si>
  <si>
    <t>Osian Williams, Adam Long &amp; Alex Warrilow</t>
  </si>
  <si>
    <t>3 BedBrisbane</t>
  </si>
  <si>
    <t>313, Brook Place Apts, Sheffield,  S11 8BS</t>
  </si>
  <si>
    <t>Chun Yan Tung</t>
  </si>
  <si>
    <t>104 Adlay Apartments, E16 2YG</t>
  </si>
  <si>
    <t>Casey Ogden &amp; Alice Ramella German</t>
  </si>
  <si>
    <t>2B4P Balcony (ensuite)4th Floor</t>
  </si>
  <si>
    <t>123 Adlay Apartments, E16 2YG</t>
  </si>
  <si>
    <t>Adam Nagy &amp; Barbara Nagy-Borbe</t>
  </si>
  <si>
    <t>124 Adlay Apartments, E16 2YG</t>
  </si>
  <si>
    <t>Miss C Carabas, Miss D Malai &amp; Mr A Pascaru</t>
  </si>
  <si>
    <t>2B3P Balcony (ensuite) + wheelchair adaptable7th Floor</t>
  </si>
  <si>
    <t>2Y Shillington Old School</t>
  </si>
  <si>
    <t>Thomas Last</t>
  </si>
  <si>
    <t>Locks himself out a lot, think he has his partner living there. Issued with a bike key. No spare keys will be provided</t>
  </si>
  <si>
    <t>Non s/c - separate bath &amp; laundry (2nd flr)Between 1st &amp; 2nd</t>
  </si>
  <si>
    <t>4C Shillington Old School</t>
  </si>
  <si>
    <t>Chloe Davies &amp; Egor Naumov</t>
  </si>
  <si>
    <t>S/C splt lvl 2bed/1bath, o/p kit/living Rfb213rd</t>
  </si>
  <si>
    <t>30, Bishopscourt, 6, Radcliffe Road, Surrey</t>
  </si>
  <si>
    <t>Rija Ahmed &amp; Anila Ahmed &amp; Alina Ahmed</t>
  </si>
  <si>
    <t>S/C P/B 3 bed, 1 bath, WC, kit, liv w/terrace2nd</t>
  </si>
  <si>
    <t>329 Enigma Square,  414 North Row, MK9 2GF</t>
  </si>
  <si>
    <t>Mudit Srivastava, Shipra Srivastava</t>
  </si>
  <si>
    <t>1B2P, 01B(M)South East, Balcony</t>
  </si>
  <si>
    <t xml:space="preserve">wants a balcony </t>
  </si>
  <si>
    <t>Flat 17, St Annes Hs, Buckingham Plc, BN1 3Q</t>
  </si>
  <si>
    <t>Mrs Muthulakshmi Balakrishnan</t>
  </si>
  <si>
    <t>Studio - Refurbished 2019 (Type A)Ground Floor</t>
  </si>
  <si>
    <t>37, West Craven Street, Salford, M5</t>
  </si>
  <si>
    <t>T Milner, H Lacey &amp; S Donohoe</t>
  </si>
  <si>
    <t>3 Bedroom - WM &amp; FF already in situFF fitted - August 2022</t>
  </si>
  <si>
    <t>606, Solstice Apts, Silbury Boulevard</t>
  </si>
  <si>
    <t>Mohammed Osama &amp; Ankitha Kondoth</t>
  </si>
  <si>
    <t>6th Flr, no balcony/Tce1 bed-Type 5C</t>
  </si>
  <si>
    <t xml:space="preserve"> min  + 24 months</t>
  </si>
  <si>
    <t>408, Solstice Apts, Silbury Boulevard</t>
  </si>
  <si>
    <t>James Uberoi</t>
  </si>
  <si>
    <t>No issues – bath repair work was ongoing for a while in this apt – issues with weight and bath enamel / leaking</t>
  </si>
  <si>
    <t>4th Flr, Juliette Balcony1 bed-Type 5</t>
  </si>
  <si>
    <t>30 Orchard Mead, Waterlooville Hampshire, PO7</t>
  </si>
  <si>
    <t>Chadley Cadman &amp; Sophie-Lauren Hamilton</t>
  </si>
  <si>
    <t>agreed - 24 month</t>
  </si>
  <si>
    <t>1004 The Condor, 1 Springwell Sq</t>
  </si>
  <si>
    <t>Thomas Howe &amp; Thomas Mitchell</t>
  </si>
  <si>
    <t>2B4P,2ADual Aspect</t>
  </si>
  <si>
    <t>discussing rent % increases</t>
  </si>
  <si>
    <t>Flat 4 Springfield House, Tyssen Street, Lond</t>
  </si>
  <si>
    <t>Mr Jason Cummings</t>
  </si>
  <si>
    <t xml:space="preserve">Passing rent is low compared to ERV and market rents </t>
  </si>
  <si>
    <t>S/C studio, bathroomLG</t>
  </si>
  <si>
    <t>Flat 66 Springfield House, Tyssen Street, Lon</t>
  </si>
  <si>
    <t>Seb Wride, Eliza Kosse, Sebastian Hunte</t>
  </si>
  <si>
    <t>2 bed/2 bath(1 ens), o/p kit / liv - Rfrb '134F</t>
  </si>
  <si>
    <t>Flat 88 Springfield House, Tyssen Street, Lon</t>
  </si>
  <si>
    <t>R Sapardan, V Anjani &amp; J Andrews</t>
  </si>
  <si>
    <t>2 bed/2 bath (1 x ens),kitch,liv rm - Rfrb'164F</t>
  </si>
  <si>
    <t>Flat 40 Springfield House, Tyssen Street, Lon</t>
  </si>
  <si>
    <t>Rajkumar Kohli &amp; Peter Huang</t>
  </si>
  <si>
    <t>3 bed/2 bath(1 e/s), kit &amp; liv - P Refurb '17SF</t>
  </si>
  <si>
    <t>Flat 51 Springfield House, Tyssen Street, Lon</t>
  </si>
  <si>
    <t>Alice Horn, Hassan Sharif &amp; Roderick Hart</t>
  </si>
  <si>
    <t xml:space="preserve">Passing rent is quite high already </t>
  </si>
  <si>
    <t>S/C 3 bed/2 bath (1 ensuite), kitchen, livingTF Refurbishment Completed 03/12/2021 6M DLP</t>
  </si>
  <si>
    <t>Flat 23, St Annes Ct, Howard Place, BN1 3UP</t>
  </si>
  <si>
    <t>Miss Noely Barradas</t>
  </si>
  <si>
    <t>Studio - Refurbished 2017 (Type B)Third Floor</t>
  </si>
  <si>
    <t>Flat 20, St Annes Hs, Buckingham Plc, BN1 3Q</t>
  </si>
  <si>
    <t>Mercio Garcia</t>
  </si>
  <si>
    <t>Studio - Refurbished 2018 (Type A)Ground Floor</t>
  </si>
  <si>
    <t>Flat 35, St Annes Hs, Buckingham Plc, BN1 3Q</t>
  </si>
  <si>
    <t>Mr Karol Kuczera</t>
  </si>
  <si>
    <t>Flat 39, St Annes Hs, Buckingham Plc, BN1 3Q</t>
  </si>
  <si>
    <t>Matea Jakovina</t>
  </si>
  <si>
    <t xml:space="preserve">Passing rent is high </t>
  </si>
  <si>
    <t>Studio - Refurbished 2018 (Type A)Second Floor</t>
  </si>
  <si>
    <t>Flat 25, St Annes Hs, Buckingham Plc, BN1 3Q</t>
  </si>
  <si>
    <t>Morgan Schroder</t>
  </si>
  <si>
    <t>Studio Rfb 19 (Type A)First Floor</t>
  </si>
  <si>
    <t>Flat 14, St Annes Ct, Howard Place, BN1 3UP</t>
  </si>
  <si>
    <t>Ms Tanja Weis</t>
  </si>
  <si>
    <t>Studio - Refurbished 2019 (Type B)First Floor</t>
  </si>
  <si>
    <t>410 West, The Forge, Newcastle, NE1 3AJ</t>
  </si>
  <si>
    <t>Adela Ertlova &amp; Szczepan Jasinski</t>
  </si>
  <si>
    <t>Flat 2, 53 Vincent Square</t>
  </si>
  <si>
    <t>Patriks Pusmucans &amp; Annija Punte</t>
  </si>
  <si>
    <t>1 bed flat with liv, o/p kit &amp; bathGround floor</t>
  </si>
  <si>
    <t>145, Gilders Yard, 14 Great Hampton St Birm</t>
  </si>
  <si>
    <t>Maggie Grogan</t>
  </si>
  <si>
    <t>2B4P, Block D Type DCourtyard, No Balcony</t>
  </si>
  <si>
    <t>413, 84 Upper Allen St, Sheffield</t>
  </si>
  <si>
    <t>Abeer Albalawi</t>
  </si>
  <si>
    <t>1402, Lamp House, 215 Chapel St, Salford, M3</t>
  </si>
  <si>
    <t>Rabab Esam Kareem Kareem</t>
  </si>
  <si>
    <t>1014 The Condor, 1 Springwell Sq</t>
  </si>
  <si>
    <t>Laura Marks</t>
  </si>
  <si>
    <t>1011 Tayleur Apt , Waterman Wlk, Salford M50</t>
  </si>
  <si>
    <t>Mohammad Chaudhry,Ehab Iftikhar,Youssef Hall</t>
  </si>
  <si>
    <t>3 BedTokyo</t>
  </si>
  <si>
    <t>902 Torrens Apt, Waterman Wlk, Salford M50</t>
  </si>
  <si>
    <t>Yuk Keung Yip &amp; Pui Chu KO</t>
  </si>
  <si>
    <t>213 Ambassador Apt, Waterman Wlk, Salford M50</t>
  </si>
  <si>
    <t>Ellie Jordan &amp; Harry Dobberson</t>
  </si>
  <si>
    <t>1 BedDubai</t>
  </si>
  <si>
    <t>105 Tayleur Apt , Waterman Wlk, Salford M50</t>
  </si>
  <si>
    <t>Sana Nitin Kamat &amp; Pranshu Sharma</t>
  </si>
  <si>
    <t>615 Pin Yard, 11 Sweet Street, Leeds</t>
  </si>
  <si>
    <t>Natalija Kasic &amp; Joel Keeling</t>
  </si>
  <si>
    <t>209 Syren Apt , Ottinger Close, Salford M50</t>
  </si>
  <si>
    <t>Louisa Saunders &amp; Olivia Anderson</t>
  </si>
  <si>
    <t>709, Halogen House, 217 Chapel St, Salford, M</t>
  </si>
  <si>
    <t>Todd Lithgow &amp; Jakub Jakub Wroblewski</t>
  </si>
  <si>
    <t>46 Argo Apts, 4 Silvertown Way,London,E16 1ED</t>
  </si>
  <si>
    <t>2 bed &amp; 2 bath South-West7th floor</t>
  </si>
  <si>
    <t>111 The Condor, 1 Springwell Sq</t>
  </si>
  <si>
    <t>Oluwafunke Jegede</t>
  </si>
  <si>
    <t>1B2P,1CLandscape</t>
  </si>
  <si>
    <t>affordabilty</t>
  </si>
  <si>
    <t>5, Kew Bridge Court, London, W4 3AZ</t>
  </si>
  <si>
    <t>Miss Valentina Segantin &amp; Mr Renato Preziuso</t>
  </si>
  <si>
    <t>1 bed 1 bath, small patio, PRfb201st Floor / Rail aspect</t>
  </si>
  <si>
    <t>Flat 2, St Annes Ct, Howard Place, BN1 3UP</t>
  </si>
  <si>
    <t>Wing Yin Kwok</t>
  </si>
  <si>
    <t>Studio - Refurbished 2018 (Type B)Ground Floor</t>
  </si>
  <si>
    <t>146 Adlay Apartments, E16 2YG</t>
  </si>
  <si>
    <t>A Cerqueira, B Pereira &amp; G Macartney</t>
  </si>
  <si>
    <t>2B4P Balcony (ensuite)12th Floor</t>
  </si>
  <si>
    <t>Flat 9, St Annes Ct, Howard Place, BN1 3UP</t>
  </si>
  <si>
    <t>Daniel Cunningham &amp; Tallulah Barker</t>
  </si>
  <si>
    <t>Studio - Refurbished 2017 (Type B)First Floor</t>
  </si>
  <si>
    <t>38A Gracefield Gardens, Streatham, London</t>
  </si>
  <si>
    <t>Isadora Cruciol &amp; Rodrigo Felix</t>
  </si>
  <si>
    <t>S/C P/B flat, 2 bed, 1 bath, kit, diner, livF/F  (in block of 8 34-40a)</t>
  </si>
  <si>
    <t>404 The Condor, 1 Springwell Sq</t>
  </si>
  <si>
    <t>Sarah Broughton &amp; Mollie Green</t>
  </si>
  <si>
    <t>2B4P,2CInternal</t>
  </si>
  <si>
    <t>405 The Condor, 1 Springwell Sq</t>
  </si>
  <si>
    <t>William Dunkley</t>
  </si>
  <si>
    <t>1B2P,1CCar Park</t>
  </si>
  <si>
    <t>412 The Condor, 1 Springwell Sq</t>
  </si>
  <si>
    <t>Ben Strange</t>
  </si>
  <si>
    <t xml:space="preserve">Has made several complaints about the smell in the coridoors, and has left a number of negative google reviews - may take some convincing. </t>
  </si>
  <si>
    <t>1B2P,1AInternal</t>
  </si>
  <si>
    <t>req renew at current</t>
  </si>
  <si>
    <t>150, Gilders Yard, 14 Great Hampton St Birm</t>
  </si>
  <si>
    <t>Frieda Kaden and Jack Easton</t>
  </si>
  <si>
    <t>730 The Barnum, 23 Queens Road, Nottingham</t>
  </si>
  <si>
    <t>Long Luk and Chak Lau</t>
  </si>
  <si>
    <t>10, 112 The Rock, Bury, BL9</t>
  </si>
  <si>
    <t>Rukhnoor Malik</t>
  </si>
  <si>
    <t>1 Bedroom Type 1C2/Balcony</t>
  </si>
  <si>
    <t>64, Ancoats, 2 Butler Street, M4 6BZ</t>
  </si>
  <si>
    <t>Omisakin Oluwatobi &amp; Fayomi Adejoke</t>
  </si>
  <si>
    <t>2 Bed, 12th Floor, FurnishedEtihad View, No Balcony</t>
  </si>
  <si>
    <t>303 South, The Forge, Newcastle, NE1 3AR</t>
  </si>
  <si>
    <t>Mr A Timotheou &amp; Miss L Ketsbaia</t>
  </si>
  <si>
    <t>FLAT 72, Hawkins Ln, Finzels Reach, Bristol,</t>
  </si>
  <si>
    <t>Benjamin Harris and Andy Kitchen</t>
  </si>
  <si>
    <t>27 Woodleigh Gardens, Streatham, London</t>
  </si>
  <si>
    <t>Natalia Artyukhova &amp; Tibor Stiak</t>
  </si>
  <si>
    <t>S/C 2 bed/1 bath,WC,kit,diner, liv,grdnG/F</t>
  </si>
  <si>
    <t>August</t>
  </si>
  <si>
    <t>307, 84 Upper Allen St, Sheffield</t>
  </si>
  <si>
    <t>Jak Fender &amp; Lucy Hicklin</t>
  </si>
  <si>
    <t>130 Adlay Apartments, E16 2YG</t>
  </si>
  <si>
    <t>Benjiman Morris &amp; Trudi Gibson</t>
  </si>
  <si>
    <t>Apt 53, Kings Dock Mill, Liverpool, L1</t>
  </si>
  <si>
    <t>Matthew Carlin &amp; Rachel McDevitt</t>
  </si>
  <si>
    <t>No</t>
  </si>
  <si>
    <t>4 Adlay Apartments, E16 2YG</t>
  </si>
  <si>
    <t>Jake Gowler, Nilay Patel &amp; Alexander Naggar</t>
  </si>
  <si>
    <t>3B6P Balcony (ensuite)1st Floor</t>
  </si>
  <si>
    <t>52 Adlay Apartments, E16 2YG</t>
  </si>
  <si>
    <t>James Duthie, Chiedza Rwodzi, Austin Rwodzi</t>
  </si>
  <si>
    <t>3B6P Balcony (ensuite)8th Floor</t>
  </si>
  <si>
    <t>74 Adlay Apartments, E16 2YG</t>
  </si>
  <si>
    <t>75 Adlay Apartments, E16 2YG</t>
  </si>
  <si>
    <t>Yetunde Zakariyau and Elizabeth Zakariyau</t>
  </si>
  <si>
    <t>2B4P Balcony (ensuite)13th Floor</t>
  </si>
  <si>
    <t>80 Adlay Apartments, E16 2YG</t>
  </si>
  <si>
    <t>Mr Isaac Popoola &amp; Mr William Amanabo</t>
  </si>
  <si>
    <t>2B4P Balcony (ensuite)14th Floor</t>
  </si>
  <si>
    <t>97 Adlay Apartments, E16 2YG</t>
  </si>
  <si>
    <t>Ryan Briggs &amp; Sophie Paterson</t>
  </si>
  <si>
    <t>2B4P Balcony (ensuite)3rd Floor</t>
  </si>
  <si>
    <t>705, The Headline, Wellington Park Way, Leeds</t>
  </si>
  <si>
    <t>Katie Baxter &amp; James Baxter</t>
  </si>
  <si>
    <t>2 Bed, 2 Bath, Type DL7, balcony, East</t>
  </si>
  <si>
    <t>49, Gilders Yard, 14 Great Hampton St, Birm</t>
  </si>
  <si>
    <t>Ye</t>
  </si>
  <si>
    <t xml:space="preserve">Yes renew bit have issues with noise from above and cannabis from above- ongoing trying to take ;legal action on above tenant </t>
  </si>
  <si>
    <t>re a call back: left VM &amp; emailed</t>
  </si>
  <si>
    <t>429 The Condor, 1 Springwell Sq</t>
  </si>
  <si>
    <t>Zubair Ramzan</t>
  </si>
  <si>
    <t>1B2P,1DSide Street</t>
  </si>
  <si>
    <t>1008, Neon House, 207 Chapel St, Salford, M3</t>
  </si>
  <si>
    <t>Molly McCleary &amp; Delan Hadad</t>
  </si>
  <si>
    <t>1409, Neon House, 207 Chapel St, Salford, M3</t>
  </si>
  <si>
    <t>Di Xiao &amp; Haoze Li</t>
  </si>
  <si>
    <t>6 Cable House, 2 Echo Walk, Newbury</t>
  </si>
  <si>
    <t>Zoe Raven</t>
  </si>
  <si>
    <t>510 Pin Yard, 11 Sweet Street, Leeds</t>
  </si>
  <si>
    <t>Zoe Ling Xuan Toh and Chun Fai Yip</t>
  </si>
  <si>
    <t>1102, Neon House, 207 Chapel St, Salford, M3</t>
  </si>
  <si>
    <t>Matt Joseph &amp; Sarah Bogues</t>
  </si>
  <si>
    <t>409, Halogen House, 217 Chapel St, Salford, M</t>
  </si>
  <si>
    <t>Jessica Beer &amp; Megan Teesdale</t>
  </si>
  <si>
    <t>411, Neon House, 207 Chapel St, Salford, M3 5</t>
  </si>
  <si>
    <t>Tak Chi Wan, Ka Nei Lam and Sau Ying Chan</t>
  </si>
  <si>
    <t>Balcony, Dual - SSE/WSW2 Bed - TYPE Q</t>
  </si>
  <si>
    <t>602, Halogen House, 217 Chapel St, Salford, M</t>
  </si>
  <si>
    <t>Bethan Lowe &amp; Daniel McDonagh</t>
  </si>
  <si>
    <t>Apt 104, Abbeville Apts, 37 London Rd, Barkin</t>
  </si>
  <si>
    <t>Mrs Durgesh Rattan Mehta</t>
  </si>
  <si>
    <t xml:space="preserve">This resident is our only venerable elderly woman. We deal with her daughter Veena and her details are in Qube. Happy to renew. </t>
  </si>
  <si>
    <t>Flat 47 Ability Plaza, London, E8</t>
  </si>
  <si>
    <t>Sarah Yazouri &amp; Austin Bly</t>
  </si>
  <si>
    <t>studio/mezz/bathroom/balcony - PRefurb'17TF/TFA</t>
  </si>
  <si>
    <t>Flat 53 Ability Plaza, London, E8</t>
  </si>
  <si>
    <t>Mr Nicholas Derewlany</t>
  </si>
  <si>
    <t xml:space="preserve">ERV is high due to size of this unit </t>
  </si>
  <si>
    <t>1 bed/1 bath w/mezz,o/p kit/liv,balc.-PRfb'174F/4FA</t>
  </si>
  <si>
    <t>1904 Aster Apts 822 Seven Sisters Rd London N</t>
  </si>
  <si>
    <t>Miss Anna Kuforiji and Miss Esther Kuforiji</t>
  </si>
  <si>
    <t>18 Dorrell Apt, Darbyshire Rd, Aldershot, Han</t>
  </si>
  <si>
    <t>Miss Amber Williams &amp; Mr Andrew Grobler</t>
  </si>
  <si>
    <t>accepted 24 month</t>
  </si>
  <si>
    <t>1011 The Condor, 1 Springwell Sq</t>
  </si>
  <si>
    <t>Harish Marimuthu</t>
  </si>
  <si>
    <t>428 The Condor, 1 Springwell Sq</t>
  </si>
  <si>
    <t>Syed A Husain and Mohamed A A Mohamed</t>
  </si>
  <si>
    <t>2B4P,2BSide Street</t>
  </si>
  <si>
    <t>213, Solstice Apts, Silbury Boulevard -DMR</t>
  </si>
  <si>
    <t>Jessica Hefferon</t>
  </si>
  <si>
    <t>2nd Flr,  Juliette Balcony1 bed-Type 4</t>
  </si>
  <si>
    <t>missed - late offering</t>
  </si>
  <si>
    <t>718 The Condor, 1 Springwell Sq</t>
  </si>
  <si>
    <t>Nonso Iheanacho and Lilian Iheanacho</t>
  </si>
  <si>
    <t xml:space="preserve">accepted - 24 months </t>
  </si>
  <si>
    <t>512, Solstice Apts, Silbury Boulevard</t>
  </si>
  <si>
    <t>Akshay Jain and Aakanksha Lowlekar</t>
  </si>
  <si>
    <t>5th Flr,  Juliette Balcony2 bed-Type 3A</t>
  </si>
  <si>
    <t>514, Solstice Apts, Silbury Boulevard</t>
  </si>
  <si>
    <t>M Nagvekar, P Deshpande &amp; C Soundararajan</t>
  </si>
  <si>
    <t>Slight issues with C.O.S tenants/ fobs/keys etc</t>
  </si>
  <si>
    <t>5th Flr,  Juliette Balcony2 bed-Type 3</t>
  </si>
  <si>
    <t>unable to leave VM &amp; emailed chase</t>
  </si>
  <si>
    <t>201 The Condor, 1 Springwell Sq</t>
  </si>
  <si>
    <t>Ebrima Bojang &amp; Sarjo Saidykhan</t>
  </si>
  <si>
    <t>228 The Condor, 1 Springwell Sq</t>
  </si>
  <si>
    <t>Esione Asakome</t>
  </si>
  <si>
    <t>retracted notice</t>
  </si>
  <si>
    <t>328 The Condor, 1 Springwell Sq</t>
  </si>
  <si>
    <t>Arnab Chakravorty &amp; Tanaya Datta</t>
  </si>
  <si>
    <t>included 8 months bc</t>
  </si>
  <si>
    <t>603 The Condor, 1 Springwell Sq</t>
  </si>
  <si>
    <t>Mark Tadros</t>
  </si>
  <si>
    <t>618 The Condor, 1 Springwell Sq</t>
  </si>
  <si>
    <t>Gary Kwok &amp; Yuen Ling Sze</t>
  </si>
  <si>
    <t>May be re-ref</t>
  </si>
  <si>
    <t>623 The Condor, 1 Springwell Sq</t>
  </si>
  <si>
    <t>John Paolo Mercado &amp; Jean Mercado</t>
  </si>
  <si>
    <t>2B4P,2BHigh Street</t>
  </si>
  <si>
    <t>9 Bradbury Apt, Darbyshire Road, Hampshire, G</t>
  </si>
  <si>
    <t>Shandriya Rai &amp; Bimarsh Rai</t>
  </si>
  <si>
    <t>102 The Condor, 1 Springwell Sq</t>
  </si>
  <si>
    <t>Sara Shabah &amp; Badiah Eljahimi</t>
  </si>
  <si>
    <t>806, Neon House, 207 Chapel St, Salford, M3 5</t>
  </si>
  <si>
    <t>Calum Eddy and James Showell</t>
  </si>
  <si>
    <t xml:space="preserve">N/A    </t>
  </si>
  <si>
    <t>ENE1 Bed - TYPE K</t>
  </si>
  <si>
    <t>37, 15 St. Johns Gardens, Bury, BL9</t>
  </si>
  <si>
    <t>Mr W Johnson</t>
  </si>
  <si>
    <t>29, Ancoats, 2 Butler Street, M4 6BZ</t>
  </si>
  <si>
    <t>Lydia Gibbs &amp; Ollie Burke</t>
  </si>
  <si>
    <t>2 Bed, 5th Floor, FurnishedEtihad View, No Balcony</t>
  </si>
  <si>
    <t>Flat 6, Trelawney House, Union St, SE1 0LF</t>
  </si>
  <si>
    <t>Juliet Eames and Rosalind Goddard</t>
  </si>
  <si>
    <t>Refurbished in 2017 - no issues noted - happy to renew</t>
  </si>
  <si>
    <t>530, Brook Place Apts, Sheffield,  S11 8DA</t>
  </si>
  <si>
    <t>Giulia Tomassoni</t>
  </si>
  <si>
    <t>801, Brook Place Apts, Sheffield,  S11 8DA</t>
  </si>
  <si>
    <t>Evan Ingold &amp; Sarah Ingold</t>
  </si>
  <si>
    <t>All good to offer renewal- Sarah R2R outstanding</t>
  </si>
  <si>
    <t>425, Brook Place Apts, Sheffield,  S11 8BS</t>
  </si>
  <si>
    <t>Mikayla Fernholz &amp; William Raimbach</t>
  </si>
  <si>
    <t>510, Brook Place Apts, Sheffield,  S11 8BS</t>
  </si>
  <si>
    <t>Steven Green &amp; Neil Benham-Roberts</t>
  </si>
  <si>
    <t>001 West, The Forge, Newcastle, NE1 3AJ</t>
  </si>
  <si>
    <t>Wing Sum Lao</t>
  </si>
  <si>
    <t>Not very good at responding, we might need to help. Works nights</t>
  </si>
  <si>
    <t>A, 2 Bed, 2 Bath, GF</t>
  </si>
  <si>
    <t>401 The Condor, 1 Springwell Sq</t>
  </si>
  <si>
    <t>Chibuye Chilembo</t>
  </si>
  <si>
    <t>phoneline breaking up - emailed</t>
  </si>
  <si>
    <t>107 The Condor, 1 Springwell Sq</t>
  </si>
  <si>
    <t>Keerthi Krishnan &amp; Nikhil Chandran Pillai</t>
  </si>
  <si>
    <t>205, Solstice Apts, Silbury Boulevard</t>
  </si>
  <si>
    <t>Annalise Leech &amp; Hannah Ruby</t>
  </si>
  <si>
    <t>2nd Flr,  Juliette Balcony2 bed-Type 6</t>
  </si>
  <si>
    <t>59, Gilders Yard, 14 Great Hampton St, Birm</t>
  </si>
  <si>
    <t>Qinlin Li</t>
  </si>
  <si>
    <t>507 Ambassador Apt, Waterman Wlk, Salford M50</t>
  </si>
  <si>
    <t>Kris Green, Drew Green &amp; Lauren Fleetwood</t>
  </si>
  <si>
    <t>2 BedAntwerp</t>
  </si>
  <si>
    <t>304 Tayleur Apt , Waterman Wlk, Salford M50</t>
  </si>
  <si>
    <t>Yuen Ching Janet Chow &amp; Chun Yip Au</t>
  </si>
  <si>
    <t>908 Ambassador Apt, Waterman Wlk, Salford M50</t>
  </si>
  <si>
    <t>Abdullah A A J Alawam</t>
  </si>
  <si>
    <t>1 BedMumbai</t>
  </si>
  <si>
    <t>313 Syren Apt , Ottinger Close, Salford M50</t>
  </si>
  <si>
    <t>Ifeoluwa Oluwasanmi &amp; Ayobami Adeleke</t>
  </si>
  <si>
    <t>FLAT 51 Georges Whrf Finzels Reach Bristol BS</t>
  </si>
  <si>
    <t>Wai Man Basilla Cheng</t>
  </si>
  <si>
    <t>Apt 501, Abbeville Apts, 37 London Rd, Barkin</t>
  </si>
  <si>
    <t>Mr Raees Patel</t>
  </si>
  <si>
    <t>2 Bed, Fifth Floor, Furnished1 Bathrooms</t>
  </si>
  <si>
    <t>Flat 4 Ability view, 220 Kingsland Road, Lond</t>
  </si>
  <si>
    <t>Jacob Hill-Anderson</t>
  </si>
  <si>
    <t>S/C 1 bed/1 bath, o/p kitchen/living rm Rfb21TF</t>
  </si>
  <si>
    <t>113 Argo Apts,4 Silvertown Way,London,E16 1YD</t>
  </si>
  <si>
    <t>Ms Aysha Choudhry &amp; Miss Shriya Prasad</t>
  </si>
  <si>
    <t>2 bed &amp; 2 bath North-West Dual13th floor</t>
  </si>
  <si>
    <t>624 Enigma Square,  414 North Row, MK9 2GE</t>
  </si>
  <si>
    <t>Anitha Panchalingam &amp; Eimard Sobrino</t>
  </si>
  <si>
    <t>104 Assay Apartments, Station View, Guildford</t>
  </si>
  <si>
    <t>A Panicker, T Shahabuddeen, P Jose &amp; A Khan</t>
  </si>
  <si>
    <t>2b4p, 2CEast, Balcony</t>
  </si>
  <si>
    <t>301 Assay Apartments, Station View, Guildford</t>
  </si>
  <si>
    <t>Azharullah Azharullah &amp; Sana khaja Hussain</t>
  </si>
  <si>
    <t>77 Gatehouse Apts, 86 East St, Southampton</t>
  </si>
  <si>
    <t>Chris Wilson &amp; Katie Ross</t>
  </si>
  <si>
    <t>L4,  Juliette,  Debenhams2Bed 4P, Type 2C</t>
  </si>
  <si>
    <t>410 The Condor, 1 Springwell Sq</t>
  </si>
  <si>
    <t>Riyanat Akinbolu</t>
  </si>
  <si>
    <t>Room 1A, Kimmerston  House</t>
  </si>
  <si>
    <t>Haoran Peng</t>
  </si>
  <si>
    <t>Room 3A, Kimmerston House</t>
  </si>
  <si>
    <t>Kasidit Thinphangnga</t>
  </si>
  <si>
    <t>67 Adlay Apartments, E16 2YG</t>
  </si>
  <si>
    <t>Nicola Maxwell, James Goddard &amp; George Hickey</t>
  </si>
  <si>
    <t>3B6P Balcony (ensuite)11th Floor</t>
  </si>
  <si>
    <t>Flat 11, Charing House, Windmill Wlk, SE1 8TR</t>
  </si>
  <si>
    <t>Scott Shepherd, Kutluhan Bolat &amp; Jasmin Hills</t>
  </si>
  <si>
    <t>new kitchen in - happy to renew</t>
  </si>
  <si>
    <t>Flat 6 Springfield House, Tyssen Street, Lond</t>
  </si>
  <si>
    <t>Liberty Papworth &amp; Felix Taylor</t>
  </si>
  <si>
    <t>1 bed (sliding partition),o/p kit/liv-PRfb'19LG</t>
  </si>
  <si>
    <t>008 West, The Forge, Newcastle, NE1 3AJ</t>
  </si>
  <si>
    <t>Ho Hai Wen &amp; Brandon Ch Ng Xian</t>
  </si>
  <si>
    <t>B, 2 Bed, 2 bath, GF</t>
  </si>
  <si>
    <t>101 South, The Forge, Newcastle, NE1 3AR</t>
  </si>
  <si>
    <t>Ms L Al-Qahtani</t>
  </si>
  <si>
    <t>2 Bedroom, 2 Bath, 1st Floor, Balcony</t>
  </si>
  <si>
    <t>104 North, The Forge, Newcastle, NE1 3AA</t>
  </si>
  <si>
    <t>Mr A Kasaei &amp; Ms I Kashirina</t>
  </si>
  <si>
    <t xml:space="preserve">Looking to down size i believe </t>
  </si>
  <si>
    <t>3 Bed, 2 Bath, 1F</t>
  </si>
  <si>
    <t>111 West, The Forge, Newcastle, NE1 3AJ</t>
  </si>
  <si>
    <t>B, 2 Bed, 2 Bath, 1F</t>
  </si>
  <si>
    <t>115 North, The Forge, Newcastle, NE1 3AA</t>
  </si>
  <si>
    <t>2 Bed, 2 Bath, Courtyard access, 1F</t>
  </si>
  <si>
    <t>203 South, The Forge, Newcastle, NE1 3AR</t>
  </si>
  <si>
    <t>Mr T Stevens &amp; Miss M Bartley</t>
  </si>
  <si>
    <t>2 Bed, 2 Bath, 2nd Floor, Balcony</t>
  </si>
  <si>
    <t>204 West, The Forge, Newcastle, NE1 3AJ</t>
  </si>
  <si>
    <t>Rachel Napper</t>
  </si>
  <si>
    <t>205 West, The Forge, Newcastle, NE1 3AJ</t>
  </si>
  <si>
    <t>Joshua Jackson &amp; Oliver Palin</t>
  </si>
  <si>
    <t>206 North, The Forge, Newcastle, NE1 3AA</t>
  </si>
  <si>
    <t>Miss T McHale</t>
  </si>
  <si>
    <t>1 Bed, 1 Bath, 2F</t>
  </si>
  <si>
    <t>207 North, The Forge, Newcastle, NE1 3AA</t>
  </si>
  <si>
    <t>Mitchell Dennis and Cinthu Vivehananthan</t>
  </si>
  <si>
    <t>2 Bed, 2 Bath, 2F</t>
  </si>
  <si>
    <t>207 West, The Forge, Newcastle, NE1 3AJ</t>
  </si>
  <si>
    <t>Alexis Leighton</t>
  </si>
  <si>
    <t>A, 1 Bed, 1 Bath, 2F</t>
  </si>
  <si>
    <t>209 North, The Forge, Newcastle, NE1 3AA</t>
  </si>
  <si>
    <t>Karen Horlock</t>
  </si>
  <si>
    <t>209 West, The Forge, Newcastle, NE1 3AJ</t>
  </si>
  <si>
    <t>AbdulAziz AlZalzalah, Dana Behbehani</t>
  </si>
  <si>
    <t>B, 2 Bed, 2 Bath, 2F</t>
  </si>
  <si>
    <t>212 West, The Forge, Newcastle, NE1 3AJ</t>
  </si>
  <si>
    <t>Mr R Pesch</t>
  </si>
  <si>
    <t>B, 1 Bed, 1 Bath, 2F</t>
  </si>
  <si>
    <t>305 West, The Forge, Newcastle, NE1 3AJ</t>
  </si>
  <si>
    <t>Joshua Rostelli-Lewis &amp; Lucy Mellor</t>
  </si>
  <si>
    <t>A, 2 Bed, 2 Bath, 3F</t>
  </si>
  <si>
    <t>307 North, The Forge, Newcastle, NE1 3AA</t>
  </si>
  <si>
    <t>Ms M Almulla</t>
  </si>
  <si>
    <t>2 Bed, 2 Bath, 3F</t>
  </si>
  <si>
    <t>309 West, The Forge, Newcastle, NE1 3AJ</t>
  </si>
  <si>
    <t>Ms Giovannetti &amp; Ms Munnia</t>
  </si>
  <si>
    <t>B, 2 Bed, 2 Bath, 3F</t>
  </si>
  <si>
    <t>313 North, The Forge, Newcastle, NE1 3AA</t>
  </si>
  <si>
    <t>Miss N Khan</t>
  </si>
  <si>
    <t>1 Bed, 1 Bath, 3F</t>
  </si>
  <si>
    <t>Signing</t>
  </si>
  <si>
    <t>FLAT 18, Hawkins Ln, Finzels Reach, Bristol,</t>
  </si>
  <si>
    <t>Christopher Sanjata</t>
  </si>
  <si>
    <t>4 Langford House, Carey Lane, Waterlooville P</t>
  </si>
  <si>
    <t>Mr Dune Grimsell</t>
  </si>
  <si>
    <t>Happy to renew, likely to not accept any increase</t>
  </si>
  <si>
    <t>Ground Floor1 Bed  2 Person</t>
  </si>
  <si>
    <t>rent to high - outstandig repairs</t>
  </si>
  <si>
    <t>22, Hollies Lane, Block E, Salford, M5</t>
  </si>
  <si>
    <t>Oladayo Adeyemi &amp; Ayotunde Ogunyemi</t>
  </si>
  <si>
    <t>3 Bedroom FF inc. FF &amp; WMFurnished</t>
  </si>
  <si>
    <t>003 West, The Forge, Newcastle, NE1 3AJ</t>
  </si>
  <si>
    <t>Emily Bohme Goad</t>
  </si>
  <si>
    <t>A, 1 Bed, 1 Bath, GF</t>
  </si>
  <si>
    <t>504 Assay Apartments, Station View, Guildford</t>
  </si>
  <si>
    <t>Wouter De Smedt</t>
  </si>
  <si>
    <t>Vauxhall (Rev)</t>
  </si>
  <si>
    <t>Flat 8, Eastry House, Hartingdon Rd, SW8 2HU</t>
  </si>
  <si>
    <t>Mr Mike Jason O'Regan</t>
  </si>
  <si>
    <t>Fully refurbished (2017) 1 bed flat, refurb diary on Qube is wrong as states 2010, in good order at last inspection, tnt been in since 2017</t>
  </si>
  <si>
    <t>309 Assay Apartments, Station View, Guildford</t>
  </si>
  <si>
    <t>Gustavo Leonardo and Daniela Ferriera</t>
  </si>
  <si>
    <t>2b4p, 2EEast, Balcony</t>
  </si>
  <si>
    <t>318 Assay Apartments, Station View, Guildford</t>
  </si>
  <si>
    <t>Bader Alfarra</t>
  </si>
  <si>
    <t>Resident has advised unlikely to renew as may be moving overseas.</t>
  </si>
  <si>
    <t>401 Assay Apartments, Station View, Guildford</t>
  </si>
  <si>
    <t>Mark Tan, Man C Chung and Man Y A Chung</t>
  </si>
  <si>
    <t>3b6p , 3AEast, Balcony</t>
  </si>
  <si>
    <t>502 Assay Apartments, Station View, Guildford</t>
  </si>
  <si>
    <t>Darren Caird and Alison Page</t>
  </si>
  <si>
    <t>2b4p, 2MSouth East, Balcony</t>
  </si>
  <si>
    <t>506 Assay Apartments, Station View, Guildford</t>
  </si>
  <si>
    <t>F. Maciel, C. Azevedo &amp; E. Lindoni</t>
  </si>
  <si>
    <t>508 Assay Apartments, Station View, Guildford</t>
  </si>
  <si>
    <t>Vishakha Wadhwa &amp; Shaunit Borde</t>
  </si>
  <si>
    <t>601 Assay Apartments, Station View, Guildford</t>
  </si>
  <si>
    <t>Nennie Nwakanma</t>
  </si>
  <si>
    <t>Resident has had brother staying with her frequently and has been spoken to about this, but has not had him added to the tenancy agreement. Renewal can be offered subject to brother being added as a named tenant, as is currently an unauthroised occupier.</t>
  </si>
  <si>
    <t xml:space="preserve"> 2b4p, 2PSouth , Balcony</t>
  </si>
  <si>
    <t>30 Adlay Apartments, E16 2YG</t>
  </si>
  <si>
    <t>Mr Oluwasayofumi Williams</t>
  </si>
  <si>
    <t>1B2P Balcony4th Floor</t>
  </si>
  <si>
    <t>202 Windlass Apartments, 4 Hale Wharf, N17</t>
  </si>
  <si>
    <t>Yeon Jae Seo &amp; Mimi Yoo</t>
  </si>
  <si>
    <t>2 Bed 3P, Type 2CDual-River Lea, N/E, Balcony/Medium</t>
  </si>
  <si>
    <t>Flat 8, Trelawney House, Union St, SE1 0LF</t>
  </si>
  <si>
    <t>Saihajbir Singh &amp; Rohan Day</t>
  </si>
  <si>
    <t>FLAT HAS RENTAL FURNITURE</t>
  </si>
  <si>
    <t>Flat 10, Thorold House, Pepper St, SE1 0EL</t>
  </si>
  <si>
    <t>Colum Miskelly &amp; Charles Wood</t>
  </si>
  <si>
    <t>Refurbushed in 2016 - no issue noted - happy to renew</t>
  </si>
  <si>
    <t>309, Neon House, 207 Chapel St, Salford, M3 5</t>
  </si>
  <si>
    <t>Jieying Wu &amp; Jinhan Ye</t>
  </si>
  <si>
    <t>314 North, The Forge, Newcastle, NE1 3AA</t>
  </si>
  <si>
    <t>Mashael Alowais</t>
  </si>
  <si>
    <t>401 South, The Forge, Newcastle, NE1 3AR</t>
  </si>
  <si>
    <t>Sophie Tunnah</t>
  </si>
  <si>
    <t>2 Bedroom, 2 Bath, 4th Floor, Balcony</t>
  </si>
  <si>
    <t>410 North, The Forge, Newcastle, NE1 3AA</t>
  </si>
  <si>
    <t>Hamdan Saud S Alruwaili</t>
  </si>
  <si>
    <t>Think he is going back to Saudi soon, waiting on his childs treatment to finish.</t>
  </si>
  <si>
    <t>2 Bed, 2 Bath, 4F</t>
  </si>
  <si>
    <t>411 North, The Forge, Newcastle, NE1 3AA</t>
  </si>
  <si>
    <t>Feras Khalid</t>
  </si>
  <si>
    <t>416 North, The Forge, Newcastle, NE1 3AA</t>
  </si>
  <si>
    <t>Francesca Pisapia &amp; Kirsten Ramsay</t>
  </si>
  <si>
    <t>503 North, The Forge, Newcastle, NE1 3AH</t>
  </si>
  <si>
    <t>Razan Abukhaizaran</t>
  </si>
  <si>
    <t>602 North, The Forge, Newcastle, NE1 3AH</t>
  </si>
  <si>
    <t>Miss S Alzahrani</t>
  </si>
  <si>
    <t>Looking at leaving, dont think she will renew</t>
  </si>
  <si>
    <t>604 North, The Forge, Newcastle, NE1 3AH</t>
  </si>
  <si>
    <t>Emily Monk, Esther Beales &amp; Ruby Barford</t>
  </si>
  <si>
    <t>3 Bed, 2 Bath, 6F</t>
  </si>
  <si>
    <t>609 West, The Forge, Newcastle, NE1 3AN</t>
  </si>
  <si>
    <t>Iacopo Macchi, Giulia Filippello</t>
  </si>
  <si>
    <t>B, 2 Bed, 2 Bath, 6F</t>
  </si>
  <si>
    <t>610 North, The Forge, Newcastle, NE1 3AH</t>
  </si>
  <si>
    <t>Mears</t>
  </si>
  <si>
    <t>611 West, The Forge, Newcastle, NE1 3AN</t>
  </si>
  <si>
    <t>Holum Riad, Marney Thompson</t>
  </si>
  <si>
    <t>612 West, The Forge, Newcastle, NE1 3AN</t>
  </si>
  <si>
    <t>Jane Bayer</t>
  </si>
  <si>
    <t>B, 1 Bed, 1 Bath, 6F</t>
  </si>
  <si>
    <t>614 West, The Forge, Newcastle, NE1 3AN</t>
  </si>
  <si>
    <t>Lucy Murphy &amp; Girisha Hingorani</t>
  </si>
  <si>
    <t>Couple of noise issues early in tenancy but none recently</t>
  </si>
  <si>
    <t>703 South, The Forge, Newcastle, NE1 3AR</t>
  </si>
  <si>
    <t>Bajinder Elliot Singh</t>
  </si>
  <si>
    <t>2 Bed, 2 Bath, 7th Floor, Metal Balcony</t>
  </si>
  <si>
    <t>703 West, The Forge, Newcastle, NE1 3AN</t>
  </si>
  <si>
    <t>Ying Zhou</t>
  </si>
  <si>
    <t>B, 1 Bed, 1 Bath, 7F</t>
  </si>
  <si>
    <t>704 North, The Forge, Newcastle, NE1 3AH</t>
  </si>
  <si>
    <t>Mr Stobbs, Mr Mullen, Mr Hamilton &amp; Miss Wood</t>
  </si>
  <si>
    <t>3 Bed, 2 Bath, 7F</t>
  </si>
  <si>
    <t>714 North, The Forge, Newcastle, NE1 3AH</t>
  </si>
  <si>
    <t>Isabelle Gaglardi &amp; Nicole Johnston</t>
  </si>
  <si>
    <t>805 West, The Forge, Newcastle, NE1 3AN</t>
  </si>
  <si>
    <t>Hilbert Daining Xiao</t>
  </si>
  <si>
    <t>B, 2 Bed, 2 Bath, 8F</t>
  </si>
  <si>
    <t>6 Bradbury Apt, Darbyshire Road, Hampshire, G</t>
  </si>
  <si>
    <t>Jamie Hart &amp; Eleanor Hart</t>
  </si>
  <si>
    <t xml:space="preserve">discusiing longer terms </t>
  </si>
  <si>
    <t>423 The Condor, 1 Springwell Sq</t>
  </si>
  <si>
    <t>Oliver Freeman &amp; Mira Virtanen</t>
  </si>
  <si>
    <t>504 Ambassador Apt, Waterman Wlk, Salford M50</t>
  </si>
  <si>
    <t>Fung Yee Ivy Yau</t>
  </si>
  <si>
    <t>2 BedBrisbane</t>
  </si>
  <si>
    <t>312 Torrens Apt, Waterman Wlk, Salford M50</t>
  </si>
  <si>
    <t>Lucy Melling &amp; Emily Rees</t>
  </si>
  <si>
    <t>106 Torrens Apt, Waterman Wlk, Salford M50</t>
  </si>
  <si>
    <t>Wai Man Cheung &amp; Tsz O Leung</t>
  </si>
  <si>
    <t>304, Halogen House, 217 Chapel St, Salford, M</t>
  </si>
  <si>
    <t>Miss Pickard, Miss Higginbottom &amp; Miss Graves</t>
  </si>
  <si>
    <t xml:space="preserve">N/A- were without a washer/dryer for 5 weeks. </t>
  </si>
  <si>
    <t>507, Halogen House, 217 Chapel St, Salford, M</t>
  </si>
  <si>
    <t>Miss Sonali Varma and Mr Prajin Valand</t>
  </si>
  <si>
    <t>904, Halogen House, 217 Chapel St, Salford, M</t>
  </si>
  <si>
    <t>Holly Spokes, Julia Doolan &amp; Louise Briggs</t>
  </si>
  <si>
    <t>37, New Islington, 43 Chippenham Road, M4 6BY</t>
  </si>
  <si>
    <t>Adam Bentley &amp; Abigail White</t>
  </si>
  <si>
    <t>15 Gatehouse Apts, 86 East St, Southampton</t>
  </si>
  <si>
    <t>C R Li, F Eliasson</t>
  </si>
  <si>
    <t>L1,  Encl. balcony,  Queens way2Bed 4P, Type 2D</t>
  </si>
  <si>
    <t>147 Adlay Apartments, E16 2YG</t>
  </si>
  <si>
    <t>Charlie Delamere</t>
  </si>
  <si>
    <t>Apartment 11a, 130 Tabernacle Street</t>
  </si>
  <si>
    <t>Pablo Martel</t>
  </si>
  <si>
    <t xml:space="preserve">flat is in good condition. his entryphone and skylight blind has taken way too long to get fixed.  </t>
  </si>
  <si>
    <t>1bd/1bth,use of trrce,res height-Rfrb '156th</t>
  </si>
  <si>
    <t>701 The Condor, 1 Springwell Sq</t>
  </si>
  <si>
    <t>Qiying Deng</t>
  </si>
  <si>
    <t>32 The Gardens, FFF, Flat 5, London SE22 9QF</t>
  </si>
  <si>
    <t>Miss Kristina Jane Lunt</t>
  </si>
  <si>
    <t xml:space="preserve">ERV is high on this </t>
  </si>
  <si>
    <t>1 Room, Kitchen, Bath Flat - ConversionFirst floor</t>
  </si>
  <si>
    <t>12 months incl bc nov-feb</t>
  </si>
  <si>
    <t>51 The Gardens, TF Rear, London SE22 9QQ</t>
  </si>
  <si>
    <t>Mr Justin Dempster</t>
  </si>
  <si>
    <t>Studio with seperate kit &amp; bath - Refurb '18Third floor</t>
  </si>
  <si>
    <t>39 The Gardens, Rear Bsmnt, London SE22 9QG</t>
  </si>
  <si>
    <t>Lucy Hulme</t>
  </si>
  <si>
    <t>1 Room, Kitchen, Bath Flat - ConversionBasement</t>
  </si>
  <si>
    <t>42 The Gardens, LGF, Flat 2,London SE22 9QG</t>
  </si>
  <si>
    <t>Miss Rosalind Elaine Tendler</t>
  </si>
  <si>
    <t>new front door fitted, complained about frosted glass, we are looking into replacing.</t>
  </si>
  <si>
    <t>2 Rooms, Kitchen, Bath Flat - ConversionLower ground floor</t>
  </si>
  <si>
    <t>12 months incl work relocation clause</t>
  </si>
  <si>
    <t>41 The Gardens, FF, Flat 4, London SE22 9QG</t>
  </si>
  <si>
    <t>Simak Molavi &amp; Sophie Caranta</t>
  </si>
  <si>
    <t>1 bed / 1 bath, o/p Kit/Liv - Refurb '16First floor</t>
  </si>
  <si>
    <t>184 Peckham Rye, FF - Front, London SE22 9QA</t>
  </si>
  <si>
    <t>Benjamin Foster &amp; Nina Alexandra Zenhäusern</t>
  </si>
  <si>
    <t xml:space="preserve">Passing rent is already high </t>
  </si>
  <si>
    <t>3 Rms, Kitchen, Bath Flat - Conversion Rfb21First floor</t>
  </si>
  <si>
    <t>38 The Gardens, Raised GF, London SE22 9QF</t>
  </si>
  <si>
    <t>Mr Sam Bennett</t>
  </si>
  <si>
    <t xml:space="preserve">Passing rent is low, please let me know what happens when you offer but ideally no movement on this one </t>
  </si>
  <si>
    <t>44 The Gardens, FF, Flat 5,London SE22 9QG</t>
  </si>
  <si>
    <t>Dr James Keedwell</t>
  </si>
  <si>
    <t>3 Rooms, Kitchen, Bath Flat - ConversionFirst floor</t>
  </si>
  <si>
    <t>FLAT 105, Hawkins Ln, Finzels Reach, Bristol,</t>
  </si>
  <si>
    <t>David Britton &amp; Georgina Britton</t>
  </si>
  <si>
    <t>reduced to min</t>
  </si>
  <si>
    <t>24 Tabley St, Kings Dock Mill, Liverpool, L1</t>
  </si>
  <si>
    <t>Samar Abdel-Rahman</t>
  </si>
  <si>
    <t>Apt 98, Kings Dock Mill, Liverpool, L1</t>
  </si>
  <si>
    <t>Riley McMahon &amp; Isabel Piercy</t>
  </si>
  <si>
    <t>Flat 22, Juniper House, Salford, M5</t>
  </si>
  <si>
    <t>Helena Walker and Yasmin Parton Sotomayor</t>
  </si>
  <si>
    <t>2 Bedroom DuplexFurnished</t>
  </si>
  <si>
    <t>1001, Neon House, 207 Chapel St, Salford, M3</t>
  </si>
  <si>
    <t>Andrew Blackburn &amp; Sian Edwards</t>
  </si>
  <si>
    <t>1112, Neon House, 207 Chapel St, Salford, M3</t>
  </si>
  <si>
    <t>Harvey Unsworth &amp; Alice Lister</t>
  </si>
  <si>
    <t xml:space="preserve">N/A     </t>
  </si>
  <si>
    <t>Balcony, WSW1 Bed - TYPE C</t>
  </si>
  <si>
    <t>Flat 2, 49 Vincent Square</t>
  </si>
  <si>
    <t>Sandi Richmond &amp; Klaudia Trzaskoma</t>
  </si>
  <si>
    <t>108, The Headline, Wellington Park Way, Leeds</t>
  </si>
  <si>
    <t>Mok Pui Ling, Wong Sim Hung &amp; Yuet Fung Lee</t>
  </si>
  <si>
    <t>2 Bed, 2 Bath, Type EL1, balcony, South</t>
  </si>
  <si>
    <t>425 The Condor, 1 Springwell Sq</t>
  </si>
  <si>
    <t>Asghar Rahmatipoor &amp; Masoumeh Ahmadi Avini</t>
  </si>
  <si>
    <t>2B4P,2CHigh Street</t>
  </si>
  <si>
    <t>size</t>
  </si>
  <si>
    <t>413 Ambassador Apt, Waterman Wlk, Salford M50</t>
  </si>
  <si>
    <t>Sarah Stewart</t>
  </si>
  <si>
    <t>Apt 612, Abbeville Apts, 37 London Rd, Barkin</t>
  </si>
  <si>
    <t>Reece Ballett and Charlotte Hardy</t>
  </si>
  <si>
    <t>2 Bed, Sixth Floor, Furnished1 Bathrooms</t>
  </si>
  <si>
    <t>108 Aster Apts 822 Seven Sisters Rd London N1</t>
  </si>
  <si>
    <t>Sean Innes and Jamie Hyde Willis</t>
  </si>
  <si>
    <t>605 Aster Apts 822 Seven Sisters Rd London N1</t>
  </si>
  <si>
    <t>Mr Seng Poh Lee, Mr Qingshan Wen</t>
  </si>
  <si>
    <t>2 bedroomSouth East</t>
  </si>
  <si>
    <t>PHA (Rev)</t>
  </si>
  <si>
    <t>Ryan Tucker</t>
  </si>
  <si>
    <t>2, Gibson Court, Paignton, Devon</t>
  </si>
  <si>
    <t>Mrs Dorothy Love</t>
  </si>
  <si>
    <t>Rev</t>
  </si>
  <si>
    <t>PB Flat2 Beds</t>
  </si>
  <si>
    <t>The Copper Works</t>
  </si>
  <si>
    <t>Karen Meek</t>
  </si>
  <si>
    <t>106, 5 Capital Quarter, Tyndall St., Cardiff</t>
  </si>
  <si>
    <t>Daniel Hurley</t>
  </si>
  <si>
    <t>Occ Con</t>
  </si>
  <si>
    <t>1B2P, 2.0West, No Balcony</t>
  </si>
  <si>
    <t>1210, 5 Capital Quarter, Tyndall St., Cardiff</t>
  </si>
  <si>
    <t>Joshua Tano</t>
  </si>
  <si>
    <t>309 North, The Forge, Newcastle, NE1 3AA</t>
  </si>
  <si>
    <t>Shreya Santosh Kumar</t>
  </si>
  <si>
    <t>705 South, The Forge, Newcastle, NE1 3AR</t>
  </si>
  <si>
    <t>Mr D Hordern &amp; Mr G Miranda</t>
  </si>
  <si>
    <t>715 North, The Forge, Newcastle, NE1 3AH</t>
  </si>
  <si>
    <t>Nouf Manea Ahmed Mubarak Rashe Almanea</t>
  </si>
  <si>
    <t>Graduating soon so might be leaving</t>
  </si>
  <si>
    <t>57, New Islington, 43 Chippenham Road, M4 6BY</t>
  </si>
  <si>
    <t>Ellie England &amp; Maura Brown</t>
  </si>
  <si>
    <t>1 Bed Deluxe, 11th Floor, Furnished Canal View, No Balcony</t>
  </si>
  <si>
    <t>110 Mitre Road, London, SE1 8PT</t>
  </si>
  <si>
    <t>Lina Lundmark, Ebba Backlund &amp; Aino Kannas</t>
  </si>
  <si>
    <t>316, 84 Upper Allen St, Sheffield</t>
  </si>
  <si>
    <t>Thuy Khanh Nhu Nguyen &amp; Thanh Quoc Hung Ho</t>
  </si>
  <si>
    <t>129, Brook Place Apts, Sheffield,  S11 8BR</t>
  </si>
  <si>
    <t>Alonzo Arizpe De La Pena</t>
  </si>
  <si>
    <t>FLAT 38, Hawkins Ln, Finzels Reach, Bristol,</t>
  </si>
  <si>
    <t>Joshua Campden-Alexander &amp; Megan Davis</t>
  </si>
  <si>
    <t>poss vacating due to price - reduced to min</t>
  </si>
  <si>
    <t>1303,The Headline, Wellington Park Way, Leeds</t>
  </si>
  <si>
    <t>Harrison Moor</t>
  </si>
  <si>
    <t>1 Bed, 1 Bath, Type AL13,  East</t>
  </si>
  <si>
    <t>426 The Condor, 1 Springwell Sq</t>
  </si>
  <si>
    <t>Yu Wei Wu</t>
  </si>
  <si>
    <t>0B2P,SAHigh Street</t>
  </si>
  <si>
    <t>With AM</t>
  </si>
  <si>
    <t>410, Solstice Apts, Silbury Boulevard</t>
  </si>
  <si>
    <t>Holly Proctor &amp; James Carey</t>
  </si>
  <si>
    <t>4th Flr, no balcony/Tce1 bed-Type 5A</t>
  </si>
  <si>
    <t>reoffered</t>
  </si>
  <si>
    <t>418 Enigma Square,  414 North Row, MK9 2GE</t>
  </si>
  <si>
    <t>Longyin Wang - Ling Kong</t>
  </si>
  <si>
    <t>1B2P, 01D(MJ)South West, Balcony</t>
  </si>
  <si>
    <t>req 6</t>
  </si>
  <si>
    <t>103 Ambassador Apt, Waterman Wlk, Salford M50</t>
  </si>
  <si>
    <t>Carrie Richardson</t>
  </si>
  <si>
    <t>Apt 506, Abbeville Apts, 37 London Rd, Barkin</t>
  </si>
  <si>
    <t>Giacomo Mazza &amp; Angelica Mazza</t>
  </si>
  <si>
    <t>1401 Aster Apts 822 Seven Sisters Rd London N</t>
  </si>
  <si>
    <t>T Ranjan, K Doshi, K N Quang &amp; I G Garrido</t>
  </si>
  <si>
    <t>81 Argo Apts, 4 Silvertown Way,London,E16 1YD</t>
  </si>
  <si>
    <t>2 bed &amp; 2 bath North-West10th floor</t>
  </si>
  <si>
    <t>132 The Condor, 1 Springwell Sq</t>
  </si>
  <si>
    <t>Matthew Wragg &amp; Joe Tailby</t>
  </si>
  <si>
    <t>FLAT 114, Hawkins Ln, Finzels Reach, Bristol,</t>
  </si>
  <si>
    <t>Miss Genna C Hancock &amp; Mr Jack Pankhurst</t>
  </si>
  <si>
    <t>603, Solstice Apts, Silbury Boulevard</t>
  </si>
  <si>
    <t>Sin Yee Shirley Chan</t>
  </si>
  <si>
    <t>6th Flr, Juliette Balcony1 bed-Type 5B</t>
  </si>
  <si>
    <t>3 Newcome Hse, Wellesley, Aldershot, GU11 4BG</t>
  </si>
  <si>
    <t>Ms Joan Wilson</t>
  </si>
  <si>
    <t>7, Kew Bridge Court, London, W4 3AZ</t>
  </si>
  <si>
    <t>Aimee Fuller</t>
  </si>
  <si>
    <t>2 bed 1 bath &amp; small balcony - Refurb 20191st Floor / Rail aspect</t>
  </si>
  <si>
    <t>43 Adlay Apartments, E16 2YG</t>
  </si>
  <si>
    <t>Anshul Pansari &amp; Vrinda Mohta</t>
  </si>
  <si>
    <t>1B2P Balcony6th Floor</t>
  </si>
  <si>
    <t>3Y Shillington Old School</t>
  </si>
  <si>
    <t>Tianyu Wang</t>
  </si>
  <si>
    <t>S/C studio-shared laundry(2nd flr)- Refurb'182nd/3rd</t>
  </si>
  <si>
    <t>6 Newcome Hse, Wellesley, Aldershot, GU11 4BG</t>
  </si>
  <si>
    <t>Mr Paul Franaszek</t>
  </si>
  <si>
    <t>173.43 PER WEEK</t>
  </si>
  <si>
    <t>7 Newcome Hse, Wellesley, Aldershot, GU11 4BG</t>
  </si>
  <si>
    <t>Miss Sarah Rixen and Mr Brian Donlin</t>
  </si>
  <si>
    <t>25 The Gardens, FF, London SE22 9QE</t>
  </si>
  <si>
    <t>Conrad Will, Harry Brannan &amp; Solly Hardwick</t>
  </si>
  <si>
    <t>3 bed/2 bath(1ens), kitch, liv rm - Refurb'19First floor</t>
  </si>
  <si>
    <t>Tilt Non-Core</t>
  </si>
  <si>
    <t>8 Barry Road, FF Front, London SE22 0HU</t>
  </si>
  <si>
    <t>Rowan Mason &amp; Joshua Kwan</t>
  </si>
  <si>
    <t>recent boiler repair, resolved</t>
  </si>
  <si>
    <t>8 Barry Road, Top Flat, London SE22 0HU</t>
  </si>
  <si>
    <t>Bautista, Lape, Chua &amp; Bacalla</t>
  </si>
  <si>
    <t>maintenance issues resolved, leak</t>
  </si>
  <si>
    <t>3 bed, 2 bath, kitchen, living room (TF)Refurb completed 05/06/2023 (6M DLP)</t>
  </si>
  <si>
    <t>10 Barry Road, FF, London SE22 0HU</t>
  </si>
  <si>
    <t>Dan-Ning Cheng, Holly Fox and Zoi-Pigi Lampou</t>
  </si>
  <si>
    <t>previous issues with mice but resolved.</t>
  </si>
  <si>
    <t>4 Rooms, Kitchen, Bath Flat - ConversionFirst floor</t>
  </si>
  <si>
    <t>1 Bradbury Apt, Darbyshire Road, Hampshire, G</t>
  </si>
  <si>
    <t>William Ramires &amp; Lara Chuco</t>
  </si>
  <si>
    <t xml:space="preserve">accepted - 24month </t>
  </si>
  <si>
    <t>322, Solstice Apts, Silbury Boulevard</t>
  </si>
  <si>
    <t>Mrs Pemley Rowe</t>
  </si>
  <si>
    <t>3rd Flr, Juliette Balcony2 bed-Type 7</t>
  </si>
  <si>
    <t>124 The Condor, 1 Springwell Sq</t>
  </si>
  <si>
    <t>Ibrahim Karim &amp; Zeeshan Iqbal</t>
  </si>
  <si>
    <t>Tricomm</t>
  </si>
  <si>
    <t>111, Moyle Park, Trowbridge, BA14 7UF</t>
  </si>
  <si>
    <t>James Breadmore &amp; Roxanne Breadmore</t>
  </si>
  <si>
    <t>5 bed house, recommended OMRV £1500pcm</t>
  </si>
  <si>
    <t>5</t>
  </si>
  <si>
    <t>73, Moyle Park, Trowbridge, BA14 7UF</t>
  </si>
  <si>
    <t>John Smurthwaite &amp; Johanna Smurthwaite</t>
  </si>
  <si>
    <t>4 bed house, recommended OMRV £1400pcm</t>
  </si>
  <si>
    <t>89, Moyle Park, Trowbridge, BA14 7UL</t>
  </si>
  <si>
    <t>Nicholas Lawes &amp; Jessica Ashton</t>
  </si>
  <si>
    <t>Vauxhall Estate</t>
  </si>
  <si>
    <t>Flat 25, Burden House, Thorncroft St, SW8 2BG</t>
  </si>
  <si>
    <t>Ms C Pereira, Mr I Pereira &amp; Mr J Pereira</t>
  </si>
  <si>
    <t xml:space="preserve">Fully refurbished (2015) 3 bed flat, some DMC issues in past but works done to rectify, tnts been in since 2021. flat has not benefitted from major works as in New Burden </t>
  </si>
  <si>
    <t>RENTAL FURNITURE PURCHASED</t>
  </si>
  <si>
    <t>Flat 26, Burden House, Thorncroft St, SW8 2BG</t>
  </si>
  <si>
    <t>D Withanage, C Kerrigan &amp; M Henderson</t>
  </si>
  <si>
    <t>Fully refurbished (2016) 3 bed flat, in good order at last inspection, tnts been in since 2023, flat has not benefitted from major works as in New Burden</t>
  </si>
  <si>
    <t>Flat 32, Burden House, Thorncroft St, SW8 2BG</t>
  </si>
  <si>
    <t>Brendan Hopkins and David Price</t>
  </si>
  <si>
    <t>Fully refurbished (2018) 3 bed flat but can only be used as 2 bed due to not meeting HMO licencing requirements, in good order at last inspection, tnts been in since 2022, flat has not benefitted from major works as in New Burden</t>
  </si>
  <si>
    <t>Flat 2, 51 Vincent Square</t>
  </si>
  <si>
    <t>Mr Sarim Zahid</t>
  </si>
  <si>
    <t>1 bed, living rm, kit &amp; bath - Refurb '18Ground floor</t>
  </si>
  <si>
    <t>Flat 3, 55 Vincent Square</t>
  </si>
  <si>
    <t>Barry Sey Po Ip &amp; Xianhui Che</t>
  </si>
  <si>
    <t>1 bed / 1 bath, liv rm, kitch - PRfb '19First floor</t>
  </si>
  <si>
    <t>81 Mitre Road, London, SE1 8PU</t>
  </si>
  <si>
    <t>Mr Alan Morton-Smith</t>
  </si>
  <si>
    <t xml:space="preserve">Fully refurbished 2015, 2 bed flat, in good order at last inspection, tnts been in since 2015 </t>
  </si>
  <si>
    <t>75 Mitre Road, London, SE1 8PU</t>
  </si>
  <si>
    <t>Jasmine Sidwell &amp; Sejal Dhebri</t>
  </si>
  <si>
    <t>Fully refurbished 2016, 2 bed flat, in good order at last inspection, tnts been in since 2022</t>
  </si>
  <si>
    <t>5B Mitre Road, London, SE1 8PY</t>
  </si>
  <si>
    <t>Muskaan Sethi &amp; Farirai Amanda Togarasei</t>
  </si>
  <si>
    <t>Fully refurbished 2018, 2 bed flat, in good order at last inspection, tnts been in since 2023</t>
  </si>
  <si>
    <t>58B Ufford Street, London, SE1 8QB</t>
  </si>
  <si>
    <t>Nadia lida Ceangau</t>
  </si>
  <si>
    <t>Modernised not but not refurbished 1 bed flat, in good order at last inspection, tnt been in since 2022</t>
  </si>
  <si>
    <t>95 Mitre Road, London, SE1 8PT</t>
  </si>
  <si>
    <t>Mr Mellaerts, Miss Zambrano &amp; Miss Zambrano</t>
  </si>
  <si>
    <t>Modernised but not refurbished 2 bed flat, in good order at last inspection, Mr Mellaerts no longer resident although he agreed to stay on the contract for the past year, however at renewal he should be removed and tnts will most probably serve Notice as likely to be unable to afford the rent increase and will not pass referencing for new shares based on 2 sharers, not 3.</t>
  </si>
  <si>
    <t>6e Mitre Road, London, SE1 8PY</t>
  </si>
  <si>
    <t>Miss Charlotte Dukes</t>
  </si>
  <si>
    <t>Fully refurbished (2016) 1 bed flat, in good order at last inspection, tnt been in since 2021</t>
  </si>
  <si>
    <t>8b Mitre Road, London, SE1 8PY</t>
  </si>
  <si>
    <t>Dr M Vu &amp; Mr J Taj &amp; S H Chung</t>
  </si>
  <si>
    <t xml:space="preserve">Modernised but not refurbised 3 bed flat, lounge recently flooded, leak solved and re-decoration works instructed but will likely raise as reason not to increase rent, </t>
  </si>
  <si>
    <t>7E Webber Street, London, SE1 8PZ</t>
  </si>
  <si>
    <t>H Barraclough, K Taoube, M Pinter</t>
  </si>
  <si>
    <t>Fully refurbished (2016) 3 bed flat, in good order at last inspection, tnts been in since 2020 with various changes of sharer</t>
  </si>
  <si>
    <t>50 Mitre Road, London, SE1 8PX</t>
  </si>
  <si>
    <t>Pooja Radia, Maria Thomas &amp; Lornara  Beckwith</t>
  </si>
  <si>
    <t xml:space="preserve">Modernised but not refurbised 3 bed flat, renewals are never straightforward and usually go up until the last minute, lead tenanti s Pooja Radia and she spent a lot of time negotiating last year and won't usually let other girls deal with anything, hence relationship between 3 girls in strained and will definitely  object to any attempt to increase, will possible result in them serving Notice but if needs to be made very clear that if deadlines are not met this time around, notice will be served, Pooja has been in since 2009 with various changes of sharer </t>
  </si>
  <si>
    <t xml:space="preserve">Please serve S21, we will refurb this unit </t>
  </si>
  <si>
    <t>1 Purl House, 10 Market Street, Newbury</t>
  </si>
  <si>
    <t>Saumya Saumya &amp; Rama Rama</t>
  </si>
  <si>
    <t>2b4p,C.01North, Juliette</t>
  </si>
  <si>
    <t>£1595</t>
  </si>
  <si>
    <t>12 Bamboo House, 11 Market Street, Newbury</t>
  </si>
  <si>
    <t>Benjamin Burrows and Emily Hobbs</t>
  </si>
  <si>
    <t>Believe residents have brough a property so unlikely to renew</t>
  </si>
  <si>
    <t>2b4p,A.12North, No Balcony</t>
  </si>
  <si>
    <t>10 Cable House, 2 Echo Walk, Newbury</t>
  </si>
  <si>
    <t>Grace Xin &amp; Xianyuan Ma</t>
  </si>
  <si>
    <t>412 North, The Forge, Newcastle, NE1 3AA</t>
  </si>
  <si>
    <t>Nayef Alsharshani</t>
  </si>
  <si>
    <t>Might want to move apartment, but not many 1 beds come up</t>
  </si>
  <si>
    <t>1 Bed, 1 Bath, 4F</t>
  </si>
  <si>
    <t>515 North, The Forge, Newcastle, NE1 3AH</t>
  </si>
  <si>
    <t>Hari Patel &amp; Alisha Gadhia</t>
  </si>
  <si>
    <t>805 The Barnum, 23 Queens Road, Nottingham</t>
  </si>
  <si>
    <t>Rana Mohamed</t>
  </si>
  <si>
    <t>1B2P,A12East</t>
  </si>
  <si>
    <t>1601, Neon House, 207 Chapel St, Salford, M3</t>
  </si>
  <si>
    <t>Shun Yu Vince Leung</t>
  </si>
  <si>
    <t xml:space="preserve">N/A      </t>
  </si>
  <si>
    <t>33, 112 The Rock, Bury, BL9</t>
  </si>
  <si>
    <t>Mitchell Ivy</t>
  </si>
  <si>
    <t>1 Bedroom Type 1C4/Balcony</t>
  </si>
  <si>
    <t>23, Ancoats, 2 Butler Street, M4 6BZ</t>
  </si>
  <si>
    <t>Dr Nuruzzaman</t>
  </si>
  <si>
    <t>2 Bed, 4th Floor, FurnishedCity View, No Balcony</t>
  </si>
  <si>
    <t>1107,The Headline, Wellington Park Way, Leeds</t>
  </si>
  <si>
    <t>P Khedekar, A Rajarshi &amp; S Gopale</t>
  </si>
  <si>
    <t>2 Bed, 2 Bath, Type DL11, balcony, West</t>
  </si>
  <si>
    <t>105 Pin Yard, 11 Sweet Street, Leeds</t>
  </si>
  <si>
    <t>Opeyemi Awoyemi and Nicholas Gibb</t>
  </si>
  <si>
    <t>2B4P, 2BSouth, No Balcony</t>
  </si>
  <si>
    <t>424 The Condor, 1 Springwell Sq</t>
  </si>
  <si>
    <t>Scarlet Wright &amp; Thomas Humphries</t>
  </si>
  <si>
    <t>202, Halogen House, 217 Chapel St, Salford, M</t>
  </si>
  <si>
    <t>Ahmed Alnasser &amp; Bashayr Alnamlah</t>
  </si>
  <si>
    <t>DUAL - NNE / ESE2 Bed - Type J</t>
  </si>
  <si>
    <t>502 Ambassador Apt, Waterman Wlk, Salford M50</t>
  </si>
  <si>
    <t>Cecilia Ambwene and Elliott Berning</t>
  </si>
  <si>
    <t>2 BedNew York</t>
  </si>
  <si>
    <t>607, Neon House, 207 Chapel St, Salford, M3 5</t>
  </si>
  <si>
    <t>Mr Elliott, Mr Flores &amp; Miss Withers</t>
  </si>
  <si>
    <t>Dual: SSE/ENE3 Bed - TYPE C</t>
  </si>
  <si>
    <t>612 The Condor, 1 Springwell Sq</t>
  </si>
  <si>
    <t>Chidiebere Thompson Kasim &amp; Oluwakemi Ayegbusi</t>
  </si>
  <si>
    <t>req current - recommended 12 months</t>
  </si>
  <si>
    <t>501 North, The Forge, Newcastle, NE1 3AH</t>
  </si>
  <si>
    <t>Kumushoy Abduraimova</t>
  </si>
  <si>
    <t>513 Assay Apartments, Station View, Guildford</t>
  </si>
  <si>
    <t>Donald Fung, Ashley Morris and Alianna Morris</t>
  </si>
  <si>
    <t>2b4p, 2OEast, Balcony</t>
  </si>
  <si>
    <t>512 Assay Apartments, Station View, Guildford</t>
  </si>
  <si>
    <t>Interact Medical Ltd</t>
  </si>
  <si>
    <t>2b4p, 2MNorth East, Balcony</t>
  </si>
  <si>
    <t>6 Bamboo House, 11 Market Street, Newbury</t>
  </si>
  <si>
    <t>Guy Hannay &amp; Rachel Higgs</t>
  </si>
  <si>
    <t>Residents have advised they are interested in a property closer to the trainstation, so may not renew.</t>
  </si>
  <si>
    <t>2b4p,A.06North East, Juliette</t>
  </si>
  <si>
    <t>accepted - offered long term</t>
  </si>
  <si>
    <t>7 Purl House, 10 Market Street, Newbury</t>
  </si>
  <si>
    <t>Akshe Gupta &amp; Srinath Guhan</t>
  </si>
  <si>
    <t>2b4p,C.06South, Juliette</t>
  </si>
  <si>
    <t xml:space="preserve">internal move enquiry </t>
  </si>
  <si>
    <t>618 Enigma Square,  414 North Row, MK9 2GE</t>
  </si>
  <si>
    <t>Peter Murphy</t>
  </si>
  <si>
    <t xml:space="preserve">will move to cheaper comparable </t>
  </si>
  <si>
    <t>209 Windlass Apartments, 4 Hale Wharf, N17</t>
  </si>
  <si>
    <t>Harshal Deepakkumar Jain &amp; Paridhi Jain</t>
  </si>
  <si>
    <t>2 Bed 4P, Type 2OSingle-Canal, W, Balcony/Medium</t>
  </si>
  <si>
    <t>304 Windlass Apartments, 4 Hale Wharf, N17</t>
  </si>
  <si>
    <t>Miss Asha Hoyte and Miss Jadyn Hoyte</t>
  </si>
  <si>
    <t>2 Bed 4P, Type 2ISingle-Nature Park, E, Balcony/Medium</t>
  </si>
  <si>
    <t>605 Windlass Apartments, 4 Hale Wharf, N17</t>
  </si>
  <si>
    <t>Shaddy Ahmed and Madeleine Georgopoulou</t>
  </si>
  <si>
    <t>1 Bed 2P, Type 1BSingle-Wetlands, E, Balcony/Small</t>
  </si>
  <si>
    <t>809 Windlass Apartments, 4 Hale Wharf, N17</t>
  </si>
  <si>
    <t>Jake &amp; Oliver Hurd</t>
  </si>
  <si>
    <t>904 Windlass Apartments, 4 Hale Wharf, N17</t>
  </si>
  <si>
    <t>Mariia Bychkoska &amp; Vladyslav Darahan</t>
  </si>
  <si>
    <t>2 Bed 4P, Type 2ISingle-Wetlands, E, Balcony/Medium</t>
  </si>
  <si>
    <t>906 Windlass Apartments, 4 Hale Wharf, N17</t>
  </si>
  <si>
    <t>Amy Smith, Harriet Clark &amp; Saskia Roberts</t>
  </si>
  <si>
    <t>3 Bed 6P, Type 3ATripleW'land/R Lea/Canal, S/E, Terrace/Large</t>
  </si>
  <si>
    <t>Flat 19, Thorold House, Pepper St, SE1 0EL</t>
  </si>
  <si>
    <t>Christopher Bowe &amp;  Hugh Watkinson</t>
  </si>
  <si>
    <t>Refurb in 2014 - No issues noted - happy to renew</t>
  </si>
  <si>
    <t>Flat 10, Hoadly House, Union Street, SE1 0LB</t>
  </si>
  <si>
    <t>Antonio Davide Cali</t>
  </si>
  <si>
    <t>Refurbished condition - no issues noted - hapy to renew</t>
  </si>
  <si>
    <t>Flat 4, Farnham House, Union Street, SE1 0LD</t>
  </si>
  <si>
    <t>Valentine, Leal &amp; Dhamodharan</t>
  </si>
  <si>
    <t>421 The Barnum, 23 Queens Road, Nottingham</t>
  </si>
  <si>
    <t>Mina Ahmed</t>
  </si>
  <si>
    <t>23, 110 The Rock, Bury, BL9</t>
  </si>
  <si>
    <t>Wai Nang Chin &amp; Yuk King Lee</t>
  </si>
  <si>
    <t>2 Bedroom Type 2B4/No Balcony</t>
  </si>
  <si>
    <t>601 Windlass Apartments, 4 Hale Wharf, N17</t>
  </si>
  <si>
    <t>Mr Filippo Marazzi &amp; Ms Cloé Bortolotto</t>
  </si>
  <si>
    <t>2 Bed 3P, Type 2BDual-Canal/Wetlands, N/W, Balcony/Medium</t>
  </si>
  <si>
    <t>Apt 160, Kings Dock Mill, Liverpool, L1</t>
  </si>
  <si>
    <t>Nina Carcenac &amp; Federico Marceddu</t>
  </si>
  <si>
    <t>Apt 32, Kings Dock Mill, Liverpool, L1</t>
  </si>
  <si>
    <t>Caitlin O'Connor</t>
  </si>
  <si>
    <t>427 The Condor, 1 Springwell Sq</t>
  </si>
  <si>
    <t>Lexus Page &amp; Abigail Frost</t>
  </si>
  <si>
    <r>
      <t xml:space="preserve">Will need a financial check re doing, financial situation has changed, and have previously had arrears, finance have agreed this. If all is okay, happy to renew </t>
    </r>
    <r>
      <rPr>
        <b/>
        <sz val="9"/>
        <rFont val="Aptos Narrow"/>
        <family val="2"/>
      </rPr>
      <t xml:space="preserve">- Check with Sean before offering </t>
    </r>
  </si>
  <si>
    <t>0B2P,SDHigh Street</t>
  </si>
  <si>
    <t xml:space="preserve">Denied </t>
  </si>
  <si>
    <t>Do not offer renewal</t>
  </si>
  <si>
    <t>302 Pin Yard, 11 Sweet Street, Leeds</t>
  </si>
  <si>
    <t>Henry Brambles</t>
  </si>
  <si>
    <t>101 Pin Yard, 11 Sweet Street, Leeds</t>
  </si>
  <si>
    <t>Oliver Allen and Larissa Cremins</t>
  </si>
  <si>
    <t>139, Gilders Yard, 14 Great Hampton St Birm</t>
  </si>
  <si>
    <t>Jarkko Tormanen &amp; Angelo Tapiglia</t>
  </si>
  <si>
    <t>35, New Islington, 43 Chippenham Road, M4 6BY</t>
  </si>
  <si>
    <t>Laura Debnam &amp; Megan King</t>
  </si>
  <si>
    <t>2 Bed, 7th Floor, FurnishedEtihad View, No Balcony</t>
  </si>
  <si>
    <t>35 Argo Apts, 4 Silvertown Way,London,E16 1ED</t>
  </si>
  <si>
    <t>Owen Buchan and Harry Sivills</t>
  </si>
  <si>
    <t>They will complaing about Virgin TV since the change over from Glide and will challenge any increase.</t>
  </si>
  <si>
    <t>2 bed &amp; 2 bath East Right5th floor</t>
  </si>
  <si>
    <t>210 Pin Yard, 11 Sweet Street, Leeds</t>
  </si>
  <si>
    <t>Nathan Fletcher</t>
  </si>
  <si>
    <t>FLAT 31, Hawkins Ln, Finzels Reach, Bristol,</t>
  </si>
  <si>
    <t>Matthew Uppington &amp; Natalie Palmer</t>
  </si>
  <si>
    <t>EX 12 Ability Plaza, 310 Kingsland Rd, Lon E8</t>
  </si>
  <si>
    <t>Sajani Sagar &amp; Alice Thomson</t>
  </si>
  <si>
    <t>S/C 1 bed/1 bath, o/p kit/liv, balc-Rfrb 2015SF</t>
  </si>
  <si>
    <t>Flat 1a, 6 Berry Street</t>
  </si>
  <si>
    <t>Yunhao Yao</t>
  </si>
  <si>
    <t>AM tbc re: renewal offer or not / strategy.  flat is needs full redecs but rest is in average condition. no known issues.</t>
  </si>
  <si>
    <t>Studio flat w/kit, bath, Rfb'15GFF</t>
  </si>
  <si>
    <t>16, Temple Dwellings, London, E26QG</t>
  </si>
  <si>
    <t>Charlie Schofield &amp; Ankita Negi</t>
  </si>
  <si>
    <t>1 bed/1 bath, kitchen, living rm - PRefurb'18SF</t>
  </si>
  <si>
    <t>Flat48,Churston Cl,162-164 Tulse Hill,SW2 3BX</t>
  </si>
  <si>
    <t>Emma Ganne and Noah Bailis</t>
  </si>
  <si>
    <t>1 bed/1 bath(shower),o/p kit/liv - Refurb '18FF</t>
  </si>
  <si>
    <t>107, Gilders Yard, 14 Great Hampton St Birm</t>
  </si>
  <si>
    <t>Deborah Ekpu and Kareem Elriedy</t>
  </si>
  <si>
    <t>Flat 47 Springfield House, Tyssen Street, Lon</t>
  </si>
  <si>
    <t>Emily Goggin &amp; Isabella Webster</t>
  </si>
  <si>
    <t>S/C 2 bed/1 bath flat, kitchen, living rmSF ( Refurb Com 11/08/2023 6M DLP)</t>
  </si>
  <si>
    <t>26 Bradbury Apt, Darbyshire Road, Hampshire,</t>
  </si>
  <si>
    <t>Mr Nathan Gardener</t>
  </si>
  <si>
    <t>1 Bed Flat4th Floor</t>
  </si>
  <si>
    <r>
      <rPr>
        <sz val="9"/>
        <color rgb="FF000000"/>
        <rFont val="Aptos Narrow"/>
        <family val="2"/>
      </rPr>
      <t xml:space="preserve">disputng increase due to leak. </t>
    </r>
    <r>
      <rPr>
        <b/>
        <sz val="9"/>
        <color rgb="FF000000"/>
        <rFont val="Aptos Narrow"/>
        <family val="2"/>
      </rPr>
      <t>with AM</t>
    </r>
  </si>
  <si>
    <t>112 The Condor, 1 Springwell Sq</t>
  </si>
  <si>
    <t>Natasha Hinch</t>
  </si>
  <si>
    <t>114 The Condor, 1 Springwell Sq</t>
  </si>
  <si>
    <t>Taimoor Ahmad &amp; Sawera Malik</t>
  </si>
  <si>
    <t>131 The Condor, 1 Springwell Sq</t>
  </si>
  <si>
    <t>Edward Allport</t>
  </si>
  <si>
    <t>701 Assay Apartments, Station View, Guildford</t>
  </si>
  <si>
    <t>Aljawharah Alangari &amp; Aljowharah Binibrahim</t>
  </si>
  <si>
    <t>412 Assay Apartments, Station View, Guildford</t>
  </si>
  <si>
    <t>Tung Yau David Lau &amp; Matthew Lewis Clayton</t>
  </si>
  <si>
    <t>2b4p, 2ANorth West, Balcony</t>
  </si>
  <si>
    <t>Flat 19, Agate Mews, Block D, Salford, M5</t>
  </si>
  <si>
    <t>Chloe Isherwood</t>
  </si>
  <si>
    <t>1 BedroomFF with white goods - Aug 23</t>
  </si>
  <si>
    <t>Flat 9, Poplar House, Salford, M5</t>
  </si>
  <si>
    <t>Mr Annadurai &amp; Mrs Meganathan</t>
  </si>
  <si>
    <t>2 Bedroom Duplex (previous FF moved)Fully furnished with white goods - Aug 22</t>
  </si>
  <si>
    <t>306, Neon House, 207 Chapel St, Salford, M3 5</t>
  </si>
  <si>
    <t>Krysten Blackstone</t>
  </si>
  <si>
    <t>NNW1 Bed - TYPE E</t>
  </si>
  <si>
    <t>1, 112 The Rock, Bury, BL9</t>
  </si>
  <si>
    <t>Oliver Clifford &amp; Alexandra Bagnall</t>
  </si>
  <si>
    <t>2 Bedroom Type 2A1/Balcony</t>
  </si>
  <si>
    <t>50 The Gardens, FFR,Flat 5, London SE22 9QQ</t>
  </si>
  <si>
    <t>Maisie Geraldine Pease</t>
  </si>
  <si>
    <t>7C Webber Street, London, SE1 8PZ</t>
  </si>
  <si>
    <t>G. Steinmetz, A Kollmar, EJ Browne</t>
  </si>
  <si>
    <t xml:space="preserve">Modernised but not refurbished 3 bed flat, in good order at last inspection, tnts been in since 2022 with COS </t>
  </si>
  <si>
    <t>719 The Condor, 1 Springwell Sq</t>
  </si>
  <si>
    <t>Sean Skidmore</t>
  </si>
  <si>
    <t>to send for signing work relocaiton</t>
  </si>
  <si>
    <t>811, Neon House, 207 Chapel St, Salford, M3 5</t>
  </si>
  <si>
    <t>Ching Lin Chan</t>
  </si>
  <si>
    <t>WSW1 Bed - TYPE C</t>
  </si>
  <si>
    <t>402, Brook Place Apts, Sheffield,  S11 8BS</t>
  </si>
  <si>
    <t>Rachel Nga Chun Ho</t>
  </si>
  <si>
    <t>1311,The Headline, Wellington Park Way, Leeds</t>
  </si>
  <si>
    <t>Erin Threlfall &amp; Charlotte Crombie</t>
  </si>
  <si>
    <t>2 Bed, 2 Bath, Type CL13, balcony, West</t>
  </si>
  <si>
    <t>105, The Headline, Wellington Park Way, Leeds</t>
  </si>
  <si>
    <t>Kathy Tong &amp; Pei Hsuan Yu</t>
  </si>
  <si>
    <t>2 Bed, 2 Bath, Type DL1, balcony, East</t>
  </si>
  <si>
    <t>121, Brook Place Apts, Sheffield,  S11 8BR</t>
  </si>
  <si>
    <t>Lukasz Ceglarski &amp; Joao Craveiro</t>
  </si>
  <si>
    <t>205, 84 Upper Allen St, Sheffield</t>
  </si>
  <si>
    <t>Deborah Green</t>
  </si>
  <si>
    <t>25 Cable House, 2 Echo Walk, Newbury</t>
  </si>
  <si>
    <t>Eshiet Solomon</t>
  </si>
  <si>
    <t>In neg</t>
  </si>
  <si>
    <t>to be re-ref &amp; req decrease</t>
  </si>
  <si>
    <t>304, Neon House, 207 Chapel St, Salford, M3 5</t>
  </si>
  <si>
    <t>R Shah, D Naik, P Gaikwad &amp; U Chauhan</t>
  </si>
  <si>
    <t>501 Ambassador Apt, Waterman Wlk, Salford M50</t>
  </si>
  <si>
    <t>Adam Barber &amp; Louis Rhone</t>
  </si>
  <si>
    <t>315 Ambassador Apt, Waterman Wlk, Salford M50</t>
  </si>
  <si>
    <t>Mariam Sam Kunniparampil &amp; Akshat Chourasia</t>
  </si>
  <si>
    <t>1009, Neon House, 207 Chapel St, Salford, M3</t>
  </si>
  <si>
    <t>Nadim Khalique &amp; Javaed Khalique</t>
  </si>
  <si>
    <t>201 Torrens Apt, Waterman Wlk, Salford M50</t>
  </si>
  <si>
    <t>Alice Levitt &amp; Rhoda Wura Adegbuyi</t>
  </si>
  <si>
    <t>307 Tayleur Apt , Waterman Wlk, Salford M50</t>
  </si>
  <si>
    <t>Andrea Torrealba</t>
  </si>
  <si>
    <t>608, Halogen House, 217 Chapel St, Salford, M</t>
  </si>
  <si>
    <t>Yixuan Zheng &amp; Yuetong Wang</t>
  </si>
  <si>
    <t>801, Halogen House, 217 Chapel St, Salford, M</t>
  </si>
  <si>
    <t>Harris Ali &amp; Aaman Hassan Shah</t>
  </si>
  <si>
    <t>1801 Aster Apts 822 Seven Sisters Rd London N</t>
  </si>
  <si>
    <t>P Airon, A Das &amp; K A Liljequist</t>
  </si>
  <si>
    <t>101 Aster Apts 822 Seven Sisters Rd London N1</t>
  </si>
  <si>
    <t>Mr Rodriguez, Mr Thomas, Ms Qiu</t>
  </si>
  <si>
    <t>501 Aster Apts 822 Seven Sisters Rd London N1</t>
  </si>
  <si>
    <t>Luke Elliot, Damien Lynch &amp; Cal Elliott</t>
  </si>
  <si>
    <t>14 Argo Apts, 4 Silvertown Way,London,E16 1ED</t>
  </si>
  <si>
    <t>Advait Abhay Vaidya &amp; Shaun Homiar Poonawala</t>
  </si>
  <si>
    <t>2 bed &amp; 2 bath East Left3rd floor</t>
  </si>
  <si>
    <t>36 Argo Apts, 4 Silvertown Way,London,E16 1ED</t>
  </si>
  <si>
    <t>Chi Cheung &amp; Sui Chang</t>
  </si>
  <si>
    <t>2 bed &amp; 2 bath South-West6th floor</t>
  </si>
  <si>
    <t>27 Adlay Apartments, E16 2YG</t>
  </si>
  <si>
    <t>M Stennett, D Slepikaite &amp; A Singh</t>
  </si>
  <si>
    <t>3B6P Balcony (ensuite)4th Floor</t>
  </si>
  <si>
    <t>62 Adlay Apartments, E16 2YG</t>
  </si>
  <si>
    <t>Samuel Ojogbede, Ozazee D Noruwa,Rukewe Oteri</t>
  </si>
  <si>
    <t>3B6P Balcony (ensuite)10th Floor</t>
  </si>
  <si>
    <t>Flat 62 Springfield House, Tyssen Street, Lon</t>
  </si>
  <si>
    <t>K Wombwell, N Mann, A Wright, J Walsh</t>
  </si>
  <si>
    <t>3 bed/2 bath(1 ens),kitch,liv - Refurb '174F</t>
  </si>
  <si>
    <t>146, Gilders Yard, 14 Great Hampton St Birm</t>
  </si>
  <si>
    <t>Holly Calnan &amp; Joe Clarke</t>
  </si>
  <si>
    <t>Yes renew but had major leak in roof that required them not use 2nd bedroom for one month- compensated £330</t>
  </si>
  <si>
    <t>2B4P, Block D Type CCourtyard, No Balcony</t>
  </si>
  <si>
    <t>105 The Condor, 1 Springwell Sq</t>
  </si>
  <si>
    <t>Ashley Samuriwo</t>
  </si>
  <si>
    <t>116 The Condor, 1 Springwell Sq</t>
  </si>
  <si>
    <t>Daniela Viramontes Horner</t>
  </si>
  <si>
    <t>409 The Condor, 1 Springwell Sq</t>
  </si>
  <si>
    <t>Eric Rosero &amp; Allan Rosero</t>
  </si>
  <si>
    <t>703 The Condor, 1 Springwell Sq</t>
  </si>
  <si>
    <t>Jennifer Varga</t>
  </si>
  <si>
    <t>113 North, The Forge, Newcastle, NE1 3AA</t>
  </si>
  <si>
    <t>Mubarak Alanezi</t>
  </si>
  <si>
    <t>1 Bed, 1 Bath, Courtyard access, 1F</t>
  </si>
  <si>
    <t>314 West, The Forge, Newcastle, NE1 3AJ</t>
  </si>
  <si>
    <t>Andrew Duncan &amp; Sara Hergottova</t>
  </si>
  <si>
    <t>501 South, The Forge, Newcastle, NE1 3AR</t>
  </si>
  <si>
    <t>Jordan Williamson &amp; Finlay Empson</t>
  </si>
  <si>
    <t>2 Bedroom, 2 Bath, 5th Floor, Balcony</t>
  </si>
  <si>
    <t>607 Assay Apartments, Station View, Guildford</t>
  </si>
  <si>
    <t>Efekan Orsel</t>
  </si>
  <si>
    <t xml:space="preserve"> 2b4p, 2PNorth, Balcony</t>
  </si>
  <si>
    <t>415 Assay Apartments, Station View, Guildford</t>
  </si>
  <si>
    <t>Meiyi Yin &amp; Meiqi Yin</t>
  </si>
  <si>
    <t>2b4p, 2KEast, Balcony</t>
  </si>
  <si>
    <t>714 The Condor, 1 Springwell Sq</t>
  </si>
  <si>
    <t>Kam Yiu Victor Chan &amp; Huanhuan Deng</t>
  </si>
  <si>
    <t>2B4P,2CSide Street</t>
  </si>
  <si>
    <t>req periodic &amp; current</t>
  </si>
  <si>
    <t>402 Assay Apartments, Station View, Guildford</t>
  </si>
  <si>
    <t>Wai Man Ng and Shuk Yee Cindy Leung</t>
  </si>
  <si>
    <t>2b4p, 2JSouth East, Balcony</t>
  </si>
  <si>
    <t>128 The Barnum ,23 Queens Road, Nottingham</t>
  </si>
  <si>
    <t>Anjana Prasanna</t>
  </si>
  <si>
    <t>CH</t>
  </si>
  <si>
    <t>131 The Barnum, 23 Queens Road, Nottingham</t>
  </si>
  <si>
    <t>Solomon Ogagarue</t>
  </si>
  <si>
    <t>1B2P,A1aSouth</t>
  </si>
  <si>
    <t>302 The Barnum, 23 Queens Road, Nottingham</t>
  </si>
  <si>
    <t>Anwar Muhsain</t>
  </si>
  <si>
    <t>Apt 89, Kings Dock Mill, Liverpool, L1</t>
  </si>
  <si>
    <t>Isabella Akers &amp; Florence Delo</t>
  </si>
  <si>
    <t>Flat K, Oakleigh House, Sale, M33</t>
  </si>
  <si>
    <t>Pavlo Samborskyi &amp; Olesia Karpenko-Samborska</t>
  </si>
  <si>
    <t>2 Bedroom, box room, 1 bathroom, 2nd floorUnfurnished</t>
  </si>
  <si>
    <t>Flat 9,Dominic Court,43 The Gardens, SE22 9QR</t>
  </si>
  <si>
    <t>Federico Ghezzi</t>
  </si>
  <si>
    <t>no known maintenance issues, suspect smoking in flat, dont push renewal</t>
  </si>
  <si>
    <t>1 bed / 1 bath, kitch, liv rm - P Refurb '18First floor</t>
  </si>
  <si>
    <t>912, Neon House, 207 Chapel St, Salford, M3 5</t>
  </si>
  <si>
    <t>Waner Zhao</t>
  </si>
  <si>
    <t>25, Ancoats, 2 Butler Street, M4 6BZ</t>
  </si>
  <si>
    <t>Revathi Rajeswari &amp; Lal Krishna Surendran</t>
  </si>
  <si>
    <t>Flat 22, Wilbraham Hse, Wandsworth Rd,SW8 2XD</t>
  </si>
  <si>
    <t>Mark Galperin &amp; Anderson Fulane</t>
  </si>
  <si>
    <t>Fully refurbished (2022) 2 bed flat, in good order at last inspection, tnts been in since 2023, flat has benefitted from all new windows and balcony doors during major works, tnts did approach me about renewal options so may or may not renew</t>
  </si>
  <si>
    <t>2 bedroom, living room, kitchen, bathroomRefurbishment completed 17/01/2023 (6M DLP)</t>
  </si>
  <si>
    <t>2 Purl House, 10 Market Street, Newbury</t>
  </si>
  <si>
    <t>Rajeshkumar Dindukurthi &amp; Himaja Sogasani</t>
  </si>
  <si>
    <t>2b4p,C.02North East, Juliette</t>
  </si>
  <si>
    <t>bigger house</t>
  </si>
  <si>
    <t>102 Windlass Apartments, 4 Hale Wharf, N17</t>
  </si>
  <si>
    <t>Ms Jingtong Jin, Miss Szu-Chia Huang</t>
  </si>
  <si>
    <t>504 Windlass Apartments, 4 Hale Wharf, N17</t>
  </si>
  <si>
    <t>Ms Xiaoyan Guo, Miss Xishan Jiang</t>
  </si>
  <si>
    <t>2 Bed 4P, Type 2JSingle-Wetlands, E, Balcony/Medium</t>
  </si>
  <si>
    <t>610, 84 Upper Allen St, Sheffield</t>
  </si>
  <si>
    <t>Minxuan He &amp; Chi Chung Kelvin Man</t>
  </si>
  <si>
    <t>410, 84 Upper Allen St, Sheffield</t>
  </si>
  <si>
    <t>Ayesha Sana</t>
  </si>
  <si>
    <t>85, Gilders Yard, 14 Great Hampton St, Birm</t>
  </si>
  <si>
    <t>Ayesha Bibi &amp; Sanaz Hajiaghazadeh</t>
  </si>
  <si>
    <t xml:space="preserve">cos </t>
  </si>
  <si>
    <t xml:space="preserve">added to refs </t>
  </si>
  <si>
    <t>312 The Barnum, 23 Queens Road, Nottingham</t>
  </si>
  <si>
    <t>Monika Parus and Andrzej Przybylski</t>
  </si>
  <si>
    <t>327 The Barnum, 23 Queens Road, Nottingham</t>
  </si>
  <si>
    <t>Hawraa Alzaqqah</t>
  </si>
  <si>
    <t>403 The Barnum, 23 Queens Road, Nottingham</t>
  </si>
  <si>
    <t>Rachael Young</t>
  </si>
  <si>
    <t>1B2P,A1West</t>
  </si>
  <si>
    <t>410 The Barnum, 23 Queens Road, Nottingham</t>
  </si>
  <si>
    <t>Scott Robertson</t>
  </si>
  <si>
    <t>412 The Barnum, 23 Queens Road, Nottingham</t>
  </si>
  <si>
    <t>Ahmed Benrewin and Emma Indewa</t>
  </si>
  <si>
    <t>416 The Barnum, 23 Queens Road, Nottingham</t>
  </si>
  <si>
    <t>Lokeshwari Kumar and Rajat Goyal</t>
  </si>
  <si>
    <t>426 The Barnum, 23 Queens Road, Nottingham</t>
  </si>
  <si>
    <t>Thomas and Christine Daly</t>
  </si>
  <si>
    <t>2B4PB1North</t>
  </si>
  <si>
    <t>428 The Barnum, 23 Queens Road, Nottingham</t>
  </si>
  <si>
    <t>Leuan King</t>
  </si>
  <si>
    <t>436 The Barnum, 23 Queens Road, Nottingham</t>
  </si>
  <si>
    <t>Soheil nematollahi</t>
  </si>
  <si>
    <t>439 The Barnum, 23 Queens Road, Nottingham</t>
  </si>
  <si>
    <t>Matthew Gregory</t>
  </si>
  <si>
    <t>2B4P,B4bSouth</t>
  </si>
  <si>
    <t>509 The Barnum, 23 Queens Road, Nottingham</t>
  </si>
  <si>
    <t>Yu Shi Tsai and Jung-Wei Lai</t>
  </si>
  <si>
    <t>2B4P,B2North East</t>
  </si>
  <si>
    <t>725 The Barnum, 23 Queens Road, Nottingham</t>
  </si>
  <si>
    <t>Charlie Alen</t>
  </si>
  <si>
    <t>1B2P,A4South</t>
  </si>
  <si>
    <t>832 The Barnum, 23 Queens Road, Nottingham</t>
  </si>
  <si>
    <t>Alexus McNally</t>
  </si>
  <si>
    <t>2B4P,B5North West</t>
  </si>
  <si>
    <t>834 The Barnum, 23 Queens Road, Nottingham</t>
  </si>
  <si>
    <t>Aron Pendenque</t>
  </si>
  <si>
    <t>2B4P,B15South</t>
  </si>
  <si>
    <t>835 The Barnum, 23 Queens Road, Nottingham</t>
  </si>
  <si>
    <t>John Parker</t>
  </si>
  <si>
    <t>1B2P,A5South</t>
  </si>
  <si>
    <t>902 The Barnum, 23 Queens Road, Nottingham</t>
  </si>
  <si>
    <t>Samuel Evans</t>
  </si>
  <si>
    <t>1B2P,A10South</t>
  </si>
  <si>
    <t>904 The Barnum, 23 Queens Road, Nottingham</t>
  </si>
  <si>
    <t>Sambhu Vasudev Sasikumar and Devna Subramani</t>
  </si>
  <si>
    <t>2B4P,B11North East</t>
  </si>
  <si>
    <t>910 The Barnum, 23 Queens Road, Nottingham</t>
  </si>
  <si>
    <t>Sicheng Zeng</t>
  </si>
  <si>
    <t>913 The Barnum, 23 Queens Road, Nottingham</t>
  </si>
  <si>
    <t>Daniel Adamson and Jieun Kang</t>
  </si>
  <si>
    <t>3B5P,C2North</t>
  </si>
  <si>
    <t>M02 The Barnum, 23 Queens Road, Nottingham</t>
  </si>
  <si>
    <t>Yousef Alaqra &amp; Ibrahim Rabi</t>
  </si>
  <si>
    <t>M10 The Barnum, 23 Queens Road, Nottingham</t>
  </si>
  <si>
    <t>Denicia Byer</t>
  </si>
  <si>
    <t>1B2P,A1aNorth</t>
  </si>
  <si>
    <t>M20 The Barnum, 23 Queens Road, Nottingham</t>
  </si>
  <si>
    <t>Adeel Ur Rehman Kandaan &amp; Kinza Javed Mirza</t>
  </si>
  <si>
    <t>2B4P,B1aNorth</t>
  </si>
  <si>
    <t>110 The Condor, 1 Springwell Sq</t>
  </si>
  <si>
    <t>Daisy Woodcock</t>
  </si>
  <si>
    <t>1003,The Headline, Wellington Park Way, Leeds</t>
  </si>
  <si>
    <t>Isobel McDermott</t>
  </si>
  <si>
    <t>1 Bed, 1 Bath, Type AL10,  East</t>
  </si>
  <si>
    <t>208 Ambassador Apt, Waterman Wlk, Salford M50</t>
  </si>
  <si>
    <t>S.Spencer, J Fallon, C Hoinville</t>
  </si>
  <si>
    <t>23 Cable House, 2 Echo Walk, Newbury</t>
  </si>
  <si>
    <t>Tsz Ying Ng and Michael Chun Kit Shiu</t>
  </si>
  <si>
    <t>12 month only</t>
  </si>
  <si>
    <t>204 Tayleur Apt , Waterman Wlk, Salford M50</t>
  </si>
  <si>
    <t>C. Barrett, A Sangha &amp; G Taylor</t>
  </si>
  <si>
    <t>3 BedJakarta</t>
  </si>
  <si>
    <t>FLAT 107, Hawkins Ln, Finzels Reach, Bristol,</t>
  </si>
  <si>
    <t>Yanyu Liu</t>
  </si>
  <si>
    <t>cos enquiry: sent forms</t>
  </si>
  <si>
    <t>1004, Lamp House, 215 Chapel St, Salford, M3</t>
  </si>
  <si>
    <t>Khushbu Morar and Janet Ahmed</t>
  </si>
  <si>
    <t>607 Syren Apt , Ottinger Close, Salford M50</t>
  </si>
  <si>
    <t>Nikhil Paradkar and Karishma Karishma</t>
  </si>
  <si>
    <t>1013 Tayleur Apt , Waterman Wlk, Salford M50</t>
  </si>
  <si>
    <t>Abbi Crawford and Connell O'Brien</t>
  </si>
  <si>
    <t>FLAT 50 Georges Whrf Finzels Reach Bristol BS</t>
  </si>
  <si>
    <t>Simon and Thomas Finch</t>
  </si>
  <si>
    <t>2 Bed ApartmentEast Tucker Street, 5th Floor</t>
  </si>
  <si>
    <t>503, Halogen House, 217 Chapel St, Salford, M</t>
  </si>
  <si>
    <t>Rebecca Sharp and Cindy D'Mello</t>
  </si>
  <si>
    <t>308 Syren Apt , Ottinger Close, Salford M50</t>
  </si>
  <si>
    <t>Charlie Stradling and Amber Amor</t>
  </si>
  <si>
    <t>515 Ambassador Apt, Waterman Wlk, Salford M50</t>
  </si>
  <si>
    <t>Bukola Rachel Kola-Busari &amp; Jennifer Igberae</t>
  </si>
  <si>
    <t>306 Torrens Apt, Waterman Wlk, Salford M50</t>
  </si>
  <si>
    <t>Karina Krasauskaite and Natala Waleczek</t>
  </si>
  <si>
    <t>707 Enigma Square,  414 North Row, MK9 2FU</t>
  </si>
  <si>
    <t>Prajakta Pradeep Desai</t>
  </si>
  <si>
    <t xml:space="preserve">Short term </t>
  </si>
  <si>
    <t>312, Neon House, 207 Chapel St, Salford, M3 5</t>
  </si>
  <si>
    <t>M Vianna, D Albuquerque &amp; M Trotta</t>
  </si>
  <si>
    <t xml:space="preserve">n/a - but did have to rehouse them for their first month due to prev tenant bed bugs </t>
  </si>
  <si>
    <t>509, Halogen House, 217 Chapel St, Salford, M</t>
  </si>
  <si>
    <t>Rebecca Lord and Michael McCullough</t>
  </si>
  <si>
    <t>408, Halogen House, 217 Chapel St, Salford, M</t>
  </si>
  <si>
    <t>Miss Caitlin Wilson &amp; Mr Jake Oliver Lanning</t>
  </si>
  <si>
    <t>Apt 210, Abbeville Apts, 37 London Rd, Barkin</t>
  </si>
  <si>
    <t>Sateesh Mani and Gayathri Raman</t>
  </si>
  <si>
    <t>2 Bed, Second Floor, Furnished1 Bathrooms</t>
  </si>
  <si>
    <t>Apt 317, Abbeville Apts, 37 London Rd, Barkin</t>
  </si>
  <si>
    <t>Eoin Mullan, Felix Price &amp; Ewan Orton</t>
  </si>
  <si>
    <t>3 Bed, Third Floor, Furnished2 Bathrooms</t>
  </si>
  <si>
    <t>601 Aster Apts 822 Seven Sisters Rd London N1</t>
  </si>
  <si>
    <t>P Soni, N N Kumar &amp; M Muralidhar</t>
  </si>
  <si>
    <t>26 Argo Apts, 4 Silvertown Way,London,E16 1ED</t>
  </si>
  <si>
    <t>Allan Souza, Merlyn Souza &amp; Jenny Thomas</t>
  </si>
  <si>
    <t>2 bed &amp; 2 bath South-West5th floor</t>
  </si>
  <si>
    <t>115 Argo Apts,4 Silvertown Way,London,E16 1YD</t>
  </si>
  <si>
    <t>Ms Ziyi Chen, Ms Yue Zhao</t>
  </si>
  <si>
    <t>2 bed &amp; 2 bath East Right13th floor</t>
  </si>
  <si>
    <t>121 Argo Apts,4 Silvertown Way,London,E16 1YD</t>
  </si>
  <si>
    <t>Raeesa A G Ossman &amp; Muhammad Y A G Ossman</t>
  </si>
  <si>
    <t xml:space="preserve">Nice residents, but please note everyone has a wahts app chat in Argo and will check all other renewal prices etc. </t>
  </si>
  <si>
    <t>2 bed &amp; 2 bath North-West14th floor</t>
  </si>
  <si>
    <t>6 Theobald House, Carey Lane, Waterlooville P</t>
  </si>
  <si>
    <t>Mr Adam Yarnold</t>
  </si>
  <si>
    <t>1st Floor1 Bed  2 Person</t>
  </si>
  <si>
    <t>4, Temple Dwellings, London, E2 6QG</t>
  </si>
  <si>
    <t>Kevin Ishimwe &amp; Zoi Eleni Eskitzopoulou</t>
  </si>
  <si>
    <t>1 bed/1 bath, kitch, living rm - P Refurb '18Raised ground floor</t>
  </si>
  <si>
    <t>1, Bishopscourt, 6, Radcliffe Road, Surrey</t>
  </si>
  <si>
    <t>Miss Juliana Akor</t>
  </si>
  <si>
    <t xml:space="preserve">Passing rent is low here so increase will be substantial </t>
  </si>
  <si>
    <t>Flat 7 Eagle House, Eagle Wharf Road, London,</t>
  </si>
  <si>
    <t>Connell Stewart &amp; Simon Williamson</t>
  </si>
  <si>
    <t xml:space="preserve">flat in fair condition. nice large unit but funny bedrooms. no known issues. </t>
  </si>
  <si>
    <t xml:space="preserve">ERV seems high on this one, most likely based off sqft </t>
  </si>
  <si>
    <t>S/C 2 bed/1 bath w/mezz, kit, liv, Rfrb 2015GF</t>
  </si>
  <si>
    <t>72 Gatehouse Apts, 86 East St, Southampton</t>
  </si>
  <si>
    <t>Janey &amp; John Bodsworth</t>
  </si>
  <si>
    <t>Please call me to discuss.</t>
  </si>
  <si>
    <t>L4,  Encl. balcony,  Queens way DUAL2Bed 4P, Type 2B</t>
  </si>
  <si>
    <t>Flat 10, Ospringe House, Wotton St, SE1 8TP</t>
  </si>
  <si>
    <t>Serhiy Slobodyanyuk</t>
  </si>
  <si>
    <t>4, Gibson Court, Paignton, Devon</t>
  </si>
  <si>
    <t>Mrs Yvonne Green</t>
  </si>
  <si>
    <t>24 Woodleigh Gardens, Streatham, London</t>
  </si>
  <si>
    <t>Miss Claire Cooper &amp; Ms Anna Nottrodt</t>
  </si>
  <si>
    <t>S/C 2 bed/1 bath, WC, kit, diner, livG/F</t>
  </si>
  <si>
    <t>FLAT 9 Georges Whrf Finzels Reach Bristol BS1</t>
  </si>
  <si>
    <t>Jiachen Wang and Yiting Yu</t>
  </si>
  <si>
    <t>last min confirmation due to work contract</t>
  </si>
  <si>
    <t>325, Solstice Apts, Silbury Boulevard</t>
  </si>
  <si>
    <t>Peter Udonnaka, Kennedy Azubugwu</t>
  </si>
  <si>
    <t>1008 The Condor, 1 Springwell Sq</t>
  </si>
  <si>
    <t>John Davidson</t>
  </si>
  <si>
    <t>2B4P,2CSide Upper</t>
  </si>
  <si>
    <t>req 6 month</t>
  </si>
  <si>
    <t>125, Solstice Apts, Silbury Boulevard</t>
  </si>
  <si>
    <t>Miss Shreya Gulati, Miss Verity Archer</t>
  </si>
  <si>
    <t>1st Flr, Tce - courtyard2 bed-Type 7</t>
  </si>
  <si>
    <t>407 The Condor, 1 Springwell Sq</t>
  </si>
  <si>
    <t>Kgaogelo Chauke and Jadyn Naylor Olajide</t>
  </si>
  <si>
    <t>416 The Condor, 1 Springwell Sq</t>
  </si>
  <si>
    <t>Tyler Burton and Heather Hulson</t>
  </si>
  <si>
    <t>421 The Condor, 1 Springwell Sq</t>
  </si>
  <si>
    <t>Bashar Alshikh Atie and Mahanna Alqahtani</t>
  </si>
  <si>
    <t xml:space="preserve">Currently looking for an early release, so unlikely to extend. </t>
  </si>
  <si>
    <t>713 The Condor, 1 Springwell Sq</t>
  </si>
  <si>
    <t>Stephanie Dean &amp; Samuel Genn</t>
  </si>
  <si>
    <t>2B4P,2CLandscape</t>
  </si>
  <si>
    <t>201 South, The Forge, Newcastle, NE1 3AR</t>
  </si>
  <si>
    <t>Mr Robson &amp; Miss Moore</t>
  </si>
  <si>
    <t>305 South, The Forge, Newcastle, NE1 3AR</t>
  </si>
  <si>
    <t>Emmanuel Ugo and Akinola Akindele</t>
  </si>
  <si>
    <t>2 Bed, 2 Bath, 3rd Floor</t>
  </si>
  <si>
    <t>612 North, The Forge, Newcastle, NE1 3AH</t>
  </si>
  <si>
    <t>Wint Ei Ei Myat &amp; Kyaw Zin Thet</t>
  </si>
  <si>
    <t>1 Bed, 1 Bath, 6F</t>
  </si>
  <si>
    <t>Flat 16,Dominic Court,43 The Gardens,SE22 9QR</t>
  </si>
  <si>
    <t>Rebecca Johns &amp; Benjamin Aldersley</t>
  </si>
  <si>
    <t xml:space="preserve">potentially buying a flat soon, may ask for special caluse to terminate contract at anytime with 2 monthws notice </t>
  </si>
  <si>
    <t>2 Rooms, Kitchen, Bath Flat Rfb21Third floor</t>
  </si>
  <si>
    <t>Apt 107, Kings Dock Mill, Liverpool, L1</t>
  </si>
  <si>
    <t>Can Ahmet Basoglu</t>
  </si>
  <si>
    <t>Rev-Regions</t>
  </si>
  <si>
    <t>North East</t>
  </si>
  <si>
    <t>Phil Nelson</t>
  </si>
  <si>
    <t>3, Church View, Birtley</t>
  </si>
  <si>
    <t>Mr W B &amp; Mrs L Grieve</t>
  </si>
  <si>
    <t>TH  G/F 1 Rm, Kit  F/F 2 Rm, Bth</t>
  </si>
  <si>
    <t>7, Brierley Green, Marton in Cleveland, Middl</t>
  </si>
  <si>
    <t>Amanda Waterman</t>
  </si>
  <si>
    <t>Terraced Bungalow with GCH.  G/F 2 Rooms,Kitchen, Bathroom. OS Garage</t>
  </si>
  <si>
    <t>112 The Barnum, 23 Queens Road, Nottingham</t>
  </si>
  <si>
    <t>Charlie Haynes</t>
  </si>
  <si>
    <t>123 The Condor, 1 Springwell Sq</t>
  </si>
  <si>
    <t>Mercy Ietoyin Njama and Hope Bidemi Agindotan</t>
  </si>
  <si>
    <t>with lettings</t>
  </si>
  <si>
    <t>26 Cable House, 2 Echo Walk, Newbury</t>
  </si>
  <si>
    <t>Piotr Soltys and Pietro Barbero</t>
  </si>
  <si>
    <t>Residents have advised one has been made redundant and so will no longer have a work visa and needs to leave the country. Have advised the process for a COS and awaiting to hear back. Therefore, would advise renewal may be in line with a COS.</t>
  </si>
  <si>
    <t>17 Throckmorton Street, Newbury</t>
  </si>
  <si>
    <t>Yan Wang &amp; Chen Zhu</t>
  </si>
  <si>
    <t>3b5p,J.02Double Aspect</t>
  </si>
  <si>
    <t xml:space="preserve">complaint re repair </t>
  </si>
  <si>
    <t>Flat 2, Tomline House, Union Street, SE1 0ET</t>
  </si>
  <si>
    <t>Riya Chaudhri, Amber Lei Yip &amp; Royona Ghosh</t>
  </si>
  <si>
    <t>Issues with mould currently being resolved - happy to renew?</t>
  </si>
  <si>
    <t>Flat 9, Farnham House, Union Street, SE1 0LD</t>
  </si>
  <si>
    <t>A. Macdonald, L. Mckay &amp; Sophie Pearson</t>
  </si>
  <si>
    <t>19/07/2024</t>
  </si>
  <si>
    <t>314, Solstice</t>
  </si>
  <si>
    <t>OK to Renew</t>
  </si>
  <si>
    <t>763 sq.ft</t>
  </si>
  <si>
    <t xml:space="preserve">3rd Floor, Furnished </t>
  </si>
  <si>
    <t>20/07/2024</t>
  </si>
  <si>
    <t>73, Gilders Yard</t>
  </si>
  <si>
    <t>Lovely resident, would love to retain them</t>
  </si>
  <si>
    <t>583 sq.ft</t>
  </si>
  <si>
    <t xml:space="preserve">3rd Floor, </t>
  </si>
  <si>
    <t>£1125</t>
  </si>
  <si>
    <t>7 month bc</t>
  </si>
  <si>
    <t>Flat 20, Croydon</t>
  </si>
  <si>
    <t>-</t>
  </si>
  <si>
    <t>775.01 sq.ft</t>
  </si>
  <si>
    <t>4th Floor, Furnished</t>
  </si>
  <si>
    <t>21/07/2024</t>
  </si>
  <si>
    <t>42 Houghton Avenue</t>
  </si>
  <si>
    <t>£1,270.00</t>
  </si>
  <si>
    <t>764 sq.ft</t>
  </si>
  <si>
    <t>29/07/2024</t>
  </si>
  <si>
    <t>Flat 95 Springfield House,</t>
  </si>
  <si>
    <t xml:space="preserve">Livework </t>
  </si>
  <si>
    <t>999.56 sq.ft</t>
  </si>
  <si>
    <t>3rd Floor</t>
  </si>
  <si>
    <t>Tenancy End Date</t>
  </si>
  <si>
    <t>ERV</t>
  </si>
  <si>
    <t>Monthly ERV</t>
  </si>
  <si>
    <t>March ERV</t>
  </si>
  <si>
    <t>Annual Rent</t>
  </si>
  <si>
    <t>Passing Rent</t>
  </si>
  <si>
    <t>Passing Rent -1</t>
  </si>
  <si>
    <t>Number of Beds</t>
  </si>
  <si>
    <t>Number of Baths</t>
  </si>
  <si>
    <t>Renewal Notes Date</t>
  </si>
  <si>
    <t>Renewal Notes</t>
  </si>
  <si>
    <t>Raihana Parveen</t>
  </si>
  <si>
    <t>Car Space 80 Argo Apartments,4 Silvertown Way</t>
  </si>
  <si>
    <t>Licence</t>
  </si>
  <si>
    <t>RP3</t>
  </si>
  <si>
    <t>Car Space 81 Argo Apartments,4 Silvertown Way</t>
  </si>
  <si>
    <t>Car Space 63 Argo Apartments,4 Silvertown Way</t>
  </si>
  <si>
    <t>Car Space 71 Argo Apartments,4 Silvertown Way</t>
  </si>
  <si>
    <t>Car Space 74 Argo Apartments,4 Silvertown Way</t>
  </si>
  <si>
    <t>Car Park Bay 9, Langford House, Carey Lane,</t>
  </si>
  <si>
    <t>Mr Benjo Balolong, Mrs Vanessa Kae Jose</t>
  </si>
  <si>
    <t>Car Park space</t>
  </si>
  <si>
    <t>AG4</t>
  </si>
  <si>
    <t>Car Park Bay 17,  Fielding House, Carey Lane,</t>
  </si>
  <si>
    <t>Miss Hajnalka Fogarasi</t>
  </si>
  <si>
    <t>Parking 24 Brook Place Apts,  Sheffield,  S11</t>
  </si>
  <si>
    <t>Frances McGee</t>
  </si>
  <si>
    <t>Linked to 503- no issues</t>
  </si>
  <si>
    <t>MC2</t>
  </si>
  <si>
    <t>Parking 43 Brook Place Apts,  Sheffield,  S11</t>
  </si>
  <si>
    <t>Oliver Rathbone</t>
  </si>
  <si>
    <t>Linked to 725- no issues</t>
  </si>
  <si>
    <t>Parking 42 Brook Place Apts,  Sheffield,  S11</t>
  </si>
  <si>
    <t>Harshit Kondapally</t>
  </si>
  <si>
    <t>Linked to 418- no issues</t>
  </si>
  <si>
    <t>Parking 23 Brook Place Apts,  Sheffield,  S11</t>
  </si>
  <si>
    <t>James Warrington</t>
  </si>
  <si>
    <t>Linked to 703- no issues</t>
  </si>
  <si>
    <t>Parking 04 Brook Place Apts,  Sheffield,  S11</t>
  </si>
  <si>
    <t>Dina Ibrahim</t>
  </si>
  <si>
    <t>Linked to 529- no issues</t>
  </si>
  <si>
    <t>Parking 31 Brook Place Apts,  Sheffield,  S11</t>
  </si>
  <si>
    <t>Linked to 324- no issues</t>
  </si>
  <si>
    <t>Parking 01 Brook Place Apts,  Sheffield,  S11</t>
  </si>
  <si>
    <t>Amrit Jani</t>
  </si>
  <si>
    <t>Linked to 422- no issues</t>
  </si>
  <si>
    <t>Parking 44 Brook Place Apts,  Sheffield,  S11</t>
  </si>
  <si>
    <t>Bojian Li</t>
  </si>
  <si>
    <t>Linked to 411- DDM needs setting up- rent not being paid automatically</t>
  </si>
  <si>
    <t>Parking 19 Brook Place Apts,  Sheffield,  S11</t>
  </si>
  <si>
    <t>Aydin Can</t>
  </si>
  <si>
    <t>Linked to 303- no issues</t>
  </si>
  <si>
    <t>EC1</t>
  </si>
  <si>
    <t>Nadia Rogers</t>
  </si>
  <si>
    <t>Garage O,Churston Cl,162-164Tulse Hill,SW23BX</t>
  </si>
  <si>
    <t>Abir The Colour Of Life</t>
  </si>
  <si>
    <t>Garage</t>
  </si>
  <si>
    <t>NRX</t>
  </si>
  <si>
    <t>Parking D35 Torrens Apt, Salford M50</t>
  </si>
  <si>
    <t>Wendy Moneke</t>
  </si>
  <si>
    <t>HB2</t>
  </si>
  <si>
    <t>Parking D39 Torrens Apt, Salford M50</t>
  </si>
  <si>
    <t>Max Walters</t>
  </si>
  <si>
    <t>Parking D32 Torrens Apt, Salford M50</t>
  </si>
  <si>
    <t>Rakeeb Patel</t>
  </si>
  <si>
    <t>Parking D6 Torrens Apt, Salford M50</t>
  </si>
  <si>
    <t>Tsz Fung Lo</t>
  </si>
  <si>
    <t>Parking E9 Ambassador Apt , Salford M50</t>
  </si>
  <si>
    <t>Parking B25 Syren Apt , Salford M50</t>
  </si>
  <si>
    <t>Chung Yee Fung</t>
  </si>
  <si>
    <t>Parking E36 Ambassador Apt , Salford M50</t>
  </si>
  <si>
    <t>Madi Eastham</t>
  </si>
  <si>
    <t>Parking C18 Tayleur Apt, Salford M50</t>
  </si>
  <si>
    <t>Eduardo De la Cotera Morales</t>
  </si>
  <si>
    <t>Car Parking Space</t>
  </si>
  <si>
    <t>Parking C28 Tayleur Apt, Salford M50</t>
  </si>
  <si>
    <t>Rosie Boyer</t>
  </si>
  <si>
    <t>Parking D7 Torrens Apt, Salford M50</t>
  </si>
  <si>
    <t>Cheuk Kin Lee</t>
  </si>
  <si>
    <t>Parking B33 Syren Apt , Salford M50</t>
  </si>
  <si>
    <t>Parking B4 Syren Apt , Salford M50</t>
  </si>
  <si>
    <t>Tsz Tsun Lam</t>
  </si>
  <si>
    <t>Parking C24 Tayleur Apt, Salford M50</t>
  </si>
  <si>
    <t>Yik Lau</t>
  </si>
  <si>
    <t>Parking C29 Tayleur Apt, Salford M50</t>
  </si>
  <si>
    <t>Parking C33 Tayleur Apt, Salford M50</t>
  </si>
  <si>
    <t>Dimitra Maniakdaki</t>
  </si>
  <si>
    <t>Parking D18 Torrens Apt, Salford M50</t>
  </si>
  <si>
    <t>Francis D'Sa</t>
  </si>
  <si>
    <t>Parking E38 Ambassador Apt , Salford M50</t>
  </si>
  <si>
    <t>Kate Stafford</t>
  </si>
  <si>
    <t>Parking C20 Tayleur Apt, Salford M50</t>
  </si>
  <si>
    <t>Long Cheng</t>
  </si>
  <si>
    <t>Parking D41 Torrens Apt, Salford M50</t>
  </si>
  <si>
    <t>Cheung Kit Danny</t>
  </si>
  <si>
    <t>Parking E10 Ambassador Apt , Salford M50</t>
  </si>
  <si>
    <t>Chung Kong Tse</t>
  </si>
  <si>
    <t>Parking E19 Ambassador Apt , Salford M50</t>
  </si>
  <si>
    <t>Dr Sunil Anirudhprasad Jayaswal</t>
  </si>
  <si>
    <t>Parking E28 Ambassador Apt , Salford M50</t>
  </si>
  <si>
    <t>Ruby Fisher</t>
  </si>
  <si>
    <t>Parking D13 Torrens Apt, Salford M50</t>
  </si>
  <si>
    <t>Harriet Scott Worthington</t>
  </si>
  <si>
    <t>Parking B11 Syren Apt , Salford M50</t>
  </si>
  <si>
    <t>Adeola Eribake</t>
  </si>
  <si>
    <t>Parking E42 Ambassador Apt , Salford M50</t>
  </si>
  <si>
    <t>Animesh Jayaswal</t>
  </si>
  <si>
    <t>Parking C27 Tayleur Apt, Salford M50</t>
  </si>
  <si>
    <t>Yuen Ching Janet Chow</t>
  </si>
  <si>
    <t>Parking D15 Torrens Apt, Salford M50</t>
  </si>
  <si>
    <t>Neema Paul &amp; Micky Joe Thomas Palekkudy</t>
  </si>
  <si>
    <t>Parking E11 Ambassador Apt , Salford M50</t>
  </si>
  <si>
    <t>Kris Green</t>
  </si>
  <si>
    <t>Parking D20 Torrens Apt, Salford M50</t>
  </si>
  <si>
    <t>Emily Rees</t>
  </si>
  <si>
    <t>Parking E6 Ambassador Apt , Salford M50</t>
  </si>
  <si>
    <t>Vishnu Madhusoodanan</t>
  </si>
  <si>
    <t>Denman (Rev)</t>
  </si>
  <si>
    <t>Shed 17, Denman House, Lordship Terrace, N16</t>
  </si>
  <si>
    <t>Melody Barlett</t>
  </si>
  <si>
    <t>DSX</t>
  </si>
  <si>
    <t>Shed 68, Dibdin Hse , Andover Place, W9 1QE</t>
  </si>
  <si>
    <t>Ashraf Al-Ansari</t>
  </si>
  <si>
    <t>Shed 87, Dibdin Hse , Andover Place, W9 1QE</t>
  </si>
  <si>
    <t>Maria Virto</t>
  </si>
  <si>
    <t>Shed 61, Dibdin Hse , Andover Place, W9 1QE</t>
  </si>
  <si>
    <t>Miss Alison Brown</t>
  </si>
  <si>
    <t>Parking 106 Enigma Square</t>
  </si>
  <si>
    <t>Jamie Patel</t>
  </si>
  <si>
    <t>JBE</t>
  </si>
  <si>
    <t>Parking 119 Enigma Square</t>
  </si>
  <si>
    <t>Parking 154 Enigma Square</t>
  </si>
  <si>
    <t>Parking 23 Enigma Square</t>
  </si>
  <si>
    <t>Parking 96 Enigma Square</t>
  </si>
  <si>
    <t>Parking 26 Enigma Square</t>
  </si>
  <si>
    <t>Parking 107 Enigma Square</t>
  </si>
  <si>
    <t>Marc Leonard</t>
  </si>
  <si>
    <t>Parking 108 Enigma Square</t>
  </si>
  <si>
    <t>Carly McGill</t>
  </si>
  <si>
    <t>Parking 19 Enigma Square</t>
  </si>
  <si>
    <t>James Ronan</t>
  </si>
  <si>
    <t>Parking 40 Enigma Square</t>
  </si>
  <si>
    <t>Jasmine Stigwood</t>
  </si>
  <si>
    <t>Parking 109 Enigma Square</t>
  </si>
  <si>
    <t>Mr Owen Lane</t>
  </si>
  <si>
    <t>Parking 118 Enigma Square</t>
  </si>
  <si>
    <t>Parking 160 Enigma Square</t>
  </si>
  <si>
    <t>Sam Tsz Cheuk Fok</t>
  </si>
  <si>
    <t>Parking 87 Enigma Square</t>
  </si>
  <si>
    <t>Timilehin Omoloye</t>
  </si>
  <si>
    <t>Parking 88 Enigma Square</t>
  </si>
  <si>
    <t>Shawn Jia Hwang Tan</t>
  </si>
  <si>
    <t>Parking 84 Enigma Square</t>
  </si>
  <si>
    <t>Sonia Padia</t>
  </si>
  <si>
    <t>Parking 9 Enigma Square</t>
  </si>
  <si>
    <t>Gillian McCulloch</t>
  </si>
  <si>
    <t>Parking 81 Enigma Square</t>
  </si>
  <si>
    <t>Izazur Rahman</t>
  </si>
  <si>
    <t>Parking 65 Enigma Square</t>
  </si>
  <si>
    <t>Parking 30 Enigma Square</t>
  </si>
  <si>
    <t>Kenechukwu Okoli</t>
  </si>
  <si>
    <t>Parking 31 Enigma Square</t>
  </si>
  <si>
    <t>Trisha Patel</t>
  </si>
  <si>
    <t>Parking 162 Enigma Square</t>
  </si>
  <si>
    <t>Evelyn Findlay</t>
  </si>
  <si>
    <t>Parking 95 Enigma Square</t>
  </si>
  <si>
    <t>Zunaid Adam</t>
  </si>
  <si>
    <t>Parking 7 Enigma Square</t>
  </si>
  <si>
    <t>Parking 73 Enigma Square</t>
  </si>
  <si>
    <t>John Esslemont</t>
  </si>
  <si>
    <t>Parking 1 Enigma Square</t>
  </si>
  <si>
    <t>Parking 93 Enigma Square</t>
  </si>
  <si>
    <t>Andrew Smith</t>
  </si>
  <si>
    <t>TVX</t>
  </si>
  <si>
    <t>Parking 161 Enigma Square</t>
  </si>
  <si>
    <t>Kavan Trzebiatowsky</t>
  </si>
  <si>
    <t>Parking 112 Enigma Square</t>
  </si>
  <si>
    <t>Lucy Westbrook</t>
  </si>
  <si>
    <t>Parking 4 Enigma Square</t>
  </si>
  <si>
    <t>Jose Diaz</t>
  </si>
  <si>
    <t>Parking 163 Enigma Square</t>
  </si>
  <si>
    <t>Bavesh Sanan</t>
  </si>
  <si>
    <t>Parking 136 Enigma Square</t>
  </si>
  <si>
    <t>Parking  44 - Level 0</t>
  </si>
  <si>
    <t>AS2</t>
  </si>
  <si>
    <t>Parking  13 - Level 0</t>
  </si>
  <si>
    <t>Stephanie Roberta Clark</t>
  </si>
  <si>
    <t>Parking  11 - Level 0</t>
  </si>
  <si>
    <t>Ravikumar Abbigeri</t>
  </si>
  <si>
    <t>Parking  21 - Level 0</t>
  </si>
  <si>
    <t>Parking  24 - Level 0</t>
  </si>
  <si>
    <t>Harry Peacock</t>
  </si>
  <si>
    <t>Parking  7 - Level 0</t>
  </si>
  <si>
    <t>Valentina Palmini</t>
  </si>
  <si>
    <t>Parking  33 - Level 0</t>
  </si>
  <si>
    <t>Parking  43 - Level 0</t>
  </si>
  <si>
    <t>Frederick Newbury</t>
  </si>
  <si>
    <t>Parking  8 - Level 0</t>
  </si>
  <si>
    <t>Adam Else</t>
  </si>
  <si>
    <t>Parking  47 - Level 0</t>
  </si>
  <si>
    <t>Ross Eldridge</t>
  </si>
  <si>
    <t>Parking  4 - Level 0</t>
  </si>
  <si>
    <t>Raymond Felton</t>
  </si>
  <si>
    <t>Parking 27 &amp; 41</t>
  </si>
  <si>
    <t>Parking 1</t>
  </si>
  <si>
    <t>Sarah Will</t>
  </si>
  <si>
    <t>Parking 4</t>
  </si>
  <si>
    <t>Parking 12</t>
  </si>
  <si>
    <t>Kaycee Cooper</t>
  </si>
  <si>
    <t>Parking bay 8, Poppy Apartments, E16 2YH</t>
  </si>
  <si>
    <t>Jake Howler</t>
  </si>
  <si>
    <t>PARKING BAYLower ground</t>
  </si>
  <si>
    <t>KC2</t>
  </si>
  <si>
    <t>Parking bay 7, Poppy Apartments, E16 2YH</t>
  </si>
  <si>
    <t>Nagina Rehman</t>
  </si>
  <si>
    <t>Parking bay 10, Poppy Apartments, E16 2YH</t>
  </si>
  <si>
    <t>Ziaul Haque</t>
  </si>
  <si>
    <t>PARKING BAYDisabled; Wheelchair</t>
  </si>
  <si>
    <t>Parking bay 3, Poppy Apartments, E16 2YH</t>
  </si>
  <si>
    <t>Jose Vargas</t>
  </si>
  <si>
    <t>SOX</t>
  </si>
  <si>
    <t>Parking bay 36, Poppy Apartments, E16 2YH</t>
  </si>
  <si>
    <t>Hamsa Yusuf</t>
  </si>
  <si>
    <t>PARKING BAYElectric; Wheelchair Access</t>
  </si>
  <si>
    <t>Parking 2, 2 Bradbury Apts, Aldershot GU11</t>
  </si>
  <si>
    <t>car park</t>
  </si>
  <si>
    <t>Parking 103(D), 1 Mundy Place, Aldershot GU11</t>
  </si>
  <si>
    <t>Parking 103, 1 Mundy Place, Aldershot GU11</t>
  </si>
  <si>
    <t>Parking 22, Hawkins and George, Bristol BS1</t>
  </si>
  <si>
    <t>Metin Gerceker</t>
  </si>
  <si>
    <t>SR5</t>
  </si>
  <si>
    <t>Parking 75, Hawkins and George, Bristol BS1</t>
  </si>
  <si>
    <t>Wai Kwan Kwok</t>
  </si>
  <si>
    <t>Parking 198, Hawkins and George, Bristol BS1</t>
  </si>
  <si>
    <t>Tsoi Tung Hiu</t>
  </si>
  <si>
    <t>Parking 190, Hawkins and George, Bristol BS1</t>
  </si>
  <si>
    <t>Simon Griffiths</t>
  </si>
  <si>
    <t>Parking 44, Hawkins and George, Bristol BS1</t>
  </si>
  <si>
    <t>Parking 268, Hawkins and George, Bristol BS1</t>
  </si>
  <si>
    <t>Charlie Hirst</t>
  </si>
  <si>
    <t>Parking 84, Hawkins and George, Bristol BS1</t>
  </si>
  <si>
    <t>Aimie Grant</t>
  </si>
  <si>
    <t>Parking 110, Hawkins and George, Bristol BS1</t>
  </si>
  <si>
    <t>Emily Wass</t>
  </si>
  <si>
    <t>Parking 192, Hawkins and George, Bristol BS1</t>
  </si>
  <si>
    <t>Richard Lovatt</t>
  </si>
  <si>
    <t>Parking 199, Hawkins and George, Bristol BS1</t>
  </si>
  <si>
    <t>Parking 100, Hawkins and George, Bristol BS1</t>
  </si>
  <si>
    <t>Parking 83, Hawkins and George, Bristol BS1</t>
  </si>
  <si>
    <t>Ciara Halpin</t>
  </si>
  <si>
    <t>Parking 98, Hawkins and George, Bristol BS1</t>
  </si>
  <si>
    <t>Alena Vakulich &amp; Yuriy Voronkov</t>
  </si>
  <si>
    <t>Parking 73, Hawkins and George, Bristol BS1</t>
  </si>
  <si>
    <t>Huan Jiang</t>
  </si>
  <si>
    <t>Parking 197, Hawkins and George, Bristol BS1</t>
  </si>
  <si>
    <t>Adam Newton</t>
  </si>
  <si>
    <t>Parking 95, Hawkins and George, Bristol BS1</t>
  </si>
  <si>
    <t>Joshua Campden-Alexander</t>
  </si>
  <si>
    <t>Parking 115, Hawkins and George, Bristol BS1</t>
  </si>
  <si>
    <t>Zesheng Li &amp; Ke Zhang</t>
  </si>
  <si>
    <t>Parking 03, Hawkins and George, Bristol BS1</t>
  </si>
  <si>
    <t>Parking 82, Hawkins and George, Bristol BS1</t>
  </si>
  <si>
    <t>Rosie Alder</t>
  </si>
  <si>
    <t>Parking 119, Hawkins and George, Bristol BS1</t>
  </si>
  <si>
    <t>Miss Georgia Bowers &amp; Mr Benjamin Tucker</t>
  </si>
  <si>
    <t>Indigoblu</t>
  </si>
  <si>
    <t>Car Space 9, Indigoblu, 14 Crown Point Rd.</t>
  </si>
  <si>
    <t>Helen Singleton</t>
  </si>
  <si>
    <t>Parking Space</t>
  </si>
  <si>
    <t>RFX</t>
  </si>
  <si>
    <t>Car Space 46, Kew Bridge Court, W4</t>
  </si>
  <si>
    <t>Fakhrun Nisa</t>
  </si>
  <si>
    <t>YMX</t>
  </si>
  <si>
    <t>Car Space 69, Kew Bridge Court, W4</t>
  </si>
  <si>
    <t>Car Space 67, Kew Bridge Court, W4</t>
  </si>
  <si>
    <t>Matthew O’Sullivan and Molly Course</t>
  </si>
  <si>
    <t>Car Space 26, Kew Bridge Court, W4</t>
  </si>
  <si>
    <t>Car Space 11, Kew Bridge Court, W4</t>
  </si>
  <si>
    <t>Yifan Yao</t>
  </si>
  <si>
    <t>Car Space 6, Kew Bridge Court, W4</t>
  </si>
  <si>
    <t>Bay 43, Kings Dock Mill, Liverpool, L1</t>
  </si>
  <si>
    <t>Car Park Bay</t>
  </si>
  <si>
    <t>LP2</t>
  </si>
  <si>
    <t>Bay 1, Kings Dock Mill, Liverpool, L1</t>
  </si>
  <si>
    <t>Ellie Keegan</t>
  </si>
  <si>
    <t>Bay 29, Kings Dock Mill, Liverpool, L1</t>
  </si>
  <si>
    <t>Amy Hill</t>
  </si>
  <si>
    <t>Bay 50, Kings Dock Mill, Liverpool, L1</t>
  </si>
  <si>
    <t>Bay 14, Kings Dock Mill, Liverpool, L1</t>
  </si>
  <si>
    <t>Mr Sam Tate</t>
  </si>
  <si>
    <t>Parking bay 13, Adlay Apartments, E16 2YE</t>
  </si>
  <si>
    <t>Glendon Pierrelouis</t>
  </si>
  <si>
    <t>FAX</t>
  </si>
  <si>
    <t>Parking bay 44, Adlay Apartments, E16 2YE</t>
  </si>
  <si>
    <t>Elizabeth Zakariyau</t>
  </si>
  <si>
    <t>Parking bay 40, Adlay Apartments, E16 2YE</t>
  </si>
  <si>
    <t>Miss Sophie Paterson</t>
  </si>
  <si>
    <t>Parking bay 41, Adlay Apartments, E16 2YE</t>
  </si>
  <si>
    <t>Ryan Briggs</t>
  </si>
  <si>
    <t>Parking bay 12, Adlay Apartments, E16 2YE</t>
  </si>
  <si>
    <t>Yi Hao Peng</t>
  </si>
  <si>
    <t>Parking bay 18, Adlay Apartments, E16 2YE</t>
  </si>
  <si>
    <t>Daniel Elegbe</t>
  </si>
  <si>
    <t>Parking bay 50, Adlay Apartments, E16 2YE</t>
  </si>
  <si>
    <t>Parking bay 42, Adlay Apartments, E16 2YE</t>
  </si>
  <si>
    <t>Mr Benjiman Morris &amp; Miss Trudi Gibson</t>
  </si>
  <si>
    <t>Parking bay 33, Adlay Apartments, E16 2YE</t>
  </si>
  <si>
    <t>Tesco Contractors</t>
  </si>
  <si>
    <t>Parking bay 35, Adlay Apartments, E16 2YE</t>
  </si>
  <si>
    <t>Sharpe Mechanical &amp; Electrical Services Ltd</t>
  </si>
  <si>
    <t>North West</t>
  </si>
  <si>
    <t>Mahesh Parmar</t>
  </si>
  <si>
    <t>G4, Wardle Court, Sale, Cheshire</t>
  </si>
  <si>
    <t>Miss Kate O'Connor</t>
  </si>
  <si>
    <t>MKP</t>
  </si>
  <si>
    <t>Parking 22, 11 Sweet Street, Leeds</t>
  </si>
  <si>
    <t>Alexandra Cassidy</t>
  </si>
  <si>
    <t>Parking 18, 11 Sweet Street, Leeds</t>
  </si>
  <si>
    <t>Parking 61, 11 Sweet Street, Leeds</t>
  </si>
  <si>
    <t>Parking 54, 11 Sweet Street, Leeds</t>
  </si>
  <si>
    <t>Kirsty Jade Dix</t>
  </si>
  <si>
    <t>Parking 64, 11 Sweet Street, Leeds</t>
  </si>
  <si>
    <t>Parking 10, 11 Sweet Street, Leeds</t>
  </si>
  <si>
    <t>Alagappan Subbaya</t>
  </si>
  <si>
    <t>Parking 15, 11 Sweet Street, Leeds</t>
  </si>
  <si>
    <t>Amy Brear</t>
  </si>
  <si>
    <t>Parking 52, 11 Sweet Street, Leeds</t>
  </si>
  <si>
    <t>Amber Wilson</t>
  </si>
  <si>
    <t>Parking 6, 11 Sweet Street, Leeds</t>
  </si>
  <si>
    <t>Parking 29, 11 Sweet Street, Leeds</t>
  </si>
  <si>
    <t>Harry Wilkinson</t>
  </si>
  <si>
    <t>Parking 38, 11 Sweet Street, Leeds</t>
  </si>
  <si>
    <t>Jade Elmslie</t>
  </si>
  <si>
    <t>Parking 24, 11 Sweet Street, Leeds</t>
  </si>
  <si>
    <t>Parking 21, 11 Sweet Street, Leeds</t>
  </si>
  <si>
    <t>Nenad Smiljanic</t>
  </si>
  <si>
    <t>Parking 11, 11 Sweet Street, Leeds</t>
  </si>
  <si>
    <t>Parking Space 33 Shillington Old School</t>
  </si>
  <si>
    <t>Oscar Pye-Jeary</t>
  </si>
  <si>
    <t>KMX</t>
  </si>
  <si>
    <t>Parking Space 34 Shillington Old School</t>
  </si>
  <si>
    <t>Parking Space 4 Shillington Old School</t>
  </si>
  <si>
    <t>Olivia Petropoulos</t>
  </si>
  <si>
    <t>Parking Space 18 Shillington Old School</t>
  </si>
  <si>
    <t>Tahlia Edmunds</t>
  </si>
  <si>
    <t>Vehicle Reg No. : T453UGA</t>
  </si>
  <si>
    <t>Parking Space 9 Shillington Old School</t>
  </si>
  <si>
    <t>Harry Sackman &amp; Francesca Digby</t>
  </si>
  <si>
    <t>Parking L12 Solstice Apts, Silbury Blvd</t>
  </si>
  <si>
    <t>Parking U10, Solstice Apts, Silbury Blvd</t>
  </si>
  <si>
    <t>Amelia Stafford</t>
  </si>
  <si>
    <t>Parking U13, Solstice Apts, Silbury Blvd</t>
  </si>
  <si>
    <t>Jack Tucker</t>
  </si>
  <si>
    <t>Parking L30, Solstice Apts, Silbury Blvd</t>
  </si>
  <si>
    <t>Mr Ibrahima Diallo</t>
  </si>
  <si>
    <t>Parking U58, Solstice Apts, Silbury Blvd</t>
  </si>
  <si>
    <t>Kar Keung Adam Cheung</t>
  </si>
  <si>
    <t>Parking L5, Solstice Apts, Silbury Blvd</t>
  </si>
  <si>
    <t>Parking L11, Solstice Apts, Silbury Blvd</t>
  </si>
  <si>
    <t>MK Dons</t>
  </si>
  <si>
    <t>Parking U20, Solstice Apts, Silbury Blvd</t>
  </si>
  <si>
    <t>Parking U50, Solstice Apts, Silbury Blvd</t>
  </si>
  <si>
    <t>Abhipsha Sur Roy &amp; Amol Niteen Joshi</t>
  </si>
  <si>
    <t>Parking U30, Solstice Apts, Silbury Blvd</t>
  </si>
  <si>
    <t>Josh Tyrrell</t>
  </si>
  <si>
    <t>Parking L9, Solstice Apts, Silbury Blvd</t>
  </si>
  <si>
    <t>Mr James Uberoi</t>
  </si>
  <si>
    <t>Parking U1, Solstice Apts, Silbury Blvd</t>
  </si>
  <si>
    <t>Miss Verity Archer</t>
  </si>
  <si>
    <t>Parking U31, Solstice Apts, Silbury Blvd</t>
  </si>
  <si>
    <t>System LTD</t>
  </si>
  <si>
    <t>Parking U55, Solstice Apts, Silbury Blvd</t>
  </si>
  <si>
    <t>Teng Li</t>
  </si>
  <si>
    <t>Parking U45, Solstice Apts, Silbury Blvd</t>
  </si>
  <si>
    <t>Huiyi Law</t>
  </si>
  <si>
    <t>Parking U24, Solstice Apts, Silbury Blvd</t>
  </si>
  <si>
    <t>Parking L33, Solstice Apts, Silbury Blvd</t>
  </si>
  <si>
    <t>Hannah Ruby</t>
  </si>
  <si>
    <t>T&amp;B (Rev)</t>
  </si>
  <si>
    <t>Shed 18, Tait Sheds, Greet St, SE1 8NA</t>
  </si>
  <si>
    <t>Mr S Stevens &amp; Ms G McFarlane</t>
  </si>
  <si>
    <t>MRX</t>
  </si>
  <si>
    <t>Shed 3, Tait Sheds, Greet St, SE1 8NA</t>
  </si>
  <si>
    <t>Mr John Blissett</t>
  </si>
  <si>
    <t>Shed 7, Tait Sheds, Greet St, SE1 8NA</t>
  </si>
  <si>
    <t>Mr R Davidson &amp; Mrs A Davidson</t>
  </si>
  <si>
    <t>Parking space 19, 23 Queens Road, Nottingham</t>
  </si>
  <si>
    <t>NB2</t>
  </si>
  <si>
    <t xml:space="preserve">duplicate - so unsure whats happened here </t>
  </si>
  <si>
    <t>Parking space 25, 23 Queens Road, Nottingham</t>
  </si>
  <si>
    <t>Yousef Alaqra</t>
  </si>
  <si>
    <t xml:space="preserve">Renew- no issues </t>
  </si>
  <si>
    <t>Parking space 12, 23 Queens Road, Nottingham</t>
  </si>
  <si>
    <t>Karim Boustani</t>
  </si>
  <si>
    <t>Parking space 13, 23 Queens Road, Nottingham</t>
  </si>
  <si>
    <t>Jacob Day</t>
  </si>
  <si>
    <t>Parking space 39, 23 Queens Road, Nottingham</t>
  </si>
  <si>
    <t>Bhairav Shetty</t>
  </si>
  <si>
    <t>Parking space 27, 23 Queens Road, Nottingham</t>
  </si>
  <si>
    <t>Parking space 11, 23 Queens Road, Nottingham</t>
  </si>
  <si>
    <t>Parking space 24, 23 Queens Road, Nottingham</t>
  </si>
  <si>
    <t>Ieuan King</t>
  </si>
  <si>
    <t>Parking space 31, 23 Queens Road, Nottingham</t>
  </si>
  <si>
    <t>Thomas Daly</t>
  </si>
  <si>
    <t>Parking space 1, 23 Queens Road, Nottingham</t>
  </si>
  <si>
    <t>Daniel Adamson</t>
  </si>
  <si>
    <t>Parking space 41, 23 Queens Road, Nottingham</t>
  </si>
  <si>
    <t>Parking space 22, 23 Queens Road, Nottingham</t>
  </si>
  <si>
    <t>Stuart Clarkson</t>
  </si>
  <si>
    <t>Parking Space 13, 1 Springwell Sq</t>
  </si>
  <si>
    <t>Thomas Howe</t>
  </si>
  <si>
    <t>LH5</t>
  </si>
  <si>
    <t>Parking Space 14, 1 Springwell Sq</t>
  </si>
  <si>
    <t>Parking Space 11, 1 Springwell Sq</t>
  </si>
  <si>
    <t>Parking Space 17, 1 Springwell Sq</t>
  </si>
  <si>
    <t>Nonso Iheanacho</t>
  </si>
  <si>
    <t>SBR</t>
  </si>
  <si>
    <t>Parking Space 24, 1 Springwell Sq</t>
  </si>
  <si>
    <t>Parking Space 25, 1 Springwell Sq</t>
  </si>
  <si>
    <t>Parking Space 10, 1 Springwell Sq</t>
  </si>
  <si>
    <t>Stephanie Dean</t>
  </si>
  <si>
    <t>Parking Space 15, 1 Springwell Sq</t>
  </si>
  <si>
    <t>Electric Disabled Space 7, 1 Springwell Sq</t>
  </si>
  <si>
    <t>Kam Yiu Victor Chan</t>
  </si>
  <si>
    <t>Parking Space 23, 1 Springwell Sq</t>
  </si>
  <si>
    <t>Parking Space 12, 1 Springwell Sq</t>
  </si>
  <si>
    <t>Car Parking 16 - Level 1  Neon</t>
  </si>
  <si>
    <t>Jack Airey</t>
  </si>
  <si>
    <t>NeonCarPark L1</t>
  </si>
  <si>
    <t>SL2</t>
  </si>
  <si>
    <t>Car Parking 37 - Level 1  Halogen/Lamp</t>
  </si>
  <si>
    <t>Kristian Smith</t>
  </si>
  <si>
    <t>Halogen / LampCarPark L1</t>
  </si>
  <si>
    <t>Car Parking 42 - Level 1  Halogen/Lamp</t>
  </si>
  <si>
    <t>Lewis White</t>
  </si>
  <si>
    <t>Car Parking 5 - Level 0  Neon</t>
  </si>
  <si>
    <t>Tak Leung Yiu</t>
  </si>
  <si>
    <t>NeonCarPark L0</t>
  </si>
  <si>
    <t>Car Parking 7 - Level 1  Halogen/Lamp</t>
  </si>
  <si>
    <t>Ms Maria Carolina Lacerda de Castro</t>
  </si>
  <si>
    <t>Car Parking 26 - Level 1  Halogen/Lamp</t>
  </si>
  <si>
    <t>Sara Heirati</t>
  </si>
  <si>
    <t>Car Parking 7 - Level 0  Neon</t>
  </si>
  <si>
    <t>Tong Ye Matthew Edward Law</t>
  </si>
  <si>
    <t>Car Parking 6 - Level 1  Neon</t>
  </si>
  <si>
    <t>Kieran Howarth</t>
  </si>
  <si>
    <t>Car Parking 1 - Level 1  Neon</t>
  </si>
  <si>
    <t>Megan West</t>
  </si>
  <si>
    <t>Car Parking 2 - Level 1  Neon</t>
  </si>
  <si>
    <t>Yi Wah Wong</t>
  </si>
  <si>
    <t>Car Parking 25 - Level 0  Halogen/Lamp</t>
  </si>
  <si>
    <t>Aaman Shah</t>
  </si>
  <si>
    <t>Halogen / LampCarPark L0</t>
  </si>
  <si>
    <t>Car Parking 7 - Level 1  Neon</t>
  </si>
  <si>
    <t>Thomas Clare</t>
  </si>
  <si>
    <t>Car Parking 5 - Level 1  Halogen/Lamp</t>
  </si>
  <si>
    <t>Car Parking 12 - Level 1  Halogen/Lamp</t>
  </si>
  <si>
    <t>Daniella Bailey</t>
  </si>
  <si>
    <t>Car Parking 9 - Level 1  Halogen/Lamp</t>
  </si>
  <si>
    <t>Lauren Batt</t>
  </si>
  <si>
    <t>Car Parking 36 - Level 1  Halogen/Lamp</t>
  </si>
  <si>
    <t>Ben Knights</t>
  </si>
  <si>
    <t>Car Parking 15 - Level 0  Halogen/Lamp</t>
  </si>
  <si>
    <t>Jessica Pointon</t>
  </si>
  <si>
    <t>Car Parking 12 - Level 0  Halogen/Lamp</t>
  </si>
  <si>
    <t>Jodie Hurst</t>
  </si>
  <si>
    <t>Car Parking 32 - Level 1  Halogen/Lamp</t>
  </si>
  <si>
    <t>Bell Building Projects Ltd</t>
  </si>
  <si>
    <t>Car Parking 3 - Level 1  Neon</t>
  </si>
  <si>
    <t>Kristian Fairclough</t>
  </si>
  <si>
    <t>Car Parking 15 - Level 1  Neon</t>
  </si>
  <si>
    <t>Rayene Larguet</t>
  </si>
  <si>
    <t>Car Parking 16 - Level 1  Halogen/Lamp</t>
  </si>
  <si>
    <t>Amie Higginbottom</t>
  </si>
  <si>
    <t>Car Parking 13 - Level 1  Halogen/Lamp</t>
  </si>
  <si>
    <t>Prajin Valand</t>
  </si>
  <si>
    <t>Car Parking 29 - Level 1  Halogen/Lamp</t>
  </si>
  <si>
    <t>Ella Mayo</t>
  </si>
  <si>
    <t>Car Parking 21 - Level 0  Halogen/Lamp</t>
  </si>
  <si>
    <t>Khushbu Morar</t>
  </si>
  <si>
    <t>Car Parking 6 - Level 1  Halogen/Lamp</t>
  </si>
  <si>
    <t>Rebecca Lord</t>
  </si>
  <si>
    <t>Car Parking 2 - Level 0  Halogen/Lamp</t>
  </si>
  <si>
    <t>George Diamantopoulos</t>
  </si>
  <si>
    <t>Parking 70,Level -B</t>
  </si>
  <si>
    <t>Ellie Richardson</t>
  </si>
  <si>
    <t>GD1</t>
  </si>
  <si>
    <t>Parking 44,Level -B</t>
  </si>
  <si>
    <t>Kelvin Chu</t>
  </si>
  <si>
    <t>JS1</t>
  </si>
  <si>
    <t>Parking 71,Level -B</t>
  </si>
  <si>
    <t>Oliver Myers</t>
  </si>
  <si>
    <t>Parking 15,Level -B</t>
  </si>
  <si>
    <t>Dennis Khaiter</t>
  </si>
  <si>
    <t>Parking 5,Level -B</t>
  </si>
  <si>
    <t>Parking 31,Level -B</t>
  </si>
  <si>
    <t>Parking 20,Level -B</t>
  </si>
  <si>
    <t>Charlotte Crombie</t>
  </si>
  <si>
    <t>Parking 28,Level -B</t>
  </si>
  <si>
    <t>Isabel Harvey</t>
  </si>
  <si>
    <t>Parking 4, Station View, Guildford</t>
  </si>
  <si>
    <t>Jwee Kiang Mark Tan</t>
  </si>
  <si>
    <t>KP2</t>
  </si>
  <si>
    <t>Parking 7, Station View, Guildford</t>
  </si>
  <si>
    <t>Parking 8, Station View, Guildford</t>
  </si>
  <si>
    <t>Parking 2, Station View, Guildford</t>
  </si>
  <si>
    <t>Joseph Basford</t>
  </si>
  <si>
    <t>Parking 29, Station View, Guildford</t>
  </si>
  <si>
    <t>Parking 17, Station View, Guildford</t>
  </si>
  <si>
    <t>Kunhal Lakhiani</t>
  </si>
  <si>
    <t>Parking 1, Station View, Guildford</t>
  </si>
  <si>
    <t>Parking 15, Station View, Guildford</t>
  </si>
  <si>
    <t>Sumitha M Navaratnam</t>
  </si>
  <si>
    <t>Parking 3, Station View, Guildford</t>
  </si>
  <si>
    <t>Wai Man Ng</t>
  </si>
  <si>
    <t>Car Space 21, The Rock, Bury, BL9</t>
  </si>
  <si>
    <t>Jason McIlvaney</t>
  </si>
  <si>
    <t>DHX</t>
  </si>
  <si>
    <t>Car Space 213, The Rock, Bury, BL9</t>
  </si>
  <si>
    <t>Laura Forrest-Hinks</t>
  </si>
  <si>
    <t>Car Space 178, The Rock, Bury, BL9</t>
  </si>
  <si>
    <t>Christopher Allison</t>
  </si>
  <si>
    <t>Car Space 179, The Rock, Bury, BL9</t>
  </si>
  <si>
    <t>Adam Bateman</t>
  </si>
  <si>
    <t>Car Space 242, The Rock, Bury, BL9</t>
  </si>
  <si>
    <t>Wei Han</t>
  </si>
  <si>
    <t>Car Space 171, The Rock, Bury, BL9</t>
  </si>
  <si>
    <t>Car Space 200, The Rock, Bury, BL9</t>
  </si>
  <si>
    <t>Rene Koptak</t>
  </si>
  <si>
    <t>Car Space 202, The Rock, Bury, BL9</t>
  </si>
  <si>
    <t>Imranuddin Khan &amp; Mehak Fathima Khan</t>
  </si>
  <si>
    <t>Car Space 86, The Rock, Bury, BL9</t>
  </si>
  <si>
    <t>Car Space 14, The Rock, Bury, BL9</t>
  </si>
  <si>
    <t>Miss Leah Aspinall</t>
  </si>
  <si>
    <t>Car Space 193, The Rock, Bury, BL9</t>
  </si>
  <si>
    <t>Abdul Mehboob</t>
  </si>
  <si>
    <t>Car Space 211, The Rock, Bury, BL9</t>
  </si>
  <si>
    <t>Farida Tariq</t>
  </si>
  <si>
    <t>Car Space 157, The Rock, Bury, BL9</t>
  </si>
  <si>
    <t>Chung Keung Bin</t>
  </si>
  <si>
    <t>Car Space 167, The Rock, Bury, BL9</t>
  </si>
  <si>
    <t>Steven Hallett</t>
  </si>
  <si>
    <t>Car Space 17, The Rock, Bury, BL9</t>
  </si>
  <si>
    <t>Callen McKenzie</t>
  </si>
  <si>
    <t>Car Space 244, The Rock, Bury, BL9</t>
  </si>
  <si>
    <t>Zainab Bani</t>
  </si>
  <si>
    <t>Car Space 272, The Rock, Bury, BL9</t>
  </si>
  <si>
    <t>Car Space 222, The Rock, Bury, BL9</t>
  </si>
  <si>
    <t>Salomon Arreguin</t>
  </si>
  <si>
    <t>Car Space 163, The Rock, Bury, BL9</t>
  </si>
  <si>
    <t>Helena Santos</t>
  </si>
  <si>
    <t>Car Space 288, The Rock, Bury, BL9</t>
  </si>
  <si>
    <t>Mr Nuno Mariano</t>
  </si>
  <si>
    <t>Car Space 220, The Rock, Bury, BL9</t>
  </si>
  <si>
    <t>Wing Shing Wong</t>
  </si>
  <si>
    <t>Car Space 115, The Rock, Bury, BL9</t>
  </si>
  <si>
    <t>Jamilah Begum</t>
  </si>
  <si>
    <t>Car Space 298, The Rock, Bury, BL9</t>
  </si>
  <si>
    <t>Oliver Clifford</t>
  </si>
  <si>
    <t>Car Space 333, The Rock, Bury, BL9</t>
  </si>
  <si>
    <t>Mr Joseph Wignall &amp; Mr Jonathan Bailey</t>
  </si>
  <si>
    <t>Car Space 54, East Quarter, M4 7LB</t>
  </si>
  <si>
    <t>Laura Debnam</t>
  </si>
  <si>
    <t>MWX</t>
  </si>
  <si>
    <t>Offer renewal at £75.00pcm</t>
  </si>
  <si>
    <t>Car Space 56, East Quarter, M4 7LB</t>
  </si>
  <si>
    <t>Fynn Meredith</t>
  </si>
  <si>
    <t>Car Space 47, East Quarter, M4 7LB</t>
  </si>
  <si>
    <t>Ho Wong</t>
  </si>
  <si>
    <t>Car Space 25, East Quarter, M4 7LB</t>
  </si>
  <si>
    <t>Offer renewal at £50.00pcm</t>
  </si>
  <si>
    <t>Car Space 18, East Quarter, M4 7LB</t>
  </si>
  <si>
    <t>Car Space 43, East Quarter, M4 7LB</t>
  </si>
  <si>
    <t>Miss Natasha Baker</t>
  </si>
  <si>
    <t>Car Space 51, East Quarter, M4 7LB</t>
  </si>
  <si>
    <t>Car Space 41, Ancoats, M4 6BZ</t>
  </si>
  <si>
    <t>Eleanor Tee</t>
  </si>
  <si>
    <t>Offer renewal at £100.00pcm</t>
  </si>
  <si>
    <t>Car Space 15, Ancoats, M4 6BZ</t>
  </si>
  <si>
    <t>Car Space 17, Ancoats, M4 6BZ</t>
  </si>
  <si>
    <t>Oonati Patel</t>
  </si>
  <si>
    <t>Car Space 25, Ancoats, M4 6BZ</t>
  </si>
  <si>
    <t>Oliver Seymour</t>
  </si>
  <si>
    <t>Car Space 41, East Quarter, M4 7LB</t>
  </si>
  <si>
    <t>Dilesh Mistry</t>
  </si>
  <si>
    <t>Car Space 1, Ancoats, M4 6BZ</t>
  </si>
  <si>
    <t>Mr Edward Goddard</t>
  </si>
  <si>
    <t>Car Space 43, Ancoats, M4 6BZ</t>
  </si>
  <si>
    <t>Ollie Burke</t>
  </si>
  <si>
    <t>Car Space 19, Ancoats, M4 6BZ</t>
  </si>
  <si>
    <t>Revathi Rajeswari</t>
  </si>
  <si>
    <t>Parking 34, Weavers Yard, Newbury</t>
  </si>
  <si>
    <t>Carina Austine</t>
  </si>
  <si>
    <t>Shed 002, Winchester Park, SE1</t>
  </si>
  <si>
    <t>Marthe Meijer</t>
  </si>
  <si>
    <t>AM Minimum / Sept ERV %</t>
  </si>
  <si>
    <t>denied</t>
  </si>
  <si>
    <t>808 Syren Apt , Ottinger Close, Salford M50</t>
  </si>
  <si>
    <t>Revanth Challa, Venjata Chebiam, Sreeja Balne</t>
  </si>
  <si>
    <t xml:space="preserve">do not renew - residents have fallen out/wont agree to change of sharer. </t>
  </si>
  <si>
    <t>506 Enigma Square,  414 North Row, MK9 2FU</t>
  </si>
  <si>
    <t>Akanksha Mehta &amp; Ayush Jain</t>
  </si>
  <si>
    <t>Do not offer renewal - problematic towards site team</t>
  </si>
  <si>
    <t>708 Enigma Square,  414 North Row, MK9 2FU</t>
  </si>
  <si>
    <t>S Bedre, R Patil, S Amin and S Chavan</t>
  </si>
  <si>
    <t>Do not offer renewal. Residents have been verbally abusive to site team and caused lots of issues</t>
  </si>
  <si>
    <t>2B4P, 02D(M)North East, Balcony</t>
  </si>
  <si>
    <t>804, Halogen House, 217 Chapel St, Salford, M</t>
  </si>
  <si>
    <t>Okikioluwa Fagbemi &amp; Khalid Adeleke</t>
  </si>
  <si>
    <t>No - Do not offer, too many noise disturbances - check with PM</t>
  </si>
  <si>
    <t>315 Assay Apartments, Station View, Guildford</t>
  </si>
  <si>
    <t>Khaled Alalawi</t>
  </si>
  <si>
    <t>Resident has had final warnings relating to smoke on apartment balcony. Reports this is ongoing. Therefore, no renewal will be offered.</t>
  </si>
  <si>
    <t xml:space="preserve">Aborted </t>
  </si>
  <si>
    <t>108 Argo Apts,4 Silvertown Way,London,E16 1YD</t>
  </si>
  <si>
    <t>Zitong Zhao &amp; Oliver Firth</t>
  </si>
  <si>
    <t xml:space="preserve">They have vacated. </t>
  </si>
  <si>
    <t>719 Enigma Square,  414 North Row, MK9 2GE</t>
  </si>
  <si>
    <t>Mr Radhakrishnan, Miss Khambete, Mr Sundarraj</t>
  </si>
  <si>
    <t>Wants early release - do not offer renewal if they change their mind</t>
  </si>
  <si>
    <t>3B6P, 03BSouth East, Balcony</t>
  </si>
  <si>
    <t>809 Enigma Square,  414 North Row, MK9 2GE</t>
  </si>
  <si>
    <t>Carly McGill and Marc Leonard</t>
  </si>
  <si>
    <t>Has requested early release - will not be renewing</t>
  </si>
  <si>
    <t>1B2P, 01E(M)South West, Balcony</t>
  </si>
  <si>
    <t xml:space="preserve">aborted </t>
  </si>
  <si>
    <t>103 Gatehouse Apts, 86 East St, Southampton</t>
  </si>
  <si>
    <t>Miss Keri Cooper, Miss Frances Phillis</t>
  </si>
  <si>
    <t>Leaving - already on market</t>
  </si>
  <si>
    <t>L7,  Encl. balcony,  River Itchen/Cruise ship2Bed 4P, Type 2B</t>
  </si>
  <si>
    <t>126 Gatehouse Apts, 86 East St, Southampton</t>
  </si>
  <si>
    <t>Chi Kong Cheung &amp; Wai Man Lee</t>
  </si>
  <si>
    <t>L13,  Encl. balcony,  Town Hall/River Itchen2Bed 4P, Type 2A</t>
  </si>
  <si>
    <t>814 Enigma Square,  414 North Row, MK9 2GE</t>
  </si>
  <si>
    <t>Owen and Tamara Lane</t>
  </si>
  <si>
    <t>1B2P, 01C_S(MJ)North East, Balcony</t>
  </si>
  <si>
    <t xml:space="preserve">completed </t>
  </si>
  <si>
    <t>Outer London</t>
  </si>
  <si>
    <t>52, Morieux Road, Leyton, London</t>
  </si>
  <si>
    <t>Mr Harold George Doy</t>
  </si>
  <si>
    <t>Issue section 13 notice to increase rent to £800 PCM with effect from 1st August 2024.</t>
  </si>
  <si>
    <t>Assured</t>
  </si>
  <si>
    <t>Purpose-built flat ground floor1 bedroom, 1 reception</t>
  </si>
  <si>
    <t>1106, Halogen House, 217 Chapel St, Salford,</t>
  </si>
  <si>
    <t>Roy Alexander Weise</t>
  </si>
  <si>
    <t>In arrears - do not offer, notice served</t>
  </si>
  <si>
    <t>406, Halogen House, 217 Chapel St, Salford, M</t>
  </si>
  <si>
    <t>Henry Swales &amp; Maria Lacerda de Castro</t>
  </si>
  <si>
    <t xml:space="preserve">Moving to another unit in Neon House </t>
  </si>
  <si>
    <t>607, Halogen House, 217 Chapel St, Salford, M</t>
  </si>
  <si>
    <t>Mr Kristian Smith and Mr Toby Gheysen</t>
  </si>
  <si>
    <t>Bought a house</t>
  </si>
  <si>
    <t>aborted</t>
  </si>
  <si>
    <t>6, Temple Dwellings, London, E2 6QG</t>
  </si>
  <si>
    <t>Lewis White &amp; Giulio Bajona</t>
  </si>
  <si>
    <t>Tenants vacated 17th March, property now for sale</t>
  </si>
  <si>
    <t>Section 13 Notice served 6.7.23 to commence 22nd August 2023</t>
  </si>
  <si>
    <t>10, Temple Dwellings, London, E2 6QG</t>
  </si>
  <si>
    <t>Kieran Dawson &amp; Jessica Brassington</t>
  </si>
  <si>
    <t>4/4 advised by Asset management to serve a S21 notice</t>
  </si>
  <si>
    <t>1bed / 1bath, kitch, liv, grdn - Refurb '18LGF</t>
  </si>
  <si>
    <t>316, The Headline, Wellington Park Way, Leeds</t>
  </si>
  <si>
    <t>Rebecca Hall and Edward James</t>
  </si>
  <si>
    <t>Due to move out 31st March 2024</t>
  </si>
  <si>
    <t>2 Bed, 1 Bath, Type BL3,  West</t>
  </si>
  <si>
    <t>501, The Headline, Wellington Park Way, Leeds</t>
  </si>
  <si>
    <t>F Pennacchieti, G Mugione &amp; C Oliver</t>
  </si>
  <si>
    <t xml:space="preserve">Please section 21 </t>
  </si>
  <si>
    <t>2 Bed, 2 Bath, Type CL5, balcony, East</t>
  </si>
  <si>
    <t>Flat 7,Dominic Court,43 The Gardens, SE22 9QR</t>
  </si>
  <si>
    <t>Jessica Louise Oppong</t>
  </si>
  <si>
    <t>has served notice ot vacate on 1st September?</t>
  </si>
  <si>
    <t>2 Rooms, Kitchen, Bath Flat - Rfrb 21First floor</t>
  </si>
  <si>
    <t>4D Mitre Road, London, SE1 8PY</t>
  </si>
  <si>
    <t>Alice Harwood &amp; Rosie Moore</t>
  </si>
  <si>
    <t xml:space="preserve">Vacating, please abort LE Diary </t>
  </si>
  <si>
    <t>17, 110 The Rock, Bury, BL9</t>
  </si>
  <si>
    <t>Vacating 05.04.24</t>
  </si>
  <si>
    <t>Think this is either void or FV</t>
  </si>
  <si>
    <t>48, 124 The Rock, Bury, BL9</t>
  </si>
  <si>
    <t>Ahmed Esmael &amp; Aya Abdelmoneam</t>
  </si>
  <si>
    <t>Vacating 17.05.24</t>
  </si>
  <si>
    <t>Studio Type A4/No Balcony</t>
  </si>
  <si>
    <t>Apt 165, Kings Dock Mill, Liverpool, L1</t>
  </si>
  <si>
    <t>Amber Sardinha &amp; Andrew Harbinson</t>
  </si>
  <si>
    <t>Residents have served notice to leave - no need to renew</t>
  </si>
  <si>
    <t>Flat 303, Indigoblu, 14 Crown Point Rd, Leeds</t>
  </si>
  <si>
    <t>No issues, happy for renewal. Being sold so need to chekc with AM first before offering</t>
  </si>
  <si>
    <t>Keep on hold re sale</t>
  </si>
  <si>
    <t>1 Bedroom PB FlatFurnished</t>
  </si>
  <si>
    <t>Flat 404, Indigoblu, 14 Crown Point Rd, Leeds</t>
  </si>
  <si>
    <t>Faraaz Memon &amp; Ishita Naik</t>
  </si>
  <si>
    <t>Flat 209, Indigoblu, 14 Crown Point Rd, Leeds</t>
  </si>
  <si>
    <t>Cameron Brown</t>
  </si>
  <si>
    <t>Flat 402, Indigoblu, 14 Crown Point Rd, Leeds</t>
  </si>
  <si>
    <t>Deaglan Samuel O'Hare &amp; Chris Middleton</t>
  </si>
  <si>
    <t>2 Bedroom PB Flat - EnsuiteFurnished</t>
  </si>
  <si>
    <t>Flat 705, Indigoblu, 14 Crown Point Rd, Leeds</t>
  </si>
  <si>
    <t>Tadas Mazeika, Nhi Thao Do &amp; Thanh Nga Do</t>
  </si>
  <si>
    <t>Flat 702, Indigoblu, 14 Crown Point Rd, Leeds</t>
  </si>
  <si>
    <t>Sultan Alsubaie &amp; Abduallah Almugharrid</t>
  </si>
  <si>
    <t>Flat 202, Indigoblu, 14 Crown Point Rd, Leeds</t>
  </si>
  <si>
    <t>Murali Manohar &amp; Amrit Priya</t>
  </si>
  <si>
    <t>2 Bedroom PB Flat - 1 ensuiteFurnished</t>
  </si>
  <si>
    <t>North Star Jesmond</t>
  </si>
  <si>
    <t>13, Jesmond Place, Newcastle upon Tyne, NE2</t>
  </si>
  <si>
    <t>Majed Alasaly &amp; Maissae Drissennek</t>
  </si>
  <si>
    <t>2 Bedroom, FF, Modernised 2017</t>
  </si>
  <si>
    <t>21, Jesmond Place, Newcastle upon Tyne, NE2</t>
  </si>
  <si>
    <t>Ashvina Shegobin &amp; Philip Leese</t>
  </si>
  <si>
    <t>2 Bedroom, TF, Modernised 2020</t>
  </si>
  <si>
    <t>5, Jesmond Place, Newcastle upon Tyne, NE2</t>
  </si>
  <si>
    <t>Paul Gibbons &amp; Rebecca Forster</t>
  </si>
  <si>
    <t>1 Bedroom, FF, Modernised 2018Furnished 2019</t>
  </si>
  <si>
    <t>4, Jesmond Place, Newcastle upon Tyne, NE2</t>
  </si>
  <si>
    <t>Mia Bucklow &amp; Jonty Hanwell</t>
  </si>
  <si>
    <t>Had a couple of issues with condensation mould, Have helped out quite a bit and havent heard from them in a while.</t>
  </si>
  <si>
    <t>2 Bedroom, FF, Modernised &amp; Furnished 2018</t>
  </si>
  <si>
    <t>16, Jesmond Place, Newcastle upon Tyne, NE2</t>
  </si>
  <si>
    <t>Grace Fryer</t>
  </si>
  <si>
    <t>2 Bedroom, SF, Modernised &amp; Furnished 2017</t>
  </si>
  <si>
    <t>19, Jesmond Place, Newcastle upon Tyne, NE2</t>
  </si>
  <si>
    <t>Amy Bryce</t>
  </si>
  <si>
    <t>2 Bedroom, TF, Modernised &amp; Furnished 2017</t>
  </si>
  <si>
    <t>North Star Sandown</t>
  </si>
  <si>
    <t>55, Sandown, Whitley Bay, NE25</t>
  </si>
  <si>
    <t>Dr Semande Ayihongbe</t>
  </si>
  <si>
    <t>1 Bedroom, FF, Modernised 2018</t>
  </si>
  <si>
    <t>51, Sandown, Whitley Bay, NE25</t>
  </si>
  <si>
    <t>Mr Daniel Slater</t>
  </si>
  <si>
    <t>2 Bedroom, GF, UnmodernisedModern Bathroom 2021</t>
  </si>
  <si>
    <t>60, Sandown, Whitley Bay, NE25</t>
  </si>
  <si>
    <t>Lee Matthewson</t>
  </si>
  <si>
    <t>59, Sandown, Whitley Bay, NE25</t>
  </si>
  <si>
    <t>Mr James McCallum and Kim McCallum</t>
  </si>
  <si>
    <t>2 Bedroom, FF, Modernised 2018</t>
  </si>
  <si>
    <t>63, Sandown, Whitley Bay, NE25</t>
  </si>
  <si>
    <t>Maryana Kachynska</t>
  </si>
  <si>
    <t>2 Bedroom, GF, Modernised 2021</t>
  </si>
  <si>
    <t>Oystercatcher Foundry</t>
  </si>
  <si>
    <t>23 Foundry Court, Newcastle upon Tyne, NE6</t>
  </si>
  <si>
    <t>Isabel Dobinson</t>
  </si>
  <si>
    <t>2 Bedroom, TF, Modernised 2020, GCH 2019</t>
  </si>
  <si>
    <t>24 Foundry Court, Newcastle upon Tyne, NE6</t>
  </si>
  <si>
    <t>James Stewart</t>
  </si>
  <si>
    <t>1 Bedroom, TF, Semi-Modernised, GCH 2019</t>
  </si>
  <si>
    <t>13 Foundry Court, Newcastle upon Tyne, NE6</t>
  </si>
  <si>
    <t>Julian Wyton</t>
  </si>
  <si>
    <t>1 Bedroom, SF, Modernised 2017, GCH 2019</t>
  </si>
  <si>
    <t>Resi Heysmoor</t>
  </si>
  <si>
    <t>Flat 81, Heysmoor Heights, Liverpool, L8</t>
  </si>
  <si>
    <t>Mateus Tchilimba</t>
  </si>
  <si>
    <t>No issues with the resident or property - we are looking to sell the property in April so best to check with AM if we are looking to renew</t>
  </si>
  <si>
    <t>2 Bedroom-13FFurnished</t>
  </si>
  <si>
    <t>Flat 85, Heysmoor Heights, Liverpool, L8</t>
  </si>
  <si>
    <t>Milena Wlodarska</t>
  </si>
  <si>
    <t>1 Bedroom-14FUnfurnished</t>
  </si>
  <si>
    <t>Flat 70, Heysmoor Heights, Liverpool, L8</t>
  </si>
  <si>
    <t>Eimear Keatings</t>
  </si>
  <si>
    <t>1 Bedroom-12FFurnished</t>
  </si>
  <si>
    <t>Flat 66, Heysmoor Heights, Liverpool, L8</t>
  </si>
  <si>
    <t>Betina Sajimon &amp; Joel Joseph</t>
  </si>
  <si>
    <t>2 Bedroom-11FFurnished</t>
  </si>
  <si>
    <t>Flat 52, Heysmoor Heights, Liverpool, L8</t>
  </si>
  <si>
    <t>Chanel Kalemba</t>
  </si>
  <si>
    <t>1 Bedroom- 9th FFurnished</t>
  </si>
  <si>
    <t>Flat 74, Heysmoor Heights, Liverpool, L8</t>
  </si>
  <si>
    <t>Louis Hopkins &amp; Hannah Fowler</t>
  </si>
  <si>
    <t>2 Bedroom-12FFurnished</t>
  </si>
  <si>
    <t>Flat 28, Heysmoor Heights, Liverpool, L8</t>
  </si>
  <si>
    <t>Tiffany Rogan &amp; Matthew Quarrell</t>
  </si>
  <si>
    <t>1 bedroom- 5th floorFurnished</t>
  </si>
  <si>
    <t>Flat 54, Heysmoor Heights, Liverpool, L8</t>
  </si>
  <si>
    <t>Martyn Lyness</t>
  </si>
  <si>
    <t>2 Bedroom- 9FUnfurnished</t>
  </si>
  <si>
    <t>Flat 38, Heysmoor Heights, Liverpool, L8</t>
  </si>
  <si>
    <t>Miss Sioned Williams</t>
  </si>
  <si>
    <t>2 Bedroom-6th floorFurnished</t>
  </si>
  <si>
    <t>Flat 73, Heysmoor Heights, Liverpool, L8</t>
  </si>
  <si>
    <t>Ceryce Collie</t>
  </si>
  <si>
    <t>Flat 57, Heysmoor Heights, Liverpool, L8</t>
  </si>
  <si>
    <t>Jack McAlister &amp; Conor Kernohan</t>
  </si>
  <si>
    <t>2 Bedroom-9FFurnished</t>
  </si>
  <si>
    <t>Date Added</t>
  </si>
  <si>
    <t>AM</t>
  </si>
  <si>
    <t xml:space="preserve">Neg </t>
  </si>
  <si>
    <t>Address</t>
  </si>
  <si>
    <t>Current Monthly</t>
  </si>
  <si>
    <t>Offered Price</t>
  </si>
  <si>
    <t>Offered/ Current %</t>
  </si>
  <si>
    <t>Tenants Counter Offer</t>
  </si>
  <si>
    <t xml:space="preserve">Counter Offer % </t>
  </si>
  <si>
    <t>Renewal Suggested Price</t>
  </si>
  <si>
    <t>Suggested/ Current %</t>
  </si>
  <si>
    <t>Suggested/ ERV %</t>
  </si>
  <si>
    <t>Reasoning</t>
  </si>
  <si>
    <t xml:space="preserve">AM Decision </t>
  </si>
  <si>
    <t>AM Notes</t>
  </si>
  <si>
    <t>Re-Offered</t>
  </si>
  <si>
    <t>Outcome</t>
  </si>
  <si>
    <t>13/05/2024</t>
  </si>
  <si>
    <t>Daisy</t>
  </si>
  <si>
    <t>Jem</t>
  </si>
  <si>
    <t>Flat 75 Ability Plaza</t>
  </si>
  <si>
    <t>Tenant has been in 4 years</t>
  </si>
  <si>
    <t xml:space="preserve">no </t>
  </si>
  <si>
    <t xml:space="preserve">Needs to be in line with ERV at least </t>
  </si>
  <si>
    <t>Vicki</t>
  </si>
  <si>
    <t>316 Brook Place</t>
  </si>
  <si>
    <t>8 x  2 beds due on market</t>
  </si>
  <si>
    <t>£1235</t>
  </si>
  <si>
    <t>Come back to me if still an issue - do not want a avoid</t>
  </si>
  <si>
    <t>14/05/2024</t>
  </si>
  <si>
    <t>402 Pin Yard</t>
  </si>
  <si>
    <r>
      <rPr>
        <b/>
        <sz val="10"/>
        <color rgb="FF000000"/>
        <rFont val="Aptos Narrow"/>
        <family val="2"/>
      </rPr>
      <t xml:space="preserve">June Renewal
</t>
    </r>
    <r>
      <rPr>
        <sz val="10"/>
        <color rgb="FF000000"/>
        <rFont val="Aptos Narrow"/>
        <family val="2"/>
      </rPr>
      <t>Think we can try for a bit more but aware of issues here &amp; dont want to lose anyone- can we accept counter or push for more? he is requesting to sign a 36 month contract too</t>
    </r>
  </si>
  <si>
    <t>£1000</t>
  </si>
  <si>
    <t xml:space="preserve">Try for more but would accept counter offer </t>
  </si>
  <si>
    <t>Accepted</t>
  </si>
  <si>
    <t>14/05/2025</t>
  </si>
  <si>
    <t>801 Pin Yard</t>
  </si>
  <si>
    <t>TT is aware of market &amp; what is available, as we do not want void suggest a smaller increase on his or accept counter</t>
  </si>
  <si>
    <t>£1060</t>
  </si>
  <si>
    <t>Accept counter offer</t>
  </si>
  <si>
    <t>14/05/2026</t>
  </si>
  <si>
    <t>KDM</t>
  </si>
  <si>
    <t>116 Kings Dock Mill</t>
  </si>
  <si>
    <t xml:space="preserve">TT is travelling around Christmas so wants a 6 month break clause to end in January- can we grant this?
Fear is she may not then sign a renewal with increase and it will roll </t>
  </si>
  <si>
    <t>Yes</t>
  </si>
  <si>
    <t>Yes - give break clause</t>
  </si>
  <si>
    <t>14/05/2027</t>
  </si>
  <si>
    <t>Sarah</t>
  </si>
  <si>
    <t>Barnum</t>
  </si>
  <si>
    <t>835 The Barnum</t>
  </si>
  <si>
    <t xml:space="preserve">TT pays RIA &amp; wants a 6 month contract, cannot pass for monthly cannot provide GT, wants to stay beyond the 6 months happy to pay the rent but cannot pay anymore than 6 months at a time. Suggest offering x2 6 months RIA at this time but would mean inputting a 6 month break clause however still not sure he can pay the 6 months in month 4. </t>
  </si>
  <si>
    <t>15/05/52024</t>
  </si>
  <si>
    <t>620 Pin Yard</t>
  </si>
  <si>
    <t>high voids in Pin suggest either accepting or try for a little more uplift</t>
  </si>
  <si>
    <t>£1400</t>
  </si>
  <si>
    <t>Try for £1,400 but would accept counter offer rather than lose them</t>
  </si>
  <si>
    <t>15/05/52025</t>
  </si>
  <si>
    <t>54 15 SJG</t>
  </si>
  <si>
    <t>Small decrease to try to keep tenants</t>
  </si>
  <si>
    <t xml:space="preserve">No </t>
  </si>
  <si>
    <t>No neg</t>
  </si>
  <si>
    <t>15/05/52026</t>
  </si>
  <si>
    <t>610 Pin Yard</t>
  </si>
  <si>
    <t>Whats the best price here to try to keep?</t>
  </si>
  <si>
    <t>£1025</t>
  </si>
  <si>
    <t>£1025 is lowest</t>
  </si>
  <si>
    <t>15/05/52027</t>
  </si>
  <si>
    <t>Clippers</t>
  </si>
  <si>
    <t>804 Tayleur</t>
  </si>
  <si>
    <t>a few 2 beds on the market dont think we want one of the more expensive ones on the market as struggling to shift the less expensive 2 beds, suggest a smaller increase</t>
  </si>
  <si>
    <t xml:space="preserve">Yes </t>
  </si>
  <si>
    <t>17/05/2024</t>
  </si>
  <si>
    <t>1010 Tayleur</t>
  </si>
  <si>
    <t xml:space="preserve">to try to keep them </t>
  </si>
  <si>
    <t>£1365</t>
  </si>
  <si>
    <t>Try for £1385 but would accept £1365</t>
  </si>
  <si>
    <t>Filaments</t>
  </si>
  <si>
    <t>1207 Halogen</t>
  </si>
  <si>
    <t>slight reduction to try to keep them</t>
  </si>
  <si>
    <t>£1540</t>
  </si>
  <si>
    <t>No lower than £1540</t>
  </si>
  <si>
    <t>611 Neon</t>
  </si>
  <si>
    <t>Tenants are asking for less than the minimum which is £1430 here if they sign a longer contract- can we go any lower than the minimum £1430?</t>
  </si>
  <si>
    <t>£1420 for longer contract</t>
  </si>
  <si>
    <t>27/07/2024</t>
  </si>
  <si>
    <t>Enigma</t>
  </si>
  <si>
    <t>817 Enigma Squ</t>
  </si>
  <si>
    <t xml:space="preserve">suggest to come doen to  6% - tenants interested in 36 months term incl 14 months break clause. </t>
  </si>
  <si>
    <t xml:space="preserve">does not want to pay more than 3% - cheaper apts in and around the building. </t>
  </si>
  <si>
    <t>Try for 4% uplift but woudl accept 3% uplift</t>
  </si>
  <si>
    <t xml:space="preserve">yes </t>
  </si>
  <si>
    <t xml:space="preserve">vacting </t>
  </si>
  <si>
    <t>Harriet</t>
  </si>
  <si>
    <t>97 Adlay Apartments</t>
  </si>
  <si>
    <t>Accept £2265</t>
  </si>
  <si>
    <t>516 Pin Yard</t>
  </si>
  <si>
    <t>tenants struggling with rent whats best price here?</t>
  </si>
  <si>
    <t>£1020 but come back tome if still an issue as do not want a void</t>
  </si>
  <si>
    <t>17/05/2025</t>
  </si>
  <si>
    <t>43 Kings Dock Mill</t>
  </si>
  <si>
    <t>suggest slightly more than ERV to keep</t>
  </si>
  <si>
    <t>17/05/2026</t>
  </si>
  <si>
    <t>409 Pin Yard</t>
  </si>
  <si>
    <t>suggest accepting or offer slightly higher the retain</t>
  </si>
  <si>
    <t>£1050</t>
  </si>
  <si>
    <t>Try for £1050 but I would accept resident counter offer</t>
  </si>
  <si>
    <t>Great Sutton</t>
  </si>
  <si>
    <t>Apartment 7, 46-47</t>
  </si>
  <si>
    <t>tenant happy with price</t>
  </si>
  <si>
    <t xml:space="preserve">Tenant wants a 2 month break clause because her mum, who lives in Australia requires 24 hour care. Her dad currently provides this, but should something happen where he can't look after her mum, they would need to move back home. They previously had a 2 month bc in their current contract.
</t>
  </si>
  <si>
    <t xml:space="preserve">That's fine, please renew </t>
  </si>
  <si>
    <t>21/05/2024</t>
  </si>
  <si>
    <t>407 Neon House</t>
  </si>
  <si>
    <t>Whats best price?</t>
  </si>
  <si>
    <t>Let me know if still an issue.  Do not want void</t>
  </si>
  <si>
    <t>1106 Pin Yard</t>
  </si>
  <si>
    <t xml:space="preserve"> no mention of rent reduction- wants a 6 month break clause as moving in with boyfriend after this, can we accept</t>
  </si>
  <si>
    <t>Yes - give the break clause</t>
  </si>
  <si>
    <t>307 Neon</t>
  </si>
  <si>
    <t>to try to keep them as 3 beds are tough to let currently</t>
  </si>
  <si>
    <t>21/05/2025</t>
  </si>
  <si>
    <t>409 Neon</t>
  </si>
  <si>
    <t>not happy at all been here for 3 years- whats best price?</t>
  </si>
  <si>
    <t>No more neg after £1,455</t>
  </si>
  <si>
    <t>22/05/2024</t>
  </si>
  <si>
    <t>Gilders</t>
  </si>
  <si>
    <t>15, Gilders Yard,</t>
  </si>
  <si>
    <t xml:space="preserve">1080 a month this would be more on the increase I would be able to budget and manage within. Also, I would still be able to pay this in two 6-month installments </t>
  </si>
  <si>
    <t>23/5/24</t>
  </si>
  <si>
    <t>114 Brook</t>
  </si>
  <si>
    <t>No more neg after £1,240</t>
  </si>
  <si>
    <t>20/05/2024</t>
  </si>
  <si>
    <t>abbevville</t>
  </si>
  <si>
    <t>Apt 402, Abbeville Apts,</t>
  </si>
  <si>
    <t xml:space="preserve">did not budget for larger increase </t>
  </si>
  <si>
    <t>£2,100 minimum</t>
  </si>
  <si>
    <t>vicki</t>
  </si>
  <si>
    <t>sophie</t>
  </si>
  <si>
    <t>810 Enigma Sq</t>
  </si>
  <si>
    <t>This is way above any cost of living increase and totally unacceptable.</t>
  </si>
  <si>
    <t>No more neg after £1,430</t>
  </si>
  <si>
    <t>20/07/2025</t>
  </si>
  <si>
    <t>729 Enigma</t>
  </si>
  <si>
    <t>comparable enigma units listed at 1370-1380</t>
  </si>
  <si>
    <t>24/05/2024</t>
  </si>
  <si>
    <t>407 Halogen</t>
  </si>
  <si>
    <t>Mum is very ill in Australia and if she worsens she will need to go back. She is having heart surgery in a few months time so it would be around October/November time she may want to vacate
Have offered the 2 month any time break but cannot leave in Nov-March but in this case can we shorten this to just Dec &amp; Jan?</t>
  </si>
  <si>
    <t>Yes as per your comments</t>
  </si>
  <si>
    <t>Headline</t>
  </si>
  <si>
    <t>1401 The Headline</t>
  </si>
  <si>
    <t>Wants a 6 month contract to leave in Jan as will definitely be vacating can we accept?</t>
  </si>
  <si>
    <t>Would rather have void now than January</t>
  </si>
  <si>
    <t>706 Enigma S</t>
  </si>
  <si>
    <t>offer new price book rent first (1420) with the option to reduce to 8%</t>
  </si>
  <si>
    <t xml:space="preserve">budgetted for the 8% increase stated in the agreement which applied to the longer term contracts - informed that will be the renewal price </t>
  </si>
  <si>
    <t>No more neg after £1,410</t>
  </si>
  <si>
    <t>Argo</t>
  </si>
  <si>
    <t>97 Argo</t>
  </si>
  <si>
    <t>TTs cannot afford and have been looking elsewhere</t>
  </si>
  <si>
    <t>accept - £1,975 min</t>
  </si>
  <si>
    <t>213 The Headline</t>
  </si>
  <si>
    <t>104 is on the market for £1065 and tenant is aware of this, whats our best price?
new PB is £1085</t>
  </si>
  <si>
    <t>162 KDM</t>
  </si>
  <si>
    <t>Whats best price? most 2 beds on the market are B2R in this area at similar price</t>
  </si>
  <si>
    <t>28/05/2024</t>
  </si>
  <si>
    <t>130 KDM</t>
  </si>
  <si>
    <t>whats best price?</t>
  </si>
  <si>
    <t>108 KDM</t>
  </si>
  <si>
    <t>They have served notice but want to see what best price is to try to keep</t>
  </si>
  <si>
    <t>Vacating</t>
  </si>
  <si>
    <t>14/07/2024</t>
  </si>
  <si>
    <t>H&amp;G</t>
  </si>
  <si>
    <t>FLAT 23, Hawkins L</t>
  </si>
  <si>
    <t xml:space="preserve">We're currently at £1925- are we able to reduce to £1900 (1.2% below ERV) to try and tie? </t>
  </si>
  <si>
    <t xml:space="preserve">Offer longer TA </t>
  </si>
  <si>
    <t>31/07/2024</t>
  </si>
  <si>
    <t>334 Enigm</t>
  </si>
  <si>
    <t>I would have loved to renew my rent with enigma bcos I love the service you provide but the prize increase is ridiculous for 1 bedroom flat excluding all bills, the prize increase was too much I must say.  + on the phone seen comparable unit not far away for 100 less</t>
  </si>
  <si>
    <t xml:space="preserve">No neg </t>
  </si>
  <si>
    <t>No neg - sorry</t>
  </si>
  <si>
    <t>yes</t>
  </si>
  <si>
    <t>29/05/2024</t>
  </si>
  <si>
    <t xml:space="preserve">Eagle House </t>
  </si>
  <si>
    <t>Flat 9 Eagle House</t>
  </si>
  <si>
    <t>tenant has seen an identical flat on for £2150 although not sure what flat this is</t>
  </si>
  <si>
    <t xml:space="preserve">Please stick with offer </t>
  </si>
  <si>
    <t>Mitre Road</t>
  </si>
  <si>
    <t>95 Mitre Road</t>
  </si>
  <si>
    <t>This figure is based on comparable furnished properties the tenant found in the same vicinity currently listed at £2,200 on Zoopla. They have been tenants for 7 years.</t>
  </si>
  <si>
    <t xml:space="preserve">That's fine, please renew at suggested price </t>
  </si>
  <si>
    <t>The Gardens</t>
  </si>
  <si>
    <t>32, Flat FFF</t>
  </si>
  <si>
    <t>Studio</t>
  </si>
  <si>
    <t>tenant wants a £10pcm reduction on offer</t>
  </si>
  <si>
    <t>305 Enigma S</t>
  </si>
  <si>
    <t>Since moving in January 2023, the proposed rent of £1890 per calendar month represents an 18.5% increase over a span of just 1.5 years. Arbour and Park Square, which are offering 2-bedroom apartments at significantly lower rates. Multiple complaints of nouse &amp; intrcom issues</t>
  </si>
  <si>
    <t>Would accept £1,855 if they agree to longer TA</t>
  </si>
  <si>
    <t>30/05/2024</t>
  </si>
  <si>
    <t>Dibdin House</t>
  </si>
  <si>
    <t>Flat 165</t>
  </si>
  <si>
    <t>tenant said he's seen other flats in the same building for much lower</t>
  </si>
  <si>
    <t xml:space="preserve">This flat is recently refurbished, please stick to original offer </t>
  </si>
  <si>
    <t>Flat 3 Grove House</t>
  </si>
  <si>
    <t xml:space="preserve">they feel they're being pushed out which is unfair considering the difficult circumstances they have endured (relentless drilling, unusable terrace, loud gym noises) </t>
  </si>
  <si>
    <t xml:space="preserve">Works are due to be completed here soon. Happy to agree with suggested renewal price </t>
  </si>
  <si>
    <t>Flat 11 Grove House</t>
  </si>
  <si>
    <t>tenants think the flat is not currently in a state to be re-let due to the damage that needs replacing and that the market price does not include these factors</t>
  </si>
  <si>
    <t>Shillington</t>
  </si>
  <si>
    <t>bedsit</t>
  </si>
  <si>
    <t>suggest accept counteroffer as £5pcm</t>
  </si>
  <si>
    <t xml:space="preserve">Please renew at suggested price </t>
  </si>
  <si>
    <t>Kew Bridge</t>
  </si>
  <si>
    <t>83 Kew Bridge Court</t>
  </si>
  <si>
    <t>suggest accept counteroffer</t>
  </si>
  <si>
    <t>Ex 19 Ability Plaza</t>
  </si>
  <si>
    <t xml:space="preserve">The resident is paying a very low rent for the property. Please can we push a little higher here. Offered rent is already below ERV </t>
  </si>
  <si>
    <t>Berewood</t>
  </si>
  <si>
    <t>6, Houghton Avenue</t>
  </si>
  <si>
    <t xml:space="preserve">will sign another 24 months term for 1400pcm - had numerous issues with flat </t>
  </si>
  <si>
    <t>£1430 min</t>
  </si>
  <si>
    <t xml:space="preserve">Vicki </t>
  </si>
  <si>
    <t xml:space="preserve">730 Enigma </t>
  </si>
  <si>
    <t xml:space="preserve">req a capped increase at 9% (1440) </t>
  </si>
  <si>
    <t>15/07/2024</t>
  </si>
  <si>
    <t>816 Enigma</t>
  </si>
  <si>
    <t>I checked the rightmove website, and it seems that prices for the identical apartments in Enigma Square vary from 1360 to 1400 there, which is less than what you provided me in the renewal offer:</t>
  </si>
  <si>
    <t>24/07/2024</t>
  </si>
  <si>
    <t>Flat 97 Hawkins</t>
  </si>
  <si>
    <t>A</t>
  </si>
  <si>
    <t>1006 Tayleur</t>
  </si>
  <si>
    <t>What price can we agree?</t>
  </si>
  <si>
    <t>705 Ambassador</t>
  </si>
  <si>
    <t>New PB £1865
Can we reduce a small amount to keep?</t>
  </si>
  <si>
    <t>Solstice</t>
  </si>
  <si>
    <t>225 Solsricr</t>
  </si>
  <si>
    <t>will be happy to agree to 4% for a 24 or 36 month term including 15 month break clause.</t>
  </si>
  <si>
    <t>516 Enigma</t>
  </si>
  <si>
    <t xml:space="preserve">
TT counter offered with £1390- complaining as they're aware of other renewals and have offered in line with these - suggest we accept counter offer</t>
  </si>
  <si>
    <t>filaments</t>
  </si>
  <si>
    <t>1004 Halogen</t>
  </si>
  <si>
    <t>More than likely will lose this as have countered at £1800- whats best price?</t>
  </si>
  <si>
    <t>1009 Halogen</t>
  </si>
  <si>
    <t>the minimum states £1560 but is there any more room? they want current rent as the lower floors are going for this- we may lose</t>
  </si>
  <si>
    <t>224 Solstice</t>
  </si>
  <si>
    <t>FLAT 56, Hawkins L</t>
  </si>
  <si>
    <t>tenant is interrested in 24 months term - would recommend new price book rent for longer term</t>
  </si>
  <si>
    <t xml:space="preserve">6 Mundy </t>
  </si>
  <si>
    <t>informed by the agent at move in there would be no increase, also would be rolling - i think we could agree to meet mid-way with 6months BC</t>
  </si>
  <si>
    <t>can accept £1935</t>
  </si>
  <si>
    <t>I think the ERV is wrong</t>
  </si>
  <si>
    <t>Flat 66 Springfield</t>
  </si>
  <si>
    <t>tenant wants a longer term. maybe £2800 for first year and 4% uplift in 2nd year?</t>
  </si>
  <si>
    <t>13/08/2024</t>
  </si>
  <si>
    <t>408 Enigma S</t>
  </si>
  <si>
    <t>Max bugjet is less than 1400pcm.</t>
  </si>
  <si>
    <t>Nautilus</t>
  </si>
  <si>
    <t>31 Nautilus</t>
  </si>
  <si>
    <t xml:space="preserve">tenant has requested a 3 month term due to masters. she pays RIA - would suggest accepting 3 month term to re-let in October, or a break clause holiday. </t>
  </si>
  <si>
    <t>discussed over email</t>
  </si>
  <si>
    <t>805 The Headline</t>
  </si>
  <si>
    <t>815 the headline is on market for £1330- TT knows and wants to view this- he has countered at £1400 however do believe we will lose to other apartment as cheaper than current rent</t>
  </si>
  <si>
    <t>702 Halogen</t>
  </si>
  <si>
    <t>not sure if we will keep- whats best price</t>
  </si>
  <si>
    <t>801 Tayleur</t>
  </si>
  <si>
    <t>tenants have served notice but asking to see if theres any neg toom to try to keep</t>
  </si>
  <si>
    <t>£1,370 best and final</t>
  </si>
  <si>
    <t>1504 Lamp House</t>
  </si>
  <si>
    <t>to try to keep</t>
  </si>
  <si>
    <t>£1,585 best and final</t>
  </si>
  <si>
    <t>804 Torrens</t>
  </si>
  <si>
    <t>No neg on offered price</t>
  </si>
  <si>
    <t xml:space="preserve">811 Enigma </t>
  </si>
  <si>
    <t>TTs req max increase of 6%, 11% is unacceptable price increase</t>
  </si>
  <si>
    <t>£1,400 best and final</t>
  </si>
  <si>
    <t xml:space="preserve">704 Ambassador </t>
  </si>
  <si>
    <t>suggest agree to their counter</t>
  </si>
  <si>
    <t>635 Enigma</t>
  </si>
  <si>
    <t>1480 incl pl</t>
  </si>
  <si>
    <t>Offered min at £1465 - TT is asking for 1480 including parking - would suggest Rental Level: £1465.00 + Parking fee: £25.00 = 1490 in total.</t>
  </si>
  <si>
    <t>As per renewals team suggestion</t>
  </si>
  <si>
    <t>73 Kings Dock Mill</t>
  </si>
  <si>
    <t>86 Mitre Road</t>
  </si>
  <si>
    <t>Short term</t>
  </si>
  <si>
    <t>tenant can only commit to a tenancy ending in December due to VISA issues. Did offer a work relocation clause but was rejected.</t>
  </si>
  <si>
    <t xml:space="preserve">Cannot agree to a contract ending in December </t>
  </si>
  <si>
    <t>Flat 16 Ability</t>
  </si>
  <si>
    <t>suggest offering just above ERV</t>
  </si>
  <si>
    <t>104 Adlay Apartments</t>
  </si>
  <si>
    <t>cannot accept below £2275</t>
  </si>
  <si>
    <t>HS added ERV</t>
  </si>
  <si>
    <t xml:space="preserve">Wellesley </t>
  </si>
  <si>
    <t>16 Nelson</t>
  </si>
  <si>
    <t xml:space="preserve">happy to proceed with a 24 month term - req 1300pcm </t>
  </si>
  <si>
    <t>Cannot accept below ERV - £1325 min</t>
  </si>
  <si>
    <t>no more neg</t>
  </si>
  <si>
    <t>Grove HOUSE</t>
  </si>
  <si>
    <t>Second time they have requested a neg. Can we go below ERV? Currently a Future Vacant</t>
  </si>
  <si>
    <t>Flat 95 Springfield House</t>
  </si>
  <si>
    <t>tenants said there is another flat in the block which is significantly larger and furnished, is currently listed at £3,500 PCM. By comparison, our apartment is 253 sq ft smaller as well as partly furnished, making it disproportionately priced compared to other units in the building</t>
  </si>
  <si>
    <t xml:space="preserve">I'm not sure I understand their point here? We are offering sgnificantly lower than £3,500? Please go back with £3275, can come down to £3250 at the most </t>
  </si>
  <si>
    <t>Abbeville</t>
  </si>
  <si>
    <t>Apt 509 Abbeville Apartments</t>
  </si>
  <si>
    <t>Tenant wants 24 month term with 4% increase</t>
  </si>
  <si>
    <t>Try for £1550 in first instance - £1530 minimum</t>
  </si>
  <si>
    <t>1m  Shillington Old School</t>
  </si>
  <si>
    <t xml:space="preserve">tenant has mentioned lots of issues that have been raised with CST </t>
  </si>
  <si>
    <t>602 Halogen</t>
  </si>
  <si>
    <t>218 Pin Yard</t>
  </si>
  <si>
    <t>TTs will more than likely vacate- whats best price?</t>
  </si>
  <si>
    <t>1802 Aster Apartments</t>
  </si>
  <si>
    <t>Any further wiggle room?</t>
  </si>
  <si>
    <t>okay with £2100</t>
  </si>
  <si>
    <t>409 Halogen</t>
  </si>
  <si>
    <t>Whats best price? Am minimum is £1490</t>
  </si>
  <si>
    <t>805 Ambassador</t>
  </si>
  <si>
    <t>618 Ambassador</t>
  </si>
  <si>
    <t>other 2 beds are struggling to let as we have a few on the market for around £1360</t>
  </si>
  <si>
    <t>48 The Gardens, GF Left (3)</t>
  </si>
  <si>
    <t>tenant interested in 24 month term so can keep for longer</t>
  </si>
  <si>
    <t>13/06/2024</t>
  </si>
  <si>
    <t xml:space="preserve">28 The Gardens LGF </t>
  </si>
  <si>
    <t>studio</t>
  </si>
  <si>
    <t>tenant has mentioned lots of issues that have ongoing for 2 years and John Carroll and Yvonne are aware</t>
  </si>
  <si>
    <t>910 Ambassador</t>
  </si>
  <si>
    <t>17/06/2024</t>
  </si>
  <si>
    <t xml:space="preserve"> Lacey</t>
  </si>
  <si>
    <t>Astley</t>
  </si>
  <si>
    <t xml:space="preserve">614 The Astley </t>
  </si>
  <si>
    <t>came down to minimum £1425 but they have now countered- suggest accepting</t>
  </si>
  <si>
    <t>Best &amp; final</t>
  </si>
  <si>
    <t>801 Halogen</t>
  </si>
  <si>
    <t>came down to minimum £1525 but then they countered at £1500- can we accept</t>
  </si>
  <si>
    <t>18/06/2024</t>
  </si>
  <si>
    <t>Flat 4 Ability View</t>
  </si>
  <si>
    <t>said he paid £200pcm above asking initially and saw a flat at Plaza for £2100pcm.</t>
  </si>
  <si>
    <t xml:space="preserve">Please can we push here. This flat is bigger than most of the flats in Ability Plaza </t>
  </si>
  <si>
    <t>66 Adlay Apartments</t>
  </si>
  <si>
    <t>other 1 bed flats OTM from £1935 of same size</t>
  </si>
  <si>
    <t>definitely accept counter offer - can even go down to 1925 if risk of losing them but accept £1935 in first instance</t>
  </si>
  <si>
    <t>we can't have another 1 bed OTM! And &gt;ERV</t>
  </si>
  <si>
    <t>303 Tayleur</t>
  </si>
  <si>
    <t>came down to minimum 1375 but cannot tie it as complaining about the noise in the apartment</t>
  </si>
  <si>
    <t>AStley</t>
  </si>
  <si>
    <t>306 The Astley</t>
  </si>
  <si>
    <t>complaining about construction, noise &amp; security- is there any room here?</t>
  </si>
  <si>
    <t>70 KDM</t>
  </si>
  <si>
    <t>Long shot but can we neg here?</t>
  </si>
  <si>
    <t>19/06/2024</t>
  </si>
  <si>
    <t>St Annes House</t>
  </si>
  <si>
    <t>Flat 35 St Annes House</t>
  </si>
  <si>
    <t>tenant saw another flat on for £950pcm. He said £950 is max for him so will lose.</t>
  </si>
  <si>
    <t xml:space="preserve">FIne to accept </t>
  </si>
  <si>
    <t>Flat 45, Hawkins Lan</t>
  </si>
  <si>
    <t>TT is requesting more flexible breakclause option of 2 months anytime due to works and no more than 5% increase</t>
  </si>
  <si>
    <t>£1,515 and yes to break clause</t>
  </si>
  <si>
    <t>22 Argo Apartments</t>
  </si>
  <si>
    <t xml:space="preserve">Agree - can't go below erv </t>
  </si>
  <si>
    <t>£1975 min</t>
  </si>
  <si>
    <t>20/06/2024</t>
  </si>
  <si>
    <t>1801 Aster Apartments</t>
  </si>
  <si>
    <t>Agree, can try for £3,275 and perhaps neg down to £3,250 if needs be as we don't want another OTM</t>
  </si>
  <si>
    <t>62 Adlay Apartments</t>
  </si>
  <si>
    <t>identical 3 bed floor above OTM for £3275</t>
  </si>
  <si>
    <t>yes 3275 as dont want another 3 bed OTM</t>
  </si>
  <si>
    <t>Flat 1 Grove House</t>
  </si>
  <si>
    <t>rent is already quite high and they have complained about the gym, scaffolding etc</t>
  </si>
  <si>
    <t xml:space="preserve">We've offered a very low increase there, we can't agree to a 0% uplift </t>
  </si>
  <si>
    <t>Farnham House</t>
  </si>
  <si>
    <t>Flat 9 Farnham House</t>
  </si>
  <si>
    <t>unresolved complaint and flat is due a refurbishment</t>
  </si>
  <si>
    <t xml:space="preserve">Waiting info from Darin </t>
  </si>
  <si>
    <t>21/06/2024</t>
  </si>
  <si>
    <t>140 Adlay Apartments</t>
  </si>
  <si>
    <t>other 2 beds on for around 2375 but 4 OTM</t>
  </si>
  <si>
    <t xml:space="preserve">can we please try for £2335 first? </t>
  </si>
  <si>
    <t xml:space="preserve">24/06/2024 </t>
  </si>
  <si>
    <t>705 The Headline</t>
  </si>
  <si>
    <t>901 the headline is on market for 1405- can we match?
otherwise tenants will move there</t>
  </si>
  <si>
    <t>24/06/2024</t>
  </si>
  <si>
    <t xml:space="preserve">603 Solstice </t>
  </si>
  <si>
    <t xml:space="preserve">residnet renewed in similar apt at 1340 - tt req to renew at same price, increase to high thought it would be betwen 4-6% </t>
  </si>
  <si>
    <t>Flat 47 Springfield House</t>
  </si>
  <si>
    <t xml:space="preserve">We can go down to 2750 </t>
  </si>
  <si>
    <t xml:space="preserve">25/06/2024 </t>
  </si>
  <si>
    <t>LAcey</t>
  </si>
  <si>
    <t>The Astley</t>
  </si>
  <si>
    <t>210 The Astley</t>
  </si>
  <si>
    <t>suggest accepting their counter- I offered 1380 but wondered if there is any more room for neg</t>
  </si>
  <si>
    <t xml:space="preserve">Sophie </t>
  </si>
  <si>
    <t>410 Solstice</t>
  </si>
  <si>
    <t xml:space="preserve">suggest to meet mid way as similar 1 beds previiusly renewed at 1350pcm </t>
  </si>
  <si>
    <t>26/06/2024</t>
  </si>
  <si>
    <t>enigma</t>
  </si>
  <si>
    <t>802 Enigm</t>
  </si>
  <si>
    <t>this too high compared to the newly built flats across the road. Their facilities are better than here with each flat being equipped with hot water tanks and regulators, along with inbuilt microwaves.</t>
  </si>
  <si>
    <t>27/06/2024</t>
  </si>
  <si>
    <t>Flat 10 Canonbury Heights East</t>
  </si>
  <si>
    <t>the Headline</t>
  </si>
  <si>
    <t>1311 The Headline</t>
  </si>
  <si>
    <t>consider 1540 to try to keep?</t>
  </si>
  <si>
    <t>28/06/2024</t>
  </si>
  <si>
    <t>4 Langford H</t>
  </si>
  <si>
    <t xml:space="preserve">on going issues with leaking roof - and ongoing internal repairs - with PM. </t>
  </si>
  <si>
    <t>condor</t>
  </si>
  <si>
    <t>426 The Condor</t>
  </si>
  <si>
    <t>req 810 due to no increase on wages and over budget</t>
  </si>
  <si>
    <t>26 Bradbury Ap</t>
  </si>
  <si>
    <t>2 year issue with leaking roof</t>
  </si>
  <si>
    <t>Benson House</t>
  </si>
  <si>
    <t>10 Benson House</t>
  </si>
  <si>
    <t>2`</t>
  </si>
  <si>
    <t>wants a 2 year term</t>
  </si>
  <si>
    <t>pin Yard</t>
  </si>
  <si>
    <t>615 Pin Yard</t>
  </si>
  <si>
    <t>to try to keep?</t>
  </si>
  <si>
    <t>608 Halogen</t>
  </si>
  <si>
    <t>came to minimum 1515 but TTs are now asking for evidence of market value of the property- can we reduce any further?</t>
  </si>
  <si>
    <t>Best &amp; Final.  Lettings will need to produce evidence</t>
  </si>
  <si>
    <t>Tilt Works</t>
  </si>
  <si>
    <t>410, 84 Upper Allen Street</t>
  </si>
  <si>
    <t>44 The Gardens, GFR Flat 4</t>
  </si>
  <si>
    <t>Tenant asked if is Grainger's policy to make people homless to get more money</t>
  </si>
  <si>
    <t>69 Argo Apartments</t>
  </si>
  <si>
    <t>tenant raised lots of issues re lack of service and maintenance</t>
  </si>
  <si>
    <t>solstice</t>
  </si>
  <si>
    <t>125, Solstice Apts</t>
  </si>
  <si>
    <t>Happy to accept £1,680</t>
  </si>
  <si>
    <t>509 Enigma</t>
  </si>
  <si>
    <t>121 Argo Apartments</t>
  </si>
  <si>
    <t>Count</t>
  </si>
  <si>
    <t>Sum CBRE Mar 24 ERV</t>
  </si>
  <si>
    <t>Sum Passing Rent</t>
  </si>
  <si>
    <t>Sum Min Rent to Offer</t>
  </si>
  <si>
    <t>Growth on CBRE ERV</t>
  </si>
  <si>
    <t>Growth on Passing Rent</t>
  </si>
  <si>
    <t>Asset</t>
  </si>
  <si>
    <t xml:space="preserve">Asset </t>
  </si>
  <si>
    <t>July</t>
  </si>
  <si>
    <t>Being skewed by 35 Argo - a very difficult resident who Fatma has advised will likely make a formal complaint if rent offered is too high. Currently below ERV quite substantially - even with an 8% uplift on passing (which is the AM minimum to offer)</t>
  </si>
  <si>
    <t>Gunhill ERVs muddled in CBRE schedule, have sense checked against unit type averages</t>
  </si>
  <si>
    <t>Difficult to push 2 bed pricing given volume OTM in newer phases</t>
  </si>
  <si>
    <t>Really struggling to meet ERVs without incurring &gt;10% uplifts on passing (4x 1 beds and 4x 2 beds OTM - so could be a heavy churn period depending how these land)</t>
  </si>
  <si>
    <t xml:space="preserve">Waiting for Nikola to send Vesta ERVs through </t>
  </si>
  <si>
    <t>Being somewhat skewed by the 3 bed (have 2x 3 bed voids OTM) - struggling to get close to ERV so definitely don't want this back</t>
  </si>
  <si>
    <t xml:space="preserve">Includes x 2 DMR units </t>
  </si>
  <si>
    <t>BTR Regions average rental uplift without new launches would be 5.35% which gives scope for further neg and Enigma and Solstice where it may be needed.</t>
  </si>
  <si>
    <t xml:space="preserve">BTR Regions average growth on ERV without new launches would be 1.15% </t>
  </si>
  <si>
    <t xml:space="preserve">Growth on passing </t>
  </si>
  <si>
    <t xml:space="preserve">PRS Regions excluding Tribe would have delivered 5.30% uplift </t>
  </si>
  <si>
    <t xml:space="preserve">Address </t>
  </si>
  <si>
    <t>Issue (Tenancy Length, BC)</t>
  </si>
  <si>
    <t>Other Feedback</t>
  </si>
  <si>
    <t xml:space="preserve">Outcome </t>
  </si>
  <si>
    <t>Other example</t>
  </si>
  <si>
    <t xml:space="preserve">Pays Rent in advance &amp; wants another 6 month tenancy as cannot pay in advance or get a GT </t>
  </si>
  <si>
    <t>granted 6 month contract</t>
  </si>
  <si>
    <t xml:space="preserve">pays in advance </t>
  </si>
  <si>
    <t>graduate and looking for work</t>
  </si>
  <si>
    <t>granted 6 month contract incl work relocation clause</t>
  </si>
  <si>
    <t>Internal move</t>
  </si>
  <si>
    <t>Accepted 12 month fixed term on SF</t>
  </si>
  <si>
    <t xml:space="preserve">noise from the train St has to use earplugs
specialised contractors were promised about the windows
ultimately cannot afford the rent long term </t>
  </si>
  <si>
    <t xml:space="preserve">not renewing </t>
  </si>
  <si>
    <t>Loves the Barnum wants to move within the building</t>
  </si>
  <si>
    <t>Internal Move</t>
  </si>
  <si>
    <t xml:space="preserve">Accepted 12 month fixed term via email </t>
  </si>
  <si>
    <t>wants rolling contract</t>
  </si>
  <si>
    <t>didnt think the rent increase was valid due to the issues he had in the begining 
Buying property could be out in September so wanted rolling contract</t>
  </si>
  <si>
    <t>No hot water in the beginning 2 months &amp; complained about youths and people hanging around and coming in at night</t>
  </si>
  <si>
    <t>Offered 12 month fixed term with the house purchase break clause &amp; was happy to pay the increase due to the flexibility we were providing</t>
  </si>
  <si>
    <t>201 The Condor</t>
  </si>
  <si>
    <t>cannnot commit to 12 months - need 6 months</t>
  </si>
  <si>
    <t>12 month term incl  anytime breakclaise, except from the months from November-February.</t>
  </si>
  <si>
    <t>603 The Condor</t>
  </si>
  <si>
    <t xml:space="preserve">requesting rolling or periodic once the initial fixed term runs out </t>
  </si>
  <si>
    <t xml:space="preserve">included work relocation clause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</si>
</sst>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quot;£&quot;#,##0;\-&quot;£&quot;#,##0"/>
    <numFmt numFmtId="165" formatCode="&quot;£&quot;#,##0;[Red]\-&quot;£&quot;#,##0"/>
    <numFmt numFmtId="166" formatCode="&quot;£&quot;#,##0.00;\-&quot;£&quot;#,##0.00"/>
    <numFmt numFmtId="167" formatCode="_-&quot;£&quot;* #,##0.00_-;\-&quot;£&quot;* #,##0.00_-;_-&quot;£&quot;* &quot;-&quot;??_-;_-@_-"/>
    <numFmt numFmtId="168" formatCode="dd/mm/yy"/>
    <numFmt numFmtId="169" formatCode="m/d/yyyy\ h:mm:ss\ AM/PM"/>
    <numFmt numFmtId="170" formatCode="&quot;£&quot;#,##0"/>
    <numFmt numFmtId="171" formatCode="0.0%"/>
    <numFmt numFmtId="172" formatCode="_-&quot;£&quot;* #,##0_-;\-&quot;£&quot;* #,##0_-;_-&quot;£&quot;* &quot;-&quot;??_-;_-@_-"/>
  </numFmts>
  <fonts count="37">
    <font>
      <sz val="11"/>
      <name val="Aptos Narrow"/>
    </font>
    <font>
      <b/>
      <sz val="11"/>
      <name val="Aptos Narrow"/>
      <family val="2"/>
    </font>
    <font>
      <sz val="11"/>
      <name val="Aptos Narrow"/>
      <family val="2"/>
    </font>
    <font>
      <sz val="11"/>
      <name val="Aptos Narrow"/>
      <family val="2"/>
    </font>
    <font>
      <b/>
      <sz val="9"/>
      <color rgb="FFFFFFFF"/>
      <name val="Calibri"/>
      <family val="2"/>
    </font>
    <font>
      <sz val="9"/>
      <name val="Calibri"/>
      <family val="2"/>
    </font>
    <font>
      <sz val="11"/>
      <name val="Calibri"/>
      <family val="2"/>
    </font>
    <font>
      <sz val="9"/>
      <color rgb="FF000000"/>
      <name val="Calibri"/>
      <family val="2"/>
    </font>
    <font>
      <b/>
      <sz val="9"/>
      <name val="Calibri"/>
      <family val="2"/>
    </font>
    <font>
      <sz val="9"/>
      <color rgb="FFFFFFFF"/>
      <name val="Calibri"/>
      <family val="2"/>
    </font>
    <font>
      <b/>
      <sz val="9"/>
      <color theme="0"/>
      <name val="Calibri"/>
      <family val="2"/>
    </font>
    <font>
      <b/>
      <sz val="9"/>
      <name val="Aptos Narrow"/>
      <family val="2"/>
    </font>
    <font>
      <sz val="9"/>
      <name val="Aptos Narrow"/>
      <family val="2"/>
    </font>
    <font>
      <sz val="9"/>
      <color rgb="FFFF0000"/>
      <name val="Aptos Narrow"/>
      <family val="2"/>
    </font>
    <font>
      <sz val="9"/>
      <color rgb="FF000000"/>
      <name val="Aptos Narrow"/>
      <family val="2"/>
    </font>
    <font>
      <sz val="11"/>
      <name val="Aptos Narrow"/>
      <family val="2"/>
    </font>
    <font>
      <b/>
      <sz val="9"/>
      <name val="Aptos Narrow"/>
      <family val="2"/>
      <scheme val="minor"/>
    </font>
    <font>
      <sz val="9"/>
      <color rgb="FF0070C0"/>
      <name val="Aptos Narrow"/>
      <family val="2"/>
      <scheme val="minor"/>
    </font>
    <font>
      <sz val="9"/>
      <name val="Aptos Narrow"/>
      <family val="2"/>
      <scheme val="minor"/>
    </font>
    <font>
      <b/>
      <sz val="9"/>
      <color theme="1"/>
      <name val="Aptos Narrow"/>
      <family val="2"/>
      <scheme val="minor"/>
    </font>
    <font>
      <b/>
      <sz val="9"/>
      <color theme="1"/>
      <name val="Aptos Narrow"/>
      <family val="2"/>
    </font>
    <font>
      <sz val="9"/>
      <color rgb="FFFF0000"/>
      <name val="Calibri"/>
      <family val="2"/>
    </font>
    <font>
      <b/>
      <sz val="10"/>
      <name val="Aptos Narrow"/>
      <family val="2"/>
    </font>
    <font>
      <b/>
      <sz val="10"/>
      <color theme="1"/>
      <name val="Aptos Narrow"/>
      <family val="2"/>
    </font>
    <font>
      <sz val="10"/>
      <color theme="1"/>
      <name val="Aptos Narrow"/>
      <family val="2"/>
    </font>
    <font>
      <sz val="10"/>
      <color theme="1"/>
      <name val="Arial"/>
      <family val="2"/>
    </font>
    <font>
      <b/>
      <sz val="10"/>
      <color theme="1"/>
      <name val="Arial"/>
      <family val="2"/>
    </font>
    <font>
      <sz val="10"/>
      <name val="Aptos Narrow"/>
      <family val="2"/>
    </font>
    <font>
      <sz val="10"/>
      <color rgb="FF000000"/>
      <name val="Aptos Narrow"/>
      <family val="2"/>
    </font>
    <font>
      <b/>
      <sz val="10"/>
      <color rgb="FF000000"/>
      <name val="Aptos Narrow"/>
      <family val="2"/>
    </font>
    <font>
      <b/>
      <sz val="9"/>
      <color rgb="FFFF0000"/>
      <name val="Aptos Narrow"/>
      <family val="2"/>
    </font>
    <font>
      <b/>
      <sz val="9"/>
      <color rgb="FF000000"/>
      <name val="Aptos Narrow"/>
      <family val="2"/>
    </font>
    <font>
      <b/>
      <sz val="9"/>
      <color theme="5"/>
      <name val="Aptos Narrow"/>
      <family val="2"/>
    </font>
    <font>
      <sz val="11"/>
      <color rgb="FF000000"/>
      <name val="Aptos Narrow"/>
      <family val="2"/>
      <charset val="1"/>
    </font>
    <font>
      <sz val="9"/>
      <color theme="1"/>
      <name val="Aptos Narrow"/>
      <family val="2"/>
    </font>
    <font>
      <sz val="10"/>
      <color rgb="FFFF0000"/>
      <name val="Aptos Narrow"/>
      <family val="2"/>
    </font>
    <font>
      <sz val="11"/>
      <name val="Aptos Narrow"/>
      <family val="2"/>
    </font>
  </fonts>
  <fills count="20">
    <fill>
      <patternFill patternType="none"/>
    </fill>
    <fill>
      <patternFill patternType="gray125"/>
    </fill>
    <fill>
      <patternFill patternType="solid">
        <fgColor rgb="FFFFC000"/>
        <bgColor indexed="64"/>
      </patternFill>
    </fill>
    <fill>
      <patternFill patternType="solid">
        <fgColor rgb="FFFF0000"/>
        <bgColor indexed="64"/>
      </patternFill>
    </fill>
    <fill>
      <patternFill patternType="solid">
        <fgColor theme="3" tint="0.89999084444715716"/>
        <bgColor indexed="64"/>
      </patternFill>
    </fill>
    <fill>
      <patternFill patternType="solid">
        <fgColor rgb="FF246369"/>
        <bgColor rgb="FF000000"/>
      </patternFill>
    </fill>
    <fill>
      <patternFill patternType="solid">
        <fgColor rgb="FFFFFFFF"/>
        <bgColor rgb="FF000000"/>
      </patternFill>
    </fill>
    <fill>
      <patternFill patternType="solid">
        <fgColor rgb="FFFFFF00"/>
        <bgColor rgb="FF000000"/>
      </patternFill>
    </fill>
    <fill>
      <patternFill patternType="solid">
        <fgColor rgb="FF006666"/>
        <bgColor rgb="FF000000"/>
      </patternFill>
    </fill>
    <fill>
      <patternFill patternType="solid">
        <fgColor theme="5" tint="0.39997558519241921"/>
        <bgColor indexed="64"/>
      </patternFill>
    </fill>
    <fill>
      <patternFill patternType="solid">
        <fgColor theme="3" tint="0.499984740745262"/>
        <bgColor indexed="64"/>
      </patternFill>
    </fill>
    <fill>
      <patternFill patternType="solid">
        <fgColor rgb="FFFFFF00"/>
        <bgColor indexed="64"/>
      </patternFill>
    </fill>
    <fill>
      <patternFill patternType="solid">
        <fgColor theme="0"/>
        <bgColor indexed="64"/>
      </patternFill>
    </fill>
    <fill>
      <patternFill patternType="solid">
        <fgColor theme="9" tint="0.59999389629810485"/>
        <bgColor indexed="64"/>
      </patternFill>
    </fill>
    <fill>
      <patternFill patternType="solid">
        <fgColor rgb="FF00B0F0"/>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rgb="FF92D050"/>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thin">
        <color indexed="64"/>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medium">
        <color indexed="64"/>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right/>
      <top style="thin">
        <color indexed="64"/>
      </top>
      <bottom style="thin">
        <color indexed="64"/>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4">
    <xf numFmtId="0" fontId="0" fillId="0" borderId="0"/>
    <xf numFmtId="9" fontId="3" fillId="0" borderId="0" applyFont="0" applyFill="0" applyBorder="0" applyAlignment="0" applyProtection="0"/>
    <xf numFmtId="167" fontId="15" fillId="0" borderId="0" applyFont="0" applyFill="0" applyBorder="0" applyAlignment="0" applyProtection="0"/>
    <xf numFmtId="43" fontId="36" fillId="0" borderId="0" applyFont="0" applyFill="0" applyBorder="0" applyAlignment="0" applyProtection="0"/>
  </cellStyleXfs>
  <cellXfs count="305">
    <xf numFmtId="0" fontId="0" fillId="0" borderId="0" xfId="0"/>
    <xf numFmtId="0" fontId="0" fillId="0" borderId="0" xfId="0"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xf numFmtId="14" fontId="0" fillId="0" borderId="1" xfId="0" applyNumberFormat="1" applyBorder="1"/>
    <xf numFmtId="0" fontId="2" fillId="0" borderId="1" xfId="0" applyFont="1" applyBorder="1"/>
    <xf numFmtId="168" fontId="0" fillId="0" borderId="1" xfId="0" applyNumberFormat="1" applyBorder="1"/>
    <xf numFmtId="164" fontId="0" fillId="0" borderId="1" xfId="0" applyNumberFormat="1" applyBorder="1"/>
    <xf numFmtId="166" fontId="0" fillId="0" borderId="1" xfId="0" applyNumberFormat="1" applyBorder="1"/>
    <xf numFmtId="169" fontId="0" fillId="0" borderId="1" xfId="0" applyNumberFormat="1" applyBorder="1"/>
    <xf numFmtId="0" fontId="0" fillId="0" borderId="1" xfId="0" applyBorder="1" applyAlignment="1">
      <alignment wrapText="1"/>
    </xf>
    <xf numFmtId="0" fontId="4" fillId="5" borderId="3" xfId="0" applyFont="1" applyFill="1" applyBorder="1" applyAlignment="1">
      <alignment wrapText="1"/>
    </xf>
    <xf numFmtId="0" fontId="4" fillId="5" borderId="4" xfId="0" applyFont="1" applyFill="1" applyBorder="1" applyAlignment="1">
      <alignment horizontal="center" vertical="center" wrapText="1"/>
    </xf>
    <xf numFmtId="0" fontId="4" fillId="5" borderId="5" xfId="0" applyFont="1" applyFill="1" applyBorder="1" applyAlignment="1">
      <alignment horizontal="center" vertical="center" wrapText="1"/>
    </xf>
    <xf numFmtId="0" fontId="5" fillId="0" borderId="0" xfId="0" applyFont="1"/>
    <xf numFmtId="0" fontId="5" fillId="0" borderId="0" xfId="0" applyFont="1" applyAlignment="1">
      <alignment horizontal="center"/>
    </xf>
    <xf numFmtId="0" fontId="6" fillId="0" borderId="0" xfId="0" applyFont="1"/>
    <xf numFmtId="0" fontId="7" fillId="6" borderId="6" xfId="0" applyFont="1" applyFill="1" applyBorder="1"/>
    <xf numFmtId="0" fontId="5" fillId="6" borderId="7" xfId="0" applyFont="1" applyFill="1" applyBorder="1" applyAlignment="1">
      <alignment horizontal="center"/>
    </xf>
    <xf numFmtId="10" fontId="5" fillId="7" borderId="8" xfId="0" applyNumberFormat="1" applyFont="1" applyFill="1" applyBorder="1" applyAlignment="1">
      <alignment horizontal="center"/>
    </xf>
    <xf numFmtId="10" fontId="5" fillId="6" borderId="8" xfId="0" applyNumberFormat="1" applyFont="1" applyFill="1" applyBorder="1" applyAlignment="1">
      <alignment horizontal="center"/>
    </xf>
    <xf numFmtId="0" fontId="7" fillId="6" borderId="9" xfId="0" applyFont="1" applyFill="1" applyBorder="1"/>
    <xf numFmtId="0" fontId="7" fillId="6" borderId="0" xfId="0" applyFont="1" applyFill="1"/>
    <xf numFmtId="0" fontId="8" fillId="6" borderId="9" xfId="0" applyFont="1" applyFill="1" applyBorder="1" applyAlignment="1">
      <alignment horizontal="center"/>
    </xf>
    <xf numFmtId="0" fontId="7" fillId="6" borderId="11" xfId="0" applyFont="1" applyFill="1" applyBorder="1"/>
    <xf numFmtId="10" fontId="8" fillId="6" borderId="12" xfId="0" applyNumberFormat="1" applyFont="1" applyFill="1" applyBorder="1" applyAlignment="1">
      <alignment horizontal="center"/>
    </xf>
    <xf numFmtId="0" fontId="4" fillId="8" borderId="13" xfId="0" applyFont="1" applyFill="1" applyBorder="1" applyAlignment="1">
      <alignment wrapText="1"/>
    </xf>
    <xf numFmtId="0" fontId="4" fillId="8" borderId="14" xfId="0" applyFont="1" applyFill="1" applyBorder="1" applyAlignment="1">
      <alignment horizontal="center" wrapText="1"/>
    </xf>
    <xf numFmtId="0" fontId="5" fillId="0" borderId="16" xfId="0" applyFont="1" applyBorder="1"/>
    <xf numFmtId="165" fontId="5" fillId="0" borderId="17" xfId="0" applyNumberFormat="1" applyFont="1" applyBorder="1" applyAlignment="1">
      <alignment horizontal="center"/>
    </xf>
    <xf numFmtId="0" fontId="8" fillId="0" borderId="19" xfId="0" applyFont="1" applyBorder="1" applyAlignment="1">
      <alignment horizontal="center"/>
    </xf>
    <xf numFmtId="165" fontId="8" fillId="0" borderId="14" xfId="0" applyNumberFormat="1" applyFont="1" applyBorder="1" applyAlignment="1">
      <alignment horizontal="center"/>
    </xf>
    <xf numFmtId="0" fontId="9" fillId="8" borderId="20" xfId="0" applyFont="1" applyFill="1" applyBorder="1"/>
    <xf numFmtId="0" fontId="5" fillId="0" borderId="21" xfId="0" applyFont="1" applyBorder="1"/>
    <xf numFmtId="0" fontId="5" fillId="0" borderId="22" xfId="0" applyFont="1" applyBorder="1"/>
    <xf numFmtId="0" fontId="5" fillId="0" borderId="23" xfId="0" applyFont="1" applyBorder="1"/>
    <xf numFmtId="0" fontId="5" fillId="0" borderId="5" xfId="0" applyFont="1" applyBorder="1"/>
    <xf numFmtId="0" fontId="8" fillId="0" borderId="13" xfId="0" applyFont="1" applyBorder="1" applyAlignment="1">
      <alignment horizontal="center"/>
    </xf>
    <xf numFmtId="165" fontId="5" fillId="0" borderId="0" xfId="0" applyNumberFormat="1" applyFont="1" applyAlignment="1">
      <alignment horizontal="center"/>
    </xf>
    <xf numFmtId="10" fontId="5" fillId="0" borderId="0" xfId="0" applyNumberFormat="1" applyFont="1" applyAlignment="1">
      <alignment horizontal="center"/>
    </xf>
    <xf numFmtId="165" fontId="8" fillId="0" borderId="0" xfId="0" applyNumberFormat="1" applyFont="1" applyAlignment="1">
      <alignment horizontal="center"/>
    </xf>
    <xf numFmtId="10" fontId="8" fillId="0" borderId="0" xfId="0" applyNumberFormat="1" applyFont="1" applyAlignment="1">
      <alignment horizontal="center"/>
    </xf>
    <xf numFmtId="0" fontId="8" fillId="0" borderId="0" xfId="0" applyFont="1" applyAlignment="1">
      <alignment horizontal="center" wrapText="1"/>
    </xf>
    <xf numFmtId="0" fontId="4" fillId="8" borderId="19" xfId="0" applyFont="1" applyFill="1" applyBorder="1" applyAlignment="1">
      <alignment horizontal="center" wrapText="1"/>
    </xf>
    <xf numFmtId="0" fontId="10" fillId="8" borderId="15" xfId="0" applyFont="1" applyFill="1" applyBorder="1" applyAlignment="1">
      <alignment horizontal="center" wrapText="1"/>
    </xf>
    <xf numFmtId="0" fontId="5" fillId="0" borderId="24" xfId="0" applyFont="1" applyBorder="1" applyAlignment="1">
      <alignment horizontal="center"/>
    </xf>
    <xf numFmtId="0" fontId="12" fillId="0" borderId="0" xfId="0" applyFont="1" applyAlignment="1">
      <alignment horizontal="center" vertical="center" wrapText="1"/>
    </xf>
    <xf numFmtId="0" fontId="12" fillId="0" borderId="1" xfId="0" applyFont="1" applyBorder="1"/>
    <xf numFmtId="168" fontId="12" fillId="0" borderId="1" xfId="0" applyNumberFormat="1" applyFont="1" applyBorder="1"/>
    <xf numFmtId="164" fontId="12" fillId="0" borderId="1" xfId="0" applyNumberFormat="1" applyFont="1" applyBorder="1"/>
    <xf numFmtId="170" fontId="12" fillId="0" borderId="1" xfId="0" applyNumberFormat="1" applyFont="1" applyBorder="1"/>
    <xf numFmtId="169" fontId="12" fillId="0" borderId="1" xfId="0" applyNumberFormat="1" applyFont="1" applyBorder="1"/>
    <xf numFmtId="0" fontId="12" fillId="0" borderId="0" xfId="0" applyFont="1"/>
    <xf numFmtId="0" fontId="14" fillId="0" borderId="1" xfId="0" applyFont="1" applyBorder="1"/>
    <xf numFmtId="0" fontId="12" fillId="0" borderId="1" xfId="0" applyFont="1" applyBorder="1" applyAlignment="1">
      <alignment wrapText="1"/>
    </xf>
    <xf numFmtId="0" fontId="12" fillId="0" borderId="1" xfId="0" applyFont="1" applyBorder="1" applyAlignment="1">
      <alignment horizontal="center"/>
    </xf>
    <xf numFmtId="0" fontId="12" fillId="3" borderId="0" xfId="0" applyFont="1" applyFill="1"/>
    <xf numFmtId="0" fontId="12" fillId="0" borderId="2" xfId="0" applyFont="1" applyBorder="1"/>
    <xf numFmtId="0" fontId="12" fillId="0" borderId="0" xfId="0" applyFont="1" applyAlignment="1">
      <alignment horizontal="center"/>
    </xf>
    <xf numFmtId="14" fontId="12" fillId="0" borderId="1" xfId="0" applyNumberFormat="1" applyFont="1" applyBorder="1" applyAlignment="1">
      <alignment horizontal="center"/>
    </xf>
    <xf numFmtId="0" fontId="7" fillId="0" borderId="0" xfId="0" applyFont="1"/>
    <xf numFmtId="0" fontId="8" fillId="0" borderId="0" xfId="0" applyFont="1" applyAlignment="1">
      <alignment horizontal="center"/>
    </xf>
    <xf numFmtId="164" fontId="12" fillId="0" borderId="1" xfId="0" applyNumberFormat="1" applyFont="1" applyBorder="1" applyAlignment="1">
      <alignment horizontal="center"/>
    </xf>
    <xf numFmtId="170" fontId="12" fillId="4" borderId="1" xfId="0" applyNumberFormat="1" applyFont="1" applyFill="1" applyBorder="1" applyAlignment="1">
      <alignment horizontal="center"/>
    </xf>
    <xf numFmtId="171" fontId="12" fillId="0" borderId="1" xfId="1" applyNumberFormat="1" applyFont="1" applyFill="1" applyBorder="1" applyAlignment="1">
      <alignment horizontal="center"/>
    </xf>
    <xf numFmtId="170" fontId="12" fillId="0" borderId="0" xfId="0" applyNumberFormat="1" applyFont="1" applyAlignment="1">
      <alignment horizontal="center"/>
    </xf>
    <xf numFmtId="171" fontId="12" fillId="0" borderId="0" xfId="1" applyNumberFormat="1" applyFont="1" applyAlignment="1">
      <alignment horizontal="center"/>
    </xf>
    <xf numFmtId="166" fontId="12" fillId="4" borderId="1" xfId="0" applyNumberFormat="1" applyFont="1" applyFill="1" applyBorder="1" applyAlignment="1">
      <alignment horizontal="center"/>
    </xf>
    <xf numFmtId="172" fontId="12" fillId="0" borderId="1" xfId="2" applyNumberFormat="1" applyFont="1" applyBorder="1" applyAlignment="1">
      <alignment horizontal="center"/>
    </xf>
    <xf numFmtId="170" fontId="12" fillId="0" borderId="1" xfId="0" applyNumberFormat="1" applyFont="1" applyBorder="1" applyAlignment="1">
      <alignment horizontal="center"/>
    </xf>
    <xf numFmtId="171" fontId="13" fillId="0" borderId="1" xfId="1" applyNumberFormat="1" applyFont="1" applyFill="1" applyBorder="1" applyAlignment="1">
      <alignment horizontal="center"/>
    </xf>
    <xf numFmtId="170" fontId="11" fillId="4" borderId="1" xfId="0" applyNumberFormat="1" applyFont="1" applyFill="1" applyBorder="1" applyAlignment="1">
      <alignment horizontal="center"/>
    </xf>
    <xf numFmtId="170" fontId="11" fillId="0" borderId="0" xfId="0" applyNumberFormat="1" applyFont="1" applyAlignment="1">
      <alignment horizontal="center"/>
    </xf>
    <xf numFmtId="0" fontId="11" fillId="9" borderId="1" xfId="0" applyFont="1" applyFill="1" applyBorder="1" applyAlignment="1">
      <alignment horizontal="center" vertical="center" wrapText="1"/>
    </xf>
    <xf numFmtId="172" fontId="11" fillId="9" borderId="1" xfId="2" applyNumberFormat="1" applyFont="1" applyFill="1" applyBorder="1" applyAlignment="1">
      <alignment horizontal="center" vertical="center" wrapText="1"/>
    </xf>
    <xf numFmtId="170" fontId="11" fillId="9" borderId="1" xfId="0" applyNumberFormat="1" applyFont="1" applyFill="1" applyBorder="1" applyAlignment="1">
      <alignment horizontal="center" vertical="center" wrapText="1"/>
    </xf>
    <xf numFmtId="171" fontId="11" fillId="9" borderId="1" xfId="1" applyNumberFormat="1" applyFont="1" applyFill="1" applyBorder="1" applyAlignment="1">
      <alignment horizontal="center" vertical="center" wrapText="1"/>
    </xf>
    <xf numFmtId="0" fontId="11" fillId="0" borderId="1" xfId="0" applyFont="1" applyBorder="1"/>
    <xf numFmtId="170" fontId="11" fillId="0" borderId="1" xfId="0" applyNumberFormat="1" applyFont="1" applyBorder="1" applyAlignment="1">
      <alignment horizontal="center"/>
    </xf>
    <xf numFmtId="166" fontId="12" fillId="0" borderId="1" xfId="0" applyNumberFormat="1" applyFont="1" applyBorder="1" applyAlignment="1">
      <alignment horizontal="center"/>
    </xf>
    <xf numFmtId="0" fontId="5" fillId="6" borderId="26" xfId="0" applyFont="1" applyFill="1" applyBorder="1" applyAlignment="1">
      <alignment horizontal="center"/>
    </xf>
    <xf numFmtId="0" fontId="7" fillId="6" borderId="27" xfId="0" applyFont="1" applyFill="1" applyBorder="1"/>
    <xf numFmtId="10" fontId="5" fillId="0" borderId="18" xfId="0" applyNumberFormat="1" applyFont="1" applyBorder="1" applyAlignment="1">
      <alignment horizontal="center"/>
    </xf>
    <xf numFmtId="10" fontId="8" fillId="0" borderId="15" xfId="0" applyNumberFormat="1" applyFont="1" applyBorder="1" applyAlignment="1">
      <alignment horizontal="center"/>
    </xf>
    <xf numFmtId="165" fontId="5" fillId="0" borderId="0" xfId="0" applyNumberFormat="1" applyFont="1" applyAlignment="1">
      <alignment horizontal="left"/>
    </xf>
    <xf numFmtId="165" fontId="5" fillId="6" borderId="0" xfId="0" applyNumberFormat="1" applyFont="1" applyFill="1" applyAlignment="1">
      <alignment horizontal="center"/>
    </xf>
    <xf numFmtId="165" fontId="5" fillId="6" borderId="10" xfId="0" applyNumberFormat="1" applyFont="1" applyFill="1" applyBorder="1" applyAlignment="1">
      <alignment horizontal="center"/>
    </xf>
    <xf numFmtId="0" fontId="5" fillId="6" borderId="10" xfId="0" applyFont="1" applyFill="1" applyBorder="1" applyAlignment="1">
      <alignment horizontal="center"/>
    </xf>
    <xf numFmtId="0" fontId="5" fillId="6" borderId="12" xfId="0" applyFont="1" applyFill="1" applyBorder="1" applyAlignment="1">
      <alignment horizontal="center"/>
    </xf>
    <xf numFmtId="165" fontId="8" fillId="6" borderId="10" xfId="0" applyNumberFormat="1" applyFont="1" applyFill="1" applyBorder="1" applyAlignment="1">
      <alignment horizontal="center"/>
    </xf>
    <xf numFmtId="171" fontId="12" fillId="0" borderId="1" xfId="1" applyNumberFormat="1" applyFont="1" applyBorder="1" applyAlignment="1">
      <alignment horizontal="center"/>
    </xf>
    <xf numFmtId="0" fontId="12" fillId="11" borderId="1" xfId="0" applyFont="1" applyFill="1" applyBorder="1"/>
    <xf numFmtId="171" fontId="12" fillId="3" borderId="1" xfId="1" applyNumberFormat="1" applyFont="1" applyFill="1" applyBorder="1" applyAlignment="1">
      <alignment horizontal="center"/>
    </xf>
    <xf numFmtId="0" fontId="12" fillId="2" borderId="1" xfId="0" applyFont="1" applyFill="1" applyBorder="1"/>
    <xf numFmtId="0" fontId="12" fillId="3" borderId="1" xfId="0" applyFont="1" applyFill="1" applyBorder="1"/>
    <xf numFmtId="170" fontId="16" fillId="9" borderId="1" xfId="2" applyNumberFormat="1" applyFont="1" applyFill="1" applyBorder="1" applyAlignment="1">
      <alignment horizontal="center" vertical="center" wrapText="1"/>
    </xf>
    <xf numFmtId="170" fontId="16" fillId="0" borderId="1" xfId="2" applyNumberFormat="1" applyFont="1" applyBorder="1" applyAlignment="1">
      <alignment horizontal="center"/>
    </xf>
    <xf numFmtId="170" fontId="16" fillId="0" borderId="1" xfId="0" applyNumberFormat="1" applyFont="1" applyBorder="1" applyAlignment="1">
      <alignment horizontal="center"/>
    </xf>
    <xf numFmtId="170" fontId="18" fillId="0" borderId="1" xfId="0" applyNumberFormat="1" applyFont="1" applyBorder="1" applyAlignment="1">
      <alignment horizontal="center"/>
    </xf>
    <xf numFmtId="170" fontId="18" fillId="0" borderId="0" xfId="2" applyNumberFormat="1" applyFont="1" applyAlignment="1">
      <alignment horizontal="center"/>
    </xf>
    <xf numFmtId="170" fontId="17" fillId="0" borderId="1" xfId="0" applyNumberFormat="1" applyFont="1" applyBorder="1" applyAlignment="1">
      <alignment horizontal="center"/>
    </xf>
    <xf numFmtId="0" fontId="12" fillId="0" borderId="1" xfId="0" applyFont="1" applyBorder="1" applyAlignment="1">
      <alignment horizontal="center" vertical="center"/>
    </xf>
    <xf numFmtId="0" fontId="12" fillId="0" borderId="0" xfId="0" applyFont="1" applyAlignment="1">
      <alignment horizontal="center" vertical="center"/>
    </xf>
    <xf numFmtId="170" fontId="19" fillId="0" borderId="1" xfId="0" applyNumberFormat="1" applyFont="1" applyBorder="1" applyAlignment="1">
      <alignment horizontal="center"/>
    </xf>
    <xf numFmtId="170" fontId="19" fillId="12" borderId="1" xfId="0" applyNumberFormat="1" applyFont="1" applyFill="1" applyBorder="1" applyAlignment="1">
      <alignment horizontal="center"/>
    </xf>
    <xf numFmtId="170" fontId="11" fillId="13" borderId="1" xfId="0" applyNumberFormat="1" applyFont="1" applyFill="1" applyBorder="1" applyAlignment="1">
      <alignment horizontal="center"/>
    </xf>
    <xf numFmtId="170" fontId="11" fillId="3" borderId="1" xfId="0" applyNumberFormat="1" applyFont="1" applyFill="1" applyBorder="1" applyAlignment="1">
      <alignment horizontal="center"/>
    </xf>
    <xf numFmtId="10" fontId="0" fillId="0" borderId="0" xfId="0" applyNumberFormat="1"/>
    <xf numFmtId="170" fontId="12" fillId="0" borderId="0" xfId="0" applyNumberFormat="1" applyFont="1"/>
    <xf numFmtId="14" fontId="11" fillId="9" borderId="1" xfId="0" applyNumberFormat="1" applyFont="1" applyFill="1" applyBorder="1" applyAlignment="1">
      <alignment horizontal="center" vertical="center" wrapText="1"/>
    </xf>
    <xf numFmtId="14" fontId="12" fillId="0" borderId="0" xfId="0" applyNumberFormat="1" applyFont="1" applyAlignment="1">
      <alignment horizontal="center"/>
    </xf>
    <xf numFmtId="0" fontId="12" fillId="14" borderId="1" xfId="0" applyFont="1" applyFill="1" applyBorder="1"/>
    <xf numFmtId="0" fontId="12" fillId="12" borderId="1" xfId="0" applyFont="1" applyFill="1" applyBorder="1"/>
    <xf numFmtId="0" fontId="12" fillId="15" borderId="1" xfId="0" applyFont="1" applyFill="1" applyBorder="1"/>
    <xf numFmtId="171" fontId="12" fillId="12" borderId="1" xfId="1" applyNumberFormat="1" applyFont="1" applyFill="1" applyBorder="1" applyAlignment="1">
      <alignment horizontal="center"/>
    </xf>
    <xf numFmtId="170" fontId="11" fillId="16" borderId="1" xfId="0" applyNumberFormat="1" applyFont="1" applyFill="1" applyBorder="1" applyAlignment="1">
      <alignment horizontal="center"/>
    </xf>
    <xf numFmtId="171" fontId="12" fillId="11" borderId="1" xfId="1" applyNumberFormat="1" applyFont="1" applyFill="1" applyBorder="1" applyAlignment="1">
      <alignment horizontal="center"/>
    </xf>
    <xf numFmtId="0" fontId="12" fillId="17" borderId="1" xfId="0" applyFont="1" applyFill="1" applyBorder="1"/>
    <xf numFmtId="10" fontId="6" fillId="0" borderId="0" xfId="0" applyNumberFormat="1" applyFont="1"/>
    <xf numFmtId="0" fontId="14" fillId="11" borderId="1" xfId="0" applyFont="1" applyFill="1" applyBorder="1"/>
    <xf numFmtId="0" fontId="21" fillId="6" borderId="6" xfId="0" applyFont="1" applyFill="1" applyBorder="1"/>
    <xf numFmtId="0" fontId="21" fillId="6" borderId="7" xfId="0" applyFont="1" applyFill="1" applyBorder="1" applyAlignment="1">
      <alignment horizontal="center"/>
    </xf>
    <xf numFmtId="165" fontId="21" fillId="6" borderId="0" xfId="0" applyNumberFormat="1" applyFont="1" applyFill="1" applyAlignment="1">
      <alignment horizontal="center"/>
    </xf>
    <xf numFmtId="10" fontId="21" fillId="7" borderId="8" xfId="0" applyNumberFormat="1" applyFont="1" applyFill="1" applyBorder="1" applyAlignment="1">
      <alignment horizontal="center"/>
    </xf>
    <xf numFmtId="10" fontId="21" fillId="6" borderId="8" xfId="0" applyNumberFormat="1" applyFont="1" applyFill="1" applyBorder="1" applyAlignment="1">
      <alignment horizontal="center"/>
    </xf>
    <xf numFmtId="164" fontId="13" fillId="0" borderId="1" xfId="0" applyNumberFormat="1" applyFont="1" applyBorder="1" applyAlignment="1">
      <alignment horizontal="center"/>
    </xf>
    <xf numFmtId="0" fontId="5" fillId="6" borderId="6" xfId="0" applyFont="1" applyFill="1" applyBorder="1"/>
    <xf numFmtId="0" fontId="11" fillId="9" borderId="1" xfId="0" applyFont="1" applyFill="1" applyBorder="1" applyAlignment="1">
      <alignment horizontal="center" vertical="center"/>
    </xf>
    <xf numFmtId="169" fontId="12" fillId="11" borderId="1" xfId="0" applyNumberFormat="1" applyFont="1" applyFill="1" applyBorder="1"/>
    <xf numFmtId="14" fontId="12" fillId="2" borderId="1" xfId="0" applyNumberFormat="1" applyFont="1" applyFill="1" applyBorder="1" applyAlignment="1">
      <alignment horizontal="center"/>
    </xf>
    <xf numFmtId="0" fontId="12" fillId="2" borderId="1" xfId="0" applyFont="1" applyFill="1" applyBorder="1" applyAlignment="1">
      <alignment horizontal="center"/>
    </xf>
    <xf numFmtId="164" fontId="12" fillId="2" borderId="1" xfId="0" applyNumberFormat="1" applyFont="1" applyFill="1" applyBorder="1" applyAlignment="1">
      <alignment horizontal="center"/>
    </xf>
    <xf numFmtId="170" fontId="11" fillId="2" borderId="1" xfId="0" applyNumberFormat="1" applyFont="1" applyFill="1" applyBorder="1" applyAlignment="1">
      <alignment horizontal="center"/>
    </xf>
    <xf numFmtId="171" fontId="12" fillId="2" borderId="1" xfId="1" applyNumberFormat="1" applyFont="1" applyFill="1" applyBorder="1" applyAlignment="1">
      <alignment horizontal="center"/>
    </xf>
    <xf numFmtId="0" fontId="12" fillId="2" borderId="1" xfId="0" applyFont="1" applyFill="1" applyBorder="1" applyAlignment="1">
      <alignment horizontal="center" vertical="center"/>
    </xf>
    <xf numFmtId="0" fontId="12" fillId="11" borderId="0" xfId="0" applyFont="1" applyFill="1"/>
    <xf numFmtId="0" fontId="12" fillId="11" borderId="1" xfId="0" applyFont="1" applyFill="1" applyBorder="1" applyAlignment="1">
      <alignment horizontal="center"/>
    </xf>
    <xf numFmtId="164" fontId="12" fillId="11" borderId="1" xfId="0" applyNumberFormat="1" applyFont="1" applyFill="1" applyBorder="1" applyAlignment="1">
      <alignment horizontal="center"/>
    </xf>
    <xf numFmtId="170" fontId="11" fillId="11" borderId="1" xfId="0" applyNumberFormat="1" applyFont="1" applyFill="1" applyBorder="1" applyAlignment="1">
      <alignment horizontal="center"/>
    </xf>
    <xf numFmtId="0" fontId="12" fillId="11" borderId="1" xfId="0" applyFont="1" applyFill="1" applyBorder="1" applyAlignment="1">
      <alignment horizontal="center" vertical="center"/>
    </xf>
    <xf numFmtId="170" fontId="12" fillId="11" borderId="1" xfId="0" applyNumberFormat="1" applyFont="1" applyFill="1" applyBorder="1"/>
    <xf numFmtId="14" fontId="12" fillId="11" borderId="1" xfId="0" applyNumberFormat="1" applyFont="1" applyFill="1" applyBorder="1" applyAlignment="1">
      <alignment horizontal="center"/>
    </xf>
    <xf numFmtId="0" fontId="12" fillId="0" borderId="29" xfId="0" applyFont="1" applyBorder="1"/>
    <xf numFmtId="0" fontId="12" fillId="0" borderId="25" xfId="0" applyFont="1" applyBorder="1"/>
    <xf numFmtId="0" fontId="12" fillId="0" borderId="30" xfId="0" applyFont="1" applyBorder="1"/>
    <xf numFmtId="0" fontId="12" fillId="11" borderId="30" xfId="0" applyFont="1" applyFill="1" applyBorder="1"/>
    <xf numFmtId="0" fontId="22" fillId="10" borderId="1" xfId="0" applyFont="1" applyFill="1" applyBorder="1" applyAlignment="1">
      <alignment horizontal="center" vertical="center" wrapText="1"/>
    </xf>
    <xf numFmtId="0" fontId="23" fillId="10" borderId="25" xfId="0" applyFont="1" applyFill="1" applyBorder="1" applyAlignment="1">
      <alignment horizontal="center" vertical="center" wrapText="1"/>
    </xf>
    <xf numFmtId="0" fontId="23" fillId="10" borderId="1" xfId="0" applyFont="1" applyFill="1" applyBorder="1" applyAlignment="1">
      <alignment horizontal="center" vertical="center" wrapText="1"/>
    </xf>
    <xf numFmtId="0" fontId="24" fillId="10" borderId="1" xfId="0" applyFont="1" applyFill="1" applyBorder="1" applyAlignment="1">
      <alignment horizontal="center" vertical="center" wrapText="1"/>
    </xf>
    <xf numFmtId="9" fontId="24" fillId="10" borderId="1" xfId="0" applyNumberFormat="1" applyFont="1" applyFill="1" applyBorder="1" applyAlignment="1">
      <alignment horizontal="center" vertical="center" wrapText="1"/>
    </xf>
    <xf numFmtId="170" fontId="25" fillId="10" borderId="1" xfId="0" applyNumberFormat="1" applyFont="1" applyFill="1" applyBorder="1" applyAlignment="1">
      <alignment horizontal="center" vertical="center" wrapText="1"/>
    </xf>
    <xf numFmtId="9" fontId="25" fillId="10" borderId="1" xfId="1" applyFont="1" applyFill="1" applyBorder="1" applyAlignment="1">
      <alignment horizontal="center" vertical="center" wrapText="1"/>
    </xf>
    <xf numFmtId="0" fontId="26" fillId="10" borderId="1" xfId="0" applyFont="1" applyFill="1" applyBorder="1" applyAlignment="1">
      <alignment horizontal="center" vertical="center" wrapText="1"/>
    </xf>
    <xf numFmtId="0" fontId="27" fillId="0" borderId="0" xfId="0" applyFont="1" applyAlignment="1">
      <alignment wrapText="1"/>
    </xf>
    <xf numFmtId="9" fontId="27" fillId="0" borderId="0" xfId="0" applyNumberFormat="1" applyFont="1" applyAlignment="1">
      <alignment wrapText="1"/>
    </xf>
    <xf numFmtId="0" fontId="5" fillId="0" borderId="7" xfId="0" applyFont="1" applyBorder="1" applyAlignment="1">
      <alignment horizontal="center"/>
    </xf>
    <xf numFmtId="0" fontId="12" fillId="12" borderId="1" xfId="0" applyFont="1" applyFill="1" applyBorder="1" applyAlignment="1">
      <alignment horizontal="center" vertical="center"/>
    </xf>
    <xf numFmtId="0" fontId="11" fillId="0" borderId="0" xfId="0" applyFont="1"/>
    <xf numFmtId="0" fontId="27" fillId="19" borderId="1" xfId="0" applyFont="1" applyFill="1" applyBorder="1" applyAlignment="1">
      <alignment wrapText="1"/>
    </xf>
    <xf numFmtId="0" fontId="27" fillId="19" borderId="25" xfId="0" applyFont="1" applyFill="1" applyBorder="1" applyAlignment="1">
      <alignment wrapText="1"/>
    </xf>
    <xf numFmtId="9" fontId="27" fillId="19" borderId="1" xfId="0" applyNumberFormat="1" applyFont="1" applyFill="1" applyBorder="1" applyAlignment="1">
      <alignment wrapText="1"/>
    </xf>
    <xf numFmtId="0" fontId="27" fillId="0" borderId="28" xfId="0" applyFont="1" applyBorder="1" applyAlignment="1">
      <alignment wrapText="1"/>
    </xf>
    <xf numFmtId="9" fontId="27" fillId="0" borderId="28" xfId="0" applyNumberFormat="1" applyFont="1" applyBorder="1" applyAlignment="1">
      <alignment wrapText="1"/>
    </xf>
    <xf numFmtId="0" fontId="26" fillId="19" borderId="29" xfId="0" applyFont="1" applyFill="1" applyBorder="1" applyAlignment="1">
      <alignment horizontal="center" vertical="center" wrapText="1"/>
    </xf>
    <xf numFmtId="0" fontId="26" fillId="10" borderId="30" xfId="0" applyFont="1" applyFill="1" applyBorder="1" applyAlignment="1">
      <alignment horizontal="center" vertical="center" wrapText="1"/>
    </xf>
    <xf numFmtId="1" fontId="27" fillId="19" borderId="1" xfId="0" applyNumberFormat="1" applyFont="1" applyFill="1" applyBorder="1" applyAlignment="1">
      <alignment wrapText="1"/>
    </xf>
    <xf numFmtId="0" fontId="27" fillId="19" borderId="29" xfId="0" applyFont="1" applyFill="1" applyBorder="1" applyAlignment="1">
      <alignment wrapText="1"/>
    </xf>
    <xf numFmtId="0" fontId="12" fillId="19" borderId="1" xfId="0" applyFont="1" applyFill="1" applyBorder="1"/>
    <xf numFmtId="170" fontId="11" fillId="4" borderId="0" xfId="0" applyNumberFormat="1" applyFont="1" applyFill="1" applyAlignment="1">
      <alignment horizontal="center"/>
    </xf>
    <xf numFmtId="10" fontId="11" fillId="4" borderId="1" xfId="0" applyNumberFormat="1" applyFont="1" applyFill="1" applyBorder="1" applyAlignment="1">
      <alignment horizontal="center"/>
    </xf>
    <xf numFmtId="10" fontId="11" fillId="13" borderId="1" xfId="0" applyNumberFormat="1" applyFont="1" applyFill="1" applyBorder="1" applyAlignment="1">
      <alignment horizontal="center"/>
    </xf>
    <xf numFmtId="170" fontId="30" fillId="13" borderId="1" xfId="0" applyNumberFormat="1" applyFont="1" applyFill="1" applyBorder="1" applyAlignment="1">
      <alignment horizontal="center"/>
    </xf>
    <xf numFmtId="10" fontId="30" fillId="13" borderId="1" xfId="0" applyNumberFormat="1" applyFont="1" applyFill="1" applyBorder="1" applyAlignment="1">
      <alignment horizontal="center"/>
    </xf>
    <xf numFmtId="170" fontId="31" fillId="13" borderId="1" xfId="0" applyNumberFormat="1" applyFont="1" applyFill="1" applyBorder="1" applyAlignment="1">
      <alignment horizontal="center"/>
    </xf>
    <xf numFmtId="170" fontId="30" fillId="4" borderId="1" xfId="0" applyNumberFormat="1" applyFont="1" applyFill="1" applyBorder="1" applyAlignment="1">
      <alignment horizontal="center"/>
    </xf>
    <xf numFmtId="10" fontId="32" fillId="13" borderId="1" xfId="0" applyNumberFormat="1" applyFont="1" applyFill="1" applyBorder="1" applyAlignment="1">
      <alignment horizontal="center"/>
    </xf>
    <xf numFmtId="14" fontId="27" fillId="0" borderId="28" xfId="0" applyNumberFormat="1" applyFont="1" applyBorder="1" applyAlignment="1">
      <alignment wrapText="1"/>
    </xf>
    <xf numFmtId="0" fontId="27" fillId="0" borderId="31" xfId="0" applyFont="1" applyBorder="1" applyAlignment="1">
      <alignment wrapText="1"/>
    </xf>
    <xf numFmtId="10" fontId="11" fillId="9" borderId="1" xfId="1" applyNumberFormat="1" applyFont="1" applyFill="1" applyBorder="1" applyAlignment="1">
      <alignment horizontal="center" vertical="center" wrapText="1"/>
    </xf>
    <xf numFmtId="10" fontId="12" fillId="0" borderId="1" xfId="1" applyNumberFormat="1" applyFont="1" applyFill="1" applyBorder="1" applyAlignment="1">
      <alignment horizontal="center"/>
    </xf>
    <xf numFmtId="10" fontId="12" fillId="0" borderId="0" xfId="1" applyNumberFormat="1" applyFont="1" applyAlignment="1">
      <alignment horizontal="center"/>
    </xf>
    <xf numFmtId="165" fontId="27" fillId="0" borderId="28" xfId="0" applyNumberFormat="1" applyFont="1" applyBorder="1" applyAlignment="1">
      <alignment wrapText="1"/>
    </xf>
    <xf numFmtId="0" fontId="27" fillId="19" borderId="28" xfId="0" applyFont="1" applyFill="1" applyBorder="1" applyAlignment="1">
      <alignment wrapText="1"/>
    </xf>
    <xf numFmtId="9" fontId="27" fillId="19" borderId="28" xfId="0" applyNumberFormat="1" applyFont="1" applyFill="1" applyBorder="1" applyAlignment="1">
      <alignment wrapText="1"/>
    </xf>
    <xf numFmtId="165" fontId="27" fillId="19" borderId="28" xfId="0" applyNumberFormat="1" applyFont="1" applyFill="1" applyBorder="1" applyAlignment="1">
      <alignment wrapText="1"/>
    </xf>
    <xf numFmtId="165" fontId="27" fillId="19" borderId="1" xfId="0" applyNumberFormat="1" applyFont="1" applyFill="1" applyBorder="1" applyAlignment="1">
      <alignment wrapText="1"/>
    </xf>
    <xf numFmtId="0" fontId="27" fillId="19" borderId="31" xfId="0" applyFont="1" applyFill="1" applyBorder="1" applyAlignment="1">
      <alignment wrapText="1"/>
    </xf>
    <xf numFmtId="164" fontId="12" fillId="12" borderId="1" xfId="0" applyNumberFormat="1" applyFont="1" applyFill="1" applyBorder="1" applyAlignment="1">
      <alignment horizontal="center"/>
    </xf>
    <xf numFmtId="9" fontId="27" fillId="19" borderId="31" xfId="0" applyNumberFormat="1" applyFont="1" applyFill="1" applyBorder="1" applyAlignment="1">
      <alignment wrapText="1"/>
    </xf>
    <xf numFmtId="165" fontId="27" fillId="19" borderId="31" xfId="0" applyNumberFormat="1" applyFont="1" applyFill="1" applyBorder="1" applyAlignment="1">
      <alignment wrapText="1"/>
    </xf>
    <xf numFmtId="0" fontId="26" fillId="19" borderId="21" xfId="0" applyFont="1" applyFill="1" applyBorder="1" applyAlignment="1">
      <alignment horizontal="center" vertical="center" wrapText="1"/>
    </xf>
    <xf numFmtId="0" fontId="12" fillId="11" borderId="28" xfId="0" applyFont="1" applyFill="1" applyBorder="1"/>
    <xf numFmtId="0" fontId="12" fillId="0" borderId="17" xfId="0" applyFont="1" applyBorder="1"/>
    <xf numFmtId="170" fontId="11" fillId="4" borderId="29" xfId="0" applyNumberFormat="1" applyFont="1" applyFill="1" applyBorder="1" applyAlignment="1">
      <alignment horizontal="center"/>
    </xf>
    <xf numFmtId="171" fontId="12" fillId="0" borderId="17" xfId="1" applyNumberFormat="1" applyFont="1" applyFill="1" applyBorder="1" applyAlignment="1">
      <alignment horizontal="center"/>
    </xf>
    <xf numFmtId="170" fontId="11" fillId="4" borderId="17" xfId="0" applyNumberFormat="1" applyFont="1" applyFill="1" applyBorder="1" applyAlignment="1">
      <alignment horizontal="center"/>
    </xf>
    <xf numFmtId="0" fontId="12" fillId="0" borderId="32" xfId="0" applyFont="1" applyBorder="1"/>
    <xf numFmtId="171" fontId="12" fillId="0" borderId="30" xfId="1" applyNumberFormat="1" applyFont="1" applyFill="1" applyBorder="1" applyAlignment="1">
      <alignment horizontal="center"/>
    </xf>
    <xf numFmtId="170" fontId="11" fillId="4" borderId="30" xfId="0" applyNumberFormat="1" applyFont="1" applyFill="1" applyBorder="1" applyAlignment="1">
      <alignment horizontal="center"/>
    </xf>
    <xf numFmtId="165" fontId="11" fillId="4" borderId="1" xfId="0" applyNumberFormat="1" applyFont="1" applyFill="1" applyBorder="1" applyAlignment="1">
      <alignment horizontal="center"/>
    </xf>
    <xf numFmtId="0" fontId="27" fillId="19" borderId="33" xfId="0" applyFont="1" applyFill="1" applyBorder="1" applyAlignment="1">
      <alignment wrapText="1"/>
    </xf>
    <xf numFmtId="9" fontId="27" fillId="19" borderId="33" xfId="0" applyNumberFormat="1" applyFont="1" applyFill="1" applyBorder="1" applyAlignment="1">
      <alignment wrapText="1"/>
    </xf>
    <xf numFmtId="165" fontId="27" fillId="19" borderId="33" xfId="0" applyNumberFormat="1" applyFont="1" applyFill="1" applyBorder="1" applyAlignment="1">
      <alignment wrapText="1"/>
    </xf>
    <xf numFmtId="0" fontId="34" fillId="11" borderId="1" xfId="0" applyFont="1" applyFill="1" applyBorder="1"/>
    <xf numFmtId="14" fontId="12" fillId="12" borderId="1" xfId="0" applyNumberFormat="1" applyFont="1" applyFill="1" applyBorder="1" applyAlignment="1">
      <alignment horizontal="center"/>
    </xf>
    <xf numFmtId="170" fontId="11" fillId="12" borderId="1" xfId="0" applyNumberFormat="1" applyFont="1" applyFill="1" applyBorder="1" applyAlignment="1">
      <alignment horizontal="center"/>
    </xf>
    <xf numFmtId="10" fontId="11" fillId="12" borderId="1" xfId="0" applyNumberFormat="1" applyFont="1" applyFill="1" applyBorder="1" applyAlignment="1">
      <alignment horizontal="center"/>
    </xf>
    <xf numFmtId="0" fontId="12" fillId="12" borderId="0" xfId="0" applyFont="1" applyFill="1"/>
    <xf numFmtId="170" fontId="12" fillId="12" borderId="1" xfId="0" applyNumberFormat="1" applyFont="1" applyFill="1" applyBorder="1"/>
    <xf numFmtId="14" fontId="27" fillId="19" borderId="28" xfId="0" applyNumberFormat="1" applyFont="1" applyFill="1" applyBorder="1" applyAlignment="1">
      <alignment wrapText="1"/>
    </xf>
    <xf numFmtId="10" fontId="12" fillId="0" borderId="1" xfId="0" applyNumberFormat="1" applyFont="1" applyBorder="1"/>
    <xf numFmtId="0" fontId="12" fillId="3" borderId="30" xfId="0" applyFont="1" applyFill="1" applyBorder="1"/>
    <xf numFmtId="0" fontId="12" fillId="14" borderId="30" xfId="0" applyFont="1" applyFill="1" applyBorder="1"/>
    <xf numFmtId="14" fontId="12" fillId="19" borderId="28" xfId="0" applyNumberFormat="1" applyFont="1" applyFill="1" applyBorder="1" applyAlignment="1">
      <alignment horizontal="center"/>
    </xf>
    <xf numFmtId="0" fontId="12" fillId="19" borderId="28" xfId="0" applyFont="1" applyFill="1" applyBorder="1"/>
    <xf numFmtId="170" fontId="30" fillId="4" borderId="30" xfId="0" applyNumberFormat="1" applyFont="1" applyFill="1" applyBorder="1" applyAlignment="1">
      <alignment horizontal="center"/>
    </xf>
    <xf numFmtId="0" fontId="27" fillId="3" borderId="28" xfId="0" applyFont="1" applyFill="1" applyBorder="1" applyAlignment="1">
      <alignment wrapText="1"/>
    </xf>
    <xf numFmtId="14" fontId="27" fillId="19" borderId="31" xfId="0" applyNumberFormat="1" applyFont="1" applyFill="1" applyBorder="1" applyAlignment="1">
      <alignment wrapText="1"/>
    </xf>
    <xf numFmtId="9" fontId="27" fillId="0" borderId="31" xfId="0" applyNumberFormat="1" applyFont="1" applyBorder="1" applyAlignment="1">
      <alignment wrapText="1"/>
    </xf>
    <xf numFmtId="0" fontId="35" fillId="19" borderId="31" xfId="0" applyFont="1" applyFill="1" applyBorder="1" applyAlignment="1">
      <alignment wrapText="1"/>
    </xf>
    <xf numFmtId="14" fontId="11" fillId="0" borderId="1" xfId="0" applyNumberFormat="1" applyFont="1" applyBorder="1" applyAlignment="1">
      <alignment horizontal="center"/>
    </xf>
    <xf numFmtId="164" fontId="12" fillId="0" borderId="0" xfId="0" applyNumberFormat="1" applyFont="1" applyAlignment="1">
      <alignment horizontal="center"/>
    </xf>
    <xf numFmtId="0" fontId="12" fillId="14" borderId="0" xfId="0" applyFont="1" applyFill="1"/>
    <xf numFmtId="10" fontId="25" fillId="10" borderId="1" xfId="1" applyNumberFormat="1" applyFont="1" applyFill="1" applyBorder="1" applyAlignment="1">
      <alignment horizontal="center" vertical="center" wrapText="1"/>
    </xf>
    <xf numFmtId="10" fontId="27" fillId="19" borderId="1" xfId="0" applyNumberFormat="1" applyFont="1" applyFill="1" applyBorder="1" applyAlignment="1">
      <alignment wrapText="1"/>
    </xf>
    <xf numFmtId="10" fontId="27" fillId="19" borderId="31" xfId="0" applyNumberFormat="1" applyFont="1" applyFill="1" applyBorder="1" applyAlignment="1">
      <alignment wrapText="1"/>
    </xf>
    <xf numFmtId="10" fontId="27" fillId="19" borderId="28" xfId="0" applyNumberFormat="1" applyFont="1" applyFill="1" applyBorder="1" applyAlignment="1">
      <alignment wrapText="1"/>
    </xf>
    <xf numFmtId="10" fontId="27" fillId="0" borderId="31" xfId="0" applyNumberFormat="1" applyFont="1" applyBorder="1" applyAlignment="1">
      <alignment wrapText="1"/>
    </xf>
    <xf numFmtId="10" fontId="27" fillId="0" borderId="28" xfId="0" applyNumberFormat="1" applyFont="1" applyBorder="1" applyAlignment="1">
      <alignment wrapText="1"/>
    </xf>
    <xf numFmtId="10" fontId="27" fillId="0" borderId="0" xfId="0" applyNumberFormat="1" applyFont="1" applyAlignment="1">
      <alignment wrapText="1"/>
    </xf>
    <xf numFmtId="14" fontId="27" fillId="19" borderId="0" xfId="0" applyNumberFormat="1" applyFont="1" applyFill="1" applyAlignment="1">
      <alignment wrapText="1"/>
    </xf>
    <xf numFmtId="0" fontId="27" fillId="19" borderId="0" xfId="0" applyFont="1" applyFill="1" applyAlignment="1">
      <alignment wrapText="1"/>
    </xf>
    <xf numFmtId="0" fontId="27" fillId="19" borderId="28" xfId="0" applyFont="1" applyFill="1" applyBorder="1"/>
    <xf numFmtId="170" fontId="30" fillId="11" borderId="1" xfId="0" applyNumberFormat="1" applyFont="1" applyFill="1" applyBorder="1" applyAlignment="1">
      <alignment horizontal="center"/>
    </xf>
    <xf numFmtId="0" fontId="27" fillId="19" borderId="34" xfId="0" applyFont="1" applyFill="1" applyBorder="1" applyAlignment="1">
      <alignment wrapText="1"/>
    </xf>
    <xf numFmtId="165" fontId="27" fillId="0" borderId="31" xfId="0" applyNumberFormat="1" applyFont="1" applyBorder="1" applyAlignment="1">
      <alignment wrapText="1"/>
    </xf>
    <xf numFmtId="9" fontId="27" fillId="12" borderId="28" xfId="0" applyNumberFormat="1" applyFont="1" applyFill="1" applyBorder="1" applyAlignment="1">
      <alignment wrapText="1"/>
    </xf>
    <xf numFmtId="10" fontId="27" fillId="12" borderId="28" xfId="0" applyNumberFormat="1" applyFont="1" applyFill="1" applyBorder="1" applyAlignment="1">
      <alignment wrapText="1"/>
    </xf>
    <xf numFmtId="10" fontId="27" fillId="19" borderId="33" xfId="0" applyNumberFormat="1" applyFont="1" applyFill="1" applyBorder="1" applyAlignment="1">
      <alignment wrapText="1"/>
    </xf>
    <xf numFmtId="0" fontId="27" fillId="19" borderId="35" xfId="0" applyFont="1" applyFill="1" applyBorder="1" applyAlignment="1">
      <alignment wrapText="1"/>
    </xf>
    <xf numFmtId="9" fontId="27" fillId="19" borderId="35" xfId="0" applyNumberFormat="1" applyFont="1" applyFill="1" applyBorder="1" applyAlignment="1">
      <alignment wrapText="1"/>
    </xf>
    <xf numFmtId="10" fontId="27" fillId="19" borderId="35" xfId="0" applyNumberFormat="1" applyFont="1" applyFill="1" applyBorder="1" applyAlignment="1">
      <alignment wrapText="1"/>
    </xf>
    <xf numFmtId="165" fontId="27" fillId="19" borderId="35" xfId="0" applyNumberFormat="1" applyFont="1" applyFill="1" applyBorder="1" applyAlignment="1">
      <alignment wrapText="1"/>
    </xf>
    <xf numFmtId="0" fontId="27" fillId="19" borderId="28" xfId="0" applyFont="1" applyFill="1" applyBorder="1" applyAlignment="1">
      <alignment horizontal="left" vertical="top" wrapText="1"/>
    </xf>
    <xf numFmtId="0" fontId="27" fillId="0" borderId="33" xfId="0" applyFont="1" applyBorder="1" applyAlignment="1">
      <alignment wrapText="1"/>
    </xf>
    <xf numFmtId="0" fontId="26" fillId="19" borderId="22" xfId="0" applyFont="1" applyFill="1" applyBorder="1" applyAlignment="1">
      <alignment horizontal="center" vertical="center" wrapText="1"/>
    </xf>
    <xf numFmtId="0" fontId="27" fillId="19" borderId="28" xfId="0" applyFont="1" applyFill="1" applyBorder="1" applyAlignment="1">
      <alignment vertical="center" wrapText="1"/>
    </xf>
    <xf numFmtId="0" fontId="27" fillId="0" borderId="35" xfId="0" applyFont="1" applyBorder="1" applyAlignment="1">
      <alignment wrapText="1"/>
    </xf>
    <xf numFmtId="9" fontId="27" fillId="0" borderId="35" xfId="0" applyNumberFormat="1" applyFont="1" applyBorder="1" applyAlignment="1">
      <alignment wrapText="1"/>
    </xf>
    <xf numFmtId="10" fontId="27" fillId="0" borderId="35" xfId="0" applyNumberFormat="1" applyFont="1" applyBorder="1" applyAlignment="1">
      <alignment wrapText="1"/>
    </xf>
    <xf numFmtId="3" fontId="27" fillId="0" borderId="28" xfId="0" applyNumberFormat="1" applyFont="1" applyBorder="1" applyAlignment="1">
      <alignment wrapText="1"/>
    </xf>
    <xf numFmtId="0" fontId="27" fillId="12" borderId="28" xfId="0" applyFont="1" applyFill="1" applyBorder="1" applyAlignment="1">
      <alignment wrapText="1"/>
    </xf>
    <xf numFmtId="165" fontId="27" fillId="12" borderId="28" xfId="0" applyNumberFormat="1" applyFont="1" applyFill="1" applyBorder="1" applyAlignment="1">
      <alignment wrapText="1"/>
    </xf>
    <xf numFmtId="171" fontId="25" fillId="10" borderId="1" xfId="1" applyNumberFormat="1" applyFont="1" applyFill="1" applyBorder="1" applyAlignment="1">
      <alignment horizontal="center" vertical="center" wrapText="1"/>
    </xf>
    <xf numFmtId="171" fontId="27" fillId="12" borderId="28" xfId="0" applyNumberFormat="1" applyFont="1" applyFill="1" applyBorder="1" applyAlignment="1">
      <alignment wrapText="1"/>
    </xf>
    <xf numFmtId="171" fontId="27" fillId="19" borderId="28" xfId="0" applyNumberFormat="1" applyFont="1" applyFill="1" applyBorder="1" applyAlignment="1">
      <alignment wrapText="1"/>
    </xf>
    <xf numFmtId="171" fontId="27" fillId="0" borderId="28" xfId="0" applyNumberFormat="1" applyFont="1" applyBorder="1" applyAlignment="1">
      <alignment wrapText="1"/>
    </xf>
    <xf numFmtId="171" fontId="27" fillId="0" borderId="0" xfId="0" applyNumberFormat="1" applyFont="1" applyAlignment="1">
      <alignment wrapText="1"/>
    </xf>
    <xf numFmtId="14" fontId="27" fillId="0" borderId="33" xfId="0" applyNumberFormat="1" applyFont="1" applyBorder="1" applyAlignment="1">
      <alignment wrapText="1"/>
    </xf>
    <xf numFmtId="14" fontId="27" fillId="0" borderId="31" xfId="0" applyNumberFormat="1" applyFont="1" applyBorder="1" applyAlignment="1">
      <alignment wrapText="1"/>
    </xf>
    <xf numFmtId="0" fontId="27" fillId="0" borderId="36" xfId="0" applyFont="1" applyBorder="1" applyAlignment="1">
      <alignment wrapText="1"/>
    </xf>
    <xf numFmtId="0" fontId="22" fillId="18" borderId="1" xfId="0" applyFont="1" applyFill="1" applyBorder="1" applyAlignment="1">
      <alignment wrapText="1"/>
    </xf>
    <xf numFmtId="0" fontId="27" fillId="12" borderId="1" xfId="0" applyFont="1" applyFill="1" applyBorder="1" applyAlignment="1">
      <alignment wrapText="1"/>
    </xf>
    <xf numFmtId="0" fontId="27" fillId="0" borderId="1" xfId="0" applyFont="1" applyBorder="1" applyAlignment="1">
      <alignment wrapText="1"/>
    </xf>
    <xf numFmtId="0" fontId="27" fillId="12" borderId="30" xfId="0" applyFont="1" applyFill="1" applyBorder="1" applyAlignment="1">
      <alignment wrapText="1"/>
    </xf>
    <xf numFmtId="0" fontId="27" fillId="0" borderId="30" xfId="0" applyFont="1" applyBorder="1" applyAlignment="1">
      <alignment wrapText="1"/>
    </xf>
    <xf numFmtId="0" fontId="28" fillId="0" borderId="28" xfId="0" applyFont="1" applyBorder="1" applyAlignment="1">
      <alignment wrapText="1"/>
    </xf>
    <xf numFmtId="0" fontId="28" fillId="0" borderId="0" xfId="0" applyFont="1" applyAlignment="1">
      <alignment wrapText="1"/>
    </xf>
    <xf numFmtId="0" fontId="22" fillId="19" borderId="1" xfId="0" applyFont="1" applyFill="1" applyBorder="1" applyAlignment="1">
      <alignment wrapText="1"/>
    </xf>
    <xf numFmtId="9" fontId="22" fillId="19" borderId="1" xfId="0" applyNumberFormat="1" applyFont="1" applyFill="1" applyBorder="1" applyAlignment="1">
      <alignment wrapText="1"/>
    </xf>
    <xf numFmtId="0" fontId="11" fillId="11" borderId="1" xfId="0" applyFont="1" applyFill="1" applyBorder="1" applyAlignment="1">
      <alignment horizontal="center" vertical="center" wrapText="1"/>
    </xf>
    <xf numFmtId="0" fontId="1" fillId="11" borderId="1" xfId="0" applyFont="1" applyFill="1" applyBorder="1" applyAlignment="1">
      <alignment horizontal="center" vertical="center" wrapText="1"/>
    </xf>
    <xf numFmtId="0" fontId="14" fillId="0" borderId="0" xfId="0" applyFont="1"/>
    <xf numFmtId="0" fontId="14" fillId="19" borderId="28" xfId="0" applyFont="1" applyFill="1" applyBorder="1"/>
    <xf numFmtId="0" fontId="14" fillId="12" borderId="28" xfId="0" applyFont="1" applyFill="1" applyBorder="1"/>
    <xf numFmtId="0" fontId="14" fillId="0" borderId="28" xfId="0" applyFont="1" applyBorder="1"/>
    <xf numFmtId="164" fontId="11" fillId="0" borderId="1" xfId="0" applyNumberFormat="1" applyFont="1" applyBorder="1" applyAlignment="1">
      <alignment horizontal="center"/>
    </xf>
    <xf numFmtId="43" fontId="12" fillId="0" borderId="1" xfId="3" applyFont="1" applyBorder="1"/>
    <xf numFmtId="170" fontId="20" fillId="0" borderId="28" xfId="0" applyNumberFormat="1" applyFont="1" applyBorder="1" applyAlignment="1">
      <alignment horizontal="center"/>
    </xf>
    <xf numFmtId="170" fontId="16" fillId="0" borderId="0" xfId="2" applyNumberFormat="1" applyFont="1" applyBorder="1" applyAlignment="1">
      <alignment horizontal="center"/>
    </xf>
    <xf numFmtId="0" fontId="33" fillId="0" borderId="1" xfId="0" applyFont="1" applyBorder="1"/>
    <xf numFmtId="0" fontId="12" fillId="0" borderId="17" xfId="0" applyFont="1" applyBorder="1" applyAlignment="1">
      <alignment horizontal="center"/>
    </xf>
    <xf numFmtId="0" fontId="12" fillId="0" borderId="30" xfId="0" applyFont="1" applyBorder="1" applyAlignment="1">
      <alignment horizontal="center"/>
    </xf>
    <xf numFmtId="0" fontId="12" fillId="14" borderId="28" xfId="0" applyFont="1" applyFill="1" applyBorder="1"/>
    <xf numFmtId="0" fontId="14" fillId="14" borderId="1" xfId="0" applyFont="1" applyFill="1" applyBorder="1"/>
    <xf numFmtId="166" fontId="12" fillId="2" borderId="1" xfId="0" applyNumberFormat="1" applyFont="1" applyFill="1" applyBorder="1" applyAlignment="1">
      <alignment horizontal="center"/>
    </xf>
    <xf numFmtId="166" fontId="12" fillId="11" borderId="1" xfId="0" applyNumberFormat="1" applyFont="1" applyFill="1" applyBorder="1" applyAlignment="1">
      <alignment horizontal="center"/>
    </xf>
    <xf numFmtId="166" fontId="12" fillId="4" borderId="30" xfId="0" applyNumberFormat="1" applyFont="1" applyFill="1" applyBorder="1" applyAlignment="1">
      <alignment horizontal="center"/>
    </xf>
    <xf numFmtId="166" fontId="12" fillId="4" borderId="17" xfId="0" applyNumberFormat="1" applyFont="1" applyFill="1" applyBorder="1" applyAlignment="1">
      <alignment horizontal="center"/>
    </xf>
    <xf numFmtId="0" fontId="26" fillId="10" borderId="1" xfId="0" applyFont="1" applyFill="1" applyBorder="1" applyAlignment="1">
      <alignment horizontal="center" vertical="center"/>
    </xf>
    <xf numFmtId="0" fontId="27" fillId="19" borderId="1" xfId="0" applyFont="1" applyFill="1" applyBorder="1"/>
    <xf numFmtId="0" fontId="27" fillId="19" borderId="31" xfId="0" applyFont="1" applyFill="1" applyBorder="1"/>
    <xf numFmtId="0" fontId="27" fillId="0" borderId="0" xfId="0" applyFont="1"/>
    <xf numFmtId="0" fontId="28" fillId="19" borderId="1" xfId="0" applyFont="1" applyFill="1" applyBorder="1"/>
    <xf numFmtId="0" fontId="27" fillId="19" borderId="33" xfId="0" applyFont="1" applyFill="1" applyBorder="1"/>
    <xf numFmtId="0" fontId="27" fillId="12" borderId="28" xfId="0" applyFont="1" applyFill="1" applyBorder="1"/>
    <xf numFmtId="0" fontId="27" fillId="0" borderId="28" xfId="0" applyFont="1" applyBorder="1"/>
    <xf numFmtId="0" fontId="29" fillId="0" borderId="28" xfId="0" applyFont="1" applyBorder="1"/>
    <xf numFmtId="9" fontId="27" fillId="19" borderId="31" xfId="0" applyNumberFormat="1" applyFont="1" applyFill="1" applyBorder="1"/>
    <xf numFmtId="0" fontId="27" fillId="19" borderId="35" xfId="0" applyFont="1" applyFill="1" applyBorder="1"/>
    <xf numFmtId="0" fontId="27" fillId="0" borderId="31" xfId="0" applyFont="1" applyBorder="1"/>
    <xf numFmtId="0" fontId="27" fillId="0" borderId="35" xfId="0" applyFont="1" applyBorder="1"/>
    <xf numFmtId="0" fontId="27" fillId="0" borderId="33" xfId="0" applyFont="1" applyBorder="1"/>
    <xf numFmtId="0" fontId="27" fillId="0" borderId="37" xfId="0" applyFont="1" applyBorder="1"/>
  </cellXfs>
  <cellStyles count="4">
    <cellStyle name="Comma" xfId="3" builtinId="3"/>
    <cellStyle name="Currency" xfId="2" builtinId="4"/>
    <cellStyle name="Normal" xfId="0" builtinId="0"/>
    <cellStyle name="Percent" xfId="1" builtinId="5"/>
  </cellStyles>
  <dxfs count="3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66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Jem" id="{9CC079B1-3044-42AC-AA68-FA767C375110}">
    <nsvFilter filterId="{00000000-0001-0000-0000-000000000000}" ref="A1:XES1269" tableId="0">
      <columnFilter colId="41">
        <filter colId="41">
          <x:filters>
            <x:filter val="Jemma"/>
          </x:filters>
        </filter>
      </columnFilter>
      <sortRules>
        <sortRule colId="2">
          <sortCondition ref="C1:C1269"/>
        </sortRule>
      </sortRules>
    </nsvFilter>
  </namedSheetView>
  <namedSheetView name="View1" id="{A2459191-7585-42AA-B62F-341B7FBF778B}"/>
  <namedSheetView name="View2" id="{1E7E26C2-F898-415A-B602-8FBD0B0F1C9D}"/>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Jem" id="{1FC6FF6E-9D3C-484E-A99B-610ECD3CD64C}">
    <nsvFilter filterId="{F9256F80-305F-46C4-85EE-3C04D16B5CD8}" ref="A1:T126" tableId="0"/>
  </namedSheetView>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1" Type="http://schemas.microsoft.com/office/2019/04/relationships/namedSheetView" Target="../namedSheetViews/namedSheetView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XFD1048551"/>
  <sheetViews>
    <sheetView tabSelected="1" topLeftCell="O1" zoomScale="90" zoomScaleNormal="90" workbookViewId="0">
      <pane ySplit="1" topLeftCell="A2" activePane="bottomLeft" state="frozen"/>
      <selection pane="bottomLeft" activeCell="AA2" sqref="AA2"/>
    </sheetView>
  </sheetViews>
  <sheetFormatPr defaultColWidth="11.5703125" defaultRowHeight="12"/>
  <cols>
    <col min="1" max="2" width="8.7109375" style="52" customWidth="1"/>
    <col min="3" max="3" width="11.5703125" style="110"/>
    <col min="4" max="4" width="13.140625" style="52" customWidth="1"/>
    <col min="5" max="5" width="15.85546875" style="52" customWidth="1"/>
    <col min="6" max="6" width="11.5703125" style="52"/>
    <col min="7" max="7" width="25.140625" style="158" customWidth="1"/>
    <col min="8" max="8" width="17.7109375" style="52" customWidth="1"/>
    <col min="9" max="9" width="7.5703125" style="52" customWidth="1"/>
    <col min="10" max="10" width="9" style="52" customWidth="1"/>
    <col min="11" max="12" width="10" style="52" customWidth="1"/>
    <col min="13" max="13" width="11.5703125" style="52" customWidth="1"/>
    <col min="14" max="14" width="9" style="52" customWidth="1"/>
    <col min="15" max="15" width="8.28515625" style="102" customWidth="1"/>
    <col min="16" max="17" width="10.140625" style="58" customWidth="1"/>
    <col min="18" max="18" width="10.140625" style="99" customWidth="1"/>
    <col min="19" max="21" width="10.140625" style="58" customWidth="1"/>
    <col min="22" max="22" width="10.140625" style="65" customWidth="1"/>
    <col min="23" max="25" width="11.5703125" style="72" customWidth="1"/>
    <col min="26" max="27" width="11.5703125" style="66" customWidth="1"/>
    <col min="28" max="28" width="11.5703125" style="72" customWidth="1"/>
    <col min="29" max="29" width="11.5703125" style="181" customWidth="1"/>
    <col min="30" max="30" width="11.5703125" style="66" customWidth="1"/>
    <col min="31" max="31" width="11.5703125" style="72" customWidth="1"/>
    <col min="32" max="32" width="11.5703125" style="181" customWidth="1"/>
    <col min="33" max="33" width="11.5703125" style="66" customWidth="1"/>
    <col min="34" max="34" width="11.5703125" style="58" customWidth="1"/>
    <col min="35" max="35" width="11.5703125" style="52" customWidth="1"/>
    <col min="36" max="39" width="11.5703125" style="52"/>
    <col min="40" max="40" width="11.5703125" style="108"/>
    <col min="41" max="43" width="11.5703125" style="52"/>
    <col min="44" max="44" width="11.7109375" style="52" customWidth="1"/>
    <col min="45" max="16384" width="11.5703125" style="52"/>
  </cols>
  <sheetData>
    <row r="1" spans="1:44" s="46" customFormat="1" ht="69.599999999999994" customHeight="1">
      <c r="A1" s="73" t="s">
        <v>0</v>
      </c>
      <c r="B1" s="73" t="s">
        <v>1</v>
      </c>
      <c r="C1" s="109" t="s">
        <v>2</v>
      </c>
      <c r="D1" s="73" t="s">
        <v>3</v>
      </c>
      <c r="E1" s="73" t="s">
        <v>4</v>
      </c>
      <c r="F1" s="73" t="s">
        <v>5</v>
      </c>
      <c r="G1" s="73" t="s">
        <v>6</v>
      </c>
      <c r="H1" s="73" t="s">
        <v>7</v>
      </c>
      <c r="I1" s="127" t="s">
        <v>8</v>
      </c>
      <c r="J1" s="73" t="s">
        <v>9</v>
      </c>
      <c r="K1" s="73" t="s">
        <v>10</v>
      </c>
      <c r="L1" s="73" t="s">
        <v>11</v>
      </c>
      <c r="M1" s="73" t="s">
        <v>12</v>
      </c>
      <c r="N1" s="73" t="s">
        <v>13</v>
      </c>
      <c r="O1" s="73" t="s">
        <v>14</v>
      </c>
      <c r="P1" s="73" t="s">
        <v>15</v>
      </c>
      <c r="Q1" s="73" t="s">
        <v>16</v>
      </c>
      <c r="R1" s="95" t="s">
        <v>17</v>
      </c>
      <c r="S1" s="73" t="s">
        <v>18</v>
      </c>
      <c r="T1" s="73" t="s">
        <v>19</v>
      </c>
      <c r="U1" s="73" t="s">
        <v>20</v>
      </c>
      <c r="V1" s="75" t="s">
        <v>21</v>
      </c>
      <c r="W1" s="75" t="s">
        <v>22</v>
      </c>
      <c r="X1" s="75" t="s">
        <v>23</v>
      </c>
      <c r="Y1" s="75" t="s">
        <v>24</v>
      </c>
      <c r="Z1" s="76" t="s">
        <v>25</v>
      </c>
      <c r="AA1" s="76" t="s">
        <v>26</v>
      </c>
      <c r="AB1" s="75" t="s">
        <v>27</v>
      </c>
      <c r="AC1" s="179" t="s">
        <v>28</v>
      </c>
      <c r="AD1" s="76" t="s">
        <v>29</v>
      </c>
      <c r="AE1" s="75" t="s">
        <v>30</v>
      </c>
      <c r="AF1" s="179" t="s">
        <v>31</v>
      </c>
      <c r="AG1" s="76" t="s">
        <v>32</v>
      </c>
      <c r="AH1" s="127" t="s">
        <v>33</v>
      </c>
      <c r="AI1" s="271" t="s">
        <v>34</v>
      </c>
      <c r="AJ1" s="73" t="s">
        <v>35</v>
      </c>
      <c r="AK1" s="73" t="s">
        <v>36</v>
      </c>
      <c r="AL1" s="73" t="s">
        <v>37</v>
      </c>
      <c r="AM1" s="73" t="s">
        <v>38</v>
      </c>
      <c r="AN1" s="75" t="s">
        <v>39</v>
      </c>
      <c r="AO1" s="73" t="s">
        <v>40</v>
      </c>
      <c r="AP1" s="73" t="s">
        <v>41</v>
      </c>
      <c r="AQ1" s="73" t="s">
        <v>42</v>
      </c>
      <c r="AR1" s="73" t="s">
        <v>43</v>
      </c>
    </row>
    <row r="2" spans="1:44">
      <c r="A2" s="47" t="s">
        <v>44</v>
      </c>
      <c r="B2" s="47" t="str">
        <f t="shared" ref="B2:B65" si="0">TEXT(C2,"mmmm")</f>
        <v>August</v>
      </c>
      <c r="C2" s="59">
        <v>45520</v>
      </c>
      <c r="D2" s="47" t="s">
        <v>109</v>
      </c>
      <c r="E2" s="47" t="s">
        <v>1192</v>
      </c>
      <c r="F2" s="47" t="s">
        <v>1080</v>
      </c>
      <c r="G2" s="47" t="s">
        <v>1193</v>
      </c>
      <c r="H2" s="47" t="s">
        <v>1194</v>
      </c>
      <c r="I2" s="47" t="s">
        <v>50</v>
      </c>
      <c r="J2" s="47" t="s">
        <v>51</v>
      </c>
      <c r="K2" s="48">
        <v>44790</v>
      </c>
      <c r="L2" s="48">
        <v>45155</v>
      </c>
      <c r="M2" s="48">
        <v>45520</v>
      </c>
      <c r="N2" s="47" t="s">
        <v>64</v>
      </c>
      <c r="O2" s="55" t="s">
        <v>53</v>
      </c>
      <c r="P2" s="62">
        <v>17880</v>
      </c>
      <c r="Q2" s="62">
        <v>2024</v>
      </c>
      <c r="R2" s="96">
        <v>18480</v>
      </c>
      <c r="S2" s="62">
        <v>2025</v>
      </c>
      <c r="T2" s="62">
        <v>18000</v>
      </c>
      <c r="U2" s="62">
        <v>1950</v>
      </c>
      <c r="V2" s="69">
        <v>0</v>
      </c>
      <c r="W2" s="71">
        <v>2058</v>
      </c>
      <c r="X2" s="71"/>
      <c r="Y2" s="71"/>
      <c r="Z2" s="64">
        <f t="shared" ref="Z2:Z65" si="1">(W2-U2)/U2</f>
        <v>5.5384615384615386E-2</v>
      </c>
      <c r="AA2" s="64">
        <f t="shared" ref="AA2:AA33" si="2">(W2-S2)/S2</f>
        <v>1.6296296296296295E-2</v>
      </c>
      <c r="AB2" s="71">
        <v>2058</v>
      </c>
      <c r="AC2" s="64">
        <f t="shared" ref="AC2:AC65" si="3">(AB2-U2)/U2</f>
        <v>5.5384615384615386E-2</v>
      </c>
      <c r="AD2" s="64">
        <f t="shared" ref="AD2:AD33" si="4">(AB2-S2)/S2</f>
        <v>1.6296296296296295E-2</v>
      </c>
      <c r="AE2" s="71">
        <v>1900</v>
      </c>
      <c r="AF2" s="64">
        <f t="shared" ref="AF2:AF65" si="5">(AE2-U2)/U2</f>
        <v>-2.564102564102564E-2</v>
      </c>
      <c r="AG2" s="64">
        <f t="shared" ref="AG2:AG33" si="6">(AE2-S2)/S2</f>
        <v>-6.1728395061728392E-2</v>
      </c>
      <c r="AH2" s="67"/>
      <c r="AI2" s="47" t="s">
        <v>54</v>
      </c>
      <c r="AJ2" s="47">
        <v>574</v>
      </c>
      <c r="AK2" s="47" t="s">
        <v>55</v>
      </c>
      <c r="AL2" s="47" t="s">
        <v>55</v>
      </c>
      <c r="AM2" s="47" t="s">
        <v>1195</v>
      </c>
      <c r="AN2" s="47"/>
      <c r="AO2" s="211">
        <f t="shared" ref="AO2:AO65" si="7">SUM(AN2-U2)/U2</f>
        <v>-1</v>
      </c>
      <c r="AP2" s="47" t="s">
        <v>90</v>
      </c>
      <c r="AQ2" s="91" t="s">
        <v>116</v>
      </c>
      <c r="AR2" s="47"/>
    </row>
    <row r="3" spans="1:44" ht="19.5" customHeight="1">
      <c r="A3" s="47" t="s">
        <v>44</v>
      </c>
      <c r="B3" s="47" t="str">
        <f t="shared" si="0"/>
        <v>August</v>
      </c>
      <c r="C3" s="59">
        <v>45527</v>
      </c>
      <c r="D3" s="47" t="s">
        <v>109</v>
      </c>
      <c r="E3" s="47" t="s">
        <v>1192</v>
      </c>
      <c r="F3" s="47" t="s">
        <v>1080</v>
      </c>
      <c r="G3" s="47" t="s">
        <v>1285</v>
      </c>
      <c r="H3" s="47" t="s">
        <v>1286</v>
      </c>
      <c r="I3" s="47" t="s">
        <v>50</v>
      </c>
      <c r="J3" s="47" t="s">
        <v>51</v>
      </c>
      <c r="K3" s="48">
        <v>43701</v>
      </c>
      <c r="L3" s="48">
        <v>45162</v>
      </c>
      <c r="M3" s="48">
        <v>45527</v>
      </c>
      <c r="N3" s="47" t="s">
        <v>64</v>
      </c>
      <c r="O3" s="55" t="s">
        <v>53</v>
      </c>
      <c r="P3" s="62">
        <v>17796</v>
      </c>
      <c r="Q3" s="62">
        <v>1483</v>
      </c>
      <c r="R3" s="96">
        <v>18180</v>
      </c>
      <c r="S3" s="62">
        <f t="shared" ref="S3:S33" si="8">R3/12</f>
        <v>1515</v>
      </c>
      <c r="T3" s="62">
        <v>17040</v>
      </c>
      <c r="U3" s="62">
        <f t="shared" ref="U3:U33" si="9">T3/12</f>
        <v>1420</v>
      </c>
      <c r="V3" s="69">
        <v>15780</v>
      </c>
      <c r="W3" s="71">
        <v>1600</v>
      </c>
      <c r="X3" s="71"/>
      <c r="Y3" s="71"/>
      <c r="Z3" s="64">
        <f t="shared" si="1"/>
        <v>0.12676056338028169</v>
      </c>
      <c r="AA3" s="64">
        <f t="shared" si="2"/>
        <v>5.6105610561056105E-2</v>
      </c>
      <c r="AB3" s="71">
        <v>1540</v>
      </c>
      <c r="AC3" s="64">
        <f t="shared" si="3"/>
        <v>8.4507042253521125E-2</v>
      </c>
      <c r="AD3" s="64">
        <f t="shared" si="4"/>
        <v>1.65016501650165E-2</v>
      </c>
      <c r="AE3" s="71">
        <v>1515</v>
      </c>
      <c r="AF3" s="64">
        <f t="shared" si="5"/>
        <v>6.6901408450704219E-2</v>
      </c>
      <c r="AG3" s="64">
        <f t="shared" si="6"/>
        <v>0</v>
      </c>
      <c r="AH3" s="67"/>
      <c r="AI3" s="47" t="s">
        <v>250</v>
      </c>
      <c r="AJ3" s="47">
        <v>538</v>
      </c>
      <c r="AK3" s="47" t="s">
        <v>55</v>
      </c>
      <c r="AL3" s="47" t="s">
        <v>55</v>
      </c>
      <c r="AM3" s="47" t="s">
        <v>1287</v>
      </c>
      <c r="AN3" s="47"/>
      <c r="AO3" s="211">
        <f t="shared" si="7"/>
        <v>-1</v>
      </c>
      <c r="AP3" s="47" t="s">
        <v>90</v>
      </c>
      <c r="AQ3" s="94" t="s">
        <v>891</v>
      </c>
      <c r="AR3" s="47"/>
    </row>
    <row r="4" spans="1:44" hidden="1">
      <c r="A4" s="47" t="s">
        <v>44</v>
      </c>
      <c r="B4" s="47" t="str">
        <f t="shared" si="0"/>
        <v>July</v>
      </c>
      <c r="C4" s="59">
        <v>45479</v>
      </c>
      <c r="D4" s="47" t="s">
        <v>109</v>
      </c>
      <c r="E4" s="47" t="s">
        <v>1192</v>
      </c>
      <c r="F4" s="47" t="s">
        <v>1080</v>
      </c>
      <c r="G4" s="47" t="s">
        <v>1776</v>
      </c>
      <c r="H4" s="47" t="s">
        <v>1777</v>
      </c>
      <c r="I4" s="47" t="s">
        <v>50</v>
      </c>
      <c r="J4" s="47" t="s">
        <v>51</v>
      </c>
      <c r="K4" s="48">
        <v>45114</v>
      </c>
      <c r="L4" s="48">
        <v>45114</v>
      </c>
      <c r="M4" s="48">
        <v>45479</v>
      </c>
      <c r="N4" s="47" t="s">
        <v>52</v>
      </c>
      <c r="O4" s="55" t="s">
        <v>53</v>
      </c>
      <c r="P4" s="62">
        <v>17796</v>
      </c>
      <c r="Q4" s="62">
        <v>1483</v>
      </c>
      <c r="R4" s="96">
        <v>18180</v>
      </c>
      <c r="S4" s="62">
        <f t="shared" si="8"/>
        <v>1515</v>
      </c>
      <c r="T4" s="62">
        <v>18120</v>
      </c>
      <c r="U4" s="62">
        <f t="shared" si="9"/>
        <v>1510</v>
      </c>
      <c r="V4" s="69">
        <v>16680</v>
      </c>
      <c r="W4" s="71">
        <v>1640</v>
      </c>
      <c r="X4" s="71"/>
      <c r="Y4" s="170"/>
      <c r="Z4" s="64">
        <f t="shared" si="1"/>
        <v>8.6092715231788075E-2</v>
      </c>
      <c r="AA4" s="64">
        <f t="shared" si="2"/>
        <v>8.2508250825082508E-2</v>
      </c>
      <c r="AB4" s="71">
        <v>1625</v>
      </c>
      <c r="AC4" s="64">
        <f t="shared" si="3"/>
        <v>7.6158940397350994E-2</v>
      </c>
      <c r="AD4" s="64">
        <f t="shared" si="4"/>
        <v>7.2607260726072612E-2</v>
      </c>
      <c r="AE4" s="71">
        <v>1600</v>
      </c>
      <c r="AF4" s="64">
        <f t="shared" si="5"/>
        <v>5.9602649006622516E-2</v>
      </c>
      <c r="AG4" s="64">
        <f t="shared" si="6"/>
        <v>5.6105610561056105E-2</v>
      </c>
      <c r="AH4" s="67"/>
      <c r="AI4" s="47" t="s">
        <v>54</v>
      </c>
      <c r="AJ4" s="47">
        <v>538</v>
      </c>
      <c r="AK4" s="101" t="s">
        <v>55</v>
      </c>
      <c r="AL4" s="101" t="s">
        <v>55</v>
      </c>
      <c r="AM4" s="47" t="s">
        <v>1778</v>
      </c>
      <c r="AN4" s="47">
        <v>1600</v>
      </c>
      <c r="AO4" s="211">
        <f t="shared" si="7"/>
        <v>5.9602649006622516E-2</v>
      </c>
      <c r="AP4" s="47" t="s">
        <v>90</v>
      </c>
      <c r="AQ4" s="91" t="s">
        <v>116</v>
      </c>
      <c r="AR4" s="47"/>
    </row>
    <row r="5" spans="1:44">
      <c r="A5" s="47" t="s">
        <v>44</v>
      </c>
      <c r="B5" s="47" t="str">
        <f t="shared" si="0"/>
        <v>July</v>
      </c>
      <c r="C5" s="59">
        <v>45482</v>
      </c>
      <c r="D5" s="47" t="s">
        <v>109</v>
      </c>
      <c r="E5" s="47" t="s">
        <v>1192</v>
      </c>
      <c r="F5" s="47" t="s">
        <v>1080</v>
      </c>
      <c r="G5" s="47" t="s">
        <v>1783</v>
      </c>
      <c r="H5" s="47" t="s">
        <v>1784</v>
      </c>
      <c r="I5" s="47" t="s">
        <v>50</v>
      </c>
      <c r="J5" s="47" t="s">
        <v>51</v>
      </c>
      <c r="K5" s="48">
        <v>43291</v>
      </c>
      <c r="L5" s="48">
        <v>45117</v>
      </c>
      <c r="M5" s="48">
        <v>45482</v>
      </c>
      <c r="N5" s="47" t="s">
        <v>64</v>
      </c>
      <c r="O5" s="55" t="s">
        <v>53</v>
      </c>
      <c r="P5" s="62">
        <v>17880</v>
      </c>
      <c r="Q5" s="62">
        <v>1490</v>
      </c>
      <c r="R5" s="96">
        <v>18480</v>
      </c>
      <c r="S5" s="62">
        <f t="shared" si="8"/>
        <v>1540</v>
      </c>
      <c r="T5" s="62">
        <v>17100</v>
      </c>
      <c r="U5" s="62">
        <f t="shared" si="9"/>
        <v>1425</v>
      </c>
      <c r="V5" s="69">
        <v>15759</v>
      </c>
      <c r="W5" s="71">
        <v>1600</v>
      </c>
      <c r="X5" s="71"/>
      <c r="Y5" s="71"/>
      <c r="Z5" s="64">
        <f t="shared" si="1"/>
        <v>0.12280701754385964</v>
      </c>
      <c r="AA5" s="64">
        <f t="shared" si="2"/>
        <v>3.896103896103896E-2</v>
      </c>
      <c r="AB5" s="71">
        <v>1575</v>
      </c>
      <c r="AC5" s="64">
        <f t="shared" si="3"/>
        <v>0.10526315789473684</v>
      </c>
      <c r="AD5" s="64">
        <f t="shared" si="4"/>
        <v>2.2727272727272728E-2</v>
      </c>
      <c r="AE5" s="71">
        <v>1540</v>
      </c>
      <c r="AF5" s="64">
        <f t="shared" si="5"/>
        <v>8.0701754385964913E-2</v>
      </c>
      <c r="AG5" s="64">
        <f t="shared" si="6"/>
        <v>0</v>
      </c>
      <c r="AH5" s="67"/>
      <c r="AI5" s="47" t="s">
        <v>54</v>
      </c>
      <c r="AJ5" s="47">
        <v>574</v>
      </c>
      <c r="AK5" s="101" t="s">
        <v>55</v>
      </c>
      <c r="AL5" s="101" t="s">
        <v>55</v>
      </c>
      <c r="AM5" s="47" t="s">
        <v>1287</v>
      </c>
      <c r="AN5" s="47">
        <v>1540</v>
      </c>
      <c r="AO5" s="211">
        <f t="shared" si="7"/>
        <v>8.0701754385964913E-2</v>
      </c>
      <c r="AP5" s="47" t="s">
        <v>90</v>
      </c>
      <c r="AQ5" s="91" t="s">
        <v>116</v>
      </c>
      <c r="AR5" s="47"/>
    </row>
    <row r="6" spans="1:44" hidden="1">
      <c r="A6" s="47" t="s">
        <v>44</v>
      </c>
      <c r="B6" s="47" t="str">
        <f t="shared" si="0"/>
        <v>July</v>
      </c>
      <c r="C6" s="59">
        <v>45490</v>
      </c>
      <c r="D6" s="47" t="s">
        <v>109</v>
      </c>
      <c r="E6" s="47" t="s">
        <v>1192</v>
      </c>
      <c r="F6" s="47" t="s">
        <v>1080</v>
      </c>
      <c r="G6" s="47" t="s">
        <v>1785</v>
      </c>
      <c r="H6" s="47" t="s">
        <v>1786</v>
      </c>
      <c r="I6" s="47" t="s">
        <v>50</v>
      </c>
      <c r="J6" s="47" t="s">
        <v>51</v>
      </c>
      <c r="K6" s="48">
        <v>45125</v>
      </c>
      <c r="L6" s="48">
        <v>45125</v>
      </c>
      <c r="M6" s="48">
        <v>45490</v>
      </c>
      <c r="N6" s="47" t="s">
        <v>52</v>
      </c>
      <c r="O6" s="55" t="s">
        <v>53</v>
      </c>
      <c r="P6" s="62">
        <v>17796</v>
      </c>
      <c r="Q6" s="62">
        <v>1483</v>
      </c>
      <c r="R6" s="96">
        <v>18180</v>
      </c>
      <c r="S6" s="62">
        <f t="shared" si="8"/>
        <v>1515</v>
      </c>
      <c r="T6" s="62">
        <v>18600</v>
      </c>
      <c r="U6" s="62">
        <f t="shared" si="9"/>
        <v>1550</v>
      </c>
      <c r="V6" s="69">
        <v>17100</v>
      </c>
      <c r="W6" s="71">
        <v>1630</v>
      </c>
      <c r="X6" s="71"/>
      <c r="Y6" s="71"/>
      <c r="Z6" s="64">
        <f t="shared" si="1"/>
        <v>5.1612903225806452E-2</v>
      </c>
      <c r="AA6" s="64">
        <f t="shared" si="2"/>
        <v>7.590759075907591E-2</v>
      </c>
      <c r="AB6" s="71">
        <v>1650</v>
      </c>
      <c r="AC6" s="64">
        <f t="shared" si="3"/>
        <v>6.4516129032258063E-2</v>
      </c>
      <c r="AD6" s="64">
        <f t="shared" si="4"/>
        <v>8.9108910891089105E-2</v>
      </c>
      <c r="AE6" s="71">
        <v>1625</v>
      </c>
      <c r="AF6" s="64">
        <f t="shared" si="5"/>
        <v>4.8387096774193547E-2</v>
      </c>
      <c r="AG6" s="64">
        <f t="shared" si="6"/>
        <v>7.2607260726072612E-2</v>
      </c>
      <c r="AH6" s="67"/>
      <c r="AI6" s="47" t="s">
        <v>54</v>
      </c>
      <c r="AJ6" s="47">
        <v>538</v>
      </c>
      <c r="AK6" s="101" t="s">
        <v>55</v>
      </c>
      <c r="AL6" s="101" t="s">
        <v>55</v>
      </c>
      <c r="AM6" s="47" t="s">
        <v>1195</v>
      </c>
      <c r="AN6" s="47"/>
      <c r="AO6" s="211">
        <f t="shared" si="7"/>
        <v>-1</v>
      </c>
      <c r="AP6" s="47" t="s">
        <v>90</v>
      </c>
      <c r="AQ6" s="91" t="s">
        <v>116</v>
      </c>
      <c r="AR6" s="47"/>
    </row>
    <row r="7" spans="1:44">
      <c r="A7" s="47" t="s">
        <v>44</v>
      </c>
      <c r="B7" s="47" t="str">
        <f t="shared" si="0"/>
        <v>July</v>
      </c>
      <c r="C7" s="59">
        <v>45474</v>
      </c>
      <c r="D7" s="47" t="s">
        <v>109</v>
      </c>
      <c r="E7" s="47" t="s">
        <v>1192</v>
      </c>
      <c r="F7" s="47" t="s">
        <v>1080</v>
      </c>
      <c r="G7" s="47" t="s">
        <v>1787</v>
      </c>
      <c r="H7" s="47" t="s">
        <v>1788</v>
      </c>
      <c r="I7" s="47" t="s">
        <v>50</v>
      </c>
      <c r="J7" s="47" t="s">
        <v>51</v>
      </c>
      <c r="K7" s="48">
        <v>44014</v>
      </c>
      <c r="L7" s="48">
        <v>45109</v>
      </c>
      <c r="M7" s="48">
        <v>45474</v>
      </c>
      <c r="N7" s="47" t="s">
        <v>64</v>
      </c>
      <c r="O7" s="55" t="s">
        <v>53</v>
      </c>
      <c r="P7" s="62">
        <v>24000</v>
      </c>
      <c r="Q7" s="62">
        <v>2000</v>
      </c>
      <c r="R7" s="96">
        <v>25656</v>
      </c>
      <c r="S7" s="62">
        <f t="shared" si="8"/>
        <v>2138</v>
      </c>
      <c r="T7" s="62">
        <v>23700</v>
      </c>
      <c r="U7" s="62">
        <f t="shared" si="9"/>
        <v>1975</v>
      </c>
      <c r="V7" s="69">
        <v>22740</v>
      </c>
      <c r="W7" s="71">
        <v>2150</v>
      </c>
      <c r="X7" s="71"/>
      <c r="Y7" s="71"/>
      <c r="Z7" s="64">
        <f t="shared" si="1"/>
        <v>8.8607594936708861E-2</v>
      </c>
      <c r="AA7" s="64">
        <f t="shared" si="2"/>
        <v>5.6127221702525721E-3</v>
      </c>
      <c r="AB7" s="71">
        <v>2150</v>
      </c>
      <c r="AC7" s="64">
        <f t="shared" si="3"/>
        <v>8.8607594936708861E-2</v>
      </c>
      <c r="AD7" s="64">
        <f t="shared" si="4"/>
        <v>5.6127221702525721E-3</v>
      </c>
      <c r="AE7" s="71">
        <v>2140</v>
      </c>
      <c r="AF7" s="64">
        <f t="shared" si="5"/>
        <v>8.3544303797468356E-2</v>
      </c>
      <c r="AG7" s="64">
        <f t="shared" si="6"/>
        <v>9.3545369504209543E-4</v>
      </c>
      <c r="AH7" s="67"/>
      <c r="AI7" s="47" t="s">
        <v>395</v>
      </c>
      <c r="AJ7" s="47">
        <v>958</v>
      </c>
      <c r="AK7" s="101" t="s">
        <v>140</v>
      </c>
      <c r="AL7" s="101" t="s">
        <v>65</v>
      </c>
      <c r="AM7" s="47" t="s">
        <v>1789</v>
      </c>
      <c r="AN7" s="47"/>
      <c r="AO7" s="211">
        <f t="shared" si="7"/>
        <v>-1</v>
      </c>
      <c r="AP7" s="47" t="s">
        <v>90</v>
      </c>
      <c r="AQ7" s="91" t="s">
        <v>116</v>
      </c>
      <c r="AR7" s="47"/>
    </row>
    <row r="8" spans="1:44">
      <c r="A8" s="47" t="s">
        <v>44</v>
      </c>
      <c r="B8" s="47" t="str">
        <f t="shared" si="0"/>
        <v>July</v>
      </c>
      <c r="C8" s="59">
        <v>45497</v>
      </c>
      <c r="D8" s="47" t="s">
        <v>109</v>
      </c>
      <c r="E8" s="47" t="s">
        <v>1192</v>
      </c>
      <c r="F8" s="47" t="s">
        <v>1080</v>
      </c>
      <c r="G8" s="47" t="s">
        <v>1790</v>
      </c>
      <c r="H8" s="47" t="s">
        <v>1791</v>
      </c>
      <c r="I8" s="47" t="s">
        <v>50</v>
      </c>
      <c r="J8" s="47" t="s">
        <v>51</v>
      </c>
      <c r="K8" s="48">
        <v>43671</v>
      </c>
      <c r="L8" s="48">
        <v>45132</v>
      </c>
      <c r="M8" s="48">
        <v>45497</v>
      </c>
      <c r="N8" s="47" t="s">
        <v>64</v>
      </c>
      <c r="O8" s="55" t="s">
        <v>53</v>
      </c>
      <c r="P8" s="62">
        <v>17796</v>
      </c>
      <c r="Q8" s="62">
        <v>1483</v>
      </c>
      <c r="R8" s="96">
        <v>18180</v>
      </c>
      <c r="S8" s="62">
        <f t="shared" si="8"/>
        <v>1515</v>
      </c>
      <c r="T8" s="62">
        <v>17280</v>
      </c>
      <c r="U8" s="62">
        <f t="shared" si="9"/>
        <v>1440</v>
      </c>
      <c r="V8" s="69">
        <v>15840</v>
      </c>
      <c r="W8" s="71">
        <v>1620</v>
      </c>
      <c r="X8" s="71"/>
      <c r="Y8" s="71"/>
      <c r="Z8" s="64">
        <f t="shared" si="1"/>
        <v>0.125</v>
      </c>
      <c r="AA8" s="64">
        <f t="shared" si="2"/>
        <v>6.9306930693069313E-2</v>
      </c>
      <c r="AB8" s="71">
        <v>1575</v>
      </c>
      <c r="AC8" s="64">
        <f t="shared" si="3"/>
        <v>9.375E-2</v>
      </c>
      <c r="AD8" s="64">
        <f t="shared" si="4"/>
        <v>3.9603960396039604E-2</v>
      </c>
      <c r="AE8" s="71">
        <v>1540</v>
      </c>
      <c r="AF8" s="64">
        <f t="shared" si="5"/>
        <v>6.9444444444444448E-2</v>
      </c>
      <c r="AG8" s="64">
        <f t="shared" si="6"/>
        <v>1.65016501650165E-2</v>
      </c>
      <c r="AH8" s="67"/>
      <c r="AI8" s="47" t="s">
        <v>54</v>
      </c>
      <c r="AJ8" s="47">
        <v>538</v>
      </c>
      <c r="AK8" s="101" t="s">
        <v>55</v>
      </c>
      <c r="AL8" s="101" t="s">
        <v>55</v>
      </c>
      <c r="AM8" s="47" t="s">
        <v>1792</v>
      </c>
      <c r="AN8" s="47">
        <v>1540</v>
      </c>
      <c r="AO8" s="211">
        <f t="shared" si="7"/>
        <v>6.9444444444444448E-2</v>
      </c>
      <c r="AP8" s="47" t="s">
        <v>90</v>
      </c>
      <c r="AQ8" s="91" t="s">
        <v>116</v>
      </c>
      <c r="AR8" s="47"/>
    </row>
    <row r="9" spans="1:44">
      <c r="A9" s="47" t="s">
        <v>44</v>
      </c>
      <c r="B9" s="47" t="str">
        <f t="shared" si="0"/>
        <v>July</v>
      </c>
      <c r="C9" s="59">
        <v>45499</v>
      </c>
      <c r="D9" s="47" t="s">
        <v>109</v>
      </c>
      <c r="E9" s="47" t="s">
        <v>1192</v>
      </c>
      <c r="F9" s="47" t="s">
        <v>1080</v>
      </c>
      <c r="G9" s="47" t="s">
        <v>1793</v>
      </c>
      <c r="H9" s="47" t="s">
        <v>1794</v>
      </c>
      <c r="I9" s="47" t="s">
        <v>50</v>
      </c>
      <c r="J9" s="47" t="s">
        <v>51</v>
      </c>
      <c r="K9" s="48">
        <v>44769</v>
      </c>
      <c r="L9" s="48">
        <v>45134</v>
      </c>
      <c r="M9" s="48">
        <v>45499</v>
      </c>
      <c r="N9" s="47" t="s">
        <v>64</v>
      </c>
      <c r="O9" s="55" t="s">
        <v>53</v>
      </c>
      <c r="P9" s="62">
        <v>17796</v>
      </c>
      <c r="Q9" s="62">
        <v>1483</v>
      </c>
      <c r="R9" s="96">
        <v>18180</v>
      </c>
      <c r="S9" s="62">
        <f t="shared" si="8"/>
        <v>1515</v>
      </c>
      <c r="T9" s="62">
        <v>17400</v>
      </c>
      <c r="U9" s="62">
        <f t="shared" si="9"/>
        <v>1450</v>
      </c>
      <c r="V9" s="69">
        <v>16080</v>
      </c>
      <c r="W9" s="71">
        <v>1600</v>
      </c>
      <c r="X9" s="71"/>
      <c r="Y9" s="71"/>
      <c r="Z9" s="64">
        <f t="shared" si="1"/>
        <v>0.10344827586206896</v>
      </c>
      <c r="AA9" s="64">
        <f t="shared" si="2"/>
        <v>5.6105610561056105E-2</v>
      </c>
      <c r="AB9" s="71">
        <v>1575</v>
      </c>
      <c r="AC9" s="64">
        <f t="shared" si="3"/>
        <v>8.6206896551724144E-2</v>
      </c>
      <c r="AD9" s="64">
        <f t="shared" si="4"/>
        <v>3.9603960396039604E-2</v>
      </c>
      <c r="AE9" s="71">
        <v>1535</v>
      </c>
      <c r="AF9" s="64">
        <f t="shared" si="5"/>
        <v>5.8620689655172413E-2</v>
      </c>
      <c r="AG9" s="64">
        <f t="shared" si="6"/>
        <v>1.3201320132013201E-2</v>
      </c>
      <c r="AH9" s="67"/>
      <c r="AI9" s="47" t="s">
        <v>54</v>
      </c>
      <c r="AJ9" s="47">
        <v>538</v>
      </c>
      <c r="AK9" s="101" t="s">
        <v>55</v>
      </c>
      <c r="AL9" s="101" t="s">
        <v>55</v>
      </c>
      <c r="AM9" s="47" t="s">
        <v>1792</v>
      </c>
      <c r="AN9" s="47">
        <v>1535</v>
      </c>
      <c r="AO9" s="211">
        <f t="shared" si="7"/>
        <v>5.8620689655172413E-2</v>
      </c>
      <c r="AP9" s="47" t="s">
        <v>90</v>
      </c>
      <c r="AQ9" s="91" t="s">
        <v>116</v>
      </c>
      <c r="AR9" s="47"/>
    </row>
    <row r="10" spans="1:44">
      <c r="A10" s="47" t="s">
        <v>44</v>
      </c>
      <c r="B10" s="47" t="str">
        <f t="shared" si="0"/>
        <v>July</v>
      </c>
      <c r="C10" s="59">
        <v>45487</v>
      </c>
      <c r="D10" s="47" t="s">
        <v>109</v>
      </c>
      <c r="E10" s="47" t="s">
        <v>1192</v>
      </c>
      <c r="F10" s="47" t="s">
        <v>1080</v>
      </c>
      <c r="G10" s="47" t="s">
        <v>1795</v>
      </c>
      <c r="H10" s="47" t="s">
        <v>1796</v>
      </c>
      <c r="I10" s="47" t="s">
        <v>50</v>
      </c>
      <c r="J10" s="47" t="s">
        <v>51</v>
      </c>
      <c r="K10" s="48">
        <v>44392</v>
      </c>
      <c r="L10" s="48">
        <v>45122</v>
      </c>
      <c r="M10" s="48">
        <v>45487</v>
      </c>
      <c r="N10" s="47" t="s">
        <v>64</v>
      </c>
      <c r="O10" s="55" t="s">
        <v>53</v>
      </c>
      <c r="P10" s="62">
        <v>20100</v>
      </c>
      <c r="Q10" s="62">
        <v>1675</v>
      </c>
      <c r="R10" s="96">
        <v>21480</v>
      </c>
      <c r="S10" s="62">
        <f t="shared" si="8"/>
        <v>1790</v>
      </c>
      <c r="T10" s="62">
        <v>19560</v>
      </c>
      <c r="U10" s="62">
        <f t="shared" si="9"/>
        <v>1630</v>
      </c>
      <c r="V10" s="69">
        <v>17940</v>
      </c>
      <c r="W10" s="71">
        <v>1890</v>
      </c>
      <c r="X10" s="71"/>
      <c r="Y10" s="71"/>
      <c r="Z10" s="64">
        <f t="shared" si="1"/>
        <v>0.15950920245398773</v>
      </c>
      <c r="AA10" s="64">
        <f t="shared" si="2"/>
        <v>5.5865921787709494E-2</v>
      </c>
      <c r="AB10" s="71">
        <v>1835</v>
      </c>
      <c r="AC10" s="64">
        <f t="shared" si="3"/>
        <v>0.12576687116564417</v>
      </c>
      <c r="AD10" s="64">
        <f t="shared" si="4"/>
        <v>2.5139664804469275E-2</v>
      </c>
      <c r="AE10" s="71">
        <v>1800</v>
      </c>
      <c r="AF10" s="64">
        <f t="shared" si="5"/>
        <v>0.10429447852760736</v>
      </c>
      <c r="AG10" s="64">
        <f t="shared" si="6"/>
        <v>5.5865921787709499E-3</v>
      </c>
      <c r="AH10" s="67"/>
      <c r="AI10" s="47" t="s">
        <v>54</v>
      </c>
      <c r="AJ10" s="47">
        <v>661</v>
      </c>
      <c r="AK10" s="101" t="s">
        <v>65</v>
      </c>
      <c r="AL10" s="101" t="s">
        <v>55</v>
      </c>
      <c r="AM10" s="47" t="s">
        <v>1797</v>
      </c>
      <c r="AN10" s="47"/>
      <c r="AO10" s="211">
        <f t="shared" si="7"/>
        <v>-1</v>
      </c>
      <c r="AP10" s="47" t="s">
        <v>90</v>
      </c>
      <c r="AQ10" s="91" t="s">
        <v>116</v>
      </c>
      <c r="AR10" s="47"/>
    </row>
    <row r="11" spans="1:44">
      <c r="A11" s="47" t="s">
        <v>44</v>
      </c>
      <c r="B11" s="47" t="str">
        <f t="shared" si="0"/>
        <v>July</v>
      </c>
      <c r="C11" s="59">
        <v>45485</v>
      </c>
      <c r="D11" s="47" t="s">
        <v>109</v>
      </c>
      <c r="E11" s="47" t="s">
        <v>1192</v>
      </c>
      <c r="F11" s="47" t="s">
        <v>1080</v>
      </c>
      <c r="G11" s="47" t="s">
        <v>1798</v>
      </c>
      <c r="H11" s="47" t="s">
        <v>1799</v>
      </c>
      <c r="I11" s="47" t="s">
        <v>50</v>
      </c>
      <c r="J11" s="47" t="s">
        <v>51</v>
      </c>
      <c r="K11" s="48">
        <v>42198</v>
      </c>
      <c r="L11" s="48">
        <v>45120</v>
      </c>
      <c r="M11" s="48">
        <v>45485</v>
      </c>
      <c r="N11" s="47" t="s">
        <v>64</v>
      </c>
      <c r="O11" s="55" t="s">
        <v>53</v>
      </c>
      <c r="P11" s="62">
        <v>17916</v>
      </c>
      <c r="Q11" s="62">
        <v>1493</v>
      </c>
      <c r="R11" s="96">
        <v>18180</v>
      </c>
      <c r="S11" s="62">
        <f t="shared" si="8"/>
        <v>1515</v>
      </c>
      <c r="T11" s="62">
        <v>17580</v>
      </c>
      <c r="U11" s="62">
        <f t="shared" si="9"/>
        <v>1465</v>
      </c>
      <c r="V11" s="69">
        <v>15744</v>
      </c>
      <c r="W11" s="71">
        <v>1610</v>
      </c>
      <c r="X11" s="71"/>
      <c r="Y11" s="71"/>
      <c r="Z11" s="64">
        <f t="shared" si="1"/>
        <v>9.8976109215017066E-2</v>
      </c>
      <c r="AA11" s="64">
        <f t="shared" si="2"/>
        <v>6.2706270627062702E-2</v>
      </c>
      <c r="AB11" s="71">
        <v>1575</v>
      </c>
      <c r="AC11" s="64">
        <f t="shared" si="3"/>
        <v>7.5085324232081918E-2</v>
      </c>
      <c r="AD11" s="64">
        <f t="shared" si="4"/>
        <v>3.9603960396039604E-2</v>
      </c>
      <c r="AE11" s="71">
        <v>1540</v>
      </c>
      <c r="AF11" s="64">
        <f t="shared" si="5"/>
        <v>5.1194539249146756E-2</v>
      </c>
      <c r="AG11" s="64">
        <f t="shared" si="6"/>
        <v>1.65016501650165E-2</v>
      </c>
      <c r="AH11" s="67"/>
      <c r="AI11" s="47" t="s">
        <v>54</v>
      </c>
      <c r="AJ11" s="47">
        <v>538</v>
      </c>
      <c r="AK11" s="101" t="s">
        <v>55</v>
      </c>
      <c r="AL11" s="101" t="s">
        <v>55</v>
      </c>
      <c r="AM11" s="47" t="s">
        <v>1800</v>
      </c>
      <c r="AN11" s="47">
        <v>1540</v>
      </c>
      <c r="AO11" s="211">
        <f t="shared" si="7"/>
        <v>5.1194539249146756E-2</v>
      </c>
      <c r="AP11" s="47" t="s">
        <v>90</v>
      </c>
      <c r="AQ11" s="91" t="s">
        <v>116</v>
      </c>
      <c r="AR11" s="47"/>
    </row>
    <row r="12" spans="1:44" hidden="1">
      <c r="A12" s="47" t="s">
        <v>44</v>
      </c>
      <c r="B12" s="47" t="str">
        <f t="shared" si="0"/>
        <v>August</v>
      </c>
      <c r="C12" s="59">
        <v>45528</v>
      </c>
      <c r="D12" s="47" t="s">
        <v>109</v>
      </c>
      <c r="E12" s="47" t="s">
        <v>1192</v>
      </c>
      <c r="F12" s="47" t="s">
        <v>1080</v>
      </c>
      <c r="G12" s="47" t="s">
        <v>2061</v>
      </c>
      <c r="H12" s="47" t="s">
        <v>2062</v>
      </c>
      <c r="I12" s="47" t="s">
        <v>50</v>
      </c>
      <c r="J12" s="47" t="s">
        <v>51</v>
      </c>
      <c r="K12" s="48">
        <v>45163</v>
      </c>
      <c r="L12" s="48">
        <v>45163</v>
      </c>
      <c r="M12" s="48">
        <v>45528</v>
      </c>
      <c r="N12" s="47" t="s">
        <v>52</v>
      </c>
      <c r="O12" s="55" t="s">
        <v>53</v>
      </c>
      <c r="P12" s="62">
        <v>18000</v>
      </c>
      <c r="Q12" s="62">
        <v>1500</v>
      </c>
      <c r="R12" s="96">
        <v>18180</v>
      </c>
      <c r="S12" s="62">
        <f t="shared" si="8"/>
        <v>1515</v>
      </c>
      <c r="T12" s="62">
        <v>18600</v>
      </c>
      <c r="U12" s="62">
        <f t="shared" si="9"/>
        <v>1550</v>
      </c>
      <c r="V12" s="69">
        <v>16680</v>
      </c>
      <c r="W12" s="71">
        <v>1620</v>
      </c>
      <c r="X12" s="71"/>
      <c r="Y12" s="71"/>
      <c r="Z12" s="64">
        <f t="shared" si="1"/>
        <v>4.5161290322580643E-2</v>
      </c>
      <c r="AA12" s="64">
        <f t="shared" si="2"/>
        <v>6.9306930693069313E-2</v>
      </c>
      <c r="AB12" s="71">
        <v>1630</v>
      </c>
      <c r="AC12" s="64">
        <f t="shared" si="3"/>
        <v>5.1612903225806452E-2</v>
      </c>
      <c r="AD12" s="64">
        <f t="shared" si="4"/>
        <v>7.590759075907591E-2</v>
      </c>
      <c r="AE12" s="175">
        <v>1595</v>
      </c>
      <c r="AF12" s="64">
        <f t="shared" si="5"/>
        <v>2.903225806451613E-2</v>
      </c>
      <c r="AG12" s="64">
        <f t="shared" si="6"/>
        <v>5.2805280528052806E-2</v>
      </c>
      <c r="AH12" s="67"/>
      <c r="AI12" s="47" t="s">
        <v>54</v>
      </c>
      <c r="AJ12" s="47">
        <v>538</v>
      </c>
      <c r="AK12" s="47" t="s">
        <v>55</v>
      </c>
      <c r="AL12" s="47" t="s">
        <v>55</v>
      </c>
      <c r="AM12" s="47" t="s">
        <v>2063</v>
      </c>
      <c r="AN12" s="47"/>
      <c r="AO12" s="211">
        <f t="shared" si="7"/>
        <v>-1</v>
      </c>
      <c r="AP12" s="47" t="s">
        <v>90</v>
      </c>
      <c r="AQ12" s="91" t="s">
        <v>116</v>
      </c>
      <c r="AR12" s="47"/>
    </row>
    <row r="13" spans="1:44" hidden="1">
      <c r="A13" s="47" t="s">
        <v>74</v>
      </c>
      <c r="B13" s="47" t="str">
        <f t="shared" si="0"/>
        <v>August</v>
      </c>
      <c r="C13" s="59">
        <v>45530</v>
      </c>
      <c r="D13" s="47" t="s">
        <v>109</v>
      </c>
      <c r="E13" s="47" t="s">
        <v>1192</v>
      </c>
      <c r="F13" s="47" t="s">
        <v>1080</v>
      </c>
      <c r="G13" s="47" t="s">
        <v>2404</v>
      </c>
      <c r="H13" s="47" t="s">
        <v>2405</v>
      </c>
      <c r="I13" s="47" t="s">
        <v>50</v>
      </c>
      <c r="J13" s="47" t="s">
        <v>51</v>
      </c>
      <c r="K13" s="48">
        <v>45349</v>
      </c>
      <c r="L13" s="48">
        <v>45349</v>
      </c>
      <c r="M13" s="48">
        <v>45530</v>
      </c>
      <c r="N13" s="47" t="s">
        <v>52</v>
      </c>
      <c r="O13" s="55" t="s">
        <v>53</v>
      </c>
      <c r="P13" s="62">
        <v>17916</v>
      </c>
      <c r="Q13" s="62">
        <v>1493</v>
      </c>
      <c r="R13" s="96">
        <v>18180</v>
      </c>
      <c r="S13" s="62">
        <f t="shared" si="8"/>
        <v>1515</v>
      </c>
      <c r="T13" s="62">
        <v>18300</v>
      </c>
      <c r="U13" s="62">
        <f t="shared" si="9"/>
        <v>1525</v>
      </c>
      <c r="V13" s="69">
        <v>16740</v>
      </c>
      <c r="W13" s="71">
        <v>1630</v>
      </c>
      <c r="X13" s="71"/>
      <c r="Y13" s="71"/>
      <c r="Z13" s="64">
        <f t="shared" si="1"/>
        <v>6.8852459016393447E-2</v>
      </c>
      <c r="AA13" s="64">
        <f t="shared" si="2"/>
        <v>7.590759075907591E-2</v>
      </c>
      <c r="AB13" s="71">
        <v>1605</v>
      </c>
      <c r="AC13" s="64">
        <f t="shared" si="3"/>
        <v>5.2459016393442623E-2</v>
      </c>
      <c r="AD13" s="64">
        <f t="shared" si="4"/>
        <v>5.9405940594059403E-2</v>
      </c>
      <c r="AE13" s="71">
        <v>1585</v>
      </c>
      <c r="AF13" s="64">
        <f t="shared" si="5"/>
        <v>3.9344262295081971E-2</v>
      </c>
      <c r="AG13" s="64">
        <f t="shared" si="6"/>
        <v>4.6204620462046202E-2</v>
      </c>
      <c r="AH13" s="67"/>
      <c r="AI13" s="47" t="s">
        <v>54</v>
      </c>
      <c r="AJ13" s="47">
        <v>538</v>
      </c>
      <c r="AK13" s="47" t="s">
        <v>55</v>
      </c>
      <c r="AL13" s="47" t="s">
        <v>55</v>
      </c>
      <c r="AM13" s="47" t="s">
        <v>1800</v>
      </c>
      <c r="AN13" s="47"/>
      <c r="AO13" s="211">
        <f t="shared" si="7"/>
        <v>-1</v>
      </c>
      <c r="AP13" s="47" t="s">
        <v>90</v>
      </c>
      <c r="AQ13" s="91" t="s">
        <v>116</v>
      </c>
      <c r="AR13" s="47"/>
    </row>
    <row r="14" spans="1:44">
      <c r="A14" s="47" t="s">
        <v>44</v>
      </c>
      <c r="B14" s="47" t="str">
        <f t="shared" si="0"/>
        <v>August</v>
      </c>
      <c r="C14" s="59">
        <v>45535</v>
      </c>
      <c r="D14" s="47" t="s">
        <v>109</v>
      </c>
      <c r="E14" s="47" t="s">
        <v>1192</v>
      </c>
      <c r="F14" s="47" t="s">
        <v>1080</v>
      </c>
      <c r="G14" s="47" t="s">
        <v>2762</v>
      </c>
      <c r="H14" s="47" t="s">
        <v>2763</v>
      </c>
      <c r="I14" s="47" t="s">
        <v>2764</v>
      </c>
      <c r="J14" s="47" t="s">
        <v>51</v>
      </c>
      <c r="K14" s="48">
        <v>42244</v>
      </c>
      <c r="L14" s="48">
        <v>45170</v>
      </c>
      <c r="M14" s="48">
        <v>45535</v>
      </c>
      <c r="N14" s="47" t="s">
        <v>64</v>
      </c>
      <c r="O14" s="55" t="s">
        <v>53</v>
      </c>
      <c r="P14" s="62">
        <v>17796</v>
      </c>
      <c r="Q14" s="62">
        <v>1483</v>
      </c>
      <c r="R14" s="96">
        <v>18180</v>
      </c>
      <c r="S14" s="62">
        <f t="shared" si="8"/>
        <v>1515</v>
      </c>
      <c r="T14" s="62">
        <v>17220</v>
      </c>
      <c r="U14" s="62">
        <f t="shared" si="9"/>
        <v>1435</v>
      </c>
      <c r="V14" s="69">
        <v>15780</v>
      </c>
      <c r="W14" s="71">
        <v>1630</v>
      </c>
      <c r="X14" s="71"/>
      <c r="Y14" s="71"/>
      <c r="Z14" s="64">
        <f t="shared" si="1"/>
        <v>0.13588850174216027</v>
      </c>
      <c r="AA14" s="64">
        <f t="shared" si="2"/>
        <v>7.590759075907591E-2</v>
      </c>
      <c r="AB14" s="71">
        <v>1540</v>
      </c>
      <c r="AC14" s="64">
        <f t="shared" si="3"/>
        <v>7.3170731707317069E-2</v>
      </c>
      <c r="AD14" s="64">
        <f t="shared" si="4"/>
        <v>1.65016501650165E-2</v>
      </c>
      <c r="AE14" s="71">
        <v>1515</v>
      </c>
      <c r="AF14" s="64">
        <f t="shared" si="5"/>
        <v>5.5749128919860627E-2</v>
      </c>
      <c r="AG14" s="64">
        <f t="shared" si="6"/>
        <v>0</v>
      </c>
      <c r="AH14" s="67"/>
      <c r="AI14" s="47" t="s">
        <v>54</v>
      </c>
      <c r="AJ14" s="47">
        <v>538</v>
      </c>
      <c r="AK14" s="47" t="s">
        <v>55</v>
      </c>
      <c r="AL14" s="47" t="s">
        <v>55</v>
      </c>
      <c r="AM14" s="47" t="s">
        <v>1778</v>
      </c>
      <c r="AN14" s="47">
        <v>1515</v>
      </c>
      <c r="AO14" s="211">
        <f t="shared" si="7"/>
        <v>5.5749128919860627E-2</v>
      </c>
      <c r="AP14" s="47" t="s">
        <v>90</v>
      </c>
      <c r="AQ14" s="91" t="s">
        <v>116</v>
      </c>
      <c r="AR14" s="47"/>
    </row>
    <row r="15" spans="1:44" ht="17.25" customHeight="1">
      <c r="A15" s="47" t="s">
        <v>44</v>
      </c>
      <c r="B15" s="47" t="str">
        <f t="shared" si="0"/>
        <v>August</v>
      </c>
      <c r="C15" s="59">
        <v>45511</v>
      </c>
      <c r="D15" s="47" t="s">
        <v>109</v>
      </c>
      <c r="E15" s="47" t="s">
        <v>1192</v>
      </c>
      <c r="F15" s="47" t="s">
        <v>1080</v>
      </c>
      <c r="G15" s="47" t="s">
        <v>2864</v>
      </c>
      <c r="H15" s="47" t="s">
        <v>2865</v>
      </c>
      <c r="I15" s="47" t="s">
        <v>50</v>
      </c>
      <c r="J15" s="47" t="s">
        <v>51</v>
      </c>
      <c r="K15" s="48">
        <v>44051</v>
      </c>
      <c r="L15" s="48">
        <v>45146</v>
      </c>
      <c r="M15" s="48">
        <v>45511</v>
      </c>
      <c r="N15" s="47" t="s">
        <v>64</v>
      </c>
      <c r="O15" s="55" t="s">
        <v>53</v>
      </c>
      <c r="P15" s="62">
        <v>20436</v>
      </c>
      <c r="Q15" s="62">
        <v>1703</v>
      </c>
      <c r="R15" s="96">
        <v>21696</v>
      </c>
      <c r="S15" s="62">
        <f t="shared" si="8"/>
        <v>1808</v>
      </c>
      <c r="T15" s="62">
        <v>20160</v>
      </c>
      <c r="U15" s="62">
        <f t="shared" si="9"/>
        <v>1680</v>
      </c>
      <c r="V15" s="69">
        <v>18840</v>
      </c>
      <c r="W15" s="71">
        <v>1890</v>
      </c>
      <c r="X15" s="71"/>
      <c r="Y15" s="71"/>
      <c r="Z15" s="64">
        <f t="shared" si="1"/>
        <v>0.125</v>
      </c>
      <c r="AA15" s="64">
        <f t="shared" si="2"/>
        <v>4.5353982300884957E-2</v>
      </c>
      <c r="AB15" s="71">
        <v>1875</v>
      </c>
      <c r="AC15" s="64">
        <f t="shared" si="3"/>
        <v>0.11607142857142858</v>
      </c>
      <c r="AD15" s="64">
        <f t="shared" si="4"/>
        <v>3.7057522123893807E-2</v>
      </c>
      <c r="AE15" s="71">
        <v>1810</v>
      </c>
      <c r="AF15" s="64">
        <f t="shared" si="5"/>
        <v>7.7380952380952384E-2</v>
      </c>
      <c r="AG15" s="64">
        <f t="shared" si="6"/>
        <v>1.1061946902654867E-3</v>
      </c>
      <c r="AH15" s="67"/>
      <c r="AI15" s="47" t="s">
        <v>250</v>
      </c>
      <c r="AJ15" s="47">
        <v>756</v>
      </c>
      <c r="AK15" s="47" t="s">
        <v>65</v>
      </c>
      <c r="AL15" s="47" t="s">
        <v>55</v>
      </c>
      <c r="AM15" s="47" t="s">
        <v>2866</v>
      </c>
      <c r="AN15" s="47">
        <v>1810</v>
      </c>
      <c r="AO15" s="211">
        <f t="shared" si="7"/>
        <v>7.7380952380952384E-2</v>
      </c>
      <c r="AP15" s="47" t="s">
        <v>90</v>
      </c>
      <c r="AQ15" s="91" t="s">
        <v>116</v>
      </c>
      <c r="AR15" s="47"/>
    </row>
    <row r="16" spans="1:44">
      <c r="A16" s="47" t="s">
        <v>44</v>
      </c>
      <c r="B16" s="47" t="str">
        <f t="shared" si="0"/>
        <v>August</v>
      </c>
      <c r="C16" s="59">
        <v>45524</v>
      </c>
      <c r="D16" s="47" t="s">
        <v>109</v>
      </c>
      <c r="E16" s="47" t="s">
        <v>1192</v>
      </c>
      <c r="F16" s="47" t="s">
        <v>1080</v>
      </c>
      <c r="G16" s="47" t="s">
        <v>3138</v>
      </c>
      <c r="H16" s="47" t="s">
        <v>3139</v>
      </c>
      <c r="I16" s="47" t="s">
        <v>50</v>
      </c>
      <c r="J16" s="47" t="s">
        <v>51</v>
      </c>
      <c r="K16" s="48">
        <v>44733</v>
      </c>
      <c r="L16" s="48">
        <v>45098</v>
      </c>
      <c r="M16" s="48">
        <v>45524</v>
      </c>
      <c r="N16" s="47" t="s">
        <v>64</v>
      </c>
      <c r="O16" s="55" t="s">
        <v>53</v>
      </c>
      <c r="P16" s="62">
        <v>20280</v>
      </c>
      <c r="Q16" s="62">
        <v>1690</v>
      </c>
      <c r="R16" s="96">
        <v>21480</v>
      </c>
      <c r="S16" s="62">
        <f t="shared" si="8"/>
        <v>1790</v>
      </c>
      <c r="T16" s="62">
        <v>20220</v>
      </c>
      <c r="U16" s="62">
        <f t="shared" si="9"/>
        <v>1685</v>
      </c>
      <c r="V16" s="69">
        <v>19020</v>
      </c>
      <c r="W16" s="71">
        <v>1910</v>
      </c>
      <c r="X16" s="71"/>
      <c r="Y16" s="71"/>
      <c r="Z16" s="64">
        <f t="shared" si="1"/>
        <v>0.13353115727002968</v>
      </c>
      <c r="AA16" s="64">
        <f t="shared" si="2"/>
        <v>6.7039106145251395E-2</v>
      </c>
      <c r="AB16" s="71">
        <v>1825</v>
      </c>
      <c r="AC16" s="64">
        <f t="shared" si="3"/>
        <v>8.3086053412462904E-2</v>
      </c>
      <c r="AD16" s="64">
        <f t="shared" si="4"/>
        <v>1.9553072625698324E-2</v>
      </c>
      <c r="AE16" s="71">
        <v>1795</v>
      </c>
      <c r="AF16" s="64">
        <f t="shared" si="5"/>
        <v>6.5281899109792291E-2</v>
      </c>
      <c r="AG16" s="64">
        <f t="shared" si="6"/>
        <v>2.7932960893854749E-3</v>
      </c>
      <c r="AH16" s="67"/>
      <c r="AI16" s="47" t="s">
        <v>54</v>
      </c>
      <c r="AJ16" s="47">
        <v>661</v>
      </c>
      <c r="AK16" s="47" t="s">
        <v>65</v>
      </c>
      <c r="AL16" s="47" t="s">
        <v>55</v>
      </c>
      <c r="AM16" s="47" t="s">
        <v>3140</v>
      </c>
      <c r="AN16" s="47"/>
      <c r="AO16" s="211">
        <f t="shared" si="7"/>
        <v>-1</v>
      </c>
      <c r="AP16" s="47" t="s">
        <v>90</v>
      </c>
      <c r="AQ16" s="94" t="s">
        <v>891</v>
      </c>
      <c r="AR16" s="47"/>
    </row>
    <row r="17" spans="1:44" hidden="1">
      <c r="A17" s="47" t="s">
        <v>44</v>
      </c>
      <c r="B17" s="47" t="str">
        <f t="shared" si="0"/>
        <v>August</v>
      </c>
      <c r="C17" s="59">
        <v>45531</v>
      </c>
      <c r="D17" s="47" t="s">
        <v>109</v>
      </c>
      <c r="E17" s="47" t="s">
        <v>1192</v>
      </c>
      <c r="F17" s="47" t="s">
        <v>1080</v>
      </c>
      <c r="G17" s="47" t="s">
        <v>3196</v>
      </c>
      <c r="H17" s="47" t="s">
        <v>3197</v>
      </c>
      <c r="I17" s="47" t="s">
        <v>50</v>
      </c>
      <c r="J17" s="47" t="s">
        <v>51</v>
      </c>
      <c r="K17" s="48">
        <v>45166</v>
      </c>
      <c r="L17" s="48">
        <v>45166</v>
      </c>
      <c r="M17" s="48">
        <v>45531</v>
      </c>
      <c r="N17" s="47" t="s">
        <v>52</v>
      </c>
      <c r="O17" s="55" t="s">
        <v>53</v>
      </c>
      <c r="P17" s="62">
        <v>20220</v>
      </c>
      <c r="Q17" s="62">
        <v>1685</v>
      </c>
      <c r="R17" s="96">
        <v>21480</v>
      </c>
      <c r="S17" s="62">
        <f t="shared" si="8"/>
        <v>1790</v>
      </c>
      <c r="T17" s="62">
        <v>21420</v>
      </c>
      <c r="U17" s="62">
        <f t="shared" si="9"/>
        <v>1785</v>
      </c>
      <c r="V17" s="69">
        <v>19800</v>
      </c>
      <c r="W17" s="71">
        <v>1890</v>
      </c>
      <c r="X17" s="71"/>
      <c r="Y17" s="71"/>
      <c r="Z17" s="64">
        <f t="shared" si="1"/>
        <v>5.8823529411764705E-2</v>
      </c>
      <c r="AA17" s="64">
        <f t="shared" si="2"/>
        <v>5.5865921787709494E-2</v>
      </c>
      <c r="AB17" s="71">
        <v>1885</v>
      </c>
      <c r="AC17" s="64">
        <f t="shared" si="3"/>
        <v>5.6022408963585436E-2</v>
      </c>
      <c r="AD17" s="64">
        <f t="shared" si="4"/>
        <v>5.3072625698324022E-2</v>
      </c>
      <c r="AE17" s="71">
        <v>1860</v>
      </c>
      <c r="AF17" s="64">
        <f t="shared" si="5"/>
        <v>4.2016806722689079E-2</v>
      </c>
      <c r="AG17" s="64">
        <f t="shared" si="6"/>
        <v>3.9106145251396648E-2</v>
      </c>
      <c r="AH17" s="67"/>
      <c r="AI17" s="47" t="s">
        <v>54</v>
      </c>
      <c r="AJ17" s="47">
        <v>660</v>
      </c>
      <c r="AK17" s="47" t="s">
        <v>65</v>
      </c>
      <c r="AL17" s="47" t="s">
        <v>55</v>
      </c>
      <c r="AM17" s="47" t="s">
        <v>2866</v>
      </c>
      <c r="AN17" s="47">
        <v>1890</v>
      </c>
      <c r="AO17" s="211">
        <f t="shared" si="7"/>
        <v>5.8823529411764705E-2</v>
      </c>
      <c r="AP17" s="47" t="s">
        <v>90</v>
      </c>
      <c r="AQ17" s="111" t="s">
        <v>125</v>
      </c>
      <c r="AR17" s="47"/>
    </row>
    <row r="18" spans="1:44" hidden="1">
      <c r="A18" s="47" t="s">
        <v>44</v>
      </c>
      <c r="B18" s="47" t="str">
        <f t="shared" si="0"/>
        <v>August</v>
      </c>
      <c r="C18" s="59">
        <v>45535</v>
      </c>
      <c r="D18" s="47" t="s">
        <v>109</v>
      </c>
      <c r="E18" s="47" t="s">
        <v>1192</v>
      </c>
      <c r="F18" s="47" t="s">
        <v>1080</v>
      </c>
      <c r="G18" s="47" t="s">
        <v>3715</v>
      </c>
      <c r="H18" s="47" t="s">
        <v>3716</v>
      </c>
      <c r="I18" s="47" t="s">
        <v>50</v>
      </c>
      <c r="J18" s="47" t="s">
        <v>51</v>
      </c>
      <c r="K18" s="48">
        <v>45170</v>
      </c>
      <c r="L18" s="48">
        <v>45170</v>
      </c>
      <c r="M18" s="48">
        <v>45535</v>
      </c>
      <c r="N18" s="47" t="s">
        <v>52</v>
      </c>
      <c r="O18" s="55" t="s">
        <v>53</v>
      </c>
      <c r="P18" s="62">
        <v>20376</v>
      </c>
      <c r="Q18" s="62">
        <v>1698</v>
      </c>
      <c r="R18" s="96">
        <v>21756</v>
      </c>
      <c r="S18" s="62">
        <f t="shared" si="8"/>
        <v>1813</v>
      </c>
      <c r="T18" s="62">
        <v>21000</v>
      </c>
      <c r="U18" s="62">
        <f t="shared" si="9"/>
        <v>1750</v>
      </c>
      <c r="V18" s="69">
        <v>19440</v>
      </c>
      <c r="W18" s="71">
        <v>1920</v>
      </c>
      <c r="X18" s="71"/>
      <c r="Y18" s="71"/>
      <c r="Z18" s="64">
        <f t="shared" si="1"/>
        <v>9.7142857142857142E-2</v>
      </c>
      <c r="AA18" s="64">
        <f t="shared" si="2"/>
        <v>5.9018201875344733E-2</v>
      </c>
      <c r="AB18" s="71">
        <v>1875</v>
      </c>
      <c r="AC18" s="64">
        <f t="shared" si="3"/>
        <v>7.1428571428571425E-2</v>
      </c>
      <c r="AD18" s="64">
        <f t="shared" si="4"/>
        <v>3.4197462768891337E-2</v>
      </c>
      <c r="AE18" s="71">
        <v>1850</v>
      </c>
      <c r="AF18" s="64">
        <f t="shared" si="5"/>
        <v>5.7142857142857141E-2</v>
      </c>
      <c r="AG18" s="64">
        <f t="shared" si="6"/>
        <v>2.0408163265306121E-2</v>
      </c>
      <c r="AH18" s="67"/>
      <c r="AI18" s="47" t="s">
        <v>54</v>
      </c>
      <c r="AJ18" s="47">
        <v>778</v>
      </c>
      <c r="AK18" s="47" t="s">
        <v>65</v>
      </c>
      <c r="AL18" s="47" t="s">
        <v>55</v>
      </c>
      <c r="AM18" s="47" t="s">
        <v>3717</v>
      </c>
      <c r="AN18" s="47"/>
      <c r="AO18" s="211">
        <f t="shared" si="7"/>
        <v>-1</v>
      </c>
      <c r="AP18" s="47" t="s">
        <v>90</v>
      </c>
      <c r="AQ18" s="91" t="s">
        <v>116</v>
      </c>
      <c r="AR18" s="47" t="s">
        <v>1766</v>
      </c>
    </row>
    <row r="19" spans="1:44" hidden="1">
      <c r="A19" s="47" t="s">
        <v>44</v>
      </c>
      <c r="B19" s="47" t="str">
        <f t="shared" si="0"/>
        <v>August</v>
      </c>
      <c r="C19" s="59">
        <v>45510</v>
      </c>
      <c r="D19" s="47" t="s">
        <v>109</v>
      </c>
      <c r="E19" s="47" t="s">
        <v>1192</v>
      </c>
      <c r="F19" s="47" t="s">
        <v>1080</v>
      </c>
      <c r="G19" s="47" t="s">
        <v>3718</v>
      </c>
      <c r="H19" s="47" t="s">
        <v>3719</v>
      </c>
      <c r="I19" s="47" t="s">
        <v>50</v>
      </c>
      <c r="J19" s="47" t="s">
        <v>51</v>
      </c>
      <c r="K19" s="48">
        <v>45145</v>
      </c>
      <c r="L19" s="48">
        <v>45145</v>
      </c>
      <c r="M19" s="48">
        <v>45510</v>
      </c>
      <c r="N19" s="47" t="s">
        <v>52</v>
      </c>
      <c r="O19" s="55" t="s">
        <v>53</v>
      </c>
      <c r="P19" s="62">
        <v>24000</v>
      </c>
      <c r="Q19" s="62">
        <v>2000</v>
      </c>
      <c r="R19" s="96">
        <v>25680</v>
      </c>
      <c r="S19" s="62">
        <f t="shared" si="8"/>
        <v>2140</v>
      </c>
      <c r="T19" s="62">
        <v>25200</v>
      </c>
      <c r="U19" s="62">
        <f t="shared" si="9"/>
        <v>2100</v>
      </c>
      <c r="V19" s="69">
        <v>22740</v>
      </c>
      <c r="W19" s="71">
        <v>2170</v>
      </c>
      <c r="X19" s="71"/>
      <c r="Y19" s="71"/>
      <c r="Z19" s="64">
        <f t="shared" si="1"/>
        <v>3.3333333333333333E-2</v>
      </c>
      <c r="AA19" s="64">
        <f t="shared" si="2"/>
        <v>1.4018691588785047E-2</v>
      </c>
      <c r="AB19" s="71">
        <v>2200</v>
      </c>
      <c r="AC19" s="64">
        <f t="shared" si="3"/>
        <v>4.7619047619047616E-2</v>
      </c>
      <c r="AD19" s="64">
        <f t="shared" si="4"/>
        <v>2.8037383177570093E-2</v>
      </c>
      <c r="AE19" s="71">
        <v>2165</v>
      </c>
      <c r="AF19" s="64">
        <f t="shared" si="5"/>
        <v>3.0952380952380953E-2</v>
      </c>
      <c r="AG19" s="64">
        <f t="shared" si="6"/>
        <v>1.1682242990654205E-2</v>
      </c>
      <c r="AH19" s="67"/>
      <c r="AI19" s="47" t="s">
        <v>250</v>
      </c>
      <c r="AJ19" s="47">
        <v>987</v>
      </c>
      <c r="AK19" s="47" t="s">
        <v>140</v>
      </c>
      <c r="AL19" s="47" t="s">
        <v>65</v>
      </c>
      <c r="AM19" s="47" t="s">
        <v>3720</v>
      </c>
      <c r="AN19" s="47"/>
      <c r="AO19" s="211">
        <f t="shared" si="7"/>
        <v>-1</v>
      </c>
      <c r="AP19" s="47" t="s">
        <v>90</v>
      </c>
      <c r="AQ19" s="94" t="s">
        <v>1120</v>
      </c>
      <c r="AR19" s="47"/>
    </row>
    <row r="20" spans="1:44">
      <c r="A20" s="47" t="s">
        <v>44</v>
      </c>
      <c r="B20" s="47" t="str">
        <f t="shared" si="0"/>
        <v>July</v>
      </c>
      <c r="C20" s="59">
        <v>45487</v>
      </c>
      <c r="D20" s="47" t="s">
        <v>83</v>
      </c>
      <c r="E20" s="47" t="s">
        <v>1828</v>
      </c>
      <c r="F20" s="47" t="s">
        <v>880</v>
      </c>
      <c r="G20" s="47" t="s">
        <v>1829</v>
      </c>
      <c r="H20" s="47" t="s">
        <v>1830</v>
      </c>
      <c r="I20" s="47" t="s">
        <v>50</v>
      </c>
      <c r="J20" s="47" t="s">
        <v>51</v>
      </c>
      <c r="K20" s="48">
        <v>44392</v>
      </c>
      <c r="L20" s="48">
        <v>45122</v>
      </c>
      <c r="M20" s="48">
        <v>45487</v>
      </c>
      <c r="N20" s="47" t="s">
        <v>64</v>
      </c>
      <c r="O20" s="55" t="s">
        <v>327</v>
      </c>
      <c r="P20" s="62">
        <v>23920</v>
      </c>
      <c r="Q20" s="62">
        <v>1993.3333333333333</v>
      </c>
      <c r="R20" s="97">
        <v>25220</v>
      </c>
      <c r="S20" s="62">
        <f t="shared" si="8"/>
        <v>2101.6666666666665</v>
      </c>
      <c r="T20" s="62">
        <v>20700</v>
      </c>
      <c r="U20" s="62">
        <f t="shared" si="9"/>
        <v>1725</v>
      </c>
      <c r="V20" s="69">
        <v>19020</v>
      </c>
      <c r="W20" s="71" t="s">
        <v>123</v>
      </c>
      <c r="X20" s="71"/>
      <c r="Y20" s="71"/>
      <c r="Z20" s="64" t="e">
        <f t="shared" si="1"/>
        <v>#VALUE!</v>
      </c>
      <c r="AA20" s="64" t="e">
        <f t="shared" si="2"/>
        <v>#VALUE!</v>
      </c>
      <c r="AB20" s="71">
        <v>2150</v>
      </c>
      <c r="AC20" s="64">
        <f t="shared" si="3"/>
        <v>0.24637681159420291</v>
      </c>
      <c r="AD20" s="64">
        <f t="shared" si="4"/>
        <v>2.299762093576534E-2</v>
      </c>
      <c r="AE20" s="71">
        <v>2125</v>
      </c>
      <c r="AF20" s="116">
        <f t="shared" si="5"/>
        <v>0.2318840579710145</v>
      </c>
      <c r="AG20" s="116">
        <f t="shared" si="6"/>
        <v>1.110229976209365E-2</v>
      </c>
      <c r="AH20" s="67" t="s">
        <v>1831</v>
      </c>
      <c r="AI20" s="47" t="s">
        <v>250</v>
      </c>
      <c r="AJ20" s="47">
        <v>471.39</v>
      </c>
      <c r="AK20" s="101" t="s">
        <v>55</v>
      </c>
      <c r="AL20" s="101" t="s">
        <v>55</v>
      </c>
      <c r="AM20" s="47" t="s">
        <v>1832</v>
      </c>
      <c r="AN20" s="47"/>
      <c r="AO20" s="211">
        <f t="shared" si="7"/>
        <v>-1</v>
      </c>
      <c r="AP20" s="47" t="s">
        <v>90</v>
      </c>
      <c r="AQ20" s="91" t="s">
        <v>116</v>
      </c>
      <c r="AR20" s="47"/>
    </row>
    <row r="21" spans="1:44">
      <c r="A21" s="47" t="s">
        <v>44</v>
      </c>
      <c r="B21" s="47" t="str">
        <f t="shared" si="0"/>
        <v>July</v>
      </c>
      <c r="C21" s="59">
        <v>45496</v>
      </c>
      <c r="D21" s="47" t="s">
        <v>83</v>
      </c>
      <c r="E21" s="47" t="s">
        <v>1828</v>
      </c>
      <c r="F21" s="47" t="s">
        <v>880</v>
      </c>
      <c r="G21" s="47" t="s">
        <v>1833</v>
      </c>
      <c r="H21" s="47" t="s">
        <v>1834</v>
      </c>
      <c r="I21" s="47" t="s">
        <v>50</v>
      </c>
      <c r="J21" s="47" t="s">
        <v>51</v>
      </c>
      <c r="K21" s="48">
        <v>44401</v>
      </c>
      <c r="L21" s="48">
        <v>45131</v>
      </c>
      <c r="M21" s="48">
        <v>45496</v>
      </c>
      <c r="N21" s="47" t="s">
        <v>64</v>
      </c>
      <c r="O21" s="55" t="s">
        <v>327</v>
      </c>
      <c r="P21" s="62">
        <v>24076</v>
      </c>
      <c r="Q21" s="62">
        <v>2006.3333333333333</v>
      </c>
      <c r="R21" s="97">
        <v>25324</v>
      </c>
      <c r="S21" s="62">
        <f t="shared" si="8"/>
        <v>2110.3333333333335</v>
      </c>
      <c r="T21" s="62">
        <v>25140</v>
      </c>
      <c r="U21" s="62">
        <f t="shared" si="9"/>
        <v>2095</v>
      </c>
      <c r="V21" s="69">
        <v>23411.759999999998</v>
      </c>
      <c r="W21" s="71" t="s">
        <v>123</v>
      </c>
      <c r="X21" s="71"/>
      <c r="Y21" s="71"/>
      <c r="Z21" s="64" t="e">
        <f t="shared" si="1"/>
        <v>#VALUE!</v>
      </c>
      <c r="AA21" s="64" t="e">
        <f t="shared" si="2"/>
        <v>#VALUE!</v>
      </c>
      <c r="AB21" s="71">
        <v>2225</v>
      </c>
      <c r="AC21" s="64">
        <f t="shared" si="3"/>
        <v>6.205250596658711E-2</v>
      </c>
      <c r="AD21" s="64">
        <f t="shared" si="4"/>
        <v>5.4335807929237014E-2</v>
      </c>
      <c r="AE21" s="71">
        <v>2200</v>
      </c>
      <c r="AF21" s="64">
        <f t="shared" si="5"/>
        <v>5.0119331742243436E-2</v>
      </c>
      <c r="AG21" s="64">
        <f t="shared" si="6"/>
        <v>4.2489338177223113E-2</v>
      </c>
      <c r="AH21" s="67"/>
      <c r="AI21" s="47" t="s">
        <v>54</v>
      </c>
      <c r="AJ21" s="47">
        <v>524.72</v>
      </c>
      <c r="AK21" s="101" t="s">
        <v>55</v>
      </c>
      <c r="AL21" s="101" t="s">
        <v>55</v>
      </c>
      <c r="AM21" s="47" t="s">
        <v>1835</v>
      </c>
      <c r="AN21" s="47">
        <v>2225</v>
      </c>
      <c r="AO21" s="211">
        <f t="shared" si="7"/>
        <v>6.205250596658711E-2</v>
      </c>
      <c r="AP21" s="47" t="s">
        <v>90</v>
      </c>
      <c r="AQ21" s="91" t="s">
        <v>116</v>
      </c>
      <c r="AR21" s="47"/>
    </row>
    <row r="22" spans="1:44" hidden="1">
      <c r="A22" s="47" t="s">
        <v>44</v>
      </c>
      <c r="B22" s="47" t="str">
        <f t="shared" si="0"/>
        <v>July</v>
      </c>
      <c r="C22" s="59">
        <v>45484</v>
      </c>
      <c r="D22" s="47" t="s">
        <v>83</v>
      </c>
      <c r="E22" s="47" t="s">
        <v>1828</v>
      </c>
      <c r="F22" s="47" t="s">
        <v>880</v>
      </c>
      <c r="G22" s="47" t="s">
        <v>1836</v>
      </c>
      <c r="H22" s="47" t="s">
        <v>1837</v>
      </c>
      <c r="I22" s="47" t="s">
        <v>50</v>
      </c>
      <c r="J22" s="47" t="s">
        <v>51</v>
      </c>
      <c r="K22" s="48">
        <v>45119</v>
      </c>
      <c r="L22" s="48">
        <v>45119</v>
      </c>
      <c r="M22" s="48">
        <v>45484</v>
      </c>
      <c r="N22" s="47" t="s">
        <v>52</v>
      </c>
      <c r="O22" s="55" t="s">
        <v>327</v>
      </c>
      <c r="P22" s="62">
        <v>25272</v>
      </c>
      <c r="Q22" s="62">
        <v>2106</v>
      </c>
      <c r="R22" s="97">
        <v>26520</v>
      </c>
      <c r="S22" s="62">
        <f t="shared" si="8"/>
        <v>2210</v>
      </c>
      <c r="T22" s="62">
        <v>25800</v>
      </c>
      <c r="U22" s="62">
        <f t="shared" si="9"/>
        <v>2150</v>
      </c>
      <c r="V22" s="69">
        <v>24000</v>
      </c>
      <c r="W22" s="71" t="s">
        <v>123</v>
      </c>
      <c r="X22" s="71"/>
      <c r="Y22" s="71"/>
      <c r="Z22" s="64" t="e">
        <f t="shared" si="1"/>
        <v>#VALUE!</v>
      </c>
      <c r="AA22" s="64" t="e">
        <f t="shared" si="2"/>
        <v>#VALUE!</v>
      </c>
      <c r="AB22" s="71">
        <v>2275</v>
      </c>
      <c r="AC22" s="64">
        <f t="shared" si="3"/>
        <v>5.8139534883720929E-2</v>
      </c>
      <c r="AD22" s="64">
        <f t="shared" si="4"/>
        <v>2.9411764705882353E-2</v>
      </c>
      <c r="AE22" s="71">
        <v>2250</v>
      </c>
      <c r="AF22" s="64">
        <f t="shared" si="5"/>
        <v>4.6511627906976744E-2</v>
      </c>
      <c r="AG22" s="64">
        <f t="shared" si="6"/>
        <v>1.8099547511312219E-2</v>
      </c>
      <c r="AH22" s="67"/>
      <c r="AI22" s="47" t="s">
        <v>54</v>
      </c>
      <c r="AJ22" s="47">
        <v>558.82000000000005</v>
      </c>
      <c r="AK22" s="101" t="s">
        <v>55</v>
      </c>
      <c r="AL22" s="101" t="s">
        <v>55</v>
      </c>
      <c r="AM22" s="47" t="s">
        <v>1838</v>
      </c>
      <c r="AN22" s="47">
        <v>2275</v>
      </c>
      <c r="AO22" s="211">
        <f t="shared" si="7"/>
        <v>5.8139534883720929E-2</v>
      </c>
      <c r="AP22" s="47" t="s">
        <v>90</v>
      </c>
      <c r="AQ22" s="91" t="s">
        <v>116</v>
      </c>
      <c r="AR22" s="47"/>
    </row>
    <row r="23" spans="1:44">
      <c r="A23" s="47" t="s">
        <v>44</v>
      </c>
      <c r="B23" s="47" t="str">
        <f t="shared" si="0"/>
        <v>July</v>
      </c>
      <c r="C23" s="59">
        <v>45503</v>
      </c>
      <c r="D23" s="47" t="s">
        <v>83</v>
      </c>
      <c r="E23" s="47" t="s">
        <v>1828</v>
      </c>
      <c r="F23" s="47" t="s">
        <v>880</v>
      </c>
      <c r="G23" s="47" t="s">
        <v>1839</v>
      </c>
      <c r="H23" s="47" t="s">
        <v>1840</v>
      </c>
      <c r="I23" s="47" t="s">
        <v>50</v>
      </c>
      <c r="J23" s="47" t="s">
        <v>51</v>
      </c>
      <c r="K23" s="48">
        <v>43677</v>
      </c>
      <c r="L23" s="48">
        <v>45138</v>
      </c>
      <c r="M23" s="48">
        <v>45503</v>
      </c>
      <c r="N23" s="47" t="s">
        <v>64</v>
      </c>
      <c r="O23" s="55" t="s">
        <v>327</v>
      </c>
      <c r="P23" s="62">
        <v>26000</v>
      </c>
      <c r="Q23" s="62">
        <v>2166.6666666666665</v>
      </c>
      <c r="R23" s="97">
        <v>27248</v>
      </c>
      <c r="S23" s="62">
        <f t="shared" si="8"/>
        <v>2270.6666666666665</v>
      </c>
      <c r="T23" s="62">
        <v>24300</v>
      </c>
      <c r="U23" s="62">
        <f t="shared" si="9"/>
        <v>2025</v>
      </c>
      <c r="V23" s="69">
        <v>22680</v>
      </c>
      <c r="W23" s="71" t="s">
        <v>123</v>
      </c>
      <c r="X23" s="71"/>
      <c r="Y23" s="71"/>
      <c r="Z23" s="64" t="e">
        <f t="shared" si="1"/>
        <v>#VALUE!</v>
      </c>
      <c r="AA23" s="64" t="e">
        <f t="shared" si="2"/>
        <v>#VALUE!</v>
      </c>
      <c r="AB23" s="71">
        <v>2235</v>
      </c>
      <c r="AC23" s="64">
        <f t="shared" si="3"/>
        <v>0.1037037037037037</v>
      </c>
      <c r="AD23" s="64">
        <f t="shared" si="4"/>
        <v>-1.5707574867880145E-2</v>
      </c>
      <c r="AE23" s="71">
        <v>2215</v>
      </c>
      <c r="AF23" s="64">
        <f t="shared" si="5"/>
        <v>9.3827160493827166E-2</v>
      </c>
      <c r="AG23" s="64">
        <f t="shared" si="6"/>
        <v>-2.4515560775102696E-2</v>
      </c>
      <c r="AH23" s="67"/>
      <c r="AI23" s="47" t="s">
        <v>54</v>
      </c>
      <c r="AJ23" s="47">
        <v>609.16999999999996</v>
      </c>
      <c r="AK23" s="101" t="s">
        <v>55</v>
      </c>
      <c r="AL23" s="101" t="s">
        <v>55</v>
      </c>
      <c r="AM23" s="47" t="s">
        <v>1841</v>
      </c>
      <c r="AN23" s="47">
        <v>2215</v>
      </c>
      <c r="AO23" s="211">
        <f t="shared" si="7"/>
        <v>9.3827160493827166E-2</v>
      </c>
      <c r="AP23" s="47" t="s">
        <v>90</v>
      </c>
      <c r="AQ23" s="91" t="s">
        <v>116</v>
      </c>
      <c r="AR23" s="47"/>
    </row>
    <row r="24" spans="1:44">
      <c r="A24" s="47" t="s">
        <v>44</v>
      </c>
      <c r="B24" s="47" t="str">
        <f t="shared" si="0"/>
        <v>July</v>
      </c>
      <c r="C24" s="59">
        <v>45492</v>
      </c>
      <c r="D24" s="47" t="s">
        <v>83</v>
      </c>
      <c r="E24" s="47" t="s">
        <v>1828</v>
      </c>
      <c r="F24" s="47" t="s">
        <v>880</v>
      </c>
      <c r="G24" s="47" t="s">
        <v>1842</v>
      </c>
      <c r="H24" s="47" t="s">
        <v>1843</v>
      </c>
      <c r="I24" s="47" t="s">
        <v>50</v>
      </c>
      <c r="J24" s="47" t="s">
        <v>51</v>
      </c>
      <c r="K24" s="48">
        <v>43456</v>
      </c>
      <c r="L24" s="48">
        <v>45127</v>
      </c>
      <c r="M24" s="48">
        <v>45492</v>
      </c>
      <c r="N24" s="47" t="s">
        <v>64</v>
      </c>
      <c r="O24" s="55" t="s">
        <v>327</v>
      </c>
      <c r="P24" s="62">
        <v>24700</v>
      </c>
      <c r="Q24" s="62">
        <v>2058.3333333333335</v>
      </c>
      <c r="R24" s="97">
        <v>25480</v>
      </c>
      <c r="S24" s="62">
        <f t="shared" si="8"/>
        <v>2123.3333333333335</v>
      </c>
      <c r="T24" s="62">
        <v>24780</v>
      </c>
      <c r="U24" s="62">
        <f t="shared" si="9"/>
        <v>2065</v>
      </c>
      <c r="V24" s="69">
        <v>22800</v>
      </c>
      <c r="W24" s="71" t="s">
        <v>123</v>
      </c>
      <c r="X24" s="71"/>
      <c r="Y24" s="71"/>
      <c r="Z24" s="64" t="e">
        <f t="shared" si="1"/>
        <v>#VALUE!</v>
      </c>
      <c r="AA24" s="64" t="e">
        <f t="shared" si="2"/>
        <v>#VALUE!</v>
      </c>
      <c r="AB24" s="71">
        <v>2275</v>
      </c>
      <c r="AC24" s="64">
        <f t="shared" si="3"/>
        <v>0.10169491525423729</v>
      </c>
      <c r="AD24" s="64">
        <f t="shared" si="4"/>
        <v>7.1428571428571355E-2</v>
      </c>
      <c r="AE24" s="71">
        <v>2250</v>
      </c>
      <c r="AF24" s="64">
        <f t="shared" si="5"/>
        <v>8.9588377723970949E-2</v>
      </c>
      <c r="AG24" s="64">
        <f t="shared" si="6"/>
        <v>5.9654631083202438E-2</v>
      </c>
      <c r="AH24" s="67"/>
      <c r="AI24" s="47" t="s">
        <v>250</v>
      </c>
      <c r="AJ24" s="47">
        <v>705.53</v>
      </c>
      <c r="AK24" s="101" t="s">
        <v>55</v>
      </c>
      <c r="AL24" s="101" t="s">
        <v>55</v>
      </c>
      <c r="AM24" s="47" t="s">
        <v>1844</v>
      </c>
      <c r="AN24" s="47"/>
      <c r="AO24" s="211">
        <f t="shared" si="7"/>
        <v>-1</v>
      </c>
      <c r="AP24" s="47" t="s">
        <v>90</v>
      </c>
      <c r="AQ24" s="91" t="s">
        <v>116</v>
      </c>
      <c r="AR24" s="47"/>
    </row>
    <row r="25" spans="1:44">
      <c r="A25" s="47" t="s">
        <v>44</v>
      </c>
      <c r="B25" s="47" t="str">
        <f t="shared" si="0"/>
        <v>July</v>
      </c>
      <c r="C25" s="59">
        <v>45476</v>
      </c>
      <c r="D25" s="47" t="s">
        <v>83</v>
      </c>
      <c r="E25" s="47" t="s">
        <v>1828</v>
      </c>
      <c r="F25" s="47" t="s">
        <v>880</v>
      </c>
      <c r="G25" s="47" t="s">
        <v>1845</v>
      </c>
      <c r="H25" s="47" t="s">
        <v>1846</v>
      </c>
      <c r="I25" s="47" t="s">
        <v>50</v>
      </c>
      <c r="J25" s="47" t="s">
        <v>51</v>
      </c>
      <c r="K25" s="48">
        <v>44016</v>
      </c>
      <c r="L25" s="48">
        <v>45111</v>
      </c>
      <c r="M25" s="48">
        <v>45476</v>
      </c>
      <c r="N25" s="47" t="s">
        <v>64</v>
      </c>
      <c r="O25" s="55" t="s">
        <v>327</v>
      </c>
      <c r="P25" s="62">
        <v>27248</v>
      </c>
      <c r="Q25" s="62">
        <v>2270.6666666666665</v>
      </c>
      <c r="R25" s="97">
        <v>28028</v>
      </c>
      <c r="S25" s="62">
        <f t="shared" si="8"/>
        <v>2335.6666666666665</v>
      </c>
      <c r="T25" s="62">
        <v>25020</v>
      </c>
      <c r="U25" s="62">
        <f t="shared" si="9"/>
        <v>2085</v>
      </c>
      <c r="V25" s="69">
        <v>23160</v>
      </c>
      <c r="W25" s="71" t="s">
        <v>123</v>
      </c>
      <c r="X25" s="71"/>
      <c r="Y25" s="71"/>
      <c r="Z25" s="64" t="e">
        <f t="shared" si="1"/>
        <v>#VALUE!</v>
      </c>
      <c r="AA25" s="64" t="e">
        <f t="shared" si="2"/>
        <v>#VALUE!</v>
      </c>
      <c r="AB25" s="71">
        <v>2350</v>
      </c>
      <c r="AC25" s="64">
        <f t="shared" si="3"/>
        <v>0.12709832134292565</v>
      </c>
      <c r="AD25" s="64">
        <f t="shared" si="4"/>
        <v>6.1367204224347738E-3</v>
      </c>
      <c r="AE25" s="71">
        <v>2300</v>
      </c>
      <c r="AF25" s="64">
        <f t="shared" si="5"/>
        <v>0.10311750599520383</v>
      </c>
      <c r="AG25" s="64">
        <f t="shared" si="6"/>
        <v>-1.5270443841872349E-2</v>
      </c>
      <c r="AH25" s="67"/>
      <c r="AI25" s="47" t="s">
        <v>54</v>
      </c>
      <c r="AJ25" s="47">
        <v>746.18</v>
      </c>
      <c r="AK25" s="101" t="s">
        <v>55</v>
      </c>
      <c r="AL25" s="101" t="s">
        <v>55</v>
      </c>
      <c r="AM25" s="47" t="s">
        <v>1847</v>
      </c>
      <c r="AN25" s="47">
        <v>2300</v>
      </c>
      <c r="AO25" s="211">
        <f t="shared" si="7"/>
        <v>0.10311750599520383</v>
      </c>
      <c r="AP25" s="47" t="s">
        <v>90</v>
      </c>
      <c r="AQ25" s="91" t="s">
        <v>116</v>
      </c>
      <c r="AR25" s="47"/>
    </row>
    <row r="26" spans="1:44">
      <c r="A26" s="47" t="s">
        <v>44</v>
      </c>
      <c r="B26" s="47" t="str">
        <f t="shared" si="0"/>
        <v>July</v>
      </c>
      <c r="C26" s="59">
        <v>45490</v>
      </c>
      <c r="D26" s="47" t="s">
        <v>83</v>
      </c>
      <c r="E26" s="47" t="s">
        <v>1828</v>
      </c>
      <c r="F26" s="47" t="s">
        <v>880</v>
      </c>
      <c r="G26" s="47" t="s">
        <v>1848</v>
      </c>
      <c r="H26" s="47" t="s">
        <v>1849</v>
      </c>
      <c r="I26" s="47" t="s">
        <v>50</v>
      </c>
      <c r="J26" s="47" t="s">
        <v>51</v>
      </c>
      <c r="K26" s="48">
        <v>44394</v>
      </c>
      <c r="L26" s="48">
        <v>45125</v>
      </c>
      <c r="M26" s="48">
        <v>45490</v>
      </c>
      <c r="N26" s="47" t="s">
        <v>64</v>
      </c>
      <c r="O26" s="55" t="s">
        <v>327</v>
      </c>
      <c r="P26" s="62">
        <v>27144</v>
      </c>
      <c r="Q26" s="62">
        <v>2262</v>
      </c>
      <c r="R26" s="97">
        <v>29328</v>
      </c>
      <c r="S26" s="62">
        <f t="shared" si="8"/>
        <v>2444</v>
      </c>
      <c r="T26" s="62">
        <v>25200</v>
      </c>
      <c r="U26" s="62">
        <f t="shared" si="9"/>
        <v>2100</v>
      </c>
      <c r="V26" s="69">
        <v>22920</v>
      </c>
      <c r="W26" s="71" t="s">
        <v>123</v>
      </c>
      <c r="X26" s="71"/>
      <c r="Y26" s="71"/>
      <c r="Z26" s="64" t="e">
        <f t="shared" si="1"/>
        <v>#VALUE!</v>
      </c>
      <c r="AA26" s="64" t="e">
        <f t="shared" si="2"/>
        <v>#VALUE!</v>
      </c>
      <c r="AB26" s="71">
        <v>2375</v>
      </c>
      <c r="AC26" s="64">
        <f t="shared" si="3"/>
        <v>0.13095238095238096</v>
      </c>
      <c r="AD26" s="64">
        <f t="shared" si="4"/>
        <v>-2.823240589198036E-2</v>
      </c>
      <c r="AE26" s="71">
        <v>2325</v>
      </c>
      <c r="AF26" s="64">
        <f t="shared" si="5"/>
        <v>0.10714285714285714</v>
      </c>
      <c r="AG26" s="64">
        <f t="shared" si="6"/>
        <v>-4.8690671031096561E-2</v>
      </c>
      <c r="AH26" s="67" t="s">
        <v>1850</v>
      </c>
      <c r="AI26" s="47" t="s">
        <v>54</v>
      </c>
      <c r="AJ26" s="47">
        <v>678.18</v>
      </c>
      <c r="AK26" s="101" t="s">
        <v>65</v>
      </c>
      <c r="AL26" s="101" t="s">
        <v>55</v>
      </c>
      <c r="AM26" s="47" t="s">
        <v>1851</v>
      </c>
      <c r="AN26" s="47"/>
      <c r="AO26" s="211">
        <f t="shared" si="7"/>
        <v>-1</v>
      </c>
      <c r="AP26" s="47" t="s">
        <v>90</v>
      </c>
      <c r="AQ26" s="91" t="s">
        <v>116</v>
      </c>
      <c r="AR26" s="47"/>
    </row>
    <row r="27" spans="1:44">
      <c r="A27" s="47" t="s">
        <v>44</v>
      </c>
      <c r="B27" s="47" t="str">
        <f t="shared" si="0"/>
        <v>July</v>
      </c>
      <c r="C27" s="59">
        <v>45489</v>
      </c>
      <c r="D27" s="47" t="s">
        <v>83</v>
      </c>
      <c r="E27" s="47" t="s">
        <v>1828</v>
      </c>
      <c r="F27" s="47" t="s">
        <v>880</v>
      </c>
      <c r="G27" s="47" t="s">
        <v>1852</v>
      </c>
      <c r="H27" s="47" t="s">
        <v>1853</v>
      </c>
      <c r="I27" s="47" t="s">
        <v>50</v>
      </c>
      <c r="J27" s="47" t="s">
        <v>51</v>
      </c>
      <c r="K27" s="48">
        <v>44394</v>
      </c>
      <c r="L27" s="48">
        <v>45124</v>
      </c>
      <c r="M27" s="48">
        <v>45489</v>
      </c>
      <c r="N27" s="47" t="s">
        <v>64</v>
      </c>
      <c r="O27" s="55" t="s">
        <v>327</v>
      </c>
      <c r="P27" s="62">
        <v>28392</v>
      </c>
      <c r="Q27" s="62">
        <v>2366</v>
      </c>
      <c r="R27" s="97">
        <v>30576</v>
      </c>
      <c r="S27" s="62">
        <f t="shared" si="8"/>
        <v>2548</v>
      </c>
      <c r="T27" s="62">
        <v>26100</v>
      </c>
      <c r="U27" s="62">
        <f t="shared" si="9"/>
        <v>2175</v>
      </c>
      <c r="V27" s="69">
        <v>24000</v>
      </c>
      <c r="W27" s="71" t="s">
        <v>123</v>
      </c>
      <c r="X27" s="71"/>
      <c r="Y27" s="71"/>
      <c r="Z27" s="64" t="e">
        <f t="shared" si="1"/>
        <v>#VALUE!</v>
      </c>
      <c r="AA27" s="64" t="e">
        <f t="shared" si="2"/>
        <v>#VALUE!</v>
      </c>
      <c r="AB27" s="71">
        <v>2400</v>
      </c>
      <c r="AC27" s="64">
        <f t="shared" si="3"/>
        <v>0.10344827586206896</v>
      </c>
      <c r="AD27" s="64">
        <f t="shared" si="4"/>
        <v>-5.8084772370486655E-2</v>
      </c>
      <c r="AE27" s="71">
        <v>2350</v>
      </c>
      <c r="AF27" s="64">
        <f t="shared" si="5"/>
        <v>8.0459770114942528E-2</v>
      </c>
      <c r="AG27" s="64">
        <f t="shared" si="6"/>
        <v>-7.7708006279434846E-2</v>
      </c>
      <c r="AH27" s="67"/>
      <c r="AI27" s="47" t="s">
        <v>54</v>
      </c>
      <c r="AJ27" s="47">
        <v>690.25</v>
      </c>
      <c r="AK27" s="101" t="s">
        <v>65</v>
      </c>
      <c r="AL27" s="101" t="s">
        <v>55</v>
      </c>
      <c r="AM27" s="47" t="s">
        <v>1854</v>
      </c>
      <c r="AN27" s="47">
        <v>2350</v>
      </c>
      <c r="AO27" s="211">
        <f t="shared" si="7"/>
        <v>8.0459770114942528E-2</v>
      </c>
      <c r="AP27" s="47" t="s">
        <v>90</v>
      </c>
      <c r="AQ27" s="91" t="s">
        <v>116</v>
      </c>
      <c r="AR27" s="47"/>
    </row>
    <row r="28" spans="1:44">
      <c r="A28" s="47" t="s">
        <v>44</v>
      </c>
      <c r="B28" s="47" t="str">
        <f t="shared" si="0"/>
        <v>July</v>
      </c>
      <c r="C28" s="59">
        <v>45500</v>
      </c>
      <c r="D28" s="47" t="s">
        <v>83</v>
      </c>
      <c r="E28" s="47" t="s">
        <v>1828</v>
      </c>
      <c r="F28" s="47" t="s">
        <v>880</v>
      </c>
      <c r="G28" s="47" t="s">
        <v>2511</v>
      </c>
      <c r="H28" s="47" t="s">
        <v>2512</v>
      </c>
      <c r="I28" s="47" t="s">
        <v>50</v>
      </c>
      <c r="J28" s="47" t="s">
        <v>51</v>
      </c>
      <c r="K28" s="48">
        <v>44770</v>
      </c>
      <c r="L28" s="48">
        <v>44770</v>
      </c>
      <c r="M28" s="48">
        <v>45500</v>
      </c>
      <c r="N28" s="47" t="s">
        <v>64</v>
      </c>
      <c r="O28" s="55" t="s">
        <v>327</v>
      </c>
      <c r="P28" s="62">
        <v>28600</v>
      </c>
      <c r="Q28" s="62">
        <v>2383.3333333333335</v>
      </c>
      <c r="R28" s="97">
        <v>30836</v>
      </c>
      <c r="S28" s="62">
        <f t="shared" si="8"/>
        <v>2569.6666666666665</v>
      </c>
      <c r="T28" s="62">
        <v>25800</v>
      </c>
      <c r="U28" s="62">
        <f t="shared" si="9"/>
        <v>2150</v>
      </c>
      <c r="V28" s="69">
        <v>25800</v>
      </c>
      <c r="W28" s="71" t="s">
        <v>123</v>
      </c>
      <c r="X28" s="71"/>
      <c r="Y28" s="71"/>
      <c r="Z28" s="64" t="e">
        <f t="shared" si="1"/>
        <v>#VALUE!</v>
      </c>
      <c r="AA28" s="64" t="e">
        <f t="shared" si="2"/>
        <v>#VALUE!</v>
      </c>
      <c r="AB28" s="71">
        <v>2425</v>
      </c>
      <c r="AC28" s="64">
        <f t="shared" si="3"/>
        <v>0.12790697674418605</v>
      </c>
      <c r="AD28" s="64">
        <f t="shared" si="4"/>
        <v>-5.6297833700869056E-2</v>
      </c>
      <c r="AE28" s="71">
        <v>2375</v>
      </c>
      <c r="AF28" s="64">
        <f t="shared" si="5"/>
        <v>0.10465116279069768</v>
      </c>
      <c r="AG28" s="64">
        <f t="shared" si="6"/>
        <v>-7.5755610325593414E-2</v>
      </c>
      <c r="AH28" s="67" t="s">
        <v>2513</v>
      </c>
      <c r="AI28" s="47" t="s">
        <v>54</v>
      </c>
      <c r="AJ28" s="47">
        <v>737.02</v>
      </c>
      <c r="AK28" s="101" t="s">
        <v>65</v>
      </c>
      <c r="AL28" s="101" t="s">
        <v>55</v>
      </c>
      <c r="AM28" s="47" t="s">
        <v>2514</v>
      </c>
      <c r="AN28" s="47"/>
      <c r="AO28" s="211">
        <f t="shared" si="7"/>
        <v>-1</v>
      </c>
      <c r="AP28" s="47" t="s">
        <v>90</v>
      </c>
      <c r="AQ28" s="91" t="s">
        <v>116</v>
      </c>
      <c r="AR28" s="47"/>
    </row>
    <row r="29" spans="1:44" hidden="1">
      <c r="A29" s="47" t="s">
        <v>44</v>
      </c>
      <c r="B29" s="47" t="str">
        <f t="shared" si="0"/>
        <v>August</v>
      </c>
      <c r="C29" s="59">
        <v>45527</v>
      </c>
      <c r="D29" s="47" t="s">
        <v>83</v>
      </c>
      <c r="E29" s="47" t="s">
        <v>1828</v>
      </c>
      <c r="F29" s="47" t="s">
        <v>880</v>
      </c>
      <c r="G29" s="47" t="s">
        <v>2765</v>
      </c>
      <c r="H29" s="47" t="s">
        <v>2766</v>
      </c>
      <c r="I29" s="47" t="s">
        <v>50</v>
      </c>
      <c r="J29" s="47" t="s">
        <v>51</v>
      </c>
      <c r="K29" s="48">
        <v>45162</v>
      </c>
      <c r="L29" s="48">
        <v>45162</v>
      </c>
      <c r="M29" s="48">
        <v>45527</v>
      </c>
      <c r="N29" s="47" t="s">
        <v>52</v>
      </c>
      <c r="O29" s="55" t="s">
        <v>327</v>
      </c>
      <c r="P29" s="62">
        <v>27040</v>
      </c>
      <c r="Q29" s="62">
        <v>2253.3333333333335</v>
      </c>
      <c r="R29" s="97">
        <v>27820</v>
      </c>
      <c r="S29" s="62">
        <f t="shared" si="8"/>
        <v>2318.3333333333335</v>
      </c>
      <c r="T29" s="62">
        <v>26400</v>
      </c>
      <c r="U29" s="62">
        <f t="shared" si="9"/>
        <v>2200</v>
      </c>
      <c r="V29" s="69">
        <v>23340</v>
      </c>
      <c r="W29" s="71" t="s">
        <v>123</v>
      </c>
      <c r="X29" s="71"/>
      <c r="Y29" s="71"/>
      <c r="Z29" s="64" t="e">
        <f t="shared" si="1"/>
        <v>#VALUE!</v>
      </c>
      <c r="AA29" s="64" t="e">
        <f t="shared" si="2"/>
        <v>#VALUE!</v>
      </c>
      <c r="AB29" s="71">
        <v>2350</v>
      </c>
      <c r="AC29" s="64">
        <f t="shared" si="3"/>
        <v>6.8181818181818177E-2</v>
      </c>
      <c r="AD29" s="64">
        <f t="shared" si="4"/>
        <v>1.3659237958303313E-2</v>
      </c>
      <c r="AE29" s="71">
        <v>2325</v>
      </c>
      <c r="AF29" s="64">
        <f t="shared" si="5"/>
        <v>5.6818181818181816E-2</v>
      </c>
      <c r="AG29" s="64">
        <f t="shared" si="6"/>
        <v>2.8756290438532776E-3</v>
      </c>
      <c r="AH29" s="67"/>
      <c r="AI29" s="47" t="s">
        <v>250</v>
      </c>
      <c r="AJ29" s="47">
        <v>727.97</v>
      </c>
      <c r="AK29" s="47" t="s">
        <v>55</v>
      </c>
      <c r="AL29" s="47" t="s">
        <v>55</v>
      </c>
      <c r="AM29" s="47" t="s">
        <v>2767</v>
      </c>
      <c r="AN29" s="47"/>
      <c r="AO29" s="211">
        <f t="shared" si="7"/>
        <v>-1</v>
      </c>
      <c r="AP29" s="47" t="s">
        <v>90</v>
      </c>
      <c r="AQ29" s="91" t="s">
        <v>116</v>
      </c>
      <c r="AR29" s="47"/>
    </row>
    <row r="30" spans="1:44">
      <c r="A30" s="47" t="s">
        <v>44</v>
      </c>
      <c r="B30" s="47" t="str">
        <f t="shared" si="0"/>
        <v>August</v>
      </c>
      <c r="C30" s="59">
        <v>45527</v>
      </c>
      <c r="D30" s="47" t="s">
        <v>83</v>
      </c>
      <c r="E30" s="47" t="s">
        <v>1828</v>
      </c>
      <c r="F30" s="47" t="s">
        <v>880</v>
      </c>
      <c r="G30" s="47" t="s">
        <v>2768</v>
      </c>
      <c r="H30" s="47" t="s">
        <v>2769</v>
      </c>
      <c r="I30" s="47" t="s">
        <v>50</v>
      </c>
      <c r="J30" s="47" t="s">
        <v>51</v>
      </c>
      <c r="K30" s="48">
        <v>44432</v>
      </c>
      <c r="L30" s="48">
        <v>45162</v>
      </c>
      <c r="M30" s="48">
        <v>45527</v>
      </c>
      <c r="N30" s="47" t="s">
        <v>64</v>
      </c>
      <c r="O30" s="55" t="s">
        <v>327</v>
      </c>
      <c r="P30" s="62">
        <v>30316</v>
      </c>
      <c r="Q30" s="62">
        <v>2526.3333333333335</v>
      </c>
      <c r="R30" s="97">
        <v>31564</v>
      </c>
      <c r="S30" s="62">
        <f t="shared" si="8"/>
        <v>2630.3333333333335</v>
      </c>
      <c r="T30" s="62">
        <v>28380</v>
      </c>
      <c r="U30" s="62">
        <f t="shared" si="9"/>
        <v>2365</v>
      </c>
      <c r="V30" s="69">
        <v>26160</v>
      </c>
      <c r="W30" s="71" t="s">
        <v>123</v>
      </c>
      <c r="X30" s="71"/>
      <c r="Y30" s="71"/>
      <c r="Z30" s="64" t="e">
        <f t="shared" si="1"/>
        <v>#VALUE!</v>
      </c>
      <c r="AA30" s="64" t="e">
        <f t="shared" si="2"/>
        <v>#VALUE!</v>
      </c>
      <c r="AB30" s="71">
        <v>2550</v>
      </c>
      <c r="AC30" s="64">
        <f t="shared" si="3"/>
        <v>7.8224101479915431E-2</v>
      </c>
      <c r="AD30" s="64">
        <f t="shared" si="4"/>
        <v>-3.0541122798124501E-2</v>
      </c>
      <c r="AE30" s="71">
        <v>2500</v>
      </c>
      <c r="AF30" s="64">
        <f t="shared" si="5"/>
        <v>5.7082452431289642E-2</v>
      </c>
      <c r="AG30" s="64">
        <f t="shared" si="6"/>
        <v>-4.9550120390318142E-2</v>
      </c>
      <c r="AH30" s="67" t="s">
        <v>2770</v>
      </c>
      <c r="AI30" s="47" t="s">
        <v>54</v>
      </c>
      <c r="AJ30" s="47">
        <v>1099.81</v>
      </c>
      <c r="AK30" s="47" t="s">
        <v>55</v>
      </c>
      <c r="AL30" s="47" t="s">
        <v>55</v>
      </c>
      <c r="AM30" s="47" t="s">
        <v>2771</v>
      </c>
      <c r="AN30" s="47"/>
      <c r="AO30" s="211">
        <f t="shared" si="7"/>
        <v>-1</v>
      </c>
      <c r="AP30" s="47" t="s">
        <v>90</v>
      </c>
      <c r="AQ30" s="94" t="s">
        <v>891</v>
      </c>
      <c r="AR30" s="47"/>
    </row>
    <row r="31" spans="1:44" hidden="1">
      <c r="A31" s="47" t="s">
        <v>44</v>
      </c>
      <c r="B31" s="47" t="str">
        <f t="shared" si="0"/>
        <v>August</v>
      </c>
      <c r="C31" s="59">
        <v>45533</v>
      </c>
      <c r="D31" s="47" t="s">
        <v>83</v>
      </c>
      <c r="E31" s="47" t="s">
        <v>1828</v>
      </c>
      <c r="F31" s="47" t="s">
        <v>880</v>
      </c>
      <c r="G31" s="47" t="s">
        <v>3431</v>
      </c>
      <c r="H31" s="47" t="s">
        <v>3432</v>
      </c>
      <c r="I31" s="47" t="s">
        <v>50</v>
      </c>
      <c r="J31" s="47" t="s">
        <v>51</v>
      </c>
      <c r="K31" s="48">
        <v>45168</v>
      </c>
      <c r="L31" s="48">
        <v>45168</v>
      </c>
      <c r="M31" s="48">
        <v>45533</v>
      </c>
      <c r="N31" s="47" t="s">
        <v>52</v>
      </c>
      <c r="O31" s="55" t="s">
        <v>327</v>
      </c>
      <c r="P31" s="62">
        <v>25376</v>
      </c>
      <c r="Q31" s="62">
        <v>2114.6666666666665</v>
      </c>
      <c r="R31" s="97">
        <v>26624</v>
      </c>
      <c r="S31" s="62">
        <f t="shared" si="8"/>
        <v>2218.6666666666665</v>
      </c>
      <c r="T31" s="62">
        <v>27000</v>
      </c>
      <c r="U31" s="62">
        <f t="shared" si="9"/>
        <v>2250</v>
      </c>
      <c r="V31" s="69">
        <v>21960</v>
      </c>
      <c r="W31" s="71" t="s">
        <v>123</v>
      </c>
      <c r="X31" s="71"/>
      <c r="Y31" s="71"/>
      <c r="Z31" s="64" t="e">
        <f t="shared" si="1"/>
        <v>#VALUE!</v>
      </c>
      <c r="AA31" s="64" t="e">
        <f t="shared" si="2"/>
        <v>#VALUE!</v>
      </c>
      <c r="AB31" s="71">
        <v>2300</v>
      </c>
      <c r="AC31" s="64">
        <f t="shared" si="3"/>
        <v>2.2222222222222223E-2</v>
      </c>
      <c r="AD31" s="64">
        <f t="shared" si="4"/>
        <v>3.6658653846153917E-2</v>
      </c>
      <c r="AE31" s="71">
        <v>2300</v>
      </c>
      <c r="AF31" s="64">
        <f t="shared" si="5"/>
        <v>2.2222222222222223E-2</v>
      </c>
      <c r="AG31" s="64">
        <f t="shared" si="6"/>
        <v>3.6658653846153917E-2</v>
      </c>
      <c r="AH31" s="67"/>
      <c r="AI31" s="47" t="s">
        <v>54</v>
      </c>
      <c r="AJ31" s="47">
        <v>561.53</v>
      </c>
      <c r="AK31" s="47" t="s">
        <v>55</v>
      </c>
      <c r="AL31" s="47" t="s">
        <v>55</v>
      </c>
      <c r="AM31" s="47" t="s">
        <v>3433</v>
      </c>
      <c r="AN31" s="47"/>
      <c r="AO31" s="211">
        <f t="shared" si="7"/>
        <v>-1</v>
      </c>
      <c r="AP31" s="47" t="s">
        <v>90</v>
      </c>
      <c r="AQ31" s="91" t="s">
        <v>116</v>
      </c>
      <c r="AR31" s="47"/>
    </row>
    <row r="32" spans="1:44">
      <c r="A32" s="47" t="s">
        <v>44</v>
      </c>
      <c r="B32" s="47" t="str">
        <f t="shared" si="0"/>
        <v>August</v>
      </c>
      <c r="C32" s="59">
        <v>45505</v>
      </c>
      <c r="D32" s="47" t="s">
        <v>83</v>
      </c>
      <c r="E32" s="47" t="s">
        <v>879</v>
      </c>
      <c r="F32" s="47" t="s">
        <v>880</v>
      </c>
      <c r="G32" s="47" t="s">
        <v>881</v>
      </c>
      <c r="H32" s="47" t="s">
        <v>882</v>
      </c>
      <c r="I32" s="47" t="s">
        <v>50</v>
      </c>
      <c r="J32" s="47" t="s">
        <v>51</v>
      </c>
      <c r="K32" s="48">
        <v>44775</v>
      </c>
      <c r="L32" s="48">
        <v>45140</v>
      </c>
      <c r="M32" s="48">
        <v>45505</v>
      </c>
      <c r="N32" s="47" t="s">
        <v>64</v>
      </c>
      <c r="O32" s="55" t="s">
        <v>327</v>
      </c>
      <c r="P32" s="62">
        <v>25740</v>
      </c>
      <c r="Q32" s="62">
        <v>2145</v>
      </c>
      <c r="R32" s="103">
        <v>27248</v>
      </c>
      <c r="S32" s="62">
        <f t="shared" si="8"/>
        <v>2270.6666666666665</v>
      </c>
      <c r="T32" s="62">
        <v>24780</v>
      </c>
      <c r="U32" s="62">
        <f t="shared" si="9"/>
        <v>2065</v>
      </c>
      <c r="V32" s="69">
        <v>22920</v>
      </c>
      <c r="W32" s="71" t="s">
        <v>123</v>
      </c>
      <c r="X32" s="71"/>
      <c r="Y32" s="71"/>
      <c r="Z32" s="64" t="e">
        <f t="shared" si="1"/>
        <v>#VALUE!</v>
      </c>
      <c r="AA32" s="64" t="e">
        <f t="shared" si="2"/>
        <v>#VALUE!</v>
      </c>
      <c r="AB32" s="71">
        <v>2285</v>
      </c>
      <c r="AC32" s="64">
        <f t="shared" si="3"/>
        <v>0.10653753026634383</v>
      </c>
      <c r="AD32" s="64">
        <f t="shared" si="4"/>
        <v>6.3123899001762268E-3</v>
      </c>
      <c r="AE32" s="71">
        <v>2275</v>
      </c>
      <c r="AF32" s="64">
        <f t="shared" si="5"/>
        <v>0.10169491525423729</v>
      </c>
      <c r="AG32" s="64">
        <f t="shared" si="6"/>
        <v>1.9083969465649524E-3</v>
      </c>
      <c r="AH32" s="67"/>
      <c r="AI32" s="47" t="s">
        <v>54</v>
      </c>
      <c r="AJ32" s="47">
        <v>734.52</v>
      </c>
      <c r="AK32" s="47" t="s">
        <v>55</v>
      </c>
      <c r="AL32" s="47" t="s">
        <v>55</v>
      </c>
      <c r="AM32" s="47" t="s">
        <v>883</v>
      </c>
      <c r="AN32" s="47"/>
      <c r="AO32" s="211">
        <f t="shared" si="7"/>
        <v>-1</v>
      </c>
      <c r="AP32" s="47" t="s">
        <v>90</v>
      </c>
      <c r="AQ32" s="91" t="s">
        <v>116</v>
      </c>
      <c r="AR32" s="47"/>
    </row>
    <row r="33" spans="1:44">
      <c r="A33" s="47" t="s">
        <v>44</v>
      </c>
      <c r="B33" s="47" t="str">
        <f t="shared" si="0"/>
        <v>August</v>
      </c>
      <c r="C33" s="59">
        <v>45505</v>
      </c>
      <c r="D33" s="47" t="s">
        <v>83</v>
      </c>
      <c r="E33" s="47" t="s">
        <v>879</v>
      </c>
      <c r="F33" s="47" t="s">
        <v>880</v>
      </c>
      <c r="G33" s="47" t="s">
        <v>884</v>
      </c>
      <c r="H33" s="47" t="s">
        <v>885</v>
      </c>
      <c r="I33" s="47" t="s">
        <v>50</v>
      </c>
      <c r="J33" s="47" t="s">
        <v>51</v>
      </c>
      <c r="K33" s="48">
        <v>44410</v>
      </c>
      <c r="L33" s="48">
        <v>45140</v>
      </c>
      <c r="M33" s="48">
        <v>45505</v>
      </c>
      <c r="N33" s="47" t="s">
        <v>64</v>
      </c>
      <c r="O33" s="55" t="s">
        <v>327</v>
      </c>
      <c r="P33" s="62">
        <v>29172</v>
      </c>
      <c r="Q33" s="62">
        <v>2431</v>
      </c>
      <c r="R33" s="103">
        <v>29172</v>
      </c>
      <c r="S33" s="62">
        <f t="shared" si="8"/>
        <v>2431</v>
      </c>
      <c r="T33" s="62">
        <v>28920</v>
      </c>
      <c r="U33" s="62">
        <f t="shared" si="9"/>
        <v>2410</v>
      </c>
      <c r="V33" s="69">
        <v>26760</v>
      </c>
      <c r="W33" s="71" t="s">
        <v>123</v>
      </c>
      <c r="X33" s="71"/>
      <c r="Y33" s="71"/>
      <c r="Z33" s="64" t="e">
        <f t="shared" si="1"/>
        <v>#VALUE!</v>
      </c>
      <c r="AA33" s="64" t="e">
        <f t="shared" si="2"/>
        <v>#VALUE!</v>
      </c>
      <c r="AB33" s="71">
        <v>2550</v>
      </c>
      <c r="AC33" s="64">
        <f t="shared" si="3"/>
        <v>5.8091286307053944E-2</v>
      </c>
      <c r="AD33" s="64">
        <f t="shared" si="4"/>
        <v>4.8951048951048952E-2</v>
      </c>
      <c r="AE33" s="71">
        <v>2525</v>
      </c>
      <c r="AF33" s="64">
        <f t="shared" si="5"/>
        <v>4.7717842323651449E-2</v>
      </c>
      <c r="AG33" s="64">
        <f t="shared" si="6"/>
        <v>3.8667215137803371E-2</v>
      </c>
      <c r="AH33" s="67"/>
      <c r="AI33" s="47" t="s">
        <v>54</v>
      </c>
      <c r="AJ33" s="47">
        <v>813.54</v>
      </c>
      <c r="AK33" s="47" t="s">
        <v>65</v>
      </c>
      <c r="AL33" s="47" t="s">
        <v>55</v>
      </c>
      <c r="AM33" s="47" t="s">
        <v>886</v>
      </c>
      <c r="AN33" s="47"/>
      <c r="AO33" s="211">
        <f t="shared" si="7"/>
        <v>-1</v>
      </c>
      <c r="AP33" s="47" t="s">
        <v>90</v>
      </c>
      <c r="AQ33" s="91" t="s">
        <v>116</v>
      </c>
      <c r="AR33" s="47"/>
    </row>
    <row r="34" spans="1:44" hidden="1">
      <c r="A34" s="47" t="s">
        <v>44</v>
      </c>
      <c r="B34" s="47" t="str">
        <f t="shared" si="0"/>
        <v>August</v>
      </c>
      <c r="C34" s="59">
        <v>45506</v>
      </c>
      <c r="D34" s="47" t="s">
        <v>83</v>
      </c>
      <c r="E34" s="47" t="s">
        <v>879</v>
      </c>
      <c r="F34" s="47" t="s">
        <v>880</v>
      </c>
      <c r="G34" s="47" t="s">
        <v>939</v>
      </c>
      <c r="H34" s="47" t="s">
        <v>940</v>
      </c>
      <c r="I34" s="47" t="s">
        <v>50</v>
      </c>
      <c r="J34" s="47" t="s">
        <v>51</v>
      </c>
      <c r="K34" s="48">
        <v>45141</v>
      </c>
      <c r="L34" s="48">
        <v>45141</v>
      </c>
      <c r="M34" s="48">
        <v>45506</v>
      </c>
      <c r="N34" s="47" t="s">
        <v>52</v>
      </c>
      <c r="O34" s="55" t="s">
        <v>327</v>
      </c>
      <c r="P34" s="62">
        <v>28496</v>
      </c>
      <c r="Q34" s="62">
        <v>2374.6666666666665</v>
      </c>
      <c r="R34" s="104">
        <v>29328</v>
      </c>
      <c r="S34" s="62">
        <f t="shared" ref="S34:S65" si="10">R34/12</f>
        <v>2444</v>
      </c>
      <c r="T34" s="62">
        <v>29400</v>
      </c>
      <c r="U34" s="62">
        <f t="shared" ref="U34:U65" si="11">T34/12</f>
        <v>2450</v>
      </c>
      <c r="V34" s="69">
        <v>27120</v>
      </c>
      <c r="W34" s="71" t="s">
        <v>123</v>
      </c>
      <c r="X34" s="71"/>
      <c r="Y34" s="71"/>
      <c r="Z34" s="64" t="e">
        <f t="shared" si="1"/>
        <v>#VALUE!</v>
      </c>
      <c r="AA34" s="64" t="e">
        <f t="shared" ref="AA34:AA65" si="12">(W34-S34)/S34</f>
        <v>#VALUE!</v>
      </c>
      <c r="AB34" s="71">
        <v>2575</v>
      </c>
      <c r="AC34" s="64">
        <f t="shared" si="3"/>
        <v>5.1020408163265307E-2</v>
      </c>
      <c r="AD34" s="64">
        <f t="shared" ref="AD34:AD65" si="13">(AB34-S34)/S34</f>
        <v>5.3600654664484451E-2</v>
      </c>
      <c r="AE34" s="71">
        <v>2550</v>
      </c>
      <c r="AF34" s="64">
        <f t="shared" si="5"/>
        <v>4.0816326530612242E-2</v>
      </c>
      <c r="AG34" s="64">
        <f t="shared" ref="AG34:AG65" si="14">(AE34-S34)/S34</f>
        <v>4.3371522094926347E-2</v>
      </c>
      <c r="AH34" s="67"/>
      <c r="AI34" s="47" t="s">
        <v>54</v>
      </c>
      <c r="AJ34" s="47">
        <v>1165</v>
      </c>
      <c r="AK34" s="47" t="s">
        <v>55</v>
      </c>
      <c r="AL34" s="47" t="s">
        <v>55</v>
      </c>
      <c r="AM34" s="47" t="s">
        <v>941</v>
      </c>
      <c r="AN34" s="47"/>
      <c r="AO34" s="211">
        <f t="shared" si="7"/>
        <v>-1</v>
      </c>
      <c r="AP34" s="47" t="s">
        <v>90</v>
      </c>
      <c r="AQ34" s="91" t="s">
        <v>116</v>
      </c>
      <c r="AR34" s="47"/>
    </row>
    <row r="35" spans="1:44">
      <c r="A35" s="47" t="s">
        <v>44</v>
      </c>
      <c r="B35" s="47" t="str">
        <f t="shared" si="0"/>
        <v>July</v>
      </c>
      <c r="C35" s="59">
        <v>45495</v>
      </c>
      <c r="D35" s="47" t="s">
        <v>83</v>
      </c>
      <c r="E35" s="47" t="s">
        <v>879</v>
      </c>
      <c r="F35" s="47" t="s">
        <v>880</v>
      </c>
      <c r="G35" s="47" t="s">
        <v>1863</v>
      </c>
      <c r="H35" s="47" t="s">
        <v>1864</v>
      </c>
      <c r="I35" s="47" t="s">
        <v>50</v>
      </c>
      <c r="J35" s="47" t="s">
        <v>51</v>
      </c>
      <c r="K35" s="48">
        <v>43304</v>
      </c>
      <c r="L35" s="48">
        <v>45130</v>
      </c>
      <c r="M35" s="48">
        <v>45495</v>
      </c>
      <c r="N35" s="47" t="s">
        <v>64</v>
      </c>
      <c r="O35" s="55" t="s">
        <v>327</v>
      </c>
      <c r="P35" s="62">
        <v>26052</v>
      </c>
      <c r="Q35" s="62">
        <v>2171</v>
      </c>
      <c r="R35" s="103">
        <v>27560</v>
      </c>
      <c r="S35" s="62">
        <f t="shared" si="10"/>
        <v>2296.6666666666665</v>
      </c>
      <c r="T35" s="62">
        <v>25200</v>
      </c>
      <c r="U35" s="62">
        <f t="shared" si="11"/>
        <v>2100</v>
      </c>
      <c r="V35" s="69">
        <v>23580</v>
      </c>
      <c r="W35" s="71" t="s">
        <v>123</v>
      </c>
      <c r="X35" s="71"/>
      <c r="Y35" s="71"/>
      <c r="Z35" s="64" t="e">
        <f t="shared" si="1"/>
        <v>#VALUE!</v>
      </c>
      <c r="AA35" s="64" t="e">
        <f t="shared" si="12"/>
        <v>#VALUE!</v>
      </c>
      <c r="AB35" s="71">
        <v>2295</v>
      </c>
      <c r="AC35" s="64">
        <f t="shared" si="3"/>
        <v>9.285714285714286E-2</v>
      </c>
      <c r="AD35" s="64">
        <f t="shared" si="13"/>
        <v>-7.2568940493462203E-4</v>
      </c>
      <c r="AE35" s="71">
        <v>2265</v>
      </c>
      <c r="AF35" s="64">
        <f t="shared" si="5"/>
        <v>7.857142857142857E-2</v>
      </c>
      <c r="AG35" s="64">
        <f t="shared" si="14"/>
        <v>-1.3788098693759005E-2</v>
      </c>
      <c r="AH35" s="67"/>
      <c r="AI35" s="47" t="s">
        <v>54</v>
      </c>
      <c r="AJ35" s="47">
        <v>850.13</v>
      </c>
      <c r="AK35" s="101" t="s">
        <v>55</v>
      </c>
      <c r="AL35" s="101" t="s">
        <v>55</v>
      </c>
      <c r="AM35" s="47" t="s">
        <v>1865</v>
      </c>
      <c r="AN35" s="47">
        <v>2265</v>
      </c>
      <c r="AO35" s="211">
        <f t="shared" si="7"/>
        <v>7.857142857142857E-2</v>
      </c>
      <c r="AP35" s="47" t="s">
        <v>90</v>
      </c>
      <c r="AQ35" s="91" t="s">
        <v>116</v>
      </c>
      <c r="AR35" s="47"/>
    </row>
    <row r="36" spans="1:44">
      <c r="A36" s="47" t="s">
        <v>44</v>
      </c>
      <c r="B36" s="47" t="str">
        <f t="shared" si="0"/>
        <v>July</v>
      </c>
      <c r="C36" s="59">
        <v>45504</v>
      </c>
      <c r="D36" s="47" t="s">
        <v>83</v>
      </c>
      <c r="E36" s="47" t="s">
        <v>879</v>
      </c>
      <c r="F36" s="47" t="s">
        <v>880</v>
      </c>
      <c r="G36" s="47" t="s">
        <v>1866</v>
      </c>
      <c r="H36" s="47" t="s">
        <v>1867</v>
      </c>
      <c r="I36" s="47" t="s">
        <v>50</v>
      </c>
      <c r="J36" s="47" t="s">
        <v>51</v>
      </c>
      <c r="K36" s="48">
        <v>43301</v>
      </c>
      <c r="L36" s="48">
        <v>45139</v>
      </c>
      <c r="M36" s="48">
        <v>45504</v>
      </c>
      <c r="N36" s="47" t="s">
        <v>64</v>
      </c>
      <c r="O36" s="55" t="s">
        <v>327</v>
      </c>
      <c r="P36" s="62">
        <v>27924</v>
      </c>
      <c r="Q36" s="62">
        <v>2327</v>
      </c>
      <c r="R36" s="103">
        <v>29380</v>
      </c>
      <c r="S36" s="62">
        <f t="shared" si="10"/>
        <v>2448.3333333333335</v>
      </c>
      <c r="T36" s="62">
        <v>25500</v>
      </c>
      <c r="U36" s="62">
        <f t="shared" si="11"/>
        <v>2125</v>
      </c>
      <c r="V36" s="69">
        <v>23493</v>
      </c>
      <c r="W36" s="71" t="s">
        <v>123</v>
      </c>
      <c r="X36" s="71"/>
      <c r="Y36" s="71"/>
      <c r="Z36" s="64" t="e">
        <f t="shared" si="1"/>
        <v>#VALUE!</v>
      </c>
      <c r="AA36" s="64" t="e">
        <f t="shared" si="12"/>
        <v>#VALUE!</v>
      </c>
      <c r="AB36" s="71">
        <v>2450</v>
      </c>
      <c r="AC36" s="64">
        <f t="shared" si="3"/>
        <v>0.15294117647058825</v>
      </c>
      <c r="AD36" s="64">
        <f t="shared" si="13"/>
        <v>6.8073519400946834E-4</v>
      </c>
      <c r="AE36" s="71">
        <v>2375</v>
      </c>
      <c r="AF36" s="64">
        <f t="shared" si="5"/>
        <v>0.11764705882352941</v>
      </c>
      <c r="AG36" s="64">
        <f t="shared" si="14"/>
        <v>-2.9952348536419392E-2</v>
      </c>
      <c r="AH36" s="67" t="s">
        <v>1850</v>
      </c>
      <c r="AI36" s="47" t="s">
        <v>250</v>
      </c>
      <c r="AJ36" s="47">
        <v>1052.92</v>
      </c>
      <c r="AK36" s="101" t="s">
        <v>55</v>
      </c>
      <c r="AL36" s="101" t="s">
        <v>55</v>
      </c>
      <c r="AM36" s="47" t="s">
        <v>1868</v>
      </c>
      <c r="AN36" s="47">
        <v>2450</v>
      </c>
      <c r="AO36" s="211">
        <f t="shared" si="7"/>
        <v>0.15294117647058825</v>
      </c>
      <c r="AP36" s="47" t="s">
        <v>90</v>
      </c>
      <c r="AQ36" s="91" t="s">
        <v>116</v>
      </c>
      <c r="AR36" s="47"/>
    </row>
    <row r="37" spans="1:44" hidden="1">
      <c r="A37" s="47" t="s">
        <v>44</v>
      </c>
      <c r="B37" s="47" t="str">
        <f t="shared" si="0"/>
        <v>August</v>
      </c>
      <c r="C37" s="59">
        <v>45521</v>
      </c>
      <c r="D37" s="47" t="s">
        <v>83</v>
      </c>
      <c r="E37" s="47" t="s">
        <v>879</v>
      </c>
      <c r="F37" s="47" t="s">
        <v>880</v>
      </c>
      <c r="G37" s="47" t="s">
        <v>2124</v>
      </c>
      <c r="H37" s="47" t="s">
        <v>2125</v>
      </c>
      <c r="I37" s="47" t="s">
        <v>50</v>
      </c>
      <c r="J37" s="47" t="s">
        <v>51</v>
      </c>
      <c r="K37" s="48">
        <v>45156</v>
      </c>
      <c r="L37" s="48">
        <v>45156</v>
      </c>
      <c r="M37" s="48">
        <v>45521</v>
      </c>
      <c r="N37" s="47" t="s">
        <v>52</v>
      </c>
      <c r="O37" s="55" t="s">
        <v>327</v>
      </c>
      <c r="P37" s="62">
        <v>25844</v>
      </c>
      <c r="Q37" s="62">
        <v>2153.6666666666665</v>
      </c>
      <c r="R37" s="103">
        <v>27352</v>
      </c>
      <c r="S37" s="62">
        <f t="shared" si="10"/>
        <v>2279.3333333333335</v>
      </c>
      <c r="T37" s="62">
        <v>27000</v>
      </c>
      <c r="U37" s="62">
        <f t="shared" si="11"/>
        <v>2250</v>
      </c>
      <c r="V37" s="69">
        <v>24600</v>
      </c>
      <c r="W37" s="71" t="s">
        <v>123</v>
      </c>
      <c r="X37" s="71"/>
      <c r="Y37" s="71"/>
      <c r="Z37" s="64" t="e">
        <f t="shared" si="1"/>
        <v>#VALUE!</v>
      </c>
      <c r="AA37" s="64" t="e">
        <f t="shared" si="12"/>
        <v>#VALUE!</v>
      </c>
      <c r="AB37" s="71">
        <v>2375</v>
      </c>
      <c r="AC37" s="64">
        <f t="shared" si="3"/>
        <v>5.5555555555555552E-2</v>
      </c>
      <c r="AD37" s="64">
        <f t="shared" si="13"/>
        <v>4.1971336648142663E-2</v>
      </c>
      <c r="AE37" s="71">
        <v>2350</v>
      </c>
      <c r="AF37" s="64">
        <f t="shared" si="5"/>
        <v>4.4444444444444446E-2</v>
      </c>
      <c r="AG37" s="64">
        <f t="shared" si="14"/>
        <v>3.1003217315004317E-2</v>
      </c>
      <c r="AH37" s="67"/>
      <c r="AI37" s="47" t="s">
        <v>54</v>
      </c>
      <c r="AJ37" s="47">
        <v>796.08</v>
      </c>
      <c r="AK37" s="47" t="s">
        <v>55</v>
      </c>
      <c r="AL37" s="47" t="s">
        <v>55</v>
      </c>
      <c r="AM37" s="47" t="s">
        <v>2126</v>
      </c>
      <c r="AN37" s="47"/>
      <c r="AO37" s="211">
        <f t="shared" si="7"/>
        <v>-1</v>
      </c>
      <c r="AP37" s="47" t="s">
        <v>90</v>
      </c>
      <c r="AQ37" s="91" t="s">
        <v>116</v>
      </c>
      <c r="AR37" s="47"/>
    </row>
    <row r="38" spans="1:44" hidden="1">
      <c r="A38" s="47" t="s">
        <v>44</v>
      </c>
      <c r="B38" s="47" t="str">
        <f t="shared" si="0"/>
        <v>August</v>
      </c>
      <c r="C38" s="59">
        <v>45528</v>
      </c>
      <c r="D38" s="47" t="s">
        <v>83</v>
      </c>
      <c r="E38" s="47" t="s">
        <v>879</v>
      </c>
      <c r="F38" s="47" t="s">
        <v>880</v>
      </c>
      <c r="G38" s="47" t="s">
        <v>2867</v>
      </c>
      <c r="H38" s="47" t="s">
        <v>2868</v>
      </c>
      <c r="I38" s="47" t="s">
        <v>50</v>
      </c>
      <c r="J38" s="47" t="s">
        <v>51</v>
      </c>
      <c r="K38" s="48">
        <v>45163</v>
      </c>
      <c r="L38" s="48">
        <v>45163</v>
      </c>
      <c r="M38" s="48">
        <v>45528</v>
      </c>
      <c r="N38" s="47" t="s">
        <v>52</v>
      </c>
      <c r="O38" s="55" t="s">
        <v>327</v>
      </c>
      <c r="P38" s="62">
        <v>26000</v>
      </c>
      <c r="Q38" s="62">
        <v>2166.6666666666665</v>
      </c>
      <c r="R38" s="103">
        <v>27456</v>
      </c>
      <c r="S38" s="62">
        <f t="shared" si="10"/>
        <v>2288</v>
      </c>
      <c r="T38" s="62">
        <v>27600</v>
      </c>
      <c r="U38" s="62">
        <f t="shared" si="11"/>
        <v>2300</v>
      </c>
      <c r="V38" s="69">
        <v>24960</v>
      </c>
      <c r="W38" s="71" t="s">
        <v>123</v>
      </c>
      <c r="X38" s="71"/>
      <c r="Y38" s="71"/>
      <c r="Z38" s="64" t="e">
        <f t="shared" si="1"/>
        <v>#VALUE!</v>
      </c>
      <c r="AA38" s="64" t="e">
        <f t="shared" si="12"/>
        <v>#VALUE!</v>
      </c>
      <c r="AB38" s="71">
        <v>2425</v>
      </c>
      <c r="AC38" s="64">
        <f t="shared" si="3"/>
        <v>5.434782608695652E-2</v>
      </c>
      <c r="AD38" s="64">
        <f t="shared" si="13"/>
        <v>5.9877622377622376E-2</v>
      </c>
      <c r="AE38" s="71">
        <v>2400</v>
      </c>
      <c r="AF38" s="64">
        <f t="shared" si="5"/>
        <v>4.3478260869565216E-2</v>
      </c>
      <c r="AG38" s="64">
        <f t="shared" si="14"/>
        <v>4.8951048951048952E-2</v>
      </c>
      <c r="AH38" s="67"/>
      <c r="AI38" s="47" t="s">
        <v>54</v>
      </c>
      <c r="AJ38" s="47">
        <v>847.26</v>
      </c>
      <c r="AK38" s="47" t="s">
        <v>55</v>
      </c>
      <c r="AL38" s="47" t="s">
        <v>55</v>
      </c>
      <c r="AM38" s="47" t="s">
        <v>2869</v>
      </c>
      <c r="AN38" s="47"/>
      <c r="AO38" s="211">
        <f t="shared" si="7"/>
        <v>-1</v>
      </c>
      <c r="AP38" s="47" t="s">
        <v>90</v>
      </c>
      <c r="AQ38" s="91" t="s">
        <v>116</v>
      </c>
      <c r="AR38" s="47"/>
    </row>
    <row r="39" spans="1:44" hidden="1">
      <c r="A39" s="47" t="s">
        <v>44</v>
      </c>
      <c r="B39" s="47" t="str">
        <f t="shared" si="0"/>
        <v>August</v>
      </c>
      <c r="C39" s="59">
        <v>45517</v>
      </c>
      <c r="D39" s="47" t="s">
        <v>109</v>
      </c>
      <c r="E39" s="47" t="s">
        <v>1122</v>
      </c>
      <c r="F39" s="47" t="s">
        <v>344</v>
      </c>
      <c r="G39" s="47" t="s">
        <v>1123</v>
      </c>
      <c r="H39" s="47" t="s">
        <v>1124</v>
      </c>
      <c r="I39" s="47" t="s">
        <v>50</v>
      </c>
      <c r="J39" s="47" t="s">
        <v>51</v>
      </c>
      <c r="K39" s="48">
        <v>45152</v>
      </c>
      <c r="L39" s="48">
        <v>45152</v>
      </c>
      <c r="M39" s="48">
        <v>45517</v>
      </c>
      <c r="N39" s="47" t="s">
        <v>52</v>
      </c>
      <c r="O39" s="55" t="s">
        <v>53</v>
      </c>
      <c r="P39" s="62">
        <v>24180</v>
      </c>
      <c r="Q39" s="62">
        <v>2015</v>
      </c>
      <c r="R39" s="96">
        <v>25584</v>
      </c>
      <c r="S39" s="62">
        <f t="shared" si="10"/>
        <v>2132</v>
      </c>
      <c r="T39" s="62">
        <v>23880</v>
      </c>
      <c r="U39" s="62">
        <f t="shared" si="11"/>
        <v>1990</v>
      </c>
      <c r="V39" s="69">
        <v>22560</v>
      </c>
      <c r="W39" s="71">
        <v>2165</v>
      </c>
      <c r="X39" s="71"/>
      <c r="Y39" s="71"/>
      <c r="Z39" s="64">
        <f t="shared" si="1"/>
        <v>8.7939698492462318E-2</v>
      </c>
      <c r="AA39" s="64">
        <f t="shared" si="12"/>
        <v>1.547842401500938E-2</v>
      </c>
      <c r="AB39" s="71">
        <v>2150</v>
      </c>
      <c r="AC39" s="64">
        <f t="shared" si="3"/>
        <v>8.0402010050251257E-2</v>
      </c>
      <c r="AD39" s="64">
        <f t="shared" si="13"/>
        <v>8.4427767354596627E-3</v>
      </c>
      <c r="AE39" s="71">
        <v>2130</v>
      </c>
      <c r="AF39" s="64">
        <f t="shared" si="5"/>
        <v>7.0351758793969849E-2</v>
      </c>
      <c r="AG39" s="64">
        <f t="shared" si="14"/>
        <v>-9.3808630393996248E-4</v>
      </c>
      <c r="AH39" s="67"/>
      <c r="AI39" s="47" t="s">
        <v>54</v>
      </c>
      <c r="AJ39" s="47">
        <v>548.96400000000006</v>
      </c>
      <c r="AK39" s="47" t="s">
        <v>55</v>
      </c>
      <c r="AL39" s="47" t="s">
        <v>55</v>
      </c>
      <c r="AM39" s="47" t="s">
        <v>1125</v>
      </c>
      <c r="AN39" s="47">
        <v>2100</v>
      </c>
      <c r="AO39" s="211">
        <f t="shared" si="7"/>
        <v>5.5276381909547742E-2</v>
      </c>
      <c r="AP39" s="47" t="s">
        <v>90</v>
      </c>
      <c r="AQ39" s="91" t="s">
        <v>116</v>
      </c>
      <c r="AR39" s="47"/>
    </row>
    <row r="40" spans="1:44" hidden="1">
      <c r="A40" s="47" t="s">
        <v>44</v>
      </c>
      <c r="B40" s="47" t="str">
        <f t="shared" si="0"/>
        <v>August</v>
      </c>
      <c r="C40" s="59">
        <v>45534</v>
      </c>
      <c r="D40" s="47" t="s">
        <v>109</v>
      </c>
      <c r="E40" s="47" t="s">
        <v>1122</v>
      </c>
      <c r="F40" s="47" t="s">
        <v>344</v>
      </c>
      <c r="G40" s="47" t="s">
        <v>1761</v>
      </c>
      <c r="H40" s="47" t="s">
        <v>1762</v>
      </c>
      <c r="I40" s="47" t="s">
        <v>50</v>
      </c>
      <c r="J40" s="47" t="s">
        <v>51</v>
      </c>
      <c r="K40" s="48">
        <v>45169</v>
      </c>
      <c r="L40" s="48">
        <v>45169</v>
      </c>
      <c r="M40" s="48">
        <v>45534</v>
      </c>
      <c r="N40" s="47" t="s">
        <v>52</v>
      </c>
      <c r="O40" s="55" t="s">
        <v>53</v>
      </c>
      <c r="P40" s="62">
        <v>23608</v>
      </c>
      <c r="Q40" s="62">
        <v>1967.3333333333333</v>
      </c>
      <c r="R40" s="96">
        <v>25012</v>
      </c>
      <c r="S40" s="62">
        <f t="shared" si="10"/>
        <v>2084.3333333333335</v>
      </c>
      <c r="T40" s="62">
        <v>24600</v>
      </c>
      <c r="U40" s="62">
        <f t="shared" si="11"/>
        <v>2050</v>
      </c>
      <c r="V40" s="69">
        <v>22560</v>
      </c>
      <c r="W40" s="71">
        <v>2045</v>
      </c>
      <c r="X40" s="71"/>
      <c r="Y40" s="71"/>
      <c r="Z40" s="70">
        <f t="shared" si="1"/>
        <v>-2.4390243902439024E-3</v>
      </c>
      <c r="AA40" s="64">
        <f t="shared" si="12"/>
        <v>-1.8870941947865098E-2</v>
      </c>
      <c r="AB40" s="71">
        <v>2150</v>
      </c>
      <c r="AC40" s="64">
        <f t="shared" si="3"/>
        <v>4.878048780487805E-2</v>
      </c>
      <c r="AD40" s="64">
        <f t="shared" si="13"/>
        <v>3.1504877658723736E-2</v>
      </c>
      <c r="AE40" s="71">
        <v>2100</v>
      </c>
      <c r="AF40" s="64">
        <f t="shared" si="5"/>
        <v>2.4390243902439025E-2</v>
      </c>
      <c r="AG40" s="64">
        <f t="shared" si="14"/>
        <v>7.516392131776674E-3</v>
      </c>
      <c r="AH40" s="67"/>
      <c r="AI40" s="47" t="s">
        <v>54</v>
      </c>
      <c r="AJ40" s="47">
        <v>548.96400000000006</v>
      </c>
      <c r="AK40" s="47" t="s">
        <v>55</v>
      </c>
      <c r="AL40" s="47" t="s">
        <v>55</v>
      </c>
      <c r="AM40" s="47" t="s">
        <v>1763</v>
      </c>
      <c r="AN40" s="47"/>
      <c r="AO40" s="211">
        <f t="shared" si="7"/>
        <v>-1</v>
      </c>
      <c r="AP40" s="47" t="s">
        <v>90</v>
      </c>
      <c r="AQ40" s="91" t="s">
        <v>116</v>
      </c>
      <c r="AR40" s="47"/>
    </row>
    <row r="41" spans="1:44">
      <c r="A41" s="47" t="s">
        <v>44</v>
      </c>
      <c r="B41" s="47" t="str">
        <f t="shared" si="0"/>
        <v>August</v>
      </c>
      <c r="C41" s="59">
        <v>45534</v>
      </c>
      <c r="D41" s="47" t="s">
        <v>109</v>
      </c>
      <c r="E41" s="47" t="s">
        <v>1122</v>
      </c>
      <c r="F41" s="47" t="s">
        <v>344</v>
      </c>
      <c r="G41" s="47" t="s">
        <v>1764</v>
      </c>
      <c r="H41" s="47" t="s">
        <v>1765</v>
      </c>
      <c r="I41" s="47" t="s">
        <v>50</v>
      </c>
      <c r="J41" s="47" t="s">
        <v>51</v>
      </c>
      <c r="K41" s="48">
        <v>44835</v>
      </c>
      <c r="L41" s="48">
        <v>45169</v>
      </c>
      <c r="M41" s="48">
        <v>45534</v>
      </c>
      <c r="N41" s="47" t="s">
        <v>64</v>
      </c>
      <c r="O41" s="55" t="s">
        <v>53</v>
      </c>
      <c r="P41" s="62">
        <v>24180</v>
      </c>
      <c r="Q41" s="62">
        <v>2015</v>
      </c>
      <c r="R41" s="96">
        <v>25584</v>
      </c>
      <c r="S41" s="62">
        <f t="shared" si="10"/>
        <v>2132</v>
      </c>
      <c r="T41" s="62">
        <v>24780</v>
      </c>
      <c r="U41" s="62">
        <f t="shared" si="11"/>
        <v>2065</v>
      </c>
      <c r="V41" s="69">
        <v>22560</v>
      </c>
      <c r="W41" s="71">
        <v>2170</v>
      </c>
      <c r="X41" s="71"/>
      <c r="Y41" s="71"/>
      <c r="Z41" s="64">
        <f t="shared" si="1"/>
        <v>5.0847457627118647E-2</v>
      </c>
      <c r="AA41" s="64">
        <f t="shared" si="12"/>
        <v>1.7823639774859287E-2</v>
      </c>
      <c r="AB41" s="71">
        <v>2175</v>
      </c>
      <c r="AC41" s="64">
        <f t="shared" si="3"/>
        <v>5.3268765133171914E-2</v>
      </c>
      <c r="AD41" s="64">
        <f t="shared" si="13"/>
        <v>2.0168855534709193E-2</v>
      </c>
      <c r="AE41" s="71">
        <v>2150</v>
      </c>
      <c r="AF41" s="64">
        <f t="shared" si="5"/>
        <v>4.1162227602905568E-2</v>
      </c>
      <c r="AG41" s="64">
        <f t="shared" si="14"/>
        <v>8.4427767354596627E-3</v>
      </c>
      <c r="AH41" s="67"/>
      <c r="AI41" s="47" t="s">
        <v>54</v>
      </c>
      <c r="AJ41" s="47">
        <v>548.96400000000006</v>
      </c>
      <c r="AK41" s="47" t="s">
        <v>55</v>
      </c>
      <c r="AL41" s="47" t="s">
        <v>55</v>
      </c>
      <c r="AM41" s="47" t="s">
        <v>1125</v>
      </c>
      <c r="AN41" s="47"/>
      <c r="AO41" s="211">
        <f t="shared" si="7"/>
        <v>-1</v>
      </c>
      <c r="AP41" s="47" t="s">
        <v>90</v>
      </c>
      <c r="AQ41" s="91" t="s">
        <v>116</v>
      </c>
      <c r="AR41" s="47" t="s">
        <v>1766</v>
      </c>
    </row>
    <row r="42" spans="1:44" hidden="1">
      <c r="A42" s="47" t="s">
        <v>44</v>
      </c>
      <c r="B42" s="47" t="str">
        <f t="shared" si="0"/>
        <v>August</v>
      </c>
      <c r="C42" s="59">
        <v>45535</v>
      </c>
      <c r="D42" s="47" t="s">
        <v>109</v>
      </c>
      <c r="E42" s="47" t="s">
        <v>1122</v>
      </c>
      <c r="F42" s="47" t="s">
        <v>344</v>
      </c>
      <c r="G42" s="47" t="s">
        <v>1767</v>
      </c>
      <c r="H42" s="47" t="s">
        <v>1768</v>
      </c>
      <c r="I42" s="47" t="s">
        <v>50</v>
      </c>
      <c r="J42" s="47" t="s">
        <v>51</v>
      </c>
      <c r="K42" s="48">
        <v>45170</v>
      </c>
      <c r="L42" s="48">
        <v>45170</v>
      </c>
      <c r="M42" s="48">
        <v>45535</v>
      </c>
      <c r="N42" s="47" t="s">
        <v>52</v>
      </c>
      <c r="O42" s="55" t="s">
        <v>53</v>
      </c>
      <c r="P42" s="62">
        <v>23088</v>
      </c>
      <c r="Q42" s="62">
        <v>1924</v>
      </c>
      <c r="R42" s="96">
        <v>24440</v>
      </c>
      <c r="S42" s="62">
        <f t="shared" si="10"/>
        <v>2036.6666666666667</v>
      </c>
      <c r="T42" s="62">
        <v>23340</v>
      </c>
      <c r="U42" s="62">
        <f t="shared" si="11"/>
        <v>1945</v>
      </c>
      <c r="V42" s="69">
        <v>21735</v>
      </c>
      <c r="W42" s="71">
        <v>2000</v>
      </c>
      <c r="X42" s="71"/>
      <c r="Y42" s="71"/>
      <c r="Z42" s="64">
        <f t="shared" si="1"/>
        <v>2.8277634961439587E-2</v>
      </c>
      <c r="AA42" s="64">
        <f t="shared" si="12"/>
        <v>-1.8003273322422294E-2</v>
      </c>
      <c r="AB42" s="71">
        <v>2075</v>
      </c>
      <c r="AC42" s="64">
        <f t="shared" si="3"/>
        <v>6.6838046272493568E-2</v>
      </c>
      <c r="AD42" s="64">
        <f t="shared" si="13"/>
        <v>1.8821603927986867E-2</v>
      </c>
      <c r="AE42" s="71">
        <v>2050</v>
      </c>
      <c r="AF42" s="64">
        <f t="shared" si="5"/>
        <v>5.3984575835475578E-2</v>
      </c>
      <c r="AG42" s="64">
        <f t="shared" si="14"/>
        <v>6.5466448445171471E-3</v>
      </c>
      <c r="AH42" s="67"/>
      <c r="AI42" s="47" t="s">
        <v>54</v>
      </c>
      <c r="AJ42" s="47">
        <v>548.96400000000006</v>
      </c>
      <c r="AK42" s="47" t="s">
        <v>55</v>
      </c>
      <c r="AL42" s="47" t="s">
        <v>55</v>
      </c>
      <c r="AM42" s="47" t="s">
        <v>1125</v>
      </c>
      <c r="AN42" s="47"/>
      <c r="AO42" s="211">
        <f t="shared" si="7"/>
        <v>-1</v>
      </c>
      <c r="AP42" s="47" t="s">
        <v>90</v>
      </c>
      <c r="AQ42" s="94" t="s">
        <v>891</v>
      </c>
      <c r="AR42" s="47"/>
    </row>
    <row r="43" spans="1:44" hidden="1">
      <c r="A43" s="47" t="s">
        <v>74</v>
      </c>
      <c r="B43" s="47" t="str">
        <f t="shared" si="0"/>
        <v>July</v>
      </c>
      <c r="C43" s="59">
        <v>45491</v>
      </c>
      <c r="D43" s="47" t="s">
        <v>109</v>
      </c>
      <c r="E43" s="47" t="s">
        <v>1122</v>
      </c>
      <c r="F43" s="47" t="s">
        <v>344</v>
      </c>
      <c r="G43" s="47" t="s">
        <v>1919</v>
      </c>
      <c r="H43" s="47" t="s">
        <v>1920</v>
      </c>
      <c r="I43" s="47" t="s">
        <v>50</v>
      </c>
      <c r="J43" s="47" t="s">
        <v>51</v>
      </c>
      <c r="K43" s="48">
        <v>45310</v>
      </c>
      <c r="L43" s="48">
        <v>45310</v>
      </c>
      <c r="M43" s="48">
        <v>45491</v>
      </c>
      <c r="N43" s="47" t="s">
        <v>52</v>
      </c>
      <c r="O43" s="55" t="s">
        <v>53</v>
      </c>
      <c r="P43" s="62">
        <v>23088</v>
      </c>
      <c r="Q43" s="62">
        <v>1924</v>
      </c>
      <c r="R43" s="96">
        <v>24440</v>
      </c>
      <c r="S43" s="62">
        <f t="shared" si="10"/>
        <v>2036.6666666666667</v>
      </c>
      <c r="T43" s="62">
        <v>24900</v>
      </c>
      <c r="U43" s="62">
        <f t="shared" si="11"/>
        <v>2075</v>
      </c>
      <c r="V43" s="69">
        <v>21900</v>
      </c>
      <c r="W43" s="71">
        <v>2070</v>
      </c>
      <c r="X43" s="71"/>
      <c r="Y43" s="71"/>
      <c r="Z43" s="70">
        <f t="shared" si="1"/>
        <v>-2.4096385542168677E-3</v>
      </c>
      <c r="AA43" s="64">
        <f t="shared" si="12"/>
        <v>1.6366612111292925E-2</v>
      </c>
      <c r="AB43" s="71">
        <v>2150</v>
      </c>
      <c r="AC43" s="64">
        <f t="shared" si="3"/>
        <v>3.614457831325301E-2</v>
      </c>
      <c r="AD43" s="64">
        <f t="shared" si="13"/>
        <v>5.5646481178396032E-2</v>
      </c>
      <c r="AE43" s="71">
        <v>2135</v>
      </c>
      <c r="AF43" s="64">
        <f t="shared" si="5"/>
        <v>2.891566265060241E-2</v>
      </c>
      <c r="AG43" s="64">
        <f t="shared" si="14"/>
        <v>4.8281505728314203E-2</v>
      </c>
      <c r="AH43" s="67"/>
      <c r="AI43" s="47" t="s">
        <v>54</v>
      </c>
      <c r="AJ43" s="47">
        <v>548.96400000000006</v>
      </c>
      <c r="AK43" s="101" t="s">
        <v>55</v>
      </c>
      <c r="AL43" s="101" t="s">
        <v>55</v>
      </c>
      <c r="AM43" s="47" t="s">
        <v>1125</v>
      </c>
      <c r="AN43" s="47"/>
      <c r="AO43" s="211">
        <f t="shared" si="7"/>
        <v>-1</v>
      </c>
      <c r="AP43" s="47" t="s">
        <v>90</v>
      </c>
      <c r="AQ43" s="94" t="s">
        <v>891</v>
      </c>
      <c r="AR43" s="47"/>
    </row>
    <row r="44" spans="1:44">
      <c r="A44" s="47" t="s">
        <v>44</v>
      </c>
      <c r="B44" s="47" t="str">
        <f t="shared" si="0"/>
        <v>July</v>
      </c>
      <c r="C44" s="59">
        <v>45482</v>
      </c>
      <c r="D44" s="47" t="s">
        <v>109</v>
      </c>
      <c r="E44" s="47" t="s">
        <v>1122</v>
      </c>
      <c r="F44" s="47" t="s">
        <v>344</v>
      </c>
      <c r="G44" s="47" t="s">
        <v>1921</v>
      </c>
      <c r="H44" s="47" t="s">
        <v>1922</v>
      </c>
      <c r="I44" s="47" t="s">
        <v>50</v>
      </c>
      <c r="J44" s="47" t="s">
        <v>51</v>
      </c>
      <c r="K44" s="48">
        <v>44449</v>
      </c>
      <c r="L44" s="48">
        <v>45179</v>
      </c>
      <c r="M44" s="48">
        <v>45482</v>
      </c>
      <c r="N44" s="47" t="s">
        <v>64</v>
      </c>
      <c r="O44" s="55" t="s">
        <v>53</v>
      </c>
      <c r="P44" s="62">
        <v>29588</v>
      </c>
      <c r="Q44" s="62">
        <v>2465.6666666666665</v>
      </c>
      <c r="R44" s="96">
        <v>30316</v>
      </c>
      <c r="S44" s="62">
        <f t="shared" si="10"/>
        <v>2526.3333333333335</v>
      </c>
      <c r="T44" s="62">
        <v>28980</v>
      </c>
      <c r="U44" s="62">
        <f t="shared" si="11"/>
        <v>2415</v>
      </c>
      <c r="V44" s="69">
        <v>26760</v>
      </c>
      <c r="W44" s="71">
        <v>2625</v>
      </c>
      <c r="X44" s="71"/>
      <c r="Y44" s="71"/>
      <c r="Z44" s="64">
        <f t="shared" si="1"/>
        <v>8.6956521739130432E-2</v>
      </c>
      <c r="AA44" s="64">
        <f t="shared" si="12"/>
        <v>3.9055284338303145E-2</v>
      </c>
      <c r="AB44" s="71">
        <v>2550</v>
      </c>
      <c r="AC44" s="64">
        <f t="shared" si="3"/>
        <v>5.5900621118012424E-2</v>
      </c>
      <c r="AD44" s="64">
        <f t="shared" si="13"/>
        <v>9.3679905000659119E-3</v>
      </c>
      <c r="AE44" s="71">
        <v>2525</v>
      </c>
      <c r="AF44" s="64">
        <f t="shared" si="5"/>
        <v>4.5548654244306416E-2</v>
      </c>
      <c r="AG44" s="64">
        <f t="shared" si="14"/>
        <v>-5.2777411267983308E-4</v>
      </c>
      <c r="AH44" s="67"/>
      <c r="AI44" s="47" t="s">
        <v>54</v>
      </c>
      <c r="AJ44" s="47">
        <v>839.59199999999998</v>
      </c>
      <c r="AK44" s="101" t="s">
        <v>65</v>
      </c>
      <c r="AL44" s="101" t="s">
        <v>65</v>
      </c>
      <c r="AM44" s="47" t="s">
        <v>1923</v>
      </c>
      <c r="AN44" s="47"/>
      <c r="AO44" s="211">
        <f t="shared" si="7"/>
        <v>-1</v>
      </c>
      <c r="AP44" s="47" t="s">
        <v>90</v>
      </c>
      <c r="AQ44" s="91" t="s">
        <v>116</v>
      </c>
      <c r="AR44" s="47"/>
    </row>
    <row r="45" spans="1:44">
      <c r="A45" s="47" t="s">
        <v>44</v>
      </c>
      <c r="B45" s="47" t="str">
        <f t="shared" si="0"/>
        <v>July</v>
      </c>
      <c r="C45" s="59">
        <v>45504</v>
      </c>
      <c r="D45" s="47" t="s">
        <v>109</v>
      </c>
      <c r="E45" s="47" t="s">
        <v>1122</v>
      </c>
      <c r="F45" s="47" t="s">
        <v>344</v>
      </c>
      <c r="G45" s="47" t="s">
        <v>1924</v>
      </c>
      <c r="H45" s="47" t="s">
        <v>1925</v>
      </c>
      <c r="I45" s="47" t="s">
        <v>50</v>
      </c>
      <c r="J45" s="47" t="s">
        <v>51</v>
      </c>
      <c r="K45" s="48">
        <v>44774</v>
      </c>
      <c r="L45" s="48">
        <v>45139</v>
      </c>
      <c r="M45" s="48">
        <v>45504</v>
      </c>
      <c r="N45" s="47" t="s">
        <v>64</v>
      </c>
      <c r="O45" s="55" t="s">
        <v>53</v>
      </c>
      <c r="P45" s="62">
        <v>39000</v>
      </c>
      <c r="Q45" s="62">
        <v>3250</v>
      </c>
      <c r="R45" s="96">
        <v>40456</v>
      </c>
      <c r="S45" s="62">
        <f t="shared" si="10"/>
        <v>3371.3333333333335</v>
      </c>
      <c r="T45" s="62">
        <v>37440</v>
      </c>
      <c r="U45" s="62">
        <f t="shared" si="11"/>
        <v>3120</v>
      </c>
      <c r="V45" s="69">
        <v>35640</v>
      </c>
      <c r="W45" s="71">
        <v>3320</v>
      </c>
      <c r="X45" s="71"/>
      <c r="Y45" s="71"/>
      <c r="Z45" s="64">
        <f t="shared" si="1"/>
        <v>6.4102564102564097E-2</v>
      </c>
      <c r="AA45" s="64">
        <f t="shared" si="12"/>
        <v>-1.5226418825390591E-2</v>
      </c>
      <c r="AB45" s="71">
        <v>3300</v>
      </c>
      <c r="AC45" s="64">
        <f t="shared" si="3"/>
        <v>5.7692307692307696E-2</v>
      </c>
      <c r="AD45" s="64">
        <f t="shared" si="13"/>
        <v>-2.1158789796321974E-2</v>
      </c>
      <c r="AE45" s="71">
        <v>3275</v>
      </c>
      <c r="AF45" s="64">
        <f t="shared" si="5"/>
        <v>4.9679487179487176E-2</v>
      </c>
      <c r="AG45" s="64">
        <f t="shared" si="14"/>
        <v>-2.85742535099862E-2</v>
      </c>
      <c r="AH45" s="67"/>
      <c r="AI45" s="47" t="s">
        <v>54</v>
      </c>
      <c r="AJ45" s="47">
        <v>1130.22</v>
      </c>
      <c r="AK45" s="101" t="s">
        <v>140</v>
      </c>
      <c r="AL45" s="101" t="s">
        <v>65</v>
      </c>
      <c r="AM45" s="47" t="s">
        <v>1926</v>
      </c>
      <c r="AN45" s="47">
        <v>3300</v>
      </c>
      <c r="AO45" s="211">
        <f t="shared" si="7"/>
        <v>5.7692307692307696E-2</v>
      </c>
      <c r="AP45" s="47" t="s">
        <v>90</v>
      </c>
      <c r="AQ45" s="91" t="s">
        <v>116</v>
      </c>
      <c r="AR45" s="47"/>
    </row>
    <row r="46" spans="1:44" hidden="1">
      <c r="A46" s="47" t="s">
        <v>44</v>
      </c>
      <c r="B46" s="47" t="str">
        <f t="shared" si="0"/>
        <v>July</v>
      </c>
      <c r="C46" s="59">
        <v>45479</v>
      </c>
      <c r="D46" s="47" t="s">
        <v>109</v>
      </c>
      <c r="E46" s="47" t="s">
        <v>1122</v>
      </c>
      <c r="F46" s="47" t="s">
        <v>344</v>
      </c>
      <c r="G46" s="47" t="s">
        <v>1927</v>
      </c>
      <c r="H46" s="47" t="s">
        <v>1928</v>
      </c>
      <c r="I46" s="47" t="s">
        <v>50</v>
      </c>
      <c r="J46" s="47" t="s">
        <v>51</v>
      </c>
      <c r="K46" s="48">
        <v>45114</v>
      </c>
      <c r="L46" s="48">
        <v>45114</v>
      </c>
      <c r="M46" s="48">
        <v>45479</v>
      </c>
      <c r="N46" s="47" t="s">
        <v>52</v>
      </c>
      <c r="O46" s="55" t="s">
        <v>53</v>
      </c>
      <c r="P46" s="62">
        <v>27924</v>
      </c>
      <c r="Q46" s="62">
        <v>2327</v>
      </c>
      <c r="R46" s="96">
        <v>28652</v>
      </c>
      <c r="S46" s="62">
        <f t="shared" si="10"/>
        <v>2387.6666666666665</v>
      </c>
      <c r="T46" s="62">
        <v>28440</v>
      </c>
      <c r="U46" s="62">
        <f t="shared" si="11"/>
        <v>2370</v>
      </c>
      <c r="V46" s="69">
        <v>24096</v>
      </c>
      <c r="W46" s="71">
        <v>2530</v>
      </c>
      <c r="X46" s="71"/>
      <c r="Y46" s="71"/>
      <c r="Z46" s="64">
        <f t="shared" si="1"/>
        <v>6.7510548523206745E-2</v>
      </c>
      <c r="AA46" s="64">
        <f t="shared" si="12"/>
        <v>5.9611894457629551E-2</v>
      </c>
      <c r="AB46" s="71">
        <v>2550</v>
      </c>
      <c r="AC46" s="64">
        <f t="shared" si="3"/>
        <v>7.5949367088607597E-2</v>
      </c>
      <c r="AD46" s="64">
        <f t="shared" si="13"/>
        <v>6.7988273069942831E-2</v>
      </c>
      <c r="AE46" s="71">
        <v>2500</v>
      </c>
      <c r="AF46" s="64">
        <f t="shared" si="5"/>
        <v>5.4852320675105488E-2</v>
      </c>
      <c r="AG46" s="64">
        <f t="shared" si="14"/>
        <v>4.7047326539159634E-2</v>
      </c>
      <c r="AH46" s="67"/>
      <c r="AI46" s="47" t="s">
        <v>54</v>
      </c>
      <c r="AJ46" s="47">
        <v>828.82799999999997</v>
      </c>
      <c r="AK46" s="101" t="s">
        <v>65</v>
      </c>
      <c r="AL46" s="101" t="s">
        <v>65</v>
      </c>
      <c r="AM46" s="47" t="s">
        <v>1929</v>
      </c>
      <c r="AN46" s="47"/>
      <c r="AO46" s="211">
        <f t="shared" si="7"/>
        <v>-1</v>
      </c>
      <c r="AP46" s="47" t="s">
        <v>90</v>
      </c>
      <c r="AQ46" s="91" t="s">
        <v>116</v>
      </c>
      <c r="AR46" s="47"/>
    </row>
    <row r="47" spans="1:44">
      <c r="A47" s="47" t="s">
        <v>44</v>
      </c>
      <c r="B47" s="47" t="str">
        <f t="shared" si="0"/>
        <v>August</v>
      </c>
      <c r="C47" s="59">
        <v>45509</v>
      </c>
      <c r="D47" s="47" t="s">
        <v>109</v>
      </c>
      <c r="E47" s="47" t="s">
        <v>1122</v>
      </c>
      <c r="F47" s="47" t="s">
        <v>344</v>
      </c>
      <c r="G47" s="47" t="s">
        <v>2772</v>
      </c>
      <c r="H47" s="47" t="s">
        <v>2773</v>
      </c>
      <c r="I47" s="47" t="s">
        <v>50</v>
      </c>
      <c r="J47" s="47" t="s">
        <v>51</v>
      </c>
      <c r="K47" s="48">
        <v>44414</v>
      </c>
      <c r="L47" s="48">
        <v>45144</v>
      </c>
      <c r="M47" s="48">
        <v>45509</v>
      </c>
      <c r="N47" s="47" t="s">
        <v>64</v>
      </c>
      <c r="O47" s="55" t="s">
        <v>53</v>
      </c>
      <c r="P47" s="62">
        <v>31252</v>
      </c>
      <c r="Q47" s="62">
        <v>2604.3333333333335</v>
      </c>
      <c r="R47" s="96">
        <v>32032</v>
      </c>
      <c r="S47" s="62">
        <f t="shared" si="10"/>
        <v>2669.3333333333335</v>
      </c>
      <c r="T47" s="62">
        <v>28800</v>
      </c>
      <c r="U47" s="62">
        <f t="shared" si="11"/>
        <v>2400</v>
      </c>
      <c r="V47" s="69">
        <v>27075.599999999999</v>
      </c>
      <c r="W47" s="71">
        <v>2590</v>
      </c>
      <c r="X47" s="71"/>
      <c r="Y47" s="71"/>
      <c r="Z47" s="64">
        <f t="shared" si="1"/>
        <v>7.9166666666666663E-2</v>
      </c>
      <c r="AA47" s="64">
        <f t="shared" si="12"/>
        <v>-2.9720279720279776E-2</v>
      </c>
      <c r="AB47" s="71">
        <v>2625</v>
      </c>
      <c r="AC47" s="64">
        <f t="shared" si="3"/>
        <v>9.375E-2</v>
      </c>
      <c r="AD47" s="64">
        <f t="shared" si="13"/>
        <v>-1.6608391608391664E-2</v>
      </c>
      <c r="AE47" s="71">
        <v>2600</v>
      </c>
      <c r="AF47" s="64">
        <f t="shared" si="5"/>
        <v>8.3333333333333329E-2</v>
      </c>
      <c r="AG47" s="64">
        <f t="shared" si="14"/>
        <v>-2.5974025974026028E-2</v>
      </c>
      <c r="AH47" s="67"/>
      <c r="AI47" s="47" t="s">
        <v>54</v>
      </c>
      <c r="AJ47" s="47">
        <v>968.76</v>
      </c>
      <c r="AK47" s="47" t="s">
        <v>65</v>
      </c>
      <c r="AL47" s="47" t="s">
        <v>65</v>
      </c>
      <c r="AM47" s="47" t="s">
        <v>1929</v>
      </c>
      <c r="AN47" s="47">
        <v>2600</v>
      </c>
      <c r="AO47" s="211">
        <f t="shared" si="7"/>
        <v>8.3333333333333329E-2</v>
      </c>
      <c r="AP47" s="47" t="s">
        <v>90</v>
      </c>
      <c r="AQ47" s="91" t="s">
        <v>116</v>
      </c>
      <c r="AR47" s="47"/>
    </row>
    <row r="48" spans="1:44">
      <c r="A48" s="47" t="s">
        <v>44</v>
      </c>
      <c r="B48" s="47" t="str">
        <f t="shared" si="0"/>
        <v>August</v>
      </c>
      <c r="C48" s="59">
        <v>45530</v>
      </c>
      <c r="D48" s="47" t="s">
        <v>109</v>
      </c>
      <c r="E48" s="47" t="s">
        <v>1122</v>
      </c>
      <c r="F48" s="47" t="s">
        <v>344</v>
      </c>
      <c r="G48" s="47" t="s">
        <v>3141</v>
      </c>
      <c r="H48" s="47" t="s">
        <v>3142</v>
      </c>
      <c r="I48" s="47" t="s">
        <v>50</v>
      </c>
      <c r="J48" s="47" t="s">
        <v>51</v>
      </c>
      <c r="K48" s="48">
        <v>44435</v>
      </c>
      <c r="L48" s="48">
        <v>45165</v>
      </c>
      <c r="M48" s="48">
        <v>45530</v>
      </c>
      <c r="N48" s="47" t="s">
        <v>64</v>
      </c>
      <c r="O48" s="55" t="s">
        <v>53</v>
      </c>
      <c r="P48" s="62">
        <v>27248</v>
      </c>
      <c r="Q48" s="62">
        <v>2270.6666666666665</v>
      </c>
      <c r="R48" s="96">
        <v>27976</v>
      </c>
      <c r="S48" s="62">
        <f t="shared" si="10"/>
        <v>2331.3333333333335</v>
      </c>
      <c r="T48" s="62">
        <v>27000</v>
      </c>
      <c r="U48" s="62">
        <f t="shared" si="11"/>
        <v>2250</v>
      </c>
      <c r="V48" s="69">
        <v>23940</v>
      </c>
      <c r="W48" s="71">
        <v>2520</v>
      </c>
      <c r="X48" s="71"/>
      <c r="Y48" s="71"/>
      <c r="Z48" s="64">
        <f t="shared" si="1"/>
        <v>0.12</v>
      </c>
      <c r="AA48" s="64">
        <f t="shared" si="12"/>
        <v>8.0926508435802041E-2</v>
      </c>
      <c r="AB48" s="71">
        <v>2365</v>
      </c>
      <c r="AC48" s="64">
        <f t="shared" si="3"/>
        <v>5.1111111111111114E-2</v>
      </c>
      <c r="AD48" s="64">
        <f t="shared" si="13"/>
        <v>1.4440949385187238E-2</v>
      </c>
      <c r="AE48" s="71">
        <v>2340</v>
      </c>
      <c r="AF48" s="64">
        <f t="shared" si="5"/>
        <v>0.04</v>
      </c>
      <c r="AG48" s="64">
        <f t="shared" si="14"/>
        <v>3.7174721189590426E-3</v>
      </c>
      <c r="AH48" s="67"/>
      <c r="AI48" s="47" t="s">
        <v>54</v>
      </c>
      <c r="AJ48" s="47">
        <v>828.82799999999997</v>
      </c>
      <c r="AK48" s="47" t="s">
        <v>65</v>
      </c>
      <c r="AL48" s="47" t="s">
        <v>65</v>
      </c>
      <c r="AM48" s="47" t="s">
        <v>1929</v>
      </c>
      <c r="AN48" s="47"/>
      <c r="AO48" s="211">
        <f t="shared" si="7"/>
        <v>-1</v>
      </c>
      <c r="AP48" s="47" t="s">
        <v>90</v>
      </c>
      <c r="AQ48" s="91" t="s">
        <v>116</v>
      </c>
      <c r="AR48" s="47"/>
    </row>
    <row r="49" spans="1:44" hidden="1">
      <c r="A49" s="47" t="s">
        <v>44</v>
      </c>
      <c r="B49" s="47" t="str">
        <f t="shared" si="0"/>
        <v>August</v>
      </c>
      <c r="C49" s="59">
        <v>45534</v>
      </c>
      <c r="D49" s="47" t="s">
        <v>109</v>
      </c>
      <c r="E49" s="47" t="s">
        <v>1122</v>
      </c>
      <c r="F49" s="47" t="s">
        <v>344</v>
      </c>
      <c r="G49" s="47" t="s">
        <v>3143</v>
      </c>
      <c r="H49" s="47" t="s">
        <v>3144</v>
      </c>
      <c r="I49" s="47" t="s">
        <v>50</v>
      </c>
      <c r="J49" s="47" t="s">
        <v>51</v>
      </c>
      <c r="K49" s="48">
        <v>45169</v>
      </c>
      <c r="L49" s="48">
        <v>45169</v>
      </c>
      <c r="M49" s="48">
        <v>45534</v>
      </c>
      <c r="N49" s="47" t="s">
        <v>52</v>
      </c>
      <c r="O49" s="55" t="s">
        <v>53</v>
      </c>
      <c r="P49" s="62">
        <v>27300</v>
      </c>
      <c r="Q49" s="62">
        <v>2275</v>
      </c>
      <c r="R49" s="96">
        <v>28028</v>
      </c>
      <c r="S49" s="62">
        <f t="shared" si="10"/>
        <v>2335.6666666666665</v>
      </c>
      <c r="T49" s="62">
        <v>28980</v>
      </c>
      <c r="U49" s="62">
        <f t="shared" si="11"/>
        <v>2415</v>
      </c>
      <c r="V49" s="69">
        <v>27000</v>
      </c>
      <c r="W49" s="71">
        <v>2560</v>
      </c>
      <c r="X49" s="71"/>
      <c r="Y49" s="71"/>
      <c r="Z49" s="64">
        <f t="shared" si="1"/>
        <v>6.0041407867494824E-2</v>
      </c>
      <c r="AA49" s="64">
        <f t="shared" si="12"/>
        <v>9.6046810332524685E-2</v>
      </c>
      <c r="AB49" s="71">
        <v>2550</v>
      </c>
      <c r="AC49" s="64">
        <f t="shared" si="3"/>
        <v>5.5900621118012424E-2</v>
      </c>
      <c r="AD49" s="64">
        <f t="shared" si="13"/>
        <v>9.1765377479663263E-2</v>
      </c>
      <c r="AE49" s="71">
        <v>2515</v>
      </c>
      <c r="AF49" s="64">
        <f t="shared" si="5"/>
        <v>4.1407867494824016E-2</v>
      </c>
      <c r="AG49" s="64">
        <f t="shared" si="14"/>
        <v>7.6780362494648285E-2</v>
      </c>
      <c r="AH49" s="67"/>
      <c r="AI49" s="47" t="s">
        <v>54</v>
      </c>
      <c r="AJ49" s="47">
        <v>775.00800000000004</v>
      </c>
      <c r="AK49" s="47" t="s">
        <v>65</v>
      </c>
      <c r="AL49" s="47" t="s">
        <v>65</v>
      </c>
      <c r="AM49" s="47" t="s">
        <v>3145</v>
      </c>
      <c r="AN49" s="47"/>
      <c r="AO49" s="211">
        <f t="shared" si="7"/>
        <v>-1</v>
      </c>
      <c r="AP49" s="47" t="s">
        <v>90</v>
      </c>
      <c r="AQ49" s="91" t="s">
        <v>116</v>
      </c>
      <c r="AR49" s="47"/>
    </row>
    <row r="50" spans="1:44" hidden="1">
      <c r="A50" s="47" t="s">
        <v>44</v>
      </c>
      <c r="B50" s="47" t="str">
        <f t="shared" si="0"/>
        <v>August</v>
      </c>
      <c r="C50" s="59">
        <v>45517</v>
      </c>
      <c r="D50" s="47" t="s">
        <v>109</v>
      </c>
      <c r="E50" s="47" t="s">
        <v>1122</v>
      </c>
      <c r="F50" s="47" t="s">
        <v>344</v>
      </c>
      <c r="G50" s="47" t="s">
        <v>3198</v>
      </c>
      <c r="H50" s="47" t="s">
        <v>3199</v>
      </c>
      <c r="I50" s="47" t="s">
        <v>50</v>
      </c>
      <c r="J50" s="47" t="s">
        <v>51</v>
      </c>
      <c r="K50" s="48">
        <v>45152</v>
      </c>
      <c r="L50" s="48">
        <v>45152</v>
      </c>
      <c r="M50" s="48">
        <v>45517</v>
      </c>
      <c r="N50" s="47" t="s">
        <v>52</v>
      </c>
      <c r="O50" s="55" t="s">
        <v>53</v>
      </c>
      <c r="P50" s="62">
        <v>37544</v>
      </c>
      <c r="Q50" s="62">
        <v>3128.6666666666665</v>
      </c>
      <c r="R50" s="96">
        <v>38948</v>
      </c>
      <c r="S50" s="62">
        <f t="shared" si="10"/>
        <v>3245.6666666666665</v>
      </c>
      <c r="T50" s="62">
        <v>37320</v>
      </c>
      <c r="U50" s="62">
        <f t="shared" si="11"/>
        <v>3110</v>
      </c>
      <c r="V50" s="69">
        <v>35940</v>
      </c>
      <c r="W50" s="71">
        <v>3320</v>
      </c>
      <c r="X50" s="71"/>
      <c r="Y50" s="71"/>
      <c r="Z50" s="64">
        <f t="shared" si="1"/>
        <v>6.7524115755627015E-2</v>
      </c>
      <c r="AA50" s="64">
        <f t="shared" si="12"/>
        <v>2.2902331313546315E-2</v>
      </c>
      <c r="AB50" s="71">
        <v>3265</v>
      </c>
      <c r="AC50" s="64">
        <f t="shared" si="3"/>
        <v>4.9839228295819937E-2</v>
      </c>
      <c r="AD50" s="64">
        <f t="shared" si="13"/>
        <v>5.9566601622676862E-3</v>
      </c>
      <c r="AE50" s="71">
        <v>3245</v>
      </c>
      <c r="AF50" s="64">
        <f t="shared" si="5"/>
        <v>4.3408360128617367E-2</v>
      </c>
      <c r="AG50" s="64">
        <f t="shared" si="14"/>
        <v>-2.0540207456090637E-4</v>
      </c>
      <c r="AH50" s="67"/>
      <c r="AI50" s="47" t="s">
        <v>54</v>
      </c>
      <c r="AJ50" s="47">
        <v>1119.4559999999999</v>
      </c>
      <c r="AK50" s="47" t="s">
        <v>140</v>
      </c>
      <c r="AL50" s="47" t="s">
        <v>65</v>
      </c>
      <c r="AM50" s="47" t="s">
        <v>1926</v>
      </c>
      <c r="AN50" s="47"/>
      <c r="AO50" s="211">
        <f t="shared" si="7"/>
        <v>-1</v>
      </c>
      <c r="AP50" s="47" t="s">
        <v>90</v>
      </c>
      <c r="AQ50" s="91" t="s">
        <v>116</v>
      </c>
      <c r="AR50" s="47"/>
    </row>
    <row r="51" spans="1:44" hidden="1">
      <c r="A51" s="47" t="s">
        <v>44</v>
      </c>
      <c r="B51" s="47" t="str">
        <f t="shared" si="0"/>
        <v>August</v>
      </c>
      <c r="C51" s="59">
        <v>45517</v>
      </c>
      <c r="D51" s="47" t="s">
        <v>109</v>
      </c>
      <c r="E51" s="47" t="s">
        <v>1122</v>
      </c>
      <c r="F51" s="47" t="s">
        <v>344</v>
      </c>
      <c r="G51" s="47" t="s">
        <v>3519</v>
      </c>
      <c r="H51" s="47" t="s">
        <v>3520</v>
      </c>
      <c r="I51" s="47" t="s">
        <v>50</v>
      </c>
      <c r="J51" s="47" t="s">
        <v>51</v>
      </c>
      <c r="K51" s="48">
        <v>45152</v>
      </c>
      <c r="L51" s="48">
        <v>45152</v>
      </c>
      <c r="M51" s="48">
        <v>45517</v>
      </c>
      <c r="N51" s="47" t="s">
        <v>52</v>
      </c>
      <c r="O51" s="55" t="s">
        <v>53</v>
      </c>
      <c r="P51" s="62">
        <v>38428</v>
      </c>
      <c r="Q51" s="62">
        <v>3202.3333333333335</v>
      </c>
      <c r="R51" s="96">
        <v>39884</v>
      </c>
      <c r="S51" s="62">
        <f t="shared" si="10"/>
        <v>3323.6666666666665</v>
      </c>
      <c r="T51" s="62">
        <v>37020</v>
      </c>
      <c r="U51" s="62">
        <f t="shared" si="11"/>
        <v>3085</v>
      </c>
      <c r="V51" s="69">
        <v>35640</v>
      </c>
      <c r="W51" s="71">
        <v>3295</v>
      </c>
      <c r="X51" s="71"/>
      <c r="Y51" s="71"/>
      <c r="Z51" s="64">
        <f t="shared" si="1"/>
        <v>6.8071312803889783E-2</v>
      </c>
      <c r="AA51" s="64">
        <f t="shared" si="12"/>
        <v>-8.6250125363553851E-3</v>
      </c>
      <c r="AB51" s="71">
        <v>3325</v>
      </c>
      <c r="AC51" s="64">
        <f t="shared" si="3"/>
        <v>7.7795786061588337E-2</v>
      </c>
      <c r="AD51" s="64">
        <f t="shared" si="13"/>
        <v>4.0116337378401915E-4</v>
      </c>
      <c r="AE51" s="71">
        <v>3300</v>
      </c>
      <c r="AF51" s="64">
        <f t="shared" si="5"/>
        <v>6.9692058346839544E-2</v>
      </c>
      <c r="AG51" s="64">
        <f t="shared" si="14"/>
        <v>-7.1206498846654847E-3</v>
      </c>
      <c r="AH51" s="67"/>
      <c r="AI51" s="47" t="s">
        <v>54</v>
      </c>
      <c r="AJ51" s="47">
        <v>1119.4559999999999</v>
      </c>
      <c r="AK51" s="47" t="s">
        <v>140</v>
      </c>
      <c r="AL51" s="47" t="s">
        <v>65</v>
      </c>
      <c r="AM51" s="47" t="s">
        <v>1926</v>
      </c>
      <c r="AN51" s="47"/>
      <c r="AO51" s="211">
        <f t="shared" si="7"/>
        <v>-1</v>
      </c>
      <c r="AP51" s="47" t="s">
        <v>90</v>
      </c>
      <c r="AQ51" s="91" t="s">
        <v>116</v>
      </c>
      <c r="AR51" s="47"/>
    </row>
    <row r="52" spans="1:44">
      <c r="A52" s="47" t="s">
        <v>44</v>
      </c>
      <c r="B52" s="47" t="str">
        <f t="shared" si="0"/>
        <v>August</v>
      </c>
      <c r="C52" s="59">
        <v>45527</v>
      </c>
      <c r="D52" s="47" t="s">
        <v>109</v>
      </c>
      <c r="E52" s="47" t="s">
        <v>1122</v>
      </c>
      <c r="F52" s="47" t="s">
        <v>344</v>
      </c>
      <c r="G52" s="47" t="s">
        <v>3521</v>
      </c>
      <c r="H52" s="47" t="s">
        <v>3522</v>
      </c>
      <c r="I52" s="47" t="s">
        <v>50</v>
      </c>
      <c r="J52" s="47" t="s">
        <v>51</v>
      </c>
      <c r="K52" s="48">
        <v>44797</v>
      </c>
      <c r="L52" s="48">
        <v>45162</v>
      </c>
      <c r="M52" s="48">
        <v>45527</v>
      </c>
      <c r="N52" s="47" t="s">
        <v>64</v>
      </c>
      <c r="O52" s="55" t="s">
        <v>53</v>
      </c>
      <c r="P52" s="62">
        <v>35776</v>
      </c>
      <c r="Q52" s="62">
        <v>2981.3333333333335</v>
      </c>
      <c r="R52" s="96">
        <v>37076</v>
      </c>
      <c r="S52" s="62">
        <f t="shared" si="10"/>
        <v>3089.6666666666665</v>
      </c>
      <c r="T52" s="62">
        <v>36480</v>
      </c>
      <c r="U52" s="62">
        <f t="shared" si="11"/>
        <v>3040</v>
      </c>
      <c r="V52" s="69">
        <v>34500</v>
      </c>
      <c r="W52" s="71">
        <v>3230</v>
      </c>
      <c r="X52" s="71"/>
      <c r="Y52" s="71"/>
      <c r="Z52" s="64">
        <f t="shared" si="1"/>
        <v>6.25E-2</v>
      </c>
      <c r="AA52" s="64">
        <f t="shared" si="12"/>
        <v>4.5420217930736917E-2</v>
      </c>
      <c r="AB52" s="71">
        <v>3150</v>
      </c>
      <c r="AC52" s="64">
        <f t="shared" si="3"/>
        <v>3.6184210526315791E-2</v>
      </c>
      <c r="AD52" s="64">
        <f t="shared" si="13"/>
        <v>1.952745711511495E-2</v>
      </c>
      <c r="AE52" s="71">
        <v>3095</v>
      </c>
      <c r="AF52" s="64">
        <f t="shared" si="5"/>
        <v>1.8092105263157895E-2</v>
      </c>
      <c r="AG52" s="64">
        <f t="shared" si="14"/>
        <v>1.7261840543748468E-3</v>
      </c>
      <c r="AH52" s="67"/>
      <c r="AI52" s="47" t="s">
        <v>54</v>
      </c>
      <c r="AJ52" s="47">
        <v>1124</v>
      </c>
      <c r="AK52" s="47" t="s">
        <v>140</v>
      </c>
      <c r="AL52" s="47" t="s">
        <v>65</v>
      </c>
      <c r="AM52" s="47" t="s">
        <v>1926</v>
      </c>
      <c r="AN52" s="47"/>
      <c r="AO52" s="211">
        <f t="shared" si="7"/>
        <v>-1</v>
      </c>
      <c r="AP52" s="47" t="s">
        <v>90</v>
      </c>
      <c r="AQ52" s="91" t="s">
        <v>116</v>
      </c>
      <c r="AR52" s="47"/>
    </row>
    <row r="53" spans="1:44">
      <c r="A53" s="47" t="s">
        <v>44</v>
      </c>
      <c r="B53" s="47" t="str">
        <f t="shared" si="0"/>
        <v>August</v>
      </c>
      <c r="C53" s="59">
        <v>45530</v>
      </c>
      <c r="D53" s="47" t="s">
        <v>109</v>
      </c>
      <c r="E53" s="47" t="s">
        <v>1122</v>
      </c>
      <c r="F53" s="47" t="s">
        <v>344</v>
      </c>
      <c r="G53" s="47" t="s">
        <v>3523</v>
      </c>
      <c r="H53" s="47" t="s">
        <v>3524</v>
      </c>
      <c r="I53" s="47" t="s">
        <v>50</v>
      </c>
      <c r="J53" s="47" t="s">
        <v>51</v>
      </c>
      <c r="K53" s="48">
        <v>44435</v>
      </c>
      <c r="L53" s="48">
        <v>45165</v>
      </c>
      <c r="M53" s="48">
        <v>45530</v>
      </c>
      <c r="N53" s="47" t="s">
        <v>64</v>
      </c>
      <c r="O53" s="55" t="s">
        <v>53</v>
      </c>
      <c r="P53" s="62">
        <v>35776</v>
      </c>
      <c r="Q53" s="62">
        <v>2981.3333333333335</v>
      </c>
      <c r="R53" s="96">
        <v>37076</v>
      </c>
      <c r="S53" s="62">
        <f t="shared" si="10"/>
        <v>3089.6666666666665</v>
      </c>
      <c r="T53" s="62">
        <v>36540</v>
      </c>
      <c r="U53" s="62">
        <f t="shared" si="11"/>
        <v>3045</v>
      </c>
      <c r="V53" s="69">
        <v>34080</v>
      </c>
      <c r="W53" s="71">
        <v>3240</v>
      </c>
      <c r="X53" s="71"/>
      <c r="Y53" s="71"/>
      <c r="Z53" s="64">
        <f t="shared" si="1"/>
        <v>6.4039408866995079E-2</v>
      </c>
      <c r="AA53" s="64">
        <f t="shared" si="12"/>
        <v>4.8656813032689664E-2</v>
      </c>
      <c r="AB53" s="71">
        <v>3150</v>
      </c>
      <c r="AC53" s="64">
        <f t="shared" si="3"/>
        <v>3.4482758620689655E-2</v>
      </c>
      <c r="AD53" s="64">
        <f t="shared" si="13"/>
        <v>1.952745711511495E-2</v>
      </c>
      <c r="AE53" s="71">
        <v>3095</v>
      </c>
      <c r="AF53" s="64">
        <f t="shared" si="5"/>
        <v>1.6420361247947456E-2</v>
      </c>
      <c r="AG53" s="64">
        <f t="shared" si="14"/>
        <v>1.7261840543748468E-3</v>
      </c>
      <c r="AH53" s="67"/>
      <c r="AI53" s="47" t="s">
        <v>54</v>
      </c>
      <c r="AJ53" s="47">
        <v>1119.4559999999999</v>
      </c>
      <c r="AK53" s="47" t="s">
        <v>140</v>
      </c>
      <c r="AL53" s="47" t="s">
        <v>65</v>
      </c>
      <c r="AM53" s="47" t="s">
        <v>1926</v>
      </c>
      <c r="AN53" s="47"/>
      <c r="AO53" s="211">
        <f t="shared" si="7"/>
        <v>-1</v>
      </c>
      <c r="AP53" s="47" t="s">
        <v>90</v>
      </c>
      <c r="AQ53" s="91" t="s">
        <v>116</v>
      </c>
      <c r="AR53" s="47"/>
    </row>
    <row r="54" spans="1:44" hidden="1">
      <c r="A54" s="47" t="s">
        <v>44</v>
      </c>
      <c r="B54" s="47" t="str">
        <f t="shared" si="0"/>
        <v>August</v>
      </c>
      <c r="C54" s="59">
        <v>45531</v>
      </c>
      <c r="D54" s="47" t="s">
        <v>109</v>
      </c>
      <c r="E54" s="47" t="s">
        <v>1122</v>
      </c>
      <c r="F54" s="47" t="s">
        <v>344</v>
      </c>
      <c r="G54" s="47" t="s">
        <v>3721</v>
      </c>
      <c r="H54" s="47" t="s">
        <v>3722</v>
      </c>
      <c r="I54" s="47" t="s">
        <v>50</v>
      </c>
      <c r="J54" s="47" t="s">
        <v>51</v>
      </c>
      <c r="K54" s="48">
        <v>45166</v>
      </c>
      <c r="L54" s="48">
        <v>45166</v>
      </c>
      <c r="M54" s="48">
        <v>45531</v>
      </c>
      <c r="N54" s="47" t="s">
        <v>52</v>
      </c>
      <c r="O54" s="55" t="s">
        <v>53</v>
      </c>
      <c r="P54" s="62">
        <v>36660</v>
      </c>
      <c r="Q54" s="62">
        <v>3055</v>
      </c>
      <c r="R54" s="96">
        <v>38012</v>
      </c>
      <c r="S54" s="62">
        <f t="shared" si="10"/>
        <v>3167.6666666666665</v>
      </c>
      <c r="T54" s="62">
        <v>37200</v>
      </c>
      <c r="U54" s="62">
        <f t="shared" si="11"/>
        <v>3100</v>
      </c>
      <c r="V54" s="69">
        <v>35460</v>
      </c>
      <c r="W54" s="71">
        <v>3275</v>
      </c>
      <c r="X54" s="71"/>
      <c r="Y54" s="71"/>
      <c r="Z54" s="64">
        <f t="shared" si="1"/>
        <v>5.6451612903225805E-2</v>
      </c>
      <c r="AA54" s="64">
        <f t="shared" si="12"/>
        <v>3.3884036620014782E-2</v>
      </c>
      <c r="AB54" s="71">
        <v>3225</v>
      </c>
      <c r="AC54" s="64">
        <f t="shared" si="3"/>
        <v>4.0322580645161289E-2</v>
      </c>
      <c r="AD54" s="64">
        <f t="shared" si="13"/>
        <v>1.8099547511312267E-2</v>
      </c>
      <c r="AE54" s="71">
        <v>3175</v>
      </c>
      <c r="AF54" s="64">
        <f t="shared" si="5"/>
        <v>2.4193548387096774E-2</v>
      </c>
      <c r="AG54" s="64">
        <f t="shared" si="14"/>
        <v>2.3150584026097503E-3</v>
      </c>
      <c r="AH54" s="67"/>
      <c r="AI54" s="47" t="s">
        <v>54</v>
      </c>
      <c r="AJ54" s="47">
        <v>1119.4559999999999</v>
      </c>
      <c r="AK54" s="47" t="s">
        <v>140</v>
      </c>
      <c r="AL54" s="47" t="s">
        <v>65</v>
      </c>
      <c r="AM54" s="47" t="s">
        <v>1926</v>
      </c>
      <c r="AN54" s="47">
        <v>3175</v>
      </c>
      <c r="AO54" s="211">
        <f t="shared" si="7"/>
        <v>2.4193548387096774E-2</v>
      </c>
      <c r="AP54" s="47" t="s">
        <v>90</v>
      </c>
      <c r="AQ54" s="91" t="s">
        <v>116</v>
      </c>
      <c r="AR54" s="47" t="s">
        <v>1766</v>
      </c>
    </row>
    <row r="55" spans="1:44">
      <c r="A55" s="47" t="s">
        <v>44</v>
      </c>
      <c r="B55" s="47" t="str">
        <f t="shared" si="0"/>
        <v>August</v>
      </c>
      <c r="C55" s="59">
        <v>45517</v>
      </c>
      <c r="D55" s="47" t="s">
        <v>109</v>
      </c>
      <c r="E55" s="47" t="s">
        <v>1079</v>
      </c>
      <c r="F55" s="47" t="s">
        <v>1080</v>
      </c>
      <c r="G55" s="47" t="s">
        <v>1081</v>
      </c>
      <c r="H55" s="47" t="s">
        <v>1082</v>
      </c>
      <c r="I55" s="47" t="s">
        <v>1083</v>
      </c>
      <c r="J55" s="47" t="s">
        <v>51</v>
      </c>
      <c r="K55" s="48">
        <v>44422</v>
      </c>
      <c r="L55" s="48">
        <v>45152</v>
      </c>
      <c r="M55" s="48">
        <v>45517</v>
      </c>
      <c r="N55" s="47" t="s">
        <v>64</v>
      </c>
      <c r="O55" s="55" t="s">
        <v>53</v>
      </c>
      <c r="P55" s="62">
        <v>22980</v>
      </c>
      <c r="Q55" s="62">
        <v>1915</v>
      </c>
      <c r="R55" s="96">
        <v>23820</v>
      </c>
      <c r="S55" s="62">
        <f t="shared" si="10"/>
        <v>1985</v>
      </c>
      <c r="T55" s="62">
        <v>21000</v>
      </c>
      <c r="U55" s="62">
        <f t="shared" si="11"/>
        <v>1750</v>
      </c>
      <c r="V55" s="69">
        <v>19200</v>
      </c>
      <c r="W55" s="71">
        <v>2110</v>
      </c>
      <c r="X55" s="71"/>
      <c r="Y55" s="71"/>
      <c r="Z55" s="64">
        <f t="shared" si="1"/>
        <v>0.20571428571428571</v>
      </c>
      <c r="AA55" s="64">
        <f t="shared" si="12"/>
        <v>6.2972292191435769E-2</v>
      </c>
      <c r="AB55" s="71">
        <v>1995</v>
      </c>
      <c r="AC55" s="64">
        <f t="shared" si="3"/>
        <v>0.14000000000000001</v>
      </c>
      <c r="AD55" s="64">
        <f t="shared" si="13"/>
        <v>5.0377833753148613E-3</v>
      </c>
      <c r="AE55" s="71">
        <f t="shared" ref="AE55:AE60" si="15">$S55</f>
        <v>1985</v>
      </c>
      <c r="AF55" s="64">
        <f t="shared" si="5"/>
        <v>0.13428571428571429</v>
      </c>
      <c r="AG55" s="64">
        <f t="shared" si="14"/>
        <v>0</v>
      </c>
      <c r="AH55" s="286" t="s">
        <v>1084</v>
      </c>
      <c r="AI55" s="47" t="s">
        <v>54</v>
      </c>
      <c r="AJ55" s="47">
        <v>572</v>
      </c>
      <c r="AK55" s="47" t="s">
        <v>55</v>
      </c>
      <c r="AL55" s="47" t="s">
        <v>55</v>
      </c>
      <c r="AM55" s="47" t="s">
        <v>1085</v>
      </c>
      <c r="AN55" s="47"/>
      <c r="AO55" s="211">
        <f t="shared" si="7"/>
        <v>-1</v>
      </c>
      <c r="AP55" s="47" t="s">
        <v>90</v>
      </c>
      <c r="AQ55" s="91" t="s">
        <v>116</v>
      </c>
      <c r="AR55" s="47"/>
    </row>
    <row r="56" spans="1:44">
      <c r="A56" s="47" t="s">
        <v>44</v>
      </c>
      <c r="B56" s="47" t="str">
        <f t="shared" si="0"/>
        <v>August</v>
      </c>
      <c r="C56" s="59">
        <v>45522</v>
      </c>
      <c r="D56" s="47" t="s">
        <v>109</v>
      </c>
      <c r="E56" s="47" t="s">
        <v>1079</v>
      </c>
      <c r="F56" s="47" t="s">
        <v>1080</v>
      </c>
      <c r="G56" s="47" t="s">
        <v>1365</v>
      </c>
      <c r="H56" s="47" t="s">
        <v>1366</v>
      </c>
      <c r="I56" s="47" t="s">
        <v>63</v>
      </c>
      <c r="J56" s="47" t="s">
        <v>51</v>
      </c>
      <c r="K56" s="48">
        <v>44427</v>
      </c>
      <c r="L56" s="48">
        <v>45157</v>
      </c>
      <c r="M56" s="48">
        <v>45522</v>
      </c>
      <c r="N56" s="47" t="s">
        <v>64</v>
      </c>
      <c r="O56" s="55" t="s">
        <v>53</v>
      </c>
      <c r="P56" s="62">
        <v>23640</v>
      </c>
      <c r="Q56" s="62">
        <v>1970</v>
      </c>
      <c r="R56" s="96">
        <v>23820</v>
      </c>
      <c r="S56" s="62">
        <f t="shared" si="10"/>
        <v>1985</v>
      </c>
      <c r="T56" s="62">
        <v>21600</v>
      </c>
      <c r="U56" s="62">
        <f t="shared" si="11"/>
        <v>1800</v>
      </c>
      <c r="V56" s="69">
        <v>20100</v>
      </c>
      <c r="W56" s="71">
        <v>2120</v>
      </c>
      <c r="X56" s="71"/>
      <c r="Y56" s="71"/>
      <c r="Z56" s="64">
        <f t="shared" si="1"/>
        <v>0.17777777777777778</v>
      </c>
      <c r="AA56" s="64">
        <f t="shared" si="12"/>
        <v>6.8010075566750636E-2</v>
      </c>
      <c r="AB56" s="71">
        <v>1985</v>
      </c>
      <c r="AC56" s="64">
        <f t="shared" si="3"/>
        <v>0.10277777777777777</v>
      </c>
      <c r="AD56" s="64">
        <f t="shared" si="13"/>
        <v>0</v>
      </c>
      <c r="AE56" s="71">
        <f t="shared" si="15"/>
        <v>1985</v>
      </c>
      <c r="AF56" s="64">
        <f t="shared" si="5"/>
        <v>0.10277777777777777</v>
      </c>
      <c r="AG56" s="64">
        <f t="shared" si="14"/>
        <v>0</v>
      </c>
      <c r="AH56" s="67"/>
      <c r="AI56" s="47" t="s">
        <v>54</v>
      </c>
      <c r="AJ56" s="47">
        <v>572</v>
      </c>
      <c r="AK56" s="47" t="s">
        <v>55</v>
      </c>
      <c r="AL56" s="47" t="s">
        <v>55</v>
      </c>
      <c r="AM56" s="47" t="s">
        <v>1367</v>
      </c>
      <c r="AN56" s="47">
        <v>1985</v>
      </c>
      <c r="AO56" s="211">
        <f t="shared" si="7"/>
        <v>0.10277777777777777</v>
      </c>
      <c r="AP56" s="47" t="s">
        <v>90</v>
      </c>
      <c r="AQ56" s="91" t="s">
        <v>116</v>
      </c>
      <c r="AR56" s="47"/>
    </row>
    <row r="57" spans="1:44">
      <c r="A57" s="47" t="s">
        <v>44</v>
      </c>
      <c r="B57" s="47" t="str">
        <f t="shared" si="0"/>
        <v>August</v>
      </c>
      <c r="C57" s="59">
        <v>45526</v>
      </c>
      <c r="D57" s="47" t="s">
        <v>109</v>
      </c>
      <c r="E57" s="47" t="s">
        <v>1079</v>
      </c>
      <c r="F57" s="47" t="s">
        <v>1080</v>
      </c>
      <c r="G57" s="47" t="s">
        <v>1368</v>
      </c>
      <c r="H57" s="47" t="s">
        <v>1369</v>
      </c>
      <c r="I57" s="47" t="s">
        <v>63</v>
      </c>
      <c r="J57" s="47" t="s">
        <v>51</v>
      </c>
      <c r="K57" s="48">
        <v>44431</v>
      </c>
      <c r="L57" s="48">
        <v>45161</v>
      </c>
      <c r="M57" s="48">
        <v>45526</v>
      </c>
      <c r="N57" s="47" t="s">
        <v>64</v>
      </c>
      <c r="O57" s="55" t="s">
        <v>53</v>
      </c>
      <c r="P57" s="62">
        <v>22980</v>
      </c>
      <c r="Q57" s="62">
        <v>1915</v>
      </c>
      <c r="R57" s="96">
        <v>23820</v>
      </c>
      <c r="S57" s="62">
        <f t="shared" si="10"/>
        <v>1985</v>
      </c>
      <c r="T57" s="62">
        <v>21540</v>
      </c>
      <c r="U57" s="62">
        <f t="shared" si="11"/>
        <v>1795</v>
      </c>
      <c r="V57" s="69">
        <v>19800</v>
      </c>
      <c r="W57" s="71">
        <v>2050</v>
      </c>
      <c r="X57" s="71"/>
      <c r="Y57" s="71"/>
      <c r="Z57" s="64">
        <f t="shared" si="1"/>
        <v>0.14206128133704735</v>
      </c>
      <c r="AA57" s="64">
        <f t="shared" si="12"/>
        <v>3.2745591939546598E-2</v>
      </c>
      <c r="AB57" s="71">
        <v>1985</v>
      </c>
      <c r="AC57" s="64">
        <f t="shared" si="3"/>
        <v>0.10584958217270195</v>
      </c>
      <c r="AD57" s="64">
        <f t="shared" si="13"/>
        <v>0</v>
      </c>
      <c r="AE57" s="71">
        <f t="shared" si="15"/>
        <v>1985</v>
      </c>
      <c r="AF57" s="64">
        <f t="shared" si="5"/>
        <v>0.10584958217270195</v>
      </c>
      <c r="AG57" s="64">
        <f t="shared" si="14"/>
        <v>0</v>
      </c>
      <c r="AH57" s="67"/>
      <c r="AI57" s="47" t="s">
        <v>54</v>
      </c>
      <c r="AJ57" s="47">
        <v>572</v>
      </c>
      <c r="AK57" s="47" t="s">
        <v>55</v>
      </c>
      <c r="AL57" s="47" t="s">
        <v>55</v>
      </c>
      <c r="AM57" s="47" t="s">
        <v>1370</v>
      </c>
      <c r="AN57" s="47"/>
      <c r="AO57" s="211">
        <f t="shared" si="7"/>
        <v>-1</v>
      </c>
      <c r="AP57" s="47" t="s">
        <v>90</v>
      </c>
      <c r="AQ57" s="91" t="s">
        <v>116</v>
      </c>
      <c r="AR57" s="47" t="s">
        <v>1371</v>
      </c>
    </row>
    <row r="58" spans="1:44" hidden="1">
      <c r="A58" s="47" t="s">
        <v>44</v>
      </c>
      <c r="B58" s="47" t="str">
        <f t="shared" si="0"/>
        <v>August</v>
      </c>
      <c r="C58" s="59">
        <v>45531</v>
      </c>
      <c r="D58" s="47" t="s">
        <v>109</v>
      </c>
      <c r="E58" s="47" t="s">
        <v>1079</v>
      </c>
      <c r="F58" s="47" t="s">
        <v>1080</v>
      </c>
      <c r="G58" s="47" t="s">
        <v>1428</v>
      </c>
      <c r="H58" s="47" t="s">
        <v>1429</v>
      </c>
      <c r="I58" s="47" t="s">
        <v>63</v>
      </c>
      <c r="J58" s="47" t="s">
        <v>51</v>
      </c>
      <c r="K58" s="48">
        <v>45166</v>
      </c>
      <c r="L58" s="48">
        <v>45166</v>
      </c>
      <c r="M58" s="48">
        <v>45531</v>
      </c>
      <c r="N58" s="47" t="s">
        <v>52</v>
      </c>
      <c r="O58" s="55" t="s">
        <v>53</v>
      </c>
      <c r="P58" s="62">
        <v>22500</v>
      </c>
      <c r="Q58" s="62">
        <v>1875</v>
      </c>
      <c r="R58" s="96">
        <v>23700</v>
      </c>
      <c r="S58" s="62">
        <f t="shared" si="10"/>
        <v>1975</v>
      </c>
      <c r="T58" s="62">
        <v>23100</v>
      </c>
      <c r="U58" s="62">
        <f t="shared" si="11"/>
        <v>1925</v>
      </c>
      <c r="V58" s="69">
        <v>19800</v>
      </c>
      <c r="W58" s="71">
        <v>2050</v>
      </c>
      <c r="X58" s="71"/>
      <c r="Y58" s="71"/>
      <c r="Z58" s="64">
        <f t="shared" si="1"/>
        <v>6.4935064935064929E-2</v>
      </c>
      <c r="AA58" s="64">
        <f t="shared" si="12"/>
        <v>3.7974683544303799E-2</v>
      </c>
      <c r="AB58" s="71">
        <v>2000</v>
      </c>
      <c r="AC58" s="64">
        <f t="shared" si="3"/>
        <v>3.896103896103896E-2</v>
      </c>
      <c r="AD58" s="64">
        <f t="shared" si="13"/>
        <v>1.2658227848101266E-2</v>
      </c>
      <c r="AE58" s="71">
        <f t="shared" si="15"/>
        <v>1975</v>
      </c>
      <c r="AF58" s="64">
        <f t="shared" si="5"/>
        <v>2.5974025974025976E-2</v>
      </c>
      <c r="AG58" s="64">
        <f t="shared" si="14"/>
        <v>0</v>
      </c>
      <c r="AH58" s="67"/>
      <c r="AI58" s="47" t="s">
        <v>54</v>
      </c>
      <c r="AJ58" s="47">
        <v>564</v>
      </c>
      <c r="AK58" s="47" t="s">
        <v>55</v>
      </c>
      <c r="AL58" s="47" t="s">
        <v>55</v>
      </c>
      <c r="AM58" s="47" t="s">
        <v>1430</v>
      </c>
      <c r="AN58" s="47"/>
      <c r="AO58" s="211">
        <f t="shared" si="7"/>
        <v>-1</v>
      </c>
      <c r="AP58" s="47" t="s">
        <v>90</v>
      </c>
      <c r="AQ58" s="91" t="s">
        <v>116</v>
      </c>
      <c r="AR58" s="47"/>
    </row>
    <row r="59" spans="1:44">
      <c r="A59" s="47" t="s">
        <v>44</v>
      </c>
      <c r="B59" s="47" t="str">
        <f t="shared" si="0"/>
        <v>August</v>
      </c>
      <c r="C59" s="59">
        <v>45534</v>
      </c>
      <c r="D59" s="47" t="s">
        <v>109</v>
      </c>
      <c r="E59" s="47" t="s">
        <v>1079</v>
      </c>
      <c r="F59" s="47" t="s">
        <v>1080</v>
      </c>
      <c r="G59" s="47" t="s">
        <v>1521</v>
      </c>
      <c r="H59" s="47" t="s">
        <v>1522</v>
      </c>
      <c r="I59" s="47" t="s">
        <v>1523</v>
      </c>
      <c r="J59" s="47" t="s">
        <v>51</v>
      </c>
      <c r="K59" s="48">
        <v>44439</v>
      </c>
      <c r="L59" s="48">
        <v>45169</v>
      </c>
      <c r="M59" s="48">
        <v>45534</v>
      </c>
      <c r="N59" s="47" t="s">
        <v>64</v>
      </c>
      <c r="O59" s="55" t="s">
        <v>53</v>
      </c>
      <c r="P59" s="62">
        <v>24600</v>
      </c>
      <c r="Q59" s="62">
        <v>2050</v>
      </c>
      <c r="R59" s="96">
        <v>23700</v>
      </c>
      <c r="S59" s="62">
        <f t="shared" si="10"/>
        <v>1975</v>
      </c>
      <c r="T59" s="62">
        <v>22800</v>
      </c>
      <c r="U59" s="62">
        <f t="shared" si="11"/>
        <v>1900</v>
      </c>
      <c r="V59" s="69">
        <v>20400</v>
      </c>
      <c r="W59" s="71">
        <v>2095</v>
      </c>
      <c r="X59" s="71"/>
      <c r="Y59" s="71"/>
      <c r="Z59" s="64">
        <f t="shared" si="1"/>
        <v>0.10263157894736842</v>
      </c>
      <c r="AA59" s="64">
        <f t="shared" si="12"/>
        <v>6.0759493670886074E-2</v>
      </c>
      <c r="AB59" s="71">
        <v>2000</v>
      </c>
      <c r="AC59" s="64">
        <f t="shared" si="3"/>
        <v>5.2631578947368418E-2</v>
      </c>
      <c r="AD59" s="64">
        <f t="shared" si="13"/>
        <v>1.2658227848101266E-2</v>
      </c>
      <c r="AE59" s="71">
        <f t="shared" si="15"/>
        <v>1975</v>
      </c>
      <c r="AF59" s="64">
        <f t="shared" si="5"/>
        <v>3.9473684210526314E-2</v>
      </c>
      <c r="AG59" s="64">
        <f t="shared" si="14"/>
        <v>0</v>
      </c>
      <c r="AH59" s="67"/>
      <c r="AI59" s="47" t="s">
        <v>54</v>
      </c>
      <c r="AJ59" s="47">
        <v>564</v>
      </c>
      <c r="AK59" s="47" t="s">
        <v>55</v>
      </c>
      <c r="AL59" s="47" t="s">
        <v>55</v>
      </c>
      <c r="AM59" s="47" t="s">
        <v>1524</v>
      </c>
      <c r="AN59" s="47"/>
      <c r="AO59" s="211">
        <f t="shared" si="7"/>
        <v>-1</v>
      </c>
      <c r="AP59" s="47" t="s">
        <v>90</v>
      </c>
      <c r="AQ59" s="91" t="s">
        <v>116</v>
      </c>
      <c r="AR59" s="47"/>
    </row>
    <row r="60" spans="1:44">
      <c r="A60" s="47" t="s">
        <v>44</v>
      </c>
      <c r="B60" s="47" t="str">
        <f t="shared" si="0"/>
        <v>August</v>
      </c>
      <c r="C60" s="59">
        <v>45535</v>
      </c>
      <c r="D60" s="47" t="s">
        <v>109</v>
      </c>
      <c r="E60" s="47" t="s">
        <v>1079</v>
      </c>
      <c r="F60" s="47" t="s">
        <v>1080</v>
      </c>
      <c r="G60" s="47" t="s">
        <v>1769</v>
      </c>
      <c r="H60" s="47" t="s">
        <v>1049</v>
      </c>
      <c r="I60" s="47" t="s">
        <v>63</v>
      </c>
      <c r="J60" s="47" t="s">
        <v>51</v>
      </c>
      <c r="K60" s="48">
        <v>44440</v>
      </c>
      <c r="L60" s="48">
        <v>45170</v>
      </c>
      <c r="M60" s="48">
        <v>45535</v>
      </c>
      <c r="N60" s="47" t="s">
        <v>64</v>
      </c>
      <c r="O60" s="55" t="s">
        <v>889</v>
      </c>
      <c r="P60" s="62">
        <v>23640</v>
      </c>
      <c r="Q60" s="62">
        <v>1970</v>
      </c>
      <c r="R60" s="96">
        <v>23820</v>
      </c>
      <c r="S60" s="62">
        <f t="shared" si="10"/>
        <v>1985</v>
      </c>
      <c r="T60" s="62">
        <v>21960</v>
      </c>
      <c r="U60" s="62">
        <f t="shared" si="11"/>
        <v>1830</v>
      </c>
      <c r="V60" s="69">
        <v>20700</v>
      </c>
      <c r="W60" s="71">
        <v>2130</v>
      </c>
      <c r="X60" s="71"/>
      <c r="Y60" s="71"/>
      <c r="Z60" s="64">
        <f t="shared" si="1"/>
        <v>0.16393442622950818</v>
      </c>
      <c r="AA60" s="64">
        <f t="shared" si="12"/>
        <v>7.3047858942065488E-2</v>
      </c>
      <c r="AB60" s="71">
        <v>2000</v>
      </c>
      <c r="AC60" s="64">
        <f t="shared" si="3"/>
        <v>9.2896174863387984E-2</v>
      </c>
      <c r="AD60" s="64">
        <f t="shared" si="13"/>
        <v>7.556675062972292E-3</v>
      </c>
      <c r="AE60" s="71">
        <f t="shared" si="15"/>
        <v>1985</v>
      </c>
      <c r="AF60" s="64">
        <f t="shared" si="5"/>
        <v>8.4699453551912565E-2</v>
      </c>
      <c r="AG60" s="64">
        <f t="shared" si="14"/>
        <v>0</v>
      </c>
      <c r="AH60" s="67"/>
      <c r="AI60" s="47" t="s">
        <v>395</v>
      </c>
      <c r="AJ60" s="47">
        <v>572</v>
      </c>
      <c r="AK60" s="47" t="s">
        <v>55</v>
      </c>
      <c r="AL60" s="47" t="s">
        <v>55</v>
      </c>
      <c r="AM60" s="47" t="s">
        <v>1770</v>
      </c>
      <c r="AN60" s="47"/>
      <c r="AO60" s="211">
        <f t="shared" si="7"/>
        <v>-1</v>
      </c>
      <c r="AP60" s="47" t="s">
        <v>852</v>
      </c>
      <c r="AQ60" s="47" t="s">
        <v>131</v>
      </c>
      <c r="AR60" s="47"/>
    </row>
    <row r="61" spans="1:44" hidden="1">
      <c r="A61" s="47" t="s">
        <v>74</v>
      </c>
      <c r="B61" s="47" t="str">
        <f t="shared" si="0"/>
        <v>July</v>
      </c>
      <c r="C61" s="59">
        <v>45480</v>
      </c>
      <c r="D61" s="47" t="s">
        <v>109</v>
      </c>
      <c r="E61" s="47" t="s">
        <v>1079</v>
      </c>
      <c r="F61" s="47" t="s">
        <v>1080</v>
      </c>
      <c r="G61" s="47" t="s">
        <v>1969</v>
      </c>
      <c r="H61" s="47" t="s">
        <v>1970</v>
      </c>
      <c r="I61" s="47" t="s">
        <v>63</v>
      </c>
      <c r="J61" s="47" t="s">
        <v>51</v>
      </c>
      <c r="K61" s="48">
        <v>45299</v>
      </c>
      <c r="L61" s="48">
        <v>45299</v>
      </c>
      <c r="M61" s="48">
        <v>45480</v>
      </c>
      <c r="N61" s="47" t="s">
        <v>52</v>
      </c>
      <c r="O61" s="55" t="s">
        <v>53</v>
      </c>
      <c r="P61" s="62">
        <v>29400</v>
      </c>
      <c r="Q61" s="62">
        <v>2450</v>
      </c>
      <c r="R61" s="96">
        <v>29340</v>
      </c>
      <c r="S61" s="62">
        <f t="shared" si="10"/>
        <v>2445</v>
      </c>
      <c r="T61" s="62">
        <v>29820</v>
      </c>
      <c r="U61" s="62">
        <f t="shared" si="11"/>
        <v>2485</v>
      </c>
      <c r="V61" s="69">
        <v>25980</v>
      </c>
      <c r="W61" s="71">
        <v>2620</v>
      </c>
      <c r="X61" s="71"/>
      <c r="Y61" s="71"/>
      <c r="Z61" s="64">
        <f t="shared" si="1"/>
        <v>5.4325955734406441E-2</v>
      </c>
      <c r="AA61" s="64">
        <f t="shared" si="12"/>
        <v>7.1574642126789365E-2</v>
      </c>
      <c r="AB61" s="71">
        <v>2585</v>
      </c>
      <c r="AC61" s="64">
        <f t="shared" si="3"/>
        <v>4.0241448692152917E-2</v>
      </c>
      <c r="AD61" s="64">
        <f t="shared" si="13"/>
        <v>5.7259713701431493E-2</v>
      </c>
      <c r="AE61" s="71">
        <v>2525</v>
      </c>
      <c r="AF61" s="64">
        <f t="shared" si="5"/>
        <v>1.6096579476861168E-2</v>
      </c>
      <c r="AG61" s="64">
        <f t="shared" si="14"/>
        <v>3.2719836400817999E-2</v>
      </c>
      <c r="AH61" s="67"/>
      <c r="AI61" s="47" t="s">
        <v>54</v>
      </c>
      <c r="AJ61" s="47">
        <v>808</v>
      </c>
      <c r="AK61" s="101" t="s">
        <v>65</v>
      </c>
      <c r="AL61" s="101" t="s">
        <v>65</v>
      </c>
      <c r="AM61" s="47" t="s">
        <v>1971</v>
      </c>
      <c r="AN61" s="47">
        <v>2585</v>
      </c>
      <c r="AO61" s="211">
        <f t="shared" si="7"/>
        <v>4.0241448692152917E-2</v>
      </c>
      <c r="AP61" s="47" t="s">
        <v>90</v>
      </c>
      <c r="AQ61" s="91" t="s">
        <v>116</v>
      </c>
      <c r="AR61" s="47"/>
    </row>
    <row r="62" spans="1:44">
      <c r="A62" s="47" t="s">
        <v>44</v>
      </c>
      <c r="B62" s="47" t="str">
        <f t="shared" si="0"/>
        <v>July</v>
      </c>
      <c r="C62" s="59">
        <v>45480</v>
      </c>
      <c r="D62" s="47" t="s">
        <v>109</v>
      </c>
      <c r="E62" s="47" t="s">
        <v>1079</v>
      </c>
      <c r="F62" s="47" t="s">
        <v>1080</v>
      </c>
      <c r="G62" s="47" t="s">
        <v>1972</v>
      </c>
      <c r="H62" s="47" t="s">
        <v>1049</v>
      </c>
      <c r="I62" s="47" t="s">
        <v>63</v>
      </c>
      <c r="J62" s="47" t="s">
        <v>51</v>
      </c>
      <c r="K62" s="48">
        <v>44385</v>
      </c>
      <c r="L62" s="48">
        <v>45115</v>
      </c>
      <c r="M62" s="48">
        <v>45480</v>
      </c>
      <c r="N62" s="47" t="s">
        <v>64</v>
      </c>
      <c r="O62" s="55" t="s">
        <v>889</v>
      </c>
      <c r="P62" s="62">
        <v>23520</v>
      </c>
      <c r="Q62" s="62">
        <v>1960</v>
      </c>
      <c r="R62" s="96">
        <v>23700</v>
      </c>
      <c r="S62" s="62">
        <f t="shared" si="10"/>
        <v>1975</v>
      </c>
      <c r="T62" s="62">
        <v>22320</v>
      </c>
      <c r="U62" s="62">
        <f t="shared" si="11"/>
        <v>1860</v>
      </c>
      <c r="V62" s="69">
        <v>21012</v>
      </c>
      <c r="W62" s="71">
        <v>2070</v>
      </c>
      <c r="X62" s="71"/>
      <c r="Y62" s="71"/>
      <c r="Z62" s="64">
        <f t="shared" si="1"/>
        <v>0.11290322580645161</v>
      </c>
      <c r="AA62" s="64">
        <f t="shared" si="12"/>
        <v>4.810126582278481E-2</v>
      </c>
      <c r="AB62" s="71">
        <v>1995</v>
      </c>
      <c r="AC62" s="64">
        <f t="shared" si="3"/>
        <v>7.2580645161290328E-2</v>
      </c>
      <c r="AD62" s="64">
        <f t="shared" si="13"/>
        <v>1.0126582278481013E-2</v>
      </c>
      <c r="AE62" s="71">
        <v>1975</v>
      </c>
      <c r="AF62" s="64">
        <f t="shared" si="5"/>
        <v>6.1827956989247312E-2</v>
      </c>
      <c r="AG62" s="64">
        <f t="shared" si="14"/>
        <v>0</v>
      </c>
      <c r="AH62" s="67"/>
      <c r="AI62" s="47" t="s">
        <v>395</v>
      </c>
      <c r="AJ62" s="47">
        <v>564</v>
      </c>
      <c r="AK62" s="101" t="s">
        <v>55</v>
      </c>
      <c r="AL62" s="101" t="s">
        <v>55</v>
      </c>
      <c r="AM62" s="47" t="s">
        <v>1973</v>
      </c>
      <c r="AN62" s="47">
        <v>1995</v>
      </c>
      <c r="AO62" s="211">
        <f t="shared" si="7"/>
        <v>7.2580645161290328E-2</v>
      </c>
      <c r="AP62" s="47" t="s">
        <v>852</v>
      </c>
      <c r="AQ62" s="168" t="s">
        <v>1050</v>
      </c>
      <c r="AR62" s="47" t="s">
        <v>1974</v>
      </c>
    </row>
    <row r="63" spans="1:44">
      <c r="A63" s="47" t="s">
        <v>44</v>
      </c>
      <c r="B63" s="47" t="str">
        <f t="shared" si="0"/>
        <v>July</v>
      </c>
      <c r="C63" s="59">
        <v>45491</v>
      </c>
      <c r="D63" s="47" t="s">
        <v>109</v>
      </c>
      <c r="E63" s="47" t="s">
        <v>1079</v>
      </c>
      <c r="F63" s="47" t="s">
        <v>1080</v>
      </c>
      <c r="G63" s="47" t="s">
        <v>1975</v>
      </c>
      <c r="H63" s="47" t="s">
        <v>1976</v>
      </c>
      <c r="I63" s="47" t="s">
        <v>63</v>
      </c>
      <c r="J63" s="47" t="s">
        <v>51</v>
      </c>
      <c r="K63" s="48">
        <v>44761</v>
      </c>
      <c r="L63" s="48">
        <v>45126</v>
      </c>
      <c r="M63" s="48">
        <v>45491</v>
      </c>
      <c r="N63" s="47" t="s">
        <v>64</v>
      </c>
      <c r="O63" s="55" t="s">
        <v>53</v>
      </c>
      <c r="P63" s="62">
        <v>22560</v>
      </c>
      <c r="Q63" s="62">
        <v>1880</v>
      </c>
      <c r="R63" s="96">
        <v>23820</v>
      </c>
      <c r="S63" s="62">
        <f t="shared" si="10"/>
        <v>1985</v>
      </c>
      <c r="T63" s="62">
        <v>22500</v>
      </c>
      <c r="U63" s="62">
        <f t="shared" si="11"/>
        <v>1875</v>
      </c>
      <c r="V63" s="69">
        <v>21000</v>
      </c>
      <c r="W63" s="71">
        <v>2090</v>
      </c>
      <c r="X63" s="71"/>
      <c r="Y63" s="71"/>
      <c r="Z63" s="64">
        <f t="shared" si="1"/>
        <v>0.11466666666666667</v>
      </c>
      <c r="AA63" s="64">
        <f t="shared" si="12"/>
        <v>5.2896725440806043E-2</v>
      </c>
      <c r="AB63" s="71">
        <v>1995</v>
      </c>
      <c r="AC63" s="64">
        <f t="shared" si="3"/>
        <v>6.4000000000000001E-2</v>
      </c>
      <c r="AD63" s="64">
        <f t="shared" si="13"/>
        <v>5.0377833753148613E-3</v>
      </c>
      <c r="AE63" s="71">
        <v>1985</v>
      </c>
      <c r="AF63" s="64">
        <f t="shared" si="5"/>
        <v>5.8666666666666666E-2</v>
      </c>
      <c r="AG63" s="64">
        <f t="shared" si="14"/>
        <v>0</v>
      </c>
      <c r="AH63" s="67"/>
      <c r="AI63" s="47" t="s">
        <v>54</v>
      </c>
      <c r="AJ63" s="47">
        <v>572</v>
      </c>
      <c r="AK63" s="101" t="s">
        <v>55</v>
      </c>
      <c r="AL63" s="101" t="s">
        <v>55</v>
      </c>
      <c r="AM63" s="47" t="s">
        <v>1977</v>
      </c>
      <c r="AN63" s="47">
        <v>1985</v>
      </c>
      <c r="AO63" s="211">
        <f t="shared" si="7"/>
        <v>5.8666666666666666E-2</v>
      </c>
      <c r="AP63" s="47" t="s">
        <v>90</v>
      </c>
      <c r="AQ63" s="91" t="s">
        <v>116</v>
      </c>
      <c r="AR63" s="47"/>
    </row>
    <row r="64" spans="1:44" hidden="1">
      <c r="A64" s="47" t="s">
        <v>44</v>
      </c>
      <c r="B64" s="47" t="str">
        <f t="shared" si="0"/>
        <v>July</v>
      </c>
      <c r="C64" s="59">
        <v>45482</v>
      </c>
      <c r="D64" s="47" t="s">
        <v>109</v>
      </c>
      <c r="E64" s="47" t="s">
        <v>1079</v>
      </c>
      <c r="F64" s="47" t="s">
        <v>1080</v>
      </c>
      <c r="G64" s="47" t="s">
        <v>1978</v>
      </c>
      <c r="H64" s="47" t="s">
        <v>1049</v>
      </c>
      <c r="I64" s="47" t="s">
        <v>63</v>
      </c>
      <c r="J64" s="47" t="s">
        <v>51</v>
      </c>
      <c r="K64" s="48">
        <v>45117</v>
      </c>
      <c r="L64" s="48">
        <v>45117</v>
      </c>
      <c r="M64" s="48">
        <v>45482</v>
      </c>
      <c r="N64" s="47" t="s">
        <v>52</v>
      </c>
      <c r="O64" s="55" t="s">
        <v>889</v>
      </c>
      <c r="P64" s="62">
        <v>22620</v>
      </c>
      <c r="Q64" s="62">
        <v>1885</v>
      </c>
      <c r="R64" s="96">
        <v>23700</v>
      </c>
      <c r="S64" s="62">
        <f t="shared" si="10"/>
        <v>1975</v>
      </c>
      <c r="T64" s="62">
        <v>22020</v>
      </c>
      <c r="U64" s="62">
        <f t="shared" si="11"/>
        <v>1835</v>
      </c>
      <c r="V64" s="69">
        <v>20760</v>
      </c>
      <c r="W64" s="71">
        <v>2030</v>
      </c>
      <c r="X64" s="71"/>
      <c r="Y64" s="71"/>
      <c r="Z64" s="64">
        <f t="shared" si="1"/>
        <v>0.10626702997275204</v>
      </c>
      <c r="AA64" s="64">
        <f t="shared" si="12"/>
        <v>2.7848101265822784E-2</v>
      </c>
      <c r="AB64" s="71">
        <v>1995</v>
      </c>
      <c r="AC64" s="64">
        <f t="shared" si="3"/>
        <v>8.7193460490463212E-2</v>
      </c>
      <c r="AD64" s="64">
        <f t="shared" si="13"/>
        <v>1.0126582278481013E-2</v>
      </c>
      <c r="AE64" s="71">
        <v>1975</v>
      </c>
      <c r="AF64" s="64">
        <f t="shared" si="5"/>
        <v>7.6294277929155316E-2</v>
      </c>
      <c r="AG64" s="64">
        <f t="shared" si="14"/>
        <v>0</v>
      </c>
      <c r="AH64" s="67"/>
      <c r="AI64" s="47" t="s">
        <v>395</v>
      </c>
      <c r="AJ64" s="47">
        <v>564</v>
      </c>
      <c r="AK64" s="101" t="s">
        <v>55</v>
      </c>
      <c r="AL64" s="101" t="s">
        <v>55</v>
      </c>
      <c r="AM64" s="47" t="s">
        <v>1979</v>
      </c>
      <c r="AN64" s="47">
        <v>1995</v>
      </c>
      <c r="AO64" s="211">
        <f t="shared" si="7"/>
        <v>8.7193460490463212E-2</v>
      </c>
      <c r="AP64" s="47" t="s">
        <v>852</v>
      </c>
      <c r="AQ64" s="168" t="s">
        <v>1050</v>
      </c>
      <c r="AR64" s="47" t="s">
        <v>1974</v>
      </c>
    </row>
    <row r="65" spans="1:44" hidden="1">
      <c r="A65" s="93" t="s">
        <v>44</v>
      </c>
      <c r="B65" s="47" t="str">
        <f t="shared" si="0"/>
        <v>July</v>
      </c>
      <c r="C65" s="59">
        <v>45499</v>
      </c>
      <c r="D65" s="47" t="s">
        <v>109</v>
      </c>
      <c r="E65" s="47" t="s">
        <v>1079</v>
      </c>
      <c r="F65" s="47" t="s">
        <v>1080</v>
      </c>
      <c r="G65" s="47" t="s">
        <v>1980</v>
      </c>
      <c r="H65" s="47" t="s">
        <v>1981</v>
      </c>
      <c r="I65" s="47" t="s">
        <v>63</v>
      </c>
      <c r="J65" s="47" t="s">
        <v>51</v>
      </c>
      <c r="K65" s="48">
        <v>45134</v>
      </c>
      <c r="L65" s="48">
        <v>45134</v>
      </c>
      <c r="M65" s="48">
        <v>45499</v>
      </c>
      <c r="N65" s="47" t="s">
        <v>52</v>
      </c>
      <c r="O65" s="55" t="s">
        <v>53</v>
      </c>
      <c r="P65" s="62">
        <v>28140</v>
      </c>
      <c r="Q65" s="62">
        <v>2345</v>
      </c>
      <c r="R65" s="96">
        <v>29100</v>
      </c>
      <c r="S65" s="62">
        <f t="shared" si="10"/>
        <v>2425</v>
      </c>
      <c r="T65" s="62">
        <v>28020</v>
      </c>
      <c r="U65" s="62">
        <f t="shared" si="11"/>
        <v>2335</v>
      </c>
      <c r="V65" s="69">
        <v>23400</v>
      </c>
      <c r="W65" s="71">
        <v>2480</v>
      </c>
      <c r="X65" s="71"/>
      <c r="Y65" s="71"/>
      <c r="Z65" s="64">
        <f t="shared" si="1"/>
        <v>6.2098501070663809E-2</v>
      </c>
      <c r="AA65" s="64">
        <f t="shared" si="12"/>
        <v>2.268041237113402E-2</v>
      </c>
      <c r="AB65" s="71">
        <v>2460</v>
      </c>
      <c r="AC65" s="64">
        <f t="shared" si="3"/>
        <v>5.353319057815846E-2</v>
      </c>
      <c r="AD65" s="64">
        <f t="shared" si="13"/>
        <v>1.443298969072165E-2</v>
      </c>
      <c r="AE65" s="71">
        <v>2425</v>
      </c>
      <c r="AF65" s="64">
        <f t="shared" si="5"/>
        <v>3.8543897216274089E-2</v>
      </c>
      <c r="AG65" s="64">
        <f t="shared" si="14"/>
        <v>0</v>
      </c>
      <c r="AH65" s="67"/>
      <c r="AI65" s="47" t="s">
        <v>54</v>
      </c>
      <c r="AJ65" s="47">
        <v>794</v>
      </c>
      <c r="AK65" s="101" t="s">
        <v>65</v>
      </c>
      <c r="AL65" s="101" t="s">
        <v>65</v>
      </c>
      <c r="AM65" s="47" t="s">
        <v>1982</v>
      </c>
      <c r="AN65" s="47"/>
      <c r="AO65" s="211">
        <f t="shared" si="7"/>
        <v>-1</v>
      </c>
      <c r="AP65" s="47" t="s">
        <v>90</v>
      </c>
      <c r="AQ65" s="91" t="s">
        <v>116</v>
      </c>
      <c r="AR65" s="47"/>
    </row>
    <row r="66" spans="1:44" hidden="1">
      <c r="A66" s="47" t="s">
        <v>44</v>
      </c>
      <c r="B66" s="47" t="str">
        <f t="shared" ref="B66:B129" si="16">TEXT(C66,"mmmm")</f>
        <v>July</v>
      </c>
      <c r="C66" s="59">
        <v>45491</v>
      </c>
      <c r="D66" s="47" t="s">
        <v>109</v>
      </c>
      <c r="E66" s="47" t="s">
        <v>1079</v>
      </c>
      <c r="F66" s="47" t="s">
        <v>1080</v>
      </c>
      <c r="G66" s="47" t="s">
        <v>1983</v>
      </c>
      <c r="H66" s="47" t="s">
        <v>1984</v>
      </c>
      <c r="I66" s="47" t="s">
        <v>63</v>
      </c>
      <c r="J66" s="47" t="s">
        <v>51</v>
      </c>
      <c r="K66" s="48">
        <v>45310</v>
      </c>
      <c r="L66" s="48">
        <v>45310</v>
      </c>
      <c r="M66" s="48">
        <v>45491</v>
      </c>
      <c r="N66" s="47" t="s">
        <v>52</v>
      </c>
      <c r="O66" s="55" t="s">
        <v>53</v>
      </c>
      <c r="P66" s="62">
        <v>28560</v>
      </c>
      <c r="Q66" s="62">
        <v>2380</v>
      </c>
      <c r="R66" s="96">
        <v>29220</v>
      </c>
      <c r="S66" s="62">
        <f t="shared" ref="S66:S93" si="17">R66/12</f>
        <v>2435</v>
      </c>
      <c r="T66" s="62">
        <v>29640</v>
      </c>
      <c r="U66" s="62">
        <f t="shared" ref="U66:U92" si="18">T66/12</f>
        <v>2470</v>
      </c>
      <c r="V66" s="69">
        <v>28140</v>
      </c>
      <c r="W66" s="71">
        <v>2530</v>
      </c>
      <c r="X66" s="71"/>
      <c r="Y66" s="71"/>
      <c r="Z66" s="64">
        <f t="shared" ref="Z66:Z129" si="19">(W66-U66)/U66</f>
        <v>2.4291497975708502E-2</v>
      </c>
      <c r="AA66" s="64">
        <f t="shared" ref="AA66:AA97" si="20">(W66-S66)/S66</f>
        <v>3.9014373716632446E-2</v>
      </c>
      <c r="AB66" s="71">
        <v>2565</v>
      </c>
      <c r="AC66" s="64">
        <f t="shared" ref="AC66:AC129" si="21">(AB66-U66)/U66</f>
        <v>3.8461538461538464E-2</v>
      </c>
      <c r="AD66" s="64">
        <f t="shared" ref="AD66:AD97" si="22">(AB66-S66)/S66</f>
        <v>5.3388090349075976E-2</v>
      </c>
      <c r="AE66" s="71">
        <v>2500</v>
      </c>
      <c r="AF66" s="64">
        <f t="shared" ref="AF66:AF129" si="23">(AE66-U66)/U66</f>
        <v>1.2145748987854251E-2</v>
      </c>
      <c r="AG66" s="64">
        <f t="shared" ref="AG66:AG97" si="24">(AE66-S66)/S66</f>
        <v>2.6694045174537988E-2</v>
      </c>
      <c r="AH66" s="67"/>
      <c r="AI66" s="47" t="s">
        <v>54</v>
      </c>
      <c r="AJ66" s="47">
        <v>799</v>
      </c>
      <c r="AK66" s="101" t="s">
        <v>65</v>
      </c>
      <c r="AL66" s="101" t="s">
        <v>65</v>
      </c>
      <c r="AM66" s="47" t="s">
        <v>1985</v>
      </c>
      <c r="AN66" s="47"/>
      <c r="AO66" s="211">
        <f t="shared" ref="AO66:AO129" si="25">SUM(AN66-U66)/U66</f>
        <v>-1</v>
      </c>
      <c r="AP66" s="47" t="s">
        <v>90</v>
      </c>
      <c r="AQ66" s="91" t="s">
        <v>116</v>
      </c>
      <c r="AR66" s="47"/>
    </row>
    <row r="67" spans="1:44">
      <c r="A67" s="47" t="s">
        <v>74</v>
      </c>
      <c r="B67" s="47" t="str">
        <f t="shared" si="16"/>
        <v>July</v>
      </c>
      <c r="C67" s="59">
        <v>45495</v>
      </c>
      <c r="D67" s="47" t="s">
        <v>109</v>
      </c>
      <c r="E67" s="47" t="s">
        <v>1079</v>
      </c>
      <c r="F67" s="47" t="s">
        <v>1080</v>
      </c>
      <c r="G67" s="47" t="s">
        <v>1986</v>
      </c>
      <c r="H67" s="47" t="s">
        <v>1987</v>
      </c>
      <c r="I67" s="47" t="s">
        <v>63</v>
      </c>
      <c r="J67" s="47" t="s">
        <v>51</v>
      </c>
      <c r="K67" s="48">
        <v>44400</v>
      </c>
      <c r="L67" s="48">
        <v>45130</v>
      </c>
      <c r="M67" s="48">
        <v>45495</v>
      </c>
      <c r="N67" s="47" t="s">
        <v>64</v>
      </c>
      <c r="O67" s="55" t="s">
        <v>53</v>
      </c>
      <c r="P67" s="62">
        <v>23520</v>
      </c>
      <c r="Q67" s="62">
        <v>1960</v>
      </c>
      <c r="R67" s="96">
        <v>23700</v>
      </c>
      <c r="S67" s="62">
        <f t="shared" si="17"/>
        <v>1975</v>
      </c>
      <c r="T67" s="62">
        <v>22200</v>
      </c>
      <c r="U67" s="62">
        <f t="shared" si="18"/>
        <v>1850</v>
      </c>
      <c r="V67" s="69">
        <v>20100</v>
      </c>
      <c r="W67" s="71">
        <v>2115</v>
      </c>
      <c r="X67" s="71"/>
      <c r="Y67" s="71"/>
      <c r="Z67" s="64">
        <f t="shared" si="19"/>
        <v>0.14324324324324325</v>
      </c>
      <c r="AA67" s="64">
        <f t="shared" si="20"/>
        <v>7.0886075949367092E-2</v>
      </c>
      <c r="AB67" s="71">
        <v>1995</v>
      </c>
      <c r="AC67" s="64">
        <f t="shared" si="21"/>
        <v>7.8378378378378383E-2</v>
      </c>
      <c r="AD67" s="64">
        <f t="shared" si="22"/>
        <v>1.0126582278481013E-2</v>
      </c>
      <c r="AE67" s="71">
        <v>1975</v>
      </c>
      <c r="AF67" s="64">
        <f t="shared" si="23"/>
        <v>6.7567567567567571E-2</v>
      </c>
      <c r="AG67" s="64">
        <f t="shared" si="24"/>
        <v>0</v>
      </c>
      <c r="AH67" s="67"/>
      <c r="AI67" s="47" t="s">
        <v>54</v>
      </c>
      <c r="AJ67" s="47">
        <v>564</v>
      </c>
      <c r="AK67" s="101" t="s">
        <v>55</v>
      </c>
      <c r="AL67" s="101" t="s">
        <v>55</v>
      </c>
      <c r="AM67" s="47" t="s">
        <v>1988</v>
      </c>
      <c r="AN67" s="47">
        <v>1975</v>
      </c>
      <c r="AO67" s="211">
        <f t="shared" si="25"/>
        <v>6.7567567567567571E-2</v>
      </c>
      <c r="AP67" s="47" t="s">
        <v>90</v>
      </c>
      <c r="AQ67" s="91" t="s">
        <v>116</v>
      </c>
      <c r="AR67" s="47"/>
    </row>
    <row r="68" spans="1:44">
      <c r="A68" s="47" t="s">
        <v>44</v>
      </c>
      <c r="B68" s="47" t="str">
        <f t="shared" si="16"/>
        <v>August</v>
      </c>
      <c r="C68" s="59">
        <v>45535</v>
      </c>
      <c r="D68" s="47" t="s">
        <v>109</v>
      </c>
      <c r="E68" s="47" t="s">
        <v>1079</v>
      </c>
      <c r="F68" s="47" t="s">
        <v>1080</v>
      </c>
      <c r="G68" s="47" t="s">
        <v>2256</v>
      </c>
      <c r="H68" s="47" t="s">
        <v>2257</v>
      </c>
      <c r="I68" s="47" t="s">
        <v>63</v>
      </c>
      <c r="J68" s="47" t="s">
        <v>51</v>
      </c>
      <c r="K68" s="48">
        <v>44440</v>
      </c>
      <c r="L68" s="48">
        <v>45170</v>
      </c>
      <c r="M68" s="48">
        <v>45535</v>
      </c>
      <c r="N68" s="47" t="s">
        <v>64</v>
      </c>
      <c r="O68" s="55" t="s">
        <v>53</v>
      </c>
      <c r="P68" s="62">
        <v>24000</v>
      </c>
      <c r="Q68" s="62">
        <v>2000</v>
      </c>
      <c r="R68" s="96">
        <v>24840</v>
      </c>
      <c r="S68" s="62">
        <f t="shared" si="17"/>
        <v>2070</v>
      </c>
      <c r="T68" s="62">
        <v>23100</v>
      </c>
      <c r="U68" s="62">
        <f t="shared" si="18"/>
        <v>1925</v>
      </c>
      <c r="V68" s="69">
        <v>20700</v>
      </c>
      <c r="W68" s="71">
        <v>2180</v>
      </c>
      <c r="X68" s="71"/>
      <c r="Y68" s="71"/>
      <c r="Z68" s="64">
        <f t="shared" si="19"/>
        <v>0.13246753246753246</v>
      </c>
      <c r="AA68" s="64">
        <f t="shared" si="20"/>
        <v>5.3140096618357488E-2</v>
      </c>
      <c r="AB68" s="71">
        <v>2070</v>
      </c>
      <c r="AC68" s="64">
        <f t="shared" si="21"/>
        <v>7.5324675324675322E-2</v>
      </c>
      <c r="AD68" s="64">
        <f t="shared" si="22"/>
        <v>0</v>
      </c>
      <c r="AE68" s="71">
        <f>$S68</f>
        <v>2070</v>
      </c>
      <c r="AF68" s="64">
        <f t="shared" si="23"/>
        <v>7.5324675324675322E-2</v>
      </c>
      <c r="AG68" s="64">
        <f t="shared" si="24"/>
        <v>0</v>
      </c>
      <c r="AH68" s="67"/>
      <c r="AI68" s="47" t="s">
        <v>54</v>
      </c>
      <c r="AJ68" s="47">
        <v>728</v>
      </c>
      <c r="AK68" s="47" t="s">
        <v>55</v>
      </c>
      <c r="AL68" s="47" t="s">
        <v>55</v>
      </c>
      <c r="AM68" s="47" t="s">
        <v>2258</v>
      </c>
      <c r="AN68" s="47"/>
      <c r="AO68" s="211">
        <f t="shared" si="25"/>
        <v>-1</v>
      </c>
      <c r="AP68" s="47" t="s">
        <v>90</v>
      </c>
      <c r="AQ68" s="91" t="s">
        <v>116</v>
      </c>
      <c r="AR68" s="47"/>
    </row>
    <row r="69" spans="1:44">
      <c r="A69" s="47" t="s">
        <v>44</v>
      </c>
      <c r="B69" s="47" t="str">
        <f t="shared" si="16"/>
        <v>August</v>
      </c>
      <c r="C69" s="59">
        <v>45508</v>
      </c>
      <c r="D69" s="47" t="s">
        <v>109</v>
      </c>
      <c r="E69" s="47" t="s">
        <v>1079</v>
      </c>
      <c r="F69" s="47" t="s">
        <v>1080</v>
      </c>
      <c r="G69" s="47" t="s">
        <v>2662</v>
      </c>
      <c r="H69" s="47" t="s">
        <v>1049</v>
      </c>
      <c r="I69" s="47" t="s">
        <v>63</v>
      </c>
      <c r="J69" s="47" t="s">
        <v>51</v>
      </c>
      <c r="K69" s="48">
        <v>43195</v>
      </c>
      <c r="L69" s="48">
        <v>45143</v>
      </c>
      <c r="M69" s="48">
        <v>45508</v>
      </c>
      <c r="N69" s="47" t="s">
        <v>64</v>
      </c>
      <c r="O69" s="55" t="s">
        <v>889</v>
      </c>
      <c r="P69" s="62">
        <v>28740</v>
      </c>
      <c r="Q69" s="62">
        <v>2395</v>
      </c>
      <c r="R69" s="96">
        <v>29340</v>
      </c>
      <c r="S69" s="62">
        <f t="shared" si="17"/>
        <v>2445</v>
      </c>
      <c r="T69" s="62">
        <v>23940</v>
      </c>
      <c r="U69" s="62">
        <f t="shared" si="18"/>
        <v>1995</v>
      </c>
      <c r="V69" s="69">
        <v>22570.080000000002</v>
      </c>
      <c r="W69" s="71">
        <v>2540</v>
      </c>
      <c r="X69" s="71"/>
      <c r="Y69" s="71"/>
      <c r="Z69" s="64">
        <f t="shared" si="19"/>
        <v>0.27318295739348369</v>
      </c>
      <c r="AA69" s="64">
        <f t="shared" si="20"/>
        <v>3.8854805725971372E-2</v>
      </c>
      <c r="AB69" s="71">
        <v>2450</v>
      </c>
      <c r="AC69" s="64">
        <f t="shared" si="21"/>
        <v>0.22807017543859648</v>
      </c>
      <c r="AD69" s="64">
        <f t="shared" si="22"/>
        <v>2.0449897750511249E-3</v>
      </c>
      <c r="AE69" s="71">
        <f>$S69</f>
        <v>2445</v>
      </c>
      <c r="AF69" s="64">
        <f t="shared" si="23"/>
        <v>0.22556390977443608</v>
      </c>
      <c r="AG69" s="64">
        <f t="shared" si="24"/>
        <v>0</v>
      </c>
      <c r="AH69" s="67"/>
      <c r="AI69" s="47" t="s">
        <v>395</v>
      </c>
      <c r="AJ69" s="47">
        <v>808</v>
      </c>
      <c r="AK69" s="47" t="s">
        <v>65</v>
      </c>
      <c r="AL69" s="47" t="s">
        <v>65</v>
      </c>
      <c r="AM69" s="47" t="s">
        <v>2663</v>
      </c>
      <c r="AN69" s="47">
        <v>2445</v>
      </c>
      <c r="AO69" s="211">
        <f t="shared" si="25"/>
        <v>0.22556390977443608</v>
      </c>
      <c r="AP69" s="47" t="s">
        <v>852</v>
      </c>
      <c r="AQ69" s="111" t="s">
        <v>125</v>
      </c>
      <c r="AR69" s="47" t="s">
        <v>1974</v>
      </c>
    </row>
    <row r="70" spans="1:44">
      <c r="A70" s="47" t="s">
        <v>44</v>
      </c>
      <c r="B70" s="47" t="str">
        <f t="shared" si="16"/>
        <v>August</v>
      </c>
      <c r="C70" s="59">
        <v>45512</v>
      </c>
      <c r="D70" s="47" t="s">
        <v>109</v>
      </c>
      <c r="E70" s="47" t="s">
        <v>1079</v>
      </c>
      <c r="F70" s="47" t="s">
        <v>1080</v>
      </c>
      <c r="G70" s="47" t="s">
        <v>2870</v>
      </c>
      <c r="H70" s="47" t="s">
        <v>2871</v>
      </c>
      <c r="I70" s="47" t="s">
        <v>63</v>
      </c>
      <c r="J70" s="47" t="s">
        <v>51</v>
      </c>
      <c r="K70" s="48">
        <v>44417</v>
      </c>
      <c r="L70" s="48">
        <v>45147</v>
      </c>
      <c r="M70" s="48">
        <v>45512</v>
      </c>
      <c r="N70" s="47" t="s">
        <v>64</v>
      </c>
      <c r="O70" s="55" t="s">
        <v>53</v>
      </c>
      <c r="P70" s="62">
        <v>29400</v>
      </c>
      <c r="Q70" s="62">
        <v>2450</v>
      </c>
      <c r="R70" s="96">
        <v>29340</v>
      </c>
      <c r="S70" s="62">
        <f t="shared" si="17"/>
        <v>2445</v>
      </c>
      <c r="T70" s="62">
        <v>26100</v>
      </c>
      <c r="U70" s="62">
        <f t="shared" si="18"/>
        <v>2175</v>
      </c>
      <c r="V70" s="69">
        <v>23722.2</v>
      </c>
      <c r="W70" s="71">
        <v>2575</v>
      </c>
      <c r="X70" s="71"/>
      <c r="Y70" s="71"/>
      <c r="Z70" s="64">
        <f t="shared" si="19"/>
        <v>0.18390804597701149</v>
      </c>
      <c r="AA70" s="64">
        <f t="shared" si="20"/>
        <v>5.3169734151329244E-2</v>
      </c>
      <c r="AB70" s="71">
        <v>2450</v>
      </c>
      <c r="AC70" s="64">
        <f t="shared" si="21"/>
        <v>0.12643678160919541</v>
      </c>
      <c r="AD70" s="64">
        <f t="shared" si="22"/>
        <v>2.0449897750511249E-3</v>
      </c>
      <c r="AE70" s="71">
        <f>$S70</f>
        <v>2445</v>
      </c>
      <c r="AF70" s="64">
        <f t="shared" si="23"/>
        <v>0.12413793103448276</v>
      </c>
      <c r="AG70" s="64">
        <f t="shared" si="24"/>
        <v>0</v>
      </c>
      <c r="AH70" s="67"/>
      <c r="AI70" s="47" t="s">
        <v>54</v>
      </c>
      <c r="AJ70" s="47">
        <v>808</v>
      </c>
      <c r="AK70" s="47" t="s">
        <v>65</v>
      </c>
      <c r="AL70" s="47" t="s">
        <v>65</v>
      </c>
      <c r="AM70" s="47" t="s">
        <v>2872</v>
      </c>
      <c r="AN70" s="47"/>
      <c r="AO70" s="211">
        <f t="shared" si="25"/>
        <v>-1</v>
      </c>
      <c r="AP70" s="47" t="s">
        <v>90</v>
      </c>
      <c r="AQ70" s="91" t="s">
        <v>116</v>
      </c>
      <c r="AR70" s="47"/>
    </row>
    <row r="71" spans="1:44">
      <c r="A71" s="47" t="s">
        <v>44</v>
      </c>
      <c r="B71" s="47" t="str">
        <f t="shared" si="16"/>
        <v>August</v>
      </c>
      <c r="C71" s="59">
        <v>45512</v>
      </c>
      <c r="D71" s="47" t="s">
        <v>109</v>
      </c>
      <c r="E71" s="47" t="s">
        <v>1079</v>
      </c>
      <c r="F71" s="47" t="s">
        <v>1080</v>
      </c>
      <c r="G71" s="47" t="s">
        <v>3200</v>
      </c>
      <c r="H71" s="47" t="s">
        <v>1049</v>
      </c>
      <c r="I71" s="47" t="s">
        <v>63</v>
      </c>
      <c r="J71" s="47" t="s">
        <v>51</v>
      </c>
      <c r="K71" s="48">
        <v>44386</v>
      </c>
      <c r="L71" s="48">
        <v>45147</v>
      </c>
      <c r="M71" s="48">
        <v>45512</v>
      </c>
      <c r="N71" s="47" t="s">
        <v>64</v>
      </c>
      <c r="O71" s="55" t="s">
        <v>889</v>
      </c>
      <c r="P71" s="62">
        <v>28620</v>
      </c>
      <c r="Q71" s="62">
        <v>2385</v>
      </c>
      <c r="R71" s="96">
        <v>29100</v>
      </c>
      <c r="S71" s="62">
        <f t="shared" si="17"/>
        <v>2425</v>
      </c>
      <c r="T71" s="62">
        <v>26040</v>
      </c>
      <c r="U71" s="62">
        <f t="shared" si="18"/>
        <v>2170</v>
      </c>
      <c r="V71" s="69">
        <v>24550.2</v>
      </c>
      <c r="W71" s="71">
        <v>2535</v>
      </c>
      <c r="X71" s="71"/>
      <c r="Y71" s="71"/>
      <c r="Z71" s="64">
        <f t="shared" si="19"/>
        <v>0.16820276497695852</v>
      </c>
      <c r="AA71" s="64">
        <f t="shared" si="20"/>
        <v>4.536082474226804E-2</v>
      </c>
      <c r="AB71" s="71">
        <v>2450</v>
      </c>
      <c r="AC71" s="64">
        <f t="shared" si="21"/>
        <v>0.12903225806451613</v>
      </c>
      <c r="AD71" s="64">
        <f t="shared" si="22"/>
        <v>1.0309278350515464E-2</v>
      </c>
      <c r="AE71" s="71">
        <f>$S71</f>
        <v>2425</v>
      </c>
      <c r="AF71" s="64">
        <f t="shared" si="23"/>
        <v>0.11751152073732719</v>
      </c>
      <c r="AG71" s="64">
        <f t="shared" si="24"/>
        <v>0</v>
      </c>
      <c r="AH71" s="67"/>
      <c r="AI71" s="47" t="s">
        <v>395</v>
      </c>
      <c r="AJ71" s="47">
        <v>794</v>
      </c>
      <c r="AK71" s="47" t="s">
        <v>65</v>
      </c>
      <c r="AL71" s="47" t="s">
        <v>65</v>
      </c>
      <c r="AM71" s="47" t="s">
        <v>3201</v>
      </c>
      <c r="AN71" s="47">
        <v>2425</v>
      </c>
      <c r="AO71" s="211">
        <f t="shared" si="25"/>
        <v>0.11751152073732719</v>
      </c>
      <c r="AP71" s="47" t="s">
        <v>852</v>
      </c>
      <c r="AQ71" s="111" t="s">
        <v>125</v>
      </c>
      <c r="AR71" s="47" t="s">
        <v>1974</v>
      </c>
    </row>
    <row r="72" spans="1:44">
      <c r="A72" s="47" t="s">
        <v>74</v>
      </c>
      <c r="B72" s="93" t="str">
        <f t="shared" si="16"/>
        <v>July</v>
      </c>
      <c r="C72" s="129">
        <v>45503</v>
      </c>
      <c r="D72" s="93" t="s">
        <v>109</v>
      </c>
      <c r="E72" s="93" t="s">
        <v>1079</v>
      </c>
      <c r="F72" s="93" t="s">
        <v>1080</v>
      </c>
      <c r="G72" s="93" t="s">
        <v>3423</v>
      </c>
      <c r="H72" s="93" t="s">
        <v>3424</v>
      </c>
      <c r="I72" s="93" t="s">
        <v>3425</v>
      </c>
      <c r="J72" s="47" t="s">
        <v>51</v>
      </c>
      <c r="K72" s="48">
        <v>44408</v>
      </c>
      <c r="L72" s="48">
        <v>45138</v>
      </c>
      <c r="M72" s="48">
        <v>45503</v>
      </c>
      <c r="N72" s="47" t="s">
        <v>64</v>
      </c>
      <c r="O72" s="130" t="s">
        <v>53</v>
      </c>
      <c r="P72" s="62">
        <v>28560</v>
      </c>
      <c r="Q72" s="62">
        <v>2380</v>
      </c>
      <c r="R72" s="96">
        <v>29220</v>
      </c>
      <c r="S72" s="131">
        <f t="shared" si="17"/>
        <v>2435</v>
      </c>
      <c r="T72" s="62">
        <v>25320</v>
      </c>
      <c r="U72" s="131">
        <f t="shared" si="18"/>
        <v>2110</v>
      </c>
      <c r="V72" s="69">
        <v>22980</v>
      </c>
      <c r="W72" s="132">
        <v>2530</v>
      </c>
      <c r="X72" s="132"/>
      <c r="Y72" s="132"/>
      <c r="Z72" s="133">
        <f t="shared" si="19"/>
        <v>0.1990521327014218</v>
      </c>
      <c r="AA72" s="133">
        <f t="shared" si="20"/>
        <v>3.9014373716632446E-2</v>
      </c>
      <c r="AB72" s="132">
        <v>2430</v>
      </c>
      <c r="AC72" s="133">
        <f t="shared" si="21"/>
        <v>0.15165876777251186</v>
      </c>
      <c r="AD72" s="133">
        <f t="shared" si="22"/>
        <v>-2.0533880903490761E-3</v>
      </c>
      <c r="AE72" s="132">
        <v>2415</v>
      </c>
      <c r="AF72" s="133">
        <f t="shared" si="23"/>
        <v>0.14454976303317535</v>
      </c>
      <c r="AG72" s="133">
        <f t="shared" si="24"/>
        <v>-8.2135523613963042E-3</v>
      </c>
      <c r="AH72" s="286" t="s">
        <v>1084</v>
      </c>
      <c r="AI72" s="47" t="s">
        <v>54</v>
      </c>
      <c r="AJ72" s="93">
        <v>799</v>
      </c>
      <c r="AK72" s="134" t="s">
        <v>65</v>
      </c>
      <c r="AL72" s="134" t="s">
        <v>65</v>
      </c>
      <c r="AM72" s="47" t="s">
        <v>3426</v>
      </c>
      <c r="AN72" s="93"/>
      <c r="AO72" s="211">
        <f t="shared" si="25"/>
        <v>-1</v>
      </c>
      <c r="AP72" s="93" t="s">
        <v>90</v>
      </c>
      <c r="AQ72" s="93" t="s">
        <v>935</v>
      </c>
      <c r="AR72" s="47"/>
    </row>
    <row r="73" spans="1:44">
      <c r="A73" s="47" t="s">
        <v>44</v>
      </c>
      <c r="B73" s="47" t="str">
        <f t="shared" si="16"/>
        <v>August</v>
      </c>
      <c r="C73" s="59">
        <v>45513</v>
      </c>
      <c r="D73" s="47" t="s">
        <v>109</v>
      </c>
      <c r="E73" s="47" t="s">
        <v>1079</v>
      </c>
      <c r="F73" s="47" t="s">
        <v>1080</v>
      </c>
      <c r="G73" s="47" t="s">
        <v>3525</v>
      </c>
      <c r="H73" s="47" t="s">
        <v>3526</v>
      </c>
      <c r="I73" s="47" t="s">
        <v>63</v>
      </c>
      <c r="J73" s="47" t="s">
        <v>51</v>
      </c>
      <c r="K73" s="48">
        <v>44418</v>
      </c>
      <c r="L73" s="48">
        <v>45148</v>
      </c>
      <c r="M73" s="48">
        <v>45513</v>
      </c>
      <c r="N73" s="47" t="s">
        <v>64</v>
      </c>
      <c r="O73" s="55" t="s">
        <v>53</v>
      </c>
      <c r="P73" s="62">
        <v>28260</v>
      </c>
      <c r="Q73" s="62">
        <v>2355</v>
      </c>
      <c r="R73" s="96">
        <v>29220</v>
      </c>
      <c r="S73" s="62">
        <f t="shared" si="17"/>
        <v>2435</v>
      </c>
      <c r="T73" s="62">
        <v>25200</v>
      </c>
      <c r="U73" s="62">
        <f t="shared" si="18"/>
        <v>2100</v>
      </c>
      <c r="V73" s="69">
        <v>23100</v>
      </c>
      <c r="W73" s="71">
        <v>2530</v>
      </c>
      <c r="X73" s="71"/>
      <c r="Y73" s="71"/>
      <c r="Z73" s="64">
        <f t="shared" si="19"/>
        <v>0.20476190476190476</v>
      </c>
      <c r="AA73" s="64">
        <f t="shared" si="20"/>
        <v>3.9014373716632446E-2</v>
      </c>
      <c r="AB73" s="71">
        <v>2425</v>
      </c>
      <c r="AC73" s="64">
        <f t="shared" si="21"/>
        <v>0.15476190476190477</v>
      </c>
      <c r="AD73" s="64">
        <f t="shared" si="22"/>
        <v>-4.1067761806981521E-3</v>
      </c>
      <c r="AE73" s="71">
        <f>$S73</f>
        <v>2435</v>
      </c>
      <c r="AF73" s="64">
        <f t="shared" si="23"/>
        <v>0.15952380952380951</v>
      </c>
      <c r="AG73" s="64">
        <f t="shared" si="24"/>
        <v>0</v>
      </c>
      <c r="AH73" s="67"/>
      <c r="AI73" s="47" t="s">
        <v>54</v>
      </c>
      <c r="AJ73" s="47">
        <v>799</v>
      </c>
      <c r="AK73" s="47" t="s">
        <v>65</v>
      </c>
      <c r="AL73" s="47" t="s">
        <v>65</v>
      </c>
      <c r="AM73" s="47" t="s">
        <v>3527</v>
      </c>
      <c r="AN73" s="47"/>
      <c r="AO73" s="211">
        <f t="shared" si="25"/>
        <v>-1</v>
      </c>
      <c r="AP73" s="47" t="s">
        <v>90</v>
      </c>
      <c r="AQ73" s="91" t="s">
        <v>116</v>
      </c>
      <c r="AR73" s="47"/>
    </row>
    <row r="74" spans="1:44" hidden="1">
      <c r="A74" s="47" t="s">
        <v>44</v>
      </c>
      <c r="B74" s="47" t="str">
        <f t="shared" si="16"/>
        <v>August</v>
      </c>
      <c r="C74" s="59">
        <v>45514</v>
      </c>
      <c r="D74" s="47" t="s">
        <v>109</v>
      </c>
      <c r="E74" s="47" t="s">
        <v>1079</v>
      </c>
      <c r="F74" s="47" t="s">
        <v>1080</v>
      </c>
      <c r="G74" s="47" t="s">
        <v>3528</v>
      </c>
      <c r="H74" s="47" t="s">
        <v>3529</v>
      </c>
      <c r="I74" s="47" t="s">
        <v>63</v>
      </c>
      <c r="J74" s="47" t="s">
        <v>51</v>
      </c>
      <c r="K74" s="48">
        <v>45149</v>
      </c>
      <c r="L74" s="48">
        <v>45149</v>
      </c>
      <c r="M74" s="48">
        <v>45514</v>
      </c>
      <c r="N74" s="47" t="s">
        <v>52</v>
      </c>
      <c r="O74" s="55" t="s">
        <v>53</v>
      </c>
      <c r="P74" s="62">
        <v>28620</v>
      </c>
      <c r="Q74" s="62">
        <v>2385</v>
      </c>
      <c r="R74" s="96">
        <v>29340</v>
      </c>
      <c r="S74" s="62">
        <f t="shared" si="17"/>
        <v>2445</v>
      </c>
      <c r="T74" s="62">
        <v>29400</v>
      </c>
      <c r="U74" s="62">
        <f t="shared" si="18"/>
        <v>2450</v>
      </c>
      <c r="V74" s="69">
        <v>23340</v>
      </c>
      <c r="W74" s="71">
        <v>2550</v>
      </c>
      <c r="X74" s="71"/>
      <c r="Y74" s="71"/>
      <c r="Z74" s="64">
        <f t="shared" si="19"/>
        <v>4.0816326530612242E-2</v>
      </c>
      <c r="AA74" s="64">
        <f t="shared" si="20"/>
        <v>4.2944785276073622E-2</v>
      </c>
      <c r="AB74" s="71">
        <v>2550</v>
      </c>
      <c r="AC74" s="64">
        <f t="shared" si="21"/>
        <v>4.0816326530612242E-2</v>
      </c>
      <c r="AD74" s="64">
        <f t="shared" si="22"/>
        <v>4.2944785276073622E-2</v>
      </c>
      <c r="AE74" s="71">
        <f>$S74</f>
        <v>2445</v>
      </c>
      <c r="AF74" s="64">
        <f t="shared" si="23"/>
        <v>-2.0408163265306124E-3</v>
      </c>
      <c r="AG74" s="64">
        <f t="shared" si="24"/>
        <v>0</v>
      </c>
      <c r="AH74" s="67"/>
      <c r="AI74" s="47" t="s">
        <v>54</v>
      </c>
      <c r="AJ74" s="47">
        <v>808</v>
      </c>
      <c r="AK74" s="47" t="s">
        <v>65</v>
      </c>
      <c r="AL74" s="47" t="s">
        <v>65</v>
      </c>
      <c r="AM74" s="47" t="s">
        <v>3530</v>
      </c>
      <c r="AN74" s="47"/>
      <c r="AO74" s="211">
        <f t="shared" si="25"/>
        <v>-1</v>
      </c>
      <c r="AP74" s="47" t="s">
        <v>90</v>
      </c>
      <c r="AQ74" s="91" t="s">
        <v>116</v>
      </c>
      <c r="AR74" s="47"/>
    </row>
    <row r="75" spans="1:44">
      <c r="A75" s="47" t="s">
        <v>44</v>
      </c>
      <c r="B75" s="47" t="str">
        <f t="shared" si="16"/>
        <v>August</v>
      </c>
      <c r="C75" s="59">
        <v>45528</v>
      </c>
      <c r="D75" s="47" t="s">
        <v>109</v>
      </c>
      <c r="E75" s="47" t="s">
        <v>1079</v>
      </c>
      <c r="F75" s="47" t="s">
        <v>1080</v>
      </c>
      <c r="G75" s="47" t="s">
        <v>3723</v>
      </c>
      <c r="H75" s="47" t="s">
        <v>3724</v>
      </c>
      <c r="I75" s="47" t="s">
        <v>63</v>
      </c>
      <c r="J75" s="47" t="s">
        <v>51</v>
      </c>
      <c r="K75" s="48">
        <v>44433</v>
      </c>
      <c r="L75" s="48">
        <v>45163</v>
      </c>
      <c r="M75" s="48">
        <v>45528</v>
      </c>
      <c r="N75" s="47" t="s">
        <v>64</v>
      </c>
      <c r="O75" s="55" t="s">
        <v>53</v>
      </c>
      <c r="P75" s="62">
        <v>28620</v>
      </c>
      <c r="Q75" s="62">
        <v>2385</v>
      </c>
      <c r="R75" s="96">
        <v>29340</v>
      </c>
      <c r="S75" s="62">
        <f t="shared" si="17"/>
        <v>2445</v>
      </c>
      <c r="T75" s="62">
        <v>25800</v>
      </c>
      <c r="U75" s="62">
        <f t="shared" si="18"/>
        <v>2150</v>
      </c>
      <c r="V75" s="69">
        <v>23400</v>
      </c>
      <c r="W75" s="71">
        <v>2535</v>
      </c>
      <c r="X75" s="71"/>
      <c r="Y75" s="71"/>
      <c r="Z75" s="64">
        <f t="shared" si="19"/>
        <v>0.17906976744186046</v>
      </c>
      <c r="AA75" s="64">
        <f t="shared" si="20"/>
        <v>3.6809815950920248E-2</v>
      </c>
      <c r="AB75" s="71">
        <v>2450</v>
      </c>
      <c r="AC75" s="64">
        <f t="shared" si="21"/>
        <v>0.13953488372093023</v>
      </c>
      <c r="AD75" s="64">
        <f t="shared" si="22"/>
        <v>2.0449897750511249E-3</v>
      </c>
      <c r="AE75" s="71">
        <f>$S75</f>
        <v>2445</v>
      </c>
      <c r="AF75" s="64">
        <f t="shared" si="23"/>
        <v>0.1372093023255814</v>
      </c>
      <c r="AG75" s="64">
        <f t="shared" si="24"/>
        <v>0</v>
      </c>
      <c r="AH75" s="67"/>
      <c r="AI75" s="47" t="s">
        <v>54</v>
      </c>
      <c r="AJ75" s="47">
        <v>808</v>
      </c>
      <c r="AK75" s="47" t="s">
        <v>65</v>
      </c>
      <c r="AL75" s="47" t="s">
        <v>65</v>
      </c>
      <c r="AM75" s="47" t="s">
        <v>3725</v>
      </c>
      <c r="AN75" s="47"/>
      <c r="AO75" s="211">
        <f t="shared" si="25"/>
        <v>-1</v>
      </c>
      <c r="AP75" s="47" t="s">
        <v>90</v>
      </c>
      <c r="AQ75" s="91" t="s">
        <v>116</v>
      </c>
      <c r="AR75" s="47"/>
    </row>
    <row r="76" spans="1:44">
      <c r="A76" s="47" t="s">
        <v>44</v>
      </c>
      <c r="B76" s="47" t="str">
        <f t="shared" si="16"/>
        <v>August</v>
      </c>
      <c r="C76" s="59">
        <v>45534</v>
      </c>
      <c r="D76" s="47" t="s">
        <v>109</v>
      </c>
      <c r="E76" s="47" t="s">
        <v>1079</v>
      </c>
      <c r="F76" s="47" t="s">
        <v>1080</v>
      </c>
      <c r="G76" s="47" t="s">
        <v>3726</v>
      </c>
      <c r="H76" s="47" t="s">
        <v>3727</v>
      </c>
      <c r="I76" s="47" t="s">
        <v>63</v>
      </c>
      <c r="J76" s="47" t="s">
        <v>51</v>
      </c>
      <c r="K76" s="48">
        <v>44804</v>
      </c>
      <c r="L76" s="48">
        <v>45169</v>
      </c>
      <c r="M76" s="48">
        <v>45534</v>
      </c>
      <c r="N76" s="47" t="s">
        <v>64</v>
      </c>
      <c r="O76" s="55" t="s">
        <v>53</v>
      </c>
      <c r="P76" s="62">
        <v>29340</v>
      </c>
      <c r="Q76" s="62">
        <v>2445</v>
      </c>
      <c r="R76" s="96">
        <v>29220</v>
      </c>
      <c r="S76" s="62">
        <f t="shared" si="17"/>
        <v>2435</v>
      </c>
      <c r="T76" s="62">
        <v>27000</v>
      </c>
      <c r="U76" s="62">
        <f t="shared" si="18"/>
        <v>2250</v>
      </c>
      <c r="V76" s="69">
        <v>25200</v>
      </c>
      <c r="W76" s="71">
        <v>2570</v>
      </c>
      <c r="X76" s="71"/>
      <c r="Y76" s="71"/>
      <c r="Z76" s="64">
        <f t="shared" si="19"/>
        <v>0.14222222222222222</v>
      </c>
      <c r="AA76" s="64">
        <f t="shared" si="20"/>
        <v>5.5441478439425054E-2</v>
      </c>
      <c r="AB76" s="71">
        <v>2450</v>
      </c>
      <c r="AC76" s="64">
        <f t="shared" si="21"/>
        <v>8.8888888888888892E-2</v>
      </c>
      <c r="AD76" s="64">
        <f t="shared" si="22"/>
        <v>6.1601642710472282E-3</v>
      </c>
      <c r="AE76" s="71">
        <f>$S76</f>
        <v>2435</v>
      </c>
      <c r="AF76" s="64">
        <f t="shared" si="23"/>
        <v>8.2222222222222224E-2</v>
      </c>
      <c r="AG76" s="64">
        <f t="shared" si="24"/>
        <v>0</v>
      </c>
      <c r="AH76" s="67"/>
      <c r="AI76" s="47" t="s">
        <v>54</v>
      </c>
      <c r="AJ76" s="47">
        <v>799</v>
      </c>
      <c r="AK76" s="47" t="s">
        <v>65</v>
      </c>
      <c r="AL76" s="47" t="s">
        <v>65</v>
      </c>
      <c r="AM76" s="47" t="s">
        <v>3728</v>
      </c>
      <c r="AN76" s="47"/>
      <c r="AO76" s="211">
        <f t="shared" si="25"/>
        <v>-1</v>
      </c>
      <c r="AP76" s="47" t="s">
        <v>90</v>
      </c>
      <c r="AQ76" s="91" t="s">
        <v>116</v>
      </c>
      <c r="AR76" s="47"/>
    </row>
    <row r="77" spans="1:44">
      <c r="A77" s="47" t="s">
        <v>44</v>
      </c>
      <c r="B77" s="47" t="str">
        <f t="shared" si="16"/>
        <v>August</v>
      </c>
      <c r="C77" s="59">
        <v>45535</v>
      </c>
      <c r="D77" s="47" t="s">
        <v>109</v>
      </c>
      <c r="E77" s="47" t="s">
        <v>1079</v>
      </c>
      <c r="F77" s="47" t="s">
        <v>1080</v>
      </c>
      <c r="G77" s="47" t="s">
        <v>3729</v>
      </c>
      <c r="H77" s="47" t="s">
        <v>3730</v>
      </c>
      <c r="I77" s="47" t="s">
        <v>3731</v>
      </c>
      <c r="J77" s="47" t="s">
        <v>51</v>
      </c>
      <c r="K77" s="48">
        <v>44805</v>
      </c>
      <c r="L77" s="278"/>
      <c r="M77" s="48">
        <v>45535</v>
      </c>
      <c r="N77" s="47" t="s">
        <v>64</v>
      </c>
      <c r="O77" s="55" t="s">
        <v>53</v>
      </c>
      <c r="P77" s="62">
        <v>29700</v>
      </c>
      <c r="Q77" s="62">
        <v>2475</v>
      </c>
      <c r="R77" s="96">
        <v>29100</v>
      </c>
      <c r="S77" s="62">
        <f t="shared" si="17"/>
        <v>2425</v>
      </c>
      <c r="T77" s="62">
        <v>27000</v>
      </c>
      <c r="U77" s="62">
        <f t="shared" si="18"/>
        <v>2250</v>
      </c>
      <c r="V77" s="69">
        <v>24900</v>
      </c>
      <c r="W77" s="71">
        <v>2555</v>
      </c>
      <c r="X77" s="71"/>
      <c r="Y77" s="71"/>
      <c r="Z77" s="64">
        <f t="shared" si="19"/>
        <v>0.13555555555555557</v>
      </c>
      <c r="AA77" s="64">
        <f t="shared" si="20"/>
        <v>5.3608247422680409E-2</v>
      </c>
      <c r="AB77" s="71">
        <v>2435</v>
      </c>
      <c r="AC77" s="64">
        <f t="shared" si="21"/>
        <v>8.2222222222222224E-2</v>
      </c>
      <c r="AD77" s="64">
        <f t="shared" si="22"/>
        <v>4.1237113402061857E-3</v>
      </c>
      <c r="AE77" s="71">
        <f>$S77</f>
        <v>2425</v>
      </c>
      <c r="AF77" s="64">
        <f t="shared" si="23"/>
        <v>7.7777777777777779E-2</v>
      </c>
      <c r="AG77" s="64">
        <f t="shared" si="24"/>
        <v>0</v>
      </c>
      <c r="AH77" s="67"/>
      <c r="AI77" s="47" t="s">
        <v>54</v>
      </c>
      <c r="AJ77" s="47">
        <v>794</v>
      </c>
      <c r="AK77" s="47" t="s">
        <v>65</v>
      </c>
      <c r="AL77" s="47" t="s">
        <v>65</v>
      </c>
      <c r="AM77" s="47" t="s">
        <v>3732</v>
      </c>
      <c r="AN77" s="47"/>
      <c r="AO77" s="211">
        <f t="shared" si="25"/>
        <v>-1</v>
      </c>
      <c r="AP77" s="47" t="s">
        <v>90</v>
      </c>
      <c r="AQ77" s="91" t="s">
        <v>116</v>
      </c>
      <c r="AR77" s="47"/>
    </row>
    <row r="78" spans="1:44" hidden="1">
      <c r="A78" s="47" t="s">
        <v>44</v>
      </c>
      <c r="B78" s="47" t="str">
        <f t="shared" si="16"/>
        <v>July</v>
      </c>
      <c r="C78" s="59">
        <v>45479</v>
      </c>
      <c r="D78" s="47" t="s">
        <v>109</v>
      </c>
      <c r="E78" s="47" t="s">
        <v>942</v>
      </c>
      <c r="F78" s="47" t="s">
        <v>867</v>
      </c>
      <c r="G78" s="47" t="s">
        <v>943</v>
      </c>
      <c r="H78" s="47" t="s">
        <v>944</v>
      </c>
      <c r="I78" s="47" t="s">
        <v>63</v>
      </c>
      <c r="J78" s="47" t="s">
        <v>51</v>
      </c>
      <c r="K78" s="48">
        <v>45114</v>
      </c>
      <c r="L78" s="48">
        <v>45114</v>
      </c>
      <c r="M78" s="48">
        <v>45479</v>
      </c>
      <c r="N78" s="47" t="s">
        <v>52</v>
      </c>
      <c r="O78" s="55" t="s">
        <v>53</v>
      </c>
      <c r="P78" s="62">
        <v>16634</v>
      </c>
      <c r="Q78" s="62">
        <v>1386.1666666666667</v>
      </c>
      <c r="R78" s="96">
        <v>17400</v>
      </c>
      <c r="S78" s="62">
        <f t="shared" si="17"/>
        <v>1450</v>
      </c>
      <c r="T78" s="62">
        <v>16500</v>
      </c>
      <c r="U78" s="62">
        <f t="shared" si="18"/>
        <v>1375</v>
      </c>
      <c r="V78" s="69">
        <v>15232.82</v>
      </c>
      <c r="W78" s="71" t="s">
        <v>123</v>
      </c>
      <c r="X78" s="71"/>
      <c r="Y78" s="71"/>
      <c r="Z78" s="64" t="e">
        <f t="shared" si="19"/>
        <v>#VALUE!</v>
      </c>
      <c r="AA78" s="64" t="e">
        <f t="shared" si="20"/>
        <v>#VALUE!</v>
      </c>
      <c r="AB78" s="71">
        <v>1460</v>
      </c>
      <c r="AC78" s="64">
        <f t="shared" si="21"/>
        <v>6.1818181818181821E-2</v>
      </c>
      <c r="AD78" s="64">
        <f t="shared" si="22"/>
        <v>6.8965517241379309E-3</v>
      </c>
      <c r="AE78" s="71">
        <v>1450</v>
      </c>
      <c r="AF78" s="64">
        <f t="shared" si="23"/>
        <v>5.4545454545454543E-2</v>
      </c>
      <c r="AG78" s="64">
        <f t="shared" si="24"/>
        <v>0</v>
      </c>
      <c r="AH78" s="67"/>
      <c r="AI78" s="47" t="s">
        <v>54</v>
      </c>
      <c r="AJ78" s="47">
        <v>889</v>
      </c>
      <c r="AK78" s="101" t="s">
        <v>140</v>
      </c>
      <c r="AL78" s="101" t="s">
        <v>65</v>
      </c>
      <c r="AM78" s="47" t="s">
        <v>945</v>
      </c>
      <c r="AN78" s="47">
        <v>1430</v>
      </c>
      <c r="AO78" s="211">
        <f t="shared" si="25"/>
        <v>0.04</v>
      </c>
      <c r="AP78" s="47" t="s">
        <v>852</v>
      </c>
      <c r="AQ78" s="111" t="s">
        <v>125</v>
      </c>
      <c r="AR78" s="77" t="s">
        <v>946</v>
      </c>
    </row>
    <row r="79" spans="1:44">
      <c r="A79" s="47" t="s">
        <v>44</v>
      </c>
      <c r="B79" s="47" t="str">
        <f t="shared" si="16"/>
        <v>July</v>
      </c>
      <c r="C79" s="59">
        <v>45495</v>
      </c>
      <c r="D79" s="47" t="s">
        <v>109</v>
      </c>
      <c r="E79" s="47" t="s">
        <v>942</v>
      </c>
      <c r="F79" s="47" t="s">
        <v>867</v>
      </c>
      <c r="G79" s="47" t="s">
        <v>1337</v>
      </c>
      <c r="H79" s="47" t="s">
        <v>1338</v>
      </c>
      <c r="I79" s="47" t="s">
        <v>63</v>
      </c>
      <c r="J79" s="47" t="s">
        <v>51</v>
      </c>
      <c r="K79" s="48">
        <v>44400</v>
      </c>
      <c r="L79" s="48">
        <v>45130</v>
      </c>
      <c r="M79" s="48">
        <v>45495</v>
      </c>
      <c r="N79" s="47" t="s">
        <v>64</v>
      </c>
      <c r="O79" s="55" t="s">
        <v>53</v>
      </c>
      <c r="P79" s="62">
        <v>14006</v>
      </c>
      <c r="Q79" s="62">
        <v>1167.1666666666667</v>
      </c>
      <c r="R79" s="96">
        <v>13500</v>
      </c>
      <c r="S79" s="62">
        <f t="shared" si="17"/>
        <v>1125</v>
      </c>
      <c r="T79" s="62">
        <v>12720</v>
      </c>
      <c r="U79" s="62">
        <f t="shared" si="18"/>
        <v>1060</v>
      </c>
      <c r="V79" s="69">
        <v>12000</v>
      </c>
      <c r="W79" s="71" t="s">
        <v>123</v>
      </c>
      <c r="X79" s="71"/>
      <c r="Y79" s="71"/>
      <c r="Z79" s="64" t="e">
        <f t="shared" si="19"/>
        <v>#VALUE!</v>
      </c>
      <c r="AA79" s="64" t="e">
        <f t="shared" si="20"/>
        <v>#VALUE!</v>
      </c>
      <c r="AB79" s="71">
        <v>1150</v>
      </c>
      <c r="AC79" s="64">
        <f t="shared" si="21"/>
        <v>8.4905660377358486E-2</v>
      </c>
      <c r="AD79" s="64">
        <f t="shared" si="22"/>
        <v>2.2222222222222223E-2</v>
      </c>
      <c r="AE79" s="71">
        <v>1125</v>
      </c>
      <c r="AF79" s="64">
        <f t="shared" si="23"/>
        <v>6.1320754716981132E-2</v>
      </c>
      <c r="AG79" s="64">
        <f t="shared" si="24"/>
        <v>0</v>
      </c>
      <c r="AH79" s="67"/>
      <c r="AI79" s="47" t="s">
        <v>54</v>
      </c>
      <c r="AJ79" s="47">
        <v>758</v>
      </c>
      <c r="AK79" s="101" t="s">
        <v>65</v>
      </c>
      <c r="AL79" s="101" t="s">
        <v>55</v>
      </c>
      <c r="AM79" s="47" t="s">
        <v>1339</v>
      </c>
      <c r="AN79" s="47">
        <v>1125</v>
      </c>
      <c r="AO79" s="211">
        <f t="shared" si="25"/>
        <v>6.1320754716981132E-2</v>
      </c>
      <c r="AP79" s="47" t="s">
        <v>852</v>
      </c>
      <c r="AQ79" s="111" t="s">
        <v>125</v>
      </c>
      <c r="AR79" s="47" t="s">
        <v>1340</v>
      </c>
    </row>
    <row r="80" spans="1:44">
      <c r="A80" s="47" t="s">
        <v>44</v>
      </c>
      <c r="B80" s="47" t="str">
        <f t="shared" si="16"/>
        <v>August</v>
      </c>
      <c r="C80" s="59">
        <v>45510</v>
      </c>
      <c r="D80" s="47" t="s">
        <v>109</v>
      </c>
      <c r="E80" s="47" t="s">
        <v>942</v>
      </c>
      <c r="F80" s="47" t="s">
        <v>867</v>
      </c>
      <c r="G80" s="47" t="s">
        <v>1758</v>
      </c>
      <c r="H80" s="47" t="s">
        <v>1759</v>
      </c>
      <c r="I80" s="47" t="s">
        <v>63</v>
      </c>
      <c r="J80" s="47" t="s">
        <v>51</v>
      </c>
      <c r="K80" s="48">
        <v>44415</v>
      </c>
      <c r="L80" s="48">
        <v>45145</v>
      </c>
      <c r="M80" s="48">
        <v>45510</v>
      </c>
      <c r="N80" s="47" t="s">
        <v>64</v>
      </c>
      <c r="O80" s="55" t="s">
        <v>53</v>
      </c>
      <c r="P80" s="62">
        <v>13465</v>
      </c>
      <c r="Q80" s="62">
        <v>1122.0833333333333</v>
      </c>
      <c r="R80" s="96">
        <v>13500</v>
      </c>
      <c r="S80" s="62">
        <f t="shared" si="17"/>
        <v>1125</v>
      </c>
      <c r="T80" s="62">
        <v>12900</v>
      </c>
      <c r="U80" s="62">
        <f t="shared" si="18"/>
        <v>1075</v>
      </c>
      <c r="V80" s="69">
        <v>12300</v>
      </c>
      <c r="W80" s="71" t="s">
        <v>123</v>
      </c>
      <c r="X80" s="71"/>
      <c r="Y80" s="71"/>
      <c r="Z80" s="64" t="e">
        <f t="shared" si="19"/>
        <v>#VALUE!</v>
      </c>
      <c r="AA80" s="64" t="e">
        <f t="shared" si="20"/>
        <v>#VALUE!</v>
      </c>
      <c r="AB80" s="71">
        <v>1150</v>
      </c>
      <c r="AC80" s="64">
        <f t="shared" si="21"/>
        <v>6.9767441860465115E-2</v>
      </c>
      <c r="AD80" s="64">
        <f t="shared" si="22"/>
        <v>2.2222222222222223E-2</v>
      </c>
      <c r="AE80" s="71">
        <v>1125</v>
      </c>
      <c r="AF80" s="64">
        <f t="shared" si="23"/>
        <v>4.6511627906976744E-2</v>
      </c>
      <c r="AG80" s="64">
        <f t="shared" si="24"/>
        <v>0</v>
      </c>
      <c r="AH80" s="67"/>
      <c r="AI80" s="47" t="s">
        <v>54</v>
      </c>
      <c r="AJ80" s="47">
        <v>728.7</v>
      </c>
      <c r="AK80" s="47" t="s">
        <v>65</v>
      </c>
      <c r="AL80" s="47" t="s">
        <v>65</v>
      </c>
      <c r="AM80" s="47" t="s">
        <v>1760</v>
      </c>
      <c r="AN80" s="47">
        <v>1150</v>
      </c>
      <c r="AO80" s="211">
        <f t="shared" si="25"/>
        <v>6.9767441860465115E-2</v>
      </c>
      <c r="AP80" s="47" t="s">
        <v>852</v>
      </c>
      <c r="AQ80" s="111" t="s">
        <v>125</v>
      </c>
      <c r="AR80" s="47" t="s">
        <v>1199</v>
      </c>
    </row>
    <row r="81" spans="1:44" hidden="1">
      <c r="A81" s="47" t="s">
        <v>44</v>
      </c>
      <c r="B81" s="47" t="str">
        <f t="shared" si="16"/>
        <v>July</v>
      </c>
      <c r="C81" s="59">
        <v>45499</v>
      </c>
      <c r="D81" s="47" t="s">
        <v>109</v>
      </c>
      <c r="E81" s="47" t="s">
        <v>942</v>
      </c>
      <c r="F81" s="47" t="s">
        <v>867</v>
      </c>
      <c r="G81" s="47" t="s">
        <v>1989</v>
      </c>
      <c r="H81" s="47" t="s">
        <v>1990</v>
      </c>
      <c r="I81" s="47" t="s">
        <v>63</v>
      </c>
      <c r="J81" s="47" t="s">
        <v>51</v>
      </c>
      <c r="K81" s="48">
        <v>45134</v>
      </c>
      <c r="L81" s="48">
        <v>45134</v>
      </c>
      <c r="M81" s="48">
        <v>45499</v>
      </c>
      <c r="N81" s="47" t="s">
        <v>52</v>
      </c>
      <c r="O81" s="55" t="s">
        <v>53</v>
      </c>
      <c r="P81" s="62">
        <v>13561</v>
      </c>
      <c r="Q81" s="62">
        <v>1130.0833333333333</v>
      </c>
      <c r="R81" s="96">
        <v>13500</v>
      </c>
      <c r="S81" s="62">
        <f t="shared" si="17"/>
        <v>1125</v>
      </c>
      <c r="T81" s="62">
        <v>13740</v>
      </c>
      <c r="U81" s="62">
        <f t="shared" si="18"/>
        <v>1145</v>
      </c>
      <c r="V81" s="69">
        <v>11940</v>
      </c>
      <c r="W81" s="71" t="s">
        <v>123</v>
      </c>
      <c r="X81" s="71"/>
      <c r="Y81" s="71"/>
      <c r="Z81" s="64" t="e">
        <f t="shared" si="19"/>
        <v>#VALUE!</v>
      </c>
      <c r="AA81" s="64" t="e">
        <f t="shared" si="20"/>
        <v>#VALUE!</v>
      </c>
      <c r="AB81" s="71">
        <v>1225</v>
      </c>
      <c r="AC81" s="64">
        <f t="shared" si="21"/>
        <v>6.9868995633187769E-2</v>
      </c>
      <c r="AD81" s="64">
        <f t="shared" si="22"/>
        <v>8.8888888888888892E-2</v>
      </c>
      <c r="AE81" s="71">
        <v>1200</v>
      </c>
      <c r="AF81" s="64">
        <f t="shared" si="23"/>
        <v>4.8034934497816595E-2</v>
      </c>
      <c r="AG81" s="64">
        <f t="shared" si="24"/>
        <v>6.6666666666666666E-2</v>
      </c>
      <c r="AH81" s="67"/>
      <c r="AI81" s="47" t="s">
        <v>54</v>
      </c>
      <c r="AJ81" s="47">
        <v>733.9</v>
      </c>
      <c r="AK81" s="101" t="s">
        <v>65</v>
      </c>
      <c r="AL81" s="101" t="s">
        <v>65</v>
      </c>
      <c r="AM81" s="47" t="s">
        <v>1991</v>
      </c>
      <c r="AN81" s="47">
        <v>1225</v>
      </c>
      <c r="AO81" s="211">
        <f t="shared" si="25"/>
        <v>6.9868995633187769E-2</v>
      </c>
      <c r="AP81" s="47" t="s">
        <v>852</v>
      </c>
      <c r="AQ81" s="111" t="s">
        <v>125</v>
      </c>
      <c r="AR81" s="47" t="s">
        <v>1992</v>
      </c>
    </row>
    <row r="82" spans="1:44" hidden="1">
      <c r="A82" s="47" t="s">
        <v>44</v>
      </c>
      <c r="B82" s="47" t="str">
        <f t="shared" si="16"/>
        <v>July</v>
      </c>
      <c r="C82" s="59">
        <v>45496</v>
      </c>
      <c r="D82" s="47" t="s">
        <v>109</v>
      </c>
      <c r="E82" s="47" t="s">
        <v>942</v>
      </c>
      <c r="F82" s="47" t="s">
        <v>867</v>
      </c>
      <c r="G82" s="47" t="s">
        <v>2010</v>
      </c>
      <c r="H82" s="47" t="s">
        <v>2011</v>
      </c>
      <c r="I82" s="47" t="s">
        <v>63</v>
      </c>
      <c r="J82" s="47" t="s">
        <v>51</v>
      </c>
      <c r="K82" s="48">
        <v>45131</v>
      </c>
      <c r="L82" s="48">
        <v>45131</v>
      </c>
      <c r="M82" s="48">
        <v>45496</v>
      </c>
      <c r="N82" s="47" t="s">
        <v>52</v>
      </c>
      <c r="O82" s="55" t="s">
        <v>53</v>
      </c>
      <c r="P82" s="62">
        <v>16634</v>
      </c>
      <c r="Q82" s="62">
        <v>1386.1666666666667</v>
      </c>
      <c r="R82" s="96">
        <v>17400</v>
      </c>
      <c r="S82" s="62">
        <f t="shared" si="17"/>
        <v>1450</v>
      </c>
      <c r="T82" s="62">
        <v>16800</v>
      </c>
      <c r="U82" s="62">
        <f t="shared" si="18"/>
        <v>1400</v>
      </c>
      <c r="V82" s="69">
        <v>15780</v>
      </c>
      <c r="W82" s="71" t="s">
        <v>123</v>
      </c>
      <c r="X82" s="71"/>
      <c r="Y82" s="71"/>
      <c r="Z82" s="64" t="e">
        <f t="shared" si="19"/>
        <v>#VALUE!</v>
      </c>
      <c r="AA82" s="64" t="e">
        <f t="shared" si="20"/>
        <v>#VALUE!</v>
      </c>
      <c r="AB82" s="71">
        <v>1475</v>
      </c>
      <c r="AC82" s="64">
        <f t="shared" si="21"/>
        <v>5.3571428571428568E-2</v>
      </c>
      <c r="AD82" s="64">
        <f t="shared" si="22"/>
        <v>1.7241379310344827E-2</v>
      </c>
      <c r="AE82" s="71">
        <v>1450</v>
      </c>
      <c r="AF82" s="64">
        <f t="shared" si="23"/>
        <v>3.5714285714285712E-2</v>
      </c>
      <c r="AG82" s="64">
        <f t="shared" si="24"/>
        <v>0</v>
      </c>
      <c r="AH82" s="67"/>
      <c r="AI82" s="47" t="s">
        <v>54</v>
      </c>
      <c r="AJ82" s="47">
        <v>889</v>
      </c>
      <c r="AK82" s="101" t="s">
        <v>140</v>
      </c>
      <c r="AL82" s="101" t="s">
        <v>65</v>
      </c>
      <c r="AM82" s="47" t="s">
        <v>2012</v>
      </c>
      <c r="AN82" s="47">
        <v>1475</v>
      </c>
      <c r="AO82" s="211">
        <f t="shared" si="25"/>
        <v>5.3571428571428568E-2</v>
      </c>
      <c r="AP82" s="47" t="s">
        <v>852</v>
      </c>
      <c r="AQ82" s="111" t="s">
        <v>125</v>
      </c>
      <c r="AR82" s="47" t="s">
        <v>2013</v>
      </c>
    </row>
    <row r="83" spans="1:44">
      <c r="A83" s="47" t="s">
        <v>44</v>
      </c>
      <c r="B83" s="47" t="str">
        <f t="shared" si="16"/>
        <v>July</v>
      </c>
      <c r="C83" s="59">
        <v>45479</v>
      </c>
      <c r="D83" s="47" t="s">
        <v>109</v>
      </c>
      <c r="E83" s="47" t="s">
        <v>942</v>
      </c>
      <c r="F83" s="47" t="s">
        <v>867</v>
      </c>
      <c r="G83" s="47" t="s">
        <v>2014</v>
      </c>
      <c r="H83" s="47" t="s">
        <v>2015</v>
      </c>
      <c r="I83" s="47" t="s">
        <v>63</v>
      </c>
      <c r="J83" s="47" t="s">
        <v>51</v>
      </c>
      <c r="K83" s="48">
        <v>44019</v>
      </c>
      <c r="L83" s="48">
        <v>45114</v>
      </c>
      <c r="M83" s="48">
        <v>45479</v>
      </c>
      <c r="N83" s="47" t="s">
        <v>64</v>
      </c>
      <c r="O83" s="55" t="s">
        <v>53</v>
      </c>
      <c r="P83" s="62">
        <v>13987</v>
      </c>
      <c r="Q83" s="62">
        <v>1165.5833333333333</v>
      </c>
      <c r="R83" s="96">
        <v>13500</v>
      </c>
      <c r="S83" s="62">
        <f t="shared" si="17"/>
        <v>1125</v>
      </c>
      <c r="T83" s="62">
        <v>12720</v>
      </c>
      <c r="U83" s="62">
        <f t="shared" si="18"/>
        <v>1060</v>
      </c>
      <c r="V83" s="69">
        <v>11940</v>
      </c>
      <c r="W83" s="71" t="s">
        <v>123</v>
      </c>
      <c r="X83" s="71"/>
      <c r="Y83" s="71"/>
      <c r="Z83" s="64" t="e">
        <f t="shared" si="19"/>
        <v>#VALUE!</v>
      </c>
      <c r="AA83" s="64" t="e">
        <f t="shared" si="20"/>
        <v>#VALUE!</v>
      </c>
      <c r="AB83" s="71">
        <v>1150</v>
      </c>
      <c r="AC83" s="64">
        <f t="shared" si="21"/>
        <v>8.4905660377358486E-2</v>
      </c>
      <c r="AD83" s="64">
        <f t="shared" si="22"/>
        <v>2.2222222222222223E-2</v>
      </c>
      <c r="AE83" s="71">
        <v>1125</v>
      </c>
      <c r="AF83" s="64">
        <f t="shared" si="23"/>
        <v>6.1320754716981132E-2</v>
      </c>
      <c r="AG83" s="64">
        <f t="shared" si="24"/>
        <v>0</v>
      </c>
      <c r="AH83" s="67"/>
      <c r="AI83" s="47" t="s">
        <v>54</v>
      </c>
      <c r="AJ83" s="47">
        <v>757</v>
      </c>
      <c r="AK83" s="101" t="s">
        <v>65</v>
      </c>
      <c r="AL83" s="101" t="s">
        <v>65</v>
      </c>
      <c r="AM83" s="47" t="s">
        <v>1339</v>
      </c>
      <c r="AN83" s="47">
        <v>1125</v>
      </c>
      <c r="AO83" s="211">
        <f t="shared" si="25"/>
        <v>6.1320754716981132E-2</v>
      </c>
      <c r="AP83" s="47" t="s">
        <v>852</v>
      </c>
      <c r="AQ83" s="111" t="s">
        <v>986</v>
      </c>
      <c r="AR83" s="47" t="s">
        <v>2016</v>
      </c>
    </row>
    <row r="84" spans="1:44" hidden="1">
      <c r="A84" s="47" t="s">
        <v>44</v>
      </c>
      <c r="B84" s="47" t="str">
        <f t="shared" si="16"/>
        <v>July</v>
      </c>
      <c r="C84" s="59">
        <v>45500</v>
      </c>
      <c r="D84" s="47" t="s">
        <v>109</v>
      </c>
      <c r="E84" s="47" t="s">
        <v>942</v>
      </c>
      <c r="F84" s="47" t="s">
        <v>867</v>
      </c>
      <c r="G84" s="47" t="s">
        <v>2017</v>
      </c>
      <c r="H84" s="47" t="s">
        <v>2018</v>
      </c>
      <c r="I84" s="47" t="s">
        <v>63</v>
      </c>
      <c r="J84" s="47" t="s">
        <v>51</v>
      </c>
      <c r="K84" s="48">
        <v>45135</v>
      </c>
      <c r="L84" s="48">
        <v>45135</v>
      </c>
      <c r="M84" s="48">
        <v>45500</v>
      </c>
      <c r="N84" s="47" t="s">
        <v>52</v>
      </c>
      <c r="O84" s="55" t="s">
        <v>53</v>
      </c>
      <c r="P84" s="62">
        <v>14117</v>
      </c>
      <c r="Q84" s="62">
        <v>1176.4166666666667</v>
      </c>
      <c r="R84" s="96">
        <v>15300</v>
      </c>
      <c r="S84" s="62">
        <f t="shared" si="17"/>
        <v>1275</v>
      </c>
      <c r="T84" s="62">
        <v>15300</v>
      </c>
      <c r="U84" s="62">
        <f t="shared" si="18"/>
        <v>1275</v>
      </c>
      <c r="V84" s="69">
        <v>14655.6</v>
      </c>
      <c r="W84" s="71" t="s">
        <v>123</v>
      </c>
      <c r="X84" s="71"/>
      <c r="Y84" s="71"/>
      <c r="Z84" s="64" t="e">
        <f t="shared" si="19"/>
        <v>#VALUE!</v>
      </c>
      <c r="AA84" s="64" t="e">
        <f t="shared" si="20"/>
        <v>#VALUE!</v>
      </c>
      <c r="AB84" s="71">
        <v>1350</v>
      </c>
      <c r="AC84" s="64">
        <f t="shared" si="21"/>
        <v>5.8823529411764705E-2</v>
      </c>
      <c r="AD84" s="64">
        <f t="shared" si="22"/>
        <v>5.8823529411764705E-2</v>
      </c>
      <c r="AE84" s="71">
        <v>1310</v>
      </c>
      <c r="AF84" s="64">
        <f t="shared" si="23"/>
        <v>2.7450980392156862E-2</v>
      </c>
      <c r="AG84" s="64">
        <f t="shared" si="24"/>
        <v>2.7450980392156862E-2</v>
      </c>
      <c r="AH84" s="67"/>
      <c r="AI84" s="47" t="s">
        <v>54</v>
      </c>
      <c r="AJ84" s="47">
        <v>764</v>
      </c>
      <c r="AK84" s="101" t="s">
        <v>65</v>
      </c>
      <c r="AL84" s="101" t="s">
        <v>55</v>
      </c>
      <c r="AM84" s="47" t="s">
        <v>2019</v>
      </c>
      <c r="AN84" s="47">
        <v>1350</v>
      </c>
      <c r="AO84" s="211">
        <f t="shared" si="25"/>
        <v>5.8823529411764705E-2</v>
      </c>
      <c r="AP84" s="47" t="s">
        <v>852</v>
      </c>
      <c r="AQ84" s="111" t="s">
        <v>125</v>
      </c>
      <c r="AR84" s="47" t="s">
        <v>991</v>
      </c>
    </row>
    <row r="85" spans="1:44">
      <c r="A85" s="47" t="s">
        <v>44</v>
      </c>
      <c r="B85" s="47" t="str">
        <f t="shared" si="16"/>
        <v>July</v>
      </c>
      <c r="C85" s="59">
        <v>45495</v>
      </c>
      <c r="D85" s="47" t="s">
        <v>109</v>
      </c>
      <c r="E85" s="47" t="s">
        <v>942</v>
      </c>
      <c r="F85" s="47" t="s">
        <v>867</v>
      </c>
      <c r="G85" s="47" t="s">
        <v>2020</v>
      </c>
      <c r="H85" s="47" t="s">
        <v>2021</v>
      </c>
      <c r="I85" s="47" t="s">
        <v>63</v>
      </c>
      <c r="J85" s="47" t="s">
        <v>51</v>
      </c>
      <c r="K85" s="48">
        <v>43304</v>
      </c>
      <c r="L85" s="48">
        <v>44400</v>
      </c>
      <c r="M85" s="48">
        <v>45495</v>
      </c>
      <c r="N85" s="47" t="s">
        <v>64</v>
      </c>
      <c r="O85" s="55" t="s">
        <v>53</v>
      </c>
      <c r="P85" s="62">
        <v>16765</v>
      </c>
      <c r="Q85" s="62">
        <v>1397.0833333333333</v>
      </c>
      <c r="R85" s="96">
        <v>17400</v>
      </c>
      <c r="S85" s="62">
        <f t="shared" si="17"/>
        <v>1450</v>
      </c>
      <c r="T85" s="62">
        <v>16326.72</v>
      </c>
      <c r="U85" s="62">
        <f t="shared" si="18"/>
        <v>1360.56</v>
      </c>
      <c r="V85" s="69">
        <v>15928.56</v>
      </c>
      <c r="W85" s="71" t="s">
        <v>123</v>
      </c>
      <c r="X85" s="71"/>
      <c r="Y85" s="71"/>
      <c r="Z85" s="64" t="e">
        <f t="shared" si="19"/>
        <v>#VALUE!</v>
      </c>
      <c r="AA85" s="64" t="e">
        <f t="shared" si="20"/>
        <v>#VALUE!</v>
      </c>
      <c r="AB85" s="71">
        <v>1460</v>
      </c>
      <c r="AC85" s="64">
        <f t="shared" si="21"/>
        <v>7.3087552184394708E-2</v>
      </c>
      <c r="AD85" s="64">
        <f t="shared" si="22"/>
        <v>6.8965517241379309E-3</v>
      </c>
      <c r="AE85" s="71">
        <v>1450</v>
      </c>
      <c r="AF85" s="64">
        <f t="shared" si="23"/>
        <v>6.5737637443405703E-2</v>
      </c>
      <c r="AG85" s="64">
        <f t="shared" si="24"/>
        <v>0</v>
      </c>
      <c r="AH85" s="67"/>
      <c r="AI85" s="47" t="s">
        <v>54</v>
      </c>
      <c r="AJ85" s="47">
        <v>889</v>
      </c>
      <c r="AK85" s="101" t="s">
        <v>140</v>
      </c>
      <c r="AL85" s="101" t="s">
        <v>65</v>
      </c>
      <c r="AM85" s="47" t="s">
        <v>2012</v>
      </c>
      <c r="AN85" s="47">
        <v>1460</v>
      </c>
      <c r="AO85" s="211">
        <f t="shared" si="25"/>
        <v>7.3087552184394708E-2</v>
      </c>
      <c r="AP85" s="47" t="s">
        <v>852</v>
      </c>
      <c r="AQ85" s="111" t="s">
        <v>125</v>
      </c>
      <c r="AR85" s="47" t="s">
        <v>1650</v>
      </c>
    </row>
    <row r="86" spans="1:44">
      <c r="A86" s="47" t="s">
        <v>44</v>
      </c>
      <c r="B86" s="47" t="str">
        <f t="shared" si="16"/>
        <v>July</v>
      </c>
      <c r="C86" s="59">
        <v>45484</v>
      </c>
      <c r="D86" s="47" t="s">
        <v>109</v>
      </c>
      <c r="E86" s="47" t="s">
        <v>942</v>
      </c>
      <c r="F86" s="47" t="s">
        <v>867</v>
      </c>
      <c r="G86" s="47" t="s">
        <v>2027</v>
      </c>
      <c r="H86" s="47" t="s">
        <v>1049</v>
      </c>
      <c r="I86" s="47" t="s">
        <v>2028</v>
      </c>
      <c r="J86" s="47" t="s">
        <v>51</v>
      </c>
      <c r="K86" s="48">
        <v>44754</v>
      </c>
      <c r="L86" s="48">
        <v>45119</v>
      </c>
      <c r="M86" s="48">
        <v>45484</v>
      </c>
      <c r="N86" s="47" t="s">
        <v>64</v>
      </c>
      <c r="O86" s="55" t="s">
        <v>889</v>
      </c>
      <c r="P86" s="62">
        <v>11216</v>
      </c>
      <c r="Q86" s="62">
        <v>934.66666666666663</v>
      </c>
      <c r="R86" s="96">
        <v>12600</v>
      </c>
      <c r="S86" s="62">
        <f t="shared" si="17"/>
        <v>1050</v>
      </c>
      <c r="T86" s="62">
        <v>11820</v>
      </c>
      <c r="U86" s="62">
        <f t="shared" si="18"/>
        <v>985</v>
      </c>
      <c r="V86" s="69">
        <v>11100</v>
      </c>
      <c r="W86" s="71" t="s">
        <v>123</v>
      </c>
      <c r="X86" s="71"/>
      <c r="Y86" s="71"/>
      <c r="Z86" s="90" t="e">
        <f t="shared" si="19"/>
        <v>#VALUE!</v>
      </c>
      <c r="AA86" s="90" t="e">
        <f t="shared" si="20"/>
        <v>#VALUE!</v>
      </c>
      <c r="AB86" s="71">
        <v>1075</v>
      </c>
      <c r="AC86" s="90">
        <f t="shared" si="21"/>
        <v>9.1370558375634514E-2</v>
      </c>
      <c r="AD86" s="90">
        <f t="shared" si="22"/>
        <v>2.3809523809523808E-2</v>
      </c>
      <c r="AE86" s="71">
        <v>1050</v>
      </c>
      <c r="AF86" s="90">
        <f t="shared" si="23"/>
        <v>6.5989847715736044E-2</v>
      </c>
      <c r="AG86" s="90">
        <f t="shared" si="24"/>
        <v>0</v>
      </c>
      <c r="AH86" s="67"/>
      <c r="AI86" s="47" t="s">
        <v>395</v>
      </c>
      <c r="AJ86" s="47">
        <v>486.5</v>
      </c>
      <c r="AK86" s="47" t="s">
        <v>55</v>
      </c>
      <c r="AL86" s="47" t="s">
        <v>55</v>
      </c>
      <c r="AM86" s="47" t="s">
        <v>2029</v>
      </c>
      <c r="AN86" s="47">
        <v>1075</v>
      </c>
      <c r="AO86" s="211">
        <f t="shared" si="25"/>
        <v>9.1370558375634514E-2</v>
      </c>
      <c r="AP86" s="47" t="s">
        <v>852</v>
      </c>
      <c r="AQ86" s="168" t="s">
        <v>1050</v>
      </c>
      <c r="AR86" s="47" t="s">
        <v>1974</v>
      </c>
    </row>
    <row r="87" spans="1:44">
      <c r="A87" s="47" t="s">
        <v>44</v>
      </c>
      <c r="B87" s="47" t="str">
        <f t="shared" si="16"/>
        <v>August</v>
      </c>
      <c r="C87" s="59">
        <v>45517</v>
      </c>
      <c r="D87" s="47" t="s">
        <v>109</v>
      </c>
      <c r="E87" s="47" t="s">
        <v>942</v>
      </c>
      <c r="F87" s="47" t="s">
        <v>867</v>
      </c>
      <c r="G87" s="47" t="s">
        <v>2376</v>
      </c>
      <c r="H87" s="47" t="s">
        <v>2377</v>
      </c>
      <c r="I87" s="47" t="s">
        <v>63</v>
      </c>
      <c r="J87" s="47" t="s">
        <v>51</v>
      </c>
      <c r="K87" s="48">
        <v>44057</v>
      </c>
      <c r="L87" s="48">
        <v>45152</v>
      </c>
      <c r="M87" s="48">
        <v>45517</v>
      </c>
      <c r="N87" s="47" t="s">
        <v>64</v>
      </c>
      <c r="O87" s="55" t="s">
        <v>53</v>
      </c>
      <c r="P87" s="62">
        <v>16634</v>
      </c>
      <c r="Q87" s="62">
        <v>1386.1666666666667</v>
      </c>
      <c r="R87" s="96">
        <v>17400</v>
      </c>
      <c r="S87" s="62">
        <f t="shared" si="17"/>
        <v>1450</v>
      </c>
      <c r="T87" s="62">
        <v>16740</v>
      </c>
      <c r="U87" s="62">
        <f t="shared" si="18"/>
        <v>1395</v>
      </c>
      <c r="V87" s="69">
        <v>15900</v>
      </c>
      <c r="W87" s="71" t="s">
        <v>123</v>
      </c>
      <c r="X87" s="71"/>
      <c r="Y87" s="71"/>
      <c r="Z87" s="64" t="e">
        <f t="shared" si="19"/>
        <v>#VALUE!</v>
      </c>
      <c r="AA87" s="64" t="e">
        <f t="shared" si="20"/>
        <v>#VALUE!</v>
      </c>
      <c r="AB87" s="71">
        <v>1475</v>
      </c>
      <c r="AC87" s="64">
        <f t="shared" si="21"/>
        <v>5.7347670250896057E-2</v>
      </c>
      <c r="AD87" s="64">
        <f t="shared" si="22"/>
        <v>1.7241379310344827E-2</v>
      </c>
      <c r="AE87" s="71">
        <v>1450</v>
      </c>
      <c r="AF87" s="64">
        <f t="shared" si="23"/>
        <v>3.9426523297491037E-2</v>
      </c>
      <c r="AG87" s="64">
        <f t="shared" si="24"/>
        <v>0</v>
      </c>
      <c r="AH87" s="67"/>
      <c r="AI87" s="47" t="s">
        <v>54</v>
      </c>
      <c r="AJ87" s="47">
        <v>889</v>
      </c>
      <c r="AK87" s="47" t="s">
        <v>140</v>
      </c>
      <c r="AL87" s="47" t="s">
        <v>65</v>
      </c>
      <c r="AM87" s="47" t="s">
        <v>2378</v>
      </c>
      <c r="AN87" s="47">
        <v>1475</v>
      </c>
      <c r="AO87" s="211">
        <f t="shared" si="25"/>
        <v>5.7347670250896057E-2</v>
      </c>
      <c r="AP87" s="47" t="s">
        <v>852</v>
      </c>
      <c r="AQ87" s="111" t="s">
        <v>125</v>
      </c>
      <c r="AR87" s="47" t="s">
        <v>1199</v>
      </c>
    </row>
    <row r="88" spans="1:44" hidden="1">
      <c r="A88" s="47" t="s">
        <v>44</v>
      </c>
      <c r="B88" s="47" t="str">
        <f t="shared" si="16"/>
        <v>August</v>
      </c>
      <c r="C88" s="59">
        <v>45518</v>
      </c>
      <c r="D88" s="47" t="s">
        <v>109</v>
      </c>
      <c r="E88" s="47" t="s">
        <v>942</v>
      </c>
      <c r="F88" s="47" t="s">
        <v>867</v>
      </c>
      <c r="G88" s="47" t="s">
        <v>2423</v>
      </c>
      <c r="H88" s="47" t="s">
        <v>2424</v>
      </c>
      <c r="I88" s="47" t="s">
        <v>63</v>
      </c>
      <c r="J88" s="47" t="s">
        <v>51</v>
      </c>
      <c r="K88" s="48">
        <v>45153</v>
      </c>
      <c r="L88" s="48">
        <v>45153</v>
      </c>
      <c r="M88" s="48">
        <v>45518</v>
      </c>
      <c r="N88" s="47" t="s">
        <v>52</v>
      </c>
      <c r="O88" s="55" t="s">
        <v>53</v>
      </c>
      <c r="P88" s="62">
        <v>19200</v>
      </c>
      <c r="Q88" s="62">
        <v>1600</v>
      </c>
      <c r="R88" s="96">
        <v>19800</v>
      </c>
      <c r="S88" s="62">
        <f t="shared" si="17"/>
        <v>1650</v>
      </c>
      <c r="T88" s="62">
        <v>19200</v>
      </c>
      <c r="U88" s="62">
        <f t="shared" si="18"/>
        <v>1600</v>
      </c>
      <c r="V88" s="69">
        <v>17100</v>
      </c>
      <c r="W88" s="71" t="s">
        <v>123</v>
      </c>
      <c r="X88" s="71"/>
      <c r="Y88" s="71"/>
      <c r="Z88" s="64" t="e">
        <f t="shared" si="19"/>
        <v>#VALUE!</v>
      </c>
      <c r="AA88" s="64" t="e">
        <f t="shared" si="20"/>
        <v>#VALUE!</v>
      </c>
      <c r="AB88" s="71">
        <v>1675</v>
      </c>
      <c r="AC88" s="64">
        <f t="shared" si="21"/>
        <v>4.6875E-2</v>
      </c>
      <c r="AD88" s="64">
        <f t="shared" si="22"/>
        <v>1.5151515151515152E-2</v>
      </c>
      <c r="AE88" s="71">
        <v>1650</v>
      </c>
      <c r="AF88" s="64">
        <f t="shared" si="23"/>
        <v>3.125E-2</v>
      </c>
      <c r="AG88" s="64">
        <f t="shared" si="24"/>
        <v>0</v>
      </c>
      <c r="AH88" s="67"/>
      <c r="AI88" s="47" t="s">
        <v>54</v>
      </c>
      <c r="AJ88" s="47">
        <v>1297</v>
      </c>
      <c r="AK88" s="47" t="s">
        <v>1093</v>
      </c>
      <c r="AL88" s="47" t="s">
        <v>65</v>
      </c>
      <c r="AM88" s="47" t="s">
        <v>2425</v>
      </c>
      <c r="AN88" s="47"/>
      <c r="AO88" s="211">
        <f t="shared" si="25"/>
        <v>-1</v>
      </c>
      <c r="AP88" s="47" t="s">
        <v>852</v>
      </c>
      <c r="AQ88" s="91" t="s">
        <v>1074</v>
      </c>
      <c r="AR88" s="47" t="s">
        <v>1340</v>
      </c>
    </row>
    <row r="89" spans="1:44" hidden="1">
      <c r="A89" s="47" t="s">
        <v>44</v>
      </c>
      <c r="B89" s="47" t="str">
        <f t="shared" si="16"/>
        <v>August</v>
      </c>
      <c r="C89" s="59">
        <v>45521</v>
      </c>
      <c r="D89" s="47" t="s">
        <v>109</v>
      </c>
      <c r="E89" s="47" t="s">
        <v>942</v>
      </c>
      <c r="F89" s="47" t="s">
        <v>867</v>
      </c>
      <c r="G89" s="47" t="s">
        <v>2488</v>
      </c>
      <c r="H89" s="47" t="s">
        <v>2489</v>
      </c>
      <c r="I89" s="47" t="s">
        <v>63</v>
      </c>
      <c r="J89" s="47" t="s">
        <v>51</v>
      </c>
      <c r="K89" s="48">
        <v>45156</v>
      </c>
      <c r="L89" s="48">
        <v>45156</v>
      </c>
      <c r="M89" s="48">
        <v>45521</v>
      </c>
      <c r="N89" s="47" t="s">
        <v>52</v>
      </c>
      <c r="O89" s="55" t="s">
        <v>53</v>
      </c>
      <c r="P89" s="62">
        <v>15276</v>
      </c>
      <c r="Q89" s="62">
        <v>1273</v>
      </c>
      <c r="R89" s="96">
        <v>15300</v>
      </c>
      <c r="S89" s="62">
        <f t="shared" si="17"/>
        <v>1275</v>
      </c>
      <c r="T89" s="62">
        <v>15120</v>
      </c>
      <c r="U89" s="62">
        <f t="shared" si="18"/>
        <v>1260</v>
      </c>
      <c r="V89" s="69">
        <v>14400</v>
      </c>
      <c r="W89" s="71" t="s">
        <v>123</v>
      </c>
      <c r="X89" s="71"/>
      <c r="Y89" s="71"/>
      <c r="Z89" s="64" t="e">
        <f t="shared" si="19"/>
        <v>#VALUE!</v>
      </c>
      <c r="AA89" s="64" t="e">
        <f t="shared" si="20"/>
        <v>#VALUE!</v>
      </c>
      <c r="AB89" s="71">
        <v>1350</v>
      </c>
      <c r="AC89" s="64">
        <f t="shared" si="21"/>
        <v>7.1428571428571425E-2</v>
      </c>
      <c r="AD89" s="64">
        <f t="shared" si="22"/>
        <v>5.8823529411764705E-2</v>
      </c>
      <c r="AE89" s="71">
        <v>1310</v>
      </c>
      <c r="AF89" s="64">
        <f t="shared" si="23"/>
        <v>3.968253968253968E-2</v>
      </c>
      <c r="AG89" s="64">
        <f t="shared" si="24"/>
        <v>2.7450980392156862E-2</v>
      </c>
      <c r="AH89" s="67"/>
      <c r="AI89" s="47" t="s">
        <v>54</v>
      </c>
      <c r="AJ89" s="47">
        <v>762.1</v>
      </c>
      <c r="AK89" s="47" t="s">
        <v>65</v>
      </c>
      <c r="AL89" s="47" t="s">
        <v>55</v>
      </c>
      <c r="AM89" s="47" t="s">
        <v>2490</v>
      </c>
      <c r="AN89" s="47">
        <v>1350</v>
      </c>
      <c r="AO89" s="211">
        <f t="shared" si="25"/>
        <v>7.1428571428571425E-2</v>
      </c>
      <c r="AP89" s="47" t="s">
        <v>852</v>
      </c>
      <c r="AQ89" s="111" t="s">
        <v>125</v>
      </c>
      <c r="AR89" s="47" t="s">
        <v>991</v>
      </c>
    </row>
    <row r="90" spans="1:44" hidden="1">
      <c r="A90" s="47" t="s">
        <v>44</v>
      </c>
      <c r="B90" s="47" t="str">
        <f t="shared" si="16"/>
        <v>August</v>
      </c>
      <c r="C90" s="59">
        <v>45524</v>
      </c>
      <c r="D90" s="47" t="s">
        <v>109</v>
      </c>
      <c r="E90" s="47" t="s">
        <v>942</v>
      </c>
      <c r="F90" s="47" t="s">
        <v>867</v>
      </c>
      <c r="G90" s="47" t="s">
        <v>2590</v>
      </c>
      <c r="H90" s="47" t="s">
        <v>2591</v>
      </c>
      <c r="I90" s="47" t="s">
        <v>63</v>
      </c>
      <c r="J90" s="47" t="s">
        <v>51</v>
      </c>
      <c r="K90" s="48">
        <v>45159</v>
      </c>
      <c r="L90" s="48">
        <v>45159</v>
      </c>
      <c r="M90" s="48">
        <v>45524</v>
      </c>
      <c r="N90" s="47" t="s">
        <v>52</v>
      </c>
      <c r="O90" s="55" t="s">
        <v>53</v>
      </c>
      <c r="P90" s="62">
        <v>14117</v>
      </c>
      <c r="Q90" s="62">
        <v>1176.4166666666667</v>
      </c>
      <c r="R90" s="96">
        <v>15300</v>
      </c>
      <c r="S90" s="62">
        <f t="shared" si="17"/>
        <v>1275</v>
      </c>
      <c r="T90" s="62">
        <v>15300</v>
      </c>
      <c r="U90" s="62">
        <f t="shared" si="18"/>
        <v>1275</v>
      </c>
      <c r="V90" s="69">
        <v>15300</v>
      </c>
      <c r="W90" s="71" t="s">
        <v>123</v>
      </c>
      <c r="X90" s="71"/>
      <c r="Y90" s="71"/>
      <c r="Z90" s="64" t="e">
        <f t="shared" si="19"/>
        <v>#VALUE!</v>
      </c>
      <c r="AA90" s="64" t="e">
        <f t="shared" si="20"/>
        <v>#VALUE!</v>
      </c>
      <c r="AB90" s="71">
        <v>1350</v>
      </c>
      <c r="AC90" s="64">
        <f t="shared" si="21"/>
        <v>5.8823529411764705E-2</v>
      </c>
      <c r="AD90" s="64">
        <f t="shared" si="22"/>
        <v>5.8823529411764705E-2</v>
      </c>
      <c r="AE90" s="71">
        <v>1325</v>
      </c>
      <c r="AF90" s="64">
        <f t="shared" si="23"/>
        <v>3.9215686274509803E-2</v>
      </c>
      <c r="AG90" s="64">
        <f t="shared" si="24"/>
        <v>3.9215686274509803E-2</v>
      </c>
      <c r="AH90" s="67"/>
      <c r="AI90" s="47" t="s">
        <v>54</v>
      </c>
      <c r="AJ90" s="47">
        <v>764</v>
      </c>
      <c r="AK90" s="47" t="s">
        <v>140</v>
      </c>
      <c r="AL90" s="47" t="s">
        <v>65</v>
      </c>
      <c r="AM90" s="47" t="s">
        <v>2019</v>
      </c>
      <c r="AN90" s="47">
        <v>1350</v>
      </c>
      <c r="AO90" s="211">
        <f t="shared" si="25"/>
        <v>5.8823529411764705E-2</v>
      </c>
      <c r="AP90" s="47" t="s">
        <v>852</v>
      </c>
      <c r="AQ90" s="111" t="s">
        <v>2362</v>
      </c>
      <c r="AR90" s="47" t="s">
        <v>2592</v>
      </c>
    </row>
    <row r="91" spans="1:44">
      <c r="A91" s="47" t="s">
        <v>44</v>
      </c>
      <c r="B91" s="47" t="str">
        <f t="shared" si="16"/>
        <v>August</v>
      </c>
      <c r="C91" s="59">
        <v>45528</v>
      </c>
      <c r="D91" s="47" t="s">
        <v>109</v>
      </c>
      <c r="E91" s="47" t="s">
        <v>942</v>
      </c>
      <c r="F91" s="47" t="s">
        <v>867</v>
      </c>
      <c r="G91" s="47" t="s">
        <v>2951</v>
      </c>
      <c r="H91" s="47" t="s">
        <v>2952</v>
      </c>
      <c r="I91" s="47" t="s">
        <v>2953</v>
      </c>
      <c r="J91" s="47" t="s">
        <v>51</v>
      </c>
      <c r="K91" s="48">
        <v>44798</v>
      </c>
      <c r="L91" s="48">
        <v>45163</v>
      </c>
      <c r="M91" s="48">
        <v>45528</v>
      </c>
      <c r="N91" s="47" t="s">
        <v>64</v>
      </c>
      <c r="O91" s="55" t="s">
        <v>53</v>
      </c>
      <c r="P91" s="62">
        <v>11887</v>
      </c>
      <c r="Q91" s="62">
        <v>990.58333333333337</v>
      </c>
      <c r="R91" s="96">
        <v>12600</v>
      </c>
      <c r="S91" s="62">
        <f t="shared" si="17"/>
        <v>1050</v>
      </c>
      <c r="T91" s="62">
        <v>11280</v>
      </c>
      <c r="U91" s="62">
        <f t="shared" si="18"/>
        <v>940</v>
      </c>
      <c r="V91" s="69">
        <v>10500</v>
      </c>
      <c r="W91" s="71" t="s">
        <v>123</v>
      </c>
      <c r="X91" s="71"/>
      <c r="Y91" s="71"/>
      <c r="Z91" s="64" t="e">
        <f t="shared" si="19"/>
        <v>#VALUE!</v>
      </c>
      <c r="AA91" s="64" t="e">
        <f t="shared" si="20"/>
        <v>#VALUE!</v>
      </c>
      <c r="AB91" s="71">
        <v>1050</v>
      </c>
      <c r="AC91" s="64">
        <f t="shared" si="21"/>
        <v>0.11702127659574468</v>
      </c>
      <c r="AD91" s="64">
        <f t="shared" si="22"/>
        <v>0</v>
      </c>
      <c r="AE91" s="71">
        <v>1040</v>
      </c>
      <c r="AF91" s="64">
        <f t="shared" si="23"/>
        <v>0.10638297872340426</v>
      </c>
      <c r="AG91" s="64">
        <f t="shared" si="24"/>
        <v>-9.5238095238095247E-3</v>
      </c>
      <c r="AH91" s="67"/>
      <c r="AI91" s="47" t="s">
        <v>54</v>
      </c>
      <c r="AJ91" s="47">
        <v>515.6</v>
      </c>
      <c r="AK91" s="47" t="s">
        <v>55</v>
      </c>
      <c r="AL91" s="47" t="s">
        <v>55</v>
      </c>
      <c r="AM91" s="47" t="s">
        <v>2954</v>
      </c>
      <c r="AN91" s="47"/>
      <c r="AO91" s="211">
        <f t="shared" si="25"/>
        <v>-1</v>
      </c>
      <c r="AP91" s="47" t="s">
        <v>852</v>
      </c>
      <c r="AQ91" s="91" t="s">
        <v>1074</v>
      </c>
      <c r="AR91" s="47" t="s">
        <v>2955</v>
      </c>
    </row>
    <row r="92" spans="1:44">
      <c r="A92" s="47" t="s">
        <v>44</v>
      </c>
      <c r="B92" s="47" t="str">
        <f t="shared" si="16"/>
        <v>August</v>
      </c>
      <c r="C92" s="59">
        <v>45535</v>
      </c>
      <c r="D92" s="47" t="s">
        <v>109</v>
      </c>
      <c r="E92" s="47" t="s">
        <v>942</v>
      </c>
      <c r="F92" s="47" t="s">
        <v>867</v>
      </c>
      <c r="G92" s="47" t="s">
        <v>3733</v>
      </c>
      <c r="H92" s="47" t="s">
        <v>3734</v>
      </c>
      <c r="I92" s="47" t="s">
        <v>63</v>
      </c>
      <c r="J92" s="47" t="s">
        <v>51</v>
      </c>
      <c r="K92" s="48">
        <v>44440</v>
      </c>
      <c r="L92" s="48">
        <v>45170</v>
      </c>
      <c r="M92" s="48">
        <v>45535</v>
      </c>
      <c r="N92" s="47" t="s">
        <v>64</v>
      </c>
      <c r="O92" s="55" t="s">
        <v>53</v>
      </c>
      <c r="P92" s="62">
        <v>11975</v>
      </c>
      <c r="Q92" s="62">
        <v>997.91666666666663</v>
      </c>
      <c r="R92" s="96">
        <v>12600</v>
      </c>
      <c r="S92" s="62">
        <f t="shared" si="17"/>
        <v>1050</v>
      </c>
      <c r="T92" s="62">
        <v>11700</v>
      </c>
      <c r="U92" s="62">
        <f t="shared" si="18"/>
        <v>975</v>
      </c>
      <c r="V92" s="69">
        <v>11100</v>
      </c>
      <c r="W92" s="71" t="s">
        <v>123</v>
      </c>
      <c r="X92" s="71"/>
      <c r="Y92" s="71"/>
      <c r="Z92" s="64" t="e">
        <f t="shared" si="19"/>
        <v>#VALUE!</v>
      </c>
      <c r="AA92" s="64" t="e">
        <f t="shared" si="20"/>
        <v>#VALUE!</v>
      </c>
      <c r="AB92" s="71">
        <v>1075</v>
      </c>
      <c r="AC92" s="64">
        <f t="shared" si="21"/>
        <v>0.10256410256410256</v>
      </c>
      <c r="AD92" s="64">
        <f t="shared" si="22"/>
        <v>2.3809523809523808E-2</v>
      </c>
      <c r="AE92" s="71">
        <v>1050</v>
      </c>
      <c r="AF92" s="64">
        <f t="shared" si="23"/>
        <v>7.6923076923076927E-2</v>
      </c>
      <c r="AG92" s="64">
        <f t="shared" si="24"/>
        <v>0</v>
      </c>
      <c r="AH92" s="67"/>
      <c r="AI92" s="47" t="s">
        <v>54</v>
      </c>
      <c r="AJ92" s="47">
        <v>498.4</v>
      </c>
      <c r="AK92" s="47" t="s">
        <v>55</v>
      </c>
      <c r="AL92" s="47" t="s">
        <v>55</v>
      </c>
      <c r="AM92" s="47" t="s">
        <v>3735</v>
      </c>
      <c r="AN92" s="47">
        <v>1050</v>
      </c>
      <c r="AO92" s="211">
        <f t="shared" si="25"/>
        <v>7.6923076923076927E-2</v>
      </c>
      <c r="AP92" s="142" t="s">
        <v>852</v>
      </c>
      <c r="AQ92" s="111" t="s">
        <v>125</v>
      </c>
      <c r="AR92" s="143" t="s">
        <v>3113</v>
      </c>
    </row>
    <row r="93" spans="1:44" ht="15">
      <c r="A93" s="47"/>
      <c r="B93" s="47" t="str">
        <f t="shared" si="16"/>
        <v>21/07/2024</v>
      </c>
      <c r="C93" s="59" t="s">
        <v>3836</v>
      </c>
      <c r="D93" s="47" t="s">
        <v>109</v>
      </c>
      <c r="E93" s="47" t="s">
        <v>942</v>
      </c>
      <c r="F93" s="47"/>
      <c r="G93" s="47" t="s">
        <v>3837</v>
      </c>
      <c r="H93" s="47"/>
      <c r="I93" s="47" t="s">
        <v>3833</v>
      </c>
      <c r="J93" s="47"/>
      <c r="K93" s="47"/>
      <c r="L93" s="47"/>
      <c r="M93" s="47"/>
      <c r="N93" s="47"/>
      <c r="O93" s="55" t="s">
        <v>53</v>
      </c>
      <c r="P93" s="62">
        <v>14117</v>
      </c>
      <c r="Q93" s="62">
        <v>1176</v>
      </c>
      <c r="R93" s="103">
        <v>15300</v>
      </c>
      <c r="S93" s="62">
        <f t="shared" si="17"/>
        <v>1275</v>
      </c>
      <c r="T93" s="281"/>
      <c r="U93" s="62" t="s">
        <v>3838</v>
      </c>
      <c r="V93" s="69"/>
      <c r="W93" s="71" t="s">
        <v>123</v>
      </c>
      <c r="X93" s="71"/>
      <c r="Y93" s="71"/>
      <c r="Z93" s="90" t="e">
        <f t="shared" si="19"/>
        <v>#VALUE!</v>
      </c>
      <c r="AA93" s="90" t="e">
        <f t="shared" si="20"/>
        <v>#VALUE!</v>
      </c>
      <c r="AB93" s="71">
        <v>1350</v>
      </c>
      <c r="AC93" s="90" t="e">
        <f t="shared" si="21"/>
        <v>#VALUE!</v>
      </c>
      <c r="AD93" s="90">
        <f t="shared" si="22"/>
        <v>5.8823529411764705E-2</v>
      </c>
      <c r="AE93" s="71">
        <v>1325</v>
      </c>
      <c r="AF93" s="90" t="e">
        <f t="shared" si="23"/>
        <v>#VALUE!</v>
      </c>
      <c r="AG93" s="90">
        <f t="shared" si="24"/>
        <v>3.9215686274509803E-2</v>
      </c>
      <c r="AH93" s="67"/>
      <c r="AI93" s="47"/>
      <c r="AJ93" s="47" t="s">
        <v>3839</v>
      </c>
      <c r="AK93" s="47">
        <v>2</v>
      </c>
      <c r="AL93" s="47">
        <v>1</v>
      </c>
      <c r="AM93" s="47"/>
      <c r="AN93" s="47">
        <v>1350</v>
      </c>
      <c r="AO93" s="211" t="e">
        <f t="shared" si="25"/>
        <v>#VALUE!</v>
      </c>
      <c r="AP93" s="142" t="s">
        <v>852</v>
      </c>
      <c r="AQ93" s="111" t="s">
        <v>125</v>
      </c>
      <c r="AR93" s="143" t="s">
        <v>1974</v>
      </c>
    </row>
    <row r="94" spans="1:44">
      <c r="A94" s="47" t="s">
        <v>44</v>
      </c>
      <c r="B94" s="47" t="str">
        <f t="shared" si="16"/>
        <v>July</v>
      </c>
      <c r="C94" s="59">
        <v>45497</v>
      </c>
      <c r="D94" s="47" t="s">
        <v>83</v>
      </c>
      <c r="E94" s="47" t="s">
        <v>2030</v>
      </c>
      <c r="F94" s="47" t="s">
        <v>323</v>
      </c>
      <c r="G94" s="47" t="s">
        <v>2031</v>
      </c>
      <c r="H94" s="47" t="s">
        <v>2032</v>
      </c>
      <c r="I94" s="47" t="s">
        <v>2033</v>
      </c>
      <c r="J94" s="47" t="s">
        <v>51</v>
      </c>
      <c r="K94" s="48">
        <v>43671</v>
      </c>
      <c r="L94" s="48">
        <v>45132</v>
      </c>
      <c r="M94" s="48">
        <v>45497</v>
      </c>
      <c r="N94" s="47" t="s">
        <v>64</v>
      </c>
      <c r="O94" s="55" t="s">
        <v>53</v>
      </c>
      <c r="P94" s="62">
        <v>31320</v>
      </c>
      <c r="Q94" s="62">
        <v>2610</v>
      </c>
      <c r="R94" s="103">
        <v>31320</v>
      </c>
      <c r="S94" s="62"/>
      <c r="T94" s="62">
        <v>31140</v>
      </c>
      <c r="U94" s="62"/>
      <c r="V94" s="69">
        <v>31140</v>
      </c>
      <c r="W94" s="71" t="s">
        <v>123</v>
      </c>
      <c r="X94" s="71"/>
      <c r="Y94" s="71"/>
      <c r="Z94" s="64" t="e">
        <f t="shared" si="19"/>
        <v>#VALUE!</v>
      </c>
      <c r="AA94" s="64" t="e">
        <f t="shared" si="20"/>
        <v>#VALUE!</v>
      </c>
      <c r="AB94" s="71"/>
      <c r="AC94" s="64" t="e">
        <f t="shared" si="21"/>
        <v>#DIV/0!</v>
      </c>
      <c r="AD94" s="64" t="e">
        <f t="shared" si="22"/>
        <v>#DIV/0!</v>
      </c>
      <c r="AE94" s="71"/>
      <c r="AF94" s="64" t="e">
        <f t="shared" si="23"/>
        <v>#DIV/0!</v>
      </c>
      <c r="AG94" s="64" t="e">
        <f t="shared" si="24"/>
        <v>#DIV/0!</v>
      </c>
      <c r="AH94" s="67" t="s">
        <v>2034</v>
      </c>
      <c r="AI94" s="47" t="s">
        <v>54</v>
      </c>
      <c r="AJ94" s="47">
        <v>670</v>
      </c>
      <c r="AK94" s="101" t="s">
        <v>65</v>
      </c>
      <c r="AL94" s="101" t="s">
        <v>55</v>
      </c>
      <c r="AM94" s="47" t="s">
        <v>2035</v>
      </c>
      <c r="AN94" s="47"/>
      <c r="AO94" s="211" t="e">
        <f t="shared" si="25"/>
        <v>#DIV/0!</v>
      </c>
      <c r="AP94" s="142" t="s">
        <v>90</v>
      </c>
      <c r="AQ94" s="47" t="s">
        <v>935</v>
      </c>
      <c r="AR94" s="143"/>
    </row>
    <row r="95" spans="1:44" hidden="1">
      <c r="A95" s="47" t="s">
        <v>44</v>
      </c>
      <c r="B95" s="47" t="str">
        <f t="shared" si="16"/>
        <v>July</v>
      </c>
      <c r="C95" s="59">
        <v>45487</v>
      </c>
      <c r="D95" s="47" t="s">
        <v>83</v>
      </c>
      <c r="E95" s="47" t="s">
        <v>2030</v>
      </c>
      <c r="F95" s="47" t="s">
        <v>323</v>
      </c>
      <c r="G95" s="47" t="s">
        <v>2036</v>
      </c>
      <c r="H95" s="47" t="s">
        <v>2037</v>
      </c>
      <c r="I95" s="47" t="s">
        <v>2033</v>
      </c>
      <c r="J95" s="47" t="s">
        <v>51</v>
      </c>
      <c r="K95" s="48">
        <v>45122</v>
      </c>
      <c r="L95" s="48">
        <v>45122</v>
      </c>
      <c r="M95" s="48">
        <v>45487</v>
      </c>
      <c r="N95" s="47" t="s">
        <v>52</v>
      </c>
      <c r="O95" s="55" t="s">
        <v>53</v>
      </c>
      <c r="P95" s="62">
        <v>39660</v>
      </c>
      <c r="Q95" s="62">
        <v>3305</v>
      </c>
      <c r="R95" s="103">
        <v>40800</v>
      </c>
      <c r="S95" s="62"/>
      <c r="T95" s="62">
        <v>40800</v>
      </c>
      <c r="U95" s="62"/>
      <c r="V95" s="69">
        <v>37728.54</v>
      </c>
      <c r="W95" s="71" t="s">
        <v>123</v>
      </c>
      <c r="X95" s="71"/>
      <c r="Y95" s="71"/>
      <c r="Z95" s="70" t="e">
        <f t="shared" si="19"/>
        <v>#VALUE!</v>
      </c>
      <c r="AA95" s="64" t="e">
        <f t="shared" si="20"/>
        <v>#VALUE!</v>
      </c>
      <c r="AB95" s="71"/>
      <c r="AC95" s="64" t="e">
        <f t="shared" si="21"/>
        <v>#DIV/0!</v>
      </c>
      <c r="AD95" s="64" t="e">
        <f t="shared" si="22"/>
        <v>#DIV/0!</v>
      </c>
      <c r="AE95" s="71"/>
      <c r="AF95" s="64" t="e">
        <f t="shared" si="23"/>
        <v>#DIV/0!</v>
      </c>
      <c r="AG95" s="64" t="e">
        <f t="shared" si="24"/>
        <v>#DIV/0!</v>
      </c>
      <c r="AH95" s="67" t="s">
        <v>2034</v>
      </c>
      <c r="AI95" s="47" t="s">
        <v>54</v>
      </c>
      <c r="AJ95" s="47">
        <v>872.31</v>
      </c>
      <c r="AK95" s="101" t="s">
        <v>65</v>
      </c>
      <c r="AL95" s="101" t="s">
        <v>65</v>
      </c>
      <c r="AM95" s="47" t="s">
        <v>2038</v>
      </c>
      <c r="AN95" s="47"/>
      <c r="AO95" s="211" t="e">
        <f t="shared" si="25"/>
        <v>#DIV/0!</v>
      </c>
      <c r="AP95" s="47" t="s">
        <v>90</v>
      </c>
      <c r="AQ95" s="47" t="s">
        <v>935</v>
      </c>
      <c r="AR95" s="47"/>
    </row>
    <row r="96" spans="1:44" hidden="1">
      <c r="A96" s="47" t="s">
        <v>44</v>
      </c>
      <c r="B96" s="47" t="str">
        <f t="shared" si="16"/>
        <v>July</v>
      </c>
      <c r="C96" s="59">
        <v>45492</v>
      </c>
      <c r="D96" s="47" t="s">
        <v>83</v>
      </c>
      <c r="E96" s="47" t="s">
        <v>2030</v>
      </c>
      <c r="F96" s="47" t="s">
        <v>323</v>
      </c>
      <c r="G96" s="47" t="s">
        <v>2039</v>
      </c>
      <c r="H96" s="47" t="s">
        <v>2040</v>
      </c>
      <c r="I96" s="47" t="s">
        <v>2033</v>
      </c>
      <c r="J96" s="47" t="s">
        <v>51</v>
      </c>
      <c r="K96" s="48">
        <v>45127</v>
      </c>
      <c r="L96" s="48">
        <v>45127</v>
      </c>
      <c r="M96" s="48">
        <v>45492</v>
      </c>
      <c r="N96" s="47" t="s">
        <v>52</v>
      </c>
      <c r="O96" s="55" t="s">
        <v>53</v>
      </c>
      <c r="P96" s="62">
        <v>52200</v>
      </c>
      <c r="Q96" s="62">
        <v>4350</v>
      </c>
      <c r="R96" s="103">
        <v>52200</v>
      </c>
      <c r="S96" s="62"/>
      <c r="T96" s="62">
        <v>52200</v>
      </c>
      <c r="U96" s="62"/>
      <c r="V96" s="69">
        <v>49920</v>
      </c>
      <c r="W96" s="71" t="s">
        <v>123</v>
      </c>
      <c r="X96" s="71"/>
      <c r="Y96" s="71"/>
      <c r="Z96" s="64" t="e">
        <f t="shared" si="19"/>
        <v>#VALUE!</v>
      </c>
      <c r="AA96" s="64" t="e">
        <f t="shared" si="20"/>
        <v>#VALUE!</v>
      </c>
      <c r="AB96" s="71"/>
      <c r="AC96" s="64" t="e">
        <f t="shared" si="21"/>
        <v>#DIV/0!</v>
      </c>
      <c r="AD96" s="64" t="e">
        <f t="shared" si="22"/>
        <v>#DIV/0!</v>
      </c>
      <c r="AE96" s="71"/>
      <c r="AF96" s="64" t="e">
        <f t="shared" si="23"/>
        <v>#DIV/0!</v>
      </c>
      <c r="AG96" s="64" t="e">
        <f t="shared" si="24"/>
        <v>#DIV/0!</v>
      </c>
      <c r="AH96" s="67" t="s">
        <v>2034</v>
      </c>
      <c r="AI96" s="47" t="s">
        <v>250</v>
      </c>
      <c r="AJ96" s="47">
        <v>1055</v>
      </c>
      <c r="AK96" s="101" t="s">
        <v>140</v>
      </c>
      <c r="AL96" s="101" t="s">
        <v>65</v>
      </c>
      <c r="AM96" s="47" t="s">
        <v>2041</v>
      </c>
      <c r="AN96" s="47"/>
      <c r="AO96" s="211" t="e">
        <f t="shared" si="25"/>
        <v>#DIV/0!</v>
      </c>
      <c r="AP96" s="47" t="s">
        <v>90</v>
      </c>
      <c r="AQ96" s="47" t="s">
        <v>935</v>
      </c>
      <c r="AR96" s="47"/>
    </row>
    <row r="97" spans="1:44" hidden="1">
      <c r="A97" s="47" t="s">
        <v>44</v>
      </c>
      <c r="B97" s="47" t="str">
        <f t="shared" si="16"/>
        <v>August</v>
      </c>
      <c r="C97" s="59">
        <v>45533</v>
      </c>
      <c r="D97" s="47" t="s">
        <v>83</v>
      </c>
      <c r="E97" s="47" t="s">
        <v>2030</v>
      </c>
      <c r="F97" s="47" t="s">
        <v>323</v>
      </c>
      <c r="G97" s="47" t="s">
        <v>3434</v>
      </c>
      <c r="H97" s="47" t="s">
        <v>3435</v>
      </c>
      <c r="I97" s="47" t="s">
        <v>3436</v>
      </c>
      <c r="J97" s="47" t="s">
        <v>51</v>
      </c>
      <c r="K97" s="48">
        <v>45168</v>
      </c>
      <c r="L97" s="48">
        <v>45168</v>
      </c>
      <c r="M97" s="48">
        <v>45533</v>
      </c>
      <c r="N97" s="47" t="s">
        <v>52</v>
      </c>
      <c r="O97" s="55" t="s">
        <v>53</v>
      </c>
      <c r="P97" s="62">
        <v>24000</v>
      </c>
      <c r="Q97" s="62">
        <v>2000</v>
      </c>
      <c r="R97" s="103">
        <v>24000</v>
      </c>
      <c r="S97" s="62"/>
      <c r="T97" s="62">
        <v>23700</v>
      </c>
      <c r="U97" s="62"/>
      <c r="V97" s="69">
        <v>22776</v>
      </c>
      <c r="W97" s="71"/>
      <c r="X97" s="71"/>
      <c r="Y97" s="71"/>
      <c r="Z97" s="70" t="e">
        <f t="shared" si="19"/>
        <v>#DIV/0!</v>
      </c>
      <c r="AA97" s="64" t="e">
        <f t="shared" si="20"/>
        <v>#DIV/0!</v>
      </c>
      <c r="AB97" s="71"/>
      <c r="AC97" s="64" t="e">
        <f t="shared" si="21"/>
        <v>#DIV/0!</v>
      </c>
      <c r="AD97" s="64" t="e">
        <f t="shared" si="22"/>
        <v>#DIV/0!</v>
      </c>
      <c r="AE97" s="71"/>
      <c r="AF97" s="64" t="e">
        <f t="shared" si="23"/>
        <v>#DIV/0!</v>
      </c>
      <c r="AG97" s="64" t="e">
        <f t="shared" si="24"/>
        <v>#DIV/0!</v>
      </c>
      <c r="AH97" s="67" t="s">
        <v>933</v>
      </c>
      <c r="AI97" s="47" t="s">
        <v>54</v>
      </c>
      <c r="AJ97" s="47">
        <v>503.65</v>
      </c>
      <c r="AK97" s="47" t="s">
        <v>93</v>
      </c>
      <c r="AL97" s="47" t="s">
        <v>55</v>
      </c>
      <c r="AM97" s="47" t="s">
        <v>3437</v>
      </c>
      <c r="AN97" s="47"/>
      <c r="AO97" s="211" t="e">
        <f t="shared" si="25"/>
        <v>#DIV/0!</v>
      </c>
      <c r="AP97" s="47" t="s">
        <v>90</v>
      </c>
      <c r="AQ97" s="47" t="s">
        <v>935</v>
      </c>
      <c r="AR97" s="47"/>
    </row>
    <row r="98" spans="1:44">
      <c r="A98" s="47" t="s">
        <v>44</v>
      </c>
      <c r="B98" s="47" t="str">
        <f t="shared" si="16"/>
        <v>August</v>
      </c>
      <c r="C98" s="59">
        <v>45515</v>
      </c>
      <c r="D98" s="47" t="s">
        <v>83</v>
      </c>
      <c r="E98" s="47" t="s">
        <v>1587</v>
      </c>
      <c r="F98" s="47" t="s">
        <v>1588</v>
      </c>
      <c r="G98" s="47" t="s">
        <v>1589</v>
      </c>
      <c r="H98" s="47" t="s">
        <v>1590</v>
      </c>
      <c r="I98" s="47" t="s">
        <v>1591</v>
      </c>
      <c r="J98" s="47" t="s">
        <v>51</v>
      </c>
      <c r="K98" s="48">
        <v>44785</v>
      </c>
      <c r="L98" s="48">
        <v>45150</v>
      </c>
      <c r="M98" s="48">
        <v>45515</v>
      </c>
      <c r="N98" s="47" t="s">
        <v>64</v>
      </c>
      <c r="O98" s="55" t="s">
        <v>53</v>
      </c>
      <c r="P98" s="62">
        <v>19200</v>
      </c>
      <c r="Q98" s="62">
        <v>1600</v>
      </c>
      <c r="R98" s="103">
        <v>21000</v>
      </c>
      <c r="S98" s="62">
        <f t="shared" ref="S98:S161" si="26">R98/12</f>
        <v>1750</v>
      </c>
      <c r="T98" s="62">
        <v>21000</v>
      </c>
      <c r="U98" s="62">
        <f t="shared" ref="U98:U161" si="27">T98/12</f>
        <v>1750</v>
      </c>
      <c r="V98" s="69">
        <v>19140</v>
      </c>
      <c r="W98" s="71" t="s">
        <v>123</v>
      </c>
      <c r="X98" s="71"/>
      <c r="Y98" s="71"/>
      <c r="Z98" s="64" t="e">
        <f t="shared" si="19"/>
        <v>#VALUE!</v>
      </c>
      <c r="AA98" s="64" t="e">
        <f>(W98-#REF!)/#REF!</f>
        <v>#VALUE!</v>
      </c>
      <c r="AB98" s="71">
        <v>1825</v>
      </c>
      <c r="AC98" s="64">
        <f t="shared" si="21"/>
        <v>4.2857142857142858E-2</v>
      </c>
      <c r="AD98" s="64" t="e">
        <f>(AB98-#REF!)/#REF!</f>
        <v>#REF!</v>
      </c>
      <c r="AE98" s="71">
        <v>1815</v>
      </c>
      <c r="AF98" s="64">
        <f t="shared" si="23"/>
        <v>3.7142857142857144E-2</v>
      </c>
      <c r="AG98" s="64" t="e">
        <f>(AE98-#REF!)/#REF!</f>
        <v>#REF!</v>
      </c>
      <c r="AH98" s="67"/>
      <c r="AI98" s="47" t="s">
        <v>54</v>
      </c>
      <c r="AJ98" s="47">
        <v>457.15</v>
      </c>
      <c r="AK98" s="47" t="s">
        <v>55</v>
      </c>
      <c r="AL98" s="47" t="s">
        <v>55</v>
      </c>
      <c r="AM98" s="47" t="s">
        <v>1592</v>
      </c>
      <c r="AN98" s="47"/>
      <c r="AO98" s="211">
        <f t="shared" si="25"/>
        <v>-1</v>
      </c>
      <c r="AP98" s="47" t="s">
        <v>90</v>
      </c>
      <c r="AQ98" s="91" t="s">
        <v>116</v>
      </c>
      <c r="AR98" s="47"/>
    </row>
    <row r="99" spans="1:44">
      <c r="A99" s="47" t="s">
        <v>44</v>
      </c>
      <c r="B99" s="47" t="str">
        <f t="shared" si="16"/>
        <v>August</v>
      </c>
      <c r="C99" s="59">
        <v>45518</v>
      </c>
      <c r="D99" s="47" t="s">
        <v>83</v>
      </c>
      <c r="E99" s="47" t="s">
        <v>1587</v>
      </c>
      <c r="F99" s="47" t="s">
        <v>1588</v>
      </c>
      <c r="G99" s="47" t="s">
        <v>1893</v>
      </c>
      <c r="H99" s="47" t="s">
        <v>1894</v>
      </c>
      <c r="I99" s="47" t="s">
        <v>1895</v>
      </c>
      <c r="J99" s="47" t="s">
        <v>51</v>
      </c>
      <c r="K99" s="48">
        <v>44788</v>
      </c>
      <c r="L99" s="48">
        <v>45153</v>
      </c>
      <c r="M99" s="48">
        <v>45518</v>
      </c>
      <c r="N99" s="47" t="s">
        <v>64</v>
      </c>
      <c r="O99" s="55" t="s">
        <v>53</v>
      </c>
      <c r="P99" s="62">
        <v>19200</v>
      </c>
      <c r="Q99" s="62">
        <v>1600</v>
      </c>
      <c r="R99" s="103">
        <v>20520</v>
      </c>
      <c r="S99" s="62">
        <f t="shared" si="26"/>
        <v>1710</v>
      </c>
      <c r="T99" s="62">
        <v>20520</v>
      </c>
      <c r="U99" s="277">
        <f t="shared" si="27"/>
        <v>1710</v>
      </c>
      <c r="V99" s="69">
        <v>18900</v>
      </c>
      <c r="W99" s="71" t="s">
        <v>123</v>
      </c>
      <c r="X99" s="71"/>
      <c r="Y99" s="71"/>
      <c r="Z99" s="64" t="e">
        <f t="shared" si="19"/>
        <v>#VALUE!</v>
      </c>
      <c r="AA99" s="64" t="e">
        <f>(W99-S99)/S99</f>
        <v>#VALUE!</v>
      </c>
      <c r="AB99" s="71">
        <v>1825</v>
      </c>
      <c r="AC99" s="64">
        <f t="shared" si="21"/>
        <v>6.725146198830409E-2</v>
      </c>
      <c r="AD99" s="64">
        <f>(AB99-S99)/S99</f>
        <v>6.725146198830409E-2</v>
      </c>
      <c r="AE99" s="71">
        <v>1785</v>
      </c>
      <c r="AF99" s="64">
        <f t="shared" si="23"/>
        <v>4.3859649122807015E-2</v>
      </c>
      <c r="AG99" s="64">
        <f>(AE99-S99)/S99</f>
        <v>4.3859649122807015E-2</v>
      </c>
      <c r="AH99" s="67"/>
      <c r="AI99" s="47" t="s">
        <v>54</v>
      </c>
      <c r="AJ99" s="47">
        <v>439.17</v>
      </c>
      <c r="AK99" s="47" t="s">
        <v>55</v>
      </c>
      <c r="AL99" s="47" t="s">
        <v>55</v>
      </c>
      <c r="AM99" s="47" t="s">
        <v>1896</v>
      </c>
      <c r="AN99" s="47">
        <v>1785</v>
      </c>
      <c r="AO99" s="211">
        <f t="shared" si="25"/>
        <v>4.3859649122807015E-2</v>
      </c>
      <c r="AP99" s="47" t="s">
        <v>90</v>
      </c>
      <c r="AQ99" s="91" t="s">
        <v>116</v>
      </c>
      <c r="AR99" s="47"/>
    </row>
    <row r="100" spans="1:44" hidden="1">
      <c r="A100" s="47" t="s">
        <v>44</v>
      </c>
      <c r="B100" s="47" t="str">
        <f t="shared" si="16"/>
        <v>July</v>
      </c>
      <c r="C100" s="59">
        <v>45486</v>
      </c>
      <c r="D100" s="47" t="s">
        <v>83</v>
      </c>
      <c r="E100" s="47" t="s">
        <v>1587</v>
      </c>
      <c r="F100" s="47" t="s">
        <v>1588</v>
      </c>
      <c r="G100" s="47" t="s">
        <v>2042</v>
      </c>
      <c r="H100" s="47" t="s">
        <v>2043</v>
      </c>
      <c r="I100" s="47" t="s">
        <v>1591</v>
      </c>
      <c r="J100" s="47" t="s">
        <v>51</v>
      </c>
      <c r="K100" s="48">
        <v>45091</v>
      </c>
      <c r="L100" s="48">
        <v>45091</v>
      </c>
      <c r="M100" s="48">
        <v>45486</v>
      </c>
      <c r="N100" s="47" t="s">
        <v>52</v>
      </c>
      <c r="O100" s="55" t="s">
        <v>53</v>
      </c>
      <c r="P100" s="62">
        <v>16800</v>
      </c>
      <c r="Q100" s="62">
        <v>1400</v>
      </c>
      <c r="R100" s="103">
        <v>16800</v>
      </c>
      <c r="S100" s="62">
        <f t="shared" si="26"/>
        <v>1400</v>
      </c>
      <c r="T100" s="62">
        <v>16800</v>
      </c>
      <c r="U100" s="62">
        <f t="shared" si="27"/>
        <v>1400</v>
      </c>
      <c r="V100" s="69">
        <v>14700</v>
      </c>
      <c r="W100" s="71" t="s">
        <v>123</v>
      </c>
      <c r="X100" s="71"/>
      <c r="Y100" s="71"/>
      <c r="Z100" s="64" t="e">
        <f t="shared" si="19"/>
        <v>#VALUE!</v>
      </c>
      <c r="AA100" s="64" t="e">
        <f>(W100-S101)/S101</f>
        <v>#VALUE!</v>
      </c>
      <c r="AB100" s="71">
        <v>1500</v>
      </c>
      <c r="AC100" s="64">
        <f t="shared" si="21"/>
        <v>7.1428571428571425E-2</v>
      </c>
      <c r="AD100" s="64">
        <f>(AB100-S101)/S101</f>
        <v>7.1428571428571425E-2</v>
      </c>
      <c r="AE100" s="71">
        <v>1475</v>
      </c>
      <c r="AF100" s="64">
        <f t="shared" si="23"/>
        <v>5.3571428571428568E-2</v>
      </c>
      <c r="AG100" s="64">
        <f>(AE100-S101)/S101</f>
        <v>5.3571428571428568E-2</v>
      </c>
      <c r="AH100" s="67"/>
      <c r="AI100" s="47" t="s">
        <v>250</v>
      </c>
      <c r="AJ100" s="47">
        <v>244.45</v>
      </c>
      <c r="AK100" s="101" t="s">
        <v>93</v>
      </c>
      <c r="AL100" s="101" t="s">
        <v>55</v>
      </c>
      <c r="AM100" s="47" t="s">
        <v>2044</v>
      </c>
      <c r="AN100" s="47"/>
      <c r="AO100" s="211">
        <f t="shared" si="25"/>
        <v>-1</v>
      </c>
      <c r="AP100" s="47" t="s">
        <v>90</v>
      </c>
      <c r="AQ100" s="91" t="s">
        <v>116</v>
      </c>
      <c r="AR100" s="47"/>
    </row>
    <row r="101" spans="1:44">
      <c r="A101" s="47" t="s">
        <v>44</v>
      </c>
      <c r="B101" s="47" t="str">
        <f t="shared" si="16"/>
        <v>July</v>
      </c>
      <c r="C101" s="59">
        <v>45502</v>
      </c>
      <c r="D101" s="47" t="s">
        <v>83</v>
      </c>
      <c r="E101" s="47" t="s">
        <v>1587</v>
      </c>
      <c r="F101" s="47" t="s">
        <v>1588</v>
      </c>
      <c r="G101" s="47" t="s">
        <v>2047</v>
      </c>
      <c r="H101" s="47" t="s">
        <v>2048</v>
      </c>
      <c r="I101" s="47" t="s">
        <v>1591</v>
      </c>
      <c r="J101" s="47" t="s">
        <v>51</v>
      </c>
      <c r="K101" s="48">
        <v>44408</v>
      </c>
      <c r="L101" s="48">
        <v>45137</v>
      </c>
      <c r="M101" s="48">
        <v>45502</v>
      </c>
      <c r="N101" s="47" t="s">
        <v>64</v>
      </c>
      <c r="O101" s="55" t="s">
        <v>53</v>
      </c>
      <c r="P101" s="62">
        <v>19200</v>
      </c>
      <c r="Q101" s="62">
        <v>1600</v>
      </c>
      <c r="R101" s="103">
        <v>16800</v>
      </c>
      <c r="S101" s="62">
        <f t="shared" si="26"/>
        <v>1400</v>
      </c>
      <c r="T101" s="62">
        <v>16800</v>
      </c>
      <c r="U101" s="62">
        <f t="shared" si="27"/>
        <v>1400</v>
      </c>
      <c r="V101" s="69">
        <v>15540</v>
      </c>
      <c r="W101" s="71" t="s">
        <v>123</v>
      </c>
      <c r="X101" s="71"/>
      <c r="Y101" s="71"/>
      <c r="Z101" s="64" t="e">
        <f t="shared" si="19"/>
        <v>#VALUE!</v>
      </c>
      <c r="AA101" s="64" t="e">
        <f t="shared" ref="AA101:AA164" si="28">(W101-S101)/S101</f>
        <v>#VALUE!</v>
      </c>
      <c r="AB101" s="71">
        <v>1600</v>
      </c>
      <c r="AC101" s="64">
        <f t="shared" si="21"/>
        <v>0.14285714285714285</v>
      </c>
      <c r="AD101" s="64">
        <f t="shared" ref="AD101:AD164" si="29">(AB101-S101)/S101</f>
        <v>0.14285714285714285</v>
      </c>
      <c r="AE101" s="71">
        <v>1585</v>
      </c>
      <c r="AF101" s="64">
        <f t="shared" si="23"/>
        <v>0.13214285714285715</v>
      </c>
      <c r="AG101" s="64">
        <f t="shared" ref="AG101:AG164" si="30">(AE101-S101)/S101</f>
        <v>0.13214285714285715</v>
      </c>
      <c r="AH101" s="67"/>
      <c r="AI101" s="47" t="s">
        <v>54</v>
      </c>
      <c r="AJ101" s="47">
        <v>426.01</v>
      </c>
      <c r="AK101" s="101" t="s">
        <v>55</v>
      </c>
      <c r="AL101" s="101" t="s">
        <v>55</v>
      </c>
      <c r="AM101" s="47" t="s">
        <v>2049</v>
      </c>
      <c r="AN101" s="47">
        <v>1600</v>
      </c>
      <c r="AO101" s="211">
        <f t="shared" si="25"/>
        <v>0.14285714285714285</v>
      </c>
      <c r="AP101" s="47" t="s">
        <v>90</v>
      </c>
      <c r="AQ101" s="91" t="s">
        <v>116</v>
      </c>
      <c r="AR101" s="47"/>
    </row>
    <row r="102" spans="1:44">
      <c r="A102" s="47" t="s">
        <v>44</v>
      </c>
      <c r="B102" s="47" t="str">
        <f t="shared" si="16"/>
        <v>July</v>
      </c>
      <c r="C102" s="59">
        <v>45476</v>
      </c>
      <c r="D102" s="47" t="s">
        <v>83</v>
      </c>
      <c r="E102" s="47" t="s">
        <v>1587</v>
      </c>
      <c r="F102" s="47" t="s">
        <v>1588</v>
      </c>
      <c r="G102" s="47" t="s">
        <v>2050</v>
      </c>
      <c r="H102" s="47" t="s">
        <v>2051</v>
      </c>
      <c r="I102" s="47" t="s">
        <v>1591</v>
      </c>
      <c r="J102" s="47" t="s">
        <v>51</v>
      </c>
      <c r="K102" s="48">
        <v>44746</v>
      </c>
      <c r="L102" s="48">
        <v>44746</v>
      </c>
      <c r="M102" s="48">
        <v>45476</v>
      </c>
      <c r="N102" s="47" t="s">
        <v>64</v>
      </c>
      <c r="O102" s="55" t="s">
        <v>53</v>
      </c>
      <c r="P102" s="62">
        <v>19200</v>
      </c>
      <c r="Q102" s="62">
        <v>1600</v>
      </c>
      <c r="R102" s="103">
        <v>18009</v>
      </c>
      <c r="S102" s="62">
        <f t="shared" si="26"/>
        <v>1500.75</v>
      </c>
      <c r="T102" s="62">
        <v>18009</v>
      </c>
      <c r="U102" s="62">
        <f t="shared" si="27"/>
        <v>1500.75</v>
      </c>
      <c r="V102" s="69">
        <v>17400</v>
      </c>
      <c r="W102" s="71" t="s">
        <v>123</v>
      </c>
      <c r="X102" s="71"/>
      <c r="Y102" s="71"/>
      <c r="Z102" s="64" t="e">
        <f t="shared" si="19"/>
        <v>#VALUE!</v>
      </c>
      <c r="AA102" s="64" t="e">
        <f t="shared" si="28"/>
        <v>#VALUE!</v>
      </c>
      <c r="AB102" s="71">
        <v>1600</v>
      </c>
      <c r="AC102" s="64">
        <f t="shared" si="21"/>
        <v>6.6133599866733297E-2</v>
      </c>
      <c r="AD102" s="64">
        <f t="shared" si="29"/>
        <v>6.6133599866733297E-2</v>
      </c>
      <c r="AE102" s="71">
        <v>1585</v>
      </c>
      <c r="AF102" s="64">
        <f t="shared" si="23"/>
        <v>5.6138597367982677E-2</v>
      </c>
      <c r="AG102" s="64">
        <f t="shared" si="30"/>
        <v>5.6138597367982677E-2</v>
      </c>
      <c r="AH102" s="67"/>
      <c r="AI102" s="47" t="s">
        <v>54</v>
      </c>
      <c r="AJ102" s="47">
        <v>433.57</v>
      </c>
      <c r="AK102" s="101" t="s">
        <v>55</v>
      </c>
      <c r="AL102" s="101" t="s">
        <v>55</v>
      </c>
      <c r="AM102" s="47" t="s">
        <v>1592</v>
      </c>
      <c r="AN102" s="47">
        <v>1585</v>
      </c>
      <c r="AO102" s="211">
        <f t="shared" si="25"/>
        <v>5.6138597367982677E-2</v>
      </c>
      <c r="AP102" s="47" t="s">
        <v>90</v>
      </c>
      <c r="AQ102" s="91" t="s">
        <v>116</v>
      </c>
      <c r="AR102" s="47"/>
    </row>
    <row r="103" spans="1:44" hidden="1">
      <c r="A103" s="47" t="s">
        <v>44</v>
      </c>
      <c r="B103" s="47" t="str">
        <f t="shared" si="16"/>
        <v>July</v>
      </c>
      <c r="C103" s="59">
        <v>45486</v>
      </c>
      <c r="D103" s="47" t="s">
        <v>83</v>
      </c>
      <c r="E103" s="47" t="s">
        <v>1587</v>
      </c>
      <c r="F103" s="47" t="s">
        <v>1588</v>
      </c>
      <c r="G103" s="47" t="s">
        <v>2052</v>
      </c>
      <c r="H103" s="47" t="s">
        <v>2053</v>
      </c>
      <c r="I103" s="47" t="s">
        <v>1591</v>
      </c>
      <c r="J103" s="47" t="s">
        <v>51</v>
      </c>
      <c r="K103" s="48">
        <v>45121</v>
      </c>
      <c r="L103" s="48">
        <v>45121</v>
      </c>
      <c r="M103" s="48">
        <v>45486</v>
      </c>
      <c r="N103" s="47" t="s">
        <v>52</v>
      </c>
      <c r="O103" s="55" t="s">
        <v>53</v>
      </c>
      <c r="P103" s="62">
        <v>19200</v>
      </c>
      <c r="Q103" s="62">
        <v>1600</v>
      </c>
      <c r="R103" s="103">
        <v>21000</v>
      </c>
      <c r="S103" s="62">
        <f t="shared" si="26"/>
        <v>1750</v>
      </c>
      <c r="T103" s="62">
        <v>21000</v>
      </c>
      <c r="U103" s="62">
        <f t="shared" si="27"/>
        <v>1750</v>
      </c>
      <c r="V103" s="69">
        <v>18780</v>
      </c>
      <c r="W103" s="71" t="s">
        <v>123</v>
      </c>
      <c r="X103" s="71"/>
      <c r="Y103" s="71"/>
      <c r="Z103" s="64" t="e">
        <f t="shared" si="19"/>
        <v>#VALUE!</v>
      </c>
      <c r="AA103" s="64" t="e">
        <f t="shared" si="28"/>
        <v>#VALUE!</v>
      </c>
      <c r="AB103" s="71">
        <v>1800</v>
      </c>
      <c r="AC103" s="64">
        <f t="shared" si="21"/>
        <v>2.8571428571428571E-2</v>
      </c>
      <c r="AD103" s="64">
        <f t="shared" si="29"/>
        <v>2.8571428571428571E-2</v>
      </c>
      <c r="AE103" s="71">
        <v>1775</v>
      </c>
      <c r="AF103" s="116">
        <f t="shared" si="23"/>
        <v>1.4285714285714285E-2</v>
      </c>
      <c r="AG103" s="116">
        <f t="shared" si="30"/>
        <v>1.4285714285714285E-2</v>
      </c>
      <c r="AH103" s="67"/>
      <c r="AI103" s="47" t="s">
        <v>54</v>
      </c>
      <c r="AJ103" s="47">
        <v>439.82</v>
      </c>
      <c r="AK103" s="101" t="s">
        <v>55</v>
      </c>
      <c r="AL103" s="101" t="s">
        <v>55</v>
      </c>
      <c r="AM103" s="47" t="s">
        <v>2054</v>
      </c>
      <c r="AN103" s="47"/>
      <c r="AO103" s="211">
        <f t="shared" si="25"/>
        <v>-1</v>
      </c>
      <c r="AP103" s="47" t="s">
        <v>90</v>
      </c>
      <c r="AQ103" s="91" t="s">
        <v>116</v>
      </c>
      <c r="AR103" s="47"/>
    </row>
    <row r="104" spans="1:44">
      <c r="A104" s="47" t="s">
        <v>44</v>
      </c>
      <c r="B104" s="47" t="str">
        <f t="shared" si="16"/>
        <v>July</v>
      </c>
      <c r="C104" s="59">
        <v>45495</v>
      </c>
      <c r="D104" s="47" t="s">
        <v>83</v>
      </c>
      <c r="E104" s="47" t="s">
        <v>1587</v>
      </c>
      <c r="F104" s="47" t="s">
        <v>1588</v>
      </c>
      <c r="G104" s="47" t="s">
        <v>2055</v>
      </c>
      <c r="H104" s="47" t="s">
        <v>2056</v>
      </c>
      <c r="I104" s="47" t="s">
        <v>1591</v>
      </c>
      <c r="J104" s="47" t="s">
        <v>51</v>
      </c>
      <c r="K104" s="48">
        <v>43909</v>
      </c>
      <c r="L104" s="48">
        <v>45130</v>
      </c>
      <c r="M104" s="48">
        <v>45495</v>
      </c>
      <c r="N104" s="47" t="s">
        <v>64</v>
      </c>
      <c r="O104" s="55" t="s">
        <v>53</v>
      </c>
      <c r="P104" s="62">
        <v>19200</v>
      </c>
      <c r="Q104" s="62">
        <v>1600</v>
      </c>
      <c r="R104" s="103">
        <v>21000</v>
      </c>
      <c r="S104" s="62">
        <f t="shared" si="26"/>
        <v>1750</v>
      </c>
      <c r="T104" s="62">
        <v>21000</v>
      </c>
      <c r="U104" s="62">
        <f t="shared" si="27"/>
        <v>1750</v>
      </c>
      <c r="V104" s="69">
        <v>19680</v>
      </c>
      <c r="W104" s="71" t="s">
        <v>123</v>
      </c>
      <c r="X104" s="71"/>
      <c r="Y104" s="71"/>
      <c r="Z104" s="64" t="e">
        <f t="shared" si="19"/>
        <v>#VALUE!</v>
      </c>
      <c r="AA104" s="64" t="e">
        <f t="shared" si="28"/>
        <v>#VALUE!</v>
      </c>
      <c r="AB104" s="71">
        <v>1800</v>
      </c>
      <c r="AC104" s="64">
        <f t="shared" si="21"/>
        <v>2.8571428571428571E-2</v>
      </c>
      <c r="AD104" s="64">
        <f t="shared" si="29"/>
        <v>2.8571428571428571E-2</v>
      </c>
      <c r="AE104" s="71">
        <v>1775</v>
      </c>
      <c r="AF104" s="116">
        <f t="shared" si="23"/>
        <v>1.4285714285714285E-2</v>
      </c>
      <c r="AG104" s="116">
        <f t="shared" si="30"/>
        <v>1.4285714285714285E-2</v>
      </c>
      <c r="AH104" s="67"/>
      <c r="AI104" s="47" t="s">
        <v>54</v>
      </c>
      <c r="AJ104" s="47">
        <v>454.24</v>
      </c>
      <c r="AK104" s="101" t="s">
        <v>55</v>
      </c>
      <c r="AL104" s="101" t="s">
        <v>55</v>
      </c>
      <c r="AM104" s="47" t="s">
        <v>2057</v>
      </c>
      <c r="AN104" s="47">
        <v>1800</v>
      </c>
      <c r="AO104" s="211">
        <f t="shared" si="25"/>
        <v>2.8571428571428571E-2</v>
      </c>
      <c r="AP104" s="47" t="s">
        <v>90</v>
      </c>
      <c r="AQ104" s="223" t="s">
        <v>125</v>
      </c>
      <c r="AR104" s="47"/>
    </row>
    <row r="105" spans="1:44" hidden="1">
      <c r="A105" s="47" t="s">
        <v>44</v>
      </c>
      <c r="B105" s="47" t="str">
        <f t="shared" si="16"/>
        <v>August</v>
      </c>
      <c r="C105" s="59">
        <v>45533</v>
      </c>
      <c r="D105" s="47" t="s">
        <v>83</v>
      </c>
      <c r="E105" s="47" t="s">
        <v>1587</v>
      </c>
      <c r="F105" s="47" t="s">
        <v>1588</v>
      </c>
      <c r="G105" s="47" t="s">
        <v>3438</v>
      </c>
      <c r="H105" s="47" t="s">
        <v>3439</v>
      </c>
      <c r="I105" s="47" t="s">
        <v>1591</v>
      </c>
      <c r="J105" s="47" t="s">
        <v>51</v>
      </c>
      <c r="K105" s="48">
        <v>45168</v>
      </c>
      <c r="L105" s="48">
        <v>45168</v>
      </c>
      <c r="M105" s="48">
        <v>45533</v>
      </c>
      <c r="N105" s="47" t="s">
        <v>52</v>
      </c>
      <c r="O105" s="55" t="s">
        <v>53</v>
      </c>
      <c r="P105" s="62">
        <v>19200</v>
      </c>
      <c r="Q105" s="62">
        <v>1600</v>
      </c>
      <c r="R105" s="103">
        <v>21600</v>
      </c>
      <c r="S105" s="62">
        <f t="shared" si="26"/>
        <v>1800</v>
      </c>
      <c r="T105" s="62">
        <v>21600</v>
      </c>
      <c r="U105" s="62">
        <f t="shared" si="27"/>
        <v>1800</v>
      </c>
      <c r="V105" s="69">
        <v>18780</v>
      </c>
      <c r="W105" s="71" t="s">
        <v>123</v>
      </c>
      <c r="X105" s="71"/>
      <c r="Y105" s="71"/>
      <c r="Z105" s="64" t="e">
        <f t="shared" si="19"/>
        <v>#VALUE!</v>
      </c>
      <c r="AA105" s="64" t="e">
        <f t="shared" si="28"/>
        <v>#VALUE!</v>
      </c>
      <c r="AB105" s="71">
        <v>1825</v>
      </c>
      <c r="AC105" s="64">
        <f t="shared" si="21"/>
        <v>1.3888888888888888E-2</v>
      </c>
      <c r="AD105" s="64">
        <f t="shared" si="29"/>
        <v>1.3888888888888888E-2</v>
      </c>
      <c r="AE105" s="71">
        <v>1815</v>
      </c>
      <c r="AF105" s="64">
        <f t="shared" si="23"/>
        <v>8.3333333333333332E-3</v>
      </c>
      <c r="AG105" s="64">
        <f t="shared" si="30"/>
        <v>8.3333333333333332E-3</v>
      </c>
      <c r="AH105" s="67"/>
      <c r="AI105" s="47" t="s">
        <v>54</v>
      </c>
      <c r="AJ105" s="47">
        <v>437.56</v>
      </c>
      <c r="AK105" s="47" t="s">
        <v>55</v>
      </c>
      <c r="AL105" s="47" t="s">
        <v>55</v>
      </c>
      <c r="AM105" s="47" t="s">
        <v>3440</v>
      </c>
      <c r="AN105" s="47"/>
      <c r="AO105" s="211">
        <f t="shared" si="25"/>
        <v>-1</v>
      </c>
      <c r="AP105" s="47" t="s">
        <v>90</v>
      </c>
      <c r="AQ105" s="91" t="s">
        <v>116</v>
      </c>
      <c r="AR105" s="47"/>
    </row>
    <row r="106" spans="1:44">
      <c r="A106" s="47" t="s">
        <v>44</v>
      </c>
      <c r="B106" s="47" t="str">
        <f t="shared" si="16"/>
        <v>August</v>
      </c>
      <c r="C106" s="59">
        <v>45535</v>
      </c>
      <c r="D106" s="47" t="s">
        <v>83</v>
      </c>
      <c r="E106" s="47" t="s">
        <v>1587</v>
      </c>
      <c r="F106" s="47" t="s">
        <v>1588</v>
      </c>
      <c r="G106" s="47" t="s">
        <v>3736</v>
      </c>
      <c r="H106" s="47" t="s">
        <v>3737</v>
      </c>
      <c r="I106" s="47" t="s">
        <v>1591</v>
      </c>
      <c r="J106" s="47" t="s">
        <v>51</v>
      </c>
      <c r="K106" s="48">
        <v>44440</v>
      </c>
      <c r="L106" s="48">
        <v>45170</v>
      </c>
      <c r="M106" s="48">
        <v>45535</v>
      </c>
      <c r="N106" s="47" t="s">
        <v>64</v>
      </c>
      <c r="O106" s="55" t="s">
        <v>53</v>
      </c>
      <c r="P106" s="62">
        <v>19200</v>
      </c>
      <c r="Q106" s="62">
        <v>1600</v>
      </c>
      <c r="R106" s="103">
        <v>19620</v>
      </c>
      <c r="S106" s="62">
        <f t="shared" si="26"/>
        <v>1635</v>
      </c>
      <c r="T106" s="62">
        <v>19620</v>
      </c>
      <c r="U106" s="62">
        <f t="shared" si="27"/>
        <v>1635</v>
      </c>
      <c r="V106" s="69">
        <v>18000</v>
      </c>
      <c r="W106" s="71" t="s">
        <v>123</v>
      </c>
      <c r="X106" s="71"/>
      <c r="Y106" s="71"/>
      <c r="Z106" s="64" t="e">
        <f t="shared" si="19"/>
        <v>#VALUE!</v>
      </c>
      <c r="AA106" s="64" t="e">
        <f t="shared" si="28"/>
        <v>#VALUE!</v>
      </c>
      <c r="AB106" s="71">
        <v>1750</v>
      </c>
      <c r="AC106" s="64">
        <f t="shared" si="21"/>
        <v>7.0336391437308868E-2</v>
      </c>
      <c r="AD106" s="64">
        <f t="shared" si="29"/>
        <v>7.0336391437308868E-2</v>
      </c>
      <c r="AE106" s="71">
        <v>1715</v>
      </c>
      <c r="AF106" s="64">
        <f t="shared" si="23"/>
        <v>4.8929663608562692E-2</v>
      </c>
      <c r="AG106" s="64">
        <f t="shared" si="30"/>
        <v>4.8929663608562692E-2</v>
      </c>
      <c r="AH106" s="67"/>
      <c r="AI106" s="47" t="s">
        <v>54</v>
      </c>
      <c r="AJ106" s="47">
        <v>420.76</v>
      </c>
      <c r="AK106" s="47" t="s">
        <v>55</v>
      </c>
      <c r="AL106" s="47" t="s">
        <v>55</v>
      </c>
      <c r="AM106" s="47" t="s">
        <v>3738</v>
      </c>
      <c r="AN106" s="47"/>
      <c r="AO106" s="211">
        <f t="shared" si="25"/>
        <v>-1</v>
      </c>
      <c r="AP106" s="47" t="s">
        <v>90</v>
      </c>
      <c r="AQ106" s="135" t="s">
        <v>116</v>
      </c>
      <c r="AR106" s="47"/>
    </row>
    <row r="107" spans="1:44">
      <c r="A107" s="47" t="s">
        <v>44</v>
      </c>
      <c r="B107" s="47" t="str">
        <f t="shared" si="16"/>
        <v>August</v>
      </c>
      <c r="C107" s="59">
        <v>45515</v>
      </c>
      <c r="D107" s="47" t="s">
        <v>83</v>
      </c>
      <c r="E107" s="47" t="s">
        <v>1593</v>
      </c>
      <c r="F107" s="47" t="s">
        <v>880</v>
      </c>
      <c r="G107" s="47" t="s">
        <v>1594</v>
      </c>
      <c r="H107" s="47" t="s">
        <v>1595</v>
      </c>
      <c r="I107" s="47"/>
      <c r="J107" s="47" t="s">
        <v>51</v>
      </c>
      <c r="K107" s="48">
        <v>44785</v>
      </c>
      <c r="L107" s="48">
        <v>44785</v>
      </c>
      <c r="M107" s="48">
        <v>45515</v>
      </c>
      <c r="N107" s="47" t="s">
        <v>64</v>
      </c>
      <c r="O107" s="55" t="s">
        <v>53</v>
      </c>
      <c r="P107" s="62">
        <v>17880</v>
      </c>
      <c r="Q107" s="62">
        <v>1490</v>
      </c>
      <c r="R107" s="103">
        <v>19080</v>
      </c>
      <c r="S107" s="62">
        <f t="shared" si="26"/>
        <v>1590</v>
      </c>
      <c r="T107" s="62">
        <v>18009</v>
      </c>
      <c r="U107" s="62">
        <f t="shared" si="27"/>
        <v>1500.75</v>
      </c>
      <c r="V107" s="69">
        <v>17400</v>
      </c>
      <c r="W107" s="71"/>
      <c r="X107" s="71"/>
      <c r="Y107" s="71"/>
      <c r="Z107" s="70">
        <f t="shared" si="19"/>
        <v>-1</v>
      </c>
      <c r="AA107" s="64">
        <f t="shared" si="28"/>
        <v>-1</v>
      </c>
      <c r="AB107" s="71">
        <v>1625</v>
      </c>
      <c r="AC107" s="64">
        <f t="shared" si="21"/>
        <v>8.2791937364651014E-2</v>
      </c>
      <c r="AD107" s="64">
        <f t="shared" si="29"/>
        <v>2.20125786163522E-2</v>
      </c>
      <c r="AE107" s="71">
        <v>1600</v>
      </c>
      <c r="AF107" s="64">
        <f t="shared" si="23"/>
        <v>6.6133599866733297E-2</v>
      </c>
      <c r="AG107" s="64">
        <f t="shared" si="30"/>
        <v>6.2893081761006293E-3</v>
      </c>
      <c r="AH107" s="67"/>
      <c r="AI107" s="47" t="s">
        <v>54</v>
      </c>
      <c r="AJ107" s="47">
        <v>795.35</v>
      </c>
      <c r="AK107" s="47" t="s">
        <v>65</v>
      </c>
      <c r="AL107" s="47" t="s">
        <v>55</v>
      </c>
      <c r="AM107" s="47" t="s">
        <v>1596</v>
      </c>
      <c r="AN107" s="47"/>
      <c r="AO107" s="211">
        <f t="shared" si="25"/>
        <v>-1</v>
      </c>
      <c r="AP107" s="47" t="s">
        <v>90</v>
      </c>
      <c r="AQ107" s="91" t="s">
        <v>116</v>
      </c>
      <c r="AR107" s="47"/>
    </row>
    <row r="108" spans="1:44">
      <c r="A108" s="47" t="s">
        <v>44</v>
      </c>
      <c r="B108" s="47" t="str">
        <f t="shared" si="16"/>
        <v>July</v>
      </c>
      <c r="C108" s="59">
        <v>45504</v>
      </c>
      <c r="D108" s="47" t="s">
        <v>83</v>
      </c>
      <c r="E108" s="47" t="s">
        <v>1593</v>
      </c>
      <c r="F108" s="47" t="s">
        <v>880</v>
      </c>
      <c r="G108" s="47" t="s">
        <v>2058</v>
      </c>
      <c r="H108" s="47" t="s">
        <v>2059</v>
      </c>
      <c r="I108" s="47"/>
      <c r="J108" s="47" t="s">
        <v>51</v>
      </c>
      <c r="K108" s="48">
        <v>42767</v>
      </c>
      <c r="L108" s="48">
        <v>45139</v>
      </c>
      <c r="M108" s="48">
        <v>45504</v>
      </c>
      <c r="N108" s="47" t="s">
        <v>64</v>
      </c>
      <c r="O108" s="55" t="s">
        <v>53</v>
      </c>
      <c r="P108" s="62">
        <v>19500</v>
      </c>
      <c r="Q108" s="62">
        <v>1625</v>
      </c>
      <c r="R108" s="103">
        <v>21180</v>
      </c>
      <c r="S108" s="62">
        <f t="shared" si="26"/>
        <v>1765</v>
      </c>
      <c r="T108" s="62">
        <v>19020</v>
      </c>
      <c r="U108" s="62">
        <f t="shared" si="27"/>
        <v>1585</v>
      </c>
      <c r="V108" s="69">
        <v>17400</v>
      </c>
      <c r="W108" s="71" t="s">
        <v>123</v>
      </c>
      <c r="X108" s="71"/>
      <c r="Y108" s="71"/>
      <c r="Z108" s="70" t="e">
        <f t="shared" si="19"/>
        <v>#VALUE!</v>
      </c>
      <c r="AA108" s="64" t="e">
        <f t="shared" si="28"/>
        <v>#VALUE!</v>
      </c>
      <c r="AB108" s="71">
        <v>1800</v>
      </c>
      <c r="AC108" s="64">
        <f t="shared" si="21"/>
        <v>0.13564668769716087</v>
      </c>
      <c r="AD108" s="64">
        <f t="shared" si="29"/>
        <v>1.9830028328611898E-2</v>
      </c>
      <c r="AE108" s="71">
        <v>1775</v>
      </c>
      <c r="AF108" s="64">
        <f t="shared" si="23"/>
        <v>0.11987381703470032</v>
      </c>
      <c r="AG108" s="64">
        <f t="shared" si="30"/>
        <v>5.6657223796033997E-3</v>
      </c>
      <c r="AH108" s="67" t="s">
        <v>1850</v>
      </c>
      <c r="AI108" s="47" t="s">
        <v>54</v>
      </c>
      <c r="AJ108" s="47">
        <v>895</v>
      </c>
      <c r="AK108" s="101" t="s">
        <v>140</v>
      </c>
      <c r="AL108" s="101" t="s">
        <v>55</v>
      </c>
      <c r="AM108" s="47" t="s">
        <v>2060</v>
      </c>
      <c r="AN108" s="47">
        <v>1800</v>
      </c>
      <c r="AO108" s="211">
        <f t="shared" si="25"/>
        <v>0.13564668769716087</v>
      </c>
      <c r="AP108" s="47" t="s">
        <v>90</v>
      </c>
      <c r="AQ108" s="91" t="s">
        <v>116</v>
      </c>
      <c r="AR108" s="47"/>
    </row>
    <row r="109" spans="1:44">
      <c r="A109" s="47" t="s">
        <v>44</v>
      </c>
      <c r="B109" s="47" t="str">
        <f t="shared" si="16"/>
        <v>August</v>
      </c>
      <c r="C109" s="59">
        <v>45523</v>
      </c>
      <c r="D109" s="47" t="s">
        <v>83</v>
      </c>
      <c r="E109" s="47" t="s">
        <v>1593</v>
      </c>
      <c r="F109" s="47" t="s">
        <v>880</v>
      </c>
      <c r="G109" s="47" t="s">
        <v>2318</v>
      </c>
      <c r="H109" s="47" t="s">
        <v>2319</v>
      </c>
      <c r="I109" s="47"/>
      <c r="J109" s="47" t="s">
        <v>51</v>
      </c>
      <c r="K109" s="48">
        <v>42207</v>
      </c>
      <c r="L109" s="48">
        <v>45158</v>
      </c>
      <c r="M109" s="48">
        <v>45523</v>
      </c>
      <c r="N109" s="47" t="s">
        <v>64</v>
      </c>
      <c r="O109" s="55" t="s">
        <v>53</v>
      </c>
      <c r="P109" s="62">
        <v>19500</v>
      </c>
      <c r="Q109" s="62">
        <v>1625</v>
      </c>
      <c r="R109" s="103">
        <v>21180</v>
      </c>
      <c r="S109" s="62">
        <f t="shared" si="26"/>
        <v>1765</v>
      </c>
      <c r="T109" s="62">
        <v>17100</v>
      </c>
      <c r="U109" s="137">
        <f t="shared" si="27"/>
        <v>1425</v>
      </c>
      <c r="V109" s="69">
        <v>15600</v>
      </c>
      <c r="W109" s="71"/>
      <c r="X109" s="71"/>
      <c r="Y109" s="71"/>
      <c r="Z109" s="64">
        <f t="shared" si="19"/>
        <v>-1</v>
      </c>
      <c r="AA109" s="64">
        <f t="shared" si="28"/>
        <v>-1</v>
      </c>
      <c r="AB109" s="71">
        <v>1600</v>
      </c>
      <c r="AC109" s="64">
        <f t="shared" si="21"/>
        <v>0.12280701754385964</v>
      </c>
      <c r="AD109" s="64">
        <f t="shared" si="29"/>
        <v>-9.3484419263456089E-2</v>
      </c>
      <c r="AE109" s="175">
        <v>1585</v>
      </c>
      <c r="AF109" s="64">
        <f t="shared" si="23"/>
        <v>0.11228070175438597</v>
      </c>
      <c r="AG109" s="64">
        <f t="shared" si="30"/>
        <v>-0.10198300283286119</v>
      </c>
      <c r="AH109" s="67" t="s">
        <v>88</v>
      </c>
      <c r="AI109" s="47" t="s">
        <v>395</v>
      </c>
      <c r="AJ109" s="47">
        <v>880.34</v>
      </c>
      <c r="AK109" s="47" t="s">
        <v>140</v>
      </c>
      <c r="AL109" s="47" t="s">
        <v>55</v>
      </c>
      <c r="AM109" s="47" t="s">
        <v>2320</v>
      </c>
      <c r="AN109" s="47">
        <v>1585</v>
      </c>
      <c r="AO109" s="211">
        <f t="shared" si="25"/>
        <v>0.11228070175438597</v>
      </c>
      <c r="AP109" s="47" t="s">
        <v>90</v>
      </c>
      <c r="AQ109" s="91" t="s">
        <v>116</v>
      </c>
      <c r="AR109" s="47"/>
    </row>
    <row r="110" spans="1:44" hidden="1">
      <c r="A110" s="47" t="s">
        <v>44</v>
      </c>
      <c r="B110" s="47" t="str">
        <f t="shared" si="16"/>
        <v>August</v>
      </c>
      <c r="C110" s="59">
        <v>45525</v>
      </c>
      <c r="D110" s="47" t="s">
        <v>83</v>
      </c>
      <c r="E110" s="47" t="s">
        <v>1593</v>
      </c>
      <c r="F110" s="47" t="s">
        <v>880</v>
      </c>
      <c r="G110" s="47" t="s">
        <v>2569</v>
      </c>
      <c r="H110" s="47" t="s">
        <v>2570</v>
      </c>
      <c r="I110" s="47"/>
      <c r="J110" s="47" t="s">
        <v>51</v>
      </c>
      <c r="K110" s="48">
        <v>45160</v>
      </c>
      <c r="L110" s="48">
        <v>45160</v>
      </c>
      <c r="M110" s="48">
        <v>45525</v>
      </c>
      <c r="N110" s="47" t="s">
        <v>52</v>
      </c>
      <c r="O110" s="55" t="s">
        <v>53</v>
      </c>
      <c r="P110" s="62">
        <v>19500</v>
      </c>
      <c r="Q110" s="62">
        <v>1625</v>
      </c>
      <c r="R110" s="103">
        <v>21180</v>
      </c>
      <c r="S110" s="62">
        <f t="shared" si="26"/>
        <v>1765</v>
      </c>
      <c r="T110" s="62">
        <v>22800</v>
      </c>
      <c r="U110" s="62">
        <f t="shared" si="27"/>
        <v>1900</v>
      </c>
      <c r="V110" s="69">
        <v>18180</v>
      </c>
      <c r="W110" s="71"/>
      <c r="X110" s="71"/>
      <c r="Y110" s="71"/>
      <c r="Z110" s="70">
        <f t="shared" si="19"/>
        <v>-1</v>
      </c>
      <c r="AA110" s="64">
        <f t="shared" si="28"/>
        <v>-1</v>
      </c>
      <c r="AB110" s="71">
        <v>2000</v>
      </c>
      <c r="AC110" s="64">
        <f t="shared" si="21"/>
        <v>5.2631578947368418E-2</v>
      </c>
      <c r="AD110" s="64">
        <f t="shared" si="29"/>
        <v>0.13314447592067988</v>
      </c>
      <c r="AE110" s="71">
        <v>1935</v>
      </c>
      <c r="AF110" s="64">
        <f t="shared" si="23"/>
        <v>1.8421052631578946E-2</v>
      </c>
      <c r="AG110" s="64">
        <f t="shared" si="30"/>
        <v>9.6317280453257784E-2</v>
      </c>
      <c r="AH110" s="67"/>
      <c r="AI110" s="47" t="s">
        <v>54</v>
      </c>
      <c r="AJ110" s="47">
        <v>871.95</v>
      </c>
      <c r="AK110" s="47" t="s">
        <v>140</v>
      </c>
      <c r="AL110" s="47" t="s">
        <v>55</v>
      </c>
      <c r="AM110" s="47" t="s">
        <v>2571</v>
      </c>
      <c r="AN110" s="47">
        <v>2000</v>
      </c>
      <c r="AO110" s="211">
        <f t="shared" si="25"/>
        <v>5.2631578947368418E-2</v>
      </c>
      <c r="AP110" s="47" t="s">
        <v>90</v>
      </c>
      <c r="AQ110" s="91" t="s">
        <v>116</v>
      </c>
      <c r="AR110" s="47"/>
    </row>
    <row r="111" spans="1:44">
      <c r="A111" s="47" t="s">
        <v>44</v>
      </c>
      <c r="B111" s="47" t="str">
        <f t="shared" si="16"/>
        <v>August</v>
      </c>
      <c r="C111" s="59">
        <v>45535</v>
      </c>
      <c r="D111" s="47" t="s">
        <v>83</v>
      </c>
      <c r="E111" s="47" t="s">
        <v>1593</v>
      </c>
      <c r="F111" s="47" t="s">
        <v>880</v>
      </c>
      <c r="G111" s="47" t="s">
        <v>3739</v>
      </c>
      <c r="H111" s="47" t="s">
        <v>3740</v>
      </c>
      <c r="I111" s="47"/>
      <c r="J111" s="47" t="s">
        <v>51</v>
      </c>
      <c r="K111" s="48">
        <v>39634</v>
      </c>
      <c r="L111" s="48">
        <v>45170</v>
      </c>
      <c r="M111" s="48">
        <v>45535</v>
      </c>
      <c r="N111" s="47" t="s">
        <v>64</v>
      </c>
      <c r="O111" s="55" t="s">
        <v>53</v>
      </c>
      <c r="P111" s="62">
        <v>17880</v>
      </c>
      <c r="Q111" s="62">
        <v>1490</v>
      </c>
      <c r="R111" s="103">
        <v>19080</v>
      </c>
      <c r="S111" s="62">
        <f t="shared" si="26"/>
        <v>1590</v>
      </c>
      <c r="T111" s="62">
        <v>16620</v>
      </c>
      <c r="U111" s="137">
        <f t="shared" si="27"/>
        <v>1385</v>
      </c>
      <c r="V111" s="69">
        <v>15420</v>
      </c>
      <c r="W111" s="71"/>
      <c r="X111" s="71"/>
      <c r="Y111" s="71"/>
      <c r="Z111" s="64">
        <f t="shared" si="19"/>
        <v>-1</v>
      </c>
      <c r="AA111" s="64">
        <f t="shared" si="28"/>
        <v>-1</v>
      </c>
      <c r="AB111" s="175">
        <v>1550</v>
      </c>
      <c r="AC111" s="64">
        <f t="shared" si="21"/>
        <v>0.11913357400722022</v>
      </c>
      <c r="AD111" s="64">
        <f t="shared" si="29"/>
        <v>-2.5157232704402517E-2</v>
      </c>
      <c r="AE111" s="175">
        <v>1525</v>
      </c>
      <c r="AF111" s="64">
        <f t="shared" si="23"/>
        <v>0.10108303249097472</v>
      </c>
      <c r="AG111" s="64">
        <f t="shared" si="30"/>
        <v>-4.0880503144654086E-2</v>
      </c>
      <c r="AH111" s="67" t="s">
        <v>3741</v>
      </c>
      <c r="AI111" s="47" t="s">
        <v>54</v>
      </c>
      <c r="AJ111" s="47">
        <v>791.69</v>
      </c>
      <c r="AK111" s="47" t="s">
        <v>65</v>
      </c>
      <c r="AL111" s="47" t="s">
        <v>55</v>
      </c>
      <c r="AM111" s="47" t="s">
        <v>1596</v>
      </c>
      <c r="AN111" s="47"/>
      <c r="AO111" s="211">
        <f t="shared" si="25"/>
        <v>-1</v>
      </c>
      <c r="AP111" s="47" t="s">
        <v>90</v>
      </c>
      <c r="AQ111" s="135" t="s">
        <v>116</v>
      </c>
      <c r="AR111" s="47"/>
    </row>
    <row r="112" spans="1:44" hidden="1">
      <c r="A112" s="47" t="s">
        <v>44</v>
      </c>
      <c r="B112" s="47" t="str">
        <f t="shared" si="16"/>
        <v>August</v>
      </c>
      <c r="C112" s="59">
        <v>45508</v>
      </c>
      <c r="D112" s="47" t="s">
        <v>45</v>
      </c>
      <c r="E112" s="47" t="s">
        <v>253</v>
      </c>
      <c r="F112" s="47" t="s">
        <v>254</v>
      </c>
      <c r="G112" s="47" t="s">
        <v>255</v>
      </c>
      <c r="H112" s="47" t="s">
        <v>256</v>
      </c>
      <c r="I112" s="47" t="s">
        <v>63</v>
      </c>
      <c r="J112" s="47" t="s">
        <v>51</v>
      </c>
      <c r="K112" s="48">
        <v>45143</v>
      </c>
      <c r="L112" s="48">
        <v>45143</v>
      </c>
      <c r="M112" s="48">
        <v>45508</v>
      </c>
      <c r="N112" s="47" t="s">
        <v>52</v>
      </c>
      <c r="O112" s="55" t="s">
        <v>53</v>
      </c>
      <c r="P112" s="62">
        <v>12180</v>
      </c>
      <c r="Q112" s="62">
        <v>1015</v>
      </c>
      <c r="R112" s="96">
        <v>12540</v>
      </c>
      <c r="S112" s="62">
        <f t="shared" si="26"/>
        <v>1045</v>
      </c>
      <c r="T112" s="62">
        <v>12180</v>
      </c>
      <c r="U112" s="62">
        <f t="shared" si="27"/>
        <v>1015</v>
      </c>
      <c r="V112" s="69">
        <v>11100</v>
      </c>
      <c r="W112" s="71">
        <v>1040</v>
      </c>
      <c r="X112" s="172">
        <f t="shared" ref="X112:X121" si="31">W112-(W112*4%)</f>
        <v>998.4</v>
      </c>
      <c r="Y112" s="173">
        <f t="shared" ref="Y112:Y158" si="32">(X112-U112)/U112</f>
        <v>-1.6354679802955688E-2</v>
      </c>
      <c r="Z112" s="64">
        <f t="shared" si="19"/>
        <v>2.4630541871921183E-2</v>
      </c>
      <c r="AA112" s="64">
        <f t="shared" si="28"/>
        <v>-4.7846889952153108E-3</v>
      </c>
      <c r="AB112" s="71">
        <f>W112</f>
        <v>1040</v>
      </c>
      <c r="AC112" s="64">
        <f t="shared" si="21"/>
        <v>2.4630541871921183E-2</v>
      </c>
      <c r="AD112" s="64">
        <f t="shared" si="29"/>
        <v>-4.7846889952153108E-3</v>
      </c>
      <c r="AE112" s="71">
        <f>AB112</f>
        <v>1040</v>
      </c>
      <c r="AF112" s="64">
        <f t="shared" si="23"/>
        <v>2.4630541871921183E-2</v>
      </c>
      <c r="AG112" s="64">
        <f t="shared" si="30"/>
        <v>-4.7846889952153108E-3</v>
      </c>
      <c r="AH112" s="67"/>
      <c r="AI112" s="47" t="s">
        <v>250</v>
      </c>
      <c r="AJ112" s="47">
        <v>472.5</v>
      </c>
      <c r="AK112" s="47" t="s">
        <v>55</v>
      </c>
      <c r="AL112" s="47" t="s">
        <v>55</v>
      </c>
      <c r="AM112" s="47" t="s">
        <v>257</v>
      </c>
      <c r="AN112" s="50">
        <v>1040</v>
      </c>
      <c r="AO112" s="211">
        <f t="shared" si="25"/>
        <v>2.4630541871921183E-2</v>
      </c>
      <c r="AP112" s="47" t="s">
        <v>90</v>
      </c>
      <c r="AQ112" s="111" t="s">
        <v>125</v>
      </c>
      <c r="AR112" s="47"/>
    </row>
    <row r="113" spans="1:44" hidden="1">
      <c r="A113" s="47" t="s">
        <v>44</v>
      </c>
      <c r="B113" s="47" t="str">
        <f t="shared" si="16"/>
        <v>July</v>
      </c>
      <c r="C113" s="59">
        <v>45487</v>
      </c>
      <c r="D113" s="47" t="s">
        <v>45</v>
      </c>
      <c r="E113" s="47" t="s">
        <v>253</v>
      </c>
      <c r="F113" s="47" t="s">
        <v>254</v>
      </c>
      <c r="G113" s="47" t="s">
        <v>844</v>
      </c>
      <c r="H113" s="47" t="s">
        <v>845</v>
      </c>
      <c r="I113" s="47" t="s">
        <v>63</v>
      </c>
      <c r="J113" s="47" t="s">
        <v>51</v>
      </c>
      <c r="K113" s="48">
        <v>45306</v>
      </c>
      <c r="L113" s="48">
        <v>45306</v>
      </c>
      <c r="M113" s="48">
        <v>45487</v>
      </c>
      <c r="N113" s="47" t="s">
        <v>52</v>
      </c>
      <c r="O113" s="55" t="s">
        <v>53</v>
      </c>
      <c r="P113" s="62">
        <v>11820</v>
      </c>
      <c r="Q113" s="62">
        <v>985</v>
      </c>
      <c r="R113" s="96">
        <v>12960</v>
      </c>
      <c r="S113" s="62">
        <f t="shared" si="26"/>
        <v>1080</v>
      </c>
      <c r="T113" s="62">
        <v>12960</v>
      </c>
      <c r="U113" s="62">
        <f t="shared" si="27"/>
        <v>1080</v>
      </c>
      <c r="V113" s="69">
        <v>11640</v>
      </c>
      <c r="W113" s="71">
        <v>1065</v>
      </c>
      <c r="X113" s="172">
        <f t="shared" si="31"/>
        <v>1022.4</v>
      </c>
      <c r="Y113" s="173">
        <f t="shared" si="32"/>
        <v>-5.3333333333333358E-2</v>
      </c>
      <c r="Z113" s="92">
        <f t="shared" si="19"/>
        <v>-1.3888888888888888E-2</v>
      </c>
      <c r="AA113" s="64">
        <f t="shared" si="28"/>
        <v>-1.3888888888888888E-2</v>
      </c>
      <c r="AB113" s="106">
        <v>1085</v>
      </c>
      <c r="AC113" s="64">
        <f t="shared" si="21"/>
        <v>4.6296296296296294E-3</v>
      </c>
      <c r="AD113" s="64">
        <f t="shared" si="29"/>
        <v>4.6296296296296294E-3</v>
      </c>
      <c r="AE113" s="71">
        <v>1085</v>
      </c>
      <c r="AF113" s="64">
        <f t="shared" si="23"/>
        <v>4.6296296296296294E-3</v>
      </c>
      <c r="AG113" s="64">
        <f t="shared" si="30"/>
        <v>4.6296296296296294E-3</v>
      </c>
      <c r="AH113" s="67" t="s">
        <v>846</v>
      </c>
      <c r="AI113" s="47" t="s">
        <v>54</v>
      </c>
      <c r="AJ113" s="47">
        <v>472.5</v>
      </c>
      <c r="AK113" s="47" t="s">
        <v>55</v>
      </c>
      <c r="AL113" s="47" t="s">
        <v>55</v>
      </c>
      <c r="AM113" s="47" t="s">
        <v>257</v>
      </c>
      <c r="AN113" s="50">
        <v>1085</v>
      </c>
      <c r="AO113" s="211">
        <f t="shared" si="25"/>
        <v>4.6296296296296294E-3</v>
      </c>
      <c r="AP113" s="47" t="s">
        <v>90</v>
      </c>
      <c r="AQ113" s="91" t="s">
        <v>116</v>
      </c>
      <c r="AR113" s="47"/>
    </row>
    <row r="114" spans="1:44" hidden="1">
      <c r="A114" s="47" t="s">
        <v>44</v>
      </c>
      <c r="B114" s="47" t="str">
        <f t="shared" si="16"/>
        <v>July</v>
      </c>
      <c r="C114" s="59">
        <v>45483</v>
      </c>
      <c r="D114" s="47" t="s">
        <v>45</v>
      </c>
      <c r="E114" s="47" t="s">
        <v>253</v>
      </c>
      <c r="F114" s="47" t="s">
        <v>254</v>
      </c>
      <c r="G114" s="47" t="s">
        <v>872</v>
      </c>
      <c r="H114" s="47" t="s">
        <v>873</v>
      </c>
      <c r="I114" s="47" t="s">
        <v>63</v>
      </c>
      <c r="J114" s="47" t="s">
        <v>51</v>
      </c>
      <c r="K114" s="48">
        <v>45118</v>
      </c>
      <c r="L114" s="48">
        <v>45118</v>
      </c>
      <c r="M114" s="48">
        <v>45483</v>
      </c>
      <c r="N114" s="47" t="s">
        <v>52</v>
      </c>
      <c r="O114" s="55" t="s">
        <v>53</v>
      </c>
      <c r="P114" s="62">
        <v>9660</v>
      </c>
      <c r="Q114" s="62">
        <v>805</v>
      </c>
      <c r="R114" s="96">
        <v>9720</v>
      </c>
      <c r="S114" s="62">
        <f t="shared" si="26"/>
        <v>810</v>
      </c>
      <c r="T114" s="62">
        <v>9660</v>
      </c>
      <c r="U114" s="62">
        <f t="shared" si="27"/>
        <v>805</v>
      </c>
      <c r="V114" s="69">
        <v>8340</v>
      </c>
      <c r="W114" s="71">
        <v>810</v>
      </c>
      <c r="X114" s="172">
        <f t="shared" si="31"/>
        <v>777.6</v>
      </c>
      <c r="Y114" s="173">
        <f t="shared" si="32"/>
        <v>-3.4037267080745316E-2</v>
      </c>
      <c r="Z114" s="64">
        <f t="shared" si="19"/>
        <v>6.2111801242236021E-3</v>
      </c>
      <c r="AA114" s="64">
        <f t="shared" si="28"/>
        <v>0</v>
      </c>
      <c r="AB114" s="71">
        <f t="shared" ref="AB114:AB139" si="33">W114</f>
        <v>810</v>
      </c>
      <c r="AC114" s="64">
        <f t="shared" si="21"/>
        <v>6.2111801242236021E-3</v>
      </c>
      <c r="AD114" s="64">
        <f t="shared" si="29"/>
        <v>0</v>
      </c>
      <c r="AE114" s="71">
        <f t="shared" ref="AE114:AE128" si="34">AB114</f>
        <v>810</v>
      </c>
      <c r="AF114" s="64">
        <f t="shared" si="23"/>
        <v>6.2111801242236021E-3</v>
      </c>
      <c r="AG114" s="64">
        <f t="shared" si="30"/>
        <v>0</v>
      </c>
      <c r="AH114" s="67"/>
      <c r="AI114" s="47" t="s">
        <v>54</v>
      </c>
      <c r="AJ114" s="47">
        <v>334.8</v>
      </c>
      <c r="AK114" s="47" t="s">
        <v>93</v>
      </c>
      <c r="AL114" s="47" t="s">
        <v>55</v>
      </c>
      <c r="AM114" s="47" t="s">
        <v>874</v>
      </c>
      <c r="AN114" s="50"/>
      <c r="AO114" s="211">
        <f t="shared" si="25"/>
        <v>-1</v>
      </c>
      <c r="AP114" s="47" t="s">
        <v>90</v>
      </c>
      <c r="AQ114" s="91" t="s">
        <v>116</v>
      </c>
      <c r="AR114" s="47"/>
    </row>
    <row r="115" spans="1:44">
      <c r="A115" s="47" t="s">
        <v>44</v>
      </c>
      <c r="B115" s="47" t="str">
        <f t="shared" si="16"/>
        <v>July</v>
      </c>
      <c r="C115" s="59">
        <v>45487</v>
      </c>
      <c r="D115" s="47" t="s">
        <v>45</v>
      </c>
      <c r="E115" s="47" t="s">
        <v>253</v>
      </c>
      <c r="F115" s="47" t="s">
        <v>254</v>
      </c>
      <c r="G115" s="47" t="s">
        <v>875</v>
      </c>
      <c r="H115" s="47" t="s">
        <v>876</v>
      </c>
      <c r="I115" s="47" t="s">
        <v>63</v>
      </c>
      <c r="J115" s="47" t="s">
        <v>51</v>
      </c>
      <c r="K115" s="48">
        <v>44758</v>
      </c>
      <c r="L115" s="48">
        <v>45122</v>
      </c>
      <c r="M115" s="48">
        <v>45487</v>
      </c>
      <c r="N115" s="47" t="s">
        <v>64</v>
      </c>
      <c r="O115" s="55" t="s">
        <v>53</v>
      </c>
      <c r="P115" s="62">
        <v>11880</v>
      </c>
      <c r="Q115" s="62">
        <v>990</v>
      </c>
      <c r="R115" s="96">
        <v>12240</v>
      </c>
      <c r="S115" s="62">
        <f t="shared" si="26"/>
        <v>1020</v>
      </c>
      <c r="T115" s="62">
        <v>11880</v>
      </c>
      <c r="U115" s="62">
        <f t="shared" si="27"/>
        <v>990</v>
      </c>
      <c r="V115" s="69">
        <v>10620</v>
      </c>
      <c r="W115" s="71">
        <v>1000</v>
      </c>
      <c r="X115" s="172">
        <f t="shared" si="31"/>
        <v>960</v>
      </c>
      <c r="Y115" s="173">
        <f t="shared" si="32"/>
        <v>-3.0303030303030304E-2</v>
      </c>
      <c r="Z115" s="64">
        <f t="shared" si="19"/>
        <v>1.0101010101010102E-2</v>
      </c>
      <c r="AA115" s="64">
        <f t="shared" si="28"/>
        <v>-1.9607843137254902E-2</v>
      </c>
      <c r="AB115" s="71">
        <f t="shared" si="33"/>
        <v>1000</v>
      </c>
      <c r="AC115" s="64">
        <f t="shared" si="21"/>
        <v>1.0101010101010102E-2</v>
      </c>
      <c r="AD115" s="64">
        <f t="shared" si="29"/>
        <v>-1.9607843137254902E-2</v>
      </c>
      <c r="AE115" s="71">
        <f t="shared" si="34"/>
        <v>1000</v>
      </c>
      <c r="AF115" s="64">
        <f t="shared" si="23"/>
        <v>1.0101010101010102E-2</v>
      </c>
      <c r="AG115" s="64">
        <f t="shared" si="30"/>
        <v>-1.9607843137254902E-2</v>
      </c>
      <c r="AH115" s="67"/>
      <c r="AI115" s="47" t="s">
        <v>54</v>
      </c>
      <c r="AJ115" s="47">
        <v>417.6</v>
      </c>
      <c r="AK115" s="47" t="s">
        <v>55</v>
      </c>
      <c r="AL115" s="47" t="s">
        <v>55</v>
      </c>
      <c r="AM115" s="47" t="s">
        <v>257</v>
      </c>
      <c r="AN115" s="50">
        <v>1000</v>
      </c>
      <c r="AO115" s="211">
        <f t="shared" si="25"/>
        <v>1.0101010101010102E-2</v>
      </c>
      <c r="AP115" s="47" t="s">
        <v>90</v>
      </c>
      <c r="AQ115" s="91" t="s">
        <v>116</v>
      </c>
      <c r="AR115" s="47"/>
    </row>
    <row r="116" spans="1:44" hidden="1">
      <c r="A116" s="47" t="s">
        <v>44</v>
      </c>
      <c r="B116" s="47" t="str">
        <f t="shared" si="16"/>
        <v>July</v>
      </c>
      <c r="C116" s="59">
        <v>45477</v>
      </c>
      <c r="D116" s="47" t="s">
        <v>45</v>
      </c>
      <c r="E116" s="47" t="s">
        <v>253</v>
      </c>
      <c r="F116" s="47" t="s">
        <v>254</v>
      </c>
      <c r="G116" s="47" t="s">
        <v>877</v>
      </c>
      <c r="H116" s="47" t="s">
        <v>878</v>
      </c>
      <c r="I116" s="47" t="s">
        <v>63</v>
      </c>
      <c r="J116" s="47" t="s">
        <v>51</v>
      </c>
      <c r="K116" s="48">
        <v>45112</v>
      </c>
      <c r="L116" s="48">
        <v>45112</v>
      </c>
      <c r="M116" s="48">
        <v>45477</v>
      </c>
      <c r="N116" s="47" t="s">
        <v>52</v>
      </c>
      <c r="O116" s="55" t="s">
        <v>53</v>
      </c>
      <c r="P116" s="62">
        <v>9960</v>
      </c>
      <c r="Q116" s="62">
        <v>830</v>
      </c>
      <c r="R116" s="96">
        <v>10020</v>
      </c>
      <c r="S116" s="62">
        <f t="shared" si="26"/>
        <v>835</v>
      </c>
      <c r="T116" s="62">
        <v>9960</v>
      </c>
      <c r="U116" s="62">
        <f t="shared" si="27"/>
        <v>830</v>
      </c>
      <c r="V116" s="69">
        <v>9120</v>
      </c>
      <c r="W116" s="71">
        <v>840</v>
      </c>
      <c r="X116" s="172">
        <f t="shared" si="31"/>
        <v>806.4</v>
      </c>
      <c r="Y116" s="173">
        <f t="shared" si="32"/>
        <v>-2.8433734939759064E-2</v>
      </c>
      <c r="Z116" s="64">
        <f t="shared" si="19"/>
        <v>1.2048192771084338E-2</v>
      </c>
      <c r="AA116" s="64">
        <f t="shared" si="28"/>
        <v>5.9880239520958087E-3</v>
      </c>
      <c r="AB116" s="71">
        <f t="shared" si="33"/>
        <v>840</v>
      </c>
      <c r="AC116" s="64">
        <f t="shared" si="21"/>
        <v>1.2048192771084338E-2</v>
      </c>
      <c r="AD116" s="64">
        <f t="shared" si="29"/>
        <v>5.9880239520958087E-3</v>
      </c>
      <c r="AE116" s="71">
        <f t="shared" si="34"/>
        <v>840</v>
      </c>
      <c r="AF116" s="64">
        <f t="shared" si="23"/>
        <v>1.2048192771084338E-2</v>
      </c>
      <c r="AG116" s="64">
        <f t="shared" si="30"/>
        <v>5.9880239520958087E-3</v>
      </c>
      <c r="AH116" s="67"/>
      <c r="AI116" s="47" t="s">
        <v>54</v>
      </c>
      <c r="AJ116" s="47">
        <v>334.8</v>
      </c>
      <c r="AK116" s="47" t="s">
        <v>93</v>
      </c>
      <c r="AL116" s="47" t="s">
        <v>55</v>
      </c>
      <c r="AM116" s="47" t="s">
        <v>874</v>
      </c>
      <c r="AN116" s="50">
        <v>840</v>
      </c>
      <c r="AO116" s="211">
        <f t="shared" si="25"/>
        <v>1.2048192771084338E-2</v>
      </c>
      <c r="AP116" s="47" t="s">
        <v>90</v>
      </c>
      <c r="AQ116" s="91" t="s">
        <v>116</v>
      </c>
      <c r="AR116" s="47"/>
    </row>
    <row r="117" spans="1:44" hidden="1">
      <c r="A117" s="47" t="s">
        <v>44</v>
      </c>
      <c r="B117" s="47" t="str">
        <f t="shared" si="16"/>
        <v>July</v>
      </c>
      <c r="C117" s="59">
        <v>45477</v>
      </c>
      <c r="D117" s="47" t="s">
        <v>45</v>
      </c>
      <c r="E117" s="47" t="s">
        <v>253</v>
      </c>
      <c r="F117" s="47" t="s">
        <v>254</v>
      </c>
      <c r="G117" s="47" t="s">
        <v>911</v>
      </c>
      <c r="H117" s="47" t="s">
        <v>912</v>
      </c>
      <c r="I117" s="47" t="s">
        <v>63</v>
      </c>
      <c r="J117" s="47" t="s">
        <v>51</v>
      </c>
      <c r="K117" s="48">
        <v>45112</v>
      </c>
      <c r="L117" s="48">
        <v>45112</v>
      </c>
      <c r="M117" s="48">
        <v>45477</v>
      </c>
      <c r="N117" s="47" t="s">
        <v>52</v>
      </c>
      <c r="O117" s="55" t="s">
        <v>53</v>
      </c>
      <c r="P117" s="62">
        <v>12120</v>
      </c>
      <c r="Q117" s="62">
        <v>1010</v>
      </c>
      <c r="R117" s="96">
        <v>12480</v>
      </c>
      <c r="S117" s="62">
        <f t="shared" si="26"/>
        <v>1040</v>
      </c>
      <c r="T117" s="62">
        <v>12120</v>
      </c>
      <c r="U117" s="62">
        <f t="shared" si="27"/>
        <v>1010</v>
      </c>
      <c r="V117" s="69">
        <v>10380</v>
      </c>
      <c r="W117" s="71">
        <v>1035</v>
      </c>
      <c r="X117" s="172">
        <f t="shared" si="31"/>
        <v>993.6</v>
      </c>
      <c r="Y117" s="173">
        <f t="shared" si="32"/>
        <v>-1.6237623762376214E-2</v>
      </c>
      <c r="Z117" s="64">
        <f t="shared" si="19"/>
        <v>2.4752475247524754E-2</v>
      </c>
      <c r="AA117" s="64">
        <f t="shared" si="28"/>
        <v>-4.807692307692308E-3</v>
      </c>
      <c r="AB117" s="71">
        <f t="shared" si="33"/>
        <v>1035</v>
      </c>
      <c r="AC117" s="64">
        <f t="shared" si="21"/>
        <v>2.4752475247524754E-2</v>
      </c>
      <c r="AD117" s="64">
        <f t="shared" si="29"/>
        <v>-4.807692307692308E-3</v>
      </c>
      <c r="AE117" s="71">
        <f t="shared" si="34"/>
        <v>1035</v>
      </c>
      <c r="AF117" s="64">
        <f t="shared" si="23"/>
        <v>2.4752475247524754E-2</v>
      </c>
      <c r="AG117" s="64">
        <f t="shared" si="30"/>
        <v>-4.807692307692308E-3</v>
      </c>
      <c r="AH117" s="67"/>
      <c r="AI117" s="47" t="s">
        <v>54</v>
      </c>
      <c r="AJ117" s="47">
        <v>472.5</v>
      </c>
      <c r="AK117" s="47" t="s">
        <v>55</v>
      </c>
      <c r="AL117" s="47" t="s">
        <v>55</v>
      </c>
      <c r="AM117" s="47" t="s">
        <v>257</v>
      </c>
      <c r="AN117" s="50">
        <v>1035</v>
      </c>
      <c r="AO117" s="211">
        <f t="shared" si="25"/>
        <v>2.4752475247524754E-2</v>
      </c>
      <c r="AP117" s="47" t="s">
        <v>90</v>
      </c>
      <c r="AQ117" s="91" t="s">
        <v>116</v>
      </c>
      <c r="AR117" s="47"/>
    </row>
    <row r="118" spans="1:44" hidden="1">
      <c r="A118" s="47" t="s">
        <v>44</v>
      </c>
      <c r="B118" s="47" t="str">
        <f t="shared" si="16"/>
        <v>July</v>
      </c>
      <c r="C118" s="59">
        <v>45491</v>
      </c>
      <c r="D118" s="47" t="s">
        <v>45</v>
      </c>
      <c r="E118" s="47" t="s">
        <v>253</v>
      </c>
      <c r="F118" s="47" t="s">
        <v>254</v>
      </c>
      <c r="G118" s="47" t="s">
        <v>913</v>
      </c>
      <c r="H118" s="47" t="s">
        <v>914</v>
      </c>
      <c r="I118" s="47" t="s">
        <v>63</v>
      </c>
      <c r="J118" s="47" t="s">
        <v>51</v>
      </c>
      <c r="K118" s="48">
        <v>45126</v>
      </c>
      <c r="L118" s="48">
        <v>45126</v>
      </c>
      <c r="M118" s="48">
        <v>45491</v>
      </c>
      <c r="N118" s="47" t="s">
        <v>52</v>
      </c>
      <c r="O118" s="55" t="s">
        <v>53</v>
      </c>
      <c r="P118" s="62">
        <v>11940</v>
      </c>
      <c r="Q118" s="62">
        <v>995</v>
      </c>
      <c r="R118" s="96">
        <v>12300</v>
      </c>
      <c r="S118" s="62">
        <f t="shared" si="26"/>
        <v>1025</v>
      </c>
      <c r="T118" s="62">
        <v>11940</v>
      </c>
      <c r="U118" s="62">
        <f t="shared" si="27"/>
        <v>995</v>
      </c>
      <c r="V118" s="69">
        <v>10260</v>
      </c>
      <c r="W118" s="71">
        <v>1020</v>
      </c>
      <c r="X118" s="172">
        <f t="shared" si="31"/>
        <v>979.2</v>
      </c>
      <c r="Y118" s="173">
        <f t="shared" si="32"/>
        <v>-1.5879396984924576E-2</v>
      </c>
      <c r="Z118" s="64">
        <f t="shared" si="19"/>
        <v>2.5125628140703519E-2</v>
      </c>
      <c r="AA118" s="64">
        <f t="shared" si="28"/>
        <v>-4.8780487804878049E-3</v>
      </c>
      <c r="AB118" s="71">
        <f t="shared" si="33"/>
        <v>1020</v>
      </c>
      <c r="AC118" s="64">
        <f t="shared" si="21"/>
        <v>2.5125628140703519E-2</v>
      </c>
      <c r="AD118" s="64">
        <f t="shared" si="29"/>
        <v>-4.8780487804878049E-3</v>
      </c>
      <c r="AE118" s="71">
        <f t="shared" si="34"/>
        <v>1020</v>
      </c>
      <c r="AF118" s="64">
        <f t="shared" si="23"/>
        <v>2.5125628140703519E-2</v>
      </c>
      <c r="AG118" s="64">
        <f t="shared" si="30"/>
        <v>-4.8780487804878049E-3</v>
      </c>
      <c r="AH118" s="67"/>
      <c r="AI118" s="47" t="s">
        <v>54</v>
      </c>
      <c r="AJ118" s="47">
        <v>472.5</v>
      </c>
      <c r="AK118" s="47" t="s">
        <v>55</v>
      </c>
      <c r="AL118" s="47" t="s">
        <v>55</v>
      </c>
      <c r="AM118" s="47" t="s">
        <v>257</v>
      </c>
      <c r="AN118" s="50"/>
      <c r="AO118" s="211">
        <f t="shared" si="25"/>
        <v>-1</v>
      </c>
      <c r="AP118" s="47" t="s">
        <v>90</v>
      </c>
      <c r="AQ118" s="91" t="s">
        <v>116</v>
      </c>
      <c r="AR118" s="47"/>
    </row>
    <row r="119" spans="1:44" hidden="1">
      <c r="A119" s="47" t="s">
        <v>44</v>
      </c>
      <c r="B119" s="47" t="str">
        <f t="shared" si="16"/>
        <v>July</v>
      </c>
      <c r="C119" s="59">
        <v>45504</v>
      </c>
      <c r="D119" s="47" t="s">
        <v>45</v>
      </c>
      <c r="E119" s="47" t="s">
        <v>253</v>
      </c>
      <c r="F119" s="47" t="s">
        <v>254</v>
      </c>
      <c r="G119" s="47" t="s">
        <v>936</v>
      </c>
      <c r="H119" s="47" t="s">
        <v>937</v>
      </c>
      <c r="I119" s="47" t="s">
        <v>63</v>
      </c>
      <c r="J119" s="47" t="s">
        <v>51</v>
      </c>
      <c r="K119" s="48">
        <v>45139</v>
      </c>
      <c r="L119" s="48">
        <v>45139</v>
      </c>
      <c r="M119" s="48">
        <v>45504</v>
      </c>
      <c r="N119" s="47" t="s">
        <v>52</v>
      </c>
      <c r="O119" s="55" t="s">
        <v>53</v>
      </c>
      <c r="P119" s="62">
        <v>16080</v>
      </c>
      <c r="Q119" s="62">
        <v>1340</v>
      </c>
      <c r="R119" s="96">
        <v>16740</v>
      </c>
      <c r="S119" s="62">
        <f t="shared" si="26"/>
        <v>1395</v>
      </c>
      <c r="T119" s="62">
        <v>16080</v>
      </c>
      <c r="U119" s="62">
        <f t="shared" si="27"/>
        <v>1340</v>
      </c>
      <c r="V119" s="69">
        <v>14584.8</v>
      </c>
      <c r="W119" s="71">
        <v>1390</v>
      </c>
      <c r="X119" s="172">
        <f t="shared" si="31"/>
        <v>1334.4</v>
      </c>
      <c r="Y119" s="173">
        <f t="shared" si="32"/>
        <v>-4.1791044776118723E-3</v>
      </c>
      <c r="Z119" s="64">
        <f t="shared" si="19"/>
        <v>3.7313432835820892E-2</v>
      </c>
      <c r="AA119" s="64">
        <f t="shared" si="28"/>
        <v>-3.5842293906810036E-3</v>
      </c>
      <c r="AB119" s="71">
        <f t="shared" si="33"/>
        <v>1390</v>
      </c>
      <c r="AC119" s="64">
        <f t="shared" si="21"/>
        <v>3.7313432835820892E-2</v>
      </c>
      <c r="AD119" s="64">
        <f t="shared" si="29"/>
        <v>-3.5842293906810036E-3</v>
      </c>
      <c r="AE119" s="71">
        <f t="shared" si="34"/>
        <v>1390</v>
      </c>
      <c r="AF119" s="64">
        <f t="shared" si="23"/>
        <v>3.7313432835820892E-2</v>
      </c>
      <c r="AG119" s="64">
        <f t="shared" si="30"/>
        <v>-3.5842293906810036E-3</v>
      </c>
      <c r="AH119" s="67"/>
      <c r="AI119" s="47" t="s">
        <v>54</v>
      </c>
      <c r="AJ119" s="47">
        <v>711.5</v>
      </c>
      <c r="AK119" s="47" t="s">
        <v>65</v>
      </c>
      <c r="AL119" s="47" t="s">
        <v>55</v>
      </c>
      <c r="AM119" s="47" t="s">
        <v>938</v>
      </c>
      <c r="AN119" s="50"/>
      <c r="AO119" s="211">
        <f t="shared" si="25"/>
        <v>-1</v>
      </c>
      <c r="AP119" s="47" t="s">
        <v>90</v>
      </c>
      <c r="AQ119" s="91" t="s">
        <v>116</v>
      </c>
      <c r="AR119" s="47"/>
    </row>
    <row r="120" spans="1:44">
      <c r="A120" s="47" t="s">
        <v>44</v>
      </c>
      <c r="B120" s="47" t="str">
        <f t="shared" si="16"/>
        <v>July</v>
      </c>
      <c r="C120" s="59">
        <v>45485</v>
      </c>
      <c r="D120" s="47" t="s">
        <v>45</v>
      </c>
      <c r="E120" s="47" t="s">
        <v>253</v>
      </c>
      <c r="F120" s="47" t="s">
        <v>254</v>
      </c>
      <c r="G120" s="47" t="s">
        <v>947</v>
      </c>
      <c r="H120" s="47" t="s">
        <v>948</v>
      </c>
      <c r="I120" s="47" t="s">
        <v>63</v>
      </c>
      <c r="J120" s="47" t="s">
        <v>51</v>
      </c>
      <c r="K120" s="48">
        <v>44025</v>
      </c>
      <c r="L120" s="48">
        <v>45120</v>
      </c>
      <c r="M120" s="48">
        <v>45485</v>
      </c>
      <c r="N120" s="47" t="s">
        <v>64</v>
      </c>
      <c r="O120" s="55" t="s">
        <v>53</v>
      </c>
      <c r="P120" s="62">
        <v>12060</v>
      </c>
      <c r="Q120" s="62">
        <v>1005</v>
      </c>
      <c r="R120" s="96">
        <v>12420</v>
      </c>
      <c r="S120" s="62">
        <f t="shared" si="26"/>
        <v>1035</v>
      </c>
      <c r="T120" s="62">
        <v>12060</v>
      </c>
      <c r="U120" s="62">
        <f t="shared" si="27"/>
        <v>1005</v>
      </c>
      <c r="V120" s="69">
        <v>10800</v>
      </c>
      <c r="W120" s="71">
        <v>1045</v>
      </c>
      <c r="X120" s="172">
        <f t="shared" si="31"/>
        <v>1003.2</v>
      </c>
      <c r="Y120" s="173">
        <f t="shared" si="32"/>
        <v>-1.7910447761193577E-3</v>
      </c>
      <c r="Z120" s="64">
        <f t="shared" si="19"/>
        <v>3.9800995024875621E-2</v>
      </c>
      <c r="AA120" s="64">
        <f t="shared" si="28"/>
        <v>9.6618357487922701E-3</v>
      </c>
      <c r="AB120" s="71">
        <f t="shared" si="33"/>
        <v>1045</v>
      </c>
      <c r="AC120" s="64">
        <f t="shared" si="21"/>
        <v>3.9800995024875621E-2</v>
      </c>
      <c r="AD120" s="64">
        <f t="shared" si="29"/>
        <v>9.6618357487922701E-3</v>
      </c>
      <c r="AE120" s="71">
        <f t="shared" si="34"/>
        <v>1045</v>
      </c>
      <c r="AF120" s="64">
        <f t="shared" si="23"/>
        <v>3.9800995024875621E-2</v>
      </c>
      <c r="AG120" s="64">
        <f t="shared" si="30"/>
        <v>9.6618357487922701E-3</v>
      </c>
      <c r="AH120" s="67"/>
      <c r="AI120" s="47" t="s">
        <v>54</v>
      </c>
      <c r="AJ120" s="47">
        <v>472.5</v>
      </c>
      <c r="AK120" s="47" t="s">
        <v>55</v>
      </c>
      <c r="AL120" s="47" t="s">
        <v>55</v>
      </c>
      <c r="AM120" s="47" t="s">
        <v>257</v>
      </c>
      <c r="AN120" s="50"/>
      <c r="AO120" s="211">
        <f t="shared" si="25"/>
        <v>-1</v>
      </c>
      <c r="AP120" s="47" t="s">
        <v>90</v>
      </c>
      <c r="AQ120" s="91" t="s">
        <v>116</v>
      </c>
      <c r="AR120" s="47"/>
    </row>
    <row r="121" spans="1:44">
      <c r="A121" s="47" t="s">
        <v>44</v>
      </c>
      <c r="B121" s="47" t="str">
        <f t="shared" si="16"/>
        <v>July</v>
      </c>
      <c r="C121" s="59">
        <v>45492</v>
      </c>
      <c r="D121" s="47" t="s">
        <v>45</v>
      </c>
      <c r="E121" s="47" t="s">
        <v>253</v>
      </c>
      <c r="F121" s="47" t="s">
        <v>254</v>
      </c>
      <c r="G121" s="47" t="s">
        <v>949</v>
      </c>
      <c r="H121" s="47" t="s">
        <v>950</v>
      </c>
      <c r="I121" s="47" t="s">
        <v>63</v>
      </c>
      <c r="J121" s="47" t="s">
        <v>51</v>
      </c>
      <c r="K121" s="48">
        <v>44762</v>
      </c>
      <c r="L121" s="48">
        <v>45127</v>
      </c>
      <c r="M121" s="48">
        <v>45492</v>
      </c>
      <c r="N121" s="47" t="s">
        <v>64</v>
      </c>
      <c r="O121" s="55" t="s">
        <v>53</v>
      </c>
      <c r="P121" s="62">
        <v>11940</v>
      </c>
      <c r="Q121" s="62">
        <v>995</v>
      </c>
      <c r="R121" s="96">
        <v>12300</v>
      </c>
      <c r="S121" s="62">
        <f t="shared" si="26"/>
        <v>1025</v>
      </c>
      <c r="T121" s="62">
        <v>11940</v>
      </c>
      <c r="U121" s="62">
        <f t="shared" si="27"/>
        <v>995</v>
      </c>
      <c r="V121" s="69">
        <v>10680</v>
      </c>
      <c r="W121" s="71">
        <v>1035</v>
      </c>
      <c r="X121" s="172">
        <f t="shared" si="31"/>
        <v>993.6</v>
      </c>
      <c r="Y121" s="173">
        <f t="shared" si="32"/>
        <v>-1.4070351758793741E-3</v>
      </c>
      <c r="Z121" s="64">
        <f t="shared" si="19"/>
        <v>4.0201005025125629E-2</v>
      </c>
      <c r="AA121" s="64">
        <f t="shared" si="28"/>
        <v>9.7560975609756097E-3</v>
      </c>
      <c r="AB121" s="71">
        <f t="shared" si="33"/>
        <v>1035</v>
      </c>
      <c r="AC121" s="64">
        <f t="shared" si="21"/>
        <v>4.0201005025125629E-2</v>
      </c>
      <c r="AD121" s="64">
        <f t="shared" si="29"/>
        <v>9.7560975609756097E-3</v>
      </c>
      <c r="AE121" s="71">
        <f t="shared" si="34"/>
        <v>1035</v>
      </c>
      <c r="AF121" s="64">
        <f t="shared" si="23"/>
        <v>4.0201005025125629E-2</v>
      </c>
      <c r="AG121" s="64">
        <f t="shared" si="30"/>
        <v>9.7560975609756097E-3</v>
      </c>
      <c r="AH121" s="67"/>
      <c r="AI121" s="47" t="s">
        <v>395</v>
      </c>
      <c r="AJ121" s="47">
        <v>472.5</v>
      </c>
      <c r="AK121" s="47" t="s">
        <v>55</v>
      </c>
      <c r="AL121" s="47" t="s">
        <v>55</v>
      </c>
      <c r="AM121" s="47" t="s">
        <v>257</v>
      </c>
      <c r="AN121" s="50">
        <v>1035</v>
      </c>
      <c r="AO121" s="211">
        <f t="shared" si="25"/>
        <v>4.0201005025125629E-2</v>
      </c>
      <c r="AP121" s="47" t="s">
        <v>90</v>
      </c>
      <c r="AQ121" s="91" t="s">
        <v>116</v>
      </c>
      <c r="AR121" s="47"/>
    </row>
    <row r="122" spans="1:44" hidden="1">
      <c r="A122" s="47" t="s">
        <v>44</v>
      </c>
      <c r="B122" s="47" t="str">
        <f t="shared" si="16"/>
        <v>July</v>
      </c>
      <c r="C122" s="59">
        <v>45501</v>
      </c>
      <c r="D122" s="47" t="s">
        <v>45</v>
      </c>
      <c r="E122" s="47" t="s">
        <v>253</v>
      </c>
      <c r="F122" s="47" t="s">
        <v>254</v>
      </c>
      <c r="G122" s="47" t="s">
        <v>1000</v>
      </c>
      <c r="H122" s="47" t="s">
        <v>1001</v>
      </c>
      <c r="I122" s="47" t="s">
        <v>63</v>
      </c>
      <c r="J122" s="47" t="s">
        <v>51</v>
      </c>
      <c r="K122" s="48">
        <v>45136</v>
      </c>
      <c r="L122" s="48">
        <v>45136</v>
      </c>
      <c r="M122" s="48">
        <v>45501</v>
      </c>
      <c r="N122" s="47" t="s">
        <v>52</v>
      </c>
      <c r="O122" s="55" t="s">
        <v>53</v>
      </c>
      <c r="P122" s="62">
        <v>14820</v>
      </c>
      <c r="Q122" s="62">
        <v>1235</v>
      </c>
      <c r="R122" s="96">
        <v>15420</v>
      </c>
      <c r="S122" s="62">
        <f t="shared" si="26"/>
        <v>1285</v>
      </c>
      <c r="T122" s="62">
        <v>14820</v>
      </c>
      <c r="U122" s="62">
        <f t="shared" si="27"/>
        <v>1235</v>
      </c>
      <c r="V122" s="69">
        <v>13800</v>
      </c>
      <c r="W122" s="71">
        <v>1290</v>
      </c>
      <c r="X122" s="105">
        <v>1238</v>
      </c>
      <c r="Y122" s="176">
        <f t="shared" si="32"/>
        <v>2.4291497975708503E-3</v>
      </c>
      <c r="Z122" s="64">
        <f t="shared" si="19"/>
        <v>4.4534412955465584E-2</v>
      </c>
      <c r="AA122" s="64">
        <f t="shared" si="28"/>
        <v>3.8910505836575876E-3</v>
      </c>
      <c r="AB122" s="71">
        <f t="shared" si="33"/>
        <v>1290</v>
      </c>
      <c r="AC122" s="64">
        <f t="shared" si="21"/>
        <v>4.4534412955465584E-2</v>
      </c>
      <c r="AD122" s="64">
        <f t="shared" si="29"/>
        <v>3.8910505836575876E-3</v>
      </c>
      <c r="AE122" s="71">
        <f t="shared" si="34"/>
        <v>1290</v>
      </c>
      <c r="AF122" s="64">
        <f t="shared" si="23"/>
        <v>4.4534412955465584E-2</v>
      </c>
      <c r="AG122" s="64">
        <f t="shared" si="30"/>
        <v>3.8910505836575876E-3</v>
      </c>
      <c r="AH122" s="67"/>
      <c r="AI122" s="47" t="s">
        <v>54</v>
      </c>
      <c r="AJ122" s="47">
        <v>674.9</v>
      </c>
      <c r="AK122" s="47" t="s">
        <v>65</v>
      </c>
      <c r="AL122" s="47" t="s">
        <v>55</v>
      </c>
      <c r="AM122" s="47" t="s">
        <v>1002</v>
      </c>
      <c r="AN122" s="50"/>
      <c r="AO122" s="211">
        <f t="shared" si="25"/>
        <v>-1</v>
      </c>
      <c r="AP122" s="47" t="s">
        <v>90</v>
      </c>
      <c r="AQ122" s="91" t="s">
        <v>116</v>
      </c>
      <c r="AR122" s="47"/>
    </row>
    <row r="123" spans="1:44" hidden="1">
      <c r="A123" s="47" t="s">
        <v>44</v>
      </c>
      <c r="B123" s="47" t="str">
        <f t="shared" si="16"/>
        <v>July</v>
      </c>
      <c r="C123" s="59">
        <v>45501</v>
      </c>
      <c r="D123" s="47" t="s">
        <v>45</v>
      </c>
      <c r="E123" s="47" t="s">
        <v>253</v>
      </c>
      <c r="F123" s="47" t="s">
        <v>254</v>
      </c>
      <c r="G123" s="47" t="s">
        <v>1003</v>
      </c>
      <c r="H123" s="47" t="s">
        <v>1004</v>
      </c>
      <c r="I123" s="47" t="s">
        <v>63</v>
      </c>
      <c r="J123" s="47" t="s">
        <v>51</v>
      </c>
      <c r="K123" s="48">
        <v>45136</v>
      </c>
      <c r="L123" s="48">
        <v>45136</v>
      </c>
      <c r="M123" s="48">
        <v>45501</v>
      </c>
      <c r="N123" s="47" t="s">
        <v>52</v>
      </c>
      <c r="O123" s="55" t="s">
        <v>53</v>
      </c>
      <c r="P123" s="62">
        <v>14760</v>
      </c>
      <c r="Q123" s="62">
        <v>1230</v>
      </c>
      <c r="R123" s="96">
        <v>15360</v>
      </c>
      <c r="S123" s="62">
        <f t="shared" si="26"/>
        <v>1280</v>
      </c>
      <c r="T123" s="62">
        <v>14760</v>
      </c>
      <c r="U123" s="62">
        <f t="shared" si="27"/>
        <v>1230</v>
      </c>
      <c r="V123" s="69">
        <v>13680</v>
      </c>
      <c r="W123" s="71">
        <v>1285</v>
      </c>
      <c r="X123" s="105">
        <f t="shared" ref="X123:X157" si="35">W123-(W123*4%)</f>
        <v>1233.5999999999999</v>
      </c>
      <c r="Y123" s="176">
        <f t="shared" si="32"/>
        <v>2.9268292682926092E-3</v>
      </c>
      <c r="Z123" s="64">
        <f t="shared" si="19"/>
        <v>4.4715447154471545E-2</v>
      </c>
      <c r="AA123" s="64">
        <f t="shared" si="28"/>
        <v>3.90625E-3</v>
      </c>
      <c r="AB123" s="71">
        <f t="shared" si="33"/>
        <v>1285</v>
      </c>
      <c r="AC123" s="64">
        <f t="shared" si="21"/>
        <v>4.4715447154471545E-2</v>
      </c>
      <c r="AD123" s="64">
        <f t="shared" si="29"/>
        <v>3.90625E-3</v>
      </c>
      <c r="AE123" s="71">
        <f t="shared" si="34"/>
        <v>1285</v>
      </c>
      <c r="AF123" s="64">
        <f t="shared" si="23"/>
        <v>4.4715447154471545E-2</v>
      </c>
      <c r="AG123" s="64">
        <f t="shared" si="30"/>
        <v>3.90625E-3</v>
      </c>
      <c r="AH123" s="67"/>
      <c r="AI123" s="47" t="s">
        <v>54</v>
      </c>
      <c r="AJ123" s="47">
        <v>674.9</v>
      </c>
      <c r="AK123" s="47" t="s">
        <v>65</v>
      </c>
      <c r="AL123" s="47" t="s">
        <v>55</v>
      </c>
      <c r="AM123" s="47" t="s">
        <v>1002</v>
      </c>
      <c r="AN123" s="50"/>
      <c r="AO123" s="211">
        <f t="shared" si="25"/>
        <v>-1</v>
      </c>
      <c r="AP123" s="47" t="s">
        <v>90</v>
      </c>
      <c r="AQ123" s="91" t="s">
        <v>116</v>
      </c>
      <c r="AR123" s="47"/>
    </row>
    <row r="124" spans="1:44" hidden="1">
      <c r="A124" s="47" t="s">
        <v>44</v>
      </c>
      <c r="B124" s="47" t="str">
        <f t="shared" si="16"/>
        <v>July</v>
      </c>
      <c r="C124" s="59">
        <v>45478</v>
      </c>
      <c r="D124" s="47" t="s">
        <v>45</v>
      </c>
      <c r="E124" s="47" t="s">
        <v>253</v>
      </c>
      <c r="F124" s="47" t="s">
        <v>254</v>
      </c>
      <c r="G124" s="47" t="s">
        <v>1005</v>
      </c>
      <c r="H124" s="47" t="s">
        <v>1006</v>
      </c>
      <c r="I124" s="47" t="s">
        <v>63</v>
      </c>
      <c r="J124" s="47" t="s">
        <v>51</v>
      </c>
      <c r="K124" s="48">
        <v>45113</v>
      </c>
      <c r="L124" s="48">
        <v>45113</v>
      </c>
      <c r="M124" s="48">
        <v>45478</v>
      </c>
      <c r="N124" s="47" t="s">
        <v>52</v>
      </c>
      <c r="O124" s="55" t="s">
        <v>53</v>
      </c>
      <c r="P124" s="62">
        <v>14700</v>
      </c>
      <c r="Q124" s="62">
        <v>1225</v>
      </c>
      <c r="R124" s="96">
        <v>15300</v>
      </c>
      <c r="S124" s="62">
        <f t="shared" si="26"/>
        <v>1275</v>
      </c>
      <c r="T124" s="62">
        <v>14700</v>
      </c>
      <c r="U124" s="62">
        <f t="shared" si="27"/>
        <v>1225</v>
      </c>
      <c r="V124" s="69">
        <v>12960</v>
      </c>
      <c r="W124" s="71">
        <v>1280</v>
      </c>
      <c r="X124" s="105">
        <f t="shared" si="35"/>
        <v>1228.8</v>
      </c>
      <c r="Y124" s="176">
        <f t="shared" si="32"/>
        <v>3.1020408163264933E-3</v>
      </c>
      <c r="Z124" s="64">
        <f t="shared" si="19"/>
        <v>4.4897959183673466E-2</v>
      </c>
      <c r="AA124" s="64">
        <f t="shared" si="28"/>
        <v>3.9215686274509803E-3</v>
      </c>
      <c r="AB124" s="71">
        <f t="shared" si="33"/>
        <v>1280</v>
      </c>
      <c r="AC124" s="64">
        <f t="shared" si="21"/>
        <v>4.4897959183673466E-2</v>
      </c>
      <c r="AD124" s="64">
        <f t="shared" si="29"/>
        <v>3.9215686274509803E-3</v>
      </c>
      <c r="AE124" s="71">
        <f t="shared" si="34"/>
        <v>1280</v>
      </c>
      <c r="AF124" s="64">
        <f t="shared" si="23"/>
        <v>4.4897959183673466E-2</v>
      </c>
      <c r="AG124" s="64">
        <f t="shared" si="30"/>
        <v>3.9215686274509803E-3</v>
      </c>
      <c r="AH124" s="67"/>
      <c r="AI124" s="47" t="s">
        <v>54</v>
      </c>
      <c r="AJ124" s="47">
        <v>674.9</v>
      </c>
      <c r="AK124" s="47" t="s">
        <v>65</v>
      </c>
      <c r="AL124" s="47" t="s">
        <v>55</v>
      </c>
      <c r="AM124" s="47" t="s">
        <v>1002</v>
      </c>
      <c r="AN124" s="50"/>
      <c r="AO124" s="211">
        <f t="shared" si="25"/>
        <v>-1</v>
      </c>
      <c r="AP124" s="47" t="s">
        <v>90</v>
      </c>
      <c r="AQ124" s="91" t="s">
        <v>116</v>
      </c>
      <c r="AR124" s="47"/>
    </row>
    <row r="125" spans="1:44" hidden="1">
      <c r="A125" s="47" t="s">
        <v>44</v>
      </c>
      <c r="B125" s="47" t="str">
        <f t="shared" si="16"/>
        <v>July</v>
      </c>
      <c r="C125" s="59">
        <v>45497</v>
      </c>
      <c r="D125" s="47" t="s">
        <v>45</v>
      </c>
      <c r="E125" s="47" t="s">
        <v>253</v>
      </c>
      <c r="F125" s="47" t="s">
        <v>254</v>
      </c>
      <c r="G125" s="47" t="s">
        <v>1007</v>
      </c>
      <c r="H125" s="47" t="s">
        <v>1008</v>
      </c>
      <c r="I125" s="47" t="s">
        <v>63</v>
      </c>
      <c r="J125" s="47" t="s">
        <v>51</v>
      </c>
      <c r="K125" s="48">
        <v>45132</v>
      </c>
      <c r="L125" s="48">
        <v>45132</v>
      </c>
      <c r="M125" s="48">
        <v>45497</v>
      </c>
      <c r="N125" s="47" t="s">
        <v>52</v>
      </c>
      <c r="O125" s="55" t="s">
        <v>53</v>
      </c>
      <c r="P125" s="62">
        <v>14640</v>
      </c>
      <c r="Q125" s="62">
        <v>1220</v>
      </c>
      <c r="R125" s="96">
        <v>15240</v>
      </c>
      <c r="S125" s="62">
        <f t="shared" si="26"/>
        <v>1270</v>
      </c>
      <c r="T125" s="62">
        <v>14640</v>
      </c>
      <c r="U125" s="62">
        <f t="shared" si="27"/>
        <v>1220</v>
      </c>
      <c r="V125" s="69">
        <v>12840</v>
      </c>
      <c r="W125" s="71">
        <v>1275</v>
      </c>
      <c r="X125" s="105">
        <f t="shared" si="35"/>
        <v>1224</v>
      </c>
      <c r="Y125" s="176">
        <f t="shared" si="32"/>
        <v>3.2786885245901639E-3</v>
      </c>
      <c r="Z125" s="64">
        <f t="shared" si="19"/>
        <v>4.5081967213114756E-2</v>
      </c>
      <c r="AA125" s="64">
        <f t="shared" si="28"/>
        <v>3.937007874015748E-3</v>
      </c>
      <c r="AB125" s="71">
        <f t="shared" si="33"/>
        <v>1275</v>
      </c>
      <c r="AC125" s="64">
        <f t="shared" si="21"/>
        <v>4.5081967213114756E-2</v>
      </c>
      <c r="AD125" s="64">
        <f t="shared" si="29"/>
        <v>3.937007874015748E-3</v>
      </c>
      <c r="AE125" s="71">
        <f t="shared" si="34"/>
        <v>1275</v>
      </c>
      <c r="AF125" s="64">
        <f t="shared" si="23"/>
        <v>4.5081967213114756E-2</v>
      </c>
      <c r="AG125" s="64">
        <f t="shared" si="30"/>
        <v>3.937007874015748E-3</v>
      </c>
      <c r="AH125" s="67"/>
      <c r="AI125" s="47" t="s">
        <v>395</v>
      </c>
      <c r="AJ125" s="47">
        <v>674.9</v>
      </c>
      <c r="AK125" s="47" t="s">
        <v>65</v>
      </c>
      <c r="AL125" s="47" t="s">
        <v>55</v>
      </c>
      <c r="AM125" s="47" t="s">
        <v>1002</v>
      </c>
      <c r="AN125" s="50"/>
      <c r="AO125" s="211">
        <f t="shared" si="25"/>
        <v>-1</v>
      </c>
      <c r="AP125" s="47" t="s">
        <v>90</v>
      </c>
      <c r="AQ125" s="91" t="s">
        <v>116</v>
      </c>
      <c r="AR125" s="47"/>
    </row>
    <row r="126" spans="1:44" hidden="1">
      <c r="A126" s="47" t="s">
        <v>44</v>
      </c>
      <c r="B126" s="47" t="str">
        <f t="shared" si="16"/>
        <v>July</v>
      </c>
      <c r="C126" s="59">
        <v>45486</v>
      </c>
      <c r="D126" s="47" t="s">
        <v>45</v>
      </c>
      <c r="E126" s="47" t="s">
        <v>253</v>
      </c>
      <c r="F126" s="47" t="s">
        <v>254</v>
      </c>
      <c r="G126" s="47" t="s">
        <v>1009</v>
      </c>
      <c r="H126" s="47" t="s">
        <v>1010</v>
      </c>
      <c r="I126" s="47" t="s">
        <v>63</v>
      </c>
      <c r="J126" s="47" t="s">
        <v>51</v>
      </c>
      <c r="K126" s="48">
        <v>45121</v>
      </c>
      <c r="L126" s="48">
        <v>45121</v>
      </c>
      <c r="M126" s="48">
        <v>45486</v>
      </c>
      <c r="N126" s="47" t="s">
        <v>52</v>
      </c>
      <c r="O126" s="55" t="s">
        <v>53</v>
      </c>
      <c r="P126" s="62">
        <v>14580</v>
      </c>
      <c r="Q126" s="62">
        <v>1215</v>
      </c>
      <c r="R126" s="96">
        <v>15180</v>
      </c>
      <c r="S126" s="62">
        <f t="shared" si="26"/>
        <v>1265</v>
      </c>
      <c r="T126" s="62">
        <v>14580</v>
      </c>
      <c r="U126" s="62">
        <f t="shared" si="27"/>
        <v>1215</v>
      </c>
      <c r="V126" s="69">
        <v>12780</v>
      </c>
      <c r="W126" s="71">
        <v>1270</v>
      </c>
      <c r="X126" s="105">
        <f t="shared" si="35"/>
        <v>1219.2</v>
      </c>
      <c r="Y126" s="176">
        <f t="shared" si="32"/>
        <v>3.4567901234568276E-3</v>
      </c>
      <c r="Z126" s="64">
        <f t="shared" si="19"/>
        <v>4.5267489711934158E-2</v>
      </c>
      <c r="AA126" s="64">
        <f t="shared" si="28"/>
        <v>3.952569169960474E-3</v>
      </c>
      <c r="AB126" s="71">
        <f t="shared" si="33"/>
        <v>1270</v>
      </c>
      <c r="AC126" s="64">
        <f t="shared" si="21"/>
        <v>4.5267489711934158E-2</v>
      </c>
      <c r="AD126" s="64">
        <f t="shared" si="29"/>
        <v>3.952569169960474E-3</v>
      </c>
      <c r="AE126" s="71">
        <f t="shared" si="34"/>
        <v>1270</v>
      </c>
      <c r="AF126" s="64">
        <f t="shared" si="23"/>
        <v>4.5267489711934158E-2</v>
      </c>
      <c r="AG126" s="64">
        <f t="shared" si="30"/>
        <v>3.952569169960474E-3</v>
      </c>
      <c r="AH126" s="67"/>
      <c r="AI126" s="47" t="s">
        <v>54</v>
      </c>
      <c r="AJ126" s="47">
        <v>674.9</v>
      </c>
      <c r="AK126" s="47" t="s">
        <v>65</v>
      </c>
      <c r="AL126" s="47" t="s">
        <v>55</v>
      </c>
      <c r="AM126" s="47" t="s">
        <v>1002</v>
      </c>
      <c r="AN126" s="50"/>
      <c r="AO126" s="211">
        <f t="shared" si="25"/>
        <v>-1</v>
      </c>
      <c r="AP126" s="47" t="s">
        <v>90</v>
      </c>
      <c r="AQ126" s="91" t="s">
        <v>116</v>
      </c>
      <c r="AR126" s="47"/>
    </row>
    <row r="127" spans="1:44" hidden="1">
      <c r="A127" s="47" t="s">
        <v>44</v>
      </c>
      <c r="B127" s="47" t="str">
        <f t="shared" si="16"/>
        <v>July</v>
      </c>
      <c r="C127" s="59">
        <v>45500</v>
      </c>
      <c r="D127" s="47" t="s">
        <v>45</v>
      </c>
      <c r="E127" s="47" t="s">
        <v>253</v>
      </c>
      <c r="F127" s="47" t="s">
        <v>254</v>
      </c>
      <c r="G127" s="47" t="s">
        <v>1011</v>
      </c>
      <c r="H127" s="47" t="s">
        <v>1012</v>
      </c>
      <c r="I127" s="47" t="s">
        <v>63</v>
      </c>
      <c r="J127" s="47" t="s">
        <v>51</v>
      </c>
      <c r="K127" s="48">
        <v>45135</v>
      </c>
      <c r="L127" s="48">
        <v>45135</v>
      </c>
      <c r="M127" s="48">
        <v>45500</v>
      </c>
      <c r="N127" s="47" t="s">
        <v>52</v>
      </c>
      <c r="O127" s="55" t="s">
        <v>53</v>
      </c>
      <c r="P127" s="62">
        <v>14520</v>
      </c>
      <c r="Q127" s="62">
        <v>1210</v>
      </c>
      <c r="R127" s="96">
        <v>15120</v>
      </c>
      <c r="S127" s="62">
        <f t="shared" si="26"/>
        <v>1260</v>
      </c>
      <c r="T127" s="62">
        <v>14520</v>
      </c>
      <c r="U127" s="62">
        <f t="shared" si="27"/>
        <v>1210</v>
      </c>
      <c r="V127" s="69">
        <v>12720</v>
      </c>
      <c r="W127" s="71">
        <v>1265</v>
      </c>
      <c r="X127" s="105">
        <f t="shared" si="35"/>
        <v>1214.4000000000001</v>
      </c>
      <c r="Y127" s="176">
        <f t="shared" si="32"/>
        <v>3.6363636363637114E-3</v>
      </c>
      <c r="Z127" s="64">
        <f t="shared" si="19"/>
        <v>4.5454545454545456E-2</v>
      </c>
      <c r="AA127" s="64">
        <f t="shared" si="28"/>
        <v>3.968253968253968E-3</v>
      </c>
      <c r="AB127" s="71">
        <f t="shared" si="33"/>
        <v>1265</v>
      </c>
      <c r="AC127" s="64">
        <f t="shared" si="21"/>
        <v>4.5454545454545456E-2</v>
      </c>
      <c r="AD127" s="64">
        <f t="shared" si="29"/>
        <v>3.968253968253968E-3</v>
      </c>
      <c r="AE127" s="71">
        <f t="shared" si="34"/>
        <v>1265</v>
      </c>
      <c r="AF127" s="64">
        <f t="shared" si="23"/>
        <v>4.5454545454545456E-2</v>
      </c>
      <c r="AG127" s="64">
        <f t="shared" si="30"/>
        <v>3.968253968253968E-3</v>
      </c>
      <c r="AH127" s="67"/>
      <c r="AI127" s="47" t="s">
        <v>54</v>
      </c>
      <c r="AJ127" s="47">
        <v>674.9</v>
      </c>
      <c r="AK127" s="47" t="s">
        <v>65</v>
      </c>
      <c r="AL127" s="47" t="s">
        <v>55</v>
      </c>
      <c r="AM127" s="47" t="s">
        <v>1002</v>
      </c>
      <c r="AN127" s="50">
        <v>1265</v>
      </c>
      <c r="AO127" s="211">
        <f t="shared" si="25"/>
        <v>4.5454545454545456E-2</v>
      </c>
      <c r="AP127" s="47" t="s">
        <v>90</v>
      </c>
      <c r="AQ127" s="119" t="s">
        <v>116</v>
      </c>
      <c r="AR127" s="47"/>
    </row>
    <row r="128" spans="1:44" hidden="1">
      <c r="A128" s="47" t="s">
        <v>44</v>
      </c>
      <c r="B128" s="47" t="str">
        <f t="shared" si="16"/>
        <v>July</v>
      </c>
      <c r="C128" s="59">
        <v>45500</v>
      </c>
      <c r="D128" s="47" t="s">
        <v>45</v>
      </c>
      <c r="E128" s="47" t="s">
        <v>253</v>
      </c>
      <c r="F128" s="47" t="s">
        <v>254</v>
      </c>
      <c r="G128" s="47" t="s">
        <v>1013</v>
      </c>
      <c r="H128" s="47" t="s">
        <v>1014</v>
      </c>
      <c r="I128" s="47" t="s">
        <v>63</v>
      </c>
      <c r="J128" s="47" t="s">
        <v>51</v>
      </c>
      <c r="K128" s="48">
        <v>45135</v>
      </c>
      <c r="L128" s="48">
        <v>45135</v>
      </c>
      <c r="M128" s="48">
        <v>45500</v>
      </c>
      <c r="N128" s="47" t="s">
        <v>52</v>
      </c>
      <c r="O128" s="55" t="s">
        <v>53</v>
      </c>
      <c r="P128" s="62">
        <v>14460</v>
      </c>
      <c r="Q128" s="62">
        <v>1205</v>
      </c>
      <c r="R128" s="96">
        <v>15060</v>
      </c>
      <c r="S128" s="62">
        <f t="shared" si="26"/>
        <v>1255</v>
      </c>
      <c r="T128" s="62">
        <v>14460</v>
      </c>
      <c r="U128" s="62">
        <f t="shared" si="27"/>
        <v>1205</v>
      </c>
      <c r="V128" s="69">
        <v>13260</v>
      </c>
      <c r="W128" s="71">
        <v>1260</v>
      </c>
      <c r="X128" s="105">
        <f t="shared" si="35"/>
        <v>1209.5999999999999</v>
      </c>
      <c r="Y128" s="176">
        <f t="shared" si="32"/>
        <v>3.8174273858920405E-3</v>
      </c>
      <c r="Z128" s="64">
        <f t="shared" si="19"/>
        <v>4.5643153526970952E-2</v>
      </c>
      <c r="AA128" s="64">
        <f t="shared" si="28"/>
        <v>3.9840637450199202E-3</v>
      </c>
      <c r="AB128" s="71">
        <f t="shared" si="33"/>
        <v>1260</v>
      </c>
      <c r="AC128" s="64">
        <f t="shared" si="21"/>
        <v>4.5643153526970952E-2</v>
      </c>
      <c r="AD128" s="64">
        <f t="shared" si="29"/>
        <v>3.9840637450199202E-3</v>
      </c>
      <c r="AE128" s="71">
        <f t="shared" si="34"/>
        <v>1260</v>
      </c>
      <c r="AF128" s="64">
        <f t="shared" si="23"/>
        <v>4.5643153526970952E-2</v>
      </c>
      <c r="AG128" s="64">
        <f t="shared" si="30"/>
        <v>3.9840637450199202E-3</v>
      </c>
      <c r="AH128" s="67"/>
      <c r="AI128" s="47" t="s">
        <v>54</v>
      </c>
      <c r="AJ128" s="47">
        <v>674.9</v>
      </c>
      <c r="AK128" s="47" t="s">
        <v>65</v>
      </c>
      <c r="AL128" s="47" t="s">
        <v>55</v>
      </c>
      <c r="AM128" s="47" t="s">
        <v>1002</v>
      </c>
      <c r="AN128" s="50">
        <v>1240</v>
      </c>
      <c r="AO128" s="211">
        <f t="shared" si="25"/>
        <v>2.9045643153526972E-2</v>
      </c>
      <c r="AP128" s="47" t="s">
        <v>90</v>
      </c>
      <c r="AQ128" s="91" t="s">
        <v>116</v>
      </c>
      <c r="AR128" s="47"/>
    </row>
    <row r="129" spans="1:16373">
      <c r="A129" s="47" t="s">
        <v>44</v>
      </c>
      <c r="B129" s="47" t="str">
        <f t="shared" si="16"/>
        <v>July</v>
      </c>
      <c r="C129" s="59">
        <v>45476</v>
      </c>
      <c r="D129" s="47" t="s">
        <v>45</v>
      </c>
      <c r="E129" s="47" t="s">
        <v>253</v>
      </c>
      <c r="F129" s="47" t="s">
        <v>254</v>
      </c>
      <c r="G129" s="47" t="s">
        <v>1027</v>
      </c>
      <c r="H129" s="47" t="s">
        <v>1028</v>
      </c>
      <c r="I129" s="47" t="s">
        <v>63</v>
      </c>
      <c r="J129" s="47" t="s">
        <v>51</v>
      </c>
      <c r="K129" s="48">
        <v>44746</v>
      </c>
      <c r="L129" s="48">
        <v>45111</v>
      </c>
      <c r="M129" s="48">
        <v>45476</v>
      </c>
      <c r="N129" s="47" t="s">
        <v>64</v>
      </c>
      <c r="O129" s="55" t="s">
        <v>53</v>
      </c>
      <c r="P129" s="62">
        <v>9900</v>
      </c>
      <c r="Q129" s="62">
        <v>825</v>
      </c>
      <c r="R129" s="96">
        <v>9960</v>
      </c>
      <c r="S129" s="62">
        <f t="shared" si="26"/>
        <v>830</v>
      </c>
      <c r="T129" s="62">
        <v>9900</v>
      </c>
      <c r="U129" s="62">
        <f t="shared" si="27"/>
        <v>825</v>
      </c>
      <c r="V129" s="69">
        <v>8820</v>
      </c>
      <c r="W129" s="71">
        <v>865</v>
      </c>
      <c r="X129" s="105">
        <f t="shared" si="35"/>
        <v>830.4</v>
      </c>
      <c r="Y129" s="176">
        <f t="shared" si="32"/>
        <v>6.5454545454545175E-3</v>
      </c>
      <c r="Z129" s="64">
        <f t="shared" si="19"/>
        <v>4.8484848484848485E-2</v>
      </c>
      <c r="AA129" s="64">
        <f t="shared" si="28"/>
        <v>4.2168674698795178E-2</v>
      </c>
      <c r="AB129" s="71">
        <f t="shared" si="33"/>
        <v>865</v>
      </c>
      <c r="AC129" s="64">
        <f t="shared" si="21"/>
        <v>4.8484848484848485E-2</v>
      </c>
      <c r="AD129" s="64">
        <f t="shared" si="29"/>
        <v>4.2168674698795178E-2</v>
      </c>
      <c r="AE129" s="71">
        <v>860</v>
      </c>
      <c r="AF129" s="64">
        <f t="shared" si="23"/>
        <v>4.2424242424242427E-2</v>
      </c>
      <c r="AG129" s="64">
        <f t="shared" si="30"/>
        <v>3.614457831325301E-2</v>
      </c>
      <c r="AH129" s="67"/>
      <c r="AI129" s="47" t="s">
        <v>54</v>
      </c>
      <c r="AJ129" s="47">
        <v>334.8</v>
      </c>
      <c r="AK129" s="47" t="s">
        <v>93</v>
      </c>
      <c r="AL129" s="47" t="s">
        <v>55</v>
      </c>
      <c r="AM129" s="47" t="s">
        <v>1029</v>
      </c>
      <c r="AN129" s="50"/>
      <c r="AO129" s="211">
        <f t="shared" si="25"/>
        <v>-1</v>
      </c>
      <c r="AP129" s="47" t="s">
        <v>90</v>
      </c>
      <c r="AQ129" s="91" t="s">
        <v>116</v>
      </c>
      <c r="AR129" s="47"/>
    </row>
    <row r="130" spans="1:16373" s="56" customFormat="1">
      <c r="A130" s="47" t="s">
        <v>44</v>
      </c>
      <c r="B130" s="47" t="str">
        <f t="shared" ref="B130:B193" si="36">TEXT(C130,"mmmm")</f>
        <v>July</v>
      </c>
      <c r="C130" s="59">
        <v>45474</v>
      </c>
      <c r="D130" s="47" t="s">
        <v>45</v>
      </c>
      <c r="E130" s="47" t="s">
        <v>253</v>
      </c>
      <c r="F130" s="47" t="s">
        <v>254</v>
      </c>
      <c r="G130" s="47" t="s">
        <v>1046</v>
      </c>
      <c r="H130" s="47" t="s">
        <v>1047</v>
      </c>
      <c r="I130" s="47" t="s">
        <v>63</v>
      </c>
      <c r="J130" s="47" t="s">
        <v>51</v>
      </c>
      <c r="K130" s="48">
        <v>44744</v>
      </c>
      <c r="L130" s="48">
        <v>45109</v>
      </c>
      <c r="M130" s="48">
        <v>45474</v>
      </c>
      <c r="N130" s="47" t="s">
        <v>64</v>
      </c>
      <c r="O130" s="55" t="s">
        <v>53</v>
      </c>
      <c r="P130" s="62">
        <v>9600</v>
      </c>
      <c r="Q130" s="62">
        <v>800</v>
      </c>
      <c r="R130" s="96">
        <v>9660</v>
      </c>
      <c r="S130" s="62">
        <f t="shared" si="26"/>
        <v>805</v>
      </c>
      <c r="T130" s="62">
        <v>9600</v>
      </c>
      <c r="U130" s="62">
        <f t="shared" si="27"/>
        <v>800</v>
      </c>
      <c r="V130" s="69">
        <v>8640</v>
      </c>
      <c r="W130" s="71">
        <v>840</v>
      </c>
      <c r="X130" s="105">
        <f t="shared" si="35"/>
        <v>806.4</v>
      </c>
      <c r="Y130" s="176">
        <f t="shared" si="32"/>
        <v>7.9999999999999724E-3</v>
      </c>
      <c r="Z130" s="64">
        <f t="shared" ref="Z130:Z193" si="37">(W130-U130)/U130</f>
        <v>0.05</v>
      </c>
      <c r="AA130" s="64">
        <f t="shared" si="28"/>
        <v>4.3478260869565216E-2</v>
      </c>
      <c r="AB130" s="71">
        <f t="shared" si="33"/>
        <v>840</v>
      </c>
      <c r="AC130" s="64">
        <f t="shared" ref="AC130:AC193" si="38">(AB130-U130)/U130</f>
        <v>0.05</v>
      </c>
      <c r="AD130" s="64">
        <f t="shared" si="29"/>
        <v>4.3478260869565216E-2</v>
      </c>
      <c r="AE130" s="71">
        <v>835</v>
      </c>
      <c r="AF130" s="64">
        <f t="shared" ref="AF130:AF193" si="39">(AE130-U130)/U130</f>
        <v>4.3749999999999997E-2</v>
      </c>
      <c r="AG130" s="64">
        <f t="shared" si="30"/>
        <v>3.7267080745341616E-2</v>
      </c>
      <c r="AH130" s="67"/>
      <c r="AI130" s="47" t="s">
        <v>54</v>
      </c>
      <c r="AJ130" s="47">
        <v>334.8</v>
      </c>
      <c r="AK130" s="47" t="s">
        <v>93</v>
      </c>
      <c r="AL130" s="47" t="s">
        <v>55</v>
      </c>
      <c r="AM130" s="47" t="s">
        <v>874</v>
      </c>
      <c r="AN130" s="50">
        <v>840</v>
      </c>
      <c r="AO130" s="211">
        <f t="shared" ref="AO130:AO193" si="40">SUM(AN130-U130)/U130</f>
        <v>0.05</v>
      </c>
      <c r="AP130" s="47" t="s">
        <v>90</v>
      </c>
      <c r="AQ130" s="91" t="s">
        <v>116</v>
      </c>
      <c r="AR130" s="47"/>
      <c r="AS130" s="52"/>
      <c r="AT130" s="52"/>
      <c r="AU130" s="52"/>
      <c r="AV130" s="52"/>
      <c r="AW130" s="52"/>
      <c r="AX130" s="52"/>
      <c r="AY130" s="52"/>
      <c r="AZ130" s="52"/>
      <c r="BA130" s="52"/>
      <c r="BB130" s="52"/>
      <c r="BC130" s="52"/>
      <c r="BD130" s="52"/>
      <c r="BE130" s="52"/>
      <c r="BF130" s="52"/>
      <c r="BG130" s="52"/>
      <c r="BH130" s="52"/>
      <c r="BI130" s="52"/>
      <c r="BJ130" s="52"/>
      <c r="BK130" s="52"/>
      <c r="BL130" s="52"/>
      <c r="BM130" s="52"/>
      <c r="BN130" s="52"/>
      <c r="BO130" s="52"/>
      <c r="BP130" s="52"/>
      <c r="BQ130" s="52"/>
      <c r="BR130" s="52"/>
      <c r="BS130" s="52"/>
      <c r="BT130" s="52"/>
      <c r="BU130" s="52"/>
      <c r="BV130" s="52"/>
      <c r="BW130" s="52"/>
      <c r="BX130" s="52"/>
      <c r="BY130" s="52"/>
      <c r="BZ130" s="52"/>
      <c r="CA130" s="52"/>
      <c r="CB130" s="52"/>
      <c r="CC130" s="52"/>
      <c r="CD130" s="52"/>
      <c r="CE130" s="52"/>
      <c r="CF130" s="52"/>
      <c r="CG130" s="52"/>
      <c r="CH130" s="52"/>
      <c r="CI130" s="52"/>
      <c r="CJ130" s="52"/>
      <c r="CK130" s="52"/>
      <c r="CL130" s="52"/>
      <c r="CM130" s="52"/>
      <c r="CN130" s="52"/>
      <c r="CO130" s="52"/>
      <c r="CP130" s="52"/>
      <c r="CQ130" s="52"/>
      <c r="CR130" s="52"/>
      <c r="CS130" s="52"/>
      <c r="CT130" s="52"/>
      <c r="CU130" s="52"/>
      <c r="CV130" s="52"/>
      <c r="CW130" s="52"/>
      <c r="CX130" s="52"/>
      <c r="CY130" s="52"/>
      <c r="CZ130" s="52"/>
      <c r="DA130" s="52"/>
      <c r="DB130" s="52"/>
      <c r="DC130" s="52"/>
      <c r="DD130" s="52"/>
      <c r="DE130" s="52"/>
      <c r="DF130" s="52"/>
      <c r="DG130" s="52"/>
      <c r="DH130" s="52"/>
      <c r="DI130" s="52"/>
      <c r="DJ130" s="52"/>
      <c r="DK130" s="52"/>
      <c r="DL130" s="52"/>
      <c r="DM130" s="52"/>
      <c r="DN130" s="52"/>
      <c r="DO130" s="52"/>
      <c r="DP130" s="52"/>
      <c r="DQ130" s="52"/>
      <c r="DR130" s="52"/>
      <c r="DS130" s="52"/>
      <c r="DT130" s="52"/>
      <c r="DU130" s="52"/>
      <c r="DV130" s="52"/>
      <c r="DW130" s="52"/>
      <c r="DX130" s="52"/>
      <c r="DY130" s="52"/>
      <c r="DZ130" s="52"/>
      <c r="EA130" s="52"/>
      <c r="EB130" s="52"/>
      <c r="EC130" s="52"/>
      <c r="ED130" s="52"/>
      <c r="EE130" s="52"/>
      <c r="EF130" s="52"/>
      <c r="EG130" s="52"/>
      <c r="EH130" s="52"/>
      <c r="EI130" s="52"/>
      <c r="EJ130" s="52"/>
      <c r="EK130" s="52"/>
      <c r="EL130" s="52"/>
      <c r="EM130" s="52"/>
      <c r="EN130" s="52"/>
      <c r="EO130" s="52"/>
      <c r="EP130" s="52"/>
      <c r="EQ130" s="52"/>
      <c r="ER130" s="52"/>
      <c r="ES130" s="52"/>
      <c r="ET130" s="52"/>
      <c r="EU130" s="52"/>
      <c r="EV130" s="52"/>
      <c r="EW130" s="52"/>
      <c r="EX130" s="52"/>
      <c r="EY130" s="52"/>
      <c r="EZ130" s="52"/>
      <c r="FA130" s="52"/>
      <c r="FB130" s="52"/>
      <c r="FC130" s="52"/>
      <c r="FD130" s="52"/>
      <c r="FE130" s="52"/>
      <c r="FF130" s="52"/>
      <c r="FG130" s="52"/>
      <c r="FH130" s="52"/>
      <c r="FI130" s="52"/>
      <c r="FJ130" s="52"/>
      <c r="FK130" s="52"/>
      <c r="FL130" s="52"/>
      <c r="FM130" s="52"/>
      <c r="FN130" s="52"/>
      <c r="FO130" s="52"/>
      <c r="FP130" s="52"/>
      <c r="FQ130" s="52"/>
      <c r="FR130" s="52"/>
      <c r="FS130" s="52"/>
      <c r="FT130" s="52"/>
      <c r="FU130" s="52"/>
      <c r="FV130" s="52"/>
      <c r="FW130" s="52"/>
      <c r="FX130" s="52"/>
      <c r="FY130" s="52"/>
      <c r="FZ130" s="52"/>
      <c r="GA130" s="52"/>
      <c r="GB130" s="52"/>
      <c r="GC130" s="52"/>
      <c r="GD130" s="52"/>
      <c r="GE130" s="52"/>
      <c r="GF130" s="52"/>
      <c r="GG130" s="52"/>
      <c r="GH130" s="52"/>
      <c r="GI130" s="52"/>
      <c r="GJ130" s="52"/>
      <c r="GK130" s="52"/>
      <c r="GL130" s="52"/>
      <c r="GM130" s="52"/>
      <c r="GN130" s="52"/>
      <c r="GO130" s="52"/>
      <c r="GP130" s="52"/>
      <c r="GQ130" s="52"/>
      <c r="GR130" s="52"/>
      <c r="GS130" s="52"/>
      <c r="GT130" s="52"/>
      <c r="GU130" s="52"/>
      <c r="GV130" s="52"/>
      <c r="GW130" s="52"/>
      <c r="GX130" s="52"/>
      <c r="GY130" s="52"/>
      <c r="GZ130" s="52"/>
      <c r="HA130" s="52"/>
      <c r="HB130" s="52"/>
      <c r="HC130" s="52"/>
      <c r="HD130" s="52"/>
      <c r="HE130" s="52"/>
      <c r="HF130" s="52"/>
      <c r="HG130" s="52"/>
      <c r="HH130" s="52"/>
      <c r="HI130" s="52"/>
      <c r="HJ130" s="52"/>
      <c r="HK130" s="52"/>
      <c r="HL130" s="52"/>
      <c r="HM130" s="52"/>
      <c r="HN130" s="52"/>
      <c r="HO130" s="52"/>
      <c r="HP130" s="52"/>
      <c r="HQ130" s="52"/>
      <c r="HR130" s="52"/>
      <c r="HS130" s="52"/>
      <c r="HT130" s="52"/>
      <c r="HU130" s="52"/>
      <c r="HV130" s="52"/>
      <c r="HW130" s="52"/>
      <c r="HX130" s="52"/>
      <c r="HY130" s="52"/>
      <c r="HZ130" s="52"/>
      <c r="IA130" s="52"/>
      <c r="IB130" s="52"/>
      <c r="IC130" s="52"/>
      <c r="ID130" s="52"/>
      <c r="IE130" s="52"/>
      <c r="IF130" s="52"/>
      <c r="IG130" s="52"/>
      <c r="IH130" s="52"/>
      <c r="II130" s="52"/>
      <c r="IJ130" s="52"/>
      <c r="IK130" s="52"/>
      <c r="IL130" s="52"/>
      <c r="IM130" s="52"/>
      <c r="IN130" s="52"/>
      <c r="IO130" s="52"/>
      <c r="IP130" s="52"/>
      <c r="IQ130" s="52"/>
      <c r="IR130" s="52"/>
      <c r="IS130" s="52"/>
      <c r="IT130" s="52"/>
      <c r="IU130" s="52"/>
      <c r="IV130" s="52"/>
      <c r="IW130" s="52"/>
      <c r="IX130" s="52"/>
      <c r="IY130" s="52"/>
      <c r="IZ130" s="52"/>
      <c r="JA130" s="52"/>
      <c r="JB130" s="52"/>
      <c r="JC130" s="52"/>
      <c r="JD130" s="52"/>
      <c r="JE130" s="52"/>
      <c r="JF130" s="52"/>
      <c r="JG130" s="52"/>
      <c r="JH130" s="52"/>
      <c r="JI130" s="52"/>
      <c r="JJ130" s="52"/>
      <c r="JK130" s="52"/>
      <c r="JL130" s="52"/>
      <c r="JM130" s="52"/>
      <c r="JN130" s="52"/>
      <c r="JO130" s="52"/>
      <c r="JP130" s="52"/>
      <c r="JQ130" s="52"/>
      <c r="JR130" s="52"/>
      <c r="JS130" s="52"/>
      <c r="JT130" s="52"/>
      <c r="JU130" s="52"/>
      <c r="JV130" s="52"/>
      <c r="JW130" s="52"/>
      <c r="JX130" s="52"/>
      <c r="JY130" s="52"/>
      <c r="JZ130" s="52"/>
      <c r="KA130" s="52"/>
      <c r="KB130" s="52"/>
      <c r="KC130" s="52"/>
      <c r="KD130" s="52"/>
      <c r="KE130" s="52"/>
      <c r="KF130" s="52"/>
      <c r="KG130" s="52"/>
      <c r="KH130" s="52"/>
      <c r="KI130" s="52"/>
      <c r="KJ130" s="52"/>
      <c r="KK130" s="52"/>
      <c r="KL130" s="52"/>
      <c r="KM130" s="52"/>
      <c r="KN130" s="52"/>
      <c r="KO130" s="52"/>
      <c r="KP130" s="52"/>
      <c r="KQ130" s="52"/>
      <c r="KR130" s="52"/>
      <c r="KS130" s="52"/>
      <c r="KT130" s="52"/>
      <c r="KU130" s="52"/>
      <c r="KV130" s="52"/>
      <c r="KW130" s="52"/>
      <c r="KX130" s="52"/>
      <c r="KY130" s="52"/>
      <c r="KZ130" s="52"/>
      <c r="LA130" s="52"/>
      <c r="LB130" s="52"/>
      <c r="LC130" s="52"/>
      <c r="LD130" s="52"/>
      <c r="LE130" s="52"/>
      <c r="LF130" s="52"/>
      <c r="LG130" s="52"/>
      <c r="LH130" s="52"/>
      <c r="LI130" s="52"/>
      <c r="LJ130" s="52"/>
      <c r="LK130" s="52"/>
      <c r="LL130" s="52"/>
      <c r="LM130" s="52"/>
      <c r="LN130" s="52"/>
      <c r="LO130" s="52"/>
      <c r="LP130" s="52"/>
      <c r="LQ130" s="52"/>
      <c r="LR130" s="52"/>
      <c r="LS130" s="52"/>
      <c r="LT130" s="52"/>
      <c r="LU130" s="52"/>
      <c r="LV130" s="52"/>
      <c r="LW130" s="52"/>
      <c r="LX130" s="52"/>
      <c r="LY130" s="52"/>
      <c r="LZ130" s="52"/>
      <c r="MA130" s="52"/>
      <c r="MB130" s="52"/>
      <c r="MC130" s="52"/>
      <c r="MD130" s="52"/>
      <c r="ME130" s="52"/>
      <c r="MF130" s="52"/>
      <c r="MG130" s="52"/>
      <c r="MH130" s="52"/>
      <c r="MI130" s="52"/>
      <c r="MJ130" s="52"/>
      <c r="MK130" s="52"/>
      <c r="ML130" s="52"/>
      <c r="MM130" s="52"/>
      <c r="MN130" s="52"/>
      <c r="MO130" s="52"/>
      <c r="MP130" s="52"/>
      <c r="MQ130" s="52"/>
      <c r="MR130" s="52"/>
      <c r="MS130" s="52"/>
      <c r="MT130" s="52"/>
      <c r="MU130" s="52"/>
      <c r="MV130" s="52"/>
      <c r="MW130" s="52"/>
      <c r="MX130" s="52"/>
      <c r="MY130" s="52"/>
      <c r="MZ130" s="52"/>
      <c r="NA130" s="52"/>
      <c r="NB130" s="52"/>
      <c r="NC130" s="52"/>
      <c r="ND130" s="52"/>
      <c r="NE130" s="52"/>
      <c r="NF130" s="52"/>
      <c r="NG130" s="52"/>
      <c r="NH130" s="52"/>
      <c r="NI130" s="52"/>
      <c r="NJ130" s="52"/>
      <c r="NK130" s="52"/>
      <c r="NL130" s="52"/>
      <c r="NM130" s="52"/>
      <c r="NN130" s="52"/>
      <c r="NO130" s="52"/>
      <c r="NP130" s="52"/>
      <c r="NQ130" s="52"/>
      <c r="NR130" s="52"/>
      <c r="NS130" s="52"/>
      <c r="NT130" s="52"/>
      <c r="NU130" s="52"/>
      <c r="NV130" s="52"/>
      <c r="NW130" s="52"/>
      <c r="NX130" s="52"/>
      <c r="NY130" s="52"/>
      <c r="NZ130" s="52"/>
      <c r="OA130" s="52"/>
      <c r="OB130" s="52"/>
      <c r="OC130" s="52"/>
      <c r="OD130" s="52"/>
      <c r="OE130" s="52"/>
      <c r="OF130" s="52"/>
      <c r="OG130" s="52"/>
      <c r="OH130" s="52"/>
      <c r="OI130" s="52"/>
      <c r="OJ130" s="52"/>
      <c r="OK130" s="52"/>
      <c r="OL130" s="52"/>
      <c r="OM130" s="52"/>
      <c r="ON130" s="52"/>
      <c r="OO130" s="52"/>
      <c r="OP130" s="52"/>
      <c r="OQ130" s="52"/>
      <c r="OR130" s="52"/>
      <c r="OS130" s="52"/>
      <c r="OT130" s="52"/>
      <c r="OU130" s="52"/>
      <c r="OV130" s="52"/>
      <c r="OW130" s="52"/>
      <c r="OX130" s="52"/>
      <c r="OY130" s="52"/>
      <c r="OZ130" s="52"/>
      <c r="PA130" s="52"/>
      <c r="PB130" s="52"/>
      <c r="PC130" s="52"/>
      <c r="PD130" s="52"/>
      <c r="PE130" s="52"/>
      <c r="PF130" s="52"/>
      <c r="PG130" s="52"/>
      <c r="PH130" s="52"/>
      <c r="PI130" s="52"/>
      <c r="PJ130" s="52"/>
      <c r="PK130" s="52"/>
      <c r="PL130" s="52"/>
      <c r="PM130" s="52"/>
      <c r="PN130" s="52"/>
      <c r="PO130" s="52"/>
      <c r="PP130" s="52"/>
      <c r="PQ130" s="52"/>
      <c r="PR130" s="52"/>
      <c r="PS130" s="52"/>
      <c r="PT130" s="52"/>
      <c r="PU130" s="52"/>
      <c r="PV130" s="52"/>
      <c r="PW130" s="52"/>
      <c r="PX130" s="52"/>
      <c r="PY130" s="52"/>
      <c r="PZ130" s="52"/>
      <c r="QA130" s="52"/>
      <c r="QB130" s="52"/>
      <c r="QC130" s="52"/>
      <c r="QD130" s="52"/>
      <c r="QE130" s="52"/>
      <c r="QF130" s="52"/>
      <c r="QG130" s="52"/>
      <c r="QH130" s="52"/>
      <c r="QI130" s="52"/>
      <c r="QJ130" s="52"/>
      <c r="QK130" s="52"/>
      <c r="QL130" s="52"/>
      <c r="QM130" s="52"/>
      <c r="QN130" s="52"/>
      <c r="QO130" s="52"/>
      <c r="QP130" s="52"/>
      <c r="QQ130" s="52"/>
      <c r="QR130" s="52"/>
      <c r="QS130" s="52"/>
      <c r="QT130" s="52"/>
      <c r="QU130" s="52"/>
      <c r="QV130" s="52"/>
      <c r="QW130" s="52"/>
      <c r="QX130" s="52"/>
      <c r="QY130" s="52"/>
      <c r="QZ130" s="52"/>
      <c r="RA130" s="52"/>
      <c r="RB130" s="52"/>
      <c r="RC130" s="52"/>
      <c r="RD130" s="52"/>
      <c r="RE130" s="52"/>
      <c r="RF130" s="52"/>
      <c r="RG130" s="52"/>
      <c r="RH130" s="52"/>
      <c r="RI130" s="52"/>
      <c r="RJ130" s="52"/>
      <c r="RK130" s="52"/>
      <c r="RL130" s="52"/>
      <c r="RM130" s="52"/>
      <c r="RN130" s="52"/>
      <c r="RO130" s="52"/>
      <c r="RP130" s="52"/>
      <c r="RQ130" s="52"/>
      <c r="RR130" s="52"/>
      <c r="RS130" s="52"/>
      <c r="RT130" s="52"/>
      <c r="RU130" s="52"/>
      <c r="RV130" s="52"/>
      <c r="RW130" s="52"/>
      <c r="RX130" s="52"/>
      <c r="RY130" s="52"/>
      <c r="RZ130" s="52"/>
      <c r="SA130" s="52"/>
      <c r="SB130" s="52"/>
      <c r="SC130" s="52"/>
      <c r="SD130" s="52"/>
      <c r="SE130" s="52"/>
      <c r="SF130" s="52"/>
      <c r="SG130" s="52"/>
      <c r="SH130" s="52"/>
      <c r="SI130" s="52"/>
      <c r="SJ130" s="52"/>
      <c r="SK130" s="52"/>
      <c r="SL130" s="52"/>
      <c r="SM130" s="52"/>
      <c r="SN130" s="52"/>
      <c r="SO130" s="52"/>
      <c r="SP130" s="52"/>
      <c r="SQ130" s="52"/>
      <c r="SR130" s="52"/>
      <c r="SS130" s="52"/>
      <c r="ST130" s="52"/>
      <c r="SU130" s="52"/>
      <c r="SV130" s="52"/>
      <c r="SW130" s="52"/>
      <c r="SX130" s="52"/>
      <c r="SY130" s="52"/>
      <c r="SZ130" s="52"/>
      <c r="TA130" s="52"/>
      <c r="TB130" s="52"/>
      <c r="TC130" s="52"/>
      <c r="TD130" s="52"/>
      <c r="TE130" s="52"/>
      <c r="TF130" s="52"/>
      <c r="TG130" s="52"/>
      <c r="TH130" s="52"/>
      <c r="TI130" s="52"/>
      <c r="TJ130" s="52"/>
      <c r="TK130" s="52"/>
      <c r="TL130" s="52"/>
      <c r="TM130" s="52"/>
      <c r="TN130" s="52"/>
      <c r="TO130" s="52"/>
      <c r="TP130" s="52"/>
      <c r="TQ130" s="52"/>
      <c r="TR130" s="52"/>
      <c r="TS130" s="52"/>
      <c r="TT130" s="52"/>
      <c r="TU130" s="52"/>
      <c r="TV130" s="52"/>
      <c r="TW130" s="52"/>
      <c r="TX130" s="52"/>
      <c r="TY130" s="52"/>
      <c r="TZ130" s="52"/>
      <c r="UA130" s="52"/>
      <c r="UB130" s="52"/>
      <c r="UC130" s="52"/>
      <c r="UD130" s="52"/>
      <c r="UE130" s="52"/>
      <c r="UF130" s="52"/>
      <c r="UG130" s="52"/>
      <c r="UH130" s="52"/>
      <c r="UI130" s="52"/>
      <c r="UJ130" s="52"/>
      <c r="UK130" s="52"/>
      <c r="UL130" s="52"/>
      <c r="UM130" s="52"/>
      <c r="UN130" s="52"/>
      <c r="UO130" s="52"/>
      <c r="UP130" s="52"/>
      <c r="UQ130" s="52"/>
      <c r="UR130" s="52"/>
      <c r="US130" s="52"/>
      <c r="UT130" s="52"/>
      <c r="UU130" s="52"/>
      <c r="UV130" s="52"/>
      <c r="UW130" s="52"/>
      <c r="UX130" s="52"/>
      <c r="UY130" s="52"/>
      <c r="UZ130" s="52"/>
      <c r="VA130" s="52"/>
      <c r="VB130" s="52"/>
      <c r="VC130" s="52"/>
      <c r="VD130" s="52"/>
      <c r="VE130" s="52"/>
      <c r="VF130" s="52"/>
      <c r="VG130" s="52"/>
      <c r="VH130" s="52"/>
      <c r="VI130" s="52"/>
      <c r="VJ130" s="52"/>
      <c r="VK130" s="52"/>
      <c r="VL130" s="52"/>
      <c r="VM130" s="52"/>
      <c r="VN130" s="52"/>
      <c r="VO130" s="52"/>
      <c r="VP130" s="52"/>
      <c r="VQ130" s="52"/>
      <c r="VR130" s="52"/>
      <c r="VS130" s="52"/>
      <c r="VT130" s="52"/>
      <c r="VU130" s="52"/>
      <c r="VV130" s="52"/>
      <c r="VW130" s="52"/>
      <c r="VX130" s="52"/>
      <c r="VY130" s="52"/>
      <c r="VZ130" s="52"/>
      <c r="WA130" s="52"/>
      <c r="WB130" s="52"/>
      <c r="WC130" s="52"/>
      <c r="WD130" s="52"/>
      <c r="WE130" s="52"/>
      <c r="WF130" s="52"/>
      <c r="WG130" s="52"/>
      <c r="WH130" s="52"/>
      <c r="WI130" s="52"/>
      <c r="WJ130" s="52"/>
      <c r="WK130" s="52"/>
      <c r="WL130" s="52"/>
      <c r="WM130" s="52"/>
      <c r="WN130" s="52"/>
      <c r="WO130" s="52"/>
      <c r="WP130" s="52"/>
      <c r="WQ130" s="52"/>
      <c r="WR130" s="52"/>
      <c r="WS130" s="52"/>
      <c r="WT130" s="52"/>
      <c r="WU130" s="52"/>
      <c r="WV130" s="52"/>
      <c r="WW130" s="52"/>
      <c r="WX130" s="52"/>
      <c r="WY130" s="52"/>
      <c r="WZ130" s="52"/>
      <c r="XA130" s="52"/>
      <c r="XB130" s="52"/>
      <c r="XC130" s="52"/>
      <c r="XD130" s="52"/>
      <c r="XE130" s="52"/>
      <c r="XF130" s="52"/>
      <c r="XG130" s="52"/>
      <c r="XH130" s="52"/>
      <c r="XI130" s="52"/>
      <c r="XJ130" s="52"/>
      <c r="XK130" s="52"/>
      <c r="XL130" s="52"/>
      <c r="XM130" s="52"/>
      <c r="XN130" s="52"/>
      <c r="XO130" s="52"/>
      <c r="XP130" s="52"/>
      <c r="XQ130" s="52"/>
      <c r="XR130" s="52"/>
      <c r="XS130" s="52"/>
      <c r="XT130" s="52"/>
      <c r="XU130" s="52"/>
      <c r="XV130" s="52"/>
      <c r="XW130" s="52"/>
      <c r="XX130" s="52"/>
      <c r="XY130" s="52"/>
      <c r="XZ130" s="52"/>
      <c r="YA130" s="52"/>
      <c r="YB130" s="52"/>
      <c r="YC130" s="52"/>
      <c r="YD130" s="52"/>
      <c r="YE130" s="52"/>
      <c r="YF130" s="52"/>
      <c r="YG130" s="52"/>
      <c r="YH130" s="52"/>
      <c r="YI130" s="52"/>
      <c r="YJ130" s="52"/>
      <c r="YK130" s="52"/>
      <c r="YL130" s="52"/>
      <c r="YM130" s="52"/>
      <c r="YN130" s="52"/>
      <c r="YO130" s="52"/>
      <c r="YP130" s="52"/>
      <c r="YQ130" s="52"/>
      <c r="YR130" s="52"/>
      <c r="YS130" s="52"/>
      <c r="YT130" s="52"/>
      <c r="YU130" s="52"/>
      <c r="YV130" s="52"/>
      <c r="YW130" s="52"/>
      <c r="YX130" s="52"/>
      <c r="YY130" s="52"/>
      <c r="YZ130" s="52"/>
      <c r="ZA130" s="52"/>
      <c r="ZB130" s="52"/>
      <c r="ZC130" s="52"/>
      <c r="ZD130" s="52"/>
      <c r="ZE130" s="52"/>
      <c r="ZF130" s="52"/>
      <c r="ZG130" s="52"/>
      <c r="ZH130" s="52"/>
      <c r="ZI130" s="52"/>
      <c r="ZJ130" s="52"/>
      <c r="ZK130" s="52"/>
      <c r="ZL130" s="52"/>
      <c r="ZM130" s="52"/>
      <c r="ZN130" s="52"/>
      <c r="ZO130" s="52"/>
      <c r="ZP130" s="52"/>
      <c r="ZQ130" s="52"/>
      <c r="ZR130" s="52"/>
      <c r="ZS130" s="52"/>
      <c r="ZT130" s="52"/>
      <c r="ZU130" s="52"/>
      <c r="ZV130" s="52"/>
      <c r="ZW130" s="52"/>
      <c r="ZX130" s="52"/>
      <c r="ZY130" s="52"/>
      <c r="ZZ130" s="52"/>
      <c r="AAA130" s="52"/>
      <c r="AAB130" s="52"/>
      <c r="AAC130" s="52"/>
      <c r="AAD130" s="52"/>
      <c r="AAE130" s="52"/>
      <c r="AAF130" s="52"/>
      <c r="AAG130" s="52"/>
      <c r="AAH130" s="52"/>
      <c r="AAI130" s="52"/>
      <c r="AAJ130" s="52"/>
      <c r="AAK130" s="52"/>
      <c r="AAL130" s="52"/>
      <c r="AAM130" s="52"/>
      <c r="AAN130" s="52"/>
      <c r="AAO130" s="52"/>
      <c r="AAP130" s="52"/>
      <c r="AAQ130" s="52"/>
      <c r="AAR130" s="52"/>
      <c r="AAS130" s="52"/>
      <c r="AAT130" s="52"/>
      <c r="AAU130" s="52"/>
      <c r="AAV130" s="52"/>
      <c r="AAW130" s="52"/>
      <c r="AAX130" s="52"/>
      <c r="AAY130" s="52"/>
      <c r="AAZ130" s="52"/>
      <c r="ABA130" s="52"/>
      <c r="ABB130" s="52"/>
      <c r="ABC130" s="52"/>
      <c r="ABD130" s="52"/>
      <c r="ABE130" s="52"/>
      <c r="ABF130" s="52"/>
      <c r="ABG130" s="52"/>
      <c r="ABH130" s="52"/>
      <c r="ABI130" s="52"/>
      <c r="ABJ130" s="52"/>
      <c r="ABK130" s="52"/>
      <c r="ABL130" s="52"/>
      <c r="ABM130" s="52"/>
      <c r="ABN130" s="52"/>
      <c r="ABO130" s="52"/>
      <c r="ABP130" s="52"/>
      <c r="ABQ130" s="52"/>
      <c r="ABR130" s="52"/>
      <c r="ABS130" s="52"/>
      <c r="ABT130" s="52"/>
      <c r="ABU130" s="52"/>
      <c r="ABV130" s="52"/>
      <c r="ABW130" s="52"/>
      <c r="ABX130" s="52"/>
      <c r="ABY130" s="52"/>
      <c r="ABZ130" s="52"/>
      <c r="ACA130" s="52"/>
      <c r="ACB130" s="52"/>
      <c r="ACC130" s="52"/>
      <c r="ACD130" s="52"/>
      <c r="ACE130" s="52"/>
      <c r="ACF130" s="52"/>
      <c r="ACG130" s="52"/>
      <c r="ACH130" s="52"/>
      <c r="ACI130" s="52"/>
      <c r="ACJ130" s="52"/>
      <c r="ACK130" s="52"/>
      <c r="ACL130" s="52"/>
      <c r="ACM130" s="52"/>
      <c r="ACN130" s="52"/>
      <c r="ACO130" s="52"/>
      <c r="ACP130" s="52"/>
      <c r="ACQ130" s="52"/>
      <c r="ACR130" s="52"/>
      <c r="ACS130" s="52"/>
      <c r="ACT130" s="52"/>
      <c r="ACU130" s="52"/>
      <c r="ACV130" s="52"/>
      <c r="ACW130" s="52"/>
      <c r="ACX130" s="52"/>
      <c r="ACY130" s="52"/>
      <c r="ACZ130" s="52"/>
      <c r="ADA130" s="52"/>
      <c r="ADB130" s="52"/>
      <c r="ADC130" s="52"/>
      <c r="ADD130" s="52"/>
      <c r="ADE130" s="52"/>
      <c r="ADF130" s="52"/>
      <c r="ADG130" s="52"/>
      <c r="ADH130" s="52"/>
      <c r="ADI130" s="52"/>
      <c r="ADJ130" s="52"/>
      <c r="ADK130" s="52"/>
      <c r="ADL130" s="52"/>
      <c r="ADM130" s="52"/>
      <c r="ADN130" s="52"/>
      <c r="ADO130" s="52"/>
      <c r="ADP130" s="52"/>
      <c r="ADQ130" s="52"/>
      <c r="ADR130" s="52"/>
      <c r="ADS130" s="52"/>
      <c r="ADT130" s="52"/>
      <c r="ADU130" s="52"/>
      <c r="ADV130" s="52"/>
      <c r="ADW130" s="52"/>
      <c r="ADX130" s="52"/>
      <c r="ADY130" s="52"/>
      <c r="ADZ130" s="52"/>
      <c r="AEA130" s="52"/>
      <c r="AEB130" s="52"/>
      <c r="AEC130" s="52"/>
      <c r="AED130" s="52"/>
      <c r="AEE130" s="52"/>
      <c r="AEF130" s="52"/>
      <c r="AEG130" s="52"/>
      <c r="AEH130" s="52"/>
      <c r="AEI130" s="52"/>
      <c r="AEJ130" s="52"/>
      <c r="AEK130" s="52"/>
      <c r="AEL130" s="52"/>
      <c r="AEM130" s="52"/>
      <c r="AEN130" s="52"/>
      <c r="AEO130" s="52"/>
      <c r="AEP130" s="52"/>
      <c r="AEQ130" s="52"/>
      <c r="AER130" s="52"/>
      <c r="AES130" s="52"/>
      <c r="AET130" s="52"/>
      <c r="AEU130" s="52"/>
      <c r="AEV130" s="52"/>
      <c r="AEW130" s="52"/>
      <c r="AEX130" s="52"/>
      <c r="AEY130" s="52"/>
      <c r="AEZ130" s="52"/>
      <c r="AFA130" s="52"/>
      <c r="AFB130" s="52"/>
      <c r="AFC130" s="52"/>
      <c r="AFD130" s="52"/>
      <c r="AFE130" s="52"/>
      <c r="AFF130" s="52"/>
      <c r="AFG130" s="52"/>
      <c r="AFH130" s="52"/>
      <c r="AFI130" s="52"/>
      <c r="AFJ130" s="52"/>
      <c r="AFK130" s="52"/>
      <c r="AFL130" s="52"/>
      <c r="AFM130" s="52"/>
      <c r="AFN130" s="52"/>
      <c r="AFO130" s="52"/>
      <c r="AFP130" s="52"/>
      <c r="AFQ130" s="52"/>
      <c r="AFR130" s="52"/>
      <c r="AFS130" s="52"/>
      <c r="AFT130" s="52"/>
      <c r="AFU130" s="52"/>
      <c r="AFV130" s="52"/>
      <c r="AFW130" s="52"/>
      <c r="AFX130" s="52"/>
      <c r="AFY130" s="52"/>
      <c r="AFZ130" s="52"/>
      <c r="AGA130" s="52"/>
      <c r="AGB130" s="52"/>
      <c r="AGC130" s="52"/>
      <c r="AGD130" s="52"/>
      <c r="AGE130" s="52"/>
      <c r="AGF130" s="52"/>
      <c r="AGG130" s="52"/>
      <c r="AGH130" s="52"/>
      <c r="AGI130" s="52"/>
      <c r="AGJ130" s="52"/>
      <c r="AGK130" s="52"/>
      <c r="AGL130" s="52"/>
      <c r="AGM130" s="52"/>
      <c r="AGN130" s="52"/>
      <c r="AGO130" s="52"/>
      <c r="AGP130" s="52"/>
      <c r="AGQ130" s="52"/>
      <c r="AGR130" s="52"/>
      <c r="AGS130" s="52"/>
      <c r="AGT130" s="52"/>
      <c r="AGU130" s="52"/>
      <c r="AGV130" s="52"/>
      <c r="AGW130" s="52"/>
      <c r="AGX130" s="52"/>
      <c r="AGY130" s="52"/>
      <c r="AGZ130" s="52"/>
      <c r="AHA130" s="52"/>
      <c r="AHB130" s="52"/>
      <c r="AHC130" s="52"/>
      <c r="AHD130" s="52"/>
      <c r="AHE130" s="52"/>
      <c r="AHF130" s="52"/>
      <c r="AHG130" s="52"/>
      <c r="AHH130" s="52"/>
      <c r="AHI130" s="52"/>
      <c r="AHJ130" s="52"/>
      <c r="AHK130" s="52"/>
      <c r="AHL130" s="52"/>
      <c r="AHM130" s="52"/>
      <c r="AHN130" s="52"/>
      <c r="AHO130" s="52"/>
      <c r="AHP130" s="52"/>
      <c r="AHQ130" s="52"/>
      <c r="AHR130" s="52"/>
      <c r="AHS130" s="52"/>
      <c r="AHT130" s="52"/>
      <c r="AHU130" s="52"/>
      <c r="AHV130" s="52"/>
      <c r="AHW130" s="52"/>
      <c r="AHX130" s="52"/>
      <c r="AHY130" s="52"/>
      <c r="AHZ130" s="52"/>
      <c r="AIA130" s="52"/>
      <c r="AIB130" s="52"/>
      <c r="AIC130" s="52"/>
      <c r="AID130" s="52"/>
      <c r="AIE130" s="52"/>
      <c r="AIF130" s="52"/>
      <c r="AIG130" s="52"/>
      <c r="AIH130" s="52"/>
      <c r="AII130" s="52"/>
      <c r="AIJ130" s="52"/>
      <c r="AIK130" s="52"/>
      <c r="AIL130" s="52"/>
      <c r="AIM130" s="52"/>
      <c r="AIN130" s="52"/>
      <c r="AIO130" s="52"/>
      <c r="AIP130" s="52"/>
      <c r="AIQ130" s="52"/>
      <c r="AIR130" s="52"/>
      <c r="AIS130" s="52"/>
      <c r="AIT130" s="52"/>
      <c r="AIU130" s="52"/>
      <c r="AIV130" s="52"/>
      <c r="AIW130" s="52"/>
      <c r="AIX130" s="52"/>
      <c r="AIY130" s="52"/>
      <c r="AIZ130" s="52"/>
      <c r="AJA130" s="52"/>
      <c r="AJB130" s="52"/>
      <c r="AJC130" s="52"/>
      <c r="AJD130" s="52"/>
      <c r="AJE130" s="52"/>
      <c r="AJF130" s="52"/>
      <c r="AJG130" s="52"/>
      <c r="AJH130" s="52"/>
      <c r="AJI130" s="52"/>
      <c r="AJJ130" s="52"/>
      <c r="AJK130" s="52"/>
      <c r="AJL130" s="52"/>
      <c r="AJM130" s="52"/>
      <c r="AJN130" s="52"/>
      <c r="AJO130" s="52"/>
      <c r="AJP130" s="52"/>
      <c r="AJQ130" s="52"/>
      <c r="AJR130" s="52"/>
      <c r="AJS130" s="52"/>
      <c r="AJT130" s="52"/>
      <c r="AJU130" s="52"/>
      <c r="AJV130" s="52"/>
      <c r="AJW130" s="52"/>
      <c r="AJX130" s="52"/>
      <c r="AJY130" s="52"/>
      <c r="AJZ130" s="52"/>
      <c r="AKA130" s="52"/>
      <c r="AKB130" s="52"/>
      <c r="AKC130" s="52"/>
      <c r="AKD130" s="52"/>
      <c r="AKE130" s="52"/>
      <c r="AKF130" s="52"/>
      <c r="AKG130" s="52"/>
      <c r="AKH130" s="52"/>
      <c r="AKI130" s="52"/>
      <c r="AKJ130" s="52"/>
      <c r="AKK130" s="52"/>
      <c r="AKL130" s="52"/>
      <c r="AKM130" s="52"/>
      <c r="AKN130" s="52"/>
      <c r="AKO130" s="52"/>
      <c r="AKP130" s="52"/>
      <c r="AKQ130" s="52"/>
      <c r="AKR130" s="52"/>
      <c r="AKS130" s="52"/>
      <c r="AKT130" s="52"/>
      <c r="AKU130" s="52"/>
      <c r="AKV130" s="52"/>
      <c r="AKW130" s="52"/>
      <c r="AKX130" s="52"/>
      <c r="AKY130" s="52"/>
      <c r="AKZ130" s="52"/>
      <c r="ALA130" s="52"/>
      <c r="ALB130" s="52"/>
      <c r="ALC130" s="52"/>
      <c r="ALD130" s="52"/>
      <c r="ALE130" s="52"/>
      <c r="ALF130" s="52"/>
      <c r="ALG130" s="52"/>
      <c r="ALH130" s="52"/>
      <c r="ALI130" s="52"/>
      <c r="ALJ130" s="52"/>
      <c r="ALK130" s="52"/>
      <c r="ALL130" s="52"/>
      <c r="ALM130" s="52"/>
      <c r="ALN130" s="52"/>
      <c r="ALO130" s="52"/>
      <c r="ALP130" s="52"/>
      <c r="ALQ130" s="52"/>
      <c r="ALR130" s="52"/>
      <c r="ALS130" s="52"/>
      <c r="ALT130" s="52"/>
      <c r="ALU130" s="52"/>
      <c r="ALV130" s="52"/>
      <c r="ALW130" s="52"/>
      <c r="ALX130" s="52"/>
      <c r="ALY130" s="52"/>
      <c r="ALZ130" s="52"/>
      <c r="AMA130" s="52"/>
      <c r="AMB130" s="52"/>
      <c r="AMC130" s="52"/>
      <c r="AMD130" s="52"/>
      <c r="AME130" s="52"/>
      <c r="AMF130" s="52"/>
      <c r="AMG130" s="52"/>
      <c r="AMH130" s="52"/>
      <c r="AMI130" s="52"/>
      <c r="AMJ130" s="52"/>
      <c r="AMK130" s="52"/>
      <c r="AML130" s="52"/>
      <c r="AMM130" s="52"/>
      <c r="AMN130" s="52"/>
      <c r="AMO130" s="52"/>
      <c r="AMP130" s="52"/>
      <c r="AMQ130" s="52"/>
      <c r="AMR130" s="52"/>
      <c r="AMS130" s="52"/>
      <c r="AMT130" s="52"/>
      <c r="AMU130" s="52"/>
      <c r="AMV130" s="52"/>
      <c r="AMW130" s="52"/>
      <c r="AMX130" s="52"/>
      <c r="AMY130" s="52"/>
      <c r="AMZ130" s="52"/>
      <c r="ANA130" s="52"/>
      <c r="ANB130" s="52"/>
      <c r="ANC130" s="52"/>
      <c r="AND130" s="52"/>
      <c r="ANE130" s="52"/>
      <c r="ANF130" s="52"/>
      <c r="ANG130" s="52"/>
      <c r="ANH130" s="52"/>
      <c r="ANI130" s="52"/>
      <c r="ANJ130" s="52"/>
      <c r="ANK130" s="52"/>
      <c r="ANL130" s="52"/>
      <c r="ANM130" s="52"/>
      <c r="ANN130" s="52"/>
      <c r="ANO130" s="52"/>
      <c r="ANP130" s="52"/>
      <c r="ANQ130" s="52"/>
      <c r="ANR130" s="52"/>
      <c r="ANS130" s="52"/>
      <c r="ANT130" s="52"/>
      <c r="ANU130" s="52"/>
      <c r="ANV130" s="52"/>
      <c r="ANW130" s="52"/>
      <c r="ANX130" s="52"/>
      <c r="ANY130" s="52"/>
      <c r="ANZ130" s="52"/>
      <c r="AOA130" s="52"/>
      <c r="AOB130" s="52"/>
      <c r="AOC130" s="52"/>
      <c r="AOD130" s="52"/>
      <c r="AOE130" s="52"/>
      <c r="AOF130" s="52"/>
      <c r="AOG130" s="52"/>
      <c r="AOH130" s="52"/>
      <c r="AOI130" s="52"/>
      <c r="AOJ130" s="52"/>
      <c r="AOK130" s="52"/>
      <c r="AOL130" s="52"/>
      <c r="AOM130" s="52"/>
      <c r="AON130" s="52"/>
      <c r="AOO130" s="52"/>
      <c r="AOP130" s="52"/>
      <c r="AOQ130" s="52"/>
      <c r="AOR130" s="52"/>
      <c r="AOS130" s="52"/>
      <c r="AOT130" s="52"/>
      <c r="AOU130" s="52"/>
      <c r="AOV130" s="52"/>
      <c r="AOW130" s="52"/>
      <c r="AOX130" s="52"/>
      <c r="AOY130" s="52"/>
      <c r="AOZ130" s="52"/>
      <c r="APA130" s="52"/>
      <c r="APB130" s="52"/>
      <c r="APC130" s="52"/>
      <c r="APD130" s="52"/>
      <c r="APE130" s="52"/>
      <c r="APF130" s="52"/>
      <c r="APG130" s="52"/>
      <c r="APH130" s="52"/>
      <c r="API130" s="52"/>
      <c r="APJ130" s="52"/>
      <c r="APK130" s="52"/>
      <c r="APL130" s="52"/>
      <c r="APM130" s="52"/>
      <c r="APN130" s="52"/>
      <c r="APO130" s="52"/>
      <c r="APP130" s="52"/>
      <c r="APQ130" s="52"/>
      <c r="APR130" s="52"/>
      <c r="APS130" s="52"/>
      <c r="APT130" s="52"/>
      <c r="APU130" s="52"/>
      <c r="APV130" s="52"/>
      <c r="APW130" s="52"/>
      <c r="APX130" s="52"/>
      <c r="APY130" s="52"/>
      <c r="APZ130" s="52"/>
      <c r="AQA130" s="52"/>
      <c r="AQB130" s="52"/>
      <c r="AQC130" s="52"/>
      <c r="AQD130" s="52"/>
      <c r="AQE130" s="52"/>
      <c r="AQF130" s="52"/>
      <c r="AQG130" s="52"/>
      <c r="AQH130" s="52"/>
      <c r="AQI130" s="52"/>
      <c r="AQJ130" s="52"/>
      <c r="AQK130" s="52"/>
      <c r="AQL130" s="52"/>
      <c r="AQM130" s="52"/>
      <c r="AQN130" s="52"/>
      <c r="AQO130" s="52"/>
      <c r="AQP130" s="52"/>
      <c r="AQQ130" s="52"/>
      <c r="AQR130" s="52"/>
      <c r="AQS130" s="52"/>
      <c r="AQT130" s="52"/>
      <c r="AQU130" s="52"/>
      <c r="AQV130" s="52"/>
      <c r="AQW130" s="52"/>
      <c r="AQX130" s="52"/>
      <c r="AQY130" s="52"/>
      <c r="AQZ130" s="52"/>
      <c r="ARA130" s="52"/>
      <c r="ARB130" s="52"/>
      <c r="ARC130" s="52"/>
      <c r="ARD130" s="52"/>
      <c r="ARE130" s="52"/>
      <c r="ARF130" s="52"/>
      <c r="ARG130" s="52"/>
      <c r="ARH130" s="52"/>
      <c r="ARI130" s="52"/>
      <c r="ARJ130" s="52"/>
      <c r="ARK130" s="52"/>
      <c r="ARL130" s="52"/>
      <c r="ARM130" s="52"/>
      <c r="ARN130" s="52"/>
      <c r="ARO130" s="52"/>
      <c r="ARP130" s="52"/>
      <c r="ARQ130" s="52"/>
      <c r="ARR130" s="52"/>
      <c r="ARS130" s="52"/>
      <c r="ART130" s="52"/>
      <c r="ARU130" s="52"/>
      <c r="ARV130" s="52"/>
      <c r="ARW130" s="52"/>
      <c r="ARX130" s="52"/>
      <c r="ARY130" s="52"/>
      <c r="ARZ130" s="52"/>
      <c r="ASA130" s="52"/>
      <c r="ASB130" s="52"/>
      <c r="ASC130" s="52"/>
      <c r="ASD130" s="52"/>
      <c r="ASE130" s="52"/>
      <c r="ASF130" s="52"/>
      <c r="ASG130" s="52"/>
      <c r="ASH130" s="52"/>
      <c r="ASI130" s="52"/>
      <c r="ASJ130" s="52"/>
      <c r="ASK130" s="52"/>
      <c r="ASL130" s="52"/>
      <c r="ASM130" s="52"/>
      <c r="ASN130" s="52"/>
      <c r="ASO130" s="52"/>
      <c r="ASP130" s="52"/>
      <c r="ASQ130" s="52"/>
      <c r="ASR130" s="52"/>
      <c r="ASS130" s="52"/>
      <c r="AST130" s="52"/>
      <c r="ASU130" s="52"/>
      <c r="ASV130" s="52"/>
      <c r="ASW130" s="52"/>
      <c r="ASX130" s="52"/>
      <c r="ASY130" s="52"/>
      <c r="ASZ130" s="52"/>
      <c r="ATA130" s="52"/>
      <c r="ATB130" s="52"/>
      <c r="ATC130" s="52"/>
      <c r="ATD130" s="52"/>
      <c r="ATE130" s="52"/>
      <c r="ATF130" s="52"/>
      <c r="ATG130" s="52"/>
      <c r="ATH130" s="52"/>
      <c r="ATI130" s="52"/>
      <c r="ATJ130" s="52"/>
      <c r="ATK130" s="52"/>
      <c r="ATL130" s="52"/>
      <c r="ATM130" s="52"/>
      <c r="ATN130" s="52"/>
      <c r="ATO130" s="52"/>
      <c r="ATP130" s="52"/>
      <c r="ATQ130" s="52"/>
      <c r="ATR130" s="52"/>
      <c r="ATS130" s="52"/>
      <c r="ATT130" s="52"/>
      <c r="ATU130" s="52"/>
      <c r="ATV130" s="52"/>
      <c r="ATW130" s="52"/>
      <c r="ATX130" s="52"/>
      <c r="ATY130" s="52"/>
      <c r="ATZ130" s="52"/>
      <c r="AUA130" s="52"/>
      <c r="AUB130" s="52"/>
      <c r="AUC130" s="52"/>
      <c r="AUD130" s="52"/>
      <c r="AUE130" s="52"/>
      <c r="AUF130" s="52"/>
      <c r="AUG130" s="52"/>
      <c r="AUH130" s="52"/>
      <c r="AUI130" s="52"/>
      <c r="AUJ130" s="52"/>
      <c r="AUK130" s="52"/>
      <c r="AUL130" s="52"/>
      <c r="AUM130" s="52"/>
      <c r="AUN130" s="52"/>
      <c r="AUO130" s="52"/>
      <c r="AUP130" s="52"/>
      <c r="AUQ130" s="52"/>
      <c r="AUR130" s="52"/>
      <c r="AUS130" s="52"/>
      <c r="AUT130" s="52"/>
      <c r="AUU130" s="52"/>
      <c r="AUV130" s="52"/>
      <c r="AUW130" s="52"/>
      <c r="AUX130" s="52"/>
      <c r="AUY130" s="52"/>
      <c r="AUZ130" s="52"/>
      <c r="AVA130" s="52"/>
      <c r="AVB130" s="52"/>
      <c r="AVC130" s="52"/>
      <c r="AVD130" s="52"/>
      <c r="AVE130" s="52"/>
      <c r="AVF130" s="52"/>
      <c r="AVG130" s="52"/>
      <c r="AVH130" s="52"/>
      <c r="AVI130" s="52"/>
      <c r="AVJ130" s="52"/>
      <c r="AVK130" s="52"/>
      <c r="AVL130" s="52"/>
      <c r="AVM130" s="52"/>
      <c r="AVN130" s="52"/>
      <c r="AVO130" s="52"/>
      <c r="AVP130" s="52"/>
      <c r="AVQ130" s="52"/>
      <c r="AVR130" s="52"/>
      <c r="AVS130" s="52"/>
      <c r="AVT130" s="52"/>
      <c r="AVU130" s="52"/>
      <c r="AVV130" s="52"/>
      <c r="AVW130" s="52"/>
      <c r="AVX130" s="52"/>
      <c r="AVY130" s="52"/>
      <c r="AVZ130" s="52"/>
      <c r="AWA130" s="52"/>
      <c r="AWB130" s="52"/>
      <c r="AWC130" s="52"/>
      <c r="AWD130" s="52"/>
      <c r="AWE130" s="52"/>
      <c r="AWF130" s="52"/>
      <c r="AWG130" s="52"/>
      <c r="AWH130" s="52"/>
      <c r="AWI130" s="52"/>
      <c r="AWJ130" s="52"/>
      <c r="AWK130" s="52"/>
      <c r="AWL130" s="52"/>
      <c r="AWM130" s="52"/>
      <c r="AWN130" s="52"/>
      <c r="AWO130" s="52"/>
      <c r="AWP130" s="52"/>
      <c r="AWQ130" s="52"/>
      <c r="AWR130" s="52"/>
      <c r="AWS130" s="52"/>
      <c r="AWT130" s="52"/>
      <c r="AWU130" s="52"/>
      <c r="AWV130" s="52"/>
      <c r="AWW130" s="52"/>
      <c r="AWX130" s="52"/>
      <c r="AWY130" s="52"/>
      <c r="AWZ130" s="52"/>
      <c r="AXA130" s="52"/>
      <c r="AXB130" s="52"/>
      <c r="AXC130" s="52"/>
      <c r="AXD130" s="52"/>
      <c r="AXE130" s="52"/>
      <c r="AXF130" s="52"/>
      <c r="AXG130" s="52"/>
      <c r="AXH130" s="52"/>
      <c r="AXI130" s="52"/>
      <c r="AXJ130" s="52"/>
      <c r="AXK130" s="52"/>
      <c r="AXL130" s="52"/>
      <c r="AXM130" s="52"/>
      <c r="AXN130" s="52"/>
      <c r="AXO130" s="52"/>
      <c r="AXP130" s="52"/>
      <c r="AXQ130" s="52"/>
      <c r="AXR130" s="52"/>
      <c r="AXS130" s="52"/>
      <c r="AXT130" s="52"/>
      <c r="AXU130" s="52"/>
      <c r="AXV130" s="52"/>
      <c r="AXW130" s="52"/>
      <c r="AXX130" s="52"/>
      <c r="AXY130" s="52"/>
      <c r="AXZ130" s="52"/>
      <c r="AYA130" s="52"/>
      <c r="AYB130" s="52"/>
      <c r="AYC130" s="52"/>
      <c r="AYD130" s="52"/>
      <c r="AYE130" s="52"/>
      <c r="AYF130" s="52"/>
      <c r="AYG130" s="52"/>
      <c r="AYH130" s="52"/>
      <c r="AYI130" s="52"/>
      <c r="AYJ130" s="52"/>
      <c r="AYK130" s="52"/>
      <c r="AYL130" s="52"/>
      <c r="AYM130" s="52"/>
      <c r="AYN130" s="52"/>
      <c r="AYO130" s="52"/>
      <c r="AYP130" s="52"/>
      <c r="AYQ130" s="52"/>
      <c r="AYR130" s="52"/>
      <c r="AYS130" s="52"/>
      <c r="AYT130" s="52"/>
      <c r="AYU130" s="52"/>
      <c r="AYV130" s="52"/>
      <c r="AYW130" s="52"/>
      <c r="AYX130" s="52"/>
      <c r="AYY130" s="52"/>
      <c r="AYZ130" s="52"/>
      <c r="AZA130" s="52"/>
      <c r="AZB130" s="52"/>
      <c r="AZC130" s="52"/>
      <c r="AZD130" s="52"/>
      <c r="AZE130" s="52"/>
      <c r="AZF130" s="52"/>
      <c r="AZG130" s="52"/>
      <c r="AZH130" s="52"/>
      <c r="AZI130" s="52"/>
      <c r="AZJ130" s="52"/>
      <c r="AZK130" s="52"/>
      <c r="AZL130" s="52"/>
      <c r="AZM130" s="52"/>
      <c r="AZN130" s="52"/>
      <c r="AZO130" s="52"/>
      <c r="AZP130" s="52"/>
      <c r="AZQ130" s="52"/>
      <c r="AZR130" s="52"/>
      <c r="AZS130" s="52"/>
      <c r="AZT130" s="52"/>
      <c r="AZU130" s="52"/>
      <c r="AZV130" s="52"/>
      <c r="AZW130" s="52"/>
      <c r="AZX130" s="52"/>
      <c r="AZY130" s="52"/>
      <c r="AZZ130" s="52"/>
      <c r="BAA130" s="52"/>
      <c r="BAB130" s="52"/>
      <c r="BAC130" s="52"/>
      <c r="BAD130" s="52"/>
      <c r="BAE130" s="52"/>
      <c r="BAF130" s="52"/>
      <c r="BAG130" s="52"/>
      <c r="BAH130" s="52"/>
      <c r="BAI130" s="52"/>
      <c r="BAJ130" s="52"/>
      <c r="BAK130" s="52"/>
      <c r="BAL130" s="52"/>
      <c r="BAM130" s="52"/>
      <c r="BAN130" s="52"/>
      <c r="BAO130" s="52"/>
      <c r="BAP130" s="52"/>
      <c r="BAQ130" s="52"/>
      <c r="BAR130" s="52"/>
      <c r="BAS130" s="52"/>
      <c r="BAT130" s="52"/>
      <c r="BAU130" s="52"/>
      <c r="BAV130" s="52"/>
      <c r="BAW130" s="52"/>
      <c r="BAX130" s="52"/>
      <c r="BAY130" s="52"/>
      <c r="BAZ130" s="52"/>
      <c r="BBA130" s="52"/>
      <c r="BBB130" s="52"/>
      <c r="BBC130" s="52"/>
      <c r="BBD130" s="52"/>
      <c r="BBE130" s="52"/>
      <c r="BBF130" s="52"/>
      <c r="BBG130" s="52"/>
      <c r="BBH130" s="52"/>
      <c r="BBI130" s="52"/>
      <c r="BBJ130" s="52"/>
      <c r="BBK130" s="52"/>
      <c r="BBL130" s="52"/>
      <c r="BBM130" s="52"/>
      <c r="BBN130" s="52"/>
      <c r="BBO130" s="52"/>
      <c r="BBP130" s="52"/>
      <c r="BBQ130" s="52"/>
      <c r="BBR130" s="52"/>
      <c r="BBS130" s="52"/>
      <c r="BBT130" s="52"/>
      <c r="BBU130" s="52"/>
      <c r="BBV130" s="52"/>
      <c r="BBW130" s="52"/>
      <c r="BBX130" s="52"/>
      <c r="BBY130" s="52"/>
      <c r="BBZ130" s="52"/>
      <c r="BCA130" s="52"/>
      <c r="BCB130" s="52"/>
      <c r="BCC130" s="52"/>
      <c r="BCD130" s="52"/>
      <c r="BCE130" s="52"/>
      <c r="BCF130" s="52"/>
      <c r="BCG130" s="52"/>
      <c r="BCH130" s="52"/>
      <c r="BCI130" s="52"/>
      <c r="BCJ130" s="52"/>
      <c r="BCK130" s="52"/>
      <c r="BCL130" s="52"/>
      <c r="BCM130" s="52"/>
      <c r="BCN130" s="52"/>
      <c r="BCO130" s="52"/>
      <c r="BCP130" s="52"/>
      <c r="BCQ130" s="52"/>
      <c r="BCR130" s="52"/>
      <c r="BCS130" s="52"/>
      <c r="BCT130" s="52"/>
      <c r="BCU130" s="52"/>
      <c r="BCV130" s="52"/>
      <c r="BCW130" s="52"/>
      <c r="BCX130" s="52"/>
      <c r="BCY130" s="52"/>
      <c r="BCZ130" s="52"/>
      <c r="BDA130" s="52"/>
      <c r="BDB130" s="52"/>
      <c r="BDC130" s="52"/>
      <c r="BDD130" s="52"/>
      <c r="BDE130" s="52"/>
      <c r="BDF130" s="52"/>
      <c r="BDG130" s="52"/>
      <c r="BDH130" s="52"/>
      <c r="BDI130" s="52"/>
      <c r="BDJ130" s="52"/>
      <c r="BDK130" s="52"/>
      <c r="BDL130" s="52"/>
      <c r="BDM130" s="52"/>
      <c r="BDN130" s="52"/>
      <c r="BDO130" s="52"/>
      <c r="BDP130" s="52"/>
      <c r="BDQ130" s="52"/>
      <c r="BDR130" s="52"/>
      <c r="BDS130" s="52"/>
      <c r="BDT130" s="52"/>
      <c r="BDU130" s="52"/>
      <c r="BDV130" s="52"/>
      <c r="BDW130" s="52"/>
      <c r="BDX130" s="52"/>
      <c r="BDY130" s="52"/>
      <c r="BDZ130" s="52"/>
      <c r="BEA130" s="52"/>
      <c r="BEB130" s="52"/>
      <c r="BEC130" s="52"/>
      <c r="BED130" s="52"/>
      <c r="BEE130" s="52"/>
      <c r="BEF130" s="52"/>
      <c r="BEG130" s="52"/>
      <c r="BEH130" s="52"/>
      <c r="BEI130" s="52"/>
      <c r="BEJ130" s="52"/>
      <c r="BEK130" s="52"/>
      <c r="BEL130" s="52"/>
      <c r="BEM130" s="52"/>
      <c r="BEN130" s="52"/>
      <c r="BEO130" s="52"/>
      <c r="BEP130" s="52"/>
      <c r="BEQ130" s="52"/>
      <c r="BER130" s="52"/>
      <c r="BES130" s="52"/>
      <c r="BET130" s="52"/>
      <c r="BEU130" s="52"/>
      <c r="BEV130" s="52"/>
      <c r="BEW130" s="52"/>
      <c r="BEX130" s="52"/>
      <c r="BEY130" s="52"/>
      <c r="BEZ130" s="52"/>
      <c r="BFA130" s="52"/>
      <c r="BFB130" s="52"/>
      <c r="BFC130" s="52"/>
      <c r="BFD130" s="52"/>
      <c r="BFE130" s="52"/>
      <c r="BFF130" s="52"/>
      <c r="BFG130" s="52"/>
      <c r="BFH130" s="52"/>
      <c r="BFI130" s="52"/>
      <c r="BFJ130" s="52"/>
      <c r="BFK130" s="52"/>
      <c r="BFL130" s="52"/>
      <c r="BFM130" s="52"/>
      <c r="BFN130" s="52"/>
      <c r="BFO130" s="52"/>
      <c r="BFP130" s="52"/>
      <c r="BFQ130" s="52"/>
      <c r="BFR130" s="52"/>
      <c r="BFS130" s="52"/>
      <c r="BFT130" s="52"/>
      <c r="BFU130" s="52"/>
      <c r="BFV130" s="52"/>
      <c r="BFW130" s="52"/>
      <c r="BFX130" s="52"/>
      <c r="BFY130" s="52"/>
      <c r="BFZ130" s="52"/>
      <c r="BGA130" s="52"/>
      <c r="BGB130" s="52"/>
      <c r="BGC130" s="52"/>
      <c r="BGD130" s="52"/>
      <c r="BGE130" s="52"/>
      <c r="BGF130" s="52"/>
      <c r="BGG130" s="52"/>
      <c r="BGH130" s="52"/>
      <c r="BGI130" s="52"/>
      <c r="BGJ130" s="52"/>
      <c r="BGK130" s="52"/>
      <c r="BGL130" s="52"/>
      <c r="BGM130" s="52"/>
      <c r="BGN130" s="52"/>
      <c r="BGO130" s="52"/>
      <c r="BGP130" s="52"/>
      <c r="BGQ130" s="52"/>
      <c r="BGR130" s="52"/>
      <c r="BGS130" s="52"/>
      <c r="BGT130" s="52"/>
      <c r="BGU130" s="52"/>
      <c r="BGV130" s="52"/>
      <c r="BGW130" s="52"/>
      <c r="BGX130" s="52"/>
      <c r="BGY130" s="52"/>
      <c r="BGZ130" s="52"/>
      <c r="BHA130" s="52"/>
      <c r="BHB130" s="52"/>
      <c r="BHC130" s="52"/>
      <c r="BHD130" s="52"/>
      <c r="BHE130" s="52"/>
      <c r="BHF130" s="52"/>
      <c r="BHG130" s="52"/>
      <c r="BHH130" s="52"/>
      <c r="BHI130" s="52"/>
      <c r="BHJ130" s="52"/>
      <c r="BHK130" s="52"/>
      <c r="BHL130" s="52"/>
      <c r="BHM130" s="52"/>
      <c r="BHN130" s="52"/>
      <c r="BHO130" s="52"/>
      <c r="BHP130" s="52"/>
      <c r="BHQ130" s="52"/>
      <c r="BHR130" s="52"/>
      <c r="BHS130" s="52"/>
      <c r="BHT130" s="52"/>
      <c r="BHU130" s="52"/>
      <c r="BHV130" s="52"/>
      <c r="BHW130" s="52"/>
      <c r="BHX130" s="52"/>
      <c r="BHY130" s="52"/>
      <c r="BHZ130" s="52"/>
      <c r="BIA130" s="52"/>
      <c r="BIB130" s="52"/>
      <c r="BIC130" s="52"/>
      <c r="BID130" s="52"/>
      <c r="BIE130" s="52"/>
      <c r="BIF130" s="52"/>
      <c r="BIG130" s="52"/>
      <c r="BIH130" s="52"/>
      <c r="BII130" s="52"/>
      <c r="BIJ130" s="52"/>
      <c r="BIK130" s="52"/>
      <c r="BIL130" s="52"/>
      <c r="BIM130" s="52"/>
      <c r="BIN130" s="52"/>
      <c r="BIO130" s="52"/>
      <c r="BIP130" s="52"/>
      <c r="BIQ130" s="52"/>
      <c r="BIR130" s="52"/>
      <c r="BIS130" s="52"/>
      <c r="BIT130" s="52"/>
      <c r="BIU130" s="52"/>
      <c r="BIV130" s="52"/>
      <c r="BIW130" s="52"/>
      <c r="BIX130" s="52"/>
      <c r="BIY130" s="52"/>
      <c r="BIZ130" s="52"/>
      <c r="BJA130" s="52"/>
      <c r="BJB130" s="52"/>
      <c r="BJC130" s="52"/>
      <c r="BJD130" s="52"/>
      <c r="BJE130" s="52"/>
      <c r="BJF130" s="52"/>
      <c r="BJG130" s="52"/>
      <c r="BJH130" s="52"/>
      <c r="BJI130" s="52"/>
      <c r="BJJ130" s="52"/>
      <c r="BJK130" s="52"/>
      <c r="BJL130" s="52"/>
      <c r="BJM130" s="52"/>
      <c r="BJN130" s="52"/>
      <c r="BJO130" s="52"/>
      <c r="BJP130" s="52"/>
      <c r="BJQ130" s="52"/>
      <c r="BJR130" s="52"/>
      <c r="BJS130" s="52"/>
      <c r="BJT130" s="52"/>
      <c r="BJU130" s="52"/>
      <c r="BJV130" s="52"/>
      <c r="BJW130" s="52"/>
      <c r="BJX130" s="52"/>
      <c r="BJY130" s="52"/>
      <c r="BJZ130" s="52"/>
      <c r="BKA130" s="52"/>
      <c r="BKB130" s="52"/>
      <c r="BKC130" s="52"/>
      <c r="BKD130" s="52"/>
      <c r="BKE130" s="52"/>
      <c r="BKF130" s="52"/>
      <c r="BKG130" s="52"/>
      <c r="BKH130" s="52"/>
      <c r="BKI130" s="52"/>
      <c r="BKJ130" s="52"/>
      <c r="BKK130" s="52"/>
      <c r="BKL130" s="52"/>
      <c r="BKM130" s="52"/>
      <c r="BKN130" s="52"/>
      <c r="BKO130" s="52"/>
      <c r="BKP130" s="52"/>
      <c r="BKQ130" s="52"/>
      <c r="BKR130" s="52"/>
      <c r="BKS130" s="52"/>
      <c r="BKT130" s="52"/>
      <c r="BKU130" s="52"/>
      <c r="BKV130" s="52"/>
      <c r="BKW130" s="52"/>
      <c r="BKX130" s="52"/>
      <c r="BKY130" s="52"/>
      <c r="BKZ130" s="52"/>
      <c r="BLA130" s="52"/>
      <c r="BLB130" s="52"/>
      <c r="BLC130" s="52"/>
      <c r="BLD130" s="52"/>
      <c r="BLE130" s="52"/>
      <c r="BLF130" s="52"/>
      <c r="BLG130" s="52"/>
      <c r="BLH130" s="52"/>
      <c r="BLI130" s="52"/>
      <c r="BLJ130" s="52"/>
      <c r="BLK130" s="52"/>
      <c r="BLL130" s="52"/>
      <c r="BLM130" s="52"/>
      <c r="BLN130" s="52"/>
      <c r="BLO130" s="52"/>
      <c r="BLP130" s="52"/>
      <c r="BLQ130" s="52"/>
      <c r="BLR130" s="52"/>
      <c r="BLS130" s="52"/>
      <c r="BLT130" s="52"/>
      <c r="BLU130" s="52"/>
      <c r="BLV130" s="52"/>
      <c r="BLW130" s="52"/>
      <c r="BLX130" s="52"/>
      <c r="BLY130" s="52"/>
      <c r="BLZ130" s="52"/>
      <c r="BMA130" s="52"/>
      <c r="BMB130" s="52"/>
      <c r="BMC130" s="52"/>
      <c r="BMD130" s="52"/>
      <c r="BME130" s="52"/>
      <c r="BMF130" s="52"/>
      <c r="BMG130" s="52"/>
      <c r="BMH130" s="52"/>
      <c r="BMI130" s="52"/>
      <c r="BMJ130" s="52"/>
      <c r="BMK130" s="52"/>
      <c r="BML130" s="52"/>
      <c r="BMM130" s="52"/>
      <c r="BMN130" s="52"/>
      <c r="BMO130" s="52"/>
      <c r="BMP130" s="52"/>
      <c r="BMQ130" s="52"/>
      <c r="BMR130" s="52"/>
      <c r="BMS130" s="52"/>
      <c r="BMT130" s="52"/>
      <c r="BMU130" s="52"/>
      <c r="BMV130" s="52"/>
      <c r="BMW130" s="52"/>
      <c r="BMX130" s="52"/>
      <c r="BMY130" s="52"/>
      <c r="BMZ130" s="52"/>
      <c r="BNA130" s="52"/>
      <c r="BNB130" s="52"/>
      <c r="BNC130" s="52"/>
      <c r="BND130" s="52"/>
      <c r="BNE130" s="52"/>
      <c r="BNF130" s="52"/>
      <c r="BNG130" s="52"/>
      <c r="BNH130" s="52"/>
      <c r="BNI130" s="52"/>
      <c r="BNJ130" s="52"/>
      <c r="BNK130" s="52"/>
      <c r="BNL130" s="52"/>
      <c r="BNM130" s="52"/>
      <c r="BNN130" s="52"/>
      <c r="BNO130" s="52"/>
      <c r="BNP130" s="52"/>
      <c r="BNQ130" s="52"/>
      <c r="BNR130" s="52"/>
      <c r="BNS130" s="52"/>
      <c r="BNT130" s="52"/>
      <c r="BNU130" s="52"/>
      <c r="BNV130" s="52"/>
      <c r="BNW130" s="52"/>
      <c r="BNX130" s="52"/>
      <c r="BNY130" s="52"/>
      <c r="BNZ130" s="52"/>
      <c r="BOA130" s="52"/>
      <c r="BOB130" s="52"/>
      <c r="BOC130" s="52"/>
      <c r="BOD130" s="52"/>
      <c r="BOE130" s="52"/>
      <c r="BOF130" s="52"/>
      <c r="BOG130" s="52"/>
      <c r="BOH130" s="52"/>
      <c r="BOI130" s="52"/>
      <c r="BOJ130" s="52"/>
      <c r="BOK130" s="52"/>
      <c r="BOL130" s="52"/>
      <c r="BOM130" s="52"/>
      <c r="BON130" s="52"/>
      <c r="BOO130" s="52"/>
      <c r="BOP130" s="52"/>
      <c r="BOQ130" s="52"/>
      <c r="BOR130" s="52"/>
      <c r="BOS130" s="52"/>
      <c r="BOT130" s="52"/>
      <c r="BOU130" s="52"/>
      <c r="BOV130" s="52"/>
      <c r="BOW130" s="52"/>
      <c r="BOX130" s="52"/>
      <c r="BOY130" s="52"/>
      <c r="BOZ130" s="52"/>
      <c r="BPA130" s="52"/>
      <c r="BPB130" s="52"/>
      <c r="BPC130" s="52"/>
      <c r="BPD130" s="52"/>
      <c r="BPE130" s="52"/>
      <c r="BPF130" s="52"/>
      <c r="BPG130" s="52"/>
      <c r="BPH130" s="52"/>
      <c r="BPI130" s="52"/>
      <c r="BPJ130" s="52"/>
      <c r="BPK130" s="52"/>
      <c r="BPL130" s="52"/>
      <c r="BPM130" s="52"/>
      <c r="BPN130" s="52"/>
      <c r="BPO130" s="52"/>
      <c r="BPP130" s="52"/>
      <c r="BPQ130" s="52"/>
      <c r="BPR130" s="52"/>
      <c r="BPS130" s="52"/>
      <c r="BPT130" s="52"/>
      <c r="BPU130" s="52"/>
      <c r="BPV130" s="52"/>
      <c r="BPW130" s="52"/>
      <c r="BPX130" s="52"/>
      <c r="BPY130" s="52"/>
      <c r="BPZ130" s="52"/>
      <c r="BQA130" s="52"/>
      <c r="BQB130" s="52"/>
      <c r="BQC130" s="52"/>
      <c r="BQD130" s="52"/>
      <c r="BQE130" s="52"/>
      <c r="BQF130" s="52"/>
      <c r="BQG130" s="52"/>
      <c r="BQH130" s="52"/>
      <c r="BQI130" s="52"/>
      <c r="BQJ130" s="52"/>
      <c r="BQK130" s="52"/>
      <c r="BQL130" s="52"/>
      <c r="BQM130" s="52"/>
      <c r="BQN130" s="52"/>
      <c r="BQO130" s="52"/>
      <c r="BQP130" s="52"/>
      <c r="BQQ130" s="52"/>
      <c r="BQR130" s="52"/>
      <c r="BQS130" s="52"/>
      <c r="BQT130" s="52"/>
      <c r="BQU130" s="52"/>
      <c r="BQV130" s="52"/>
      <c r="BQW130" s="52"/>
      <c r="BQX130" s="52"/>
      <c r="BQY130" s="52"/>
      <c r="BQZ130" s="52"/>
      <c r="BRA130" s="52"/>
      <c r="BRB130" s="52"/>
      <c r="BRC130" s="52"/>
      <c r="BRD130" s="52"/>
      <c r="BRE130" s="52"/>
      <c r="BRF130" s="52"/>
      <c r="BRG130" s="52"/>
      <c r="BRH130" s="52"/>
      <c r="BRI130" s="52"/>
      <c r="BRJ130" s="52"/>
      <c r="BRK130" s="52"/>
      <c r="BRL130" s="52"/>
      <c r="BRM130" s="52"/>
      <c r="BRN130" s="52"/>
      <c r="BRO130" s="52"/>
      <c r="BRP130" s="52"/>
      <c r="BRQ130" s="52"/>
      <c r="BRR130" s="52"/>
      <c r="BRS130" s="52"/>
      <c r="BRT130" s="52"/>
      <c r="BRU130" s="52"/>
      <c r="BRV130" s="52"/>
      <c r="BRW130" s="52"/>
      <c r="BRX130" s="52"/>
      <c r="BRY130" s="52"/>
      <c r="BRZ130" s="52"/>
      <c r="BSA130" s="52"/>
      <c r="BSB130" s="52"/>
      <c r="BSC130" s="52"/>
      <c r="BSD130" s="52"/>
      <c r="BSE130" s="52"/>
      <c r="BSF130" s="52"/>
      <c r="BSG130" s="52"/>
      <c r="BSH130" s="52"/>
      <c r="BSI130" s="52"/>
      <c r="BSJ130" s="52"/>
      <c r="BSK130" s="52"/>
      <c r="BSL130" s="52"/>
      <c r="BSM130" s="52"/>
      <c r="BSN130" s="52"/>
      <c r="BSO130" s="52"/>
      <c r="BSP130" s="52"/>
      <c r="BSQ130" s="52"/>
      <c r="BSR130" s="52"/>
      <c r="BSS130" s="52"/>
      <c r="BST130" s="52"/>
      <c r="BSU130" s="52"/>
      <c r="BSV130" s="52"/>
      <c r="BSW130" s="52"/>
      <c r="BSX130" s="52"/>
      <c r="BSY130" s="52"/>
      <c r="BSZ130" s="52"/>
      <c r="BTA130" s="52"/>
      <c r="BTB130" s="52"/>
      <c r="BTC130" s="52"/>
      <c r="BTD130" s="52"/>
      <c r="BTE130" s="52"/>
      <c r="BTF130" s="52"/>
      <c r="BTG130" s="52"/>
      <c r="BTH130" s="52"/>
      <c r="BTI130" s="52"/>
      <c r="BTJ130" s="52"/>
      <c r="BTK130" s="52"/>
      <c r="BTL130" s="52"/>
      <c r="BTM130" s="52"/>
      <c r="BTN130" s="52"/>
      <c r="BTO130" s="52"/>
      <c r="BTP130" s="52"/>
      <c r="BTQ130" s="52"/>
      <c r="BTR130" s="52"/>
      <c r="BTS130" s="52"/>
      <c r="BTT130" s="52"/>
      <c r="BTU130" s="52"/>
      <c r="BTV130" s="52"/>
      <c r="BTW130" s="52"/>
      <c r="BTX130" s="52"/>
      <c r="BTY130" s="52"/>
      <c r="BTZ130" s="52"/>
      <c r="BUA130" s="52"/>
      <c r="BUB130" s="52"/>
      <c r="BUC130" s="52"/>
      <c r="BUD130" s="52"/>
      <c r="BUE130" s="52"/>
      <c r="BUF130" s="52"/>
      <c r="BUG130" s="52"/>
      <c r="BUH130" s="52"/>
      <c r="BUI130" s="52"/>
      <c r="BUJ130" s="52"/>
      <c r="BUK130" s="52"/>
      <c r="BUL130" s="52"/>
      <c r="BUM130" s="52"/>
      <c r="BUN130" s="52"/>
      <c r="BUO130" s="52"/>
      <c r="BUP130" s="52"/>
      <c r="BUQ130" s="52"/>
      <c r="BUR130" s="52"/>
      <c r="BUS130" s="52"/>
      <c r="BUT130" s="52"/>
      <c r="BUU130" s="52"/>
      <c r="BUV130" s="52"/>
      <c r="BUW130" s="52"/>
      <c r="BUX130" s="52"/>
      <c r="BUY130" s="52"/>
      <c r="BUZ130" s="52"/>
      <c r="BVA130" s="52"/>
      <c r="BVB130" s="52"/>
      <c r="BVC130" s="52"/>
      <c r="BVD130" s="52"/>
      <c r="BVE130" s="52"/>
      <c r="BVF130" s="52"/>
      <c r="BVG130" s="52"/>
      <c r="BVH130" s="52"/>
      <c r="BVI130" s="52"/>
      <c r="BVJ130" s="52"/>
      <c r="BVK130" s="52"/>
      <c r="BVL130" s="52"/>
      <c r="BVM130" s="52"/>
      <c r="BVN130" s="52"/>
      <c r="BVO130" s="52"/>
      <c r="BVP130" s="52"/>
      <c r="BVQ130" s="52"/>
      <c r="BVR130" s="52"/>
      <c r="BVS130" s="52"/>
      <c r="BVT130" s="52"/>
      <c r="BVU130" s="52"/>
      <c r="BVV130" s="52"/>
      <c r="BVW130" s="52"/>
      <c r="BVX130" s="52"/>
      <c r="BVY130" s="52"/>
      <c r="BVZ130" s="52"/>
      <c r="BWA130" s="52"/>
      <c r="BWB130" s="52"/>
      <c r="BWC130" s="52"/>
      <c r="BWD130" s="52"/>
      <c r="BWE130" s="52"/>
      <c r="BWF130" s="52"/>
      <c r="BWG130" s="52"/>
      <c r="BWH130" s="52"/>
      <c r="BWI130" s="52"/>
      <c r="BWJ130" s="52"/>
      <c r="BWK130" s="52"/>
      <c r="BWL130" s="52"/>
      <c r="BWM130" s="52"/>
      <c r="BWN130" s="52"/>
      <c r="BWO130" s="52"/>
      <c r="BWP130" s="52"/>
      <c r="BWQ130" s="52"/>
      <c r="BWR130" s="52"/>
      <c r="BWS130" s="52"/>
      <c r="BWT130" s="52"/>
      <c r="BWU130" s="52"/>
      <c r="BWV130" s="52"/>
      <c r="BWW130" s="52"/>
      <c r="BWX130" s="52"/>
      <c r="BWY130" s="52"/>
      <c r="BWZ130" s="52"/>
      <c r="BXA130" s="52"/>
      <c r="BXB130" s="52"/>
      <c r="BXC130" s="52"/>
      <c r="BXD130" s="52"/>
      <c r="BXE130" s="52"/>
      <c r="BXF130" s="52"/>
      <c r="BXG130" s="52"/>
      <c r="BXH130" s="52"/>
      <c r="BXI130" s="52"/>
      <c r="BXJ130" s="52"/>
      <c r="BXK130" s="52"/>
      <c r="BXL130" s="52"/>
      <c r="BXM130" s="52"/>
      <c r="BXN130" s="52"/>
      <c r="BXO130" s="52"/>
      <c r="BXP130" s="52"/>
      <c r="BXQ130" s="52"/>
      <c r="BXR130" s="52"/>
      <c r="BXS130" s="52"/>
      <c r="BXT130" s="52"/>
      <c r="BXU130" s="52"/>
      <c r="BXV130" s="52"/>
      <c r="BXW130" s="52"/>
      <c r="BXX130" s="52"/>
      <c r="BXY130" s="52"/>
      <c r="BXZ130" s="52"/>
      <c r="BYA130" s="52"/>
      <c r="BYB130" s="52"/>
      <c r="BYC130" s="52"/>
      <c r="BYD130" s="52"/>
      <c r="BYE130" s="52"/>
      <c r="BYF130" s="52"/>
      <c r="BYG130" s="52"/>
      <c r="BYH130" s="52"/>
      <c r="BYI130" s="52"/>
      <c r="BYJ130" s="52"/>
      <c r="BYK130" s="52"/>
      <c r="BYL130" s="52"/>
      <c r="BYM130" s="52"/>
      <c r="BYN130" s="52"/>
      <c r="BYO130" s="52"/>
      <c r="BYP130" s="52"/>
      <c r="BYQ130" s="52"/>
      <c r="BYR130" s="52"/>
      <c r="BYS130" s="52"/>
      <c r="BYT130" s="52"/>
      <c r="BYU130" s="52"/>
      <c r="BYV130" s="52"/>
      <c r="BYW130" s="52"/>
      <c r="BYX130" s="52"/>
      <c r="BYY130" s="52"/>
      <c r="BYZ130" s="52"/>
      <c r="BZA130" s="52"/>
      <c r="BZB130" s="52"/>
      <c r="BZC130" s="52"/>
      <c r="BZD130" s="52"/>
      <c r="BZE130" s="52"/>
      <c r="BZF130" s="52"/>
      <c r="BZG130" s="52"/>
      <c r="BZH130" s="52"/>
      <c r="BZI130" s="52"/>
      <c r="BZJ130" s="52"/>
      <c r="BZK130" s="52"/>
      <c r="BZL130" s="52"/>
      <c r="BZM130" s="52"/>
      <c r="BZN130" s="52"/>
      <c r="BZO130" s="52"/>
      <c r="BZP130" s="52"/>
      <c r="BZQ130" s="52"/>
      <c r="BZR130" s="52"/>
      <c r="BZS130" s="52"/>
      <c r="BZT130" s="52"/>
      <c r="BZU130" s="52"/>
      <c r="BZV130" s="52"/>
      <c r="BZW130" s="52"/>
      <c r="BZX130" s="52"/>
      <c r="BZY130" s="52"/>
      <c r="BZZ130" s="52"/>
      <c r="CAA130" s="52"/>
      <c r="CAB130" s="52"/>
      <c r="CAC130" s="52"/>
      <c r="CAD130" s="52"/>
      <c r="CAE130" s="52"/>
      <c r="CAF130" s="52"/>
      <c r="CAG130" s="52"/>
      <c r="CAH130" s="52"/>
      <c r="CAI130" s="52"/>
      <c r="CAJ130" s="52"/>
      <c r="CAK130" s="52"/>
      <c r="CAL130" s="52"/>
      <c r="CAM130" s="52"/>
      <c r="CAN130" s="52"/>
      <c r="CAO130" s="52"/>
      <c r="CAP130" s="52"/>
      <c r="CAQ130" s="52"/>
      <c r="CAR130" s="52"/>
      <c r="CAS130" s="52"/>
      <c r="CAT130" s="52"/>
      <c r="CAU130" s="52"/>
      <c r="CAV130" s="52"/>
      <c r="CAW130" s="52"/>
      <c r="CAX130" s="52"/>
      <c r="CAY130" s="52"/>
      <c r="CAZ130" s="52"/>
      <c r="CBA130" s="52"/>
      <c r="CBB130" s="52"/>
      <c r="CBC130" s="52"/>
      <c r="CBD130" s="52"/>
      <c r="CBE130" s="52"/>
      <c r="CBF130" s="52"/>
      <c r="CBG130" s="52"/>
      <c r="CBH130" s="52"/>
      <c r="CBI130" s="52"/>
      <c r="CBJ130" s="52"/>
      <c r="CBK130" s="52"/>
      <c r="CBL130" s="52"/>
      <c r="CBM130" s="52"/>
      <c r="CBN130" s="52"/>
      <c r="CBO130" s="52"/>
      <c r="CBP130" s="52"/>
      <c r="CBQ130" s="52"/>
      <c r="CBR130" s="52"/>
      <c r="CBS130" s="52"/>
      <c r="CBT130" s="52"/>
      <c r="CBU130" s="52"/>
      <c r="CBV130" s="52"/>
      <c r="CBW130" s="52"/>
      <c r="CBX130" s="52"/>
      <c r="CBY130" s="52"/>
      <c r="CBZ130" s="52"/>
      <c r="CCA130" s="52"/>
      <c r="CCB130" s="52"/>
      <c r="CCC130" s="52"/>
      <c r="CCD130" s="52"/>
      <c r="CCE130" s="52"/>
      <c r="CCF130" s="52"/>
      <c r="CCG130" s="52"/>
      <c r="CCH130" s="52"/>
      <c r="CCI130" s="52"/>
      <c r="CCJ130" s="52"/>
      <c r="CCK130" s="52"/>
      <c r="CCL130" s="52"/>
      <c r="CCM130" s="52"/>
      <c r="CCN130" s="52"/>
      <c r="CCO130" s="52"/>
      <c r="CCP130" s="52"/>
      <c r="CCQ130" s="52"/>
      <c r="CCR130" s="52"/>
      <c r="CCS130" s="52"/>
      <c r="CCT130" s="52"/>
      <c r="CCU130" s="52"/>
      <c r="CCV130" s="52"/>
      <c r="CCW130" s="52"/>
      <c r="CCX130" s="52"/>
      <c r="CCY130" s="52"/>
      <c r="CCZ130" s="52"/>
      <c r="CDA130" s="52"/>
      <c r="CDB130" s="52"/>
      <c r="CDC130" s="52"/>
      <c r="CDD130" s="52"/>
      <c r="CDE130" s="52"/>
      <c r="CDF130" s="52"/>
      <c r="CDG130" s="52"/>
      <c r="CDH130" s="52"/>
      <c r="CDI130" s="52"/>
      <c r="CDJ130" s="52"/>
      <c r="CDK130" s="52"/>
      <c r="CDL130" s="52"/>
      <c r="CDM130" s="52"/>
      <c r="CDN130" s="52"/>
      <c r="CDO130" s="52"/>
      <c r="CDP130" s="52"/>
      <c r="CDQ130" s="52"/>
      <c r="CDR130" s="52"/>
      <c r="CDS130" s="52"/>
      <c r="CDT130" s="52"/>
      <c r="CDU130" s="52"/>
      <c r="CDV130" s="52"/>
      <c r="CDW130" s="52"/>
      <c r="CDX130" s="52"/>
      <c r="CDY130" s="52"/>
      <c r="CDZ130" s="52"/>
      <c r="CEA130" s="52"/>
      <c r="CEB130" s="52"/>
      <c r="CEC130" s="52"/>
      <c r="CED130" s="52"/>
      <c r="CEE130" s="52"/>
      <c r="CEF130" s="52"/>
      <c r="CEG130" s="52"/>
      <c r="CEH130" s="52"/>
      <c r="CEI130" s="52"/>
      <c r="CEJ130" s="52"/>
      <c r="CEK130" s="52"/>
      <c r="CEL130" s="52"/>
      <c r="CEM130" s="52"/>
      <c r="CEN130" s="52"/>
      <c r="CEO130" s="52"/>
      <c r="CEP130" s="52"/>
      <c r="CEQ130" s="52"/>
      <c r="CER130" s="52"/>
      <c r="CES130" s="52"/>
      <c r="CET130" s="52"/>
      <c r="CEU130" s="52"/>
      <c r="CEV130" s="52"/>
      <c r="CEW130" s="52"/>
      <c r="CEX130" s="52"/>
      <c r="CEY130" s="52"/>
      <c r="CEZ130" s="52"/>
      <c r="CFA130" s="52"/>
      <c r="CFB130" s="52"/>
      <c r="CFC130" s="52"/>
      <c r="CFD130" s="52"/>
      <c r="CFE130" s="52"/>
      <c r="CFF130" s="52"/>
      <c r="CFG130" s="52"/>
      <c r="CFH130" s="52"/>
      <c r="CFI130" s="52"/>
      <c r="CFJ130" s="52"/>
      <c r="CFK130" s="52"/>
      <c r="CFL130" s="52"/>
      <c r="CFM130" s="52"/>
      <c r="CFN130" s="52"/>
      <c r="CFO130" s="52"/>
      <c r="CFP130" s="52"/>
      <c r="CFQ130" s="52"/>
      <c r="CFR130" s="52"/>
      <c r="CFS130" s="52"/>
      <c r="CFT130" s="52"/>
      <c r="CFU130" s="52"/>
      <c r="CFV130" s="52"/>
      <c r="CFW130" s="52"/>
      <c r="CFX130" s="52"/>
      <c r="CFY130" s="52"/>
      <c r="CFZ130" s="52"/>
      <c r="CGA130" s="52"/>
      <c r="CGB130" s="52"/>
      <c r="CGC130" s="52"/>
      <c r="CGD130" s="52"/>
      <c r="CGE130" s="52"/>
      <c r="CGF130" s="52"/>
      <c r="CGG130" s="52"/>
      <c r="CGH130" s="52"/>
      <c r="CGI130" s="52"/>
      <c r="CGJ130" s="52"/>
      <c r="CGK130" s="52"/>
      <c r="CGL130" s="52"/>
      <c r="CGM130" s="52"/>
      <c r="CGN130" s="52"/>
      <c r="CGO130" s="52"/>
      <c r="CGP130" s="52"/>
      <c r="CGQ130" s="52"/>
      <c r="CGR130" s="52"/>
      <c r="CGS130" s="52"/>
      <c r="CGT130" s="52"/>
      <c r="CGU130" s="52"/>
      <c r="CGV130" s="52"/>
      <c r="CGW130" s="52"/>
      <c r="CGX130" s="52"/>
      <c r="CGY130" s="52"/>
      <c r="CGZ130" s="52"/>
      <c r="CHA130" s="52"/>
      <c r="CHB130" s="52"/>
      <c r="CHC130" s="52"/>
      <c r="CHD130" s="52"/>
      <c r="CHE130" s="52"/>
      <c r="CHF130" s="52"/>
      <c r="CHG130" s="52"/>
      <c r="CHH130" s="52"/>
      <c r="CHI130" s="52"/>
      <c r="CHJ130" s="52"/>
      <c r="CHK130" s="52"/>
      <c r="CHL130" s="52"/>
      <c r="CHM130" s="52"/>
      <c r="CHN130" s="52"/>
      <c r="CHO130" s="52"/>
      <c r="CHP130" s="52"/>
      <c r="CHQ130" s="52"/>
      <c r="CHR130" s="52"/>
      <c r="CHS130" s="52"/>
      <c r="CHT130" s="52"/>
      <c r="CHU130" s="52"/>
      <c r="CHV130" s="52"/>
      <c r="CHW130" s="52"/>
      <c r="CHX130" s="52"/>
      <c r="CHY130" s="52"/>
      <c r="CHZ130" s="52"/>
      <c r="CIA130" s="52"/>
      <c r="CIB130" s="52"/>
      <c r="CIC130" s="52"/>
      <c r="CID130" s="52"/>
      <c r="CIE130" s="52"/>
      <c r="CIF130" s="52"/>
      <c r="CIG130" s="52"/>
      <c r="CIH130" s="52"/>
      <c r="CII130" s="52"/>
      <c r="CIJ130" s="52"/>
      <c r="CIK130" s="52"/>
      <c r="CIL130" s="52"/>
      <c r="CIM130" s="52"/>
      <c r="CIN130" s="52"/>
      <c r="CIO130" s="52"/>
      <c r="CIP130" s="52"/>
      <c r="CIQ130" s="52"/>
      <c r="CIR130" s="52"/>
      <c r="CIS130" s="52"/>
      <c r="CIT130" s="52"/>
      <c r="CIU130" s="52"/>
      <c r="CIV130" s="52"/>
      <c r="CIW130" s="52"/>
      <c r="CIX130" s="52"/>
      <c r="CIY130" s="52"/>
      <c r="CIZ130" s="52"/>
      <c r="CJA130" s="52"/>
      <c r="CJB130" s="52"/>
      <c r="CJC130" s="52"/>
      <c r="CJD130" s="52"/>
      <c r="CJE130" s="52"/>
      <c r="CJF130" s="52"/>
      <c r="CJG130" s="52"/>
      <c r="CJH130" s="52"/>
      <c r="CJI130" s="52"/>
      <c r="CJJ130" s="52"/>
      <c r="CJK130" s="52"/>
      <c r="CJL130" s="52"/>
      <c r="CJM130" s="52"/>
      <c r="CJN130" s="52"/>
      <c r="CJO130" s="52"/>
      <c r="CJP130" s="52"/>
      <c r="CJQ130" s="52"/>
      <c r="CJR130" s="52"/>
      <c r="CJS130" s="52"/>
      <c r="CJT130" s="52"/>
      <c r="CJU130" s="52"/>
      <c r="CJV130" s="52"/>
      <c r="CJW130" s="52"/>
      <c r="CJX130" s="52"/>
      <c r="CJY130" s="52"/>
      <c r="CJZ130" s="52"/>
      <c r="CKA130" s="52"/>
      <c r="CKB130" s="52"/>
      <c r="CKC130" s="52"/>
      <c r="CKD130" s="52"/>
      <c r="CKE130" s="52"/>
      <c r="CKF130" s="52"/>
      <c r="CKG130" s="52"/>
      <c r="CKH130" s="52"/>
      <c r="CKI130" s="52"/>
      <c r="CKJ130" s="52"/>
      <c r="CKK130" s="52"/>
      <c r="CKL130" s="52"/>
      <c r="CKM130" s="52"/>
      <c r="CKN130" s="52"/>
      <c r="CKO130" s="52"/>
      <c r="CKP130" s="52"/>
      <c r="CKQ130" s="52"/>
      <c r="CKR130" s="52"/>
      <c r="CKS130" s="52"/>
      <c r="CKT130" s="52"/>
      <c r="CKU130" s="52"/>
      <c r="CKV130" s="52"/>
      <c r="CKW130" s="52"/>
      <c r="CKX130" s="52"/>
      <c r="CKY130" s="52"/>
      <c r="CKZ130" s="52"/>
      <c r="CLA130" s="52"/>
      <c r="CLB130" s="52"/>
      <c r="CLC130" s="52"/>
      <c r="CLD130" s="52"/>
      <c r="CLE130" s="52"/>
      <c r="CLF130" s="52"/>
      <c r="CLG130" s="52"/>
      <c r="CLH130" s="52"/>
      <c r="CLI130" s="52"/>
      <c r="CLJ130" s="52"/>
      <c r="CLK130" s="52"/>
      <c r="CLL130" s="52"/>
      <c r="CLM130" s="52"/>
      <c r="CLN130" s="52"/>
      <c r="CLO130" s="52"/>
      <c r="CLP130" s="52"/>
      <c r="CLQ130" s="52"/>
      <c r="CLR130" s="52"/>
      <c r="CLS130" s="52"/>
      <c r="CLT130" s="52"/>
      <c r="CLU130" s="52"/>
      <c r="CLV130" s="52"/>
      <c r="CLW130" s="52"/>
      <c r="CLX130" s="52"/>
      <c r="CLY130" s="52"/>
      <c r="CLZ130" s="52"/>
      <c r="CMA130" s="52"/>
      <c r="CMB130" s="52"/>
      <c r="CMC130" s="52"/>
      <c r="CMD130" s="52"/>
      <c r="CME130" s="52"/>
      <c r="CMF130" s="52"/>
      <c r="CMG130" s="52"/>
      <c r="CMH130" s="52"/>
      <c r="CMI130" s="52"/>
      <c r="CMJ130" s="52"/>
      <c r="CMK130" s="52"/>
      <c r="CML130" s="52"/>
      <c r="CMM130" s="52"/>
      <c r="CMN130" s="52"/>
      <c r="CMO130" s="52"/>
      <c r="CMP130" s="52"/>
      <c r="CMQ130" s="52"/>
      <c r="CMR130" s="52"/>
      <c r="CMS130" s="52"/>
      <c r="CMT130" s="52"/>
      <c r="CMU130" s="52"/>
      <c r="CMV130" s="52"/>
      <c r="CMW130" s="52"/>
      <c r="CMX130" s="52"/>
      <c r="CMY130" s="52"/>
      <c r="CMZ130" s="52"/>
      <c r="CNA130" s="52"/>
      <c r="CNB130" s="52"/>
      <c r="CNC130" s="52"/>
      <c r="CND130" s="52"/>
      <c r="CNE130" s="52"/>
      <c r="CNF130" s="52"/>
      <c r="CNG130" s="52"/>
      <c r="CNH130" s="52"/>
      <c r="CNI130" s="52"/>
      <c r="CNJ130" s="52"/>
      <c r="CNK130" s="52"/>
      <c r="CNL130" s="52"/>
      <c r="CNM130" s="52"/>
      <c r="CNN130" s="52"/>
      <c r="CNO130" s="52"/>
      <c r="CNP130" s="52"/>
      <c r="CNQ130" s="52"/>
      <c r="CNR130" s="52"/>
      <c r="CNS130" s="52"/>
      <c r="CNT130" s="52"/>
      <c r="CNU130" s="52"/>
      <c r="CNV130" s="52"/>
      <c r="CNW130" s="52"/>
      <c r="CNX130" s="52"/>
      <c r="CNY130" s="52"/>
      <c r="CNZ130" s="52"/>
      <c r="COA130" s="52"/>
      <c r="COB130" s="52"/>
      <c r="COC130" s="52"/>
      <c r="COD130" s="52"/>
      <c r="COE130" s="52"/>
      <c r="COF130" s="52"/>
      <c r="COG130" s="52"/>
      <c r="COH130" s="52"/>
      <c r="COI130" s="52"/>
      <c r="COJ130" s="52"/>
      <c r="COK130" s="52"/>
      <c r="COL130" s="52"/>
      <c r="COM130" s="52"/>
      <c r="CON130" s="52"/>
      <c r="COO130" s="52"/>
      <c r="COP130" s="52"/>
      <c r="COQ130" s="52"/>
      <c r="COR130" s="52"/>
      <c r="COS130" s="52"/>
      <c r="COT130" s="52"/>
      <c r="COU130" s="52"/>
      <c r="COV130" s="52"/>
      <c r="COW130" s="52"/>
      <c r="COX130" s="52"/>
      <c r="COY130" s="52"/>
      <c r="COZ130" s="52"/>
      <c r="CPA130" s="52"/>
      <c r="CPB130" s="52"/>
      <c r="CPC130" s="52"/>
      <c r="CPD130" s="52"/>
      <c r="CPE130" s="52"/>
      <c r="CPF130" s="52"/>
      <c r="CPG130" s="52"/>
      <c r="CPH130" s="52"/>
      <c r="CPI130" s="52"/>
      <c r="CPJ130" s="52"/>
      <c r="CPK130" s="52"/>
      <c r="CPL130" s="52"/>
      <c r="CPM130" s="52"/>
      <c r="CPN130" s="52"/>
      <c r="CPO130" s="52"/>
      <c r="CPP130" s="52"/>
      <c r="CPQ130" s="52"/>
      <c r="CPR130" s="52"/>
      <c r="CPS130" s="52"/>
      <c r="CPT130" s="52"/>
      <c r="CPU130" s="52"/>
      <c r="CPV130" s="52"/>
      <c r="CPW130" s="52"/>
      <c r="CPX130" s="52"/>
      <c r="CPY130" s="52"/>
      <c r="CPZ130" s="52"/>
      <c r="CQA130" s="52"/>
      <c r="CQB130" s="52"/>
      <c r="CQC130" s="52"/>
      <c r="CQD130" s="52"/>
      <c r="CQE130" s="52"/>
      <c r="CQF130" s="52"/>
      <c r="CQG130" s="52"/>
      <c r="CQH130" s="52"/>
      <c r="CQI130" s="52"/>
      <c r="CQJ130" s="52"/>
      <c r="CQK130" s="52"/>
      <c r="CQL130" s="52"/>
      <c r="CQM130" s="52"/>
      <c r="CQN130" s="52"/>
      <c r="CQO130" s="52"/>
      <c r="CQP130" s="52"/>
      <c r="CQQ130" s="52"/>
      <c r="CQR130" s="52"/>
      <c r="CQS130" s="52"/>
      <c r="CQT130" s="52"/>
      <c r="CQU130" s="52"/>
      <c r="CQV130" s="52"/>
      <c r="CQW130" s="52"/>
      <c r="CQX130" s="52"/>
      <c r="CQY130" s="52"/>
      <c r="CQZ130" s="52"/>
      <c r="CRA130" s="52"/>
      <c r="CRB130" s="52"/>
      <c r="CRC130" s="52"/>
      <c r="CRD130" s="52"/>
      <c r="CRE130" s="52"/>
      <c r="CRF130" s="52"/>
      <c r="CRG130" s="52"/>
      <c r="CRH130" s="52"/>
      <c r="CRI130" s="52"/>
      <c r="CRJ130" s="52"/>
      <c r="CRK130" s="52"/>
      <c r="CRL130" s="52"/>
      <c r="CRM130" s="52"/>
      <c r="CRN130" s="52"/>
      <c r="CRO130" s="52"/>
      <c r="CRP130" s="52"/>
      <c r="CRQ130" s="52"/>
      <c r="CRR130" s="52"/>
      <c r="CRS130" s="52"/>
      <c r="CRT130" s="52"/>
      <c r="CRU130" s="52"/>
      <c r="CRV130" s="52"/>
      <c r="CRW130" s="52"/>
      <c r="CRX130" s="52"/>
      <c r="CRY130" s="52"/>
      <c r="CRZ130" s="52"/>
      <c r="CSA130" s="52"/>
      <c r="CSB130" s="52"/>
      <c r="CSC130" s="52"/>
      <c r="CSD130" s="52"/>
      <c r="CSE130" s="52"/>
      <c r="CSF130" s="52"/>
      <c r="CSG130" s="52"/>
      <c r="CSH130" s="52"/>
      <c r="CSI130" s="52"/>
      <c r="CSJ130" s="52"/>
      <c r="CSK130" s="52"/>
      <c r="CSL130" s="52"/>
      <c r="CSM130" s="52"/>
      <c r="CSN130" s="52"/>
      <c r="CSO130" s="52"/>
      <c r="CSP130" s="52"/>
      <c r="CSQ130" s="52"/>
      <c r="CSR130" s="52"/>
      <c r="CSS130" s="52"/>
      <c r="CST130" s="52"/>
      <c r="CSU130" s="52"/>
      <c r="CSV130" s="52"/>
      <c r="CSW130" s="52"/>
      <c r="CSX130" s="52"/>
      <c r="CSY130" s="52"/>
      <c r="CSZ130" s="52"/>
      <c r="CTA130" s="52"/>
      <c r="CTB130" s="52"/>
      <c r="CTC130" s="52"/>
      <c r="CTD130" s="52"/>
      <c r="CTE130" s="52"/>
      <c r="CTF130" s="52"/>
      <c r="CTG130" s="52"/>
      <c r="CTH130" s="52"/>
      <c r="CTI130" s="52"/>
      <c r="CTJ130" s="52"/>
      <c r="CTK130" s="52"/>
      <c r="CTL130" s="52"/>
      <c r="CTM130" s="52"/>
      <c r="CTN130" s="52"/>
      <c r="CTO130" s="52"/>
      <c r="CTP130" s="52"/>
      <c r="CTQ130" s="52"/>
      <c r="CTR130" s="52"/>
      <c r="CTS130" s="52"/>
      <c r="CTT130" s="52"/>
      <c r="CTU130" s="52"/>
      <c r="CTV130" s="52"/>
      <c r="CTW130" s="52"/>
      <c r="CTX130" s="52"/>
      <c r="CTY130" s="52"/>
      <c r="CTZ130" s="52"/>
      <c r="CUA130" s="52"/>
      <c r="CUB130" s="52"/>
      <c r="CUC130" s="52"/>
      <c r="CUD130" s="52"/>
      <c r="CUE130" s="52"/>
      <c r="CUF130" s="52"/>
      <c r="CUG130" s="52"/>
      <c r="CUH130" s="52"/>
      <c r="CUI130" s="52"/>
      <c r="CUJ130" s="52"/>
      <c r="CUK130" s="52"/>
      <c r="CUL130" s="52"/>
      <c r="CUM130" s="52"/>
      <c r="CUN130" s="52"/>
      <c r="CUO130" s="52"/>
      <c r="CUP130" s="52"/>
      <c r="CUQ130" s="52"/>
      <c r="CUR130" s="52"/>
      <c r="CUS130" s="52"/>
      <c r="CUT130" s="52"/>
      <c r="CUU130" s="52"/>
      <c r="CUV130" s="52"/>
      <c r="CUW130" s="52"/>
      <c r="CUX130" s="52"/>
      <c r="CUY130" s="52"/>
      <c r="CUZ130" s="52"/>
      <c r="CVA130" s="52"/>
      <c r="CVB130" s="52"/>
      <c r="CVC130" s="52"/>
      <c r="CVD130" s="52"/>
      <c r="CVE130" s="52"/>
      <c r="CVF130" s="52"/>
      <c r="CVG130" s="52"/>
      <c r="CVH130" s="52"/>
      <c r="CVI130" s="52"/>
      <c r="CVJ130" s="52"/>
      <c r="CVK130" s="52"/>
      <c r="CVL130" s="52"/>
      <c r="CVM130" s="52"/>
      <c r="CVN130" s="52"/>
      <c r="CVO130" s="52"/>
      <c r="CVP130" s="52"/>
      <c r="CVQ130" s="52"/>
      <c r="CVR130" s="52"/>
      <c r="CVS130" s="52"/>
      <c r="CVT130" s="52"/>
      <c r="CVU130" s="52"/>
      <c r="CVV130" s="52"/>
      <c r="CVW130" s="52"/>
      <c r="CVX130" s="52"/>
      <c r="CVY130" s="52"/>
      <c r="CVZ130" s="52"/>
      <c r="CWA130" s="52"/>
      <c r="CWB130" s="52"/>
      <c r="CWC130" s="52"/>
      <c r="CWD130" s="52"/>
      <c r="CWE130" s="52"/>
      <c r="CWF130" s="52"/>
      <c r="CWG130" s="52"/>
      <c r="CWH130" s="52"/>
      <c r="CWI130" s="52"/>
      <c r="CWJ130" s="52"/>
      <c r="CWK130" s="52"/>
      <c r="CWL130" s="52"/>
      <c r="CWM130" s="52"/>
      <c r="CWN130" s="52"/>
      <c r="CWO130" s="52"/>
      <c r="CWP130" s="52"/>
      <c r="CWQ130" s="52"/>
      <c r="CWR130" s="52"/>
      <c r="CWS130" s="52"/>
      <c r="CWT130" s="52"/>
      <c r="CWU130" s="52"/>
      <c r="CWV130" s="52"/>
      <c r="CWW130" s="52"/>
      <c r="CWX130" s="52"/>
      <c r="CWY130" s="52"/>
      <c r="CWZ130" s="52"/>
      <c r="CXA130" s="52"/>
      <c r="CXB130" s="52"/>
      <c r="CXC130" s="52"/>
      <c r="CXD130" s="52"/>
      <c r="CXE130" s="52"/>
      <c r="CXF130" s="52"/>
      <c r="CXG130" s="52"/>
      <c r="CXH130" s="52"/>
      <c r="CXI130" s="52"/>
      <c r="CXJ130" s="52"/>
      <c r="CXK130" s="52"/>
      <c r="CXL130" s="52"/>
      <c r="CXM130" s="52"/>
      <c r="CXN130" s="52"/>
      <c r="CXO130" s="52"/>
      <c r="CXP130" s="52"/>
      <c r="CXQ130" s="52"/>
      <c r="CXR130" s="52"/>
      <c r="CXS130" s="52"/>
      <c r="CXT130" s="52"/>
      <c r="CXU130" s="52"/>
      <c r="CXV130" s="52"/>
      <c r="CXW130" s="52"/>
      <c r="CXX130" s="52"/>
      <c r="CXY130" s="52"/>
      <c r="CXZ130" s="52"/>
      <c r="CYA130" s="52"/>
      <c r="CYB130" s="52"/>
      <c r="CYC130" s="52"/>
      <c r="CYD130" s="52"/>
      <c r="CYE130" s="52"/>
      <c r="CYF130" s="52"/>
      <c r="CYG130" s="52"/>
      <c r="CYH130" s="52"/>
      <c r="CYI130" s="52"/>
      <c r="CYJ130" s="52"/>
      <c r="CYK130" s="52"/>
      <c r="CYL130" s="52"/>
      <c r="CYM130" s="52"/>
      <c r="CYN130" s="52"/>
      <c r="CYO130" s="52"/>
      <c r="CYP130" s="52"/>
      <c r="CYQ130" s="52"/>
      <c r="CYR130" s="52"/>
      <c r="CYS130" s="52"/>
      <c r="CYT130" s="52"/>
      <c r="CYU130" s="52"/>
      <c r="CYV130" s="52"/>
      <c r="CYW130" s="52"/>
      <c r="CYX130" s="52"/>
      <c r="CYY130" s="52"/>
      <c r="CYZ130" s="52"/>
      <c r="CZA130" s="52"/>
      <c r="CZB130" s="52"/>
      <c r="CZC130" s="52"/>
      <c r="CZD130" s="52"/>
      <c r="CZE130" s="52"/>
      <c r="CZF130" s="52"/>
      <c r="CZG130" s="52"/>
      <c r="CZH130" s="52"/>
      <c r="CZI130" s="52"/>
      <c r="CZJ130" s="52"/>
      <c r="CZK130" s="52"/>
      <c r="CZL130" s="52"/>
      <c r="CZM130" s="52"/>
      <c r="CZN130" s="52"/>
      <c r="CZO130" s="52"/>
      <c r="CZP130" s="52"/>
      <c r="CZQ130" s="52"/>
      <c r="CZR130" s="52"/>
      <c r="CZS130" s="52"/>
      <c r="CZT130" s="52"/>
      <c r="CZU130" s="52"/>
      <c r="CZV130" s="52"/>
      <c r="CZW130" s="52"/>
      <c r="CZX130" s="52"/>
      <c r="CZY130" s="52"/>
      <c r="CZZ130" s="52"/>
      <c r="DAA130" s="52"/>
      <c r="DAB130" s="52"/>
      <c r="DAC130" s="52"/>
      <c r="DAD130" s="52"/>
      <c r="DAE130" s="52"/>
      <c r="DAF130" s="52"/>
      <c r="DAG130" s="52"/>
      <c r="DAH130" s="52"/>
      <c r="DAI130" s="52"/>
      <c r="DAJ130" s="52"/>
      <c r="DAK130" s="52"/>
      <c r="DAL130" s="52"/>
      <c r="DAM130" s="52"/>
      <c r="DAN130" s="52"/>
      <c r="DAO130" s="52"/>
      <c r="DAP130" s="52"/>
      <c r="DAQ130" s="52"/>
      <c r="DAR130" s="52"/>
      <c r="DAS130" s="52"/>
      <c r="DAT130" s="52"/>
      <c r="DAU130" s="52"/>
      <c r="DAV130" s="52"/>
      <c r="DAW130" s="52"/>
      <c r="DAX130" s="52"/>
      <c r="DAY130" s="52"/>
      <c r="DAZ130" s="52"/>
      <c r="DBA130" s="52"/>
      <c r="DBB130" s="52"/>
      <c r="DBC130" s="52"/>
      <c r="DBD130" s="52"/>
      <c r="DBE130" s="52"/>
      <c r="DBF130" s="52"/>
      <c r="DBG130" s="52"/>
      <c r="DBH130" s="52"/>
      <c r="DBI130" s="52"/>
      <c r="DBJ130" s="52"/>
      <c r="DBK130" s="52"/>
      <c r="DBL130" s="52"/>
      <c r="DBM130" s="52"/>
      <c r="DBN130" s="52"/>
      <c r="DBO130" s="52"/>
      <c r="DBP130" s="52"/>
      <c r="DBQ130" s="52"/>
      <c r="DBR130" s="52"/>
      <c r="DBS130" s="52"/>
      <c r="DBT130" s="52"/>
      <c r="DBU130" s="52"/>
      <c r="DBV130" s="52"/>
      <c r="DBW130" s="52"/>
      <c r="DBX130" s="52"/>
      <c r="DBY130" s="52"/>
      <c r="DBZ130" s="52"/>
      <c r="DCA130" s="52"/>
      <c r="DCB130" s="52"/>
      <c r="DCC130" s="52"/>
      <c r="DCD130" s="52"/>
      <c r="DCE130" s="52"/>
      <c r="DCF130" s="52"/>
      <c r="DCG130" s="52"/>
      <c r="DCH130" s="52"/>
      <c r="DCI130" s="52"/>
      <c r="DCJ130" s="52"/>
      <c r="DCK130" s="52"/>
      <c r="DCL130" s="52"/>
      <c r="DCM130" s="52"/>
      <c r="DCN130" s="52"/>
      <c r="DCO130" s="52"/>
      <c r="DCP130" s="52"/>
      <c r="DCQ130" s="52"/>
      <c r="DCR130" s="52"/>
      <c r="DCS130" s="52"/>
      <c r="DCT130" s="52"/>
      <c r="DCU130" s="52"/>
      <c r="DCV130" s="52"/>
      <c r="DCW130" s="52"/>
      <c r="DCX130" s="52"/>
      <c r="DCY130" s="52"/>
      <c r="DCZ130" s="52"/>
      <c r="DDA130" s="52"/>
      <c r="DDB130" s="52"/>
      <c r="DDC130" s="52"/>
      <c r="DDD130" s="52"/>
      <c r="DDE130" s="52"/>
      <c r="DDF130" s="52"/>
      <c r="DDG130" s="52"/>
      <c r="DDH130" s="52"/>
      <c r="DDI130" s="52"/>
      <c r="DDJ130" s="52"/>
      <c r="DDK130" s="52"/>
      <c r="DDL130" s="52"/>
      <c r="DDM130" s="52"/>
      <c r="DDN130" s="52"/>
      <c r="DDO130" s="52"/>
      <c r="DDP130" s="52"/>
      <c r="DDQ130" s="52"/>
      <c r="DDR130" s="52"/>
      <c r="DDS130" s="52"/>
      <c r="DDT130" s="52"/>
      <c r="DDU130" s="52"/>
      <c r="DDV130" s="52"/>
      <c r="DDW130" s="52"/>
      <c r="DDX130" s="52"/>
      <c r="DDY130" s="52"/>
      <c r="DDZ130" s="52"/>
      <c r="DEA130" s="52"/>
      <c r="DEB130" s="52"/>
      <c r="DEC130" s="52"/>
      <c r="DED130" s="52"/>
      <c r="DEE130" s="52"/>
      <c r="DEF130" s="52"/>
      <c r="DEG130" s="52"/>
      <c r="DEH130" s="52"/>
      <c r="DEI130" s="52"/>
      <c r="DEJ130" s="52"/>
      <c r="DEK130" s="52"/>
      <c r="DEL130" s="52"/>
      <c r="DEM130" s="52"/>
      <c r="DEN130" s="52"/>
      <c r="DEO130" s="52"/>
      <c r="DEP130" s="52"/>
      <c r="DEQ130" s="52"/>
      <c r="DER130" s="52"/>
      <c r="DES130" s="52"/>
      <c r="DET130" s="52"/>
      <c r="DEU130" s="52"/>
      <c r="DEV130" s="52"/>
      <c r="DEW130" s="52"/>
      <c r="DEX130" s="52"/>
      <c r="DEY130" s="52"/>
      <c r="DEZ130" s="52"/>
      <c r="DFA130" s="52"/>
      <c r="DFB130" s="52"/>
      <c r="DFC130" s="52"/>
      <c r="DFD130" s="52"/>
      <c r="DFE130" s="52"/>
      <c r="DFF130" s="52"/>
      <c r="DFG130" s="52"/>
      <c r="DFH130" s="52"/>
      <c r="DFI130" s="52"/>
      <c r="DFJ130" s="52"/>
      <c r="DFK130" s="52"/>
      <c r="DFL130" s="52"/>
      <c r="DFM130" s="52"/>
      <c r="DFN130" s="52"/>
      <c r="DFO130" s="52"/>
      <c r="DFP130" s="52"/>
      <c r="DFQ130" s="52"/>
      <c r="DFR130" s="52"/>
      <c r="DFS130" s="52"/>
      <c r="DFT130" s="52"/>
      <c r="DFU130" s="52"/>
      <c r="DFV130" s="52"/>
      <c r="DFW130" s="52"/>
      <c r="DFX130" s="52"/>
      <c r="DFY130" s="52"/>
      <c r="DFZ130" s="52"/>
      <c r="DGA130" s="52"/>
      <c r="DGB130" s="52"/>
      <c r="DGC130" s="52"/>
      <c r="DGD130" s="52"/>
      <c r="DGE130" s="52"/>
      <c r="DGF130" s="52"/>
      <c r="DGG130" s="52"/>
      <c r="DGH130" s="52"/>
      <c r="DGI130" s="52"/>
      <c r="DGJ130" s="52"/>
      <c r="DGK130" s="52"/>
      <c r="DGL130" s="52"/>
      <c r="DGM130" s="52"/>
      <c r="DGN130" s="52"/>
      <c r="DGO130" s="52"/>
      <c r="DGP130" s="52"/>
      <c r="DGQ130" s="52"/>
      <c r="DGR130" s="52"/>
      <c r="DGS130" s="52"/>
      <c r="DGT130" s="52"/>
      <c r="DGU130" s="52"/>
      <c r="DGV130" s="52"/>
      <c r="DGW130" s="52"/>
      <c r="DGX130" s="52"/>
      <c r="DGY130" s="52"/>
      <c r="DGZ130" s="52"/>
      <c r="DHA130" s="52"/>
      <c r="DHB130" s="52"/>
      <c r="DHC130" s="52"/>
      <c r="DHD130" s="52"/>
      <c r="DHE130" s="52"/>
      <c r="DHF130" s="52"/>
      <c r="DHG130" s="52"/>
      <c r="DHH130" s="52"/>
      <c r="DHI130" s="52"/>
      <c r="DHJ130" s="52"/>
      <c r="DHK130" s="52"/>
      <c r="DHL130" s="52"/>
      <c r="DHM130" s="52"/>
      <c r="DHN130" s="52"/>
      <c r="DHO130" s="52"/>
      <c r="DHP130" s="52"/>
      <c r="DHQ130" s="52"/>
      <c r="DHR130" s="52"/>
      <c r="DHS130" s="52"/>
      <c r="DHT130" s="52"/>
      <c r="DHU130" s="52"/>
      <c r="DHV130" s="52"/>
      <c r="DHW130" s="52"/>
      <c r="DHX130" s="52"/>
      <c r="DHY130" s="52"/>
      <c r="DHZ130" s="52"/>
      <c r="DIA130" s="52"/>
      <c r="DIB130" s="52"/>
      <c r="DIC130" s="52"/>
      <c r="DID130" s="52"/>
      <c r="DIE130" s="52"/>
      <c r="DIF130" s="52"/>
      <c r="DIG130" s="52"/>
      <c r="DIH130" s="52"/>
      <c r="DII130" s="52"/>
      <c r="DIJ130" s="52"/>
      <c r="DIK130" s="52"/>
      <c r="DIL130" s="52"/>
      <c r="DIM130" s="52"/>
      <c r="DIN130" s="52"/>
      <c r="DIO130" s="52"/>
      <c r="DIP130" s="52"/>
      <c r="DIQ130" s="52"/>
      <c r="DIR130" s="52"/>
      <c r="DIS130" s="52"/>
      <c r="DIT130" s="52"/>
      <c r="DIU130" s="52"/>
      <c r="DIV130" s="52"/>
      <c r="DIW130" s="52"/>
      <c r="DIX130" s="52"/>
      <c r="DIY130" s="52"/>
      <c r="DIZ130" s="52"/>
      <c r="DJA130" s="52"/>
      <c r="DJB130" s="52"/>
      <c r="DJC130" s="52"/>
      <c r="DJD130" s="52"/>
      <c r="DJE130" s="52"/>
      <c r="DJF130" s="52"/>
      <c r="DJG130" s="52"/>
      <c r="DJH130" s="52"/>
      <c r="DJI130" s="52"/>
      <c r="DJJ130" s="52"/>
      <c r="DJK130" s="52"/>
      <c r="DJL130" s="52"/>
      <c r="DJM130" s="52"/>
      <c r="DJN130" s="52"/>
      <c r="DJO130" s="52"/>
      <c r="DJP130" s="52"/>
      <c r="DJQ130" s="52"/>
      <c r="DJR130" s="52"/>
      <c r="DJS130" s="52"/>
      <c r="DJT130" s="52"/>
      <c r="DJU130" s="52"/>
      <c r="DJV130" s="52"/>
      <c r="DJW130" s="52"/>
      <c r="DJX130" s="52"/>
      <c r="DJY130" s="52"/>
      <c r="DJZ130" s="52"/>
      <c r="DKA130" s="52"/>
      <c r="DKB130" s="52"/>
      <c r="DKC130" s="52"/>
      <c r="DKD130" s="52"/>
      <c r="DKE130" s="52"/>
      <c r="DKF130" s="52"/>
      <c r="DKG130" s="52"/>
      <c r="DKH130" s="52"/>
      <c r="DKI130" s="52"/>
      <c r="DKJ130" s="52"/>
      <c r="DKK130" s="52"/>
      <c r="DKL130" s="52"/>
      <c r="DKM130" s="52"/>
      <c r="DKN130" s="52"/>
      <c r="DKO130" s="52"/>
      <c r="DKP130" s="52"/>
      <c r="DKQ130" s="52"/>
      <c r="DKR130" s="52"/>
      <c r="DKS130" s="52"/>
      <c r="DKT130" s="52"/>
      <c r="DKU130" s="52"/>
      <c r="DKV130" s="52"/>
      <c r="DKW130" s="52"/>
      <c r="DKX130" s="52"/>
      <c r="DKY130" s="52"/>
      <c r="DKZ130" s="52"/>
      <c r="DLA130" s="52"/>
      <c r="DLB130" s="52"/>
      <c r="DLC130" s="52"/>
      <c r="DLD130" s="52"/>
      <c r="DLE130" s="52"/>
      <c r="DLF130" s="52"/>
      <c r="DLG130" s="52"/>
      <c r="DLH130" s="52"/>
      <c r="DLI130" s="52"/>
      <c r="DLJ130" s="52"/>
      <c r="DLK130" s="52"/>
      <c r="DLL130" s="52"/>
      <c r="DLM130" s="52"/>
      <c r="DLN130" s="52"/>
      <c r="DLO130" s="52"/>
      <c r="DLP130" s="52"/>
      <c r="DLQ130" s="52"/>
      <c r="DLR130" s="52"/>
      <c r="DLS130" s="52"/>
      <c r="DLT130" s="52"/>
      <c r="DLU130" s="52"/>
      <c r="DLV130" s="52"/>
      <c r="DLW130" s="52"/>
      <c r="DLX130" s="52"/>
      <c r="DLY130" s="52"/>
      <c r="DLZ130" s="52"/>
      <c r="DMA130" s="52"/>
      <c r="DMB130" s="52"/>
      <c r="DMC130" s="52"/>
      <c r="DMD130" s="52"/>
      <c r="DME130" s="52"/>
      <c r="DMF130" s="52"/>
      <c r="DMG130" s="52"/>
      <c r="DMH130" s="52"/>
      <c r="DMI130" s="52"/>
      <c r="DMJ130" s="52"/>
      <c r="DMK130" s="52"/>
      <c r="DML130" s="52"/>
      <c r="DMM130" s="52"/>
      <c r="DMN130" s="52"/>
      <c r="DMO130" s="52"/>
      <c r="DMP130" s="52"/>
      <c r="DMQ130" s="52"/>
      <c r="DMR130" s="52"/>
      <c r="DMS130" s="52"/>
      <c r="DMT130" s="52"/>
      <c r="DMU130" s="52"/>
      <c r="DMV130" s="52"/>
      <c r="DMW130" s="52"/>
      <c r="DMX130" s="52"/>
      <c r="DMY130" s="52"/>
      <c r="DMZ130" s="52"/>
      <c r="DNA130" s="52"/>
      <c r="DNB130" s="52"/>
      <c r="DNC130" s="52"/>
      <c r="DND130" s="52"/>
      <c r="DNE130" s="52"/>
      <c r="DNF130" s="52"/>
      <c r="DNG130" s="52"/>
      <c r="DNH130" s="52"/>
      <c r="DNI130" s="52"/>
      <c r="DNJ130" s="52"/>
      <c r="DNK130" s="52"/>
      <c r="DNL130" s="52"/>
      <c r="DNM130" s="52"/>
      <c r="DNN130" s="52"/>
      <c r="DNO130" s="52"/>
      <c r="DNP130" s="52"/>
      <c r="DNQ130" s="52"/>
      <c r="DNR130" s="52"/>
      <c r="DNS130" s="52"/>
      <c r="DNT130" s="52"/>
      <c r="DNU130" s="52"/>
      <c r="DNV130" s="52"/>
      <c r="DNW130" s="52"/>
      <c r="DNX130" s="52"/>
      <c r="DNY130" s="52"/>
      <c r="DNZ130" s="52"/>
      <c r="DOA130" s="52"/>
      <c r="DOB130" s="52"/>
      <c r="DOC130" s="52"/>
      <c r="DOD130" s="52"/>
      <c r="DOE130" s="52"/>
      <c r="DOF130" s="52"/>
      <c r="DOG130" s="52"/>
      <c r="DOH130" s="52"/>
      <c r="DOI130" s="52"/>
      <c r="DOJ130" s="52"/>
      <c r="DOK130" s="52"/>
      <c r="DOL130" s="52"/>
      <c r="DOM130" s="52"/>
      <c r="DON130" s="52"/>
      <c r="DOO130" s="52"/>
      <c r="DOP130" s="52"/>
      <c r="DOQ130" s="52"/>
      <c r="DOR130" s="52"/>
      <c r="DOS130" s="52"/>
      <c r="DOT130" s="52"/>
      <c r="DOU130" s="52"/>
      <c r="DOV130" s="52"/>
      <c r="DOW130" s="52"/>
      <c r="DOX130" s="52"/>
      <c r="DOY130" s="52"/>
      <c r="DOZ130" s="52"/>
      <c r="DPA130" s="52"/>
      <c r="DPB130" s="52"/>
      <c r="DPC130" s="52"/>
      <c r="DPD130" s="52"/>
      <c r="DPE130" s="52"/>
      <c r="DPF130" s="52"/>
      <c r="DPG130" s="52"/>
      <c r="DPH130" s="52"/>
      <c r="DPI130" s="52"/>
      <c r="DPJ130" s="52"/>
      <c r="DPK130" s="52"/>
      <c r="DPL130" s="52"/>
      <c r="DPM130" s="52"/>
      <c r="DPN130" s="52"/>
      <c r="DPO130" s="52"/>
      <c r="DPP130" s="52"/>
      <c r="DPQ130" s="52"/>
      <c r="DPR130" s="52"/>
      <c r="DPS130" s="52"/>
      <c r="DPT130" s="52"/>
      <c r="DPU130" s="52"/>
      <c r="DPV130" s="52"/>
      <c r="DPW130" s="52"/>
      <c r="DPX130" s="52"/>
      <c r="DPY130" s="52"/>
      <c r="DPZ130" s="52"/>
      <c r="DQA130" s="52"/>
      <c r="DQB130" s="52"/>
      <c r="DQC130" s="52"/>
      <c r="DQD130" s="52"/>
      <c r="DQE130" s="52"/>
      <c r="DQF130" s="52"/>
      <c r="DQG130" s="52"/>
      <c r="DQH130" s="52"/>
      <c r="DQI130" s="52"/>
      <c r="DQJ130" s="52"/>
      <c r="DQK130" s="52"/>
      <c r="DQL130" s="52"/>
      <c r="DQM130" s="52"/>
      <c r="DQN130" s="52"/>
      <c r="DQO130" s="52"/>
      <c r="DQP130" s="52"/>
      <c r="DQQ130" s="52"/>
      <c r="DQR130" s="52"/>
      <c r="DQS130" s="52"/>
      <c r="DQT130" s="52"/>
      <c r="DQU130" s="52"/>
      <c r="DQV130" s="52"/>
      <c r="DQW130" s="52"/>
      <c r="DQX130" s="52"/>
      <c r="DQY130" s="52"/>
      <c r="DQZ130" s="52"/>
      <c r="DRA130" s="52"/>
      <c r="DRB130" s="52"/>
      <c r="DRC130" s="52"/>
      <c r="DRD130" s="52"/>
      <c r="DRE130" s="52"/>
      <c r="DRF130" s="52"/>
      <c r="DRG130" s="52"/>
      <c r="DRH130" s="52"/>
      <c r="DRI130" s="52"/>
      <c r="DRJ130" s="52"/>
      <c r="DRK130" s="52"/>
      <c r="DRL130" s="52"/>
      <c r="DRM130" s="52"/>
      <c r="DRN130" s="52"/>
      <c r="DRO130" s="52"/>
      <c r="DRP130" s="52"/>
      <c r="DRQ130" s="52"/>
      <c r="DRR130" s="52"/>
      <c r="DRS130" s="52"/>
      <c r="DRT130" s="52"/>
      <c r="DRU130" s="52"/>
      <c r="DRV130" s="52"/>
      <c r="DRW130" s="52"/>
      <c r="DRX130" s="52"/>
      <c r="DRY130" s="52"/>
      <c r="DRZ130" s="52"/>
      <c r="DSA130" s="52"/>
      <c r="DSB130" s="52"/>
      <c r="DSC130" s="52"/>
      <c r="DSD130" s="52"/>
      <c r="DSE130" s="52"/>
      <c r="DSF130" s="52"/>
      <c r="DSG130" s="52"/>
      <c r="DSH130" s="52"/>
      <c r="DSI130" s="52"/>
      <c r="DSJ130" s="52"/>
      <c r="DSK130" s="52"/>
      <c r="DSL130" s="52"/>
      <c r="DSM130" s="52"/>
      <c r="DSN130" s="52"/>
      <c r="DSO130" s="52"/>
      <c r="DSP130" s="52"/>
      <c r="DSQ130" s="52"/>
      <c r="DSR130" s="52"/>
      <c r="DSS130" s="52"/>
      <c r="DST130" s="52"/>
      <c r="DSU130" s="52"/>
      <c r="DSV130" s="52"/>
      <c r="DSW130" s="52"/>
      <c r="DSX130" s="52"/>
      <c r="DSY130" s="52"/>
      <c r="DSZ130" s="52"/>
      <c r="DTA130" s="52"/>
      <c r="DTB130" s="52"/>
      <c r="DTC130" s="52"/>
      <c r="DTD130" s="52"/>
      <c r="DTE130" s="52"/>
      <c r="DTF130" s="52"/>
      <c r="DTG130" s="52"/>
      <c r="DTH130" s="52"/>
      <c r="DTI130" s="52"/>
      <c r="DTJ130" s="52"/>
      <c r="DTK130" s="52"/>
      <c r="DTL130" s="52"/>
      <c r="DTM130" s="52"/>
      <c r="DTN130" s="52"/>
      <c r="DTO130" s="52"/>
      <c r="DTP130" s="52"/>
      <c r="DTQ130" s="52"/>
      <c r="DTR130" s="52"/>
      <c r="DTS130" s="52"/>
      <c r="DTT130" s="52"/>
      <c r="DTU130" s="52"/>
      <c r="DTV130" s="52"/>
      <c r="DTW130" s="52"/>
      <c r="DTX130" s="52"/>
      <c r="DTY130" s="52"/>
      <c r="DTZ130" s="52"/>
      <c r="DUA130" s="52"/>
      <c r="DUB130" s="52"/>
      <c r="DUC130" s="52"/>
      <c r="DUD130" s="52"/>
      <c r="DUE130" s="52"/>
      <c r="DUF130" s="52"/>
      <c r="DUG130" s="52"/>
      <c r="DUH130" s="52"/>
      <c r="DUI130" s="52"/>
      <c r="DUJ130" s="52"/>
      <c r="DUK130" s="52"/>
      <c r="DUL130" s="52"/>
      <c r="DUM130" s="52"/>
      <c r="DUN130" s="52"/>
      <c r="DUO130" s="52"/>
      <c r="DUP130" s="52"/>
      <c r="DUQ130" s="52"/>
      <c r="DUR130" s="52"/>
      <c r="DUS130" s="52"/>
      <c r="DUT130" s="52"/>
      <c r="DUU130" s="52"/>
      <c r="DUV130" s="52"/>
      <c r="DUW130" s="52"/>
      <c r="DUX130" s="52"/>
      <c r="DUY130" s="52"/>
      <c r="DUZ130" s="52"/>
      <c r="DVA130" s="52"/>
      <c r="DVB130" s="52"/>
      <c r="DVC130" s="52"/>
      <c r="DVD130" s="52"/>
      <c r="DVE130" s="52"/>
      <c r="DVF130" s="52"/>
      <c r="DVG130" s="52"/>
      <c r="DVH130" s="52"/>
      <c r="DVI130" s="52"/>
      <c r="DVJ130" s="52"/>
      <c r="DVK130" s="52"/>
      <c r="DVL130" s="52"/>
      <c r="DVM130" s="52"/>
      <c r="DVN130" s="52"/>
      <c r="DVO130" s="52"/>
      <c r="DVP130" s="52"/>
      <c r="DVQ130" s="52"/>
      <c r="DVR130" s="52"/>
      <c r="DVS130" s="52"/>
      <c r="DVT130" s="52"/>
      <c r="DVU130" s="52"/>
      <c r="DVV130" s="52"/>
      <c r="DVW130" s="52"/>
      <c r="DVX130" s="52"/>
      <c r="DVY130" s="52"/>
      <c r="DVZ130" s="52"/>
      <c r="DWA130" s="52"/>
      <c r="DWB130" s="52"/>
      <c r="DWC130" s="52"/>
      <c r="DWD130" s="52"/>
      <c r="DWE130" s="52"/>
      <c r="DWF130" s="52"/>
      <c r="DWG130" s="52"/>
      <c r="DWH130" s="52"/>
      <c r="DWI130" s="52"/>
      <c r="DWJ130" s="52"/>
      <c r="DWK130" s="52"/>
      <c r="DWL130" s="52"/>
      <c r="DWM130" s="52"/>
      <c r="DWN130" s="52"/>
      <c r="DWO130" s="52"/>
      <c r="DWP130" s="52"/>
      <c r="DWQ130" s="52"/>
      <c r="DWR130" s="52"/>
      <c r="DWS130" s="52"/>
      <c r="DWT130" s="52"/>
      <c r="DWU130" s="52"/>
      <c r="DWV130" s="52"/>
      <c r="DWW130" s="52"/>
      <c r="DWX130" s="52"/>
      <c r="DWY130" s="52"/>
      <c r="DWZ130" s="52"/>
      <c r="DXA130" s="52"/>
      <c r="DXB130" s="52"/>
      <c r="DXC130" s="52"/>
      <c r="DXD130" s="52"/>
      <c r="DXE130" s="52"/>
      <c r="DXF130" s="52"/>
      <c r="DXG130" s="52"/>
      <c r="DXH130" s="52"/>
      <c r="DXI130" s="52"/>
      <c r="DXJ130" s="52"/>
      <c r="DXK130" s="52"/>
      <c r="DXL130" s="52"/>
      <c r="DXM130" s="52"/>
      <c r="DXN130" s="52"/>
      <c r="DXO130" s="52"/>
      <c r="DXP130" s="52"/>
      <c r="DXQ130" s="52"/>
      <c r="DXR130" s="52"/>
      <c r="DXS130" s="52"/>
      <c r="DXT130" s="52"/>
      <c r="DXU130" s="52"/>
      <c r="DXV130" s="52"/>
      <c r="DXW130" s="52"/>
      <c r="DXX130" s="52"/>
      <c r="DXY130" s="52"/>
      <c r="DXZ130" s="52"/>
      <c r="DYA130" s="52"/>
      <c r="DYB130" s="52"/>
      <c r="DYC130" s="52"/>
      <c r="DYD130" s="52"/>
      <c r="DYE130" s="52"/>
      <c r="DYF130" s="52"/>
      <c r="DYG130" s="52"/>
      <c r="DYH130" s="52"/>
      <c r="DYI130" s="52"/>
      <c r="DYJ130" s="52"/>
      <c r="DYK130" s="52"/>
      <c r="DYL130" s="52"/>
      <c r="DYM130" s="52"/>
      <c r="DYN130" s="52"/>
      <c r="DYO130" s="52"/>
      <c r="DYP130" s="52"/>
      <c r="DYQ130" s="52"/>
      <c r="DYR130" s="52"/>
      <c r="DYS130" s="52"/>
      <c r="DYT130" s="52"/>
      <c r="DYU130" s="52"/>
      <c r="DYV130" s="52"/>
      <c r="DYW130" s="52"/>
      <c r="DYX130" s="52"/>
      <c r="DYY130" s="52"/>
      <c r="DYZ130" s="52"/>
      <c r="DZA130" s="52"/>
      <c r="DZB130" s="52"/>
      <c r="DZC130" s="52"/>
      <c r="DZD130" s="52"/>
      <c r="DZE130" s="52"/>
      <c r="DZF130" s="52"/>
      <c r="DZG130" s="52"/>
      <c r="DZH130" s="52"/>
      <c r="DZI130" s="52"/>
      <c r="DZJ130" s="52"/>
      <c r="DZK130" s="52"/>
      <c r="DZL130" s="52"/>
      <c r="DZM130" s="52"/>
      <c r="DZN130" s="52"/>
      <c r="DZO130" s="52"/>
      <c r="DZP130" s="52"/>
      <c r="DZQ130" s="52"/>
      <c r="DZR130" s="52"/>
      <c r="DZS130" s="52"/>
      <c r="DZT130" s="52"/>
      <c r="DZU130" s="52"/>
      <c r="DZV130" s="52"/>
      <c r="DZW130" s="52"/>
      <c r="DZX130" s="52"/>
      <c r="DZY130" s="52"/>
      <c r="DZZ130" s="52"/>
      <c r="EAA130" s="52"/>
      <c r="EAB130" s="52"/>
      <c r="EAC130" s="52"/>
      <c r="EAD130" s="52"/>
      <c r="EAE130" s="52"/>
      <c r="EAF130" s="52"/>
      <c r="EAG130" s="52"/>
      <c r="EAH130" s="52"/>
      <c r="EAI130" s="52"/>
      <c r="EAJ130" s="52"/>
      <c r="EAK130" s="52"/>
      <c r="EAL130" s="52"/>
      <c r="EAM130" s="52"/>
      <c r="EAN130" s="52"/>
      <c r="EAO130" s="52"/>
      <c r="EAP130" s="52"/>
      <c r="EAQ130" s="52"/>
      <c r="EAR130" s="52"/>
      <c r="EAS130" s="52"/>
      <c r="EAT130" s="52"/>
      <c r="EAU130" s="52"/>
      <c r="EAV130" s="52"/>
      <c r="EAW130" s="52"/>
      <c r="EAX130" s="52"/>
      <c r="EAY130" s="52"/>
      <c r="EAZ130" s="52"/>
      <c r="EBA130" s="52"/>
      <c r="EBB130" s="52"/>
      <c r="EBC130" s="52"/>
      <c r="EBD130" s="52"/>
      <c r="EBE130" s="52"/>
      <c r="EBF130" s="52"/>
      <c r="EBG130" s="52"/>
      <c r="EBH130" s="52"/>
      <c r="EBI130" s="52"/>
      <c r="EBJ130" s="52"/>
      <c r="EBK130" s="52"/>
      <c r="EBL130" s="52"/>
      <c r="EBM130" s="52"/>
      <c r="EBN130" s="52"/>
      <c r="EBO130" s="52"/>
      <c r="EBP130" s="52"/>
      <c r="EBQ130" s="52"/>
      <c r="EBR130" s="52"/>
      <c r="EBS130" s="52"/>
      <c r="EBT130" s="52"/>
      <c r="EBU130" s="52"/>
      <c r="EBV130" s="52"/>
      <c r="EBW130" s="52"/>
      <c r="EBX130" s="52"/>
      <c r="EBY130" s="52"/>
      <c r="EBZ130" s="52"/>
      <c r="ECA130" s="52"/>
      <c r="ECB130" s="52"/>
      <c r="ECC130" s="52"/>
      <c r="ECD130" s="52"/>
      <c r="ECE130" s="52"/>
      <c r="ECF130" s="52"/>
      <c r="ECG130" s="52"/>
      <c r="ECH130" s="52"/>
      <c r="ECI130" s="52"/>
      <c r="ECJ130" s="52"/>
      <c r="ECK130" s="52"/>
      <c r="ECL130" s="52"/>
      <c r="ECM130" s="52"/>
      <c r="ECN130" s="52"/>
      <c r="ECO130" s="52"/>
      <c r="ECP130" s="52"/>
      <c r="ECQ130" s="52"/>
      <c r="ECR130" s="52"/>
      <c r="ECS130" s="52"/>
      <c r="ECT130" s="52"/>
      <c r="ECU130" s="52"/>
      <c r="ECV130" s="52"/>
      <c r="ECW130" s="52"/>
      <c r="ECX130" s="52"/>
      <c r="ECY130" s="52"/>
      <c r="ECZ130" s="52"/>
      <c r="EDA130" s="52"/>
      <c r="EDB130" s="52"/>
      <c r="EDC130" s="52"/>
      <c r="EDD130" s="52"/>
      <c r="EDE130" s="52"/>
      <c r="EDF130" s="52"/>
      <c r="EDG130" s="52"/>
      <c r="EDH130" s="52"/>
      <c r="EDI130" s="52"/>
      <c r="EDJ130" s="52"/>
      <c r="EDK130" s="52"/>
      <c r="EDL130" s="52"/>
      <c r="EDM130" s="52"/>
      <c r="EDN130" s="52"/>
      <c r="EDO130" s="52"/>
      <c r="EDP130" s="52"/>
      <c r="EDQ130" s="52"/>
      <c r="EDR130" s="52"/>
      <c r="EDS130" s="52"/>
      <c r="EDT130" s="52"/>
      <c r="EDU130" s="52"/>
      <c r="EDV130" s="52"/>
      <c r="EDW130" s="52"/>
      <c r="EDX130" s="52"/>
      <c r="EDY130" s="52"/>
      <c r="EDZ130" s="52"/>
      <c r="EEA130" s="52"/>
      <c r="EEB130" s="52"/>
      <c r="EEC130" s="52"/>
      <c r="EED130" s="52"/>
      <c r="EEE130" s="52"/>
      <c r="EEF130" s="52"/>
      <c r="EEG130" s="52"/>
      <c r="EEH130" s="52"/>
      <c r="EEI130" s="52"/>
      <c r="EEJ130" s="52"/>
      <c r="EEK130" s="52"/>
      <c r="EEL130" s="52"/>
      <c r="EEM130" s="52"/>
      <c r="EEN130" s="52"/>
      <c r="EEO130" s="52"/>
      <c r="EEP130" s="52"/>
      <c r="EEQ130" s="52"/>
      <c r="EER130" s="52"/>
      <c r="EES130" s="52"/>
      <c r="EET130" s="52"/>
      <c r="EEU130" s="52"/>
      <c r="EEV130" s="52"/>
      <c r="EEW130" s="52"/>
      <c r="EEX130" s="52"/>
      <c r="EEY130" s="52"/>
      <c r="EEZ130" s="52"/>
      <c r="EFA130" s="52"/>
      <c r="EFB130" s="52"/>
      <c r="EFC130" s="52"/>
      <c r="EFD130" s="52"/>
      <c r="EFE130" s="52"/>
      <c r="EFF130" s="52"/>
      <c r="EFG130" s="52"/>
      <c r="EFH130" s="52"/>
      <c r="EFI130" s="52"/>
      <c r="EFJ130" s="52"/>
      <c r="EFK130" s="52"/>
      <c r="EFL130" s="52"/>
      <c r="EFM130" s="52"/>
      <c r="EFN130" s="52"/>
      <c r="EFO130" s="52"/>
      <c r="EFP130" s="52"/>
      <c r="EFQ130" s="52"/>
      <c r="EFR130" s="52"/>
      <c r="EFS130" s="52"/>
      <c r="EFT130" s="52"/>
      <c r="EFU130" s="52"/>
      <c r="EFV130" s="52"/>
      <c r="EFW130" s="52"/>
      <c r="EFX130" s="52"/>
      <c r="EFY130" s="52"/>
      <c r="EFZ130" s="52"/>
      <c r="EGA130" s="52"/>
      <c r="EGB130" s="52"/>
      <c r="EGC130" s="52"/>
      <c r="EGD130" s="52"/>
      <c r="EGE130" s="52"/>
      <c r="EGF130" s="52"/>
      <c r="EGG130" s="52"/>
      <c r="EGH130" s="52"/>
      <c r="EGI130" s="52"/>
      <c r="EGJ130" s="52"/>
      <c r="EGK130" s="52"/>
      <c r="EGL130" s="52"/>
      <c r="EGM130" s="52"/>
      <c r="EGN130" s="52"/>
      <c r="EGO130" s="52"/>
      <c r="EGP130" s="52"/>
      <c r="EGQ130" s="52"/>
      <c r="EGR130" s="52"/>
      <c r="EGS130" s="52"/>
      <c r="EGT130" s="52"/>
      <c r="EGU130" s="52"/>
      <c r="EGV130" s="52"/>
      <c r="EGW130" s="52"/>
      <c r="EGX130" s="52"/>
      <c r="EGY130" s="52"/>
      <c r="EGZ130" s="52"/>
      <c r="EHA130" s="52"/>
      <c r="EHB130" s="52"/>
      <c r="EHC130" s="52"/>
      <c r="EHD130" s="52"/>
      <c r="EHE130" s="52"/>
      <c r="EHF130" s="52"/>
      <c r="EHG130" s="52"/>
      <c r="EHH130" s="52"/>
      <c r="EHI130" s="52"/>
      <c r="EHJ130" s="52"/>
      <c r="EHK130" s="52"/>
      <c r="EHL130" s="52"/>
      <c r="EHM130" s="52"/>
      <c r="EHN130" s="52"/>
      <c r="EHO130" s="52"/>
      <c r="EHP130" s="52"/>
      <c r="EHQ130" s="52"/>
      <c r="EHR130" s="52"/>
      <c r="EHS130" s="52"/>
      <c r="EHT130" s="52"/>
      <c r="EHU130" s="52"/>
      <c r="EHV130" s="52"/>
      <c r="EHW130" s="52"/>
      <c r="EHX130" s="52"/>
      <c r="EHY130" s="52"/>
      <c r="EHZ130" s="52"/>
      <c r="EIA130" s="52"/>
      <c r="EIB130" s="52"/>
      <c r="EIC130" s="52"/>
      <c r="EID130" s="52"/>
      <c r="EIE130" s="52"/>
      <c r="EIF130" s="52"/>
      <c r="EIG130" s="52"/>
      <c r="EIH130" s="52"/>
      <c r="EII130" s="52"/>
      <c r="EIJ130" s="52"/>
      <c r="EIK130" s="52"/>
      <c r="EIL130" s="52"/>
      <c r="EIM130" s="52"/>
      <c r="EIN130" s="52"/>
      <c r="EIO130" s="52"/>
      <c r="EIP130" s="52"/>
      <c r="EIQ130" s="52"/>
      <c r="EIR130" s="52"/>
      <c r="EIS130" s="52"/>
      <c r="EIT130" s="52"/>
      <c r="EIU130" s="52"/>
      <c r="EIV130" s="52"/>
      <c r="EIW130" s="52"/>
      <c r="EIX130" s="52"/>
      <c r="EIY130" s="52"/>
      <c r="EIZ130" s="52"/>
      <c r="EJA130" s="52"/>
      <c r="EJB130" s="52"/>
      <c r="EJC130" s="52"/>
      <c r="EJD130" s="52"/>
      <c r="EJE130" s="52"/>
      <c r="EJF130" s="52"/>
      <c r="EJG130" s="52"/>
      <c r="EJH130" s="52"/>
      <c r="EJI130" s="52"/>
      <c r="EJJ130" s="52"/>
      <c r="EJK130" s="52"/>
      <c r="EJL130" s="52"/>
      <c r="EJM130" s="52"/>
      <c r="EJN130" s="52"/>
      <c r="EJO130" s="52"/>
      <c r="EJP130" s="52"/>
      <c r="EJQ130" s="52"/>
      <c r="EJR130" s="52"/>
      <c r="EJS130" s="52"/>
      <c r="EJT130" s="52"/>
      <c r="EJU130" s="52"/>
      <c r="EJV130" s="52"/>
      <c r="EJW130" s="52"/>
      <c r="EJX130" s="52"/>
      <c r="EJY130" s="52"/>
      <c r="EJZ130" s="52"/>
      <c r="EKA130" s="52"/>
      <c r="EKB130" s="52"/>
      <c r="EKC130" s="52"/>
      <c r="EKD130" s="52"/>
      <c r="EKE130" s="52"/>
      <c r="EKF130" s="52"/>
      <c r="EKG130" s="52"/>
      <c r="EKH130" s="52"/>
      <c r="EKI130" s="52"/>
      <c r="EKJ130" s="52"/>
      <c r="EKK130" s="52"/>
      <c r="EKL130" s="52"/>
      <c r="EKM130" s="52"/>
      <c r="EKN130" s="52"/>
      <c r="EKO130" s="52"/>
      <c r="EKP130" s="52"/>
      <c r="EKQ130" s="52"/>
      <c r="EKR130" s="52"/>
      <c r="EKS130" s="52"/>
      <c r="EKT130" s="52"/>
      <c r="EKU130" s="52"/>
      <c r="EKV130" s="52"/>
      <c r="EKW130" s="52"/>
      <c r="EKX130" s="52"/>
      <c r="EKY130" s="52"/>
      <c r="EKZ130" s="52"/>
      <c r="ELA130" s="52"/>
      <c r="ELB130" s="52"/>
      <c r="ELC130" s="52"/>
      <c r="ELD130" s="52"/>
      <c r="ELE130" s="52"/>
      <c r="ELF130" s="52"/>
      <c r="ELG130" s="52"/>
      <c r="ELH130" s="52"/>
      <c r="ELI130" s="52"/>
      <c r="ELJ130" s="52"/>
      <c r="ELK130" s="52"/>
      <c r="ELL130" s="52"/>
      <c r="ELM130" s="52"/>
      <c r="ELN130" s="52"/>
      <c r="ELO130" s="52"/>
      <c r="ELP130" s="52"/>
      <c r="ELQ130" s="52"/>
      <c r="ELR130" s="52"/>
      <c r="ELS130" s="52"/>
      <c r="ELT130" s="52"/>
      <c r="ELU130" s="52"/>
      <c r="ELV130" s="52"/>
      <c r="ELW130" s="52"/>
      <c r="ELX130" s="52"/>
      <c r="ELY130" s="52"/>
      <c r="ELZ130" s="52"/>
      <c r="EMA130" s="52"/>
      <c r="EMB130" s="52"/>
      <c r="EMC130" s="52"/>
      <c r="EMD130" s="52"/>
      <c r="EME130" s="52"/>
      <c r="EMF130" s="52"/>
      <c r="EMG130" s="52"/>
      <c r="EMH130" s="52"/>
      <c r="EMI130" s="52"/>
      <c r="EMJ130" s="52"/>
      <c r="EMK130" s="52"/>
      <c r="EML130" s="52"/>
      <c r="EMM130" s="52"/>
      <c r="EMN130" s="52"/>
      <c r="EMO130" s="52"/>
      <c r="EMP130" s="52"/>
      <c r="EMQ130" s="52"/>
      <c r="EMR130" s="52"/>
      <c r="EMS130" s="52"/>
      <c r="EMT130" s="52"/>
      <c r="EMU130" s="52"/>
      <c r="EMV130" s="52"/>
      <c r="EMW130" s="52"/>
      <c r="EMX130" s="52"/>
      <c r="EMY130" s="52"/>
      <c r="EMZ130" s="52"/>
      <c r="ENA130" s="52"/>
      <c r="ENB130" s="52"/>
      <c r="ENC130" s="52"/>
      <c r="END130" s="52"/>
      <c r="ENE130" s="52"/>
      <c r="ENF130" s="52"/>
      <c r="ENG130" s="52"/>
      <c r="ENH130" s="52"/>
      <c r="ENI130" s="52"/>
      <c r="ENJ130" s="52"/>
      <c r="ENK130" s="52"/>
      <c r="ENL130" s="52"/>
      <c r="ENM130" s="52"/>
      <c r="ENN130" s="52"/>
      <c r="ENO130" s="52"/>
      <c r="ENP130" s="52"/>
      <c r="ENQ130" s="52"/>
      <c r="ENR130" s="52"/>
      <c r="ENS130" s="52"/>
      <c r="ENT130" s="52"/>
      <c r="ENU130" s="52"/>
      <c r="ENV130" s="52"/>
      <c r="ENW130" s="52"/>
      <c r="ENX130" s="52"/>
      <c r="ENY130" s="52"/>
      <c r="ENZ130" s="52"/>
      <c r="EOA130" s="52"/>
      <c r="EOB130" s="52"/>
      <c r="EOC130" s="52"/>
      <c r="EOD130" s="52"/>
      <c r="EOE130" s="52"/>
      <c r="EOF130" s="52"/>
      <c r="EOG130" s="52"/>
      <c r="EOH130" s="52"/>
      <c r="EOI130" s="52"/>
      <c r="EOJ130" s="52"/>
      <c r="EOK130" s="52"/>
      <c r="EOL130" s="52"/>
      <c r="EOM130" s="52"/>
      <c r="EON130" s="52"/>
      <c r="EOO130" s="52"/>
      <c r="EOP130" s="52"/>
      <c r="EOQ130" s="52"/>
      <c r="EOR130" s="52"/>
      <c r="EOS130" s="52"/>
      <c r="EOT130" s="52"/>
      <c r="EOU130" s="52"/>
      <c r="EOV130" s="52"/>
      <c r="EOW130" s="52"/>
      <c r="EOX130" s="52"/>
      <c r="EOY130" s="52"/>
      <c r="EOZ130" s="52"/>
      <c r="EPA130" s="52"/>
      <c r="EPB130" s="52"/>
      <c r="EPC130" s="52"/>
      <c r="EPD130" s="52"/>
      <c r="EPE130" s="52"/>
      <c r="EPF130" s="52"/>
      <c r="EPG130" s="52"/>
      <c r="EPH130" s="52"/>
      <c r="EPI130" s="52"/>
      <c r="EPJ130" s="52"/>
      <c r="EPK130" s="52"/>
      <c r="EPL130" s="52"/>
      <c r="EPM130" s="52"/>
      <c r="EPN130" s="52"/>
      <c r="EPO130" s="52"/>
      <c r="EPP130" s="52"/>
      <c r="EPQ130" s="52"/>
      <c r="EPR130" s="52"/>
      <c r="EPS130" s="52"/>
      <c r="EPT130" s="52"/>
      <c r="EPU130" s="52"/>
      <c r="EPV130" s="52"/>
      <c r="EPW130" s="52"/>
      <c r="EPX130" s="52"/>
      <c r="EPY130" s="52"/>
      <c r="EPZ130" s="52"/>
      <c r="EQA130" s="52"/>
      <c r="EQB130" s="52"/>
      <c r="EQC130" s="52"/>
      <c r="EQD130" s="52"/>
      <c r="EQE130" s="52"/>
      <c r="EQF130" s="52"/>
      <c r="EQG130" s="52"/>
      <c r="EQH130" s="52"/>
      <c r="EQI130" s="52"/>
      <c r="EQJ130" s="52"/>
      <c r="EQK130" s="52"/>
      <c r="EQL130" s="52"/>
      <c r="EQM130" s="52"/>
      <c r="EQN130" s="52"/>
      <c r="EQO130" s="52"/>
      <c r="EQP130" s="52"/>
      <c r="EQQ130" s="52"/>
      <c r="EQR130" s="52"/>
      <c r="EQS130" s="52"/>
      <c r="EQT130" s="52"/>
      <c r="EQU130" s="52"/>
      <c r="EQV130" s="52"/>
      <c r="EQW130" s="52"/>
      <c r="EQX130" s="52"/>
      <c r="EQY130" s="52"/>
      <c r="EQZ130" s="52"/>
      <c r="ERA130" s="52"/>
      <c r="ERB130" s="52"/>
      <c r="ERC130" s="52"/>
      <c r="ERD130" s="52"/>
      <c r="ERE130" s="52"/>
      <c r="ERF130" s="52"/>
      <c r="ERG130" s="52"/>
      <c r="ERH130" s="52"/>
      <c r="ERI130" s="52"/>
      <c r="ERJ130" s="52"/>
      <c r="ERK130" s="52"/>
      <c r="ERL130" s="52"/>
      <c r="ERM130" s="52"/>
      <c r="ERN130" s="52"/>
      <c r="ERO130" s="52"/>
      <c r="ERP130" s="52"/>
      <c r="ERQ130" s="52"/>
      <c r="ERR130" s="52"/>
      <c r="ERS130" s="52"/>
      <c r="ERT130" s="52"/>
      <c r="ERU130" s="52"/>
      <c r="ERV130" s="52"/>
      <c r="ERW130" s="52"/>
      <c r="ERX130" s="52"/>
      <c r="ERY130" s="52"/>
      <c r="ERZ130" s="52"/>
      <c r="ESA130" s="52"/>
      <c r="ESB130" s="52"/>
      <c r="ESC130" s="52"/>
      <c r="ESD130" s="52"/>
      <c r="ESE130" s="52"/>
      <c r="ESF130" s="52"/>
      <c r="ESG130" s="52"/>
      <c r="ESH130" s="52"/>
      <c r="ESI130" s="52"/>
      <c r="ESJ130" s="52"/>
      <c r="ESK130" s="52"/>
      <c r="ESL130" s="52"/>
      <c r="ESM130" s="52"/>
      <c r="ESN130" s="52"/>
      <c r="ESO130" s="52"/>
      <c r="ESP130" s="52"/>
      <c r="ESQ130" s="52"/>
      <c r="ESR130" s="52"/>
      <c r="ESS130" s="52"/>
      <c r="EST130" s="52"/>
      <c r="ESU130" s="52"/>
      <c r="ESV130" s="52"/>
      <c r="ESW130" s="52"/>
      <c r="ESX130" s="52"/>
      <c r="ESY130" s="52"/>
      <c r="ESZ130" s="52"/>
      <c r="ETA130" s="52"/>
      <c r="ETB130" s="52"/>
      <c r="ETC130" s="52"/>
      <c r="ETD130" s="52"/>
      <c r="ETE130" s="52"/>
      <c r="ETF130" s="52"/>
      <c r="ETG130" s="52"/>
      <c r="ETH130" s="52"/>
      <c r="ETI130" s="52"/>
      <c r="ETJ130" s="52"/>
      <c r="ETK130" s="52"/>
      <c r="ETL130" s="52"/>
      <c r="ETM130" s="52"/>
      <c r="ETN130" s="52"/>
      <c r="ETO130" s="52"/>
      <c r="ETP130" s="52"/>
      <c r="ETQ130" s="52"/>
      <c r="ETR130" s="52"/>
      <c r="ETS130" s="52"/>
      <c r="ETT130" s="52"/>
      <c r="ETU130" s="52"/>
      <c r="ETV130" s="52"/>
      <c r="ETW130" s="52"/>
      <c r="ETX130" s="52"/>
      <c r="ETY130" s="52"/>
      <c r="ETZ130" s="52"/>
      <c r="EUA130" s="52"/>
      <c r="EUB130" s="52"/>
      <c r="EUC130" s="52"/>
      <c r="EUD130" s="52"/>
      <c r="EUE130" s="52"/>
      <c r="EUF130" s="52"/>
      <c r="EUG130" s="52"/>
      <c r="EUH130" s="52"/>
      <c r="EUI130" s="52"/>
      <c r="EUJ130" s="52"/>
      <c r="EUK130" s="52"/>
      <c r="EUL130" s="52"/>
      <c r="EUM130" s="52"/>
      <c r="EUN130" s="52"/>
      <c r="EUO130" s="52"/>
      <c r="EUP130" s="52"/>
      <c r="EUQ130" s="52"/>
      <c r="EUR130" s="52"/>
      <c r="EUS130" s="52"/>
      <c r="EUT130" s="52"/>
      <c r="EUU130" s="52"/>
      <c r="EUV130" s="52"/>
      <c r="EUW130" s="52"/>
      <c r="EUX130" s="52"/>
      <c r="EUY130" s="52"/>
      <c r="EUZ130" s="52"/>
      <c r="EVA130" s="52"/>
      <c r="EVB130" s="52"/>
      <c r="EVC130" s="52"/>
      <c r="EVD130" s="52"/>
      <c r="EVE130" s="52"/>
      <c r="EVF130" s="52"/>
      <c r="EVG130" s="52"/>
      <c r="EVH130" s="52"/>
      <c r="EVI130" s="52"/>
      <c r="EVJ130" s="52"/>
      <c r="EVK130" s="52"/>
      <c r="EVL130" s="52"/>
      <c r="EVM130" s="52"/>
      <c r="EVN130" s="52"/>
      <c r="EVO130" s="52"/>
      <c r="EVP130" s="52"/>
      <c r="EVQ130" s="52"/>
      <c r="EVR130" s="52"/>
      <c r="EVS130" s="52"/>
      <c r="EVT130" s="52"/>
      <c r="EVU130" s="52"/>
      <c r="EVV130" s="52"/>
      <c r="EVW130" s="52"/>
      <c r="EVX130" s="52"/>
      <c r="EVY130" s="52"/>
      <c r="EVZ130" s="52"/>
      <c r="EWA130" s="52"/>
      <c r="EWB130" s="52"/>
      <c r="EWC130" s="52"/>
      <c r="EWD130" s="52"/>
      <c r="EWE130" s="52"/>
      <c r="EWF130" s="52"/>
      <c r="EWG130" s="52"/>
      <c r="EWH130" s="52"/>
      <c r="EWI130" s="52"/>
      <c r="EWJ130" s="52"/>
      <c r="EWK130" s="52"/>
      <c r="EWL130" s="52"/>
      <c r="EWM130" s="52"/>
      <c r="EWN130" s="52"/>
      <c r="EWO130" s="52"/>
      <c r="EWP130" s="52"/>
      <c r="EWQ130" s="52"/>
      <c r="EWR130" s="52"/>
      <c r="EWS130" s="52"/>
      <c r="EWT130" s="52"/>
      <c r="EWU130" s="52"/>
      <c r="EWV130" s="52"/>
      <c r="EWW130" s="52"/>
      <c r="EWX130" s="52"/>
      <c r="EWY130" s="52"/>
      <c r="EWZ130" s="52"/>
      <c r="EXA130" s="52"/>
      <c r="EXB130" s="52"/>
      <c r="EXC130" s="52"/>
      <c r="EXD130" s="52"/>
      <c r="EXE130" s="52"/>
      <c r="EXF130" s="52"/>
      <c r="EXG130" s="52"/>
      <c r="EXH130" s="52"/>
      <c r="EXI130" s="52"/>
      <c r="EXJ130" s="52"/>
      <c r="EXK130" s="52"/>
      <c r="EXL130" s="52"/>
      <c r="EXM130" s="52"/>
      <c r="EXN130" s="52"/>
      <c r="EXO130" s="52"/>
      <c r="EXP130" s="52"/>
      <c r="EXQ130" s="52"/>
      <c r="EXR130" s="52"/>
      <c r="EXS130" s="52"/>
      <c r="EXT130" s="52"/>
      <c r="EXU130" s="52"/>
      <c r="EXV130" s="52"/>
      <c r="EXW130" s="52"/>
      <c r="EXX130" s="52"/>
      <c r="EXY130" s="52"/>
      <c r="EXZ130" s="52"/>
      <c r="EYA130" s="52"/>
      <c r="EYB130" s="52"/>
      <c r="EYC130" s="52"/>
      <c r="EYD130" s="52"/>
      <c r="EYE130" s="52"/>
      <c r="EYF130" s="52"/>
      <c r="EYG130" s="52"/>
      <c r="EYH130" s="52"/>
      <c r="EYI130" s="52"/>
      <c r="EYJ130" s="52"/>
      <c r="EYK130" s="52"/>
      <c r="EYL130" s="52"/>
      <c r="EYM130" s="52"/>
      <c r="EYN130" s="52"/>
      <c r="EYO130" s="52"/>
      <c r="EYP130" s="52"/>
      <c r="EYQ130" s="52"/>
      <c r="EYR130" s="52"/>
      <c r="EYS130" s="52"/>
      <c r="EYT130" s="52"/>
      <c r="EYU130" s="52"/>
      <c r="EYV130" s="52"/>
      <c r="EYW130" s="52"/>
      <c r="EYX130" s="52"/>
      <c r="EYY130" s="52"/>
      <c r="EYZ130" s="52"/>
      <c r="EZA130" s="52"/>
      <c r="EZB130" s="52"/>
      <c r="EZC130" s="52"/>
      <c r="EZD130" s="52"/>
      <c r="EZE130" s="52"/>
      <c r="EZF130" s="52"/>
      <c r="EZG130" s="52"/>
      <c r="EZH130" s="52"/>
      <c r="EZI130" s="52"/>
      <c r="EZJ130" s="52"/>
      <c r="EZK130" s="52"/>
      <c r="EZL130" s="52"/>
      <c r="EZM130" s="52"/>
      <c r="EZN130" s="52"/>
      <c r="EZO130" s="52"/>
      <c r="EZP130" s="52"/>
      <c r="EZQ130" s="52"/>
      <c r="EZR130" s="52"/>
      <c r="EZS130" s="52"/>
      <c r="EZT130" s="52"/>
      <c r="EZU130" s="52"/>
      <c r="EZV130" s="52"/>
      <c r="EZW130" s="52"/>
      <c r="EZX130" s="52"/>
      <c r="EZY130" s="52"/>
      <c r="EZZ130" s="52"/>
      <c r="FAA130" s="52"/>
      <c r="FAB130" s="52"/>
      <c r="FAC130" s="52"/>
      <c r="FAD130" s="52"/>
      <c r="FAE130" s="52"/>
      <c r="FAF130" s="52"/>
      <c r="FAG130" s="52"/>
      <c r="FAH130" s="52"/>
      <c r="FAI130" s="52"/>
      <c r="FAJ130" s="52"/>
      <c r="FAK130" s="52"/>
      <c r="FAL130" s="52"/>
      <c r="FAM130" s="52"/>
      <c r="FAN130" s="52"/>
      <c r="FAO130" s="52"/>
      <c r="FAP130" s="52"/>
      <c r="FAQ130" s="52"/>
      <c r="FAR130" s="52"/>
      <c r="FAS130" s="52"/>
      <c r="FAT130" s="52"/>
      <c r="FAU130" s="52"/>
      <c r="FAV130" s="52"/>
      <c r="FAW130" s="52"/>
      <c r="FAX130" s="52"/>
      <c r="FAY130" s="52"/>
      <c r="FAZ130" s="52"/>
      <c r="FBA130" s="52"/>
      <c r="FBB130" s="52"/>
      <c r="FBC130" s="52"/>
      <c r="FBD130" s="52"/>
      <c r="FBE130" s="52"/>
      <c r="FBF130" s="52"/>
      <c r="FBG130" s="52"/>
      <c r="FBH130" s="52"/>
      <c r="FBI130" s="52"/>
      <c r="FBJ130" s="52"/>
      <c r="FBK130" s="52"/>
      <c r="FBL130" s="52"/>
      <c r="FBM130" s="52"/>
      <c r="FBN130" s="52"/>
      <c r="FBO130" s="52"/>
      <c r="FBP130" s="52"/>
      <c r="FBQ130" s="52"/>
      <c r="FBR130" s="52"/>
      <c r="FBS130" s="52"/>
      <c r="FBT130" s="52"/>
      <c r="FBU130" s="52"/>
      <c r="FBV130" s="52"/>
      <c r="FBW130" s="52"/>
      <c r="FBX130" s="52"/>
      <c r="FBY130" s="52"/>
      <c r="FBZ130" s="52"/>
      <c r="FCA130" s="52"/>
      <c r="FCB130" s="52"/>
      <c r="FCC130" s="52"/>
      <c r="FCD130" s="52"/>
      <c r="FCE130" s="52"/>
      <c r="FCF130" s="52"/>
      <c r="FCG130" s="52"/>
      <c r="FCH130" s="52"/>
      <c r="FCI130" s="52"/>
      <c r="FCJ130" s="52"/>
      <c r="FCK130" s="52"/>
      <c r="FCL130" s="52"/>
      <c r="FCM130" s="52"/>
      <c r="FCN130" s="52"/>
      <c r="FCO130" s="52"/>
      <c r="FCP130" s="52"/>
      <c r="FCQ130" s="52"/>
      <c r="FCR130" s="52"/>
      <c r="FCS130" s="52"/>
      <c r="FCT130" s="52"/>
      <c r="FCU130" s="52"/>
      <c r="FCV130" s="52"/>
      <c r="FCW130" s="52"/>
      <c r="FCX130" s="52"/>
      <c r="FCY130" s="52"/>
      <c r="FCZ130" s="52"/>
      <c r="FDA130" s="52"/>
      <c r="FDB130" s="52"/>
      <c r="FDC130" s="52"/>
      <c r="FDD130" s="52"/>
      <c r="FDE130" s="52"/>
      <c r="FDF130" s="52"/>
      <c r="FDG130" s="52"/>
      <c r="FDH130" s="52"/>
      <c r="FDI130" s="52"/>
      <c r="FDJ130" s="52"/>
      <c r="FDK130" s="52"/>
      <c r="FDL130" s="52"/>
      <c r="FDM130" s="52"/>
      <c r="FDN130" s="52"/>
      <c r="FDO130" s="52"/>
      <c r="FDP130" s="52"/>
      <c r="FDQ130" s="52"/>
      <c r="FDR130" s="52"/>
      <c r="FDS130" s="52"/>
      <c r="FDT130" s="52"/>
      <c r="FDU130" s="52"/>
      <c r="FDV130" s="52"/>
      <c r="FDW130" s="52"/>
      <c r="FDX130" s="52"/>
      <c r="FDY130" s="52"/>
      <c r="FDZ130" s="52"/>
      <c r="FEA130" s="52"/>
      <c r="FEB130" s="52"/>
      <c r="FEC130" s="52"/>
      <c r="FED130" s="52"/>
      <c r="FEE130" s="52"/>
      <c r="FEF130" s="52"/>
      <c r="FEG130" s="52"/>
      <c r="FEH130" s="52"/>
      <c r="FEI130" s="52"/>
      <c r="FEJ130" s="52"/>
      <c r="FEK130" s="52"/>
      <c r="FEL130" s="52"/>
      <c r="FEM130" s="52"/>
      <c r="FEN130" s="52"/>
      <c r="FEO130" s="52"/>
      <c r="FEP130" s="52"/>
      <c r="FEQ130" s="52"/>
      <c r="FER130" s="52"/>
      <c r="FES130" s="52"/>
      <c r="FET130" s="52"/>
      <c r="FEU130" s="52"/>
      <c r="FEV130" s="52"/>
      <c r="FEW130" s="52"/>
      <c r="FEX130" s="52"/>
      <c r="FEY130" s="52"/>
      <c r="FEZ130" s="52"/>
      <c r="FFA130" s="52"/>
      <c r="FFB130" s="52"/>
      <c r="FFC130" s="52"/>
      <c r="FFD130" s="52"/>
      <c r="FFE130" s="52"/>
      <c r="FFF130" s="52"/>
      <c r="FFG130" s="52"/>
      <c r="FFH130" s="52"/>
      <c r="FFI130" s="52"/>
      <c r="FFJ130" s="52"/>
      <c r="FFK130" s="52"/>
      <c r="FFL130" s="52"/>
      <c r="FFM130" s="52"/>
      <c r="FFN130" s="52"/>
      <c r="FFO130" s="52"/>
      <c r="FFP130" s="52"/>
      <c r="FFQ130" s="52"/>
      <c r="FFR130" s="52"/>
      <c r="FFS130" s="52"/>
      <c r="FFT130" s="52"/>
      <c r="FFU130" s="52"/>
      <c r="FFV130" s="52"/>
      <c r="FFW130" s="52"/>
      <c r="FFX130" s="52"/>
      <c r="FFY130" s="52"/>
      <c r="FFZ130" s="52"/>
      <c r="FGA130" s="52"/>
      <c r="FGB130" s="52"/>
      <c r="FGC130" s="52"/>
      <c r="FGD130" s="52"/>
      <c r="FGE130" s="52"/>
      <c r="FGF130" s="52"/>
      <c r="FGG130" s="52"/>
      <c r="FGH130" s="52"/>
      <c r="FGI130" s="52"/>
      <c r="FGJ130" s="52"/>
      <c r="FGK130" s="52"/>
      <c r="FGL130" s="52"/>
      <c r="FGM130" s="52"/>
      <c r="FGN130" s="52"/>
      <c r="FGO130" s="52"/>
      <c r="FGP130" s="52"/>
      <c r="FGQ130" s="52"/>
      <c r="FGR130" s="52"/>
      <c r="FGS130" s="52"/>
      <c r="FGT130" s="52"/>
      <c r="FGU130" s="52"/>
      <c r="FGV130" s="52"/>
      <c r="FGW130" s="52"/>
      <c r="FGX130" s="52"/>
      <c r="FGY130" s="52"/>
      <c r="FGZ130" s="52"/>
      <c r="FHA130" s="52"/>
      <c r="FHB130" s="52"/>
      <c r="FHC130" s="52"/>
      <c r="FHD130" s="52"/>
      <c r="FHE130" s="52"/>
      <c r="FHF130" s="52"/>
      <c r="FHG130" s="52"/>
      <c r="FHH130" s="52"/>
      <c r="FHI130" s="52"/>
      <c r="FHJ130" s="52"/>
      <c r="FHK130" s="52"/>
      <c r="FHL130" s="52"/>
      <c r="FHM130" s="52"/>
      <c r="FHN130" s="52"/>
      <c r="FHO130" s="52"/>
      <c r="FHP130" s="52"/>
      <c r="FHQ130" s="52"/>
      <c r="FHR130" s="52"/>
      <c r="FHS130" s="52"/>
      <c r="FHT130" s="52"/>
      <c r="FHU130" s="52"/>
      <c r="FHV130" s="52"/>
      <c r="FHW130" s="52"/>
      <c r="FHX130" s="52"/>
      <c r="FHY130" s="52"/>
      <c r="FHZ130" s="52"/>
      <c r="FIA130" s="52"/>
      <c r="FIB130" s="52"/>
      <c r="FIC130" s="52"/>
      <c r="FID130" s="52"/>
      <c r="FIE130" s="52"/>
      <c r="FIF130" s="52"/>
      <c r="FIG130" s="52"/>
      <c r="FIH130" s="52"/>
      <c r="FII130" s="52"/>
      <c r="FIJ130" s="52"/>
      <c r="FIK130" s="52"/>
      <c r="FIL130" s="52"/>
      <c r="FIM130" s="52"/>
      <c r="FIN130" s="52"/>
      <c r="FIO130" s="52"/>
      <c r="FIP130" s="52"/>
      <c r="FIQ130" s="52"/>
      <c r="FIR130" s="52"/>
      <c r="FIS130" s="52"/>
      <c r="FIT130" s="52"/>
      <c r="FIU130" s="52"/>
      <c r="FIV130" s="52"/>
      <c r="FIW130" s="52"/>
      <c r="FIX130" s="52"/>
      <c r="FIY130" s="52"/>
      <c r="FIZ130" s="52"/>
      <c r="FJA130" s="52"/>
      <c r="FJB130" s="52"/>
      <c r="FJC130" s="52"/>
      <c r="FJD130" s="52"/>
      <c r="FJE130" s="52"/>
      <c r="FJF130" s="52"/>
      <c r="FJG130" s="52"/>
      <c r="FJH130" s="52"/>
      <c r="FJI130" s="52"/>
      <c r="FJJ130" s="52"/>
      <c r="FJK130" s="52"/>
      <c r="FJL130" s="52"/>
      <c r="FJM130" s="52"/>
      <c r="FJN130" s="52"/>
      <c r="FJO130" s="52"/>
      <c r="FJP130" s="52"/>
      <c r="FJQ130" s="52"/>
      <c r="FJR130" s="52"/>
      <c r="FJS130" s="52"/>
      <c r="FJT130" s="52"/>
      <c r="FJU130" s="52"/>
      <c r="FJV130" s="52"/>
      <c r="FJW130" s="52"/>
      <c r="FJX130" s="52"/>
      <c r="FJY130" s="52"/>
      <c r="FJZ130" s="52"/>
      <c r="FKA130" s="52"/>
      <c r="FKB130" s="52"/>
      <c r="FKC130" s="52"/>
      <c r="FKD130" s="52"/>
      <c r="FKE130" s="52"/>
      <c r="FKF130" s="52"/>
      <c r="FKG130" s="52"/>
      <c r="FKH130" s="52"/>
      <c r="FKI130" s="52"/>
      <c r="FKJ130" s="52"/>
      <c r="FKK130" s="52"/>
      <c r="FKL130" s="52"/>
      <c r="FKM130" s="52"/>
      <c r="FKN130" s="52"/>
      <c r="FKO130" s="52"/>
      <c r="FKP130" s="52"/>
      <c r="FKQ130" s="52"/>
      <c r="FKR130" s="52"/>
      <c r="FKS130" s="52"/>
      <c r="FKT130" s="52"/>
      <c r="FKU130" s="52"/>
      <c r="FKV130" s="52"/>
      <c r="FKW130" s="52"/>
      <c r="FKX130" s="52"/>
      <c r="FKY130" s="52"/>
      <c r="FKZ130" s="52"/>
      <c r="FLA130" s="52"/>
      <c r="FLB130" s="52"/>
      <c r="FLC130" s="52"/>
      <c r="FLD130" s="52"/>
      <c r="FLE130" s="52"/>
      <c r="FLF130" s="52"/>
      <c r="FLG130" s="52"/>
      <c r="FLH130" s="52"/>
      <c r="FLI130" s="52"/>
      <c r="FLJ130" s="52"/>
      <c r="FLK130" s="52"/>
      <c r="FLL130" s="52"/>
      <c r="FLM130" s="52"/>
      <c r="FLN130" s="52"/>
      <c r="FLO130" s="52"/>
      <c r="FLP130" s="52"/>
      <c r="FLQ130" s="52"/>
      <c r="FLR130" s="52"/>
      <c r="FLS130" s="52"/>
      <c r="FLT130" s="52"/>
      <c r="FLU130" s="52"/>
      <c r="FLV130" s="52"/>
      <c r="FLW130" s="52"/>
      <c r="FLX130" s="52"/>
      <c r="FLY130" s="52"/>
      <c r="FLZ130" s="52"/>
      <c r="FMA130" s="52"/>
      <c r="FMB130" s="52"/>
      <c r="FMC130" s="52"/>
      <c r="FMD130" s="52"/>
      <c r="FME130" s="52"/>
      <c r="FMF130" s="52"/>
      <c r="FMG130" s="52"/>
      <c r="FMH130" s="52"/>
      <c r="FMI130" s="52"/>
      <c r="FMJ130" s="52"/>
      <c r="FMK130" s="52"/>
      <c r="FML130" s="52"/>
      <c r="FMM130" s="52"/>
      <c r="FMN130" s="52"/>
      <c r="FMO130" s="52"/>
      <c r="FMP130" s="52"/>
      <c r="FMQ130" s="52"/>
      <c r="FMR130" s="52"/>
      <c r="FMS130" s="52"/>
      <c r="FMT130" s="52"/>
      <c r="FMU130" s="52"/>
      <c r="FMV130" s="52"/>
      <c r="FMW130" s="52"/>
      <c r="FMX130" s="52"/>
      <c r="FMY130" s="52"/>
      <c r="FMZ130" s="52"/>
      <c r="FNA130" s="52"/>
      <c r="FNB130" s="52"/>
      <c r="FNC130" s="52"/>
      <c r="FND130" s="52"/>
      <c r="FNE130" s="52"/>
      <c r="FNF130" s="52"/>
      <c r="FNG130" s="52"/>
      <c r="FNH130" s="52"/>
      <c r="FNI130" s="52"/>
      <c r="FNJ130" s="52"/>
      <c r="FNK130" s="52"/>
      <c r="FNL130" s="52"/>
      <c r="FNM130" s="52"/>
      <c r="FNN130" s="52"/>
      <c r="FNO130" s="52"/>
      <c r="FNP130" s="52"/>
      <c r="FNQ130" s="52"/>
      <c r="FNR130" s="52"/>
      <c r="FNS130" s="52"/>
      <c r="FNT130" s="52"/>
      <c r="FNU130" s="52"/>
      <c r="FNV130" s="52"/>
      <c r="FNW130" s="52"/>
      <c r="FNX130" s="52"/>
      <c r="FNY130" s="52"/>
      <c r="FNZ130" s="52"/>
      <c r="FOA130" s="52"/>
      <c r="FOB130" s="52"/>
      <c r="FOC130" s="52"/>
      <c r="FOD130" s="52"/>
      <c r="FOE130" s="52"/>
      <c r="FOF130" s="52"/>
      <c r="FOG130" s="52"/>
      <c r="FOH130" s="52"/>
      <c r="FOI130" s="52"/>
      <c r="FOJ130" s="52"/>
      <c r="FOK130" s="52"/>
      <c r="FOL130" s="52"/>
      <c r="FOM130" s="52"/>
      <c r="FON130" s="52"/>
      <c r="FOO130" s="52"/>
      <c r="FOP130" s="52"/>
      <c r="FOQ130" s="52"/>
      <c r="FOR130" s="52"/>
      <c r="FOS130" s="52"/>
      <c r="FOT130" s="52"/>
      <c r="FOU130" s="52"/>
      <c r="FOV130" s="52"/>
      <c r="FOW130" s="52"/>
      <c r="FOX130" s="52"/>
      <c r="FOY130" s="52"/>
      <c r="FOZ130" s="52"/>
      <c r="FPA130" s="52"/>
      <c r="FPB130" s="52"/>
      <c r="FPC130" s="52"/>
      <c r="FPD130" s="52"/>
      <c r="FPE130" s="52"/>
      <c r="FPF130" s="52"/>
      <c r="FPG130" s="52"/>
      <c r="FPH130" s="52"/>
      <c r="FPI130" s="52"/>
      <c r="FPJ130" s="52"/>
      <c r="FPK130" s="52"/>
      <c r="FPL130" s="52"/>
      <c r="FPM130" s="52"/>
      <c r="FPN130" s="52"/>
      <c r="FPO130" s="52"/>
      <c r="FPP130" s="52"/>
      <c r="FPQ130" s="52"/>
      <c r="FPR130" s="52"/>
      <c r="FPS130" s="52"/>
      <c r="FPT130" s="52"/>
      <c r="FPU130" s="52"/>
      <c r="FPV130" s="52"/>
      <c r="FPW130" s="52"/>
      <c r="FPX130" s="52"/>
      <c r="FPY130" s="52"/>
      <c r="FPZ130" s="52"/>
      <c r="FQA130" s="52"/>
      <c r="FQB130" s="52"/>
      <c r="FQC130" s="52"/>
      <c r="FQD130" s="52"/>
      <c r="FQE130" s="52"/>
      <c r="FQF130" s="52"/>
      <c r="FQG130" s="52"/>
      <c r="FQH130" s="52"/>
      <c r="FQI130" s="52"/>
      <c r="FQJ130" s="52"/>
      <c r="FQK130" s="52"/>
      <c r="FQL130" s="52"/>
      <c r="FQM130" s="52"/>
      <c r="FQN130" s="52"/>
      <c r="FQO130" s="52"/>
      <c r="FQP130" s="52"/>
      <c r="FQQ130" s="52"/>
      <c r="FQR130" s="52"/>
      <c r="FQS130" s="52"/>
      <c r="FQT130" s="52"/>
      <c r="FQU130" s="52"/>
      <c r="FQV130" s="52"/>
      <c r="FQW130" s="52"/>
      <c r="FQX130" s="52"/>
      <c r="FQY130" s="52"/>
      <c r="FQZ130" s="52"/>
      <c r="FRA130" s="52"/>
      <c r="FRB130" s="52"/>
      <c r="FRC130" s="52"/>
      <c r="FRD130" s="52"/>
      <c r="FRE130" s="52"/>
      <c r="FRF130" s="52"/>
      <c r="FRG130" s="52"/>
      <c r="FRH130" s="52"/>
      <c r="FRI130" s="52"/>
      <c r="FRJ130" s="52"/>
      <c r="FRK130" s="52"/>
      <c r="FRL130" s="52"/>
      <c r="FRM130" s="52"/>
      <c r="FRN130" s="52"/>
      <c r="FRO130" s="52"/>
      <c r="FRP130" s="52"/>
      <c r="FRQ130" s="52"/>
      <c r="FRR130" s="52"/>
      <c r="FRS130" s="52"/>
      <c r="FRT130" s="52"/>
      <c r="FRU130" s="52"/>
      <c r="FRV130" s="52"/>
      <c r="FRW130" s="52"/>
      <c r="FRX130" s="52"/>
      <c r="FRY130" s="52"/>
      <c r="FRZ130" s="52"/>
      <c r="FSA130" s="52"/>
      <c r="FSB130" s="52"/>
      <c r="FSC130" s="52"/>
      <c r="FSD130" s="52"/>
      <c r="FSE130" s="52"/>
      <c r="FSF130" s="52"/>
      <c r="FSG130" s="52"/>
      <c r="FSH130" s="52"/>
      <c r="FSI130" s="52"/>
      <c r="FSJ130" s="52"/>
      <c r="FSK130" s="52"/>
      <c r="FSL130" s="52"/>
      <c r="FSM130" s="52"/>
      <c r="FSN130" s="52"/>
      <c r="FSO130" s="52"/>
      <c r="FSP130" s="52"/>
      <c r="FSQ130" s="52"/>
      <c r="FSR130" s="52"/>
      <c r="FSS130" s="52"/>
      <c r="FST130" s="52"/>
      <c r="FSU130" s="52"/>
      <c r="FSV130" s="52"/>
      <c r="FSW130" s="52"/>
      <c r="FSX130" s="52"/>
      <c r="FSY130" s="52"/>
      <c r="FSZ130" s="52"/>
      <c r="FTA130" s="52"/>
      <c r="FTB130" s="52"/>
      <c r="FTC130" s="52"/>
      <c r="FTD130" s="52"/>
      <c r="FTE130" s="52"/>
      <c r="FTF130" s="52"/>
      <c r="FTG130" s="52"/>
      <c r="FTH130" s="52"/>
      <c r="FTI130" s="52"/>
      <c r="FTJ130" s="52"/>
      <c r="FTK130" s="52"/>
      <c r="FTL130" s="52"/>
      <c r="FTM130" s="52"/>
      <c r="FTN130" s="52"/>
      <c r="FTO130" s="52"/>
      <c r="FTP130" s="52"/>
      <c r="FTQ130" s="52"/>
      <c r="FTR130" s="52"/>
      <c r="FTS130" s="52"/>
      <c r="FTT130" s="52"/>
      <c r="FTU130" s="52"/>
      <c r="FTV130" s="52"/>
      <c r="FTW130" s="52"/>
      <c r="FTX130" s="52"/>
      <c r="FTY130" s="52"/>
      <c r="FTZ130" s="52"/>
      <c r="FUA130" s="52"/>
      <c r="FUB130" s="52"/>
      <c r="FUC130" s="52"/>
      <c r="FUD130" s="52"/>
      <c r="FUE130" s="52"/>
      <c r="FUF130" s="52"/>
      <c r="FUG130" s="52"/>
      <c r="FUH130" s="52"/>
      <c r="FUI130" s="52"/>
      <c r="FUJ130" s="52"/>
      <c r="FUK130" s="52"/>
      <c r="FUL130" s="52"/>
      <c r="FUM130" s="52"/>
      <c r="FUN130" s="52"/>
      <c r="FUO130" s="52"/>
      <c r="FUP130" s="52"/>
      <c r="FUQ130" s="52"/>
      <c r="FUR130" s="52"/>
      <c r="FUS130" s="52"/>
      <c r="FUT130" s="52"/>
      <c r="FUU130" s="52"/>
      <c r="FUV130" s="52"/>
      <c r="FUW130" s="52"/>
      <c r="FUX130" s="52"/>
      <c r="FUY130" s="52"/>
      <c r="FUZ130" s="52"/>
      <c r="FVA130" s="52"/>
      <c r="FVB130" s="52"/>
      <c r="FVC130" s="52"/>
      <c r="FVD130" s="52"/>
      <c r="FVE130" s="52"/>
      <c r="FVF130" s="52"/>
      <c r="FVG130" s="52"/>
      <c r="FVH130" s="52"/>
      <c r="FVI130" s="52"/>
      <c r="FVJ130" s="52"/>
      <c r="FVK130" s="52"/>
      <c r="FVL130" s="52"/>
      <c r="FVM130" s="52"/>
      <c r="FVN130" s="52"/>
      <c r="FVO130" s="52"/>
      <c r="FVP130" s="52"/>
      <c r="FVQ130" s="52"/>
      <c r="FVR130" s="52"/>
      <c r="FVS130" s="52"/>
      <c r="FVT130" s="52"/>
      <c r="FVU130" s="52"/>
      <c r="FVV130" s="52"/>
      <c r="FVW130" s="52"/>
      <c r="FVX130" s="52"/>
      <c r="FVY130" s="52"/>
      <c r="FVZ130" s="52"/>
      <c r="FWA130" s="52"/>
      <c r="FWB130" s="52"/>
      <c r="FWC130" s="52"/>
      <c r="FWD130" s="52"/>
      <c r="FWE130" s="52"/>
      <c r="FWF130" s="52"/>
      <c r="FWG130" s="52"/>
      <c r="FWH130" s="52"/>
      <c r="FWI130" s="52"/>
      <c r="FWJ130" s="52"/>
      <c r="FWK130" s="52"/>
      <c r="FWL130" s="52"/>
      <c r="FWM130" s="52"/>
      <c r="FWN130" s="52"/>
      <c r="FWO130" s="52"/>
      <c r="FWP130" s="52"/>
      <c r="FWQ130" s="52"/>
      <c r="FWR130" s="52"/>
      <c r="FWS130" s="52"/>
      <c r="FWT130" s="52"/>
      <c r="FWU130" s="52"/>
      <c r="FWV130" s="52"/>
      <c r="FWW130" s="52"/>
      <c r="FWX130" s="52"/>
      <c r="FWY130" s="52"/>
      <c r="FWZ130" s="52"/>
      <c r="FXA130" s="52"/>
      <c r="FXB130" s="52"/>
      <c r="FXC130" s="52"/>
      <c r="FXD130" s="52"/>
      <c r="FXE130" s="52"/>
      <c r="FXF130" s="52"/>
      <c r="FXG130" s="52"/>
      <c r="FXH130" s="52"/>
      <c r="FXI130" s="52"/>
      <c r="FXJ130" s="52"/>
      <c r="FXK130" s="52"/>
      <c r="FXL130" s="52"/>
      <c r="FXM130" s="52"/>
      <c r="FXN130" s="52"/>
      <c r="FXO130" s="52"/>
      <c r="FXP130" s="52"/>
      <c r="FXQ130" s="52"/>
      <c r="FXR130" s="52"/>
      <c r="FXS130" s="52"/>
      <c r="FXT130" s="52"/>
      <c r="FXU130" s="52"/>
      <c r="FXV130" s="52"/>
      <c r="FXW130" s="52"/>
      <c r="FXX130" s="52"/>
      <c r="FXY130" s="52"/>
      <c r="FXZ130" s="52"/>
      <c r="FYA130" s="52"/>
      <c r="FYB130" s="52"/>
      <c r="FYC130" s="52"/>
      <c r="FYD130" s="52"/>
      <c r="FYE130" s="52"/>
      <c r="FYF130" s="52"/>
      <c r="FYG130" s="52"/>
      <c r="FYH130" s="52"/>
      <c r="FYI130" s="52"/>
      <c r="FYJ130" s="52"/>
      <c r="FYK130" s="52"/>
      <c r="FYL130" s="52"/>
      <c r="FYM130" s="52"/>
      <c r="FYN130" s="52"/>
      <c r="FYO130" s="52"/>
      <c r="FYP130" s="52"/>
      <c r="FYQ130" s="52"/>
      <c r="FYR130" s="52"/>
      <c r="FYS130" s="52"/>
      <c r="FYT130" s="52"/>
      <c r="FYU130" s="52"/>
      <c r="FYV130" s="52"/>
      <c r="FYW130" s="52"/>
      <c r="FYX130" s="52"/>
      <c r="FYY130" s="52"/>
      <c r="FYZ130" s="52"/>
      <c r="FZA130" s="52"/>
      <c r="FZB130" s="52"/>
      <c r="FZC130" s="52"/>
      <c r="FZD130" s="52"/>
      <c r="FZE130" s="52"/>
      <c r="FZF130" s="52"/>
      <c r="FZG130" s="52"/>
      <c r="FZH130" s="52"/>
      <c r="FZI130" s="52"/>
      <c r="FZJ130" s="52"/>
      <c r="FZK130" s="52"/>
      <c r="FZL130" s="52"/>
      <c r="FZM130" s="52"/>
      <c r="FZN130" s="52"/>
      <c r="FZO130" s="52"/>
      <c r="FZP130" s="52"/>
      <c r="FZQ130" s="52"/>
      <c r="FZR130" s="52"/>
      <c r="FZS130" s="52"/>
      <c r="FZT130" s="52"/>
      <c r="FZU130" s="52"/>
      <c r="FZV130" s="52"/>
      <c r="FZW130" s="52"/>
      <c r="FZX130" s="52"/>
      <c r="FZY130" s="52"/>
      <c r="FZZ130" s="52"/>
      <c r="GAA130" s="52"/>
      <c r="GAB130" s="52"/>
      <c r="GAC130" s="52"/>
      <c r="GAD130" s="52"/>
      <c r="GAE130" s="52"/>
      <c r="GAF130" s="52"/>
      <c r="GAG130" s="52"/>
      <c r="GAH130" s="52"/>
      <c r="GAI130" s="52"/>
      <c r="GAJ130" s="52"/>
      <c r="GAK130" s="52"/>
      <c r="GAL130" s="52"/>
      <c r="GAM130" s="52"/>
      <c r="GAN130" s="52"/>
      <c r="GAO130" s="52"/>
      <c r="GAP130" s="52"/>
      <c r="GAQ130" s="52"/>
      <c r="GAR130" s="52"/>
      <c r="GAS130" s="52"/>
      <c r="GAT130" s="52"/>
      <c r="GAU130" s="52"/>
      <c r="GAV130" s="52"/>
      <c r="GAW130" s="52"/>
      <c r="GAX130" s="52"/>
      <c r="GAY130" s="52"/>
      <c r="GAZ130" s="52"/>
      <c r="GBA130" s="52"/>
      <c r="GBB130" s="52"/>
      <c r="GBC130" s="52"/>
      <c r="GBD130" s="52"/>
      <c r="GBE130" s="52"/>
      <c r="GBF130" s="52"/>
      <c r="GBG130" s="52"/>
      <c r="GBH130" s="52"/>
      <c r="GBI130" s="52"/>
      <c r="GBJ130" s="52"/>
      <c r="GBK130" s="52"/>
      <c r="GBL130" s="52"/>
      <c r="GBM130" s="52"/>
      <c r="GBN130" s="52"/>
      <c r="GBO130" s="52"/>
      <c r="GBP130" s="52"/>
      <c r="GBQ130" s="52"/>
      <c r="GBR130" s="52"/>
      <c r="GBS130" s="52"/>
      <c r="GBT130" s="52"/>
      <c r="GBU130" s="52"/>
      <c r="GBV130" s="52"/>
      <c r="GBW130" s="52"/>
      <c r="GBX130" s="52"/>
      <c r="GBY130" s="52"/>
      <c r="GBZ130" s="52"/>
      <c r="GCA130" s="52"/>
      <c r="GCB130" s="52"/>
      <c r="GCC130" s="52"/>
      <c r="GCD130" s="52"/>
      <c r="GCE130" s="52"/>
      <c r="GCF130" s="52"/>
      <c r="GCG130" s="52"/>
      <c r="GCH130" s="52"/>
      <c r="GCI130" s="52"/>
      <c r="GCJ130" s="52"/>
      <c r="GCK130" s="52"/>
      <c r="GCL130" s="52"/>
      <c r="GCM130" s="52"/>
      <c r="GCN130" s="52"/>
      <c r="GCO130" s="52"/>
      <c r="GCP130" s="52"/>
      <c r="GCQ130" s="52"/>
      <c r="GCR130" s="52"/>
      <c r="GCS130" s="52"/>
      <c r="GCT130" s="52"/>
      <c r="GCU130" s="52"/>
      <c r="GCV130" s="52"/>
      <c r="GCW130" s="52"/>
      <c r="GCX130" s="52"/>
      <c r="GCY130" s="52"/>
      <c r="GCZ130" s="52"/>
      <c r="GDA130" s="52"/>
      <c r="GDB130" s="52"/>
      <c r="GDC130" s="52"/>
      <c r="GDD130" s="52"/>
      <c r="GDE130" s="52"/>
      <c r="GDF130" s="52"/>
      <c r="GDG130" s="52"/>
      <c r="GDH130" s="52"/>
      <c r="GDI130" s="52"/>
      <c r="GDJ130" s="52"/>
      <c r="GDK130" s="52"/>
      <c r="GDL130" s="52"/>
      <c r="GDM130" s="52"/>
      <c r="GDN130" s="52"/>
      <c r="GDO130" s="52"/>
      <c r="GDP130" s="52"/>
      <c r="GDQ130" s="52"/>
      <c r="GDR130" s="52"/>
      <c r="GDS130" s="52"/>
      <c r="GDT130" s="52"/>
      <c r="GDU130" s="52"/>
      <c r="GDV130" s="52"/>
      <c r="GDW130" s="52"/>
      <c r="GDX130" s="52"/>
      <c r="GDY130" s="52"/>
      <c r="GDZ130" s="52"/>
      <c r="GEA130" s="52"/>
      <c r="GEB130" s="52"/>
      <c r="GEC130" s="52"/>
      <c r="GED130" s="52"/>
      <c r="GEE130" s="52"/>
      <c r="GEF130" s="52"/>
      <c r="GEG130" s="52"/>
      <c r="GEH130" s="52"/>
      <c r="GEI130" s="52"/>
      <c r="GEJ130" s="52"/>
      <c r="GEK130" s="52"/>
      <c r="GEL130" s="52"/>
      <c r="GEM130" s="52"/>
      <c r="GEN130" s="52"/>
      <c r="GEO130" s="52"/>
      <c r="GEP130" s="52"/>
      <c r="GEQ130" s="52"/>
      <c r="GER130" s="52"/>
      <c r="GES130" s="52"/>
      <c r="GET130" s="52"/>
      <c r="GEU130" s="52"/>
      <c r="GEV130" s="52"/>
      <c r="GEW130" s="52"/>
      <c r="GEX130" s="52"/>
      <c r="GEY130" s="52"/>
      <c r="GEZ130" s="52"/>
      <c r="GFA130" s="52"/>
      <c r="GFB130" s="52"/>
      <c r="GFC130" s="52"/>
      <c r="GFD130" s="52"/>
      <c r="GFE130" s="52"/>
      <c r="GFF130" s="52"/>
      <c r="GFG130" s="52"/>
      <c r="GFH130" s="52"/>
      <c r="GFI130" s="52"/>
      <c r="GFJ130" s="52"/>
      <c r="GFK130" s="52"/>
      <c r="GFL130" s="52"/>
      <c r="GFM130" s="52"/>
      <c r="GFN130" s="52"/>
      <c r="GFO130" s="52"/>
      <c r="GFP130" s="52"/>
      <c r="GFQ130" s="52"/>
      <c r="GFR130" s="52"/>
      <c r="GFS130" s="52"/>
      <c r="GFT130" s="52"/>
      <c r="GFU130" s="52"/>
      <c r="GFV130" s="52"/>
      <c r="GFW130" s="52"/>
      <c r="GFX130" s="52"/>
      <c r="GFY130" s="52"/>
      <c r="GFZ130" s="52"/>
      <c r="GGA130" s="52"/>
      <c r="GGB130" s="52"/>
      <c r="GGC130" s="52"/>
      <c r="GGD130" s="52"/>
      <c r="GGE130" s="52"/>
      <c r="GGF130" s="52"/>
      <c r="GGG130" s="52"/>
      <c r="GGH130" s="52"/>
      <c r="GGI130" s="52"/>
      <c r="GGJ130" s="52"/>
      <c r="GGK130" s="52"/>
      <c r="GGL130" s="52"/>
      <c r="GGM130" s="52"/>
      <c r="GGN130" s="52"/>
      <c r="GGO130" s="52"/>
      <c r="GGP130" s="52"/>
      <c r="GGQ130" s="52"/>
      <c r="GGR130" s="52"/>
      <c r="GGS130" s="52"/>
      <c r="GGT130" s="52"/>
      <c r="GGU130" s="52"/>
      <c r="GGV130" s="52"/>
      <c r="GGW130" s="52"/>
      <c r="GGX130" s="52"/>
      <c r="GGY130" s="52"/>
      <c r="GGZ130" s="52"/>
      <c r="GHA130" s="52"/>
      <c r="GHB130" s="52"/>
      <c r="GHC130" s="52"/>
      <c r="GHD130" s="52"/>
      <c r="GHE130" s="52"/>
      <c r="GHF130" s="52"/>
      <c r="GHG130" s="52"/>
      <c r="GHH130" s="52"/>
      <c r="GHI130" s="52"/>
      <c r="GHJ130" s="52"/>
      <c r="GHK130" s="52"/>
      <c r="GHL130" s="52"/>
      <c r="GHM130" s="52"/>
      <c r="GHN130" s="52"/>
      <c r="GHO130" s="52"/>
      <c r="GHP130" s="52"/>
      <c r="GHQ130" s="52"/>
      <c r="GHR130" s="52"/>
      <c r="GHS130" s="52"/>
      <c r="GHT130" s="52"/>
      <c r="GHU130" s="52"/>
      <c r="GHV130" s="52"/>
      <c r="GHW130" s="52"/>
      <c r="GHX130" s="52"/>
      <c r="GHY130" s="52"/>
      <c r="GHZ130" s="52"/>
      <c r="GIA130" s="52"/>
      <c r="GIB130" s="52"/>
      <c r="GIC130" s="52"/>
      <c r="GID130" s="52"/>
      <c r="GIE130" s="52"/>
      <c r="GIF130" s="52"/>
      <c r="GIG130" s="52"/>
      <c r="GIH130" s="52"/>
      <c r="GII130" s="52"/>
      <c r="GIJ130" s="52"/>
      <c r="GIK130" s="52"/>
      <c r="GIL130" s="52"/>
      <c r="GIM130" s="52"/>
      <c r="GIN130" s="52"/>
      <c r="GIO130" s="52"/>
      <c r="GIP130" s="52"/>
      <c r="GIQ130" s="52"/>
      <c r="GIR130" s="52"/>
      <c r="GIS130" s="52"/>
      <c r="GIT130" s="52"/>
      <c r="GIU130" s="52"/>
      <c r="GIV130" s="52"/>
      <c r="GIW130" s="52"/>
      <c r="GIX130" s="52"/>
      <c r="GIY130" s="52"/>
      <c r="GIZ130" s="52"/>
      <c r="GJA130" s="52"/>
      <c r="GJB130" s="52"/>
      <c r="GJC130" s="52"/>
      <c r="GJD130" s="52"/>
      <c r="GJE130" s="52"/>
      <c r="GJF130" s="52"/>
      <c r="GJG130" s="52"/>
      <c r="GJH130" s="52"/>
      <c r="GJI130" s="52"/>
      <c r="GJJ130" s="52"/>
      <c r="GJK130" s="52"/>
      <c r="GJL130" s="52"/>
      <c r="GJM130" s="52"/>
      <c r="GJN130" s="52"/>
      <c r="GJO130" s="52"/>
      <c r="GJP130" s="52"/>
      <c r="GJQ130" s="52"/>
      <c r="GJR130" s="52"/>
      <c r="GJS130" s="52"/>
      <c r="GJT130" s="52"/>
      <c r="GJU130" s="52"/>
      <c r="GJV130" s="52"/>
      <c r="GJW130" s="52"/>
      <c r="GJX130" s="52"/>
      <c r="GJY130" s="52"/>
      <c r="GJZ130" s="52"/>
      <c r="GKA130" s="52"/>
      <c r="GKB130" s="52"/>
      <c r="GKC130" s="52"/>
      <c r="GKD130" s="52"/>
      <c r="GKE130" s="52"/>
      <c r="GKF130" s="52"/>
      <c r="GKG130" s="52"/>
      <c r="GKH130" s="52"/>
      <c r="GKI130" s="52"/>
      <c r="GKJ130" s="52"/>
      <c r="GKK130" s="52"/>
      <c r="GKL130" s="52"/>
      <c r="GKM130" s="52"/>
      <c r="GKN130" s="52"/>
      <c r="GKO130" s="52"/>
      <c r="GKP130" s="52"/>
      <c r="GKQ130" s="52"/>
      <c r="GKR130" s="52"/>
      <c r="GKS130" s="52"/>
      <c r="GKT130" s="52"/>
      <c r="GKU130" s="52"/>
      <c r="GKV130" s="52"/>
      <c r="GKW130" s="52"/>
      <c r="GKX130" s="52"/>
      <c r="GKY130" s="52"/>
      <c r="GKZ130" s="52"/>
      <c r="GLA130" s="52"/>
      <c r="GLB130" s="52"/>
      <c r="GLC130" s="52"/>
      <c r="GLD130" s="52"/>
      <c r="GLE130" s="52"/>
      <c r="GLF130" s="52"/>
      <c r="GLG130" s="52"/>
      <c r="GLH130" s="52"/>
      <c r="GLI130" s="52"/>
      <c r="GLJ130" s="52"/>
      <c r="GLK130" s="52"/>
      <c r="GLL130" s="52"/>
      <c r="GLM130" s="52"/>
      <c r="GLN130" s="52"/>
      <c r="GLO130" s="52"/>
      <c r="GLP130" s="52"/>
      <c r="GLQ130" s="52"/>
      <c r="GLR130" s="52"/>
      <c r="GLS130" s="52"/>
      <c r="GLT130" s="52"/>
      <c r="GLU130" s="52"/>
      <c r="GLV130" s="52"/>
      <c r="GLW130" s="52"/>
      <c r="GLX130" s="52"/>
      <c r="GLY130" s="52"/>
      <c r="GLZ130" s="52"/>
      <c r="GMA130" s="52"/>
      <c r="GMB130" s="52"/>
      <c r="GMC130" s="52"/>
      <c r="GMD130" s="52"/>
      <c r="GME130" s="52"/>
      <c r="GMF130" s="52"/>
      <c r="GMG130" s="52"/>
      <c r="GMH130" s="52"/>
      <c r="GMI130" s="52"/>
      <c r="GMJ130" s="52"/>
      <c r="GMK130" s="52"/>
      <c r="GML130" s="52"/>
      <c r="GMM130" s="52"/>
      <c r="GMN130" s="52"/>
      <c r="GMO130" s="52"/>
      <c r="GMP130" s="52"/>
      <c r="GMQ130" s="52"/>
      <c r="GMR130" s="52"/>
      <c r="GMS130" s="52"/>
      <c r="GMT130" s="52"/>
      <c r="GMU130" s="52"/>
      <c r="GMV130" s="52"/>
      <c r="GMW130" s="52"/>
      <c r="GMX130" s="52"/>
      <c r="GMY130" s="52"/>
      <c r="GMZ130" s="52"/>
      <c r="GNA130" s="52"/>
      <c r="GNB130" s="52"/>
      <c r="GNC130" s="52"/>
      <c r="GND130" s="52"/>
      <c r="GNE130" s="52"/>
      <c r="GNF130" s="52"/>
      <c r="GNG130" s="52"/>
      <c r="GNH130" s="52"/>
      <c r="GNI130" s="52"/>
      <c r="GNJ130" s="52"/>
      <c r="GNK130" s="52"/>
      <c r="GNL130" s="52"/>
      <c r="GNM130" s="52"/>
      <c r="GNN130" s="52"/>
      <c r="GNO130" s="52"/>
      <c r="GNP130" s="52"/>
      <c r="GNQ130" s="52"/>
      <c r="GNR130" s="52"/>
      <c r="GNS130" s="52"/>
      <c r="GNT130" s="52"/>
      <c r="GNU130" s="52"/>
      <c r="GNV130" s="52"/>
      <c r="GNW130" s="52"/>
      <c r="GNX130" s="52"/>
      <c r="GNY130" s="52"/>
      <c r="GNZ130" s="52"/>
      <c r="GOA130" s="52"/>
      <c r="GOB130" s="52"/>
      <c r="GOC130" s="52"/>
      <c r="GOD130" s="52"/>
      <c r="GOE130" s="52"/>
      <c r="GOF130" s="52"/>
      <c r="GOG130" s="52"/>
      <c r="GOH130" s="52"/>
      <c r="GOI130" s="52"/>
      <c r="GOJ130" s="52"/>
      <c r="GOK130" s="52"/>
      <c r="GOL130" s="52"/>
      <c r="GOM130" s="52"/>
      <c r="GON130" s="52"/>
      <c r="GOO130" s="52"/>
      <c r="GOP130" s="52"/>
      <c r="GOQ130" s="52"/>
      <c r="GOR130" s="52"/>
      <c r="GOS130" s="52"/>
      <c r="GOT130" s="52"/>
      <c r="GOU130" s="52"/>
      <c r="GOV130" s="52"/>
      <c r="GOW130" s="52"/>
      <c r="GOX130" s="52"/>
      <c r="GOY130" s="52"/>
      <c r="GOZ130" s="52"/>
      <c r="GPA130" s="52"/>
      <c r="GPB130" s="52"/>
      <c r="GPC130" s="52"/>
      <c r="GPD130" s="52"/>
      <c r="GPE130" s="52"/>
      <c r="GPF130" s="52"/>
      <c r="GPG130" s="52"/>
      <c r="GPH130" s="52"/>
      <c r="GPI130" s="52"/>
      <c r="GPJ130" s="52"/>
      <c r="GPK130" s="52"/>
      <c r="GPL130" s="52"/>
      <c r="GPM130" s="52"/>
      <c r="GPN130" s="52"/>
      <c r="GPO130" s="52"/>
      <c r="GPP130" s="52"/>
      <c r="GPQ130" s="52"/>
      <c r="GPR130" s="52"/>
      <c r="GPS130" s="52"/>
      <c r="GPT130" s="52"/>
      <c r="GPU130" s="52"/>
      <c r="GPV130" s="52"/>
      <c r="GPW130" s="52"/>
      <c r="GPX130" s="52"/>
      <c r="GPY130" s="52"/>
      <c r="GPZ130" s="52"/>
      <c r="GQA130" s="52"/>
      <c r="GQB130" s="52"/>
      <c r="GQC130" s="52"/>
      <c r="GQD130" s="52"/>
      <c r="GQE130" s="52"/>
      <c r="GQF130" s="52"/>
      <c r="GQG130" s="52"/>
      <c r="GQH130" s="52"/>
      <c r="GQI130" s="52"/>
      <c r="GQJ130" s="52"/>
      <c r="GQK130" s="52"/>
      <c r="GQL130" s="52"/>
      <c r="GQM130" s="52"/>
      <c r="GQN130" s="52"/>
      <c r="GQO130" s="52"/>
      <c r="GQP130" s="52"/>
      <c r="GQQ130" s="52"/>
      <c r="GQR130" s="52"/>
      <c r="GQS130" s="52"/>
      <c r="GQT130" s="52"/>
      <c r="GQU130" s="52"/>
      <c r="GQV130" s="52"/>
      <c r="GQW130" s="52"/>
      <c r="GQX130" s="52"/>
      <c r="GQY130" s="52"/>
      <c r="GQZ130" s="52"/>
      <c r="GRA130" s="52"/>
      <c r="GRB130" s="52"/>
      <c r="GRC130" s="52"/>
      <c r="GRD130" s="52"/>
      <c r="GRE130" s="52"/>
      <c r="GRF130" s="52"/>
      <c r="GRG130" s="52"/>
      <c r="GRH130" s="52"/>
      <c r="GRI130" s="52"/>
      <c r="GRJ130" s="52"/>
      <c r="GRK130" s="52"/>
      <c r="GRL130" s="52"/>
      <c r="GRM130" s="52"/>
      <c r="GRN130" s="52"/>
      <c r="GRO130" s="52"/>
      <c r="GRP130" s="52"/>
      <c r="GRQ130" s="52"/>
      <c r="GRR130" s="52"/>
      <c r="GRS130" s="52"/>
      <c r="GRT130" s="52"/>
      <c r="GRU130" s="52"/>
      <c r="GRV130" s="52"/>
      <c r="GRW130" s="52"/>
      <c r="GRX130" s="52"/>
      <c r="GRY130" s="52"/>
      <c r="GRZ130" s="52"/>
      <c r="GSA130" s="52"/>
      <c r="GSB130" s="52"/>
      <c r="GSC130" s="52"/>
      <c r="GSD130" s="52"/>
      <c r="GSE130" s="52"/>
      <c r="GSF130" s="52"/>
      <c r="GSG130" s="52"/>
      <c r="GSH130" s="52"/>
      <c r="GSI130" s="52"/>
      <c r="GSJ130" s="52"/>
      <c r="GSK130" s="52"/>
      <c r="GSL130" s="52"/>
      <c r="GSM130" s="52"/>
      <c r="GSN130" s="52"/>
      <c r="GSO130" s="52"/>
      <c r="GSP130" s="52"/>
      <c r="GSQ130" s="52"/>
      <c r="GSR130" s="52"/>
      <c r="GSS130" s="52"/>
      <c r="GST130" s="52"/>
      <c r="GSU130" s="52"/>
      <c r="GSV130" s="52"/>
      <c r="GSW130" s="52"/>
      <c r="GSX130" s="52"/>
      <c r="GSY130" s="52"/>
      <c r="GSZ130" s="52"/>
      <c r="GTA130" s="52"/>
      <c r="GTB130" s="52"/>
      <c r="GTC130" s="52"/>
      <c r="GTD130" s="52"/>
      <c r="GTE130" s="52"/>
      <c r="GTF130" s="52"/>
      <c r="GTG130" s="52"/>
      <c r="GTH130" s="52"/>
      <c r="GTI130" s="52"/>
      <c r="GTJ130" s="52"/>
      <c r="GTK130" s="52"/>
      <c r="GTL130" s="52"/>
      <c r="GTM130" s="52"/>
      <c r="GTN130" s="52"/>
      <c r="GTO130" s="52"/>
      <c r="GTP130" s="52"/>
      <c r="GTQ130" s="52"/>
      <c r="GTR130" s="52"/>
      <c r="GTS130" s="52"/>
      <c r="GTT130" s="52"/>
      <c r="GTU130" s="52"/>
      <c r="GTV130" s="52"/>
      <c r="GTW130" s="52"/>
      <c r="GTX130" s="52"/>
      <c r="GTY130" s="52"/>
      <c r="GTZ130" s="52"/>
      <c r="GUA130" s="52"/>
      <c r="GUB130" s="52"/>
      <c r="GUC130" s="52"/>
      <c r="GUD130" s="52"/>
      <c r="GUE130" s="52"/>
      <c r="GUF130" s="52"/>
      <c r="GUG130" s="52"/>
      <c r="GUH130" s="52"/>
      <c r="GUI130" s="52"/>
      <c r="GUJ130" s="52"/>
      <c r="GUK130" s="52"/>
      <c r="GUL130" s="52"/>
      <c r="GUM130" s="52"/>
      <c r="GUN130" s="52"/>
      <c r="GUO130" s="52"/>
      <c r="GUP130" s="52"/>
      <c r="GUQ130" s="52"/>
      <c r="GUR130" s="52"/>
      <c r="GUS130" s="52"/>
      <c r="GUT130" s="52"/>
      <c r="GUU130" s="52"/>
      <c r="GUV130" s="52"/>
      <c r="GUW130" s="52"/>
      <c r="GUX130" s="52"/>
      <c r="GUY130" s="52"/>
      <c r="GUZ130" s="52"/>
      <c r="GVA130" s="52"/>
      <c r="GVB130" s="52"/>
      <c r="GVC130" s="52"/>
      <c r="GVD130" s="52"/>
      <c r="GVE130" s="52"/>
      <c r="GVF130" s="52"/>
      <c r="GVG130" s="52"/>
      <c r="GVH130" s="52"/>
      <c r="GVI130" s="52"/>
      <c r="GVJ130" s="52"/>
      <c r="GVK130" s="52"/>
      <c r="GVL130" s="52"/>
      <c r="GVM130" s="52"/>
      <c r="GVN130" s="52"/>
      <c r="GVO130" s="52"/>
      <c r="GVP130" s="52"/>
      <c r="GVQ130" s="52"/>
      <c r="GVR130" s="52"/>
      <c r="GVS130" s="52"/>
      <c r="GVT130" s="52"/>
      <c r="GVU130" s="52"/>
      <c r="GVV130" s="52"/>
      <c r="GVW130" s="52"/>
      <c r="GVX130" s="52"/>
      <c r="GVY130" s="52"/>
      <c r="GVZ130" s="52"/>
      <c r="GWA130" s="52"/>
      <c r="GWB130" s="52"/>
      <c r="GWC130" s="52"/>
      <c r="GWD130" s="52"/>
      <c r="GWE130" s="52"/>
      <c r="GWF130" s="52"/>
      <c r="GWG130" s="52"/>
      <c r="GWH130" s="52"/>
      <c r="GWI130" s="52"/>
      <c r="GWJ130" s="52"/>
      <c r="GWK130" s="52"/>
      <c r="GWL130" s="52"/>
      <c r="GWM130" s="52"/>
      <c r="GWN130" s="52"/>
      <c r="GWO130" s="52"/>
      <c r="GWP130" s="52"/>
      <c r="GWQ130" s="52"/>
      <c r="GWR130" s="52"/>
      <c r="GWS130" s="52"/>
      <c r="GWT130" s="52"/>
      <c r="GWU130" s="52"/>
      <c r="GWV130" s="52"/>
      <c r="GWW130" s="52"/>
      <c r="GWX130" s="52"/>
      <c r="GWY130" s="52"/>
      <c r="GWZ130" s="52"/>
      <c r="GXA130" s="52"/>
      <c r="GXB130" s="52"/>
      <c r="GXC130" s="52"/>
      <c r="GXD130" s="52"/>
      <c r="GXE130" s="52"/>
      <c r="GXF130" s="52"/>
      <c r="GXG130" s="52"/>
      <c r="GXH130" s="52"/>
      <c r="GXI130" s="52"/>
      <c r="GXJ130" s="52"/>
      <c r="GXK130" s="52"/>
      <c r="GXL130" s="52"/>
      <c r="GXM130" s="52"/>
      <c r="GXN130" s="52"/>
      <c r="GXO130" s="52"/>
      <c r="GXP130" s="52"/>
      <c r="GXQ130" s="52"/>
      <c r="GXR130" s="52"/>
      <c r="GXS130" s="52"/>
      <c r="GXT130" s="52"/>
      <c r="GXU130" s="52"/>
      <c r="GXV130" s="52"/>
      <c r="GXW130" s="52"/>
      <c r="GXX130" s="52"/>
      <c r="GXY130" s="52"/>
      <c r="GXZ130" s="52"/>
      <c r="GYA130" s="52"/>
      <c r="GYB130" s="52"/>
      <c r="GYC130" s="52"/>
      <c r="GYD130" s="52"/>
      <c r="GYE130" s="52"/>
      <c r="GYF130" s="52"/>
      <c r="GYG130" s="52"/>
      <c r="GYH130" s="52"/>
      <c r="GYI130" s="52"/>
      <c r="GYJ130" s="52"/>
      <c r="GYK130" s="52"/>
      <c r="GYL130" s="52"/>
      <c r="GYM130" s="52"/>
      <c r="GYN130" s="52"/>
      <c r="GYO130" s="52"/>
      <c r="GYP130" s="52"/>
      <c r="GYQ130" s="52"/>
      <c r="GYR130" s="52"/>
      <c r="GYS130" s="52"/>
      <c r="GYT130" s="52"/>
      <c r="GYU130" s="52"/>
      <c r="GYV130" s="52"/>
      <c r="GYW130" s="52"/>
      <c r="GYX130" s="52"/>
      <c r="GYY130" s="52"/>
      <c r="GYZ130" s="52"/>
      <c r="GZA130" s="52"/>
      <c r="GZB130" s="52"/>
      <c r="GZC130" s="52"/>
      <c r="GZD130" s="52"/>
      <c r="GZE130" s="52"/>
      <c r="GZF130" s="52"/>
      <c r="GZG130" s="52"/>
      <c r="GZH130" s="52"/>
      <c r="GZI130" s="52"/>
      <c r="GZJ130" s="52"/>
      <c r="GZK130" s="52"/>
      <c r="GZL130" s="52"/>
      <c r="GZM130" s="52"/>
      <c r="GZN130" s="52"/>
      <c r="GZO130" s="52"/>
      <c r="GZP130" s="52"/>
      <c r="GZQ130" s="52"/>
      <c r="GZR130" s="52"/>
      <c r="GZS130" s="52"/>
      <c r="GZT130" s="52"/>
      <c r="GZU130" s="52"/>
      <c r="GZV130" s="52"/>
      <c r="GZW130" s="52"/>
      <c r="GZX130" s="52"/>
      <c r="GZY130" s="52"/>
      <c r="GZZ130" s="52"/>
      <c r="HAA130" s="52"/>
      <c r="HAB130" s="52"/>
      <c r="HAC130" s="52"/>
      <c r="HAD130" s="52"/>
      <c r="HAE130" s="52"/>
      <c r="HAF130" s="52"/>
      <c r="HAG130" s="52"/>
      <c r="HAH130" s="52"/>
      <c r="HAI130" s="52"/>
      <c r="HAJ130" s="52"/>
      <c r="HAK130" s="52"/>
      <c r="HAL130" s="52"/>
      <c r="HAM130" s="52"/>
      <c r="HAN130" s="52"/>
      <c r="HAO130" s="52"/>
      <c r="HAP130" s="52"/>
      <c r="HAQ130" s="52"/>
      <c r="HAR130" s="52"/>
      <c r="HAS130" s="52"/>
      <c r="HAT130" s="52"/>
      <c r="HAU130" s="52"/>
      <c r="HAV130" s="52"/>
      <c r="HAW130" s="52"/>
      <c r="HAX130" s="52"/>
      <c r="HAY130" s="52"/>
      <c r="HAZ130" s="52"/>
      <c r="HBA130" s="52"/>
      <c r="HBB130" s="52"/>
      <c r="HBC130" s="52"/>
      <c r="HBD130" s="52"/>
      <c r="HBE130" s="52"/>
      <c r="HBF130" s="52"/>
      <c r="HBG130" s="52"/>
      <c r="HBH130" s="52"/>
      <c r="HBI130" s="52"/>
      <c r="HBJ130" s="52"/>
      <c r="HBK130" s="52"/>
      <c r="HBL130" s="52"/>
      <c r="HBM130" s="52"/>
      <c r="HBN130" s="52"/>
      <c r="HBO130" s="52"/>
      <c r="HBP130" s="52"/>
      <c r="HBQ130" s="52"/>
      <c r="HBR130" s="52"/>
      <c r="HBS130" s="52"/>
      <c r="HBT130" s="52"/>
      <c r="HBU130" s="52"/>
      <c r="HBV130" s="52"/>
      <c r="HBW130" s="52"/>
      <c r="HBX130" s="52"/>
      <c r="HBY130" s="52"/>
      <c r="HBZ130" s="52"/>
      <c r="HCA130" s="52"/>
      <c r="HCB130" s="52"/>
      <c r="HCC130" s="52"/>
      <c r="HCD130" s="52"/>
      <c r="HCE130" s="52"/>
      <c r="HCF130" s="52"/>
      <c r="HCG130" s="52"/>
      <c r="HCH130" s="52"/>
      <c r="HCI130" s="52"/>
      <c r="HCJ130" s="52"/>
      <c r="HCK130" s="52"/>
      <c r="HCL130" s="52"/>
      <c r="HCM130" s="52"/>
      <c r="HCN130" s="52"/>
      <c r="HCO130" s="52"/>
      <c r="HCP130" s="52"/>
      <c r="HCQ130" s="52"/>
      <c r="HCR130" s="52"/>
      <c r="HCS130" s="52"/>
      <c r="HCT130" s="52"/>
      <c r="HCU130" s="52"/>
      <c r="HCV130" s="52"/>
      <c r="HCW130" s="52"/>
      <c r="HCX130" s="52"/>
      <c r="HCY130" s="52"/>
      <c r="HCZ130" s="52"/>
      <c r="HDA130" s="52"/>
      <c r="HDB130" s="52"/>
      <c r="HDC130" s="52"/>
      <c r="HDD130" s="52"/>
      <c r="HDE130" s="52"/>
      <c r="HDF130" s="52"/>
      <c r="HDG130" s="52"/>
      <c r="HDH130" s="52"/>
      <c r="HDI130" s="52"/>
      <c r="HDJ130" s="52"/>
      <c r="HDK130" s="52"/>
      <c r="HDL130" s="52"/>
      <c r="HDM130" s="52"/>
      <c r="HDN130" s="52"/>
      <c r="HDO130" s="52"/>
      <c r="HDP130" s="52"/>
      <c r="HDQ130" s="52"/>
      <c r="HDR130" s="52"/>
      <c r="HDS130" s="52"/>
      <c r="HDT130" s="52"/>
      <c r="HDU130" s="52"/>
      <c r="HDV130" s="52"/>
      <c r="HDW130" s="52"/>
      <c r="HDX130" s="52"/>
      <c r="HDY130" s="52"/>
      <c r="HDZ130" s="52"/>
      <c r="HEA130" s="52"/>
      <c r="HEB130" s="52"/>
      <c r="HEC130" s="52"/>
      <c r="HED130" s="52"/>
      <c r="HEE130" s="52"/>
      <c r="HEF130" s="52"/>
      <c r="HEG130" s="52"/>
      <c r="HEH130" s="52"/>
      <c r="HEI130" s="52"/>
      <c r="HEJ130" s="52"/>
      <c r="HEK130" s="52"/>
      <c r="HEL130" s="52"/>
      <c r="HEM130" s="52"/>
      <c r="HEN130" s="52"/>
      <c r="HEO130" s="52"/>
      <c r="HEP130" s="52"/>
      <c r="HEQ130" s="52"/>
      <c r="HER130" s="52"/>
      <c r="HES130" s="52"/>
      <c r="HET130" s="52"/>
      <c r="HEU130" s="52"/>
      <c r="HEV130" s="52"/>
      <c r="HEW130" s="52"/>
      <c r="HEX130" s="52"/>
      <c r="HEY130" s="52"/>
      <c r="HEZ130" s="52"/>
      <c r="HFA130" s="52"/>
      <c r="HFB130" s="52"/>
      <c r="HFC130" s="52"/>
      <c r="HFD130" s="52"/>
      <c r="HFE130" s="52"/>
      <c r="HFF130" s="52"/>
      <c r="HFG130" s="52"/>
      <c r="HFH130" s="52"/>
      <c r="HFI130" s="52"/>
      <c r="HFJ130" s="52"/>
      <c r="HFK130" s="52"/>
      <c r="HFL130" s="52"/>
      <c r="HFM130" s="52"/>
      <c r="HFN130" s="52"/>
      <c r="HFO130" s="52"/>
      <c r="HFP130" s="52"/>
      <c r="HFQ130" s="52"/>
      <c r="HFR130" s="52"/>
      <c r="HFS130" s="52"/>
      <c r="HFT130" s="52"/>
      <c r="HFU130" s="52"/>
      <c r="HFV130" s="52"/>
      <c r="HFW130" s="52"/>
      <c r="HFX130" s="52"/>
      <c r="HFY130" s="52"/>
      <c r="HFZ130" s="52"/>
      <c r="HGA130" s="52"/>
      <c r="HGB130" s="52"/>
      <c r="HGC130" s="52"/>
      <c r="HGD130" s="52"/>
      <c r="HGE130" s="52"/>
      <c r="HGF130" s="52"/>
      <c r="HGG130" s="52"/>
      <c r="HGH130" s="52"/>
      <c r="HGI130" s="52"/>
      <c r="HGJ130" s="52"/>
      <c r="HGK130" s="52"/>
      <c r="HGL130" s="52"/>
      <c r="HGM130" s="52"/>
      <c r="HGN130" s="52"/>
      <c r="HGO130" s="52"/>
      <c r="HGP130" s="52"/>
      <c r="HGQ130" s="52"/>
      <c r="HGR130" s="52"/>
      <c r="HGS130" s="52"/>
      <c r="HGT130" s="52"/>
      <c r="HGU130" s="52"/>
      <c r="HGV130" s="52"/>
      <c r="HGW130" s="52"/>
      <c r="HGX130" s="52"/>
      <c r="HGY130" s="52"/>
      <c r="HGZ130" s="52"/>
      <c r="HHA130" s="52"/>
      <c r="HHB130" s="52"/>
      <c r="HHC130" s="52"/>
      <c r="HHD130" s="52"/>
      <c r="HHE130" s="52"/>
      <c r="HHF130" s="52"/>
      <c r="HHG130" s="52"/>
      <c r="HHH130" s="52"/>
      <c r="HHI130" s="52"/>
      <c r="HHJ130" s="52"/>
      <c r="HHK130" s="52"/>
      <c r="HHL130" s="52"/>
      <c r="HHM130" s="52"/>
      <c r="HHN130" s="52"/>
      <c r="HHO130" s="52"/>
      <c r="HHP130" s="52"/>
      <c r="HHQ130" s="52"/>
      <c r="HHR130" s="52"/>
      <c r="HHS130" s="52"/>
      <c r="HHT130" s="52"/>
      <c r="HHU130" s="52"/>
      <c r="HHV130" s="52"/>
      <c r="HHW130" s="52"/>
      <c r="HHX130" s="52"/>
      <c r="HHY130" s="52"/>
      <c r="HHZ130" s="52"/>
      <c r="HIA130" s="52"/>
      <c r="HIB130" s="52"/>
      <c r="HIC130" s="52"/>
      <c r="HID130" s="52"/>
      <c r="HIE130" s="52"/>
      <c r="HIF130" s="52"/>
      <c r="HIG130" s="52"/>
      <c r="HIH130" s="52"/>
      <c r="HII130" s="52"/>
      <c r="HIJ130" s="52"/>
      <c r="HIK130" s="52"/>
      <c r="HIL130" s="52"/>
      <c r="HIM130" s="52"/>
      <c r="HIN130" s="52"/>
      <c r="HIO130" s="52"/>
      <c r="HIP130" s="52"/>
      <c r="HIQ130" s="52"/>
      <c r="HIR130" s="52"/>
      <c r="HIS130" s="52"/>
      <c r="HIT130" s="52"/>
      <c r="HIU130" s="52"/>
      <c r="HIV130" s="52"/>
      <c r="HIW130" s="52"/>
      <c r="HIX130" s="52"/>
      <c r="HIY130" s="52"/>
      <c r="HIZ130" s="52"/>
      <c r="HJA130" s="52"/>
      <c r="HJB130" s="52"/>
      <c r="HJC130" s="52"/>
      <c r="HJD130" s="52"/>
      <c r="HJE130" s="52"/>
      <c r="HJF130" s="52"/>
      <c r="HJG130" s="52"/>
      <c r="HJH130" s="52"/>
      <c r="HJI130" s="52"/>
      <c r="HJJ130" s="52"/>
      <c r="HJK130" s="52"/>
      <c r="HJL130" s="52"/>
      <c r="HJM130" s="52"/>
      <c r="HJN130" s="52"/>
      <c r="HJO130" s="52"/>
      <c r="HJP130" s="52"/>
      <c r="HJQ130" s="52"/>
      <c r="HJR130" s="52"/>
      <c r="HJS130" s="52"/>
      <c r="HJT130" s="52"/>
      <c r="HJU130" s="52"/>
      <c r="HJV130" s="52"/>
      <c r="HJW130" s="52"/>
      <c r="HJX130" s="52"/>
      <c r="HJY130" s="52"/>
      <c r="HJZ130" s="52"/>
      <c r="HKA130" s="52"/>
      <c r="HKB130" s="52"/>
      <c r="HKC130" s="52"/>
      <c r="HKD130" s="52"/>
      <c r="HKE130" s="52"/>
      <c r="HKF130" s="52"/>
      <c r="HKG130" s="52"/>
      <c r="HKH130" s="52"/>
      <c r="HKI130" s="52"/>
      <c r="HKJ130" s="52"/>
      <c r="HKK130" s="52"/>
      <c r="HKL130" s="52"/>
      <c r="HKM130" s="52"/>
      <c r="HKN130" s="52"/>
      <c r="HKO130" s="52"/>
      <c r="HKP130" s="52"/>
      <c r="HKQ130" s="52"/>
      <c r="HKR130" s="52"/>
      <c r="HKS130" s="52"/>
      <c r="HKT130" s="52"/>
      <c r="HKU130" s="52"/>
      <c r="HKV130" s="52"/>
      <c r="HKW130" s="52"/>
      <c r="HKX130" s="52"/>
      <c r="HKY130" s="52"/>
      <c r="HKZ130" s="52"/>
      <c r="HLA130" s="52"/>
      <c r="HLB130" s="52"/>
      <c r="HLC130" s="52"/>
      <c r="HLD130" s="52"/>
      <c r="HLE130" s="52"/>
      <c r="HLF130" s="52"/>
      <c r="HLG130" s="52"/>
      <c r="HLH130" s="52"/>
      <c r="HLI130" s="52"/>
      <c r="HLJ130" s="52"/>
      <c r="HLK130" s="52"/>
      <c r="HLL130" s="52"/>
      <c r="HLM130" s="52"/>
      <c r="HLN130" s="52"/>
      <c r="HLO130" s="52"/>
      <c r="HLP130" s="52"/>
      <c r="HLQ130" s="52"/>
      <c r="HLR130" s="52"/>
      <c r="HLS130" s="52"/>
      <c r="HLT130" s="52"/>
      <c r="HLU130" s="52"/>
      <c r="HLV130" s="52"/>
      <c r="HLW130" s="52"/>
      <c r="HLX130" s="52"/>
      <c r="HLY130" s="52"/>
      <c r="HLZ130" s="52"/>
      <c r="HMA130" s="52"/>
      <c r="HMB130" s="52"/>
      <c r="HMC130" s="52"/>
      <c r="HMD130" s="52"/>
      <c r="HME130" s="52"/>
      <c r="HMF130" s="52"/>
      <c r="HMG130" s="52"/>
      <c r="HMH130" s="52"/>
      <c r="HMI130" s="52"/>
      <c r="HMJ130" s="52"/>
      <c r="HMK130" s="52"/>
      <c r="HML130" s="52"/>
      <c r="HMM130" s="52"/>
      <c r="HMN130" s="52"/>
      <c r="HMO130" s="52"/>
      <c r="HMP130" s="52"/>
      <c r="HMQ130" s="52"/>
      <c r="HMR130" s="52"/>
      <c r="HMS130" s="52"/>
      <c r="HMT130" s="52"/>
      <c r="HMU130" s="52"/>
      <c r="HMV130" s="52"/>
      <c r="HMW130" s="52"/>
      <c r="HMX130" s="52"/>
      <c r="HMY130" s="52"/>
      <c r="HMZ130" s="52"/>
      <c r="HNA130" s="52"/>
      <c r="HNB130" s="52"/>
      <c r="HNC130" s="52"/>
      <c r="HND130" s="52"/>
      <c r="HNE130" s="52"/>
      <c r="HNF130" s="52"/>
      <c r="HNG130" s="52"/>
      <c r="HNH130" s="52"/>
      <c r="HNI130" s="52"/>
      <c r="HNJ130" s="52"/>
      <c r="HNK130" s="52"/>
      <c r="HNL130" s="52"/>
      <c r="HNM130" s="52"/>
      <c r="HNN130" s="52"/>
      <c r="HNO130" s="52"/>
      <c r="HNP130" s="52"/>
      <c r="HNQ130" s="52"/>
      <c r="HNR130" s="52"/>
      <c r="HNS130" s="52"/>
      <c r="HNT130" s="52"/>
      <c r="HNU130" s="52"/>
      <c r="HNV130" s="52"/>
      <c r="HNW130" s="52"/>
      <c r="HNX130" s="52"/>
      <c r="HNY130" s="52"/>
      <c r="HNZ130" s="52"/>
      <c r="HOA130" s="52"/>
      <c r="HOB130" s="52"/>
      <c r="HOC130" s="52"/>
      <c r="HOD130" s="52"/>
      <c r="HOE130" s="52"/>
      <c r="HOF130" s="52"/>
      <c r="HOG130" s="52"/>
      <c r="HOH130" s="52"/>
      <c r="HOI130" s="52"/>
      <c r="HOJ130" s="52"/>
      <c r="HOK130" s="52"/>
      <c r="HOL130" s="52"/>
      <c r="HOM130" s="52"/>
      <c r="HON130" s="52"/>
      <c r="HOO130" s="52"/>
      <c r="HOP130" s="52"/>
      <c r="HOQ130" s="52"/>
      <c r="HOR130" s="52"/>
      <c r="HOS130" s="52"/>
      <c r="HOT130" s="52"/>
      <c r="HOU130" s="52"/>
      <c r="HOV130" s="52"/>
      <c r="HOW130" s="52"/>
      <c r="HOX130" s="52"/>
      <c r="HOY130" s="52"/>
      <c r="HOZ130" s="52"/>
      <c r="HPA130" s="52"/>
      <c r="HPB130" s="52"/>
      <c r="HPC130" s="52"/>
      <c r="HPD130" s="52"/>
      <c r="HPE130" s="52"/>
      <c r="HPF130" s="52"/>
      <c r="HPG130" s="52"/>
      <c r="HPH130" s="52"/>
      <c r="HPI130" s="52"/>
      <c r="HPJ130" s="52"/>
      <c r="HPK130" s="52"/>
      <c r="HPL130" s="52"/>
      <c r="HPM130" s="52"/>
      <c r="HPN130" s="52"/>
      <c r="HPO130" s="52"/>
      <c r="HPP130" s="52"/>
      <c r="HPQ130" s="52"/>
      <c r="HPR130" s="52"/>
      <c r="HPS130" s="52"/>
      <c r="HPT130" s="52"/>
      <c r="HPU130" s="52"/>
      <c r="HPV130" s="52"/>
      <c r="HPW130" s="52"/>
      <c r="HPX130" s="52"/>
      <c r="HPY130" s="52"/>
      <c r="HPZ130" s="52"/>
      <c r="HQA130" s="52"/>
      <c r="HQB130" s="52"/>
      <c r="HQC130" s="52"/>
      <c r="HQD130" s="52"/>
      <c r="HQE130" s="52"/>
      <c r="HQF130" s="52"/>
      <c r="HQG130" s="52"/>
      <c r="HQH130" s="52"/>
      <c r="HQI130" s="52"/>
      <c r="HQJ130" s="52"/>
      <c r="HQK130" s="52"/>
      <c r="HQL130" s="52"/>
      <c r="HQM130" s="52"/>
      <c r="HQN130" s="52"/>
      <c r="HQO130" s="52"/>
      <c r="HQP130" s="52"/>
      <c r="HQQ130" s="52"/>
      <c r="HQR130" s="52"/>
      <c r="HQS130" s="52"/>
      <c r="HQT130" s="52"/>
      <c r="HQU130" s="52"/>
      <c r="HQV130" s="52"/>
      <c r="HQW130" s="52"/>
      <c r="HQX130" s="52"/>
      <c r="HQY130" s="52"/>
      <c r="HQZ130" s="52"/>
      <c r="HRA130" s="52"/>
      <c r="HRB130" s="52"/>
      <c r="HRC130" s="52"/>
      <c r="HRD130" s="52"/>
      <c r="HRE130" s="52"/>
      <c r="HRF130" s="52"/>
      <c r="HRG130" s="52"/>
      <c r="HRH130" s="52"/>
      <c r="HRI130" s="52"/>
      <c r="HRJ130" s="52"/>
      <c r="HRK130" s="52"/>
      <c r="HRL130" s="52"/>
      <c r="HRM130" s="52"/>
      <c r="HRN130" s="52"/>
      <c r="HRO130" s="52"/>
      <c r="HRP130" s="52"/>
      <c r="HRQ130" s="52"/>
      <c r="HRR130" s="52"/>
      <c r="HRS130" s="52"/>
      <c r="HRT130" s="52"/>
      <c r="HRU130" s="52"/>
      <c r="HRV130" s="52"/>
      <c r="HRW130" s="52"/>
      <c r="HRX130" s="52"/>
      <c r="HRY130" s="52"/>
      <c r="HRZ130" s="52"/>
      <c r="HSA130" s="52"/>
      <c r="HSB130" s="52"/>
      <c r="HSC130" s="52"/>
      <c r="HSD130" s="52"/>
      <c r="HSE130" s="52"/>
      <c r="HSF130" s="52"/>
      <c r="HSG130" s="52"/>
      <c r="HSH130" s="52"/>
      <c r="HSI130" s="52"/>
      <c r="HSJ130" s="52"/>
      <c r="HSK130" s="52"/>
      <c r="HSL130" s="52"/>
      <c r="HSM130" s="52"/>
      <c r="HSN130" s="52"/>
      <c r="HSO130" s="52"/>
      <c r="HSP130" s="52"/>
      <c r="HSQ130" s="52"/>
      <c r="HSR130" s="52"/>
      <c r="HSS130" s="52"/>
      <c r="HST130" s="52"/>
      <c r="HSU130" s="52"/>
      <c r="HSV130" s="52"/>
      <c r="HSW130" s="52"/>
      <c r="HSX130" s="52"/>
      <c r="HSY130" s="52"/>
      <c r="HSZ130" s="52"/>
      <c r="HTA130" s="52"/>
      <c r="HTB130" s="52"/>
      <c r="HTC130" s="52"/>
      <c r="HTD130" s="52"/>
      <c r="HTE130" s="52"/>
      <c r="HTF130" s="52"/>
      <c r="HTG130" s="52"/>
      <c r="HTH130" s="52"/>
      <c r="HTI130" s="52"/>
      <c r="HTJ130" s="52"/>
      <c r="HTK130" s="52"/>
      <c r="HTL130" s="52"/>
      <c r="HTM130" s="52"/>
      <c r="HTN130" s="52"/>
      <c r="HTO130" s="52"/>
      <c r="HTP130" s="52"/>
      <c r="HTQ130" s="52"/>
      <c r="HTR130" s="52"/>
      <c r="HTS130" s="52"/>
      <c r="HTT130" s="52"/>
      <c r="HTU130" s="52"/>
      <c r="HTV130" s="52"/>
      <c r="HTW130" s="52"/>
      <c r="HTX130" s="52"/>
      <c r="HTY130" s="52"/>
      <c r="HTZ130" s="52"/>
      <c r="HUA130" s="52"/>
      <c r="HUB130" s="52"/>
      <c r="HUC130" s="52"/>
      <c r="HUD130" s="52"/>
      <c r="HUE130" s="52"/>
      <c r="HUF130" s="52"/>
      <c r="HUG130" s="52"/>
      <c r="HUH130" s="52"/>
      <c r="HUI130" s="52"/>
      <c r="HUJ130" s="52"/>
      <c r="HUK130" s="52"/>
      <c r="HUL130" s="52"/>
      <c r="HUM130" s="52"/>
      <c r="HUN130" s="52"/>
      <c r="HUO130" s="52"/>
      <c r="HUP130" s="52"/>
      <c r="HUQ130" s="52"/>
      <c r="HUR130" s="52"/>
      <c r="HUS130" s="52"/>
      <c r="HUT130" s="52"/>
      <c r="HUU130" s="52"/>
      <c r="HUV130" s="52"/>
      <c r="HUW130" s="52"/>
      <c r="HUX130" s="52"/>
      <c r="HUY130" s="52"/>
      <c r="HUZ130" s="52"/>
      <c r="HVA130" s="52"/>
      <c r="HVB130" s="52"/>
      <c r="HVC130" s="52"/>
      <c r="HVD130" s="52"/>
      <c r="HVE130" s="52"/>
      <c r="HVF130" s="52"/>
      <c r="HVG130" s="52"/>
      <c r="HVH130" s="52"/>
      <c r="HVI130" s="52"/>
      <c r="HVJ130" s="52"/>
      <c r="HVK130" s="52"/>
      <c r="HVL130" s="52"/>
      <c r="HVM130" s="52"/>
      <c r="HVN130" s="52"/>
      <c r="HVO130" s="52"/>
      <c r="HVP130" s="52"/>
      <c r="HVQ130" s="52"/>
      <c r="HVR130" s="52"/>
      <c r="HVS130" s="52"/>
      <c r="HVT130" s="52"/>
      <c r="HVU130" s="52"/>
      <c r="HVV130" s="52"/>
      <c r="HVW130" s="52"/>
      <c r="HVX130" s="52"/>
      <c r="HVY130" s="52"/>
      <c r="HVZ130" s="52"/>
      <c r="HWA130" s="52"/>
      <c r="HWB130" s="52"/>
      <c r="HWC130" s="52"/>
      <c r="HWD130" s="52"/>
      <c r="HWE130" s="52"/>
      <c r="HWF130" s="52"/>
      <c r="HWG130" s="52"/>
      <c r="HWH130" s="52"/>
      <c r="HWI130" s="52"/>
      <c r="HWJ130" s="52"/>
      <c r="HWK130" s="52"/>
      <c r="HWL130" s="52"/>
      <c r="HWM130" s="52"/>
      <c r="HWN130" s="52"/>
      <c r="HWO130" s="52"/>
      <c r="HWP130" s="52"/>
      <c r="HWQ130" s="52"/>
      <c r="HWR130" s="52"/>
      <c r="HWS130" s="52"/>
      <c r="HWT130" s="52"/>
      <c r="HWU130" s="52"/>
      <c r="HWV130" s="52"/>
      <c r="HWW130" s="52"/>
      <c r="HWX130" s="52"/>
      <c r="HWY130" s="52"/>
      <c r="HWZ130" s="52"/>
      <c r="HXA130" s="52"/>
      <c r="HXB130" s="52"/>
      <c r="HXC130" s="52"/>
      <c r="HXD130" s="52"/>
      <c r="HXE130" s="52"/>
      <c r="HXF130" s="52"/>
      <c r="HXG130" s="52"/>
      <c r="HXH130" s="52"/>
      <c r="HXI130" s="52"/>
      <c r="HXJ130" s="52"/>
      <c r="HXK130" s="52"/>
      <c r="HXL130" s="52"/>
      <c r="HXM130" s="52"/>
      <c r="HXN130" s="52"/>
      <c r="HXO130" s="52"/>
      <c r="HXP130" s="52"/>
      <c r="HXQ130" s="52"/>
      <c r="HXR130" s="52"/>
      <c r="HXS130" s="52"/>
      <c r="HXT130" s="52"/>
      <c r="HXU130" s="52"/>
      <c r="HXV130" s="52"/>
      <c r="HXW130" s="52"/>
      <c r="HXX130" s="52"/>
      <c r="HXY130" s="52"/>
      <c r="HXZ130" s="52"/>
      <c r="HYA130" s="52"/>
      <c r="HYB130" s="52"/>
      <c r="HYC130" s="52"/>
      <c r="HYD130" s="52"/>
      <c r="HYE130" s="52"/>
      <c r="HYF130" s="52"/>
      <c r="HYG130" s="52"/>
      <c r="HYH130" s="52"/>
      <c r="HYI130" s="52"/>
      <c r="HYJ130" s="52"/>
      <c r="HYK130" s="52"/>
      <c r="HYL130" s="52"/>
      <c r="HYM130" s="52"/>
      <c r="HYN130" s="52"/>
      <c r="HYO130" s="52"/>
      <c r="HYP130" s="52"/>
      <c r="HYQ130" s="52"/>
      <c r="HYR130" s="52"/>
      <c r="HYS130" s="52"/>
      <c r="HYT130" s="52"/>
      <c r="HYU130" s="52"/>
      <c r="HYV130" s="52"/>
      <c r="HYW130" s="52"/>
      <c r="HYX130" s="52"/>
      <c r="HYY130" s="52"/>
      <c r="HYZ130" s="52"/>
      <c r="HZA130" s="52"/>
      <c r="HZB130" s="52"/>
      <c r="HZC130" s="52"/>
      <c r="HZD130" s="52"/>
      <c r="HZE130" s="52"/>
      <c r="HZF130" s="52"/>
      <c r="HZG130" s="52"/>
      <c r="HZH130" s="52"/>
      <c r="HZI130" s="52"/>
      <c r="HZJ130" s="52"/>
      <c r="HZK130" s="52"/>
      <c r="HZL130" s="52"/>
      <c r="HZM130" s="52"/>
      <c r="HZN130" s="52"/>
      <c r="HZO130" s="52"/>
      <c r="HZP130" s="52"/>
      <c r="HZQ130" s="52"/>
      <c r="HZR130" s="52"/>
      <c r="HZS130" s="52"/>
      <c r="HZT130" s="52"/>
      <c r="HZU130" s="52"/>
      <c r="HZV130" s="52"/>
      <c r="HZW130" s="52"/>
      <c r="HZX130" s="52"/>
      <c r="HZY130" s="52"/>
      <c r="HZZ130" s="52"/>
      <c r="IAA130" s="52"/>
      <c r="IAB130" s="52"/>
      <c r="IAC130" s="52"/>
      <c r="IAD130" s="52"/>
      <c r="IAE130" s="52"/>
      <c r="IAF130" s="52"/>
      <c r="IAG130" s="52"/>
      <c r="IAH130" s="52"/>
      <c r="IAI130" s="52"/>
      <c r="IAJ130" s="52"/>
      <c r="IAK130" s="52"/>
      <c r="IAL130" s="52"/>
      <c r="IAM130" s="52"/>
      <c r="IAN130" s="52"/>
      <c r="IAO130" s="52"/>
      <c r="IAP130" s="52"/>
      <c r="IAQ130" s="52"/>
      <c r="IAR130" s="52"/>
      <c r="IAS130" s="52"/>
      <c r="IAT130" s="52"/>
      <c r="IAU130" s="52"/>
      <c r="IAV130" s="52"/>
      <c r="IAW130" s="52"/>
      <c r="IAX130" s="52"/>
      <c r="IAY130" s="52"/>
      <c r="IAZ130" s="52"/>
      <c r="IBA130" s="52"/>
      <c r="IBB130" s="52"/>
      <c r="IBC130" s="52"/>
      <c r="IBD130" s="52"/>
      <c r="IBE130" s="52"/>
      <c r="IBF130" s="52"/>
      <c r="IBG130" s="52"/>
      <c r="IBH130" s="52"/>
      <c r="IBI130" s="52"/>
      <c r="IBJ130" s="52"/>
      <c r="IBK130" s="52"/>
      <c r="IBL130" s="52"/>
      <c r="IBM130" s="52"/>
      <c r="IBN130" s="52"/>
      <c r="IBO130" s="52"/>
      <c r="IBP130" s="52"/>
      <c r="IBQ130" s="52"/>
      <c r="IBR130" s="52"/>
      <c r="IBS130" s="52"/>
      <c r="IBT130" s="52"/>
      <c r="IBU130" s="52"/>
      <c r="IBV130" s="52"/>
      <c r="IBW130" s="52"/>
      <c r="IBX130" s="52"/>
      <c r="IBY130" s="52"/>
      <c r="IBZ130" s="52"/>
      <c r="ICA130" s="52"/>
      <c r="ICB130" s="52"/>
      <c r="ICC130" s="52"/>
      <c r="ICD130" s="52"/>
      <c r="ICE130" s="52"/>
      <c r="ICF130" s="52"/>
      <c r="ICG130" s="52"/>
      <c r="ICH130" s="52"/>
      <c r="ICI130" s="52"/>
      <c r="ICJ130" s="52"/>
      <c r="ICK130" s="52"/>
      <c r="ICL130" s="52"/>
      <c r="ICM130" s="52"/>
      <c r="ICN130" s="52"/>
      <c r="ICO130" s="52"/>
      <c r="ICP130" s="52"/>
      <c r="ICQ130" s="52"/>
      <c r="ICR130" s="52"/>
      <c r="ICS130" s="52"/>
      <c r="ICT130" s="52"/>
      <c r="ICU130" s="52"/>
      <c r="ICV130" s="52"/>
      <c r="ICW130" s="52"/>
      <c r="ICX130" s="52"/>
      <c r="ICY130" s="52"/>
      <c r="ICZ130" s="52"/>
      <c r="IDA130" s="52"/>
      <c r="IDB130" s="52"/>
      <c r="IDC130" s="52"/>
      <c r="IDD130" s="52"/>
      <c r="IDE130" s="52"/>
      <c r="IDF130" s="52"/>
      <c r="IDG130" s="52"/>
      <c r="IDH130" s="52"/>
      <c r="IDI130" s="52"/>
      <c r="IDJ130" s="52"/>
      <c r="IDK130" s="52"/>
      <c r="IDL130" s="52"/>
      <c r="IDM130" s="52"/>
      <c r="IDN130" s="52"/>
      <c r="IDO130" s="52"/>
      <c r="IDP130" s="52"/>
      <c r="IDQ130" s="52"/>
      <c r="IDR130" s="52"/>
      <c r="IDS130" s="52"/>
      <c r="IDT130" s="52"/>
      <c r="IDU130" s="52"/>
      <c r="IDV130" s="52"/>
      <c r="IDW130" s="52"/>
      <c r="IDX130" s="52"/>
      <c r="IDY130" s="52"/>
      <c r="IDZ130" s="52"/>
      <c r="IEA130" s="52"/>
      <c r="IEB130" s="52"/>
      <c r="IEC130" s="52"/>
      <c r="IED130" s="52"/>
      <c r="IEE130" s="52"/>
      <c r="IEF130" s="52"/>
      <c r="IEG130" s="52"/>
      <c r="IEH130" s="52"/>
      <c r="IEI130" s="52"/>
      <c r="IEJ130" s="52"/>
      <c r="IEK130" s="52"/>
      <c r="IEL130" s="52"/>
      <c r="IEM130" s="52"/>
      <c r="IEN130" s="52"/>
      <c r="IEO130" s="52"/>
      <c r="IEP130" s="52"/>
      <c r="IEQ130" s="52"/>
      <c r="IER130" s="52"/>
      <c r="IES130" s="52"/>
      <c r="IET130" s="52"/>
      <c r="IEU130" s="52"/>
      <c r="IEV130" s="52"/>
      <c r="IEW130" s="52"/>
      <c r="IEX130" s="52"/>
      <c r="IEY130" s="52"/>
      <c r="IEZ130" s="52"/>
      <c r="IFA130" s="52"/>
      <c r="IFB130" s="52"/>
      <c r="IFC130" s="52"/>
      <c r="IFD130" s="52"/>
      <c r="IFE130" s="52"/>
      <c r="IFF130" s="52"/>
      <c r="IFG130" s="52"/>
      <c r="IFH130" s="52"/>
      <c r="IFI130" s="52"/>
      <c r="IFJ130" s="52"/>
      <c r="IFK130" s="52"/>
      <c r="IFL130" s="52"/>
      <c r="IFM130" s="52"/>
      <c r="IFN130" s="52"/>
      <c r="IFO130" s="52"/>
      <c r="IFP130" s="52"/>
      <c r="IFQ130" s="52"/>
      <c r="IFR130" s="52"/>
      <c r="IFS130" s="52"/>
      <c r="IFT130" s="52"/>
      <c r="IFU130" s="52"/>
      <c r="IFV130" s="52"/>
      <c r="IFW130" s="52"/>
      <c r="IFX130" s="52"/>
      <c r="IFY130" s="52"/>
      <c r="IFZ130" s="52"/>
      <c r="IGA130" s="52"/>
      <c r="IGB130" s="52"/>
      <c r="IGC130" s="52"/>
      <c r="IGD130" s="52"/>
      <c r="IGE130" s="52"/>
      <c r="IGF130" s="52"/>
      <c r="IGG130" s="52"/>
      <c r="IGH130" s="52"/>
      <c r="IGI130" s="52"/>
      <c r="IGJ130" s="52"/>
      <c r="IGK130" s="52"/>
      <c r="IGL130" s="52"/>
      <c r="IGM130" s="52"/>
      <c r="IGN130" s="52"/>
      <c r="IGO130" s="52"/>
      <c r="IGP130" s="52"/>
      <c r="IGQ130" s="52"/>
      <c r="IGR130" s="52"/>
      <c r="IGS130" s="52"/>
      <c r="IGT130" s="52"/>
      <c r="IGU130" s="52"/>
      <c r="IGV130" s="52"/>
      <c r="IGW130" s="52"/>
      <c r="IGX130" s="52"/>
      <c r="IGY130" s="52"/>
      <c r="IGZ130" s="52"/>
      <c r="IHA130" s="52"/>
      <c r="IHB130" s="52"/>
      <c r="IHC130" s="52"/>
      <c r="IHD130" s="52"/>
      <c r="IHE130" s="52"/>
      <c r="IHF130" s="52"/>
      <c r="IHG130" s="52"/>
      <c r="IHH130" s="52"/>
      <c r="IHI130" s="52"/>
      <c r="IHJ130" s="52"/>
      <c r="IHK130" s="52"/>
      <c r="IHL130" s="52"/>
      <c r="IHM130" s="52"/>
      <c r="IHN130" s="52"/>
      <c r="IHO130" s="52"/>
      <c r="IHP130" s="52"/>
      <c r="IHQ130" s="52"/>
      <c r="IHR130" s="52"/>
      <c r="IHS130" s="52"/>
      <c r="IHT130" s="52"/>
      <c r="IHU130" s="52"/>
      <c r="IHV130" s="52"/>
      <c r="IHW130" s="52"/>
      <c r="IHX130" s="52"/>
      <c r="IHY130" s="52"/>
      <c r="IHZ130" s="52"/>
      <c r="IIA130" s="52"/>
      <c r="IIB130" s="52"/>
      <c r="IIC130" s="52"/>
      <c r="IID130" s="52"/>
      <c r="IIE130" s="52"/>
      <c r="IIF130" s="52"/>
      <c r="IIG130" s="52"/>
      <c r="IIH130" s="52"/>
      <c r="III130" s="52"/>
      <c r="IIJ130" s="52"/>
      <c r="IIK130" s="52"/>
      <c r="IIL130" s="52"/>
      <c r="IIM130" s="52"/>
      <c r="IIN130" s="52"/>
      <c r="IIO130" s="52"/>
      <c r="IIP130" s="52"/>
      <c r="IIQ130" s="52"/>
      <c r="IIR130" s="52"/>
      <c r="IIS130" s="52"/>
      <c r="IIT130" s="52"/>
      <c r="IIU130" s="52"/>
      <c r="IIV130" s="52"/>
      <c r="IIW130" s="52"/>
      <c r="IIX130" s="52"/>
      <c r="IIY130" s="52"/>
      <c r="IIZ130" s="52"/>
      <c r="IJA130" s="52"/>
      <c r="IJB130" s="52"/>
      <c r="IJC130" s="52"/>
      <c r="IJD130" s="52"/>
      <c r="IJE130" s="52"/>
      <c r="IJF130" s="52"/>
      <c r="IJG130" s="52"/>
      <c r="IJH130" s="52"/>
      <c r="IJI130" s="52"/>
      <c r="IJJ130" s="52"/>
      <c r="IJK130" s="52"/>
      <c r="IJL130" s="52"/>
      <c r="IJM130" s="52"/>
      <c r="IJN130" s="52"/>
      <c r="IJO130" s="52"/>
      <c r="IJP130" s="52"/>
      <c r="IJQ130" s="52"/>
      <c r="IJR130" s="52"/>
      <c r="IJS130" s="52"/>
      <c r="IJT130" s="52"/>
      <c r="IJU130" s="52"/>
      <c r="IJV130" s="52"/>
      <c r="IJW130" s="52"/>
      <c r="IJX130" s="52"/>
      <c r="IJY130" s="52"/>
      <c r="IJZ130" s="52"/>
      <c r="IKA130" s="52"/>
      <c r="IKB130" s="52"/>
      <c r="IKC130" s="52"/>
      <c r="IKD130" s="52"/>
      <c r="IKE130" s="52"/>
      <c r="IKF130" s="52"/>
      <c r="IKG130" s="52"/>
      <c r="IKH130" s="52"/>
      <c r="IKI130" s="52"/>
      <c r="IKJ130" s="52"/>
      <c r="IKK130" s="52"/>
      <c r="IKL130" s="52"/>
      <c r="IKM130" s="52"/>
      <c r="IKN130" s="52"/>
      <c r="IKO130" s="52"/>
      <c r="IKP130" s="52"/>
      <c r="IKQ130" s="52"/>
      <c r="IKR130" s="52"/>
      <c r="IKS130" s="52"/>
      <c r="IKT130" s="52"/>
      <c r="IKU130" s="52"/>
      <c r="IKV130" s="52"/>
      <c r="IKW130" s="52"/>
      <c r="IKX130" s="52"/>
      <c r="IKY130" s="52"/>
      <c r="IKZ130" s="52"/>
      <c r="ILA130" s="52"/>
      <c r="ILB130" s="52"/>
      <c r="ILC130" s="52"/>
      <c r="ILD130" s="52"/>
      <c r="ILE130" s="52"/>
      <c r="ILF130" s="52"/>
      <c r="ILG130" s="52"/>
      <c r="ILH130" s="52"/>
      <c r="ILI130" s="52"/>
      <c r="ILJ130" s="52"/>
      <c r="ILK130" s="52"/>
      <c r="ILL130" s="52"/>
      <c r="ILM130" s="52"/>
      <c r="ILN130" s="52"/>
      <c r="ILO130" s="52"/>
      <c r="ILP130" s="52"/>
      <c r="ILQ130" s="52"/>
      <c r="ILR130" s="52"/>
      <c r="ILS130" s="52"/>
      <c r="ILT130" s="52"/>
      <c r="ILU130" s="52"/>
      <c r="ILV130" s="52"/>
      <c r="ILW130" s="52"/>
      <c r="ILX130" s="52"/>
      <c r="ILY130" s="52"/>
      <c r="ILZ130" s="52"/>
      <c r="IMA130" s="52"/>
      <c r="IMB130" s="52"/>
      <c r="IMC130" s="52"/>
      <c r="IMD130" s="52"/>
      <c r="IME130" s="52"/>
      <c r="IMF130" s="52"/>
      <c r="IMG130" s="52"/>
      <c r="IMH130" s="52"/>
      <c r="IMI130" s="52"/>
      <c r="IMJ130" s="52"/>
      <c r="IMK130" s="52"/>
      <c r="IML130" s="52"/>
      <c r="IMM130" s="52"/>
      <c r="IMN130" s="52"/>
      <c r="IMO130" s="52"/>
      <c r="IMP130" s="52"/>
      <c r="IMQ130" s="52"/>
      <c r="IMR130" s="52"/>
      <c r="IMS130" s="52"/>
      <c r="IMT130" s="52"/>
      <c r="IMU130" s="52"/>
      <c r="IMV130" s="52"/>
      <c r="IMW130" s="52"/>
      <c r="IMX130" s="52"/>
      <c r="IMY130" s="52"/>
      <c r="IMZ130" s="52"/>
      <c r="INA130" s="52"/>
      <c r="INB130" s="52"/>
      <c r="INC130" s="52"/>
      <c r="IND130" s="52"/>
      <c r="INE130" s="52"/>
      <c r="INF130" s="52"/>
      <c r="ING130" s="52"/>
      <c r="INH130" s="52"/>
      <c r="INI130" s="52"/>
      <c r="INJ130" s="52"/>
      <c r="INK130" s="52"/>
      <c r="INL130" s="52"/>
      <c r="INM130" s="52"/>
      <c r="INN130" s="52"/>
      <c r="INO130" s="52"/>
      <c r="INP130" s="52"/>
      <c r="INQ130" s="52"/>
      <c r="INR130" s="52"/>
      <c r="INS130" s="52"/>
      <c r="INT130" s="52"/>
      <c r="INU130" s="52"/>
      <c r="INV130" s="52"/>
      <c r="INW130" s="52"/>
      <c r="INX130" s="52"/>
      <c r="INY130" s="52"/>
      <c r="INZ130" s="52"/>
      <c r="IOA130" s="52"/>
      <c r="IOB130" s="52"/>
      <c r="IOC130" s="52"/>
      <c r="IOD130" s="52"/>
      <c r="IOE130" s="52"/>
      <c r="IOF130" s="52"/>
      <c r="IOG130" s="52"/>
      <c r="IOH130" s="52"/>
      <c r="IOI130" s="52"/>
      <c r="IOJ130" s="52"/>
      <c r="IOK130" s="52"/>
      <c r="IOL130" s="52"/>
      <c r="IOM130" s="52"/>
      <c r="ION130" s="52"/>
      <c r="IOO130" s="52"/>
      <c r="IOP130" s="52"/>
      <c r="IOQ130" s="52"/>
      <c r="IOR130" s="52"/>
      <c r="IOS130" s="52"/>
      <c r="IOT130" s="52"/>
      <c r="IOU130" s="52"/>
      <c r="IOV130" s="52"/>
      <c r="IOW130" s="52"/>
      <c r="IOX130" s="52"/>
      <c r="IOY130" s="52"/>
      <c r="IOZ130" s="52"/>
      <c r="IPA130" s="52"/>
      <c r="IPB130" s="52"/>
      <c r="IPC130" s="52"/>
      <c r="IPD130" s="52"/>
      <c r="IPE130" s="52"/>
      <c r="IPF130" s="52"/>
      <c r="IPG130" s="52"/>
      <c r="IPH130" s="52"/>
      <c r="IPI130" s="52"/>
      <c r="IPJ130" s="52"/>
      <c r="IPK130" s="52"/>
      <c r="IPL130" s="52"/>
      <c r="IPM130" s="52"/>
      <c r="IPN130" s="52"/>
      <c r="IPO130" s="52"/>
      <c r="IPP130" s="52"/>
      <c r="IPQ130" s="52"/>
      <c r="IPR130" s="52"/>
      <c r="IPS130" s="52"/>
      <c r="IPT130" s="52"/>
      <c r="IPU130" s="52"/>
      <c r="IPV130" s="52"/>
      <c r="IPW130" s="52"/>
      <c r="IPX130" s="52"/>
      <c r="IPY130" s="52"/>
      <c r="IPZ130" s="52"/>
      <c r="IQA130" s="52"/>
      <c r="IQB130" s="52"/>
      <c r="IQC130" s="52"/>
      <c r="IQD130" s="52"/>
      <c r="IQE130" s="52"/>
      <c r="IQF130" s="52"/>
      <c r="IQG130" s="52"/>
      <c r="IQH130" s="52"/>
      <c r="IQI130" s="52"/>
      <c r="IQJ130" s="52"/>
      <c r="IQK130" s="52"/>
      <c r="IQL130" s="52"/>
      <c r="IQM130" s="52"/>
      <c r="IQN130" s="52"/>
      <c r="IQO130" s="52"/>
      <c r="IQP130" s="52"/>
      <c r="IQQ130" s="52"/>
      <c r="IQR130" s="52"/>
      <c r="IQS130" s="52"/>
      <c r="IQT130" s="52"/>
      <c r="IQU130" s="52"/>
      <c r="IQV130" s="52"/>
      <c r="IQW130" s="52"/>
      <c r="IQX130" s="52"/>
      <c r="IQY130" s="52"/>
      <c r="IQZ130" s="52"/>
      <c r="IRA130" s="52"/>
      <c r="IRB130" s="52"/>
      <c r="IRC130" s="52"/>
      <c r="IRD130" s="52"/>
      <c r="IRE130" s="52"/>
      <c r="IRF130" s="52"/>
      <c r="IRG130" s="52"/>
      <c r="IRH130" s="52"/>
      <c r="IRI130" s="52"/>
      <c r="IRJ130" s="52"/>
      <c r="IRK130" s="52"/>
      <c r="IRL130" s="52"/>
      <c r="IRM130" s="52"/>
      <c r="IRN130" s="52"/>
      <c r="IRO130" s="52"/>
      <c r="IRP130" s="52"/>
      <c r="IRQ130" s="52"/>
      <c r="IRR130" s="52"/>
      <c r="IRS130" s="52"/>
      <c r="IRT130" s="52"/>
      <c r="IRU130" s="52"/>
      <c r="IRV130" s="52"/>
      <c r="IRW130" s="52"/>
      <c r="IRX130" s="52"/>
      <c r="IRY130" s="52"/>
      <c r="IRZ130" s="52"/>
      <c r="ISA130" s="52"/>
      <c r="ISB130" s="52"/>
      <c r="ISC130" s="52"/>
      <c r="ISD130" s="52"/>
      <c r="ISE130" s="52"/>
      <c r="ISF130" s="52"/>
      <c r="ISG130" s="52"/>
      <c r="ISH130" s="52"/>
      <c r="ISI130" s="52"/>
      <c r="ISJ130" s="52"/>
      <c r="ISK130" s="52"/>
      <c r="ISL130" s="52"/>
      <c r="ISM130" s="52"/>
      <c r="ISN130" s="52"/>
      <c r="ISO130" s="52"/>
      <c r="ISP130" s="52"/>
      <c r="ISQ130" s="52"/>
      <c r="ISR130" s="52"/>
      <c r="ISS130" s="52"/>
      <c r="IST130" s="52"/>
      <c r="ISU130" s="52"/>
      <c r="ISV130" s="52"/>
      <c r="ISW130" s="52"/>
      <c r="ISX130" s="52"/>
      <c r="ISY130" s="52"/>
      <c r="ISZ130" s="52"/>
      <c r="ITA130" s="52"/>
      <c r="ITB130" s="52"/>
      <c r="ITC130" s="52"/>
      <c r="ITD130" s="52"/>
      <c r="ITE130" s="52"/>
      <c r="ITF130" s="52"/>
      <c r="ITG130" s="52"/>
      <c r="ITH130" s="52"/>
      <c r="ITI130" s="52"/>
      <c r="ITJ130" s="52"/>
      <c r="ITK130" s="52"/>
      <c r="ITL130" s="52"/>
      <c r="ITM130" s="52"/>
      <c r="ITN130" s="52"/>
      <c r="ITO130" s="52"/>
      <c r="ITP130" s="52"/>
      <c r="ITQ130" s="52"/>
      <c r="ITR130" s="52"/>
      <c r="ITS130" s="52"/>
      <c r="ITT130" s="52"/>
      <c r="ITU130" s="52"/>
      <c r="ITV130" s="52"/>
      <c r="ITW130" s="52"/>
      <c r="ITX130" s="52"/>
      <c r="ITY130" s="52"/>
      <c r="ITZ130" s="52"/>
      <c r="IUA130" s="52"/>
      <c r="IUB130" s="52"/>
      <c r="IUC130" s="52"/>
      <c r="IUD130" s="52"/>
      <c r="IUE130" s="52"/>
      <c r="IUF130" s="52"/>
      <c r="IUG130" s="52"/>
      <c r="IUH130" s="52"/>
      <c r="IUI130" s="52"/>
      <c r="IUJ130" s="52"/>
      <c r="IUK130" s="52"/>
      <c r="IUL130" s="52"/>
      <c r="IUM130" s="52"/>
      <c r="IUN130" s="52"/>
      <c r="IUO130" s="52"/>
      <c r="IUP130" s="52"/>
      <c r="IUQ130" s="52"/>
      <c r="IUR130" s="52"/>
      <c r="IUS130" s="52"/>
      <c r="IUT130" s="52"/>
      <c r="IUU130" s="52"/>
      <c r="IUV130" s="52"/>
      <c r="IUW130" s="52"/>
      <c r="IUX130" s="52"/>
      <c r="IUY130" s="52"/>
      <c r="IUZ130" s="52"/>
      <c r="IVA130" s="52"/>
      <c r="IVB130" s="52"/>
      <c r="IVC130" s="52"/>
      <c r="IVD130" s="52"/>
      <c r="IVE130" s="52"/>
      <c r="IVF130" s="52"/>
      <c r="IVG130" s="52"/>
      <c r="IVH130" s="52"/>
      <c r="IVI130" s="52"/>
      <c r="IVJ130" s="52"/>
      <c r="IVK130" s="52"/>
      <c r="IVL130" s="52"/>
      <c r="IVM130" s="52"/>
      <c r="IVN130" s="52"/>
      <c r="IVO130" s="52"/>
      <c r="IVP130" s="52"/>
      <c r="IVQ130" s="52"/>
      <c r="IVR130" s="52"/>
      <c r="IVS130" s="52"/>
      <c r="IVT130" s="52"/>
      <c r="IVU130" s="52"/>
      <c r="IVV130" s="52"/>
      <c r="IVW130" s="52"/>
      <c r="IVX130" s="52"/>
      <c r="IVY130" s="52"/>
      <c r="IVZ130" s="52"/>
      <c r="IWA130" s="52"/>
      <c r="IWB130" s="52"/>
      <c r="IWC130" s="52"/>
      <c r="IWD130" s="52"/>
      <c r="IWE130" s="52"/>
      <c r="IWF130" s="52"/>
      <c r="IWG130" s="52"/>
      <c r="IWH130" s="52"/>
      <c r="IWI130" s="52"/>
      <c r="IWJ130" s="52"/>
      <c r="IWK130" s="52"/>
      <c r="IWL130" s="52"/>
      <c r="IWM130" s="52"/>
      <c r="IWN130" s="52"/>
      <c r="IWO130" s="52"/>
      <c r="IWP130" s="52"/>
      <c r="IWQ130" s="52"/>
      <c r="IWR130" s="52"/>
      <c r="IWS130" s="52"/>
      <c r="IWT130" s="52"/>
      <c r="IWU130" s="52"/>
      <c r="IWV130" s="52"/>
      <c r="IWW130" s="52"/>
      <c r="IWX130" s="52"/>
      <c r="IWY130" s="52"/>
      <c r="IWZ130" s="52"/>
      <c r="IXA130" s="52"/>
      <c r="IXB130" s="52"/>
      <c r="IXC130" s="52"/>
      <c r="IXD130" s="52"/>
      <c r="IXE130" s="52"/>
      <c r="IXF130" s="52"/>
      <c r="IXG130" s="52"/>
      <c r="IXH130" s="52"/>
      <c r="IXI130" s="52"/>
      <c r="IXJ130" s="52"/>
      <c r="IXK130" s="52"/>
      <c r="IXL130" s="52"/>
      <c r="IXM130" s="52"/>
      <c r="IXN130" s="52"/>
      <c r="IXO130" s="52"/>
      <c r="IXP130" s="52"/>
      <c r="IXQ130" s="52"/>
      <c r="IXR130" s="52"/>
      <c r="IXS130" s="52"/>
      <c r="IXT130" s="52"/>
      <c r="IXU130" s="52"/>
      <c r="IXV130" s="52"/>
      <c r="IXW130" s="52"/>
      <c r="IXX130" s="52"/>
      <c r="IXY130" s="52"/>
      <c r="IXZ130" s="52"/>
      <c r="IYA130" s="52"/>
      <c r="IYB130" s="52"/>
      <c r="IYC130" s="52"/>
      <c r="IYD130" s="52"/>
      <c r="IYE130" s="52"/>
      <c r="IYF130" s="52"/>
      <c r="IYG130" s="52"/>
      <c r="IYH130" s="52"/>
      <c r="IYI130" s="52"/>
      <c r="IYJ130" s="52"/>
      <c r="IYK130" s="52"/>
      <c r="IYL130" s="52"/>
      <c r="IYM130" s="52"/>
      <c r="IYN130" s="52"/>
      <c r="IYO130" s="52"/>
      <c r="IYP130" s="52"/>
      <c r="IYQ130" s="52"/>
      <c r="IYR130" s="52"/>
      <c r="IYS130" s="52"/>
      <c r="IYT130" s="52"/>
      <c r="IYU130" s="52"/>
      <c r="IYV130" s="52"/>
      <c r="IYW130" s="52"/>
      <c r="IYX130" s="52"/>
      <c r="IYY130" s="52"/>
      <c r="IYZ130" s="52"/>
      <c r="IZA130" s="52"/>
      <c r="IZB130" s="52"/>
      <c r="IZC130" s="52"/>
      <c r="IZD130" s="52"/>
      <c r="IZE130" s="52"/>
      <c r="IZF130" s="52"/>
      <c r="IZG130" s="52"/>
      <c r="IZH130" s="52"/>
      <c r="IZI130" s="52"/>
      <c r="IZJ130" s="52"/>
      <c r="IZK130" s="52"/>
      <c r="IZL130" s="52"/>
      <c r="IZM130" s="52"/>
      <c r="IZN130" s="52"/>
      <c r="IZO130" s="52"/>
      <c r="IZP130" s="52"/>
      <c r="IZQ130" s="52"/>
      <c r="IZR130" s="52"/>
      <c r="IZS130" s="52"/>
      <c r="IZT130" s="52"/>
      <c r="IZU130" s="52"/>
      <c r="IZV130" s="52"/>
      <c r="IZW130" s="52"/>
      <c r="IZX130" s="52"/>
      <c r="IZY130" s="52"/>
      <c r="IZZ130" s="52"/>
      <c r="JAA130" s="52"/>
      <c r="JAB130" s="52"/>
      <c r="JAC130" s="52"/>
      <c r="JAD130" s="52"/>
      <c r="JAE130" s="52"/>
      <c r="JAF130" s="52"/>
      <c r="JAG130" s="52"/>
      <c r="JAH130" s="52"/>
      <c r="JAI130" s="52"/>
      <c r="JAJ130" s="52"/>
      <c r="JAK130" s="52"/>
      <c r="JAL130" s="52"/>
      <c r="JAM130" s="52"/>
      <c r="JAN130" s="52"/>
      <c r="JAO130" s="52"/>
      <c r="JAP130" s="52"/>
      <c r="JAQ130" s="52"/>
      <c r="JAR130" s="52"/>
      <c r="JAS130" s="52"/>
      <c r="JAT130" s="52"/>
      <c r="JAU130" s="52"/>
      <c r="JAV130" s="52"/>
      <c r="JAW130" s="52"/>
      <c r="JAX130" s="52"/>
      <c r="JAY130" s="52"/>
      <c r="JAZ130" s="52"/>
      <c r="JBA130" s="52"/>
      <c r="JBB130" s="52"/>
      <c r="JBC130" s="52"/>
      <c r="JBD130" s="52"/>
      <c r="JBE130" s="52"/>
      <c r="JBF130" s="52"/>
      <c r="JBG130" s="52"/>
      <c r="JBH130" s="52"/>
      <c r="JBI130" s="52"/>
      <c r="JBJ130" s="52"/>
      <c r="JBK130" s="52"/>
      <c r="JBL130" s="52"/>
      <c r="JBM130" s="52"/>
      <c r="JBN130" s="52"/>
      <c r="JBO130" s="52"/>
      <c r="JBP130" s="52"/>
      <c r="JBQ130" s="52"/>
      <c r="JBR130" s="52"/>
      <c r="JBS130" s="52"/>
      <c r="JBT130" s="52"/>
      <c r="JBU130" s="52"/>
      <c r="JBV130" s="52"/>
      <c r="JBW130" s="52"/>
      <c r="JBX130" s="52"/>
      <c r="JBY130" s="52"/>
      <c r="JBZ130" s="52"/>
      <c r="JCA130" s="52"/>
      <c r="JCB130" s="52"/>
      <c r="JCC130" s="52"/>
      <c r="JCD130" s="52"/>
      <c r="JCE130" s="52"/>
      <c r="JCF130" s="52"/>
      <c r="JCG130" s="52"/>
      <c r="JCH130" s="52"/>
      <c r="JCI130" s="52"/>
      <c r="JCJ130" s="52"/>
      <c r="JCK130" s="52"/>
      <c r="JCL130" s="52"/>
      <c r="JCM130" s="52"/>
      <c r="JCN130" s="52"/>
      <c r="JCO130" s="52"/>
      <c r="JCP130" s="52"/>
      <c r="JCQ130" s="52"/>
      <c r="JCR130" s="52"/>
      <c r="JCS130" s="52"/>
      <c r="JCT130" s="52"/>
      <c r="JCU130" s="52"/>
      <c r="JCV130" s="52"/>
      <c r="JCW130" s="52"/>
      <c r="JCX130" s="52"/>
      <c r="JCY130" s="52"/>
      <c r="JCZ130" s="52"/>
      <c r="JDA130" s="52"/>
      <c r="JDB130" s="52"/>
      <c r="JDC130" s="52"/>
      <c r="JDD130" s="52"/>
      <c r="JDE130" s="52"/>
      <c r="JDF130" s="52"/>
      <c r="JDG130" s="52"/>
      <c r="JDH130" s="52"/>
      <c r="JDI130" s="52"/>
      <c r="JDJ130" s="52"/>
      <c r="JDK130" s="52"/>
      <c r="JDL130" s="52"/>
      <c r="JDM130" s="52"/>
      <c r="JDN130" s="52"/>
      <c r="JDO130" s="52"/>
      <c r="JDP130" s="52"/>
      <c r="JDQ130" s="52"/>
      <c r="JDR130" s="52"/>
      <c r="JDS130" s="52"/>
      <c r="JDT130" s="52"/>
      <c r="JDU130" s="52"/>
      <c r="JDV130" s="52"/>
      <c r="JDW130" s="52"/>
      <c r="JDX130" s="52"/>
      <c r="JDY130" s="52"/>
      <c r="JDZ130" s="52"/>
      <c r="JEA130" s="52"/>
      <c r="JEB130" s="52"/>
      <c r="JEC130" s="52"/>
      <c r="JED130" s="52"/>
      <c r="JEE130" s="52"/>
      <c r="JEF130" s="52"/>
      <c r="JEG130" s="52"/>
      <c r="JEH130" s="52"/>
      <c r="JEI130" s="52"/>
      <c r="JEJ130" s="52"/>
      <c r="JEK130" s="52"/>
      <c r="JEL130" s="52"/>
      <c r="JEM130" s="52"/>
      <c r="JEN130" s="52"/>
      <c r="JEO130" s="52"/>
      <c r="JEP130" s="52"/>
      <c r="JEQ130" s="52"/>
      <c r="JER130" s="52"/>
      <c r="JES130" s="52"/>
      <c r="JET130" s="52"/>
      <c r="JEU130" s="52"/>
      <c r="JEV130" s="52"/>
      <c r="JEW130" s="52"/>
      <c r="JEX130" s="52"/>
      <c r="JEY130" s="52"/>
      <c r="JEZ130" s="52"/>
      <c r="JFA130" s="52"/>
      <c r="JFB130" s="52"/>
      <c r="JFC130" s="52"/>
      <c r="JFD130" s="52"/>
      <c r="JFE130" s="52"/>
      <c r="JFF130" s="52"/>
      <c r="JFG130" s="52"/>
      <c r="JFH130" s="52"/>
      <c r="JFI130" s="52"/>
      <c r="JFJ130" s="52"/>
      <c r="JFK130" s="52"/>
      <c r="JFL130" s="52"/>
      <c r="JFM130" s="52"/>
      <c r="JFN130" s="52"/>
      <c r="JFO130" s="52"/>
      <c r="JFP130" s="52"/>
      <c r="JFQ130" s="52"/>
      <c r="JFR130" s="52"/>
      <c r="JFS130" s="52"/>
      <c r="JFT130" s="52"/>
      <c r="JFU130" s="52"/>
      <c r="JFV130" s="52"/>
      <c r="JFW130" s="52"/>
      <c r="JFX130" s="52"/>
      <c r="JFY130" s="52"/>
      <c r="JFZ130" s="52"/>
      <c r="JGA130" s="52"/>
      <c r="JGB130" s="52"/>
      <c r="JGC130" s="52"/>
      <c r="JGD130" s="52"/>
      <c r="JGE130" s="52"/>
      <c r="JGF130" s="52"/>
      <c r="JGG130" s="52"/>
      <c r="JGH130" s="52"/>
      <c r="JGI130" s="52"/>
      <c r="JGJ130" s="52"/>
      <c r="JGK130" s="52"/>
      <c r="JGL130" s="52"/>
      <c r="JGM130" s="52"/>
      <c r="JGN130" s="52"/>
      <c r="JGO130" s="52"/>
      <c r="JGP130" s="52"/>
      <c r="JGQ130" s="52"/>
      <c r="JGR130" s="52"/>
      <c r="JGS130" s="52"/>
      <c r="JGT130" s="52"/>
      <c r="JGU130" s="52"/>
      <c r="JGV130" s="52"/>
      <c r="JGW130" s="52"/>
      <c r="JGX130" s="52"/>
      <c r="JGY130" s="52"/>
      <c r="JGZ130" s="52"/>
      <c r="JHA130" s="52"/>
      <c r="JHB130" s="52"/>
      <c r="JHC130" s="52"/>
      <c r="JHD130" s="52"/>
      <c r="JHE130" s="52"/>
      <c r="JHF130" s="52"/>
      <c r="JHG130" s="52"/>
      <c r="JHH130" s="52"/>
      <c r="JHI130" s="52"/>
      <c r="JHJ130" s="52"/>
      <c r="JHK130" s="52"/>
      <c r="JHL130" s="52"/>
      <c r="JHM130" s="52"/>
      <c r="JHN130" s="52"/>
      <c r="JHO130" s="52"/>
      <c r="JHP130" s="52"/>
      <c r="JHQ130" s="52"/>
      <c r="JHR130" s="52"/>
      <c r="JHS130" s="52"/>
      <c r="JHT130" s="52"/>
      <c r="JHU130" s="52"/>
      <c r="JHV130" s="52"/>
      <c r="JHW130" s="52"/>
      <c r="JHX130" s="52"/>
      <c r="JHY130" s="52"/>
      <c r="JHZ130" s="52"/>
      <c r="JIA130" s="52"/>
      <c r="JIB130" s="52"/>
      <c r="JIC130" s="52"/>
      <c r="JID130" s="52"/>
      <c r="JIE130" s="52"/>
      <c r="JIF130" s="52"/>
      <c r="JIG130" s="52"/>
      <c r="JIH130" s="52"/>
      <c r="JII130" s="52"/>
      <c r="JIJ130" s="52"/>
      <c r="JIK130" s="52"/>
      <c r="JIL130" s="52"/>
      <c r="JIM130" s="52"/>
      <c r="JIN130" s="52"/>
      <c r="JIO130" s="52"/>
      <c r="JIP130" s="52"/>
      <c r="JIQ130" s="52"/>
      <c r="JIR130" s="52"/>
      <c r="JIS130" s="52"/>
      <c r="JIT130" s="52"/>
      <c r="JIU130" s="52"/>
      <c r="JIV130" s="52"/>
      <c r="JIW130" s="52"/>
      <c r="JIX130" s="52"/>
      <c r="JIY130" s="52"/>
      <c r="JIZ130" s="52"/>
      <c r="JJA130" s="52"/>
      <c r="JJB130" s="52"/>
      <c r="JJC130" s="52"/>
      <c r="JJD130" s="52"/>
      <c r="JJE130" s="52"/>
      <c r="JJF130" s="52"/>
      <c r="JJG130" s="52"/>
      <c r="JJH130" s="52"/>
      <c r="JJI130" s="52"/>
      <c r="JJJ130" s="52"/>
      <c r="JJK130" s="52"/>
      <c r="JJL130" s="52"/>
      <c r="JJM130" s="52"/>
      <c r="JJN130" s="52"/>
      <c r="JJO130" s="52"/>
      <c r="JJP130" s="52"/>
      <c r="JJQ130" s="52"/>
      <c r="JJR130" s="52"/>
      <c r="JJS130" s="52"/>
      <c r="JJT130" s="52"/>
      <c r="JJU130" s="52"/>
      <c r="JJV130" s="52"/>
      <c r="JJW130" s="52"/>
      <c r="JJX130" s="52"/>
      <c r="JJY130" s="52"/>
      <c r="JJZ130" s="52"/>
      <c r="JKA130" s="52"/>
      <c r="JKB130" s="52"/>
      <c r="JKC130" s="52"/>
      <c r="JKD130" s="52"/>
      <c r="JKE130" s="52"/>
      <c r="JKF130" s="52"/>
      <c r="JKG130" s="52"/>
      <c r="JKH130" s="52"/>
      <c r="JKI130" s="52"/>
      <c r="JKJ130" s="52"/>
      <c r="JKK130" s="52"/>
      <c r="JKL130" s="52"/>
      <c r="JKM130" s="52"/>
      <c r="JKN130" s="52"/>
      <c r="JKO130" s="52"/>
      <c r="JKP130" s="52"/>
      <c r="JKQ130" s="52"/>
      <c r="JKR130" s="52"/>
      <c r="JKS130" s="52"/>
      <c r="JKT130" s="52"/>
      <c r="JKU130" s="52"/>
      <c r="JKV130" s="52"/>
      <c r="JKW130" s="52"/>
      <c r="JKX130" s="52"/>
      <c r="JKY130" s="52"/>
      <c r="JKZ130" s="52"/>
      <c r="JLA130" s="52"/>
      <c r="JLB130" s="52"/>
      <c r="JLC130" s="52"/>
      <c r="JLD130" s="52"/>
      <c r="JLE130" s="52"/>
      <c r="JLF130" s="52"/>
      <c r="JLG130" s="52"/>
      <c r="JLH130" s="52"/>
      <c r="JLI130" s="52"/>
      <c r="JLJ130" s="52"/>
      <c r="JLK130" s="52"/>
      <c r="JLL130" s="52"/>
      <c r="JLM130" s="52"/>
      <c r="JLN130" s="52"/>
      <c r="JLO130" s="52"/>
      <c r="JLP130" s="52"/>
      <c r="JLQ130" s="52"/>
      <c r="JLR130" s="52"/>
      <c r="JLS130" s="52"/>
      <c r="JLT130" s="52"/>
      <c r="JLU130" s="52"/>
      <c r="JLV130" s="52"/>
      <c r="JLW130" s="52"/>
      <c r="JLX130" s="52"/>
      <c r="JLY130" s="52"/>
      <c r="JLZ130" s="52"/>
      <c r="JMA130" s="52"/>
      <c r="JMB130" s="52"/>
      <c r="JMC130" s="52"/>
      <c r="JMD130" s="52"/>
      <c r="JME130" s="52"/>
      <c r="JMF130" s="52"/>
      <c r="JMG130" s="52"/>
      <c r="JMH130" s="52"/>
      <c r="JMI130" s="52"/>
      <c r="JMJ130" s="52"/>
      <c r="JMK130" s="52"/>
      <c r="JML130" s="52"/>
      <c r="JMM130" s="52"/>
      <c r="JMN130" s="52"/>
      <c r="JMO130" s="52"/>
      <c r="JMP130" s="52"/>
      <c r="JMQ130" s="52"/>
      <c r="JMR130" s="52"/>
      <c r="JMS130" s="52"/>
      <c r="JMT130" s="52"/>
      <c r="JMU130" s="52"/>
      <c r="JMV130" s="52"/>
      <c r="JMW130" s="52"/>
      <c r="JMX130" s="52"/>
      <c r="JMY130" s="52"/>
      <c r="JMZ130" s="52"/>
      <c r="JNA130" s="52"/>
      <c r="JNB130" s="52"/>
      <c r="JNC130" s="52"/>
      <c r="JND130" s="52"/>
      <c r="JNE130" s="52"/>
      <c r="JNF130" s="52"/>
      <c r="JNG130" s="52"/>
      <c r="JNH130" s="52"/>
      <c r="JNI130" s="52"/>
      <c r="JNJ130" s="52"/>
      <c r="JNK130" s="52"/>
      <c r="JNL130" s="52"/>
      <c r="JNM130" s="52"/>
      <c r="JNN130" s="52"/>
      <c r="JNO130" s="52"/>
      <c r="JNP130" s="52"/>
      <c r="JNQ130" s="52"/>
      <c r="JNR130" s="52"/>
      <c r="JNS130" s="52"/>
      <c r="JNT130" s="52"/>
      <c r="JNU130" s="52"/>
      <c r="JNV130" s="52"/>
      <c r="JNW130" s="52"/>
      <c r="JNX130" s="52"/>
      <c r="JNY130" s="52"/>
      <c r="JNZ130" s="52"/>
      <c r="JOA130" s="52"/>
      <c r="JOB130" s="52"/>
      <c r="JOC130" s="52"/>
      <c r="JOD130" s="52"/>
      <c r="JOE130" s="52"/>
      <c r="JOF130" s="52"/>
      <c r="JOG130" s="52"/>
      <c r="JOH130" s="52"/>
      <c r="JOI130" s="52"/>
      <c r="JOJ130" s="52"/>
      <c r="JOK130" s="52"/>
      <c r="JOL130" s="52"/>
      <c r="JOM130" s="52"/>
      <c r="JON130" s="52"/>
      <c r="JOO130" s="52"/>
      <c r="JOP130" s="52"/>
      <c r="JOQ130" s="52"/>
      <c r="JOR130" s="52"/>
      <c r="JOS130" s="52"/>
      <c r="JOT130" s="52"/>
      <c r="JOU130" s="52"/>
      <c r="JOV130" s="52"/>
      <c r="JOW130" s="52"/>
      <c r="JOX130" s="52"/>
      <c r="JOY130" s="52"/>
      <c r="JOZ130" s="52"/>
      <c r="JPA130" s="52"/>
      <c r="JPB130" s="52"/>
      <c r="JPC130" s="52"/>
      <c r="JPD130" s="52"/>
      <c r="JPE130" s="52"/>
      <c r="JPF130" s="52"/>
      <c r="JPG130" s="52"/>
      <c r="JPH130" s="52"/>
      <c r="JPI130" s="52"/>
      <c r="JPJ130" s="52"/>
      <c r="JPK130" s="52"/>
      <c r="JPL130" s="52"/>
      <c r="JPM130" s="52"/>
      <c r="JPN130" s="52"/>
      <c r="JPO130" s="52"/>
      <c r="JPP130" s="52"/>
      <c r="JPQ130" s="52"/>
      <c r="JPR130" s="52"/>
      <c r="JPS130" s="52"/>
      <c r="JPT130" s="52"/>
      <c r="JPU130" s="52"/>
      <c r="JPV130" s="52"/>
      <c r="JPW130" s="52"/>
      <c r="JPX130" s="52"/>
      <c r="JPY130" s="52"/>
      <c r="JPZ130" s="52"/>
      <c r="JQA130" s="52"/>
      <c r="JQB130" s="52"/>
      <c r="JQC130" s="52"/>
      <c r="JQD130" s="52"/>
      <c r="JQE130" s="52"/>
      <c r="JQF130" s="52"/>
      <c r="JQG130" s="52"/>
      <c r="JQH130" s="52"/>
      <c r="JQI130" s="52"/>
      <c r="JQJ130" s="52"/>
      <c r="JQK130" s="52"/>
      <c r="JQL130" s="52"/>
      <c r="JQM130" s="52"/>
      <c r="JQN130" s="52"/>
      <c r="JQO130" s="52"/>
      <c r="JQP130" s="52"/>
      <c r="JQQ130" s="52"/>
      <c r="JQR130" s="52"/>
      <c r="JQS130" s="52"/>
      <c r="JQT130" s="52"/>
      <c r="JQU130" s="52"/>
      <c r="JQV130" s="52"/>
      <c r="JQW130" s="52"/>
      <c r="JQX130" s="52"/>
      <c r="JQY130" s="52"/>
      <c r="JQZ130" s="52"/>
      <c r="JRA130" s="52"/>
      <c r="JRB130" s="52"/>
      <c r="JRC130" s="52"/>
      <c r="JRD130" s="52"/>
      <c r="JRE130" s="52"/>
      <c r="JRF130" s="52"/>
      <c r="JRG130" s="52"/>
      <c r="JRH130" s="52"/>
      <c r="JRI130" s="52"/>
      <c r="JRJ130" s="52"/>
      <c r="JRK130" s="52"/>
      <c r="JRL130" s="52"/>
      <c r="JRM130" s="52"/>
      <c r="JRN130" s="52"/>
      <c r="JRO130" s="52"/>
      <c r="JRP130" s="52"/>
      <c r="JRQ130" s="52"/>
      <c r="JRR130" s="52"/>
      <c r="JRS130" s="52"/>
      <c r="JRT130" s="52"/>
      <c r="JRU130" s="52"/>
      <c r="JRV130" s="52"/>
      <c r="JRW130" s="52"/>
      <c r="JRX130" s="52"/>
      <c r="JRY130" s="52"/>
      <c r="JRZ130" s="52"/>
      <c r="JSA130" s="52"/>
      <c r="JSB130" s="52"/>
      <c r="JSC130" s="52"/>
      <c r="JSD130" s="52"/>
      <c r="JSE130" s="52"/>
      <c r="JSF130" s="52"/>
      <c r="JSG130" s="52"/>
      <c r="JSH130" s="52"/>
      <c r="JSI130" s="52"/>
      <c r="JSJ130" s="52"/>
      <c r="JSK130" s="52"/>
      <c r="JSL130" s="52"/>
      <c r="JSM130" s="52"/>
      <c r="JSN130" s="52"/>
      <c r="JSO130" s="52"/>
      <c r="JSP130" s="52"/>
      <c r="JSQ130" s="52"/>
      <c r="JSR130" s="52"/>
      <c r="JSS130" s="52"/>
      <c r="JST130" s="52"/>
      <c r="JSU130" s="52"/>
      <c r="JSV130" s="52"/>
      <c r="JSW130" s="52"/>
      <c r="JSX130" s="52"/>
      <c r="JSY130" s="52"/>
      <c r="JSZ130" s="52"/>
      <c r="JTA130" s="52"/>
      <c r="JTB130" s="52"/>
      <c r="JTC130" s="52"/>
      <c r="JTD130" s="52"/>
      <c r="JTE130" s="52"/>
      <c r="JTF130" s="52"/>
      <c r="JTG130" s="52"/>
      <c r="JTH130" s="52"/>
      <c r="JTI130" s="52"/>
      <c r="JTJ130" s="52"/>
      <c r="JTK130" s="52"/>
      <c r="JTL130" s="52"/>
      <c r="JTM130" s="52"/>
      <c r="JTN130" s="52"/>
      <c r="JTO130" s="52"/>
      <c r="JTP130" s="52"/>
      <c r="JTQ130" s="52"/>
      <c r="JTR130" s="52"/>
      <c r="JTS130" s="52"/>
      <c r="JTT130" s="52"/>
      <c r="JTU130" s="52"/>
      <c r="JTV130" s="52"/>
      <c r="JTW130" s="52"/>
      <c r="JTX130" s="52"/>
      <c r="JTY130" s="52"/>
      <c r="JTZ130" s="52"/>
      <c r="JUA130" s="52"/>
      <c r="JUB130" s="52"/>
      <c r="JUC130" s="52"/>
      <c r="JUD130" s="52"/>
      <c r="JUE130" s="52"/>
      <c r="JUF130" s="52"/>
      <c r="JUG130" s="52"/>
      <c r="JUH130" s="52"/>
      <c r="JUI130" s="52"/>
      <c r="JUJ130" s="52"/>
      <c r="JUK130" s="52"/>
      <c r="JUL130" s="52"/>
      <c r="JUM130" s="52"/>
      <c r="JUN130" s="52"/>
      <c r="JUO130" s="52"/>
      <c r="JUP130" s="52"/>
      <c r="JUQ130" s="52"/>
      <c r="JUR130" s="52"/>
      <c r="JUS130" s="52"/>
      <c r="JUT130" s="52"/>
      <c r="JUU130" s="52"/>
      <c r="JUV130" s="52"/>
      <c r="JUW130" s="52"/>
      <c r="JUX130" s="52"/>
      <c r="JUY130" s="52"/>
      <c r="JUZ130" s="52"/>
      <c r="JVA130" s="52"/>
      <c r="JVB130" s="52"/>
      <c r="JVC130" s="52"/>
      <c r="JVD130" s="52"/>
      <c r="JVE130" s="52"/>
      <c r="JVF130" s="52"/>
      <c r="JVG130" s="52"/>
      <c r="JVH130" s="52"/>
      <c r="JVI130" s="52"/>
      <c r="JVJ130" s="52"/>
      <c r="JVK130" s="52"/>
      <c r="JVL130" s="52"/>
      <c r="JVM130" s="52"/>
      <c r="JVN130" s="52"/>
      <c r="JVO130" s="52"/>
      <c r="JVP130" s="52"/>
      <c r="JVQ130" s="52"/>
      <c r="JVR130" s="52"/>
      <c r="JVS130" s="52"/>
      <c r="JVT130" s="52"/>
      <c r="JVU130" s="52"/>
      <c r="JVV130" s="52"/>
      <c r="JVW130" s="52"/>
      <c r="JVX130" s="52"/>
      <c r="JVY130" s="52"/>
      <c r="JVZ130" s="52"/>
      <c r="JWA130" s="52"/>
      <c r="JWB130" s="52"/>
      <c r="JWC130" s="52"/>
      <c r="JWD130" s="52"/>
      <c r="JWE130" s="52"/>
      <c r="JWF130" s="52"/>
      <c r="JWG130" s="52"/>
      <c r="JWH130" s="52"/>
      <c r="JWI130" s="52"/>
      <c r="JWJ130" s="52"/>
      <c r="JWK130" s="52"/>
      <c r="JWL130" s="52"/>
      <c r="JWM130" s="52"/>
      <c r="JWN130" s="52"/>
      <c r="JWO130" s="52"/>
      <c r="JWP130" s="52"/>
      <c r="JWQ130" s="52"/>
      <c r="JWR130" s="52"/>
      <c r="JWS130" s="52"/>
      <c r="JWT130" s="52"/>
      <c r="JWU130" s="52"/>
      <c r="JWV130" s="52"/>
      <c r="JWW130" s="52"/>
      <c r="JWX130" s="52"/>
      <c r="JWY130" s="52"/>
      <c r="JWZ130" s="52"/>
      <c r="JXA130" s="52"/>
      <c r="JXB130" s="52"/>
      <c r="JXC130" s="52"/>
      <c r="JXD130" s="52"/>
      <c r="JXE130" s="52"/>
      <c r="JXF130" s="52"/>
      <c r="JXG130" s="52"/>
      <c r="JXH130" s="52"/>
      <c r="JXI130" s="52"/>
      <c r="JXJ130" s="52"/>
      <c r="JXK130" s="52"/>
      <c r="JXL130" s="52"/>
      <c r="JXM130" s="52"/>
      <c r="JXN130" s="52"/>
      <c r="JXO130" s="52"/>
      <c r="JXP130" s="52"/>
      <c r="JXQ130" s="52"/>
      <c r="JXR130" s="52"/>
      <c r="JXS130" s="52"/>
      <c r="JXT130" s="52"/>
      <c r="JXU130" s="52"/>
      <c r="JXV130" s="52"/>
      <c r="JXW130" s="52"/>
      <c r="JXX130" s="52"/>
      <c r="JXY130" s="52"/>
      <c r="JXZ130" s="52"/>
      <c r="JYA130" s="52"/>
      <c r="JYB130" s="52"/>
      <c r="JYC130" s="52"/>
      <c r="JYD130" s="52"/>
      <c r="JYE130" s="52"/>
      <c r="JYF130" s="52"/>
      <c r="JYG130" s="52"/>
      <c r="JYH130" s="52"/>
      <c r="JYI130" s="52"/>
      <c r="JYJ130" s="52"/>
      <c r="JYK130" s="52"/>
      <c r="JYL130" s="52"/>
      <c r="JYM130" s="52"/>
      <c r="JYN130" s="52"/>
      <c r="JYO130" s="52"/>
      <c r="JYP130" s="52"/>
      <c r="JYQ130" s="52"/>
      <c r="JYR130" s="52"/>
      <c r="JYS130" s="52"/>
      <c r="JYT130" s="52"/>
      <c r="JYU130" s="52"/>
      <c r="JYV130" s="52"/>
      <c r="JYW130" s="52"/>
      <c r="JYX130" s="52"/>
      <c r="JYY130" s="52"/>
      <c r="JYZ130" s="52"/>
      <c r="JZA130" s="52"/>
      <c r="JZB130" s="52"/>
      <c r="JZC130" s="52"/>
      <c r="JZD130" s="52"/>
      <c r="JZE130" s="52"/>
      <c r="JZF130" s="52"/>
      <c r="JZG130" s="52"/>
      <c r="JZH130" s="52"/>
      <c r="JZI130" s="52"/>
      <c r="JZJ130" s="52"/>
      <c r="JZK130" s="52"/>
      <c r="JZL130" s="52"/>
      <c r="JZM130" s="52"/>
      <c r="JZN130" s="52"/>
      <c r="JZO130" s="52"/>
      <c r="JZP130" s="52"/>
      <c r="JZQ130" s="52"/>
      <c r="JZR130" s="52"/>
      <c r="JZS130" s="52"/>
      <c r="JZT130" s="52"/>
      <c r="JZU130" s="52"/>
      <c r="JZV130" s="52"/>
      <c r="JZW130" s="52"/>
      <c r="JZX130" s="52"/>
      <c r="JZY130" s="52"/>
      <c r="JZZ130" s="52"/>
      <c r="KAA130" s="52"/>
      <c r="KAB130" s="52"/>
      <c r="KAC130" s="52"/>
      <c r="KAD130" s="52"/>
      <c r="KAE130" s="52"/>
      <c r="KAF130" s="52"/>
      <c r="KAG130" s="52"/>
      <c r="KAH130" s="52"/>
      <c r="KAI130" s="52"/>
      <c r="KAJ130" s="52"/>
      <c r="KAK130" s="52"/>
      <c r="KAL130" s="52"/>
      <c r="KAM130" s="52"/>
      <c r="KAN130" s="52"/>
      <c r="KAO130" s="52"/>
      <c r="KAP130" s="52"/>
      <c r="KAQ130" s="52"/>
      <c r="KAR130" s="52"/>
      <c r="KAS130" s="52"/>
      <c r="KAT130" s="52"/>
      <c r="KAU130" s="52"/>
      <c r="KAV130" s="52"/>
      <c r="KAW130" s="52"/>
      <c r="KAX130" s="52"/>
      <c r="KAY130" s="52"/>
      <c r="KAZ130" s="52"/>
      <c r="KBA130" s="52"/>
      <c r="KBB130" s="52"/>
      <c r="KBC130" s="52"/>
      <c r="KBD130" s="52"/>
      <c r="KBE130" s="52"/>
      <c r="KBF130" s="52"/>
      <c r="KBG130" s="52"/>
      <c r="KBH130" s="52"/>
      <c r="KBI130" s="52"/>
      <c r="KBJ130" s="52"/>
      <c r="KBK130" s="52"/>
      <c r="KBL130" s="52"/>
      <c r="KBM130" s="52"/>
      <c r="KBN130" s="52"/>
      <c r="KBO130" s="52"/>
      <c r="KBP130" s="52"/>
      <c r="KBQ130" s="52"/>
      <c r="KBR130" s="52"/>
      <c r="KBS130" s="52"/>
      <c r="KBT130" s="52"/>
      <c r="KBU130" s="52"/>
      <c r="KBV130" s="52"/>
      <c r="KBW130" s="52"/>
      <c r="KBX130" s="52"/>
      <c r="KBY130" s="52"/>
      <c r="KBZ130" s="52"/>
      <c r="KCA130" s="52"/>
      <c r="KCB130" s="52"/>
      <c r="KCC130" s="52"/>
      <c r="KCD130" s="52"/>
      <c r="KCE130" s="52"/>
      <c r="KCF130" s="52"/>
      <c r="KCG130" s="52"/>
      <c r="KCH130" s="52"/>
      <c r="KCI130" s="52"/>
      <c r="KCJ130" s="52"/>
      <c r="KCK130" s="52"/>
      <c r="KCL130" s="52"/>
      <c r="KCM130" s="52"/>
      <c r="KCN130" s="52"/>
      <c r="KCO130" s="52"/>
      <c r="KCP130" s="52"/>
      <c r="KCQ130" s="52"/>
      <c r="KCR130" s="52"/>
      <c r="KCS130" s="52"/>
      <c r="KCT130" s="52"/>
      <c r="KCU130" s="52"/>
      <c r="KCV130" s="52"/>
      <c r="KCW130" s="52"/>
      <c r="KCX130" s="52"/>
      <c r="KCY130" s="52"/>
      <c r="KCZ130" s="52"/>
      <c r="KDA130" s="52"/>
      <c r="KDB130" s="52"/>
      <c r="KDC130" s="52"/>
      <c r="KDD130" s="52"/>
      <c r="KDE130" s="52"/>
      <c r="KDF130" s="52"/>
      <c r="KDG130" s="52"/>
      <c r="KDH130" s="52"/>
      <c r="KDI130" s="52"/>
      <c r="KDJ130" s="52"/>
      <c r="KDK130" s="52"/>
      <c r="KDL130" s="52"/>
      <c r="KDM130" s="52"/>
      <c r="KDN130" s="52"/>
      <c r="KDO130" s="52"/>
      <c r="KDP130" s="52"/>
      <c r="KDQ130" s="52"/>
      <c r="KDR130" s="52"/>
      <c r="KDS130" s="52"/>
      <c r="KDT130" s="52"/>
      <c r="KDU130" s="52"/>
      <c r="KDV130" s="52"/>
      <c r="KDW130" s="52"/>
      <c r="KDX130" s="52"/>
      <c r="KDY130" s="52"/>
      <c r="KDZ130" s="52"/>
      <c r="KEA130" s="52"/>
      <c r="KEB130" s="52"/>
      <c r="KEC130" s="52"/>
      <c r="KED130" s="52"/>
      <c r="KEE130" s="52"/>
      <c r="KEF130" s="52"/>
      <c r="KEG130" s="52"/>
      <c r="KEH130" s="52"/>
      <c r="KEI130" s="52"/>
      <c r="KEJ130" s="52"/>
      <c r="KEK130" s="52"/>
      <c r="KEL130" s="52"/>
      <c r="KEM130" s="52"/>
      <c r="KEN130" s="52"/>
      <c r="KEO130" s="52"/>
      <c r="KEP130" s="52"/>
      <c r="KEQ130" s="52"/>
      <c r="KER130" s="52"/>
      <c r="KES130" s="52"/>
      <c r="KET130" s="52"/>
      <c r="KEU130" s="52"/>
      <c r="KEV130" s="52"/>
      <c r="KEW130" s="52"/>
      <c r="KEX130" s="52"/>
      <c r="KEY130" s="52"/>
      <c r="KEZ130" s="52"/>
      <c r="KFA130" s="52"/>
      <c r="KFB130" s="52"/>
      <c r="KFC130" s="52"/>
      <c r="KFD130" s="52"/>
      <c r="KFE130" s="52"/>
      <c r="KFF130" s="52"/>
      <c r="KFG130" s="52"/>
      <c r="KFH130" s="52"/>
      <c r="KFI130" s="52"/>
      <c r="KFJ130" s="52"/>
      <c r="KFK130" s="52"/>
      <c r="KFL130" s="52"/>
      <c r="KFM130" s="52"/>
      <c r="KFN130" s="52"/>
      <c r="KFO130" s="52"/>
      <c r="KFP130" s="52"/>
      <c r="KFQ130" s="52"/>
      <c r="KFR130" s="52"/>
      <c r="KFS130" s="52"/>
      <c r="KFT130" s="52"/>
      <c r="KFU130" s="52"/>
      <c r="KFV130" s="52"/>
      <c r="KFW130" s="52"/>
      <c r="KFX130" s="52"/>
      <c r="KFY130" s="52"/>
      <c r="KFZ130" s="52"/>
      <c r="KGA130" s="52"/>
      <c r="KGB130" s="52"/>
      <c r="KGC130" s="52"/>
      <c r="KGD130" s="52"/>
      <c r="KGE130" s="52"/>
      <c r="KGF130" s="52"/>
      <c r="KGG130" s="52"/>
      <c r="KGH130" s="52"/>
      <c r="KGI130" s="52"/>
      <c r="KGJ130" s="52"/>
      <c r="KGK130" s="52"/>
      <c r="KGL130" s="52"/>
      <c r="KGM130" s="52"/>
      <c r="KGN130" s="52"/>
      <c r="KGO130" s="52"/>
      <c r="KGP130" s="52"/>
      <c r="KGQ130" s="52"/>
      <c r="KGR130" s="52"/>
      <c r="KGS130" s="52"/>
      <c r="KGT130" s="52"/>
      <c r="KGU130" s="52"/>
      <c r="KGV130" s="52"/>
      <c r="KGW130" s="52"/>
      <c r="KGX130" s="52"/>
      <c r="KGY130" s="52"/>
      <c r="KGZ130" s="52"/>
      <c r="KHA130" s="52"/>
      <c r="KHB130" s="52"/>
      <c r="KHC130" s="52"/>
      <c r="KHD130" s="52"/>
      <c r="KHE130" s="52"/>
      <c r="KHF130" s="52"/>
      <c r="KHG130" s="52"/>
      <c r="KHH130" s="52"/>
      <c r="KHI130" s="52"/>
      <c r="KHJ130" s="52"/>
      <c r="KHK130" s="52"/>
      <c r="KHL130" s="52"/>
      <c r="KHM130" s="52"/>
      <c r="KHN130" s="52"/>
      <c r="KHO130" s="52"/>
      <c r="KHP130" s="52"/>
      <c r="KHQ130" s="52"/>
      <c r="KHR130" s="52"/>
      <c r="KHS130" s="52"/>
      <c r="KHT130" s="52"/>
      <c r="KHU130" s="52"/>
      <c r="KHV130" s="52"/>
      <c r="KHW130" s="52"/>
      <c r="KHX130" s="52"/>
      <c r="KHY130" s="52"/>
      <c r="KHZ130" s="52"/>
      <c r="KIA130" s="52"/>
      <c r="KIB130" s="52"/>
      <c r="KIC130" s="52"/>
      <c r="KID130" s="52"/>
      <c r="KIE130" s="52"/>
      <c r="KIF130" s="52"/>
      <c r="KIG130" s="52"/>
      <c r="KIH130" s="52"/>
      <c r="KII130" s="52"/>
      <c r="KIJ130" s="52"/>
      <c r="KIK130" s="52"/>
      <c r="KIL130" s="52"/>
      <c r="KIM130" s="52"/>
      <c r="KIN130" s="52"/>
      <c r="KIO130" s="52"/>
      <c r="KIP130" s="52"/>
      <c r="KIQ130" s="52"/>
      <c r="KIR130" s="52"/>
      <c r="KIS130" s="52"/>
      <c r="KIT130" s="52"/>
      <c r="KIU130" s="52"/>
      <c r="KIV130" s="52"/>
      <c r="KIW130" s="52"/>
      <c r="KIX130" s="52"/>
      <c r="KIY130" s="52"/>
      <c r="KIZ130" s="52"/>
      <c r="KJA130" s="52"/>
      <c r="KJB130" s="52"/>
      <c r="KJC130" s="52"/>
      <c r="KJD130" s="52"/>
      <c r="KJE130" s="52"/>
      <c r="KJF130" s="52"/>
      <c r="KJG130" s="52"/>
      <c r="KJH130" s="52"/>
      <c r="KJI130" s="52"/>
      <c r="KJJ130" s="52"/>
      <c r="KJK130" s="52"/>
      <c r="KJL130" s="52"/>
      <c r="KJM130" s="52"/>
      <c r="KJN130" s="52"/>
      <c r="KJO130" s="52"/>
      <c r="KJP130" s="52"/>
      <c r="KJQ130" s="52"/>
      <c r="KJR130" s="52"/>
      <c r="KJS130" s="52"/>
      <c r="KJT130" s="52"/>
      <c r="KJU130" s="52"/>
      <c r="KJV130" s="52"/>
      <c r="KJW130" s="52"/>
      <c r="KJX130" s="52"/>
      <c r="KJY130" s="52"/>
      <c r="KJZ130" s="52"/>
      <c r="KKA130" s="52"/>
      <c r="KKB130" s="52"/>
      <c r="KKC130" s="52"/>
      <c r="KKD130" s="52"/>
      <c r="KKE130" s="52"/>
      <c r="KKF130" s="52"/>
      <c r="KKG130" s="52"/>
      <c r="KKH130" s="52"/>
      <c r="KKI130" s="52"/>
      <c r="KKJ130" s="52"/>
      <c r="KKK130" s="52"/>
      <c r="KKL130" s="52"/>
      <c r="KKM130" s="52"/>
      <c r="KKN130" s="52"/>
      <c r="KKO130" s="52"/>
      <c r="KKP130" s="52"/>
      <c r="KKQ130" s="52"/>
      <c r="KKR130" s="52"/>
      <c r="KKS130" s="52"/>
      <c r="KKT130" s="52"/>
      <c r="KKU130" s="52"/>
      <c r="KKV130" s="52"/>
      <c r="KKW130" s="52"/>
      <c r="KKX130" s="52"/>
      <c r="KKY130" s="52"/>
      <c r="KKZ130" s="52"/>
      <c r="KLA130" s="52"/>
      <c r="KLB130" s="52"/>
      <c r="KLC130" s="52"/>
      <c r="KLD130" s="52"/>
      <c r="KLE130" s="52"/>
      <c r="KLF130" s="52"/>
      <c r="KLG130" s="52"/>
      <c r="KLH130" s="52"/>
      <c r="KLI130" s="52"/>
      <c r="KLJ130" s="52"/>
      <c r="KLK130" s="52"/>
      <c r="KLL130" s="52"/>
      <c r="KLM130" s="52"/>
      <c r="KLN130" s="52"/>
      <c r="KLO130" s="52"/>
      <c r="KLP130" s="52"/>
      <c r="KLQ130" s="52"/>
      <c r="KLR130" s="52"/>
      <c r="KLS130" s="52"/>
      <c r="KLT130" s="52"/>
      <c r="KLU130" s="52"/>
      <c r="KLV130" s="52"/>
      <c r="KLW130" s="52"/>
      <c r="KLX130" s="52"/>
      <c r="KLY130" s="52"/>
      <c r="KLZ130" s="52"/>
      <c r="KMA130" s="52"/>
      <c r="KMB130" s="52"/>
      <c r="KMC130" s="52"/>
      <c r="KMD130" s="52"/>
      <c r="KME130" s="52"/>
      <c r="KMF130" s="52"/>
      <c r="KMG130" s="52"/>
      <c r="KMH130" s="52"/>
      <c r="KMI130" s="52"/>
      <c r="KMJ130" s="52"/>
      <c r="KMK130" s="52"/>
      <c r="KML130" s="52"/>
      <c r="KMM130" s="52"/>
      <c r="KMN130" s="52"/>
      <c r="KMO130" s="52"/>
      <c r="KMP130" s="52"/>
      <c r="KMQ130" s="52"/>
      <c r="KMR130" s="52"/>
      <c r="KMS130" s="52"/>
      <c r="KMT130" s="52"/>
      <c r="KMU130" s="52"/>
      <c r="KMV130" s="52"/>
      <c r="KMW130" s="52"/>
      <c r="KMX130" s="52"/>
      <c r="KMY130" s="52"/>
      <c r="KMZ130" s="52"/>
      <c r="KNA130" s="52"/>
      <c r="KNB130" s="52"/>
      <c r="KNC130" s="52"/>
      <c r="KND130" s="52"/>
      <c r="KNE130" s="52"/>
      <c r="KNF130" s="52"/>
      <c r="KNG130" s="52"/>
      <c r="KNH130" s="52"/>
      <c r="KNI130" s="52"/>
      <c r="KNJ130" s="52"/>
      <c r="KNK130" s="52"/>
      <c r="KNL130" s="52"/>
      <c r="KNM130" s="52"/>
      <c r="KNN130" s="52"/>
      <c r="KNO130" s="52"/>
      <c r="KNP130" s="52"/>
      <c r="KNQ130" s="52"/>
      <c r="KNR130" s="52"/>
      <c r="KNS130" s="52"/>
      <c r="KNT130" s="52"/>
      <c r="KNU130" s="52"/>
      <c r="KNV130" s="52"/>
      <c r="KNW130" s="52"/>
      <c r="KNX130" s="52"/>
      <c r="KNY130" s="52"/>
      <c r="KNZ130" s="52"/>
      <c r="KOA130" s="52"/>
      <c r="KOB130" s="52"/>
      <c r="KOC130" s="52"/>
      <c r="KOD130" s="52"/>
      <c r="KOE130" s="52"/>
      <c r="KOF130" s="52"/>
      <c r="KOG130" s="52"/>
      <c r="KOH130" s="52"/>
      <c r="KOI130" s="52"/>
      <c r="KOJ130" s="52"/>
      <c r="KOK130" s="52"/>
      <c r="KOL130" s="52"/>
      <c r="KOM130" s="52"/>
      <c r="KON130" s="52"/>
      <c r="KOO130" s="52"/>
      <c r="KOP130" s="52"/>
      <c r="KOQ130" s="52"/>
      <c r="KOR130" s="52"/>
      <c r="KOS130" s="52"/>
      <c r="KOT130" s="52"/>
      <c r="KOU130" s="52"/>
      <c r="KOV130" s="52"/>
      <c r="KOW130" s="52"/>
      <c r="KOX130" s="52"/>
      <c r="KOY130" s="52"/>
      <c r="KOZ130" s="52"/>
      <c r="KPA130" s="52"/>
      <c r="KPB130" s="52"/>
      <c r="KPC130" s="52"/>
      <c r="KPD130" s="52"/>
      <c r="KPE130" s="52"/>
      <c r="KPF130" s="52"/>
      <c r="KPG130" s="52"/>
      <c r="KPH130" s="52"/>
      <c r="KPI130" s="52"/>
      <c r="KPJ130" s="52"/>
      <c r="KPK130" s="52"/>
      <c r="KPL130" s="52"/>
      <c r="KPM130" s="52"/>
      <c r="KPN130" s="52"/>
      <c r="KPO130" s="52"/>
      <c r="KPP130" s="52"/>
      <c r="KPQ130" s="52"/>
      <c r="KPR130" s="52"/>
      <c r="KPS130" s="52"/>
      <c r="KPT130" s="52"/>
      <c r="KPU130" s="52"/>
      <c r="KPV130" s="52"/>
      <c r="KPW130" s="52"/>
      <c r="KPX130" s="52"/>
      <c r="KPY130" s="52"/>
      <c r="KPZ130" s="52"/>
      <c r="KQA130" s="52"/>
      <c r="KQB130" s="52"/>
      <c r="KQC130" s="52"/>
      <c r="KQD130" s="52"/>
      <c r="KQE130" s="52"/>
      <c r="KQF130" s="52"/>
      <c r="KQG130" s="52"/>
      <c r="KQH130" s="52"/>
      <c r="KQI130" s="52"/>
      <c r="KQJ130" s="52"/>
      <c r="KQK130" s="52"/>
      <c r="KQL130" s="52"/>
      <c r="KQM130" s="52"/>
      <c r="KQN130" s="52"/>
      <c r="KQO130" s="52"/>
      <c r="KQP130" s="52"/>
      <c r="KQQ130" s="52"/>
      <c r="KQR130" s="52"/>
      <c r="KQS130" s="52"/>
      <c r="KQT130" s="52"/>
      <c r="KQU130" s="52"/>
      <c r="KQV130" s="52"/>
      <c r="KQW130" s="52"/>
      <c r="KQX130" s="52"/>
      <c r="KQY130" s="52"/>
      <c r="KQZ130" s="52"/>
      <c r="KRA130" s="52"/>
      <c r="KRB130" s="52"/>
      <c r="KRC130" s="52"/>
      <c r="KRD130" s="52"/>
      <c r="KRE130" s="52"/>
      <c r="KRF130" s="52"/>
      <c r="KRG130" s="52"/>
      <c r="KRH130" s="52"/>
      <c r="KRI130" s="52"/>
      <c r="KRJ130" s="52"/>
      <c r="KRK130" s="52"/>
      <c r="KRL130" s="52"/>
      <c r="KRM130" s="52"/>
      <c r="KRN130" s="52"/>
      <c r="KRO130" s="52"/>
      <c r="KRP130" s="52"/>
      <c r="KRQ130" s="52"/>
      <c r="KRR130" s="52"/>
      <c r="KRS130" s="52"/>
      <c r="KRT130" s="52"/>
      <c r="KRU130" s="52"/>
      <c r="KRV130" s="52"/>
      <c r="KRW130" s="52"/>
      <c r="KRX130" s="52"/>
      <c r="KRY130" s="52"/>
      <c r="KRZ130" s="52"/>
      <c r="KSA130" s="52"/>
      <c r="KSB130" s="52"/>
      <c r="KSC130" s="52"/>
      <c r="KSD130" s="52"/>
      <c r="KSE130" s="52"/>
      <c r="KSF130" s="52"/>
      <c r="KSG130" s="52"/>
      <c r="KSH130" s="52"/>
      <c r="KSI130" s="52"/>
      <c r="KSJ130" s="52"/>
      <c r="KSK130" s="52"/>
      <c r="KSL130" s="52"/>
      <c r="KSM130" s="52"/>
      <c r="KSN130" s="52"/>
      <c r="KSO130" s="52"/>
      <c r="KSP130" s="52"/>
      <c r="KSQ130" s="52"/>
      <c r="KSR130" s="52"/>
      <c r="KSS130" s="52"/>
      <c r="KST130" s="52"/>
      <c r="KSU130" s="52"/>
      <c r="KSV130" s="52"/>
      <c r="KSW130" s="52"/>
      <c r="KSX130" s="52"/>
      <c r="KSY130" s="52"/>
      <c r="KSZ130" s="52"/>
      <c r="KTA130" s="52"/>
      <c r="KTB130" s="52"/>
      <c r="KTC130" s="52"/>
      <c r="KTD130" s="52"/>
      <c r="KTE130" s="52"/>
      <c r="KTF130" s="52"/>
      <c r="KTG130" s="52"/>
      <c r="KTH130" s="52"/>
      <c r="KTI130" s="52"/>
      <c r="KTJ130" s="52"/>
      <c r="KTK130" s="52"/>
      <c r="KTL130" s="52"/>
      <c r="KTM130" s="52"/>
      <c r="KTN130" s="52"/>
      <c r="KTO130" s="52"/>
      <c r="KTP130" s="52"/>
      <c r="KTQ130" s="52"/>
      <c r="KTR130" s="52"/>
      <c r="KTS130" s="52"/>
      <c r="KTT130" s="52"/>
      <c r="KTU130" s="52"/>
      <c r="KTV130" s="52"/>
      <c r="KTW130" s="52"/>
      <c r="KTX130" s="52"/>
      <c r="KTY130" s="52"/>
      <c r="KTZ130" s="52"/>
      <c r="KUA130" s="52"/>
      <c r="KUB130" s="52"/>
      <c r="KUC130" s="52"/>
      <c r="KUD130" s="52"/>
      <c r="KUE130" s="52"/>
      <c r="KUF130" s="52"/>
      <c r="KUG130" s="52"/>
      <c r="KUH130" s="52"/>
      <c r="KUI130" s="52"/>
      <c r="KUJ130" s="52"/>
      <c r="KUK130" s="52"/>
      <c r="KUL130" s="52"/>
      <c r="KUM130" s="52"/>
      <c r="KUN130" s="52"/>
      <c r="KUO130" s="52"/>
      <c r="KUP130" s="52"/>
      <c r="KUQ130" s="52"/>
      <c r="KUR130" s="52"/>
      <c r="KUS130" s="52"/>
      <c r="KUT130" s="52"/>
      <c r="KUU130" s="52"/>
      <c r="KUV130" s="52"/>
      <c r="KUW130" s="52"/>
      <c r="KUX130" s="52"/>
      <c r="KUY130" s="52"/>
      <c r="KUZ130" s="52"/>
      <c r="KVA130" s="52"/>
      <c r="KVB130" s="52"/>
      <c r="KVC130" s="52"/>
      <c r="KVD130" s="52"/>
      <c r="KVE130" s="52"/>
      <c r="KVF130" s="52"/>
      <c r="KVG130" s="52"/>
      <c r="KVH130" s="52"/>
      <c r="KVI130" s="52"/>
      <c r="KVJ130" s="52"/>
      <c r="KVK130" s="52"/>
      <c r="KVL130" s="52"/>
      <c r="KVM130" s="52"/>
      <c r="KVN130" s="52"/>
      <c r="KVO130" s="52"/>
      <c r="KVP130" s="52"/>
      <c r="KVQ130" s="52"/>
      <c r="KVR130" s="52"/>
      <c r="KVS130" s="52"/>
      <c r="KVT130" s="52"/>
      <c r="KVU130" s="52"/>
      <c r="KVV130" s="52"/>
      <c r="KVW130" s="52"/>
      <c r="KVX130" s="52"/>
      <c r="KVY130" s="52"/>
      <c r="KVZ130" s="52"/>
      <c r="KWA130" s="52"/>
      <c r="KWB130" s="52"/>
      <c r="KWC130" s="52"/>
      <c r="KWD130" s="52"/>
      <c r="KWE130" s="52"/>
      <c r="KWF130" s="52"/>
      <c r="KWG130" s="52"/>
      <c r="KWH130" s="52"/>
      <c r="KWI130" s="52"/>
      <c r="KWJ130" s="52"/>
      <c r="KWK130" s="52"/>
      <c r="KWL130" s="52"/>
      <c r="KWM130" s="52"/>
      <c r="KWN130" s="52"/>
      <c r="KWO130" s="52"/>
      <c r="KWP130" s="52"/>
      <c r="KWQ130" s="52"/>
      <c r="KWR130" s="52"/>
      <c r="KWS130" s="52"/>
      <c r="KWT130" s="52"/>
      <c r="KWU130" s="52"/>
      <c r="KWV130" s="52"/>
      <c r="KWW130" s="52"/>
      <c r="KWX130" s="52"/>
      <c r="KWY130" s="52"/>
      <c r="KWZ130" s="52"/>
      <c r="KXA130" s="52"/>
      <c r="KXB130" s="52"/>
      <c r="KXC130" s="52"/>
      <c r="KXD130" s="52"/>
      <c r="KXE130" s="52"/>
      <c r="KXF130" s="52"/>
      <c r="KXG130" s="52"/>
      <c r="KXH130" s="52"/>
      <c r="KXI130" s="52"/>
      <c r="KXJ130" s="52"/>
      <c r="KXK130" s="52"/>
      <c r="KXL130" s="52"/>
      <c r="KXM130" s="52"/>
      <c r="KXN130" s="52"/>
      <c r="KXO130" s="52"/>
      <c r="KXP130" s="52"/>
      <c r="KXQ130" s="52"/>
      <c r="KXR130" s="52"/>
      <c r="KXS130" s="52"/>
      <c r="KXT130" s="52"/>
      <c r="KXU130" s="52"/>
      <c r="KXV130" s="52"/>
      <c r="KXW130" s="52"/>
      <c r="KXX130" s="52"/>
      <c r="KXY130" s="52"/>
      <c r="KXZ130" s="52"/>
      <c r="KYA130" s="52"/>
      <c r="KYB130" s="52"/>
      <c r="KYC130" s="52"/>
      <c r="KYD130" s="52"/>
      <c r="KYE130" s="52"/>
      <c r="KYF130" s="52"/>
      <c r="KYG130" s="52"/>
      <c r="KYH130" s="52"/>
      <c r="KYI130" s="52"/>
      <c r="KYJ130" s="52"/>
      <c r="KYK130" s="52"/>
      <c r="KYL130" s="52"/>
      <c r="KYM130" s="52"/>
      <c r="KYN130" s="52"/>
      <c r="KYO130" s="52"/>
      <c r="KYP130" s="52"/>
      <c r="KYQ130" s="52"/>
      <c r="KYR130" s="52"/>
      <c r="KYS130" s="52"/>
      <c r="KYT130" s="52"/>
      <c r="KYU130" s="52"/>
      <c r="KYV130" s="52"/>
      <c r="KYW130" s="52"/>
      <c r="KYX130" s="52"/>
      <c r="KYY130" s="52"/>
      <c r="KYZ130" s="52"/>
      <c r="KZA130" s="52"/>
      <c r="KZB130" s="52"/>
      <c r="KZC130" s="52"/>
      <c r="KZD130" s="52"/>
      <c r="KZE130" s="52"/>
      <c r="KZF130" s="52"/>
      <c r="KZG130" s="52"/>
      <c r="KZH130" s="52"/>
      <c r="KZI130" s="52"/>
      <c r="KZJ130" s="52"/>
      <c r="KZK130" s="52"/>
      <c r="KZL130" s="52"/>
      <c r="KZM130" s="52"/>
      <c r="KZN130" s="52"/>
      <c r="KZO130" s="52"/>
      <c r="KZP130" s="52"/>
      <c r="KZQ130" s="52"/>
      <c r="KZR130" s="52"/>
      <c r="KZS130" s="52"/>
      <c r="KZT130" s="52"/>
      <c r="KZU130" s="52"/>
      <c r="KZV130" s="52"/>
      <c r="KZW130" s="52"/>
      <c r="KZX130" s="52"/>
      <c r="KZY130" s="52"/>
      <c r="KZZ130" s="52"/>
      <c r="LAA130" s="52"/>
      <c r="LAB130" s="52"/>
      <c r="LAC130" s="52"/>
      <c r="LAD130" s="52"/>
      <c r="LAE130" s="52"/>
      <c r="LAF130" s="52"/>
      <c r="LAG130" s="52"/>
      <c r="LAH130" s="52"/>
      <c r="LAI130" s="52"/>
      <c r="LAJ130" s="52"/>
      <c r="LAK130" s="52"/>
      <c r="LAL130" s="52"/>
      <c r="LAM130" s="52"/>
      <c r="LAN130" s="52"/>
      <c r="LAO130" s="52"/>
      <c r="LAP130" s="52"/>
      <c r="LAQ130" s="52"/>
      <c r="LAR130" s="52"/>
      <c r="LAS130" s="52"/>
      <c r="LAT130" s="52"/>
      <c r="LAU130" s="52"/>
      <c r="LAV130" s="52"/>
      <c r="LAW130" s="52"/>
      <c r="LAX130" s="52"/>
      <c r="LAY130" s="52"/>
      <c r="LAZ130" s="52"/>
      <c r="LBA130" s="52"/>
      <c r="LBB130" s="52"/>
      <c r="LBC130" s="52"/>
      <c r="LBD130" s="52"/>
      <c r="LBE130" s="52"/>
      <c r="LBF130" s="52"/>
      <c r="LBG130" s="52"/>
      <c r="LBH130" s="52"/>
      <c r="LBI130" s="52"/>
      <c r="LBJ130" s="52"/>
      <c r="LBK130" s="52"/>
      <c r="LBL130" s="52"/>
      <c r="LBM130" s="52"/>
      <c r="LBN130" s="52"/>
      <c r="LBO130" s="52"/>
      <c r="LBP130" s="52"/>
      <c r="LBQ130" s="52"/>
      <c r="LBR130" s="52"/>
      <c r="LBS130" s="52"/>
      <c r="LBT130" s="52"/>
      <c r="LBU130" s="52"/>
      <c r="LBV130" s="52"/>
      <c r="LBW130" s="52"/>
      <c r="LBX130" s="52"/>
      <c r="LBY130" s="52"/>
      <c r="LBZ130" s="52"/>
      <c r="LCA130" s="52"/>
      <c r="LCB130" s="52"/>
      <c r="LCC130" s="52"/>
      <c r="LCD130" s="52"/>
      <c r="LCE130" s="52"/>
      <c r="LCF130" s="52"/>
      <c r="LCG130" s="52"/>
      <c r="LCH130" s="52"/>
      <c r="LCI130" s="52"/>
      <c r="LCJ130" s="52"/>
      <c r="LCK130" s="52"/>
      <c r="LCL130" s="52"/>
      <c r="LCM130" s="52"/>
      <c r="LCN130" s="52"/>
      <c r="LCO130" s="52"/>
      <c r="LCP130" s="52"/>
      <c r="LCQ130" s="52"/>
      <c r="LCR130" s="52"/>
      <c r="LCS130" s="52"/>
      <c r="LCT130" s="52"/>
      <c r="LCU130" s="52"/>
      <c r="LCV130" s="52"/>
      <c r="LCW130" s="52"/>
      <c r="LCX130" s="52"/>
      <c r="LCY130" s="52"/>
      <c r="LCZ130" s="52"/>
      <c r="LDA130" s="52"/>
      <c r="LDB130" s="52"/>
      <c r="LDC130" s="52"/>
      <c r="LDD130" s="52"/>
      <c r="LDE130" s="52"/>
      <c r="LDF130" s="52"/>
      <c r="LDG130" s="52"/>
      <c r="LDH130" s="52"/>
      <c r="LDI130" s="52"/>
      <c r="LDJ130" s="52"/>
      <c r="LDK130" s="52"/>
      <c r="LDL130" s="52"/>
      <c r="LDM130" s="52"/>
      <c r="LDN130" s="52"/>
      <c r="LDO130" s="52"/>
      <c r="LDP130" s="52"/>
      <c r="LDQ130" s="52"/>
      <c r="LDR130" s="52"/>
      <c r="LDS130" s="52"/>
      <c r="LDT130" s="52"/>
      <c r="LDU130" s="52"/>
      <c r="LDV130" s="52"/>
      <c r="LDW130" s="52"/>
      <c r="LDX130" s="52"/>
      <c r="LDY130" s="52"/>
      <c r="LDZ130" s="52"/>
      <c r="LEA130" s="52"/>
      <c r="LEB130" s="52"/>
      <c r="LEC130" s="52"/>
      <c r="LED130" s="52"/>
      <c r="LEE130" s="52"/>
      <c r="LEF130" s="52"/>
      <c r="LEG130" s="52"/>
      <c r="LEH130" s="52"/>
      <c r="LEI130" s="52"/>
      <c r="LEJ130" s="52"/>
      <c r="LEK130" s="52"/>
      <c r="LEL130" s="52"/>
      <c r="LEM130" s="52"/>
      <c r="LEN130" s="52"/>
      <c r="LEO130" s="52"/>
      <c r="LEP130" s="52"/>
      <c r="LEQ130" s="52"/>
      <c r="LER130" s="52"/>
      <c r="LES130" s="52"/>
      <c r="LET130" s="52"/>
      <c r="LEU130" s="52"/>
      <c r="LEV130" s="52"/>
      <c r="LEW130" s="52"/>
      <c r="LEX130" s="52"/>
      <c r="LEY130" s="52"/>
      <c r="LEZ130" s="52"/>
      <c r="LFA130" s="52"/>
      <c r="LFB130" s="52"/>
      <c r="LFC130" s="52"/>
      <c r="LFD130" s="52"/>
      <c r="LFE130" s="52"/>
      <c r="LFF130" s="52"/>
      <c r="LFG130" s="52"/>
      <c r="LFH130" s="52"/>
      <c r="LFI130" s="52"/>
      <c r="LFJ130" s="52"/>
      <c r="LFK130" s="52"/>
      <c r="LFL130" s="52"/>
      <c r="LFM130" s="52"/>
      <c r="LFN130" s="52"/>
      <c r="LFO130" s="52"/>
      <c r="LFP130" s="52"/>
      <c r="LFQ130" s="52"/>
      <c r="LFR130" s="52"/>
      <c r="LFS130" s="52"/>
      <c r="LFT130" s="52"/>
      <c r="LFU130" s="52"/>
      <c r="LFV130" s="52"/>
      <c r="LFW130" s="52"/>
      <c r="LFX130" s="52"/>
      <c r="LFY130" s="52"/>
      <c r="LFZ130" s="52"/>
      <c r="LGA130" s="52"/>
      <c r="LGB130" s="52"/>
      <c r="LGC130" s="52"/>
      <c r="LGD130" s="52"/>
      <c r="LGE130" s="52"/>
      <c r="LGF130" s="52"/>
      <c r="LGG130" s="52"/>
      <c r="LGH130" s="52"/>
      <c r="LGI130" s="52"/>
      <c r="LGJ130" s="52"/>
      <c r="LGK130" s="52"/>
      <c r="LGL130" s="52"/>
      <c r="LGM130" s="52"/>
      <c r="LGN130" s="52"/>
      <c r="LGO130" s="52"/>
      <c r="LGP130" s="52"/>
      <c r="LGQ130" s="52"/>
      <c r="LGR130" s="52"/>
      <c r="LGS130" s="52"/>
      <c r="LGT130" s="52"/>
      <c r="LGU130" s="52"/>
      <c r="LGV130" s="52"/>
      <c r="LGW130" s="52"/>
      <c r="LGX130" s="52"/>
      <c r="LGY130" s="52"/>
      <c r="LGZ130" s="52"/>
      <c r="LHA130" s="52"/>
      <c r="LHB130" s="52"/>
      <c r="LHC130" s="52"/>
      <c r="LHD130" s="52"/>
      <c r="LHE130" s="52"/>
      <c r="LHF130" s="52"/>
      <c r="LHG130" s="52"/>
      <c r="LHH130" s="52"/>
      <c r="LHI130" s="52"/>
      <c r="LHJ130" s="52"/>
      <c r="LHK130" s="52"/>
      <c r="LHL130" s="52"/>
      <c r="LHM130" s="52"/>
      <c r="LHN130" s="52"/>
      <c r="LHO130" s="52"/>
      <c r="LHP130" s="52"/>
      <c r="LHQ130" s="52"/>
      <c r="LHR130" s="52"/>
      <c r="LHS130" s="52"/>
      <c r="LHT130" s="52"/>
      <c r="LHU130" s="52"/>
      <c r="LHV130" s="52"/>
      <c r="LHW130" s="52"/>
      <c r="LHX130" s="52"/>
      <c r="LHY130" s="52"/>
      <c r="LHZ130" s="52"/>
      <c r="LIA130" s="52"/>
      <c r="LIB130" s="52"/>
      <c r="LIC130" s="52"/>
      <c r="LID130" s="52"/>
      <c r="LIE130" s="52"/>
      <c r="LIF130" s="52"/>
      <c r="LIG130" s="52"/>
      <c r="LIH130" s="52"/>
      <c r="LII130" s="52"/>
      <c r="LIJ130" s="52"/>
      <c r="LIK130" s="52"/>
      <c r="LIL130" s="52"/>
      <c r="LIM130" s="52"/>
      <c r="LIN130" s="52"/>
      <c r="LIO130" s="52"/>
      <c r="LIP130" s="52"/>
      <c r="LIQ130" s="52"/>
      <c r="LIR130" s="52"/>
      <c r="LIS130" s="52"/>
      <c r="LIT130" s="52"/>
      <c r="LIU130" s="52"/>
      <c r="LIV130" s="52"/>
      <c r="LIW130" s="52"/>
      <c r="LIX130" s="52"/>
      <c r="LIY130" s="52"/>
      <c r="LIZ130" s="52"/>
      <c r="LJA130" s="52"/>
      <c r="LJB130" s="52"/>
      <c r="LJC130" s="52"/>
      <c r="LJD130" s="52"/>
      <c r="LJE130" s="52"/>
      <c r="LJF130" s="52"/>
      <c r="LJG130" s="52"/>
      <c r="LJH130" s="52"/>
      <c r="LJI130" s="52"/>
      <c r="LJJ130" s="52"/>
      <c r="LJK130" s="52"/>
      <c r="LJL130" s="52"/>
      <c r="LJM130" s="52"/>
      <c r="LJN130" s="52"/>
      <c r="LJO130" s="52"/>
      <c r="LJP130" s="52"/>
      <c r="LJQ130" s="52"/>
      <c r="LJR130" s="52"/>
      <c r="LJS130" s="52"/>
      <c r="LJT130" s="52"/>
      <c r="LJU130" s="52"/>
      <c r="LJV130" s="52"/>
      <c r="LJW130" s="52"/>
      <c r="LJX130" s="52"/>
      <c r="LJY130" s="52"/>
      <c r="LJZ130" s="52"/>
      <c r="LKA130" s="52"/>
      <c r="LKB130" s="52"/>
      <c r="LKC130" s="52"/>
      <c r="LKD130" s="52"/>
      <c r="LKE130" s="52"/>
      <c r="LKF130" s="52"/>
      <c r="LKG130" s="52"/>
      <c r="LKH130" s="52"/>
      <c r="LKI130" s="52"/>
      <c r="LKJ130" s="52"/>
      <c r="LKK130" s="52"/>
      <c r="LKL130" s="52"/>
      <c r="LKM130" s="52"/>
      <c r="LKN130" s="52"/>
      <c r="LKO130" s="52"/>
      <c r="LKP130" s="52"/>
      <c r="LKQ130" s="52"/>
      <c r="LKR130" s="52"/>
      <c r="LKS130" s="52"/>
      <c r="LKT130" s="52"/>
      <c r="LKU130" s="52"/>
      <c r="LKV130" s="52"/>
      <c r="LKW130" s="52"/>
      <c r="LKX130" s="52"/>
      <c r="LKY130" s="52"/>
      <c r="LKZ130" s="52"/>
      <c r="LLA130" s="52"/>
      <c r="LLB130" s="52"/>
      <c r="LLC130" s="52"/>
      <c r="LLD130" s="52"/>
      <c r="LLE130" s="52"/>
      <c r="LLF130" s="52"/>
      <c r="LLG130" s="52"/>
      <c r="LLH130" s="52"/>
      <c r="LLI130" s="52"/>
      <c r="LLJ130" s="52"/>
      <c r="LLK130" s="52"/>
      <c r="LLL130" s="52"/>
      <c r="LLM130" s="52"/>
      <c r="LLN130" s="52"/>
      <c r="LLO130" s="52"/>
      <c r="LLP130" s="52"/>
      <c r="LLQ130" s="52"/>
      <c r="LLR130" s="52"/>
      <c r="LLS130" s="52"/>
      <c r="LLT130" s="52"/>
      <c r="LLU130" s="52"/>
      <c r="LLV130" s="52"/>
      <c r="LLW130" s="52"/>
      <c r="LLX130" s="52"/>
      <c r="LLY130" s="52"/>
      <c r="LLZ130" s="52"/>
      <c r="LMA130" s="52"/>
      <c r="LMB130" s="52"/>
      <c r="LMC130" s="52"/>
      <c r="LMD130" s="52"/>
      <c r="LME130" s="52"/>
      <c r="LMF130" s="52"/>
      <c r="LMG130" s="52"/>
      <c r="LMH130" s="52"/>
      <c r="LMI130" s="52"/>
      <c r="LMJ130" s="52"/>
      <c r="LMK130" s="52"/>
      <c r="LML130" s="52"/>
      <c r="LMM130" s="52"/>
      <c r="LMN130" s="52"/>
      <c r="LMO130" s="52"/>
      <c r="LMP130" s="52"/>
      <c r="LMQ130" s="52"/>
      <c r="LMR130" s="52"/>
      <c r="LMS130" s="52"/>
      <c r="LMT130" s="52"/>
      <c r="LMU130" s="52"/>
      <c r="LMV130" s="52"/>
      <c r="LMW130" s="52"/>
      <c r="LMX130" s="52"/>
      <c r="LMY130" s="52"/>
      <c r="LMZ130" s="52"/>
      <c r="LNA130" s="52"/>
      <c r="LNB130" s="52"/>
      <c r="LNC130" s="52"/>
      <c r="LND130" s="52"/>
      <c r="LNE130" s="52"/>
      <c r="LNF130" s="52"/>
      <c r="LNG130" s="52"/>
      <c r="LNH130" s="52"/>
      <c r="LNI130" s="52"/>
      <c r="LNJ130" s="52"/>
      <c r="LNK130" s="52"/>
      <c r="LNL130" s="52"/>
      <c r="LNM130" s="52"/>
      <c r="LNN130" s="52"/>
      <c r="LNO130" s="52"/>
      <c r="LNP130" s="52"/>
      <c r="LNQ130" s="52"/>
      <c r="LNR130" s="52"/>
      <c r="LNS130" s="52"/>
      <c r="LNT130" s="52"/>
      <c r="LNU130" s="52"/>
      <c r="LNV130" s="52"/>
      <c r="LNW130" s="52"/>
      <c r="LNX130" s="52"/>
      <c r="LNY130" s="52"/>
      <c r="LNZ130" s="52"/>
      <c r="LOA130" s="52"/>
      <c r="LOB130" s="52"/>
      <c r="LOC130" s="52"/>
      <c r="LOD130" s="52"/>
      <c r="LOE130" s="52"/>
      <c r="LOF130" s="52"/>
      <c r="LOG130" s="52"/>
      <c r="LOH130" s="52"/>
      <c r="LOI130" s="52"/>
      <c r="LOJ130" s="52"/>
      <c r="LOK130" s="52"/>
      <c r="LOL130" s="52"/>
      <c r="LOM130" s="52"/>
      <c r="LON130" s="52"/>
      <c r="LOO130" s="52"/>
      <c r="LOP130" s="52"/>
      <c r="LOQ130" s="52"/>
      <c r="LOR130" s="52"/>
      <c r="LOS130" s="52"/>
      <c r="LOT130" s="52"/>
      <c r="LOU130" s="52"/>
      <c r="LOV130" s="52"/>
      <c r="LOW130" s="52"/>
      <c r="LOX130" s="52"/>
      <c r="LOY130" s="52"/>
      <c r="LOZ130" s="52"/>
      <c r="LPA130" s="52"/>
      <c r="LPB130" s="52"/>
      <c r="LPC130" s="52"/>
      <c r="LPD130" s="52"/>
      <c r="LPE130" s="52"/>
      <c r="LPF130" s="52"/>
      <c r="LPG130" s="52"/>
      <c r="LPH130" s="52"/>
      <c r="LPI130" s="52"/>
      <c r="LPJ130" s="52"/>
      <c r="LPK130" s="52"/>
      <c r="LPL130" s="52"/>
      <c r="LPM130" s="52"/>
      <c r="LPN130" s="52"/>
      <c r="LPO130" s="52"/>
      <c r="LPP130" s="52"/>
      <c r="LPQ130" s="52"/>
      <c r="LPR130" s="52"/>
      <c r="LPS130" s="52"/>
      <c r="LPT130" s="52"/>
      <c r="LPU130" s="52"/>
      <c r="LPV130" s="52"/>
      <c r="LPW130" s="52"/>
      <c r="LPX130" s="52"/>
      <c r="LPY130" s="52"/>
      <c r="LPZ130" s="52"/>
      <c r="LQA130" s="52"/>
      <c r="LQB130" s="52"/>
      <c r="LQC130" s="52"/>
      <c r="LQD130" s="52"/>
      <c r="LQE130" s="52"/>
      <c r="LQF130" s="52"/>
      <c r="LQG130" s="52"/>
      <c r="LQH130" s="52"/>
      <c r="LQI130" s="52"/>
      <c r="LQJ130" s="52"/>
      <c r="LQK130" s="52"/>
      <c r="LQL130" s="52"/>
      <c r="LQM130" s="52"/>
      <c r="LQN130" s="52"/>
      <c r="LQO130" s="52"/>
      <c r="LQP130" s="52"/>
      <c r="LQQ130" s="52"/>
      <c r="LQR130" s="52"/>
      <c r="LQS130" s="52"/>
      <c r="LQT130" s="52"/>
      <c r="LQU130" s="52"/>
      <c r="LQV130" s="52"/>
      <c r="LQW130" s="52"/>
      <c r="LQX130" s="52"/>
      <c r="LQY130" s="52"/>
      <c r="LQZ130" s="52"/>
      <c r="LRA130" s="52"/>
      <c r="LRB130" s="52"/>
      <c r="LRC130" s="52"/>
      <c r="LRD130" s="52"/>
      <c r="LRE130" s="52"/>
      <c r="LRF130" s="52"/>
      <c r="LRG130" s="52"/>
      <c r="LRH130" s="52"/>
      <c r="LRI130" s="52"/>
      <c r="LRJ130" s="52"/>
      <c r="LRK130" s="52"/>
      <c r="LRL130" s="52"/>
      <c r="LRM130" s="52"/>
      <c r="LRN130" s="52"/>
      <c r="LRO130" s="52"/>
      <c r="LRP130" s="52"/>
      <c r="LRQ130" s="52"/>
      <c r="LRR130" s="52"/>
      <c r="LRS130" s="52"/>
      <c r="LRT130" s="52"/>
      <c r="LRU130" s="52"/>
      <c r="LRV130" s="52"/>
      <c r="LRW130" s="52"/>
      <c r="LRX130" s="52"/>
      <c r="LRY130" s="52"/>
      <c r="LRZ130" s="52"/>
      <c r="LSA130" s="52"/>
      <c r="LSB130" s="52"/>
      <c r="LSC130" s="52"/>
      <c r="LSD130" s="52"/>
      <c r="LSE130" s="52"/>
      <c r="LSF130" s="52"/>
      <c r="LSG130" s="52"/>
      <c r="LSH130" s="52"/>
      <c r="LSI130" s="52"/>
      <c r="LSJ130" s="52"/>
      <c r="LSK130" s="52"/>
      <c r="LSL130" s="52"/>
      <c r="LSM130" s="52"/>
      <c r="LSN130" s="52"/>
      <c r="LSO130" s="52"/>
      <c r="LSP130" s="52"/>
      <c r="LSQ130" s="52"/>
      <c r="LSR130" s="52"/>
      <c r="LSS130" s="52"/>
      <c r="LST130" s="52"/>
      <c r="LSU130" s="52"/>
      <c r="LSV130" s="52"/>
      <c r="LSW130" s="52"/>
      <c r="LSX130" s="52"/>
      <c r="LSY130" s="52"/>
      <c r="LSZ130" s="52"/>
      <c r="LTA130" s="52"/>
      <c r="LTB130" s="52"/>
      <c r="LTC130" s="52"/>
      <c r="LTD130" s="52"/>
      <c r="LTE130" s="52"/>
      <c r="LTF130" s="52"/>
      <c r="LTG130" s="52"/>
      <c r="LTH130" s="52"/>
      <c r="LTI130" s="52"/>
      <c r="LTJ130" s="52"/>
      <c r="LTK130" s="52"/>
      <c r="LTL130" s="52"/>
      <c r="LTM130" s="52"/>
      <c r="LTN130" s="52"/>
      <c r="LTO130" s="52"/>
      <c r="LTP130" s="52"/>
      <c r="LTQ130" s="52"/>
      <c r="LTR130" s="52"/>
      <c r="LTS130" s="52"/>
      <c r="LTT130" s="52"/>
      <c r="LTU130" s="52"/>
      <c r="LTV130" s="52"/>
      <c r="LTW130" s="52"/>
      <c r="LTX130" s="52"/>
      <c r="LTY130" s="52"/>
      <c r="LTZ130" s="52"/>
      <c r="LUA130" s="52"/>
      <c r="LUB130" s="52"/>
      <c r="LUC130" s="52"/>
      <c r="LUD130" s="52"/>
      <c r="LUE130" s="52"/>
      <c r="LUF130" s="52"/>
      <c r="LUG130" s="52"/>
      <c r="LUH130" s="52"/>
      <c r="LUI130" s="52"/>
      <c r="LUJ130" s="52"/>
      <c r="LUK130" s="52"/>
      <c r="LUL130" s="52"/>
      <c r="LUM130" s="52"/>
      <c r="LUN130" s="52"/>
      <c r="LUO130" s="52"/>
      <c r="LUP130" s="52"/>
      <c r="LUQ130" s="52"/>
      <c r="LUR130" s="52"/>
      <c r="LUS130" s="52"/>
      <c r="LUT130" s="52"/>
      <c r="LUU130" s="52"/>
      <c r="LUV130" s="52"/>
      <c r="LUW130" s="52"/>
      <c r="LUX130" s="52"/>
      <c r="LUY130" s="52"/>
      <c r="LUZ130" s="52"/>
      <c r="LVA130" s="52"/>
      <c r="LVB130" s="52"/>
      <c r="LVC130" s="52"/>
      <c r="LVD130" s="52"/>
      <c r="LVE130" s="52"/>
      <c r="LVF130" s="52"/>
      <c r="LVG130" s="52"/>
      <c r="LVH130" s="52"/>
      <c r="LVI130" s="52"/>
      <c r="LVJ130" s="52"/>
      <c r="LVK130" s="52"/>
      <c r="LVL130" s="52"/>
      <c r="LVM130" s="52"/>
      <c r="LVN130" s="52"/>
      <c r="LVO130" s="52"/>
      <c r="LVP130" s="52"/>
      <c r="LVQ130" s="52"/>
      <c r="LVR130" s="52"/>
      <c r="LVS130" s="52"/>
      <c r="LVT130" s="52"/>
      <c r="LVU130" s="52"/>
      <c r="LVV130" s="52"/>
      <c r="LVW130" s="52"/>
      <c r="LVX130" s="52"/>
      <c r="LVY130" s="52"/>
      <c r="LVZ130" s="52"/>
      <c r="LWA130" s="52"/>
      <c r="LWB130" s="52"/>
      <c r="LWC130" s="52"/>
      <c r="LWD130" s="52"/>
      <c r="LWE130" s="52"/>
      <c r="LWF130" s="52"/>
      <c r="LWG130" s="52"/>
      <c r="LWH130" s="52"/>
      <c r="LWI130" s="52"/>
      <c r="LWJ130" s="52"/>
      <c r="LWK130" s="52"/>
      <c r="LWL130" s="52"/>
      <c r="LWM130" s="52"/>
      <c r="LWN130" s="52"/>
      <c r="LWO130" s="52"/>
      <c r="LWP130" s="52"/>
      <c r="LWQ130" s="52"/>
      <c r="LWR130" s="52"/>
      <c r="LWS130" s="52"/>
      <c r="LWT130" s="52"/>
      <c r="LWU130" s="52"/>
      <c r="LWV130" s="52"/>
      <c r="LWW130" s="52"/>
      <c r="LWX130" s="52"/>
      <c r="LWY130" s="52"/>
      <c r="LWZ130" s="52"/>
      <c r="LXA130" s="52"/>
      <c r="LXB130" s="52"/>
      <c r="LXC130" s="52"/>
      <c r="LXD130" s="52"/>
      <c r="LXE130" s="52"/>
      <c r="LXF130" s="52"/>
      <c r="LXG130" s="52"/>
      <c r="LXH130" s="52"/>
      <c r="LXI130" s="52"/>
      <c r="LXJ130" s="52"/>
      <c r="LXK130" s="52"/>
      <c r="LXL130" s="52"/>
      <c r="LXM130" s="52"/>
      <c r="LXN130" s="52"/>
      <c r="LXO130" s="52"/>
      <c r="LXP130" s="52"/>
      <c r="LXQ130" s="52"/>
      <c r="LXR130" s="52"/>
      <c r="LXS130" s="52"/>
      <c r="LXT130" s="52"/>
      <c r="LXU130" s="52"/>
      <c r="LXV130" s="52"/>
      <c r="LXW130" s="52"/>
      <c r="LXX130" s="52"/>
      <c r="LXY130" s="52"/>
      <c r="LXZ130" s="52"/>
      <c r="LYA130" s="52"/>
      <c r="LYB130" s="52"/>
      <c r="LYC130" s="52"/>
      <c r="LYD130" s="52"/>
      <c r="LYE130" s="52"/>
      <c r="LYF130" s="52"/>
      <c r="LYG130" s="52"/>
      <c r="LYH130" s="52"/>
      <c r="LYI130" s="52"/>
      <c r="LYJ130" s="52"/>
      <c r="LYK130" s="52"/>
      <c r="LYL130" s="52"/>
      <c r="LYM130" s="52"/>
      <c r="LYN130" s="52"/>
      <c r="LYO130" s="52"/>
      <c r="LYP130" s="52"/>
      <c r="LYQ130" s="52"/>
      <c r="LYR130" s="52"/>
      <c r="LYS130" s="52"/>
      <c r="LYT130" s="52"/>
      <c r="LYU130" s="52"/>
      <c r="LYV130" s="52"/>
      <c r="LYW130" s="52"/>
      <c r="LYX130" s="52"/>
      <c r="LYY130" s="52"/>
      <c r="LYZ130" s="52"/>
      <c r="LZA130" s="52"/>
      <c r="LZB130" s="52"/>
      <c r="LZC130" s="52"/>
      <c r="LZD130" s="52"/>
      <c r="LZE130" s="52"/>
      <c r="LZF130" s="52"/>
      <c r="LZG130" s="52"/>
      <c r="LZH130" s="52"/>
      <c r="LZI130" s="52"/>
      <c r="LZJ130" s="52"/>
      <c r="LZK130" s="52"/>
      <c r="LZL130" s="52"/>
      <c r="LZM130" s="52"/>
      <c r="LZN130" s="52"/>
      <c r="LZO130" s="52"/>
      <c r="LZP130" s="52"/>
      <c r="LZQ130" s="52"/>
      <c r="LZR130" s="52"/>
      <c r="LZS130" s="52"/>
      <c r="LZT130" s="52"/>
      <c r="LZU130" s="52"/>
      <c r="LZV130" s="52"/>
      <c r="LZW130" s="52"/>
      <c r="LZX130" s="52"/>
      <c r="LZY130" s="52"/>
      <c r="LZZ130" s="52"/>
      <c r="MAA130" s="52"/>
      <c r="MAB130" s="52"/>
      <c r="MAC130" s="52"/>
      <c r="MAD130" s="52"/>
      <c r="MAE130" s="52"/>
      <c r="MAF130" s="52"/>
      <c r="MAG130" s="52"/>
      <c r="MAH130" s="52"/>
      <c r="MAI130" s="52"/>
      <c r="MAJ130" s="52"/>
      <c r="MAK130" s="52"/>
      <c r="MAL130" s="52"/>
      <c r="MAM130" s="52"/>
      <c r="MAN130" s="52"/>
      <c r="MAO130" s="52"/>
      <c r="MAP130" s="52"/>
      <c r="MAQ130" s="52"/>
      <c r="MAR130" s="52"/>
      <c r="MAS130" s="52"/>
      <c r="MAT130" s="52"/>
      <c r="MAU130" s="52"/>
      <c r="MAV130" s="52"/>
      <c r="MAW130" s="52"/>
      <c r="MAX130" s="52"/>
      <c r="MAY130" s="52"/>
      <c r="MAZ130" s="52"/>
      <c r="MBA130" s="52"/>
      <c r="MBB130" s="52"/>
      <c r="MBC130" s="52"/>
      <c r="MBD130" s="52"/>
      <c r="MBE130" s="52"/>
      <c r="MBF130" s="52"/>
      <c r="MBG130" s="52"/>
      <c r="MBH130" s="52"/>
      <c r="MBI130" s="52"/>
      <c r="MBJ130" s="52"/>
      <c r="MBK130" s="52"/>
      <c r="MBL130" s="52"/>
      <c r="MBM130" s="52"/>
      <c r="MBN130" s="52"/>
      <c r="MBO130" s="52"/>
      <c r="MBP130" s="52"/>
      <c r="MBQ130" s="52"/>
      <c r="MBR130" s="52"/>
      <c r="MBS130" s="52"/>
      <c r="MBT130" s="52"/>
      <c r="MBU130" s="52"/>
      <c r="MBV130" s="52"/>
      <c r="MBW130" s="52"/>
      <c r="MBX130" s="52"/>
      <c r="MBY130" s="52"/>
      <c r="MBZ130" s="52"/>
      <c r="MCA130" s="52"/>
      <c r="MCB130" s="52"/>
      <c r="MCC130" s="52"/>
      <c r="MCD130" s="52"/>
      <c r="MCE130" s="52"/>
      <c r="MCF130" s="52"/>
      <c r="MCG130" s="52"/>
      <c r="MCH130" s="52"/>
      <c r="MCI130" s="52"/>
      <c r="MCJ130" s="52"/>
      <c r="MCK130" s="52"/>
      <c r="MCL130" s="52"/>
      <c r="MCM130" s="52"/>
      <c r="MCN130" s="52"/>
      <c r="MCO130" s="52"/>
      <c r="MCP130" s="52"/>
      <c r="MCQ130" s="52"/>
      <c r="MCR130" s="52"/>
      <c r="MCS130" s="52"/>
      <c r="MCT130" s="52"/>
      <c r="MCU130" s="52"/>
      <c r="MCV130" s="52"/>
      <c r="MCW130" s="52"/>
      <c r="MCX130" s="52"/>
      <c r="MCY130" s="52"/>
      <c r="MCZ130" s="52"/>
      <c r="MDA130" s="52"/>
      <c r="MDB130" s="52"/>
      <c r="MDC130" s="52"/>
      <c r="MDD130" s="52"/>
      <c r="MDE130" s="52"/>
      <c r="MDF130" s="52"/>
      <c r="MDG130" s="52"/>
      <c r="MDH130" s="52"/>
      <c r="MDI130" s="52"/>
      <c r="MDJ130" s="52"/>
      <c r="MDK130" s="52"/>
      <c r="MDL130" s="52"/>
      <c r="MDM130" s="52"/>
      <c r="MDN130" s="52"/>
      <c r="MDO130" s="52"/>
      <c r="MDP130" s="52"/>
      <c r="MDQ130" s="52"/>
      <c r="MDR130" s="52"/>
      <c r="MDS130" s="52"/>
      <c r="MDT130" s="52"/>
      <c r="MDU130" s="52"/>
      <c r="MDV130" s="52"/>
      <c r="MDW130" s="52"/>
      <c r="MDX130" s="52"/>
      <c r="MDY130" s="52"/>
      <c r="MDZ130" s="52"/>
      <c r="MEA130" s="52"/>
      <c r="MEB130" s="52"/>
      <c r="MEC130" s="52"/>
      <c r="MED130" s="52"/>
      <c r="MEE130" s="52"/>
      <c r="MEF130" s="52"/>
      <c r="MEG130" s="52"/>
      <c r="MEH130" s="52"/>
      <c r="MEI130" s="52"/>
      <c r="MEJ130" s="52"/>
      <c r="MEK130" s="52"/>
      <c r="MEL130" s="52"/>
      <c r="MEM130" s="52"/>
      <c r="MEN130" s="52"/>
      <c r="MEO130" s="52"/>
      <c r="MEP130" s="52"/>
      <c r="MEQ130" s="52"/>
      <c r="MER130" s="52"/>
      <c r="MES130" s="52"/>
      <c r="MET130" s="52"/>
      <c r="MEU130" s="52"/>
      <c r="MEV130" s="52"/>
      <c r="MEW130" s="52"/>
      <c r="MEX130" s="52"/>
      <c r="MEY130" s="52"/>
      <c r="MEZ130" s="52"/>
      <c r="MFA130" s="52"/>
      <c r="MFB130" s="52"/>
      <c r="MFC130" s="52"/>
      <c r="MFD130" s="52"/>
      <c r="MFE130" s="52"/>
      <c r="MFF130" s="52"/>
      <c r="MFG130" s="52"/>
      <c r="MFH130" s="52"/>
      <c r="MFI130" s="52"/>
      <c r="MFJ130" s="52"/>
      <c r="MFK130" s="52"/>
      <c r="MFL130" s="52"/>
      <c r="MFM130" s="52"/>
      <c r="MFN130" s="52"/>
      <c r="MFO130" s="52"/>
      <c r="MFP130" s="52"/>
      <c r="MFQ130" s="52"/>
      <c r="MFR130" s="52"/>
      <c r="MFS130" s="52"/>
      <c r="MFT130" s="52"/>
      <c r="MFU130" s="52"/>
      <c r="MFV130" s="52"/>
      <c r="MFW130" s="52"/>
      <c r="MFX130" s="52"/>
      <c r="MFY130" s="52"/>
      <c r="MFZ130" s="52"/>
      <c r="MGA130" s="52"/>
      <c r="MGB130" s="52"/>
      <c r="MGC130" s="52"/>
      <c r="MGD130" s="52"/>
      <c r="MGE130" s="52"/>
      <c r="MGF130" s="52"/>
      <c r="MGG130" s="52"/>
      <c r="MGH130" s="52"/>
      <c r="MGI130" s="52"/>
      <c r="MGJ130" s="52"/>
      <c r="MGK130" s="52"/>
      <c r="MGL130" s="52"/>
      <c r="MGM130" s="52"/>
      <c r="MGN130" s="52"/>
      <c r="MGO130" s="52"/>
      <c r="MGP130" s="52"/>
      <c r="MGQ130" s="52"/>
      <c r="MGR130" s="52"/>
      <c r="MGS130" s="52"/>
      <c r="MGT130" s="52"/>
      <c r="MGU130" s="52"/>
      <c r="MGV130" s="52"/>
      <c r="MGW130" s="52"/>
      <c r="MGX130" s="52"/>
      <c r="MGY130" s="52"/>
      <c r="MGZ130" s="52"/>
      <c r="MHA130" s="52"/>
      <c r="MHB130" s="52"/>
      <c r="MHC130" s="52"/>
      <c r="MHD130" s="52"/>
      <c r="MHE130" s="52"/>
      <c r="MHF130" s="52"/>
      <c r="MHG130" s="52"/>
      <c r="MHH130" s="52"/>
      <c r="MHI130" s="52"/>
      <c r="MHJ130" s="52"/>
      <c r="MHK130" s="52"/>
      <c r="MHL130" s="52"/>
      <c r="MHM130" s="52"/>
      <c r="MHN130" s="52"/>
      <c r="MHO130" s="52"/>
      <c r="MHP130" s="52"/>
      <c r="MHQ130" s="52"/>
      <c r="MHR130" s="52"/>
      <c r="MHS130" s="52"/>
      <c r="MHT130" s="52"/>
      <c r="MHU130" s="52"/>
      <c r="MHV130" s="52"/>
      <c r="MHW130" s="52"/>
      <c r="MHX130" s="52"/>
      <c r="MHY130" s="52"/>
      <c r="MHZ130" s="52"/>
      <c r="MIA130" s="52"/>
      <c r="MIB130" s="52"/>
      <c r="MIC130" s="52"/>
      <c r="MID130" s="52"/>
      <c r="MIE130" s="52"/>
      <c r="MIF130" s="52"/>
      <c r="MIG130" s="52"/>
      <c r="MIH130" s="52"/>
      <c r="MII130" s="52"/>
      <c r="MIJ130" s="52"/>
      <c r="MIK130" s="52"/>
      <c r="MIL130" s="52"/>
      <c r="MIM130" s="52"/>
      <c r="MIN130" s="52"/>
      <c r="MIO130" s="52"/>
      <c r="MIP130" s="52"/>
      <c r="MIQ130" s="52"/>
      <c r="MIR130" s="52"/>
      <c r="MIS130" s="52"/>
      <c r="MIT130" s="52"/>
      <c r="MIU130" s="52"/>
      <c r="MIV130" s="52"/>
      <c r="MIW130" s="52"/>
      <c r="MIX130" s="52"/>
      <c r="MIY130" s="52"/>
      <c r="MIZ130" s="52"/>
      <c r="MJA130" s="52"/>
      <c r="MJB130" s="52"/>
      <c r="MJC130" s="52"/>
      <c r="MJD130" s="52"/>
      <c r="MJE130" s="52"/>
      <c r="MJF130" s="52"/>
      <c r="MJG130" s="52"/>
      <c r="MJH130" s="52"/>
      <c r="MJI130" s="52"/>
      <c r="MJJ130" s="52"/>
      <c r="MJK130" s="52"/>
      <c r="MJL130" s="52"/>
      <c r="MJM130" s="52"/>
      <c r="MJN130" s="52"/>
      <c r="MJO130" s="52"/>
      <c r="MJP130" s="52"/>
      <c r="MJQ130" s="52"/>
      <c r="MJR130" s="52"/>
      <c r="MJS130" s="52"/>
      <c r="MJT130" s="52"/>
      <c r="MJU130" s="52"/>
      <c r="MJV130" s="52"/>
      <c r="MJW130" s="52"/>
      <c r="MJX130" s="52"/>
      <c r="MJY130" s="52"/>
      <c r="MJZ130" s="52"/>
      <c r="MKA130" s="52"/>
      <c r="MKB130" s="52"/>
      <c r="MKC130" s="52"/>
      <c r="MKD130" s="52"/>
      <c r="MKE130" s="52"/>
      <c r="MKF130" s="52"/>
      <c r="MKG130" s="52"/>
      <c r="MKH130" s="52"/>
      <c r="MKI130" s="52"/>
      <c r="MKJ130" s="52"/>
      <c r="MKK130" s="52"/>
      <c r="MKL130" s="52"/>
      <c r="MKM130" s="52"/>
      <c r="MKN130" s="52"/>
      <c r="MKO130" s="52"/>
      <c r="MKP130" s="52"/>
      <c r="MKQ130" s="52"/>
      <c r="MKR130" s="52"/>
      <c r="MKS130" s="52"/>
      <c r="MKT130" s="52"/>
      <c r="MKU130" s="52"/>
      <c r="MKV130" s="52"/>
      <c r="MKW130" s="52"/>
      <c r="MKX130" s="52"/>
      <c r="MKY130" s="52"/>
      <c r="MKZ130" s="52"/>
      <c r="MLA130" s="52"/>
      <c r="MLB130" s="52"/>
      <c r="MLC130" s="52"/>
      <c r="MLD130" s="52"/>
      <c r="MLE130" s="52"/>
      <c r="MLF130" s="52"/>
      <c r="MLG130" s="52"/>
      <c r="MLH130" s="52"/>
      <c r="MLI130" s="52"/>
      <c r="MLJ130" s="52"/>
      <c r="MLK130" s="52"/>
      <c r="MLL130" s="52"/>
      <c r="MLM130" s="52"/>
      <c r="MLN130" s="52"/>
      <c r="MLO130" s="52"/>
      <c r="MLP130" s="52"/>
      <c r="MLQ130" s="52"/>
      <c r="MLR130" s="52"/>
      <c r="MLS130" s="52"/>
      <c r="MLT130" s="52"/>
      <c r="MLU130" s="52"/>
      <c r="MLV130" s="52"/>
      <c r="MLW130" s="52"/>
      <c r="MLX130" s="52"/>
      <c r="MLY130" s="52"/>
      <c r="MLZ130" s="52"/>
      <c r="MMA130" s="52"/>
      <c r="MMB130" s="52"/>
      <c r="MMC130" s="52"/>
      <c r="MMD130" s="52"/>
      <c r="MME130" s="52"/>
      <c r="MMF130" s="52"/>
      <c r="MMG130" s="52"/>
      <c r="MMH130" s="52"/>
      <c r="MMI130" s="52"/>
      <c r="MMJ130" s="52"/>
      <c r="MMK130" s="52"/>
      <c r="MML130" s="52"/>
      <c r="MMM130" s="52"/>
      <c r="MMN130" s="52"/>
      <c r="MMO130" s="52"/>
      <c r="MMP130" s="52"/>
      <c r="MMQ130" s="52"/>
      <c r="MMR130" s="52"/>
      <c r="MMS130" s="52"/>
      <c r="MMT130" s="52"/>
      <c r="MMU130" s="52"/>
      <c r="MMV130" s="52"/>
      <c r="MMW130" s="52"/>
      <c r="MMX130" s="52"/>
      <c r="MMY130" s="52"/>
      <c r="MMZ130" s="52"/>
      <c r="MNA130" s="52"/>
      <c r="MNB130" s="52"/>
      <c r="MNC130" s="52"/>
      <c r="MND130" s="52"/>
      <c r="MNE130" s="52"/>
      <c r="MNF130" s="52"/>
      <c r="MNG130" s="52"/>
      <c r="MNH130" s="52"/>
      <c r="MNI130" s="52"/>
      <c r="MNJ130" s="52"/>
      <c r="MNK130" s="52"/>
      <c r="MNL130" s="52"/>
      <c r="MNM130" s="52"/>
      <c r="MNN130" s="52"/>
      <c r="MNO130" s="52"/>
      <c r="MNP130" s="52"/>
      <c r="MNQ130" s="52"/>
      <c r="MNR130" s="52"/>
      <c r="MNS130" s="52"/>
      <c r="MNT130" s="52"/>
      <c r="MNU130" s="52"/>
      <c r="MNV130" s="52"/>
      <c r="MNW130" s="52"/>
      <c r="MNX130" s="52"/>
      <c r="MNY130" s="52"/>
      <c r="MNZ130" s="52"/>
      <c r="MOA130" s="52"/>
      <c r="MOB130" s="52"/>
      <c r="MOC130" s="52"/>
      <c r="MOD130" s="52"/>
      <c r="MOE130" s="52"/>
      <c r="MOF130" s="52"/>
      <c r="MOG130" s="52"/>
      <c r="MOH130" s="52"/>
      <c r="MOI130" s="52"/>
      <c r="MOJ130" s="52"/>
      <c r="MOK130" s="52"/>
      <c r="MOL130" s="52"/>
      <c r="MOM130" s="52"/>
      <c r="MON130" s="52"/>
      <c r="MOO130" s="52"/>
      <c r="MOP130" s="52"/>
      <c r="MOQ130" s="52"/>
      <c r="MOR130" s="52"/>
      <c r="MOS130" s="52"/>
      <c r="MOT130" s="52"/>
      <c r="MOU130" s="52"/>
      <c r="MOV130" s="52"/>
      <c r="MOW130" s="52"/>
      <c r="MOX130" s="52"/>
      <c r="MOY130" s="52"/>
      <c r="MOZ130" s="52"/>
      <c r="MPA130" s="52"/>
      <c r="MPB130" s="52"/>
      <c r="MPC130" s="52"/>
      <c r="MPD130" s="52"/>
      <c r="MPE130" s="52"/>
      <c r="MPF130" s="52"/>
      <c r="MPG130" s="52"/>
      <c r="MPH130" s="52"/>
      <c r="MPI130" s="52"/>
      <c r="MPJ130" s="52"/>
      <c r="MPK130" s="52"/>
      <c r="MPL130" s="52"/>
      <c r="MPM130" s="52"/>
      <c r="MPN130" s="52"/>
      <c r="MPO130" s="52"/>
      <c r="MPP130" s="52"/>
      <c r="MPQ130" s="52"/>
      <c r="MPR130" s="52"/>
      <c r="MPS130" s="52"/>
      <c r="MPT130" s="52"/>
      <c r="MPU130" s="52"/>
      <c r="MPV130" s="52"/>
      <c r="MPW130" s="52"/>
      <c r="MPX130" s="52"/>
      <c r="MPY130" s="52"/>
      <c r="MPZ130" s="52"/>
      <c r="MQA130" s="52"/>
      <c r="MQB130" s="52"/>
      <c r="MQC130" s="52"/>
      <c r="MQD130" s="52"/>
      <c r="MQE130" s="52"/>
      <c r="MQF130" s="52"/>
      <c r="MQG130" s="52"/>
      <c r="MQH130" s="52"/>
      <c r="MQI130" s="52"/>
      <c r="MQJ130" s="52"/>
      <c r="MQK130" s="52"/>
      <c r="MQL130" s="52"/>
      <c r="MQM130" s="52"/>
      <c r="MQN130" s="52"/>
      <c r="MQO130" s="52"/>
      <c r="MQP130" s="52"/>
      <c r="MQQ130" s="52"/>
      <c r="MQR130" s="52"/>
      <c r="MQS130" s="52"/>
      <c r="MQT130" s="52"/>
      <c r="MQU130" s="52"/>
      <c r="MQV130" s="52"/>
      <c r="MQW130" s="52"/>
      <c r="MQX130" s="52"/>
      <c r="MQY130" s="52"/>
      <c r="MQZ130" s="52"/>
      <c r="MRA130" s="52"/>
      <c r="MRB130" s="52"/>
      <c r="MRC130" s="52"/>
      <c r="MRD130" s="52"/>
      <c r="MRE130" s="52"/>
      <c r="MRF130" s="52"/>
      <c r="MRG130" s="52"/>
      <c r="MRH130" s="52"/>
      <c r="MRI130" s="52"/>
      <c r="MRJ130" s="52"/>
      <c r="MRK130" s="52"/>
      <c r="MRL130" s="52"/>
      <c r="MRM130" s="52"/>
      <c r="MRN130" s="52"/>
      <c r="MRO130" s="52"/>
      <c r="MRP130" s="52"/>
      <c r="MRQ130" s="52"/>
      <c r="MRR130" s="52"/>
      <c r="MRS130" s="52"/>
      <c r="MRT130" s="52"/>
      <c r="MRU130" s="52"/>
      <c r="MRV130" s="52"/>
      <c r="MRW130" s="52"/>
      <c r="MRX130" s="52"/>
      <c r="MRY130" s="52"/>
      <c r="MRZ130" s="52"/>
      <c r="MSA130" s="52"/>
      <c r="MSB130" s="52"/>
      <c r="MSC130" s="52"/>
      <c r="MSD130" s="52"/>
      <c r="MSE130" s="52"/>
      <c r="MSF130" s="52"/>
      <c r="MSG130" s="52"/>
      <c r="MSH130" s="52"/>
      <c r="MSI130" s="52"/>
      <c r="MSJ130" s="52"/>
      <c r="MSK130" s="52"/>
      <c r="MSL130" s="52"/>
      <c r="MSM130" s="52"/>
      <c r="MSN130" s="52"/>
      <c r="MSO130" s="52"/>
      <c r="MSP130" s="52"/>
      <c r="MSQ130" s="52"/>
      <c r="MSR130" s="52"/>
      <c r="MSS130" s="52"/>
      <c r="MST130" s="52"/>
      <c r="MSU130" s="52"/>
      <c r="MSV130" s="52"/>
      <c r="MSW130" s="52"/>
      <c r="MSX130" s="52"/>
      <c r="MSY130" s="52"/>
      <c r="MSZ130" s="52"/>
      <c r="MTA130" s="52"/>
      <c r="MTB130" s="52"/>
      <c r="MTC130" s="52"/>
      <c r="MTD130" s="52"/>
      <c r="MTE130" s="52"/>
      <c r="MTF130" s="52"/>
      <c r="MTG130" s="52"/>
      <c r="MTH130" s="52"/>
      <c r="MTI130" s="52"/>
      <c r="MTJ130" s="52"/>
      <c r="MTK130" s="52"/>
      <c r="MTL130" s="52"/>
      <c r="MTM130" s="52"/>
      <c r="MTN130" s="52"/>
      <c r="MTO130" s="52"/>
      <c r="MTP130" s="52"/>
      <c r="MTQ130" s="52"/>
      <c r="MTR130" s="52"/>
      <c r="MTS130" s="52"/>
      <c r="MTT130" s="52"/>
      <c r="MTU130" s="52"/>
      <c r="MTV130" s="52"/>
      <c r="MTW130" s="52"/>
      <c r="MTX130" s="52"/>
      <c r="MTY130" s="52"/>
      <c r="MTZ130" s="52"/>
      <c r="MUA130" s="52"/>
      <c r="MUB130" s="52"/>
      <c r="MUC130" s="52"/>
      <c r="MUD130" s="52"/>
      <c r="MUE130" s="52"/>
      <c r="MUF130" s="52"/>
      <c r="MUG130" s="52"/>
      <c r="MUH130" s="52"/>
      <c r="MUI130" s="52"/>
      <c r="MUJ130" s="52"/>
      <c r="MUK130" s="52"/>
      <c r="MUL130" s="52"/>
      <c r="MUM130" s="52"/>
      <c r="MUN130" s="52"/>
      <c r="MUO130" s="52"/>
      <c r="MUP130" s="52"/>
      <c r="MUQ130" s="52"/>
      <c r="MUR130" s="52"/>
      <c r="MUS130" s="52"/>
      <c r="MUT130" s="52"/>
      <c r="MUU130" s="52"/>
      <c r="MUV130" s="52"/>
      <c r="MUW130" s="52"/>
      <c r="MUX130" s="52"/>
      <c r="MUY130" s="52"/>
      <c r="MUZ130" s="52"/>
      <c r="MVA130" s="52"/>
      <c r="MVB130" s="52"/>
      <c r="MVC130" s="52"/>
      <c r="MVD130" s="52"/>
      <c r="MVE130" s="52"/>
      <c r="MVF130" s="52"/>
      <c r="MVG130" s="52"/>
      <c r="MVH130" s="52"/>
      <c r="MVI130" s="52"/>
      <c r="MVJ130" s="52"/>
      <c r="MVK130" s="52"/>
      <c r="MVL130" s="52"/>
      <c r="MVM130" s="52"/>
      <c r="MVN130" s="52"/>
      <c r="MVO130" s="52"/>
      <c r="MVP130" s="52"/>
      <c r="MVQ130" s="52"/>
      <c r="MVR130" s="52"/>
      <c r="MVS130" s="52"/>
      <c r="MVT130" s="52"/>
      <c r="MVU130" s="52"/>
      <c r="MVV130" s="52"/>
      <c r="MVW130" s="52"/>
      <c r="MVX130" s="52"/>
      <c r="MVY130" s="52"/>
      <c r="MVZ130" s="52"/>
      <c r="MWA130" s="52"/>
      <c r="MWB130" s="52"/>
      <c r="MWC130" s="52"/>
      <c r="MWD130" s="52"/>
      <c r="MWE130" s="52"/>
      <c r="MWF130" s="52"/>
      <c r="MWG130" s="52"/>
      <c r="MWH130" s="52"/>
      <c r="MWI130" s="52"/>
      <c r="MWJ130" s="52"/>
      <c r="MWK130" s="52"/>
      <c r="MWL130" s="52"/>
      <c r="MWM130" s="52"/>
      <c r="MWN130" s="52"/>
      <c r="MWO130" s="52"/>
      <c r="MWP130" s="52"/>
      <c r="MWQ130" s="52"/>
      <c r="MWR130" s="52"/>
      <c r="MWS130" s="52"/>
      <c r="MWT130" s="52"/>
      <c r="MWU130" s="52"/>
      <c r="MWV130" s="52"/>
      <c r="MWW130" s="52"/>
      <c r="MWX130" s="52"/>
      <c r="MWY130" s="52"/>
      <c r="MWZ130" s="52"/>
      <c r="MXA130" s="52"/>
      <c r="MXB130" s="52"/>
      <c r="MXC130" s="52"/>
      <c r="MXD130" s="52"/>
      <c r="MXE130" s="52"/>
      <c r="MXF130" s="52"/>
      <c r="MXG130" s="52"/>
      <c r="MXH130" s="52"/>
      <c r="MXI130" s="52"/>
      <c r="MXJ130" s="52"/>
      <c r="MXK130" s="52"/>
      <c r="MXL130" s="52"/>
      <c r="MXM130" s="52"/>
      <c r="MXN130" s="52"/>
      <c r="MXO130" s="52"/>
      <c r="MXP130" s="52"/>
      <c r="MXQ130" s="52"/>
      <c r="MXR130" s="52"/>
      <c r="MXS130" s="52"/>
      <c r="MXT130" s="52"/>
      <c r="MXU130" s="52"/>
      <c r="MXV130" s="52"/>
      <c r="MXW130" s="52"/>
      <c r="MXX130" s="52"/>
      <c r="MXY130" s="52"/>
      <c r="MXZ130" s="52"/>
      <c r="MYA130" s="52"/>
      <c r="MYB130" s="52"/>
      <c r="MYC130" s="52"/>
      <c r="MYD130" s="52"/>
      <c r="MYE130" s="52"/>
      <c r="MYF130" s="52"/>
      <c r="MYG130" s="52"/>
      <c r="MYH130" s="52"/>
      <c r="MYI130" s="52"/>
      <c r="MYJ130" s="52"/>
      <c r="MYK130" s="52"/>
      <c r="MYL130" s="52"/>
      <c r="MYM130" s="52"/>
      <c r="MYN130" s="52"/>
      <c r="MYO130" s="52"/>
      <c r="MYP130" s="52"/>
      <c r="MYQ130" s="52"/>
      <c r="MYR130" s="52"/>
      <c r="MYS130" s="52"/>
      <c r="MYT130" s="52"/>
      <c r="MYU130" s="52"/>
      <c r="MYV130" s="52"/>
      <c r="MYW130" s="52"/>
      <c r="MYX130" s="52"/>
      <c r="MYY130" s="52"/>
      <c r="MYZ130" s="52"/>
      <c r="MZA130" s="52"/>
      <c r="MZB130" s="52"/>
      <c r="MZC130" s="52"/>
      <c r="MZD130" s="52"/>
      <c r="MZE130" s="52"/>
      <c r="MZF130" s="52"/>
      <c r="MZG130" s="52"/>
      <c r="MZH130" s="52"/>
      <c r="MZI130" s="52"/>
      <c r="MZJ130" s="52"/>
      <c r="MZK130" s="52"/>
      <c r="MZL130" s="52"/>
      <c r="MZM130" s="52"/>
      <c r="MZN130" s="52"/>
      <c r="MZO130" s="52"/>
      <c r="MZP130" s="52"/>
      <c r="MZQ130" s="52"/>
      <c r="MZR130" s="52"/>
      <c r="MZS130" s="52"/>
      <c r="MZT130" s="52"/>
      <c r="MZU130" s="52"/>
      <c r="MZV130" s="52"/>
      <c r="MZW130" s="52"/>
      <c r="MZX130" s="52"/>
      <c r="MZY130" s="52"/>
      <c r="MZZ130" s="52"/>
      <c r="NAA130" s="52"/>
      <c r="NAB130" s="52"/>
      <c r="NAC130" s="52"/>
      <c r="NAD130" s="52"/>
      <c r="NAE130" s="52"/>
      <c r="NAF130" s="52"/>
      <c r="NAG130" s="52"/>
      <c r="NAH130" s="52"/>
      <c r="NAI130" s="52"/>
      <c r="NAJ130" s="52"/>
      <c r="NAK130" s="52"/>
      <c r="NAL130" s="52"/>
      <c r="NAM130" s="52"/>
      <c r="NAN130" s="52"/>
      <c r="NAO130" s="52"/>
      <c r="NAP130" s="52"/>
      <c r="NAQ130" s="52"/>
      <c r="NAR130" s="52"/>
      <c r="NAS130" s="52"/>
      <c r="NAT130" s="52"/>
      <c r="NAU130" s="52"/>
      <c r="NAV130" s="52"/>
      <c r="NAW130" s="52"/>
      <c r="NAX130" s="52"/>
      <c r="NAY130" s="52"/>
      <c r="NAZ130" s="52"/>
      <c r="NBA130" s="52"/>
      <c r="NBB130" s="52"/>
      <c r="NBC130" s="52"/>
      <c r="NBD130" s="52"/>
      <c r="NBE130" s="52"/>
      <c r="NBF130" s="52"/>
      <c r="NBG130" s="52"/>
      <c r="NBH130" s="52"/>
      <c r="NBI130" s="52"/>
      <c r="NBJ130" s="52"/>
      <c r="NBK130" s="52"/>
      <c r="NBL130" s="52"/>
      <c r="NBM130" s="52"/>
      <c r="NBN130" s="52"/>
      <c r="NBO130" s="52"/>
      <c r="NBP130" s="52"/>
      <c r="NBQ130" s="52"/>
      <c r="NBR130" s="52"/>
      <c r="NBS130" s="52"/>
      <c r="NBT130" s="52"/>
      <c r="NBU130" s="52"/>
      <c r="NBV130" s="52"/>
      <c r="NBW130" s="52"/>
      <c r="NBX130" s="52"/>
      <c r="NBY130" s="52"/>
      <c r="NBZ130" s="52"/>
      <c r="NCA130" s="52"/>
      <c r="NCB130" s="52"/>
      <c r="NCC130" s="52"/>
      <c r="NCD130" s="52"/>
      <c r="NCE130" s="52"/>
      <c r="NCF130" s="52"/>
      <c r="NCG130" s="52"/>
      <c r="NCH130" s="52"/>
      <c r="NCI130" s="52"/>
      <c r="NCJ130" s="52"/>
      <c r="NCK130" s="52"/>
      <c r="NCL130" s="52"/>
      <c r="NCM130" s="52"/>
      <c r="NCN130" s="52"/>
      <c r="NCO130" s="52"/>
      <c r="NCP130" s="52"/>
      <c r="NCQ130" s="52"/>
      <c r="NCR130" s="52"/>
      <c r="NCS130" s="52"/>
      <c r="NCT130" s="52"/>
      <c r="NCU130" s="52"/>
      <c r="NCV130" s="52"/>
      <c r="NCW130" s="52"/>
      <c r="NCX130" s="52"/>
      <c r="NCY130" s="52"/>
      <c r="NCZ130" s="52"/>
      <c r="NDA130" s="52"/>
      <c r="NDB130" s="52"/>
      <c r="NDC130" s="52"/>
      <c r="NDD130" s="52"/>
      <c r="NDE130" s="52"/>
      <c r="NDF130" s="52"/>
      <c r="NDG130" s="52"/>
      <c r="NDH130" s="52"/>
      <c r="NDI130" s="52"/>
      <c r="NDJ130" s="52"/>
      <c r="NDK130" s="52"/>
      <c r="NDL130" s="52"/>
      <c r="NDM130" s="52"/>
      <c r="NDN130" s="52"/>
      <c r="NDO130" s="52"/>
      <c r="NDP130" s="52"/>
      <c r="NDQ130" s="52"/>
      <c r="NDR130" s="52"/>
      <c r="NDS130" s="52"/>
      <c r="NDT130" s="52"/>
      <c r="NDU130" s="52"/>
      <c r="NDV130" s="52"/>
      <c r="NDW130" s="52"/>
      <c r="NDX130" s="52"/>
      <c r="NDY130" s="52"/>
      <c r="NDZ130" s="52"/>
      <c r="NEA130" s="52"/>
      <c r="NEB130" s="52"/>
      <c r="NEC130" s="52"/>
      <c r="NED130" s="52"/>
      <c r="NEE130" s="52"/>
      <c r="NEF130" s="52"/>
      <c r="NEG130" s="52"/>
      <c r="NEH130" s="52"/>
      <c r="NEI130" s="52"/>
      <c r="NEJ130" s="52"/>
      <c r="NEK130" s="52"/>
      <c r="NEL130" s="52"/>
      <c r="NEM130" s="52"/>
      <c r="NEN130" s="52"/>
      <c r="NEO130" s="52"/>
      <c r="NEP130" s="52"/>
      <c r="NEQ130" s="52"/>
      <c r="NER130" s="52"/>
      <c r="NES130" s="52"/>
      <c r="NET130" s="52"/>
      <c r="NEU130" s="52"/>
      <c r="NEV130" s="52"/>
      <c r="NEW130" s="52"/>
      <c r="NEX130" s="52"/>
      <c r="NEY130" s="52"/>
      <c r="NEZ130" s="52"/>
      <c r="NFA130" s="52"/>
      <c r="NFB130" s="52"/>
      <c r="NFC130" s="52"/>
      <c r="NFD130" s="52"/>
      <c r="NFE130" s="52"/>
      <c r="NFF130" s="52"/>
      <c r="NFG130" s="52"/>
      <c r="NFH130" s="52"/>
      <c r="NFI130" s="52"/>
      <c r="NFJ130" s="52"/>
      <c r="NFK130" s="52"/>
      <c r="NFL130" s="52"/>
      <c r="NFM130" s="52"/>
      <c r="NFN130" s="52"/>
      <c r="NFO130" s="52"/>
      <c r="NFP130" s="52"/>
      <c r="NFQ130" s="52"/>
      <c r="NFR130" s="52"/>
      <c r="NFS130" s="52"/>
      <c r="NFT130" s="52"/>
      <c r="NFU130" s="52"/>
      <c r="NFV130" s="52"/>
      <c r="NFW130" s="52"/>
      <c r="NFX130" s="52"/>
      <c r="NFY130" s="52"/>
      <c r="NFZ130" s="52"/>
      <c r="NGA130" s="52"/>
      <c r="NGB130" s="52"/>
      <c r="NGC130" s="52"/>
      <c r="NGD130" s="52"/>
      <c r="NGE130" s="52"/>
      <c r="NGF130" s="52"/>
      <c r="NGG130" s="52"/>
      <c r="NGH130" s="52"/>
      <c r="NGI130" s="52"/>
      <c r="NGJ130" s="52"/>
      <c r="NGK130" s="52"/>
      <c r="NGL130" s="52"/>
      <c r="NGM130" s="52"/>
      <c r="NGN130" s="52"/>
      <c r="NGO130" s="52"/>
      <c r="NGP130" s="52"/>
      <c r="NGQ130" s="52"/>
      <c r="NGR130" s="52"/>
      <c r="NGS130" s="52"/>
      <c r="NGT130" s="52"/>
      <c r="NGU130" s="52"/>
      <c r="NGV130" s="52"/>
      <c r="NGW130" s="52"/>
      <c r="NGX130" s="52"/>
      <c r="NGY130" s="52"/>
      <c r="NGZ130" s="52"/>
      <c r="NHA130" s="52"/>
      <c r="NHB130" s="52"/>
      <c r="NHC130" s="52"/>
      <c r="NHD130" s="52"/>
      <c r="NHE130" s="52"/>
      <c r="NHF130" s="52"/>
      <c r="NHG130" s="52"/>
      <c r="NHH130" s="52"/>
      <c r="NHI130" s="52"/>
      <c r="NHJ130" s="52"/>
      <c r="NHK130" s="52"/>
      <c r="NHL130" s="52"/>
      <c r="NHM130" s="52"/>
      <c r="NHN130" s="52"/>
      <c r="NHO130" s="52"/>
      <c r="NHP130" s="52"/>
      <c r="NHQ130" s="52"/>
      <c r="NHR130" s="52"/>
      <c r="NHS130" s="52"/>
      <c r="NHT130" s="52"/>
      <c r="NHU130" s="52"/>
      <c r="NHV130" s="52"/>
      <c r="NHW130" s="52"/>
      <c r="NHX130" s="52"/>
      <c r="NHY130" s="52"/>
      <c r="NHZ130" s="52"/>
      <c r="NIA130" s="52"/>
      <c r="NIB130" s="52"/>
      <c r="NIC130" s="52"/>
      <c r="NID130" s="52"/>
      <c r="NIE130" s="52"/>
      <c r="NIF130" s="52"/>
      <c r="NIG130" s="52"/>
      <c r="NIH130" s="52"/>
      <c r="NII130" s="52"/>
      <c r="NIJ130" s="52"/>
      <c r="NIK130" s="52"/>
      <c r="NIL130" s="52"/>
      <c r="NIM130" s="52"/>
      <c r="NIN130" s="52"/>
      <c r="NIO130" s="52"/>
      <c r="NIP130" s="52"/>
      <c r="NIQ130" s="52"/>
      <c r="NIR130" s="52"/>
      <c r="NIS130" s="52"/>
      <c r="NIT130" s="52"/>
      <c r="NIU130" s="52"/>
      <c r="NIV130" s="52"/>
      <c r="NIW130" s="52"/>
      <c r="NIX130" s="52"/>
      <c r="NIY130" s="52"/>
      <c r="NIZ130" s="52"/>
      <c r="NJA130" s="52"/>
      <c r="NJB130" s="52"/>
      <c r="NJC130" s="52"/>
      <c r="NJD130" s="52"/>
      <c r="NJE130" s="52"/>
      <c r="NJF130" s="52"/>
      <c r="NJG130" s="52"/>
      <c r="NJH130" s="52"/>
      <c r="NJI130" s="52"/>
      <c r="NJJ130" s="52"/>
      <c r="NJK130" s="52"/>
      <c r="NJL130" s="52"/>
      <c r="NJM130" s="52"/>
      <c r="NJN130" s="52"/>
      <c r="NJO130" s="52"/>
      <c r="NJP130" s="52"/>
      <c r="NJQ130" s="52"/>
      <c r="NJR130" s="52"/>
      <c r="NJS130" s="52"/>
      <c r="NJT130" s="52"/>
      <c r="NJU130" s="52"/>
      <c r="NJV130" s="52"/>
      <c r="NJW130" s="52"/>
      <c r="NJX130" s="52"/>
      <c r="NJY130" s="52"/>
      <c r="NJZ130" s="52"/>
      <c r="NKA130" s="52"/>
      <c r="NKB130" s="52"/>
      <c r="NKC130" s="52"/>
      <c r="NKD130" s="52"/>
      <c r="NKE130" s="52"/>
      <c r="NKF130" s="52"/>
      <c r="NKG130" s="52"/>
      <c r="NKH130" s="52"/>
      <c r="NKI130" s="52"/>
      <c r="NKJ130" s="52"/>
      <c r="NKK130" s="52"/>
      <c r="NKL130" s="52"/>
      <c r="NKM130" s="52"/>
      <c r="NKN130" s="52"/>
      <c r="NKO130" s="52"/>
      <c r="NKP130" s="52"/>
      <c r="NKQ130" s="52"/>
      <c r="NKR130" s="52"/>
      <c r="NKS130" s="52"/>
      <c r="NKT130" s="52"/>
      <c r="NKU130" s="52"/>
      <c r="NKV130" s="52"/>
      <c r="NKW130" s="52"/>
      <c r="NKX130" s="52"/>
      <c r="NKY130" s="52"/>
      <c r="NKZ130" s="52"/>
      <c r="NLA130" s="52"/>
      <c r="NLB130" s="52"/>
      <c r="NLC130" s="52"/>
      <c r="NLD130" s="52"/>
      <c r="NLE130" s="52"/>
      <c r="NLF130" s="52"/>
      <c r="NLG130" s="52"/>
      <c r="NLH130" s="52"/>
      <c r="NLI130" s="52"/>
      <c r="NLJ130" s="52"/>
      <c r="NLK130" s="52"/>
      <c r="NLL130" s="52"/>
      <c r="NLM130" s="52"/>
      <c r="NLN130" s="52"/>
      <c r="NLO130" s="52"/>
      <c r="NLP130" s="52"/>
      <c r="NLQ130" s="52"/>
      <c r="NLR130" s="52"/>
      <c r="NLS130" s="52"/>
      <c r="NLT130" s="52"/>
      <c r="NLU130" s="52"/>
      <c r="NLV130" s="52"/>
      <c r="NLW130" s="52"/>
      <c r="NLX130" s="52"/>
      <c r="NLY130" s="52"/>
      <c r="NLZ130" s="52"/>
      <c r="NMA130" s="52"/>
      <c r="NMB130" s="52"/>
      <c r="NMC130" s="52"/>
      <c r="NMD130" s="52"/>
      <c r="NME130" s="52"/>
      <c r="NMF130" s="52"/>
      <c r="NMG130" s="52"/>
      <c r="NMH130" s="52"/>
      <c r="NMI130" s="52"/>
      <c r="NMJ130" s="52"/>
      <c r="NMK130" s="52"/>
      <c r="NML130" s="52"/>
      <c r="NMM130" s="52"/>
      <c r="NMN130" s="52"/>
      <c r="NMO130" s="52"/>
      <c r="NMP130" s="52"/>
      <c r="NMQ130" s="52"/>
      <c r="NMR130" s="52"/>
      <c r="NMS130" s="52"/>
      <c r="NMT130" s="52"/>
      <c r="NMU130" s="52"/>
      <c r="NMV130" s="52"/>
      <c r="NMW130" s="52"/>
      <c r="NMX130" s="52"/>
      <c r="NMY130" s="52"/>
      <c r="NMZ130" s="52"/>
      <c r="NNA130" s="52"/>
      <c r="NNB130" s="52"/>
      <c r="NNC130" s="52"/>
      <c r="NND130" s="52"/>
      <c r="NNE130" s="52"/>
      <c r="NNF130" s="52"/>
      <c r="NNG130" s="52"/>
      <c r="NNH130" s="52"/>
      <c r="NNI130" s="52"/>
      <c r="NNJ130" s="52"/>
      <c r="NNK130" s="52"/>
      <c r="NNL130" s="52"/>
      <c r="NNM130" s="52"/>
      <c r="NNN130" s="52"/>
      <c r="NNO130" s="52"/>
      <c r="NNP130" s="52"/>
      <c r="NNQ130" s="52"/>
      <c r="NNR130" s="52"/>
      <c r="NNS130" s="52"/>
      <c r="NNT130" s="52"/>
      <c r="NNU130" s="52"/>
      <c r="NNV130" s="52"/>
      <c r="NNW130" s="52"/>
      <c r="NNX130" s="52"/>
      <c r="NNY130" s="52"/>
      <c r="NNZ130" s="52"/>
      <c r="NOA130" s="52"/>
      <c r="NOB130" s="52"/>
      <c r="NOC130" s="52"/>
      <c r="NOD130" s="52"/>
      <c r="NOE130" s="52"/>
      <c r="NOF130" s="52"/>
      <c r="NOG130" s="52"/>
      <c r="NOH130" s="52"/>
      <c r="NOI130" s="52"/>
      <c r="NOJ130" s="52"/>
      <c r="NOK130" s="52"/>
      <c r="NOL130" s="52"/>
      <c r="NOM130" s="52"/>
      <c r="NON130" s="52"/>
      <c r="NOO130" s="52"/>
      <c r="NOP130" s="52"/>
      <c r="NOQ130" s="52"/>
      <c r="NOR130" s="52"/>
      <c r="NOS130" s="52"/>
      <c r="NOT130" s="52"/>
      <c r="NOU130" s="52"/>
      <c r="NOV130" s="52"/>
      <c r="NOW130" s="52"/>
      <c r="NOX130" s="52"/>
      <c r="NOY130" s="52"/>
      <c r="NOZ130" s="52"/>
      <c r="NPA130" s="52"/>
      <c r="NPB130" s="52"/>
      <c r="NPC130" s="52"/>
      <c r="NPD130" s="52"/>
      <c r="NPE130" s="52"/>
      <c r="NPF130" s="52"/>
      <c r="NPG130" s="52"/>
      <c r="NPH130" s="52"/>
      <c r="NPI130" s="52"/>
      <c r="NPJ130" s="52"/>
      <c r="NPK130" s="52"/>
      <c r="NPL130" s="52"/>
      <c r="NPM130" s="52"/>
      <c r="NPN130" s="52"/>
      <c r="NPO130" s="52"/>
      <c r="NPP130" s="52"/>
      <c r="NPQ130" s="52"/>
      <c r="NPR130" s="52"/>
      <c r="NPS130" s="52"/>
      <c r="NPT130" s="52"/>
      <c r="NPU130" s="52"/>
      <c r="NPV130" s="52"/>
      <c r="NPW130" s="52"/>
      <c r="NPX130" s="52"/>
      <c r="NPY130" s="52"/>
      <c r="NPZ130" s="52"/>
      <c r="NQA130" s="52"/>
      <c r="NQB130" s="52"/>
      <c r="NQC130" s="52"/>
      <c r="NQD130" s="52"/>
      <c r="NQE130" s="52"/>
      <c r="NQF130" s="52"/>
      <c r="NQG130" s="52"/>
      <c r="NQH130" s="52"/>
      <c r="NQI130" s="52"/>
      <c r="NQJ130" s="52"/>
      <c r="NQK130" s="52"/>
      <c r="NQL130" s="52"/>
      <c r="NQM130" s="52"/>
      <c r="NQN130" s="52"/>
      <c r="NQO130" s="52"/>
      <c r="NQP130" s="52"/>
      <c r="NQQ130" s="52"/>
      <c r="NQR130" s="52"/>
      <c r="NQS130" s="52"/>
      <c r="NQT130" s="52"/>
      <c r="NQU130" s="52"/>
      <c r="NQV130" s="52"/>
      <c r="NQW130" s="52"/>
      <c r="NQX130" s="52"/>
      <c r="NQY130" s="52"/>
      <c r="NQZ130" s="52"/>
      <c r="NRA130" s="52"/>
      <c r="NRB130" s="52"/>
      <c r="NRC130" s="52"/>
      <c r="NRD130" s="52"/>
      <c r="NRE130" s="52"/>
      <c r="NRF130" s="52"/>
      <c r="NRG130" s="52"/>
      <c r="NRH130" s="52"/>
      <c r="NRI130" s="52"/>
      <c r="NRJ130" s="52"/>
      <c r="NRK130" s="52"/>
      <c r="NRL130" s="52"/>
      <c r="NRM130" s="52"/>
      <c r="NRN130" s="52"/>
      <c r="NRO130" s="52"/>
      <c r="NRP130" s="52"/>
      <c r="NRQ130" s="52"/>
      <c r="NRR130" s="52"/>
      <c r="NRS130" s="52"/>
      <c r="NRT130" s="52"/>
      <c r="NRU130" s="52"/>
      <c r="NRV130" s="52"/>
      <c r="NRW130" s="52"/>
      <c r="NRX130" s="52"/>
      <c r="NRY130" s="52"/>
      <c r="NRZ130" s="52"/>
      <c r="NSA130" s="52"/>
      <c r="NSB130" s="52"/>
      <c r="NSC130" s="52"/>
      <c r="NSD130" s="52"/>
      <c r="NSE130" s="52"/>
      <c r="NSF130" s="52"/>
      <c r="NSG130" s="52"/>
      <c r="NSH130" s="52"/>
      <c r="NSI130" s="52"/>
      <c r="NSJ130" s="52"/>
      <c r="NSK130" s="52"/>
      <c r="NSL130" s="52"/>
      <c r="NSM130" s="52"/>
      <c r="NSN130" s="52"/>
      <c r="NSO130" s="52"/>
      <c r="NSP130" s="52"/>
      <c r="NSQ130" s="52"/>
      <c r="NSR130" s="52"/>
      <c r="NSS130" s="52"/>
      <c r="NST130" s="52"/>
      <c r="NSU130" s="52"/>
      <c r="NSV130" s="52"/>
      <c r="NSW130" s="52"/>
      <c r="NSX130" s="52"/>
      <c r="NSY130" s="52"/>
      <c r="NSZ130" s="52"/>
      <c r="NTA130" s="52"/>
      <c r="NTB130" s="52"/>
      <c r="NTC130" s="52"/>
      <c r="NTD130" s="52"/>
      <c r="NTE130" s="52"/>
      <c r="NTF130" s="52"/>
      <c r="NTG130" s="52"/>
      <c r="NTH130" s="52"/>
      <c r="NTI130" s="52"/>
      <c r="NTJ130" s="52"/>
      <c r="NTK130" s="52"/>
      <c r="NTL130" s="52"/>
      <c r="NTM130" s="52"/>
      <c r="NTN130" s="52"/>
      <c r="NTO130" s="52"/>
      <c r="NTP130" s="52"/>
      <c r="NTQ130" s="52"/>
      <c r="NTR130" s="52"/>
      <c r="NTS130" s="52"/>
      <c r="NTT130" s="52"/>
      <c r="NTU130" s="52"/>
      <c r="NTV130" s="52"/>
      <c r="NTW130" s="52"/>
      <c r="NTX130" s="52"/>
      <c r="NTY130" s="52"/>
      <c r="NTZ130" s="52"/>
      <c r="NUA130" s="52"/>
      <c r="NUB130" s="52"/>
      <c r="NUC130" s="52"/>
      <c r="NUD130" s="52"/>
      <c r="NUE130" s="52"/>
      <c r="NUF130" s="52"/>
      <c r="NUG130" s="52"/>
      <c r="NUH130" s="52"/>
      <c r="NUI130" s="52"/>
      <c r="NUJ130" s="52"/>
      <c r="NUK130" s="52"/>
      <c r="NUL130" s="52"/>
      <c r="NUM130" s="52"/>
      <c r="NUN130" s="52"/>
      <c r="NUO130" s="52"/>
      <c r="NUP130" s="52"/>
      <c r="NUQ130" s="52"/>
      <c r="NUR130" s="52"/>
      <c r="NUS130" s="52"/>
      <c r="NUT130" s="52"/>
      <c r="NUU130" s="52"/>
      <c r="NUV130" s="52"/>
      <c r="NUW130" s="52"/>
      <c r="NUX130" s="52"/>
      <c r="NUY130" s="52"/>
      <c r="NUZ130" s="52"/>
      <c r="NVA130" s="52"/>
      <c r="NVB130" s="52"/>
      <c r="NVC130" s="52"/>
      <c r="NVD130" s="52"/>
      <c r="NVE130" s="52"/>
      <c r="NVF130" s="52"/>
      <c r="NVG130" s="52"/>
      <c r="NVH130" s="52"/>
      <c r="NVI130" s="52"/>
      <c r="NVJ130" s="52"/>
      <c r="NVK130" s="52"/>
      <c r="NVL130" s="52"/>
      <c r="NVM130" s="52"/>
      <c r="NVN130" s="52"/>
      <c r="NVO130" s="52"/>
      <c r="NVP130" s="52"/>
      <c r="NVQ130" s="52"/>
      <c r="NVR130" s="52"/>
      <c r="NVS130" s="52"/>
      <c r="NVT130" s="52"/>
      <c r="NVU130" s="52"/>
      <c r="NVV130" s="52"/>
      <c r="NVW130" s="52"/>
      <c r="NVX130" s="52"/>
      <c r="NVY130" s="52"/>
      <c r="NVZ130" s="52"/>
      <c r="NWA130" s="52"/>
      <c r="NWB130" s="52"/>
      <c r="NWC130" s="52"/>
      <c r="NWD130" s="52"/>
      <c r="NWE130" s="52"/>
      <c r="NWF130" s="52"/>
      <c r="NWG130" s="52"/>
      <c r="NWH130" s="52"/>
      <c r="NWI130" s="52"/>
      <c r="NWJ130" s="52"/>
      <c r="NWK130" s="52"/>
      <c r="NWL130" s="52"/>
      <c r="NWM130" s="52"/>
      <c r="NWN130" s="52"/>
      <c r="NWO130" s="52"/>
      <c r="NWP130" s="52"/>
      <c r="NWQ130" s="52"/>
      <c r="NWR130" s="52"/>
      <c r="NWS130" s="52"/>
      <c r="NWT130" s="52"/>
      <c r="NWU130" s="52"/>
      <c r="NWV130" s="52"/>
      <c r="NWW130" s="52"/>
      <c r="NWX130" s="52"/>
      <c r="NWY130" s="52"/>
      <c r="NWZ130" s="52"/>
      <c r="NXA130" s="52"/>
      <c r="NXB130" s="52"/>
      <c r="NXC130" s="52"/>
      <c r="NXD130" s="52"/>
      <c r="NXE130" s="52"/>
      <c r="NXF130" s="52"/>
      <c r="NXG130" s="52"/>
      <c r="NXH130" s="52"/>
      <c r="NXI130" s="52"/>
      <c r="NXJ130" s="52"/>
      <c r="NXK130" s="52"/>
      <c r="NXL130" s="52"/>
      <c r="NXM130" s="52"/>
      <c r="NXN130" s="52"/>
      <c r="NXO130" s="52"/>
      <c r="NXP130" s="52"/>
      <c r="NXQ130" s="52"/>
      <c r="NXR130" s="52"/>
      <c r="NXS130" s="52"/>
      <c r="NXT130" s="52"/>
      <c r="NXU130" s="52"/>
      <c r="NXV130" s="52"/>
      <c r="NXW130" s="52"/>
      <c r="NXX130" s="52"/>
      <c r="NXY130" s="52"/>
      <c r="NXZ130" s="52"/>
      <c r="NYA130" s="52"/>
      <c r="NYB130" s="52"/>
      <c r="NYC130" s="52"/>
      <c r="NYD130" s="52"/>
      <c r="NYE130" s="52"/>
      <c r="NYF130" s="52"/>
      <c r="NYG130" s="52"/>
      <c r="NYH130" s="52"/>
      <c r="NYI130" s="52"/>
      <c r="NYJ130" s="52"/>
      <c r="NYK130" s="52"/>
      <c r="NYL130" s="52"/>
      <c r="NYM130" s="52"/>
      <c r="NYN130" s="52"/>
      <c r="NYO130" s="52"/>
      <c r="NYP130" s="52"/>
      <c r="NYQ130" s="52"/>
      <c r="NYR130" s="52"/>
      <c r="NYS130" s="52"/>
      <c r="NYT130" s="52"/>
      <c r="NYU130" s="52"/>
      <c r="NYV130" s="52"/>
      <c r="NYW130" s="52"/>
      <c r="NYX130" s="52"/>
      <c r="NYY130" s="52"/>
      <c r="NYZ130" s="52"/>
      <c r="NZA130" s="52"/>
      <c r="NZB130" s="52"/>
      <c r="NZC130" s="52"/>
      <c r="NZD130" s="52"/>
      <c r="NZE130" s="52"/>
      <c r="NZF130" s="52"/>
      <c r="NZG130" s="52"/>
      <c r="NZH130" s="52"/>
      <c r="NZI130" s="52"/>
      <c r="NZJ130" s="52"/>
      <c r="NZK130" s="52"/>
      <c r="NZL130" s="52"/>
      <c r="NZM130" s="52"/>
      <c r="NZN130" s="52"/>
      <c r="NZO130" s="52"/>
      <c r="NZP130" s="52"/>
      <c r="NZQ130" s="52"/>
      <c r="NZR130" s="52"/>
      <c r="NZS130" s="52"/>
      <c r="NZT130" s="52"/>
      <c r="NZU130" s="52"/>
      <c r="NZV130" s="52"/>
      <c r="NZW130" s="52"/>
      <c r="NZX130" s="52"/>
      <c r="NZY130" s="52"/>
      <c r="NZZ130" s="52"/>
      <c r="OAA130" s="52"/>
      <c r="OAB130" s="52"/>
      <c r="OAC130" s="52"/>
      <c r="OAD130" s="52"/>
      <c r="OAE130" s="52"/>
      <c r="OAF130" s="52"/>
      <c r="OAG130" s="52"/>
      <c r="OAH130" s="52"/>
      <c r="OAI130" s="52"/>
      <c r="OAJ130" s="52"/>
      <c r="OAK130" s="52"/>
      <c r="OAL130" s="52"/>
      <c r="OAM130" s="52"/>
      <c r="OAN130" s="52"/>
      <c r="OAO130" s="52"/>
      <c r="OAP130" s="52"/>
      <c r="OAQ130" s="52"/>
      <c r="OAR130" s="52"/>
      <c r="OAS130" s="52"/>
      <c r="OAT130" s="52"/>
      <c r="OAU130" s="52"/>
      <c r="OAV130" s="52"/>
      <c r="OAW130" s="52"/>
      <c r="OAX130" s="52"/>
      <c r="OAY130" s="52"/>
      <c r="OAZ130" s="52"/>
      <c r="OBA130" s="52"/>
      <c r="OBB130" s="52"/>
      <c r="OBC130" s="52"/>
      <c r="OBD130" s="52"/>
      <c r="OBE130" s="52"/>
      <c r="OBF130" s="52"/>
      <c r="OBG130" s="52"/>
      <c r="OBH130" s="52"/>
      <c r="OBI130" s="52"/>
      <c r="OBJ130" s="52"/>
      <c r="OBK130" s="52"/>
      <c r="OBL130" s="52"/>
      <c r="OBM130" s="52"/>
      <c r="OBN130" s="52"/>
      <c r="OBO130" s="52"/>
      <c r="OBP130" s="52"/>
      <c r="OBQ130" s="52"/>
      <c r="OBR130" s="52"/>
      <c r="OBS130" s="52"/>
      <c r="OBT130" s="52"/>
      <c r="OBU130" s="52"/>
      <c r="OBV130" s="52"/>
      <c r="OBW130" s="52"/>
      <c r="OBX130" s="52"/>
      <c r="OBY130" s="52"/>
      <c r="OBZ130" s="52"/>
      <c r="OCA130" s="52"/>
      <c r="OCB130" s="52"/>
      <c r="OCC130" s="52"/>
      <c r="OCD130" s="52"/>
      <c r="OCE130" s="52"/>
      <c r="OCF130" s="52"/>
      <c r="OCG130" s="52"/>
      <c r="OCH130" s="52"/>
      <c r="OCI130" s="52"/>
      <c r="OCJ130" s="52"/>
      <c r="OCK130" s="52"/>
      <c r="OCL130" s="52"/>
      <c r="OCM130" s="52"/>
      <c r="OCN130" s="52"/>
      <c r="OCO130" s="52"/>
      <c r="OCP130" s="52"/>
      <c r="OCQ130" s="52"/>
      <c r="OCR130" s="52"/>
      <c r="OCS130" s="52"/>
      <c r="OCT130" s="52"/>
      <c r="OCU130" s="52"/>
      <c r="OCV130" s="52"/>
      <c r="OCW130" s="52"/>
      <c r="OCX130" s="52"/>
      <c r="OCY130" s="52"/>
      <c r="OCZ130" s="52"/>
      <c r="ODA130" s="52"/>
      <c r="ODB130" s="52"/>
      <c r="ODC130" s="52"/>
      <c r="ODD130" s="52"/>
      <c r="ODE130" s="52"/>
      <c r="ODF130" s="52"/>
      <c r="ODG130" s="52"/>
      <c r="ODH130" s="52"/>
      <c r="ODI130" s="52"/>
      <c r="ODJ130" s="52"/>
      <c r="ODK130" s="52"/>
      <c r="ODL130" s="52"/>
      <c r="ODM130" s="52"/>
      <c r="ODN130" s="52"/>
      <c r="ODO130" s="52"/>
      <c r="ODP130" s="52"/>
      <c r="ODQ130" s="52"/>
      <c r="ODR130" s="52"/>
      <c r="ODS130" s="52"/>
      <c r="ODT130" s="52"/>
      <c r="ODU130" s="52"/>
      <c r="ODV130" s="52"/>
      <c r="ODW130" s="52"/>
      <c r="ODX130" s="52"/>
      <c r="ODY130" s="52"/>
      <c r="ODZ130" s="52"/>
      <c r="OEA130" s="52"/>
      <c r="OEB130" s="52"/>
      <c r="OEC130" s="52"/>
      <c r="OED130" s="52"/>
      <c r="OEE130" s="52"/>
      <c r="OEF130" s="52"/>
      <c r="OEG130" s="52"/>
      <c r="OEH130" s="52"/>
      <c r="OEI130" s="52"/>
      <c r="OEJ130" s="52"/>
      <c r="OEK130" s="52"/>
      <c r="OEL130" s="52"/>
      <c r="OEM130" s="52"/>
      <c r="OEN130" s="52"/>
      <c r="OEO130" s="52"/>
      <c r="OEP130" s="52"/>
      <c r="OEQ130" s="52"/>
      <c r="OER130" s="52"/>
      <c r="OES130" s="52"/>
      <c r="OET130" s="52"/>
      <c r="OEU130" s="52"/>
      <c r="OEV130" s="52"/>
      <c r="OEW130" s="52"/>
      <c r="OEX130" s="52"/>
      <c r="OEY130" s="52"/>
      <c r="OEZ130" s="52"/>
      <c r="OFA130" s="52"/>
      <c r="OFB130" s="52"/>
      <c r="OFC130" s="52"/>
      <c r="OFD130" s="52"/>
      <c r="OFE130" s="52"/>
      <c r="OFF130" s="52"/>
      <c r="OFG130" s="52"/>
      <c r="OFH130" s="52"/>
      <c r="OFI130" s="52"/>
      <c r="OFJ130" s="52"/>
      <c r="OFK130" s="52"/>
      <c r="OFL130" s="52"/>
      <c r="OFM130" s="52"/>
      <c r="OFN130" s="52"/>
      <c r="OFO130" s="52"/>
      <c r="OFP130" s="52"/>
      <c r="OFQ130" s="52"/>
      <c r="OFR130" s="52"/>
      <c r="OFS130" s="52"/>
      <c r="OFT130" s="52"/>
      <c r="OFU130" s="52"/>
      <c r="OFV130" s="52"/>
      <c r="OFW130" s="52"/>
      <c r="OFX130" s="52"/>
      <c r="OFY130" s="52"/>
      <c r="OFZ130" s="52"/>
      <c r="OGA130" s="52"/>
      <c r="OGB130" s="52"/>
      <c r="OGC130" s="52"/>
      <c r="OGD130" s="52"/>
      <c r="OGE130" s="52"/>
      <c r="OGF130" s="52"/>
      <c r="OGG130" s="52"/>
      <c r="OGH130" s="52"/>
      <c r="OGI130" s="52"/>
      <c r="OGJ130" s="52"/>
      <c r="OGK130" s="52"/>
      <c r="OGL130" s="52"/>
      <c r="OGM130" s="52"/>
      <c r="OGN130" s="52"/>
      <c r="OGO130" s="52"/>
      <c r="OGP130" s="52"/>
      <c r="OGQ130" s="52"/>
      <c r="OGR130" s="52"/>
      <c r="OGS130" s="52"/>
      <c r="OGT130" s="52"/>
      <c r="OGU130" s="52"/>
      <c r="OGV130" s="52"/>
      <c r="OGW130" s="52"/>
      <c r="OGX130" s="52"/>
      <c r="OGY130" s="52"/>
      <c r="OGZ130" s="52"/>
      <c r="OHA130" s="52"/>
      <c r="OHB130" s="52"/>
      <c r="OHC130" s="52"/>
      <c r="OHD130" s="52"/>
      <c r="OHE130" s="52"/>
      <c r="OHF130" s="52"/>
      <c r="OHG130" s="52"/>
      <c r="OHH130" s="52"/>
      <c r="OHI130" s="52"/>
      <c r="OHJ130" s="52"/>
      <c r="OHK130" s="52"/>
      <c r="OHL130" s="52"/>
      <c r="OHM130" s="52"/>
      <c r="OHN130" s="52"/>
      <c r="OHO130" s="52"/>
      <c r="OHP130" s="52"/>
      <c r="OHQ130" s="52"/>
      <c r="OHR130" s="52"/>
      <c r="OHS130" s="52"/>
      <c r="OHT130" s="52"/>
      <c r="OHU130" s="52"/>
      <c r="OHV130" s="52"/>
      <c r="OHW130" s="52"/>
      <c r="OHX130" s="52"/>
      <c r="OHY130" s="52"/>
      <c r="OHZ130" s="52"/>
      <c r="OIA130" s="52"/>
      <c r="OIB130" s="52"/>
      <c r="OIC130" s="52"/>
      <c r="OID130" s="52"/>
      <c r="OIE130" s="52"/>
      <c r="OIF130" s="52"/>
      <c r="OIG130" s="52"/>
      <c r="OIH130" s="52"/>
      <c r="OII130" s="52"/>
      <c r="OIJ130" s="52"/>
      <c r="OIK130" s="52"/>
      <c r="OIL130" s="52"/>
      <c r="OIM130" s="52"/>
      <c r="OIN130" s="52"/>
      <c r="OIO130" s="52"/>
      <c r="OIP130" s="52"/>
      <c r="OIQ130" s="52"/>
      <c r="OIR130" s="52"/>
      <c r="OIS130" s="52"/>
      <c r="OIT130" s="52"/>
      <c r="OIU130" s="52"/>
      <c r="OIV130" s="52"/>
      <c r="OIW130" s="52"/>
      <c r="OIX130" s="52"/>
      <c r="OIY130" s="52"/>
      <c r="OIZ130" s="52"/>
      <c r="OJA130" s="52"/>
      <c r="OJB130" s="52"/>
      <c r="OJC130" s="52"/>
      <c r="OJD130" s="52"/>
      <c r="OJE130" s="52"/>
      <c r="OJF130" s="52"/>
      <c r="OJG130" s="52"/>
      <c r="OJH130" s="52"/>
      <c r="OJI130" s="52"/>
      <c r="OJJ130" s="52"/>
      <c r="OJK130" s="52"/>
      <c r="OJL130" s="52"/>
      <c r="OJM130" s="52"/>
      <c r="OJN130" s="52"/>
      <c r="OJO130" s="52"/>
      <c r="OJP130" s="52"/>
      <c r="OJQ130" s="52"/>
      <c r="OJR130" s="52"/>
      <c r="OJS130" s="52"/>
      <c r="OJT130" s="52"/>
      <c r="OJU130" s="52"/>
      <c r="OJV130" s="52"/>
      <c r="OJW130" s="52"/>
      <c r="OJX130" s="52"/>
      <c r="OJY130" s="52"/>
      <c r="OJZ130" s="52"/>
      <c r="OKA130" s="52"/>
      <c r="OKB130" s="52"/>
      <c r="OKC130" s="52"/>
      <c r="OKD130" s="52"/>
      <c r="OKE130" s="52"/>
      <c r="OKF130" s="52"/>
      <c r="OKG130" s="52"/>
      <c r="OKH130" s="52"/>
      <c r="OKI130" s="52"/>
      <c r="OKJ130" s="52"/>
      <c r="OKK130" s="52"/>
      <c r="OKL130" s="52"/>
      <c r="OKM130" s="52"/>
      <c r="OKN130" s="52"/>
      <c r="OKO130" s="52"/>
      <c r="OKP130" s="52"/>
      <c r="OKQ130" s="52"/>
      <c r="OKR130" s="52"/>
      <c r="OKS130" s="52"/>
      <c r="OKT130" s="52"/>
      <c r="OKU130" s="52"/>
      <c r="OKV130" s="52"/>
      <c r="OKW130" s="52"/>
      <c r="OKX130" s="52"/>
      <c r="OKY130" s="52"/>
      <c r="OKZ130" s="52"/>
      <c r="OLA130" s="52"/>
      <c r="OLB130" s="52"/>
      <c r="OLC130" s="52"/>
      <c r="OLD130" s="52"/>
      <c r="OLE130" s="52"/>
      <c r="OLF130" s="52"/>
      <c r="OLG130" s="52"/>
      <c r="OLH130" s="52"/>
      <c r="OLI130" s="52"/>
      <c r="OLJ130" s="52"/>
      <c r="OLK130" s="52"/>
      <c r="OLL130" s="52"/>
      <c r="OLM130" s="52"/>
      <c r="OLN130" s="52"/>
      <c r="OLO130" s="52"/>
      <c r="OLP130" s="52"/>
      <c r="OLQ130" s="52"/>
      <c r="OLR130" s="52"/>
      <c r="OLS130" s="52"/>
      <c r="OLT130" s="52"/>
      <c r="OLU130" s="52"/>
      <c r="OLV130" s="52"/>
      <c r="OLW130" s="52"/>
      <c r="OLX130" s="52"/>
      <c r="OLY130" s="52"/>
      <c r="OLZ130" s="52"/>
      <c r="OMA130" s="52"/>
      <c r="OMB130" s="52"/>
      <c r="OMC130" s="52"/>
      <c r="OMD130" s="52"/>
      <c r="OME130" s="52"/>
      <c r="OMF130" s="52"/>
      <c r="OMG130" s="52"/>
      <c r="OMH130" s="52"/>
      <c r="OMI130" s="52"/>
      <c r="OMJ130" s="52"/>
      <c r="OMK130" s="52"/>
      <c r="OML130" s="52"/>
      <c r="OMM130" s="52"/>
      <c r="OMN130" s="52"/>
      <c r="OMO130" s="52"/>
      <c r="OMP130" s="52"/>
      <c r="OMQ130" s="52"/>
      <c r="OMR130" s="52"/>
      <c r="OMS130" s="52"/>
      <c r="OMT130" s="52"/>
      <c r="OMU130" s="52"/>
      <c r="OMV130" s="52"/>
      <c r="OMW130" s="52"/>
      <c r="OMX130" s="52"/>
      <c r="OMY130" s="52"/>
      <c r="OMZ130" s="52"/>
      <c r="ONA130" s="52"/>
      <c r="ONB130" s="52"/>
      <c r="ONC130" s="52"/>
      <c r="OND130" s="52"/>
      <c r="ONE130" s="52"/>
      <c r="ONF130" s="52"/>
      <c r="ONG130" s="52"/>
      <c r="ONH130" s="52"/>
      <c r="ONI130" s="52"/>
      <c r="ONJ130" s="52"/>
      <c r="ONK130" s="52"/>
      <c r="ONL130" s="52"/>
      <c r="ONM130" s="52"/>
      <c r="ONN130" s="52"/>
      <c r="ONO130" s="52"/>
      <c r="ONP130" s="52"/>
      <c r="ONQ130" s="52"/>
      <c r="ONR130" s="52"/>
      <c r="ONS130" s="52"/>
      <c r="ONT130" s="52"/>
      <c r="ONU130" s="52"/>
      <c r="ONV130" s="52"/>
      <c r="ONW130" s="52"/>
      <c r="ONX130" s="52"/>
      <c r="ONY130" s="52"/>
      <c r="ONZ130" s="52"/>
      <c r="OOA130" s="52"/>
      <c r="OOB130" s="52"/>
      <c r="OOC130" s="52"/>
      <c r="OOD130" s="52"/>
      <c r="OOE130" s="52"/>
      <c r="OOF130" s="52"/>
      <c r="OOG130" s="52"/>
      <c r="OOH130" s="52"/>
      <c r="OOI130" s="52"/>
      <c r="OOJ130" s="52"/>
      <c r="OOK130" s="52"/>
      <c r="OOL130" s="52"/>
      <c r="OOM130" s="52"/>
      <c r="OON130" s="52"/>
      <c r="OOO130" s="52"/>
      <c r="OOP130" s="52"/>
      <c r="OOQ130" s="52"/>
      <c r="OOR130" s="52"/>
      <c r="OOS130" s="52"/>
      <c r="OOT130" s="52"/>
      <c r="OOU130" s="52"/>
      <c r="OOV130" s="52"/>
      <c r="OOW130" s="52"/>
      <c r="OOX130" s="52"/>
      <c r="OOY130" s="52"/>
      <c r="OOZ130" s="52"/>
      <c r="OPA130" s="52"/>
      <c r="OPB130" s="52"/>
      <c r="OPC130" s="52"/>
      <c r="OPD130" s="52"/>
      <c r="OPE130" s="52"/>
      <c r="OPF130" s="52"/>
      <c r="OPG130" s="52"/>
      <c r="OPH130" s="52"/>
      <c r="OPI130" s="52"/>
      <c r="OPJ130" s="52"/>
      <c r="OPK130" s="52"/>
      <c r="OPL130" s="52"/>
      <c r="OPM130" s="52"/>
      <c r="OPN130" s="52"/>
      <c r="OPO130" s="52"/>
      <c r="OPP130" s="52"/>
      <c r="OPQ130" s="52"/>
      <c r="OPR130" s="52"/>
      <c r="OPS130" s="52"/>
      <c r="OPT130" s="52"/>
      <c r="OPU130" s="52"/>
      <c r="OPV130" s="52"/>
      <c r="OPW130" s="52"/>
      <c r="OPX130" s="52"/>
      <c r="OPY130" s="52"/>
      <c r="OPZ130" s="52"/>
      <c r="OQA130" s="52"/>
      <c r="OQB130" s="52"/>
      <c r="OQC130" s="52"/>
      <c r="OQD130" s="52"/>
      <c r="OQE130" s="52"/>
      <c r="OQF130" s="52"/>
      <c r="OQG130" s="52"/>
      <c r="OQH130" s="52"/>
      <c r="OQI130" s="52"/>
      <c r="OQJ130" s="52"/>
      <c r="OQK130" s="52"/>
      <c r="OQL130" s="52"/>
      <c r="OQM130" s="52"/>
      <c r="OQN130" s="52"/>
      <c r="OQO130" s="52"/>
      <c r="OQP130" s="52"/>
      <c r="OQQ130" s="52"/>
      <c r="OQR130" s="52"/>
      <c r="OQS130" s="52"/>
      <c r="OQT130" s="52"/>
      <c r="OQU130" s="52"/>
      <c r="OQV130" s="52"/>
      <c r="OQW130" s="52"/>
      <c r="OQX130" s="52"/>
      <c r="OQY130" s="52"/>
      <c r="OQZ130" s="52"/>
      <c r="ORA130" s="52"/>
      <c r="ORB130" s="52"/>
      <c r="ORC130" s="52"/>
      <c r="ORD130" s="52"/>
      <c r="ORE130" s="52"/>
      <c r="ORF130" s="52"/>
      <c r="ORG130" s="52"/>
      <c r="ORH130" s="52"/>
      <c r="ORI130" s="52"/>
      <c r="ORJ130" s="52"/>
      <c r="ORK130" s="52"/>
      <c r="ORL130" s="52"/>
      <c r="ORM130" s="52"/>
      <c r="ORN130" s="52"/>
      <c r="ORO130" s="52"/>
      <c r="ORP130" s="52"/>
      <c r="ORQ130" s="52"/>
      <c r="ORR130" s="52"/>
      <c r="ORS130" s="52"/>
      <c r="ORT130" s="52"/>
      <c r="ORU130" s="52"/>
      <c r="ORV130" s="52"/>
      <c r="ORW130" s="52"/>
      <c r="ORX130" s="52"/>
      <c r="ORY130" s="52"/>
      <c r="ORZ130" s="52"/>
      <c r="OSA130" s="52"/>
      <c r="OSB130" s="52"/>
      <c r="OSC130" s="52"/>
      <c r="OSD130" s="52"/>
      <c r="OSE130" s="52"/>
      <c r="OSF130" s="52"/>
      <c r="OSG130" s="52"/>
      <c r="OSH130" s="52"/>
      <c r="OSI130" s="52"/>
      <c r="OSJ130" s="52"/>
      <c r="OSK130" s="52"/>
      <c r="OSL130" s="52"/>
      <c r="OSM130" s="52"/>
      <c r="OSN130" s="52"/>
      <c r="OSO130" s="52"/>
      <c r="OSP130" s="52"/>
      <c r="OSQ130" s="52"/>
      <c r="OSR130" s="52"/>
      <c r="OSS130" s="52"/>
      <c r="OST130" s="52"/>
      <c r="OSU130" s="52"/>
      <c r="OSV130" s="52"/>
      <c r="OSW130" s="52"/>
      <c r="OSX130" s="52"/>
      <c r="OSY130" s="52"/>
      <c r="OSZ130" s="52"/>
      <c r="OTA130" s="52"/>
      <c r="OTB130" s="52"/>
      <c r="OTC130" s="52"/>
      <c r="OTD130" s="52"/>
      <c r="OTE130" s="52"/>
      <c r="OTF130" s="52"/>
      <c r="OTG130" s="52"/>
      <c r="OTH130" s="52"/>
      <c r="OTI130" s="52"/>
      <c r="OTJ130" s="52"/>
      <c r="OTK130" s="52"/>
      <c r="OTL130" s="52"/>
      <c r="OTM130" s="52"/>
      <c r="OTN130" s="52"/>
      <c r="OTO130" s="52"/>
      <c r="OTP130" s="52"/>
      <c r="OTQ130" s="52"/>
      <c r="OTR130" s="52"/>
      <c r="OTS130" s="52"/>
      <c r="OTT130" s="52"/>
      <c r="OTU130" s="52"/>
      <c r="OTV130" s="52"/>
      <c r="OTW130" s="52"/>
      <c r="OTX130" s="52"/>
      <c r="OTY130" s="52"/>
      <c r="OTZ130" s="52"/>
      <c r="OUA130" s="52"/>
      <c r="OUB130" s="52"/>
      <c r="OUC130" s="52"/>
      <c r="OUD130" s="52"/>
      <c r="OUE130" s="52"/>
      <c r="OUF130" s="52"/>
      <c r="OUG130" s="52"/>
      <c r="OUH130" s="52"/>
      <c r="OUI130" s="52"/>
      <c r="OUJ130" s="52"/>
      <c r="OUK130" s="52"/>
      <c r="OUL130" s="52"/>
      <c r="OUM130" s="52"/>
      <c r="OUN130" s="52"/>
      <c r="OUO130" s="52"/>
      <c r="OUP130" s="52"/>
      <c r="OUQ130" s="52"/>
      <c r="OUR130" s="52"/>
      <c r="OUS130" s="52"/>
      <c r="OUT130" s="52"/>
      <c r="OUU130" s="52"/>
      <c r="OUV130" s="52"/>
      <c r="OUW130" s="52"/>
      <c r="OUX130" s="52"/>
      <c r="OUY130" s="52"/>
      <c r="OUZ130" s="52"/>
      <c r="OVA130" s="52"/>
      <c r="OVB130" s="52"/>
      <c r="OVC130" s="52"/>
      <c r="OVD130" s="52"/>
      <c r="OVE130" s="52"/>
      <c r="OVF130" s="52"/>
      <c r="OVG130" s="52"/>
      <c r="OVH130" s="52"/>
      <c r="OVI130" s="52"/>
      <c r="OVJ130" s="52"/>
      <c r="OVK130" s="52"/>
      <c r="OVL130" s="52"/>
      <c r="OVM130" s="52"/>
      <c r="OVN130" s="52"/>
      <c r="OVO130" s="52"/>
      <c r="OVP130" s="52"/>
      <c r="OVQ130" s="52"/>
      <c r="OVR130" s="52"/>
      <c r="OVS130" s="52"/>
      <c r="OVT130" s="52"/>
      <c r="OVU130" s="52"/>
      <c r="OVV130" s="52"/>
      <c r="OVW130" s="52"/>
      <c r="OVX130" s="52"/>
      <c r="OVY130" s="52"/>
      <c r="OVZ130" s="52"/>
      <c r="OWA130" s="52"/>
      <c r="OWB130" s="52"/>
      <c r="OWC130" s="52"/>
      <c r="OWD130" s="52"/>
      <c r="OWE130" s="52"/>
      <c r="OWF130" s="52"/>
      <c r="OWG130" s="52"/>
      <c r="OWH130" s="52"/>
      <c r="OWI130" s="52"/>
      <c r="OWJ130" s="52"/>
      <c r="OWK130" s="52"/>
      <c r="OWL130" s="52"/>
      <c r="OWM130" s="52"/>
      <c r="OWN130" s="52"/>
      <c r="OWO130" s="52"/>
      <c r="OWP130" s="52"/>
      <c r="OWQ130" s="52"/>
      <c r="OWR130" s="52"/>
      <c r="OWS130" s="52"/>
      <c r="OWT130" s="52"/>
      <c r="OWU130" s="52"/>
      <c r="OWV130" s="52"/>
      <c r="OWW130" s="52"/>
      <c r="OWX130" s="52"/>
      <c r="OWY130" s="52"/>
      <c r="OWZ130" s="52"/>
      <c r="OXA130" s="52"/>
      <c r="OXB130" s="52"/>
      <c r="OXC130" s="52"/>
      <c r="OXD130" s="52"/>
      <c r="OXE130" s="52"/>
      <c r="OXF130" s="52"/>
      <c r="OXG130" s="52"/>
      <c r="OXH130" s="52"/>
      <c r="OXI130" s="52"/>
      <c r="OXJ130" s="52"/>
      <c r="OXK130" s="52"/>
      <c r="OXL130" s="52"/>
      <c r="OXM130" s="52"/>
      <c r="OXN130" s="52"/>
      <c r="OXO130" s="52"/>
      <c r="OXP130" s="52"/>
      <c r="OXQ130" s="52"/>
      <c r="OXR130" s="52"/>
      <c r="OXS130" s="52"/>
      <c r="OXT130" s="52"/>
      <c r="OXU130" s="52"/>
      <c r="OXV130" s="52"/>
      <c r="OXW130" s="52"/>
      <c r="OXX130" s="52"/>
      <c r="OXY130" s="52"/>
      <c r="OXZ130" s="52"/>
      <c r="OYA130" s="52"/>
      <c r="OYB130" s="52"/>
      <c r="OYC130" s="52"/>
      <c r="OYD130" s="52"/>
      <c r="OYE130" s="52"/>
      <c r="OYF130" s="52"/>
      <c r="OYG130" s="52"/>
      <c r="OYH130" s="52"/>
      <c r="OYI130" s="52"/>
      <c r="OYJ130" s="52"/>
      <c r="OYK130" s="52"/>
      <c r="OYL130" s="52"/>
      <c r="OYM130" s="52"/>
      <c r="OYN130" s="52"/>
      <c r="OYO130" s="52"/>
      <c r="OYP130" s="52"/>
      <c r="OYQ130" s="52"/>
      <c r="OYR130" s="52"/>
      <c r="OYS130" s="52"/>
      <c r="OYT130" s="52"/>
      <c r="OYU130" s="52"/>
      <c r="OYV130" s="52"/>
      <c r="OYW130" s="52"/>
      <c r="OYX130" s="52"/>
      <c r="OYY130" s="52"/>
      <c r="OYZ130" s="52"/>
      <c r="OZA130" s="52"/>
      <c r="OZB130" s="52"/>
      <c r="OZC130" s="52"/>
      <c r="OZD130" s="52"/>
      <c r="OZE130" s="52"/>
      <c r="OZF130" s="52"/>
      <c r="OZG130" s="52"/>
      <c r="OZH130" s="52"/>
      <c r="OZI130" s="52"/>
      <c r="OZJ130" s="52"/>
      <c r="OZK130" s="52"/>
      <c r="OZL130" s="52"/>
      <c r="OZM130" s="52"/>
      <c r="OZN130" s="52"/>
      <c r="OZO130" s="52"/>
      <c r="OZP130" s="52"/>
      <c r="OZQ130" s="52"/>
      <c r="OZR130" s="52"/>
      <c r="OZS130" s="52"/>
      <c r="OZT130" s="52"/>
      <c r="OZU130" s="52"/>
      <c r="OZV130" s="52"/>
      <c r="OZW130" s="52"/>
      <c r="OZX130" s="52"/>
      <c r="OZY130" s="52"/>
      <c r="OZZ130" s="52"/>
      <c r="PAA130" s="52"/>
      <c r="PAB130" s="52"/>
      <c r="PAC130" s="52"/>
      <c r="PAD130" s="52"/>
      <c r="PAE130" s="52"/>
      <c r="PAF130" s="52"/>
      <c r="PAG130" s="52"/>
      <c r="PAH130" s="52"/>
      <c r="PAI130" s="52"/>
      <c r="PAJ130" s="52"/>
      <c r="PAK130" s="52"/>
      <c r="PAL130" s="52"/>
      <c r="PAM130" s="52"/>
      <c r="PAN130" s="52"/>
      <c r="PAO130" s="52"/>
      <c r="PAP130" s="52"/>
      <c r="PAQ130" s="52"/>
      <c r="PAR130" s="52"/>
      <c r="PAS130" s="52"/>
      <c r="PAT130" s="52"/>
      <c r="PAU130" s="52"/>
      <c r="PAV130" s="52"/>
      <c r="PAW130" s="52"/>
      <c r="PAX130" s="52"/>
      <c r="PAY130" s="52"/>
      <c r="PAZ130" s="52"/>
      <c r="PBA130" s="52"/>
      <c r="PBB130" s="52"/>
      <c r="PBC130" s="52"/>
      <c r="PBD130" s="52"/>
      <c r="PBE130" s="52"/>
      <c r="PBF130" s="52"/>
      <c r="PBG130" s="52"/>
      <c r="PBH130" s="52"/>
      <c r="PBI130" s="52"/>
      <c r="PBJ130" s="52"/>
      <c r="PBK130" s="52"/>
      <c r="PBL130" s="52"/>
      <c r="PBM130" s="52"/>
      <c r="PBN130" s="52"/>
      <c r="PBO130" s="52"/>
      <c r="PBP130" s="52"/>
      <c r="PBQ130" s="52"/>
      <c r="PBR130" s="52"/>
      <c r="PBS130" s="52"/>
      <c r="PBT130" s="52"/>
      <c r="PBU130" s="52"/>
      <c r="PBV130" s="52"/>
      <c r="PBW130" s="52"/>
      <c r="PBX130" s="52"/>
      <c r="PBY130" s="52"/>
      <c r="PBZ130" s="52"/>
      <c r="PCA130" s="52"/>
      <c r="PCB130" s="52"/>
      <c r="PCC130" s="52"/>
      <c r="PCD130" s="52"/>
      <c r="PCE130" s="52"/>
      <c r="PCF130" s="52"/>
      <c r="PCG130" s="52"/>
      <c r="PCH130" s="52"/>
      <c r="PCI130" s="52"/>
      <c r="PCJ130" s="52"/>
      <c r="PCK130" s="52"/>
      <c r="PCL130" s="52"/>
      <c r="PCM130" s="52"/>
      <c r="PCN130" s="52"/>
      <c r="PCO130" s="52"/>
      <c r="PCP130" s="52"/>
      <c r="PCQ130" s="52"/>
      <c r="PCR130" s="52"/>
      <c r="PCS130" s="52"/>
      <c r="PCT130" s="52"/>
      <c r="PCU130" s="52"/>
      <c r="PCV130" s="52"/>
      <c r="PCW130" s="52"/>
      <c r="PCX130" s="52"/>
      <c r="PCY130" s="52"/>
      <c r="PCZ130" s="52"/>
      <c r="PDA130" s="52"/>
      <c r="PDB130" s="52"/>
      <c r="PDC130" s="52"/>
      <c r="PDD130" s="52"/>
      <c r="PDE130" s="52"/>
      <c r="PDF130" s="52"/>
      <c r="PDG130" s="52"/>
      <c r="PDH130" s="52"/>
      <c r="PDI130" s="52"/>
      <c r="PDJ130" s="52"/>
      <c r="PDK130" s="52"/>
      <c r="PDL130" s="52"/>
      <c r="PDM130" s="52"/>
      <c r="PDN130" s="52"/>
      <c r="PDO130" s="52"/>
      <c r="PDP130" s="52"/>
      <c r="PDQ130" s="52"/>
      <c r="PDR130" s="52"/>
      <c r="PDS130" s="52"/>
      <c r="PDT130" s="52"/>
      <c r="PDU130" s="52"/>
      <c r="PDV130" s="52"/>
      <c r="PDW130" s="52"/>
      <c r="PDX130" s="52"/>
      <c r="PDY130" s="52"/>
      <c r="PDZ130" s="52"/>
      <c r="PEA130" s="52"/>
      <c r="PEB130" s="52"/>
      <c r="PEC130" s="52"/>
      <c r="PED130" s="52"/>
      <c r="PEE130" s="52"/>
      <c r="PEF130" s="52"/>
      <c r="PEG130" s="52"/>
      <c r="PEH130" s="52"/>
      <c r="PEI130" s="52"/>
      <c r="PEJ130" s="52"/>
      <c r="PEK130" s="52"/>
      <c r="PEL130" s="52"/>
      <c r="PEM130" s="52"/>
      <c r="PEN130" s="52"/>
      <c r="PEO130" s="52"/>
      <c r="PEP130" s="52"/>
      <c r="PEQ130" s="52"/>
      <c r="PER130" s="52"/>
      <c r="PES130" s="52"/>
      <c r="PET130" s="52"/>
      <c r="PEU130" s="52"/>
      <c r="PEV130" s="52"/>
      <c r="PEW130" s="52"/>
      <c r="PEX130" s="52"/>
      <c r="PEY130" s="52"/>
      <c r="PEZ130" s="52"/>
      <c r="PFA130" s="52"/>
      <c r="PFB130" s="52"/>
      <c r="PFC130" s="52"/>
      <c r="PFD130" s="52"/>
      <c r="PFE130" s="52"/>
      <c r="PFF130" s="52"/>
      <c r="PFG130" s="52"/>
      <c r="PFH130" s="52"/>
      <c r="PFI130" s="52"/>
      <c r="PFJ130" s="52"/>
      <c r="PFK130" s="52"/>
      <c r="PFL130" s="52"/>
      <c r="PFM130" s="52"/>
      <c r="PFN130" s="52"/>
      <c r="PFO130" s="52"/>
      <c r="PFP130" s="52"/>
      <c r="PFQ130" s="52"/>
      <c r="PFR130" s="52"/>
      <c r="PFS130" s="52"/>
      <c r="PFT130" s="52"/>
      <c r="PFU130" s="52"/>
      <c r="PFV130" s="52"/>
      <c r="PFW130" s="52"/>
      <c r="PFX130" s="52"/>
      <c r="PFY130" s="52"/>
      <c r="PFZ130" s="52"/>
      <c r="PGA130" s="52"/>
      <c r="PGB130" s="52"/>
      <c r="PGC130" s="52"/>
      <c r="PGD130" s="52"/>
      <c r="PGE130" s="52"/>
      <c r="PGF130" s="52"/>
      <c r="PGG130" s="52"/>
      <c r="PGH130" s="52"/>
      <c r="PGI130" s="52"/>
      <c r="PGJ130" s="52"/>
      <c r="PGK130" s="52"/>
      <c r="PGL130" s="52"/>
      <c r="PGM130" s="52"/>
      <c r="PGN130" s="52"/>
      <c r="PGO130" s="52"/>
      <c r="PGP130" s="52"/>
      <c r="PGQ130" s="52"/>
      <c r="PGR130" s="52"/>
      <c r="PGS130" s="52"/>
      <c r="PGT130" s="52"/>
      <c r="PGU130" s="52"/>
      <c r="PGV130" s="52"/>
      <c r="PGW130" s="52"/>
      <c r="PGX130" s="52"/>
      <c r="PGY130" s="52"/>
      <c r="PGZ130" s="52"/>
      <c r="PHA130" s="52"/>
      <c r="PHB130" s="52"/>
      <c r="PHC130" s="52"/>
      <c r="PHD130" s="52"/>
      <c r="PHE130" s="52"/>
      <c r="PHF130" s="52"/>
      <c r="PHG130" s="52"/>
      <c r="PHH130" s="52"/>
      <c r="PHI130" s="52"/>
      <c r="PHJ130" s="52"/>
      <c r="PHK130" s="52"/>
      <c r="PHL130" s="52"/>
      <c r="PHM130" s="52"/>
      <c r="PHN130" s="52"/>
      <c r="PHO130" s="52"/>
      <c r="PHP130" s="52"/>
      <c r="PHQ130" s="52"/>
      <c r="PHR130" s="52"/>
      <c r="PHS130" s="52"/>
      <c r="PHT130" s="52"/>
      <c r="PHU130" s="52"/>
      <c r="PHV130" s="52"/>
      <c r="PHW130" s="52"/>
      <c r="PHX130" s="52"/>
      <c r="PHY130" s="52"/>
      <c r="PHZ130" s="52"/>
      <c r="PIA130" s="52"/>
      <c r="PIB130" s="52"/>
      <c r="PIC130" s="52"/>
      <c r="PID130" s="52"/>
      <c r="PIE130" s="52"/>
      <c r="PIF130" s="52"/>
      <c r="PIG130" s="52"/>
      <c r="PIH130" s="52"/>
      <c r="PII130" s="52"/>
      <c r="PIJ130" s="52"/>
      <c r="PIK130" s="52"/>
      <c r="PIL130" s="52"/>
      <c r="PIM130" s="52"/>
      <c r="PIN130" s="52"/>
      <c r="PIO130" s="52"/>
      <c r="PIP130" s="52"/>
      <c r="PIQ130" s="52"/>
      <c r="PIR130" s="52"/>
      <c r="PIS130" s="52"/>
      <c r="PIT130" s="52"/>
      <c r="PIU130" s="52"/>
      <c r="PIV130" s="52"/>
      <c r="PIW130" s="52"/>
      <c r="PIX130" s="52"/>
      <c r="PIY130" s="52"/>
      <c r="PIZ130" s="52"/>
      <c r="PJA130" s="52"/>
      <c r="PJB130" s="52"/>
      <c r="PJC130" s="52"/>
      <c r="PJD130" s="52"/>
      <c r="PJE130" s="52"/>
      <c r="PJF130" s="52"/>
      <c r="PJG130" s="52"/>
      <c r="PJH130" s="52"/>
      <c r="PJI130" s="52"/>
      <c r="PJJ130" s="52"/>
      <c r="PJK130" s="52"/>
      <c r="PJL130" s="52"/>
      <c r="PJM130" s="52"/>
      <c r="PJN130" s="52"/>
      <c r="PJO130" s="52"/>
      <c r="PJP130" s="52"/>
      <c r="PJQ130" s="52"/>
      <c r="PJR130" s="52"/>
      <c r="PJS130" s="52"/>
      <c r="PJT130" s="52"/>
      <c r="PJU130" s="52"/>
      <c r="PJV130" s="52"/>
      <c r="PJW130" s="52"/>
      <c r="PJX130" s="52"/>
      <c r="PJY130" s="52"/>
      <c r="PJZ130" s="52"/>
      <c r="PKA130" s="52"/>
      <c r="PKB130" s="52"/>
      <c r="PKC130" s="52"/>
      <c r="PKD130" s="52"/>
      <c r="PKE130" s="52"/>
      <c r="PKF130" s="52"/>
      <c r="PKG130" s="52"/>
      <c r="PKH130" s="52"/>
      <c r="PKI130" s="52"/>
      <c r="PKJ130" s="52"/>
      <c r="PKK130" s="52"/>
      <c r="PKL130" s="52"/>
      <c r="PKM130" s="52"/>
      <c r="PKN130" s="52"/>
      <c r="PKO130" s="52"/>
      <c r="PKP130" s="52"/>
      <c r="PKQ130" s="52"/>
      <c r="PKR130" s="52"/>
      <c r="PKS130" s="52"/>
      <c r="PKT130" s="52"/>
      <c r="PKU130" s="52"/>
      <c r="PKV130" s="52"/>
      <c r="PKW130" s="52"/>
      <c r="PKX130" s="52"/>
      <c r="PKY130" s="52"/>
      <c r="PKZ130" s="52"/>
      <c r="PLA130" s="52"/>
      <c r="PLB130" s="52"/>
      <c r="PLC130" s="52"/>
      <c r="PLD130" s="52"/>
      <c r="PLE130" s="52"/>
      <c r="PLF130" s="52"/>
      <c r="PLG130" s="52"/>
      <c r="PLH130" s="52"/>
      <c r="PLI130" s="52"/>
      <c r="PLJ130" s="52"/>
      <c r="PLK130" s="52"/>
      <c r="PLL130" s="52"/>
      <c r="PLM130" s="52"/>
      <c r="PLN130" s="52"/>
      <c r="PLO130" s="52"/>
      <c r="PLP130" s="52"/>
      <c r="PLQ130" s="52"/>
      <c r="PLR130" s="52"/>
      <c r="PLS130" s="52"/>
      <c r="PLT130" s="52"/>
      <c r="PLU130" s="52"/>
      <c r="PLV130" s="52"/>
      <c r="PLW130" s="52"/>
      <c r="PLX130" s="52"/>
      <c r="PLY130" s="52"/>
      <c r="PLZ130" s="52"/>
      <c r="PMA130" s="52"/>
      <c r="PMB130" s="52"/>
      <c r="PMC130" s="52"/>
      <c r="PMD130" s="52"/>
      <c r="PME130" s="52"/>
      <c r="PMF130" s="52"/>
      <c r="PMG130" s="52"/>
      <c r="PMH130" s="52"/>
      <c r="PMI130" s="52"/>
      <c r="PMJ130" s="52"/>
      <c r="PMK130" s="52"/>
      <c r="PML130" s="52"/>
      <c r="PMM130" s="52"/>
      <c r="PMN130" s="52"/>
      <c r="PMO130" s="52"/>
      <c r="PMP130" s="52"/>
      <c r="PMQ130" s="52"/>
      <c r="PMR130" s="52"/>
      <c r="PMS130" s="52"/>
      <c r="PMT130" s="52"/>
      <c r="PMU130" s="52"/>
      <c r="PMV130" s="52"/>
      <c r="PMW130" s="52"/>
      <c r="PMX130" s="52"/>
      <c r="PMY130" s="52"/>
      <c r="PMZ130" s="52"/>
      <c r="PNA130" s="52"/>
      <c r="PNB130" s="52"/>
      <c r="PNC130" s="52"/>
      <c r="PND130" s="52"/>
      <c r="PNE130" s="52"/>
      <c r="PNF130" s="52"/>
      <c r="PNG130" s="52"/>
      <c r="PNH130" s="52"/>
      <c r="PNI130" s="52"/>
      <c r="PNJ130" s="52"/>
      <c r="PNK130" s="52"/>
      <c r="PNL130" s="52"/>
      <c r="PNM130" s="52"/>
      <c r="PNN130" s="52"/>
      <c r="PNO130" s="52"/>
      <c r="PNP130" s="52"/>
      <c r="PNQ130" s="52"/>
      <c r="PNR130" s="52"/>
      <c r="PNS130" s="52"/>
      <c r="PNT130" s="52"/>
      <c r="PNU130" s="52"/>
      <c r="PNV130" s="52"/>
      <c r="PNW130" s="52"/>
      <c r="PNX130" s="52"/>
      <c r="PNY130" s="52"/>
      <c r="PNZ130" s="52"/>
      <c r="POA130" s="52"/>
      <c r="POB130" s="52"/>
      <c r="POC130" s="52"/>
      <c r="POD130" s="52"/>
      <c r="POE130" s="52"/>
      <c r="POF130" s="52"/>
      <c r="POG130" s="52"/>
      <c r="POH130" s="52"/>
      <c r="POI130" s="52"/>
      <c r="POJ130" s="52"/>
      <c r="POK130" s="52"/>
      <c r="POL130" s="52"/>
      <c r="POM130" s="52"/>
      <c r="PON130" s="52"/>
      <c r="POO130" s="52"/>
      <c r="POP130" s="52"/>
      <c r="POQ130" s="52"/>
      <c r="POR130" s="52"/>
      <c r="POS130" s="52"/>
      <c r="POT130" s="52"/>
      <c r="POU130" s="52"/>
      <c r="POV130" s="52"/>
      <c r="POW130" s="52"/>
      <c r="POX130" s="52"/>
      <c r="POY130" s="52"/>
      <c r="POZ130" s="52"/>
      <c r="PPA130" s="52"/>
      <c r="PPB130" s="52"/>
      <c r="PPC130" s="52"/>
      <c r="PPD130" s="52"/>
      <c r="PPE130" s="52"/>
      <c r="PPF130" s="52"/>
      <c r="PPG130" s="52"/>
      <c r="PPH130" s="52"/>
      <c r="PPI130" s="52"/>
      <c r="PPJ130" s="52"/>
      <c r="PPK130" s="52"/>
      <c r="PPL130" s="52"/>
      <c r="PPM130" s="52"/>
      <c r="PPN130" s="52"/>
      <c r="PPO130" s="52"/>
      <c r="PPP130" s="52"/>
      <c r="PPQ130" s="52"/>
      <c r="PPR130" s="52"/>
      <c r="PPS130" s="52"/>
      <c r="PPT130" s="52"/>
      <c r="PPU130" s="52"/>
      <c r="PPV130" s="52"/>
      <c r="PPW130" s="52"/>
      <c r="PPX130" s="52"/>
      <c r="PPY130" s="52"/>
      <c r="PPZ130" s="52"/>
      <c r="PQA130" s="52"/>
      <c r="PQB130" s="52"/>
      <c r="PQC130" s="52"/>
      <c r="PQD130" s="52"/>
      <c r="PQE130" s="52"/>
      <c r="PQF130" s="52"/>
      <c r="PQG130" s="52"/>
      <c r="PQH130" s="52"/>
      <c r="PQI130" s="52"/>
      <c r="PQJ130" s="52"/>
      <c r="PQK130" s="52"/>
      <c r="PQL130" s="52"/>
      <c r="PQM130" s="52"/>
      <c r="PQN130" s="52"/>
      <c r="PQO130" s="52"/>
      <c r="PQP130" s="52"/>
      <c r="PQQ130" s="52"/>
      <c r="PQR130" s="52"/>
      <c r="PQS130" s="52"/>
      <c r="PQT130" s="52"/>
      <c r="PQU130" s="52"/>
      <c r="PQV130" s="52"/>
      <c r="PQW130" s="52"/>
      <c r="PQX130" s="52"/>
      <c r="PQY130" s="52"/>
      <c r="PQZ130" s="52"/>
      <c r="PRA130" s="52"/>
      <c r="PRB130" s="52"/>
      <c r="PRC130" s="52"/>
      <c r="PRD130" s="52"/>
      <c r="PRE130" s="52"/>
      <c r="PRF130" s="52"/>
      <c r="PRG130" s="52"/>
      <c r="PRH130" s="52"/>
      <c r="PRI130" s="52"/>
      <c r="PRJ130" s="52"/>
      <c r="PRK130" s="52"/>
      <c r="PRL130" s="52"/>
      <c r="PRM130" s="52"/>
      <c r="PRN130" s="52"/>
      <c r="PRO130" s="52"/>
      <c r="PRP130" s="52"/>
      <c r="PRQ130" s="52"/>
      <c r="PRR130" s="52"/>
      <c r="PRS130" s="52"/>
      <c r="PRT130" s="52"/>
      <c r="PRU130" s="52"/>
      <c r="PRV130" s="52"/>
      <c r="PRW130" s="52"/>
      <c r="PRX130" s="52"/>
      <c r="PRY130" s="52"/>
      <c r="PRZ130" s="52"/>
      <c r="PSA130" s="52"/>
      <c r="PSB130" s="52"/>
      <c r="PSC130" s="52"/>
      <c r="PSD130" s="52"/>
      <c r="PSE130" s="52"/>
      <c r="PSF130" s="52"/>
      <c r="PSG130" s="52"/>
      <c r="PSH130" s="52"/>
      <c r="PSI130" s="52"/>
      <c r="PSJ130" s="52"/>
      <c r="PSK130" s="52"/>
      <c r="PSL130" s="52"/>
      <c r="PSM130" s="52"/>
      <c r="PSN130" s="52"/>
      <c r="PSO130" s="52"/>
      <c r="PSP130" s="52"/>
      <c r="PSQ130" s="52"/>
      <c r="PSR130" s="52"/>
      <c r="PSS130" s="52"/>
      <c r="PST130" s="52"/>
      <c r="PSU130" s="52"/>
      <c r="PSV130" s="52"/>
      <c r="PSW130" s="52"/>
      <c r="PSX130" s="52"/>
      <c r="PSY130" s="52"/>
      <c r="PSZ130" s="52"/>
      <c r="PTA130" s="52"/>
      <c r="PTB130" s="52"/>
      <c r="PTC130" s="52"/>
      <c r="PTD130" s="52"/>
      <c r="PTE130" s="52"/>
      <c r="PTF130" s="52"/>
      <c r="PTG130" s="52"/>
      <c r="PTH130" s="52"/>
      <c r="PTI130" s="52"/>
      <c r="PTJ130" s="52"/>
      <c r="PTK130" s="52"/>
      <c r="PTL130" s="52"/>
      <c r="PTM130" s="52"/>
      <c r="PTN130" s="52"/>
      <c r="PTO130" s="52"/>
      <c r="PTP130" s="52"/>
      <c r="PTQ130" s="52"/>
      <c r="PTR130" s="52"/>
      <c r="PTS130" s="52"/>
      <c r="PTT130" s="52"/>
      <c r="PTU130" s="52"/>
      <c r="PTV130" s="52"/>
      <c r="PTW130" s="52"/>
      <c r="PTX130" s="52"/>
      <c r="PTY130" s="52"/>
      <c r="PTZ130" s="52"/>
      <c r="PUA130" s="52"/>
      <c r="PUB130" s="52"/>
      <c r="PUC130" s="52"/>
      <c r="PUD130" s="52"/>
      <c r="PUE130" s="52"/>
      <c r="PUF130" s="52"/>
      <c r="PUG130" s="52"/>
      <c r="PUH130" s="52"/>
      <c r="PUI130" s="52"/>
      <c r="PUJ130" s="52"/>
      <c r="PUK130" s="52"/>
      <c r="PUL130" s="52"/>
      <c r="PUM130" s="52"/>
      <c r="PUN130" s="52"/>
      <c r="PUO130" s="52"/>
      <c r="PUP130" s="52"/>
      <c r="PUQ130" s="52"/>
      <c r="PUR130" s="52"/>
      <c r="PUS130" s="52"/>
      <c r="PUT130" s="52"/>
      <c r="PUU130" s="52"/>
      <c r="PUV130" s="52"/>
      <c r="PUW130" s="52"/>
      <c r="PUX130" s="52"/>
      <c r="PUY130" s="52"/>
      <c r="PUZ130" s="52"/>
      <c r="PVA130" s="52"/>
      <c r="PVB130" s="52"/>
      <c r="PVC130" s="52"/>
      <c r="PVD130" s="52"/>
      <c r="PVE130" s="52"/>
      <c r="PVF130" s="52"/>
      <c r="PVG130" s="52"/>
      <c r="PVH130" s="52"/>
      <c r="PVI130" s="52"/>
      <c r="PVJ130" s="52"/>
      <c r="PVK130" s="52"/>
      <c r="PVL130" s="52"/>
      <c r="PVM130" s="52"/>
      <c r="PVN130" s="52"/>
      <c r="PVO130" s="52"/>
      <c r="PVP130" s="52"/>
      <c r="PVQ130" s="52"/>
      <c r="PVR130" s="52"/>
      <c r="PVS130" s="52"/>
      <c r="PVT130" s="52"/>
      <c r="PVU130" s="52"/>
      <c r="PVV130" s="52"/>
      <c r="PVW130" s="52"/>
      <c r="PVX130" s="52"/>
      <c r="PVY130" s="52"/>
      <c r="PVZ130" s="52"/>
      <c r="PWA130" s="52"/>
      <c r="PWB130" s="52"/>
      <c r="PWC130" s="52"/>
      <c r="PWD130" s="52"/>
      <c r="PWE130" s="52"/>
      <c r="PWF130" s="52"/>
      <c r="PWG130" s="52"/>
      <c r="PWH130" s="52"/>
      <c r="PWI130" s="52"/>
      <c r="PWJ130" s="52"/>
      <c r="PWK130" s="52"/>
      <c r="PWL130" s="52"/>
      <c r="PWM130" s="52"/>
      <c r="PWN130" s="52"/>
      <c r="PWO130" s="52"/>
      <c r="PWP130" s="52"/>
      <c r="PWQ130" s="52"/>
      <c r="PWR130" s="52"/>
      <c r="PWS130" s="52"/>
      <c r="PWT130" s="52"/>
      <c r="PWU130" s="52"/>
      <c r="PWV130" s="52"/>
      <c r="PWW130" s="52"/>
      <c r="PWX130" s="52"/>
      <c r="PWY130" s="52"/>
      <c r="PWZ130" s="52"/>
      <c r="PXA130" s="52"/>
      <c r="PXB130" s="52"/>
      <c r="PXC130" s="52"/>
      <c r="PXD130" s="52"/>
      <c r="PXE130" s="52"/>
      <c r="PXF130" s="52"/>
      <c r="PXG130" s="52"/>
      <c r="PXH130" s="52"/>
      <c r="PXI130" s="52"/>
      <c r="PXJ130" s="52"/>
      <c r="PXK130" s="52"/>
      <c r="PXL130" s="52"/>
      <c r="PXM130" s="52"/>
      <c r="PXN130" s="52"/>
      <c r="PXO130" s="52"/>
      <c r="PXP130" s="52"/>
      <c r="PXQ130" s="52"/>
      <c r="PXR130" s="52"/>
      <c r="PXS130" s="52"/>
      <c r="PXT130" s="52"/>
      <c r="PXU130" s="52"/>
      <c r="PXV130" s="52"/>
      <c r="PXW130" s="52"/>
      <c r="PXX130" s="52"/>
      <c r="PXY130" s="52"/>
      <c r="PXZ130" s="52"/>
      <c r="PYA130" s="52"/>
      <c r="PYB130" s="52"/>
      <c r="PYC130" s="52"/>
      <c r="PYD130" s="52"/>
      <c r="PYE130" s="52"/>
      <c r="PYF130" s="52"/>
      <c r="PYG130" s="52"/>
      <c r="PYH130" s="52"/>
      <c r="PYI130" s="52"/>
      <c r="PYJ130" s="52"/>
      <c r="PYK130" s="52"/>
      <c r="PYL130" s="52"/>
      <c r="PYM130" s="52"/>
      <c r="PYN130" s="52"/>
      <c r="PYO130" s="52"/>
      <c r="PYP130" s="52"/>
      <c r="PYQ130" s="52"/>
      <c r="PYR130" s="52"/>
      <c r="PYS130" s="52"/>
      <c r="PYT130" s="52"/>
      <c r="PYU130" s="52"/>
      <c r="PYV130" s="52"/>
      <c r="PYW130" s="52"/>
      <c r="PYX130" s="52"/>
      <c r="PYY130" s="52"/>
      <c r="PYZ130" s="52"/>
      <c r="PZA130" s="52"/>
      <c r="PZB130" s="52"/>
      <c r="PZC130" s="52"/>
      <c r="PZD130" s="52"/>
      <c r="PZE130" s="52"/>
      <c r="PZF130" s="52"/>
      <c r="PZG130" s="52"/>
      <c r="PZH130" s="52"/>
      <c r="PZI130" s="52"/>
      <c r="PZJ130" s="52"/>
      <c r="PZK130" s="52"/>
      <c r="PZL130" s="52"/>
      <c r="PZM130" s="52"/>
      <c r="PZN130" s="52"/>
      <c r="PZO130" s="52"/>
      <c r="PZP130" s="52"/>
      <c r="PZQ130" s="52"/>
      <c r="PZR130" s="52"/>
      <c r="PZS130" s="52"/>
      <c r="PZT130" s="52"/>
      <c r="PZU130" s="52"/>
      <c r="PZV130" s="52"/>
      <c r="PZW130" s="52"/>
      <c r="PZX130" s="52"/>
      <c r="PZY130" s="52"/>
      <c r="PZZ130" s="52"/>
      <c r="QAA130" s="52"/>
      <c r="QAB130" s="52"/>
      <c r="QAC130" s="52"/>
      <c r="QAD130" s="52"/>
      <c r="QAE130" s="52"/>
      <c r="QAF130" s="52"/>
      <c r="QAG130" s="52"/>
      <c r="QAH130" s="52"/>
      <c r="QAI130" s="52"/>
      <c r="QAJ130" s="52"/>
      <c r="QAK130" s="52"/>
      <c r="QAL130" s="52"/>
      <c r="QAM130" s="52"/>
      <c r="QAN130" s="52"/>
      <c r="QAO130" s="52"/>
      <c r="QAP130" s="52"/>
      <c r="QAQ130" s="52"/>
      <c r="QAR130" s="52"/>
      <c r="QAS130" s="52"/>
      <c r="QAT130" s="52"/>
      <c r="QAU130" s="52"/>
      <c r="QAV130" s="52"/>
      <c r="QAW130" s="52"/>
      <c r="QAX130" s="52"/>
      <c r="QAY130" s="52"/>
      <c r="QAZ130" s="52"/>
      <c r="QBA130" s="52"/>
      <c r="QBB130" s="52"/>
      <c r="QBC130" s="52"/>
      <c r="QBD130" s="52"/>
      <c r="QBE130" s="52"/>
      <c r="QBF130" s="52"/>
      <c r="QBG130" s="52"/>
      <c r="QBH130" s="52"/>
      <c r="QBI130" s="52"/>
      <c r="QBJ130" s="52"/>
      <c r="QBK130" s="52"/>
      <c r="QBL130" s="52"/>
      <c r="QBM130" s="52"/>
      <c r="QBN130" s="52"/>
      <c r="QBO130" s="52"/>
      <c r="QBP130" s="52"/>
      <c r="QBQ130" s="52"/>
      <c r="QBR130" s="52"/>
      <c r="QBS130" s="52"/>
      <c r="QBT130" s="52"/>
      <c r="QBU130" s="52"/>
      <c r="QBV130" s="52"/>
      <c r="QBW130" s="52"/>
      <c r="QBX130" s="52"/>
      <c r="QBY130" s="52"/>
      <c r="QBZ130" s="52"/>
      <c r="QCA130" s="52"/>
      <c r="QCB130" s="52"/>
      <c r="QCC130" s="52"/>
      <c r="QCD130" s="52"/>
      <c r="QCE130" s="52"/>
      <c r="QCF130" s="52"/>
      <c r="QCG130" s="52"/>
      <c r="QCH130" s="52"/>
      <c r="QCI130" s="52"/>
      <c r="QCJ130" s="52"/>
      <c r="QCK130" s="52"/>
      <c r="QCL130" s="52"/>
      <c r="QCM130" s="52"/>
      <c r="QCN130" s="52"/>
      <c r="QCO130" s="52"/>
      <c r="QCP130" s="52"/>
      <c r="QCQ130" s="52"/>
      <c r="QCR130" s="52"/>
      <c r="QCS130" s="52"/>
      <c r="QCT130" s="52"/>
      <c r="QCU130" s="52"/>
      <c r="QCV130" s="52"/>
      <c r="QCW130" s="52"/>
      <c r="QCX130" s="52"/>
      <c r="QCY130" s="52"/>
      <c r="QCZ130" s="52"/>
      <c r="QDA130" s="52"/>
      <c r="QDB130" s="52"/>
      <c r="QDC130" s="52"/>
      <c r="QDD130" s="52"/>
      <c r="QDE130" s="52"/>
      <c r="QDF130" s="52"/>
      <c r="QDG130" s="52"/>
      <c r="QDH130" s="52"/>
      <c r="QDI130" s="52"/>
      <c r="QDJ130" s="52"/>
      <c r="QDK130" s="52"/>
      <c r="QDL130" s="52"/>
      <c r="QDM130" s="52"/>
      <c r="QDN130" s="52"/>
      <c r="QDO130" s="52"/>
      <c r="QDP130" s="52"/>
      <c r="QDQ130" s="52"/>
      <c r="QDR130" s="52"/>
      <c r="QDS130" s="52"/>
      <c r="QDT130" s="52"/>
      <c r="QDU130" s="52"/>
      <c r="QDV130" s="52"/>
      <c r="QDW130" s="52"/>
      <c r="QDX130" s="52"/>
      <c r="QDY130" s="52"/>
      <c r="QDZ130" s="52"/>
      <c r="QEA130" s="52"/>
      <c r="QEB130" s="52"/>
      <c r="QEC130" s="52"/>
      <c r="QED130" s="52"/>
      <c r="QEE130" s="52"/>
      <c r="QEF130" s="52"/>
      <c r="QEG130" s="52"/>
      <c r="QEH130" s="52"/>
      <c r="QEI130" s="52"/>
      <c r="QEJ130" s="52"/>
      <c r="QEK130" s="52"/>
      <c r="QEL130" s="52"/>
      <c r="QEM130" s="52"/>
      <c r="QEN130" s="52"/>
      <c r="QEO130" s="52"/>
      <c r="QEP130" s="52"/>
      <c r="QEQ130" s="52"/>
      <c r="QER130" s="52"/>
      <c r="QES130" s="52"/>
      <c r="QET130" s="52"/>
      <c r="QEU130" s="52"/>
      <c r="QEV130" s="52"/>
      <c r="QEW130" s="52"/>
      <c r="QEX130" s="52"/>
      <c r="QEY130" s="52"/>
      <c r="QEZ130" s="52"/>
      <c r="QFA130" s="52"/>
      <c r="QFB130" s="52"/>
      <c r="QFC130" s="52"/>
      <c r="QFD130" s="52"/>
      <c r="QFE130" s="52"/>
      <c r="QFF130" s="52"/>
      <c r="QFG130" s="52"/>
      <c r="QFH130" s="52"/>
      <c r="QFI130" s="52"/>
      <c r="QFJ130" s="52"/>
      <c r="QFK130" s="52"/>
      <c r="QFL130" s="52"/>
      <c r="QFM130" s="52"/>
      <c r="QFN130" s="52"/>
      <c r="QFO130" s="52"/>
      <c r="QFP130" s="52"/>
      <c r="QFQ130" s="52"/>
      <c r="QFR130" s="52"/>
      <c r="QFS130" s="52"/>
      <c r="QFT130" s="52"/>
      <c r="QFU130" s="52"/>
      <c r="QFV130" s="52"/>
      <c r="QFW130" s="52"/>
      <c r="QFX130" s="52"/>
      <c r="QFY130" s="52"/>
      <c r="QFZ130" s="52"/>
      <c r="QGA130" s="52"/>
      <c r="QGB130" s="52"/>
      <c r="QGC130" s="52"/>
      <c r="QGD130" s="52"/>
      <c r="QGE130" s="52"/>
      <c r="QGF130" s="52"/>
      <c r="QGG130" s="52"/>
      <c r="QGH130" s="52"/>
      <c r="QGI130" s="52"/>
      <c r="QGJ130" s="52"/>
      <c r="QGK130" s="52"/>
      <c r="QGL130" s="52"/>
      <c r="QGM130" s="52"/>
      <c r="QGN130" s="52"/>
      <c r="QGO130" s="52"/>
      <c r="QGP130" s="52"/>
      <c r="QGQ130" s="52"/>
      <c r="QGR130" s="52"/>
      <c r="QGS130" s="52"/>
      <c r="QGT130" s="52"/>
      <c r="QGU130" s="52"/>
      <c r="QGV130" s="52"/>
      <c r="QGW130" s="52"/>
      <c r="QGX130" s="52"/>
      <c r="QGY130" s="52"/>
      <c r="QGZ130" s="52"/>
      <c r="QHA130" s="52"/>
      <c r="QHB130" s="52"/>
      <c r="QHC130" s="52"/>
      <c r="QHD130" s="52"/>
      <c r="QHE130" s="52"/>
      <c r="QHF130" s="52"/>
      <c r="QHG130" s="52"/>
      <c r="QHH130" s="52"/>
      <c r="QHI130" s="52"/>
      <c r="QHJ130" s="52"/>
      <c r="QHK130" s="52"/>
      <c r="QHL130" s="52"/>
      <c r="QHM130" s="52"/>
      <c r="QHN130" s="52"/>
      <c r="QHO130" s="52"/>
      <c r="QHP130" s="52"/>
      <c r="QHQ130" s="52"/>
      <c r="QHR130" s="52"/>
      <c r="QHS130" s="52"/>
      <c r="QHT130" s="52"/>
      <c r="QHU130" s="52"/>
      <c r="QHV130" s="52"/>
      <c r="QHW130" s="52"/>
      <c r="QHX130" s="52"/>
      <c r="QHY130" s="52"/>
      <c r="QHZ130" s="52"/>
      <c r="QIA130" s="52"/>
      <c r="QIB130" s="52"/>
      <c r="QIC130" s="52"/>
      <c r="QID130" s="52"/>
      <c r="QIE130" s="52"/>
      <c r="QIF130" s="52"/>
      <c r="QIG130" s="52"/>
      <c r="QIH130" s="52"/>
      <c r="QII130" s="52"/>
      <c r="QIJ130" s="52"/>
      <c r="QIK130" s="52"/>
      <c r="QIL130" s="52"/>
      <c r="QIM130" s="52"/>
      <c r="QIN130" s="52"/>
      <c r="QIO130" s="52"/>
      <c r="QIP130" s="52"/>
      <c r="QIQ130" s="52"/>
      <c r="QIR130" s="52"/>
      <c r="QIS130" s="52"/>
      <c r="QIT130" s="52"/>
      <c r="QIU130" s="52"/>
      <c r="QIV130" s="52"/>
      <c r="QIW130" s="52"/>
      <c r="QIX130" s="52"/>
      <c r="QIY130" s="52"/>
      <c r="QIZ130" s="52"/>
      <c r="QJA130" s="52"/>
      <c r="QJB130" s="52"/>
      <c r="QJC130" s="52"/>
      <c r="QJD130" s="52"/>
      <c r="QJE130" s="52"/>
      <c r="QJF130" s="52"/>
      <c r="QJG130" s="52"/>
      <c r="QJH130" s="52"/>
      <c r="QJI130" s="52"/>
      <c r="QJJ130" s="52"/>
      <c r="QJK130" s="52"/>
      <c r="QJL130" s="52"/>
      <c r="QJM130" s="52"/>
      <c r="QJN130" s="52"/>
      <c r="QJO130" s="52"/>
      <c r="QJP130" s="52"/>
      <c r="QJQ130" s="52"/>
      <c r="QJR130" s="52"/>
      <c r="QJS130" s="52"/>
      <c r="QJT130" s="52"/>
      <c r="QJU130" s="52"/>
      <c r="QJV130" s="52"/>
      <c r="QJW130" s="52"/>
      <c r="QJX130" s="52"/>
      <c r="QJY130" s="52"/>
      <c r="QJZ130" s="52"/>
      <c r="QKA130" s="52"/>
      <c r="QKB130" s="52"/>
      <c r="QKC130" s="52"/>
      <c r="QKD130" s="52"/>
      <c r="QKE130" s="52"/>
      <c r="QKF130" s="52"/>
      <c r="QKG130" s="52"/>
      <c r="QKH130" s="52"/>
      <c r="QKI130" s="52"/>
      <c r="QKJ130" s="52"/>
      <c r="QKK130" s="52"/>
      <c r="QKL130" s="52"/>
      <c r="QKM130" s="52"/>
      <c r="QKN130" s="52"/>
      <c r="QKO130" s="52"/>
      <c r="QKP130" s="52"/>
      <c r="QKQ130" s="52"/>
      <c r="QKR130" s="52"/>
      <c r="QKS130" s="52"/>
      <c r="QKT130" s="52"/>
      <c r="QKU130" s="52"/>
      <c r="QKV130" s="52"/>
      <c r="QKW130" s="52"/>
      <c r="QKX130" s="52"/>
      <c r="QKY130" s="52"/>
      <c r="QKZ130" s="52"/>
      <c r="QLA130" s="52"/>
      <c r="QLB130" s="52"/>
      <c r="QLC130" s="52"/>
      <c r="QLD130" s="52"/>
      <c r="QLE130" s="52"/>
      <c r="QLF130" s="52"/>
      <c r="QLG130" s="52"/>
      <c r="QLH130" s="52"/>
      <c r="QLI130" s="52"/>
      <c r="QLJ130" s="52"/>
      <c r="QLK130" s="52"/>
      <c r="QLL130" s="52"/>
      <c r="QLM130" s="52"/>
      <c r="QLN130" s="52"/>
      <c r="QLO130" s="52"/>
      <c r="QLP130" s="52"/>
      <c r="QLQ130" s="52"/>
      <c r="QLR130" s="52"/>
      <c r="QLS130" s="52"/>
      <c r="QLT130" s="52"/>
      <c r="QLU130" s="52"/>
      <c r="QLV130" s="52"/>
      <c r="QLW130" s="52"/>
      <c r="QLX130" s="52"/>
      <c r="QLY130" s="52"/>
      <c r="QLZ130" s="52"/>
      <c r="QMA130" s="52"/>
      <c r="QMB130" s="52"/>
      <c r="QMC130" s="52"/>
      <c r="QMD130" s="52"/>
      <c r="QME130" s="52"/>
      <c r="QMF130" s="52"/>
      <c r="QMG130" s="52"/>
      <c r="QMH130" s="52"/>
      <c r="QMI130" s="52"/>
      <c r="QMJ130" s="52"/>
      <c r="QMK130" s="52"/>
      <c r="QML130" s="52"/>
      <c r="QMM130" s="52"/>
      <c r="QMN130" s="52"/>
      <c r="QMO130" s="52"/>
      <c r="QMP130" s="52"/>
      <c r="QMQ130" s="52"/>
      <c r="QMR130" s="52"/>
      <c r="QMS130" s="52"/>
      <c r="QMT130" s="52"/>
      <c r="QMU130" s="52"/>
      <c r="QMV130" s="52"/>
      <c r="QMW130" s="52"/>
      <c r="QMX130" s="52"/>
      <c r="QMY130" s="52"/>
      <c r="QMZ130" s="52"/>
      <c r="QNA130" s="52"/>
      <c r="QNB130" s="52"/>
      <c r="QNC130" s="52"/>
      <c r="QND130" s="52"/>
      <c r="QNE130" s="52"/>
      <c r="QNF130" s="52"/>
      <c r="QNG130" s="52"/>
      <c r="QNH130" s="52"/>
      <c r="QNI130" s="52"/>
      <c r="QNJ130" s="52"/>
      <c r="QNK130" s="52"/>
      <c r="QNL130" s="52"/>
      <c r="QNM130" s="52"/>
      <c r="QNN130" s="52"/>
      <c r="QNO130" s="52"/>
      <c r="QNP130" s="52"/>
      <c r="QNQ130" s="52"/>
      <c r="QNR130" s="52"/>
      <c r="QNS130" s="52"/>
      <c r="QNT130" s="52"/>
      <c r="QNU130" s="52"/>
      <c r="QNV130" s="52"/>
      <c r="QNW130" s="52"/>
      <c r="QNX130" s="52"/>
      <c r="QNY130" s="52"/>
      <c r="QNZ130" s="52"/>
      <c r="QOA130" s="52"/>
      <c r="QOB130" s="52"/>
      <c r="QOC130" s="52"/>
      <c r="QOD130" s="52"/>
      <c r="QOE130" s="52"/>
      <c r="QOF130" s="52"/>
      <c r="QOG130" s="52"/>
      <c r="QOH130" s="52"/>
      <c r="QOI130" s="52"/>
      <c r="QOJ130" s="52"/>
      <c r="QOK130" s="52"/>
      <c r="QOL130" s="52"/>
      <c r="QOM130" s="52"/>
      <c r="QON130" s="52"/>
      <c r="QOO130" s="52"/>
      <c r="QOP130" s="52"/>
      <c r="QOQ130" s="52"/>
      <c r="QOR130" s="52"/>
      <c r="QOS130" s="52"/>
      <c r="QOT130" s="52"/>
      <c r="QOU130" s="52"/>
      <c r="QOV130" s="52"/>
      <c r="QOW130" s="52"/>
      <c r="QOX130" s="52"/>
      <c r="QOY130" s="52"/>
      <c r="QOZ130" s="52"/>
      <c r="QPA130" s="52"/>
      <c r="QPB130" s="52"/>
      <c r="QPC130" s="52"/>
      <c r="QPD130" s="52"/>
      <c r="QPE130" s="52"/>
      <c r="QPF130" s="52"/>
      <c r="QPG130" s="52"/>
      <c r="QPH130" s="52"/>
      <c r="QPI130" s="52"/>
      <c r="QPJ130" s="52"/>
      <c r="QPK130" s="52"/>
      <c r="QPL130" s="52"/>
      <c r="QPM130" s="52"/>
      <c r="QPN130" s="52"/>
      <c r="QPO130" s="52"/>
      <c r="QPP130" s="52"/>
      <c r="QPQ130" s="52"/>
      <c r="QPR130" s="52"/>
      <c r="QPS130" s="52"/>
      <c r="QPT130" s="52"/>
      <c r="QPU130" s="52"/>
      <c r="QPV130" s="52"/>
      <c r="QPW130" s="52"/>
      <c r="QPX130" s="52"/>
      <c r="QPY130" s="52"/>
      <c r="QPZ130" s="52"/>
      <c r="QQA130" s="52"/>
      <c r="QQB130" s="52"/>
      <c r="QQC130" s="52"/>
      <c r="QQD130" s="52"/>
      <c r="QQE130" s="52"/>
      <c r="QQF130" s="52"/>
      <c r="QQG130" s="52"/>
      <c r="QQH130" s="52"/>
      <c r="QQI130" s="52"/>
      <c r="QQJ130" s="52"/>
      <c r="QQK130" s="52"/>
      <c r="QQL130" s="52"/>
      <c r="QQM130" s="52"/>
      <c r="QQN130" s="52"/>
      <c r="QQO130" s="52"/>
      <c r="QQP130" s="52"/>
      <c r="QQQ130" s="52"/>
      <c r="QQR130" s="52"/>
      <c r="QQS130" s="52"/>
      <c r="QQT130" s="52"/>
      <c r="QQU130" s="52"/>
      <c r="QQV130" s="52"/>
      <c r="QQW130" s="52"/>
      <c r="QQX130" s="52"/>
      <c r="QQY130" s="52"/>
      <c r="QQZ130" s="52"/>
      <c r="QRA130" s="52"/>
      <c r="QRB130" s="52"/>
      <c r="QRC130" s="52"/>
      <c r="QRD130" s="52"/>
      <c r="QRE130" s="52"/>
      <c r="QRF130" s="52"/>
      <c r="QRG130" s="52"/>
      <c r="QRH130" s="52"/>
      <c r="QRI130" s="52"/>
      <c r="QRJ130" s="52"/>
      <c r="QRK130" s="52"/>
      <c r="QRL130" s="52"/>
      <c r="QRM130" s="52"/>
      <c r="QRN130" s="52"/>
      <c r="QRO130" s="52"/>
      <c r="QRP130" s="52"/>
      <c r="QRQ130" s="52"/>
      <c r="QRR130" s="52"/>
      <c r="QRS130" s="52"/>
      <c r="QRT130" s="52"/>
      <c r="QRU130" s="52"/>
      <c r="QRV130" s="52"/>
      <c r="QRW130" s="52"/>
      <c r="QRX130" s="52"/>
      <c r="QRY130" s="52"/>
      <c r="QRZ130" s="52"/>
      <c r="QSA130" s="52"/>
      <c r="QSB130" s="52"/>
      <c r="QSC130" s="52"/>
      <c r="QSD130" s="52"/>
      <c r="QSE130" s="52"/>
      <c r="QSF130" s="52"/>
      <c r="QSG130" s="52"/>
      <c r="QSH130" s="52"/>
      <c r="QSI130" s="52"/>
      <c r="QSJ130" s="52"/>
      <c r="QSK130" s="52"/>
      <c r="QSL130" s="52"/>
      <c r="QSM130" s="52"/>
      <c r="QSN130" s="52"/>
      <c r="QSO130" s="52"/>
      <c r="QSP130" s="52"/>
      <c r="QSQ130" s="52"/>
      <c r="QSR130" s="52"/>
      <c r="QSS130" s="52"/>
      <c r="QST130" s="52"/>
      <c r="QSU130" s="52"/>
      <c r="QSV130" s="52"/>
      <c r="QSW130" s="52"/>
      <c r="QSX130" s="52"/>
      <c r="QSY130" s="52"/>
      <c r="QSZ130" s="52"/>
      <c r="QTA130" s="52"/>
      <c r="QTB130" s="52"/>
      <c r="QTC130" s="52"/>
      <c r="QTD130" s="52"/>
      <c r="QTE130" s="52"/>
      <c r="QTF130" s="52"/>
      <c r="QTG130" s="52"/>
      <c r="QTH130" s="52"/>
      <c r="QTI130" s="52"/>
      <c r="QTJ130" s="52"/>
      <c r="QTK130" s="52"/>
      <c r="QTL130" s="52"/>
      <c r="QTM130" s="52"/>
      <c r="QTN130" s="52"/>
      <c r="QTO130" s="52"/>
      <c r="QTP130" s="52"/>
      <c r="QTQ130" s="52"/>
      <c r="QTR130" s="52"/>
      <c r="QTS130" s="52"/>
      <c r="QTT130" s="52"/>
      <c r="QTU130" s="52"/>
      <c r="QTV130" s="52"/>
      <c r="QTW130" s="52"/>
      <c r="QTX130" s="52"/>
      <c r="QTY130" s="52"/>
      <c r="QTZ130" s="52"/>
      <c r="QUA130" s="52"/>
      <c r="QUB130" s="52"/>
      <c r="QUC130" s="52"/>
      <c r="QUD130" s="52"/>
      <c r="QUE130" s="52"/>
      <c r="QUF130" s="52"/>
      <c r="QUG130" s="52"/>
      <c r="QUH130" s="52"/>
      <c r="QUI130" s="52"/>
      <c r="QUJ130" s="52"/>
      <c r="QUK130" s="52"/>
      <c r="QUL130" s="52"/>
      <c r="QUM130" s="52"/>
      <c r="QUN130" s="52"/>
      <c r="QUO130" s="52"/>
      <c r="QUP130" s="52"/>
      <c r="QUQ130" s="52"/>
      <c r="QUR130" s="52"/>
      <c r="QUS130" s="52"/>
      <c r="QUT130" s="52"/>
      <c r="QUU130" s="52"/>
      <c r="QUV130" s="52"/>
      <c r="QUW130" s="52"/>
      <c r="QUX130" s="52"/>
      <c r="QUY130" s="52"/>
      <c r="QUZ130" s="52"/>
      <c r="QVA130" s="52"/>
      <c r="QVB130" s="52"/>
      <c r="QVC130" s="52"/>
      <c r="QVD130" s="52"/>
      <c r="QVE130" s="52"/>
      <c r="QVF130" s="52"/>
      <c r="QVG130" s="52"/>
      <c r="QVH130" s="52"/>
      <c r="QVI130" s="52"/>
      <c r="QVJ130" s="52"/>
      <c r="QVK130" s="52"/>
      <c r="QVL130" s="52"/>
      <c r="QVM130" s="52"/>
      <c r="QVN130" s="52"/>
      <c r="QVO130" s="52"/>
      <c r="QVP130" s="52"/>
      <c r="QVQ130" s="52"/>
      <c r="QVR130" s="52"/>
      <c r="QVS130" s="52"/>
      <c r="QVT130" s="52"/>
      <c r="QVU130" s="52"/>
      <c r="QVV130" s="52"/>
      <c r="QVW130" s="52"/>
      <c r="QVX130" s="52"/>
      <c r="QVY130" s="52"/>
      <c r="QVZ130" s="52"/>
      <c r="QWA130" s="52"/>
      <c r="QWB130" s="52"/>
      <c r="QWC130" s="52"/>
      <c r="QWD130" s="52"/>
      <c r="QWE130" s="52"/>
      <c r="QWF130" s="52"/>
      <c r="QWG130" s="52"/>
      <c r="QWH130" s="52"/>
      <c r="QWI130" s="52"/>
      <c r="QWJ130" s="52"/>
      <c r="QWK130" s="52"/>
      <c r="QWL130" s="52"/>
      <c r="QWM130" s="52"/>
      <c r="QWN130" s="52"/>
      <c r="QWO130" s="52"/>
      <c r="QWP130" s="52"/>
      <c r="QWQ130" s="52"/>
      <c r="QWR130" s="52"/>
      <c r="QWS130" s="52"/>
      <c r="QWT130" s="52"/>
      <c r="QWU130" s="52"/>
      <c r="QWV130" s="52"/>
      <c r="QWW130" s="52"/>
      <c r="QWX130" s="52"/>
      <c r="QWY130" s="52"/>
      <c r="QWZ130" s="52"/>
      <c r="QXA130" s="52"/>
      <c r="QXB130" s="52"/>
      <c r="QXC130" s="52"/>
      <c r="QXD130" s="52"/>
      <c r="QXE130" s="52"/>
      <c r="QXF130" s="52"/>
      <c r="QXG130" s="52"/>
      <c r="QXH130" s="52"/>
      <c r="QXI130" s="52"/>
      <c r="QXJ130" s="52"/>
      <c r="QXK130" s="52"/>
      <c r="QXL130" s="52"/>
      <c r="QXM130" s="52"/>
      <c r="QXN130" s="52"/>
      <c r="QXO130" s="52"/>
      <c r="QXP130" s="52"/>
      <c r="QXQ130" s="52"/>
      <c r="QXR130" s="52"/>
      <c r="QXS130" s="52"/>
      <c r="QXT130" s="52"/>
      <c r="QXU130" s="52"/>
      <c r="QXV130" s="52"/>
      <c r="QXW130" s="52"/>
      <c r="QXX130" s="52"/>
      <c r="QXY130" s="52"/>
      <c r="QXZ130" s="52"/>
      <c r="QYA130" s="52"/>
      <c r="QYB130" s="52"/>
      <c r="QYC130" s="52"/>
      <c r="QYD130" s="52"/>
      <c r="QYE130" s="52"/>
      <c r="QYF130" s="52"/>
      <c r="QYG130" s="52"/>
      <c r="QYH130" s="52"/>
      <c r="QYI130" s="52"/>
      <c r="QYJ130" s="52"/>
      <c r="QYK130" s="52"/>
      <c r="QYL130" s="52"/>
      <c r="QYM130" s="52"/>
      <c r="QYN130" s="52"/>
      <c r="QYO130" s="52"/>
      <c r="QYP130" s="52"/>
      <c r="QYQ130" s="52"/>
      <c r="QYR130" s="52"/>
      <c r="QYS130" s="52"/>
      <c r="QYT130" s="52"/>
      <c r="QYU130" s="52"/>
      <c r="QYV130" s="52"/>
      <c r="QYW130" s="52"/>
      <c r="QYX130" s="52"/>
      <c r="QYY130" s="52"/>
      <c r="QYZ130" s="52"/>
      <c r="QZA130" s="52"/>
      <c r="QZB130" s="52"/>
      <c r="QZC130" s="52"/>
      <c r="QZD130" s="52"/>
      <c r="QZE130" s="52"/>
      <c r="QZF130" s="52"/>
      <c r="QZG130" s="52"/>
      <c r="QZH130" s="52"/>
      <c r="QZI130" s="52"/>
      <c r="QZJ130" s="52"/>
      <c r="QZK130" s="52"/>
      <c r="QZL130" s="52"/>
      <c r="QZM130" s="52"/>
      <c r="QZN130" s="52"/>
      <c r="QZO130" s="52"/>
      <c r="QZP130" s="52"/>
      <c r="QZQ130" s="52"/>
      <c r="QZR130" s="52"/>
      <c r="QZS130" s="52"/>
      <c r="QZT130" s="52"/>
      <c r="QZU130" s="52"/>
      <c r="QZV130" s="52"/>
      <c r="QZW130" s="52"/>
      <c r="QZX130" s="52"/>
      <c r="QZY130" s="52"/>
      <c r="QZZ130" s="52"/>
      <c r="RAA130" s="52"/>
      <c r="RAB130" s="52"/>
      <c r="RAC130" s="52"/>
      <c r="RAD130" s="52"/>
      <c r="RAE130" s="52"/>
      <c r="RAF130" s="52"/>
      <c r="RAG130" s="52"/>
      <c r="RAH130" s="52"/>
      <c r="RAI130" s="52"/>
      <c r="RAJ130" s="52"/>
      <c r="RAK130" s="52"/>
      <c r="RAL130" s="52"/>
      <c r="RAM130" s="52"/>
      <c r="RAN130" s="52"/>
      <c r="RAO130" s="52"/>
      <c r="RAP130" s="52"/>
      <c r="RAQ130" s="52"/>
      <c r="RAR130" s="52"/>
      <c r="RAS130" s="52"/>
      <c r="RAT130" s="52"/>
      <c r="RAU130" s="52"/>
      <c r="RAV130" s="52"/>
      <c r="RAW130" s="52"/>
      <c r="RAX130" s="52"/>
      <c r="RAY130" s="52"/>
      <c r="RAZ130" s="52"/>
      <c r="RBA130" s="52"/>
      <c r="RBB130" s="52"/>
      <c r="RBC130" s="52"/>
      <c r="RBD130" s="52"/>
      <c r="RBE130" s="52"/>
      <c r="RBF130" s="52"/>
      <c r="RBG130" s="52"/>
      <c r="RBH130" s="52"/>
      <c r="RBI130" s="52"/>
      <c r="RBJ130" s="52"/>
      <c r="RBK130" s="52"/>
      <c r="RBL130" s="52"/>
      <c r="RBM130" s="52"/>
      <c r="RBN130" s="52"/>
      <c r="RBO130" s="52"/>
      <c r="RBP130" s="52"/>
      <c r="RBQ130" s="52"/>
      <c r="RBR130" s="52"/>
      <c r="RBS130" s="52"/>
      <c r="RBT130" s="52"/>
      <c r="RBU130" s="52"/>
      <c r="RBV130" s="52"/>
      <c r="RBW130" s="52"/>
      <c r="RBX130" s="52"/>
      <c r="RBY130" s="52"/>
      <c r="RBZ130" s="52"/>
      <c r="RCA130" s="52"/>
      <c r="RCB130" s="52"/>
      <c r="RCC130" s="52"/>
      <c r="RCD130" s="52"/>
      <c r="RCE130" s="52"/>
      <c r="RCF130" s="52"/>
      <c r="RCG130" s="52"/>
      <c r="RCH130" s="52"/>
      <c r="RCI130" s="52"/>
      <c r="RCJ130" s="52"/>
      <c r="RCK130" s="52"/>
      <c r="RCL130" s="52"/>
      <c r="RCM130" s="52"/>
      <c r="RCN130" s="52"/>
      <c r="RCO130" s="52"/>
      <c r="RCP130" s="52"/>
      <c r="RCQ130" s="52"/>
      <c r="RCR130" s="52"/>
      <c r="RCS130" s="52"/>
      <c r="RCT130" s="52"/>
      <c r="RCU130" s="52"/>
      <c r="RCV130" s="52"/>
      <c r="RCW130" s="52"/>
      <c r="RCX130" s="52"/>
      <c r="RCY130" s="52"/>
      <c r="RCZ130" s="52"/>
      <c r="RDA130" s="52"/>
      <c r="RDB130" s="52"/>
      <c r="RDC130" s="52"/>
      <c r="RDD130" s="52"/>
      <c r="RDE130" s="52"/>
      <c r="RDF130" s="52"/>
      <c r="RDG130" s="52"/>
      <c r="RDH130" s="52"/>
      <c r="RDI130" s="52"/>
      <c r="RDJ130" s="52"/>
      <c r="RDK130" s="52"/>
      <c r="RDL130" s="52"/>
      <c r="RDM130" s="52"/>
      <c r="RDN130" s="52"/>
      <c r="RDO130" s="52"/>
      <c r="RDP130" s="52"/>
      <c r="RDQ130" s="52"/>
      <c r="RDR130" s="52"/>
      <c r="RDS130" s="52"/>
      <c r="RDT130" s="52"/>
      <c r="RDU130" s="52"/>
      <c r="RDV130" s="52"/>
      <c r="RDW130" s="52"/>
      <c r="RDX130" s="52"/>
      <c r="RDY130" s="52"/>
      <c r="RDZ130" s="52"/>
      <c r="REA130" s="52"/>
      <c r="REB130" s="52"/>
      <c r="REC130" s="52"/>
      <c r="RED130" s="52"/>
      <c r="REE130" s="52"/>
      <c r="REF130" s="52"/>
      <c r="REG130" s="52"/>
      <c r="REH130" s="52"/>
      <c r="REI130" s="52"/>
      <c r="REJ130" s="52"/>
      <c r="REK130" s="52"/>
      <c r="REL130" s="52"/>
      <c r="REM130" s="52"/>
      <c r="REN130" s="52"/>
      <c r="REO130" s="52"/>
      <c r="REP130" s="52"/>
      <c r="REQ130" s="52"/>
      <c r="RER130" s="52"/>
      <c r="RES130" s="52"/>
      <c r="RET130" s="52"/>
      <c r="REU130" s="52"/>
      <c r="REV130" s="52"/>
      <c r="REW130" s="52"/>
      <c r="REX130" s="52"/>
      <c r="REY130" s="52"/>
      <c r="REZ130" s="52"/>
      <c r="RFA130" s="52"/>
      <c r="RFB130" s="52"/>
      <c r="RFC130" s="52"/>
      <c r="RFD130" s="52"/>
      <c r="RFE130" s="52"/>
      <c r="RFF130" s="52"/>
      <c r="RFG130" s="52"/>
      <c r="RFH130" s="52"/>
      <c r="RFI130" s="52"/>
      <c r="RFJ130" s="52"/>
      <c r="RFK130" s="52"/>
      <c r="RFL130" s="52"/>
      <c r="RFM130" s="52"/>
      <c r="RFN130" s="52"/>
      <c r="RFO130" s="52"/>
      <c r="RFP130" s="52"/>
      <c r="RFQ130" s="52"/>
      <c r="RFR130" s="52"/>
      <c r="RFS130" s="52"/>
      <c r="RFT130" s="52"/>
      <c r="RFU130" s="52"/>
      <c r="RFV130" s="52"/>
      <c r="RFW130" s="52"/>
      <c r="RFX130" s="52"/>
      <c r="RFY130" s="52"/>
      <c r="RFZ130" s="52"/>
      <c r="RGA130" s="52"/>
      <c r="RGB130" s="52"/>
      <c r="RGC130" s="52"/>
      <c r="RGD130" s="52"/>
      <c r="RGE130" s="52"/>
      <c r="RGF130" s="52"/>
      <c r="RGG130" s="52"/>
      <c r="RGH130" s="52"/>
      <c r="RGI130" s="52"/>
      <c r="RGJ130" s="52"/>
      <c r="RGK130" s="52"/>
      <c r="RGL130" s="52"/>
      <c r="RGM130" s="52"/>
      <c r="RGN130" s="52"/>
      <c r="RGO130" s="52"/>
      <c r="RGP130" s="52"/>
      <c r="RGQ130" s="52"/>
      <c r="RGR130" s="52"/>
      <c r="RGS130" s="52"/>
      <c r="RGT130" s="52"/>
      <c r="RGU130" s="52"/>
      <c r="RGV130" s="52"/>
      <c r="RGW130" s="52"/>
      <c r="RGX130" s="52"/>
      <c r="RGY130" s="52"/>
      <c r="RGZ130" s="52"/>
      <c r="RHA130" s="52"/>
      <c r="RHB130" s="52"/>
      <c r="RHC130" s="52"/>
      <c r="RHD130" s="52"/>
      <c r="RHE130" s="52"/>
      <c r="RHF130" s="52"/>
      <c r="RHG130" s="52"/>
      <c r="RHH130" s="52"/>
      <c r="RHI130" s="52"/>
      <c r="RHJ130" s="52"/>
      <c r="RHK130" s="52"/>
      <c r="RHL130" s="52"/>
      <c r="RHM130" s="52"/>
      <c r="RHN130" s="52"/>
      <c r="RHO130" s="52"/>
      <c r="RHP130" s="52"/>
      <c r="RHQ130" s="52"/>
      <c r="RHR130" s="52"/>
      <c r="RHS130" s="52"/>
      <c r="RHT130" s="52"/>
      <c r="RHU130" s="52"/>
      <c r="RHV130" s="52"/>
      <c r="RHW130" s="52"/>
      <c r="RHX130" s="52"/>
      <c r="RHY130" s="52"/>
      <c r="RHZ130" s="52"/>
      <c r="RIA130" s="52"/>
      <c r="RIB130" s="52"/>
      <c r="RIC130" s="52"/>
      <c r="RID130" s="52"/>
      <c r="RIE130" s="52"/>
      <c r="RIF130" s="52"/>
      <c r="RIG130" s="52"/>
      <c r="RIH130" s="52"/>
      <c r="RII130" s="52"/>
      <c r="RIJ130" s="52"/>
      <c r="RIK130" s="52"/>
      <c r="RIL130" s="52"/>
      <c r="RIM130" s="52"/>
      <c r="RIN130" s="52"/>
      <c r="RIO130" s="52"/>
      <c r="RIP130" s="52"/>
      <c r="RIQ130" s="52"/>
      <c r="RIR130" s="52"/>
      <c r="RIS130" s="52"/>
      <c r="RIT130" s="52"/>
      <c r="RIU130" s="52"/>
      <c r="RIV130" s="52"/>
      <c r="RIW130" s="52"/>
      <c r="RIX130" s="52"/>
      <c r="RIY130" s="52"/>
      <c r="RIZ130" s="52"/>
      <c r="RJA130" s="52"/>
      <c r="RJB130" s="52"/>
      <c r="RJC130" s="52"/>
      <c r="RJD130" s="52"/>
      <c r="RJE130" s="52"/>
      <c r="RJF130" s="52"/>
      <c r="RJG130" s="52"/>
      <c r="RJH130" s="52"/>
      <c r="RJI130" s="52"/>
      <c r="RJJ130" s="52"/>
      <c r="RJK130" s="52"/>
      <c r="RJL130" s="52"/>
      <c r="RJM130" s="52"/>
      <c r="RJN130" s="52"/>
      <c r="RJO130" s="52"/>
      <c r="RJP130" s="52"/>
      <c r="RJQ130" s="52"/>
      <c r="RJR130" s="52"/>
      <c r="RJS130" s="52"/>
      <c r="RJT130" s="52"/>
      <c r="RJU130" s="52"/>
      <c r="RJV130" s="52"/>
      <c r="RJW130" s="52"/>
      <c r="RJX130" s="52"/>
      <c r="RJY130" s="52"/>
      <c r="RJZ130" s="52"/>
      <c r="RKA130" s="52"/>
      <c r="RKB130" s="52"/>
      <c r="RKC130" s="52"/>
      <c r="RKD130" s="52"/>
      <c r="RKE130" s="52"/>
      <c r="RKF130" s="52"/>
      <c r="RKG130" s="52"/>
      <c r="RKH130" s="52"/>
      <c r="RKI130" s="52"/>
      <c r="RKJ130" s="52"/>
      <c r="RKK130" s="52"/>
      <c r="RKL130" s="52"/>
      <c r="RKM130" s="52"/>
      <c r="RKN130" s="52"/>
      <c r="RKO130" s="52"/>
      <c r="RKP130" s="52"/>
      <c r="RKQ130" s="52"/>
      <c r="RKR130" s="52"/>
      <c r="RKS130" s="52"/>
      <c r="RKT130" s="52"/>
      <c r="RKU130" s="52"/>
      <c r="RKV130" s="52"/>
      <c r="RKW130" s="52"/>
      <c r="RKX130" s="52"/>
      <c r="RKY130" s="52"/>
      <c r="RKZ130" s="52"/>
      <c r="RLA130" s="52"/>
      <c r="RLB130" s="52"/>
      <c r="RLC130" s="52"/>
      <c r="RLD130" s="52"/>
      <c r="RLE130" s="52"/>
      <c r="RLF130" s="52"/>
      <c r="RLG130" s="52"/>
      <c r="RLH130" s="52"/>
      <c r="RLI130" s="52"/>
      <c r="RLJ130" s="52"/>
      <c r="RLK130" s="52"/>
      <c r="RLL130" s="52"/>
      <c r="RLM130" s="52"/>
      <c r="RLN130" s="52"/>
      <c r="RLO130" s="52"/>
      <c r="RLP130" s="52"/>
      <c r="RLQ130" s="52"/>
      <c r="RLR130" s="52"/>
      <c r="RLS130" s="52"/>
      <c r="RLT130" s="52"/>
      <c r="RLU130" s="52"/>
      <c r="RLV130" s="52"/>
      <c r="RLW130" s="52"/>
      <c r="RLX130" s="52"/>
      <c r="RLY130" s="52"/>
      <c r="RLZ130" s="52"/>
      <c r="RMA130" s="52"/>
      <c r="RMB130" s="52"/>
      <c r="RMC130" s="52"/>
      <c r="RMD130" s="52"/>
      <c r="RME130" s="52"/>
      <c r="RMF130" s="52"/>
      <c r="RMG130" s="52"/>
      <c r="RMH130" s="52"/>
      <c r="RMI130" s="52"/>
      <c r="RMJ130" s="52"/>
      <c r="RMK130" s="52"/>
      <c r="RML130" s="52"/>
      <c r="RMM130" s="52"/>
      <c r="RMN130" s="52"/>
      <c r="RMO130" s="52"/>
      <c r="RMP130" s="52"/>
      <c r="RMQ130" s="52"/>
      <c r="RMR130" s="52"/>
      <c r="RMS130" s="52"/>
      <c r="RMT130" s="52"/>
      <c r="RMU130" s="52"/>
      <c r="RMV130" s="52"/>
      <c r="RMW130" s="52"/>
      <c r="RMX130" s="52"/>
      <c r="RMY130" s="52"/>
      <c r="RMZ130" s="52"/>
      <c r="RNA130" s="52"/>
      <c r="RNB130" s="52"/>
      <c r="RNC130" s="52"/>
      <c r="RND130" s="52"/>
      <c r="RNE130" s="52"/>
      <c r="RNF130" s="52"/>
      <c r="RNG130" s="52"/>
      <c r="RNH130" s="52"/>
      <c r="RNI130" s="52"/>
      <c r="RNJ130" s="52"/>
      <c r="RNK130" s="52"/>
      <c r="RNL130" s="52"/>
      <c r="RNM130" s="52"/>
      <c r="RNN130" s="52"/>
      <c r="RNO130" s="52"/>
      <c r="RNP130" s="52"/>
      <c r="RNQ130" s="52"/>
      <c r="RNR130" s="52"/>
      <c r="RNS130" s="52"/>
      <c r="RNT130" s="52"/>
      <c r="RNU130" s="52"/>
      <c r="RNV130" s="52"/>
      <c r="RNW130" s="52"/>
      <c r="RNX130" s="52"/>
      <c r="RNY130" s="52"/>
      <c r="RNZ130" s="52"/>
      <c r="ROA130" s="52"/>
      <c r="ROB130" s="52"/>
      <c r="ROC130" s="52"/>
      <c r="ROD130" s="52"/>
      <c r="ROE130" s="52"/>
      <c r="ROF130" s="52"/>
      <c r="ROG130" s="52"/>
      <c r="ROH130" s="52"/>
      <c r="ROI130" s="52"/>
      <c r="ROJ130" s="52"/>
      <c r="ROK130" s="52"/>
      <c r="ROL130" s="52"/>
      <c r="ROM130" s="52"/>
      <c r="RON130" s="52"/>
      <c r="ROO130" s="52"/>
      <c r="ROP130" s="52"/>
      <c r="ROQ130" s="52"/>
      <c r="ROR130" s="52"/>
      <c r="ROS130" s="52"/>
      <c r="ROT130" s="52"/>
      <c r="ROU130" s="52"/>
      <c r="ROV130" s="52"/>
      <c r="ROW130" s="52"/>
      <c r="ROX130" s="52"/>
      <c r="ROY130" s="52"/>
      <c r="ROZ130" s="52"/>
      <c r="RPA130" s="52"/>
      <c r="RPB130" s="52"/>
      <c r="RPC130" s="52"/>
      <c r="RPD130" s="52"/>
      <c r="RPE130" s="52"/>
      <c r="RPF130" s="52"/>
      <c r="RPG130" s="52"/>
      <c r="RPH130" s="52"/>
      <c r="RPI130" s="52"/>
      <c r="RPJ130" s="52"/>
      <c r="RPK130" s="52"/>
      <c r="RPL130" s="52"/>
      <c r="RPM130" s="52"/>
      <c r="RPN130" s="52"/>
      <c r="RPO130" s="52"/>
      <c r="RPP130" s="52"/>
      <c r="RPQ130" s="52"/>
      <c r="RPR130" s="52"/>
      <c r="RPS130" s="52"/>
      <c r="RPT130" s="52"/>
      <c r="RPU130" s="52"/>
      <c r="RPV130" s="52"/>
      <c r="RPW130" s="52"/>
      <c r="RPX130" s="52"/>
      <c r="RPY130" s="52"/>
      <c r="RPZ130" s="52"/>
      <c r="RQA130" s="52"/>
      <c r="RQB130" s="52"/>
      <c r="RQC130" s="52"/>
      <c r="RQD130" s="52"/>
      <c r="RQE130" s="52"/>
      <c r="RQF130" s="52"/>
      <c r="RQG130" s="52"/>
      <c r="RQH130" s="52"/>
      <c r="RQI130" s="52"/>
      <c r="RQJ130" s="52"/>
      <c r="RQK130" s="52"/>
      <c r="RQL130" s="52"/>
      <c r="RQM130" s="52"/>
      <c r="RQN130" s="52"/>
      <c r="RQO130" s="52"/>
      <c r="RQP130" s="52"/>
      <c r="RQQ130" s="52"/>
      <c r="RQR130" s="52"/>
      <c r="RQS130" s="52"/>
      <c r="RQT130" s="52"/>
      <c r="RQU130" s="52"/>
      <c r="RQV130" s="52"/>
      <c r="RQW130" s="52"/>
      <c r="RQX130" s="52"/>
      <c r="RQY130" s="52"/>
      <c r="RQZ130" s="52"/>
      <c r="RRA130" s="52"/>
      <c r="RRB130" s="52"/>
      <c r="RRC130" s="52"/>
      <c r="RRD130" s="52"/>
      <c r="RRE130" s="52"/>
      <c r="RRF130" s="52"/>
      <c r="RRG130" s="52"/>
      <c r="RRH130" s="52"/>
      <c r="RRI130" s="52"/>
      <c r="RRJ130" s="52"/>
      <c r="RRK130" s="52"/>
      <c r="RRL130" s="52"/>
      <c r="RRM130" s="52"/>
      <c r="RRN130" s="52"/>
      <c r="RRO130" s="52"/>
      <c r="RRP130" s="52"/>
      <c r="RRQ130" s="52"/>
      <c r="RRR130" s="52"/>
      <c r="RRS130" s="52"/>
      <c r="RRT130" s="52"/>
      <c r="RRU130" s="52"/>
      <c r="RRV130" s="52"/>
      <c r="RRW130" s="52"/>
      <c r="RRX130" s="52"/>
      <c r="RRY130" s="52"/>
      <c r="RRZ130" s="52"/>
      <c r="RSA130" s="52"/>
      <c r="RSB130" s="52"/>
      <c r="RSC130" s="52"/>
      <c r="RSD130" s="52"/>
      <c r="RSE130" s="52"/>
      <c r="RSF130" s="52"/>
      <c r="RSG130" s="52"/>
      <c r="RSH130" s="52"/>
      <c r="RSI130" s="52"/>
      <c r="RSJ130" s="52"/>
      <c r="RSK130" s="52"/>
      <c r="RSL130" s="52"/>
      <c r="RSM130" s="52"/>
      <c r="RSN130" s="52"/>
      <c r="RSO130" s="52"/>
      <c r="RSP130" s="52"/>
      <c r="RSQ130" s="52"/>
      <c r="RSR130" s="52"/>
      <c r="RSS130" s="52"/>
      <c r="RST130" s="52"/>
      <c r="RSU130" s="52"/>
      <c r="RSV130" s="52"/>
      <c r="RSW130" s="52"/>
      <c r="RSX130" s="52"/>
      <c r="RSY130" s="52"/>
      <c r="RSZ130" s="52"/>
      <c r="RTA130" s="52"/>
      <c r="RTB130" s="52"/>
      <c r="RTC130" s="52"/>
      <c r="RTD130" s="52"/>
      <c r="RTE130" s="52"/>
      <c r="RTF130" s="52"/>
      <c r="RTG130" s="52"/>
      <c r="RTH130" s="52"/>
      <c r="RTI130" s="52"/>
      <c r="RTJ130" s="52"/>
      <c r="RTK130" s="52"/>
      <c r="RTL130" s="52"/>
      <c r="RTM130" s="52"/>
      <c r="RTN130" s="52"/>
      <c r="RTO130" s="52"/>
      <c r="RTP130" s="52"/>
      <c r="RTQ130" s="52"/>
      <c r="RTR130" s="52"/>
      <c r="RTS130" s="52"/>
      <c r="RTT130" s="52"/>
      <c r="RTU130" s="52"/>
      <c r="RTV130" s="52"/>
      <c r="RTW130" s="52"/>
      <c r="RTX130" s="52"/>
      <c r="RTY130" s="52"/>
      <c r="RTZ130" s="52"/>
      <c r="RUA130" s="52"/>
      <c r="RUB130" s="52"/>
      <c r="RUC130" s="52"/>
      <c r="RUD130" s="52"/>
      <c r="RUE130" s="52"/>
      <c r="RUF130" s="52"/>
      <c r="RUG130" s="52"/>
      <c r="RUH130" s="52"/>
      <c r="RUI130" s="52"/>
      <c r="RUJ130" s="52"/>
      <c r="RUK130" s="52"/>
      <c r="RUL130" s="52"/>
      <c r="RUM130" s="52"/>
      <c r="RUN130" s="52"/>
      <c r="RUO130" s="52"/>
      <c r="RUP130" s="52"/>
      <c r="RUQ130" s="52"/>
      <c r="RUR130" s="52"/>
      <c r="RUS130" s="52"/>
      <c r="RUT130" s="52"/>
      <c r="RUU130" s="52"/>
      <c r="RUV130" s="52"/>
      <c r="RUW130" s="52"/>
      <c r="RUX130" s="52"/>
      <c r="RUY130" s="52"/>
      <c r="RUZ130" s="52"/>
      <c r="RVA130" s="52"/>
      <c r="RVB130" s="52"/>
      <c r="RVC130" s="52"/>
      <c r="RVD130" s="52"/>
      <c r="RVE130" s="52"/>
      <c r="RVF130" s="52"/>
      <c r="RVG130" s="52"/>
      <c r="RVH130" s="52"/>
      <c r="RVI130" s="52"/>
      <c r="RVJ130" s="52"/>
      <c r="RVK130" s="52"/>
      <c r="RVL130" s="52"/>
      <c r="RVM130" s="52"/>
      <c r="RVN130" s="52"/>
      <c r="RVO130" s="52"/>
      <c r="RVP130" s="52"/>
      <c r="RVQ130" s="52"/>
      <c r="RVR130" s="52"/>
      <c r="RVS130" s="52"/>
      <c r="RVT130" s="52"/>
      <c r="RVU130" s="52"/>
      <c r="RVV130" s="52"/>
      <c r="RVW130" s="52"/>
      <c r="RVX130" s="52"/>
      <c r="RVY130" s="52"/>
      <c r="RVZ130" s="52"/>
      <c r="RWA130" s="52"/>
      <c r="RWB130" s="52"/>
      <c r="RWC130" s="52"/>
      <c r="RWD130" s="52"/>
      <c r="RWE130" s="52"/>
      <c r="RWF130" s="52"/>
      <c r="RWG130" s="52"/>
      <c r="RWH130" s="52"/>
      <c r="RWI130" s="52"/>
      <c r="RWJ130" s="52"/>
      <c r="RWK130" s="52"/>
      <c r="RWL130" s="52"/>
      <c r="RWM130" s="52"/>
      <c r="RWN130" s="52"/>
      <c r="RWO130" s="52"/>
      <c r="RWP130" s="52"/>
      <c r="RWQ130" s="52"/>
      <c r="RWR130" s="52"/>
      <c r="RWS130" s="52"/>
      <c r="RWT130" s="52"/>
      <c r="RWU130" s="52"/>
      <c r="RWV130" s="52"/>
      <c r="RWW130" s="52"/>
      <c r="RWX130" s="52"/>
      <c r="RWY130" s="52"/>
      <c r="RWZ130" s="52"/>
      <c r="RXA130" s="52"/>
      <c r="RXB130" s="52"/>
      <c r="RXC130" s="52"/>
      <c r="RXD130" s="52"/>
      <c r="RXE130" s="52"/>
      <c r="RXF130" s="52"/>
      <c r="RXG130" s="52"/>
      <c r="RXH130" s="52"/>
      <c r="RXI130" s="52"/>
      <c r="RXJ130" s="52"/>
      <c r="RXK130" s="52"/>
      <c r="RXL130" s="52"/>
      <c r="RXM130" s="52"/>
      <c r="RXN130" s="52"/>
      <c r="RXO130" s="52"/>
      <c r="RXP130" s="52"/>
      <c r="RXQ130" s="52"/>
      <c r="RXR130" s="52"/>
      <c r="RXS130" s="52"/>
      <c r="RXT130" s="52"/>
      <c r="RXU130" s="52"/>
      <c r="RXV130" s="52"/>
      <c r="RXW130" s="52"/>
      <c r="RXX130" s="52"/>
      <c r="RXY130" s="52"/>
      <c r="RXZ130" s="52"/>
      <c r="RYA130" s="52"/>
      <c r="RYB130" s="52"/>
      <c r="RYC130" s="52"/>
      <c r="RYD130" s="52"/>
      <c r="RYE130" s="52"/>
      <c r="RYF130" s="52"/>
      <c r="RYG130" s="52"/>
      <c r="RYH130" s="52"/>
      <c r="RYI130" s="52"/>
      <c r="RYJ130" s="52"/>
      <c r="RYK130" s="52"/>
      <c r="RYL130" s="52"/>
      <c r="RYM130" s="52"/>
      <c r="RYN130" s="52"/>
      <c r="RYO130" s="52"/>
      <c r="RYP130" s="52"/>
      <c r="RYQ130" s="52"/>
      <c r="RYR130" s="52"/>
      <c r="RYS130" s="52"/>
      <c r="RYT130" s="52"/>
      <c r="RYU130" s="52"/>
      <c r="RYV130" s="52"/>
      <c r="RYW130" s="52"/>
      <c r="RYX130" s="52"/>
      <c r="RYY130" s="52"/>
      <c r="RYZ130" s="52"/>
      <c r="RZA130" s="52"/>
      <c r="RZB130" s="52"/>
      <c r="RZC130" s="52"/>
      <c r="RZD130" s="52"/>
      <c r="RZE130" s="52"/>
      <c r="RZF130" s="52"/>
      <c r="RZG130" s="52"/>
      <c r="RZH130" s="52"/>
      <c r="RZI130" s="52"/>
      <c r="RZJ130" s="52"/>
      <c r="RZK130" s="52"/>
      <c r="RZL130" s="52"/>
      <c r="RZM130" s="52"/>
      <c r="RZN130" s="52"/>
      <c r="RZO130" s="52"/>
      <c r="RZP130" s="52"/>
      <c r="RZQ130" s="52"/>
      <c r="RZR130" s="52"/>
      <c r="RZS130" s="52"/>
      <c r="RZT130" s="52"/>
      <c r="RZU130" s="52"/>
      <c r="RZV130" s="52"/>
      <c r="RZW130" s="52"/>
      <c r="RZX130" s="52"/>
      <c r="RZY130" s="52"/>
      <c r="RZZ130" s="52"/>
      <c r="SAA130" s="52"/>
      <c r="SAB130" s="52"/>
      <c r="SAC130" s="52"/>
      <c r="SAD130" s="52"/>
      <c r="SAE130" s="52"/>
      <c r="SAF130" s="52"/>
      <c r="SAG130" s="52"/>
      <c r="SAH130" s="52"/>
      <c r="SAI130" s="52"/>
      <c r="SAJ130" s="52"/>
      <c r="SAK130" s="52"/>
      <c r="SAL130" s="52"/>
      <c r="SAM130" s="52"/>
      <c r="SAN130" s="52"/>
      <c r="SAO130" s="52"/>
      <c r="SAP130" s="52"/>
      <c r="SAQ130" s="52"/>
      <c r="SAR130" s="52"/>
      <c r="SAS130" s="52"/>
      <c r="SAT130" s="52"/>
      <c r="SAU130" s="52"/>
      <c r="SAV130" s="52"/>
      <c r="SAW130" s="52"/>
      <c r="SAX130" s="52"/>
      <c r="SAY130" s="52"/>
      <c r="SAZ130" s="52"/>
      <c r="SBA130" s="52"/>
      <c r="SBB130" s="52"/>
      <c r="SBC130" s="52"/>
      <c r="SBD130" s="52"/>
      <c r="SBE130" s="52"/>
      <c r="SBF130" s="52"/>
      <c r="SBG130" s="52"/>
      <c r="SBH130" s="52"/>
      <c r="SBI130" s="52"/>
      <c r="SBJ130" s="52"/>
      <c r="SBK130" s="52"/>
      <c r="SBL130" s="52"/>
      <c r="SBM130" s="52"/>
      <c r="SBN130" s="52"/>
      <c r="SBO130" s="52"/>
      <c r="SBP130" s="52"/>
      <c r="SBQ130" s="52"/>
      <c r="SBR130" s="52"/>
      <c r="SBS130" s="52"/>
      <c r="SBT130" s="52"/>
      <c r="SBU130" s="52"/>
      <c r="SBV130" s="52"/>
      <c r="SBW130" s="52"/>
      <c r="SBX130" s="52"/>
      <c r="SBY130" s="52"/>
      <c r="SBZ130" s="52"/>
      <c r="SCA130" s="52"/>
      <c r="SCB130" s="52"/>
      <c r="SCC130" s="52"/>
      <c r="SCD130" s="52"/>
      <c r="SCE130" s="52"/>
      <c r="SCF130" s="52"/>
      <c r="SCG130" s="52"/>
      <c r="SCH130" s="52"/>
      <c r="SCI130" s="52"/>
      <c r="SCJ130" s="52"/>
      <c r="SCK130" s="52"/>
      <c r="SCL130" s="52"/>
      <c r="SCM130" s="52"/>
      <c r="SCN130" s="52"/>
      <c r="SCO130" s="52"/>
      <c r="SCP130" s="52"/>
      <c r="SCQ130" s="52"/>
      <c r="SCR130" s="52"/>
      <c r="SCS130" s="52"/>
      <c r="SCT130" s="52"/>
      <c r="SCU130" s="52"/>
      <c r="SCV130" s="52"/>
      <c r="SCW130" s="52"/>
      <c r="SCX130" s="52"/>
      <c r="SCY130" s="52"/>
      <c r="SCZ130" s="52"/>
      <c r="SDA130" s="52"/>
      <c r="SDB130" s="52"/>
      <c r="SDC130" s="52"/>
      <c r="SDD130" s="52"/>
      <c r="SDE130" s="52"/>
      <c r="SDF130" s="52"/>
      <c r="SDG130" s="52"/>
      <c r="SDH130" s="52"/>
      <c r="SDI130" s="52"/>
      <c r="SDJ130" s="52"/>
      <c r="SDK130" s="52"/>
      <c r="SDL130" s="52"/>
      <c r="SDM130" s="52"/>
      <c r="SDN130" s="52"/>
      <c r="SDO130" s="52"/>
      <c r="SDP130" s="52"/>
      <c r="SDQ130" s="52"/>
      <c r="SDR130" s="52"/>
      <c r="SDS130" s="52"/>
      <c r="SDT130" s="52"/>
      <c r="SDU130" s="52"/>
      <c r="SDV130" s="52"/>
      <c r="SDW130" s="52"/>
      <c r="SDX130" s="52"/>
      <c r="SDY130" s="52"/>
      <c r="SDZ130" s="52"/>
      <c r="SEA130" s="52"/>
      <c r="SEB130" s="52"/>
      <c r="SEC130" s="52"/>
      <c r="SED130" s="52"/>
      <c r="SEE130" s="52"/>
      <c r="SEF130" s="52"/>
      <c r="SEG130" s="52"/>
      <c r="SEH130" s="52"/>
      <c r="SEI130" s="52"/>
      <c r="SEJ130" s="52"/>
      <c r="SEK130" s="52"/>
      <c r="SEL130" s="52"/>
      <c r="SEM130" s="52"/>
      <c r="SEN130" s="52"/>
      <c r="SEO130" s="52"/>
      <c r="SEP130" s="52"/>
      <c r="SEQ130" s="52"/>
      <c r="SER130" s="52"/>
      <c r="SES130" s="52"/>
      <c r="SET130" s="52"/>
      <c r="SEU130" s="52"/>
      <c r="SEV130" s="52"/>
      <c r="SEW130" s="52"/>
      <c r="SEX130" s="52"/>
      <c r="SEY130" s="52"/>
      <c r="SEZ130" s="52"/>
      <c r="SFA130" s="52"/>
      <c r="SFB130" s="52"/>
      <c r="SFC130" s="52"/>
      <c r="SFD130" s="52"/>
      <c r="SFE130" s="52"/>
      <c r="SFF130" s="52"/>
      <c r="SFG130" s="52"/>
      <c r="SFH130" s="52"/>
      <c r="SFI130" s="52"/>
      <c r="SFJ130" s="52"/>
      <c r="SFK130" s="52"/>
      <c r="SFL130" s="52"/>
      <c r="SFM130" s="52"/>
      <c r="SFN130" s="52"/>
      <c r="SFO130" s="52"/>
      <c r="SFP130" s="52"/>
      <c r="SFQ130" s="52"/>
      <c r="SFR130" s="52"/>
      <c r="SFS130" s="52"/>
      <c r="SFT130" s="52"/>
      <c r="SFU130" s="52"/>
      <c r="SFV130" s="52"/>
      <c r="SFW130" s="52"/>
      <c r="SFX130" s="52"/>
      <c r="SFY130" s="52"/>
      <c r="SFZ130" s="52"/>
      <c r="SGA130" s="52"/>
      <c r="SGB130" s="52"/>
      <c r="SGC130" s="52"/>
      <c r="SGD130" s="52"/>
      <c r="SGE130" s="52"/>
      <c r="SGF130" s="52"/>
      <c r="SGG130" s="52"/>
      <c r="SGH130" s="52"/>
      <c r="SGI130" s="52"/>
      <c r="SGJ130" s="52"/>
      <c r="SGK130" s="52"/>
      <c r="SGL130" s="52"/>
      <c r="SGM130" s="52"/>
      <c r="SGN130" s="52"/>
      <c r="SGO130" s="52"/>
      <c r="SGP130" s="52"/>
      <c r="SGQ130" s="52"/>
      <c r="SGR130" s="52"/>
      <c r="SGS130" s="52"/>
      <c r="SGT130" s="52"/>
      <c r="SGU130" s="52"/>
      <c r="SGV130" s="52"/>
      <c r="SGW130" s="52"/>
      <c r="SGX130" s="52"/>
      <c r="SGY130" s="52"/>
      <c r="SGZ130" s="52"/>
      <c r="SHA130" s="52"/>
      <c r="SHB130" s="52"/>
      <c r="SHC130" s="52"/>
      <c r="SHD130" s="52"/>
      <c r="SHE130" s="52"/>
      <c r="SHF130" s="52"/>
      <c r="SHG130" s="52"/>
      <c r="SHH130" s="52"/>
      <c r="SHI130" s="52"/>
      <c r="SHJ130" s="52"/>
      <c r="SHK130" s="52"/>
      <c r="SHL130" s="52"/>
      <c r="SHM130" s="52"/>
      <c r="SHN130" s="52"/>
      <c r="SHO130" s="52"/>
      <c r="SHP130" s="52"/>
      <c r="SHQ130" s="52"/>
      <c r="SHR130" s="52"/>
      <c r="SHS130" s="52"/>
      <c r="SHT130" s="52"/>
      <c r="SHU130" s="52"/>
      <c r="SHV130" s="52"/>
      <c r="SHW130" s="52"/>
      <c r="SHX130" s="52"/>
      <c r="SHY130" s="52"/>
      <c r="SHZ130" s="52"/>
      <c r="SIA130" s="52"/>
      <c r="SIB130" s="52"/>
      <c r="SIC130" s="52"/>
      <c r="SID130" s="52"/>
      <c r="SIE130" s="52"/>
      <c r="SIF130" s="52"/>
      <c r="SIG130" s="52"/>
      <c r="SIH130" s="52"/>
      <c r="SII130" s="52"/>
      <c r="SIJ130" s="52"/>
      <c r="SIK130" s="52"/>
      <c r="SIL130" s="52"/>
      <c r="SIM130" s="52"/>
      <c r="SIN130" s="52"/>
      <c r="SIO130" s="52"/>
      <c r="SIP130" s="52"/>
      <c r="SIQ130" s="52"/>
      <c r="SIR130" s="52"/>
      <c r="SIS130" s="52"/>
      <c r="SIT130" s="52"/>
      <c r="SIU130" s="52"/>
      <c r="SIV130" s="52"/>
      <c r="SIW130" s="52"/>
      <c r="SIX130" s="52"/>
      <c r="SIY130" s="52"/>
      <c r="SIZ130" s="52"/>
      <c r="SJA130" s="52"/>
      <c r="SJB130" s="52"/>
      <c r="SJC130" s="52"/>
      <c r="SJD130" s="52"/>
      <c r="SJE130" s="52"/>
      <c r="SJF130" s="52"/>
      <c r="SJG130" s="52"/>
      <c r="SJH130" s="52"/>
      <c r="SJI130" s="52"/>
      <c r="SJJ130" s="52"/>
      <c r="SJK130" s="52"/>
      <c r="SJL130" s="52"/>
      <c r="SJM130" s="52"/>
      <c r="SJN130" s="52"/>
      <c r="SJO130" s="52"/>
      <c r="SJP130" s="52"/>
      <c r="SJQ130" s="52"/>
      <c r="SJR130" s="52"/>
      <c r="SJS130" s="52"/>
      <c r="SJT130" s="52"/>
      <c r="SJU130" s="52"/>
      <c r="SJV130" s="52"/>
      <c r="SJW130" s="52"/>
      <c r="SJX130" s="52"/>
      <c r="SJY130" s="52"/>
      <c r="SJZ130" s="52"/>
      <c r="SKA130" s="52"/>
      <c r="SKB130" s="52"/>
      <c r="SKC130" s="52"/>
      <c r="SKD130" s="52"/>
      <c r="SKE130" s="52"/>
      <c r="SKF130" s="52"/>
      <c r="SKG130" s="52"/>
      <c r="SKH130" s="52"/>
      <c r="SKI130" s="52"/>
      <c r="SKJ130" s="52"/>
      <c r="SKK130" s="52"/>
      <c r="SKL130" s="52"/>
      <c r="SKM130" s="52"/>
      <c r="SKN130" s="52"/>
      <c r="SKO130" s="52"/>
      <c r="SKP130" s="52"/>
      <c r="SKQ130" s="52"/>
      <c r="SKR130" s="52"/>
      <c r="SKS130" s="52"/>
      <c r="SKT130" s="52"/>
      <c r="SKU130" s="52"/>
      <c r="SKV130" s="52"/>
      <c r="SKW130" s="52"/>
      <c r="SKX130" s="52"/>
      <c r="SKY130" s="52"/>
      <c r="SKZ130" s="52"/>
      <c r="SLA130" s="52"/>
      <c r="SLB130" s="52"/>
      <c r="SLC130" s="52"/>
      <c r="SLD130" s="52"/>
      <c r="SLE130" s="52"/>
      <c r="SLF130" s="52"/>
      <c r="SLG130" s="52"/>
      <c r="SLH130" s="52"/>
      <c r="SLI130" s="52"/>
      <c r="SLJ130" s="52"/>
      <c r="SLK130" s="52"/>
      <c r="SLL130" s="52"/>
      <c r="SLM130" s="52"/>
      <c r="SLN130" s="52"/>
      <c r="SLO130" s="52"/>
      <c r="SLP130" s="52"/>
      <c r="SLQ130" s="52"/>
      <c r="SLR130" s="52"/>
      <c r="SLS130" s="52"/>
      <c r="SLT130" s="52"/>
      <c r="SLU130" s="52"/>
      <c r="SLV130" s="52"/>
      <c r="SLW130" s="52"/>
      <c r="SLX130" s="52"/>
      <c r="SLY130" s="52"/>
      <c r="SLZ130" s="52"/>
      <c r="SMA130" s="52"/>
      <c r="SMB130" s="52"/>
      <c r="SMC130" s="52"/>
      <c r="SMD130" s="52"/>
      <c r="SME130" s="52"/>
      <c r="SMF130" s="52"/>
      <c r="SMG130" s="52"/>
      <c r="SMH130" s="52"/>
      <c r="SMI130" s="52"/>
      <c r="SMJ130" s="52"/>
      <c r="SMK130" s="52"/>
      <c r="SML130" s="52"/>
      <c r="SMM130" s="52"/>
      <c r="SMN130" s="52"/>
      <c r="SMO130" s="52"/>
      <c r="SMP130" s="52"/>
      <c r="SMQ130" s="52"/>
      <c r="SMR130" s="52"/>
      <c r="SMS130" s="52"/>
      <c r="SMT130" s="52"/>
      <c r="SMU130" s="52"/>
      <c r="SMV130" s="52"/>
      <c r="SMW130" s="52"/>
      <c r="SMX130" s="52"/>
      <c r="SMY130" s="52"/>
      <c r="SMZ130" s="52"/>
      <c r="SNA130" s="52"/>
      <c r="SNB130" s="52"/>
      <c r="SNC130" s="52"/>
      <c r="SND130" s="52"/>
      <c r="SNE130" s="52"/>
      <c r="SNF130" s="52"/>
      <c r="SNG130" s="52"/>
      <c r="SNH130" s="52"/>
      <c r="SNI130" s="52"/>
      <c r="SNJ130" s="52"/>
      <c r="SNK130" s="52"/>
      <c r="SNL130" s="52"/>
      <c r="SNM130" s="52"/>
      <c r="SNN130" s="52"/>
      <c r="SNO130" s="52"/>
      <c r="SNP130" s="52"/>
      <c r="SNQ130" s="52"/>
      <c r="SNR130" s="52"/>
      <c r="SNS130" s="52"/>
      <c r="SNT130" s="52"/>
      <c r="SNU130" s="52"/>
      <c r="SNV130" s="52"/>
      <c r="SNW130" s="52"/>
      <c r="SNX130" s="52"/>
      <c r="SNY130" s="52"/>
      <c r="SNZ130" s="52"/>
      <c r="SOA130" s="52"/>
      <c r="SOB130" s="52"/>
      <c r="SOC130" s="52"/>
      <c r="SOD130" s="52"/>
      <c r="SOE130" s="52"/>
      <c r="SOF130" s="52"/>
      <c r="SOG130" s="52"/>
      <c r="SOH130" s="52"/>
      <c r="SOI130" s="52"/>
      <c r="SOJ130" s="52"/>
      <c r="SOK130" s="52"/>
      <c r="SOL130" s="52"/>
      <c r="SOM130" s="52"/>
      <c r="SON130" s="52"/>
      <c r="SOO130" s="52"/>
      <c r="SOP130" s="52"/>
      <c r="SOQ130" s="52"/>
      <c r="SOR130" s="52"/>
      <c r="SOS130" s="52"/>
      <c r="SOT130" s="52"/>
      <c r="SOU130" s="52"/>
      <c r="SOV130" s="52"/>
      <c r="SOW130" s="52"/>
      <c r="SOX130" s="52"/>
      <c r="SOY130" s="52"/>
      <c r="SOZ130" s="52"/>
      <c r="SPA130" s="52"/>
      <c r="SPB130" s="52"/>
      <c r="SPC130" s="52"/>
      <c r="SPD130" s="52"/>
      <c r="SPE130" s="52"/>
      <c r="SPF130" s="52"/>
      <c r="SPG130" s="52"/>
      <c r="SPH130" s="52"/>
      <c r="SPI130" s="52"/>
      <c r="SPJ130" s="52"/>
      <c r="SPK130" s="52"/>
      <c r="SPL130" s="52"/>
      <c r="SPM130" s="52"/>
      <c r="SPN130" s="52"/>
      <c r="SPO130" s="52"/>
      <c r="SPP130" s="52"/>
      <c r="SPQ130" s="52"/>
      <c r="SPR130" s="52"/>
      <c r="SPS130" s="52"/>
      <c r="SPT130" s="52"/>
      <c r="SPU130" s="52"/>
      <c r="SPV130" s="52"/>
      <c r="SPW130" s="52"/>
      <c r="SPX130" s="52"/>
      <c r="SPY130" s="52"/>
      <c r="SPZ130" s="52"/>
      <c r="SQA130" s="52"/>
      <c r="SQB130" s="52"/>
      <c r="SQC130" s="52"/>
      <c r="SQD130" s="52"/>
      <c r="SQE130" s="52"/>
      <c r="SQF130" s="52"/>
      <c r="SQG130" s="52"/>
      <c r="SQH130" s="52"/>
      <c r="SQI130" s="52"/>
      <c r="SQJ130" s="52"/>
      <c r="SQK130" s="52"/>
      <c r="SQL130" s="52"/>
      <c r="SQM130" s="52"/>
      <c r="SQN130" s="52"/>
      <c r="SQO130" s="52"/>
      <c r="SQP130" s="52"/>
      <c r="SQQ130" s="52"/>
      <c r="SQR130" s="52"/>
      <c r="SQS130" s="52"/>
      <c r="SQT130" s="52"/>
      <c r="SQU130" s="52"/>
      <c r="SQV130" s="52"/>
      <c r="SQW130" s="52"/>
      <c r="SQX130" s="52"/>
      <c r="SQY130" s="52"/>
      <c r="SQZ130" s="52"/>
      <c r="SRA130" s="52"/>
      <c r="SRB130" s="52"/>
      <c r="SRC130" s="52"/>
      <c r="SRD130" s="52"/>
      <c r="SRE130" s="52"/>
      <c r="SRF130" s="52"/>
      <c r="SRG130" s="52"/>
      <c r="SRH130" s="52"/>
      <c r="SRI130" s="52"/>
      <c r="SRJ130" s="52"/>
      <c r="SRK130" s="52"/>
      <c r="SRL130" s="52"/>
      <c r="SRM130" s="52"/>
      <c r="SRN130" s="52"/>
      <c r="SRO130" s="52"/>
      <c r="SRP130" s="52"/>
      <c r="SRQ130" s="52"/>
      <c r="SRR130" s="52"/>
      <c r="SRS130" s="52"/>
      <c r="SRT130" s="52"/>
      <c r="SRU130" s="52"/>
      <c r="SRV130" s="52"/>
      <c r="SRW130" s="52"/>
      <c r="SRX130" s="52"/>
      <c r="SRY130" s="52"/>
      <c r="SRZ130" s="52"/>
      <c r="SSA130" s="52"/>
      <c r="SSB130" s="52"/>
      <c r="SSC130" s="52"/>
      <c r="SSD130" s="52"/>
      <c r="SSE130" s="52"/>
      <c r="SSF130" s="52"/>
      <c r="SSG130" s="52"/>
      <c r="SSH130" s="52"/>
      <c r="SSI130" s="52"/>
      <c r="SSJ130" s="52"/>
      <c r="SSK130" s="52"/>
      <c r="SSL130" s="52"/>
      <c r="SSM130" s="52"/>
      <c r="SSN130" s="52"/>
      <c r="SSO130" s="52"/>
      <c r="SSP130" s="52"/>
      <c r="SSQ130" s="52"/>
      <c r="SSR130" s="52"/>
      <c r="SSS130" s="52"/>
      <c r="SST130" s="52"/>
      <c r="SSU130" s="52"/>
      <c r="SSV130" s="52"/>
      <c r="SSW130" s="52"/>
      <c r="SSX130" s="52"/>
      <c r="SSY130" s="52"/>
      <c r="SSZ130" s="52"/>
      <c r="STA130" s="52"/>
      <c r="STB130" s="52"/>
      <c r="STC130" s="52"/>
      <c r="STD130" s="52"/>
      <c r="STE130" s="52"/>
      <c r="STF130" s="52"/>
      <c r="STG130" s="52"/>
      <c r="STH130" s="52"/>
      <c r="STI130" s="52"/>
      <c r="STJ130" s="52"/>
      <c r="STK130" s="52"/>
      <c r="STL130" s="52"/>
      <c r="STM130" s="52"/>
      <c r="STN130" s="52"/>
      <c r="STO130" s="52"/>
      <c r="STP130" s="52"/>
      <c r="STQ130" s="52"/>
      <c r="STR130" s="52"/>
      <c r="STS130" s="52"/>
      <c r="STT130" s="52"/>
      <c r="STU130" s="52"/>
      <c r="STV130" s="52"/>
      <c r="STW130" s="52"/>
      <c r="STX130" s="52"/>
      <c r="STY130" s="52"/>
      <c r="STZ130" s="52"/>
      <c r="SUA130" s="52"/>
      <c r="SUB130" s="52"/>
      <c r="SUC130" s="52"/>
      <c r="SUD130" s="52"/>
      <c r="SUE130" s="52"/>
      <c r="SUF130" s="52"/>
      <c r="SUG130" s="52"/>
      <c r="SUH130" s="52"/>
      <c r="SUI130" s="52"/>
      <c r="SUJ130" s="52"/>
      <c r="SUK130" s="52"/>
      <c r="SUL130" s="52"/>
      <c r="SUM130" s="52"/>
      <c r="SUN130" s="52"/>
      <c r="SUO130" s="52"/>
      <c r="SUP130" s="52"/>
      <c r="SUQ130" s="52"/>
      <c r="SUR130" s="52"/>
      <c r="SUS130" s="52"/>
      <c r="SUT130" s="52"/>
      <c r="SUU130" s="52"/>
      <c r="SUV130" s="52"/>
      <c r="SUW130" s="52"/>
      <c r="SUX130" s="52"/>
      <c r="SUY130" s="52"/>
      <c r="SUZ130" s="52"/>
      <c r="SVA130" s="52"/>
      <c r="SVB130" s="52"/>
      <c r="SVC130" s="52"/>
      <c r="SVD130" s="52"/>
      <c r="SVE130" s="52"/>
      <c r="SVF130" s="52"/>
      <c r="SVG130" s="52"/>
      <c r="SVH130" s="52"/>
      <c r="SVI130" s="52"/>
      <c r="SVJ130" s="52"/>
      <c r="SVK130" s="52"/>
      <c r="SVL130" s="52"/>
      <c r="SVM130" s="52"/>
      <c r="SVN130" s="52"/>
      <c r="SVO130" s="52"/>
      <c r="SVP130" s="52"/>
      <c r="SVQ130" s="52"/>
      <c r="SVR130" s="52"/>
      <c r="SVS130" s="52"/>
      <c r="SVT130" s="52"/>
      <c r="SVU130" s="52"/>
      <c r="SVV130" s="52"/>
      <c r="SVW130" s="52"/>
      <c r="SVX130" s="52"/>
      <c r="SVY130" s="52"/>
      <c r="SVZ130" s="52"/>
      <c r="SWA130" s="52"/>
      <c r="SWB130" s="52"/>
      <c r="SWC130" s="52"/>
      <c r="SWD130" s="52"/>
      <c r="SWE130" s="52"/>
      <c r="SWF130" s="52"/>
      <c r="SWG130" s="52"/>
      <c r="SWH130" s="52"/>
      <c r="SWI130" s="52"/>
      <c r="SWJ130" s="52"/>
      <c r="SWK130" s="52"/>
      <c r="SWL130" s="52"/>
      <c r="SWM130" s="52"/>
      <c r="SWN130" s="52"/>
      <c r="SWO130" s="52"/>
      <c r="SWP130" s="52"/>
      <c r="SWQ130" s="52"/>
      <c r="SWR130" s="52"/>
      <c r="SWS130" s="52"/>
      <c r="SWT130" s="52"/>
      <c r="SWU130" s="52"/>
      <c r="SWV130" s="52"/>
      <c r="SWW130" s="52"/>
      <c r="SWX130" s="52"/>
      <c r="SWY130" s="52"/>
      <c r="SWZ130" s="52"/>
      <c r="SXA130" s="52"/>
      <c r="SXB130" s="52"/>
      <c r="SXC130" s="52"/>
      <c r="SXD130" s="52"/>
      <c r="SXE130" s="52"/>
      <c r="SXF130" s="52"/>
      <c r="SXG130" s="52"/>
      <c r="SXH130" s="52"/>
      <c r="SXI130" s="52"/>
      <c r="SXJ130" s="52"/>
      <c r="SXK130" s="52"/>
      <c r="SXL130" s="52"/>
      <c r="SXM130" s="52"/>
      <c r="SXN130" s="52"/>
      <c r="SXO130" s="52"/>
      <c r="SXP130" s="52"/>
      <c r="SXQ130" s="52"/>
      <c r="SXR130" s="52"/>
      <c r="SXS130" s="52"/>
      <c r="SXT130" s="52"/>
      <c r="SXU130" s="52"/>
      <c r="SXV130" s="52"/>
      <c r="SXW130" s="52"/>
      <c r="SXX130" s="52"/>
      <c r="SXY130" s="52"/>
      <c r="SXZ130" s="52"/>
      <c r="SYA130" s="52"/>
      <c r="SYB130" s="52"/>
      <c r="SYC130" s="52"/>
      <c r="SYD130" s="52"/>
      <c r="SYE130" s="52"/>
      <c r="SYF130" s="52"/>
      <c r="SYG130" s="52"/>
      <c r="SYH130" s="52"/>
      <c r="SYI130" s="52"/>
      <c r="SYJ130" s="52"/>
      <c r="SYK130" s="52"/>
      <c r="SYL130" s="52"/>
      <c r="SYM130" s="52"/>
      <c r="SYN130" s="52"/>
      <c r="SYO130" s="52"/>
      <c r="SYP130" s="52"/>
      <c r="SYQ130" s="52"/>
      <c r="SYR130" s="52"/>
      <c r="SYS130" s="52"/>
      <c r="SYT130" s="52"/>
      <c r="SYU130" s="52"/>
      <c r="SYV130" s="52"/>
      <c r="SYW130" s="52"/>
      <c r="SYX130" s="52"/>
      <c r="SYY130" s="52"/>
      <c r="SYZ130" s="52"/>
      <c r="SZA130" s="52"/>
      <c r="SZB130" s="52"/>
      <c r="SZC130" s="52"/>
      <c r="SZD130" s="52"/>
      <c r="SZE130" s="52"/>
      <c r="SZF130" s="52"/>
      <c r="SZG130" s="52"/>
      <c r="SZH130" s="52"/>
      <c r="SZI130" s="52"/>
      <c r="SZJ130" s="52"/>
      <c r="SZK130" s="52"/>
      <c r="SZL130" s="52"/>
      <c r="SZM130" s="52"/>
      <c r="SZN130" s="52"/>
      <c r="SZO130" s="52"/>
      <c r="SZP130" s="52"/>
      <c r="SZQ130" s="52"/>
      <c r="SZR130" s="52"/>
      <c r="SZS130" s="52"/>
      <c r="SZT130" s="52"/>
      <c r="SZU130" s="52"/>
      <c r="SZV130" s="52"/>
      <c r="SZW130" s="52"/>
      <c r="SZX130" s="52"/>
      <c r="SZY130" s="52"/>
      <c r="SZZ130" s="52"/>
      <c r="TAA130" s="52"/>
      <c r="TAB130" s="52"/>
      <c r="TAC130" s="52"/>
      <c r="TAD130" s="52"/>
      <c r="TAE130" s="52"/>
      <c r="TAF130" s="52"/>
      <c r="TAG130" s="52"/>
      <c r="TAH130" s="52"/>
      <c r="TAI130" s="52"/>
      <c r="TAJ130" s="52"/>
      <c r="TAK130" s="52"/>
      <c r="TAL130" s="52"/>
      <c r="TAM130" s="52"/>
      <c r="TAN130" s="52"/>
      <c r="TAO130" s="52"/>
      <c r="TAP130" s="52"/>
      <c r="TAQ130" s="52"/>
      <c r="TAR130" s="52"/>
      <c r="TAS130" s="52"/>
      <c r="TAT130" s="52"/>
      <c r="TAU130" s="52"/>
      <c r="TAV130" s="52"/>
      <c r="TAW130" s="52"/>
      <c r="TAX130" s="52"/>
      <c r="TAY130" s="52"/>
      <c r="TAZ130" s="52"/>
      <c r="TBA130" s="52"/>
      <c r="TBB130" s="52"/>
      <c r="TBC130" s="52"/>
      <c r="TBD130" s="52"/>
      <c r="TBE130" s="52"/>
      <c r="TBF130" s="52"/>
      <c r="TBG130" s="52"/>
      <c r="TBH130" s="52"/>
      <c r="TBI130" s="52"/>
      <c r="TBJ130" s="52"/>
      <c r="TBK130" s="52"/>
      <c r="TBL130" s="52"/>
      <c r="TBM130" s="52"/>
      <c r="TBN130" s="52"/>
      <c r="TBO130" s="52"/>
      <c r="TBP130" s="52"/>
      <c r="TBQ130" s="52"/>
      <c r="TBR130" s="52"/>
      <c r="TBS130" s="52"/>
      <c r="TBT130" s="52"/>
      <c r="TBU130" s="52"/>
      <c r="TBV130" s="52"/>
      <c r="TBW130" s="52"/>
      <c r="TBX130" s="52"/>
      <c r="TBY130" s="52"/>
      <c r="TBZ130" s="52"/>
      <c r="TCA130" s="52"/>
      <c r="TCB130" s="52"/>
      <c r="TCC130" s="52"/>
      <c r="TCD130" s="52"/>
      <c r="TCE130" s="52"/>
      <c r="TCF130" s="52"/>
      <c r="TCG130" s="52"/>
      <c r="TCH130" s="52"/>
      <c r="TCI130" s="52"/>
      <c r="TCJ130" s="52"/>
      <c r="TCK130" s="52"/>
      <c r="TCL130" s="52"/>
      <c r="TCM130" s="52"/>
      <c r="TCN130" s="52"/>
      <c r="TCO130" s="52"/>
      <c r="TCP130" s="52"/>
      <c r="TCQ130" s="52"/>
      <c r="TCR130" s="52"/>
      <c r="TCS130" s="52"/>
      <c r="TCT130" s="52"/>
      <c r="TCU130" s="52"/>
      <c r="TCV130" s="52"/>
      <c r="TCW130" s="52"/>
      <c r="TCX130" s="52"/>
      <c r="TCY130" s="52"/>
      <c r="TCZ130" s="52"/>
      <c r="TDA130" s="52"/>
      <c r="TDB130" s="52"/>
      <c r="TDC130" s="52"/>
      <c r="TDD130" s="52"/>
      <c r="TDE130" s="52"/>
      <c r="TDF130" s="52"/>
      <c r="TDG130" s="52"/>
      <c r="TDH130" s="52"/>
      <c r="TDI130" s="52"/>
      <c r="TDJ130" s="52"/>
      <c r="TDK130" s="52"/>
      <c r="TDL130" s="52"/>
      <c r="TDM130" s="52"/>
      <c r="TDN130" s="52"/>
      <c r="TDO130" s="52"/>
      <c r="TDP130" s="52"/>
      <c r="TDQ130" s="52"/>
      <c r="TDR130" s="52"/>
      <c r="TDS130" s="52"/>
      <c r="TDT130" s="52"/>
      <c r="TDU130" s="52"/>
      <c r="TDV130" s="52"/>
      <c r="TDW130" s="52"/>
      <c r="TDX130" s="52"/>
      <c r="TDY130" s="52"/>
      <c r="TDZ130" s="52"/>
      <c r="TEA130" s="52"/>
      <c r="TEB130" s="52"/>
      <c r="TEC130" s="52"/>
      <c r="TED130" s="52"/>
      <c r="TEE130" s="52"/>
      <c r="TEF130" s="52"/>
      <c r="TEG130" s="52"/>
      <c r="TEH130" s="52"/>
      <c r="TEI130" s="52"/>
      <c r="TEJ130" s="52"/>
      <c r="TEK130" s="52"/>
      <c r="TEL130" s="52"/>
      <c r="TEM130" s="52"/>
      <c r="TEN130" s="52"/>
      <c r="TEO130" s="52"/>
      <c r="TEP130" s="52"/>
      <c r="TEQ130" s="52"/>
      <c r="TER130" s="52"/>
      <c r="TES130" s="52"/>
      <c r="TET130" s="52"/>
      <c r="TEU130" s="52"/>
      <c r="TEV130" s="52"/>
      <c r="TEW130" s="52"/>
      <c r="TEX130" s="52"/>
      <c r="TEY130" s="52"/>
      <c r="TEZ130" s="52"/>
      <c r="TFA130" s="52"/>
      <c r="TFB130" s="52"/>
      <c r="TFC130" s="52"/>
      <c r="TFD130" s="52"/>
      <c r="TFE130" s="52"/>
      <c r="TFF130" s="52"/>
      <c r="TFG130" s="52"/>
      <c r="TFH130" s="52"/>
      <c r="TFI130" s="52"/>
      <c r="TFJ130" s="52"/>
      <c r="TFK130" s="52"/>
      <c r="TFL130" s="52"/>
      <c r="TFM130" s="52"/>
      <c r="TFN130" s="52"/>
      <c r="TFO130" s="52"/>
      <c r="TFP130" s="52"/>
      <c r="TFQ130" s="52"/>
      <c r="TFR130" s="52"/>
      <c r="TFS130" s="52"/>
      <c r="TFT130" s="52"/>
      <c r="TFU130" s="52"/>
      <c r="TFV130" s="52"/>
      <c r="TFW130" s="52"/>
      <c r="TFX130" s="52"/>
      <c r="TFY130" s="52"/>
      <c r="TFZ130" s="52"/>
      <c r="TGA130" s="52"/>
      <c r="TGB130" s="52"/>
      <c r="TGC130" s="52"/>
      <c r="TGD130" s="52"/>
      <c r="TGE130" s="52"/>
      <c r="TGF130" s="52"/>
      <c r="TGG130" s="52"/>
      <c r="TGH130" s="52"/>
      <c r="TGI130" s="52"/>
      <c r="TGJ130" s="52"/>
      <c r="TGK130" s="52"/>
      <c r="TGL130" s="52"/>
      <c r="TGM130" s="52"/>
      <c r="TGN130" s="52"/>
      <c r="TGO130" s="52"/>
      <c r="TGP130" s="52"/>
      <c r="TGQ130" s="52"/>
      <c r="TGR130" s="52"/>
      <c r="TGS130" s="52"/>
      <c r="TGT130" s="52"/>
      <c r="TGU130" s="52"/>
      <c r="TGV130" s="52"/>
      <c r="TGW130" s="52"/>
      <c r="TGX130" s="52"/>
      <c r="TGY130" s="52"/>
      <c r="TGZ130" s="52"/>
      <c r="THA130" s="52"/>
      <c r="THB130" s="52"/>
      <c r="THC130" s="52"/>
      <c r="THD130" s="52"/>
      <c r="THE130" s="52"/>
      <c r="THF130" s="52"/>
      <c r="THG130" s="52"/>
      <c r="THH130" s="52"/>
      <c r="THI130" s="52"/>
      <c r="THJ130" s="52"/>
      <c r="THK130" s="52"/>
      <c r="THL130" s="52"/>
      <c r="THM130" s="52"/>
      <c r="THN130" s="52"/>
      <c r="THO130" s="52"/>
      <c r="THP130" s="52"/>
      <c r="THQ130" s="52"/>
      <c r="THR130" s="52"/>
      <c r="THS130" s="52"/>
      <c r="THT130" s="52"/>
      <c r="THU130" s="52"/>
      <c r="THV130" s="52"/>
      <c r="THW130" s="52"/>
      <c r="THX130" s="52"/>
      <c r="THY130" s="52"/>
      <c r="THZ130" s="52"/>
      <c r="TIA130" s="52"/>
      <c r="TIB130" s="52"/>
      <c r="TIC130" s="52"/>
      <c r="TID130" s="52"/>
      <c r="TIE130" s="52"/>
      <c r="TIF130" s="52"/>
      <c r="TIG130" s="52"/>
      <c r="TIH130" s="52"/>
      <c r="TII130" s="52"/>
      <c r="TIJ130" s="52"/>
      <c r="TIK130" s="52"/>
      <c r="TIL130" s="52"/>
      <c r="TIM130" s="52"/>
      <c r="TIN130" s="52"/>
      <c r="TIO130" s="52"/>
      <c r="TIP130" s="52"/>
      <c r="TIQ130" s="52"/>
      <c r="TIR130" s="52"/>
      <c r="TIS130" s="52"/>
      <c r="TIT130" s="52"/>
      <c r="TIU130" s="52"/>
      <c r="TIV130" s="52"/>
      <c r="TIW130" s="52"/>
      <c r="TIX130" s="52"/>
      <c r="TIY130" s="52"/>
      <c r="TIZ130" s="52"/>
      <c r="TJA130" s="52"/>
      <c r="TJB130" s="52"/>
      <c r="TJC130" s="52"/>
      <c r="TJD130" s="52"/>
      <c r="TJE130" s="52"/>
      <c r="TJF130" s="52"/>
      <c r="TJG130" s="52"/>
      <c r="TJH130" s="52"/>
      <c r="TJI130" s="52"/>
      <c r="TJJ130" s="52"/>
      <c r="TJK130" s="52"/>
      <c r="TJL130" s="52"/>
      <c r="TJM130" s="52"/>
      <c r="TJN130" s="52"/>
      <c r="TJO130" s="52"/>
      <c r="TJP130" s="52"/>
      <c r="TJQ130" s="52"/>
      <c r="TJR130" s="52"/>
      <c r="TJS130" s="52"/>
      <c r="TJT130" s="52"/>
      <c r="TJU130" s="52"/>
      <c r="TJV130" s="52"/>
      <c r="TJW130" s="52"/>
      <c r="TJX130" s="52"/>
      <c r="TJY130" s="52"/>
      <c r="TJZ130" s="52"/>
      <c r="TKA130" s="52"/>
      <c r="TKB130" s="52"/>
      <c r="TKC130" s="52"/>
      <c r="TKD130" s="52"/>
      <c r="TKE130" s="52"/>
      <c r="TKF130" s="52"/>
      <c r="TKG130" s="52"/>
      <c r="TKH130" s="52"/>
      <c r="TKI130" s="52"/>
      <c r="TKJ130" s="52"/>
      <c r="TKK130" s="52"/>
      <c r="TKL130" s="52"/>
      <c r="TKM130" s="52"/>
      <c r="TKN130" s="52"/>
      <c r="TKO130" s="52"/>
      <c r="TKP130" s="52"/>
      <c r="TKQ130" s="52"/>
      <c r="TKR130" s="52"/>
      <c r="TKS130" s="52"/>
      <c r="TKT130" s="52"/>
      <c r="TKU130" s="52"/>
      <c r="TKV130" s="52"/>
      <c r="TKW130" s="52"/>
      <c r="TKX130" s="52"/>
      <c r="TKY130" s="52"/>
      <c r="TKZ130" s="52"/>
      <c r="TLA130" s="52"/>
      <c r="TLB130" s="52"/>
      <c r="TLC130" s="52"/>
      <c r="TLD130" s="52"/>
      <c r="TLE130" s="52"/>
      <c r="TLF130" s="52"/>
      <c r="TLG130" s="52"/>
      <c r="TLH130" s="52"/>
      <c r="TLI130" s="52"/>
      <c r="TLJ130" s="52"/>
      <c r="TLK130" s="52"/>
      <c r="TLL130" s="52"/>
      <c r="TLM130" s="52"/>
      <c r="TLN130" s="52"/>
      <c r="TLO130" s="52"/>
      <c r="TLP130" s="52"/>
      <c r="TLQ130" s="52"/>
      <c r="TLR130" s="52"/>
      <c r="TLS130" s="52"/>
      <c r="TLT130" s="52"/>
      <c r="TLU130" s="52"/>
      <c r="TLV130" s="52"/>
      <c r="TLW130" s="52"/>
      <c r="TLX130" s="52"/>
      <c r="TLY130" s="52"/>
      <c r="TLZ130" s="52"/>
      <c r="TMA130" s="52"/>
      <c r="TMB130" s="52"/>
      <c r="TMC130" s="52"/>
      <c r="TMD130" s="52"/>
      <c r="TME130" s="52"/>
      <c r="TMF130" s="52"/>
      <c r="TMG130" s="52"/>
      <c r="TMH130" s="52"/>
      <c r="TMI130" s="52"/>
      <c r="TMJ130" s="52"/>
      <c r="TMK130" s="52"/>
      <c r="TML130" s="52"/>
      <c r="TMM130" s="52"/>
      <c r="TMN130" s="52"/>
      <c r="TMO130" s="52"/>
      <c r="TMP130" s="52"/>
      <c r="TMQ130" s="52"/>
      <c r="TMR130" s="52"/>
      <c r="TMS130" s="52"/>
      <c r="TMT130" s="52"/>
      <c r="TMU130" s="52"/>
      <c r="TMV130" s="52"/>
      <c r="TMW130" s="52"/>
      <c r="TMX130" s="52"/>
      <c r="TMY130" s="52"/>
      <c r="TMZ130" s="52"/>
      <c r="TNA130" s="52"/>
      <c r="TNB130" s="52"/>
      <c r="TNC130" s="52"/>
      <c r="TND130" s="52"/>
      <c r="TNE130" s="52"/>
      <c r="TNF130" s="52"/>
      <c r="TNG130" s="52"/>
      <c r="TNH130" s="52"/>
      <c r="TNI130" s="52"/>
      <c r="TNJ130" s="52"/>
      <c r="TNK130" s="52"/>
      <c r="TNL130" s="52"/>
      <c r="TNM130" s="52"/>
      <c r="TNN130" s="52"/>
      <c r="TNO130" s="52"/>
      <c r="TNP130" s="52"/>
      <c r="TNQ130" s="52"/>
      <c r="TNR130" s="52"/>
      <c r="TNS130" s="52"/>
      <c r="TNT130" s="52"/>
      <c r="TNU130" s="52"/>
      <c r="TNV130" s="52"/>
      <c r="TNW130" s="52"/>
      <c r="TNX130" s="52"/>
      <c r="TNY130" s="52"/>
      <c r="TNZ130" s="52"/>
      <c r="TOA130" s="52"/>
      <c r="TOB130" s="52"/>
      <c r="TOC130" s="52"/>
      <c r="TOD130" s="52"/>
      <c r="TOE130" s="52"/>
      <c r="TOF130" s="52"/>
      <c r="TOG130" s="52"/>
      <c r="TOH130" s="52"/>
      <c r="TOI130" s="52"/>
      <c r="TOJ130" s="52"/>
      <c r="TOK130" s="52"/>
      <c r="TOL130" s="52"/>
      <c r="TOM130" s="52"/>
      <c r="TON130" s="52"/>
      <c r="TOO130" s="52"/>
      <c r="TOP130" s="52"/>
      <c r="TOQ130" s="52"/>
      <c r="TOR130" s="52"/>
      <c r="TOS130" s="52"/>
      <c r="TOT130" s="52"/>
      <c r="TOU130" s="52"/>
      <c r="TOV130" s="52"/>
      <c r="TOW130" s="52"/>
      <c r="TOX130" s="52"/>
      <c r="TOY130" s="52"/>
      <c r="TOZ130" s="52"/>
      <c r="TPA130" s="52"/>
      <c r="TPB130" s="52"/>
      <c r="TPC130" s="52"/>
      <c r="TPD130" s="52"/>
      <c r="TPE130" s="52"/>
      <c r="TPF130" s="52"/>
      <c r="TPG130" s="52"/>
      <c r="TPH130" s="52"/>
      <c r="TPI130" s="52"/>
      <c r="TPJ130" s="52"/>
      <c r="TPK130" s="52"/>
      <c r="TPL130" s="52"/>
      <c r="TPM130" s="52"/>
      <c r="TPN130" s="52"/>
      <c r="TPO130" s="52"/>
      <c r="TPP130" s="52"/>
      <c r="TPQ130" s="52"/>
      <c r="TPR130" s="52"/>
      <c r="TPS130" s="52"/>
      <c r="TPT130" s="52"/>
      <c r="TPU130" s="52"/>
      <c r="TPV130" s="52"/>
      <c r="TPW130" s="52"/>
      <c r="TPX130" s="52"/>
      <c r="TPY130" s="52"/>
      <c r="TPZ130" s="52"/>
      <c r="TQA130" s="52"/>
      <c r="TQB130" s="52"/>
      <c r="TQC130" s="52"/>
      <c r="TQD130" s="52"/>
      <c r="TQE130" s="52"/>
      <c r="TQF130" s="52"/>
      <c r="TQG130" s="52"/>
      <c r="TQH130" s="52"/>
      <c r="TQI130" s="52"/>
      <c r="TQJ130" s="52"/>
      <c r="TQK130" s="52"/>
      <c r="TQL130" s="52"/>
      <c r="TQM130" s="52"/>
      <c r="TQN130" s="52"/>
      <c r="TQO130" s="52"/>
      <c r="TQP130" s="52"/>
      <c r="TQQ130" s="52"/>
      <c r="TQR130" s="52"/>
      <c r="TQS130" s="52"/>
      <c r="TQT130" s="52"/>
      <c r="TQU130" s="52"/>
      <c r="TQV130" s="52"/>
      <c r="TQW130" s="52"/>
      <c r="TQX130" s="52"/>
      <c r="TQY130" s="52"/>
      <c r="TQZ130" s="52"/>
      <c r="TRA130" s="52"/>
      <c r="TRB130" s="52"/>
      <c r="TRC130" s="52"/>
      <c r="TRD130" s="52"/>
      <c r="TRE130" s="52"/>
      <c r="TRF130" s="52"/>
      <c r="TRG130" s="52"/>
      <c r="TRH130" s="52"/>
      <c r="TRI130" s="52"/>
      <c r="TRJ130" s="52"/>
      <c r="TRK130" s="52"/>
      <c r="TRL130" s="52"/>
      <c r="TRM130" s="52"/>
      <c r="TRN130" s="52"/>
      <c r="TRO130" s="52"/>
      <c r="TRP130" s="52"/>
      <c r="TRQ130" s="52"/>
      <c r="TRR130" s="52"/>
      <c r="TRS130" s="52"/>
      <c r="TRT130" s="52"/>
      <c r="TRU130" s="52"/>
      <c r="TRV130" s="52"/>
      <c r="TRW130" s="52"/>
      <c r="TRX130" s="52"/>
      <c r="TRY130" s="52"/>
      <c r="TRZ130" s="52"/>
      <c r="TSA130" s="52"/>
      <c r="TSB130" s="52"/>
      <c r="TSC130" s="52"/>
      <c r="TSD130" s="52"/>
      <c r="TSE130" s="52"/>
      <c r="TSF130" s="52"/>
      <c r="TSG130" s="52"/>
      <c r="TSH130" s="52"/>
      <c r="TSI130" s="52"/>
      <c r="TSJ130" s="52"/>
      <c r="TSK130" s="52"/>
      <c r="TSL130" s="52"/>
      <c r="TSM130" s="52"/>
      <c r="TSN130" s="52"/>
      <c r="TSO130" s="52"/>
      <c r="TSP130" s="52"/>
      <c r="TSQ130" s="52"/>
      <c r="TSR130" s="52"/>
      <c r="TSS130" s="52"/>
      <c r="TST130" s="52"/>
      <c r="TSU130" s="52"/>
      <c r="TSV130" s="52"/>
      <c r="TSW130" s="52"/>
      <c r="TSX130" s="52"/>
      <c r="TSY130" s="52"/>
      <c r="TSZ130" s="52"/>
      <c r="TTA130" s="52"/>
      <c r="TTB130" s="52"/>
      <c r="TTC130" s="52"/>
      <c r="TTD130" s="52"/>
      <c r="TTE130" s="52"/>
      <c r="TTF130" s="52"/>
      <c r="TTG130" s="52"/>
      <c r="TTH130" s="52"/>
      <c r="TTI130" s="52"/>
      <c r="TTJ130" s="52"/>
      <c r="TTK130" s="52"/>
      <c r="TTL130" s="52"/>
      <c r="TTM130" s="52"/>
      <c r="TTN130" s="52"/>
      <c r="TTO130" s="52"/>
      <c r="TTP130" s="52"/>
      <c r="TTQ130" s="52"/>
      <c r="TTR130" s="52"/>
      <c r="TTS130" s="52"/>
      <c r="TTT130" s="52"/>
      <c r="TTU130" s="52"/>
      <c r="TTV130" s="52"/>
      <c r="TTW130" s="52"/>
      <c r="TTX130" s="52"/>
      <c r="TTY130" s="52"/>
      <c r="TTZ130" s="52"/>
      <c r="TUA130" s="52"/>
      <c r="TUB130" s="52"/>
      <c r="TUC130" s="52"/>
      <c r="TUD130" s="52"/>
      <c r="TUE130" s="52"/>
      <c r="TUF130" s="52"/>
      <c r="TUG130" s="52"/>
      <c r="TUH130" s="52"/>
      <c r="TUI130" s="52"/>
      <c r="TUJ130" s="52"/>
      <c r="TUK130" s="52"/>
      <c r="TUL130" s="52"/>
      <c r="TUM130" s="52"/>
      <c r="TUN130" s="52"/>
      <c r="TUO130" s="52"/>
      <c r="TUP130" s="52"/>
      <c r="TUQ130" s="52"/>
      <c r="TUR130" s="52"/>
      <c r="TUS130" s="52"/>
      <c r="TUT130" s="52"/>
      <c r="TUU130" s="52"/>
      <c r="TUV130" s="52"/>
      <c r="TUW130" s="52"/>
      <c r="TUX130" s="52"/>
      <c r="TUY130" s="52"/>
      <c r="TUZ130" s="52"/>
      <c r="TVA130" s="52"/>
      <c r="TVB130" s="52"/>
      <c r="TVC130" s="52"/>
      <c r="TVD130" s="52"/>
      <c r="TVE130" s="52"/>
      <c r="TVF130" s="52"/>
      <c r="TVG130" s="52"/>
      <c r="TVH130" s="52"/>
      <c r="TVI130" s="52"/>
      <c r="TVJ130" s="52"/>
      <c r="TVK130" s="52"/>
      <c r="TVL130" s="52"/>
      <c r="TVM130" s="52"/>
      <c r="TVN130" s="52"/>
      <c r="TVO130" s="52"/>
      <c r="TVP130" s="52"/>
      <c r="TVQ130" s="52"/>
      <c r="TVR130" s="52"/>
      <c r="TVS130" s="52"/>
      <c r="TVT130" s="52"/>
      <c r="TVU130" s="52"/>
      <c r="TVV130" s="52"/>
      <c r="TVW130" s="52"/>
      <c r="TVX130" s="52"/>
      <c r="TVY130" s="52"/>
      <c r="TVZ130" s="52"/>
      <c r="TWA130" s="52"/>
      <c r="TWB130" s="52"/>
      <c r="TWC130" s="52"/>
      <c r="TWD130" s="52"/>
      <c r="TWE130" s="52"/>
      <c r="TWF130" s="52"/>
      <c r="TWG130" s="52"/>
      <c r="TWH130" s="52"/>
      <c r="TWI130" s="52"/>
      <c r="TWJ130" s="52"/>
      <c r="TWK130" s="52"/>
      <c r="TWL130" s="52"/>
      <c r="TWM130" s="52"/>
      <c r="TWN130" s="52"/>
      <c r="TWO130" s="52"/>
      <c r="TWP130" s="52"/>
      <c r="TWQ130" s="52"/>
      <c r="TWR130" s="52"/>
      <c r="TWS130" s="52"/>
      <c r="TWT130" s="52"/>
      <c r="TWU130" s="52"/>
      <c r="TWV130" s="52"/>
      <c r="TWW130" s="52"/>
      <c r="TWX130" s="52"/>
      <c r="TWY130" s="52"/>
      <c r="TWZ130" s="52"/>
      <c r="TXA130" s="52"/>
      <c r="TXB130" s="52"/>
      <c r="TXC130" s="52"/>
      <c r="TXD130" s="52"/>
      <c r="TXE130" s="52"/>
      <c r="TXF130" s="52"/>
      <c r="TXG130" s="52"/>
      <c r="TXH130" s="52"/>
      <c r="TXI130" s="52"/>
      <c r="TXJ130" s="52"/>
      <c r="TXK130" s="52"/>
      <c r="TXL130" s="52"/>
      <c r="TXM130" s="52"/>
      <c r="TXN130" s="52"/>
      <c r="TXO130" s="52"/>
      <c r="TXP130" s="52"/>
      <c r="TXQ130" s="52"/>
      <c r="TXR130" s="52"/>
      <c r="TXS130" s="52"/>
      <c r="TXT130" s="52"/>
      <c r="TXU130" s="52"/>
      <c r="TXV130" s="52"/>
      <c r="TXW130" s="52"/>
      <c r="TXX130" s="52"/>
      <c r="TXY130" s="52"/>
      <c r="TXZ130" s="52"/>
      <c r="TYA130" s="52"/>
      <c r="TYB130" s="52"/>
      <c r="TYC130" s="52"/>
      <c r="TYD130" s="52"/>
      <c r="TYE130" s="52"/>
      <c r="TYF130" s="52"/>
      <c r="TYG130" s="52"/>
      <c r="TYH130" s="52"/>
      <c r="TYI130" s="52"/>
      <c r="TYJ130" s="52"/>
      <c r="TYK130" s="52"/>
      <c r="TYL130" s="52"/>
      <c r="TYM130" s="52"/>
      <c r="TYN130" s="52"/>
      <c r="TYO130" s="52"/>
      <c r="TYP130" s="52"/>
      <c r="TYQ130" s="52"/>
      <c r="TYR130" s="52"/>
      <c r="TYS130" s="52"/>
      <c r="TYT130" s="52"/>
      <c r="TYU130" s="52"/>
      <c r="TYV130" s="52"/>
      <c r="TYW130" s="52"/>
      <c r="TYX130" s="52"/>
      <c r="TYY130" s="52"/>
      <c r="TYZ130" s="52"/>
      <c r="TZA130" s="52"/>
      <c r="TZB130" s="52"/>
      <c r="TZC130" s="52"/>
      <c r="TZD130" s="52"/>
      <c r="TZE130" s="52"/>
      <c r="TZF130" s="52"/>
      <c r="TZG130" s="52"/>
      <c r="TZH130" s="52"/>
      <c r="TZI130" s="52"/>
      <c r="TZJ130" s="52"/>
      <c r="TZK130" s="52"/>
      <c r="TZL130" s="52"/>
      <c r="TZM130" s="52"/>
      <c r="TZN130" s="52"/>
      <c r="TZO130" s="52"/>
      <c r="TZP130" s="52"/>
      <c r="TZQ130" s="52"/>
      <c r="TZR130" s="52"/>
      <c r="TZS130" s="52"/>
      <c r="TZT130" s="52"/>
      <c r="TZU130" s="52"/>
      <c r="TZV130" s="52"/>
      <c r="TZW130" s="52"/>
      <c r="TZX130" s="52"/>
      <c r="TZY130" s="52"/>
      <c r="TZZ130" s="52"/>
      <c r="UAA130" s="52"/>
      <c r="UAB130" s="52"/>
      <c r="UAC130" s="52"/>
      <c r="UAD130" s="52"/>
      <c r="UAE130" s="52"/>
      <c r="UAF130" s="52"/>
      <c r="UAG130" s="52"/>
      <c r="UAH130" s="52"/>
      <c r="UAI130" s="52"/>
      <c r="UAJ130" s="52"/>
      <c r="UAK130" s="52"/>
      <c r="UAL130" s="52"/>
      <c r="UAM130" s="52"/>
      <c r="UAN130" s="52"/>
      <c r="UAO130" s="52"/>
      <c r="UAP130" s="52"/>
      <c r="UAQ130" s="52"/>
      <c r="UAR130" s="52"/>
      <c r="UAS130" s="52"/>
      <c r="UAT130" s="52"/>
      <c r="UAU130" s="52"/>
      <c r="UAV130" s="52"/>
      <c r="UAW130" s="52"/>
      <c r="UAX130" s="52"/>
      <c r="UAY130" s="52"/>
      <c r="UAZ130" s="52"/>
      <c r="UBA130" s="52"/>
      <c r="UBB130" s="52"/>
      <c r="UBC130" s="52"/>
      <c r="UBD130" s="52"/>
      <c r="UBE130" s="52"/>
      <c r="UBF130" s="52"/>
      <c r="UBG130" s="52"/>
      <c r="UBH130" s="52"/>
      <c r="UBI130" s="52"/>
      <c r="UBJ130" s="52"/>
      <c r="UBK130" s="52"/>
      <c r="UBL130" s="52"/>
      <c r="UBM130" s="52"/>
      <c r="UBN130" s="52"/>
      <c r="UBO130" s="52"/>
      <c r="UBP130" s="52"/>
      <c r="UBQ130" s="52"/>
      <c r="UBR130" s="52"/>
      <c r="UBS130" s="52"/>
      <c r="UBT130" s="52"/>
      <c r="UBU130" s="52"/>
      <c r="UBV130" s="52"/>
      <c r="UBW130" s="52"/>
      <c r="UBX130" s="52"/>
      <c r="UBY130" s="52"/>
      <c r="UBZ130" s="52"/>
      <c r="UCA130" s="52"/>
      <c r="UCB130" s="52"/>
      <c r="UCC130" s="52"/>
      <c r="UCD130" s="52"/>
      <c r="UCE130" s="52"/>
      <c r="UCF130" s="52"/>
      <c r="UCG130" s="52"/>
      <c r="UCH130" s="52"/>
      <c r="UCI130" s="52"/>
      <c r="UCJ130" s="52"/>
      <c r="UCK130" s="52"/>
      <c r="UCL130" s="52"/>
      <c r="UCM130" s="52"/>
      <c r="UCN130" s="52"/>
      <c r="UCO130" s="52"/>
      <c r="UCP130" s="52"/>
      <c r="UCQ130" s="52"/>
      <c r="UCR130" s="52"/>
      <c r="UCS130" s="52"/>
      <c r="UCT130" s="52"/>
      <c r="UCU130" s="52"/>
      <c r="UCV130" s="52"/>
      <c r="UCW130" s="52"/>
      <c r="UCX130" s="52"/>
      <c r="UCY130" s="52"/>
      <c r="UCZ130" s="52"/>
      <c r="UDA130" s="52"/>
      <c r="UDB130" s="52"/>
      <c r="UDC130" s="52"/>
      <c r="UDD130" s="52"/>
      <c r="UDE130" s="52"/>
      <c r="UDF130" s="52"/>
      <c r="UDG130" s="52"/>
      <c r="UDH130" s="52"/>
      <c r="UDI130" s="52"/>
      <c r="UDJ130" s="52"/>
      <c r="UDK130" s="52"/>
      <c r="UDL130" s="52"/>
      <c r="UDM130" s="52"/>
      <c r="UDN130" s="52"/>
      <c r="UDO130" s="52"/>
      <c r="UDP130" s="52"/>
      <c r="UDQ130" s="52"/>
      <c r="UDR130" s="52"/>
      <c r="UDS130" s="52"/>
      <c r="UDT130" s="52"/>
      <c r="UDU130" s="52"/>
      <c r="UDV130" s="52"/>
      <c r="UDW130" s="52"/>
      <c r="UDX130" s="52"/>
      <c r="UDY130" s="52"/>
      <c r="UDZ130" s="52"/>
      <c r="UEA130" s="52"/>
      <c r="UEB130" s="52"/>
      <c r="UEC130" s="52"/>
      <c r="UED130" s="52"/>
      <c r="UEE130" s="52"/>
      <c r="UEF130" s="52"/>
      <c r="UEG130" s="52"/>
      <c r="UEH130" s="52"/>
      <c r="UEI130" s="52"/>
      <c r="UEJ130" s="52"/>
      <c r="UEK130" s="52"/>
      <c r="UEL130" s="52"/>
      <c r="UEM130" s="52"/>
      <c r="UEN130" s="52"/>
      <c r="UEO130" s="52"/>
      <c r="UEP130" s="52"/>
      <c r="UEQ130" s="52"/>
      <c r="UER130" s="52"/>
      <c r="UES130" s="52"/>
      <c r="UET130" s="52"/>
      <c r="UEU130" s="52"/>
      <c r="UEV130" s="52"/>
      <c r="UEW130" s="52"/>
      <c r="UEX130" s="52"/>
      <c r="UEY130" s="52"/>
      <c r="UEZ130" s="52"/>
      <c r="UFA130" s="52"/>
      <c r="UFB130" s="52"/>
      <c r="UFC130" s="52"/>
      <c r="UFD130" s="52"/>
      <c r="UFE130" s="52"/>
      <c r="UFF130" s="52"/>
      <c r="UFG130" s="52"/>
      <c r="UFH130" s="52"/>
      <c r="UFI130" s="52"/>
      <c r="UFJ130" s="52"/>
      <c r="UFK130" s="52"/>
      <c r="UFL130" s="52"/>
      <c r="UFM130" s="52"/>
      <c r="UFN130" s="52"/>
      <c r="UFO130" s="52"/>
      <c r="UFP130" s="52"/>
      <c r="UFQ130" s="52"/>
      <c r="UFR130" s="52"/>
      <c r="UFS130" s="52"/>
      <c r="UFT130" s="52"/>
      <c r="UFU130" s="52"/>
      <c r="UFV130" s="52"/>
      <c r="UFW130" s="52"/>
      <c r="UFX130" s="52"/>
      <c r="UFY130" s="52"/>
      <c r="UFZ130" s="52"/>
      <c r="UGA130" s="52"/>
      <c r="UGB130" s="52"/>
      <c r="UGC130" s="52"/>
      <c r="UGD130" s="52"/>
      <c r="UGE130" s="52"/>
      <c r="UGF130" s="52"/>
      <c r="UGG130" s="52"/>
      <c r="UGH130" s="52"/>
      <c r="UGI130" s="52"/>
      <c r="UGJ130" s="52"/>
      <c r="UGK130" s="52"/>
      <c r="UGL130" s="52"/>
      <c r="UGM130" s="52"/>
      <c r="UGN130" s="52"/>
      <c r="UGO130" s="52"/>
      <c r="UGP130" s="52"/>
      <c r="UGQ130" s="52"/>
      <c r="UGR130" s="52"/>
      <c r="UGS130" s="52"/>
      <c r="UGT130" s="52"/>
      <c r="UGU130" s="52"/>
      <c r="UGV130" s="52"/>
      <c r="UGW130" s="52"/>
      <c r="UGX130" s="52"/>
      <c r="UGY130" s="52"/>
      <c r="UGZ130" s="52"/>
      <c r="UHA130" s="52"/>
      <c r="UHB130" s="52"/>
      <c r="UHC130" s="52"/>
      <c r="UHD130" s="52"/>
      <c r="UHE130" s="52"/>
      <c r="UHF130" s="52"/>
      <c r="UHG130" s="52"/>
      <c r="UHH130" s="52"/>
      <c r="UHI130" s="52"/>
      <c r="UHJ130" s="52"/>
      <c r="UHK130" s="52"/>
      <c r="UHL130" s="52"/>
      <c r="UHM130" s="52"/>
      <c r="UHN130" s="52"/>
      <c r="UHO130" s="52"/>
      <c r="UHP130" s="52"/>
      <c r="UHQ130" s="52"/>
      <c r="UHR130" s="52"/>
      <c r="UHS130" s="52"/>
      <c r="UHT130" s="52"/>
      <c r="UHU130" s="52"/>
      <c r="UHV130" s="52"/>
      <c r="UHW130" s="52"/>
      <c r="UHX130" s="52"/>
      <c r="UHY130" s="52"/>
      <c r="UHZ130" s="52"/>
      <c r="UIA130" s="52"/>
      <c r="UIB130" s="52"/>
      <c r="UIC130" s="52"/>
      <c r="UID130" s="52"/>
      <c r="UIE130" s="52"/>
      <c r="UIF130" s="52"/>
      <c r="UIG130" s="52"/>
      <c r="UIH130" s="52"/>
      <c r="UII130" s="52"/>
      <c r="UIJ130" s="52"/>
      <c r="UIK130" s="52"/>
      <c r="UIL130" s="52"/>
      <c r="UIM130" s="52"/>
      <c r="UIN130" s="52"/>
      <c r="UIO130" s="52"/>
      <c r="UIP130" s="52"/>
      <c r="UIQ130" s="52"/>
      <c r="UIR130" s="52"/>
      <c r="UIS130" s="52"/>
      <c r="UIT130" s="52"/>
      <c r="UIU130" s="52"/>
      <c r="UIV130" s="52"/>
      <c r="UIW130" s="52"/>
      <c r="UIX130" s="52"/>
      <c r="UIY130" s="52"/>
      <c r="UIZ130" s="52"/>
      <c r="UJA130" s="52"/>
      <c r="UJB130" s="52"/>
      <c r="UJC130" s="52"/>
      <c r="UJD130" s="52"/>
      <c r="UJE130" s="52"/>
      <c r="UJF130" s="52"/>
      <c r="UJG130" s="52"/>
      <c r="UJH130" s="52"/>
      <c r="UJI130" s="52"/>
      <c r="UJJ130" s="52"/>
      <c r="UJK130" s="52"/>
      <c r="UJL130" s="52"/>
      <c r="UJM130" s="52"/>
      <c r="UJN130" s="52"/>
      <c r="UJO130" s="52"/>
      <c r="UJP130" s="52"/>
      <c r="UJQ130" s="52"/>
      <c r="UJR130" s="52"/>
      <c r="UJS130" s="52"/>
      <c r="UJT130" s="52"/>
      <c r="UJU130" s="52"/>
      <c r="UJV130" s="52"/>
      <c r="UJW130" s="52"/>
      <c r="UJX130" s="52"/>
      <c r="UJY130" s="52"/>
      <c r="UJZ130" s="52"/>
      <c r="UKA130" s="52"/>
      <c r="UKB130" s="52"/>
      <c r="UKC130" s="52"/>
      <c r="UKD130" s="52"/>
      <c r="UKE130" s="52"/>
      <c r="UKF130" s="52"/>
      <c r="UKG130" s="52"/>
      <c r="UKH130" s="52"/>
      <c r="UKI130" s="52"/>
      <c r="UKJ130" s="52"/>
      <c r="UKK130" s="52"/>
      <c r="UKL130" s="52"/>
      <c r="UKM130" s="52"/>
      <c r="UKN130" s="52"/>
      <c r="UKO130" s="52"/>
      <c r="UKP130" s="52"/>
      <c r="UKQ130" s="52"/>
      <c r="UKR130" s="52"/>
      <c r="UKS130" s="52"/>
      <c r="UKT130" s="52"/>
      <c r="UKU130" s="52"/>
      <c r="UKV130" s="52"/>
      <c r="UKW130" s="52"/>
      <c r="UKX130" s="52"/>
      <c r="UKY130" s="52"/>
      <c r="UKZ130" s="52"/>
      <c r="ULA130" s="52"/>
      <c r="ULB130" s="52"/>
      <c r="ULC130" s="52"/>
      <c r="ULD130" s="52"/>
      <c r="ULE130" s="52"/>
      <c r="ULF130" s="52"/>
      <c r="ULG130" s="52"/>
      <c r="ULH130" s="52"/>
      <c r="ULI130" s="52"/>
      <c r="ULJ130" s="52"/>
      <c r="ULK130" s="52"/>
      <c r="ULL130" s="52"/>
      <c r="ULM130" s="52"/>
      <c r="ULN130" s="52"/>
      <c r="ULO130" s="52"/>
      <c r="ULP130" s="52"/>
      <c r="ULQ130" s="52"/>
      <c r="ULR130" s="52"/>
      <c r="ULS130" s="52"/>
      <c r="ULT130" s="52"/>
      <c r="ULU130" s="52"/>
      <c r="ULV130" s="52"/>
      <c r="ULW130" s="52"/>
      <c r="ULX130" s="52"/>
      <c r="ULY130" s="52"/>
      <c r="ULZ130" s="52"/>
      <c r="UMA130" s="52"/>
      <c r="UMB130" s="52"/>
      <c r="UMC130" s="52"/>
      <c r="UMD130" s="52"/>
      <c r="UME130" s="52"/>
      <c r="UMF130" s="52"/>
      <c r="UMG130" s="52"/>
      <c r="UMH130" s="52"/>
      <c r="UMI130" s="52"/>
      <c r="UMJ130" s="52"/>
      <c r="UMK130" s="52"/>
      <c r="UML130" s="52"/>
      <c r="UMM130" s="52"/>
      <c r="UMN130" s="52"/>
      <c r="UMO130" s="52"/>
      <c r="UMP130" s="52"/>
      <c r="UMQ130" s="52"/>
      <c r="UMR130" s="52"/>
      <c r="UMS130" s="52"/>
      <c r="UMT130" s="52"/>
      <c r="UMU130" s="52"/>
      <c r="UMV130" s="52"/>
      <c r="UMW130" s="52"/>
      <c r="UMX130" s="52"/>
      <c r="UMY130" s="52"/>
      <c r="UMZ130" s="52"/>
      <c r="UNA130" s="52"/>
      <c r="UNB130" s="52"/>
      <c r="UNC130" s="52"/>
      <c r="UND130" s="52"/>
      <c r="UNE130" s="52"/>
      <c r="UNF130" s="52"/>
      <c r="UNG130" s="52"/>
      <c r="UNH130" s="52"/>
      <c r="UNI130" s="52"/>
      <c r="UNJ130" s="52"/>
      <c r="UNK130" s="52"/>
      <c r="UNL130" s="52"/>
      <c r="UNM130" s="52"/>
      <c r="UNN130" s="52"/>
      <c r="UNO130" s="52"/>
      <c r="UNP130" s="52"/>
      <c r="UNQ130" s="52"/>
      <c r="UNR130" s="52"/>
      <c r="UNS130" s="52"/>
      <c r="UNT130" s="52"/>
      <c r="UNU130" s="52"/>
      <c r="UNV130" s="52"/>
      <c r="UNW130" s="52"/>
      <c r="UNX130" s="52"/>
      <c r="UNY130" s="52"/>
      <c r="UNZ130" s="52"/>
      <c r="UOA130" s="52"/>
      <c r="UOB130" s="52"/>
      <c r="UOC130" s="52"/>
      <c r="UOD130" s="52"/>
      <c r="UOE130" s="52"/>
      <c r="UOF130" s="52"/>
      <c r="UOG130" s="52"/>
      <c r="UOH130" s="52"/>
      <c r="UOI130" s="52"/>
      <c r="UOJ130" s="52"/>
      <c r="UOK130" s="52"/>
      <c r="UOL130" s="52"/>
      <c r="UOM130" s="52"/>
      <c r="UON130" s="52"/>
      <c r="UOO130" s="52"/>
      <c r="UOP130" s="52"/>
      <c r="UOQ130" s="52"/>
      <c r="UOR130" s="52"/>
      <c r="UOS130" s="52"/>
      <c r="UOT130" s="52"/>
      <c r="UOU130" s="52"/>
      <c r="UOV130" s="52"/>
      <c r="UOW130" s="52"/>
      <c r="UOX130" s="52"/>
      <c r="UOY130" s="52"/>
      <c r="UOZ130" s="52"/>
      <c r="UPA130" s="52"/>
      <c r="UPB130" s="52"/>
      <c r="UPC130" s="52"/>
      <c r="UPD130" s="52"/>
      <c r="UPE130" s="52"/>
      <c r="UPF130" s="52"/>
      <c r="UPG130" s="52"/>
      <c r="UPH130" s="52"/>
      <c r="UPI130" s="52"/>
      <c r="UPJ130" s="52"/>
      <c r="UPK130" s="52"/>
      <c r="UPL130" s="52"/>
      <c r="UPM130" s="52"/>
      <c r="UPN130" s="52"/>
      <c r="UPO130" s="52"/>
      <c r="UPP130" s="52"/>
      <c r="UPQ130" s="52"/>
      <c r="UPR130" s="52"/>
      <c r="UPS130" s="52"/>
      <c r="UPT130" s="52"/>
      <c r="UPU130" s="52"/>
      <c r="UPV130" s="52"/>
      <c r="UPW130" s="52"/>
      <c r="UPX130" s="52"/>
      <c r="UPY130" s="52"/>
      <c r="UPZ130" s="52"/>
      <c r="UQA130" s="52"/>
      <c r="UQB130" s="52"/>
      <c r="UQC130" s="52"/>
      <c r="UQD130" s="52"/>
      <c r="UQE130" s="52"/>
      <c r="UQF130" s="52"/>
      <c r="UQG130" s="52"/>
      <c r="UQH130" s="52"/>
      <c r="UQI130" s="52"/>
      <c r="UQJ130" s="52"/>
      <c r="UQK130" s="52"/>
      <c r="UQL130" s="52"/>
      <c r="UQM130" s="52"/>
      <c r="UQN130" s="52"/>
      <c r="UQO130" s="52"/>
      <c r="UQP130" s="52"/>
      <c r="UQQ130" s="52"/>
      <c r="UQR130" s="52"/>
      <c r="UQS130" s="52"/>
      <c r="UQT130" s="52"/>
      <c r="UQU130" s="52"/>
      <c r="UQV130" s="52"/>
      <c r="UQW130" s="52"/>
      <c r="UQX130" s="52"/>
      <c r="UQY130" s="52"/>
      <c r="UQZ130" s="52"/>
      <c r="URA130" s="52"/>
      <c r="URB130" s="52"/>
      <c r="URC130" s="52"/>
      <c r="URD130" s="52"/>
      <c r="URE130" s="52"/>
      <c r="URF130" s="52"/>
      <c r="URG130" s="52"/>
      <c r="URH130" s="52"/>
      <c r="URI130" s="52"/>
      <c r="URJ130" s="52"/>
      <c r="URK130" s="52"/>
      <c r="URL130" s="52"/>
      <c r="URM130" s="52"/>
      <c r="URN130" s="52"/>
      <c r="URO130" s="52"/>
      <c r="URP130" s="52"/>
      <c r="URQ130" s="52"/>
      <c r="URR130" s="52"/>
      <c r="URS130" s="52"/>
      <c r="URT130" s="52"/>
      <c r="URU130" s="52"/>
      <c r="URV130" s="52"/>
      <c r="URW130" s="52"/>
      <c r="URX130" s="52"/>
      <c r="URY130" s="52"/>
      <c r="URZ130" s="52"/>
      <c r="USA130" s="52"/>
      <c r="USB130" s="52"/>
      <c r="USC130" s="52"/>
      <c r="USD130" s="52"/>
      <c r="USE130" s="52"/>
      <c r="USF130" s="52"/>
      <c r="USG130" s="52"/>
      <c r="USH130" s="52"/>
      <c r="USI130" s="52"/>
      <c r="USJ130" s="52"/>
      <c r="USK130" s="52"/>
      <c r="USL130" s="52"/>
      <c r="USM130" s="52"/>
      <c r="USN130" s="52"/>
      <c r="USO130" s="52"/>
      <c r="USP130" s="52"/>
      <c r="USQ130" s="52"/>
      <c r="USR130" s="52"/>
      <c r="USS130" s="52"/>
      <c r="UST130" s="52"/>
      <c r="USU130" s="52"/>
      <c r="USV130" s="52"/>
      <c r="USW130" s="52"/>
      <c r="USX130" s="52"/>
      <c r="USY130" s="52"/>
      <c r="USZ130" s="52"/>
      <c r="UTA130" s="52"/>
      <c r="UTB130" s="52"/>
      <c r="UTC130" s="52"/>
      <c r="UTD130" s="52"/>
      <c r="UTE130" s="52"/>
      <c r="UTF130" s="52"/>
      <c r="UTG130" s="52"/>
      <c r="UTH130" s="52"/>
      <c r="UTI130" s="52"/>
      <c r="UTJ130" s="52"/>
      <c r="UTK130" s="52"/>
      <c r="UTL130" s="52"/>
      <c r="UTM130" s="52"/>
      <c r="UTN130" s="52"/>
      <c r="UTO130" s="52"/>
      <c r="UTP130" s="52"/>
      <c r="UTQ130" s="52"/>
      <c r="UTR130" s="52"/>
      <c r="UTS130" s="52"/>
      <c r="UTT130" s="52"/>
      <c r="UTU130" s="52"/>
      <c r="UTV130" s="52"/>
      <c r="UTW130" s="52"/>
      <c r="UTX130" s="52"/>
      <c r="UTY130" s="52"/>
      <c r="UTZ130" s="52"/>
      <c r="UUA130" s="52"/>
      <c r="UUB130" s="52"/>
      <c r="UUC130" s="52"/>
      <c r="UUD130" s="52"/>
      <c r="UUE130" s="52"/>
      <c r="UUF130" s="52"/>
      <c r="UUG130" s="52"/>
      <c r="UUH130" s="52"/>
      <c r="UUI130" s="52"/>
      <c r="UUJ130" s="52"/>
      <c r="UUK130" s="52"/>
      <c r="UUL130" s="52"/>
      <c r="UUM130" s="52"/>
      <c r="UUN130" s="52"/>
      <c r="UUO130" s="52"/>
      <c r="UUP130" s="52"/>
      <c r="UUQ130" s="52"/>
      <c r="UUR130" s="52"/>
      <c r="UUS130" s="52"/>
      <c r="UUT130" s="52"/>
      <c r="UUU130" s="52"/>
      <c r="UUV130" s="52"/>
      <c r="UUW130" s="52"/>
      <c r="UUX130" s="52"/>
      <c r="UUY130" s="52"/>
      <c r="UUZ130" s="52"/>
      <c r="UVA130" s="52"/>
      <c r="UVB130" s="52"/>
      <c r="UVC130" s="52"/>
      <c r="UVD130" s="52"/>
      <c r="UVE130" s="52"/>
      <c r="UVF130" s="52"/>
      <c r="UVG130" s="52"/>
      <c r="UVH130" s="52"/>
      <c r="UVI130" s="52"/>
      <c r="UVJ130" s="52"/>
      <c r="UVK130" s="52"/>
      <c r="UVL130" s="52"/>
      <c r="UVM130" s="52"/>
      <c r="UVN130" s="52"/>
      <c r="UVO130" s="52"/>
      <c r="UVP130" s="52"/>
      <c r="UVQ130" s="52"/>
      <c r="UVR130" s="52"/>
      <c r="UVS130" s="52"/>
      <c r="UVT130" s="52"/>
      <c r="UVU130" s="52"/>
      <c r="UVV130" s="52"/>
      <c r="UVW130" s="52"/>
      <c r="UVX130" s="52"/>
      <c r="UVY130" s="52"/>
      <c r="UVZ130" s="52"/>
      <c r="UWA130" s="52"/>
      <c r="UWB130" s="52"/>
      <c r="UWC130" s="52"/>
      <c r="UWD130" s="52"/>
      <c r="UWE130" s="52"/>
      <c r="UWF130" s="52"/>
      <c r="UWG130" s="52"/>
      <c r="UWH130" s="52"/>
      <c r="UWI130" s="52"/>
      <c r="UWJ130" s="52"/>
      <c r="UWK130" s="52"/>
      <c r="UWL130" s="52"/>
      <c r="UWM130" s="52"/>
      <c r="UWN130" s="52"/>
      <c r="UWO130" s="52"/>
      <c r="UWP130" s="52"/>
      <c r="UWQ130" s="52"/>
      <c r="UWR130" s="52"/>
      <c r="UWS130" s="52"/>
      <c r="UWT130" s="52"/>
      <c r="UWU130" s="52"/>
      <c r="UWV130" s="52"/>
      <c r="UWW130" s="52"/>
      <c r="UWX130" s="52"/>
      <c r="UWY130" s="52"/>
      <c r="UWZ130" s="52"/>
      <c r="UXA130" s="52"/>
      <c r="UXB130" s="52"/>
      <c r="UXC130" s="52"/>
      <c r="UXD130" s="52"/>
      <c r="UXE130" s="52"/>
      <c r="UXF130" s="52"/>
      <c r="UXG130" s="52"/>
      <c r="UXH130" s="52"/>
      <c r="UXI130" s="52"/>
      <c r="UXJ130" s="52"/>
      <c r="UXK130" s="52"/>
      <c r="UXL130" s="52"/>
      <c r="UXM130" s="52"/>
      <c r="UXN130" s="52"/>
      <c r="UXO130" s="52"/>
      <c r="UXP130" s="52"/>
      <c r="UXQ130" s="52"/>
      <c r="UXR130" s="52"/>
      <c r="UXS130" s="52"/>
      <c r="UXT130" s="52"/>
      <c r="UXU130" s="52"/>
      <c r="UXV130" s="52"/>
      <c r="UXW130" s="52"/>
      <c r="UXX130" s="52"/>
      <c r="UXY130" s="52"/>
      <c r="UXZ130" s="52"/>
      <c r="UYA130" s="52"/>
      <c r="UYB130" s="52"/>
      <c r="UYC130" s="52"/>
      <c r="UYD130" s="52"/>
      <c r="UYE130" s="52"/>
      <c r="UYF130" s="52"/>
      <c r="UYG130" s="52"/>
      <c r="UYH130" s="52"/>
      <c r="UYI130" s="52"/>
      <c r="UYJ130" s="52"/>
      <c r="UYK130" s="52"/>
      <c r="UYL130" s="52"/>
      <c r="UYM130" s="52"/>
      <c r="UYN130" s="52"/>
      <c r="UYO130" s="52"/>
      <c r="UYP130" s="52"/>
      <c r="UYQ130" s="52"/>
      <c r="UYR130" s="52"/>
      <c r="UYS130" s="52"/>
      <c r="UYT130" s="52"/>
      <c r="UYU130" s="52"/>
      <c r="UYV130" s="52"/>
      <c r="UYW130" s="52"/>
      <c r="UYX130" s="52"/>
      <c r="UYY130" s="52"/>
      <c r="UYZ130" s="52"/>
      <c r="UZA130" s="52"/>
      <c r="UZB130" s="52"/>
      <c r="UZC130" s="52"/>
      <c r="UZD130" s="52"/>
      <c r="UZE130" s="52"/>
      <c r="UZF130" s="52"/>
      <c r="UZG130" s="52"/>
      <c r="UZH130" s="52"/>
      <c r="UZI130" s="52"/>
      <c r="UZJ130" s="52"/>
      <c r="UZK130" s="52"/>
      <c r="UZL130" s="52"/>
      <c r="UZM130" s="52"/>
      <c r="UZN130" s="52"/>
      <c r="UZO130" s="52"/>
      <c r="UZP130" s="52"/>
      <c r="UZQ130" s="52"/>
      <c r="UZR130" s="52"/>
      <c r="UZS130" s="52"/>
      <c r="UZT130" s="52"/>
      <c r="UZU130" s="52"/>
      <c r="UZV130" s="52"/>
      <c r="UZW130" s="52"/>
      <c r="UZX130" s="52"/>
      <c r="UZY130" s="52"/>
      <c r="UZZ130" s="52"/>
      <c r="VAA130" s="52"/>
      <c r="VAB130" s="52"/>
      <c r="VAC130" s="52"/>
      <c r="VAD130" s="52"/>
      <c r="VAE130" s="52"/>
      <c r="VAF130" s="52"/>
      <c r="VAG130" s="52"/>
      <c r="VAH130" s="52"/>
      <c r="VAI130" s="52"/>
      <c r="VAJ130" s="52"/>
      <c r="VAK130" s="52"/>
      <c r="VAL130" s="52"/>
      <c r="VAM130" s="52"/>
      <c r="VAN130" s="52"/>
      <c r="VAO130" s="52"/>
      <c r="VAP130" s="52"/>
      <c r="VAQ130" s="52"/>
      <c r="VAR130" s="52"/>
      <c r="VAS130" s="52"/>
      <c r="VAT130" s="52"/>
      <c r="VAU130" s="52"/>
      <c r="VAV130" s="52"/>
      <c r="VAW130" s="52"/>
      <c r="VAX130" s="52"/>
      <c r="VAY130" s="52"/>
      <c r="VAZ130" s="52"/>
      <c r="VBA130" s="52"/>
      <c r="VBB130" s="52"/>
      <c r="VBC130" s="52"/>
      <c r="VBD130" s="52"/>
      <c r="VBE130" s="52"/>
      <c r="VBF130" s="52"/>
      <c r="VBG130" s="52"/>
      <c r="VBH130" s="52"/>
      <c r="VBI130" s="52"/>
      <c r="VBJ130" s="52"/>
      <c r="VBK130" s="52"/>
      <c r="VBL130" s="52"/>
      <c r="VBM130" s="52"/>
      <c r="VBN130" s="52"/>
      <c r="VBO130" s="52"/>
      <c r="VBP130" s="52"/>
      <c r="VBQ130" s="52"/>
      <c r="VBR130" s="52"/>
      <c r="VBS130" s="52"/>
      <c r="VBT130" s="52"/>
      <c r="VBU130" s="52"/>
      <c r="VBV130" s="52"/>
      <c r="VBW130" s="52"/>
      <c r="VBX130" s="52"/>
      <c r="VBY130" s="52"/>
      <c r="VBZ130" s="52"/>
      <c r="VCA130" s="52"/>
      <c r="VCB130" s="52"/>
      <c r="VCC130" s="52"/>
      <c r="VCD130" s="52"/>
      <c r="VCE130" s="52"/>
      <c r="VCF130" s="52"/>
      <c r="VCG130" s="52"/>
      <c r="VCH130" s="52"/>
      <c r="VCI130" s="52"/>
      <c r="VCJ130" s="52"/>
      <c r="VCK130" s="52"/>
      <c r="VCL130" s="52"/>
      <c r="VCM130" s="52"/>
      <c r="VCN130" s="52"/>
      <c r="VCO130" s="52"/>
      <c r="VCP130" s="52"/>
      <c r="VCQ130" s="52"/>
      <c r="VCR130" s="52"/>
      <c r="VCS130" s="52"/>
      <c r="VCT130" s="52"/>
      <c r="VCU130" s="52"/>
      <c r="VCV130" s="52"/>
      <c r="VCW130" s="52"/>
      <c r="VCX130" s="52"/>
      <c r="VCY130" s="52"/>
      <c r="VCZ130" s="52"/>
      <c r="VDA130" s="52"/>
      <c r="VDB130" s="52"/>
      <c r="VDC130" s="52"/>
      <c r="VDD130" s="52"/>
      <c r="VDE130" s="52"/>
      <c r="VDF130" s="52"/>
      <c r="VDG130" s="52"/>
      <c r="VDH130" s="52"/>
      <c r="VDI130" s="52"/>
      <c r="VDJ130" s="52"/>
      <c r="VDK130" s="52"/>
      <c r="VDL130" s="52"/>
      <c r="VDM130" s="52"/>
      <c r="VDN130" s="52"/>
      <c r="VDO130" s="52"/>
      <c r="VDP130" s="52"/>
      <c r="VDQ130" s="52"/>
      <c r="VDR130" s="52"/>
      <c r="VDS130" s="52"/>
      <c r="VDT130" s="52"/>
      <c r="VDU130" s="52"/>
      <c r="VDV130" s="52"/>
      <c r="VDW130" s="52"/>
      <c r="VDX130" s="52"/>
      <c r="VDY130" s="52"/>
      <c r="VDZ130" s="52"/>
      <c r="VEA130" s="52"/>
      <c r="VEB130" s="52"/>
      <c r="VEC130" s="52"/>
      <c r="VED130" s="52"/>
      <c r="VEE130" s="52"/>
      <c r="VEF130" s="52"/>
      <c r="VEG130" s="52"/>
      <c r="VEH130" s="52"/>
      <c r="VEI130" s="52"/>
      <c r="VEJ130" s="52"/>
      <c r="VEK130" s="52"/>
      <c r="VEL130" s="52"/>
      <c r="VEM130" s="52"/>
      <c r="VEN130" s="52"/>
      <c r="VEO130" s="52"/>
      <c r="VEP130" s="52"/>
      <c r="VEQ130" s="52"/>
      <c r="VER130" s="52"/>
      <c r="VES130" s="52"/>
      <c r="VET130" s="52"/>
      <c r="VEU130" s="52"/>
      <c r="VEV130" s="52"/>
      <c r="VEW130" s="52"/>
      <c r="VEX130" s="52"/>
      <c r="VEY130" s="52"/>
      <c r="VEZ130" s="52"/>
      <c r="VFA130" s="52"/>
      <c r="VFB130" s="52"/>
      <c r="VFC130" s="52"/>
      <c r="VFD130" s="52"/>
      <c r="VFE130" s="52"/>
      <c r="VFF130" s="52"/>
      <c r="VFG130" s="52"/>
      <c r="VFH130" s="52"/>
      <c r="VFI130" s="52"/>
      <c r="VFJ130" s="52"/>
      <c r="VFK130" s="52"/>
      <c r="VFL130" s="52"/>
      <c r="VFM130" s="52"/>
      <c r="VFN130" s="52"/>
      <c r="VFO130" s="52"/>
      <c r="VFP130" s="52"/>
      <c r="VFQ130" s="52"/>
      <c r="VFR130" s="52"/>
      <c r="VFS130" s="52"/>
      <c r="VFT130" s="52"/>
      <c r="VFU130" s="52"/>
      <c r="VFV130" s="52"/>
      <c r="VFW130" s="52"/>
      <c r="VFX130" s="52"/>
      <c r="VFY130" s="52"/>
      <c r="VFZ130" s="52"/>
      <c r="VGA130" s="52"/>
      <c r="VGB130" s="52"/>
      <c r="VGC130" s="52"/>
      <c r="VGD130" s="52"/>
      <c r="VGE130" s="52"/>
      <c r="VGF130" s="52"/>
      <c r="VGG130" s="52"/>
      <c r="VGH130" s="52"/>
      <c r="VGI130" s="52"/>
      <c r="VGJ130" s="52"/>
      <c r="VGK130" s="52"/>
      <c r="VGL130" s="52"/>
      <c r="VGM130" s="52"/>
      <c r="VGN130" s="52"/>
      <c r="VGO130" s="52"/>
      <c r="VGP130" s="52"/>
      <c r="VGQ130" s="52"/>
      <c r="VGR130" s="52"/>
      <c r="VGS130" s="52"/>
      <c r="VGT130" s="52"/>
      <c r="VGU130" s="52"/>
      <c r="VGV130" s="52"/>
      <c r="VGW130" s="52"/>
      <c r="VGX130" s="52"/>
      <c r="VGY130" s="52"/>
      <c r="VGZ130" s="52"/>
      <c r="VHA130" s="52"/>
      <c r="VHB130" s="52"/>
      <c r="VHC130" s="52"/>
      <c r="VHD130" s="52"/>
      <c r="VHE130" s="52"/>
      <c r="VHF130" s="52"/>
      <c r="VHG130" s="52"/>
      <c r="VHH130" s="52"/>
      <c r="VHI130" s="52"/>
      <c r="VHJ130" s="52"/>
      <c r="VHK130" s="52"/>
      <c r="VHL130" s="52"/>
      <c r="VHM130" s="52"/>
      <c r="VHN130" s="52"/>
      <c r="VHO130" s="52"/>
      <c r="VHP130" s="52"/>
      <c r="VHQ130" s="52"/>
      <c r="VHR130" s="52"/>
      <c r="VHS130" s="52"/>
      <c r="VHT130" s="52"/>
      <c r="VHU130" s="52"/>
      <c r="VHV130" s="52"/>
      <c r="VHW130" s="52"/>
      <c r="VHX130" s="52"/>
      <c r="VHY130" s="52"/>
      <c r="VHZ130" s="52"/>
      <c r="VIA130" s="52"/>
      <c r="VIB130" s="52"/>
      <c r="VIC130" s="52"/>
      <c r="VID130" s="52"/>
      <c r="VIE130" s="52"/>
      <c r="VIF130" s="52"/>
      <c r="VIG130" s="52"/>
      <c r="VIH130" s="52"/>
      <c r="VII130" s="52"/>
      <c r="VIJ130" s="52"/>
      <c r="VIK130" s="52"/>
      <c r="VIL130" s="52"/>
      <c r="VIM130" s="52"/>
      <c r="VIN130" s="52"/>
      <c r="VIO130" s="52"/>
      <c r="VIP130" s="52"/>
      <c r="VIQ130" s="52"/>
      <c r="VIR130" s="52"/>
      <c r="VIS130" s="52"/>
      <c r="VIT130" s="52"/>
      <c r="VIU130" s="52"/>
      <c r="VIV130" s="52"/>
      <c r="VIW130" s="52"/>
      <c r="VIX130" s="52"/>
      <c r="VIY130" s="52"/>
      <c r="VIZ130" s="52"/>
      <c r="VJA130" s="52"/>
      <c r="VJB130" s="52"/>
      <c r="VJC130" s="52"/>
      <c r="VJD130" s="52"/>
      <c r="VJE130" s="52"/>
      <c r="VJF130" s="52"/>
      <c r="VJG130" s="52"/>
      <c r="VJH130" s="52"/>
      <c r="VJI130" s="52"/>
      <c r="VJJ130" s="52"/>
      <c r="VJK130" s="52"/>
      <c r="VJL130" s="52"/>
      <c r="VJM130" s="52"/>
      <c r="VJN130" s="52"/>
      <c r="VJO130" s="52"/>
      <c r="VJP130" s="52"/>
      <c r="VJQ130" s="52"/>
      <c r="VJR130" s="52"/>
      <c r="VJS130" s="52"/>
      <c r="VJT130" s="52"/>
      <c r="VJU130" s="52"/>
      <c r="VJV130" s="52"/>
      <c r="VJW130" s="52"/>
      <c r="VJX130" s="52"/>
      <c r="VJY130" s="52"/>
      <c r="VJZ130" s="52"/>
      <c r="VKA130" s="52"/>
      <c r="VKB130" s="52"/>
      <c r="VKC130" s="52"/>
      <c r="VKD130" s="52"/>
      <c r="VKE130" s="52"/>
      <c r="VKF130" s="52"/>
      <c r="VKG130" s="52"/>
      <c r="VKH130" s="52"/>
      <c r="VKI130" s="52"/>
      <c r="VKJ130" s="52"/>
      <c r="VKK130" s="52"/>
      <c r="VKL130" s="52"/>
      <c r="VKM130" s="52"/>
      <c r="VKN130" s="52"/>
      <c r="VKO130" s="52"/>
      <c r="VKP130" s="52"/>
      <c r="VKQ130" s="52"/>
      <c r="VKR130" s="52"/>
      <c r="VKS130" s="52"/>
      <c r="VKT130" s="52"/>
      <c r="VKU130" s="52"/>
      <c r="VKV130" s="52"/>
      <c r="VKW130" s="52"/>
      <c r="VKX130" s="52"/>
      <c r="VKY130" s="52"/>
      <c r="VKZ130" s="52"/>
      <c r="VLA130" s="52"/>
      <c r="VLB130" s="52"/>
      <c r="VLC130" s="52"/>
      <c r="VLD130" s="52"/>
      <c r="VLE130" s="52"/>
      <c r="VLF130" s="52"/>
      <c r="VLG130" s="52"/>
      <c r="VLH130" s="52"/>
      <c r="VLI130" s="52"/>
      <c r="VLJ130" s="52"/>
      <c r="VLK130" s="52"/>
      <c r="VLL130" s="52"/>
      <c r="VLM130" s="52"/>
      <c r="VLN130" s="52"/>
      <c r="VLO130" s="52"/>
      <c r="VLP130" s="52"/>
      <c r="VLQ130" s="52"/>
      <c r="VLR130" s="52"/>
      <c r="VLS130" s="52"/>
      <c r="VLT130" s="52"/>
      <c r="VLU130" s="52"/>
      <c r="VLV130" s="52"/>
      <c r="VLW130" s="52"/>
      <c r="VLX130" s="52"/>
      <c r="VLY130" s="52"/>
      <c r="VLZ130" s="52"/>
      <c r="VMA130" s="52"/>
      <c r="VMB130" s="52"/>
      <c r="VMC130" s="52"/>
      <c r="VMD130" s="52"/>
      <c r="VME130" s="52"/>
      <c r="VMF130" s="52"/>
      <c r="VMG130" s="52"/>
      <c r="VMH130" s="52"/>
      <c r="VMI130" s="52"/>
      <c r="VMJ130" s="52"/>
      <c r="VMK130" s="52"/>
      <c r="VML130" s="52"/>
      <c r="VMM130" s="52"/>
      <c r="VMN130" s="52"/>
      <c r="VMO130" s="52"/>
      <c r="VMP130" s="52"/>
      <c r="VMQ130" s="52"/>
      <c r="VMR130" s="52"/>
      <c r="VMS130" s="52"/>
      <c r="VMT130" s="52"/>
      <c r="VMU130" s="52"/>
      <c r="VMV130" s="52"/>
      <c r="VMW130" s="52"/>
      <c r="VMX130" s="52"/>
      <c r="VMY130" s="52"/>
      <c r="VMZ130" s="52"/>
      <c r="VNA130" s="52"/>
      <c r="VNB130" s="52"/>
      <c r="VNC130" s="52"/>
      <c r="VND130" s="52"/>
      <c r="VNE130" s="52"/>
      <c r="VNF130" s="52"/>
      <c r="VNG130" s="52"/>
      <c r="VNH130" s="52"/>
      <c r="VNI130" s="52"/>
      <c r="VNJ130" s="52"/>
      <c r="VNK130" s="52"/>
      <c r="VNL130" s="52"/>
      <c r="VNM130" s="52"/>
      <c r="VNN130" s="52"/>
      <c r="VNO130" s="52"/>
      <c r="VNP130" s="52"/>
      <c r="VNQ130" s="52"/>
      <c r="VNR130" s="52"/>
      <c r="VNS130" s="52"/>
      <c r="VNT130" s="52"/>
      <c r="VNU130" s="52"/>
      <c r="VNV130" s="52"/>
      <c r="VNW130" s="52"/>
      <c r="VNX130" s="52"/>
      <c r="VNY130" s="52"/>
      <c r="VNZ130" s="52"/>
      <c r="VOA130" s="52"/>
      <c r="VOB130" s="52"/>
      <c r="VOC130" s="52"/>
      <c r="VOD130" s="52"/>
      <c r="VOE130" s="52"/>
      <c r="VOF130" s="52"/>
      <c r="VOG130" s="52"/>
      <c r="VOH130" s="52"/>
      <c r="VOI130" s="52"/>
      <c r="VOJ130" s="52"/>
      <c r="VOK130" s="52"/>
      <c r="VOL130" s="52"/>
      <c r="VOM130" s="52"/>
      <c r="VON130" s="52"/>
      <c r="VOO130" s="52"/>
      <c r="VOP130" s="52"/>
      <c r="VOQ130" s="52"/>
      <c r="VOR130" s="52"/>
      <c r="VOS130" s="52"/>
      <c r="VOT130" s="52"/>
      <c r="VOU130" s="52"/>
      <c r="VOV130" s="52"/>
      <c r="VOW130" s="52"/>
      <c r="VOX130" s="52"/>
      <c r="VOY130" s="52"/>
      <c r="VOZ130" s="52"/>
      <c r="VPA130" s="52"/>
      <c r="VPB130" s="52"/>
      <c r="VPC130" s="52"/>
      <c r="VPD130" s="52"/>
      <c r="VPE130" s="52"/>
      <c r="VPF130" s="52"/>
      <c r="VPG130" s="52"/>
      <c r="VPH130" s="52"/>
      <c r="VPI130" s="52"/>
      <c r="VPJ130" s="52"/>
      <c r="VPK130" s="52"/>
      <c r="VPL130" s="52"/>
      <c r="VPM130" s="52"/>
      <c r="VPN130" s="52"/>
      <c r="VPO130" s="52"/>
      <c r="VPP130" s="52"/>
      <c r="VPQ130" s="52"/>
      <c r="VPR130" s="52"/>
      <c r="VPS130" s="52"/>
      <c r="VPT130" s="52"/>
      <c r="VPU130" s="52"/>
      <c r="VPV130" s="52"/>
      <c r="VPW130" s="52"/>
      <c r="VPX130" s="52"/>
      <c r="VPY130" s="52"/>
      <c r="VPZ130" s="52"/>
      <c r="VQA130" s="52"/>
      <c r="VQB130" s="52"/>
      <c r="VQC130" s="52"/>
      <c r="VQD130" s="52"/>
      <c r="VQE130" s="52"/>
      <c r="VQF130" s="52"/>
      <c r="VQG130" s="52"/>
      <c r="VQH130" s="52"/>
      <c r="VQI130" s="52"/>
      <c r="VQJ130" s="52"/>
      <c r="VQK130" s="52"/>
      <c r="VQL130" s="52"/>
      <c r="VQM130" s="52"/>
      <c r="VQN130" s="52"/>
      <c r="VQO130" s="52"/>
      <c r="VQP130" s="52"/>
      <c r="VQQ130" s="52"/>
      <c r="VQR130" s="52"/>
      <c r="VQS130" s="52"/>
      <c r="VQT130" s="52"/>
      <c r="VQU130" s="52"/>
      <c r="VQV130" s="52"/>
      <c r="VQW130" s="52"/>
      <c r="VQX130" s="52"/>
      <c r="VQY130" s="52"/>
      <c r="VQZ130" s="52"/>
      <c r="VRA130" s="52"/>
      <c r="VRB130" s="52"/>
      <c r="VRC130" s="52"/>
      <c r="VRD130" s="52"/>
      <c r="VRE130" s="52"/>
      <c r="VRF130" s="52"/>
      <c r="VRG130" s="52"/>
      <c r="VRH130" s="52"/>
      <c r="VRI130" s="52"/>
      <c r="VRJ130" s="52"/>
      <c r="VRK130" s="52"/>
      <c r="VRL130" s="52"/>
      <c r="VRM130" s="52"/>
      <c r="VRN130" s="52"/>
      <c r="VRO130" s="52"/>
      <c r="VRP130" s="52"/>
      <c r="VRQ130" s="52"/>
      <c r="VRR130" s="52"/>
      <c r="VRS130" s="52"/>
      <c r="VRT130" s="52"/>
      <c r="VRU130" s="52"/>
      <c r="VRV130" s="52"/>
      <c r="VRW130" s="52"/>
      <c r="VRX130" s="52"/>
      <c r="VRY130" s="52"/>
      <c r="VRZ130" s="52"/>
      <c r="VSA130" s="52"/>
      <c r="VSB130" s="52"/>
      <c r="VSC130" s="52"/>
      <c r="VSD130" s="52"/>
      <c r="VSE130" s="52"/>
      <c r="VSF130" s="52"/>
      <c r="VSG130" s="52"/>
      <c r="VSH130" s="52"/>
      <c r="VSI130" s="52"/>
      <c r="VSJ130" s="52"/>
      <c r="VSK130" s="52"/>
      <c r="VSL130" s="52"/>
      <c r="VSM130" s="52"/>
      <c r="VSN130" s="52"/>
      <c r="VSO130" s="52"/>
      <c r="VSP130" s="52"/>
      <c r="VSQ130" s="52"/>
      <c r="VSR130" s="52"/>
      <c r="VSS130" s="52"/>
      <c r="VST130" s="52"/>
      <c r="VSU130" s="52"/>
      <c r="VSV130" s="52"/>
      <c r="VSW130" s="52"/>
      <c r="VSX130" s="52"/>
      <c r="VSY130" s="52"/>
      <c r="VSZ130" s="52"/>
      <c r="VTA130" s="52"/>
      <c r="VTB130" s="52"/>
      <c r="VTC130" s="52"/>
      <c r="VTD130" s="52"/>
      <c r="VTE130" s="52"/>
      <c r="VTF130" s="52"/>
      <c r="VTG130" s="52"/>
      <c r="VTH130" s="52"/>
      <c r="VTI130" s="52"/>
      <c r="VTJ130" s="52"/>
      <c r="VTK130" s="52"/>
      <c r="VTL130" s="52"/>
      <c r="VTM130" s="52"/>
      <c r="VTN130" s="52"/>
      <c r="VTO130" s="52"/>
      <c r="VTP130" s="52"/>
      <c r="VTQ130" s="52"/>
      <c r="VTR130" s="52"/>
      <c r="VTS130" s="52"/>
      <c r="VTT130" s="52"/>
      <c r="VTU130" s="52"/>
      <c r="VTV130" s="52"/>
      <c r="VTW130" s="52"/>
      <c r="VTX130" s="52"/>
      <c r="VTY130" s="52"/>
      <c r="VTZ130" s="52"/>
      <c r="VUA130" s="52"/>
      <c r="VUB130" s="52"/>
      <c r="VUC130" s="52"/>
      <c r="VUD130" s="52"/>
      <c r="VUE130" s="52"/>
      <c r="VUF130" s="52"/>
      <c r="VUG130" s="52"/>
      <c r="VUH130" s="52"/>
      <c r="VUI130" s="52"/>
      <c r="VUJ130" s="52"/>
      <c r="VUK130" s="52"/>
      <c r="VUL130" s="52"/>
      <c r="VUM130" s="52"/>
      <c r="VUN130" s="52"/>
      <c r="VUO130" s="52"/>
      <c r="VUP130" s="52"/>
      <c r="VUQ130" s="52"/>
      <c r="VUR130" s="52"/>
      <c r="VUS130" s="52"/>
      <c r="VUT130" s="52"/>
      <c r="VUU130" s="52"/>
      <c r="VUV130" s="52"/>
      <c r="VUW130" s="52"/>
      <c r="VUX130" s="52"/>
      <c r="VUY130" s="52"/>
      <c r="VUZ130" s="52"/>
      <c r="VVA130" s="52"/>
      <c r="VVB130" s="52"/>
      <c r="VVC130" s="52"/>
      <c r="VVD130" s="52"/>
      <c r="VVE130" s="52"/>
      <c r="VVF130" s="52"/>
      <c r="VVG130" s="52"/>
      <c r="VVH130" s="52"/>
      <c r="VVI130" s="52"/>
      <c r="VVJ130" s="52"/>
      <c r="VVK130" s="52"/>
      <c r="VVL130" s="52"/>
      <c r="VVM130" s="52"/>
      <c r="VVN130" s="52"/>
      <c r="VVO130" s="52"/>
      <c r="VVP130" s="52"/>
      <c r="VVQ130" s="52"/>
      <c r="VVR130" s="52"/>
      <c r="VVS130" s="52"/>
      <c r="VVT130" s="52"/>
      <c r="VVU130" s="52"/>
      <c r="VVV130" s="52"/>
      <c r="VVW130" s="52"/>
      <c r="VVX130" s="52"/>
      <c r="VVY130" s="52"/>
      <c r="VVZ130" s="52"/>
      <c r="VWA130" s="52"/>
      <c r="VWB130" s="52"/>
      <c r="VWC130" s="52"/>
      <c r="VWD130" s="52"/>
      <c r="VWE130" s="52"/>
      <c r="VWF130" s="52"/>
      <c r="VWG130" s="52"/>
      <c r="VWH130" s="52"/>
      <c r="VWI130" s="52"/>
      <c r="VWJ130" s="52"/>
      <c r="VWK130" s="52"/>
      <c r="VWL130" s="52"/>
      <c r="VWM130" s="52"/>
      <c r="VWN130" s="52"/>
      <c r="VWO130" s="52"/>
      <c r="VWP130" s="52"/>
      <c r="VWQ130" s="52"/>
      <c r="VWR130" s="52"/>
      <c r="VWS130" s="52"/>
      <c r="VWT130" s="52"/>
      <c r="VWU130" s="52"/>
      <c r="VWV130" s="52"/>
      <c r="VWW130" s="52"/>
      <c r="VWX130" s="52"/>
      <c r="VWY130" s="52"/>
      <c r="VWZ130" s="52"/>
      <c r="VXA130" s="52"/>
      <c r="VXB130" s="52"/>
      <c r="VXC130" s="52"/>
      <c r="VXD130" s="52"/>
      <c r="VXE130" s="52"/>
      <c r="VXF130" s="52"/>
      <c r="VXG130" s="52"/>
      <c r="VXH130" s="52"/>
      <c r="VXI130" s="52"/>
      <c r="VXJ130" s="52"/>
      <c r="VXK130" s="52"/>
      <c r="VXL130" s="52"/>
      <c r="VXM130" s="52"/>
      <c r="VXN130" s="52"/>
      <c r="VXO130" s="52"/>
      <c r="VXP130" s="52"/>
      <c r="VXQ130" s="52"/>
      <c r="VXR130" s="52"/>
      <c r="VXS130" s="52"/>
      <c r="VXT130" s="52"/>
      <c r="VXU130" s="52"/>
      <c r="VXV130" s="52"/>
      <c r="VXW130" s="52"/>
      <c r="VXX130" s="52"/>
      <c r="VXY130" s="52"/>
      <c r="VXZ130" s="52"/>
      <c r="VYA130" s="52"/>
      <c r="VYB130" s="52"/>
      <c r="VYC130" s="52"/>
      <c r="VYD130" s="52"/>
      <c r="VYE130" s="52"/>
      <c r="VYF130" s="52"/>
      <c r="VYG130" s="52"/>
      <c r="VYH130" s="52"/>
      <c r="VYI130" s="52"/>
      <c r="VYJ130" s="52"/>
      <c r="VYK130" s="52"/>
      <c r="VYL130" s="52"/>
      <c r="VYM130" s="52"/>
      <c r="VYN130" s="52"/>
      <c r="VYO130" s="52"/>
      <c r="VYP130" s="52"/>
      <c r="VYQ130" s="52"/>
      <c r="VYR130" s="52"/>
      <c r="VYS130" s="52"/>
      <c r="VYT130" s="52"/>
      <c r="VYU130" s="52"/>
      <c r="VYV130" s="52"/>
      <c r="VYW130" s="52"/>
      <c r="VYX130" s="52"/>
      <c r="VYY130" s="52"/>
      <c r="VYZ130" s="52"/>
      <c r="VZA130" s="52"/>
      <c r="VZB130" s="52"/>
      <c r="VZC130" s="52"/>
      <c r="VZD130" s="52"/>
      <c r="VZE130" s="52"/>
      <c r="VZF130" s="52"/>
      <c r="VZG130" s="52"/>
      <c r="VZH130" s="52"/>
      <c r="VZI130" s="52"/>
      <c r="VZJ130" s="52"/>
      <c r="VZK130" s="52"/>
      <c r="VZL130" s="52"/>
      <c r="VZM130" s="52"/>
      <c r="VZN130" s="52"/>
      <c r="VZO130" s="52"/>
      <c r="VZP130" s="52"/>
      <c r="VZQ130" s="52"/>
      <c r="VZR130" s="52"/>
      <c r="VZS130" s="52"/>
      <c r="VZT130" s="52"/>
      <c r="VZU130" s="52"/>
      <c r="VZV130" s="52"/>
      <c r="VZW130" s="52"/>
      <c r="VZX130" s="52"/>
      <c r="VZY130" s="52"/>
      <c r="VZZ130" s="52"/>
      <c r="WAA130" s="52"/>
      <c r="WAB130" s="52"/>
      <c r="WAC130" s="52"/>
      <c r="WAD130" s="52"/>
      <c r="WAE130" s="52"/>
      <c r="WAF130" s="52"/>
      <c r="WAG130" s="52"/>
      <c r="WAH130" s="52"/>
      <c r="WAI130" s="52"/>
      <c r="WAJ130" s="52"/>
      <c r="WAK130" s="52"/>
      <c r="WAL130" s="52"/>
      <c r="WAM130" s="52"/>
      <c r="WAN130" s="52"/>
      <c r="WAO130" s="52"/>
      <c r="WAP130" s="52"/>
      <c r="WAQ130" s="52"/>
      <c r="WAR130" s="52"/>
      <c r="WAS130" s="52"/>
      <c r="WAT130" s="52"/>
      <c r="WAU130" s="52"/>
      <c r="WAV130" s="52"/>
      <c r="WAW130" s="52"/>
      <c r="WAX130" s="52"/>
      <c r="WAY130" s="52"/>
      <c r="WAZ130" s="52"/>
      <c r="WBA130" s="52"/>
      <c r="WBB130" s="52"/>
      <c r="WBC130" s="52"/>
      <c r="WBD130" s="52"/>
      <c r="WBE130" s="52"/>
      <c r="WBF130" s="52"/>
      <c r="WBG130" s="52"/>
      <c r="WBH130" s="52"/>
      <c r="WBI130" s="52"/>
      <c r="WBJ130" s="52"/>
      <c r="WBK130" s="52"/>
      <c r="WBL130" s="52"/>
      <c r="WBM130" s="52"/>
      <c r="WBN130" s="52"/>
      <c r="WBO130" s="52"/>
      <c r="WBP130" s="52"/>
      <c r="WBQ130" s="52"/>
      <c r="WBR130" s="52"/>
      <c r="WBS130" s="52"/>
      <c r="WBT130" s="52"/>
      <c r="WBU130" s="52"/>
      <c r="WBV130" s="52"/>
      <c r="WBW130" s="52"/>
      <c r="WBX130" s="52"/>
      <c r="WBY130" s="52"/>
      <c r="WBZ130" s="52"/>
      <c r="WCA130" s="52"/>
      <c r="WCB130" s="52"/>
      <c r="WCC130" s="52"/>
      <c r="WCD130" s="52"/>
      <c r="WCE130" s="52"/>
      <c r="WCF130" s="52"/>
      <c r="WCG130" s="52"/>
      <c r="WCH130" s="52"/>
      <c r="WCI130" s="52"/>
      <c r="WCJ130" s="52"/>
      <c r="WCK130" s="52"/>
      <c r="WCL130" s="52"/>
      <c r="WCM130" s="52"/>
      <c r="WCN130" s="52"/>
      <c r="WCO130" s="52"/>
      <c r="WCP130" s="52"/>
      <c r="WCQ130" s="52"/>
      <c r="WCR130" s="52"/>
      <c r="WCS130" s="52"/>
      <c r="WCT130" s="52"/>
      <c r="WCU130" s="52"/>
      <c r="WCV130" s="52"/>
      <c r="WCW130" s="52"/>
      <c r="WCX130" s="52"/>
      <c r="WCY130" s="52"/>
      <c r="WCZ130" s="52"/>
      <c r="WDA130" s="52"/>
      <c r="WDB130" s="52"/>
      <c r="WDC130" s="52"/>
      <c r="WDD130" s="52"/>
      <c r="WDE130" s="52"/>
      <c r="WDF130" s="52"/>
      <c r="WDG130" s="52"/>
      <c r="WDH130" s="52"/>
      <c r="WDI130" s="52"/>
      <c r="WDJ130" s="52"/>
      <c r="WDK130" s="52"/>
      <c r="WDL130" s="52"/>
      <c r="WDM130" s="52"/>
      <c r="WDN130" s="52"/>
      <c r="WDO130" s="52"/>
      <c r="WDP130" s="52"/>
      <c r="WDQ130" s="52"/>
      <c r="WDR130" s="52"/>
      <c r="WDS130" s="52"/>
      <c r="WDT130" s="52"/>
      <c r="WDU130" s="52"/>
      <c r="WDV130" s="52"/>
      <c r="WDW130" s="52"/>
      <c r="WDX130" s="52"/>
      <c r="WDY130" s="52"/>
      <c r="WDZ130" s="52"/>
      <c r="WEA130" s="52"/>
      <c r="WEB130" s="52"/>
      <c r="WEC130" s="52"/>
      <c r="WED130" s="52"/>
      <c r="WEE130" s="52"/>
      <c r="WEF130" s="52"/>
      <c r="WEG130" s="52"/>
      <c r="WEH130" s="52"/>
      <c r="WEI130" s="52"/>
      <c r="WEJ130" s="52"/>
      <c r="WEK130" s="52"/>
      <c r="WEL130" s="52"/>
      <c r="WEM130" s="52"/>
      <c r="WEN130" s="52"/>
      <c r="WEO130" s="52"/>
      <c r="WEP130" s="52"/>
      <c r="WEQ130" s="52"/>
      <c r="WER130" s="52"/>
      <c r="WES130" s="52"/>
      <c r="WET130" s="52"/>
      <c r="WEU130" s="52"/>
      <c r="WEV130" s="52"/>
      <c r="WEW130" s="52"/>
      <c r="WEX130" s="52"/>
      <c r="WEY130" s="52"/>
      <c r="WEZ130" s="52"/>
      <c r="WFA130" s="52"/>
      <c r="WFB130" s="52"/>
      <c r="WFC130" s="52"/>
      <c r="WFD130" s="52"/>
      <c r="WFE130" s="52"/>
      <c r="WFF130" s="52"/>
      <c r="WFG130" s="52"/>
      <c r="WFH130" s="52"/>
      <c r="WFI130" s="52"/>
      <c r="WFJ130" s="52"/>
      <c r="WFK130" s="52"/>
      <c r="WFL130" s="52"/>
      <c r="WFM130" s="52"/>
      <c r="WFN130" s="52"/>
      <c r="WFO130" s="52"/>
      <c r="WFP130" s="52"/>
      <c r="WFQ130" s="52"/>
      <c r="WFR130" s="52"/>
      <c r="WFS130" s="52"/>
      <c r="WFT130" s="52"/>
      <c r="WFU130" s="52"/>
      <c r="WFV130" s="52"/>
      <c r="WFW130" s="52"/>
      <c r="WFX130" s="52"/>
      <c r="WFY130" s="52"/>
      <c r="WFZ130" s="52"/>
      <c r="WGA130" s="52"/>
      <c r="WGB130" s="52"/>
      <c r="WGC130" s="52"/>
      <c r="WGD130" s="52"/>
      <c r="WGE130" s="52"/>
      <c r="WGF130" s="52"/>
      <c r="WGG130" s="52"/>
      <c r="WGH130" s="52"/>
      <c r="WGI130" s="52"/>
      <c r="WGJ130" s="52"/>
      <c r="WGK130" s="52"/>
      <c r="WGL130" s="52"/>
      <c r="WGM130" s="52"/>
      <c r="WGN130" s="52"/>
      <c r="WGO130" s="52"/>
      <c r="WGP130" s="52"/>
      <c r="WGQ130" s="52"/>
      <c r="WGR130" s="52"/>
      <c r="WGS130" s="52"/>
      <c r="WGT130" s="52"/>
      <c r="WGU130" s="52"/>
      <c r="WGV130" s="52"/>
      <c r="WGW130" s="52"/>
      <c r="WGX130" s="52"/>
      <c r="WGY130" s="52"/>
      <c r="WGZ130" s="52"/>
      <c r="WHA130" s="52"/>
      <c r="WHB130" s="52"/>
      <c r="WHC130" s="52"/>
      <c r="WHD130" s="52"/>
      <c r="WHE130" s="52"/>
      <c r="WHF130" s="52"/>
      <c r="WHG130" s="52"/>
      <c r="WHH130" s="52"/>
      <c r="WHI130" s="52"/>
      <c r="WHJ130" s="52"/>
      <c r="WHK130" s="52"/>
      <c r="WHL130" s="52"/>
      <c r="WHM130" s="52"/>
      <c r="WHN130" s="52"/>
      <c r="WHO130" s="52"/>
      <c r="WHP130" s="52"/>
      <c r="WHQ130" s="52"/>
      <c r="WHR130" s="52"/>
      <c r="WHS130" s="52"/>
      <c r="WHT130" s="52"/>
      <c r="WHU130" s="52"/>
      <c r="WHV130" s="52"/>
      <c r="WHW130" s="52"/>
      <c r="WHX130" s="52"/>
      <c r="WHY130" s="52"/>
      <c r="WHZ130" s="52"/>
      <c r="WIA130" s="52"/>
      <c r="WIB130" s="52"/>
      <c r="WIC130" s="52"/>
      <c r="WID130" s="52"/>
      <c r="WIE130" s="52"/>
      <c r="WIF130" s="52"/>
      <c r="WIG130" s="52"/>
      <c r="WIH130" s="52"/>
      <c r="WII130" s="52"/>
      <c r="WIJ130" s="52"/>
      <c r="WIK130" s="52"/>
      <c r="WIL130" s="52"/>
      <c r="WIM130" s="52"/>
      <c r="WIN130" s="52"/>
      <c r="WIO130" s="52"/>
      <c r="WIP130" s="52"/>
      <c r="WIQ130" s="52"/>
      <c r="WIR130" s="52"/>
      <c r="WIS130" s="52"/>
      <c r="WIT130" s="52"/>
      <c r="WIU130" s="52"/>
      <c r="WIV130" s="52"/>
      <c r="WIW130" s="52"/>
      <c r="WIX130" s="52"/>
      <c r="WIY130" s="52"/>
      <c r="WIZ130" s="52"/>
      <c r="WJA130" s="52"/>
      <c r="WJB130" s="52"/>
      <c r="WJC130" s="52"/>
      <c r="WJD130" s="52"/>
      <c r="WJE130" s="52"/>
      <c r="WJF130" s="52"/>
      <c r="WJG130" s="52"/>
      <c r="WJH130" s="52"/>
      <c r="WJI130" s="52"/>
      <c r="WJJ130" s="52"/>
      <c r="WJK130" s="52"/>
      <c r="WJL130" s="52"/>
      <c r="WJM130" s="52"/>
      <c r="WJN130" s="52"/>
      <c r="WJO130" s="52"/>
      <c r="WJP130" s="52"/>
      <c r="WJQ130" s="52"/>
      <c r="WJR130" s="52"/>
      <c r="WJS130" s="52"/>
      <c r="WJT130" s="52"/>
      <c r="WJU130" s="52"/>
      <c r="WJV130" s="52"/>
      <c r="WJW130" s="52"/>
      <c r="WJX130" s="52"/>
      <c r="WJY130" s="52"/>
      <c r="WJZ130" s="52"/>
      <c r="WKA130" s="52"/>
      <c r="WKB130" s="52"/>
      <c r="WKC130" s="52"/>
      <c r="WKD130" s="52"/>
      <c r="WKE130" s="52"/>
      <c r="WKF130" s="52"/>
      <c r="WKG130" s="52"/>
      <c r="WKH130" s="52"/>
      <c r="WKI130" s="52"/>
      <c r="WKJ130" s="52"/>
      <c r="WKK130" s="52"/>
      <c r="WKL130" s="52"/>
      <c r="WKM130" s="52"/>
      <c r="WKN130" s="52"/>
      <c r="WKO130" s="52"/>
      <c r="WKP130" s="52"/>
      <c r="WKQ130" s="52"/>
      <c r="WKR130" s="52"/>
      <c r="WKS130" s="52"/>
      <c r="WKT130" s="52"/>
      <c r="WKU130" s="52"/>
      <c r="WKV130" s="52"/>
      <c r="WKW130" s="52"/>
      <c r="WKX130" s="52"/>
      <c r="WKY130" s="52"/>
      <c r="WKZ130" s="52"/>
      <c r="WLA130" s="52"/>
      <c r="WLB130" s="52"/>
      <c r="WLC130" s="52"/>
      <c r="WLD130" s="52"/>
      <c r="WLE130" s="52"/>
      <c r="WLF130" s="52"/>
      <c r="WLG130" s="52"/>
      <c r="WLH130" s="52"/>
      <c r="WLI130" s="52"/>
      <c r="WLJ130" s="52"/>
      <c r="WLK130" s="52"/>
      <c r="WLL130" s="52"/>
      <c r="WLM130" s="52"/>
      <c r="WLN130" s="52"/>
      <c r="WLO130" s="52"/>
      <c r="WLP130" s="52"/>
      <c r="WLQ130" s="52"/>
      <c r="WLR130" s="52"/>
      <c r="WLS130" s="52"/>
      <c r="WLT130" s="52"/>
      <c r="WLU130" s="52"/>
      <c r="WLV130" s="52"/>
      <c r="WLW130" s="52"/>
      <c r="WLX130" s="52"/>
      <c r="WLY130" s="52"/>
      <c r="WLZ130" s="52"/>
      <c r="WMA130" s="52"/>
      <c r="WMB130" s="52"/>
      <c r="WMC130" s="52"/>
      <c r="WMD130" s="52"/>
      <c r="WME130" s="52"/>
      <c r="WMF130" s="52"/>
      <c r="WMG130" s="52"/>
      <c r="WMH130" s="52"/>
      <c r="WMI130" s="52"/>
      <c r="WMJ130" s="52"/>
      <c r="WMK130" s="52"/>
      <c r="WML130" s="52"/>
      <c r="WMM130" s="52"/>
      <c r="WMN130" s="52"/>
      <c r="WMO130" s="52"/>
      <c r="WMP130" s="52"/>
      <c r="WMQ130" s="52"/>
      <c r="WMR130" s="52"/>
      <c r="WMS130" s="52"/>
      <c r="WMT130" s="52"/>
      <c r="WMU130" s="52"/>
      <c r="WMV130" s="52"/>
      <c r="WMW130" s="52"/>
      <c r="WMX130" s="52"/>
      <c r="WMY130" s="52"/>
      <c r="WMZ130" s="52"/>
      <c r="WNA130" s="52"/>
      <c r="WNB130" s="52"/>
      <c r="WNC130" s="52"/>
      <c r="WND130" s="52"/>
      <c r="WNE130" s="52"/>
      <c r="WNF130" s="52"/>
      <c r="WNG130" s="52"/>
      <c r="WNH130" s="52"/>
      <c r="WNI130" s="52"/>
      <c r="WNJ130" s="52"/>
      <c r="WNK130" s="52"/>
      <c r="WNL130" s="52"/>
      <c r="WNM130" s="52"/>
      <c r="WNN130" s="52"/>
      <c r="WNO130" s="52"/>
      <c r="WNP130" s="52"/>
      <c r="WNQ130" s="52"/>
      <c r="WNR130" s="52"/>
      <c r="WNS130" s="52"/>
      <c r="WNT130" s="52"/>
      <c r="WNU130" s="52"/>
      <c r="WNV130" s="52"/>
      <c r="WNW130" s="52"/>
      <c r="WNX130" s="52"/>
      <c r="WNY130" s="52"/>
      <c r="WNZ130" s="52"/>
      <c r="WOA130" s="52"/>
      <c r="WOB130" s="52"/>
      <c r="WOC130" s="52"/>
      <c r="WOD130" s="52"/>
      <c r="WOE130" s="52"/>
      <c r="WOF130" s="52"/>
      <c r="WOG130" s="52"/>
      <c r="WOH130" s="52"/>
      <c r="WOI130" s="52"/>
      <c r="WOJ130" s="52"/>
      <c r="WOK130" s="52"/>
      <c r="WOL130" s="52"/>
      <c r="WOM130" s="52"/>
      <c r="WON130" s="52"/>
      <c r="WOO130" s="52"/>
      <c r="WOP130" s="52"/>
      <c r="WOQ130" s="52"/>
      <c r="WOR130" s="52"/>
      <c r="WOS130" s="52"/>
      <c r="WOT130" s="52"/>
      <c r="WOU130" s="52"/>
      <c r="WOV130" s="52"/>
      <c r="WOW130" s="52"/>
      <c r="WOX130" s="52"/>
      <c r="WOY130" s="52"/>
      <c r="WOZ130" s="52"/>
      <c r="WPA130" s="52"/>
      <c r="WPB130" s="52"/>
      <c r="WPC130" s="52"/>
      <c r="WPD130" s="52"/>
      <c r="WPE130" s="52"/>
      <c r="WPF130" s="52"/>
      <c r="WPG130" s="52"/>
      <c r="WPH130" s="52"/>
      <c r="WPI130" s="52"/>
      <c r="WPJ130" s="52"/>
      <c r="WPK130" s="52"/>
      <c r="WPL130" s="52"/>
      <c r="WPM130" s="52"/>
      <c r="WPN130" s="52"/>
      <c r="WPO130" s="52"/>
      <c r="WPP130" s="52"/>
      <c r="WPQ130" s="52"/>
      <c r="WPR130" s="52"/>
      <c r="WPS130" s="52"/>
      <c r="WPT130" s="52"/>
      <c r="WPU130" s="52"/>
      <c r="WPV130" s="52"/>
      <c r="WPW130" s="52"/>
      <c r="WPX130" s="52"/>
      <c r="WPY130" s="52"/>
      <c r="WPZ130" s="52"/>
      <c r="WQA130" s="52"/>
      <c r="WQB130" s="52"/>
      <c r="WQC130" s="52"/>
      <c r="WQD130" s="52"/>
      <c r="WQE130" s="52"/>
      <c r="WQF130" s="52"/>
      <c r="WQG130" s="52"/>
      <c r="WQH130" s="52"/>
      <c r="WQI130" s="52"/>
      <c r="WQJ130" s="52"/>
      <c r="WQK130" s="52"/>
      <c r="WQL130" s="52"/>
      <c r="WQM130" s="52"/>
      <c r="WQN130" s="52"/>
      <c r="WQO130" s="52"/>
      <c r="WQP130" s="52"/>
      <c r="WQQ130" s="52"/>
      <c r="WQR130" s="52"/>
      <c r="WQS130" s="52"/>
      <c r="WQT130" s="52"/>
      <c r="WQU130" s="52"/>
      <c r="WQV130" s="52"/>
      <c r="WQW130" s="52"/>
      <c r="WQX130" s="52"/>
      <c r="WQY130" s="52"/>
      <c r="WQZ130" s="52"/>
      <c r="WRA130" s="52"/>
      <c r="WRB130" s="52"/>
      <c r="WRC130" s="52"/>
      <c r="WRD130" s="52"/>
      <c r="WRE130" s="52"/>
      <c r="WRF130" s="52"/>
      <c r="WRG130" s="52"/>
      <c r="WRH130" s="52"/>
      <c r="WRI130" s="52"/>
      <c r="WRJ130" s="52"/>
      <c r="WRK130" s="52"/>
      <c r="WRL130" s="52"/>
      <c r="WRM130" s="52"/>
      <c r="WRN130" s="52"/>
      <c r="WRO130" s="52"/>
      <c r="WRP130" s="52"/>
      <c r="WRQ130" s="52"/>
      <c r="WRR130" s="52"/>
      <c r="WRS130" s="52"/>
      <c r="WRT130" s="52"/>
      <c r="WRU130" s="52"/>
      <c r="WRV130" s="52"/>
      <c r="WRW130" s="52"/>
      <c r="WRX130" s="52"/>
      <c r="WRY130" s="52"/>
      <c r="WRZ130" s="52"/>
      <c r="WSA130" s="52"/>
      <c r="WSB130" s="52"/>
      <c r="WSC130" s="52"/>
      <c r="WSD130" s="52"/>
      <c r="WSE130" s="52"/>
      <c r="WSF130" s="52"/>
      <c r="WSG130" s="52"/>
      <c r="WSH130" s="52"/>
      <c r="WSI130" s="52"/>
      <c r="WSJ130" s="52"/>
      <c r="WSK130" s="52"/>
      <c r="WSL130" s="52"/>
      <c r="WSM130" s="52"/>
      <c r="WSN130" s="52"/>
      <c r="WSO130" s="52"/>
      <c r="WSP130" s="52"/>
      <c r="WSQ130" s="52"/>
      <c r="WSR130" s="52"/>
      <c r="WSS130" s="52"/>
      <c r="WST130" s="52"/>
      <c r="WSU130" s="52"/>
      <c r="WSV130" s="52"/>
      <c r="WSW130" s="52"/>
      <c r="WSX130" s="52"/>
      <c r="WSY130" s="52"/>
      <c r="WSZ130" s="52"/>
      <c r="WTA130" s="52"/>
      <c r="WTB130" s="52"/>
      <c r="WTC130" s="52"/>
      <c r="WTD130" s="52"/>
      <c r="WTE130" s="52"/>
      <c r="WTF130" s="52"/>
      <c r="WTG130" s="52"/>
      <c r="WTH130" s="52"/>
      <c r="WTI130" s="52"/>
      <c r="WTJ130" s="52"/>
      <c r="WTK130" s="52"/>
      <c r="WTL130" s="52"/>
      <c r="WTM130" s="52"/>
      <c r="WTN130" s="52"/>
      <c r="WTO130" s="52"/>
      <c r="WTP130" s="52"/>
      <c r="WTQ130" s="52"/>
      <c r="WTR130" s="52"/>
      <c r="WTS130" s="52"/>
      <c r="WTT130" s="52"/>
      <c r="WTU130" s="52"/>
      <c r="WTV130" s="52"/>
      <c r="WTW130" s="52"/>
      <c r="WTX130" s="52"/>
      <c r="WTY130" s="52"/>
      <c r="WTZ130" s="52"/>
      <c r="WUA130" s="52"/>
      <c r="WUB130" s="52"/>
      <c r="WUC130" s="52"/>
      <c r="WUD130" s="52"/>
      <c r="WUE130" s="52"/>
      <c r="WUF130" s="52"/>
      <c r="WUG130" s="52"/>
      <c r="WUH130" s="52"/>
      <c r="WUI130" s="52"/>
      <c r="WUJ130" s="52"/>
      <c r="WUK130" s="52"/>
      <c r="WUL130" s="52"/>
      <c r="WUM130" s="52"/>
      <c r="WUN130" s="52"/>
      <c r="WUO130" s="52"/>
      <c r="WUP130" s="52"/>
      <c r="WUQ130" s="52"/>
      <c r="WUR130" s="52"/>
      <c r="WUS130" s="52"/>
      <c r="WUT130" s="52"/>
      <c r="WUU130" s="52"/>
      <c r="WUV130" s="52"/>
      <c r="WUW130" s="52"/>
      <c r="WUX130" s="52"/>
      <c r="WUY130" s="52"/>
      <c r="WUZ130" s="52"/>
      <c r="WVA130" s="52"/>
      <c r="WVB130" s="52"/>
      <c r="WVC130" s="52"/>
      <c r="WVD130" s="52"/>
      <c r="WVE130" s="52"/>
      <c r="WVF130" s="52"/>
      <c r="WVG130" s="52"/>
      <c r="WVH130" s="52"/>
      <c r="WVI130" s="52"/>
      <c r="WVJ130" s="52"/>
      <c r="WVK130" s="52"/>
      <c r="WVL130" s="52"/>
      <c r="WVM130" s="52"/>
      <c r="WVN130" s="52"/>
      <c r="WVO130" s="52"/>
      <c r="WVP130" s="52"/>
      <c r="WVQ130" s="52"/>
      <c r="WVR130" s="52"/>
      <c r="WVS130" s="52"/>
      <c r="WVT130" s="52"/>
      <c r="WVU130" s="52"/>
      <c r="WVV130" s="52"/>
      <c r="WVW130" s="52"/>
      <c r="WVX130" s="52"/>
      <c r="WVY130" s="52"/>
      <c r="WVZ130" s="52"/>
      <c r="WWA130" s="52"/>
      <c r="WWB130" s="52"/>
      <c r="WWC130" s="52"/>
      <c r="WWD130" s="52"/>
      <c r="WWE130" s="52"/>
      <c r="WWF130" s="52"/>
      <c r="WWG130" s="52"/>
      <c r="WWH130" s="52"/>
      <c r="WWI130" s="52"/>
      <c r="WWJ130" s="52"/>
      <c r="WWK130" s="52"/>
      <c r="WWL130" s="52"/>
      <c r="WWM130" s="52"/>
      <c r="WWN130" s="52"/>
      <c r="WWO130" s="52"/>
      <c r="WWP130" s="52"/>
      <c r="WWQ130" s="52"/>
      <c r="WWR130" s="52"/>
      <c r="WWS130" s="52"/>
      <c r="WWT130" s="52"/>
      <c r="WWU130" s="52"/>
      <c r="WWV130" s="52"/>
      <c r="WWW130" s="52"/>
      <c r="WWX130" s="52"/>
      <c r="WWY130" s="52"/>
      <c r="WWZ130" s="52"/>
      <c r="WXA130" s="52"/>
      <c r="WXB130" s="52"/>
      <c r="WXC130" s="52"/>
      <c r="WXD130" s="52"/>
      <c r="WXE130" s="52"/>
      <c r="WXF130" s="52"/>
      <c r="WXG130" s="52"/>
      <c r="WXH130" s="52"/>
      <c r="WXI130" s="52"/>
      <c r="WXJ130" s="52"/>
      <c r="WXK130" s="52"/>
      <c r="WXL130" s="52"/>
      <c r="WXM130" s="52"/>
      <c r="WXN130" s="52"/>
      <c r="WXO130" s="52"/>
      <c r="WXP130" s="52"/>
      <c r="WXQ130" s="52"/>
      <c r="WXR130" s="52"/>
      <c r="WXS130" s="52"/>
      <c r="WXT130" s="52"/>
      <c r="WXU130" s="52"/>
      <c r="WXV130" s="52"/>
      <c r="WXW130" s="52"/>
      <c r="WXX130" s="52"/>
      <c r="WXY130" s="52"/>
      <c r="WXZ130" s="52"/>
      <c r="WYA130" s="52"/>
      <c r="WYB130" s="52"/>
      <c r="WYC130" s="52"/>
      <c r="WYD130" s="52"/>
      <c r="WYE130" s="52"/>
      <c r="WYF130" s="52"/>
      <c r="WYG130" s="52"/>
      <c r="WYH130" s="52"/>
      <c r="WYI130" s="52"/>
      <c r="WYJ130" s="52"/>
      <c r="WYK130" s="52"/>
      <c r="WYL130" s="52"/>
      <c r="WYM130" s="52"/>
      <c r="WYN130" s="52"/>
      <c r="WYO130" s="52"/>
      <c r="WYP130" s="52"/>
      <c r="WYQ130" s="52"/>
      <c r="WYR130" s="52"/>
      <c r="WYS130" s="52"/>
      <c r="WYT130" s="52"/>
      <c r="WYU130" s="52"/>
      <c r="WYV130" s="52"/>
      <c r="WYW130" s="52"/>
      <c r="WYX130" s="52"/>
      <c r="WYY130" s="52"/>
      <c r="WYZ130" s="52"/>
      <c r="WZA130" s="52"/>
      <c r="WZB130" s="52"/>
      <c r="WZC130" s="52"/>
      <c r="WZD130" s="52"/>
      <c r="WZE130" s="52"/>
      <c r="WZF130" s="52"/>
      <c r="WZG130" s="52"/>
      <c r="WZH130" s="52"/>
      <c r="WZI130" s="52"/>
      <c r="WZJ130" s="52"/>
      <c r="WZK130" s="52"/>
      <c r="WZL130" s="52"/>
      <c r="WZM130" s="52"/>
      <c r="WZN130" s="52"/>
      <c r="WZO130" s="52"/>
      <c r="WZP130" s="52"/>
      <c r="WZQ130" s="52"/>
      <c r="WZR130" s="52"/>
      <c r="WZS130" s="52"/>
      <c r="WZT130" s="52"/>
      <c r="WZU130" s="52"/>
      <c r="WZV130" s="52"/>
      <c r="WZW130" s="52"/>
      <c r="WZX130" s="52"/>
      <c r="WZY130" s="52"/>
      <c r="WZZ130" s="52"/>
      <c r="XAA130" s="52"/>
      <c r="XAB130" s="52"/>
      <c r="XAC130" s="52"/>
      <c r="XAD130" s="52"/>
      <c r="XAE130" s="52"/>
      <c r="XAF130" s="52"/>
      <c r="XAG130" s="52"/>
      <c r="XAH130" s="52"/>
      <c r="XAI130" s="52"/>
      <c r="XAJ130" s="52"/>
      <c r="XAK130" s="52"/>
      <c r="XAL130" s="52"/>
      <c r="XAM130" s="52"/>
      <c r="XAN130" s="52"/>
      <c r="XAO130" s="52"/>
      <c r="XAP130" s="52"/>
      <c r="XAQ130" s="52"/>
      <c r="XAR130" s="52"/>
      <c r="XAS130" s="52"/>
      <c r="XAT130" s="52"/>
      <c r="XAU130" s="52"/>
      <c r="XAV130" s="52"/>
      <c r="XAW130" s="52"/>
      <c r="XAX130" s="52"/>
      <c r="XAY130" s="52"/>
      <c r="XAZ130" s="52"/>
      <c r="XBA130" s="52"/>
      <c r="XBB130" s="52"/>
      <c r="XBC130" s="52"/>
      <c r="XBD130" s="52"/>
      <c r="XBE130" s="52"/>
      <c r="XBF130" s="52"/>
      <c r="XBG130" s="52"/>
      <c r="XBH130" s="52"/>
      <c r="XBI130" s="52"/>
      <c r="XBJ130" s="52"/>
      <c r="XBK130" s="52"/>
      <c r="XBL130" s="52"/>
      <c r="XBM130" s="52"/>
      <c r="XBN130" s="52"/>
      <c r="XBO130" s="52"/>
      <c r="XBP130" s="52"/>
      <c r="XBQ130" s="52"/>
      <c r="XBR130" s="52"/>
      <c r="XBS130" s="52"/>
      <c r="XBT130" s="52"/>
      <c r="XBU130" s="52"/>
      <c r="XBV130" s="52"/>
      <c r="XBW130" s="52"/>
      <c r="XBX130" s="52"/>
      <c r="XBY130" s="52"/>
      <c r="XBZ130" s="52"/>
      <c r="XCA130" s="52"/>
      <c r="XCB130" s="52"/>
      <c r="XCC130" s="52"/>
      <c r="XCD130" s="52"/>
      <c r="XCE130" s="52"/>
      <c r="XCF130" s="52"/>
      <c r="XCG130" s="52"/>
      <c r="XCH130" s="52"/>
      <c r="XCI130" s="52"/>
      <c r="XCJ130" s="52"/>
      <c r="XCK130" s="52"/>
      <c r="XCL130" s="52"/>
      <c r="XCM130" s="52"/>
      <c r="XCN130" s="52"/>
      <c r="XCO130" s="52"/>
      <c r="XCP130" s="52"/>
      <c r="XCQ130" s="52"/>
      <c r="XCR130" s="52"/>
      <c r="XCS130" s="52"/>
      <c r="XCT130" s="52"/>
      <c r="XCU130" s="52"/>
      <c r="XCV130" s="52"/>
      <c r="XCW130" s="52"/>
      <c r="XCX130" s="52"/>
      <c r="XCY130" s="52"/>
      <c r="XCZ130" s="52"/>
      <c r="XDA130" s="52"/>
      <c r="XDB130" s="52"/>
      <c r="XDC130" s="52"/>
      <c r="XDD130" s="52"/>
      <c r="XDE130" s="52"/>
      <c r="XDF130" s="52"/>
      <c r="XDG130" s="52"/>
      <c r="XDH130" s="52"/>
      <c r="XDI130" s="52"/>
      <c r="XDJ130" s="52"/>
      <c r="XDK130" s="52"/>
      <c r="XDL130" s="52"/>
      <c r="XDM130" s="52"/>
      <c r="XDN130" s="52"/>
      <c r="XDO130" s="52"/>
      <c r="XDP130" s="52"/>
      <c r="XDQ130" s="52"/>
      <c r="XDR130" s="52"/>
      <c r="XDS130" s="52"/>
      <c r="XDT130" s="52"/>
      <c r="XDU130" s="52"/>
      <c r="XDV130" s="52"/>
      <c r="XDW130" s="52"/>
      <c r="XDX130" s="52"/>
      <c r="XDY130" s="52"/>
      <c r="XDZ130" s="52"/>
      <c r="XEA130" s="52"/>
      <c r="XEB130" s="52"/>
      <c r="XEC130" s="52"/>
      <c r="XED130" s="52"/>
      <c r="XEE130" s="52"/>
      <c r="XEF130" s="52"/>
      <c r="XEG130" s="52"/>
      <c r="XEH130" s="52"/>
      <c r="XEI130" s="52"/>
      <c r="XEJ130" s="52"/>
      <c r="XEK130" s="52"/>
      <c r="XEL130" s="52"/>
      <c r="XEM130" s="52"/>
      <c r="XEN130" s="52"/>
      <c r="XEO130" s="52"/>
      <c r="XEP130" s="52"/>
      <c r="XEQ130" s="52"/>
      <c r="XER130" s="52"/>
      <c r="XES130" s="52"/>
    </row>
    <row r="131" spans="1:16373">
      <c r="A131" s="47" t="s">
        <v>44</v>
      </c>
      <c r="B131" s="47" t="str">
        <f t="shared" si="36"/>
        <v>July</v>
      </c>
      <c r="C131" s="59">
        <v>45486</v>
      </c>
      <c r="D131" s="47" t="s">
        <v>45</v>
      </c>
      <c r="E131" s="47" t="s">
        <v>253</v>
      </c>
      <c r="F131" s="47" t="s">
        <v>254</v>
      </c>
      <c r="G131" s="47" t="s">
        <v>1100</v>
      </c>
      <c r="H131" s="47" t="s">
        <v>1101</v>
      </c>
      <c r="I131" s="47" t="s">
        <v>63</v>
      </c>
      <c r="J131" s="47" t="s">
        <v>51</v>
      </c>
      <c r="K131" s="48">
        <v>44756</v>
      </c>
      <c r="L131" s="48">
        <v>45121</v>
      </c>
      <c r="M131" s="48">
        <v>45486</v>
      </c>
      <c r="N131" s="47" t="s">
        <v>64</v>
      </c>
      <c r="O131" s="55" t="s">
        <v>53</v>
      </c>
      <c r="P131" s="62">
        <v>14400</v>
      </c>
      <c r="Q131" s="62">
        <v>1200</v>
      </c>
      <c r="R131" s="96">
        <v>15000</v>
      </c>
      <c r="S131" s="62">
        <f t="shared" si="26"/>
        <v>1250</v>
      </c>
      <c r="T131" s="62">
        <v>14400</v>
      </c>
      <c r="U131" s="62">
        <f t="shared" si="27"/>
        <v>1200</v>
      </c>
      <c r="V131" s="69">
        <v>12900</v>
      </c>
      <c r="W131" s="71">
        <v>1280</v>
      </c>
      <c r="X131" s="105">
        <f t="shared" si="35"/>
        <v>1228.8</v>
      </c>
      <c r="Y131" s="171">
        <f t="shared" si="32"/>
        <v>2.3999999999999962E-2</v>
      </c>
      <c r="Z131" s="64">
        <f t="shared" si="37"/>
        <v>6.6666666666666666E-2</v>
      </c>
      <c r="AA131" s="64">
        <f t="shared" si="28"/>
        <v>2.4E-2</v>
      </c>
      <c r="AB131" s="71">
        <f t="shared" si="33"/>
        <v>1280</v>
      </c>
      <c r="AC131" s="64">
        <f t="shared" si="38"/>
        <v>6.6666666666666666E-2</v>
      </c>
      <c r="AD131" s="64">
        <f t="shared" si="29"/>
        <v>2.4E-2</v>
      </c>
      <c r="AE131" s="71">
        <v>1260</v>
      </c>
      <c r="AF131" s="64">
        <f t="shared" si="39"/>
        <v>0.05</v>
      </c>
      <c r="AG131" s="64">
        <f t="shared" si="30"/>
        <v>8.0000000000000002E-3</v>
      </c>
      <c r="AH131" s="67"/>
      <c r="AI131" s="47" t="s">
        <v>250</v>
      </c>
      <c r="AJ131" s="47">
        <v>687.8</v>
      </c>
      <c r="AK131" s="47" t="s">
        <v>65</v>
      </c>
      <c r="AL131" s="47" t="s">
        <v>55</v>
      </c>
      <c r="AM131" s="47" t="s">
        <v>1002</v>
      </c>
      <c r="AN131" s="50"/>
      <c r="AO131" s="211">
        <f t="shared" si="40"/>
        <v>-1</v>
      </c>
      <c r="AP131" s="47" t="s">
        <v>90</v>
      </c>
      <c r="AQ131" s="91" t="s">
        <v>116</v>
      </c>
      <c r="AR131" s="47"/>
    </row>
    <row r="132" spans="1:16373">
      <c r="A132" s="47" t="s">
        <v>44</v>
      </c>
      <c r="B132" s="47" t="str">
        <f t="shared" si="36"/>
        <v>July</v>
      </c>
      <c r="C132" s="59">
        <v>45478</v>
      </c>
      <c r="D132" s="47" t="s">
        <v>45</v>
      </c>
      <c r="E132" s="47" t="s">
        <v>253</v>
      </c>
      <c r="F132" s="47" t="s">
        <v>254</v>
      </c>
      <c r="G132" s="47" t="s">
        <v>1109</v>
      </c>
      <c r="H132" s="47" t="s">
        <v>1110</v>
      </c>
      <c r="I132" s="47" t="s">
        <v>63</v>
      </c>
      <c r="J132" s="47" t="s">
        <v>51</v>
      </c>
      <c r="K132" s="48">
        <v>44748</v>
      </c>
      <c r="L132" s="48">
        <v>45113</v>
      </c>
      <c r="M132" s="48">
        <v>45478</v>
      </c>
      <c r="N132" s="47" t="s">
        <v>64</v>
      </c>
      <c r="O132" s="55" t="s">
        <v>53</v>
      </c>
      <c r="P132" s="62">
        <v>14160</v>
      </c>
      <c r="Q132" s="62">
        <v>1180</v>
      </c>
      <c r="R132" s="96">
        <v>14700</v>
      </c>
      <c r="S132" s="62">
        <f t="shared" si="26"/>
        <v>1225</v>
      </c>
      <c r="T132" s="62">
        <v>14160</v>
      </c>
      <c r="U132" s="62">
        <f t="shared" si="27"/>
        <v>1180</v>
      </c>
      <c r="V132" s="69">
        <v>12660</v>
      </c>
      <c r="W132" s="71">
        <v>1260</v>
      </c>
      <c r="X132" s="105">
        <f t="shared" si="35"/>
        <v>1209.5999999999999</v>
      </c>
      <c r="Y132" s="171">
        <f t="shared" si="32"/>
        <v>2.5084745762711788E-2</v>
      </c>
      <c r="Z132" s="64">
        <f t="shared" si="37"/>
        <v>6.7796610169491525E-2</v>
      </c>
      <c r="AA132" s="64">
        <f t="shared" si="28"/>
        <v>2.8571428571428571E-2</v>
      </c>
      <c r="AB132" s="71">
        <f t="shared" si="33"/>
        <v>1260</v>
      </c>
      <c r="AC132" s="64">
        <f t="shared" si="38"/>
        <v>6.7796610169491525E-2</v>
      </c>
      <c r="AD132" s="64">
        <f t="shared" si="29"/>
        <v>2.8571428571428571E-2</v>
      </c>
      <c r="AE132" s="71">
        <v>1235</v>
      </c>
      <c r="AF132" s="64">
        <f t="shared" si="39"/>
        <v>4.6610169491525424E-2</v>
      </c>
      <c r="AG132" s="64">
        <f t="shared" si="30"/>
        <v>8.1632653061224497E-3</v>
      </c>
      <c r="AH132" s="67"/>
      <c r="AI132" s="47" t="s">
        <v>54</v>
      </c>
      <c r="AJ132" s="47">
        <v>687.8</v>
      </c>
      <c r="AK132" s="47" t="s">
        <v>65</v>
      </c>
      <c r="AL132" s="47" t="s">
        <v>55</v>
      </c>
      <c r="AM132" s="47" t="s">
        <v>1002</v>
      </c>
      <c r="AN132" s="50"/>
      <c r="AO132" s="211">
        <f t="shared" si="40"/>
        <v>-1</v>
      </c>
      <c r="AP132" s="47" t="s">
        <v>90</v>
      </c>
      <c r="AQ132" s="94" t="s">
        <v>891</v>
      </c>
      <c r="AR132" s="47"/>
    </row>
    <row r="133" spans="1:16373">
      <c r="A133" s="47" t="s">
        <v>44</v>
      </c>
      <c r="B133" s="47" t="str">
        <f t="shared" si="36"/>
        <v>August</v>
      </c>
      <c r="C133" s="59">
        <v>45509</v>
      </c>
      <c r="D133" s="47" t="s">
        <v>45</v>
      </c>
      <c r="E133" s="47" t="s">
        <v>253</v>
      </c>
      <c r="F133" s="47" t="s">
        <v>254</v>
      </c>
      <c r="G133" s="47" t="s">
        <v>1115</v>
      </c>
      <c r="H133" s="47" t="s">
        <v>1116</v>
      </c>
      <c r="I133" s="47" t="s">
        <v>63</v>
      </c>
      <c r="J133" s="47" t="s">
        <v>51</v>
      </c>
      <c r="K133" s="48">
        <v>44049</v>
      </c>
      <c r="L133" s="48">
        <v>45144</v>
      </c>
      <c r="M133" s="48">
        <v>45509</v>
      </c>
      <c r="N133" s="47" t="s">
        <v>64</v>
      </c>
      <c r="O133" s="55" t="s">
        <v>53</v>
      </c>
      <c r="P133" s="62">
        <v>13620</v>
      </c>
      <c r="Q133" s="62">
        <v>1135</v>
      </c>
      <c r="R133" s="96">
        <v>14280</v>
      </c>
      <c r="S133" s="62">
        <f t="shared" si="26"/>
        <v>1190</v>
      </c>
      <c r="T133" s="62">
        <v>14280</v>
      </c>
      <c r="U133" s="62">
        <f t="shared" si="27"/>
        <v>1190</v>
      </c>
      <c r="V133" s="69">
        <v>12660</v>
      </c>
      <c r="W133" s="71">
        <v>1295</v>
      </c>
      <c r="X133" s="105">
        <f t="shared" si="35"/>
        <v>1243.2</v>
      </c>
      <c r="Y133" s="171">
        <f t="shared" si="32"/>
        <v>4.4705882352941213E-2</v>
      </c>
      <c r="Z133" s="64">
        <f t="shared" si="37"/>
        <v>8.8235294117647065E-2</v>
      </c>
      <c r="AA133" s="64">
        <f t="shared" si="28"/>
        <v>8.8235294117647065E-2</v>
      </c>
      <c r="AB133" s="71">
        <f t="shared" si="33"/>
        <v>1295</v>
      </c>
      <c r="AC133" s="64">
        <f t="shared" si="38"/>
        <v>8.8235294117647065E-2</v>
      </c>
      <c r="AD133" s="64">
        <f t="shared" si="29"/>
        <v>8.8235294117647065E-2</v>
      </c>
      <c r="AE133" s="71">
        <v>1250</v>
      </c>
      <c r="AF133" s="64">
        <f t="shared" si="39"/>
        <v>5.0420168067226892E-2</v>
      </c>
      <c r="AG133" s="64">
        <f t="shared" si="30"/>
        <v>5.0420168067226892E-2</v>
      </c>
      <c r="AH133" s="67"/>
      <c r="AI133" s="47" t="s">
        <v>54</v>
      </c>
      <c r="AJ133" s="47">
        <v>674.9</v>
      </c>
      <c r="AK133" s="47" t="s">
        <v>65</v>
      </c>
      <c r="AL133" s="47" t="s">
        <v>55</v>
      </c>
      <c r="AM133" s="47" t="s">
        <v>1002</v>
      </c>
      <c r="AN133" s="50">
        <v>1250</v>
      </c>
      <c r="AO133" s="211">
        <f t="shared" si="40"/>
        <v>5.0420168067226892E-2</v>
      </c>
      <c r="AP133" s="47" t="s">
        <v>90</v>
      </c>
      <c r="AQ133" s="91" t="s">
        <v>116</v>
      </c>
      <c r="AR133" s="47"/>
    </row>
    <row r="134" spans="1:16373">
      <c r="A134" s="47" t="s">
        <v>44</v>
      </c>
      <c r="B134" s="47" t="str">
        <f t="shared" si="36"/>
        <v>July</v>
      </c>
      <c r="C134" s="59">
        <v>45491</v>
      </c>
      <c r="D134" s="47" t="s">
        <v>45</v>
      </c>
      <c r="E134" s="47" t="s">
        <v>253</v>
      </c>
      <c r="F134" s="47" t="s">
        <v>254</v>
      </c>
      <c r="G134" s="47" t="s">
        <v>1126</v>
      </c>
      <c r="H134" s="47" t="s">
        <v>1127</v>
      </c>
      <c r="I134" s="47" t="s">
        <v>63</v>
      </c>
      <c r="J134" s="47" t="s">
        <v>51</v>
      </c>
      <c r="K134" s="48">
        <v>44760</v>
      </c>
      <c r="L134" s="48">
        <v>45126</v>
      </c>
      <c r="M134" s="48">
        <v>45491</v>
      </c>
      <c r="N134" s="47" t="s">
        <v>64</v>
      </c>
      <c r="O134" s="55" t="s">
        <v>53</v>
      </c>
      <c r="P134" s="62">
        <v>14880</v>
      </c>
      <c r="Q134" s="62">
        <v>1240</v>
      </c>
      <c r="R134" s="96">
        <v>15480</v>
      </c>
      <c r="S134" s="62">
        <f t="shared" si="26"/>
        <v>1290</v>
      </c>
      <c r="T134" s="62">
        <v>14880</v>
      </c>
      <c r="U134" s="62">
        <f t="shared" si="27"/>
        <v>1240</v>
      </c>
      <c r="V134" s="69">
        <v>13380</v>
      </c>
      <c r="W134" s="71">
        <v>1325</v>
      </c>
      <c r="X134" s="105">
        <f t="shared" si="35"/>
        <v>1272</v>
      </c>
      <c r="Y134" s="171">
        <f t="shared" si="32"/>
        <v>2.5806451612903226E-2</v>
      </c>
      <c r="Z134" s="64">
        <f t="shared" si="37"/>
        <v>6.8548387096774188E-2</v>
      </c>
      <c r="AA134" s="64">
        <f t="shared" si="28"/>
        <v>2.7131782945736434E-2</v>
      </c>
      <c r="AB134" s="71">
        <f t="shared" si="33"/>
        <v>1325</v>
      </c>
      <c r="AC134" s="64">
        <f t="shared" si="38"/>
        <v>6.8548387096774188E-2</v>
      </c>
      <c r="AD134" s="64">
        <f t="shared" si="29"/>
        <v>2.7131782945736434E-2</v>
      </c>
      <c r="AE134" s="71">
        <v>1305</v>
      </c>
      <c r="AF134" s="64">
        <f t="shared" si="39"/>
        <v>5.2419354838709679E-2</v>
      </c>
      <c r="AG134" s="64">
        <f t="shared" si="30"/>
        <v>1.1627906976744186E-2</v>
      </c>
      <c r="AH134" s="67"/>
      <c r="AI134" s="47" t="s">
        <v>54</v>
      </c>
      <c r="AJ134" s="47">
        <v>708.3</v>
      </c>
      <c r="AK134" s="47" t="s">
        <v>65</v>
      </c>
      <c r="AL134" s="47" t="s">
        <v>55</v>
      </c>
      <c r="AM134" s="47" t="s">
        <v>1128</v>
      </c>
      <c r="AN134" s="50">
        <v>1325</v>
      </c>
      <c r="AO134" s="211">
        <f t="shared" si="40"/>
        <v>6.8548387096774188E-2</v>
      </c>
      <c r="AP134" s="47" t="s">
        <v>90</v>
      </c>
      <c r="AQ134" s="91" t="s">
        <v>116</v>
      </c>
      <c r="AR134" s="47"/>
    </row>
    <row r="135" spans="1:16373">
      <c r="A135" s="47" t="s">
        <v>44</v>
      </c>
      <c r="B135" s="47" t="str">
        <f t="shared" si="36"/>
        <v>August</v>
      </c>
      <c r="C135" s="59">
        <v>45510</v>
      </c>
      <c r="D135" s="47" t="s">
        <v>45</v>
      </c>
      <c r="E135" s="47" t="s">
        <v>253</v>
      </c>
      <c r="F135" s="47" t="s">
        <v>254</v>
      </c>
      <c r="G135" s="47" t="s">
        <v>1174</v>
      </c>
      <c r="H135" s="47" t="s">
        <v>1175</v>
      </c>
      <c r="I135" s="47" t="s">
        <v>63</v>
      </c>
      <c r="J135" s="47" t="s">
        <v>51</v>
      </c>
      <c r="K135" s="48">
        <v>44415</v>
      </c>
      <c r="L135" s="48">
        <v>45145</v>
      </c>
      <c r="M135" s="48">
        <v>45510</v>
      </c>
      <c r="N135" s="47" t="s">
        <v>64</v>
      </c>
      <c r="O135" s="55" t="s">
        <v>53</v>
      </c>
      <c r="P135" s="62">
        <v>11520</v>
      </c>
      <c r="Q135" s="62">
        <v>960</v>
      </c>
      <c r="R135" s="96">
        <v>11940</v>
      </c>
      <c r="S135" s="62">
        <f t="shared" si="26"/>
        <v>995</v>
      </c>
      <c r="T135" s="62">
        <v>11940</v>
      </c>
      <c r="U135" s="62">
        <f t="shared" si="27"/>
        <v>995</v>
      </c>
      <c r="V135" s="69">
        <v>10740</v>
      </c>
      <c r="W135" s="71">
        <v>1040</v>
      </c>
      <c r="X135" s="105">
        <f t="shared" si="35"/>
        <v>998.4</v>
      </c>
      <c r="Y135" s="176">
        <f t="shared" si="32"/>
        <v>3.4170854271356557E-3</v>
      </c>
      <c r="Z135" s="64">
        <f t="shared" si="37"/>
        <v>4.5226130653266333E-2</v>
      </c>
      <c r="AA135" s="64">
        <f t="shared" si="28"/>
        <v>4.5226130653266333E-2</v>
      </c>
      <c r="AB135" s="71">
        <f t="shared" si="33"/>
        <v>1040</v>
      </c>
      <c r="AC135" s="64">
        <f t="shared" si="38"/>
        <v>4.5226130653266333E-2</v>
      </c>
      <c r="AD135" s="64">
        <f t="shared" si="29"/>
        <v>4.5226130653266333E-2</v>
      </c>
      <c r="AE135" s="71">
        <v>1015</v>
      </c>
      <c r="AF135" s="64">
        <f t="shared" si="39"/>
        <v>2.0100502512562814E-2</v>
      </c>
      <c r="AG135" s="64">
        <f t="shared" si="30"/>
        <v>2.0100502512562814E-2</v>
      </c>
      <c r="AH135" s="67"/>
      <c r="AI135" s="47" t="s">
        <v>250</v>
      </c>
      <c r="AJ135" s="47">
        <v>472.5</v>
      </c>
      <c r="AK135" s="47" t="s">
        <v>55</v>
      </c>
      <c r="AL135" s="47" t="s">
        <v>55</v>
      </c>
      <c r="AM135" s="47" t="s">
        <v>257</v>
      </c>
      <c r="AN135" s="50">
        <v>1040</v>
      </c>
      <c r="AO135" s="211">
        <f t="shared" si="40"/>
        <v>4.5226130653266333E-2</v>
      </c>
      <c r="AP135" s="47" t="s">
        <v>90</v>
      </c>
      <c r="AQ135" s="91" t="s">
        <v>116</v>
      </c>
      <c r="AR135" s="47"/>
    </row>
    <row r="136" spans="1:16373">
      <c r="A136" s="47" t="s">
        <v>44</v>
      </c>
      <c r="B136" s="47" t="str">
        <f t="shared" si="36"/>
        <v>July</v>
      </c>
      <c r="C136" s="59">
        <v>45497</v>
      </c>
      <c r="D136" s="47" t="s">
        <v>45</v>
      </c>
      <c r="E136" s="47" t="s">
        <v>253</v>
      </c>
      <c r="F136" s="47" t="s">
        <v>254</v>
      </c>
      <c r="G136" s="47" t="s">
        <v>1244</v>
      </c>
      <c r="H136" s="47" t="s">
        <v>1245</v>
      </c>
      <c r="I136" s="47" t="s">
        <v>63</v>
      </c>
      <c r="J136" s="47" t="s">
        <v>51</v>
      </c>
      <c r="K136" s="48">
        <v>44767</v>
      </c>
      <c r="L136" s="48">
        <v>45132</v>
      </c>
      <c r="M136" s="48">
        <v>45497</v>
      </c>
      <c r="N136" s="47" t="s">
        <v>64</v>
      </c>
      <c r="O136" s="55" t="s">
        <v>53</v>
      </c>
      <c r="P136" s="62">
        <v>9360</v>
      </c>
      <c r="Q136" s="62">
        <v>780</v>
      </c>
      <c r="R136" s="96">
        <v>9420</v>
      </c>
      <c r="S136" s="62">
        <f t="shared" si="26"/>
        <v>785</v>
      </c>
      <c r="T136" s="62">
        <v>9360</v>
      </c>
      <c r="U136" s="62">
        <f t="shared" si="27"/>
        <v>780</v>
      </c>
      <c r="V136" s="69">
        <v>8640</v>
      </c>
      <c r="W136" s="71">
        <v>840</v>
      </c>
      <c r="X136" s="105">
        <f t="shared" si="35"/>
        <v>806.4</v>
      </c>
      <c r="Y136" s="171">
        <f t="shared" si="32"/>
        <v>3.3846153846153818E-2</v>
      </c>
      <c r="Z136" s="64">
        <f t="shared" si="37"/>
        <v>7.6923076923076927E-2</v>
      </c>
      <c r="AA136" s="64">
        <f t="shared" si="28"/>
        <v>7.0063694267515922E-2</v>
      </c>
      <c r="AB136" s="71">
        <f t="shared" si="33"/>
        <v>840</v>
      </c>
      <c r="AC136" s="64">
        <f t="shared" si="38"/>
        <v>7.6923076923076927E-2</v>
      </c>
      <c r="AD136" s="64">
        <f t="shared" si="29"/>
        <v>7.0063694267515922E-2</v>
      </c>
      <c r="AE136" s="71">
        <v>820</v>
      </c>
      <c r="AF136" s="64">
        <f t="shared" si="39"/>
        <v>5.128205128205128E-2</v>
      </c>
      <c r="AG136" s="64">
        <f t="shared" si="30"/>
        <v>4.4585987261146494E-2</v>
      </c>
      <c r="AH136" s="67"/>
      <c r="AI136" s="47" t="s">
        <v>54</v>
      </c>
      <c r="AJ136" s="47">
        <v>334.8</v>
      </c>
      <c r="AK136" s="47" t="s">
        <v>93</v>
      </c>
      <c r="AL136" s="47" t="s">
        <v>55</v>
      </c>
      <c r="AM136" s="47" t="s">
        <v>1029</v>
      </c>
      <c r="AN136" s="50"/>
      <c r="AO136" s="211">
        <f t="shared" si="40"/>
        <v>-1</v>
      </c>
      <c r="AP136" s="47" t="s">
        <v>90</v>
      </c>
      <c r="AQ136" s="94" t="s">
        <v>1246</v>
      </c>
      <c r="AR136" s="47"/>
    </row>
    <row r="137" spans="1:16373">
      <c r="A137" s="47" t="s">
        <v>44</v>
      </c>
      <c r="B137" s="47" t="str">
        <f t="shared" si="36"/>
        <v>July</v>
      </c>
      <c r="C137" s="59">
        <v>45497</v>
      </c>
      <c r="D137" s="47" t="s">
        <v>45</v>
      </c>
      <c r="E137" s="47" t="s">
        <v>253</v>
      </c>
      <c r="F137" s="47" t="s">
        <v>254</v>
      </c>
      <c r="G137" s="47" t="s">
        <v>1294</v>
      </c>
      <c r="H137" s="47" t="s">
        <v>1295</v>
      </c>
      <c r="I137" s="47" t="s">
        <v>63</v>
      </c>
      <c r="J137" s="47" t="s">
        <v>51</v>
      </c>
      <c r="K137" s="48">
        <v>44037</v>
      </c>
      <c r="L137" s="48">
        <v>45132</v>
      </c>
      <c r="M137" s="48">
        <v>45497</v>
      </c>
      <c r="N137" s="47" t="s">
        <v>64</v>
      </c>
      <c r="O137" s="55" t="s">
        <v>53</v>
      </c>
      <c r="P137" s="62">
        <v>14220</v>
      </c>
      <c r="Q137" s="62">
        <v>1185</v>
      </c>
      <c r="R137" s="96">
        <v>14760</v>
      </c>
      <c r="S137" s="62">
        <f t="shared" si="26"/>
        <v>1230</v>
      </c>
      <c r="T137" s="62">
        <v>14220</v>
      </c>
      <c r="U137" s="62">
        <f t="shared" si="27"/>
        <v>1185</v>
      </c>
      <c r="V137" s="69">
        <v>12900</v>
      </c>
      <c r="W137" s="71">
        <v>1280</v>
      </c>
      <c r="X137" s="105">
        <f t="shared" si="35"/>
        <v>1228.8</v>
      </c>
      <c r="Y137" s="171">
        <f t="shared" si="32"/>
        <v>3.6962025316455656E-2</v>
      </c>
      <c r="Z137" s="64">
        <f t="shared" si="37"/>
        <v>8.0168776371308023E-2</v>
      </c>
      <c r="AA137" s="64">
        <f t="shared" si="28"/>
        <v>4.065040650406504E-2</v>
      </c>
      <c r="AB137" s="71">
        <f t="shared" si="33"/>
        <v>1280</v>
      </c>
      <c r="AC137" s="64">
        <f t="shared" si="38"/>
        <v>8.0168776371308023E-2</v>
      </c>
      <c r="AD137" s="64">
        <f t="shared" si="29"/>
        <v>4.065040650406504E-2</v>
      </c>
      <c r="AE137" s="71">
        <v>1260</v>
      </c>
      <c r="AF137" s="64">
        <f t="shared" si="39"/>
        <v>6.3291139240506333E-2</v>
      </c>
      <c r="AG137" s="64">
        <f t="shared" si="30"/>
        <v>2.4390243902439025E-2</v>
      </c>
      <c r="AH137" s="67"/>
      <c r="AI137" s="47" t="s">
        <v>54</v>
      </c>
      <c r="AJ137" s="47">
        <v>674.9</v>
      </c>
      <c r="AK137" s="47" t="s">
        <v>65</v>
      </c>
      <c r="AL137" s="47" t="s">
        <v>55</v>
      </c>
      <c r="AM137" s="47" t="s">
        <v>1002</v>
      </c>
      <c r="AN137" s="50">
        <v>1245</v>
      </c>
      <c r="AO137" s="211">
        <f t="shared" si="40"/>
        <v>5.0632911392405063E-2</v>
      </c>
      <c r="AP137" s="47" t="s">
        <v>90</v>
      </c>
      <c r="AQ137" s="91" t="s">
        <v>116</v>
      </c>
      <c r="AR137" s="47"/>
    </row>
    <row r="138" spans="1:16373">
      <c r="A138" s="47" t="s">
        <v>44</v>
      </c>
      <c r="B138" s="47" t="str">
        <f t="shared" si="36"/>
        <v>August</v>
      </c>
      <c r="C138" s="59">
        <v>45512</v>
      </c>
      <c r="D138" s="47" t="s">
        <v>45</v>
      </c>
      <c r="E138" s="47" t="s">
        <v>253</v>
      </c>
      <c r="F138" s="47" t="s">
        <v>254</v>
      </c>
      <c r="G138" s="47" t="s">
        <v>1356</v>
      </c>
      <c r="H138" s="47" t="s">
        <v>1357</v>
      </c>
      <c r="I138" s="47" t="s">
        <v>63</v>
      </c>
      <c r="J138" s="47" t="s">
        <v>51</v>
      </c>
      <c r="K138" s="48">
        <v>44782</v>
      </c>
      <c r="L138" s="48">
        <v>45147</v>
      </c>
      <c r="M138" s="48">
        <v>45512</v>
      </c>
      <c r="N138" s="47" t="s">
        <v>64</v>
      </c>
      <c r="O138" s="55" t="s">
        <v>53</v>
      </c>
      <c r="P138" s="62">
        <v>14640</v>
      </c>
      <c r="Q138" s="62">
        <v>1220</v>
      </c>
      <c r="R138" s="96">
        <v>15240</v>
      </c>
      <c r="S138" s="62">
        <f t="shared" si="26"/>
        <v>1270</v>
      </c>
      <c r="T138" s="62">
        <v>14700</v>
      </c>
      <c r="U138" s="62">
        <f t="shared" si="27"/>
        <v>1225</v>
      </c>
      <c r="V138" s="69">
        <v>13500</v>
      </c>
      <c r="W138" s="71">
        <v>1335</v>
      </c>
      <c r="X138" s="105">
        <f t="shared" si="35"/>
        <v>1281.5999999999999</v>
      </c>
      <c r="Y138" s="171">
        <f t="shared" si="32"/>
        <v>4.6204081632652987E-2</v>
      </c>
      <c r="Z138" s="64">
        <f t="shared" si="37"/>
        <v>8.9795918367346933E-2</v>
      </c>
      <c r="AA138" s="64">
        <f t="shared" si="28"/>
        <v>5.1181102362204724E-2</v>
      </c>
      <c r="AB138" s="71">
        <f t="shared" si="33"/>
        <v>1335</v>
      </c>
      <c r="AC138" s="64">
        <f t="shared" si="38"/>
        <v>8.9795918367346933E-2</v>
      </c>
      <c r="AD138" s="64">
        <f t="shared" si="29"/>
        <v>5.1181102362204724E-2</v>
      </c>
      <c r="AE138" s="71">
        <v>1295</v>
      </c>
      <c r="AF138" s="64">
        <f t="shared" si="39"/>
        <v>5.7142857142857141E-2</v>
      </c>
      <c r="AG138" s="64">
        <f t="shared" si="30"/>
        <v>1.968503937007874E-2</v>
      </c>
      <c r="AH138" s="67"/>
      <c r="AI138" s="47" t="s">
        <v>54</v>
      </c>
      <c r="AJ138" s="47">
        <v>708.3</v>
      </c>
      <c r="AK138" s="47" t="s">
        <v>65</v>
      </c>
      <c r="AL138" s="47" t="s">
        <v>55</v>
      </c>
      <c r="AM138" s="47" t="s">
        <v>1128</v>
      </c>
      <c r="AN138" s="50">
        <v>1285</v>
      </c>
      <c r="AO138" s="211">
        <f t="shared" si="40"/>
        <v>4.8979591836734691E-2</v>
      </c>
      <c r="AP138" s="47" t="s">
        <v>90</v>
      </c>
      <c r="AQ138" s="91" t="s">
        <v>116</v>
      </c>
      <c r="AR138" s="47"/>
    </row>
    <row r="139" spans="1:16373">
      <c r="A139" s="47" t="s">
        <v>44</v>
      </c>
      <c r="B139" s="47" t="str">
        <f t="shared" si="36"/>
        <v>July</v>
      </c>
      <c r="C139" s="59">
        <v>45477</v>
      </c>
      <c r="D139" s="47" t="s">
        <v>45</v>
      </c>
      <c r="E139" s="47" t="s">
        <v>253</v>
      </c>
      <c r="F139" s="47" t="s">
        <v>254</v>
      </c>
      <c r="G139" s="47" t="s">
        <v>1358</v>
      </c>
      <c r="H139" s="47" t="s">
        <v>1359</v>
      </c>
      <c r="I139" s="47" t="s">
        <v>63</v>
      </c>
      <c r="J139" s="47" t="s">
        <v>51</v>
      </c>
      <c r="K139" s="48">
        <v>44747</v>
      </c>
      <c r="L139" s="48">
        <v>45112</v>
      </c>
      <c r="M139" s="48">
        <v>45477</v>
      </c>
      <c r="N139" s="47" t="s">
        <v>64</v>
      </c>
      <c r="O139" s="55" t="s">
        <v>53</v>
      </c>
      <c r="P139" s="62">
        <v>14400</v>
      </c>
      <c r="Q139" s="62">
        <v>1200</v>
      </c>
      <c r="R139" s="96">
        <v>15000</v>
      </c>
      <c r="S139" s="62">
        <f t="shared" si="26"/>
        <v>1250</v>
      </c>
      <c r="T139" s="62">
        <v>14220</v>
      </c>
      <c r="U139" s="62">
        <f t="shared" si="27"/>
        <v>1185</v>
      </c>
      <c r="V139" s="69">
        <v>12960</v>
      </c>
      <c r="W139" s="71">
        <v>1285</v>
      </c>
      <c r="X139" s="105">
        <f t="shared" si="35"/>
        <v>1233.5999999999999</v>
      </c>
      <c r="Y139" s="171">
        <f t="shared" si="32"/>
        <v>4.1012658227848026E-2</v>
      </c>
      <c r="Z139" s="64">
        <f t="shared" si="37"/>
        <v>8.4388185654008435E-2</v>
      </c>
      <c r="AA139" s="64">
        <f t="shared" si="28"/>
        <v>2.8000000000000001E-2</v>
      </c>
      <c r="AB139" s="71">
        <f t="shared" si="33"/>
        <v>1285</v>
      </c>
      <c r="AC139" s="64">
        <f t="shared" si="38"/>
        <v>8.4388185654008435E-2</v>
      </c>
      <c r="AD139" s="64">
        <f t="shared" si="29"/>
        <v>2.8000000000000001E-2</v>
      </c>
      <c r="AE139" s="71">
        <v>1260</v>
      </c>
      <c r="AF139" s="64">
        <f t="shared" si="39"/>
        <v>6.3291139240506333E-2</v>
      </c>
      <c r="AG139" s="64">
        <f t="shared" si="30"/>
        <v>8.0000000000000002E-3</v>
      </c>
      <c r="AH139" s="67"/>
      <c r="AI139" s="47" t="s">
        <v>54</v>
      </c>
      <c r="AJ139" s="47">
        <v>687.8</v>
      </c>
      <c r="AK139" s="47" t="s">
        <v>65</v>
      </c>
      <c r="AL139" s="47" t="s">
        <v>55</v>
      </c>
      <c r="AM139" s="47" t="s">
        <v>1002</v>
      </c>
      <c r="AN139" s="50">
        <v>1260</v>
      </c>
      <c r="AO139" s="211">
        <f t="shared" si="40"/>
        <v>6.3291139240506333E-2</v>
      </c>
      <c r="AP139" s="47" t="s">
        <v>90</v>
      </c>
      <c r="AQ139" s="91" t="s">
        <v>116</v>
      </c>
      <c r="AR139" s="47"/>
    </row>
    <row r="140" spans="1:16373" hidden="1">
      <c r="A140" s="47" t="s">
        <v>44</v>
      </c>
      <c r="B140" s="47" t="str">
        <f t="shared" si="36"/>
        <v>August</v>
      </c>
      <c r="C140" s="59">
        <v>45514</v>
      </c>
      <c r="D140" s="47" t="s">
        <v>45</v>
      </c>
      <c r="E140" s="47" t="s">
        <v>253</v>
      </c>
      <c r="F140" s="47" t="s">
        <v>254</v>
      </c>
      <c r="G140" s="47" t="s">
        <v>1468</v>
      </c>
      <c r="H140" s="47" t="s">
        <v>1469</v>
      </c>
      <c r="I140" s="47" t="s">
        <v>63</v>
      </c>
      <c r="J140" s="47" t="s">
        <v>51</v>
      </c>
      <c r="K140" s="48">
        <v>45149</v>
      </c>
      <c r="L140" s="48">
        <v>45149</v>
      </c>
      <c r="M140" s="48">
        <v>45514</v>
      </c>
      <c r="N140" s="47" t="s">
        <v>52</v>
      </c>
      <c r="O140" s="55" t="s">
        <v>53</v>
      </c>
      <c r="P140" s="62">
        <v>10920</v>
      </c>
      <c r="Q140" s="62">
        <v>910</v>
      </c>
      <c r="R140" s="96">
        <v>10980</v>
      </c>
      <c r="S140" s="62">
        <f t="shared" si="26"/>
        <v>915</v>
      </c>
      <c r="T140" s="62">
        <v>10920</v>
      </c>
      <c r="U140" s="62">
        <f t="shared" si="27"/>
        <v>910</v>
      </c>
      <c r="V140" s="69">
        <v>9780</v>
      </c>
      <c r="W140" s="71">
        <v>910</v>
      </c>
      <c r="X140" s="172">
        <f t="shared" si="35"/>
        <v>873.6</v>
      </c>
      <c r="Y140" s="173">
        <f t="shared" si="32"/>
        <v>-3.9999999999999973E-2</v>
      </c>
      <c r="Z140" s="92">
        <f t="shared" si="37"/>
        <v>0</v>
      </c>
      <c r="AA140" s="64">
        <f t="shared" si="28"/>
        <v>-5.4644808743169399E-3</v>
      </c>
      <c r="AB140" s="106">
        <v>920</v>
      </c>
      <c r="AC140" s="64">
        <f t="shared" si="38"/>
        <v>1.098901098901099E-2</v>
      </c>
      <c r="AD140" s="64">
        <f t="shared" si="29"/>
        <v>5.4644808743169399E-3</v>
      </c>
      <c r="AE140" s="71">
        <v>920</v>
      </c>
      <c r="AF140" s="64">
        <f t="shared" si="39"/>
        <v>1.098901098901099E-2</v>
      </c>
      <c r="AG140" s="64">
        <f t="shared" si="30"/>
        <v>5.4644808743169399E-3</v>
      </c>
      <c r="AH140" s="67" t="s">
        <v>846</v>
      </c>
      <c r="AI140" s="47" t="s">
        <v>54</v>
      </c>
      <c r="AJ140" s="47">
        <v>467.2</v>
      </c>
      <c r="AK140" s="47" t="s">
        <v>93</v>
      </c>
      <c r="AL140" s="47" t="s">
        <v>55</v>
      </c>
      <c r="AM140" s="47" t="s">
        <v>1029</v>
      </c>
      <c r="AN140" s="50"/>
      <c r="AO140" s="211">
        <f t="shared" si="40"/>
        <v>-1</v>
      </c>
      <c r="AP140" s="47" t="s">
        <v>90</v>
      </c>
      <c r="AQ140" s="91" t="s">
        <v>116</v>
      </c>
      <c r="AR140" s="47"/>
    </row>
    <row r="141" spans="1:16373" hidden="1">
      <c r="A141" s="47" t="s">
        <v>44</v>
      </c>
      <c r="B141" s="47" t="str">
        <f t="shared" si="36"/>
        <v>August</v>
      </c>
      <c r="C141" s="59">
        <v>45514</v>
      </c>
      <c r="D141" s="47" t="s">
        <v>45</v>
      </c>
      <c r="E141" s="47" t="s">
        <v>253</v>
      </c>
      <c r="F141" s="47" t="s">
        <v>254</v>
      </c>
      <c r="G141" s="47" t="s">
        <v>1477</v>
      </c>
      <c r="H141" s="47" t="s">
        <v>1478</v>
      </c>
      <c r="I141" s="47" t="s">
        <v>63</v>
      </c>
      <c r="J141" s="47" t="s">
        <v>51</v>
      </c>
      <c r="K141" s="48">
        <v>45149</v>
      </c>
      <c r="L141" s="48">
        <v>45149</v>
      </c>
      <c r="M141" s="48">
        <v>45514</v>
      </c>
      <c r="N141" s="47" t="s">
        <v>52</v>
      </c>
      <c r="O141" s="55" t="s">
        <v>53</v>
      </c>
      <c r="P141" s="62">
        <v>12300</v>
      </c>
      <c r="Q141" s="62">
        <v>1025</v>
      </c>
      <c r="R141" s="96">
        <v>12660</v>
      </c>
      <c r="S141" s="62">
        <f t="shared" si="26"/>
        <v>1055</v>
      </c>
      <c r="T141" s="62">
        <v>12300</v>
      </c>
      <c r="U141" s="62">
        <f t="shared" si="27"/>
        <v>1025</v>
      </c>
      <c r="V141" s="69">
        <v>10800</v>
      </c>
      <c r="W141" s="71">
        <v>1050</v>
      </c>
      <c r="X141" s="172">
        <f t="shared" si="35"/>
        <v>1008</v>
      </c>
      <c r="Y141" s="173">
        <f t="shared" si="32"/>
        <v>-1.6585365853658537E-2</v>
      </c>
      <c r="Z141" s="64">
        <f t="shared" si="37"/>
        <v>2.4390243902439025E-2</v>
      </c>
      <c r="AA141" s="64">
        <f t="shared" si="28"/>
        <v>-4.7393364928909956E-3</v>
      </c>
      <c r="AB141" s="71">
        <f t="shared" ref="AB141:AB155" si="41">W141</f>
        <v>1050</v>
      </c>
      <c r="AC141" s="64">
        <f t="shared" si="38"/>
        <v>2.4390243902439025E-2</v>
      </c>
      <c r="AD141" s="64">
        <f t="shared" si="29"/>
        <v>-4.7393364928909956E-3</v>
      </c>
      <c r="AE141" s="71">
        <f>AB141</f>
        <v>1050</v>
      </c>
      <c r="AF141" s="64">
        <f t="shared" si="39"/>
        <v>2.4390243902439025E-2</v>
      </c>
      <c r="AG141" s="64">
        <f t="shared" si="30"/>
        <v>-4.7393364928909956E-3</v>
      </c>
      <c r="AH141" s="67"/>
      <c r="AI141" s="47" t="s">
        <v>54</v>
      </c>
      <c r="AJ141" s="47">
        <v>472.5</v>
      </c>
      <c r="AK141" s="47" t="s">
        <v>55</v>
      </c>
      <c r="AL141" s="47" t="s">
        <v>55</v>
      </c>
      <c r="AM141" s="47" t="s">
        <v>257</v>
      </c>
      <c r="AN141" s="50">
        <v>1050</v>
      </c>
      <c r="AO141" s="211">
        <f t="shared" si="40"/>
        <v>2.4390243902439025E-2</v>
      </c>
      <c r="AP141" s="47" t="s">
        <v>90</v>
      </c>
      <c r="AQ141" s="91" t="s">
        <v>116</v>
      </c>
      <c r="AR141" s="47"/>
    </row>
    <row r="142" spans="1:16373">
      <c r="A142" s="47" t="s">
        <v>44</v>
      </c>
      <c r="B142" s="47" t="str">
        <f t="shared" si="36"/>
        <v>August</v>
      </c>
      <c r="C142" s="59">
        <v>45515</v>
      </c>
      <c r="D142" s="47" t="s">
        <v>45</v>
      </c>
      <c r="E142" s="47" t="s">
        <v>253</v>
      </c>
      <c r="F142" s="47" t="s">
        <v>254</v>
      </c>
      <c r="G142" s="47" t="s">
        <v>1571</v>
      </c>
      <c r="H142" s="47" t="s">
        <v>1572</v>
      </c>
      <c r="I142" s="47" t="s">
        <v>63</v>
      </c>
      <c r="J142" s="47" t="s">
        <v>51</v>
      </c>
      <c r="K142" s="48">
        <v>44785</v>
      </c>
      <c r="L142" s="48">
        <v>45150</v>
      </c>
      <c r="M142" s="48">
        <v>45515</v>
      </c>
      <c r="N142" s="47" t="s">
        <v>64</v>
      </c>
      <c r="O142" s="55" t="s">
        <v>53</v>
      </c>
      <c r="P142" s="62">
        <v>9540</v>
      </c>
      <c r="Q142" s="62">
        <v>795</v>
      </c>
      <c r="R142" s="96">
        <v>9900</v>
      </c>
      <c r="S142" s="62">
        <f t="shared" si="26"/>
        <v>825</v>
      </c>
      <c r="T142" s="62">
        <v>9900</v>
      </c>
      <c r="U142" s="62">
        <f t="shared" si="27"/>
        <v>825</v>
      </c>
      <c r="V142" s="69">
        <v>8880</v>
      </c>
      <c r="W142" s="71">
        <v>865</v>
      </c>
      <c r="X142" s="105">
        <f t="shared" si="35"/>
        <v>830.4</v>
      </c>
      <c r="Y142" s="176">
        <f t="shared" si="32"/>
        <v>6.5454545454545175E-3</v>
      </c>
      <c r="Z142" s="64">
        <f t="shared" si="37"/>
        <v>4.8484848484848485E-2</v>
      </c>
      <c r="AA142" s="64">
        <f t="shared" si="28"/>
        <v>4.8484848484848485E-2</v>
      </c>
      <c r="AB142" s="71">
        <f t="shared" si="41"/>
        <v>865</v>
      </c>
      <c r="AC142" s="64">
        <f t="shared" si="38"/>
        <v>4.8484848484848485E-2</v>
      </c>
      <c r="AD142" s="64">
        <f t="shared" si="29"/>
        <v>4.8484848484848485E-2</v>
      </c>
      <c r="AE142" s="71">
        <f>AB142</f>
        <v>865</v>
      </c>
      <c r="AF142" s="64">
        <f t="shared" si="39"/>
        <v>4.8484848484848485E-2</v>
      </c>
      <c r="AG142" s="64">
        <f t="shared" si="30"/>
        <v>4.8484848484848485E-2</v>
      </c>
      <c r="AH142" s="67"/>
      <c r="AI142" s="47" t="s">
        <v>54</v>
      </c>
      <c r="AJ142" s="47">
        <v>334.8</v>
      </c>
      <c r="AK142" s="47" t="s">
        <v>93</v>
      </c>
      <c r="AL142" s="47" t="s">
        <v>55</v>
      </c>
      <c r="AM142" s="47" t="s">
        <v>1029</v>
      </c>
      <c r="AN142" s="50"/>
      <c r="AO142" s="211">
        <f t="shared" si="40"/>
        <v>-1</v>
      </c>
      <c r="AP142" s="47" t="s">
        <v>90</v>
      </c>
      <c r="AQ142" s="91" t="s">
        <v>116</v>
      </c>
      <c r="AR142" s="47"/>
    </row>
    <row r="143" spans="1:16373" hidden="1">
      <c r="A143" s="47" t="s">
        <v>44</v>
      </c>
      <c r="B143" s="47" t="str">
        <f t="shared" si="36"/>
        <v>August</v>
      </c>
      <c r="C143" s="59">
        <v>45516</v>
      </c>
      <c r="D143" s="47" t="s">
        <v>45</v>
      </c>
      <c r="E143" s="47" t="s">
        <v>253</v>
      </c>
      <c r="F143" s="47" t="s">
        <v>254</v>
      </c>
      <c r="G143" s="47" t="s">
        <v>1633</v>
      </c>
      <c r="H143" s="47" t="s">
        <v>1634</v>
      </c>
      <c r="I143" s="47" t="s">
        <v>63</v>
      </c>
      <c r="J143" s="47" t="s">
        <v>51</v>
      </c>
      <c r="K143" s="48">
        <v>44970</v>
      </c>
      <c r="L143" s="48">
        <v>44970</v>
      </c>
      <c r="M143" s="48">
        <v>45516</v>
      </c>
      <c r="N143" s="47" t="s">
        <v>52</v>
      </c>
      <c r="O143" s="55" t="s">
        <v>53</v>
      </c>
      <c r="P143" s="62">
        <v>11520</v>
      </c>
      <c r="Q143" s="62">
        <v>960</v>
      </c>
      <c r="R143" s="96">
        <v>11940</v>
      </c>
      <c r="S143" s="62">
        <f t="shared" si="26"/>
        <v>995</v>
      </c>
      <c r="T143" s="62">
        <v>11280</v>
      </c>
      <c r="U143" s="62">
        <f t="shared" si="27"/>
        <v>940</v>
      </c>
      <c r="V143" s="69">
        <v>10080</v>
      </c>
      <c r="W143" s="71">
        <v>980</v>
      </c>
      <c r="X143" s="105">
        <f t="shared" si="35"/>
        <v>940.8</v>
      </c>
      <c r="Y143" s="176">
        <f t="shared" si="32"/>
        <v>8.5106382978718568E-4</v>
      </c>
      <c r="Z143" s="64">
        <f t="shared" si="37"/>
        <v>4.2553191489361701E-2</v>
      </c>
      <c r="AA143" s="64">
        <f t="shared" si="28"/>
        <v>-1.507537688442211E-2</v>
      </c>
      <c r="AB143" s="71">
        <f t="shared" si="41"/>
        <v>980</v>
      </c>
      <c r="AC143" s="64">
        <f t="shared" si="38"/>
        <v>4.2553191489361701E-2</v>
      </c>
      <c r="AD143" s="64">
        <f t="shared" si="29"/>
        <v>-1.507537688442211E-2</v>
      </c>
      <c r="AE143" s="71">
        <v>980</v>
      </c>
      <c r="AF143" s="64">
        <f t="shared" si="39"/>
        <v>4.2553191489361701E-2</v>
      </c>
      <c r="AG143" s="64">
        <f t="shared" si="30"/>
        <v>-1.507537688442211E-2</v>
      </c>
      <c r="AH143" s="67"/>
      <c r="AI143" s="47" t="s">
        <v>395</v>
      </c>
      <c r="AJ143" s="47">
        <v>417.6</v>
      </c>
      <c r="AK143" s="47" t="s">
        <v>55</v>
      </c>
      <c r="AL143" s="47" t="s">
        <v>55</v>
      </c>
      <c r="AM143" s="47" t="s">
        <v>257</v>
      </c>
      <c r="AN143" s="50"/>
      <c r="AO143" s="211">
        <f t="shared" si="40"/>
        <v>-1</v>
      </c>
      <c r="AP143" s="47" t="s">
        <v>90</v>
      </c>
      <c r="AQ143" s="91" t="s">
        <v>116</v>
      </c>
      <c r="AR143" s="47"/>
    </row>
    <row r="144" spans="1:16373">
      <c r="A144" s="47" t="s">
        <v>44</v>
      </c>
      <c r="B144" s="47" t="str">
        <f t="shared" si="36"/>
        <v>August</v>
      </c>
      <c r="C144" s="59">
        <v>45516</v>
      </c>
      <c r="D144" s="47" t="s">
        <v>45</v>
      </c>
      <c r="E144" s="47" t="s">
        <v>253</v>
      </c>
      <c r="F144" s="47" t="s">
        <v>254</v>
      </c>
      <c r="G144" s="47" t="s">
        <v>1635</v>
      </c>
      <c r="H144" s="47" t="s">
        <v>1636</v>
      </c>
      <c r="I144" s="47" t="s">
        <v>63</v>
      </c>
      <c r="J144" s="47" t="s">
        <v>51</v>
      </c>
      <c r="K144" s="48">
        <v>44694</v>
      </c>
      <c r="L144" s="48">
        <v>45059</v>
      </c>
      <c r="M144" s="48">
        <v>45516</v>
      </c>
      <c r="N144" s="47" t="s">
        <v>64</v>
      </c>
      <c r="O144" s="55" t="s">
        <v>53</v>
      </c>
      <c r="P144" s="62">
        <v>14280</v>
      </c>
      <c r="Q144" s="62">
        <v>1190</v>
      </c>
      <c r="R144" s="96">
        <v>14880</v>
      </c>
      <c r="S144" s="62">
        <f t="shared" si="26"/>
        <v>1240</v>
      </c>
      <c r="T144" s="62">
        <v>14280</v>
      </c>
      <c r="U144" s="62">
        <f t="shared" si="27"/>
        <v>1190</v>
      </c>
      <c r="V144" s="69">
        <v>12420</v>
      </c>
      <c r="W144" s="71">
        <v>1280</v>
      </c>
      <c r="X144" s="105">
        <f t="shared" si="35"/>
        <v>1228.8</v>
      </c>
      <c r="Y144" s="171">
        <f t="shared" si="32"/>
        <v>3.2605042016806682E-2</v>
      </c>
      <c r="Z144" s="64">
        <f t="shared" si="37"/>
        <v>7.5630252100840331E-2</v>
      </c>
      <c r="AA144" s="64">
        <f t="shared" si="28"/>
        <v>3.2258064516129031E-2</v>
      </c>
      <c r="AB144" s="71">
        <f t="shared" si="41"/>
        <v>1280</v>
      </c>
      <c r="AC144" s="64">
        <f t="shared" si="38"/>
        <v>7.5630252100840331E-2</v>
      </c>
      <c r="AD144" s="64">
        <f t="shared" si="29"/>
        <v>3.2258064516129031E-2</v>
      </c>
      <c r="AE144" s="71">
        <v>1250</v>
      </c>
      <c r="AF144" s="64">
        <f t="shared" si="39"/>
        <v>5.0420168067226892E-2</v>
      </c>
      <c r="AG144" s="64">
        <f t="shared" si="30"/>
        <v>8.0645161290322578E-3</v>
      </c>
      <c r="AH144" s="67"/>
      <c r="AI144" s="47" t="s">
        <v>54</v>
      </c>
      <c r="AJ144" s="47">
        <v>674.9</v>
      </c>
      <c r="AK144" s="47" t="s">
        <v>65</v>
      </c>
      <c r="AL144" s="47" t="s">
        <v>55</v>
      </c>
      <c r="AM144" s="47" t="s">
        <v>1002</v>
      </c>
      <c r="AN144" s="50"/>
      <c r="AO144" s="211">
        <f t="shared" si="40"/>
        <v>-1</v>
      </c>
      <c r="AP144" s="47" t="s">
        <v>90</v>
      </c>
      <c r="AQ144" s="91" t="s">
        <v>116</v>
      </c>
      <c r="AR144" s="47" t="s">
        <v>117</v>
      </c>
    </row>
    <row r="145" spans="1:44">
      <c r="A145" s="47" t="s">
        <v>44</v>
      </c>
      <c r="B145" s="47" t="str">
        <f t="shared" si="36"/>
        <v>July</v>
      </c>
      <c r="C145" s="59">
        <v>45489</v>
      </c>
      <c r="D145" s="47" t="s">
        <v>45</v>
      </c>
      <c r="E145" s="47" t="s">
        <v>253</v>
      </c>
      <c r="F145" s="47" t="s">
        <v>254</v>
      </c>
      <c r="G145" s="47" t="s">
        <v>1773</v>
      </c>
      <c r="H145" s="47" t="s">
        <v>1774</v>
      </c>
      <c r="I145" s="47" t="s">
        <v>1775</v>
      </c>
      <c r="J145" s="47" t="s">
        <v>51</v>
      </c>
      <c r="K145" s="48">
        <v>44394</v>
      </c>
      <c r="L145" s="48">
        <v>44394</v>
      </c>
      <c r="M145" s="48">
        <v>45489</v>
      </c>
      <c r="N145" s="47" t="s">
        <v>64</v>
      </c>
      <c r="O145" s="55" t="s">
        <v>53</v>
      </c>
      <c r="P145" s="62">
        <v>8700</v>
      </c>
      <c r="Q145" s="62">
        <v>725</v>
      </c>
      <c r="R145" s="96">
        <v>8760</v>
      </c>
      <c r="S145" s="62">
        <f t="shared" si="26"/>
        <v>730</v>
      </c>
      <c r="T145" s="62">
        <v>7860</v>
      </c>
      <c r="U145" s="62">
        <f t="shared" si="27"/>
        <v>655</v>
      </c>
      <c r="V145" s="69">
        <v>7860</v>
      </c>
      <c r="W145" s="71">
        <v>820</v>
      </c>
      <c r="X145" s="105">
        <f t="shared" si="35"/>
        <v>787.2</v>
      </c>
      <c r="Y145" s="171">
        <f t="shared" si="32"/>
        <v>0.20183206106870236</v>
      </c>
      <c r="Z145" s="64">
        <f t="shared" si="37"/>
        <v>0.25190839694656486</v>
      </c>
      <c r="AA145" s="64">
        <f t="shared" si="28"/>
        <v>0.12328767123287671</v>
      </c>
      <c r="AB145" s="71">
        <f t="shared" si="41"/>
        <v>820</v>
      </c>
      <c r="AC145" s="64">
        <f t="shared" si="38"/>
        <v>0.25190839694656486</v>
      </c>
      <c r="AD145" s="64">
        <f t="shared" si="29"/>
        <v>0.12328767123287671</v>
      </c>
      <c r="AE145" s="71">
        <v>775</v>
      </c>
      <c r="AF145" s="64">
        <f t="shared" si="39"/>
        <v>0.18320610687022901</v>
      </c>
      <c r="AG145" s="64">
        <f t="shared" si="30"/>
        <v>6.1643835616438353E-2</v>
      </c>
      <c r="AH145" s="67"/>
      <c r="AI145" s="47" t="s">
        <v>54</v>
      </c>
      <c r="AJ145" s="47">
        <v>334.8</v>
      </c>
      <c r="AK145" s="47" t="s">
        <v>93</v>
      </c>
      <c r="AL145" s="47" t="s">
        <v>55</v>
      </c>
      <c r="AM145" s="47" t="s">
        <v>1029</v>
      </c>
      <c r="AN145" s="50"/>
      <c r="AO145" s="211">
        <f t="shared" si="40"/>
        <v>-1</v>
      </c>
      <c r="AP145" s="47" t="s">
        <v>90</v>
      </c>
      <c r="AQ145" s="91" t="s">
        <v>116</v>
      </c>
      <c r="AR145" s="47"/>
    </row>
    <row r="146" spans="1:44">
      <c r="A146" s="47" t="s">
        <v>44</v>
      </c>
      <c r="B146" s="47" t="str">
        <f t="shared" si="36"/>
        <v>August</v>
      </c>
      <c r="C146" s="59">
        <v>45518</v>
      </c>
      <c r="D146" s="47" t="s">
        <v>45</v>
      </c>
      <c r="E146" s="47" t="s">
        <v>253</v>
      </c>
      <c r="F146" s="47" t="s">
        <v>254</v>
      </c>
      <c r="G146" s="47" t="s">
        <v>1860</v>
      </c>
      <c r="H146" s="47" t="s">
        <v>1861</v>
      </c>
      <c r="I146" s="47" t="s">
        <v>1862</v>
      </c>
      <c r="J146" s="47" t="s">
        <v>51</v>
      </c>
      <c r="K146" s="48">
        <v>44145</v>
      </c>
      <c r="L146" s="48">
        <v>45153</v>
      </c>
      <c r="M146" s="48">
        <v>45518</v>
      </c>
      <c r="N146" s="47" t="s">
        <v>64</v>
      </c>
      <c r="O146" s="55" t="s">
        <v>53</v>
      </c>
      <c r="P146" s="62">
        <v>13620</v>
      </c>
      <c r="Q146" s="62">
        <v>1135</v>
      </c>
      <c r="R146" s="96">
        <v>14340</v>
      </c>
      <c r="S146" s="62">
        <f t="shared" si="26"/>
        <v>1195</v>
      </c>
      <c r="T146" s="62">
        <v>14340</v>
      </c>
      <c r="U146" s="62">
        <f t="shared" si="27"/>
        <v>1195</v>
      </c>
      <c r="V146" s="69">
        <v>12900</v>
      </c>
      <c r="W146" s="71">
        <v>1280</v>
      </c>
      <c r="X146" s="105">
        <f t="shared" si="35"/>
        <v>1228.8</v>
      </c>
      <c r="Y146" s="171">
        <f t="shared" si="32"/>
        <v>2.8284518828451843E-2</v>
      </c>
      <c r="Z146" s="64">
        <f t="shared" si="37"/>
        <v>7.1129707112970716E-2</v>
      </c>
      <c r="AA146" s="64">
        <f t="shared" si="28"/>
        <v>7.1129707112970716E-2</v>
      </c>
      <c r="AB146" s="71">
        <f t="shared" si="41"/>
        <v>1280</v>
      </c>
      <c r="AC146" s="64">
        <f t="shared" si="38"/>
        <v>7.1129707112970716E-2</v>
      </c>
      <c r="AD146" s="64">
        <f t="shared" si="29"/>
        <v>7.1129707112970716E-2</v>
      </c>
      <c r="AE146" s="71">
        <v>1250</v>
      </c>
      <c r="AF146" s="64">
        <f t="shared" si="39"/>
        <v>4.6025104602510462E-2</v>
      </c>
      <c r="AG146" s="64">
        <f t="shared" si="30"/>
        <v>4.6025104602510462E-2</v>
      </c>
      <c r="AH146" s="67"/>
      <c r="AI146" s="47" t="s">
        <v>54</v>
      </c>
      <c r="AJ146" s="47">
        <v>674.9</v>
      </c>
      <c r="AK146" s="47" t="s">
        <v>65</v>
      </c>
      <c r="AL146" s="47" t="s">
        <v>55</v>
      </c>
      <c r="AM146" s="47" t="s">
        <v>1002</v>
      </c>
      <c r="AN146" s="50">
        <v>1230</v>
      </c>
      <c r="AO146" s="211">
        <f t="shared" si="40"/>
        <v>2.9288702928870293E-2</v>
      </c>
      <c r="AP146" s="47" t="s">
        <v>90</v>
      </c>
      <c r="AQ146" s="135" t="s">
        <v>116</v>
      </c>
      <c r="AR146" s="47"/>
    </row>
    <row r="147" spans="1:44" hidden="1">
      <c r="A147" s="47" t="s">
        <v>44</v>
      </c>
      <c r="B147" s="47" t="str">
        <f t="shared" si="36"/>
        <v>August</v>
      </c>
      <c r="C147" s="59">
        <v>45519</v>
      </c>
      <c r="D147" s="47" t="s">
        <v>45</v>
      </c>
      <c r="E147" s="47" t="s">
        <v>253</v>
      </c>
      <c r="F147" s="47" t="s">
        <v>254</v>
      </c>
      <c r="G147" s="47" t="s">
        <v>1944</v>
      </c>
      <c r="H147" s="47" t="s">
        <v>1945</v>
      </c>
      <c r="I147" s="47" t="s">
        <v>63</v>
      </c>
      <c r="J147" s="47" t="s">
        <v>51</v>
      </c>
      <c r="K147" s="48">
        <v>45154</v>
      </c>
      <c r="L147" s="48">
        <v>45154</v>
      </c>
      <c r="M147" s="48">
        <v>45519</v>
      </c>
      <c r="N147" s="47" t="s">
        <v>52</v>
      </c>
      <c r="O147" s="55" t="s">
        <v>53</v>
      </c>
      <c r="P147" s="62">
        <v>12300</v>
      </c>
      <c r="Q147" s="62">
        <v>1025</v>
      </c>
      <c r="R147" s="96">
        <v>12660</v>
      </c>
      <c r="S147" s="62">
        <f t="shared" si="26"/>
        <v>1055</v>
      </c>
      <c r="T147" s="62">
        <v>12300</v>
      </c>
      <c r="U147" s="62">
        <f t="shared" si="27"/>
        <v>1025</v>
      </c>
      <c r="V147" s="69">
        <v>10860</v>
      </c>
      <c r="W147" s="71">
        <v>1050</v>
      </c>
      <c r="X147" s="172">
        <f t="shared" si="35"/>
        <v>1008</v>
      </c>
      <c r="Y147" s="173">
        <f t="shared" si="32"/>
        <v>-1.6585365853658537E-2</v>
      </c>
      <c r="Z147" s="64">
        <f t="shared" si="37"/>
        <v>2.4390243902439025E-2</v>
      </c>
      <c r="AA147" s="64">
        <f t="shared" si="28"/>
        <v>-4.7393364928909956E-3</v>
      </c>
      <c r="AB147" s="71">
        <f t="shared" si="41"/>
        <v>1050</v>
      </c>
      <c r="AC147" s="64">
        <f t="shared" si="38"/>
        <v>2.4390243902439025E-2</v>
      </c>
      <c r="AD147" s="64">
        <f t="shared" si="29"/>
        <v>-4.7393364928909956E-3</v>
      </c>
      <c r="AE147" s="71">
        <f>AB147</f>
        <v>1050</v>
      </c>
      <c r="AF147" s="64">
        <f t="shared" si="39"/>
        <v>2.4390243902439025E-2</v>
      </c>
      <c r="AG147" s="64">
        <f t="shared" si="30"/>
        <v>-4.7393364928909956E-3</v>
      </c>
      <c r="AH147" s="67"/>
      <c r="AI147" s="47" t="s">
        <v>54</v>
      </c>
      <c r="AJ147" s="47">
        <v>472.5</v>
      </c>
      <c r="AK147" s="47" t="s">
        <v>55</v>
      </c>
      <c r="AL147" s="47" t="s">
        <v>55</v>
      </c>
      <c r="AM147" s="47" t="s">
        <v>257</v>
      </c>
      <c r="AN147" s="50"/>
      <c r="AO147" s="211">
        <f t="shared" si="40"/>
        <v>-1</v>
      </c>
      <c r="AP147" s="47" t="s">
        <v>90</v>
      </c>
      <c r="AQ147" s="91" t="s">
        <v>116</v>
      </c>
      <c r="AR147" s="47"/>
    </row>
    <row r="148" spans="1:44">
      <c r="A148" s="47" t="s">
        <v>44</v>
      </c>
      <c r="B148" s="47" t="str">
        <f t="shared" si="36"/>
        <v>August</v>
      </c>
      <c r="C148" s="59">
        <v>45521</v>
      </c>
      <c r="D148" s="47" t="s">
        <v>45</v>
      </c>
      <c r="E148" s="47" t="s">
        <v>253</v>
      </c>
      <c r="F148" s="47" t="s">
        <v>254</v>
      </c>
      <c r="G148" s="47" t="s">
        <v>2104</v>
      </c>
      <c r="H148" s="47" t="s">
        <v>2105</v>
      </c>
      <c r="I148" s="47" t="s">
        <v>63</v>
      </c>
      <c r="J148" s="47" t="s">
        <v>51</v>
      </c>
      <c r="K148" s="48">
        <v>44426</v>
      </c>
      <c r="L148" s="48">
        <v>45156</v>
      </c>
      <c r="M148" s="48">
        <v>45521</v>
      </c>
      <c r="N148" s="47" t="s">
        <v>64</v>
      </c>
      <c r="O148" s="55" t="s">
        <v>53</v>
      </c>
      <c r="P148" s="62">
        <v>13620</v>
      </c>
      <c r="Q148" s="62">
        <v>1135</v>
      </c>
      <c r="R148" s="96">
        <v>14520</v>
      </c>
      <c r="S148" s="62">
        <f t="shared" si="26"/>
        <v>1210</v>
      </c>
      <c r="T148" s="62">
        <v>14520</v>
      </c>
      <c r="U148" s="62">
        <f t="shared" si="27"/>
        <v>1210</v>
      </c>
      <c r="V148" s="69">
        <v>13080</v>
      </c>
      <c r="W148" s="71">
        <v>1295</v>
      </c>
      <c r="X148" s="105">
        <f t="shared" si="35"/>
        <v>1243.2</v>
      </c>
      <c r="Y148" s="171">
        <f t="shared" si="32"/>
        <v>2.7438016528925656E-2</v>
      </c>
      <c r="Z148" s="64">
        <f t="shared" si="37"/>
        <v>7.0247933884297523E-2</v>
      </c>
      <c r="AA148" s="64">
        <f t="shared" si="28"/>
        <v>7.0247933884297523E-2</v>
      </c>
      <c r="AB148" s="71">
        <f t="shared" si="41"/>
        <v>1295</v>
      </c>
      <c r="AC148" s="64">
        <f t="shared" si="38"/>
        <v>7.0247933884297523E-2</v>
      </c>
      <c r="AD148" s="64">
        <f t="shared" si="29"/>
        <v>7.0247933884297523E-2</v>
      </c>
      <c r="AE148" s="71">
        <v>1265</v>
      </c>
      <c r="AF148" s="64">
        <f t="shared" si="39"/>
        <v>4.5454545454545456E-2</v>
      </c>
      <c r="AG148" s="64">
        <f t="shared" si="30"/>
        <v>4.5454545454545456E-2</v>
      </c>
      <c r="AH148" s="67"/>
      <c r="AI148" s="47" t="s">
        <v>54</v>
      </c>
      <c r="AJ148" s="47">
        <v>674.9</v>
      </c>
      <c r="AK148" s="47" t="s">
        <v>65</v>
      </c>
      <c r="AL148" s="47" t="s">
        <v>55</v>
      </c>
      <c r="AM148" s="47" t="s">
        <v>1002</v>
      </c>
      <c r="AN148" s="50"/>
      <c r="AO148" s="211">
        <f t="shared" si="40"/>
        <v>-1</v>
      </c>
      <c r="AP148" s="47" t="s">
        <v>90</v>
      </c>
      <c r="AQ148" s="91" t="s">
        <v>116</v>
      </c>
      <c r="AR148" s="47"/>
    </row>
    <row r="149" spans="1:44">
      <c r="A149" s="47" t="s">
        <v>44</v>
      </c>
      <c r="B149" s="47" t="str">
        <f t="shared" si="36"/>
        <v>August</v>
      </c>
      <c r="C149" s="59">
        <v>45522</v>
      </c>
      <c r="D149" s="47" t="s">
        <v>45</v>
      </c>
      <c r="E149" s="47" t="s">
        <v>253</v>
      </c>
      <c r="F149" s="47" t="s">
        <v>254</v>
      </c>
      <c r="G149" s="47" t="s">
        <v>2232</v>
      </c>
      <c r="H149" s="47" t="s">
        <v>2233</v>
      </c>
      <c r="I149" s="47" t="s">
        <v>63</v>
      </c>
      <c r="J149" s="47" t="s">
        <v>51</v>
      </c>
      <c r="K149" s="48">
        <v>44792</v>
      </c>
      <c r="L149" s="48">
        <v>45157</v>
      </c>
      <c r="M149" s="48">
        <v>45522</v>
      </c>
      <c r="N149" s="47" t="s">
        <v>64</v>
      </c>
      <c r="O149" s="55" t="s">
        <v>53</v>
      </c>
      <c r="P149" s="62">
        <v>8700</v>
      </c>
      <c r="Q149" s="62">
        <v>725</v>
      </c>
      <c r="R149" s="96">
        <v>9600</v>
      </c>
      <c r="S149" s="62">
        <f t="shared" si="26"/>
        <v>800</v>
      </c>
      <c r="T149" s="62">
        <v>9600</v>
      </c>
      <c r="U149" s="62">
        <f t="shared" si="27"/>
        <v>800</v>
      </c>
      <c r="V149" s="69">
        <v>8520</v>
      </c>
      <c r="W149" s="71">
        <v>835</v>
      </c>
      <c r="X149" s="105">
        <f t="shared" si="35"/>
        <v>801.6</v>
      </c>
      <c r="Y149" s="176">
        <f t="shared" si="32"/>
        <v>2.0000000000000282E-3</v>
      </c>
      <c r="Z149" s="64">
        <f t="shared" si="37"/>
        <v>4.3749999999999997E-2</v>
      </c>
      <c r="AA149" s="64">
        <f t="shared" si="28"/>
        <v>4.3749999999999997E-2</v>
      </c>
      <c r="AB149" s="71">
        <f t="shared" si="41"/>
        <v>835</v>
      </c>
      <c r="AC149" s="64">
        <f t="shared" si="38"/>
        <v>4.3749999999999997E-2</v>
      </c>
      <c r="AD149" s="64">
        <f t="shared" si="29"/>
        <v>4.3749999999999997E-2</v>
      </c>
      <c r="AE149" s="71">
        <v>820</v>
      </c>
      <c r="AF149" s="64">
        <f t="shared" si="39"/>
        <v>2.5000000000000001E-2</v>
      </c>
      <c r="AG149" s="64">
        <f t="shared" si="30"/>
        <v>2.5000000000000001E-2</v>
      </c>
      <c r="AH149" s="67"/>
      <c r="AI149" s="47" t="s">
        <v>54</v>
      </c>
      <c r="AJ149" s="47">
        <v>334.8</v>
      </c>
      <c r="AK149" s="47" t="s">
        <v>93</v>
      </c>
      <c r="AL149" s="47" t="s">
        <v>55</v>
      </c>
      <c r="AM149" s="47" t="s">
        <v>1029</v>
      </c>
      <c r="AN149" s="50"/>
      <c r="AO149" s="211">
        <f t="shared" si="40"/>
        <v>-1</v>
      </c>
      <c r="AP149" s="47" t="s">
        <v>90</v>
      </c>
      <c r="AQ149" s="91" t="s">
        <v>116</v>
      </c>
      <c r="AR149" s="47"/>
    </row>
    <row r="150" spans="1:44" hidden="1">
      <c r="A150" s="47" t="s">
        <v>44</v>
      </c>
      <c r="B150" s="47" t="str">
        <f t="shared" si="36"/>
        <v>August</v>
      </c>
      <c r="C150" s="59">
        <v>45524</v>
      </c>
      <c r="D150" s="47" t="s">
        <v>45</v>
      </c>
      <c r="E150" s="47" t="s">
        <v>253</v>
      </c>
      <c r="F150" s="47" t="s">
        <v>254</v>
      </c>
      <c r="G150" s="47" t="s">
        <v>2374</v>
      </c>
      <c r="H150" s="47" t="s">
        <v>2375</v>
      </c>
      <c r="I150" s="47" t="s">
        <v>63</v>
      </c>
      <c r="J150" s="47" t="s">
        <v>51</v>
      </c>
      <c r="K150" s="48">
        <v>45159</v>
      </c>
      <c r="L150" s="48">
        <v>45159</v>
      </c>
      <c r="M150" s="48">
        <v>45524</v>
      </c>
      <c r="N150" s="47" t="s">
        <v>52</v>
      </c>
      <c r="O150" s="55" t="s">
        <v>53</v>
      </c>
      <c r="P150" s="62">
        <v>12360</v>
      </c>
      <c r="Q150" s="62">
        <v>1030</v>
      </c>
      <c r="R150" s="96">
        <v>12720</v>
      </c>
      <c r="S150" s="62">
        <f t="shared" si="26"/>
        <v>1060</v>
      </c>
      <c r="T150" s="62">
        <v>12360</v>
      </c>
      <c r="U150" s="62">
        <f t="shared" si="27"/>
        <v>1030</v>
      </c>
      <c r="V150" s="69">
        <v>11580</v>
      </c>
      <c r="W150" s="71">
        <v>1050</v>
      </c>
      <c r="X150" s="172">
        <f t="shared" si="35"/>
        <v>1008</v>
      </c>
      <c r="Y150" s="173">
        <f t="shared" si="32"/>
        <v>-2.1359223300970873E-2</v>
      </c>
      <c r="Z150" s="64">
        <f t="shared" si="37"/>
        <v>1.9417475728155338E-2</v>
      </c>
      <c r="AA150" s="64">
        <f t="shared" si="28"/>
        <v>-9.433962264150943E-3</v>
      </c>
      <c r="AB150" s="71">
        <f t="shared" si="41"/>
        <v>1050</v>
      </c>
      <c r="AC150" s="64">
        <f t="shared" si="38"/>
        <v>1.9417475728155338E-2</v>
      </c>
      <c r="AD150" s="64">
        <f t="shared" si="29"/>
        <v>-9.433962264150943E-3</v>
      </c>
      <c r="AE150" s="71">
        <f>AB150</f>
        <v>1050</v>
      </c>
      <c r="AF150" s="64">
        <f t="shared" si="39"/>
        <v>1.9417475728155338E-2</v>
      </c>
      <c r="AG150" s="64">
        <f t="shared" si="30"/>
        <v>-9.433962264150943E-3</v>
      </c>
      <c r="AH150" s="67"/>
      <c r="AI150" s="47" t="s">
        <v>54</v>
      </c>
      <c r="AJ150" s="47">
        <v>472.5</v>
      </c>
      <c r="AK150" s="47" t="s">
        <v>55</v>
      </c>
      <c r="AL150" s="47" t="s">
        <v>55</v>
      </c>
      <c r="AM150" s="47" t="s">
        <v>257</v>
      </c>
      <c r="AN150" s="50"/>
      <c r="AO150" s="211">
        <f t="shared" si="40"/>
        <v>-1</v>
      </c>
      <c r="AP150" s="47" t="s">
        <v>90</v>
      </c>
      <c r="AQ150" s="91" t="s">
        <v>116</v>
      </c>
      <c r="AR150" s="47"/>
    </row>
    <row r="151" spans="1:44">
      <c r="A151" s="47" t="s">
        <v>44</v>
      </c>
      <c r="B151" s="47" t="str">
        <f t="shared" si="36"/>
        <v>August</v>
      </c>
      <c r="C151" s="59">
        <v>45525</v>
      </c>
      <c r="D151" s="47" t="s">
        <v>45</v>
      </c>
      <c r="E151" s="47" t="s">
        <v>253</v>
      </c>
      <c r="F151" s="47" t="s">
        <v>254</v>
      </c>
      <c r="G151" s="47" t="s">
        <v>2552</v>
      </c>
      <c r="H151" s="47" t="s">
        <v>2553</v>
      </c>
      <c r="I151" s="47" t="s">
        <v>63</v>
      </c>
      <c r="J151" s="47" t="s">
        <v>51</v>
      </c>
      <c r="K151" s="48">
        <v>44795</v>
      </c>
      <c r="L151" s="48">
        <v>45160</v>
      </c>
      <c r="M151" s="48">
        <v>45525</v>
      </c>
      <c r="N151" s="47" t="s">
        <v>64</v>
      </c>
      <c r="O151" s="55" t="s">
        <v>53</v>
      </c>
      <c r="P151" s="62">
        <v>8940</v>
      </c>
      <c r="Q151" s="62">
        <v>745</v>
      </c>
      <c r="R151" s="96">
        <v>9180</v>
      </c>
      <c r="S151" s="62">
        <f t="shared" si="26"/>
        <v>765</v>
      </c>
      <c r="T151" s="62">
        <v>9180</v>
      </c>
      <c r="U151" s="62">
        <f t="shared" si="27"/>
        <v>765</v>
      </c>
      <c r="V151" s="69">
        <v>8460</v>
      </c>
      <c r="W151" s="71">
        <v>830</v>
      </c>
      <c r="X151" s="105">
        <f t="shared" si="35"/>
        <v>796.8</v>
      </c>
      <c r="Y151" s="171">
        <f t="shared" si="32"/>
        <v>4.1568627450980333E-2</v>
      </c>
      <c r="Z151" s="64">
        <f t="shared" si="37"/>
        <v>8.4967320261437912E-2</v>
      </c>
      <c r="AA151" s="64">
        <f t="shared" si="28"/>
        <v>8.4967320261437912E-2</v>
      </c>
      <c r="AB151" s="71">
        <f t="shared" si="41"/>
        <v>830</v>
      </c>
      <c r="AC151" s="64">
        <f t="shared" si="38"/>
        <v>8.4967320261437912E-2</v>
      </c>
      <c r="AD151" s="64">
        <f t="shared" si="29"/>
        <v>8.4967320261437912E-2</v>
      </c>
      <c r="AE151" s="71">
        <v>800</v>
      </c>
      <c r="AF151" s="64">
        <f t="shared" si="39"/>
        <v>4.5751633986928102E-2</v>
      </c>
      <c r="AG151" s="64">
        <f t="shared" si="30"/>
        <v>4.5751633986928102E-2</v>
      </c>
      <c r="AH151" s="67"/>
      <c r="AI151" s="47" t="s">
        <v>54</v>
      </c>
      <c r="AJ151" s="47">
        <v>334.8</v>
      </c>
      <c r="AK151" s="47" t="s">
        <v>93</v>
      </c>
      <c r="AL151" s="47" t="s">
        <v>55</v>
      </c>
      <c r="AM151" s="47" t="s">
        <v>1029</v>
      </c>
      <c r="AN151" s="50">
        <v>800</v>
      </c>
      <c r="AO151" s="211">
        <f t="shared" si="40"/>
        <v>4.5751633986928102E-2</v>
      </c>
      <c r="AP151" s="47" t="s">
        <v>90</v>
      </c>
      <c r="AQ151" s="91" t="s">
        <v>116</v>
      </c>
      <c r="AR151" s="47"/>
    </row>
    <row r="152" spans="1:44" hidden="1">
      <c r="A152" s="47" t="s">
        <v>44</v>
      </c>
      <c r="B152" s="47" t="str">
        <f t="shared" si="36"/>
        <v>August</v>
      </c>
      <c r="C152" s="59">
        <v>45528</v>
      </c>
      <c r="D152" s="47" t="s">
        <v>45</v>
      </c>
      <c r="E152" s="47" t="s">
        <v>253</v>
      </c>
      <c r="F152" s="47" t="s">
        <v>254</v>
      </c>
      <c r="G152" s="47" t="s">
        <v>2829</v>
      </c>
      <c r="H152" s="47" t="s">
        <v>2830</v>
      </c>
      <c r="I152" s="47" t="s">
        <v>63</v>
      </c>
      <c r="J152" s="47" t="s">
        <v>51</v>
      </c>
      <c r="K152" s="48">
        <v>45163</v>
      </c>
      <c r="L152" s="48">
        <v>45163</v>
      </c>
      <c r="M152" s="48">
        <v>45528</v>
      </c>
      <c r="N152" s="47" t="s">
        <v>52</v>
      </c>
      <c r="O152" s="55" t="s">
        <v>53</v>
      </c>
      <c r="P152" s="62">
        <v>10080</v>
      </c>
      <c r="Q152" s="62">
        <v>840</v>
      </c>
      <c r="R152" s="96">
        <v>10140</v>
      </c>
      <c r="S152" s="62">
        <f t="shared" si="26"/>
        <v>845</v>
      </c>
      <c r="T152" s="62">
        <v>10080</v>
      </c>
      <c r="U152" s="62">
        <f t="shared" si="27"/>
        <v>840</v>
      </c>
      <c r="V152" s="69">
        <v>8940</v>
      </c>
      <c r="W152" s="71">
        <v>845</v>
      </c>
      <c r="X152" s="172">
        <f t="shared" si="35"/>
        <v>811.2</v>
      </c>
      <c r="Y152" s="173">
        <f t="shared" si="32"/>
        <v>-3.4285714285714232E-2</v>
      </c>
      <c r="Z152" s="64">
        <f t="shared" si="37"/>
        <v>5.9523809523809521E-3</v>
      </c>
      <c r="AA152" s="64">
        <f t="shared" si="28"/>
        <v>0</v>
      </c>
      <c r="AB152" s="71">
        <f t="shared" si="41"/>
        <v>845</v>
      </c>
      <c r="AC152" s="64">
        <f t="shared" si="38"/>
        <v>5.9523809523809521E-3</v>
      </c>
      <c r="AD152" s="64">
        <f t="shared" si="29"/>
        <v>0</v>
      </c>
      <c r="AE152" s="71">
        <f>AB152</f>
        <v>845</v>
      </c>
      <c r="AF152" s="64">
        <f t="shared" si="39"/>
        <v>5.9523809523809521E-3</v>
      </c>
      <c r="AG152" s="64">
        <f t="shared" si="30"/>
        <v>0</v>
      </c>
      <c r="AH152" s="67"/>
      <c r="AI152" s="47" t="s">
        <v>54</v>
      </c>
      <c r="AJ152" s="47">
        <v>334.8</v>
      </c>
      <c r="AK152" s="47" t="s">
        <v>93</v>
      </c>
      <c r="AL152" s="47" t="s">
        <v>55</v>
      </c>
      <c r="AM152" s="47" t="s">
        <v>1029</v>
      </c>
      <c r="AN152" s="50">
        <v>845</v>
      </c>
      <c r="AO152" s="211">
        <f t="shared" si="40"/>
        <v>5.9523809523809521E-3</v>
      </c>
      <c r="AP152" s="47" t="s">
        <v>90</v>
      </c>
      <c r="AQ152" s="91" t="s">
        <v>116</v>
      </c>
      <c r="AR152" s="47"/>
    </row>
    <row r="153" spans="1:44" hidden="1">
      <c r="A153" s="47" t="s">
        <v>44</v>
      </c>
      <c r="B153" s="47" t="str">
        <f t="shared" si="36"/>
        <v>August</v>
      </c>
      <c r="C153" s="59">
        <v>45528</v>
      </c>
      <c r="D153" s="47" t="s">
        <v>45</v>
      </c>
      <c r="E153" s="47" t="s">
        <v>253</v>
      </c>
      <c r="F153" s="47" t="s">
        <v>254</v>
      </c>
      <c r="G153" s="47" t="s">
        <v>2831</v>
      </c>
      <c r="H153" s="47" t="s">
        <v>2832</v>
      </c>
      <c r="I153" s="47" t="s">
        <v>2833</v>
      </c>
      <c r="J153" s="47" t="s">
        <v>51</v>
      </c>
      <c r="K153" s="48">
        <v>45163</v>
      </c>
      <c r="L153" s="48">
        <v>45163</v>
      </c>
      <c r="M153" s="48">
        <v>45528</v>
      </c>
      <c r="N153" s="47" t="s">
        <v>52</v>
      </c>
      <c r="O153" s="55" t="s">
        <v>53</v>
      </c>
      <c r="P153" s="62">
        <v>12540</v>
      </c>
      <c r="Q153" s="62">
        <v>1045</v>
      </c>
      <c r="R153" s="96">
        <v>12900</v>
      </c>
      <c r="S153" s="62">
        <f t="shared" si="26"/>
        <v>1075</v>
      </c>
      <c r="T153" s="62">
        <v>12540</v>
      </c>
      <c r="U153" s="62">
        <f t="shared" si="27"/>
        <v>1045</v>
      </c>
      <c r="V153" s="69">
        <v>11100</v>
      </c>
      <c r="W153" s="71">
        <v>1070</v>
      </c>
      <c r="X153" s="172">
        <f t="shared" si="35"/>
        <v>1027.2</v>
      </c>
      <c r="Y153" s="173">
        <f t="shared" si="32"/>
        <v>-1.7033492822966463E-2</v>
      </c>
      <c r="Z153" s="64">
        <f t="shared" si="37"/>
        <v>2.3923444976076555E-2</v>
      </c>
      <c r="AA153" s="64">
        <f t="shared" si="28"/>
        <v>-4.6511627906976744E-3</v>
      </c>
      <c r="AB153" s="71">
        <f t="shared" si="41"/>
        <v>1070</v>
      </c>
      <c r="AC153" s="64">
        <f t="shared" si="38"/>
        <v>2.3923444976076555E-2</v>
      </c>
      <c r="AD153" s="64">
        <f t="shared" si="29"/>
        <v>-4.6511627906976744E-3</v>
      </c>
      <c r="AE153" s="71">
        <f>AB153</f>
        <v>1070</v>
      </c>
      <c r="AF153" s="64">
        <f t="shared" si="39"/>
        <v>2.3923444976076555E-2</v>
      </c>
      <c r="AG153" s="64">
        <f t="shared" si="30"/>
        <v>-4.6511627906976744E-3</v>
      </c>
      <c r="AH153" s="67"/>
      <c r="AI153" s="47" t="s">
        <v>54</v>
      </c>
      <c r="AJ153" s="47">
        <v>472.5</v>
      </c>
      <c r="AK153" s="47" t="s">
        <v>55</v>
      </c>
      <c r="AL153" s="47" t="s">
        <v>55</v>
      </c>
      <c r="AM153" s="47" t="s">
        <v>257</v>
      </c>
      <c r="AN153" s="50">
        <v>1070</v>
      </c>
      <c r="AO153" s="211">
        <f t="shared" si="40"/>
        <v>2.3923444976076555E-2</v>
      </c>
      <c r="AP153" s="47" t="s">
        <v>90</v>
      </c>
      <c r="AQ153" s="111" t="s">
        <v>125</v>
      </c>
      <c r="AR153" s="47"/>
    </row>
    <row r="154" spans="1:44">
      <c r="A154" s="47" t="s">
        <v>44</v>
      </c>
      <c r="B154" s="47" t="str">
        <f t="shared" si="36"/>
        <v>August</v>
      </c>
      <c r="C154" s="59">
        <v>45528</v>
      </c>
      <c r="D154" s="47" t="s">
        <v>45</v>
      </c>
      <c r="E154" s="47" t="s">
        <v>253</v>
      </c>
      <c r="F154" s="47" t="s">
        <v>254</v>
      </c>
      <c r="G154" s="47" t="s">
        <v>2834</v>
      </c>
      <c r="H154" s="47" t="s">
        <v>2835</v>
      </c>
      <c r="I154" s="47" t="s">
        <v>63</v>
      </c>
      <c r="J154" s="47" t="s">
        <v>51</v>
      </c>
      <c r="K154" s="48">
        <v>44433</v>
      </c>
      <c r="L154" s="48">
        <v>45163</v>
      </c>
      <c r="M154" s="48">
        <v>45528</v>
      </c>
      <c r="N154" s="47" t="s">
        <v>64</v>
      </c>
      <c r="O154" s="55" t="s">
        <v>53</v>
      </c>
      <c r="P154" s="62">
        <v>11520</v>
      </c>
      <c r="Q154" s="62">
        <v>960</v>
      </c>
      <c r="R154" s="96">
        <v>12000</v>
      </c>
      <c r="S154" s="62">
        <f t="shared" si="26"/>
        <v>1000</v>
      </c>
      <c r="T154" s="62">
        <v>12000</v>
      </c>
      <c r="U154" s="62">
        <f t="shared" si="27"/>
        <v>1000</v>
      </c>
      <c r="V154" s="69">
        <v>10800</v>
      </c>
      <c r="W154" s="71">
        <v>1040</v>
      </c>
      <c r="X154" s="172">
        <f t="shared" si="35"/>
        <v>998.4</v>
      </c>
      <c r="Y154" s="173">
        <f t="shared" si="32"/>
        <v>-1.6000000000000228E-3</v>
      </c>
      <c r="Z154" s="64">
        <f t="shared" si="37"/>
        <v>0.04</v>
      </c>
      <c r="AA154" s="64">
        <f t="shared" si="28"/>
        <v>0.04</v>
      </c>
      <c r="AB154" s="71">
        <f t="shared" si="41"/>
        <v>1040</v>
      </c>
      <c r="AC154" s="64">
        <f t="shared" si="38"/>
        <v>0.04</v>
      </c>
      <c r="AD154" s="64">
        <f t="shared" si="29"/>
        <v>0.04</v>
      </c>
      <c r="AE154" s="71">
        <v>1020</v>
      </c>
      <c r="AF154" s="64">
        <f t="shared" si="39"/>
        <v>0.02</v>
      </c>
      <c r="AG154" s="64">
        <f t="shared" si="30"/>
        <v>0.02</v>
      </c>
      <c r="AH154" s="67"/>
      <c r="AI154" s="47" t="s">
        <v>54</v>
      </c>
      <c r="AJ154" s="47">
        <v>472.5</v>
      </c>
      <c r="AK154" s="47" t="s">
        <v>55</v>
      </c>
      <c r="AL154" s="47" t="s">
        <v>55</v>
      </c>
      <c r="AM154" s="47" t="s">
        <v>257</v>
      </c>
      <c r="AN154" s="50">
        <v>1040</v>
      </c>
      <c r="AO154" s="211">
        <f t="shared" si="40"/>
        <v>0.04</v>
      </c>
      <c r="AP154" s="47" t="s">
        <v>90</v>
      </c>
      <c r="AQ154" s="91" t="s">
        <v>116</v>
      </c>
      <c r="AR154" s="47"/>
    </row>
    <row r="155" spans="1:44">
      <c r="A155" s="47" t="s">
        <v>44</v>
      </c>
      <c r="B155" s="47" t="str">
        <f t="shared" si="36"/>
        <v>August</v>
      </c>
      <c r="C155" s="59">
        <v>45528</v>
      </c>
      <c r="D155" s="47" t="s">
        <v>45</v>
      </c>
      <c r="E155" s="47" t="s">
        <v>253</v>
      </c>
      <c r="F155" s="47" t="s">
        <v>254</v>
      </c>
      <c r="G155" s="47" t="s">
        <v>2836</v>
      </c>
      <c r="H155" s="47" t="s">
        <v>2837</v>
      </c>
      <c r="I155" s="47" t="s">
        <v>63</v>
      </c>
      <c r="J155" s="47" t="s">
        <v>51</v>
      </c>
      <c r="K155" s="48">
        <v>44068</v>
      </c>
      <c r="L155" s="48">
        <v>45163</v>
      </c>
      <c r="M155" s="48">
        <v>45528</v>
      </c>
      <c r="N155" s="47" t="s">
        <v>64</v>
      </c>
      <c r="O155" s="55" t="s">
        <v>53</v>
      </c>
      <c r="P155" s="62">
        <v>13620</v>
      </c>
      <c r="Q155" s="62">
        <v>1135</v>
      </c>
      <c r="R155" s="96">
        <v>14460</v>
      </c>
      <c r="S155" s="62">
        <f t="shared" si="26"/>
        <v>1205</v>
      </c>
      <c r="T155" s="62">
        <v>14460</v>
      </c>
      <c r="U155" s="62">
        <f t="shared" si="27"/>
        <v>1205</v>
      </c>
      <c r="V155" s="69">
        <v>13020</v>
      </c>
      <c r="W155" s="71">
        <v>1290</v>
      </c>
      <c r="X155" s="105">
        <f t="shared" si="35"/>
        <v>1238.4000000000001</v>
      </c>
      <c r="Y155" s="171">
        <f t="shared" si="32"/>
        <v>2.7717842323651529E-2</v>
      </c>
      <c r="Z155" s="64">
        <f t="shared" si="37"/>
        <v>7.0539419087136929E-2</v>
      </c>
      <c r="AA155" s="64">
        <f t="shared" si="28"/>
        <v>7.0539419087136929E-2</v>
      </c>
      <c r="AB155" s="71">
        <f t="shared" si="41"/>
        <v>1290</v>
      </c>
      <c r="AC155" s="64">
        <f t="shared" si="38"/>
        <v>7.0539419087136929E-2</v>
      </c>
      <c r="AD155" s="64">
        <f t="shared" si="29"/>
        <v>7.0539419087136929E-2</v>
      </c>
      <c r="AE155" s="71">
        <v>1260</v>
      </c>
      <c r="AF155" s="64">
        <f t="shared" si="39"/>
        <v>4.5643153526970952E-2</v>
      </c>
      <c r="AG155" s="64">
        <f t="shared" si="30"/>
        <v>4.5643153526970952E-2</v>
      </c>
      <c r="AH155" s="67"/>
      <c r="AI155" s="47" t="s">
        <v>54</v>
      </c>
      <c r="AJ155" s="47">
        <v>674.9</v>
      </c>
      <c r="AK155" s="47" t="s">
        <v>65</v>
      </c>
      <c r="AL155" s="47" t="s">
        <v>55</v>
      </c>
      <c r="AM155" s="47" t="s">
        <v>1002</v>
      </c>
      <c r="AN155" s="50"/>
      <c r="AO155" s="211">
        <f t="shared" si="40"/>
        <v>-1</v>
      </c>
      <c r="AP155" s="47" t="s">
        <v>90</v>
      </c>
      <c r="AQ155" s="91" t="s">
        <v>116</v>
      </c>
      <c r="AR155" s="47"/>
    </row>
    <row r="156" spans="1:44" hidden="1">
      <c r="A156" s="47" t="s">
        <v>44</v>
      </c>
      <c r="B156" s="47" t="str">
        <f t="shared" si="36"/>
        <v>August</v>
      </c>
      <c r="C156" s="59">
        <v>45531</v>
      </c>
      <c r="D156" s="47" t="s">
        <v>45</v>
      </c>
      <c r="E156" s="47" t="s">
        <v>253</v>
      </c>
      <c r="F156" s="47" t="s">
        <v>254</v>
      </c>
      <c r="G156" s="47" t="s">
        <v>3174</v>
      </c>
      <c r="H156" s="47" t="s">
        <v>3175</v>
      </c>
      <c r="I156" s="47" t="s">
        <v>63</v>
      </c>
      <c r="J156" s="47" t="s">
        <v>51</v>
      </c>
      <c r="K156" s="48">
        <v>45166</v>
      </c>
      <c r="L156" s="48">
        <v>45166</v>
      </c>
      <c r="M156" s="48">
        <v>45531</v>
      </c>
      <c r="N156" s="47" t="s">
        <v>52</v>
      </c>
      <c r="O156" s="55" t="s">
        <v>53</v>
      </c>
      <c r="P156" s="62">
        <v>10620</v>
      </c>
      <c r="Q156" s="62">
        <v>885</v>
      </c>
      <c r="R156" s="96">
        <v>10680</v>
      </c>
      <c r="S156" s="62">
        <f t="shared" si="26"/>
        <v>890</v>
      </c>
      <c r="T156" s="62">
        <v>10620</v>
      </c>
      <c r="U156" s="62">
        <f t="shared" si="27"/>
        <v>885</v>
      </c>
      <c r="V156" s="69">
        <v>9420</v>
      </c>
      <c r="W156" s="71">
        <v>885</v>
      </c>
      <c r="X156" s="172">
        <f t="shared" si="35"/>
        <v>849.6</v>
      </c>
      <c r="Y156" s="173">
        <f t="shared" si="32"/>
        <v>-3.9999999999999973E-2</v>
      </c>
      <c r="Z156" s="92">
        <f t="shared" si="37"/>
        <v>0</v>
      </c>
      <c r="AA156" s="64">
        <f t="shared" si="28"/>
        <v>-5.6179775280898875E-3</v>
      </c>
      <c r="AB156" s="106">
        <v>895</v>
      </c>
      <c r="AC156" s="64">
        <f t="shared" si="38"/>
        <v>1.1299435028248588E-2</v>
      </c>
      <c r="AD156" s="64">
        <f t="shared" si="29"/>
        <v>5.6179775280898875E-3</v>
      </c>
      <c r="AE156" s="71">
        <v>895</v>
      </c>
      <c r="AF156" s="64">
        <f t="shared" si="39"/>
        <v>1.1299435028248588E-2</v>
      </c>
      <c r="AG156" s="64">
        <f t="shared" si="30"/>
        <v>5.6179775280898875E-3</v>
      </c>
      <c r="AH156" s="67" t="s">
        <v>846</v>
      </c>
      <c r="AI156" s="47" t="s">
        <v>54</v>
      </c>
      <c r="AJ156" s="47">
        <v>467.2</v>
      </c>
      <c r="AK156" s="47" t="s">
        <v>93</v>
      </c>
      <c r="AL156" s="47" t="s">
        <v>55</v>
      </c>
      <c r="AM156" s="47" t="s">
        <v>1029</v>
      </c>
      <c r="AN156" s="50">
        <v>900</v>
      </c>
      <c r="AO156" s="211">
        <f t="shared" si="40"/>
        <v>1.6949152542372881E-2</v>
      </c>
      <c r="AP156" s="47" t="s">
        <v>90</v>
      </c>
      <c r="AQ156" s="111" t="s">
        <v>125</v>
      </c>
      <c r="AR156" s="47"/>
    </row>
    <row r="157" spans="1:44" hidden="1">
      <c r="A157" s="47" t="s">
        <v>44</v>
      </c>
      <c r="B157" s="47" t="str">
        <f t="shared" si="36"/>
        <v>August</v>
      </c>
      <c r="C157" s="59">
        <v>45534</v>
      </c>
      <c r="D157" s="47" t="s">
        <v>45</v>
      </c>
      <c r="E157" s="47" t="s">
        <v>253</v>
      </c>
      <c r="F157" s="47" t="s">
        <v>254</v>
      </c>
      <c r="G157" s="47" t="s">
        <v>3487</v>
      </c>
      <c r="H157" s="47" t="s">
        <v>3488</v>
      </c>
      <c r="I157" s="47" t="s">
        <v>63</v>
      </c>
      <c r="J157" s="47" t="s">
        <v>51</v>
      </c>
      <c r="K157" s="48">
        <v>45169</v>
      </c>
      <c r="L157" s="48">
        <v>45169</v>
      </c>
      <c r="M157" s="48">
        <v>45534</v>
      </c>
      <c r="N157" s="47" t="s">
        <v>52</v>
      </c>
      <c r="O157" s="55" t="s">
        <v>53</v>
      </c>
      <c r="P157" s="62">
        <v>12060</v>
      </c>
      <c r="Q157" s="62">
        <v>1005</v>
      </c>
      <c r="R157" s="96">
        <v>12420</v>
      </c>
      <c r="S157" s="62">
        <f t="shared" si="26"/>
        <v>1035</v>
      </c>
      <c r="T157" s="62">
        <v>12060</v>
      </c>
      <c r="U157" s="62">
        <f t="shared" si="27"/>
        <v>1005</v>
      </c>
      <c r="V157" s="69">
        <v>10620</v>
      </c>
      <c r="W157" s="71">
        <v>995</v>
      </c>
      <c r="X157" s="172">
        <f t="shared" si="35"/>
        <v>955.2</v>
      </c>
      <c r="Y157" s="173">
        <f t="shared" si="32"/>
        <v>-4.9552238805970102E-2</v>
      </c>
      <c r="Z157" s="92">
        <f t="shared" si="37"/>
        <v>-9.9502487562189053E-3</v>
      </c>
      <c r="AA157" s="64">
        <f t="shared" si="28"/>
        <v>-3.864734299516908E-2</v>
      </c>
      <c r="AB157" s="106">
        <v>1040</v>
      </c>
      <c r="AC157" s="64">
        <f t="shared" si="38"/>
        <v>3.482587064676617E-2</v>
      </c>
      <c r="AD157" s="64">
        <f t="shared" si="29"/>
        <v>4.830917874396135E-3</v>
      </c>
      <c r="AE157" s="71">
        <v>1040</v>
      </c>
      <c r="AF157" s="64">
        <f t="shared" si="39"/>
        <v>3.482587064676617E-2</v>
      </c>
      <c r="AG157" s="64">
        <f t="shared" si="30"/>
        <v>4.830917874396135E-3</v>
      </c>
      <c r="AH157" s="67" t="s">
        <v>846</v>
      </c>
      <c r="AI157" s="47" t="s">
        <v>54</v>
      </c>
      <c r="AJ157" s="47">
        <v>417.6</v>
      </c>
      <c r="AK157" s="47" t="s">
        <v>55</v>
      </c>
      <c r="AL157" s="47" t="s">
        <v>55</v>
      </c>
      <c r="AM157" s="47" t="s">
        <v>257</v>
      </c>
      <c r="AN157" s="50">
        <v>1040</v>
      </c>
      <c r="AO157" s="211">
        <f t="shared" si="40"/>
        <v>3.482587064676617E-2</v>
      </c>
      <c r="AP157" s="47" t="s">
        <v>90</v>
      </c>
      <c r="AQ157" s="91" t="s">
        <v>116</v>
      </c>
      <c r="AR157" s="47" t="s">
        <v>1766</v>
      </c>
    </row>
    <row r="158" spans="1:44" hidden="1">
      <c r="A158" s="47" t="s">
        <v>44</v>
      </c>
      <c r="B158" s="47" t="str">
        <f t="shared" si="36"/>
        <v>August</v>
      </c>
      <c r="C158" s="59">
        <v>45534</v>
      </c>
      <c r="D158" s="47" t="s">
        <v>45</v>
      </c>
      <c r="E158" s="47" t="s">
        <v>253</v>
      </c>
      <c r="F158" s="47" t="s">
        <v>254</v>
      </c>
      <c r="G158" s="47" t="s">
        <v>3495</v>
      </c>
      <c r="H158" s="47" t="s">
        <v>3496</v>
      </c>
      <c r="I158" s="47" t="s">
        <v>63</v>
      </c>
      <c r="J158" s="47" t="s">
        <v>51</v>
      </c>
      <c r="K158" s="48">
        <v>45169</v>
      </c>
      <c r="L158" s="48">
        <v>45169</v>
      </c>
      <c r="M158" s="48">
        <v>45534</v>
      </c>
      <c r="N158" s="47" t="s">
        <v>52</v>
      </c>
      <c r="O158" s="55" t="s">
        <v>53</v>
      </c>
      <c r="P158" s="62">
        <v>14460</v>
      </c>
      <c r="Q158" s="62">
        <v>1205</v>
      </c>
      <c r="R158" s="96">
        <v>15060</v>
      </c>
      <c r="S158" s="62">
        <f t="shared" si="26"/>
        <v>1255</v>
      </c>
      <c r="T158" s="62">
        <v>14460</v>
      </c>
      <c r="U158" s="62">
        <f t="shared" si="27"/>
        <v>1205</v>
      </c>
      <c r="V158" s="69">
        <v>13020</v>
      </c>
      <c r="W158" s="71">
        <v>1260</v>
      </c>
      <c r="X158" s="105">
        <v>1210</v>
      </c>
      <c r="Y158" s="176">
        <f t="shared" si="32"/>
        <v>4.1493775933609959E-3</v>
      </c>
      <c r="Z158" s="64">
        <f t="shared" si="37"/>
        <v>4.5643153526970952E-2</v>
      </c>
      <c r="AA158" s="64">
        <f t="shared" si="28"/>
        <v>3.9840637450199202E-3</v>
      </c>
      <c r="AB158" s="71">
        <f>W158</f>
        <v>1260</v>
      </c>
      <c r="AC158" s="64">
        <f t="shared" si="38"/>
        <v>4.5643153526970952E-2</v>
      </c>
      <c r="AD158" s="64">
        <f t="shared" si="29"/>
        <v>3.9840637450199202E-3</v>
      </c>
      <c r="AE158" s="71">
        <v>1255</v>
      </c>
      <c r="AF158" s="64">
        <f t="shared" si="39"/>
        <v>4.1493775933609957E-2</v>
      </c>
      <c r="AG158" s="64">
        <f t="shared" si="30"/>
        <v>0</v>
      </c>
      <c r="AH158" s="67"/>
      <c r="AI158" s="47" t="s">
        <v>54</v>
      </c>
      <c r="AJ158" s="47">
        <v>674.9</v>
      </c>
      <c r="AK158" s="47" t="s">
        <v>65</v>
      </c>
      <c r="AL158" s="47" t="s">
        <v>55</v>
      </c>
      <c r="AM158" s="47" t="s">
        <v>1002</v>
      </c>
      <c r="AN158" s="50"/>
      <c r="AO158" s="211">
        <f t="shared" si="40"/>
        <v>-1</v>
      </c>
      <c r="AP158" s="47" t="s">
        <v>90</v>
      </c>
      <c r="AQ158" s="135" t="s">
        <v>116</v>
      </c>
      <c r="AR158" s="47"/>
    </row>
    <row r="159" spans="1:44">
      <c r="A159" s="47" t="s">
        <v>74</v>
      </c>
      <c r="B159" s="47" t="str">
        <f t="shared" si="36"/>
        <v>July</v>
      </c>
      <c r="C159" s="59">
        <v>45487</v>
      </c>
      <c r="D159" s="47" t="s">
        <v>2086</v>
      </c>
      <c r="E159" s="47" t="s">
        <v>2087</v>
      </c>
      <c r="F159" s="47" t="s">
        <v>2088</v>
      </c>
      <c r="G159" s="47" t="s">
        <v>2089</v>
      </c>
      <c r="H159" s="47" t="s">
        <v>2090</v>
      </c>
      <c r="I159" s="47"/>
      <c r="J159" s="47" t="s">
        <v>51</v>
      </c>
      <c r="K159" s="48">
        <v>44301</v>
      </c>
      <c r="L159" s="48">
        <v>45122</v>
      </c>
      <c r="M159" s="48">
        <v>45487</v>
      </c>
      <c r="N159" s="47" t="s">
        <v>64</v>
      </c>
      <c r="O159" s="55" t="s">
        <v>53</v>
      </c>
      <c r="P159" s="62">
        <v>106200</v>
      </c>
      <c r="Q159" s="62">
        <v>8850</v>
      </c>
      <c r="R159" s="103">
        <v>106200</v>
      </c>
      <c r="S159" s="62">
        <f t="shared" si="26"/>
        <v>8850</v>
      </c>
      <c r="T159" s="62">
        <v>106200</v>
      </c>
      <c r="U159" s="62">
        <f t="shared" si="27"/>
        <v>8850</v>
      </c>
      <c r="V159" s="69">
        <v>98040</v>
      </c>
      <c r="W159" s="71" t="s">
        <v>123</v>
      </c>
      <c r="X159" s="71"/>
      <c r="Y159" s="71"/>
      <c r="Z159" s="64" t="e">
        <f t="shared" si="37"/>
        <v>#VALUE!</v>
      </c>
      <c r="AA159" s="64" t="e">
        <f t="shared" si="28"/>
        <v>#VALUE!</v>
      </c>
      <c r="AB159" s="71"/>
      <c r="AC159" s="64">
        <f t="shared" si="38"/>
        <v>-1</v>
      </c>
      <c r="AD159" s="64">
        <f t="shared" si="29"/>
        <v>-1</v>
      </c>
      <c r="AE159" s="71"/>
      <c r="AF159" s="64">
        <f t="shared" si="39"/>
        <v>-1</v>
      </c>
      <c r="AG159" s="64">
        <f t="shared" si="30"/>
        <v>-1</v>
      </c>
      <c r="AH159" s="67"/>
      <c r="AI159" s="47" t="s">
        <v>54</v>
      </c>
      <c r="AJ159" s="47">
        <v>1711.46</v>
      </c>
      <c r="AK159" s="101" t="s">
        <v>140</v>
      </c>
      <c r="AL159" s="101" t="s">
        <v>55</v>
      </c>
      <c r="AM159" s="47" t="s">
        <v>2091</v>
      </c>
      <c r="AN159" s="47">
        <v>9250</v>
      </c>
      <c r="AO159" s="211">
        <f t="shared" si="40"/>
        <v>4.519774011299435E-2</v>
      </c>
      <c r="AP159" s="47" t="s">
        <v>90</v>
      </c>
      <c r="AQ159" s="135" t="s">
        <v>116</v>
      </c>
      <c r="AR159" s="47"/>
    </row>
    <row r="160" spans="1:44">
      <c r="A160" s="47" t="s">
        <v>44</v>
      </c>
      <c r="B160" s="47" t="str">
        <f t="shared" si="36"/>
        <v>August</v>
      </c>
      <c r="C160" s="59">
        <v>45505</v>
      </c>
      <c r="D160" s="47" t="s">
        <v>83</v>
      </c>
      <c r="E160" s="47" t="s">
        <v>84</v>
      </c>
      <c r="F160" s="47" t="s">
        <v>85</v>
      </c>
      <c r="G160" s="47" t="s">
        <v>86</v>
      </c>
      <c r="H160" s="47" t="s">
        <v>87</v>
      </c>
      <c r="I160" s="47" t="s">
        <v>63</v>
      </c>
      <c r="J160" s="47" t="s">
        <v>51</v>
      </c>
      <c r="K160" s="48">
        <v>44410</v>
      </c>
      <c r="L160" s="48">
        <v>44410</v>
      </c>
      <c r="M160" s="48">
        <v>45505</v>
      </c>
      <c r="N160" s="47" t="s">
        <v>64</v>
      </c>
      <c r="O160" s="55" t="s">
        <v>53</v>
      </c>
      <c r="P160" s="62">
        <v>16920</v>
      </c>
      <c r="Q160" s="62">
        <v>1410</v>
      </c>
      <c r="R160" s="103">
        <v>18000</v>
      </c>
      <c r="S160" s="62">
        <f t="shared" si="26"/>
        <v>1500</v>
      </c>
      <c r="T160" s="62">
        <v>16068.36</v>
      </c>
      <c r="U160" s="137">
        <f t="shared" si="27"/>
        <v>1339.03</v>
      </c>
      <c r="V160" s="69">
        <v>15525</v>
      </c>
      <c r="W160" s="71"/>
      <c r="X160" s="71"/>
      <c r="Y160" s="71"/>
      <c r="Z160" s="70">
        <f t="shared" si="37"/>
        <v>-1</v>
      </c>
      <c r="AA160" s="64">
        <f t="shared" si="28"/>
        <v>-1</v>
      </c>
      <c r="AB160" s="71">
        <v>1450</v>
      </c>
      <c r="AC160" s="64">
        <f t="shared" si="38"/>
        <v>8.2873423298955237E-2</v>
      </c>
      <c r="AD160" s="64">
        <f t="shared" si="29"/>
        <v>-3.3333333333333333E-2</v>
      </c>
      <c r="AE160" s="71">
        <v>1425</v>
      </c>
      <c r="AF160" s="64">
        <f t="shared" si="39"/>
        <v>6.4203191862766351E-2</v>
      </c>
      <c r="AG160" s="64">
        <f t="shared" si="30"/>
        <v>-0.05</v>
      </c>
      <c r="AH160" s="67" t="s">
        <v>88</v>
      </c>
      <c r="AI160" s="47" t="s">
        <v>54</v>
      </c>
      <c r="AJ160" s="47">
        <v>362</v>
      </c>
      <c r="AK160" s="47" t="s">
        <v>55</v>
      </c>
      <c r="AL160" s="47" t="s">
        <v>55</v>
      </c>
      <c r="AM160" s="47" t="s">
        <v>89</v>
      </c>
      <c r="AN160" s="47">
        <v>1450</v>
      </c>
      <c r="AO160" s="211">
        <f t="shared" si="40"/>
        <v>8.2873423298955237E-2</v>
      </c>
      <c r="AP160" s="47" t="s">
        <v>90</v>
      </c>
      <c r="AQ160" s="91" t="s">
        <v>58</v>
      </c>
      <c r="AR160" s="47"/>
    </row>
    <row r="161" spans="1:44" hidden="1">
      <c r="A161" s="47" t="s">
        <v>44</v>
      </c>
      <c r="B161" s="47" t="str">
        <f t="shared" si="36"/>
        <v>August</v>
      </c>
      <c r="C161" s="59">
        <v>45514</v>
      </c>
      <c r="D161" s="47" t="s">
        <v>83</v>
      </c>
      <c r="E161" s="47" t="s">
        <v>84</v>
      </c>
      <c r="F161" s="47" t="s">
        <v>85</v>
      </c>
      <c r="G161" s="47" t="s">
        <v>1525</v>
      </c>
      <c r="H161" s="47" t="s">
        <v>1526</v>
      </c>
      <c r="I161" s="47" t="s">
        <v>63</v>
      </c>
      <c r="J161" s="47" t="s">
        <v>51</v>
      </c>
      <c r="K161" s="48">
        <v>45149</v>
      </c>
      <c r="L161" s="48">
        <v>45149</v>
      </c>
      <c r="M161" s="48">
        <v>45514</v>
      </c>
      <c r="N161" s="47" t="s">
        <v>52</v>
      </c>
      <c r="O161" s="55" t="s">
        <v>53</v>
      </c>
      <c r="P161" s="62">
        <v>20100</v>
      </c>
      <c r="Q161" s="62">
        <v>1675</v>
      </c>
      <c r="R161" s="103">
        <v>22440</v>
      </c>
      <c r="S161" s="62">
        <f t="shared" si="26"/>
        <v>1870</v>
      </c>
      <c r="T161" s="62">
        <v>21000</v>
      </c>
      <c r="U161" s="62">
        <f t="shared" si="27"/>
        <v>1750</v>
      </c>
      <c r="V161" s="69">
        <v>18480</v>
      </c>
      <c r="W161" s="71"/>
      <c r="X161" s="71"/>
      <c r="Y161" s="71"/>
      <c r="Z161" s="70">
        <f t="shared" si="37"/>
        <v>-1</v>
      </c>
      <c r="AA161" s="64">
        <f t="shared" si="28"/>
        <v>-1</v>
      </c>
      <c r="AB161" s="71">
        <v>1875</v>
      </c>
      <c r="AC161" s="64">
        <f t="shared" si="38"/>
        <v>7.1428571428571425E-2</v>
      </c>
      <c r="AD161" s="64">
        <f t="shared" si="29"/>
        <v>2.6737967914438501E-3</v>
      </c>
      <c r="AE161" s="175">
        <v>1800</v>
      </c>
      <c r="AF161" s="64">
        <f t="shared" si="39"/>
        <v>2.8571428571428571E-2</v>
      </c>
      <c r="AG161" s="64">
        <f t="shared" si="30"/>
        <v>-3.7433155080213901E-2</v>
      </c>
      <c r="AH161" s="67"/>
      <c r="AI161" s="47" t="s">
        <v>54</v>
      </c>
      <c r="AJ161" s="47">
        <v>517</v>
      </c>
      <c r="AK161" s="47" t="s">
        <v>65</v>
      </c>
      <c r="AL161" s="47" t="s">
        <v>55</v>
      </c>
      <c r="AM161" s="47" t="s">
        <v>1527</v>
      </c>
      <c r="AN161" s="47"/>
      <c r="AO161" s="211">
        <f t="shared" si="40"/>
        <v>-1</v>
      </c>
      <c r="AP161" s="47" t="s">
        <v>90</v>
      </c>
      <c r="AQ161" s="91" t="s">
        <v>116</v>
      </c>
      <c r="AR161" s="47" t="s">
        <v>117</v>
      </c>
    </row>
    <row r="162" spans="1:44">
      <c r="A162" s="47" t="s">
        <v>44</v>
      </c>
      <c r="B162" s="47" t="str">
        <f t="shared" si="36"/>
        <v>July</v>
      </c>
      <c r="C162" s="59">
        <v>45502</v>
      </c>
      <c r="D162" s="47" t="s">
        <v>83</v>
      </c>
      <c r="E162" s="47" t="s">
        <v>84</v>
      </c>
      <c r="F162" s="47" t="s">
        <v>85</v>
      </c>
      <c r="G162" s="47" t="s">
        <v>2092</v>
      </c>
      <c r="H162" s="47" t="s">
        <v>2093</v>
      </c>
      <c r="I162" s="47" t="s">
        <v>63</v>
      </c>
      <c r="J162" s="47" t="s">
        <v>51</v>
      </c>
      <c r="K162" s="48">
        <v>44408</v>
      </c>
      <c r="L162" s="48">
        <v>45137</v>
      </c>
      <c r="M162" s="48">
        <v>45502</v>
      </c>
      <c r="N162" s="47" t="s">
        <v>64</v>
      </c>
      <c r="O162" s="55" t="s">
        <v>53</v>
      </c>
      <c r="P162" s="62">
        <v>13560</v>
      </c>
      <c r="Q162" s="62">
        <v>1130</v>
      </c>
      <c r="R162" s="103">
        <v>13740</v>
      </c>
      <c r="S162" s="62">
        <f t="shared" ref="S162:S225" si="42">R162/12</f>
        <v>1145</v>
      </c>
      <c r="T162" s="62">
        <v>13500</v>
      </c>
      <c r="U162" s="62">
        <f t="shared" ref="U162:U225" si="43">T162/12</f>
        <v>1125</v>
      </c>
      <c r="V162" s="69">
        <v>12360</v>
      </c>
      <c r="W162" s="71" t="s">
        <v>123</v>
      </c>
      <c r="X162" s="71"/>
      <c r="Y162" s="71"/>
      <c r="Z162" s="70" t="e">
        <f t="shared" si="37"/>
        <v>#VALUE!</v>
      </c>
      <c r="AA162" s="64" t="e">
        <f t="shared" si="28"/>
        <v>#VALUE!</v>
      </c>
      <c r="AB162" s="71">
        <v>1200</v>
      </c>
      <c r="AC162" s="64">
        <f t="shared" si="38"/>
        <v>6.6666666666666666E-2</v>
      </c>
      <c r="AD162" s="64">
        <f t="shared" si="29"/>
        <v>4.8034934497816595E-2</v>
      </c>
      <c r="AE162" s="71">
        <v>1190</v>
      </c>
      <c r="AF162" s="64">
        <f t="shared" si="39"/>
        <v>5.7777777777777775E-2</v>
      </c>
      <c r="AG162" s="64">
        <f t="shared" si="30"/>
        <v>3.9301310043668124E-2</v>
      </c>
      <c r="AH162" s="67"/>
      <c r="AI162" s="47" t="s">
        <v>54</v>
      </c>
      <c r="AJ162" s="47">
        <v>228</v>
      </c>
      <c r="AK162" s="101" t="s">
        <v>93</v>
      </c>
      <c r="AL162" s="101" t="s">
        <v>55</v>
      </c>
      <c r="AM162" s="47" t="s">
        <v>2094</v>
      </c>
      <c r="AN162" s="47">
        <v>1200</v>
      </c>
      <c r="AO162" s="211">
        <f t="shared" si="40"/>
        <v>6.6666666666666666E-2</v>
      </c>
      <c r="AP162" s="47" t="s">
        <v>90</v>
      </c>
      <c r="AQ162" s="91" t="s">
        <v>116</v>
      </c>
      <c r="AR162" s="47"/>
    </row>
    <row r="163" spans="1:44">
      <c r="A163" s="47" t="s">
        <v>44</v>
      </c>
      <c r="B163" s="47" t="str">
        <f t="shared" si="36"/>
        <v>July</v>
      </c>
      <c r="C163" s="59">
        <v>45482</v>
      </c>
      <c r="D163" s="47" t="s">
        <v>83</v>
      </c>
      <c r="E163" s="47" t="s">
        <v>84</v>
      </c>
      <c r="F163" s="47" t="s">
        <v>85</v>
      </c>
      <c r="G163" s="47" t="s">
        <v>2095</v>
      </c>
      <c r="H163" s="47" t="s">
        <v>2096</v>
      </c>
      <c r="I163" s="47" t="s">
        <v>63</v>
      </c>
      <c r="J163" s="47" t="s">
        <v>51</v>
      </c>
      <c r="K163" s="48">
        <v>44022</v>
      </c>
      <c r="L163" s="48">
        <v>45117</v>
      </c>
      <c r="M163" s="48">
        <v>45482</v>
      </c>
      <c r="N163" s="47" t="s">
        <v>64</v>
      </c>
      <c r="O163" s="55" t="s">
        <v>53</v>
      </c>
      <c r="P163" s="62">
        <v>16620</v>
      </c>
      <c r="Q163" s="62">
        <v>1385</v>
      </c>
      <c r="R163" s="103">
        <v>17700</v>
      </c>
      <c r="S163" s="62">
        <f t="shared" si="42"/>
        <v>1475</v>
      </c>
      <c r="T163" s="62">
        <v>16260</v>
      </c>
      <c r="U163" s="62">
        <f t="shared" si="43"/>
        <v>1355</v>
      </c>
      <c r="V163" s="69">
        <v>14883</v>
      </c>
      <c r="W163" s="71" t="s">
        <v>123</v>
      </c>
      <c r="X163" s="71"/>
      <c r="Y163" s="71"/>
      <c r="Z163" s="70" t="e">
        <f t="shared" si="37"/>
        <v>#VALUE!</v>
      </c>
      <c r="AA163" s="64" t="e">
        <f t="shared" si="28"/>
        <v>#VALUE!</v>
      </c>
      <c r="AB163" s="71">
        <v>1485</v>
      </c>
      <c r="AC163" s="64">
        <f t="shared" si="38"/>
        <v>9.5940959409594101E-2</v>
      </c>
      <c r="AD163" s="64">
        <f t="shared" si="29"/>
        <v>6.7796610169491523E-3</v>
      </c>
      <c r="AE163" s="71">
        <v>1475</v>
      </c>
      <c r="AF163" s="64">
        <f t="shared" si="39"/>
        <v>8.8560885608856083E-2</v>
      </c>
      <c r="AG163" s="64">
        <f t="shared" si="30"/>
        <v>0</v>
      </c>
      <c r="AH163" s="67"/>
      <c r="AI163" s="47" t="s">
        <v>54</v>
      </c>
      <c r="AJ163" s="47">
        <v>329</v>
      </c>
      <c r="AK163" s="101" t="s">
        <v>55</v>
      </c>
      <c r="AL163" s="101" t="s">
        <v>55</v>
      </c>
      <c r="AM163" s="47" t="s">
        <v>2097</v>
      </c>
      <c r="AN163" s="47"/>
      <c r="AO163" s="211">
        <f t="shared" si="40"/>
        <v>-1</v>
      </c>
      <c r="AP163" s="47" t="s">
        <v>90</v>
      </c>
      <c r="AQ163" s="94" t="s">
        <v>1120</v>
      </c>
      <c r="AR163" s="47"/>
    </row>
    <row r="164" spans="1:44">
      <c r="A164" s="47" t="s">
        <v>44</v>
      </c>
      <c r="B164" s="47" t="str">
        <f t="shared" si="36"/>
        <v>July</v>
      </c>
      <c r="C164" s="59">
        <v>45488</v>
      </c>
      <c r="D164" s="47" t="s">
        <v>83</v>
      </c>
      <c r="E164" s="47" t="s">
        <v>84</v>
      </c>
      <c r="F164" s="47" t="s">
        <v>85</v>
      </c>
      <c r="G164" s="47" t="s">
        <v>2098</v>
      </c>
      <c r="H164" s="47" t="s">
        <v>2099</v>
      </c>
      <c r="I164" s="47" t="s">
        <v>63</v>
      </c>
      <c r="J164" s="47" t="s">
        <v>51</v>
      </c>
      <c r="K164" s="48">
        <v>44027</v>
      </c>
      <c r="L164" s="48">
        <v>45123</v>
      </c>
      <c r="M164" s="48">
        <v>45488</v>
      </c>
      <c r="N164" s="47" t="s">
        <v>64</v>
      </c>
      <c r="O164" s="55" t="s">
        <v>53</v>
      </c>
      <c r="P164" s="62">
        <v>16920</v>
      </c>
      <c r="Q164" s="62">
        <v>1410</v>
      </c>
      <c r="R164" s="103">
        <v>18000</v>
      </c>
      <c r="S164" s="62">
        <f t="shared" si="42"/>
        <v>1500</v>
      </c>
      <c r="T164" s="62">
        <v>16380</v>
      </c>
      <c r="U164" s="62">
        <f t="shared" si="43"/>
        <v>1365</v>
      </c>
      <c r="V164" s="69">
        <v>15120</v>
      </c>
      <c r="W164" s="71" t="s">
        <v>123</v>
      </c>
      <c r="X164" s="71"/>
      <c r="Y164" s="71"/>
      <c r="Z164" s="70" t="e">
        <f t="shared" si="37"/>
        <v>#VALUE!</v>
      </c>
      <c r="AA164" s="64" t="e">
        <f t="shared" si="28"/>
        <v>#VALUE!</v>
      </c>
      <c r="AB164" s="71">
        <v>1525</v>
      </c>
      <c r="AC164" s="64">
        <f t="shared" si="38"/>
        <v>0.11721611721611722</v>
      </c>
      <c r="AD164" s="64">
        <f t="shared" si="29"/>
        <v>1.6666666666666666E-2</v>
      </c>
      <c r="AE164" s="71">
        <v>1500</v>
      </c>
      <c r="AF164" s="64">
        <f t="shared" si="39"/>
        <v>9.8901098901098897E-2</v>
      </c>
      <c r="AG164" s="64">
        <f t="shared" si="30"/>
        <v>0</v>
      </c>
      <c r="AH164" s="67"/>
      <c r="AI164" s="47" t="s">
        <v>54</v>
      </c>
      <c r="AJ164" s="47">
        <v>362</v>
      </c>
      <c r="AK164" s="101" t="s">
        <v>55</v>
      </c>
      <c r="AL164" s="101" t="s">
        <v>55</v>
      </c>
      <c r="AM164" s="47" t="s">
        <v>89</v>
      </c>
      <c r="AN164" s="47">
        <v>1525</v>
      </c>
      <c r="AO164" s="211">
        <f t="shared" si="40"/>
        <v>0.11721611721611722</v>
      </c>
      <c r="AP164" s="47" t="s">
        <v>90</v>
      </c>
      <c r="AQ164" s="91" t="s">
        <v>116</v>
      </c>
      <c r="AR164" s="47"/>
    </row>
    <row r="165" spans="1:44" hidden="1">
      <c r="A165" s="47" t="s">
        <v>44</v>
      </c>
      <c r="B165" s="47" t="str">
        <f t="shared" si="36"/>
        <v>August</v>
      </c>
      <c r="C165" s="59">
        <v>45522</v>
      </c>
      <c r="D165" s="47" t="s">
        <v>83</v>
      </c>
      <c r="E165" s="47" t="s">
        <v>84</v>
      </c>
      <c r="F165" s="47" t="s">
        <v>85</v>
      </c>
      <c r="G165" s="47" t="s">
        <v>2276</v>
      </c>
      <c r="H165" s="47" t="s">
        <v>2277</v>
      </c>
      <c r="I165" s="47" t="s">
        <v>63</v>
      </c>
      <c r="J165" s="47" t="s">
        <v>51</v>
      </c>
      <c r="K165" s="48">
        <v>44792</v>
      </c>
      <c r="L165" s="48">
        <v>44792</v>
      </c>
      <c r="M165" s="48">
        <v>45522</v>
      </c>
      <c r="N165" s="47" t="s">
        <v>52</v>
      </c>
      <c r="O165" s="55" t="s">
        <v>53</v>
      </c>
      <c r="P165" s="62">
        <v>20100</v>
      </c>
      <c r="Q165" s="62">
        <v>1675</v>
      </c>
      <c r="R165" s="103">
        <v>22440</v>
      </c>
      <c r="S165" s="62">
        <f t="shared" si="42"/>
        <v>1870</v>
      </c>
      <c r="T165" s="62">
        <v>19800</v>
      </c>
      <c r="U165" s="62">
        <f t="shared" si="43"/>
        <v>1650</v>
      </c>
      <c r="V165" s="69">
        <v>18600</v>
      </c>
      <c r="W165" s="71"/>
      <c r="X165" s="71"/>
      <c r="Y165" s="71"/>
      <c r="Z165" s="64">
        <f t="shared" si="37"/>
        <v>-1</v>
      </c>
      <c r="AA165" s="64">
        <f t="shared" ref="AA165:AA228" si="44">(W165-S165)/S165</f>
        <v>-1</v>
      </c>
      <c r="AB165" s="71">
        <v>1875</v>
      </c>
      <c r="AC165" s="64">
        <f t="shared" si="38"/>
        <v>0.13636363636363635</v>
      </c>
      <c r="AD165" s="64">
        <f t="shared" ref="AD165:AD228" si="45">(AB165-S165)/S165</f>
        <v>2.6737967914438501E-3</v>
      </c>
      <c r="AE165" s="175">
        <v>1750</v>
      </c>
      <c r="AF165" s="64">
        <f t="shared" si="39"/>
        <v>6.0606060606060608E-2</v>
      </c>
      <c r="AG165" s="64">
        <f t="shared" ref="AG165:AG228" si="46">(AE165-S165)/S165</f>
        <v>-6.4171122994652413E-2</v>
      </c>
      <c r="AH165" s="67"/>
      <c r="AI165" s="47" t="s">
        <v>250</v>
      </c>
      <c r="AJ165" s="47">
        <v>511</v>
      </c>
      <c r="AK165" s="47" t="s">
        <v>65</v>
      </c>
      <c r="AL165" s="47" t="s">
        <v>55</v>
      </c>
      <c r="AM165" s="47" t="s">
        <v>2278</v>
      </c>
      <c r="AN165" s="47"/>
      <c r="AO165" s="211">
        <f t="shared" si="40"/>
        <v>-1</v>
      </c>
      <c r="AP165" s="47" t="s">
        <v>90</v>
      </c>
      <c r="AQ165" s="91" t="s">
        <v>116</v>
      </c>
      <c r="AR165" s="47"/>
    </row>
    <row r="166" spans="1:44" hidden="1">
      <c r="A166" s="47" t="s">
        <v>44</v>
      </c>
      <c r="B166" s="47" t="str">
        <f t="shared" si="36"/>
        <v>August</v>
      </c>
      <c r="C166" s="59">
        <v>45533</v>
      </c>
      <c r="D166" s="47" t="s">
        <v>83</v>
      </c>
      <c r="E166" s="47" t="s">
        <v>84</v>
      </c>
      <c r="F166" s="47" t="s">
        <v>85</v>
      </c>
      <c r="G166" s="47" t="s">
        <v>3441</v>
      </c>
      <c r="H166" s="47" t="s">
        <v>3442</v>
      </c>
      <c r="I166" s="47" t="s">
        <v>63</v>
      </c>
      <c r="J166" s="47" t="s">
        <v>51</v>
      </c>
      <c r="K166" s="48">
        <v>45168</v>
      </c>
      <c r="L166" s="48">
        <v>45168</v>
      </c>
      <c r="M166" s="48">
        <v>45533</v>
      </c>
      <c r="N166" s="47" t="s">
        <v>52</v>
      </c>
      <c r="O166" s="55" t="s">
        <v>53</v>
      </c>
      <c r="P166" s="62">
        <v>16620</v>
      </c>
      <c r="Q166" s="62">
        <v>1385</v>
      </c>
      <c r="R166" s="103">
        <v>17700</v>
      </c>
      <c r="S166" s="62">
        <f t="shared" si="42"/>
        <v>1475</v>
      </c>
      <c r="T166" s="62">
        <v>16800</v>
      </c>
      <c r="U166" s="62">
        <f t="shared" si="43"/>
        <v>1400</v>
      </c>
      <c r="V166" s="69">
        <v>14700</v>
      </c>
      <c r="W166" s="71"/>
      <c r="X166" s="71"/>
      <c r="Y166" s="71"/>
      <c r="Z166" s="70">
        <f t="shared" si="37"/>
        <v>-1</v>
      </c>
      <c r="AA166" s="64">
        <f t="shared" si="44"/>
        <v>-1</v>
      </c>
      <c r="AB166" s="175">
        <v>1490</v>
      </c>
      <c r="AC166" s="64">
        <f t="shared" si="38"/>
        <v>6.4285714285714279E-2</v>
      </c>
      <c r="AD166" s="64">
        <f t="shared" si="45"/>
        <v>1.0169491525423728E-2</v>
      </c>
      <c r="AE166" s="71">
        <v>1475</v>
      </c>
      <c r="AF166" s="64">
        <f t="shared" si="39"/>
        <v>5.3571428571428568E-2</v>
      </c>
      <c r="AG166" s="64">
        <f t="shared" si="46"/>
        <v>0</v>
      </c>
      <c r="AH166" s="67"/>
      <c r="AI166" s="47" t="s">
        <v>54</v>
      </c>
      <c r="AJ166" s="47">
        <v>306</v>
      </c>
      <c r="AK166" s="47" t="s">
        <v>55</v>
      </c>
      <c r="AL166" s="47" t="s">
        <v>55</v>
      </c>
      <c r="AM166" s="47" t="s">
        <v>3443</v>
      </c>
      <c r="AN166" s="47"/>
      <c r="AO166" s="211">
        <f t="shared" si="40"/>
        <v>-1</v>
      </c>
      <c r="AP166" s="47" t="s">
        <v>90</v>
      </c>
      <c r="AQ166" s="91" t="s">
        <v>116</v>
      </c>
      <c r="AR166" s="47" t="s">
        <v>1766</v>
      </c>
    </row>
    <row r="167" spans="1:44">
      <c r="A167" s="47" t="s">
        <v>44</v>
      </c>
      <c r="B167" s="47" t="str">
        <f t="shared" si="36"/>
        <v>August</v>
      </c>
      <c r="C167" s="59">
        <v>45505</v>
      </c>
      <c r="D167" s="47" t="s">
        <v>45</v>
      </c>
      <c r="E167" s="47" t="s">
        <v>59</v>
      </c>
      <c r="F167" s="47" t="s">
        <v>60</v>
      </c>
      <c r="G167" s="91" t="s">
        <v>61</v>
      </c>
      <c r="H167" s="47" t="s">
        <v>62</v>
      </c>
      <c r="I167" s="47" t="s">
        <v>63</v>
      </c>
      <c r="J167" s="47" t="s">
        <v>51</v>
      </c>
      <c r="K167" s="48">
        <v>44410</v>
      </c>
      <c r="L167" s="48">
        <v>45140</v>
      </c>
      <c r="M167" s="48">
        <v>45505</v>
      </c>
      <c r="N167" s="47" t="s">
        <v>64</v>
      </c>
      <c r="O167" s="55" t="s">
        <v>53</v>
      </c>
      <c r="P167" s="62">
        <v>16440</v>
      </c>
      <c r="Q167" s="62">
        <v>1370</v>
      </c>
      <c r="R167" s="96">
        <v>17040</v>
      </c>
      <c r="S167" s="62">
        <f t="shared" si="42"/>
        <v>1420</v>
      </c>
      <c r="T167" s="62">
        <v>16200</v>
      </c>
      <c r="U167" s="62">
        <f t="shared" si="43"/>
        <v>1350</v>
      </c>
      <c r="V167" s="69">
        <v>14460</v>
      </c>
      <c r="W167" s="71">
        <v>1430</v>
      </c>
      <c r="X167" s="105">
        <f>W167-25</f>
        <v>1405</v>
      </c>
      <c r="Y167" s="171">
        <f t="shared" ref="Y167:Y198" si="47">(X167-U167)/U167</f>
        <v>4.0740740740740744E-2</v>
      </c>
      <c r="Z167" s="64">
        <f t="shared" si="37"/>
        <v>5.9259259259259262E-2</v>
      </c>
      <c r="AA167" s="64">
        <f t="shared" si="44"/>
        <v>7.0422535211267607E-3</v>
      </c>
      <c r="AB167" s="71">
        <f t="shared" ref="AB167:AB198" si="48">W167</f>
        <v>1430</v>
      </c>
      <c r="AC167" s="64">
        <f t="shared" si="38"/>
        <v>5.9259259259259262E-2</v>
      </c>
      <c r="AD167" s="64">
        <f t="shared" si="45"/>
        <v>7.0422535211267607E-3</v>
      </c>
      <c r="AE167" s="71">
        <v>1425</v>
      </c>
      <c r="AF167" s="64">
        <f t="shared" si="39"/>
        <v>5.5555555555555552E-2</v>
      </c>
      <c r="AG167" s="64">
        <f t="shared" si="46"/>
        <v>3.5211267605633804E-3</v>
      </c>
      <c r="AH167" s="67"/>
      <c r="AI167" s="47" t="s">
        <v>54</v>
      </c>
      <c r="AJ167" s="47">
        <v>757</v>
      </c>
      <c r="AK167" s="47" t="s">
        <v>65</v>
      </c>
      <c r="AL167" s="47" t="s">
        <v>65</v>
      </c>
      <c r="AM167" s="47" t="s">
        <v>66</v>
      </c>
      <c r="AN167" s="50">
        <v>1430</v>
      </c>
      <c r="AO167" s="211">
        <f t="shared" si="40"/>
        <v>5.9259259259259262E-2</v>
      </c>
      <c r="AP167" s="47" t="s">
        <v>57</v>
      </c>
      <c r="AQ167" s="47" t="s">
        <v>58</v>
      </c>
      <c r="AR167" s="47"/>
    </row>
    <row r="168" spans="1:44" hidden="1">
      <c r="A168" s="47" t="s">
        <v>44</v>
      </c>
      <c r="B168" s="47" t="str">
        <f t="shared" si="36"/>
        <v>August</v>
      </c>
      <c r="C168" s="59">
        <v>45505</v>
      </c>
      <c r="D168" s="47" t="s">
        <v>45</v>
      </c>
      <c r="E168" s="47" t="s">
        <v>59</v>
      </c>
      <c r="F168" s="47" t="s">
        <v>60</v>
      </c>
      <c r="G168" s="91" t="s">
        <v>67</v>
      </c>
      <c r="H168" s="47" t="s">
        <v>68</v>
      </c>
      <c r="I168" s="47" t="s">
        <v>63</v>
      </c>
      <c r="J168" s="47" t="s">
        <v>51</v>
      </c>
      <c r="K168" s="48">
        <v>45140</v>
      </c>
      <c r="L168" s="48">
        <v>45140</v>
      </c>
      <c r="M168" s="48">
        <v>45505</v>
      </c>
      <c r="N168" s="47" t="s">
        <v>52</v>
      </c>
      <c r="O168" s="55" t="s">
        <v>53</v>
      </c>
      <c r="P168" s="62">
        <v>15780</v>
      </c>
      <c r="Q168" s="62">
        <v>1315</v>
      </c>
      <c r="R168" s="96">
        <v>16320</v>
      </c>
      <c r="S168" s="62">
        <f t="shared" si="42"/>
        <v>1360</v>
      </c>
      <c r="T168" s="62">
        <v>15780</v>
      </c>
      <c r="U168" s="62">
        <f t="shared" si="43"/>
        <v>1315</v>
      </c>
      <c r="V168" s="69">
        <v>14940</v>
      </c>
      <c r="W168" s="71">
        <v>1395</v>
      </c>
      <c r="X168" s="105">
        <f>W168-25</f>
        <v>1370</v>
      </c>
      <c r="Y168" s="171">
        <f t="shared" si="47"/>
        <v>4.1825095057034217E-2</v>
      </c>
      <c r="Z168" s="64">
        <f t="shared" si="37"/>
        <v>6.0836501901140684E-2</v>
      </c>
      <c r="AA168" s="64">
        <f t="shared" si="44"/>
        <v>2.5735294117647058E-2</v>
      </c>
      <c r="AB168" s="71">
        <f t="shared" si="48"/>
        <v>1395</v>
      </c>
      <c r="AC168" s="64">
        <f t="shared" si="38"/>
        <v>6.0836501901140684E-2</v>
      </c>
      <c r="AD168" s="64">
        <f t="shared" si="45"/>
        <v>2.5735294117647058E-2</v>
      </c>
      <c r="AE168" s="71">
        <v>1375</v>
      </c>
      <c r="AF168" s="64">
        <f t="shared" si="39"/>
        <v>4.5627376425855515E-2</v>
      </c>
      <c r="AG168" s="64">
        <f t="shared" si="46"/>
        <v>1.1029411764705883E-2</v>
      </c>
      <c r="AH168" s="67"/>
      <c r="AI168" s="47" t="s">
        <v>54</v>
      </c>
      <c r="AJ168" s="47">
        <v>795</v>
      </c>
      <c r="AK168" s="47" t="s">
        <v>65</v>
      </c>
      <c r="AL168" s="47" t="s">
        <v>65</v>
      </c>
      <c r="AM168" s="47" t="s">
        <v>69</v>
      </c>
      <c r="AN168" s="50"/>
      <c r="AO168" s="211">
        <f t="shared" si="40"/>
        <v>-1</v>
      </c>
      <c r="AP168" s="47" t="s">
        <v>57</v>
      </c>
      <c r="AQ168" s="47" t="s">
        <v>58</v>
      </c>
      <c r="AR168" s="47" t="s">
        <v>70</v>
      </c>
    </row>
    <row r="169" spans="1:44">
      <c r="A169" s="47" t="s">
        <v>44</v>
      </c>
      <c r="B169" s="47" t="str">
        <f t="shared" si="36"/>
        <v>August</v>
      </c>
      <c r="C169" s="59">
        <v>45507</v>
      </c>
      <c r="D169" s="47" t="s">
        <v>45</v>
      </c>
      <c r="E169" s="47" t="s">
        <v>59</v>
      </c>
      <c r="F169" s="47" t="s">
        <v>60</v>
      </c>
      <c r="G169" s="91" t="s">
        <v>174</v>
      </c>
      <c r="H169" s="47" t="s">
        <v>175</v>
      </c>
      <c r="I169" s="47" t="s">
        <v>63</v>
      </c>
      <c r="J169" s="47" t="s">
        <v>51</v>
      </c>
      <c r="K169" s="48">
        <v>44596</v>
      </c>
      <c r="L169" s="48">
        <v>45142</v>
      </c>
      <c r="M169" s="48">
        <v>45507</v>
      </c>
      <c r="N169" s="47" t="s">
        <v>64</v>
      </c>
      <c r="O169" s="55" t="s">
        <v>53</v>
      </c>
      <c r="P169" s="62">
        <v>22440</v>
      </c>
      <c r="Q169" s="62">
        <v>1870</v>
      </c>
      <c r="R169" s="96">
        <v>22860</v>
      </c>
      <c r="S169" s="62">
        <f t="shared" si="42"/>
        <v>1905</v>
      </c>
      <c r="T169" s="62">
        <v>21780</v>
      </c>
      <c r="U169" s="62">
        <f t="shared" si="43"/>
        <v>1815</v>
      </c>
      <c r="V169" s="69">
        <v>20160</v>
      </c>
      <c r="W169" s="71">
        <v>1920</v>
      </c>
      <c r="X169" s="105">
        <f>W169-55</f>
        <v>1865</v>
      </c>
      <c r="Y169" s="171">
        <f t="shared" si="47"/>
        <v>2.7548209366391185E-2</v>
      </c>
      <c r="Z169" s="64">
        <f t="shared" si="37"/>
        <v>5.7851239669421489E-2</v>
      </c>
      <c r="AA169" s="64">
        <f t="shared" si="44"/>
        <v>7.874015748031496E-3</v>
      </c>
      <c r="AB169" s="71">
        <f t="shared" si="48"/>
        <v>1920</v>
      </c>
      <c r="AC169" s="64">
        <f t="shared" si="38"/>
        <v>5.7851239669421489E-2</v>
      </c>
      <c r="AD169" s="64">
        <f t="shared" si="45"/>
        <v>7.874015748031496E-3</v>
      </c>
      <c r="AE169" s="71">
        <f>AB169</f>
        <v>1920</v>
      </c>
      <c r="AF169" s="64">
        <f t="shared" si="39"/>
        <v>5.7851239669421489E-2</v>
      </c>
      <c r="AG169" s="64">
        <f t="shared" si="46"/>
        <v>7.874015748031496E-3</v>
      </c>
      <c r="AH169" s="67"/>
      <c r="AI169" s="47" t="s">
        <v>54</v>
      </c>
      <c r="AJ169" s="47">
        <v>1015</v>
      </c>
      <c r="AK169" s="47" t="s">
        <v>140</v>
      </c>
      <c r="AL169" s="47" t="s">
        <v>65</v>
      </c>
      <c r="AM169" s="47" t="s">
        <v>176</v>
      </c>
      <c r="AN169" s="50">
        <v>1905</v>
      </c>
      <c r="AO169" s="211">
        <f t="shared" si="40"/>
        <v>4.9586776859504134E-2</v>
      </c>
      <c r="AP169" s="47" t="s">
        <v>57</v>
      </c>
      <c r="AQ169" s="47" t="s">
        <v>58</v>
      </c>
      <c r="AR169" s="47"/>
    </row>
    <row r="170" spans="1:44" hidden="1">
      <c r="A170" s="47" t="s">
        <v>44</v>
      </c>
      <c r="B170" s="47" t="str">
        <f t="shared" si="36"/>
        <v>August</v>
      </c>
      <c r="C170" s="59">
        <v>45507</v>
      </c>
      <c r="D170" s="47" t="s">
        <v>45</v>
      </c>
      <c r="E170" s="47" t="s">
        <v>59</v>
      </c>
      <c r="F170" s="47" t="s">
        <v>60</v>
      </c>
      <c r="G170" s="91" t="s">
        <v>177</v>
      </c>
      <c r="H170" s="47" t="s">
        <v>178</v>
      </c>
      <c r="I170" s="47" t="s">
        <v>63</v>
      </c>
      <c r="J170" s="47" t="s">
        <v>51</v>
      </c>
      <c r="K170" s="48">
        <v>45142</v>
      </c>
      <c r="L170" s="48">
        <v>45142</v>
      </c>
      <c r="M170" s="48">
        <v>45507</v>
      </c>
      <c r="N170" s="47" t="s">
        <v>52</v>
      </c>
      <c r="O170" s="55" t="s">
        <v>53</v>
      </c>
      <c r="P170" s="62">
        <v>22440</v>
      </c>
      <c r="Q170" s="62">
        <v>1870</v>
      </c>
      <c r="R170" s="96">
        <v>22860</v>
      </c>
      <c r="S170" s="62">
        <f t="shared" si="42"/>
        <v>1905</v>
      </c>
      <c r="T170" s="62">
        <v>21780</v>
      </c>
      <c r="U170" s="62">
        <f t="shared" si="43"/>
        <v>1815</v>
      </c>
      <c r="V170" s="69">
        <v>20160</v>
      </c>
      <c r="W170" s="71">
        <v>1920</v>
      </c>
      <c r="X170" s="105">
        <f>W170-55</f>
        <v>1865</v>
      </c>
      <c r="Y170" s="171">
        <f t="shared" si="47"/>
        <v>2.7548209366391185E-2</v>
      </c>
      <c r="Z170" s="64">
        <f t="shared" si="37"/>
        <v>5.7851239669421489E-2</v>
      </c>
      <c r="AA170" s="64">
        <f t="shared" si="44"/>
        <v>7.874015748031496E-3</v>
      </c>
      <c r="AB170" s="71">
        <f t="shared" si="48"/>
        <v>1920</v>
      </c>
      <c r="AC170" s="64">
        <f t="shared" si="38"/>
        <v>5.7851239669421489E-2</v>
      </c>
      <c r="AD170" s="64">
        <f t="shared" si="45"/>
        <v>7.874015748031496E-3</v>
      </c>
      <c r="AE170" s="71">
        <f>AB170</f>
        <v>1920</v>
      </c>
      <c r="AF170" s="64">
        <f t="shared" si="39"/>
        <v>5.7851239669421489E-2</v>
      </c>
      <c r="AG170" s="64">
        <f t="shared" si="46"/>
        <v>7.874015748031496E-3</v>
      </c>
      <c r="AH170" s="67"/>
      <c r="AI170" s="47" t="s">
        <v>54</v>
      </c>
      <c r="AJ170" s="47">
        <v>1006</v>
      </c>
      <c r="AK170" s="47" t="s">
        <v>140</v>
      </c>
      <c r="AL170" s="47" t="s">
        <v>65</v>
      </c>
      <c r="AM170" s="47" t="s">
        <v>179</v>
      </c>
      <c r="AN170" s="50"/>
      <c r="AO170" s="211">
        <f t="shared" si="40"/>
        <v>-1</v>
      </c>
      <c r="AP170" s="47" t="s">
        <v>57</v>
      </c>
      <c r="AQ170" s="47" t="s">
        <v>58</v>
      </c>
      <c r="AR170" s="47"/>
    </row>
    <row r="171" spans="1:44" hidden="1">
      <c r="A171" s="47" t="s">
        <v>44</v>
      </c>
      <c r="B171" s="47" t="str">
        <f t="shared" si="36"/>
        <v>August</v>
      </c>
      <c r="C171" s="59">
        <v>45507</v>
      </c>
      <c r="D171" s="47" t="s">
        <v>45</v>
      </c>
      <c r="E171" s="47" t="s">
        <v>59</v>
      </c>
      <c r="F171" s="47" t="s">
        <v>60</v>
      </c>
      <c r="G171" s="91" t="s">
        <v>183</v>
      </c>
      <c r="H171" s="47" t="s">
        <v>184</v>
      </c>
      <c r="I171" s="47" t="s">
        <v>63</v>
      </c>
      <c r="J171" s="47" t="s">
        <v>51</v>
      </c>
      <c r="K171" s="48">
        <v>45142</v>
      </c>
      <c r="L171" s="48">
        <v>45142</v>
      </c>
      <c r="M171" s="48">
        <v>45507</v>
      </c>
      <c r="N171" s="47" t="s">
        <v>52</v>
      </c>
      <c r="O171" s="55" t="s">
        <v>53</v>
      </c>
      <c r="P171" s="62">
        <v>16020</v>
      </c>
      <c r="Q171" s="62">
        <v>1335</v>
      </c>
      <c r="R171" s="96">
        <v>16560</v>
      </c>
      <c r="S171" s="62">
        <f t="shared" si="42"/>
        <v>1380</v>
      </c>
      <c r="T171" s="62">
        <v>16020</v>
      </c>
      <c r="U171" s="62">
        <f t="shared" si="43"/>
        <v>1335</v>
      </c>
      <c r="V171" s="69">
        <v>14220</v>
      </c>
      <c r="W171" s="71">
        <v>1415</v>
      </c>
      <c r="X171" s="105">
        <f>W171-25</f>
        <v>1390</v>
      </c>
      <c r="Y171" s="171">
        <f t="shared" si="47"/>
        <v>4.1198501872659173E-2</v>
      </c>
      <c r="Z171" s="64">
        <f t="shared" si="37"/>
        <v>5.9925093632958802E-2</v>
      </c>
      <c r="AA171" s="64">
        <f t="shared" si="44"/>
        <v>2.5362318840579712E-2</v>
      </c>
      <c r="AB171" s="71">
        <f t="shared" si="48"/>
        <v>1415</v>
      </c>
      <c r="AC171" s="64">
        <f t="shared" si="38"/>
        <v>5.9925093632958802E-2</v>
      </c>
      <c r="AD171" s="64">
        <f t="shared" si="45"/>
        <v>2.5362318840579712E-2</v>
      </c>
      <c r="AE171" s="71">
        <f>AB171</f>
        <v>1415</v>
      </c>
      <c r="AF171" s="64">
        <f t="shared" si="39"/>
        <v>5.9925093632958802E-2</v>
      </c>
      <c r="AG171" s="64">
        <f t="shared" si="46"/>
        <v>2.5362318840579712E-2</v>
      </c>
      <c r="AH171" s="67"/>
      <c r="AI171" s="47" t="s">
        <v>54</v>
      </c>
      <c r="AJ171" s="47">
        <v>866</v>
      </c>
      <c r="AK171" s="47" t="s">
        <v>65</v>
      </c>
      <c r="AL171" s="47" t="s">
        <v>65</v>
      </c>
      <c r="AM171" s="47" t="s">
        <v>185</v>
      </c>
      <c r="AN171" s="50"/>
      <c r="AO171" s="211">
        <f t="shared" si="40"/>
        <v>-1</v>
      </c>
      <c r="AP171" s="47" t="s">
        <v>57</v>
      </c>
      <c r="AQ171" s="47" t="s">
        <v>58</v>
      </c>
      <c r="AR171" s="47"/>
    </row>
    <row r="172" spans="1:44">
      <c r="A172" s="47" t="s">
        <v>44</v>
      </c>
      <c r="B172" s="47" t="str">
        <f t="shared" si="36"/>
        <v>August</v>
      </c>
      <c r="C172" s="59">
        <v>45507</v>
      </c>
      <c r="D172" s="47" t="s">
        <v>45</v>
      </c>
      <c r="E172" s="47" t="s">
        <v>59</v>
      </c>
      <c r="F172" s="47" t="s">
        <v>60</v>
      </c>
      <c r="G172" s="91" t="s">
        <v>186</v>
      </c>
      <c r="H172" s="47" t="s">
        <v>187</v>
      </c>
      <c r="I172" s="47" t="s">
        <v>63</v>
      </c>
      <c r="J172" s="47" t="s">
        <v>51</v>
      </c>
      <c r="K172" s="48">
        <v>44777</v>
      </c>
      <c r="L172" s="48">
        <v>45142</v>
      </c>
      <c r="M172" s="48">
        <v>45507</v>
      </c>
      <c r="N172" s="47" t="s">
        <v>64</v>
      </c>
      <c r="O172" s="55" t="s">
        <v>53</v>
      </c>
      <c r="P172" s="62">
        <v>15420</v>
      </c>
      <c r="Q172" s="62">
        <v>1285</v>
      </c>
      <c r="R172" s="96">
        <v>15960</v>
      </c>
      <c r="S172" s="62">
        <f t="shared" si="42"/>
        <v>1330</v>
      </c>
      <c r="T172" s="62">
        <v>15540</v>
      </c>
      <c r="U172" s="62">
        <f t="shared" si="43"/>
        <v>1295</v>
      </c>
      <c r="V172" s="69">
        <v>14100</v>
      </c>
      <c r="W172" s="71">
        <v>1390</v>
      </c>
      <c r="X172" s="105">
        <f>W172-25</f>
        <v>1365</v>
      </c>
      <c r="Y172" s="171">
        <f t="shared" si="47"/>
        <v>5.4054054054054057E-2</v>
      </c>
      <c r="Z172" s="64">
        <f t="shared" si="37"/>
        <v>7.3359073359073365E-2</v>
      </c>
      <c r="AA172" s="64">
        <f t="shared" si="44"/>
        <v>4.5112781954887216E-2</v>
      </c>
      <c r="AB172" s="71">
        <f t="shared" si="48"/>
        <v>1390</v>
      </c>
      <c r="AC172" s="64">
        <f t="shared" si="38"/>
        <v>7.3359073359073365E-2</v>
      </c>
      <c r="AD172" s="64">
        <f t="shared" si="45"/>
        <v>4.5112781954887216E-2</v>
      </c>
      <c r="AE172" s="71">
        <v>1355</v>
      </c>
      <c r="AF172" s="64">
        <f t="shared" si="39"/>
        <v>4.633204633204633E-2</v>
      </c>
      <c r="AG172" s="64">
        <f t="shared" si="46"/>
        <v>1.8796992481203006E-2</v>
      </c>
      <c r="AH172" s="67"/>
      <c r="AI172" s="47" t="s">
        <v>54</v>
      </c>
      <c r="AJ172" s="47">
        <v>736</v>
      </c>
      <c r="AK172" s="47" t="s">
        <v>65</v>
      </c>
      <c r="AL172" s="47" t="s">
        <v>65</v>
      </c>
      <c r="AM172" s="47" t="s">
        <v>188</v>
      </c>
      <c r="AN172" s="50">
        <v>1360</v>
      </c>
      <c r="AO172" s="211">
        <f t="shared" si="40"/>
        <v>5.019305019305019E-2</v>
      </c>
      <c r="AP172" s="47" t="s">
        <v>57</v>
      </c>
      <c r="AQ172" s="52" t="s">
        <v>58</v>
      </c>
      <c r="AR172" s="47"/>
    </row>
    <row r="173" spans="1:44" hidden="1">
      <c r="A173" s="47" t="s">
        <v>44</v>
      </c>
      <c r="B173" s="47" t="str">
        <f t="shared" si="36"/>
        <v>July</v>
      </c>
      <c r="C173" s="59">
        <v>45481</v>
      </c>
      <c r="D173" s="47" t="s">
        <v>45</v>
      </c>
      <c r="E173" s="47" t="s">
        <v>59</v>
      </c>
      <c r="F173" s="47" t="s">
        <v>60</v>
      </c>
      <c r="G173" s="91" t="s">
        <v>232</v>
      </c>
      <c r="H173" s="47" t="s">
        <v>233</v>
      </c>
      <c r="I173" s="47" t="s">
        <v>63</v>
      </c>
      <c r="J173" s="47" t="s">
        <v>51</v>
      </c>
      <c r="K173" s="48">
        <v>45300</v>
      </c>
      <c r="L173" s="48">
        <v>45300</v>
      </c>
      <c r="M173" s="48">
        <v>45481</v>
      </c>
      <c r="N173" s="47" t="s">
        <v>52</v>
      </c>
      <c r="O173" s="55" t="s">
        <v>53</v>
      </c>
      <c r="P173" s="62">
        <v>12840</v>
      </c>
      <c r="Q173" s="62">
        <v>1070</v>
      </c>
      <c r="R173" s="96">
        <v>13560</v>
      </c>
      <c r="S173" s="62">
        <f t="shared" si="42"/>
        <v>1130</v>
      </c>
      <c r="T173" s="62">
        <v>13560</v>
      </c>
      <c r="U173" s="62">
        <f t="shared" si="43"/>
        <v>1130</v>
      </c>
      <c r="V173" s="69">
        <v>12840</v>
      </c>
      <c r="W173" s="71">
        <v>1170</v>
      </c>
      <c r="X173" s="105">
        <f>W173-30</f>
        <v>1140</v>
      </c>
      <c r="Y173" s="176">
        <f t="shared" si="47"/>
        <v>8.8495575221238937E-3</v>
      </c>
      <c r="Z173" s="64">
        <f t="shared" si="37"/>
        <v>3.5398230088495575E-2</v>
      </c>
      <c r="AA173" s="64">
        <f t="shared" si="44"/>
        <v>3.5398230088495575E-2</v>
      </c>
      <c r="AB173" s="71">
        <f t="shared" si="48"/>
        <v>1170</v>
      </c>
      <c r="AC173" s="64">
        <f t="shared" si="38"/>
        <v>3.5398230088495575E-2</v>
      </c>
      <c r="AD173" s="64">
        <f t="shared" si="45"/>
        <v>3.5398230088495575E-2</v>
      </c>
      <c r="AE173" s="71">
        <f>AB173</f>
        <v>1170</v>
      </c>
      <c r="AF173" s="64">
        <f t="shared" si="39"/>
        <v>3.5398230088495575E-2</v>
      </c>
      <c r="AG173" s="64">
        <f t="shared" si="46"/>
        <v>3.5398230088495575E-2</v>
      </c>
      <c r="AH173" s="67"/>
      <c r="AI173" s="47" t="s">
        <v>54</v>
      </c>
      <c r="AJ173" s="47">
        <v>599</v>
      </c>
      <c r="AK173" s="101" t="s">
        <v>55</v>
      </c>
      <c r="AL173" s="101" t="s">
        <v>55</v>
      </c>
      <c r="AM173" s="47" t="s">
        <v>234</v>
      </c>
      <c r="AN173" s="50">
        <v>1170</v>
      </c>
      <c r="AO173" s="211">
        <f t="shared" si="40"/>
        <v>3.5398230088495575E-2</v>
      </c>
      <c r="AP173" s="47" t="s">
        <v>57</v>
      </c>
      <c r="AQ173" s="47" t="s">
        <v>58</v>
      </c>
      <c r="AR173" s="47"/>
    </row>
    <row r="174" spans="1:44" hidden="1">
      <c r="A174" s="47" t="s">
        <v>44</v>
      </c>
      <c r="B174" s="47" t="str">
        <f t="shared" si="36"/>
        <v>August</v>
      </c>
      <c r="C174" s="59">
        <v>45508</v>
      </c>
      <c r="D174" s="47" t="s">
        <v>45</v>
      </c>
      <c r="E174" s="47" t="s">
        <v>59</v>
      </c>
      <c r="F174" s="47" t="s">
        <v>60</v>
      </c>
      <c r="G174" s="91" t="s">
        <v>274</v>
      </c>
      <c r="H174" s="47" t="s">
        <v>275</v>
      </c>
      <c r="I174" s="47" t="s">
        <v>63</v>
      </c>
      <c r="J174" s="47" t="s">
        <v>51</v>
      </c>
      <c r="K174" s="48">
        <v>45143</v>
      </c>
      <c r="L174" s="48">
        <v>45143</v>
      </c>
      <c r="M174" s="48">
        <v>45508</v>
      </c>
      <c r="N174" s="47" t="s">
        <v>52</v>
      </c>
      <c r="O174" s="55" t="s">
        <v>53</v>
      </c>
      <c r="P174" s="62">
        <v>13200</v>
      </c>
      <c r="Q174" s="62">
        <v>1100</v>
      </c>
      <c r="R174" s="96">
        <v>13740</v>
      </c>
      <c r="S174" s="62">
        <f t="shared" si="42"/>
        <v>1145</v>
      </c>
      <c r="T174" s="62">
        <v>13200</v>
      </c>
      <c r="U174" s="62">
        <f t="shared" si="43"/>
        <v>1100</v>
      </c>
      <c r="V174" s="69">
        <v>11820</v>
      </c>
      <c r="W174" s="71">
        <v>1170</v>
      </c>
      <c r="X174" s="105">
        <f>W174-30</f>
        <v>1140</v>
      </c>
      <c r="Y174" s="171">
        <f t="shared" si="47"/>
        <v>3.6363636363636362E-2</v>
      </c>
      <c r="Z174" s="64">
        <f t="shared" si="37"/>
        <v>6.363636363636363E-2</v>
      </c>
      <c r="AA174" s="64">
        <f t="shared" si="44"/>
        <v>2.1834061135371178E-2</v>
      </c>
      <c r="AB174" s="71">
        <f t="shared" si="48"/>
        <v>1170</v>
      </c>
      <c r="AC174" s="64">
        <f t="shared" si="38"/>
        <v>6.363636363636363E-2</v>
      </c>
      <c r="AD174" s="64">
        <f t="shared" si="45"/>
        <v>2.1834061135371178E-2</v>
      </c>
      <c r="AE174" s="71">
        <v>1160</v>
      </c>
      <c r="AF174" s="64">
        <f t="shared" si="39"/>
        <v>5.4545454545454543E-2</v>
      </c>
      <c r="AG174" s="64">
        <f t="shared" si="46"/>
        <v>1.3100436681222707E-2</v>
      </c>
      <c r="AH174" s="67"/>
      <c r="AI174" s="47" t="s">
        <v>54</v>
      </c>
      <c r="AJ174" s="47">
        <v>491</v>
      </c>
      <c r="AK174" s="47" t="s">
        <v>55</v>
      </c>
      <c r="AL174" s="47" t="s">
        <v>55</v>
      </c>
      <c r="AM174" s="47" t="s">
        <v>276</v>
      </c>
      <c r="AN174" s="50"/>
      <c r="AO174" s="211">
        <f t="shared" si="40"/>
        <v>-1</v>
      </c>
      <c r="AP174" s="47" t="s">
        <v>57</v>
      </c>
      <c r="AQ174" s="47" t="s">
        <v>58</v>
      </c>
      <c r="AR174" s="47"/>
    </row>
    <row r="175" spans="1:44">
      <c r="A175" s="47" t="s">
        <v>44</v>
      </c>
      <c r="B175" s="47" t="str">
        <f t="shared" si="36"/>
        <v>August</v>
      </c>
      <c r="C175" s="59">
        <v>45508</v>
      </c>
      <c r="D175" s="47" t="s">
        <v>45</v>
      </c>
      <c r="E175" s="47" t="s">
        <v>59</v>
      </c>
      <c r="F175" s="47" t="s">
        <v>60</v>
      </c>
      <c r="G175" s="91" t="s">
        <v>280</v>
      </c>
      <c r="H175" s="47" t="s">
        <v>281</v>
      </c>
      <c r="I175" s="47" t="s">
        <v>63</v>
      </c>
      <c r="J175" s="47" t="s">
        <v>51</v>
      </c>
      <c r="K175" s="48">
        <v>44048</v>
      </c>
      <c r="L175" s="48">
        <v>45143</v>
      </c>
      <c r="M175" s="48">
        <v>45508</v>
      </c>
      <c r="N175" s="47" t="s">
        <v>64</v>
      </c>
      <c r="O175" s="55" t="s">
        <v>53</v>
      </c>
      <c r="P175" s="62">
        <v>13020</v>
      </c>
      <c r="Q175" s="62">
        <v>1085</v>
      </c>
      <c r="R175" s="96">
        <v>13560</v>
      </c>
      <c r="S175" s="62">
        <f t="shared" si="42"/>
        <v>1130</v>
      </c>
      <c r="T175" s="62">
        <v>13260</v>
      </c>
      <c r="U175" s="62">
        <f t="shared" si="43"/>
        <v>1105</v>
      </c>
      <c r="V175" s="69">
        <v>11880</v>
      </c>
      <c r="W175" s="71">
        <v>1180</v>
      </c>
      <c r="X175" s="105">
        <f>W175-30</f>
        <v>1150</v>
      </c>
      <c r="Y175" s="171">
        <f t="shared" si="47"/>
        <v>4.072398190045249E-2</v>
      </c>
      <c r="Z175" s="64">
        <f t="shared" si="37"/>
        <v>6.7873303167420809E-2</v>
      </c>
      <c r="AA175" s="64">
        <f t="shared" si="44"/>
        <v>4.4247787610619468E-2</v>
      </c>
      <c r="AB175" s="71">
        <f t="shared" si="48"/>
        <v>1180</v>
      </c>
      <c r="AC175" s="64">
        <f t="shared" si="38"/>
        <v>6.7873303167420809E-2</v>
      </c>
      <c r="AD175" s="64">
        <f t="shared" si="45"/>
        <v>4.4247787610619468E-2</v>
      </c>
      <c r="AE175" s="71">
        <v>1155</v>
      </c>
      <c r="AF175" s="64">
        <f t="shared" si="39"/>
        <v>4.5248868778280542E-2</v>
      </c>
      <c r="AG175" s="64">
        <f t="shared" si="46"/>
        <v>2.2123893805309734E-2</v>
      </c>
      <c r="AH175" s="67"/>
      <c r="AI175" s="47" t="s">
        <v>54</v>
      </c>
      <c r="AJ175" s="47">
        <v>589</v>
      </c>
      <c r="AK175" s="47" t="s">
        <v>55</v>
      </c>
      <c r="AL175" s="47" t="s">
        <v>55</v>
      </c>
      <c r="AM175" s="47" t="s">
        <v>282</v>
      </c>
      <c r="AN175" s="50">
        <v>1165</v>
      </c>
      <c r="AO175" s="211">
        <f t="shared" si="40"/>
        <v>5.4298642533936653E-2</v>
      </c>
      <c r="AP175" s="47" t="s">
        <v>57</v>
      </c>
      <c r="AQ175" s="47" t="s">
        <v>58</v>
      </c>
      <c r="AR175" s="47"/>
    </row>
    <row r="176" spans="1:44" hidden="1">
      <c r="A176" s="47" t="s">
        <v>44</v>
      </c>
      <c r="B176" s="47" t="str">
        <f t="shared" si="36"/>
        <v>August</v>
      </c>
      <c r="C176" s="59">
        <v>45508</v>
      </c>
      <c r="D176" s="47" t="s">
        <v>45</v>
      </c>
      <c r="E176" s="47" t="s">
        <v>59</v>
      </c>
      <c r="F176" s="47" t="s">
        <v>60</v>
      </c>
      <c r="G176" s="91" t="s">
        <v>283</v>
      </c>
      <c r="H176" s="47" t="s">
        <v>284</v>
      </c>
      <c r="I176" s="47" t="s">
        <v>63</v>
      </c>
      <c r="J176" s="47" t="s">
        <v>51</v>
      </c>
      <c r="K176" s="48">
        <v>45143</v>
      </c>
      <c r="L176" s="48">
        <v>45143</v>
      </c>
      <c r="M176" s="48">
        <v>45508</v>
      </c>
      <c r="N176" s="47" t="s">
        <v>52</v>
      </c>
      <c r="O176" s="55" t="s">
        <v>53</v>
      </c>
      <c r="P176" s="62">
        <v>15360</v>
      </c>
      <c r="Q176" s="62">
        <v>1280</v>
      </c>
      <c r="R176" s="96">
        <v>15900</v>
      </c>
      <c r="S176" s="62">
        <f t="shared" si="42"/>
        <v>1325</v>
      </c>
      <c r="T176" s="62">
        <v>15360</v>
      </c>
      <c r="U176" s="62">
        <f t="shared" si="43"/>
        <v>1280</v>
      </c>
      <c r="V176" s="69">
        <v>13860</v>
      </c>
      <c r="W176" s="71">
        <v>1365</v>
      </c>
      <c r="X176" s="105">
        <f>W176-25</f>
        <v>1340</v>
      </c>
      <c r="Y176" s="171">
        <f t="shared" si="47"/>
        <v>4.6875E-2</v>
      </c>
      <c r="Z176" s="64">
        <f t="shared" si="37"/>
        <v>6.640625E-2</v>
      </c>
      <c r="AA176" s="64">
        <f t="shared" si="44"/>
        <v>3.0188679245283019E-2</v>
      </c>
      <c r="AB176" s="71">
        <f t="shared" si="48"/>
        <v>1365</v>
      </c>
      <c r="AC176" s="64">
        <f t="shared" si="38"/>
        <v>6.640625E-2</v>
      </c>
      <c r="AD176" s="64">
        <f t="shared" si="45"/>
        <v>3.0188679245283019E-2</v>
      </c>
      <c r="AE176" s="71">
        <v>1335</v>
      </c>
      <c r="AF176" s="64">
        <f t="shared" si="39"/>
        <v>4.296875E-2</v>
      </c>
      <c r="AG176" s="64">
        <f t="shared" si="46"/>
        <v>7.5471698113207548E-3</v>
      </c>
      <c r="AH176" s="67"/>
      <c r="AI176" s="47" t="s">
        <v>54</v>
      </c>
      <c r="AJ176" s="47">
        <v>715</v>
      </c>
      <c r="AK176" s="47" t="s">
        <v>65</v>
      </c>
      <c r="AL176" s="47" t="s">
        <v>65</v>
      </c>
      <c r="AM176" s="47" t="s">
        <v>285</v>
      </c>
      <c r="AN176" s="50"/>
      <c r="AO176" s="211">
        <f t="shared" si="40"/>
        <v>-1</v>
      </c>
      <c r="AP176" s="47" t="s">
        <v>57</v>
      </c>
      <c r="AQ176" s="47" t="s">
        <v>58</v>
      </c>
      <c r="AR176" s="47"/>
    </row>
    <row r="177" spans="1:44">
      <c r="A177" s="47" t="s">
        <v>44</v>
      </c>
      <c r="B177" s="47" t="str">
        <f t="shared" si="36"/>
        <v>July</v>
      </c>
      <c r="C177" s="59">
        <v>45477</v>
      </c>
      <c r="D177" s="47" t="s">
        <v>45</v>
      </c>
      <c r="E177" s="47" t="s">
        <v>59</v>
      </c>
      <c r="F177" s="47" t="s">
        <v>60</v>
      </c>
      <c r="G177" s="91" t="s">
        <v>340</v>
      </c>
      <c r="H177" s="47" t="s">
        <v>341</v>
      </c>
      <c r="I177" s="47" t="s">
        <v>63</v>
      </c>
      <c r="J177" s="47" t="s">
        <v>51</v>
      </c>
      <c r="K177" s="48">
        <v>43651</v>
      </c>
      <c r="L177" s="48">
        <v>45112</v>
      </c>
      <c r="M177" s="48">
        <v>45477</v>
      </c>
      <c r="N177" s="47" t="s">
        <v>64</v>
      </c>
      <c r="O177" s="55" t="s">
        <v>53</v>
      </c>
      <c r="P177" s="62">
        <v>22200</v>
      </c>
      <c r="Q177" s="62">
        <v>1850</v>
      </c>
      <c r="R177" s="96">
        <v>22620</v>
      </c>
      <c r="S177" s="62">
        <f t="shared" si="42"/>
        <v>1885</v>
      </c>
      <c r="T177" s="62">
        <v>21780</v>
      </c>
      <c r="U177" s="62">
        <f t="shared" si="43"/>
        <v>1815</v>
      </c>
      <c r="V177" s="69">
        <v>19920</v>
      </c>
      <c r="W177" s="71">
        <v>1915</v>
      </c>
      <c r="X177" s="105">
        <f>W177-55</f>
        <v>1860</v>
      </c>
      <c r="Y177" s="171">
        <f t="shared" si="47"/>
        <v>2.4793388429752067E-2</v>
      </c>
      <c r="Z177" s="64">
        <f t="shared" si="37"/>
        <v>5.5096418732782371E-2</v>
      </c>
      <c r="AA177" s="64">
        <f t="shared" si="44"/>
        <v>1.5915119363395226E-2</v>
      </c>
      <c r="AB177" s="71">
        <f t="shared" si="48"/>
        <v>1915</v>
      </c>
      <c r="AC177" s="64">
        <f t="shared" si="38"/>
        <v>5.5096418732782371E-2</v>
      </c>
      <c r="AD177" s="64">
        <f t="shared" si="45"/>
        <v>1.5915119363395226E-2</v>
      </c>
      <c r="AE177" s="71">
        <v>1905</v>
      </c>
      <c r="AF177" s="64">
        <f t="shared" si="39"/>
        <v>4.9586776859504134E-2</v>
      </c>
      <c r="AG177" s="64">
        <f t="shared" si="46"/>
        <v>1.0610079575596816E-2</v>
      </c>
      <c r="AH177" s="67"/>
      <c r="AI177" s="47" t="s">
        <v>250</v>
      </c>
      <c r="AJ177" s="47">
        <v>1051</v>
      </c>
      <c r="AK177" s="101" t="s">
        <v>140</v>
      </c>
      <c r="AL177" s="101" t="s">
        <v>65</v>
      </c>
      <c r="AM177" s="47" t="s">
        <v>342</v>
      </c>
      <c r="AN177" s="50"/>
      <c r="AO177" s="211">
        <f t="shared" si="40"/>
        <v>-1</v>
      </c>
      <c r="AP177" s="47" t="s">
        <v>57</v>
      </c>
      <c r="AQ177" s="47" t="s">
        <v>58</v>
      </c>
      <c r="AR177" s="47"/>
    </row>
    <row r="178" spans="1:44">
      <c r="A178" s="47" t="s">
        <v>44</v>
      </c>
      <c r="B178" s="47" t="str">
        <f t="shared" si="36"/>
        <v>July</v>
      </c>
      <c r="C178" s="59">
        <v>45490</v>
      </c>
      <c r="D178" s="47" t="s">
        <v>45</v>
      </c>
      <c r="E178" s="47" t="s">
        <v>59</v>
      </c>
      <c r="F178" s="47" t="s">
        <v>60</v>
      </c>
      <c r="G178" s="91" t="s">
        <v>407</v>
      </c>
      <c r="H178" s="47" t="s">
        <v>408</v>
      </c>
      <c r="I178" s="47" t="s">
        <v>63</v>
      </c>
      <c r="J178" s="47" t="s">
        <v>51</v>
      </c>
      <c r="K178" s="48">
        <v>44760</v>
      </c>
      <c r="L178" s="48">
        <v>45125</v>
      </c>
      <c r="M178" s="48">
        <v>45490</v>
      </c>
      <c r="N178" s="47" t="s">
        <v>64</v>
      </c>
      <c r="O178" s="55" t="s">
        <v>53</v>
      </c>
      <c r="P178" s="62">
        <v>20940</v>
      </c>
      <c r="Q178" s="62">
        <v>1745</v>
      </c>
      <c r="R178" s="96">
        <v>21360</v>
      </c>
      <c r="S178" s="62">
        <f t="shared" si="42"/>
        <v>1780</v>
      </c>
      <c r="T178" s="62">
        <v>20340</v>
      </c>
      <c r="U178" s="62">
        <f t="shared" si="43"/>
        <v>1695</v>
      </c>
      <c r="V178" s="69">
        <v>18840</v>
      </c>
      <c r="W178" s="71">
        <v>1805</v>
      </c>
      <c r="X178" s="105">
        <f>W178-55</f>
        <v>1750</v>
      </c>
      <c r="Y178" s="171">
        <f t="shared" si="47"/>
        <v>3.2448377581120944E-2</v>
      </c>
      <c r="Z178" s="64">
        <f t="shared" si="37"/>
        <v>6.4896755162241887E-2</v>
      </c>
      <c r="AA178" s="64">
        <f t="shared" si="44"/>
        <v>1.4044943820224719E-2</v>
      </c>
      <c r="AB178" s="71">
        <f t="shared" si="48"/>
        <v>1805</v>
      </c>
      <c r="AC178" s="64">
        <f t="shared" si="38"/>
        <v>6.4896755162241887E-2</v>
      </c>
      <c r="AD178" s="64">
        <f t="shared" si="45"/>
        <v>1.4044943820224719E-2</v>
      </c>
      <c r="AE178" s="71">
        <v>1795</v>
      </c>
      <c r="AF178" s="64">
        <f t="shared" si="39"/>
        <v>5.8997050147492625E-2</v>
      </c>
      <c r="AG178" s="64">
        <f t="shared" si="46"/>
        <v>8.4269662921348312E-3</v>
      </c>
      <c r="AH178" s="67"/>
      <c r="AI178" s="47" t="s">
        <v>54</v>
      </c>
      <c r="AJ178" s="47">
        <v>1127</v>
      </c>
      <c r="AK178" s="101" t="s">
        <v>140</v>
      </c>
      <c r="AL178" s="101" t="s">
        <v>65</v>
      </c>
      <c r="AM178" s="47" t="s">
        <v>176</v>
      </c>
      <c r="AN178" s="50">
        <v>1805</v>
      </c>
      <c r="AO178" s="211">
        <f t="shared" si="40"/>
        <v>6.4896755162241887E-2</v>
      </c>
      <c r="AP178" s="47" t="s">
        <v>57</v>
      </c>
      <c r="AQ178" s="47" t="s">
        <v>58</v>
      </c>
      <c r="AR178" s="47"/>
    </row>
    <row r="179" spans="1:44" hidden="1">
      <c r="A179" s="47" t="s">
        <v>44</v>
      </c>
      <c r="B179" s="47" t="str">
        <f t="shared" si="36"/>
        <v>July</v>
      </c>
      <c r="C179" s="59">
        <v>45480</v>
      </c>
      <c r="D179" s="47" t="s">
        <v>45</v>
      </c>
      <c r="E179" s="47" t="s">
        <v>59</v>
      </c>
      <c r="F179" s="47" t="s">
        <v>60</v>
      </c>
      <c r="G179" s="91" t="s">
        <v>409</v>
      </c>
      <c r="H179" s="47" t="s">
        <v>410</v>
      </c>
      <c r="I179" s="47" t="s">
        <v>63</v>
      </c>
      <c r="J179" s="47" t="s">
        <v>51</v>
      </c>
      <c r="K179" s="48">
        <v>45115</v>
      </c>
      <c r="L179" s="48">
        <v>45115</v>
      </c>
      <c r="M179" s="48">
        <v>45480</v>
      </c>
      <c r="N179" s="47" t="s">
        <v>52</v>
      </c>
      <c r="O179" s="55" t="s">
        <v>53</v>
      </c>
      <c r="P179" s="62">
        <v>20880</v>
      </c>
      <c r="Q179" s="62">
        <v>1740</v>
      </c>
      <c r="R179" s="96">
        <v>21300</v>
      </c>
      <c r="S179" s="62">
        <f t="shared" si="42"/>
        <v>1775</v>
      </c>
      <c r="T179" s="62">
        <v>20280</v>
      </c>
      <c r="U179" s="62">
        <f t="shared" si="43"/>
        <v>1690</v>
      </c>
      <c r="V179" s="69">
        <v>18780</v>
      </c>
      <c r="W179" s="71">
        <v>1800</v>
      </c>
      <c r="X179" s="105">
        <f>W179-55</f>
        <v>1745</v>
      </c>
      <c r="Y179" s="171">
        <f t="shared" si="47"/>
        <v>3.2544378698224852E-2</v>
      </c>
      <c r="Z179" s="64">
        <f t="shared" si="37"/>
        <v>6.5088757396449703E-2</v>
      </c>
      <c r="AA179" s="64">
        <f t="shared" si="44"/>
        <v>1.4084507042253521E-2</v>
      </c>
      <c r="AB179" s="71">
        <f t="shared" si="48"/>
        <v>1800</v>
      </c>
      <c r="AC179" s="64">
        <f t="shared" si="38"/>
        <v>6.5088757396449703E-2</v>
      </c>
      <c r="AD179" s="64">
        <f t="shared" si="45"/>
        <v>1.4084507042253521E-2</v>
      </c>
      <c r="AE179" s="71">
        <v>1795</v>
      </c>
      <c r="AF179" s="64">
        <f t="shared" si="39"/>
        <v>6.2130177514792898E-2</v>
      </c>
      <c r="AG179" s="64">
        <f t="shared" si="46"/>
        <v>1.1267605633802818E-2</v>
      </c>
      <c r="AH179" s="67"/>
      <c r="AI179" s="47" t="s">
        <v>54</v>
      </c>
      <c r="AJ179" s="47">
        <v>1127</v>
      </c>
      <c r="AK179" s="101" t="s">
        <v>140</v>
      </c>
      <c r="AL179" s="101" t="s">
        <v>65</v>
      </c>
      <c r="AM179" s="47" t="s">
        <v>176</v>
      </c>
      <c r="AN179" s="50"/>
      <c r="AO179" s="211">
        <f t="shared" si="40"/>
        <v>-1</v>
      </c>
      <c r="AP179" s="47" t="s">
        <v>57</v>
      </c>
      <c r="AQ179" s="52" t="s">
        <v>58</v>
      </c>
      <c r="AR179" s="47"/>
    </row>
    <row r="180" spans="1:44" hidden="1">
      <c r="A180" s="47" t="s">
        <v>44</v>
      </c>
      <c r="B180" s="47" t="str">
        <f t="shared" si="36"/>
        <v>August</v>
      </c>
      <c r="C180" s="59">
        <v>45511</v>
      </c>
      <c r="D180" s="47" t="s">
        <v>45</v>
      </c>
      <c r="E180" s="47" t="s">
        <v>59</v>
      </c>
      <c r="F180" s="47" t="s">
        <v>60</v>
      </c>
      <c r="G180" s="91" t="s">
        <v>428</v>
      </c>
      <c r="H180" s="47" t="s">
        <v>429</v>
      </c>
      <c r="I180" s="47" t="s">
        <v>63</v>
      </c>
      <c r="J180" s="47" t="s">
        <v>51</v>
      </c>
      <c r="K180" s="48">
        <v>45146</v>
      </c>
      <c r="L180" s="48">
        <v>45146</v>
      </c>
      <c r="M180" s="48">
        <v>45511</v>
      </c>
      <c r="N180" s="47" t="s">
        <v>52</v>
      </c>
      <c r="O180" s="55" t="s">
        <v>53</v>
      </c>
      <c r="P180" s="62">
        <v>15540</v>
      </c>
      <c r="Q180" s="62">
        <v>1295</v>
      </c>
      <c r="R180" s="96">
        <v>16080</v>
      </c>
      <c r="S180" s="62">
        <f t="shared" si="42"/>
        <v>1340</v>
      </c>
      <c r="T180" s="62">
        <v>15540</v>
      </c>
      <c r="U180" s="62">
        <f t="shared" si="43"/>
        <v>1295</v>
      </c>
      <c r="V180" s="69">
        <v>13920</v>
      </c>
      <c r="W180" s="71">
        <v>1375</v>
      </c>
      <c r="X180" s="105">
        <f>W180-25</f>
        <v>1350</v>
      </c>
      <c r="Y180" s="171">
        <f t="shared" si="47"/>
        <v>4.2471042471042469E-2</v>
      </c>
      <c r="Z180" s="64">
        <f t="shared" si="37"/>
        <v>6.1776061776061778E-2</v>
      </c>
      <c r="AA180" s="64">
        <f t="shared" si="44"/>
        <v>2.6119402985074626E-2</v>
      </c>
      <c r="AB180" s="71">
        <f t="shared" si="48"/>
        <v>1375</v>
      </c>
      <c r="AC180" s="64">
        <f t="shared" si="38"/>
        <v>6.1776061776061778E-2</v>
      </c>
      <c r="AD180" s="64">
        <f t="shared" si="45"/>
        <v>2.6119402985074626E-2</v>
      </c>
      <c r="AE180" s="71">
        <v>1355</v>
      </c>
      <c r="AF180" s="64">
        <f t="shared" si="39"/>
        <v>4.633204633204633E-2</v>
      </c>
      <c r="AG180" s="64">
        <f t="shared" si="46"/>
        <v>1.1194029850746268E-2</v>
      </c>
      <c r="AH180" s="67"/>
      <c r="AI180" s="47" t="s">
        <v>54</v>
      </c>
      <c r="AJ180" s="47">
        <v>711</v>
      </c>
      <c r="AK180" s="47" t="s">
        <v>65</v>
      </c>
      <c r="AL180" s="47" t="s">
        <v>65</v>
      </c>
      <c r="AM180" s="47" t="s">
        <v>430</v>
      </c>
      <c r="AN180" s="50">
        <v>1360</v>
      </c>
      <c r="AO180" s="211">
        <f t="shared" si="40"/>
        <v>5.019305019305019E-2</v>
      </c>
      <c r="AP180" s="47" t="s">
        <v>57</v>
      </c>
      <c r="AQ180" s="47" t="s">
        <v>58</v>
      </c>
      <c r="AR180" s="47"/>
    </row>
    <row r="181" spans="1:44">
      <c r="A181" s="47" t="s">
        <v>44</v>
      </c>
      <c r="B181" s="47" t="str">
        <f t="shared" si="36"/>
        <v>August</v>
      </c>
      <c r="C181" s="59">
        <v>45511</v>
      </c>
      <c r="D181" s="47" t="s">
        <v>45</v>
      </c>
      <c r="E181" s="47" t="s">
        <v>59</v>
      </c>
      <c r="F181" s="47" t="s">
        <v>60</v>
      </c>
      <c r="G181" s="91" t="s">
        <v>431</v>
      </c>
      <c r="H181" s="47" t="s">
        <v>432</v>
      </c>
      <c r="I181" s="47" t="s">
        <v>63</v>
      </c>
      <c r="J181" s="47" t="s">
        <v>51</v>
      </c>
      <c r="K181" s="48">
        <v>44781</v>
      </c>
      <c r="L181" s="48">
        <v>45146</v>
      </c>
      <c r="M181" s="48">
        <v>45511</v>
      </c>
      <c r="N181" s="47" t="s">
        <v>64</v>
      </c>
      <c r="O181" s="55" t="s">
        <v>53</v>
      </c>
      <c r="P181" s="62">
        <v>15300</v>
      </c>
      <c r="Q181" s="62">
        <v>1275</v>
      </c>
      <c r="R181" s="96">
        <v>15840</v>
      </c>
      <c r="S181" s="62">
        <f t="shared" si="42"/>
        <v>1320</v>
      </c>
      <c r="T181" s="62">
        <v>15600</v>
      </c>
      <c r="U181" s="62">
        <f t="shared" si="43"/>
        <v>1300</v>
      </c>
      <c r="V181" s="69">
        <v>14220</v>
      </c>
      <c r="W181" s="71">
        <v>1400</v>
      </c>
      <c r="X181" s="105">
        <f>W181-25</f>
        <v>1375</v>
      </c>
      <c r="Y181" s="171">
        <f t="shared" si="47"/>
        <v>5.7692307692307696E-2</v>
      </c>
      <c r="Z181" s="64">
        <f t="shared" si="37"/>
        <v>7.6923076923076927E-2</v>
      </c>
      <c r="AA181" s="64">
        <f t="shared" si="44"/>
        <v>6.0606060606060608E-2</v>
      </c>
      <c r="AB181" s="71">
        <f t="shared" si="48"/>
        <v>1400</v>
      </c>
      <c r="AC181" s="64">
        <f t="shared" si="38"/>
        <v>7.6923076923076927E-2</v>
      </c>
      <c r="AD181" s="64">
        <f t="shared" si="45"/>
        <v>6.0606060606060608E-2</v>
      </c>
      <c r="AE181" s="71">
        <v>1355</v>
      </c>
      <c r="AF181" s="64">
        <f t="shared" si="39"/>
        <v>4.230769230769231E-2</v>
      </c>
      <c r="AG181" s="64">
        <f t="shared" si="46"/>
        <v>2.6515151515151516E-2</v>
      </c>
      <c r="AH181" s="67"/>
      <c r="AI181" s="47" t="s">
        <v>54</v>
      </c>
      <c r="AJ181" s="47">
        <v>857</v>
      </c>
      <c r="AK181" s="47" t="s">
        <v>65</v>
      </c>
      <c r="AL181" s="47" t="s">
        <v>65</v>
      </c>
      <c r="AM181" s="47" t="s">
        <v>433</v>
      </c>
      <c r="AN181" s="50">
        <v>1355</v>
      </c>
      <c r="AO181" s="211">
        <f t="shared" si="40"/>
        <v>4.230769230769231E-2</v>
      </c>
      <c r="AP181" s="47" t="s">
        <v>57</v>
      </c>
      <c r="AQ181" s="47" t="s">
        <v>58</v>
      </c>
      <c r="AR181" s="47"/>
    </row>
    <row r="182" spans="1:44">
      <c r="A182" s="47" t="s">
        <v>44</v>
      </c>
      <c r="B182" s="47" t="str">
        <f t="shared" si="36"/>
        <v>July</v>
      </c>
      <c r="C182" s="59">
        <v>45493</v>
      </c>
      <c r="D182" s="47" t="s">
        <v>45</v>
      </c>
      <c r="E182" s="47" t="s">
        <v>59</v>
      </c>
      <c r="F182" s="47" t="s">
        <v>60</v>
      </c>
      <c r="G182" s="91" t="s">
        <v>439</v>
      </c>
      <c r="H182" s="47" t="s">
        <v>440</v>
      </c>
      <c r="I182" s="47" t="s">
        <v>63</v>
      </c>
      <c r="J182" s="47" t="s">
        <v>51</v>
      </c>
      <c r="K182" s="48">
        <v>44398</v>
      </c>
      <c r="L182" s="48">
        <v>45128</v>
      </c>
      <c r="M182" s="48">
        <v>45493</v>
      </c>
      <c r="N182" s="47" t="s">
        <v>64</v>
      </c>
      <c r="O182" s="55" t="s">
        <v>53</v>
      </c>
      <c r="P182" s="62">
        <v>13080</v>
      </c>
      <c r="Q182" s="62">
        <v>1090</v>
      </c>
      <c r="R182" s="96">
        <v>13620</v>
      </c>
      <c r="S182" s="62">
        <f t="shared" si="42"/>
        <v>1135</v>
      </c>
      <c r="T182" s="62">
        <v>13080</v>
      </c>
      <c r="U182" s="62">
        <f t="shared" si="43"/>
        <v>1090</v>
      </c>
      <c r="V182" s="69">
        <v>11760</v>
      </c>
      <c r="W182" s="71">
        <v>1160</v>
      </c>
      <c r="X182" s="105">
        <f>W182-30</f>
        <v>1130</v>
      </c>
      <c r="Y182" s="171">
        <f t="shared" si="47"/>
        <v>3.669724770642202E-2</v>
      </c>
      <c r="Z182" s="64">
        <f t="shared" si="37"/>
        <v>6.4220183486238536E-2</v>
      </c>
      <c r="AA182" s="64">
        <f t="shared" si="44"/>
        <v>2.2026431718061675E-2</v>
      </c>
      <c r="AB182" s="71">
        <f t="shared" si="48"/>
        <v>1160</v>
      </c>
      <c r="AC182" s="64">
        <f t="shared" si="38"/>
        <v>6.4220183486238536E-2</v>
      </c>
      <c r="AD182" s="64">
        <f t="shared" si="45"/>
        <v>2.2026431718061675E-2</v>
      </c>
      <c r="AE182" s="71">
        <v>1150</v>
      </c>
      <c r="AF182" s="64">
        <f t="shared" si="39"/>
        <v>5.5045871559633031E-2</v>
      </c>
      <c r="AG182" s="64">
        <f t="shared" si="46"/>
        <v>1.3215859030837005E-2</v>
      </c>
      <c r="AH182" s="67"/>
      <c r="AI182" s="47" t="s">
        <v>54</v>
      </c>
      <c r="AJ182" s="47">
        <v>589</v>
      </c>
      <c r="AK182" s="101" t="s">
        <v>55</v>
      </c>
      <c r="AL182" s="101" t="s">
        <v>55</v>
      </c>
      <c r="AM182" s="47" t="s">
        <v>441</v>
      </c>
      <c r="AN182" s="50"/>
      <c r="AO182" s="211">
        <f t="shared" si="40"/>
        <v>-1</v>
      </c>
      <c r="AP182" s="47" t="s">
        <v>57</v>
      </c>
      <c r="AQ182" s="47" t="s">
        <v>58</v>
      </c>
      <c r="AR182" s="47"/>
    </row>
    <row r="183" spans="1:44">
      <c r="A183" s="47" t="s">
        <v>44</v>
      </c>
      <c r="B183" s="47" t="str">
        <f t="shared" si="36"/>
        <v>July</v>
      </c>
      <c r="C183" s="59">
        <v>45481</v>
      </c>
      <c r="D183" s="47" t="s">
        <v>45</v>
      </c>
      <c r="E183" s="47" t="s">
        <v>59</v>
      </c>
      <c r="F183" s="47" t="s">
        <v>60</v>
      </c>
      <c r="G183" s="91" t="s">
        <v>451</v>
      </c>
      <c r="H183" s="47" t="s">
        <v>452</v>
      </c>
      <c r="I183" s="47" t="s">
        <v>63</v>
      </c>
      <c r="J183" s="47" t="s">
        <v>51</v>
      </c>
      <c r="K183" s="48">
        <v>44387</v>
      </c>
      <c r="L183" s="48">
        <v>45116</v>
      </c>
      <c r="M183" s="48">
        <v>45481</v>
      </c>
      <c r="N183" s="47" t="s">
        <v>64</v>
      </c>
      <c r="O183" s="55" t="s">
        <v>53</v>
      </c>
      <c r="P183" s="62">
        <v>21300</v>
      </c>
      <c r="Q183" s="62">
        <v>1775</v>
      </c>
      <c r="R183" s="96">
        <v>21720</v>
      </c>
      <c r="S183" s="62">
        <f t="shared" si="42"/>
        <v>1810</v>
      </c>
      <c r="T183" s="62">
        <v>20760</v>
      </c>
      <c r="U183" s="62">
        <f t="shared" si="43"/>
        <v>1730</v>
      </c>
      <c r="V183" s="69">
        <v>19020</v>
      </c>
      <c r="W183" s="71">
        <v>1850</v>
      </c>
      <c r="X183" s="105">
        <f>W183-55</f>
        <v>1795</v>
      </c>
      <c r="Y183" s="171">
        <f t="shared" si="47"/>
        <v>3.7572254335260118E-2</v>
      </c>
      <c r="Z183" s="64">
        <f t="shared" si="37"/>
        <v>6.9364161849710976E-2</v>
      </c>
      <c r="AA183" s="64">
        <f t="shared" si="44"/>
        <v>2.2099447513812154E-2</v>
      </c>
      <c r="AB183" s="71">
        <f t="shared" si="48"/>
        <v>1850</v>
      </c>
      <c r="AC183" s="64">
        <f t="shared" si="38"/>
        <v>6.9364161849710976E-2</v>
      </c>
      <c r="AD183" s="64">
        <f t="shared" si="45"/>
        <v>2.2099447513812154E-2</v>
      </c>
      <c r="AE183" s="71">
        <v>1825</v>
      </c>
      <c r="AF183" s="64">
        <f t="shared" si="39"/>
        <v>5.4913294797687862E-2</v>
      </c>
      <c r="AG183" s="64">
        <f t="shared" si="46"/>
        <v>8.2872928176795577E-3</v>
      </c>
      <c r="AH183" s="67"/>
      <c r="AI183" s="47" t="s">
        <v>250</v>
      </c>
      <c r="AJ183" s="47">
        <v>1015</v>
      </c>
      <c r="AK183" s="101" t="s">
        <v>140</v>
      </c>
      <c r="AL183" s="101" t="s">
        <v>65</v>
      </c>
      <c r="AM183" s="47" t="s">
        <v>453</v>
      </c>
      <c r="AN183" s="50">
        <v>1850</v>
      </c>
      <c r="AO183" s="211">
        <f t="shared" si="40"/>
        <v>6.9364161849710976E-2</v>
      </c>
      <c r="AP183" s="47" t="s">
        <v>57</v>
      </c>
      <c r="AQ183" s="47" t="s">
        <v>58</v>
      </c>
      <c r="AR183" s="47"/>
    </row>
    <row r="184" spans="1:44" hidden="1">
      <c r="A184" s="47" t="s">
        <v>44</v>
      </c>
      <c r="B184" s="47" t="str">
        <f t="shared" si="36"/>
        <v>July</v>
      </c>
      <c r="C184" s="59">
        <v>45490</v>
      </c>
      <c r="D184" s="47" t="s">
        <v>45</v>
      </c>
      <c r="E184" s="47" t="s">
        <v>59</v>
      </c>
      <c r="F184" s="47" t="s">
        <v>60</v>
      </c>
      <c r="G184" s="91" t="s">
        <v>476</v>
      </c>
      <c r="H184" s="47" t="s">
        <v>477</v>
      </c>
      <c r="I184" s="47" t="s">
        <v>63</v>
      </c>
      <c r="J184" s="47" t="s">
        <v>51</v>
      </c>
      <c r="K184" s="48">
        <v>45125</v>
      </c>
      <c r="L184" s="48">
        <v>45125</v>
      </c>
      <c r="M184" s="48">
        <v>45490</v>
      </c>
      <c r="N184" s="47" t="s">
        <v>52</v>
      </c>
      <c r="O184" s="55" t="s">
        <v>53</v>
      </c>
      <c r="P184" s="62">
        <v>16320</v>
      </c>
      <c r="Q184" s="62">
        <v>1360</v>
      </c>
      <c r="R184" s="96">
        <v>16920</v>
      </c>
      <c r="S184" s="62">
        <f t="shared" si="42"/>
        <v>1410</v>
      </c>
      <c r="T184" s="62">
        <v>16320</v>
      </c>
      <c r="U184" s="62">
        <f t="shared" si="43"/>
        <v>1360</v>
      </c>
      <c r="V184" s="69">
        <v>14700</v>
      </c>
      <c r="W184" s="71">
        <v>1440</v>
      </c>
      <c r="X184" s="105">
        <f>W184-25</f>
        <v>1415</v>
      </c>
      <c r="Y184" s="171">
        <f t="shared" si="47"/>
        <v>4.0441176470588237E-2</v>
      </c>
      <c r="Z184" s="64">
        <f t="shared" si="37"/>
        <v>5.8823529411764705E-2</v>
      </c>
      <c r="AA184" s="64">
        <f t="shared" si="44"/>
        <v>2.1276595744680851E-2</v>
      </c>
      <c r="AB184" s="71">
        <f t="shared" si="48"/>
        <v>1440</v>
      </c>
      <c r="AC184" s="64">
        <f t="shared" si="38"/>
        <v>5.8823529411764705E-2</v>
      </c>
      <c r="AD184" s="64">
        <f t="shared" si="45"/>
        <v>2.1276595744680851E-2</v>
      </c>
      <c r="AE184" s="71">
        <v>1435</v>
      </c>
      <c r="AF184" s="64">
        <f t="shared" si="39"/>
        <v>5.514705882352941E-2</v>
      </c>
      <c r="AG184" s="64">
        <f t="shared" si="46"/>
        <v>1.7730496453900711E-2</v>
      </c>
      <c r="AH184" s="67"/>
      <c r="AI184" s="47" t="s">
        <v>54</v>
      </c>
      <c r="AJ184" s="47">
        <v>765</v>
      </c>
      <c r="AK184" s="101" t="s">
        <v>65</v>
      </c>
      <c r="AL184" s="101" t="s">
        <v>65</v>
      </c>
      <c r="AM184" s="47" t="s">
        <v>478</v>
      </c>
      <c r="AN184" s="50">
        <v>1410</v>
      </c>
      <c r="AO184" s="211">
        <f t="shared" si="40"/>
        <v>3.6764705882352942E-2</v>
      </c>
      <c r="AP184" s="47" t="s">
        <v>57</v>
      </c>
      <c r="AQ184" s="47" t="s">
        <v>58</v>
      </c>
      <c r="AR184" s="47"/>
    </row>
    <row r="185" spans="1:44">
      <c r="A185" s="47" t="s">
        <v>44</v>
      </c>
      <c r="B185" s="47" t="str">
        <f t="shared" si="36"/>
        <v>July</v>
      </c>
      <c r="C185" s="59">
        <v>45501</v>
      </c>
      <c r="D185" s="47" t="s">
        <v>45</v>
      </c>
      <c r="E185" s="47" t="s">
        <v>59</v>
      </c>
      <c r="F185" s="47" t="s">
        <v>60</v>
      </c>
      <c r="G185" s="91" t="s">
        <v>479</v>
      </c>
      <c r="H185" s="47" t="s">
        <v>480</v>
      </c>
      <c r="I185" s="47" t="s">
        <v>63</v>
      </c>
      <c r="J185" s="47" t="s">
        <v>51</v>
      </c>
      <c r="K185" s="48">
        <v>44406</v>
      </c>
      <c r="L185" s="48">
        <v>45136</v>
      </c>
      <c r="M185" s="48">
        <v>45501</v>
      </c>
      <c r="N185" s="47" t="s">
        <v>64</v>
      </c>
      <c r="O185" s="55" t="s">
        <v>53</v>
      </c>
      <c r="P185" s="62">
        <v>13260</v>
      </c>
      <c r="Q185" s="62">
        <v>1105</v>
      </c>
      <c r="R185" s="96">
        <v>13800</v>
      </c>
      <c r="S185" s="62">
        <f t="shared" si="42"/>
        <v>1150</v>
      </c>
      <c r="T185" s="62">
        <v>13260</v>
      </c>
      <c r="U185" s="62">
        <f t="shared" si="43"/>
        <v>1105</v>
      </c>
      <c r="V185" s="69">
        <v>11760</v>
      </c>
      <c r="W185" s="71">
        <v>1180</v>
      </c>
      <c r="X185" s="105">
        <f>W185-30</f>
        <v>1150</v>
      </c>
      <c r="Y185" s="171">
        <f t="shared" si="47"/>
        <v>4.072398190045249E-2</v>
      </c>
      <c r="Z185" s="64">
        <f t="shared" si="37"/>
        <v>6.7873303167420809E-2</v>
      </c>
      <c r="AA185" s="64">
        <f t="shared" si="44"/>
        <v>2.6086956521739129E-2</v>
      </c>
      <c r="AB185" s="71">
        <f t="shared" si="48"/>
        <v>1180</v>
      </c>
      <c r="AC185" s="64">
        <f t="shared" si="38"/>
        <v>6.7873303167420809E-2</v>
      </c>
      <c r="AD185" s="64">
        <f t="shared" si="45"/>
        <v>2.6086956521739129E-2</v>
      </c>
      <c r="AE185" s="71">
        <f>AB185-20</f>
        <v>1160</v>
      </c>
      <c r="AF185" s="64">
        <f t="shared" si="39"/>
        <v>4.9773755656108594E-2</v>
      </c>
      <c r="AG185" s="64">
        <f t="shared" si="46"/>
        <v>8.6956521739130436E-3</v>
      </c>
      <c r="AH185" s="67"/>
      <c r="AI185" s="47" t="s">
        <v>54</v>
      </c>
      <c r="AJ185" s="47">
        <v>528</v>
      </c>
      <c r="AK185" s="101" t="s">
        <v>55</v>
      </c>
      <c r="AL185" s="101" t="s">
        <v>55</v>
      </c>
      <c r="AM185" s="47" t="s">
        <v>481</v>
      </c>
      <c r="AN185" s="50">
        <v>1180</v>
      </c>
      <c r="AO185" s="211">
        <f t="shared" si="40"/>
        <v>6.7873303167420809E-2</v>
      </c>
      <c r="AP185" s="47" t="s">
        <v>57</v>
      </c>
      <c r="AQ185" s="47" t="s">
        <v>58</v>
      </c>
      <c r="AR185" s="47"/>
    </row>
    <row r="186" spans="1:44">
      <c r="A186" s="47" t="s">
        <v>74</v>
      </c>
      <c r="B186" s="47" t="str">
        <f t="shared" si="36"/>
        <v>July</v>
      </c>
      <c r="C186" s="59">
        <v>45500</v>
      </c>
      <c r="D186" s="47" t="s">
        <v>45</v>
      </c>
      <c r="E186" s="47" t="s">
        <v>59</v>
      </c>
      <c r="F186" s="47" t="s">
        <v>60</v>
      </c>
      <c r="G186" s="91" t="s">
        <v>482</v>
      </c>
      <c r="H186" s="47" t="s">
        <v>483</v>
      </c>
      <c r="I186" s="47" t="s">
        <v>63</v>
      </c>
      <c r="J186" s="47" t="s">
        <v>51</v>
      </c>
      <c r="K186" s="48">
        <v>44770</v>
      </c>
      <c r="L186" s="48">
        <v>45135</v>
      </c>
      <c r="M186" s="48">
        <v>45500</v>
      </c>
      <c r="N186" s="47" t="s">
        <v>64</v>
      </c>
      <c r="O186" s="55" t="s">
        <v>53</v>
      </c>
      <c r="P186" s="62">
        <v>13020</v>
      </c>
      <c r="Q186" s="62">
        <v>1085</v>
      </c>
      <c r="R186" s="96">
        <v>13560</v>
      </c>
      <c r="S186" s="62">
        <f t="shared" si="42"/>
        <v>1130</v>
      </c>
      <c r="T186" s="62">
        <v>13020</v>
      </c>
      <c r="U186" s="62">
        <f t="shared" si="43"/>
        <v>1085</v>
      </c>
      <c r="V186" s="69">
        <v>11700</v>
      </c>
      <c r="W186" s="71">
        <v>1160</v>
      </c>
      <c r="X186" s="105">
        <f>W186-30</f>
        <v>1130</v>
      </c>
      <c r="Y186" s="171">
        <f t="shared" si="47"/>
        <v>4.1474654377880185E-2</v>
      </c>
      <c r="Z186" s="64">
        <f t="shared" si="37"/>
        <v>6.9124423963133647E-2</v>
      </c>
      <c r="AA186" s="64">
        <f t="shared" si="44"/>
        <v>2.6548672566371681E-2</v>
      </c>
      <c r="AB186" s="71">
        <f t="shared" si="48"/>
        <v>1160</v>
      </c>
      <c r="AC186" s="64">
        <f t="shared" si="38"/>
        <v>6.9124423963133647E-2</v>
      </c>
      <c r="AD186" s="64">
        <f t="shared" si="45"/>
        <v>2.6548672566371681E-2</v>
      </c>
      <c r="AE186" s="71">
        <v>1150</v>
      </c>
      <c r="AF186" s="64">
        <f t="shared" si="39"/>
        <v>5.9907834101382486E-2</v>
      </c>
      <c r="AG186" s="64">
        <f t="shared" si="46"/>
        <v>1.7699115044247787E-2</v>
      </c>
      <c r="AH186" s="67"/>
      <c r="AI186" s="47" t="s">
        <v>54</v>
      </c>
      <c r="AJ186" s="47">
        <v>522</v>
      </c>
      <c r="AK186" s="101" t="s">
        <v>55</v>
      </c>
      <c r="AL186" s="101" t="s">
        <v>55</v>
      </c>
      <c r="AM186" s="47" t="s">
        <v>484</v>
      </c>
      <c r="AN186" s="50"/>
      <c r="AO186" s="211">
        <f t="shared" si="40"/>
        <v>-1</v>
      </c>
      <c r="AP186" s="47" t="s">
        <v>57</v>
      </c>
      <c r="AQ186" s="47" t="s">
        <v>58</v>
      </c>
      <c r="AR186" s="47"/>
    </row>
    <row r="187" spans="1:44">
      <c r="A187" s="47" t="s">
        <v>44</v>
      </c>
      <c r="B187" s="47" t="str">
        <f t="shared" si="36"/>
        <v>July</v>
      </c>
      <c r="C187" s="59">
        <v>45497</v>
      </c>
      <c r="D187" s="47" t="s">
        <v>45</v>
      </c>
      <c r="E187" s="47" t="s">
        <v>59</v>
      </c>
      <c r="F187" s="47" t="s">
        <v>60</v>
      </c>
      <c r="G187" s="91" t="s">
        <v>485</v>
      </c>
      <c r="H187" s="47" t="s">
        <v>486</v>
      </c>
      <c r="I187" s="47" t="s">
        <v>63</v>
      </c>
      <c r="J187" s="47" t="s">
        <v>51</v>
      </c>
      <c r="K187" s="48">
        <v>44767</v>
      </c>
      <c r="L187" s="48">
        <v>45132</v>
      </c>
      <c r="M187" s="48">
        <v>45497</v>
      </c>
      <c r="N187" s="47" t="s">
        <v>64</v>
      </c>
      <c r="O187" s="55" t="s">
        <v>53</v>
      </c>
      <c r="P187" s="62">
        <v>15900</v>
      </c>
      <c r="Q187" s="62">
        <v>1325</v>
      </c>
      <c r="R187" s="96">
        <v>16440</v>
      </c>
      <c r="S187" s="62">
        <f t="shared" si="42"/>
        <v>1370</v>
      </c>
      <c r="T187" s="62">
        <v>15900</v>
      </c>
      <c r="U187" s="62">
        <f t="shared" si="43"/>
        <v>1325</v>
      </c>
      <c r="V187" s="69">
        <v>14280</v>
      </c>
      <c r="W187" s="71">
        <v>1405</v>
      </c>
      <c r="X187" s="105">
        <f>W187-25</f>
        <v>1380</v>
      </c>
      <c r="Y187" s="171">
        <f t="shared" si="47"/>
        <v>4.1509433962264149E-2</v>
      </c>
      <c r="Z187" s="64">
        <f t="shared" si="37"/>
        <v>6.0377358490566038E-2</v>
      </c>
      <c r="AA187" s="64">
        <f t="shared" si="44"/>
        <v>2.5547445255474453E-2</v>
      </c>
      <c r="AB187" s="71">
        <f t="shared" si="48"/>
        <v>1405</v>
      </c>
      <c r="AC187" s="64">
        <f t="shared" si="38"/>
        <v>6.0377358490566038E-2</v>
      </c>
      <c r="AD187" s="64">
        <f t="shared" si="45"/>
        <v>2.5547445255474453E-2</v>
      </c>
      <c r="AE187" s="71">
        <f>AB187-20</f>
        <v>1385</v>
      </c>
      <c r="AF187" s="64">
        <f t="shared" si="39"/>
        <v>4.5283018867924525E-2</v>
      </c>
      <c r="AG187" s="64">
        <f t="shared" si="46"/>
        <v>1.0948905109489052E-2</v>
      </c>
      <c r="AH187" s="67"/>
      <c r="AI187" s="47" t="s">
        <v>54</v>
      </c>
      <c r="AJ187" s="47">
        <v>711</v>
      </c>
      <c r="AK187" s="101" t="s">
        <v>65</v>
      </c>
      <c r="AL187" s="101" t="s">
        <v>65</v>
      </c>
      <c r="AM187" s="47" t="s">
        <v>487</v>
      </c>
      <c r="AN187" s="50">
        <v>1405</v>
      </c>
      <c r="AO187" s="211">
        <f t="shared" si="40"/>
        <v>6.0377358490566038E-2</v>
      </c>
      <c r="AP187" s="47" t="s">
        <v>57</v>
      </c>
      <c r="AQ187" s="52" t="s">
        <v>58</v>
      </c>
      <c r="AR187" s="47"/>
    </row>
    <row r="188" spans="1:44" hidden="1">
      <c r="A188" s="47" t="s">
        <v>44</v>
      </c>
      <c r="B188" s="47" t="str">
        <f t="shared" si="36"/>
        <v>July</v>
      </c>
      <c r="C188" s="59">
        <v>45477</v>
      </c>
      <c r="D188" s="47" t="s">
        <v>45</v>
      </c>
      <c r="E188" s="47" t="s">
        <v>59</v>
      </c>
      <c r="F188" s="47" t="s">
        <v>60</v>
      </c>
      <c r="G188" s="91" t="s">
        <v>488</v>
      </c>
      <c r="H188" s="47" t="s">
        <v>489</v>
      </c>
      <c r="I188" s="47" t="s">
        <v>63</v>
      </c>
      <c r="J188" s="47" t="s">
        <v>51</v>
      </c>
      <c r="K188" s="48">
        <v>45112</v>
      </c>
      <c r="L188" s="48">
        <v>45112</v>
      </c>
      <c r="M188" s="48">
        <v>45477</v>
      </c>
      <c r="N188" s="47" t="s">
        <v>52</v>
      </c>
      <c r="O188" s="55" t="s">
        <v>53</v>
      </c>
      <c r="P188" s="62">
        <v>15900</v>
      </c>
      <c r="Q188" s="62">
        <v>1325</v>
      </c>
      <c r="R188" s="96">
        <v>16440</v>
      </c>
      <c r="S188" s="62">
        <f t="shared" si="42"/>
        <v>1370</v>
      </c>
      <c r="T188" s="62">
        <v>15900</v>
      </c>
      <c r="U188" s="62">
        <f t="shared" si="43"/>
        <v>1325</v>
      </c>
      <c r="V188" s="69">
        <v>14280</v>
      </c>
      <c r="W188" s="71">
        <v>1405</v>
      </c>
      <c r="X188" s="105">
        <f>W188-25</f>
        <v>1380</v>
      </c>
      <c r="Y188" s="171">
        <f t="shared" si="47"/>
        <v>4.1509433962264149E-2</v>
      </c>
      <c r="Z188" s="64">
        <f t="shared" si="37"/>
        <v>6.0377358490566038E-2</v>
      </c>
      <c r="AA188" s="64">
        <f t="shared" si="44"/>
        <v>2.5547445255474453E-2</v>
      </c>
      <c r="AB188" s="71">
        <f t="shared" si="48"/>
        <v>1405</v>
      </c>
      <c r="AC188" s="64">
        <f t="shared" si="38"/>
        <v>6.0377358490566038E-2</v>
      </c>
      <c r="AD188" s="64">
        <f t="shared" si="45"/>
        <v>2.5547445255474453E-2</v>
      </c>
      <c r="AE188" s="71">
        <v>1395</v>
      </c>
      <c r="AF188" s="64">
        <f t="shared" si="39"/>
        <v>5.2830188679245285E-2</v>
      </c>
      <c r="AG188" s="64">
        <f t="shared" si="46"/>
        <v>1.824817518248175E-2</v>
      </c>
      <c r="AH188" s="67"/>
      <c r="AI188" s="47" t="s">
        <v>54</v>
      </c>
      <c r="AJ188" s="47">
        <v>668</v>
      </c>
      <c r="AK188" s="101" t="s">
        <v>65</v>
      </c>
      <c r="AL188" s="101" t="s">
        <v>65</v>
      </c>
      <c r="AM188" s="47" t="s">
        <v>490</v>
      </c>
      <c r="AN188" s="50">
        <v>1405</v>
      </c>
      <c r="AO188" s="211">
        <f t="shared" si="40"/>
        <v>6.0377358490566038E-2</v>
      </c>
      <c r="AP188" s="47" t="s">
        <v>57</v>
      </c>
      <c r="AQ188" s="47" t="s">
        <v>58</v>
      </c>
      <c r="AR188" s="47"/>
    </row>
    <row r="189" spans="1:44" hidden="1">
      <c r="A189" s="47" t="s">
        <v>44</v>
      </c>
      <c r="B189" s="47" t="str">
        <f t="shared" si="36"/>
        <v>July</v>
      </c>
      <c r="C189" s="59">
        <v>45475</v>
      </c>
      <c r="D189" s="47" t="s">
        <v>45</v>
      </c>
      <c r="E189" s="47" t="s">
        <v>59</v>
      </c>
      <c r="F189" s="47" t="s">
        <v>60</v>
      </c>
      <c r="G189" s="91" t="s">
        <v>491</v>
      </c>
      <c r="H189" s="47" t="s">
        <v>492</v>
      </c>
      <c r="I189" s="47" t="s">
        <v>63</v>
      </c>
      <c r="J189" s="47" t="s">
        <v>51</v>
      </c>
      <c r="K189" s="48">
        <v>45110</v>
      </c>
      <c r="L189" s="48">
        <v>45110</v>
      </c>
      <c r="M189" s="48">
        <v>45475</v>
      </c>
      <c r="N189" s="47" t="s">
        <v>52</v>
      </c>
      <c r="O189" s="55" t="s">
        <v>53</v>
      </c>
      <c r="P189" s="62">
        <v>15900</v>
      </c>
      <c r="Q189" s="62">
        <v>1325</v>
      </c>
      <c r="R189" s="96">
        <v>16440</v>
      </c>
      <c r="S189" s="62">
        <f t="shared" si="42"/>
        <v>1370</v>
      </c>
      <c r="T189" s="62">
        <v>15900</v>
      </c>
      <c r="U189" s="62">
        <f t="shared" si="43"/>
        <v>1325</v>
      </c>
      <c r="V189" s="69">
        <v>14100</v>
      </c>
      <c r="W189" s="71">
        <v>1405</v>
      </c>
      <c r="X189" s="105">
        <f>W189-25</f>
        <v>1380</v>
      </c>
      <c r="Y189" s="171">
        <f t="shared" si="47"/>
        <v>4.1509433962264149E-2</v>
      </c>
      <c r="Z189" s="64">
        <f t="shared" si="37"/>
        <v>6.0377358490566038E-2</v>
      </c>
      <c r="AA189" s="64">
        <f t="shared" si="44"/>
        <v>2.5547445255474453E-2</v>
      </c>
      <c r="AB189" s="71">
        <f t="shared" si="48"/>
        <v>1405</v>
      </c>
      <c r="AC189" s="64">
        <f t="shared" si="38"/>
        <v>6.0377358490566038E-2</v>
      </c>
      <c r="AD189" s="64">
        <f t="shared" si="45"/>
        <v>2.5547445255474453E-2</v>
      </c>
      <c r="AE189" s="71">
        <f>AB189-20</f>
        <v>1385</v>
      </c>
      <c r="AF189" s="64">
        <f t="shared" si="39"/>
        <v>4.5283018867924525E-2</v>
      </c>
      <c r="AG189" s="64">
        <f t="shared" si="46"/>
        <v>1.0948905109489052E-2</v>
      </c>
      <c r="AH189" s="67"/>
      <c r="AI189" s="47" t="s">
        <v>54</v>
      </c>
      <c r="AJ189" s="47">
        <v>681</v>
      </c>
      <c r="AK189" s="101" t="s">
        <v>65</v>
      </c>
      <c r="AL189" s="101" t="s">
        <v>65</v>
      </c>
      <c r="AM189" s="47" t="s">
        <v>69</v>
      </c>
      <c r="AN189" s="50"/>
      <c r="AO189" s="211">
        <f t="shared" si="40"/>
        <v>-1</v>
      </c>
      <c r="AP189" s="47" t="s">
        <v>57</v>
      </c>
      <c r="AQ189" s="47" t="s">
        <v>58</v>
      </c>
      <c r="AR189" s="47"/>
    </row>
    <row r="190" spans="1:44" hidden="1">
      <c r="A190" s="47" t="s">
        <v>44</v>
      </c>
      <c r="B190" s="47" t="str">
        <f t="shared" si="36"/>
        <v>July</v>
      </c>
      <c r="C190" s="59">
        <v>45489</v>
      </c>
      <c r="D190" s="47" t="s">
        <v>45</v>
      </c>
      <c r="E190" s="47" t="s">
        <v>59</v>
      </c>
      <c r="F190" s="47" t="s">
        <v>60</v>
      </c>
      <c r="G190" s="91" t="s">
        <v>493</v>
      </c>
      <c r="H190" s="47" t="s">
        <v>494</v>
      </c>
      <c r="I190" s="47" t="s">
        <v>63</v>
      </c>
      <c r="J190" s="47" t="s">
        <v>51</v>
      </c>
      <c r="K190" s="48">
        <v>45124</v>
      </c>
      <c r="L190" s="48">
        <v>45124</v>
      </c>
      <c r="M190" s="48">
        <v>45489</v>
      </c>
      <c r="N190" s="47" t="s">
        <v>52</v>
      </c>
      <c r="O190" s="55" t="s">
        <v>53</v>
      </c>
      <c r="P190" s="62">
        <v>16080</v>
      </c>
      <c r="Q190" s="62">
        <v>1340</v>
      </c>
      <c r="R190" s="96">
        <v>16620</v>
      </c>
      <c r="S190" s="62">
        <f t="shared" si="42"/>
        <v>1385</v>
      </c>
      <c r="T190" s="62">
        <v>15840</v>
      </c>
      <c r="U190" s="62">
        <f t="shared" si="43"/>
        <v>1320</v>
      </c>
      <c r="V190" s="69">
        <v>14400</v>
      </c>
      <c r="W190" s="71">
        <v>1400</v>
      </c>
      <c r="X190" s="105">
        <f>W190-25</f>
        <v>1375</v>
      </c>
      <c r="Y190" s="171">
        <f t="shared" si="47"/>
        <v>4.1666666666666664E-2</v>
      </c>
      <c r="Z190" s="64">
        <f t="shared" si="37"/>
        <v>6.0606060606060608E-2</v>
      </c>
      <c r="AA190" s="64">
        <f t="shared" si="44"/>
        <v>1.0830324909747292E-2</v>
      </c>
      <c r="AB190" s="71">
        <f t="shared" si="48"/>
        <v>1400</v>
      </c>
      <c r="AC190" s="64">
        <f t="shared" si="38"/>
        <v>6.0606060606060608E-2</v>
      </c>
      <c r="AD190" s="64">
        <f t="shared" si="45"/>
        <v>1.0830324909747292E-2</v>
      </c>
      <c r="AE190" s="71">
        <v>1395</v>
      </c>
      <c r="AF190" s="64">
        <f t="shared" si="39"/>
        <v>5.6818181818181816E-2</v>
      </c>
      <c r="AG190" s="64">
        <f t="shared" si="46"/>
        <v>7.2202166064981952E-3</v>
      </c>
      <c r="AH190" s="67"/>
      <c r="AI190" s="47" t="s">
        <v>54</v>
      </c>
      <c r="AJ190" s="47">
        <v>668</v>
      </c>
      <c r="AK190" s="101" t="s">
        <v>65</v>
      </c>
      <c r="AL190" s="101" t="s">
        <v>65</v>
      </c>
      <c r="AM190" s="47" t="s">
        <v>490</v>
      </c>
      <c r="AN190" s="50"/>
      <c r="AO190" s="211">
        <f t="shared" si="40"/>
        <v>-1</v>
      </c>
      <c r="AP190" s="47" t="s">
        <v>57</v>
      </c>
      <c r="AQ190" s="47" t="s">
        <v>58</v>
      </c>
      <c r="AR190" s="47"/>
    </row>
    <row r="191" spans="1:44" hidden="1">
      <c r="A191" s="47" t="s">
        <v>44</v>
      </c>
      <c r="B191" s="47" t="str">
        <f t="shared" si="36"/>
        <v>July</v>
      </c>
      <c r="C191" s="59">
        <v>45499</v>
      </c>
      <c r="D191" s="47" t="s">
        <v>45</v>
      </c>
      <c r="E191" s="47" t="s">
        <v>59</v>
      </c>
      <c r="F191" s="47" t="s">
        <v>60</v>
      </c>
      <c r="G191" s="91" t="s">
        <v>495</v>
      </c>
      <c r="H191" s="47" t="s">
        <v>496</v>
      </c>
      <c r="I191" s="47" t="s">
        <v>63</v>
      </c>
      <c r="J191" s="47" t="s">
        <v>51</v>
      </c>
      <c r="K191" s="48">
        <v>45134</v>
      </c>
      <c r="L191" s="48">
        <v>45134</v>
      </c>
      <c r="M191" s="48">
        <v>45499</v>
      </c>
      <c r="N191" s="47" t="s">
        <v>52</v>
      </c>
      <c r="O191" s="55" t="s">
        <v>53</v>
      </c>
      <c r="P191" s="62">
        <v>15780</v>
      </c>
      <c r="Q191" s="62">
        <v>1315</v>
      </c>
      <c r="R191" s="96">
        <v>16320</v>
      </c>
      <c r="S191" s="62">
        <f t="shared" si="42"/>
        <v>1360</v>
      </c>
      <c r="T191" s="62">
        <v>15780</v>
      </c>
      <c r="U191" s="62">
        <f t="shared" si="43"/>
        <v>1315</v>
      </c>
      <c r="V191" s="69">
        <v>14040</v>
      </c>
      <c r="W191" s="71">
        <v>1395</v>
      </c>
      <c r="X191" s="105">
        <f>W191-25</f>
        <v>1370</v>
      </c>
      <c r="Y191" s="171">
        <f t="shared" si="47"/>
        <v>4.1825095057034217E-2</v>
      </c>
      <c r="Z191" s="64">
        <f t="shared" si="37"/>
        <v>6.0836501901140684E-2</v>
      </c>
      <c r="AA191" s="64">
        <f t="shared" si="44"/>
        <v>2.5735294117647058E-2</v>
      </c>
      <c r="AB191" s="71">
        <f t="shared" si="48"/>
        <v>1395</v>
      </c>
      <c r="AC191" s="64">
        <f t="shared" si="38"/>
        <v>6.0836501901140684E-2</v>
      </c>
      <c r="AD191" s="64">
        <f t="shared" si="45"/>
        <v>2.5735294117647058E-2</v>
      </c>
      <c r="AE191" s="71">
        <f>AB191-20</f>
        <v>1375</v>
      </c>
      <c r="AF191" s="64">
        <f t="shared" si="39"/>
        <v>4.5627376425855515E-2</v>
      </c>
      <c r="AG191" s="64">
        <f t="shared" si="46"/>
        <v>1.1029411764705883E-2</v>
      </c>
      <c r="AH191" s="67"/>
      <c r="AI191" s="47" t="s">
        <v>54</v>
      </c>
      <c r="AJ191" s="47">
        <v>711</v>
      </c>
      <c r="AK191" s="101" t="s">
        <v>65</v>
      </c>
      <c r="AL191" s="101" t="s">
        <v>65</v>
      </c>
      <c r="AM191" s="47" t="s">
        <v>430</v>
      </c>
      <c r="AN191" s="50"/>
      <c r="AO191" s="211">
        <f t="shared" si="40"/>
        <v>-1</v>
      </c>
      <c r="AP191" s="47" t="s">
        <v>57</v>
      </c>
      <c r="AQ191" s="52" t="s">
        <v>58</v>
      </c>
      <c r="AR191" s="47"/>
    </row>
    <row r="192" spans="1:44" hidden="1">
      <c r="A192" s="47" t="s">
        <v>44</v>
      </c>
      <c r="B192" s="47" t="str">
        <f t="shared" si="36"/>
        <v>July</v>
      </c>
      <c r="C192" s="59">
        <v>45492</v>
      </c>
      <c r="D192" s="47" t="s">
        <v>45</v>
      </c>
      <c r="E192" s="47" t="s">
        <v>59</v>
      </c>
      <c r="F192" s="47" t="s">
        <v>60</v>
      </c>
      <c r="G192" s="91" t="s">
        <v>497</v>
      </c>
      <c r="H192" s="47" t="s">
        <v>498</v>
      </c>
      <c r="I192" s="47" t="s">
        <v>63</v>
      </c>
      <c r="J192" s="47" t="s">
        <v>51</v>
      </c>
      <c r="K192" s="48">
        <v>45127</v>
      </c>
      <c r="L192" s="48">
        <v>45127</v>
      </c>
      <c r="M192" s="48">
        <v>45492</v>
      </c>
      <c r="N192" s="47" t="s">
        <v>52</v>
      </c>
      <c r="O192" s="55" t="s">
        <v>53</v>
      </c>
      <c r="P192" s="62">
        <v>12900</v>
      </c>
      <c r="Q192" s="62">
        <v>1075</v>
      </c>
      <c r="R192" s="96">
        <v>13440</v>
      </c>
      <c r="S192" s="62">
        <f t="shared" si="42"/>
        <v>1120</v>
      </c>
      <c r="T192" s="62">
        <v>12900</v>
      </c>
      <c r="U192" s="62">
        <f t="shared" si="43"/>
        <v>1075</v>
      </c>
      <c r="V192" s="69">
        <v>11520</v>
      </c>
      <c r="W192" s="71">
        <v>1150</v>
      </c>
      <c r="X192" s="105">
        <f>W192-30</f>
        <v>1120</v>
      </c>
      <c r="Y192" s="171">
        <f t="shared" si="47"/>
        <v>4.1860465116279069E-2</v>
      </c>
      <c r="Z192" s="64">
        <f t="shared" si="37"/>
        <v>6.9767441860465115E-2</v>
      </c>
      <c r="AA192" s="64">
        <f t="shared" si="44"/>
        <v>2.6785714285714284E-2</v>
      </c>
      <c r="AB192" s="71">
        <f t="shared" si="48"/>
        <v>1150</v>
      </c>
      <c r="AC192" s="64">
        <f t="shared" si="38"/>
        <v>6.9767441860465115E-2</v>
      </c>
      <c r="AD192" s="64">
        <f t="shared" si="45"/>
        <v>2.6785714285714284E-2</v>
      </c>
      <c r="AE192" s="71">
        <f>AB192-20</f>
        <v>1130</v>
      </c>
      <c r="AF192" s="64">
        <f t="shared" si="39"/>
        <v>5.1162790697674418E-2</v>
      </c>
      <c r="AG192" s="64">
        <f t="shared" si="46"/>
        <v>8.9285714285714281E-3</v>
      </c>
      <c r="AH192" s="67"/>
      <c r="AI192" s="47" t="s">
        <v>54</v>
      </c>
      <c r="AJ192" s="47">
        <v>599</v>
      </c>
      <c r="AK192" s="101" t="s">
        <v>55</v>
      </c>
      <c r="AL192" s="101" t="s">
        <v>55</v>
      </c>
      <c r="AM192" s="47" t="s">
        <v>499</v>
      </c>
      <c r="AN192" s="50">
        <v>1150</v>
      </c>
      <c r="AO192" s="211">
        <f t="shared" si="40"/>
        <v>6.9767441860465115E-2</v>
      </c>
      <c r="AP192" s="47" t="s">
        <v>57</v>
      </c>
      <c r="AQ192" s="52" t="s">
        <v>58</v>
      </c>
      <c r="AR192" s="47"/>
    </row>
    <row r="193" spans="1:16373" hidden="1">
      <c r="A193" s="47" t="s">
        <v>44</v>
      </c>
      <c r="B193" s="47" t="str">
        <f t="shared" si="36"/>
        <v>July</v>
      </c>
      <c r="C193" s="59">
        <v>45486</v>
      </c>
      <c r="D193" s="47" t="s">
        <v>45</v>
      </c>
      <c r="E193" s="47" t="s">
        <v>59</v>
      </c>
      <c r="F193" s="47" t="s">
        <v>60</v>
      </c>
      <c r="G193" s="91" t="s">
        <v>500</v>
      </c>
      <c r="H193" s="47" t="s">
        <v>501</v>
      </c>
      <c r="I193" s="47" t="s">
        <v>63</v>
      </c>
      <c r="J193" s="47" t="s">
        <v>51</v>
      </c>
      <c r="K193" s="48">
        <v>45121</v>
      </c>
      <c r="L193" s="48">
        <v>45121</v>
      </c>
      <c r="M193" s="48">
        <v>45486</v>
      </c>
      <c r="N193" s="47" t="s">
        <v>52</v>
      </c>
      <c r="O193" s="55" t="s">
        <v>53</v>
      </c>
      <c r="P193" s="62">
        <v>12900</v>
      </c>
      <c r="Q193" s="62">
        <v>1075</v>
      </c>
      <c r="R193" s="96">
        <v>13440</v>
      </c>
      <c r="S193" s="62">
        <f t="shared" si="42"/>
        <v>1120</v>
      </c>
      <c r="T193" s="62">
        <v>12900</v>
      </c>
      <c r="U193" s="62">
        <f t="shared" si="43"/>
        <v>1075</v>
      </c>
      <c r="V193" s="69">
        <v>11580</v>
      </c>
      <c r="W193" s="71">
        <v>1150</v>
      </c>
      <c r="X193" s="105">
        <f>W193-30</f>
        <v>1120</v>
      </c>
      <c r="Y193" s="171">
        <f t="shared" si="47"/>
        <v>4.1860465116279069E-2</v>
      </c>
      <c r="Z193" s="64">
        <f t="shared" si="37"/>
        <v>6.9767441860465115E-2</v>
      </c>
      <c r="AA193" s="64">
        <f t="shared" si="44"/>
        <v>2.6785714285714284E-2</v>
      </c>
      <c r="AB193" s="71">
        <f t="shared" si="48"/>
        <v>1150</v>
      </c>
      <c r="AC193" s="64">
        <f t="shared" si="38"/>
        <v>6.9767441860465115E-2</v>
      </c>
      <c r="AD193" s="64">
        <f t="shared" si="45"/>
        <v>2.6785714285714284E-2</v>
      </c>
      <c r="AE193" s="71">
        <v>1130</v>
      </c>
      <c r="AF193" s="64">
        <f t="shared" si="39"/>
        <v>5.1162790697674418E-2</v>
      </c>
      <c r="AG193" s="64">
        <f t="shared" si="46"/>
        <v>8.9285714285714281E-3</v>
      </c>
      <c r="AH193" s="67"/>
      <c r="AI193" s="47" t="s">
        <v>54</v>
      </c>
      <c r="AJ193" s="47">
        <v>528</v>
      </c>
      <c r="AK193" s="101" t="s">
        <v>55</v>
      </c>
      <c r="AL193" s="101" t="s">
        <v>55</v>
      </c>
      <c r="AM193" s="47" t="s">
        <v>484</v>
      </c>
      <c r="AN193" s="50"/>
      <c r="AO193" s="211">
        <f t="shared" si="40"/>
        <v>-1</v>
      </c>
      <c r="AP193" s="47" t="s">
        <v>57</v>
      </c>
      <c r="AQ193" s="47" t="s">
        <v>58</v>
      </c>
      <c r="AR193" s="47"/>
    </row>
    <row r="194" spans="1:16373" hidden="1">
      <c r="A194" s="47" t="s">
        <v>44</v>
      </c>
      <c r="B194" s="47" t="str">
        <f t="shared" ref="B194:B257" si="49">TEXT(C194,"mmmm")</f>
        <v>July</v>
      </c>
      <c r="C194" s="59">
        <v>45487</v>
      </c>
      <c r="D194" s="47" t="s">
        <v>45</v>
      </c>
      <c r="E194" s="47" t="s">
        <v>59</v>
      </c>
      <c r="F194" s="47" t="s">
        <v>60</v>
      </c>
      <c r="G194" s="91" t="s">
        <v>502</v>
      </c>
      <c r="H194" s="47" t="s">
        <v>503</v>
      </c>
      <c r="I194" s="47" t="s">
        <v>63</v>
      </c>
      <c r="J194" s="47" t="s">
        <v>51</v>
      </c>
      <c r="K194" s="48">
        <v>45122</v>
      </c>
      <c r="L194" s="48">
        <v>45122</v>
      </c>
      <c r="M194" s="48">
        <v>45487</v>
      </c>
      <c r="N194" s="47" t="s">
        <v>52</v>
      </c>
      <c r="O194" s="55" t="s">
        <v>53</v>
      </c>
      <c r="P194" s="62">
        <v>15720</v>
      </c>
      <c r="Q194" s="62">
        <v>1310</v>
      </c>
      <c r="R194" s="96">
        <v>16260</v>
      </c>
      <c r="S194" s="62">
        <f t="shared" si="42"/>
        <v>1355</v>
      </c>
      <c r="T194" s="62">
        <v>15720</v>
      </c>
      <c r="U194" s="62">
        <f t="shared" si="43"/>
        <v>1310</v>
      </c>
      <c r="V194" s="69">
        <v>13920</v>
      </c>
      <c r="W194" s="71">
        <v>1390</v>
      </c>
      <c r="X194" s="105">
        <f>W194-25</f>
        <v>1365</v>
      </c>
      <c r="Y194" s="171">
        <f t="shared" si="47"/>
        <v>4.1984732824427481E-2</v>
      </c>
      <c r="Z194" s="64">
        <f t="shared" ref="Z194:Z257" si="50">(W194-U194)/U194</f>
        <v>6.1068702290076333E-2</v>
      </c>
      <c r="AA194" s="64">
        <f t="shared" si="44"/>
        <v>2.5830258302583026E-2</v>
      </c>
      <c r="AB194" s="71">
        <f t="shared" si="48"/>
        <v>1390</v>
      </c>
      <c r="AC194" s="64">
        <f t="shared" ref="AC194:AC257" si="51">(AB194-U194)/U194</f>
        <v>6.1068702290076333E-2</v>
      </c>
      <c r="AD194" s="64">
        <f t="shared" si="45"/>
        <v>2.5830258302583026E-2</v>
      </c>
      <c r="AE194" s="71">
        <f>AB194-20</f>
        <v>1370</v>
      </c>
      <c r="AF194" s="64">
        <f t="shared" ref="AF194:AF257" si="52">(AE194-U194)/U194</f>
        <v>4.5801526717557252E-2</v>
      </c>
      <c r="AG194" s="64">
        <f t="shared" si="46"/>
        <v>1.107011070110701E-2</v>
      </c>
      <c r="AH194" s="67"/>
      <c r="AI194" s="47" t="s">
        <v>250</v>
      </c>
      <c r="AJ194" s="47">
        <v>711</v>
      </c>
      <c r="AK194" s="101" t="s">
        <v>65</v>
      </c>
      <c r="AL194" s="101" t="s">
        <v>65</v>
      </c>
      <c r="AM194" s="47" t="s">
        <v>487</v>
      </c>
      <c r="AN194" s="50"/>
      <c r="AO194" s="211">
        <f t="shared" ref="AO194:AO257" si="53">SUM(AN194-U194)/U194</f>
        <v>-1</v>
      </c>
      <c r="AP194" s="47" t="s">
        <v>57</v>
      </c>
      <c r="AQ194" s="47" t="s">
        <v>58</v>
      </c>
      <c r="AR194" s="47"/>
    </row>
    <row r="195" spans="1:16373" hidden="1">
      <c r="A195" s="47" t="s">
        <v>44</v>
      </c>
      <c r="B195" s="47" t="str">
        <f t="shared" si="49"/>
        <v>July</v>
      </c>
      <c r="C195" s="59">
        <v>45476</v>
      </c>
      <c r="D195" s="47" t="s">
        <v>45</v>
      </c>
      <c r="E195" s="47" t="s">
        <v>59</v>
      </c>
      <c r="F195" s="47" t="s">
        <v>60</v>
      </c>
      <c r="G195" s="91" t="s">
        <v>507</v>
      </c>
      <c r="H195" s="47" t="s">
        <v>508</v>
      </c>
      <c r="I195" s="47" t="s">
        <v>63</v>
      </c>
      <c r="J195" s="47" t="s">
        <v>51</v>
      </c>
      <c r="K195" s="48">
        <v>45111</v>
      </c>
      <c r="L195" s="48">
        <v>45111</v>
      </c>
      <c r="M195" s="48">
        <v>45476</v>
      </c>
      <c r="N195" s="47" t="s">
        <v>52</v>
      </c>
      <c r="O195" s="55" t="s">
        <v>53</v>
      </c>
      <c r="P195" s="62">
        <v>12480</v>
      </c>
      <c r="Q195" s="62">
        <v>1040</v>
      </c>
      <c r="R195" s="96">
        <v>12960</v>
      </c>
      <c r="S195" s="62">
        <f t="shared" si="42"/>
        <v>1080</v>
      </c>
      <c r="T195" s="62">
        <v>12480</v>
      </c>
      <c r="U195" s="62">
        <f t="shared" si="43"/>
        <v>1040</v>
      </c>
      <c r="V195" s="69">
        <v>11160</v>
      </c>
      <c r="W195" s="71">
        <v>1115</v>
      </c>
      <c r="X195" s="105">
        <f>W195-30</f>
        <v>1085</v>
      </c>
      <c r="Y195" s="171">
        <f t="shared" si="47"/>
        <v>4.3269230769230768E-2</v>
      </c>
      <c r="Z195" s="64">
        <f t="shared" si="50"/>
        <v>7.2115384615384609E-2</v>
      </c>
      <c r="AA195" s="64">
        <f t="shared" si="44"/>
        <v>3.2407407407407406E-2</v>
      </c>
      <c r="AB195" s="71">
        <f t="shared" si="48"/>
        <v>1115</v>
      </c>
      <c r="AC195" s="64">
        <f t="shared" si="51"/>
        <v>7.2115384615384609E-2</v>
      </c>
      <c r="AD195" s="64">
        <f t="shared" si="45"/>
        <v>3.2407407407407406E-2</v>
      </c>
      <c r="AE195" s="71">
        <f>AB195-20</f>
        <v>1095</v>
      </c>
      <c r="AF195" s="64">
        <f t="shared" si="52"/>
        <v>5.2884615384615384E-2</v>
      </c>
      <c r="AG195" s="64">
        <f t="shared" si="46"/>
        <v>1.3888888888888888E-2</v>
      </c>
      <c r="AH195" s="67"/>
      <c r="AI195" s="47" t="s">
        <v>54</v>
      </c>
      <c r="AJ195" s="47">
        <v>528</v>
      </c>
      <c r="AK195" s="101" t="s">
        <v>55</v>
      </c>
      <c r="AL195" s="101" t="s">
        <v>55</v>
      </c>
      <c r="AM195" s="47" t="s">
        <v>509</v>
      </c>
      <c r="AN195" s="50">
        <v>1115</v>
      </c>
      <c r="AO195" s="211">
        <f t="shared" si="53"/>
        <v>7.2115384615384609E-2</v>
      </c>
      <c r="AP195" s="47" t="s">
        <v>57</v>
      </c>
      <c r="AQ195" s="47" t="s">
        <v>58</v>
      </c>
      <c r="AR195" s="47"/>
      <c r="AT195" s="56"/>
      <c r="AU195" s="56"/>
      <c r="AV195" s="56"/>
      <c r="AW195" s="56"/>
      <c r="AX195" s="56"/>
      <c r="AY195" s="56"/>
      <c r="AZ195" s="56"/>
      <c r="BA195" s="56"/>
      <c r="BB195" s="56"/>
      <c r="BC195" s="56"/>
      <c r="BD195" s="56"/>
      <c r="BE195" s="56"/>
      <c r="BF195" s="56"/>
      <c r="BG195" s="56"/>
      <c r="BH195" s="56"/>
      <c r="BI195" s="56"/>
      <c r="BJ195" s="56"/>
      <c r="BK195" s="56"/>
      <c r="BL195" s="56"/>
      <c r="BM195" s="56"/>
      <c r="BN195" s="56"/>
      <c r="BO195" s="56"/>
      <c r="BP195" s="56"/>
      <c r="BQ195" s="56"/>
      <c r="BR195" s="56"/>
      <c r="BS195" s="56"/>
      <c r="BT195" s="56"/>
      <c r="BU195" s="56"/>
      <c r="BV195" s="56"/>
      <c r="BW195" s="56"/>
      <c r="BX195" s="56"/>
      <c r="BY195" s="56"/>
      <c r="BZ195" s="56"/>
      <c r="CA195" s="56"/>
      <c r="CB195" s="56"/>
      <c r="CC195" s="56"/>
      <c r="CD195" s="56"/>
      <c r="CE195" s="56"/>
      <c r="CF195" s="56"/>
      <c r="CG195" s="56"/>
      <c r="CH195" s="56"/>
      <c r="CI195" s="56"/>
      <c r="CJ195" s="56"/>
      <c r="CK195" s="56"/>
      <c r="CL195" s="56"/>
      <c r="CM195" s="56"/>
      <c r="CN195" s="56"/>
      <c r="CO195" s="56"/>
      <c r="CP195" s="56"/>
      <c r="CQ195" s="56"/>
      <c r="CR195" s="56"/>
      <c r="CS195" s="56"/>
      <c r="CT195" s="56"/>
      <c r="CU195" s="56"/>
      <c r="CV195" s="56"/>
      <c r="CW195" s="56"/>
      <c r="CX195" s="56"/>
      <c r="CY195" s="56"/>
      <c r="CZ195" s="56"/>
      <c r="DA195" s="56"/>
      <c r="DB195" s="56"/>
      <c r="DC195" s="56"/>
      <c r="DD195" s="56"/>
      <c r="DE195" s="56"/>
      <c r="DF195" s="56"/>
      <c r="DG195" s="56"/>
      <c r="DH195" s="56"/>
      <c r="DI195" s="56"/>
      <c r="DJ195" s="56"/>
      <c r="DK195" s="56"/>
      <c r="DL195" s="56"/>
      <c r="DM195" s="56"/>
      <c r="DN195" s="56"/>
      <c r="DO195" s="56"/>
      <c r="DP195" s="56"/>
      <c r="DQ195" s="56"/>
      <c r="DR195" s="56"/>
      <c r="DS195" s="56"/>
      <c r="DT195" s="56"/>
      <c r="DU195" s="56"/>
      <c r="DV195" s="56"/>
      <c r="DW195" s="56"/>
      <c r="DX195" s="56"/>
      <c r="DY195" s="56"/>
      <c r="DZ195" s="56"/>
      <c r="EA195" s="56"/>
      <c r="EB195" s="56"/>
      <c r="EC195" s="56"/>
      <c r="ED195" s="56"/>
      <c r="EE195" s="56"/>
      <c r="EF195" s="56"/>
      <c r="EG195" s="56"/>
      <c r="EH195" s="56"/>
      <c r="EI195" s="56"/>
      <c r="EJ195" s="56"/>
      <c r="EK195" s="56"/>
      <c r="EL195" s="56"/>
      <c r="EM195" s="56"/>
      <c r="EN195" s="56"/>
      <c r="EO195" s="56"/>
      <c r="EP195" s="56"/>
      <c r="EQ195" s="56"/>
      <c r="ER195" s="56"/>
      <c r="ES195" s="56"/>
      <c r="ET195" s="56"/>
      <c r="EU195" s="56"/>
      <c r="EV195" s="56"/>
      <c r="EW195" s="56"/>
      <c r="EX195" s="56"/>
      <c r="EY195" s="56"/>
      <c r="EZ195" s="56"/>
      <c r="FA195" s="56"/>
      <c r="FB195" s="56"/>
      <c r="FC195" s="56"/>
      <c r="FD195" s="56"/>
      <c r="FE195" s="56"/>
      <c r="FF195" s="56"/>
      <c r="FG195" s="56"/>
      <c r="FH195" s="56"/>
      <c r="FI195" s="56"/>
      <c r="FJ195" s="56"/>
      <c r="FK195" s="56"/>
      <c r="FL195" s="56"/>
      <c r="FM195" s="56"/>
      <c r="FN195" s="56"/>
      <c r="FO195" s="56"/>
      <c r="FP195" s="56"/>
      <c r="FQ195" s="56"/>
      <c r="FR195" s="56"/>
      <c r="FS195" s="56"/>
      <c r="FT195" s="56"/>
      <c r="FU195" s="56"/>
      <c r="FV195" s="56"/>
      <c r="FW195" s="56"/>
      <c r="FX195" s="56"/>
      <c r="FY195" s="56"/>
      <c r="FZ195" s="56"/>
      <c r="GA195" s="56"/>
      <c r="GB195" s="56"/>
      <c r="GC195" s="56"/>
      <c r="GD195" s="56"/>
      <c r="GE195" s="56"/>
      <c r="GF195" s="56"/>
      <c r="GG195" s="56"/>
      <c r="GH195" s="56"/>
      <c r="GI195" s="56"/>
      <c r="GJ195" s="56"/>
      <c r="GK195" s="56"/>
      <c r="GL195" s="56"/>
      <c r="GM195" s="56"/>
      <c r="GN195" s="56"/>
      <c r="GO195" s="56"/>
      <c r="GP195" s="56"/>
      <c r="GQ195" s="56"/>
      <c r="GR195" s="56"/>
      <c r="GS195" s="56"/>
      <c r="GT195" s="56"/>
      <c r="GU195" s="56"/>
      <c r="GV195" s="56"/>
      <c r="GW195" s="56"/>
      <c r="GX195" s="56"/>
      <c r="GY195" s="56"/>
      <c r="GZ195" s="56"/>
      <c r="HA195" s="56"/>
      <c r="HB195" s="56"/>
      <c r="HC195" s="56"/>
      <c r="HD195" s="56"/>
      <c r="HE195" s="56"/>
      <c r="HF195" s="56"/>
      <c r="HG195" s="56"/>
      <c r="HH195" s="56"/>
      <c r="HI195" s="56"/>
      <c r="HJ195" s="56"/>
      <c r="HK195" s="56"/>
      <c r="HL195" s="56"/>
      <c r="HM195" s="56"/>
      <c r="HN195" s="56"/>
      <c r="HO195" s="56"/>
      <c r="HP195" s="56"/>
      <c r="HQ195" s="56"/>
      <c r="HR195" s="56"/>
      <c r="HS195" s="56"/>
      <c r="HT195" s="56"/>
      <c r="HU195" s="56"/>
      <c r="HV195" s="56"/>
      <c r="HW195" s="56"/>
      <c r="HX195" s="56"/>
      <c r="HY195" s="56"/>
      <c r="HZ195" s="56"/>
      <c r="IA195" s="56"/>
      <c r="IB195" s="56"/>
      <c r="IC195" s="56"/>
      <c r="ID195" s="56"/>
      <c r="IE195" s="56"/>
      <c r="IF195" s="56"/>
      <c r="IG195" s="56"/>
      <c r="IH195" s="56"/>
      <c r="II195" s="56"/>
      <c r="IJ195" s="56"/>
      <c r="IK195" s="56"/>
      <c r="IL195" s="56"/>
      <c r="IM195" s="56"/>
      <c r="IN195" s="56"/>
      <c r="IO195" s="56"/>
      <c r="IP195" s="56"/>
      <c r="IQ195" s="56"/>
      <c r="IR195" s="56"/>
      <c r="IS195" s="56"/>
      <c r="IT195" s="56"/>
      <c r="IU195" s="56"/>
      <c r="IV195" s="56"/>
      <c r="IW195" s="56"/>
      <c r="IX195" s="56"/>
      <c r="IY195" s="56"/>
      <c r="IZ195" s="56"/>
      <c r="JA195" s="56"/>
      <c r="JB195" s="56"/>
      <c r="JC195" s="56"/>
      <c r="JD195" s="56"/>
      <c r="JE195" s="56"/>
      <c r="JF195" s="56"/>
      <c r="JG195" s="56"/>
      <c r="JH195" s="56"/>
      <c r="JI195" s="56"/>
      <c r="JJ195" s="56"/>
      <c r="JK195" s="56"/>
      <c r="JL195" s="56"/>
      <c r="JM195" s="56"/>
      <c r="JN195" s="56"/>
      <c r="JO195" s="56"/>
      <c r="JP195" s="56"/>
      <c r="JQ195" s="56"/>
      <c r="JR195" s="56"/>
      <c r="JS195" s="56"/>
      <c r="JT195" s="56"/>
      <c r="JU195" s="56"/>
      <c r="JV195" s="56"/>
      <c r="JW195" s="56"/>
      <c r="JX195" s="56"/>
      <c r="JY195" s="56"/>
      <c r="JZ195" s="56"/>
      <c r="KA195" s="56"/>
      <c r="KB195" s="56"/>
      <c r="KC195" s="56"/>
      <c r="KD195" s="56"/>
      <c r="KE195" s="56"/>
      <c r="KF195" s="56"/>
      <c r="KG195" s="56"/>
      <c r="KH195" s="56"/>
      <c r="KI195" s="56"/>
      <c r="KJ195" s="56"/>
      <c r="KK195" s="56"/>
      <c r="KL195" s="56"/>
      <c r="KM195" s="56"/>
      <c r="KN195" s="56"/>
      <c r="KO195" s="56"/>
      <c r="KP195" s="56"/>
      <c r="KQ195" s="56"/>
      <c r="KR195" s="56"/>
      <c r="KS195" s="56"/>
      <c r="KT195" s="56"/>
      <c r="KU195" s="56"/>
      <c r="KV195" s="56"/>
      <c r="KW195" s="56"/>
      <c r="KX195" s="56"/>
      <c r="KY195" s="56"/>
      <c r="KZ195" s="56"/>
      <c r="LA195" s="56"/>
      <c r="LB195" s="56"/>
      <c r="LC195" s="56"/>
      <c r="LD195" s="56"/>
      <c r="LE195" s="56"/>
      <c r="LF195" s="56"/>
      <c r="LG195" s="56"/>
      <c r="LH195" s="56"/>
      <c r="LI195" s="56"/>
      <c r="LJ195" s="56"/>
      <c r="LK195" s="56"/>
      <c r="LL195" s="56"/>
      <c r="LM195" s="56"/>
      <c r="LN195" s="56"/>
      <c r="LO195" s="56"/>
      <c r="LP195" s="56"/>
      <c r="LQ195" s="56"/>
      <c r="LR195" s="56"/>
      <c r="LS195" s="56"/>
      <c r="LT195" s="56"/>
      <c r="LU195" s="56"/>
      <c r="LV195" s="56"/>
      <c r="LW195" s="56"/>
      <c r="LX195" s="56"/>
      <c r="LY195" s="56"/>
      <c r="LZ195" s="56"/>
      <c r="MA195" s="56"/>
      <c r="MB195" s="56"/>
      <c r="MC195" s="56"/>
      <c r="MD195" s="56"/>
      <c r="ME195" s="56"/>
      <c r="MF195" s="56"/>
      <c r="MG195" s="56"/>
      <c r="MH195" s="56"/>
      <c r="MI195" s="56"/>
      <c r="MJ195" s="56"/>
      <c r="MK195" s="56"/>
      <c r="ML195" s="56"/>
      <c r="MM195" s="56"/>
      <c r="MN195" s="56"/>
      <c r="MO195" s="56"/>
      <c r="MP195" s="56"/>
      <c r="MQ195" s="56"/>
      <c r="MR195" s="56"/>
      <c r="MS195" s="56"/>
      <c r="MT195" s="56"/>
      <c r="MU195" s="56"/>
      <c r="MV195" s="56"/>
      <c r="MW195" s="56"/>
      <c r="MX195" s="56"/>
      <c r="MY195" s="56"/>
      <c r="MZ195" s="56"/>
      <c r="NA195" s="56"/>
      <c r="NB195" s="56"/>
      <c r="NC195" s="56"/>
      <c r="ND195" s="56"/>
      <c r="NE195" s="56"/>
      <c r="NF195" s="56"/>
      <c r="NG195" s="56"/>
      <c r="NH195" s="56"/>
      <c r="NI195" s="56"/>
      <c r="NJ195" s="56"/>
      <c r="NK195" s="56"/>
      <c r="NL195" s="56"/>
      <c r="NM195" s="56"/>
      <c r="NN195" s="56"/>
      <c r="NO195" s="56"/>
      <c r="NP195" s="56"/>
      <c r="NQ195" s="56"/>
      <c r="NR195" s="56"/>
      <c r="NS195" s="56"/>
      <c r="NT195" s="56"/>
      <c r="NU195" s="56"/>
      <c r="NV195" s="56"/>
      <c r="NW195" s="56"/>
      <c r="NX195" s="56"/>
      <c r="NY195" s="56"/>
      <c r="NZ195" s="56"/>
      <c r="OA195" s="56"/>
      <c r="OB195" s="56"/>
      <c r="OC195" s="56"/>
      <c r="OD195" s="56"/>
      <c r="OE195" s="56"/>
      <c r="OF195" s="56"/>
      <c r="OG195" s="56"/>
      <c r="OH195" s="56"/>
      <c r="OI195" s="56"/>
      <c r="OJ195" s="56"/>
      <c r="OK195" s="56"/>
      <c r="OL195" s="56"/>
      <c r="OM195" s="56"/>
      <c r="ON195" s="56"/>
      <c r="OO195" s="56"/>
      <c r="OP195" s="56"/>
      <c r="OQ195" s="56"/>
      <c r="OR195" s="56"/>
      <c r="OS195" s="56"/>
      <c r="OT195" s="56"/>
      <c r="OU195" s="56"/>
      <c r="OV195" s="56"/>
      <c r="OW195" s="56"/>
      <c r="OX195" s="56"/>
      <c r="OY195" s="56"/>
      <c r="OZ195" s="56"/>
      <c r="PA195" s="56"/>
      <c r="PB195" s="56"/>
      <c r="PC195" s="56"/>
      <c r="PD195" s="56"/>
      <c r="PE195" s="56"/>
      <c r="PF195" s="56"/>
      <c r="PG195" s="56"/>
      <c r="PH195" s="56"/>
      <c r="PI195" s="56"/>
      <c r="PJ195" s="56"/>
      <c r="PK195" s="56"/>
      <c r="PL195" s="56"/>
      <c r="PM195" s="56"/>
      <c r="PN195" s="56"/>
      <c r="PO195" s="56"/>
      <c r="PP195" s="56"/>
      <c r="PQ195" s="56"/>
      <c r="PR195" s="56"/>
      <c r="PS195" s="56"/>
      <c r="PT195" s="56"/>
      <c r="PU195" s="56"/>
      <c r="PV195" s="56"/>
      <c r="PW195" s="56"/>
      <c r="PX195" s="56"/>
      <c r="PY195" s="56"/>
      <c r="PZ195" s="56"/>
      <c r="QA195" s="56"/>
      <c r="QB195" s="56"/>
      <c r="QC195" s="56"/>
      <c r="QD195" s="56"/>
      <c r="QE195" s="56"/>
      <c r="QF195" s="56"/>
      <c r="QG195" s="56"/>
      <c r="QH195" s="56"/>
      <c r="QI195" s="56"/>
      <c r="QJ195" s="56"/>
      <c r="QK195" s="56"/>
      <c r="QL195" s="56"/>
      <c r="QM195" s="56"/>
      <c r="QN195" s="56"/>
      <c r="QO195" s="56"/>
      <c r="QP195" s="56"/>
      <c r="QQ195" s="56"/>
      <c r="QR195" s="56"/>
      <c r="QS195" s="56"/>
      <c r="QT195" s="56"/>
      <c r="QU195" s="56"/>
      <c r="QV195" s="56"/>
      <c r="QW195" s="56"/>
      <c r="QX195" s="56"/>
      <c r="QY195" s="56"/>
      <c r="QZ195" s="56"/>
      <c r="RA195" s="56"/>
      <c r="RB195" s="56"/>
      <c r="RC195" s="56"/>
      <c r="RD195" s="56"/>
      <c r="RE195" s="56"/>
      <c r="RF195" s="56"/>
      <c r="RG195" s="56"/>
      <c r="RH195" s="56"/>
      <c r="RI195" s="56"/>
      <c r="RJ195" s="56"/>
      <c r="RK195" s="56"/>
      <c r="RL195" s="56"/>
      <c r="RM195" s="56"/>
      <c r="RN195" s="56"/>
      <c r="RO195" s="56"/>
      <c r="RP195" s="56"/>
      <c r="RQ195" s="56"/>
      <c r="RR195" s="56"/>
      <c r="RS195" s="56"/>
      <c r="RT195" s="56"/>
      <c r="RU195" s="56"/>
      <c r="RV195" s="56"/>
      <c r="RW195" s="56"/>
      <c r="RX195" s="56"/>
      <c r="RY195" s="56"/>
      <c r="RZ195" s="56"/>
      <c r="SA195" s="56"/>
      <c r="SB195" s="56"/>
      <c r="SC195" s="56"/>
      <c r="SD195" s="56"/>
      <c r="SE195" s="56"/>
      <c r="SF195" s="56"/>
      <c r="SG195" s="56"/>
      <c r="SH195" s="56"/>
      <c r="SI195" s="56"/>
      <c r="SJ195" s="56"/>
      <c r="SK195" s="56"/>
      <c r="SL195" s="56"/>
      <c r="SM195" s="56"/>
      <c r="SN195" s="56"/>
      <c r="SO195" s="56"/>
      <c r="SP195" s="56"/>
      <c r="SQ195" s="56"/>
      <c r="SR195" s="56"/>
      <c r="SS195" s="56"/>
      <c r="ST195" s="56"/>
      <c r="SU195" s="56"/>
      <c r="SV195" s="56"/>
      <c r="SW195" s="56"/>
      <c r="SX195" s="56"/>
      <c r="SY195" s="56"/>
      <c r="SZ195" s="56"/>
      <c r="TA195" s="56"/>
      <c r="TB195" s="56"/>
      <c r="TC195" s="56"/>
      <c r="TD195" s="56"/>
      <c r="TE195" s="56"/>
      <c r="TF195" s="56"/>
      <c r="TG195" s="56"/>
      <c r="TH195" s="56"/>
      <c r="TI195" s="56"/>
      <c r="TJ195" s="56"/>
      <c r="TK195" s="56"/>
      <c r="TL195" s="56"/>
      <c r="TM195" s="56"/>
      <c r="TN195" s="56"/>
      <c r="TO195" s="56"/>
      <c r="TP195" s="56"/>
      <c r="TQ195" s="56"/>
      <c r="TR195" s="56"/>
      <c r="TS195" s="56"/>
      <c r="TT195" s="56"/>
      <c r="TU195" s="56"/>
      <c r="TV195" s="56"/>
      <c r="TW195" s="56"/>
      <c r="TX195" s="56"/>
      <c r="TY195" s="56"/>
      <c r="TZ195" s="56"/>
      <c r="UA195" s="56"/>
      <c r="UB195" s="56"/>
      <c r="UC195" s="56"/>
      <c r="UD195" s="56"/>
      <c r="UE195" s="56"/>
      <c r="UF195" s="56"/>
      <c r="UG195" s="56"/>
      <c r="UH195" s="56"/>
      <c r="UI195" s="56"/>
      <c r="UJ195" s="56"/>
      <c r="UK195" s="56"/>
      <c r="UL195" s="56"/>
      <c r="UM195" s="56"/>
      <c r="UN195" s="56"/>
      <c r="UO195" s="56"/>
      <c r="UP195" s="56"/>
      <c r="UQ195" s="56"/>
      <c r="UR195" s="56"/>
      <c r="US195" s="56"/>
      <c r="UT195" s="56"/>
      <c r="UU195" s="56"/>
      <c r="UV195" s="56"/>
      <c r="UW195" s="56"/>
      <c r="UX195" s="56"/>
      <c r="UY195" s="56"/>
      <c r="UZ195" s="56"/>
      <c r="VA195" s="56"/>
      <c r="VB195" s="56"/>
      <c r="VC195" s="56"/>
      <c r="VD195" s="56"/>
      <c r="VE195" s="56"/>
      <c r="VF195" s="56"/>
      <c r="VG195" s="56"/>
      <c r="VH195" s="56"/>
      <c r="VI195" s="56"/>
      <c r="VJ195" s="56"/>
      <c r="VK195" s="56"/>
      <c r="VL195" s="56"/>
      <c r="VM195" s="56"/>
      <c r="VN195" s="56"/>
      <c r="VO195" s="56"/>
      <c r="VP195" s="56"/>
      <c r="VQ195" s="56"/>
      <c r="VR195" s="56"/>
      <c r="VS195" s="56"/>
      <c r="VT195" s="56"/>
      <c r="VU195" s="56"/>
      <c r="VV195" s="56"/>
      <c r="VW195" s="56"/>
      <c r="VX195" s="56"/>
      <c r="VY195" s="56"/>
      <c r="VZ195" s="56"/>
      <c r="WA195" s="56"/>
      <c r="WB195" s="56"/>
      <c r="WC195" s="56"/>
      <c r="WD195" s="56"/>
      <c r="WE195" s="56"/>
      <c r="WF195" s="56"/>
      <c r="WG195" s="56"/>
      <c r="WH195" s="56"/>
      <c r="WI195" s="56"/>
      <c r="WJ195" s="56"/>
      <c r="WK195" s="56"/>
      <c r="WL195" s="56"/>
      <c r="WM195" s="56"/>
      <c r="WN195" s="56"/>
      <c r="WO195" s="56"/>
      <c r="WP195" s="56"/>
      <c r="WQ195" s="56"/>
      <c r="WR195" s="56"/>
      <c r="WS195" s="56"/>
      <c r="WT195" s="56"/>
      <c r="WU195" s="56"/>
      <c r="WV195" s="56"/>
      <c r="WW195" s="56"/>
      <c r="WX195" s="56"/>
      <c r="WY195" s="56"/>
      <c r="WZ195" s="56"/>
      <c r="XA195" s="56"/>
      <c r="XB195" s="56"/>
      <c r="XC195" s="56"/>
      <c r="XD195" s="56"/>
      <c r="XE195" s="56"/>
      <c r="XF195" s="56"/>
      <c r="XG195" s="56"/>
      <c r="XH195" s="56"/>
      <c r="XI195" s="56"/>
      <c r="XJ195" s="56"/>
      <c r="XK195" s="56"/>
      <c r="XL195" s="56"/>
      <c r="XM195" s="56"/>
      <c r="XN195" s="56"/>
      <c r="XO195" s="56"/>
      <c r="XP195" s="56"/>
      <c r="XQ195" s="56"/>
      <c r="XR195" s="56"/>
      <c r="XS195" s="56"/>
      <c r="XT195" s="56"/>
      <c r="XU195" s="56"/>
      <c r="XV195" s="56"/>
      <c r="XW195" s="56"/>
      <c r="XX195" s="56"/>
      <c r="XY195" s="56"/>
      <c r="XZ195" s="56"/>
      <c r="YA195" s="56"/>
      <c r="YB195" s="56"/>
      <c r="YC195" s="56"/>
      <c r="YD195" s="56"/>
      <c r="YE195" s="56"/>
      <c r="YF195" s="56"/>
      <c r="YG195" s="56"/>
      <c r="YH195" s="56"/>
      <c r="YI195" s="56"/>
      <c r="YJ195" s="56"/>
      <c r="YK195" s="56"/>
      <c r="YL195" s="56"/>
      <c r="YM195" s="56"/>
      <c r="YN195" s="56"/>
      <c r="YO195" s="56"/>
      <c r="YP195" s="56"/>
      <c r="YQ195" s="56"/>
      <c r="YR195" s="56"/>
      <c r="YS195" s="56"/>
      <c r="YT195" s="56"/>
      <c r="YU195" s="56"/>
      <c r="YV195" s="56"/>
      <c r="YW195" s="56"/>
      <c r="YX195" s="56"/>
      <c r="YY195" s="56"/>
      <c r="YZ195" s="56"/>
      <c r="ZA195" s="56"/>
      <c r="ZB195" s="56"/>
      <c r="ZC195" s="56"/>
      <c r="ZD195" s="56"/>
      <c r="ZE195" s="56"/>
      <c r="ZF195" s="56"/>
      <c r="ZG195" s="56"/>
      <c r="ZH195" s="56"/>
      <c r="ZI195" s="56"/>
      <c r="ZJ195" s="56"/>
      <c r="ZK195" s="56"/>
      <c r="ZL195" s="56"/>
      <c r="ZM195" s="56"/>
      <c r="ZN195" s="56"/>
      <c r="ZO195" s="56"/>
      <c r="ZP195" s="56"/>
      <c r="ZQ195" s="56"/>
      <c r="ZR195" s="56"/>
      <c r="ZS195" s="56"/>
      <c r="ZT195" s="56"/>
      <c r="ZU195" s="56"/>
      <c r="ZV195" s="56"/>
      <c r="ZW195" s="56"/>
      <c r="ZX195" s="56"/>
      <c r="ZY195" s="56"/>
      <c r="ZZ195" s="56"/>
      <c r="AAA195" s="56"/>
      <c r="AAB195" s="56"/>
      <c r="AAC195" s="56"/>
      <c r="AAD195" s="56"/>
      <c r="AAE195" s="56"/>
      <c r="AAF195" s="56"/>
      <c r="AAG195" s="56"/>
      <c r="AAH195" s="56"/>
      <c r="AAI195" s="56"/>
      <c r="AAJ195" s="56"/>
      <c r="AAK195" s="56"/>
      <c r="AAL195" s="56"/>
      <c r="AAM195" s="56"/>
      <c r="AAN195" s="56"/>
      <c r="AAO195" s="56"/>
      <c r="AAP195" s="56"/>
      <c r="AAQ195" s="56"/>
      <c r="AAR195" s="56"/>
      <c r="AAS195" s="56"/>
      <c r="AAT195" s="56"/>
      <c r="AAU195" s="56"/>
      <c r="AAV195" s="56"/>
      <c r="AAW195" s="56"/>
      <c r="AAX195" s="56"/>
      <c r="AAY195" s="56"/>
      <c r="AAZ195" s="56"/>
      <c r="ABA195" s="56"/>
      <c r="ABB195" s="56"/>
      <c r="ABC195" s="56"/>
      <c r="ABD195" s="56"/>
      <c r="ABE195" s="56"/>
      <c r="ABF195" s="56"/>
      <c r="ABG195" s="56"/>
      <c r="ABH195" s="56"/>
      <c r="ABI195" s="56"/>
      <c r="ABJ195" s="56"/>
      <c r="ABK195" s="56"/>
      <c r="ABL195" s="56"/>
      <c r="ABM195" s="56"/>
      <c r="ABN195" s="56"/>
      <c r="ABO195" s="56"/>
      <c r="ABP195" s="56"/>
      <c r="ABQ195" s="56"/>
      <c r="ABR195" s="56"/>
      <c r="ABS195" s="56"/>
      <c r="ABT195" s="56"/>
      <c r="ABU195" s="56"/>
      <c r="ABV195" s="56"/>
      <c r="ABW195" s="56"/>
      <c r="ABX195" s="56"/>
      <c r="ABY195" s="56"/>
      <c r="ABZ195" s="56"/>
      <c r="ACA195" s="56"/>
      <c r="ACB195" s="56"/>
      <c r="ACC195" s="56"/>
      <c r="ACD195" s="56"/>
      <c r="ACE195" s="56"/>
      <c r="ACF195" s="56"/>
      <c r="ACG195" s="56"/>
      <c r="ACH195" s="56"/>
      <c r="ACI195" s="56"/>
      <c r="ACJ195" s="56"/>
      <c r="ACK195" s="56"/>
      <c r="ACL195" s="56"/>
      <c r="ACM195" s="56"/>
      <c r="ACN195" s="56"/>
      <c r="ACO195" s="56"/>
      <c r="ACP195" s="56"/>
      <c r="ACQ195" s="56"/>
      <c r="ACR195" s="56"/>
      <c r="ACS195" s="56"/>
      <c r="ACT195" s="56"/>
      <c r="ACU195" s="56"/>
      <c r="ACV195" s="56"/>
      <c r="ACW195" s="56"/>
      <c r="ACX195" s="56"/>
      <c r="ACY195" s="56"/>
      <c r="ACZ195" s="56"/>
      <c r="ADA195" s="56"/>
      <c r="ADB195" s="56"/>
      <c r="ADC195" s="56"/>
      <c r="ADD195" s="56"/>
      <c r="ADE195" s="56"/>
      <c r="ADF195" s="56"/>
      <c r="ADG195" s="56"/>
      <c r="ADH195" s="56"/>
      <c r="ADI195" s="56"/>
      <c r="ADJ195" s="56"/>
      <c r="ADK195" s="56"/>
      <c r="ADL195" s="56"/>
      <c r="ADM195" s="56"/>
      <c r="ADN195" s="56"/>
      <c r="ADO195" s="56"/>
      <c r="ADP195" s="56"/>
      <c r="ADQ195" s="56"/>
      <c r="ADR195" s="56"/>
      <c r="ADS195" s="56"/>
      <c r="ADT195" s="56"/>
      <c r="ADU195" s="56"/>
      <c r="ADV195" s="56"/>
      <c r="ADW195" s="56"/>
      <c r="ADX195" s="56"/>
      <c r="ADY195" s="56"/>
      <c r="ADZ195" s="56"/>
      <c r="AEA195" s="56"/>
      <c r="AEB195" s="56"/>
      <c r="AEC195" s="56"/>
      <c r="AED195" s="56"/>
      <c r="AEE195" s="56"/>
      <c r="AEF195" s="56"/>
      <c r="AEG195" s="56"/>
      <c r="AEH195" s="56"/>
      <c r="AEI195" s="56"/>
      <c r="AEJ195" s="56"/>
      <c r="AEK195" s="56"/>
      <c r="AEL195" s="56"/>
      <c r="AEM195" s="56"/>
      <c r="AEN195" s="56"/>
      <c r="AEO195" s="56"/>
      <c r="AEP195" s="56"/>
      <c r="AEQ195" s="56"/>
      <c r="AER195" s="56"/>
      <c r="AES195" s="56"/>
      <c r="AET195" s="56"/>
      <c r="AEU195" s="56"/>
      <c r="AEV195" s="56"/>
      <c r="AEW195" s="56"/>
      <c r="AEX195" s="56"/>
      <c r="AEY195" s="56"/>
      <c r="AEZ195" s="56"/>
      <c r="AFA195" s="56"/>
      <c r="AFB195" s="56"/>
      <c r="AFC195" s="56"/>
      <c r="AFD195" s="56"/>
      <c r="AFE195" s="56"/>
      <c r="AFF195" s="56"/>
      <c r="AFG195" s="56"/>
      <c r="AFH195" s="56"/>
      <c r="AFI195" s="56"/>
      <c r="AFJ195" s="56"/>
      <c r="AFK195" s="56"/>
      <c r="AFL195" s="56"/>
      <c r="AFM195" s="56"/>
      <c r="AFN195" s="56"/>
      <c r="AFO195" s="56"/>
      <c r="AFP195" s="56"/>
      <c r="AFQ195" s="56"/>
      <c r="AFR195" s="56"/>
      <c r="AFS195" s="56"/>
      <c r="AFT195" s="56"/>
      <c r="AFU195" s="56"/>
      <c r="AFV195" s="56"/>
      <c r="AFW195" s="56"/>
      <c r="AFX195" s="56"/>
      <c r="AFY195" s="56"/>
      <c r="AFZ195" s="56"/>
      <c r="AGA195" s="56"/>
      <c r="AGB195" s="56"/>
      <c r="AGC195" s="56"/>
      <c r="AGD195" s="56"/>
      <c r="AGE195" s="56"/>
      <c r="AGF195" s="56"/>
      <c r="AGG195" s="56"/>
      <c r="AGH195" s="56"/>
      <c r="AGI195" s="56"/>
      <c r="AGJ195" s="56"/>
      <c r="AGK195" s="56"/>
      <c r="AGL195" s="56"/>
      <c r="AGM195" s="56"/>
      <c r="AGN195" s="56"/>
      <c r="AGO195" s="56"/>
      <c r="AGP195" s="56"/>
      <c r="AGQ195" s="56"/>
      <c r="AGR195" s="56"/>
      <c r="AGS195" s="56"/>
      <c r="AGT195" s="56"/>
      <c r="AGU195" s="56"/>
      <c r="AGV195" s="56"/>
      <c r="AGW195" s="56"/>
      <c r="AGX195" s="56"/>
      <c r="AGY195" s="56"/>
      <c r="AGZ195" s="56"/>
      <c r="AHA195" s="56"/>
      <c r="AHB195" s="56"/>
      <c r="AHC195" s="56"/>
      <c r="AHD195" s="56"/>
      <c r="AHE195" s="56"/>
      <c r="AHF195" s="56"/>
      <c r="AHG195" s="56"/>
      <c r="AHH195" s="56"/>
      <c r="AHI195" s="56"/>
      <c r="AHJ195" s="56"/>
      <c r="AHK195" s="56"/>
      <c r="AHL195" s="56"/>
      <c r="AHM195" s="56"/>
      <c r="AHN195" s="56"/>
      <c r="AHO195" s="56"/>
      <c r="AHP195" s="56"/>
      <c r="AHQ195" s="56"/>
      <c r="AHR195" s="56"/>
      <c r="AHS195" s="56"/>
      <c r="AHT195" s="56"/>
      <c r="AHU195" s="56"/>
      <c r="AHV195" s="56"/>
      <c r="AHW195" s="56"/>
      <c r="AHX195" s="56"/>
      <c r="AHY195" s="56"/>
      <c r="AHZ195" s="56"/>
      <c r="AIA195" s="56"/>
      <c r="AIB195" s="56"/>
      <c r="AIC195" s="56"/>
      <c r="AID195" s="56"/>
      <c r="AIE195" s="56"/>
      <c r="AIF195" s="56"/>
      <c r="AIG195" s="56"/>
      <c r="AIH195" s="56"/>
      <c r="AII195" s="56"/>
      <c r="AIJ195" s="56"/>
      <c r="AIK195" s="56"/>
      <c r="AIL195" s="56"/>
      <c r="AIM195" s="56"/>
      <c r="AIN195" s="56"/>
      <c r="AIO195" s="56"/>
      <c r="AIP195" s="56"/>
      <c r="AIQ195" s="56"/>
      <c r="AIR195" s="56"/>
      <c r="AIS195" s="56"/>
      <c r="AIT195" s="56"/>
      <c r="AIU195" s="56"/>
      <c r="AIV195" s="56"/>
      <c r="AIW195" s="56"/>
      <c r="AIX195" s="56"/>
      <c r="AIY195" s="56"/>
      <c r="AIZ195" s="56"/>
      <c r="AJA195" s="56"/>
      <c r="AJB195" s="56"/>
      <c r="AJC195" s="56"/>
      <c r="AJD195" s="56"/>
      <c r="AJE195" s="56"/>
      <c r="AJF195" s="56"/>
      <c r="AJG195" s="56"/>
      <c r="AJH195" s="56"/>
      <c r="AJI195" s="56"/>
      <c r="AJJ195" s="56"/>
      <c r="AJK195" s="56"/>
      <c r="AJL195" s="56"/>
      <c r="AJM195" s="56"/>
      <c r="AJN195" s="56"/>
      <c r="AJO195" s="56"/>
      <c r="AJP195" s="56"/>
      <c r="AJQ195" s="56"/>
      <c r="AJR195" s="56"/>
      <c r="AJS195" s="56"/>
      <c r="AJT195" s="56"/>
      <c r="AJU195" s="56"/>
      <c r="AJV195" s="56"/>
      <c r="AJW195" s="56"/>
      <c r="AJX195" s="56"/>
      <c r="AJY195" s="56"/>
      <c r="AJZ195" s="56"/>
      <c r="AKA195" s="56"/>
      <c r="AKB195" s="56"/>
      <c r="AKC195" s="56"/>
      <c r="AKD195" s="56"/>
      <c r="AKE195" s="56"/>
      <c r="AKF195" s="56"/>
      <c r="AKG195" s="56"/>
      <c r="AKH195" s="56"/>
      <c r="AKI195" s="56"/>
      <c r="AKJ195" s="56"/>
      <c r="AKK195" s="56"/>
      <c r="AKL195" s="56"/>
      <c r="AKM195" s="56"/>
      <c r="AKN195" s="56"/>
      <c r="AKO195" s="56"/>
      <c r="AKP195" s="56"/>
      <c r="AKQ195" s="56"/>
      <c r="AKR195" s="56"/>
      <c r="AKS195" s="56"/>
      <c r="AKT195" s="56"/>
      <c r="AKU195" s="56"/>
      <c r="AKV195" s="56"/>
      <c r="AKW195" s="56"/>
      <c r="AKX195" s="56"/>
      <c r="AKY195" s="56"/>
      <c r="AKZ195" s="56"/>
      <c r="ALA195" s="56"/>
      <c r="ALB195" s="56"/>
      <c r="ALC195" s="56"/>
      <c r="ALD195" s="56"/>
      <c r="ALE195" s="56"/>
      <c r="ALF195" s="56"/>
      <c r="ALG195" s="56"/>
      <c r="ALH195" s="56"/>
      <c r="ALI195" s="56"/>
      <c r="ALJ195" s="56"/>
      <c r="ALK195" s="56"/>
      <c r="ALL195" s="56"/>
      <c r="ALM195" s="56"/>
      <c r="ALN195" s="56"/>
      <c r="ALO195" s="56"/>
      <c r="ALP195" s="56"/>
      <c r="ALQ195" s="56"/>
      <c r="ALR195" s="56"/>
      <c r="ALS195" s="56"/>
      <c r="ALT195" s="56"/>
      <c r="ALU195" s="56"/>
      <c r="ALV195" s="56"/>
      <c r="ALW195" s="56"/>
      <c r="ALX195" s="56"/>
      <c r="ALY195" s="56"/>
      <c r="ALZ195" s="56"/>
      <c r="AMA195" s="56"/>
      <c r="AMB195" s="56"/>
      <c r="AMC195" s="56"/>
      <c r="AMD195" s="56"/>
      <c r="AME195" s="56"/>
      <c r="AMF195" s="56"/>
      <c r="AMG195" s="56"/>
      <c r="AMH195" s="56"/>
      <c r="AMI195" s="56"/>
      <c r="AMJ195" s="56"/>
      <c r="AMK195" s="56"/>
      <c r="AML195" s="56"/>
      <c r="AMM195" s="56"/>
      <c r="AMN195" s="56"/>
      <c r="AMO195" s="56"/>
      <c r="AMP195" s="56"/>
      <c r="AMQ195" s="56"/>
      <c r="AMR195" s="56"/>
      <c r="AMS195" s="56"/>
      <c r="AMT195" s="56"/>
      <c r="AMU195" s="56"/>
      <c r="AMV195" s="56"/>
      <c r="AMW195" s="56"/>
      <c r="AMX195" s="56"/>
      <c r="AMY195" s="56"/>
      <c r="AMZ195" s="56"/>
      <c r="ANA195" s="56"/>
      <c r="ANB195" s="56"/>
      <c r="ANC195" s="56"/>
      <c r="AND195" s="56"/>
      <c r="ANE195" s="56"/>
      <c r="ANF195" s="56"/>
      <c r="ANG195" s="56"/>
      <c r="ANH195" s="56"/>
      <c r="ANI195" s="56"/>
      <c r="ANJ195" s="56"/>
      <c r="ANK195" s="56"/>
      <c r="ANL195" s="56"/>
      <c r="ANM195" s="56"/>
      <c r="ANN195" s="56"/>
      <c r="ANO195" s="56"/>
      <c r="ANP195" s="56"/>
      <c r="ANQ195" s="56"/>
      <c r="ANR195" s="56"/>
      <c r="ANS195" s="56"/>
      <c r="ANT195" s="56"/>
      <c r="ANU195" s="56"/>
      <c r="ANV195" s="56"/>
      <c r="ANW195" s="56"/>
      <c r="ANX195" s="56"/>
      <c r="ANY195" s="56"/>
      <c r="ANZ195" s="56"/>
      <c r="AOA195" s="56"/>
      <c r="AOB195" s="56"/>
      <c r="AOC195" s="56"/>
      <c r="AOD195" s="56"/>
      <c r="AOE195" s="56"/>
      <c r="AOF195" s="56"/>
      <c r="AOG195" s="56"/>
      <c r="AOH195" s="56"/>
      <c r="AOI195" s="56"/>
      <c r="AOJ195" s="56"/>
      <c r="AOK195" s="56"/>
      <c r="AOL195" s="56"/>
      <c r="AOM195" s="56"/>
      <c r="AON195" s="56"/>
      <c r="AOO195" s="56"/>
      <c r="AOP195" s="56"/>
      <c r="AOQ195" s="56"/>
      <c r="AOR195" s="56"/>
      <c r="AOS195" s="56"/>
      <c r="AOT195" s="56"/>
      <c r="AOU195" s="56"/>
      <c r="AOV195" s="56"/>
      <c r="AOW195" s="56"/>
      <c r="AOX195" s="56"/>
      <c r="AOY195" s="56"/>
      <c r="AOZ195" s="56"/>
      <c r="APA195" s="56"/>
      <c r="APB195" s="56"/>
      <c r="APC195" s="56"/>
      <c r="APD195" s="56"/>
      <c r="APE195" s="56"/>
      <c r="APF195" s="56"/>
      <c r="APG195" s="56"/>
      <c r="APH195" s="56"/>
      <c r="API195" s="56"/>
      <c r="APJ195" s="56"/>
      <c r="APK195" s="56"/>
      <c r="APL195" s="56"/>
      <c r="APM195" s="56"/>
      <c r="APN195" s="56"/>
      <c r="APO195" s="56"/>
      <c r="APP195" s="56"/>
      <c r="APQ195" s="56"/>
      <c r="APR195" s="56"/>
      <c r="APS195" s="56"/>
      <c r="APT195" s="56"/>
      <c r="APU195" s="56"/>
      <c r="APV195" s="56"/>
      <c r="APW195" s="56"/>
      <c r="APX195" s="56"/>
      <c r="APY195" s="56"/>
      <c r="APZ195" s="56"/>
      <c r="AQA195" s="56"/>
      <c r="AQB195" s="56"/>
      <c r="AQC195" s="56"/>
      <c r="AQD195" s="56"/>
      <c r="AQE195" s="56"/>
      <c r="AQF195" s="56"/>
      <c r="AQG195" s="56"/>
      <c r="AQH195" s="56"/>
      <c r="AQI195" s="56"/>
      <c r="AQJ195" s="56"/>
      <c r="AQK195" s="56"/>
      <c r="AQL195" s="56"/>
      <c r="AQM195" s="56"/>
      <c r="AQN195" s="56"/>
      <c r="AQO195" s="56"/>
      <c r="AQP195" s="56"/>
      <c r="AQQ195" s="56"/>
      <c r="AQR195" s="56"/>
      <c r="AQS195" s="56"/>
      <c r="AQT195" s="56"/>
      <c r="AQU195" s="56"/>
      <c r="AQV195" s="56"/>
      <c r="AQW195" s="56"/>
      <c r="AQX195" s="56"/>
      <c r="AQY195" s="56"/>
      <c r="AQZ195" s="56"/>
      <c r="ARA195" s="56"/>
      <c r="ARB195" s="56"/>
      <c r="ARC195" s="56"/>
      <c r="ARD195" s="56"/>
      <c r="ARE195" s="56"/>
      <c r="ARF195" s="56"/>
      <c r="ARG195" s="56"/>
      <c r="ARH195" s="56"/>
      <c r="ARI195" s="56"/>
      <c r="ARJ195" s="56"/>
      <c r="ARK195" s="56"/>
      <c r="ARL195" s="56"/>
      <c r="ARM195" s="56"/>
      <c r="ARN195" s="56"/>
      <c r="ARO195" s="56"/>
      <c r="ARP195" s="56"/>
      <c r="ARQ195" s="56"/>
      <c r="ARR195" s="56"/>
      <c r="ARS195" s="56"/>
      <c r="ART195" s="56"/>
      <c r="ARU195" s="56"/>
      <c r="ARV195" s="56"/>
      <c r="ARW195" s="56"/>
      <c r="ARX195" s="56"/>
      <c r="ARY195" s="56"/>
      <c r="ARZ195" s="56"/>
      <c r="ASA195" s="56"/>
      <c r="ASB195" s="56"/>
      <c r="ASC195" s="56"/>
      <c r="ASD195" s="56"/>
      <c r="ASE195" s="56"/>
      <c r="ASF195" s="56"/>
      <c r="ASG195" s="56"/>
      <c r="ASH195" s="56"/>
      <c r="ASI195" s="56"/>
      <c r="ASJ195" s="56"/>
      <c r="ASK195" s="56"/>
      <c r="ASL195" s="56"/>
      <c r="ASM195" s="56"/>
      <c r="ASN195" s="56"/>
      <c r="ASO195" s="56"/>
      <c r="ASP195" s="56"/>
      <c r="ASQ195" s="56"/>
      <c r="ASR195" s="56"/>
      <c r="ASS195" s="56"/>
      <c r="AST195" s="56"/>
      <c r="ASU195" s="56"/>
      <c r="ASV195" s="56"/>
      <c r="ASW195" s="56"/>
      <c r="ASX195" s="56"/>
      <c r="ASY195" s="56"/>
      <c r="ASZ195" s="56"/>
      <c r="ATA195" s="56"/>
      <c r="ATB195" s="56"/>
      <c r="ATC195" s="56"/>
      <c r="ATD195" s="56"/>
      <c r="ATE195" s="56"/>
      <c r="ATF195" s="56"/>
      <c r="ATG195" s="56"/>
      <c r="ATH195" s="56"/>
      <c r="ATI195" s="56"/>
      <c r="ATJ195" s="56"/>
      <c r="ATK195" s="56"/>
      <c r="ATL195" s="56"/>
      <c r="ATM195" s="56"/>
      <c r="ATN195" s="56"/>
      <c r="ATO195" s="56"/>
      <c r="ATP195" s="56"/>
      <c r="ATQ195" s="56"/>
      <c r="ATR195" s="56"/>
      <c r="ATS195" s="56"/>
      <c r="ATT195" s="56"/>
      <c r="ATU195" s="56"/>
      <c r="ATV195" s="56"/>
      <c r="ATW195" s="56"/>
      <c r="ATX195" s="56"/>
      <c r="ATY195" s="56"/>
      <c r="ATZ195" s="56"/>
      <c r="AUA195" s="56"/>
      <c r="AUB195" s="56"/>
      <c r="AUC195" s="56"/>
      <c r="AUD195" s="56"/>
      <c r="AUE195" s="56"/>
      <c r="AUF195" s="56"/>
      <c r="AUG195" s="56"/>
      <c r="AUH195" s="56"/>
      <c r="AUI195" s="56"/>
      <c r="AUJ195" s="56"/>
      <c r="AUK195" s="56"/>
      <c r="AUL195" s="56"/>
      <c r="AUM195" s="56"/>
      <c r="AUN195" s="56"/>
      <c r="AUO195" s="56"/>
      <c r="AUP195" s="56"/>
      <c r="AUQ195" s="56"/>
      <c r="AUR195" s="56"/>
      <c r="AUS195" s="56"/>
      <c r="AUT195" s="56"/>
      <c r="AUU195" s="56"/>
      <c r="AUV195" s="56"/>
      <c r="AUW195" s="56"/>
      <c r="AUX195" s="56"/>
      <c r="AUY195" s="56"/>
      <c r="AUZ195" s="56"/>
      <c r="AVA195" s="56"/>
      <c r="AVB195" s="56"/>
      <c r="AVC195" s="56"/>
      <c r="AVD195" s="56"/>
      <c r="AVE195" s="56"/>
      <c r="AVF195" s="56"/>
      <c r="AVG195" s="56"/>
      <c r="AVH195" s="56"/>
      <c r="AVI195" s="56"/>
      <c r="AVJ195" s="56"/>
      <c r="AVK195" s="56"/>
      <c r="AVL195" s="56"/>
      <c r="AVM195" s="56"/>
      <c r="AVN195" s="56"/>
      <c r="AVO195" s="56"/>
      <c r="AVP195" s="56"/>
      <c r="AVQ195" s="56"/>
      <c r="AVR195" s="56"/>
      <c r="AVS195" s="56"/>
      <c r="AVT195" s="56"/>
      <c r="AVU195" s="56"/>
      <c r="AVV195" s="56"/>
      <c r="AVW195" s="56"/>
      <c r="AVX195" s="56"/>
      <c r="AVY195" s="56"/>
      <c r="AVZ195" s="56"/>
      <c r="AWA195" s="56"/>
      <c r="AWB195" s="56"/>
      <c r="AWC195" s="56"/>
      <c r="AWD195" s="56"/>
      <c r="AWE195" s="56"/>
      <c r="AWF195" s="56"/>
      <c r="AWG195" s="56"/>
      <c r="AWH195" s="56"/>
      <c r="AWI195" s="56"/>
      <c r="AWJ195" s="56"/>
      <c r="AWK195" s="56"/>
      <c r="AWL195" s="56"/>
      <c r="AWM195" s="56"/>
      <c r="AWN195" s="56"/>
      <c r="AWO195" s="56"/>
      <c r="AWP195" s="56"/>
      <c r="AWQ195" s="56"/>
      <c r="AWR195" s="56"/>
      <c r="AWS195" s="56"/>
      <c r="AWT195" s="56"/>
      <c r="AWU195" s="56"/>
      <c r="AWV195" s="56"/>
      <c r="AWW195" s="56"/>
      <c r="AWX195" s="56"/>
      <c r="AWY195" s="56"/>
      <c r="AWZ195" s="56"/>
      <c r="AXA195" s="56"/>
      <c r="AXB195" s="56"/>
      <c r="AXC195" s="56"/>
      <c r="AXD195" s="56"/>
      <c r="AXE195" s="56"/>
      <c r="AXF195" s="56"/>
      <c r="AXG195" s="56"/>
      <c r="AXH195" s="56"/>
      <c r="AXI195" s="56"/>
      <c r="AXJ195" s="56"/>
      <c r="AXK195" s="56"/>
      <c r="AXL195" s="56"/>
      <c r="AXM195" s="56"/>
      <c r="AXN195" s="56"/>
      <c r="AXO195" s="56"/>
      <c r="AXP195" s="56"/>
      <c r="AXQ195" s="56"/>
      <c r="AXR195" s="56"/>
      <c r="AXS195" s="56"/>
      <c r="AXT195" s="56"/>
      <c r="AXU195" s="56"/>
      <c r="AXV195" s="56"/>
      <c r="AXW195" s="56"/>
      <c r="AXX195" s="56"/>
      <c r="AXY195" s="56"/>
      <c r="AXZ195" s="56"/>
      <c r="AYA195" s="56"/>
      <c r="AYB195" s="56"/>
      <c r="AYC195" s="56"/>
      <c r="AYD195" s="56"/>
      <c r="AYE195" s="56"/>
      <c r="AYF195" s="56"/>
      <c r="AYG195" s="56"/>
      <c r="AYH195" s="56"/>
      <c r="AYI195" s="56"/>
      <c r="AYJ195" s="56"/>
      <c r="AYK195" s="56"/>
      <c r="AYL195" s="56"/>
      <c r="AYM195" s="56"/>
      <c r="AYN195" s="56"/>
      <c r="AYO195" s="56"/>
      <c r="AYP195" s="56"/>
      <c r="AYQ195" s="56"/>
      <c r="AYR195" s="56"/>
      <c r="AYS195" s="56"/>
      <c r="AYT195" s="56"/>
      <c r="AYU195" s="56"/>
      <c r="AYV195" s="56"/>
      <c r="AYW195" s="56"/>
      <c r="AYX195" s="56"/>
      <c r="AYY195" s="56"/>
      <c r="AYZ195" s="56"/>
      <c r="AZA195" s="56"/>
      <c r="AZB195" s="56"/>
      <c r="AZC195" s="56"/>
      <c r="AZD195" s="56"/>
      <c r="AZE195" s="56"/>
      <c r="AZF195" s="56"/>
      <c r="AZG195" s="56"/>
      <c r="AZH195" s="56"/>
      <c r="AZI195" s="56"/>
      <c r="AZJ195" s="56"/>
      <c r="AZK195" s="56"/>
      <c r="AZL195" s="56"/>
      <c r="AZM195" s="56"/>
      <c r="AZN195" s="56"/>
      <c r="AZO195" s="56"/>
      <c r="AZP195" s="56"/>
      <c r="AZQ195" s="56"/>
      <c r="AZR195" s="56"/>
      <c r="AZS195" s="56"/>
      <c r="AZT195" s="56"/>
      <c r="AZU195" s="56"/>
      <c r="AZV195" s="56"/>
      <c r="AZW195" s="56"/>
      <c r="AZX195" s="56"/>
      <c r="AZY195" s="56"/>
      <c r="AZZ195" s="56"/>
      <c r="BAA195" s="56"/>
      <c r="BAB195" s="56"/>
      <c r="BAC195" s="56"/>
      <c r="BAD195" s="56"/>
      <c r="BAE195" s="56"/>
      <c r="BAF195" s="56"/>
      <c r="BAG195" s="56"/>
      <c r="BAH195" s="56"/>
      <c r="BAI195" s="56"/>
      <c r="BAJ195" s="56"/>
      <c r="BAK195" s="56"/>
      <c r="BAL195" s="56"/>
      <c r="BAM195" s="56"/>
      <c r="BAN195" s="56"/>
      <c r="BAO195" s="56"/>
      <c r="BAP195" s="56"/>
      <c r="BAQ195" s="56"/>
      <c r="BAR195" s="56"/>
      <c r="BAS195" s="56"/>
      <c r="BAT195" s="56"/>
      <c r="BAU195" s="56"/>
      <c r="BAV195" s="56"/>
      <c r="BAW195" s="56"/>
      <c r="BAX195" s="56"/>
      <c r="BAY195" s="56"/>
      <c r="BAZ195" s="56"/>
      <c r="BBA195" s="56"/>
      <c r="BBB195" s="56"/>
      <c r="BBC195" s="56"/>
      <c r="BBD195" s="56"/>
      <c r="BBE195" s="56"/>
      <c r="BBF195" s="56"/>
      <c r="BBG195" s="56"/>
      <c r="BBH195" s="56"/>
      <c r="BBI195" s="56"/>
      <c r="BBJ195" s="56"/>
      <c r="BBK195" s="56"/>
      <c r="BBL195" s="56"/>
      <c r="BBM195" s="56"/>
      <c r="BBN195" s="56"/>
      <c r="BBO195" s="56"/>
      <c r="BBP195" s="56"/>
      <c r="BBQ195" s="56"/>
      <c r="BBR195" s="56"/>
      <c r="BBS195" s="56"/>
      <c r="BBT195" s="56"/>
      <c r="BBU195" s="56"/>
      <c r="BBV195" s="56"/>
      <c r="BBW195" s="56"/>
      <c r="BBX195" s="56"/>
      <c r="BBY195" s="56"/>
      <c r="BBZ195" s="56"/>
      <c r="BCA195" s="56"/>
      <c r="BCB195" s="56"/>
      <c r="BCC195" s="56"/>
      <c r="BCD195" s="56"/>
      <c r="BCE195" s="56"/>
      <c r="BCF195" s="56"/>
      <c r="BCG195" s="56"/>
      <c r="BCH195" s="56"/>
      <c r="BCI195" s="56"/>
      <c r="BCJ195" s="56"/>
      <c r="BCK195" s="56"/>
      <c r="BCL195" s="56"/>
      <c r="BCM195" s="56"/>
      <c r="BCN195" s="56"/>
      <c r="BCO195" s="56"/>
      <c r="BCP195" s="56"/>
      <c r="BCQ195" s="56"/>
      <c r="BCR195" s="56"/>
      <c r="BCS195" s="56"/>
      <c r="BCT195" s="56"/>
      <c r="BCU195" s="56"/>
      <c r="BCV195" s="56"/>
      <c r="BCW195" s="56"/>
      <c r="BCX195" s="56"/>
      <c r="BCY195" s="56"/>
      <c r="BCZ195" s="56"/>
      <c r="BDA195" s="56"/>
      <c r="BDB195" s="56"/>
      <c r="BDC195" s="56"/>
      <c r="BDD195" s="56"/>
      <c r="BDE195" s="56"/>
      <c r="BDF195" s="56"/>
      <c r="BDG195" s="56"/>
      <c r="BDH195" s="56"/>
      <c r="BDI195" s="56"/>
      <c r="BDJ195" s="56"/>
      <c r="BDK195" s="56"/>
      <c r="BDL195" s="56"/>
      <c r="BDM195" s="56"/>
      <c r="BDN195" s="56"/>
      <c r="BDO195" s="56"/>
      <c r="BDP195" s="56"/>
      <c r="BDQ195" s="56"/>
      <c r="BDR195" s="56"/>
      <c r="BDS195" s="56"/>
      <c r="BDT195" s="56"/>
      <c r="BDU195" s="56"/>
      <c r="BDV195" s="56"/>
      <c r="BDW195" s="56"/>
      <c r="BDX195" s="56"/>
      <c r="BDY195" s="56"/>
      <c r="BDZ195" s="56"/>
      <c r="BEA195" s="56"/>
      <c r="BEB195" s="56"/>
      <c r="BEC195" s="56"/>
      <c r="BED195" s="56"/>
      <c r="BEE195" s="56"/>
      <c r="BEF195" s="56"/>
      <c r="BEG195" s="56"/>
      <c r="BEH195" s="56"/>
      <c r="BEI195" s="56"/>
      <c r="BEJ195" s="56"/>
      <c r="BEK195" s="56"/>
      <c r="BEL195" s="56"/>
      <c r="BEM195" s="56"/>
      <c r="BEN195" s="56"/>
      <c r="BEO195" s="56"/>
      <c r="BEP195" s="56"/>
      <c r="BEQ195" s="56"/>
      <c r="BER195" s="56"/>
      <c r="BES195" s="56"/>
      <c r="BET195" s="56"/>
      <c r="BEU195" s="56"/>
      <c r="BEV195" s="56"/>
      <c r="BEW195" s="56"/>
      <c r="BEX195" s="56"/>
      <c r="BEY195" s="56"/>
      <c r="BEZ195" s="56"/>
      <c r="BFA195" s="56"/>
      <c r="BFB195" s="56"/>
      <c r="BFC195" s="56"/>
      <c r="BFD195" s="56"/>
      <c r="BFE195" s="56"/>
      <c r="BFF195" s="56"/>
      <c r="BFG195" s="56"/>
      <c r="BFH195" s="56"/>
      <c r="BFI195" s="56"/>
      <c r="BFJ195" s="56"/>
      <c r="BFK195" s="56"/>
      <c r="BFL195" s="56"/>
      <c r="BFM195" s="56"/>
      <c r="BFN195" s="56"/>
      <c r="BFO195" s="56"/>
      <c r="BFP195" s="56"/>
      <c r="BFQ195" s="56"/>
      <c r="BFR195" s="56"/>
      <c r="BFS195" s="56"/>
      <c r="BFT195" s="56"/>
      <c r="BFU195" s="56"/>
      <c r="BFV195" s="56"/>
      <c r="BFW195" s="56"/>
      <c r="BFX195" s="56"/>
      <c r="BFY195" s="56"/>
      <c r="BFZ195" s="56"/>
      <c r="BGA195" s="56"/>
      <c r="BGB195" s="56"/>
      <c r="BGC195" s="56"/>
      <c r="BGD195" s="56"/>
      <c r="BGE195" s="56"/>
      <c r="BGF195" s="56"/>
      <c r="BGG195" s="56"/>
      <c r="BGH195" s="56"/>
      <c r="BGI195" s="56"/>
      <c r="BGJ195" s="56"/>
      <c r="BGK195" s="56"/>
      <c r="BGL195" s="56"/>
      <c r="BGM195" s="56"/>
      <c r="BGN195" s="56"/>
      <c r="BGO195" s="56"/>
      <c r="BGP195" s="56"/>
      <c r="BGQ195" s="56"/>
      <c r="BGR195" s="56"/>
      <c r="BGS195" s="56"/>
      <c r="BGT195" s="56"/>
      <c r="BGU195" s="56"/>
      <c r="BGV195" s="56"/>
      <c r="BGW195" s="56"/>
      <c r="BGX195" s="56"/>
      <c r="BGY195" s="56"/>
      <c r="BGZ195" s="56"/>
      <c r="BHA195" s="56"/>
      <c r="BHB195" s="56"/>
      <c r="BHC195" s="56"/>
      <c r="BHD195" s="56"/>
      <c r="BHE195" s="56"/>
      <c r="BHF195" s="56"/>
      <c r="BHG195" s="56"/>
      <c r="BHH195" s="56"/>
      <c r="BHI195" s="56"/>
      <c r="BHJ195" s="56"/>
      <c r="BHK195" s="56"/>
      <c r="BHL195" s="56"/>
      <c r="BHM195" s="56"/>
      <c r="BHN195" s="56"/>
      <c r="BHO195" s="56"/>
      <c r="BHP195" s="56"/>
      <c r="BHQ195" s="56"/>
      <c r="BHR195" s="56"/>
      <c r="BHS195" s="56"/>
      <c r="BHT195" s="56"/>
      <c r="BHU195" s="56"/>
      <c r="BHV195" s="56"/>
      <c r="BHW195" s="56"/>
      <c r="BHX195" s="56"/>
      <c r="BHY195" s="56"/>
      <c r="BHZ195" s="56"/>
      <c r="BIA195" s="56"/>
      <c r="BIB195" s="56"/>
      <c r="BIC195" s="56"/>
      <c r="BID195" s="56"/>
      <c r="BIE195" s="56"/>
      <c r="BIF195" s="56"/>
      <c r="BIG195" s="56"/>
      <c r="BIH195" s="56"/>
      <c r="BII195" s="56"/>
      <c r="BIJ195" s="56"/>
      <c r="BIK195" s="56"/>
      <c r="BIL195" s="56"/>
      <c r="BIM195" s="56"/>
      <c r="BIN195" s="56"/>
      <c r="BIO195" s="56"/>
      <c r="BIP195" s="56"/>
      <c r="BIQ195" s="56"/>
      <c r="BIR195" s="56"/>
      <c r="BIS195" s="56"/>
      <c r="BIT195" s="56"/>
      <c r="BIU195" s="56"/>
      <c r="BIV195" s="56"/>
      <c r="BIW195" s="56"/>
      <c r="BIX195" s="56"/>
      <c r="BIY195" s="56"/>
      <c r="BIZ195" s="56"/>
      <c r="BJA195" s="56"/>
      <c r="BJB195" s="56"/>
      <c r="BJC195" s="56"/>
      <c r="BJD195" s="56"/>
      <c r="BJE195" s="56"/>
      <c r="BJF195" s="56"/>
      <c r="BJG195" s="56"/>
      <c r="BJH195" s="56"/>
      <c r="BJI195" s="56"/>
      <c r="BJJ195" s="56"/>
      <c r="BJK195" s="56"/>
      <c r="BJL195" s="56"/>
      <c r="BJM195" s="56"/>
      <c r="BJN195" s="56"/>
      <c r="BJO195" s="56"/>
      <c r="BJP195" s="56"/>
      <c r="BJQ195" s="56"/>
      <c r="BJR195" s="56"/>
      <c r="BJS195" s="56"/>
      <c r="BJT195" s="56"/>
      <c r="BJU195" s="56"/>
      <c r="BJV195" s="56"/>
      <c r="BJW195" s="56"/>
      <c r="BJX195" s="56"/>
      <c r="BJY195" s="56"/>
      <c r="BJZ195" s="56"/>
      <c r="BKA195" s="56"/>
      <c r="BKB195" s="56"/>
      <c r="BKC195" s="56"/>
      <c r="BKD195" s="56"/>
      <c r="BKE195" s="56"/>
      <c r="BKF195" s="56"/>
      <c r="BKG195" s="56"/>
      <c r="BKH195" s="56"/>
      <c r="BKI195" s="56"/>
      <c r="BKJ195" s="56"/>
      <c r="BKK195" s="56"/>
      <c r="BKL195" s="56"/>
      <c r="BKM195" s="56"/>
      <c r="BKN195" s="56"/>
      <c r="BKO195" s="56"/>
      <c r="BKP195" s="56"/>
      <c r="BKQ195" s="56"/>
      <c r="BKR195" s="56"/>
      <c r="BKS195" s="56"/>
      <c r="BKT195" s="56"/>
      <c r="BKU195" s="56"/>
      <c r="BKV195" s="56"/>
      <c r="BKW195" s="56"/>
      <c r="BKX195" s="56"/>
      <c r="BKY195" s="56"/>
      <c r="BKZ195" s="56"/>
      <c r="BLA195" s="56"/>
      <c r="BLB195" s="56"/>
      <c r="BLC195" s="56"/>
      <c r="BLD195" s="56"/>
      <c r="BLE195" s="56"/>
      <c r="BLF195" s="56"/>
      <c r="BLG195" s="56"/>
      <c r="BLH195" s="56"/>
      <c r="BLI195" s="56"/>
      <c r="BLJ195" s="56"/>
      <c r="BLK195" s="56"/>
      <c r="BLL195" s="56"/>
      <c r="BLM195" s="56"/>
      <c r="BLN195" s="56"/>
      <c r="BLO195" s="56"/>
      <c r="BLP195" s="56"/>
      <c r="BLQ195" s="56"/>
      <c r="BLR195" s="56"/>
      <c r="BLS195" s="56"/>
      <c r="BLT195" s="56"/>
      <c r="BLU195" s="56"/>
      <c r="BLV195" s="56"/>
      <c r="BLW195" s="56"/>
      <c r="BLX195" s="56"/>
      <c r="BLY195" s="56"/>
      <c r="BLZ195" s="56"/>
      <c r="BMA195" s="56"/>
      <c r="BMB195" s="56"/>
      <c r="BMC195" s="56"/>
      <c r="BMD195" s="56"/>
      <c r="BME195" s="56"/>
      <c r="BMF195" s="56"/>
      <c r="BMG195" s="56"/>
      <c r="BMH195" s="56"/>
      <c r="BMI195" s="56"/>
      <c r="BMJ195" s="56"/>
      <c r="BMK195" s="56"/>
      <c r="BML195" s="56"/>
      <c r="BMM195" s="56"/>
      <c r="BMN195" s="56"/>
      <c r="BMO195" s="56"/>
      <c r="BMP195" s="56"/>
      <c r="BMQ195" s="56"/>
      <c r="BMR195" s="56"/>
      <c r="BMS195" s="56"/>
      <c r="BMT195" s="56"/>
      <c r="BMU195" s="56"/>
      <c r="BMV195" s="56"/>
      <c r="BMW195" s="56"/>
      <c r="BMX195" s="56"/>
      <c r="BMY195" s="56"/>
      <c r="BMZ195" s="56"/>
      <c r="BNA195" s="56"/>
      <c r="BNB195" s="56"/>
      <c r="BNC195" s="56"/>
      <c r="BND195" s="56"/>
      <c r="BNE195" s="56"/>
      <c r="BNF195" s="56"/>
      <c r="BNG195" s="56"/>
      <c r="BNH195" s="56"/>
      <c r="BNI195" s="56"/>
      <c r="BNJ195" s="56"/>
      <c r="BNK195" s="56"/>
      <c r="BNL195" s="56"/>
      <c r="BNM195" s="56"/>
      <c r="BNN195" s="56"/>
      <c r="BNO195" s="56"/>
      <c r="BNP195" s="56"/>
      <c r="BNQ195" s="56"/>
      <c r="BNR195" s="56"/>
      <c r="BNS195" s="56"/>
      <c r="BNT195" s="56"/>
      <c r="BNU195" s="56"/>
      <c r="BNV195" s="56"/>
      <c r="BNW195" s="56"/>
      <c r="BNX195" s="56"/>
      <c r="BNY195" s="56"/>
      <c r="BNZ195" s="56"/>
      <c r="BOA195" s="56"/>
      <c r="BOB195" s="56"/>
      <c r="BOC195" s="56"/>
      <c r="BOD195" s="56"/>
      <c r="BOE195" s="56"/>
      <c r="BOF195" s="56"/>
      <c r="BOG195" s="56"/>
      <c r="BOH195" s="56"/>
      <c r="BOI195" s="56"/>
      <c r="BOJ195" s="56"/>
      <c r="BOK195" s="56"/>
      <c r="BOL195" s="56"/>
      <c r="BOM195" s="56"/>
      <c r="BON195" s="56"/>
      <c r="BOO195" s="56"/>
      <c r="BOP195" s="56"/>
      <c r="BOQ195" s="56"/>
      <c r="BOR195" s="56"/>
      <c r="BOS195" s="56"/>
      <c r="BOT195" s="56"/>
      <c r="BOU195" s="56"/>
      <c r="BOV195" s="56"/>
      <c r="BOW195" s="56"/>
      <c r="BOX195" s="56"/>
      <c r="BOY195" s="56"/>
      <c r="BOZ195" s="56"/>
      <c r="BPA195" s="56"/>
      <c r="BPB195" s="56"/>
      <c r="BPC195" s="56"/>
      <c r="BPD195" s="56"/>
      <c r="BPE195" s="56"/>
      <c r="BPF195" s="56"/>
      <c r="BPG195" s="56"/>
      <c r="BPH195" s="56"/>
      <c r="BPI195" s="56"/>
      <c r="BPJ195" s="56"/>
      <c r="BPK195" s="56"/>
      <c r="BPL195" s="56"/>
      <c r="BPM195" s="56"/>
      <c r="BPN195" s="56"/>
      <c r="BPO195" s="56"/>
      <c r="BPP195" s="56"/>
      <c r="BPQ195" s="56"/>
      <c r="BPR195" s="56"/>
      <c r="BPS195" s="56"/>
      <c r="BPT195" s="56"/>
      <c r="BPU195" s="56"/>
      <c r="BPV195" s="56"/>
      <c r="BPW195" s="56"/>
      <c r="BPX195" s="56"/>
      <c r="BPY195" s="56"/>
      <c r="BPZ195" s="56"/>
      <c r="BQA195" s="56"/>
      <c r="BQB195" s="56"/>
      <c r="BQC195" s="56"/>
      <c r="BQD195" s="56"/>
      <c r="BQE195" s="56"/>
      <c r="BQF195" s="56"/>
      <c r="BQG195" s="56"/>
      <c r="BQH195" s="56"/>
      <c r="BQI195" s="56"/>
      <c r="BQJ195" s="56"/>
      <c r="BQK195" s="56"/>
      <c r="BQL195" s="56"/>
      <c r="BQM195" s="56"/>
      <c r="BQN195" s="56"/>
      <c r="BQO195" s="56"/>
      <c r="BQP195" s="56"/>
      <c r="BQQ195" s="56"/>
      <c r="BQR195" s="56"/>
      <c r="BQS195" s="56"/>
      <c r="BQT195" s="56"/>
      <c r="BQU195" s="56"/>
      <c r="BQV195" s="56"/>
      <c r="BQW195" s="56"/>
      <c r="BQX195" s="56"/>
      <c r="BQY195" s="56"/>
      <c r="BQZ195" s="56"/>
      <c r="BRA195" s="56"/>
      <c r="BRB195" s="56"/>
      <c r="BRC195" s="56"/>
      <c r="BRD195" s="56"/>
      <c r="BRE195" s="56"/>
      <c r="BRF195" s="56"/>
      <c r="BRG195" s="56"/>
      <c r="BRH195" s="56"/>
      <c r="BRI195" s="56"/>
      <c r="BRJ195" s="56"/>
      <c r="BRK195" s="56"/>
      <c r="BRL195" s="56"/>
      <c r="BRM195" s="56"/>
      <c r="BRN195" s="56"/>
      <c r="BRO195" s="56"/>
      <c r="BRP195" s="56"/>
      <c r="BRQ195" s="56"/>
      <c r="BRR195" s="56"/>
      <c r="BRS195" s="56"/>
      <c r="BRT195" s="56"/>
      <c r="BRU195" s="56"/>
      <c r="BRV195" s="56"/>
      <c r="BRW195" s="56"/>
      <c r="BRX195" s="56"/>
      <c r="BRY195" s="56"/>
      <c r="BRZ195" s="56"/>
      <c r="BSA195" s="56"/>
      <c r="BSB195" s="56"/>
      <c r="BSC195" s="56"/>
      <c r="BSD195" s="56"/>
      <c r="BSE195" s="56"/>
      <c r="BSF195" s="56"/>
      <c r="BSG195" s="56"/>
      <c r="BSH195" s="56"/>
      <c r="BSI195" s="56"/>
      <c r="BSJ195" s="56"/>
      <c r="BSK195" s="56"/>
      <c r="BSL195" s="56"/>
      <c r="BSM195" s="56"/>
      <c r="BSN195" s="56"/>
      <c r="BSO195" s="56"/>
      <c r="BSP195" s="56"/>
      <c r="BSQ195" s="56"/>
      <c r="BSR195" s="56"/>
      <c r="BSS195" s="56"/>
      <c r="BST195" s="56"/>
      <c r="BSU195" s="56"/>
      <c r="BSV195" s="56"/>
      <c r="BSW195" s="56"/>
      <c r="BSX195" s="56"/>
      <c r="BSY195" s="56"/>
      <c r="BSZ195" s="56"/>
      <c r="BTA195" s="56"/>
      <c r="BTB195" s="56"/>
      <c r="BTC195" s="56"/>
      <c r="BTD195" s="56"/>
      <c r="BTE195" s="56"/>
      <c r="BTF195" s="56"/>
      <c r="BTG195" s="56"/>
      <c r="BTH195" s="56"/>
      <c r="BTI195" s="56"/>
      <c r="BTJ195" s="56"/>
      <c r="BTK195" s="56"/>
      <c r="BTL195" s="56"/>
      <c r="BTM195" s="56"/>
      <c r="BTN195" s="56"/>
      <c r="BTO195" s="56"/>
      <c r="BTP195" s="56"/>
      <c r="BTQ195" s="56"/>
      <c r="BTR195" s="56"/>
      <c r="BTS195" s="56"/>
      <c r="BTT195" s="56"/>
      <c r="BTU195" s="56"/>
      <c r="BTV195" s="56"/>
      <c r="BTW195" s="56"/>
      <c r="BTX195" s="56"/>
      <c r="BTY195" s="56"/>
      <c r="BTZ195" s="56"/>
      <c r="BUA195" s="56"/>
      <c r="BUB195" s="56"/>
      <c r="BUC195" s="56"/>
      <c r="BUD195" s="56"/>
      <c r="BUE195" s="56"/>
      <c r="BUF195" s="56"/>
      <c r="BUG195" s="56"/>
      <c r="BUH195" s="56"/>
      <c r="BUI195" s="56"/>
      <c r="BUJ195" s="56"/>
      <c r="BUK195" s="56"/>
      <c r="BUL195" s="56"/>
      <c r="BUM195" s="56"/>
      <c r="BUN195" s="56"/>
      <c r="BUO195" s="56"/>
      <c r="BUP195" s="56"/>
      <c r="BUQ195" s="56"/>
      <c r="BUR195" s="56"/>
      <c r="BUS195" s="56"/>
      <c r="BUT195" s="56"/>
      <c r="BUU195" s="56"/>
      <c r="BUV195" s="56"/>
      <c r="BUW195" s="56"/>
      <c r="BUX195" s="56"/>
      <c r="BUY195" s="56"/>
      <c r="BUZ195" s="56"/>
      <c r="BVA195" s="56"/>
      <c r="BVB195" s="56"/>
      <c r="BVC195" s="56"/>
      <c r="BVD195" s="56"/>
      <c r="BVE195" s="56"/>
      <c r="BVF195" s="56"/>
      <c r="BVG195" s="56"/>
      <c r="BVH195" s="56"/>
      <c r="BVI195" s="56"/>
      <c r="BVJ195" s="56"/>
      <c r="BVK195" s="56"/>
      <c r="BVL195" s="56"/>
      <c r="BVM195" s="56"/>
      <c r="BVN195" s="56"/>
      <c r="BVO195" s="56"/>
      <c r="BVP195" s="56"/>
      <c r="BVQ195" s="56"/>
      <c r="BVR195" s="56"/>
      <c r="BVS195" s="56"/>
      <c r="BVT195" s="56"/>
      <c r="BVU195" s="56"/>
      <c r="BVV195" s="56"/>
      <c r="BVW195" s="56"/>
      <c r="BVX195" s="56"/>
      <c r="BVY195" s="56"/>
      <c r="BVZ195" s="56"/>
      <c r="BWA195" s="56"/>
      <c r="BWB195" s="56"/>
      <c r="BWC195" s="56"/>
      <c r="BWD195" s="56"/>
      <c r="BWE195" s="56"/>
      <c r="BWF195" s="56"/>
      <c r="BWG195" s="56"/>
      <c r="BWH195" s="56"/>
      <c r="BWI195" s="56"/>
      <c r="BWJ195" s="56"/>
      <c r="BWK195" s="56"/>
      <c r="BWL195" s="56"/>
      <c r="BWM195" s="56"/>
      <c r="BWN195" s="56"/>
      <c r="BWO195" s="56"/>
      <c r="BWP195" s="56"/>
      <c r="BWQ195" s="56"/>
      <c r="BWR195" s="56"/>
      <c r="BWS195" s="56"/>
      <c r="BWT195" s="56"/>
      <c r="BWU195" s="56"/>
      <c r="BWV195" s="56"/>
      <c r="BWW195" s="56"/>
      <c r="BWX195" s="56"/>
      <c r="BWY195" s="56"/>
      <c r="BWZ195" s="56"/>
      <c r="BXA195" s="56"/>
      <c r="BXB195" s="56"/>
      <c r="BXC195" s="56"/>
      <c r="BXD195" s="56"/>
      <c r="BXE195" s="56"/>
      <c r="BXF195" s="56"/>
      <c r="BXG195" s="56"/>
      <c r="BXH195" s="56"/>
      <c r="BXI195" s="56"/>
      <c r="BXJ195" s="56"/>
      <c r="BXK195" s="56"/>
      <c r="BXL195" s="56"/>
      <c r="BXM195" s="56"/>
      <c r="BXN195" s="56"/>
      <c r="BXO195" s="56"/>
      <c r="BXP195" s="56"/>
      <c r="BXQ195" s="56"/>
      <c r="BXR195" s="56"/>
      <c r="BXS195" s="56"/>
      <c r="BXT195" s="56"/>
      <c r="BXU195" s="56"/>
      <c r="BXV195" s="56"/>
      <c r="BXW195" s="56"/>
      <c r="BXX195" s="56"/>
      <c r="BXY195" s="56"/>
      <c r="BXZ195" s="56"/>
      <c r="BYA195" s="56"/>
      <c r="BYB195" s="56"/>
      <c r="BYC195" s="56"/>
      <c r="BYD195" s="56"/>
      <c r="BYE195" s="56"/>
      <c r="BYF195" s="56"/>
      <c r="BYG195" s="56"/>
      <c r="BYH195" s="56"/>
      <c r="BYI195" s="56"/>
      <c r="BYJ195" s="56"/>
      <c r="BYK195" s="56"/>
      <c r="BYL195" s="56"/>
      <c r="BYM195" s="56"/>
      <c r="BYN195" s="56"/>
      <c r="BYO195" s="56"/>
      <c r="BYP195" s="56"/>
      <c r="BYQ195" s="56"/>
      <c r="BYR195" s="56"/>
      <c r="BYS195" s="56"/>
      <c r="BYT195" s="56"/>
      <c r="BYU195" s="56"/>
      <c r="BYV195" s="56"/>
      <c r="BYW195" s="56"/>
      <c r="BYX195" s="56"/>
      <c r="BYY195" s="56"/>
      <c r="BYZ195" s="56"/>
      <c r="BZA195" s="56"/>
      <c r="BZB195" s="56"/>
      <c r="BZC195" s="56"/>
      <c r="BZD195" s="56"/>
      <c r="BZE195" s="56"/>
      <c r="BZF195" s="56"/>
      <c r="BZG195" s="56"/>
      <c r="BZH195" s="56"/>
      <c r="BZI195" s="56"/>
      <c r="BZJ195" s="56"/>
      <c r="BZK195" s="56"/>
      <c r="BZL195" s="56"/>
      <c r="BZM195" s="56"/>
      <c r="BZN195" s="56"/>
      <c r="BZO195" s="56"/>
      <c r="BZP195" s="56"/>
      <c r="BZQ195" s="56"/>
      <c r="BZR195" s="56"/>
      <c r="BZS195" s="56"/>
      <c r="BZT195" s="56"/>
      <c r="BZU195" s="56"/>
      <c r="BZV195" s="56"/>
      <c r="BZW195" s="56"/>
      <c r="BZX195" s="56"/>
      <c r="BZY195" s="56"/>
      <c r="BZZ195" s="56"/>
      <c r="CAA195" s="56"/>
      <c r="CAB195" s="56"/>
      <c r="CAC195" s="56"/>
      <c r="CAD195" s="56"/>
      <c r="CAE195" s="56"/>
      <c r="CAF195" s="56"/>
      <c r="CAG195" s="56"/>
      <c r="CAH195" s="56"/>
      <c r="CAI195" s="56"/>
      <c r="CAJ195" s="56"/>
      <c r="CAK195" s="56"/>
      <c r="CAL195" s="56"/>
      <c r="CAM195" s="56"/>
      <c r="CAN195" s="56"/>
      <c r="CAO195" s="56"/>
      <c r="CAP195" s="56"/>
      <c r="CAQ195" s="56"/>
      <c r="CAR195" s="56"/>
      <c r="CAS195" s="56"/>
      <c r="CAT195" s="56"/>
      <c r="CAU195" s="56"/>
      <c r="CAV195" s="56"/>
      <c r="CAW195" s="56"/>
      <c r="CAX195" s="56"/>
      <c r="CAY195" s="56"/>
      <c r="CAZ195" s="56"/>
      <c r="CBA195" s="56"/>
      <c r="CBB195" s="56"/>
      <c r="CBC195" s="56"/>
      <c r="CBD195" s="56"/>
      <c r="CBE195" s="56"/>
      <c r="CBF195" s="56"/>
      <c r="CBG195" s="56"/>
      <c r="CBH195" s="56"/>
      <c r="CBI195" s="56"/>
      <c r="CBJ195" s="56"/>
      <c r="CBK195" s="56"/>
      <c r="CBL195" s="56"/>
      <c r="CBM195" s="56"/>
      <c r="CBN195" s="56"/>
      <c r="CBO195" s="56"/>
      <c r="CBP195" s="56"/>
      <c r="CBQ195" s="56"/>
      <c r="CBR195" s="56"/>
      <c r="CBS195" s="56"/>
      <c r="CBT195" s="56"/>
      <c r="CBU195" s="56"/>
      <c r="CBV195" s="56"/>
      <c r="CBW195" s="56"/>
      <c r="CBX195" s="56"/>
      <c r="CBY195" s="56"/>
      <c r="CBZ195" s="56"/>
      <c r="CCA195" s="56"/>
      <c r="CCB195" s="56"/>
      <c r="CCC195" s="56"/>
      <c r="CCD195" s="56"/>
      <c r="CCE195" s="56"/>
      <c r="CCF195" s="56"/>
      <c r="CCG195" s="56"/>
      <c r="CCH195" s="56"/>
      <c r="CCI195" s="56"/>
      <c r="CCJ195" s="56"/>
      <c r="CCK195" s="56"/>
      <c r="CCL195" s="56"/>
      <c r="CCM195" s="56"/>
      <c r="CCN195" s="56"/>
      <c r="CCO195" s="56"/>
      <c r="CCP195" s="56"/>
      <c r="CCQ195" s="56"/>
      <c r="CCR195" s="56"/>
      <c r="CCS195" s="56"/>
      <c r="CCT195" s="56"/>
      <c r="CCU195" s="56"/>
      <c r="CCV195" s="56"/>
      <c r="CCW195" s="56"/>
      <c r="CCX195" s="56"/>
      <c r="CCY195" s="56"/>
      <c r="CCZ195" s="56"/>
      <c r="CDA195" s="56"/>
      <c r="CDB195" s="56"/>
      <c r="CDC195" s="56"/>
      <c r="CDD195" s="56"/>
      <c r="CDE195" s="56"/>
      <c r="CDF195" s="56"/>
      <c r="CDG195" s="56"/>
      <c r="CDH195" s="56"/>
      <c r="CDI195" s="56"/>
      <c r="CDJ195" s="56"/>
      <c r="CDK195" s="56"/>
      <c r="CDL195" s="56"/>
      <c r="CDM195" s="56"/>
      <c r="CDN195" s="56"/>
      <c r="CDO195" s="56"/>
      <c r="CDP195" s="56"/>
      <c r="CDQ195" s="56"/>
      <c r="CDR195" s="56"/>
      <c r="CDS195" s="56"/>
      <c r="CDT195" s="56"/>
      <c r="CDU195" s="56"/>
      <c r="CDV195" s="56"/>
      <c r="CDW195" s="56"/>
      <c r="CDX195" s="56"/>
      <c r="CDY195" s="56"/>
      <c r="CDZ195" s="56"/>
      <c r="CEA195" s="56"/>
      <c r="CEB195" s="56"/>
      <c r="CEC195" s="56"/>
      <c r="CED195" s="56"/>
      <c r="CEE195" s="56"/>
      <c r="CEF195" s="56"/>
      <c r="CEG195" s="56"/>
      <c r="CEH195" s="56"/>
      <c r="CEI195" s="56"/>
      <c r="CEJ195" s="56"/>
      <c r="CEK195" s="56"/>
      <c r="CEL195" s="56"/>
      <c r="CEM195" s="56"/>
      <c r="CEN195" s="56"/>
      <c r="CEO195" s="56"/>
      <c r="CEP195" s="56"/>
      <c r="CEQ195" s="56"/>
      <c r="CER195" s="56"/>
      <c r="CES195" s="56"/>
      <c r="CET195" s="56"/>
      <c r="CEU195" s="56"/>
      <c r="CEV195" s="56"/>
      <c r="CEW195" s="56"/>
      <c r="CEX195" s="56"/>
      <c r="CEY195" s="56"/>
      <c r="CEZ195" s="56"/>
      <c r="CFA195" s="56"/>
      <c r="CFB195" s="56"/>
      <c r="CFC195" s="56"/>
      <c r="CFD195" s="56"/>
      <c r="CFE195" s="56"/>
      <c r="CFF195" s="56"/>
      <c r="CFG195" s="56"/>
      <c r="CFH195" s="56"/>
      <c r="CFI195" s="56"/>
      <c r="CFJ195" s="56"/>
      <c r="CFK195" s="56"/>
      <c r="CFL195" s="56"/>
      <c r="CFM195" s="56"/>
      <c r="CFN195" s="56"/>
      <c r="CFO195" s="56"/>
      <c r="CFP195" s="56"/>
      <c r="CFQ195" s="56"/>
      <c r="CFR195" s="56"/>
      <c r="CFS195" s="56"/>
      <c r="CFT195" s="56"/>
      <c r="CFU195" s="56"/>
      <c r="CFV195" s="56"/>
      <c r="CFW195" s="56"/>
      <c r="CFX195" s="56"/>
      <c r="CFY195" s="56"/>
      <c r="CFZ195" s="56"/>
      <c r="CGA195" s="56"/>
      <c r="CGB195" s="56"/>
      <c r="CGC195" s="56"/>
      <c r="CGD195" s="56"/>
      <c r="CGE195" s="56"/>
      <c r="CGF195" s="56"/>
      <c r="CGG195" s="56"/>
      <c r="CGH195" s="56"/>
      <c r="CGI195" s="56"/>
      <c r="CGJ195" s="56"/>
      <c r="CGK195" s="56"/>
      <c r="CGL195" s="56"/>
      <c r="CGM195" s="56"/>
      <c r="CGN195" s="56"/>
      <c r="CGO195" s="56"/>
      <c r="CGP195" s="56"/>
      <c r="CGQ195" s="56"/>
      <c r="CGR195" s="56"/>
      <c r="CGS195" s="56"/>
      <c r="CGT195" s="56"/>
      <c r="CGU195" s="56"/>
      <c r="CGV195" s="56"/>
      <c r="CGW195" s="56"/>
      <c r="CGX195" s="56"/>
      <c r="CGY195" s="56"/>
      <c r="CGZ195" s="56"/>
      <c r="CHA195" s="56"/>
      <c r="CHB195" s="56"/>
      <c r="CHC195" s="56"/>
      <c r="CHD195" s="56"/>
      <c r="CHE195" s="56"/>
      <c r="CHF195" s="56"/>
      <c r="CHG195" s="56"/>
      <c r="CHH195" s="56"/>
      <c r="CHI195" s="56"/>
      <c r="CHJ195" s="56"/>
      <c r="CHK195" s="56"/>
      <c r="CHL195" s="56"/>
      <c r="CHM195" s="56"/>
      <c r="CHN195" s="56"/>
      <c r="CHO195" s="56"/>
      <c r="CHP195" s="56"/>
      <c r="CHQ195" s="56"/>
      <c r="CHR195" s="56"/>
      <c r="CHS195" s="56"/>
      <c r="CHT195" s="56"/>
      <c r="CHU195" s="56"/>
      <c r="CHV195" s="56"/>
      <c r="CHW195" s="56"/>
      <c r="CHX195" s="56"/>
      <c r="CHY195" s="56"/>
      <c r="CHZ195" s="56"/>
      <c r="CIA195" s="56"/>
      <c r="CIB195" s="56"/>
      <c r="CIC195" s="56"/>
      <c r="CID195" s="56"/>
      <c r="CIE195" s="56"/>
      <c r="CIF195" s="56"/>
      <c r="CIG195" s="56"/>
      <c r="CIH195" s="56"/>
      <c r="CII195" s="56"/>
      <c r="CIJ195" s="56"/>
      <c r="CIK195" s="56"/>
      <c r="CIL195" s="56"/>
      <c r="CIM195" s="56"/>
      <c r="CIN195" s="56"/>
      <c r="CIO195" s="56"/>
      <c r="CIP195" s="56"/>
      <c r="CIQ195" s="56"/>
      <c r="CIR195" s="56"/>
      <c r="CIS195" s="56"/>
      <c r="CIT195" s="56"/>
      <c r="CIU195" s="56"/>
      <c r="CIV195" s="56"/>
      <c r="CIW195" s="56"/>
      <c r="CIX195" s="56"/>
      <c r="CIY195" s="56"/>
      <c r="CIZ195" s="56"/>
      <c r="CJA195" s="56"/>
      <c r="CJB195" s="56"/>
      <c r="CJC195" s="56"/>
      <c r="CJD195" s="56"/>
      <c r="CJE195" s="56"/>
      <c r="CJF195" s="56"/>
      <c r="CJG195" s="56"/>
      <c r="CJH195" s="56"/>
      <c r="CJI195" s="56"/>
      <c r="CJJ195" s="56"/>
      <c r="CJK195" s="56"/>
      <c r="CJL195" s="56"/>
      <c r="CJM195" s="56"/>
      <c r="CJN195" s="56"/>
      <c r="CJO195" s="56"/>
      <c r="CJP195" s="56"/>
      <c r="CJQ195" s="56"/>
      <c r="CJR195" s="56"/>
      <c r="CJS195" s="56"/>
      <c r="CJT195" s="56"/>
      <c r="CJU195" s="56"/>
      <c r="CJV195" s="56"/>
      <c r="CJW195" s="56"/>
      <c r="CJX195" s="56"/>
      <c r="CJY195" s="56"/>
      <c r="CJZ195" s="56"/>
      <c r="CKA195" s="56"/>
      <c r="CKB195" s="56"/>
      <c r="CKC195" s="56"/>
      <c r="CKD195" s="56"/>
      <c r="CKE195" s="56"/>
      <c r="CKF195" s="56"/>
      <c r="CKG195" s="56"/>
      <c r="CKH195" s="56"/>
      <c r="CKI195" s="56"/>
      <c r="CKJ195" s="56"/>
      <c r="CKK195" s="56"/>
      <c r="CKL195" s="56"/>
      <c r="CKM195" s="56"/>
      <c r="CKN195" s="56"/>
      <c r="CKO195" s="56"/>
      <c r="CKP195" s="56"/>
      <c r="CKQ195" s="56"/>
      <c r="CKR195" s="56"/>
      <c r="CKS195" s="56"/>
      <c r="CKT195" s="56"/>
      <c r="CKU195" s="56"/>
      <c r="CKV195" s="56"/>
      <c r="CKW195" s="56"/>
      <c r="CKX195" s="56"/>
      <c r="CKY195" s="56"/>
      <c r="CKZ195" s="56"/>
      <c r="CLA195" s="56"/>
      <c r="CLB195" s="56"/>
      <c r="CLC195" s="56"/>
      <c r="CLD195" s="56"/>
      <c r="CLE195" s="56"/>
      <c r="CLF195" s="56"/>
      <c r="CLG195" s="56"/>
      <c r="CLH195" s="56"/>
      <c r="CLI195" s="56"/>
      <c r="CLJ195" s="56"/>
      <c r="CLK195" s="56"/>
      <c r="CLL195" s="56"/>
      <c r="CLM195" s="56"/>
      <c r="CLN195" s="56"/>
      <c r="CLO195" s="56"/>
      <c r="CLP195" s="56"/>
      <c r="CLQ195" s="56"/>
      <c r="CLR195" s="56"/>
      <c r="CLS195" s="56"/>
      <c r="CLT195" s="56"/>
      <c r="CLU195" s="56"/>
      <c r="CLV195" s="56"/>
      <c r="CLW195" s="56"/>
      <c r="CLX195" s="56"/>
      <c r="CLY195" s="56"/>
      <c r="CLZ195" s="56"/>
      <c r="CMA195" s="56"/>
      <c r="CMB195" s="56"/>
      <c r="CMC195" s="56"/>
      <c r="CMD195" s="56"/>
      <c r="CME195" s="56"/>
      <c r="CMF195" s="56"/>
      <c r="CMG195" s="56"/>
      <c r="CMH195" s="56"/>
      <c r="CMI195" s="56"/>
      <c r="CMJ195" s="56"/>
      <c r="CMK195" s="56"/>
      <c r="CML195" s="56"/>
      <c r="CMM195" s="56"/>
      <c r="CMN195" s="56"/>
      <c r="CMO195" s="56"/>
      <c r="CMP195" s="56"/>
      <c r="CMQ195" s="56"/>
      <c r="CMR195" s="56"/>
      <c r="CMS195" s="56"/>
      <c r="CMT195" s="56"/>
      <c r="CMU195" s="56"/>
      <c r="CMV195" s="56"/>
      <c r="CMW195" s="56"/>
      <c r="CMX195" s="56"/>
      <c r="CMY195" s="56"/>
      <c r="CMZ195" s="56"/>
      <c r="CNA195" s="56"/>
      <c r="CNB195" s="56"/>
      <c r="CNC195" s="56"/>
      <c r="CND195" s="56"/>
      <c r="CNE195" s="56"/>
      <c r="CNF195" s="56"/>
      <c r="CNG195" s="56"/>
      <c r="CNH195" s="56"/>
      <c r="CNI195" s="56"/>
      <c r="CNJ195" s="56"/>
      <c r="CNK195" s="56"/>
      <c r="CNL195" s="56"/>
      <c r="CNM195" s="56"/>
      <c r="CNN195" s="56"/>
      <c r="CNO195" s="56"/>
      <c r="CNP195" s="56"/>
      <c r="CNQ195" s="56"/>
      <c r="CNR195" s="56"/>
      <c r="CNS195" s="56"/>
      <c r="CNT195" s="56"/>
      <c r="CNU195" s="56"/>
      <c r="CNV195" s="56"/>
      <c r="CNW195" s="56"/>
      <c r="CNX195" s="56"/>
      <c r="CNY195" s="56"/>
      <c r="CNZ195" s="56"/>
      <c r="COA195" s="56"/>
      <c r="COB195" s="56"/>
      <c r="COC195" s="56"/>
      <c r="COD195" s="56"/>
      <c r="COE195" s="56"/>
      <c r="COF195" s="56"/>
      <c r="COG195" s="56"/>
      <c r="COH195" s="56"/>
      <c r="COI195" s="56"/>
      <c r="COJ195" s="56"/>
      <c r="COK195" s="56"/>
      <c r="COL195" s="56"/>
      <c r="COM195" s="56"/>
      <c r="CON195" s="56"/>
      <c r="COO195" s="56"/>
      <c r="COP195" s="56"/>
      <c r="COQ195" s="56"/>
      <c r="COR195" s="56"/>
      <c r="COS195" s="56"/>
      <c r="COT195" s="56"/>
      <c r="COU195" s="56"/>
      <c r="COV195" s="56"/>
      <c r="COW195" s="56"/>
      <c r="COX195" s="56"/>
      <c r="COY195" s="56"/>
      <c r="COZ195" s="56"/>
      <c r="CPA195" s="56"/>
      <c r="CPB195" s="56"/>
      <c r="CPC195" s="56"/>
      <c r="CPD195" s="56"/>
      <c r="CPE195" s="56"/>
      <c r="CPF195" s="56"/>
      <c r="CPG195" s="56"/>
      <c r="CPH195" s="56"/>
      <c r="CPI195" s="56"/>
      <c r="CPJ195" s="56"/>
      <c r="CPK195" s="56"/>
      <c r="CPL195" s="56"/>
      <c r="CPM195" s="56"/>
      <c r="CPN195" s="56"/>
      <c r="CPO195" s="56"/>
      <c r="CPP195" s="56"/>
      <c r="CPQ195" s="56"/>
      <c r="CPR195" s="56"/>
      <c r="CPS195" s="56"/>
      <c r="CPT195" s="56"/>
      <c r="CPU195" s="56"/>
      <c r="CPV195" s="56"/>
      <c r="CPW195" s="56"/>
      <c r="CPX195" s="56"/>
      <c r="CPY195" s="56"/>
      <c r="CPZ195" s="56"/>
      <c r="CQA195" s="56"/>
      <c r="CQB195" s="56"/>
      <c r="CQC195" s="56"/>
      <c r="CQD195" s="56"/>
      <c r="CQE195" s="56"/>
      <c r="CQF195" s="56"/>
      <c r="CQG195" s="56"/>
      <c r="CQH195" s="56"/>
      <c r="CQI195" s="56"/>
      <c r="CQJ195" s="56"/>
      <c r="CQK195" s="56"/>
      <c r="CQL195" s="56"/>
      <c r="CQM195" s="56"/>
      <c r="CQN195" s="56"/>
      <c r="CQO195" s="56"/>
      <c r="CQP195" s="56"/>
      <c r="CQQ195" s="56"/>
      <c r="CQR195" s="56"/>
      <c r="CQS195" s="56"/>
      <c r="CQT195" s="56"/>
      <c r="CQU195" s="56"/>
      <c r="CQV195" s="56"/>
      <c r="CQW195" s="56"/>
      <c r="CQX195" s="56"/>
      <c r="CQY195" s="56"/>
      <c r="CQZ195" s="56"/>
      <c r="CRA195" s="56"/>
      <c r="CRB195" s="56"/>
      <c r="CRC195" s="56"/>
      <c r="CRD195" s="56"/>
      <c r="CRE195" s="56"/>
      <c r="CRF195" s="56"/>
      <c r="CRG195" s="56"/>
      <c r="CRH195" s="56"/>
      <c r="CRI195" s="56"/>
      <c r="CRJ195" s="56"/>
      <c r="CRK195" s="56"/>
      <c r="CRL195" s="56"/>
      <c r="CRM195" s="56"/>
      <c r="CRN195" s="56"/>
      <c r="CRO195" s="56"/>
      <c r="CRP195" s="56"/>
      <c r="CRQ195" s="56"/>
      <c r="CRR195" s="56"/>
      <c r="CRS195" s="56"/>
      <c r="CRT195" s="56"/>
      <c r="CRU195" s="56"/>
      <c r="CRV195" s="56"/>
      <c r="CRW195" s="56"/>
      <c r="CRX195" s="56"/>
      <c r="CRY195" s="56"/>
      <c r="CRZ195" s="56"/>
      <c r="CSA195" s="56"/>
      <c r="CSB195" s="56"/>
      <c r="CSC195" s="56"/>
      <c r="CSD195" s="56"/>
      <c r="CSE195" s="56"/>
      <c r="CSF195" s="56"/>
      <c r="CSG195" s="56"/>
      <c r="CSH195" s="56"/>
      <c r="CSI195" s="56"/>
      <c r="CSJ195" s="56"/>
      <c r="CSK195" s="56"/>
      <c r="CSL195" s="56"/>
      <c r="CSM195" s="56"/>
      <c r="CSN195" s="56"/>
      <c r="CSO195" s="56"/>
      <c r="CSP195" s="56"/>
      <c r="CSQ195" s="56"/>
      <c r="CSR195" s="56"/>
      <c r="CSS195" s="56"/>
      <c r="CST195" s="56"/>
      <c r="CSU195" s="56"/>
      <c r="CSV195" s="56"/>
      <c r="CSW195" s="56"/>
      <c r="CSX195" s="56"/>
      <c r="CSY195" s="56"/>
      <c r="CSZ195" s="56"/>
      <c r="CTA195" s="56"/>
      <c r="CTB195" s="56"/>
      <c r="CTC195" s="56"/>
      <c r="CTD195" s="56"/>
      <c r="CTE195" s="56"/>
      <c r="CTF195" s="56"/>
      <c r="CTG195" s="56"/>
      <c r="CTH195" s="56"/>
      <c r="CTI195" s="56"/>
      <c r="CTJ195" s="56"/>
      <c r="CTK195" s="56"/>
      <c r="CTL195" s="56"/>
      <c r="CTM195" s="56"/>
      <c r="CTN195" s="56"/>
      <c r="CTO195" s="56"/>
      <c r="CTP195" s="56"/>
      <c r="CTQ195" s="56"/>
      <c r="CTR195" s="56"/>
      <c r="CTS195" s="56"/>
      <c r="CTT195" s="56"/>
      <c r="CTU195" s="56"/>
      <c r="CTV195" s="56"/>
      <c r="CTW195" s="56"/>
      <c r="CTX195" s="56"/>
      <c r="CTY195" s="56"/>
      <c r="CTZ195" s="56"/>
      <c r="CUA195" s="56"/>
      <c r="CUB195" s="56"/>
      <c r="CUC195" s="56"/>
      <c r="CUD195" s="56"/>
      <c r="CUE195" s="56"/>
      <c r="CUF195" s="56"/>
      <c r="CUG195" s="56"/>
      <c r="CUH195" s="56"/>
      <c r="CUI195" s="56"/>
      <c r="CUJ195" s="56"/>
      <c r="CUK195" s="56"/>
      <c r="CUL195" s="56"/>
      <c r="CUM195" s="56"/>
      <c r="CUN195" s="56"/>
      <c r="CUO195" s="56"/>
      <c r="CUP195" s="56"/>
      <c r="CUQ195" s="56"/>
      <c r="CUR195" s="56"/>
      <c r="CUS195" s="56"/>
      <c r="CUT195" s="56"/>
      <c r="CUU195" s="56"/>
      <c r="CUV195" s="56"/>
      <c r="CUW195" s="56"/>
      <c r="CUX195" s="56"/>
      <c r="CUY195" s="56"/>
      <c r="CUZ195" s="56"/>
      <c r="CVA195" s="56"/>
      <c r="CVB195" s="56"/>
      <c r="CVC195" s="56"/>
      <c r="CVD195" s="56"/>
      <c r="CVE195" s="56"/>
      <c r="CVF195" s="56"/>
      <c r="CVG195" s="56"/>
      <c r="CVH195" s="56"/>
      <c r="CVI195" s="56"/>
      <c r="CVJ195" s="56"/>
      <c r="CVK195" s="56"/>
      <c r="CVL195" s="56"/>
      <c r="CVM195" s="56"/>
      <c r="CVN195" s="56"/>
      <c r="CVO195" s="56"/>
      <c r="CVP195" s="56"/>
      <c r="CVQ195" s="56"/>
      <c r="CVR195" s="56"/>
      <c r="CVS195" s="56"/>
      <c r="CVT195" s="56"/>
      <c r="CVU195" s="56"/>
      <c r="CVV195" s="56"/>
      <c r="CVW195" s="56"/>
      <c r="CVX195" s="56"/>
      <c r="CVY195" s="56"/>
      <c r="CVZ195" s="56"/>
      <c r="CWA195" s="56"/>
      <c r="CWB195" s="56"/>
      <c r="CWC195" s="56"/>
      <c r="CWD195" s="56"/>
      <c r="CWE195" s="56"/>
      <c r="CWF195" s="56"/>
      <c r="CWG195" s="56"/>
      <c r="CWH195" s="56"/>
      <c r="CWI195" s="56"/>
      <c r="CWJ195" s="56"/>
      <c r="CWK195" s="56"/>
      <c r="CWL195" s="56"/>
      <c r="CWM195" s="56"/>
      <c r="CWN195" s="56"/>
      <c r="CWO195" s="56"/>
      <c r="CWP195" s="56"/>
      <c r="CWQ195" s="56"/>
      <c r="CWR195" s="56"/>
      <c r="CWS195" s="56"/>
      <c r="CWT195" s="56"/>
      <c r="CWU195" s="56"/>
      <c r="CWV195" s="56"/>
      <c r="CWW195" s="56"/>
      <c r="CWX195" s="56"/>
      <c r="CWY195" s="56"/>
      <c r="CWZ195" s="56"/>
      <c r="CXA195" s="56"/>
      <c r="CXB195" s="56"/>
      <c r="CXC195" s="56"/>
      <c r="CXD195" s="56"/>
      <c r="CXE195" s="56"/>
      <c r="CXF195" s="56"/>
      <c r="CXG195" s="56"/>
      <c r="CXH195" s="56"/>
      <c r="CXI195" s="56"/>
      <c r="CXJ195" s="56"/>
      <c r="CXK195" s="56"/>
      <c r="CXL195" s="56"/>
      <c r="CXM195" s="56"/>
      <c r="CXN195" s="56"/>
      <c r="CXO195" s="56"/>
      <c r="CXP195" s="56"/>
      <c r="CXQ195" s="56"/>
      <c r="CXR195" s="56"/>
      <c r="CXS195" s="56"/>
      <c r="CXT195" s="56"/>
      <c r="CXU195" s="56"/>
      <c r="CXV195" s="56"/>
      <c r="CXW195" s="56"/>
      <c r="CXX195" s="56"/>
      <c r="CXY195" s="56"/>
      <c r="CXZ195" s="56"/>
      <c r="CYA195" s="56"/>
      <c r="CYB195" s="56"/>
      <c r="CYC195" s="56"/>
      <c r="CYD195" s="56"/>
      <c r="CYE195" s="56"/>
      <c r="CYF195" s="56"/>
      <c r="CYG195" s="56"/>
      <c r="CYH195" s="56"/>
      <c r="CYI195" s="56"/>
      <c r="CYJ195" s="56"/>
      <c r="CYK195" s="56"/>
      <c r="CYL195" s="56"/>
      <c r="CYM195" s="56"/>
      <c r="CYN195" s="56"/>
      <c r="CYO195" s="56"/>
      <c r="CYP195" s="56"/>
      <c r="CYQ195" s="56"/>
      <c r="CYR195" s="56"/>
      <c r="CYS195" s="56"/>
      <c r="CYT195" s="56"/>
      <c r="CYU195" s="56"/>
      <c r="CYV195" s="56"/>
      <c r="CYW195" s="56"/>
      <c r="CYX195" s="56"/>
      <c r="CYY195" s="56"/>
      <c r="CYZ195" s="56"/>
      <c r="CZA195" s="56"/>
      <c r="CZB195" s="56"/>
      <c r="CZC195" s="56"/>
      <c r="CZD195" s="56"/>
      <c r="CZE195" s="56"/>
      <c r="CZF195" s="56"/>
      <c r="CZG195" s="56"/>
      <c r="CZH195" s="56"/>
      <c r="CZI195" s="56"/>
      <c r="CZJ195" s="56"/>
      <c r="CZK195" s="56"/>
      <c r="CZL195" s="56"/>
      <c r="CZM195" s="56"/>
      <c r="CZN195" s="56"/>
      <c r="CZO195" s="56"/>
      <c r="CZP195" s="56"/>
      <c r="CZQ195" s="56"/>
      <c r="CZR195" s="56"/>
      <c r="CZS195" s="56"/>
      <c r="CZT195" s="56"/>
      <c r="CZU195" s="56"/>
      <c r="CZV195" s="56"/>
      <c r="CZW195" s="56"/>
      <c r="CZX195" s="56"/>
      <c r="CZY195" s="56"/>
      <c r="CZZ195" s="56"/>
      <c r="DAA195" s="56"/>
      <c r="DAB195" s="56"/>
      <c r="DAC195" s="56"/>
      <c r="DAD195" s="56"/>
      <c r="DAE195" s="56"/>
      <c r="DAF195" s="56"/>
      <c r="DAG195" s="56"/>
      <c r="DAH195" s="56"/>
      <c r="DAI195" s="56"/>
      <c r="DAJ195" s="56"/>
      <c r="DAK195" s="56"/>
      <c r="DAL195" s="56"/>
      <c r="DAM195" s="56"/>
      <c r="DAN195" s="56"/>
      <c r="DAO195" s="56"/>
      <c r="DAP195" s="56"/>
      <c r="DAQ195" s="56"/>
      <c r="DAR195" s="56"/>
      <c r="DAS195" s="56"/>
      <c r="DAT195" s="56"/>
      <c r="DAU195" s="56"/>
      <c r="DAV195" s="56"/>
      <c r="DAW195" s="56"/>
      <c r="DAX195" s="56"/>
      <c r="DAY195" s="56"/>
      <c r="DAZ195" s="56"/>
      <c r="DBA195" s="56"/>
      <c r="DBB195" s="56"/>
      <c r="DBC195" s="56"/>
      <c r="DBD195" s="56"/>
      <c r="DBE195" s="56"/>
      <c r="DBF195" s="56"/>
      <c r="DBG195" s="56"/>
      <c r="DBH195" s="56"/>
      <c r="DBI195" s="56"/>
      <c r="DBJ195" s="56"/>
      <c r="DBK195" s="56"/>
      <c r="DBL195" s="56"/>
      <c r="DBM195" s="56"/>
      <c r="DBN195" s="56"/>
      <c r="DBO195" s="56"/>
      <c r="DBP195" s="56"/>
      <c r="DBQ195" s="56"/>
      <c r="DBR195" s="56"/>
      <c r="DBS195" s="56"/>
      <c r="DBT195" s="56"/>
      <c r="DBU195" s="56"/>
      <c r="DBV195" s="56"/>
      <c r="DBW195" s="56"/>
      <c r="DBX195" s="56"/>
      <c r="DBY195" s="56"/>
      <c r="DBZ195" s="56"/>
      <c r="DCA195" s="56"/>
      <c r="DCB195" s="56"/>
      <c r="DCC195" s="56"/>
      <c r="DCD195" s="56"/>
      <c r="DCE195" s="56"/>
      <c r="DCF195" s="56"/>
      <c r="DCG195" s="56"/>
      <c r="DCH195" s="56"/>
      <c r="DCI195" s="56"/>
      <c r="DCJ195" s="56"/>
      <c r="DCK195" s="56"/>
      <c r="DCL195" s="56"/>
      <c r="DCM195" s="56"/>
      <c r="DCN195" s="56"/>
      <c r="DCO195" s="56"/>
      <c r="DCP195" s="56"/>
      <c r="DCQ195" s="56"/>
      <c r="DCR195" s="56"/>
      <c r="DCS195" s="56"/>
      <c r="DCT195" s="56"/>
      <c r="DCU195" s="56"/>
      <c r="DCV195" s="56"/>
      <c r="DCW195" s="56"/>
      <c r="DCX195" s="56"/>
      <c r="DCY195" s="56"/>
      <c r="DCZ195" s="56"/>
      <c r="DDA195" s="56"/>
      <c r="DDB195" s="56"/>
      <c r="DDC195" s="56"/>
      <c r="DDD195" s="56"/>
      <c r="DDE195" s="56"/>
      <c r="DDF195" s="56"/>
      <c r="DDG195" s="56"/>
      <c r="DDH195" s="56"/>
      <c r="DDI195" s="56"/>
      <c r="DDJ195" s="56"/>
      <c r="DDK195" s="56"/>
      <c r="DDL195" s="56"/>
      <c r="DDM195" s="56"/>
      <c r="DDN195" s="56"/>
      <c r="DDO195" s="56"/>
      <c r="DDP195" s="56"/>
      <c r="DDQ195" s="56"/>
      <c r="DDR195" s="56"/>
      <c r="DDS195" s="56"/>
      <c r="DDT195" s="56"/>
      <c r="DDU195" s="56"/>
      <c r="DDV195" s="56"/>
      <c r="DDW195" s="56"/>
      <c r="DDX195" s="56"/>
      <c r="DDY195" s="56"/>
      <c r="DDZ195" s="56"/>
      <c r="DEA195" s="56"/>
      <c r="DEB195" s="56"/>
      <c r="DEC195" s="56"/>
      <c r="DED195" s="56"/>
      <c r="DEE195" s="56"/>
      <c r="DEF195" s="56"/>
      <c r="DEG195" s="56"/>
      <c r="DEH195" s="56"/>
      <c r="DEI195" s="56"/>
      <c r="DEJ195" s="56"/>
      <c r="DEK195" s="56"/>
      <c r="DEL195" s="56"/>
      <c r="DEM195" s="56"/>
      <c r="DEN195" s="56"/>
      <c r="DEO195" s="56"/>
      <c r="DEP195" s="56"/>
      <c r="DEQ195" s="56"/>
      <c r="DER195" s="56"/>
      <c r="DES195" s="56"/>
      <c r="DET195" s="56"/>
      <c r="DEU195" s="56"/>
      <c r="DEV195" s="56"/>
      <c r="DEW195" s="56"/>
      <c r="DEX195" s="56"/>
      <c r="DEY195" s="56"/>
      <c r="DEZ195" s="56"/>
      <c r="DFA195" s="56"/>
      <c r="DFB195" s="56"/>
      <c r="DFC195" s="56"/>
      <c r="DFD195" s="56"/>
      <c r="DFE195" s="56"/>
      <c r="DFF195" s="56"/>
      <c r="DFG195" s="56"/>
      <c r="DFH195" s="56"/>
      <c r="DFI195" s="56"/>
      <c r="DFJ195" s="56"/>
      <c r="DFK195" s="56"/>
      <c r="DFL195" s="56"/>
      <c r="DFM195" s="56"/>
      <c r="DFN195" s="56"/>
      <c r="DFO195" s="56"/>
      <c r="DFP195" s="56"/>
      <c r="DFQ195" s="56"/>
      <c r="DFR195" s="56"/>
      <c r="DFS195" s="56"/>
      <c r="DFT195" s="56"/>
      <c r="DFU195" s="56"/>
      <c r="DFV195" s="56"/>
      <c r="DFW195" s="56"/>
      <c r="DFX195" s="56"/>
      <c r="DFY195" s="56"/>
      <c r="DFZ195" s="56"/>
      <c r="DGA195" s="56"/>
      <c r="DGB195" s="56"/>
      <c r="DGC195" s="56"/>
      <c r="DGD195" s="56"/>
      <c r="DGE195" s="56"/>
      <c r="DGF195" s="56"/>
      <c r="DGG195" s="56"/>
      <c r="DGH195" s="56"/>
      <c r="DGI195" s="56"/>
      <c r="DGJ195" s="56"/>
      <c r="DGK195" s="56"/>
      <c r="DGL195" s="56"/>
      <c r="DGM195" s="56"/>
      <c r="DGN195" s="56"/>
      <c r="DGO195" s="56"/>
      <c r="DGP195" s="56"/>
      <c r="DGQ195" s="56"/>
      <c r="DGR195" s="56"/>
      <c r="DGS195" s="56"/>
      <c r="DGT195" s="56"/>
      <c r="DGU195" s="56"/>
      <c r="DGV195" s="56"/>
      <c r="DGW195" s="56"/>
      <c r="DGX195" s="56"/>
      <c r="DGY195" s="56"/>
      <c r="DGZ195" s="56"/>
      <c r="DHA195" s="56"/>
      <c r="DHB195" s="56"/>
      <c r="DHC195" s="56"/>
      <c r="DHD195" s="56"/>
      <c r="DHE195" s="56"/>
      <c r="DHF195" s="56"/>
      <c r="DHG195" s="56"/>
      <c r="DHH195" s="56"/>
      <c r="DHI195" s="56"/>
      <c r="DHJ195" s="56"/>
      <c r="DHK195" s="56"/>
      <c r="DHL195" s="56"/>
      <c r="DHM195" s="56"/>
      <c r="DHN195" s="56"/>
      <c r="DHO195" s="56"/>
      <c r="DHP195" s="56"/>
      <c r="DHQ195" s="56"/>
      <c r="DHR195" s="56"/>
      <c r="DHS195" s="56"/>
      <c r="DHT195" s="56"/>
      <c r="DHU195" s="56"/>
      <c r="DHV195" s="56"/>
      <c r="DHW195" s="56"/>
      <c r="DHX195" s="56"/>
      <c r="DHY195" s="56"/>
      <c r="DHZ195" s="56"/>
      <c r="DIA195" s="56"/>
      <c r="DIB195" s="56"/>
      <c r="DIC195" s="56"/>
      <c r="DID195" s="56"/>
      <c r="DIE195" s="56"/>
      <c r="DIF195" s="56"/>
      <c r="DIG195" s="56"/>
      <c r="DIH195" s="56"/>
      <c r="DII195" s="56"/>
      <c r="DIJ195" s="56"/>
      <c r="DIK195" s="56"/>
      <c r="DIL195" s="56"/>
      <c r="DIM195" s="56"/>
      <c r="DIN195" s="56"/>
      <c r="DIO195" s="56"/>
      <c r="DIP195" s="56"/>
      <c r="DIQ195" s="56"/>
      <c r="DIR195" s="56"/>
      <c r="DIS195" s="56"/>
      <c r="DIT195" s="56"/>
      <c r="DIU195" s="56"/>
      <c r="DIV195" s="56"/>
      <c r="DIW195" s="56"/>
      <c r="DIX195" s="56"/>
      <c r="DIY195" s="56"/>
      <c r="DIZ195" s="56"/>
      <c r="DJA195" s="56"/>
      <c r="DJB195" s="56"/>
      <c r="DJC195" s="56"/>
      <c r="DJD195" s="56"/>
      <c r="DJE195" s="56"/>
      <c r="DJF195" s="56"/>
      <c r="DJG195" s="56"/>
      <c r="DJH195" s="56"/>
      <c r="DJI195" s="56"/>
      <c r="DJJ195" s="56"/>
      <c r="DJK195" s="56"/>
      <c r="DJL195" s="56"/>
      <c r="DJM195" s="56"/>
      <c r="DJN195" s="56"/>
      <c r="DJO195" s="56"/>
      <c r="DJP195" s="56"/>
      <c r="DJQ195" s="56"/>
      <c r="DJR195" s="56"/>
      <c r="DJS195" s="56"/>
      <c r="DJT195" s="56"/>
      <c r="DJU195" s="56"/>
      <c r="DJV195" s="56"/>
      <c r="DJW195" s="56"/>
      <c r="DJX195" s="56"/>
      <c r="DJY195" s="56"/>
      <c r="DJZ195" s="56"/>
      <c r="DKA195" s="56"/>
      <c r="DKB195" s="56"/>
      <c r="DKC195" s="56"/>
      <c r="DKD195" s="56"/>
      <c r="DKE195" s="56"/>
      <c r="DKF195" s="56"/>
      <c r="DKG195" s="56"/>
      <c r="DKH195" s="56"/>
      <c r="DKI195" s="56"/>
      <c r="DKJ195" s="56"/>
      <c r="DKK195" s="56"/>
      <c r="DKL195" s="56"/>
      <c r="DKM195" s="56"/>
      <c r="DKN195" s="56"/>
      <c r="DKO195" s="56"/>
      <c r="DKP195" s="56"/>
      <c r="DKQ195" s="56"/>
      <c r="DKR195" s="56"/>
      <c r="DKS195" s="56"/>
      <c r="DKT195" s="56"/>
      <c r="DKU195" s="56"/>
      <c r="DKV195" s="56"/>
      <c r="DKW195" s="56"/>
      <c r="DKX195" s="56"/>
      <c r="DKY195" s="56"/>
      <c r="DKZ195" s="56"/>
      <c r="DLA195" s="56"/>
      <c r="DLB195" s="56"/>
      <c r="DLC195" s="56"/>
      <c r="DLD195" s="56"/>
      <c r="DLE195" s="56"/>
      <c r="DLF195" s="56"/>
      <c r="DLG195" s="56"/>
      <c r="DLH195" s="56"/>
      <c r="DLI195" s="56"/>
      <c r="DLJ195" s="56"/>
      <c r="DLK195" s="56"/>
      <c r="DLL195" s="56"/>
      <c r="DLM195" s="56"/>
      <c r="DLN195" s="56"/>
      <c r="DLO195" s="56"/>
      <c r="DLP195" s="56"/>
      <c r="DLQ195" s="56"/>
      <c r="DLR195" s="56"/>
      <c r="DLS195" s="56"/>
      <c r="DLT195" s="56"/>
      <c r="DLU195" s="56"/>
      <c r="DLV195" s="56"/>
      <c r="DLW195" s="56"/>
      <c r="DLX195" s="56"/>
      <c r="DLY195" s="56"/>
      <c r="DLZ195" s="56"/>
      <c r="DMA195" s="56"/>
      <c r="DMB195" s="56"/>
      <c r="DMC195" s="56"/>
      <c r="DMD195" s="56"/>
      <c r="DME195" s="56"/>
      <c r="DMF195" s="56"/>
      <c r="DMG195" s="56"/>
      <c r="DMH195" s="56"/>
      <c r="DMI195" s="56"/>
      <c r="DMJ195" s="56"/>
      <c r="DMK195" s="56"/>
      <c r="DML195" s="56"/>
      <c r="DMM195" s="56"/>
      <c r="DMN195" s="56"/>
      <c r="DMO195" s="56"/>
      <c r="DMP195" s="56"/>
      <c r="DMQ195" s="56"/>
      <c r="DMR195" s="56"/>
      <c r="DMS195" s="56"/>
      <c r="DMT195" s="56"/>
      <c r="DMU195" s="56"/>
      <c r="DMV195" s="56"/>
      <c r="DMW195" s="56"/>
      <c r="DMX195" s="56"/>
      <c r="DMY195" s="56"/>
      <c r="DMZ195" s="56"/>
      <c r="DNA195" s="56"/>
      <c r="DNB195" s="56"/>
      <c r="DNC195" s="56"/>
      <c r="DND195" s="56"/>
      <c r="DNE195" s="56"/>
      <c r="DNF195" s="56"/>
      <c r="DNG195" s="56"/>
      <c r="DNH195" s="56"/>
      <c r="DNI195" s="56"/>
      <c r="DNJ195" s="56"/>
      <c r="DNK195" s="56"/>
      <c r="DNL195" s="56"/>
      <c r="DNM195" s="56"/>
      <c r="DNN195" s="56"/>
      <c r="DNO195" s="56"/>
      <c r="DNP195" s="56"/>
      <c r="DNQ195" s="56"/>
      <c r="DNR195" s="56"/>
      <c r="DNS195" s="56"/>
      <c r="DNT195" s="56"/>
      <c r="DNU195" s="56"/>
      <c r="DNV195" s="56"/>
      <c r="DNW195" s="56"/>
      <c r="DNX195" s="56"/>
      <c r="DNY195" s="56"/>
      <c r="DNZ195" s="56"/>
      <c r="DOA195" s="56"/>
      <c r="DOB195" s="56"/>
      <c r="DOC195" s="56"/>
      <c r="DOD195" s="56"/>
      <c r="DOE195" s="56"/>
      <c r="DOF195" s="56"/>
      <c r="DOG195" s="56"/>
      <c r="DOH195" s="56"/>
      <c r="DOI195" s="56"/>
      <c r="DOJ195" s="56"/>
      <c r="DOK195" s="56"/>
      <c r="DOL195" s="56"/>
      <c r="DOM195" s="56"/>
      <c r="DON195" s="56"/>
      <c r="DOO195" s="56"/>
      <c r="DOP195" s="56"/>
      <c r="DOQ195" s="56"/>
      <c r="DOR195" s="56"/>
      <c r="DOS195" s="56"/>
      <c r="DOT195" s="56"/>
      <c r="DOU195" s="56"/>
      <c r="DOV195" s="56"/>
      <c r="DOW195" s="56"/>
      <c r="DOX195" s="56"/>
      <c r="DOY195" s="56"/>
      <c r="DOZ195" s="56"/>
      <c r="DPA195" s="56"/>
      <c r="DPB195" s="56"/>
      <c r="DPC195" s="56"/>
      <c r="DPD195" s="56"/>
      <c r="DPE195" s="56"/>
      <c r="DPF195" s="56"/>
      <c r="DPG195" s="56"/>
      <c r="DPH195" s="56"/>
      <c r="DPI195" s="56"/>
      <c r="DPJ195" s="56"/>
      <c r="DPK195" s="56"/>
      <c r="DPL195" s="56"/>
      <c r="DPM195" s="56"/>
      <c r="DPN195" s="56"/>
      <c r="DPO195" s="56"/>
      <c r="DPP195" s="56"/>
      <c r="DPQ195" s="56"/>
      <c r="DPR195" s="56"/>
      <c r="DPS195" s="56"/>
      <c r="DPT195" s="56"/>
      <c r="DPU195" s="56"/>
      <c r="DPV195" s="56"/>
      <c r="DPW195" s="56"/>
      <c r="DPX195" s="56"/>
      <c r="DPY195" s="56"/>
      <c r="DPZ195" s="56"/>
      <c r="DQA195" s="56"/>
      <c r="DQB195" s="56"/>
      <c r="DQC195" s="56"/>
      <c r="DQD195" s="56"/>
      <c r="DQE195" s="56"/>
      <c r="DQF195" s="56"/>
      <c r="DQG195" s="56"/>
      <c r="DQH195" s="56"/>
      <c r="DQI195" s="56"/>
      <c r="DQJ195" s="56"/>
      <c r="DQK195" s="56"/>
      <c r="DQL195" s="56"/>
      <c r="DQM195" s="56"/>
      <c r="DQN195" s="56"/>
      <c r="DQO195" s="56"/>
      <c r="DQP195" s="56"/>
      <c r="DQQ195" s="56"/>
      <c r="DQR195" s="56"/>
      <c r="DQS195" s="56"/>
      <c r="DQT195" s="56"/>
      <c r="DQU195" s="56"/>
      <c r="DQV195" s="56"/>
      <c r="DQW195" s="56"/>
      <c r="DQX195" s="56"/>
      <c r="DQY195" s="56"/>
      <c r="DQZ195" s="56"/>
      <c r="DRA195" s="56"/>
      <c r="DRB195" s="56"/>
      <c r="DRC195" s="56"/>
      <c r="DRD195" s="56"/>
      <c r="DRE195" s="56"/>
      <c r="DRF195" s="56"/>
      <c r="DRG195" s="56"/>
      <c r="DRH195" s="56"/>
      <c r="DRI195" s="56"/>
      <c r="DRJ195" s="56"/>
      <c r="DRK195" s="56"/>
      <c r="DRL195" s="56"/>
      <c r="DRM195" s="56"/>
      <c r="DRN195" s="56"/>
      <c r="DRO195" s="56"/>
      <c r="DRP195" s="56"/>
      <c r="DRQ195" s="56"/>
      <c r="DRR195" s="56"/>
      <c r="DRS195" s="56"/>
      <c r="DRT195" s="56"/>
      <c r="DRU195" s="56"/>
      <c r="DRV195" s="56"/>
      <c r="DRW195" s="56"/>
      <c r="DRX195" s="56"/>
      <c r="DRY195" s="56"/>
      <c r="DRZ195" s="56"/>
      <c r="DSA195" s="56"/>
      <c r="DSB195" s="56"/>
      <c r="DSC195" s="56"/>
      <c r="DSD195" s="56"/>
      <c r="DSE195" s="56"/>
      <c r="DSF195" s="56"/>
      <c r="DSG195" s="56"/>
      <c r="DSH195" s="56"/>
      <c r="DSI195" s="56"/>
      <c r="DSJ195" s="56"/>
      <c r="DSK195" s="56"/>
      <c r="DSL195" s="56"/>
      <c r="DSM195" s="56"/>
      <c r="DSN195" s="56"/>
      <c r="DSO195" s="56"/>
      <c r="DSP195" s="56"/>
      <c r="DSQ195" s="56"/>
      <c r="DSR195" s="56"/>
      <c r="DSS195" s="56"/>
      <c r="DST195" s="56"/>
      <c r="DSU195" s="56"/>
      <c r="DSV195" s="56"/>
      <c r="DSW195" s="56"/>
      <c r="DSX195" s="56"/>
      <c r="DSY195" s="56"/>
      <c r="DSZ195" s="56"/>
      <c r="DTA195" s="56"/>
      <c r="DTB195" s="56"/>
      <c r="DTC195" s="56"/>
      <c r="DTD195" s="56"/>
      <c r="DTE195" s="56"/>
      <c r="DTF195" s="56"/>
      <c r="DTG195" s="56"/>
      <c r="DTH195" s="56"/>
      <c r="DTI195" s="56"/>
      <c r="DTJ195" s="56"/>
      <c r="DTK195" s="56"/>
      <c r="DTL195" s="56"/>
      <c r="DTM195" s="56"/>
      <c r="DTN195" s="56"/>
      <c r="DTO195" s="56"/>
      <c r="DTP195" s="56"/>
      <c r="DTQ195" s="56"/>
      <c r="DTR195" s="56"/>
      <c r="DTS195" s="56"/>
      <c r="DTT195" s="56"/>
      <c r="DTU195" s="56"/>
      <c r="DTV195" s="56"/>
      <c r="DTW195" s="56"/>
      <c r="DTX195" s="56"/>
      <c r="DTY195" s="56"/>
      <c r="DTZ195" s="56"/>
      <c r="DUA195" s="56"/>
      <c r="DUB195" s="56"/>
      <c r="DUC195" s="56"/>
      <c r="DUD195" s="56"/>
      <c r="DUE195" s="56"/>
      <c r="DUF195" s="56"/>
      <c r="DUG195" s="56"/>
      <c r="DUH195" s="56"/>
      <c r="DUI195" s="56"/>
      <c r="DUJ195" s="56"/>
      <c r="DUK195" s="56"/>
      <c r="DUL195" s="56"/>
      <c r="DUM195" s="56"/>
      <c r="DUN195" s="56"/>
      <c r="DUO195" s="56"/>
      <c r="DUP195" s="56"/>
      <c r="DUQ195" s="56"/>
      <c r="DUR195" s="56"/>
      <c r="DUS195" s="56"/>
      <c r="DUT195" s="56"/>
      <c r="DUU195" s="56"/>
      <c r="DUV195" s="56"/>
      <c r="DUW195" s="56"/>
      <c r="DUX195" s="56"/>
      <c r="DUY195" s="56"/>
      <c r="DUZ195" s="56"/>
      <c r="DVA195" s="56"/>
      <c r="DVB195" s="56"/>
      <c r="DVC195" s="56"/>
      <c r="DVD195" s="56"/>
      <c r="DVE195" s="56"/>
      <c r="DVF195" s="56"/>
      <c r="DVG195" s="56"/>
      <c r="DVH195" s="56"/>
      <c r="DVI195" s="56"/>
      <c r="DVJ195" s="56"/>
      <c r="DVK195" s="56"/>
      <c r="DVL195" s="56"/>
      <c r="DVM195" s="56"/>
      <c r="DVN195" s="56"/>
      <c r="DVO195" s="56"/>
      <c r="DVP195" s="56"/>
      <c r="DVQ195" s="56"/>
      <c r="DVR195" s="56"/>
      <c r="DVS195" s="56"/>
      <c r="DVT195" s="56"/>
      <c r="DVU195" s="56"/>
      <c r="DVV195" s="56"/>
      <c r="DVW195" s="56"/>
      <c r="DVX195" s="56"/>
      <c r="DVY195" s="56"/>
      <c r="DVZ195" s="56"/>
      <c r="DWA195" s="56"/>
      <c r="DWB195" s="56"/>
      <c r="DWC195" s="56"/>
      <c r="DWD195" s="56"/>
      <c r="DWE195" s="56"/>
      <c r="DWF195" s="56"/>
      <c r="DWG195" s="56"/>
      <c r="DWH195" s="56"/>
      <c r="DWI195" s="56"/>
      <c r="DWJ195" s="56"/>
      <c r="DWK195" s="56"/>
      <c r="DWL195" s="56"/>
      <c r="DWM195" s="56"/>
      <c r="DWN195" s="56"/>
      <c r="DWO195" s="56"/>
      <c r="DWP195" s="56"/>
      <c r="DWQ195" s="56"/>
      <c r="DWR195" s="56"/>
      <c r="DWS195" s="56"/>
      <c r="DWT195" s="56"/>
      <c r="DWU195" s="56"/>
      <c r="DWV195" s="56"/>
      <c r="DWW195" s="56"/>
      <c r="DWX195" s="56"/>
      <c r="DWY195" s="56"/>
      <c r="DWZ195" s="56"/>
      <c r="DXA195" s="56"/>
      <c r="DXB195" s="56"/>
      <c r="DXC195" s="56"/>
      <c r="DXD195" s="56"/>
      <c r="DXE195" s="56"/>
      <c r="DXF195" s="56"/>
      <c r="DXG195" s="56"/>
      <c r="DXH195" s="56"/>
      <c r="DXI195" s="56"/>
      <c r="DXJ195" s="56"/>
      <c r="DXK195" s="56"/>
      <c r="DXL195" s="56"/>
      <c r="DXM195" s="56"/>
      <c r="DXN195" s="56"/>
      <c r="DXO195" s="56"/>
      <c r="DXP195" s="56"/>
      <c r="DXQ195" s="56"/>
      <c r="DXR195" s="56"/>
      <c r="DXS195" s="56"/>
      <c r="DXT195" s="56"/>
      <c r="DXU195" s="56"/>
      <c r="DXV195" s="56"/>
      <c r="DXW195" s="56"/>
      <c r="DXX195" s="56"/>
      <c r="DXY195" s="56"/>
      <c r="DXZ195" s="56"/>
      <c r="DYA195" s="56"/>
      <c r="DYB195" s="56"/>
      <c r="DYC195" s="56"/>
      <c r="DYD195" s="56"/>
      <c r="DYE195" s="56"/>
      <c r="DYF195" s="56"/>
      <c r="DYG195" s="56"/>
      <c r="DYH195" s="56"/>
      <c r="DYI195" s="56"/>
      <c r="DYJ195" s="56"/>
      <c r="DYK195" s="56"/>
      <c r="DYL195" s="56"/>
      <c r="DYM195" s="56"/>
      <c r="DYN195" s="56"/>
      <c r="DYO195" s="56"/>
      <c r="DYP195" s="56"/>
      <c r="DYQ195" s="56"/>
      <c r="DYR195" s="56"/>
      <c r="DYS195" s="56"/>
      <c r="DYT195" s="56"/>
      <c r="DYU195" s="56"/>
      <c r="DYV195" s="56"/>
      <c r="DYW195" s="56"/>
      <c r="DYX195" s="56"/>
      <c r="DYY195" s="56"/>
      <c r="DYZ195" s="56"/>
      <c r="DZA195" s="56"/>
      <c r="DZB195" s="56"/>
      <c r="DZC195" s="56"/>
      <c r="DZD195" s="56"/>
      <c r="DZE195" s="56"/>
      <c r="DZF195" s="56"/>
      <c r="DZG195" s="56"/>
      <c r="DZH195" s="56"/>
      <c r="DZI195" s="56"/>
      <c r="DZJ195" s="56"/>
      <c r="DZK195" s="56"/>
      <c r="DZL195" s="56"/>
      <c r="DZM195" s="56"/>
      <c r="DZN195" s="56"/>
      <c r="DZO195" s="56"/>
      <c r="DZP195" s="56"/>
      <c r="DZQ195" s="56"/>
      <c r="DZR195" s="56"/>
      <c r="DZS195" s="56"/>
      <c r="DZT195" s="56"/>
      <c r="DZU195" s="56"/>
      <c r="DZV195" s="56"/>
      <c r="DZW195" s="56"/>
      <c r="DZX195" s="56"/>
      <c r="DZY195" s="56"/>
      <c r="DZZ195" s="56"/>
      <c r="EAA195" s="56"/>
      <c r="EAB195" s="56"/>
      <c r="EAC195" s="56"/>
      <c r="EAD195" s="56"/>
      <c r="EAE195" s="56"/>
      <c r="EAF195" s="56"/>
      <c r="EAG195" s="56"/>
      <c r="EAH195" s="56"/>
      <c r="EAI195" s="56"/>
      <c r="EAJ195" s="56"/>
      <c r="EAK195" s="56"/>
      <c r="EAL195" s="56"/>
      <c r="EAM195" s="56"/>
      <c r="EAN195" s="56"/>
      <c r="EAO195" s="56"/>
      <c r="EAP195" s="56"/>
      <c r="EAQ195" s="56"/>
      <c r="EAR195" s="56"/>
      <c r="EAS195" s="56"/>
      <c r="EAT195" s="56"/>
      <c r="EAU195" s="56"/>
      <c r="EAV195" s="56"/>
      <c r="EAW195" s="56"/>
      <c r="EAX195" s="56"/>
      <c r="EAY195" s="56"/>
      <c r="EAZ195" s="56"/>
      <c r="EBA195" s="56"/>
      <c r="EBB195" s="56"/>
      <c r="EBC195" s="56"/>
      <c r="EBD195" s="56"/>
      <c r="EBE195" s="56"/>
      <c r="EBF195" s="56"/>
      <c r="EBG195" s="56"/>
      <c r="EBH195" s="56"/>
      <c r="EBI195" s="56"/>
      <c r="EBJ195" s="56"/>
      <c r="EBK195" s="56"/>
      <c r="EBL195" s="56"/>
      <c r="EBM195" s="56"/>
      <c r="EBN195" s="56"/>
      <c r="EBO195" s="56"/>
      <c r="EBP195" s="56"/>
      <c r="EBQ195" s="56"/>
      <c r="EBR195" s="56"/>
      <c r="EBS195" s="56"/>
      <c r="EBT195" s="56"/>
      <c r="EBU195" s="56"/>
      <c r="EBV195" s="56"/>
      <c r="EBW195" s="56"/>
      <c r="EBX195" s="56"/>
      <c r="EBY195" s="56"/>
      <c r="EBZ195" s="56"/>
      <c r="ECA195" s="56"/>
      <c r="ECB195" s="56"/>
      <c r="ECC195" s="56"/>
      <c r="ECD195" s="56"/>
      <c r="ECE195" s="56"/>
      <c r="ECF195" s="56"/>
      <c r="ECG195" s="56"/>
      <c r="ECH195" s="56"/>
      <c r="ECI195" s="56"/>
      <c r="ECJ195" s="56"/>
      <c r="ECK195" s="56"/>
      <c r="ECL195" s="56"/>
      <c r="ECM195" s="56"/>
      <c r="ECN195" s="56"/>
      <c r="ECO195" s="56"/>
      <c r="ECP195" s="56"/>
      <c r="ECQ195" s="56"/>
      <c r="ECR195" s="56"/>
      <c r="ECS195" s="56"/>
      <c r="ECT195" s="56"/>
      <c r="ECU195" s="56"/>
      <c r="ECV195" s="56"/>
      <c r="ECW195" s="56"/>
      <c r="ECX195" s="56"/>
      <c r="ECY195" s="56"/>
      <c r="ECZ195" s="56"/>
      <c r="EDA195" s="56"/>
      <c r="EDB195" s="56"/>
      <c r="EDC195" s="56"/>
      <c r="EDD195" s="56"/>
      <c r="EDE195" s="56"/>
      <c r="EDF195" s="56"/>
      <c r="EDG195" s="56"/>
      <c r="EDH195" s="56"/>
      <c r="EDI195" s="56"/>
      <c r="EDJ195" s="56"/>
      <c r="EDK195" s="56"/>
      <c r="EDL195" s="56"/>
      <c r="EDM195" s="56"/>
      <c r="EDN195" s="56"/>
      <c r="EDO195" s="56"/>
      <c r="EDP195" s="56"/>
      <c r="EDQ195" s="56"/>
      <c r="EDR195" s="56"/>
      <c r="EDS195" s="56"/>
      <c r="EDT195" s="56"/>
      <c r="EDU195" s="56"/>
      <c r="EDV195" s="56"/>
      <c r="EDW195" s="56"/>
      <c r="EDX195" s="56"/>
      <c r="EDY195" s="56"/>
      <c r="EDZ195" s="56"/>
      <c r="EEA195" s="56"/>
      <c r="EEB195" s="56"/>
      <c r="EEC195" s="56"/>
      <c r="EED195" s="56"/>
      <c r="EEE195" s="56"/>
      <c r="EEF195" s="56"/>
      <c r="EEG195" s="56"/>
      <c r="EEH195" s="56"/>
      <c r="EEI195" s="56"/>
      <c r="EEJ195" s="56"/>
      <c r="EEK195" s="56"/>
      <c r="EEL195" s="56"/>
      <c r="EEM195" s="56"/>
      <c r="EEN195" s="56"/>
      <c r="EEO195" s="56"/>
      <c r="EEP195" s="56"/>
      <c r="EEQ195" s="56"/>
      <c r="EER195" s="56"/>
      <c r="EES195" s="56"/>
      <c r="EET195" s="56"/>
      <c r="EEU195" s="56"/>
      <c r="EEV195" s="56"/>
      <c r="EEW195" s="56"/>
      <c r="EEX195" s="56"/>
      <c r="EEY195" s="56"/>
      <c r="EEZ195" s="56"/>
      <c r="EFA195" s="56"/>
      <c r="EFB195" s="56"/>
      <c r="EFC195" s="56"/>
      <c r="EFD195" s="56"/>
      <c r="EFE195" s="56"/>
      <c r="EFF195" s="56"/>
      <c r="EFG195" s="56"/>
      <c r="EFH195" s="56"/>
      <c r="EFI195" s="56"/>
      <c r="EFJ195" s="56"/>
      <c r="EFK195" s="56"/>
      <c r="EFL195" s="56"/>
      <c r="EFM195" s="56"/>
      <c r="EFN195" s="56"/>
      <c r="EFO195" s="56"/>
      <c r="EFP195" s="56"/>
      <c r="EFQ195" s="56"/>
      <c r="EFR195" s="56"/>
      <c r="EFS195" s="56"/>
      <c r="EFT195" s="56"/>
      <c r="EFU195" s="56"/>
      <c r="EFV195" s="56"/>
      <c r="EFW195" s="56"/>
      <c r="EFX195" s="56"/>
      <c r="EFY195" s="56"/>
      <c r="EFZ195" s="56"/>
      <c r="EGA195" s="56"/>
      <c r="EGB195" s="56"/>
      <c r="EGC195" s="56"/>
      <c r="EGD195" s="56"/>
      <c r="EGE195" s="56"/>
      <c r="EGF195" s="56"/>
      <c r="EGG195" s="56"/>
      <c r="EGH195" s="56"/>
      <c r="EGI195" s="56"/>
      <c r="EGJ195" s="56"/>
      <c r="EGK195" s="56"/>
      <c r="EGL195" s="56"/>
      <c r="EGM195" s="56"/>
      <c r="EGN195" s="56"/>
      <c r="EGO195" s="56"/>
      <c r="EGP195" s="56"/>
      <c r="EGQ195" s="56"/>
      <c r="EGR195" s="56"/>
      <c r="EGS195" s="56"/>
      <c r="EGT195" s="56"/>
      <c r="EGU195" s="56"/>
      <c r="EGV195" s="56"/>
      <c r="EGW195" s="56"/>
      <c r="EGX195" s="56"/>
      <c r="EGY195" s="56"/>
      <c r="EGZ195" s="56"/>
      <c r="EHA195" s="56"/>
      <c r="EHB195" s="56"/>
      <c r="EHC195" s="56"/>
      <c r="EHD195" s="56"/>
      <c r="EHE195" s="56"/>
      <c r="EHF195" s="56"/>
      <c r="EHG195" s="56"/>
      <c r="EHH195" s="56"/>
      <c r="EHI195" s="56"/>
      <c r="EHJ195" s="56"/>
      <c r="EHK195" s="56"/>
      <c r="EHL195" s="56"/>
      <c r="EHM195" s="56"/>
      <c r="EHN195" s="56"/>
      <c r="EHO195" s="56"/>
      <c r="EHP195" s="56"/>
      <c r="EHQ195" s="56"/>
      <c r="EHR195" s="56"/>
      <c r="EHS195" s="56"/>
      <c r="EHT195" s="56"/>
      <c r="EHU195" s="56"/>
      <c r="EHV195" s="56"/>
      <c r="EHW195" s="56"/>
      <c r="EHX195" s="56"/>
      <c r="EHY195" s="56"/>
      <c r="EHZ195" s="56"/>
      <c r="EIA195" s="56"/>
      <c r="EIB195" s="56"/>
      <c r="EIC195" s="56"/>
      <c r="EID195" s="56"/>
      <c r="EIE195" s="56"/>
      <c r="EIF195" s="56"/>
      <c r="EIG195" s="56"/>
      <c r="EIH195" s="56"/>
      <c r="EII195" s="56"/>
      <c r="EIJ195" s="56"/>
      <c r="EIK195" s="56"/>
      <c r="EIL195" s="56"/>
      <c r="EIM195" s="56"/>
      <c r="EIN195" s="56"/>
      <c r="EIO195" s="56"/>
      <c r="EIP195" s="56"/>
      <c r="EIQ195" s="56"/>
      <c r="EIR195" s="56"/>
      <c r="EIS195" s="56"/>
      <c r="EIT195" s="56"/>
      <c r="EIU195" s="56"/>
      <c r="EIV195" s="56"/>
      <c r="EIW195" s="56"/>
      <c r="EIX195" s="56"/>
      <c r="EIY195" s="56"/>
      <c r="EIZ195" s="56"/>
      <c r="EJA195" s="56"/>
      <c r="EJB195" s="56"/>
      <c r="EJC195" s="56"/>
      <c r="EJD195" s="56"/>
      <c r="EJE195" s="56"/>
      <c r="EJF195" s="56"/>
      <c r="EJG195" s="56"/>
      <c r="EJH195" s="56"/>
      <c r="EJI195" s="56"/>
      <c r="EJJ195" s="56"/>
      <c r="EJK195" s="56"/>
      <c r="EJL195" s="56"/>
      <c r="EJM195" s="56"/>
      <c r="EJN195" s="56"/>
      <c r="EJO195" s="56"/>
      <c r="EJP195" s="56"/>
      <c r="EJQ195" s="56"/>
      <c r="EJR195" s="56"/>
      <c r="EJS195" s="56"/>
      <c r="EJT195" s="56"/>
      <c r="EJU195" s="56"/>
      <c r="EJV195" s="56"/>
      <c r="EJW195" s="56"/>
      <c r="EJX195" s="56"/>
      <c r="EJY195" s="56"/>
      <c r="EJZ195" s="56"/>
      <c r="EKA195" s="56"/>
      <c r="EKB195" s="56"/>
      <c r="EKC195" s="56"/>
      <c r="EKD195" s="56"/>
      <c r="EKE195" s="56"/>
      <c r="EKF195" s="56"/>
      <c r="EKG195" s="56"/>
      <c r="EKH195" s="56"/>
      <c r="EKI195" s="56"/>
      <c r="EKJ195" s="56"/>
      <c r="EKK195" s="56"/>
      <c r="EKL195" s="56"/>
      <c r="EKM195" s="56"/>
      <c r="EKN195" s="56"/>
      <c r="EKO195" s="56"/>
      <c r="EKP195" s="56"/>
      <c r="EKQ195" s="56"/>
      <c r="EKR195" s="56"/>
      <c r="EKS195" s="56"/>
      <c r="EKT195" s="56"/>
      <c r="EKU195" s="56"/>
      <c r="EKV195" s="56"/>
      <c r="EKW195" s="56"/>
      <c r="EKX195" s="56"/>
      <c r="EKY195" s="56"/>
      <c r="EKZ195" s="56"/>
      <c r="ELA195" s="56"/>
      <c r="ELB195" s="56"/>
      <c r="ELC195" s="56"/>
      <c r="ELD195" s="56"/>
      <c r="ELE195" s="56"/>
      <c r="ELF195" s="56"/>
      <c r="ELG195" s="56"/>
      <c r="ELH195" s="56"/>
      <c r="ELI195" s="56"/>
      <c r="ELJ195" s="56"/>
      <c r="ELK195" s="56"/>
      <c r="ELL195" s="56"/>
      <c r="ELM195" s="56"/>
      <c r="ELN195" s="56"/>
      <c r="ELO195" s="56"/>
      <c r="ELP195" s="56"/>
      <c r="ELQ195" s="56"/>
      <c r="ELR195" s="56"/>
      <c r="ELS195" s="56"/>
      <c r="ELT195" s="56"/>
      <c r="ELU195" s="56"/>
      <c r="ELV195" s="56"/>
      <c r="ELW195" s="56"/>
      <c r="ELX195" s="56"/>
      <c r="ELY195" s="56"/>
      <c r="ELZ195" s="56"/>
      <c r="EMA195" s="56"/>
      <c r="EMB195" s="56"/>
      <c r="EMC195" s="56"/>
      <c r="EMD195" s="56"/>
      <c r="EME195" s="56"/>
      <c r="EMF195" s="56"/>
      <c r="EMG195" s="56"/>
      <c r="EMH195" s="56"/>
      <c r="EMI195" s="56"/>
      <c r="EMJ195" s="56"/>
      <c r="EMK195" s="56"/>
      <c r="EML195" s="56"/>
      <c r="EMM195" s="56"/>
      <c r="EMN195" s="56"/>
      <c r="EMO195" s="56"/>
      <c r="EMP195" s="56"/>
      <c r="EMQ195" s="56"/>
      <c r="EMR195" s="56"/>
      <c r="EMS195" s="56"/>
      <c r="EMT195" s="56"/>
      <c r="EMU195" s="56"/>
      <c r="EMV195" s="56"/>
      <c r="EMW195" s="56"/>
      <c r="EMX195" s="56"/>
      <c r="EMY195" s="56"/>
      <c r="EMZ195" s="56"/>
      <c r="ENA195" s="56"/>
      <c r="ENB195" s="56"/>
      <c r="ENC195" s="56"/>
      <c r="END195" s="56"/>
      <c r="ENE195" s="56"/>
      <c r="ENF195" s="56"/>
      <c r="ENG195" s="56"/>
      <c r="ENH195" s="56"/>
      <c r="ENI195" s="56"/>
      <c r="ENJ195" s="56"/>
      <c r="ENK195" s="56"/>
      <c r="ENL195" s="56"/>
      <c r="ENM195" s="56"/>
      <c r="ENN195" s="56"/>
      <c r="ENO195" s="56"/>
      <c r="ENP195" s="56"/>
      <c r="ENQ195" s="56"/>
      <c r="ENR195" s="56"/>
      <c r="ENS195" s="56"/>
      <c r="ENT195" s="56"/>
      <c r="ENU195" s="56"/>
      <c r="ENV195" s="56"/>
      <c r="ENW195" s="56"/>
      <c r="ENX195" s="56"/>
      <c r="ENY195" s="56"/>
      <c r="ENZ195" s="56"/>
      <c r="EOA195" s="56"/>
      <c r="EOB195" s="56"/>
      <c r="EOC195" s="56"/>
      <c r="EOD195" s="56"/>
      <c r="EOE195" s="56"/>
      <c r="EOF195" s="56"/>
      <c r="EOG195" s="56"/>
      <c r="EOH195" s="56"/>
      <c r="EOI195" s="56"/>
      <c r="EOJ195" s="56"/>
      <c r="EOK195" s="56"/>
      <c r="EOL195" s="56"/>
      <c r="EOM195" s="56"/>
      <c r="EON195" s="56"/>
      <c r="EOO195" s="56"/>
      <c r="EOP195" s="56"/>
      <c r="EOQ195" s="56"/>
      <c r="EOR195" s="56"/>
      <c r="EOS195" s="56"/>
      <c r="EOT195" s="56"/>
      <c r="EOU195" s="56"/>
      <c r="EOV195" s="56"/>
      <c r="EOW195" s="56"/>
      <c r="EOX195" s="56"/>
      <c r="EOY195" s="56"/>
      <c r="EOZ195" s="56"/>
      <c r="EPA195" s="56"/>
      <c r="EPB195" s="56"/>
      <c r="EPC195" s="56"/>
      <c r="EPD195" s="56"/>
      <c r="EPE195" s="56"/>
      <c r="EPF195" s="56"/>
      <c r="EPG195" s="56"/>
      <c r="EPH195" s="56"/>
      <c r="EPI195" s="56"/>
      <c r="EPJ195" s="56"/>
      <c r="EPK195" s="56"/>
      <c r="EPL195" s="56"/>
      <c r="EPM195" s="56"/>
      <c r="EPN195" s="56"/>
      <c r="EPO195" s="56"/>
      <c r="EPP195" s="56"/>
      <c r="EPQ195" s="56"/>
      <c r="EPR195" s="56"/>
      <c r="EPS195" s="56"/>
      <c r="EPT195" s="56"/>
      <c r="EPU195" s="56"/>
      <c r="EPV195" s="56"/>
      <c r="EPW195" s="56"/>
      <c r="EPX195" s="56"/>
      <c r="EPY195" s="56"/>
      <c r="EPZ195" s="56"/>
      <c r="EQA195" s="56"/>
      <c r="EQB195" s="56"/>
      <c r="EQC195" s="56"/>
      <c r="EQD195" s="56"/>
      <c r="EQE195" s="56"/>
      <c r="EQF195" s="56"/>
      <c r="EQG195" s="56"/>
      <c r="EQH195" s="56"/>
      <c r="EQI195" s="56"/>
      <c r="EQJ195" s="56"/>
      <c r="EQK195" s="56"/>
      <c r="EQL195" s="56"/>
      <c r="EQM195" s="56"/>
      <c r="EQN195" s="56"/>
      <c r="EQO195" s="56"/>
      <c r="EQP195" s="56"/>
      <c r="EQQ195" s="56"/>
      <c r="EQR195" s="56"/>
      <c r="EQS195" s="56"/>
      <c r="EQT195" s="56"/>
      <c r="EQU195" s="56"/>
      <c r="EQV195" s="56"/>
      <c r="EQW195" s="56"/>
      <c r="EQX195" s="56"/>
      <c r="EQY195" s="56"/>
      <c r="EQZ195" s="56"/>
      <c r="ERA195" s="56"/>
      <c r="ERB195" s="56"/>
      <c r="ERC195" s="56"/>
      <c r="ERD195" s="56"/>
      <c r="ERE195" s="56"/>
      <c r="ERF195" s="56"/>
      <c r="ERG195" s="56"/>
      <c r="ERH195" s="56"/>
      <c r="ERI195" s="56"/>
      <c r="ERJ195" s="56"/>
      <c r="ERK195" s="56"/>
      <c r="ERL195" s="56"/>
      <c r="ERM195" s="56"/>
      <c r="ERN195" s="56"/>
      <c r="ERO195" s="56"/>
      <c r="ERP195" s="56"/>
      <c r="ERQ195" s="56"/>
      <c r="ERR195" s="56"/>
      <c r="ERS195" s="56"/>
      <c r="ERT195" s="56"/>
      <c r="ERU195" s="56"/>
      <c r="ERV195" s="56"/>
      <c r="ERW195" s="56"/>
      <c r="ERX195" s="56"/>
      <c r="ERY195" s="56"/>
      <c r="ERZ195" s="56"/>
      <c r="ESA195" s="56"/>
      <c r="ESB195" s="56"/>
      <c r="ESC195" s="56"/>
      <c r="ESD195" s="56"/>
      <c r="ESE195" s="56"/>
      <c r="ESF195" s="56"/>
      <c r="ESG195" s="56"/>
      <c r="ESH195" s="56"/>
      <c r="ESI195" s="56"/>
      <c r="ESJ195" s="56"/>
      <c r="ESK195" s="56"/>
      <c r="ESL195" s="56"/>
      <c r="ESM195" s="56"/>
      <c r="ESN195" s="56"/>
      <c r="ESO195" s="56"/>
      <c r="ESP195" s="56"/>
      <c r="ESQ195" s="56"/>
      <c r="ESR195" s="56"/>
      <c r="ESS195" s="56"/>
      <c r="EST195" s="56"/>
      <c r="ESU195" s="56"/>
      <c r="ESV195" s="56"/>
      <c r="ESW195" s="56"/>
      <c r="ESX195" s="56"/>
      <c r="ESY195" s="56"/>
      <c r="ESZ195" s="56"/>
      <c r="ETA195" s="56"/>
      <c r="ETB195" s="56"/>
      <c r="ETC195" s="56"/>
      <c r="ETD195" s="56"/>
      <c r="ETE195" s="56"/>
      <c r="ETF195" s="56"/>
      <c r="ETG195" s="56"/>
      <c r="ETH195" s="56"/>
      <c r="ETI195" s="56"/>
      <c r="ETJ195" s="56"/>
      <c r="ETK195" s="56"/>
      <c r="ETL195" s="56"/>
      <c r="ETM195" s="56"/>
      <c r="ETN195" s="56"/>
      <c r="ETO195" s="56"/>
      <c r="ETP195" s="56"/>
      <c r="ETQ195" s="56"/>
      <c r="ETR195" s="56"/>
      <c r="ETS195" s="56"/>
      <c r="ETT195" s="56"/>
      <c r="ETU195" s="56"/>
      <c r="ETV195" s="56"/>
      <c r="ETW195" s="56"/>
      <c r="ETX195" s="56"/>
      <c r="ETY195" s="56"/>
      <c r="ETZ195" s="56"/>
      <c r="EUA195" s="56"/>
      <c r="EUB195" s="56"/>
      <c r="EUC195" s="56"/>
      <c r="EUD195" s="56"/>
      <c r="EUE195" s="56"/>
      <c r="EUF195" s="56"/>
      <c r="EUG195" s="56"/>
      <c r="EUH195" s="56"/>
      <c r="EUI195" s="56"/>
      <c r="EUJ195" s="56"/>
      <c r="EUK195" s="56"/>
      <c r="EUL195" s="56"/>
      <c r="EUM195" s="56"/>
      <c r="EUN195" s="56"/>
      <c r="EUO195" s="56"/>
      <c r="EUP195" s="56"/>
      <c r="EUQ195" s="56"/>
      <c r="EUR195" s="56"/>
      <c r="EUS195" s="56"/>
      <c r="EUT195" s="56"/>
      <c r="EUU195" s="56"/>
      <c r="EUV195" s="56"/>
      <c r="EUW195" s="56"/>
      <c r="EUX195" s="56"/>
      <c r="EUY195" s="56"/>
      <c r="EUZ195" s="56"/>
      <c r="EVA195" s="56"/>
      <c r="EVB195" s="56"/>
      <c r="EVC195" s="56"/>
      <c r="EVD195" s="56"/>
      <c r="EVE195" s="56"/>
      <c r="EVF195" s="56"/>
      <c r="EVG195" s="56"/>
      <c r="EVH195" s="56"/>
      <c r="EVI195" s="56"/>
      <c r="EVJ195" s="56"/>
      <c r="EVK195" s="56"/>
      <c r="EVL195" s="56"/>
      <c r="EVM195" s="56"/>
      <c r="EVN195" s="56"/>
      <c r="EVO195" s="56"/>
      <c r="EVP195" s="56"/>
      <c r="EVQ195" s="56"/>
      <c r="EVR195" s="56"/>
      <c r="EVS195" s="56"/>
      <c r="EVT195" s="56"/>
      <c r="EVU195" s="56"/>
      <c r="EVV195" s="56"/>
      <c r="EVW195" s="56"/>
      <c r="EVX195" s="56"/>
      <c r="EVY195" s="56"/>
      <c r="EVZ195" s="56"/>
      <c r="EWA195" s="56"/>
      <c r="EWB195" s="56"/>
      <c r="EWC195" s="56"/>
      <c r="EWD195" s="56"/>
      <c r="EWE195" s="56"/>
      <c r="EWF195" s="56"/>
      <c r="EWG195" s="56"/>
      <c r="EWH195" s="56"/>
      <c r="EWI195" s="56"/>
      <c r="EWJ195" s="56"/>
      <c r="EWK195" s="56"/>
      <c r="EWL195" s="56"/>
      <c r="EWM195" s="56"/>
      <c r="EWN195" s="56"/>
      <c r="EWO195" s="56"/>
      <c r="EWP195" s="56"/>
      <c r="EWQ195" s="56"/>
      <c r="EWR195" s="56"/>
      <c r="EWS195" s="56"/>
      <c r="EWT195" s="56"/>
      <c r="EWU195" s="56"/>
      <c r="EWV195" s="56"/>
      <c r="EWW195" s="56"/>
      <c r="EWX195" s="56"/>
      <c r="EWY195" s="56"/>
      <c r="EWZ195" s="56"/>
      <c r="EXA195" s="56"/>
      <c r="EXB195" s="56"/>
      <c r="EXC195" s="56"/>
      <c r="EXD195" s="56"/>
      <c r="EXE195" s="56"/>
      <c r="EXF195" s="56"/>
      <c r="EXG195" s="56"/>
      <c r="EXH195" s="56"/>
      <c r="EXI195" s="56"/>
      <c r="EXJ195" s="56"/>
      <c r="EXK195" s="56"/>
      <c r="EXL195" s="56"/>
      <c r="EXM195" s="56"/>
      <c r="EXN195" s="56"/>
      <c r="EXO195" s="56"/>
      <c r="EXP195" s="56"/>
      <c r="EXQ195" s="56"/>
      <c r="EXR195" s="56"/>
      <c r="EXS195" s="56"/>
      <c r="EXT195" s="56"/>
      <c r="EXU195" s="56"/>
      <c r="EXV195" s="56"/>
      <c r="EXW195" s="56"/>
      <c r="EXX195" s="56"/>
      <c r="EXY195" s="56"/>
      <c r="EXZ195" s="56"/>
      <c r="EYA195" s="56"/>
      <c r="EYB195" s="56"/>
      <c r="EYC195" s="56"/>
      <c r="EYD195" s="56"/>
      <c r="EYE195" s="56"/>
      <c r="EYF195" s="56"/>
      <c r="EYG195" s="56"/>
      <c r="EYH195" s="56"/>
      <c r="EYI195" s="56"/>
      <c r="EYJ195" s="56"/>
      <c r="EYK195" s="56"/>
      <c r="EYL195" s="56"/>
      <c r="EYM195" s="56"/>
      <c r="EYN195" s="56"/>
      <c r="EYO195" s="56"/>
      <c r="EYP195" s="56"/>
      <c r="EYQ195" s="56"/>
      <c r="EYR195" s="56"/>
      <c r="EYS195" s="56"/>
      <c r="EYT195" s="56"/>
      <c r="EYU195" s="56"/>
      <c r="EYV195" s="56"/>
      <c r="EYW195" s="56"/>
      <c r="EYX195" s="56"/>
      <c r="EYY195" s="56"/>
      <c r="EYZ195" s="56"/>
      <c r="EZA195" s="56"/>
      <c r="EZB195" s="56"/>
      <c r="EZC195" s="56"/>
      <c r="EZD195" s="56"/>
      <c r="EZE195" s="56"/>
      <c r="EZF195" s="56"/>
      <c r="EZG195" s="56"/>
      <c r="EZH195" s="56"/>
      <c r="EZI195" s="56"/>
      <c r="EZJ195" s="56"/>
      <c r="EZK195" s="56"/>
      <c r="EZL195" s="56"/>
      <c r="EZM195" s="56"/>
      <c r="EZN195" s="56"/>
      <c r="EZO195" s="56"/>
      <c r="EZP195" s="56"/>
      <c r="EZQ195" s="56"/>
      <c r="EZR195" s="56"/>
      <c r="EZS195" s="56"/>
      <c r="EZT195" s="56"/>
      <c r="EZU195" s="56"/>
      <c r="EZV195" s="56"/>
      <c r="EZW195" s="56"/>
      <c r="EZX195" s="56"/>
      <c r="EZY195" s="56"/>
      <c r="EZZ195" s="56"/>
      <c r="FAA195" s="56"/>
      <c r="FAB195" s="56"/>
      <c r="FAC195" s="56"/>
      <c r="FAD195" s="56"/>
      <c r="FAE195" s="56"/>
      <c r="FAF195" s="56"/>
      <c r="FAG195" s="56"/>
      <c r="FAH195" s="56"/>
      <c r="FAI195" s="56"/>
      <c r="FAJ195" s="56"/>
      <c r="FAK195" s="56"/>
      <c r="FAL195" s="56"/>
      <c r="FAM195" s="56"/>
      <c r="FAN195" s="56"/>
      <c r="FAO195" s="56"/>
      <c r="FAP195" s="56"/>
      <c r="FAQ195" s="56"/>
      <c r="FAR195" s="56"/>
      <c r="FAS195" s="56"/>
      <c r="FAT195" s="56"/>
      <c r="FAU195" s="56"/>
      <c r="FAV195" s="56"/>
      <c r="FAW195" s="56"/>
      <c r="FAX195" s="56"/>
      <c r="FAY195" s="56"/>
      <c r="FAZ195" s="56"/>
      <c r="FBA195" s="56"/>
      <c r="FBB195" s="56"/>
      <c r="FBC195" s="56"/>
      <c r="FBD195" s="56"/>
      <c r="FBE195" s="56"/>
      <c r="FBF195" s="56"/>
      <c r="FBG195" s="56"/>
      <c r="FBH195" s="56"/>
      <c r="FBI195" s="56"/>
      <c r="FBJ195" s="56"/>
      <c r="FBK195" s="56"/>
      <c r="FBL195" s="56"/>
      <c r="FBM195" s="56"/>
      <c r="FBN195" s="56"/>
      <c r="FBO195" s="56"/>
      <c r="FBP195" s="56"/>
      <c r="FBQ195" s="56"/>
      <c r="FBR195" s="56"/>
      <c r="FBS195" s="56"/>
      <c r="FBT195" s="56"/>
      <c r="FBU195" s="56"/>
      <c r="FBV195" s="56"/>
      <c r="FBW195" s="56"/>
      <c r="FBX195" s="56"/>
      <c r="FBY195" s="56"/>
      <c r="FBZ195" s="56"/>
      <c r="FCA195" s="56"/>
      <c r="FCB195" s="56"/>
      <c r="FCC195" s="56"/>
      <c r="FCD195" s="56"/>
      <c r="FCE195" s="56"/>
      <c r="FCF195" s="56"/>
      <c r="FCG195" s="56"/>
      <c r="FCH195" s="56"/>
      <c r="FCI195" s="56"/>
      <c r="FCJ195" s="56"/>
      <c r="FCK195" s="56"/>
      <c r="FCL195" s="56"/>
      <c r="FCM195" s="56"/>
      <c r="FCN195" s="56"/>
      <c r="FCO195" s="56"/>
      <c r="FCP195" s="56"/>
      <c r="FCQ195" s="56"/>
      <c r="FCR195" s="56"/>
      <c r="FCS195" s="56"/>
      <c r="FCT195" s="56"/>
      <c r="FCU195" s="56"/>
      <c r="FCV195" s="56"/>
      <c r="FCW195" s="56"/>
      <c r="FCX195" s="56"/>
      <c r="FCY195" s="56"/>
      <c r="FCZ195" s="56"/>
      <c r="FDA195" s="56"/>
      <c r="FDB195" s="56"/>
      <c r="FDC195" s="56"/>
      <c r="FDD195" s="56"/>
      <c r="FDE195" s="56"/>
      <c r="FDF195" s="56"/>
      <c r="FDG195" s="56"/>
      <c r="FDH195" s="56"/>
      <c r="FDI195" s="56"/>
      <c r="FDJ195" s="56"/>
      <c r="FDK195" s="56"/>
      <c r="FDL195" s="56"/>
      <c r="FDM195" s="56"/>
      <c r="FDN195" s="56"/>
      <c r="FDO195" s="56"/>
      <c r="FDP195" s="56"/>
      <c r="FDQ195" s="56"/>
      <c r="FDR195" s="56"/>
      <c r="FDS195" s="56"/>
      <c r="FDT195" s="56"/>
      <c r="FDU195" s="56"/>
      <c r="FDV195" s="56"/>
      <c r="FDW195" s="56"/>
      <c r="FDX195" s="56"/>
      <c r="FDY195" s="56"/>
      <c r="FDZ195" s="56"/>
      <c r="FEA195" s="56"/>
      <c r="FEB195" s="56"/>
      <c r="FEC195" s="56"/>
      <c r="FED195" s="56"/>
      <c r="FEE195" s="56"/>
      <c r="FEF195" s="56"/>
      <c r="FEG195" s="56"/>
      <c r="FEH195" s="56"/>
      <c r="FEI195" s="56"/>
      <c r="FEJ195" s="56"/>
      <c r="FEK195" s="56"/>
      <c r="FEL195" s="56"/>
      <c r="FEM195" s="56"/>
      <c r="FEN195" s="56"/>
      <c r="FEO195" s="56"/>
      <c r="FEP195" s="56"/>
      <c r="FEQ195" s="56"/>
      <c r="FER195" s="56"/>
      <c r="FES195" s="56"/>
      <c r="FET195" s="56"/>
      <c r="FEU195" s="56"/>
      <c r="FEV195" s="56"/>
      <c r="FEW195" s="56"/>
      <c r="FEX195" s="56"/>
      <c r="FEY195" s="56"/>
      <c r="FEZ195" s="56"/>
      <c r="FFA195" s="56"/>
      <c r="FFB195" s="56"/>
      <c r="FFC195" s="56"/>
      <c r="FFD195" s="56"/>
      <c r="FFE195" s="56"/>
      <c r="FFF195" s="56"/>
      <c r="FFG195" s="56"/>
      <c r="FFH195" s="56"/>
      <c r="FFI195" s="56"/>
      <c r="FFJ195" s="56"/>
      <c r="FFK195" s="56"/>
      <c r="FFL195" s="56"/>
      <c r="FFM195" s="56"/>
      <c r="FFN195" s="56"/>
      <c r="FFO195" s="56"/>
      <c r="FFP195" s="56"/>
      <c r="FFQ195" s="56"/>
      <c r="FFR195" s="56"/>
      <c r="FFS195" s="56"/>
      <c r="FFT195" s="56"/>
      <c r="FFU195" s="56"/>
      <c r="FFV195" s="56"/>
      <c r="FFW195" s="56"/>
      <c r="FFX195" s="56"/>
      <c r="FFY195" s="56"/>
      <c r="FFZ195" s="56"/>
      <c r="FGA195" s="56"/>
      <c r="FGB195" s="56"/>
      <c r="FGC195" s="56"/>
      <c r="FGD195" s="56"/>
      <c r="FGE195" s="56"/>
      <c r="FGF195" s="56"/>
      <c r="FGG195" s="56"/>
      <c r="FGH195" s="56"/>
      <c r="FGI195" s="56"/>
      <c r="FGJ195" s="56"/>
      <c r="FGK195" s="56"/>
      <c r="FGL195" s="56"/>
      <c r="FGM195" s="56"/>
      <c r="FGN195" s="56"/>
      <c r="FGO195" s="56"/>
      <c r="FGP195" s="56"/>
      <c r="FGQ195" s="56"/>
      <c r="FGR195" s="56"/>
      <c r="FGS195" s="56"/>
      <c r="FGT195" s="56"/>
      <c r="FGU195" s="56"/>
      <c r="FGV195" s="56"/>
      <c r="FGW195" s="56"/>
      <c r="FGX195" s="56"/>
      <c r="FGY195" s="56"/>
      <c r="FGZ195" s="56"/>
      <c r="FHA195" s="56"/>
      <c r="FHB195" s="56"/>
      <c r="FHC195" s="56"/>
      <c r="FHD195" s="56"/>
      <c r="FHE195" s="56"/>
      <c r="FHF195" s="56"/>
      <c r="FHG195" s="56"/>
      <c r="FHH195" s="56"/>
      <c r="FHI195" s="56"/>
      <c r="FHJ195" s="56"/>
      <c r="FHK195" s="56"/>
      <c r="FHL195" s="56"/>
      <c r="FHM195" s="56"/>
      <c r="FHN195" s="56"/>
      <c r="FHO195" s="56"/>
      <c r="FHP195" s="56"/>
      <c r="FHQ195" s="56"/>
      <c r="FHR195" s="56"/>
      <c r="FHS195" s="56"/>
      <c r="FHT195" s="56"/>
      <c r="FHU195" s="56"/>
      <c r="FHV195" s="56"/>
      <c r="FHW195" s="56"/>
      <c r="FHX195" s="56"/>
      <c r="FHY195" s="56"/>
      <c r="FHZ195" s="56"/>
      <c r="FIA195" s="56"/>
      <c r="FIB195" s="56"/>
      <c r="FIC195" s="56"/>
      <c r="FID195" s="56"/>
      <c r="FIE195" s="56"/>
      <c r="FIF195" s="56"/>
      <c r="FIG195" s="56"/>
      <c r="FIH195" s="56"/>
      <c r="FII195" s="56"/>
      <c r="FIJ195" s="56"/>
      <c r="FIK195" s="56"/>
      <c r="FIL195" s="56"/>
      <c r="FIM195" s="56"/>
      <c r="FIN195" s="56"/>
      <c r="FIO195" s="56"/>
      <c r="FIP195" s="56"/>
      <c r="FIQ195" s="56"/>
      <c r="FIR195" s="56"/>
      <c r="FIS195" s="56"/>
      <c r="FIT195" s="56"/>
      <c r="FIU195" s="56"/>
      <c r="FIV195" s="56"/>
      <c r="FIW195" s="56"/>
      <c r="FIX195" s="56"/>
      <c r="FIY195" s="56"/>
      <c r="FIZ195" s="56"/>
      <c r="FJA195" s="56"/>
      <c r="FJB195" s="56"/>
      <c r="FJC195" s="56"/>
      <c r="FJD195" s="56"/>
      <c r="FJE195" s="56"/>
      <c r="FJF195" s="56"/>
      <c r="FJG195" s="56"/>
      <c r="FJH195" s="56"/>
      <c r="FJI195" s="56"/>
      <c r="FJJ195" s="56"/>
      <c r="FJK195" s="56"/>
      <c r="FJL195" s="56"/>
      <c r="FJM195" s="56"/>
      <c r="FJN195" s="56"/>
      <c r="FJO195" s="56"/>
      <c r="FJP195" s="56"/>
      <c r="FJQ195" s="56"/>
      <c r="FJR195" s="56"/>
      <c r="FJS195" s="56"/>
      <c r="FJT195" s="56"/>
      <c r="FJU195" s="56"/>
      <c r="FJV195" s="56"/>
      <c r="FJW195" s="56"/>
      <c r="FJX195" s="56"/>
      <c r="FJY195" s="56"/>
      <c r="FJZ195" s="56"/>
      <c r="FKA195" s="56"/>
      <c r="FKB195" s="56"/>
      <c r="FKC195" s="56"/>
      <c r="FKD195" s="56"/>
      <c r="FKE195" s="56"/>
      <c r="FKF195" s="56"/>
      <c r="FKG195" s="56"/>
      <c r="FKH195" s="56"/>
      <c r="FKI195" s="56"/>
      <c r="FKJ195" s="56"/>
      <c r="FKK195" s="56"/>
      <c r="FKL195" s="56"/>
      <c r="FKM195" s="56"/>
      <c r="FKN195" s="56"/>
      <c r="FKO195" s="56"/>
      <c r="FKP195" s="56"/>
      <c r="FKQ195" s="56"/>
      <c r="FKR195" s="56"/>
      <c r="FKS195" s="56"/>
      <c r="FKT195" s="56"/>
      <c r="FKU195" s="56"/>
      <c r="FKV195" s="56"/>
      <c r="FKW195" s="56"/>
      <c r="FKX195" s="56"/>
      <c r="FKY195" s="56"/>
      <c r="FKZ195" s="56"/>
      <c r="FLA195" s="56"/>
      <c r="FLB195" s="56"/>
      <c r="FLC195" s="56"/>
      <c r="FLD195" s="56"/>
      <c r="FLE195" s="56"/>
      <c r="FLF195" s="56"/>
      <c r="FLG195" s="56"/>
      <c r="FLH195" s="56"/>
      <c r="FLI195" s="56"/>
      <c r="FLJ195" s="56"/>
      <c r="FLK195" s="56"/>
      <c r="FLL195" s="56"/>
      <c r="FLM195" s="56"/>
      <c r="FLN195" s="56"/>
      <c r="FLO195" s="56"/>
      <c r="FLP195" s="56"/>
      <c r="FLQ195" s="56"/>
      <c r="FLR195" s="56"/>
      <c r="FLS195" s="56"/>
      <c r="FLT195" s="56"/>
      <c r="FLU195" s="56"/>
      <c r="FLV195" s="56"/>
      <c r="FLW195" s="56"/>
      <c r="FLX195" s="56"/>
      <c r="FLY195" s="56"/>
      <c r="FLZ195" s="56"/>
      <c r="FMA195" s="56"/>
      <c r="FMB195" s="56"/>
      <c r="FMC195" s="56"/>
      <c r="FMD195" s="56"/>
      <c r="FME195" s="56"/>
      <c r="FMF195" s="56"/>
      <c r="FMG195" s="56"/>
      <c r="FMH195" s="56"/>
      <c r="FMI195" s="56"/>
      <c r="FMJ195" s="56"/>
      <c r="FMK195" s="56"/>
      <c r="FML195" s="56"/>
      <c r="FMM195" s="56"/>
      <c r="FMN195" s="56"/>
      <c r="FMO195" s="56"/>
      <c r="FMP195" s="56"/>
      <c r="FMQ195" s="56"/>
      <c r="FMR195" s="56"/>
      <c r="FMS195" s="56"/>
      <c r="FMT195" s="56"/>
      <c r="FMU195" s="56"/>
      <c r="FMV195" s="56"/>
      <c r="FMW195" s="56"/>
      <c r="FMX195" s="56"/>
      <c r="FMY195" s="56"/>
      <c r="FMZ195" s="56"/>
      <c r="FNA195" s="56"/>
      <c r="FNB195" s="56"/>
      <c r="FNC195" s="56"/>
      <c r="FND195" s="56"/>
      <c r="FNE195" s="56"/>
      <c r="FNF195" s="56"/>
      <c r="FNG195" s="56"/>
      <c r="FNH195" s="56"/>
      <c r="FNI195" s="56"/>
      <c r="FNJ195" s="56"/>
      <c r="FNK195" s="56"/>
      <c r="FNL195" s="56"/>
      <c r="FNM195" s="56"/>
      <c r="FNN195" s="56"/>
      <c r="FNO195" s="56"/>
      <c r="FNP195" s="56"/>
      <c r="FNQ195" s="56"/>
      <c r="FNR195" s="56"/>
      <c r="FNS195" s="56"/>
      <c r="FNT195" s="56"/>
      <c r="FNU195" s="56"/>
      <c r="FNV195" s="56"/>
      <c r="FNW195" s="56"/>
      <c r="FNX195" s="56"/>
      <c r="FNY195" s="56"/>
      <c r="FNZ195" s="56"/>
      <c r="FOA195" s="56"/>
      <c r="FOB195" s="56"/>
      <c r="FOC195" s="56"/>
      <c r="FOD195" s="56"/>
      <c r="FOE195" s="56"/>
      <c r="FOF195" s="56"/>
      <c r="FOG195" s="56"/>
      <c r="FOH195" s="56"/>
      <c r="FOI195" s="56"/>
      <c r="FOJ195" s="56"/>
      <c r="FOK195" s="56"/>
      <c r="FOL195" s="56"/>
      <c r="FOM195" s="56"/>
      <c r="FON195" s="56"/>
      <c r="FOO195" s="56"/>
      <c r="FOP195" s="56"/>
      <c r="FOQ195" s="56"/>
      <c r="FOR195" s="56"/>
      <c r="FOS195" s="56"/>
      <c r="FOT195" s="56"/>
      <c r="FOU195" s="56"/>
      <c r="FOV195" s="56"/>
      <c r="FOW195" s="56"/>
      <c r="FOX195" s="56"/>
      <c r="FOY195" s="56"/>
      <c r="FOZ195" s="56"/>
      <c r="FPA195" s="56"/>
      <c r="FPB195" s="56"/>
      <c r="FPC195" s="56"/>
      <c r="FPD195" s="56"/>
      <c r="FPE195" s="56"/>
      <c r="FPF195" s="56"/>
      <c r="FPG195" s="56"/>
      <c r="FPH195" s="56"/>
      <c r="FPI195" s="56"/>
      <c r="FPJ195" s="56"/>
      <c r="FPK195" s="56"/>
      <c r="FPL195" s="56"/>
      <c r="FPM195" s="56"/>
      <c r="FPN195" s="56"/>
      <c r="FPO195" s="56"/>
      <c r="FPP195" s="56"/>
      <c r="FPQ195" s="56"/>
      <c r="FPR195" s="56"/>
      <c r="FPS195" s="56"/>
      <c r="FPT195" s="56"/>
      <c r="FPU195" s="56"/>
      <c r="FPV195" s="56"/>
      <c r="FPW195" s="56"/>
      <c r="FPX195" s="56"/>
      <c r="FPY195" s="56"/>
      <c r="FPZ195" s="56"/>
      <c r="FQA195" s="56"/>
      <c r="FQB195" s="56"/>
      <c r="FQC195" s="56"/>
      <c r="FQD195" s="56"/>
      <c r="FQE195" s="56"/>
      <c r="FQF195" s="56"/>
      <c r="FQG195" s="56"/>
      <c r="FQH195" s="56"/>
      <c r="FQI195" s="56"/>
      <c r="FQJ195" s="56"/>
      <c r="FQK195" s="56"/>
      <c r="FQL195" s="56"/>
      <c r="FQM195" s="56"/>
      <c r="FQN195" s="56"/>
      <c r="FQO195" s="56"/>
      <c r="FQP195" s="56"/>
      <c r="FQQ195" s="56"/>
      <c r="FQR195" s="56"/>
      <c r="FQS195" s="56"/>
      <c r="FQT195" s="56"/>
      <c r="FQU195" s="56"/>
      <c r="FQV195" s="56"/>
      <c r="FQW195" s="56"/>
      <c r="FQX195" s="56"/>
      <c r="FQY195" s="56"/>
      <c r="FQZ195" s="56"/>
      <c r="FRA195" s="56"/>
      <c r="FRB195" s="56"/>
      <c r="FRC195" s="56"/>
      <c r="FRD195" s="56"/>
      <c r="FRE195" s="56"/>
      <c r="FRF195" s="56"/>
      <c r="FRG195" s="56"/>
      <c r="FRH195" s="56"/>
      <c r="FRI195" s="56"/>
      <c r="FRJ195" s="56"/>
      <c r="FRK195" s="56"/>
      <c r="FRL195" s="56"/>
      <c r="FRM195" s="56"/>
      <c r="FRN195" s="56"/>
      <c r="FRO195" s="56"/>
      <c r="FRP195" s="56"/>
      <c r="FRQ195" s="56"/>
      <c r="FRR195" s="56"/>
      <c r="FRS195" s="56"/>
      <c r="FRT195" s="56"/>
      <c r="FRU195" s="56"/>
      <c r="FRV195" s="56"/>
      <c r="FRW195" s="56"/>
      <c r="FRX195" s="56"/>
      <c r="FRY195" s="56"/>
      <c r="FRZ195" s="56"/>
      <c r="FSA195" s="56"/>
      <c r="FSB195" s="56"/>
      <c r="FSC195" s="56"/>
      <c r="FSD195" s="56"/>
      <c r="FSE195" s="56"/>
      <c r="FSF195" s="56"/>
      <c r="FSG195" s="56"/>
      <c r="FSH195" s="56"/>
      <c r="FSI195" s="56"/>
      <c r="FSJ195" s="56"/>
      <c r="FSK195" s="56"/>
      <c r="FSL195" s="56"/>
      <c r="FSM195" s="56"/>
      <c r="FSN195" s="56"/>
      <c r="FSO195" s="56"/>
      <c r="FSP195" s="56"/>
      <c r="FSQ195" s="56"/>
      <c r="FSR195" s="56"/>
      <c r="FSS195" s="56"/>
      <c r="FST195" s="56"/>
      <c r="FSU195" s="56"/>
      <c r="FSV195" s="56"/>
      <c r="FSW195" s="56"/>
      <c r="FSX195" s="56"/>
      <c r="FSY195" s="56"/>
      <c r="FSZ195" s="56"/>
      <c r="FTA195" s="56"/>
      <c r="FTB195" s="56"/>
      <c r="FTC195" s="56"/>
      <c r="FTD195" s="56"/>
      <c r="FTE195" s="56"/>
      <c r="FTF195" s="56"/>
      <c r="FTG195" s="56"/>
      <c r="FTH195" s="56"/>
      <c r="FTI195" s="56"/>
      <c r="FTJ195" s="56"/>
      <c r="FTK195" s="56"/>
      <c r="FTL195" s="56"/>
      <c r="FTM195" s="56"/>
      <c r="FTN195" s="56"/>
      <c r="FTO195" s="56"/>
      <c r="FTP195" s="56"/>
      <c r="FTQ195" s="56"/>
      <c r="FTR195" s="56"/>
      <c r="FTS195" s="56"/>
      <c r="FTT195" s="56"/>
      <c r="FTU195" s="56"/>
      <c r="FTV195" s="56"/>
      <c r="FTW195" s="56"/>
      <c r="FTX195" s="56"/>
      <c r="FTY195" s="56"/>
      <c r="FTZ195" s="56"/>
      <c r="FUA195" s="56"/>
      <c r="FUB195" s="56"/>
      <c r="FUC195" s="56"/>
      <c r="FUD195" s="56"/>
      <c r="FUE195" s="56"/>
      <c r="FUF195" s="56"/>
      <c r="FUG195" s="56"/>
      <c r="FUH195" s="56"/>
      <c r="FUI195" s="56"/>
      <c r="FUJ195" s="56"/>
      <c r="FUK195" s="56"/>
      <c r="FUL195" s="56"/>
      <c r="FUM195" s="56"/>
      <c r="FUN195" s="56"/>
      <c r="FUO195" s="56"/>
      <c r="FUP195" s="56"/>
      <c r="FUQ195" s="56"/>
      <c r="FUR195" s="56"/>
      <c r="FUS195" s="56"/>
      <c r="FUT195" s="56"/>
      <c r="FUU195" s="56"/>
      <c r="FUV195" s="56"/>
      <c r="FUW195" s="56"/>
      <c r="FUX195" s="56"/>
      <c r="FUY195" s="56"/>
      <c r="FUZ195" s="56"/>
      <c r="FVA195" s="56"/>
      <c r="FVB195" s="56"/>
      <c r="FVC195" s="56"/>
      <c r="FVD195" s="56"/>
      <c r="FVE195" s="56"/>
      <c r="FVF195" s="56"/>
      <c r="FVG195" s="56"/>
      <c r="FVH195" s="56"/>
      <c r="FVI195" s="56"/>
      <c r="FVJ195" s="56"/>
      <c r="FVK195" s="56"/>
      <c r="FVL195" s="56"/>
      <c r="FVM195" s="56"/>
      <c r="FVN195" s="56"/>
      <c r="FVO195" s="56"/>
      <c r="FVP195" s="56"/>
      <c r="FVQ195" s="56"/>
      <c r="FVR195" s="56"/>
      <c r="FVS195" s="56"/>
      <c r="FVT195" s="56"/>
      <c r="FVU195" s="56"/>
      <c r="FVV195" s="56"/>
      <c r="FVW195" s="56"/>
      <c r="FVX195" s="56"/>
      <c r="FVY195" s="56"/>
      <c r="FVZ195" s="56"/>
      <c r="FWA195" s="56"/>
      <c r="FWB195" s="56"/>
      <c r="FWC195" s="56"/>
      <c r="FWD195" s="56"/>
      <c r="FWE195" s="56"/>
      <c r="FWF195" s="56"/>
      <c r="FWG195" s="56"/>
      <c r="FWH195" s="56"/>
      <c r="FWI195" s="56"/>
      <c r="FWJ195" s="56"/>
      <c r="FWK195" s="56"/>
      <c r="FWL195" s="56"/>
      <c r="FWM195" s="56"/>
      <c r="FWN195" s="56"/>
      <c r="FWO195" s="56"/>
      <c r="FWP195" s="56"/>
      <c r="FWQ195" s="56"/>
      <c r="FWR195" s="56"/>
      <c r="FWS195" s="56"/>
      <c r="FWT195" s="56"/>
      <c r="FWU195" s="56"/>
      <c r="FWV195" s="56"/>
      <c r="FWW195" s="56"/>
      <c r="FWX195" s="56"/>
      <c r="FWY195" s="56"/>
      <c r="FWZ195" s="56"/>
      <c r="FXA195" s="56"/>
      <c r="FXB195" s="56"/>
      <c r="FXC195" s="56"/>
      <c r="FXD195" s="56"/>
      <c r="FXE195" s="56"/>
      <c r="FXF195" s="56"/>
      <c r="FXG195" s="56"/>
      <c r="FXH195" s="56"/>
      <c r="FXI195" s="56"/>
      <c r="FXJ195" s="56"/>
      <c r="FXK195" s="56"/>
      <c r="FXL195" s="56"/>
      <c r="FXM195" s="56"/>
      <c r="FXN195" s="56"/>
      <c r="FXO195" s="56"/>
      <c r="FXP195" s="56"/>
      <c r="FXQ195" s="56"/>
      <c r="FXR195" s="56"/>
      <c r="FXS195" s="56"/>
      <c r="FXT195" s="56"/>
      <c r="FXU195" s="56"/>
      <c r="FXV195" s="56"/>
      <c r="FXW195" s="56"/>
      <c r="FXX195" s="56"/>
      <c r="FXY195" s="56"/>
      <c r="FXZ195" s="56"/>
      <c r="FYA195" s="56"/>
      <c r="FYB195" s="56"/>
      <c r="FYC195" s="56"/>
      <c r="FYD195" s="56"/>
      <c r="FYE195" s="56"/>
      <c r="FYF195" s="56"/>
      <c r="FYG195" s="56"/>
      <c r="FYH195" s="56"/>
      <c r="FYI195" s="56"/>
      <c r="FYJ195" s="56"/>
      <c r="FYK195" s="56"/>
      <c r="FYL195" s="56"/>
      <c r="FYM195" s="56"/>
      <c r="FYN195" s="56"/>
      <c r="FYO195" s="56"/>
      <c r="FYP195" s="56"/>
      <c r="FYQ195" s="56"/>
      <c r="FYR195" s="56"/>
      <c r="FYS195" s="56"/>
      <c r="FYT195" s="56"/>
      <c r="FYU195" s="56"/>
      <c r="FYV195" s="56"/>
      <c r="FYW195" s="56"/>
      <c r="FYX195" s="56"/>
      <c r="FYY195" s="56"/>
      <c r="FYZ195" s="56"/>
      <c r="FZA195" s="56"/>
      <c r="FZB195" s="56"/>
      <c r="FZC195" s="56"/>
      <c r="FZD195" s="56"/>
      <c r="FZE195" s="56"/>
      <c r="FZF195" s="56"/>
      <c r="FZG195" s="56"/>
      <c r="FZH195" s="56"/>
      <c r="FZI195" s="56"/>
      <c r="FZJ195" s="56"/>
      <c r="FZK195" s="56"/>
      <c r="FZL195" s="56"/>
      <c r="FZM195" s="56"/>
      <c r="FZN195" s="56"/>
      <c r="FZO195" s="56"/>
      <c r="FZP195" s="56"/>
      <c r="FZQ195" s="56"/>
      <c r="FZR195" s="56"/>
      <c r="FZS195" s="56"/>
      <c r="FZT195" s="56"/>
      <c r="FZU195" s="56"/>
      <c r="FZV195" s="56"/>
      <c r="FZW195" s="56"/>
      <c r="FZX195" s="56"/>
      <c r="FZY195" s="56"/>
      <c r="FZZ195" s="56"/>
      <c r="GAA195" s="56"/>
      <c r="GAB195" s="56"/>
      <c r="GAC195" s="56"/>
      <c r="GAD195" s="56"/>
      <c r="GAE195" s="56"/>
      <c r="GAF195" s="56"/>
      <c r="GAG195" s="56"/>
      <c r="GAH195" s="56"/>
      <c r="GAI195" s="56"/>
      <c r="GAJ195" s="56"/>
      <c r="GAK195" s="56"/>
      <c r="GAL195" s="56"/>
      <c r="GAM195" s="56"/>
      <c r="GAN195" s="56"/>
      <c r="GAO195" s="56"/>
      <c r="GAP195" s="56"/>
      <c r="GAQ195" s="56"/>
      <c r="GAR195" s="56"/>
      <c r="GAS195" s="56"/>
      <c r="GAT195" s="56"/>
      <c r="GAU195" s="56"/>
      <c r="GAV195" s="56"/>
      <c r="GAW195" s="56"/>
      <c r="GAX195" s="56"/>
      <c r="GAY195" s="56"/>
      <c r="GAZ195" s="56"/>
      <c r="GBA195" s="56"/>
      <c r="GBB195" s="56"/>
      <c r="GBC195" s="56"/>
      <c r="GBD195" s="56"/>
      <c r="GBE195" s="56"/>
      <c r="GBF195" s="56"/>
      <c r="GBG195" s="56"/>
      <c r="GBH195" s="56"/>
      <c r="GBI195" s="56"/>
      <c r="GBJ195" s="56"/>
      <c r="GBK195" s="56"/>
      <c r="GBL195" s="56"/>
      <c r="GBM195" s="56"/>
      <c r="GBN195" s="56"/>
      <c r="GBO195" s="56"/>
      <c r="GBP195" s="56"/>
      <c r="GBQ195" s="56"/>
      <c r="GBR195" s="56"/>
      <c r="GBS195" s="56"/>
      <c r="GBT195" s="56"/>
      <c r="GBU195" s="56"/>
      <c r="GBV195" s="56"/>
      <c r="GBW195" s="56"/>
      <c r="GBX195" s="56"/>
      <c r="GBY195" s="56"/>
      <c r="GBZ195" s="56"/>
      <c r="GCA195" s="56"/>
      <c r="GCB195" s="56"/>
      <c r="GCC195" s="56"/>
      <c r="GCD195" s="56"/>
      <c r="GCE195" s="56"/>
      <c r="GCF195" s="56"/>
      <c r="GCG195" s="56"/>
      <c r="GCH195" s="56"/>
      <c r="GCI195" s="56"/>
      <c r="GCJ195" s="56"/>
      <c r="GCK195" s="56"/>
      <c r="GCL195" s="56"/>
      <c r="GCM195" s="56"/>
      <c r="GCN195" s="56"/>
      <c r="GCO195" s="56"/>
      <c r="GCP195" s="56"/>
      <c r="GCQ195" s="56"/>
      <c r="GCR195" s="56"/>
      <c r="GCS195" s="56"/>
      <c r="GCT195" s="56"/>
      <c r="GCU195" s="56"/>
      <c r="GCV195" s="56"/>
      <c r="GCW195" s="56"/>
      <c r="GCX195" s="56"/>
      <c r="GCY195" s="56"/>
      <c r="GCZ195" s="56"/>
      <c r="GDA195" s="56"/>
      <c r="GDB195" s="56"/>
      <c r="GDC195" s="56"/>
      <c r="GDD195" s="56"/>
      <c r="GDE195" s="56"/>
      <c r="GDF195" s="56"/>
      <c r="GDG195" s="56"/>
      <c r="GDH195" s="56"/>
      <c r="GDI195" s="56"/>
      <c r="GDJ195" s="56"/>
      <c r="GDK195" s="56"/>
      <c r="GDL195" s="56"/>
      <c r="GDM195" s="56"/>
      <c r="GDN195" s="56"/>
      <c r="GDO195" s="56"/>
      <c r="GDP195" s="56"/>
      <c r="GDQ195" s="56"/>
      <c r="GDR195" s="56"/>
      <c r="GDS195" s="56"/>
      <c r="GDT195" s="56"/>
      <c r="GDU195" s="56"/>
      <c r="GDV195" s="56"/>
      <c r="GDW195" s="56"/>
      <c r="GDX195" s="56"/>
      <c r="GDY195" s="56"/>
      <c r="GDZ195" s="56"/>
      <c r="GEA195" s="56"/>
      <c r="GEB195" s="56"/>
      <c r="GEC195" s="56"/>
      <c r="GED195" s="56"/>
      <c r="GEE195" s="56"/>
      <c r="GEF195" s="56"/>
      <c r="GEG195" s="56"/>
      <c r="GEH195" s="56"/>
      <c r="GEI195" s="56"/>
      <c r="GEJ195" s="56"/>
      <c r="GEK195" s="56"/>
      <c r="GEL195" s="56"/>
      <c r="GEM195" s="56"/>
      <c r="GEN195" s="56"/>
      <c r="GEO195" s="56"/>
      <c r="GEP195" s="56"/>
      <c r="GEQ195" s="56"/>
      <c r="GER195" s="56"/>
      <c r="GES195" s="56"/>
      <c r="GET195" s="56"/>
      <c r="GEU195" s="56"/>
      <c r="GEV195" s="56"/>
      <c r="GEW195" s="56"/>
      <c r="GEX195" s="56"/>
      <c r="GEY195" s="56"/>
      <c r="GEZ195" s="56"/>
      <c r="GFA195" s="56"/>
      <c r="GFB195" s="56"/>
      <c r="GFC195" s="56"/>
      <c r="GFD195" s="56"/>
      <c r="GFE195" s="56"/>
      <c r="GFF195" s="56"/>
      <c r="GFG195" s="56"/>
      <c r="GFH195" s="56"/>
      <c r="GFI195" s="56"/>
      <c r="GFJ195" s="56"/>
      <c r="GFK195" s="56"/>
      <c r="GFL195" s="56"/>
      <c r="GFM195" s="56"/>
      <c r="GFN195" s="56"/>
      <c r="GFO195" s="56"/>
      <c r="GFP195" s="56"/>
      <c r="GFQ195" s="56"/>
      <c r="GFR195" s="56"/>
      <c r="GFS195" s="56"/>
      <c r="GFT195" s="56"/>
      <c r="GFU195" s="56"/>
      <c r="GFV195" s="56"/>
      <c r="GFW195" s="56"/>
      <c r="GFX195" s="56"/>
      <c r="GFY195" s="56"/>
      <c r="GFZ195" s="56"/>
      <c r="GGA195" s="56"/>
      <c r="GGB195" s="56"/>
      <c r="GGC195" s="56"/>
      <c r="GGD195" s="56"/>
      <c r="GGE195" s="56"/>
      <c r="GGF195" s="56"/>
      <c r="GGG195" s="56"/>
      <c r="GGH195" s="56"/>
      <c r="GGI195" s="56"/>
      <c r="GGJ195" s="56"/>
      <c r="GGK195" s="56"/>
      <c r="GGL195" s="56"/>
      <c r="GGM195" s="56"/>
      <c r="GGN195" s="56"/>
      <c r="GGO195" s="56"/>
      <c r="GGP195" s="56"/>
      <c r="GGQ195" s="56"/>
      <c r="GGR195" s="56"/>
      <c r="GGS195" s="56"/>
      <c r="GGT195" s="56"/>
      <c r="GGU195" s="56"/>
      <c r="GGV195" s="56"/>
      <c r="GGW195" s="56"/>
      <c r="GGX195" s="56"/>
      <c r="GGY195" s="56"/>
      <c r="GGZ195" s="56"/>
      <c r="GHA195" s="56"/>
      <c r="GHB195" s="56"/>
      <c r="GHC195" s="56"/>
      <c r="GHD195" s="56"/>
      <c r="GHE195" s="56"/>
      <c r="GHF195" s="56"/>
      <c r="GHG195" s="56"/>
      <c r="GHH195" s="56"/>
      <c r="GHI195" s="56"/>
      <c r="GHJ195" s="56"/>
      <c r="GHK195" s="56"/>
      <c r="GHL195" s="56"/>
      <c r="GHM195" s="56"/>
      <c r="GHN195" s="56"/>
      <c r="GHO195" s="56"/>
      <c r="GHP195" s="56"/>
      <c r="GHQ195" s="56"/>
      <c r="GHR195" s="56"/>
      <c r="GHS195" s="56"/>
      <c r="GHT195" s="56"/>
      <c r="GHU195" s="56"/>
      <c r="GHV195" s="56"/>
      <c r="GHW195" s="56"/>
      <c r="GHX195" s="56"/>
      <c r="GHY195" s="56"/>
      <c r="GHZ195" s="56"/>
      <c r="GIA195" s="56"/>
      <c r="GIB195" s="56"/>
      <c r="GIC195" s="56"/>
      <c r="GID195" s="56"/>
      <c r="GIE195" s="56"/>
      <c r="GIF195" s="56"/>
      <c r="GIG195" s="56"/>
      <c r="GIH195" s="56"/>
      <c r="GII195" s="56"/>
      <c r="GIJ195" s="56"/>
      <c r="GIK195" s="56"/>
      <c r="GIL195" s="56"/>
      <c r="GIM195" s="56"/>
      <c r="GIN195" s="56"/>
      <c r="GIO195" s="56"/>
      <c r="GIP195" s="56"/>
      <c r="GIQ195" s="56"/>
      <c r="GIR195" s="56"/>
      <c r="GIS195" s="56"/>
      <c r="GIT195" s="56"/>
      <c r="GIU195" s="56"/>
      <c r="GIV195" s="56"/>
      <c r="GIW195" s="56"/>
      <c r="GIX195" s="56"/>
      <c r="GIY195" s="56"/>
      <c r="GIZ195" s="56"/>
      <c r="GJA195" s="56"/>
      <c r="GJB195" s="56"/>
      <c r="GJC195" s="56"/>
      <c r="GJD195" s="56"/>
      <c r="GJE195" s="56"/>
      <c r="GJF195" s="56"/>
      <c r="GJG195" s="56"/>
      <c r="GJH195" s="56"/>
      <c r="GJI195" s="56"/>
      <c r="GJJ195" s="56"/>
      <c r="GJK195" s="56"/>
      <c r="GJL195" s="56"/>
      <c r="GJM195" s="56"/>
      <c r="GJN195" s="56"/>
      <c r="GJO195" s="56"/>
      <c r="GJP195" s="56"/>
      <c r="GJQ195" s="56"/>
      <c r="GJR195" s="56"/>
      <c r="GJS195" s="56"/>
      <c r="GJT195" s="56"/>
      <c r="GJU195" s="56"/>
      <c r="GJV195" s="56"/>
      <c r="GJW195" s="56"/>
      <c r="GJX195" s="56"/>
      <c r="GJY195" s="56"/>
      <c r="GJZ195" s="56"/>
      <c r="GKA195" s="56"/>
      <c r="GKB195" s="56"/>
      <c r="GKC195" s="56"/>
      <c r="GKD195" s="56"/>
      <c r="GKE195" s="56"/>
      <c r="GKF195" s="56"/>
      <c r="GKG195" s="56"/>
      <c r="GKH195" s="56"/>
      <c r="GKI195" s="56"/>
      <c r="GKJ195" s="56"/>
      <c r="GKK195" s="56"/>
      <c r="GKL195" s="56"/>
      <c r="GKM195" s="56"/>
      <c r="GKN195" s="56"/>
      <c r="GKO195" s="56"/>
      <c r="GKP195" s="56"/>
      <c r="GKQ195" s="56"/>
      <c r="GKR195" s="56"/>
      <c r="GKS195" s="56"/>
      <c r="GKT195" s="56"/>
      <c r="GKU195" s="56"/>
      <c r="GKV195" s="56"/>
      <c r="GKW195" s="56"/>
      <c r="GKX195" s="56"/>
      <c r="GKY195" s="56"/>
      <c r="GKZ195" s="56"/>
      <c r="GLA195" s="56"/>
      <c r="GLB195" s="56"/>
      <c r="GLC195" s="56"/>
      <c r="GLD195" s="56"/>
      <c r="GLE195" s="56"/>
      <c r="GLF195" s="56"/>
      <c r="GLG195" s="56"/>
      <c r="GLH195" s="56"/>
      <c r="GLI195" s="56"/>
      <c r="GLJ195" s="56"/>
      <c r="GLK195" s="56"/>
      <c r="GLL195" s="56"/>
      <c r="GLM195" s="56"/>
      <c r="GLN195" s="56"/>
      <c r="GLO195" s="56"/>
      <c r="GLP195" s="56"/>
      <c r="GLQ195" s="56"/>
      <c r="GLR195" s="56"/>
      <c r="GLS195" s="56"/>
      <c r="GLT195" s="56"/>
      <c r="GLU195" s="56"/>
      <c r="GLV195" s="56"/>
      <c r="GLW195" s="56"/>
      <c r="GLX195" s="56"/>
      <c r="GLY195" s="56"/>
      <c r="GLZ195" s="56"/>
      <c r="GMA195" s="56"/>
      <c r="GMB195" s="56"/>
      <c r="GMC195" s="56"/>
      <c r="GMD195" s="56"/>
      <c r="GME195" s="56"/>
      <c r="GMF195" s="56"/>
      <c r="GMG195" s="56"/>
      <c r="GMH195" s="56"/>
      <c r="GMI195" s="56"/>
      <c r="GMJ195" s="56"/>
      <c r="GMK195" s="56"/>
      <c r="GML195" s="56"/>
      <c r="GMM195" s="56"/>
      <c r="GMN195" s="56"/>
      <c r="GMO195" s="56"/>
      <c r="GMP195" s="56"/>
      <c r="GMQ195" s="56"/>
      <c r="GMR195" s="56"/>
      <c r="GMS195" s="56"/>
      <c r="GMT195" s="56"/>
      <c r="GMU195" s="56"/>
      <c r="GMV195" s="56"/>
      <c r="GMW195" s="56"/>
      <c r="GMX195" s="56"/>
      <c r="GMY195" s="56"/>
      <c r="GMZ195" s="56"/>
      <c r="GNA195" s="56"/>
      <c r="GNB195" s="56"/>
      <c r="GNC195" s="56"/>
      <c r="GND195" s="56"/>
      <c r="GNE195" s="56"/>
      <c r="GNF195" s="56"/>
      <c r="GNG195" s="56"/>
      <c r="GNH195" s="56"/>
      <c r="GNI195" s="56"/>
      <c r="GNJ195" s="56"/>
      <c r="GNK195" s="56"/>
      <c r="GNL195" s="56"/>
      <c r="GNM195" s="56"/>
      <c r="GNN195" s="56"/>
      <c r="GNO195" s="56"/>
      <c r="GNP195" s="56"/>
      <c r="GNQ195" s="56"/>
      <c r="GNR195" s="56"/>
      <c r="GNS195" s="56"/>
      <c r="GNT195" s="56"/>
      <c r="GNU195" s="56"/>
      <c r="GNV195" s="56"/>
      <c r="GNW195" s="56"/>
      <c r="GNX195" s="56"/>
      <c r="GNY195" s="56"/>
      <c r="GNZ195" s="56"/>
      <c r="GOA195" s="56"/>
      <c r="GOB195" s="56"/>
      <c r="GOC195" s="56"/>
      <c r="GOD195" s="56"/>
      <c r="GOE195" s="56"/>
      <c r="GOF195" s="56"/>
      <c r="GOG195" s="56"/>
      <c r="GOH195" s="56"/>
      <c r="GOI195" s="56"/>
      <c r="GOJ195" s="56"/>
      <c r="GOK195" s="56"/>
      <c r="GOL195" s="56"/>
      <c r="GOM195" s="56"/>
      <c r="GON195" s="56"/>
      <c r="GOO195" s="56"/>
      <c r="GOP195" s="56"/>
      <c r="GOQ195" s="56"/>
      <c r="GOR195" s="56"/>
      <c r="GOS195" s="56"/>
      <c r="GOT195" s="56"/>
      <c r="GOU195" s="56"/>
      <c r="GOV195" s="56"/>
      <c r="GOW195" s="56"/>
      <c r="GOX195" s="56"/>
      <c r="GOY195" s="56"/>
      <c r="GOZ195" s="56"/>
      <c r="GPA195" s="56"/>
      <c r="GPB195" s="56"/>
      <c r="GPC195" s="56"/>
      <c r="GPD195" s="56"/>
      <c r="GPE195" s="56"/>
      <c r="GPF195" s="56"/>
      <c r="GPG195" s="56"/>
      <c r="GPH195" s="56"/>
      <c r="GPI195" s="56"/>
      <c r="GPJ195" s="56"/>
      <c r="GPK195" s="56"/>
      <c r="GPL195" s="56"/>
      <c r="GPM195" s="56"/>
      <c r="GPN195" s="56"/>
      <c r="GPO195" s="56"/>
      <c r="GPP195" s="56"/>
      <c r="GPQ195" s="56"/>
      <c r="GPR195" s="56"/>
      <c r="GPS195" s="56"/>
      <c r="GPT195" s="56"/>
      <c r="GPU195" s="56"/>
      <c r="GPV195" s="56"/>
      <c r="GPW195" s="56"/>
      <c r="GPX195" s="56"/>
      <c r="GPY195" s="56"/>
      <c r="GPZ195" s="56"/>
      <c r="GQA195" s="56"/>
      <c r="GQB195" s="56"/>
      <c r="GQC195" s="56"/>
      <c r="GQD195" s="56"/>
      <c r="GQE195" s="56"/>
      <c r="GQF195" s="56"/>
      <c r="GQG195" s="56"/>
      <c r="GQH195" s="56"/>
      <c r="GQI195" s="56"/>
      <c r="GQJ195" s="56"/>
      <c r="GQK195" s="56"/>
      <c r="GQL195" s="56"/>
      <c r="GQM195" s="56"/>
      <c r="GQN195" s="56"/>
      <c r="GQO195" s="56"/>
      <c r="GQP195" s="56"/>
      <c r="GQQ195" s="56"/>
      <c r="GQR195" s="56"/>
      <c r="GQS195" s="56"/>
      <c r="GQT195" s="56"/>
      <c r="GQU195" s="56"/>
      <c r="GQV195" s="56"/>
      <c r="GQW195" s="56"/>
      <c r="GQX195" s="56"/>
      <c r="GQY195" s="56"/>
      <c r="GQZ195" s="56"/>
      <c r="GRA195" s="56"/>
      <c r="GRB195" s="56"/>
      <c r="GRC195" s="56"/>
      <c r="GRD195" s="56"/>
      <c r="GRE195" s="56"/>
      <c r="GRF195" s="56"/>
      <c r="GRG195" s="56"/>
      <c r="GRH195" s="56"/>
      <c r="GRI195" s="56"/>
      <c r="GRJ195" s="56"/>
      <c r="GRK195" s="56"/>
      <c r="GRL195" s="56"/>
      <c r="GRM195" s="56"/>
      <c r="GRN195" s="56"/>
      <c r="GRO195" s="56"/>
      <c r="GRP195" s="56"/>
      <c r="GRQ195" s="56"/>
      <c r="GRR195" s="56"/>
      <c r="GRS195" s="56"/>
      <c r="GRT195" s="56"/>
      <c r="GRU195" s="56"/>
      <c r="GRV195" s="56"/>
      <c r="GRW195" s="56"/>
      <c r="GRX195" s="56"/>
      <c r="GRY195" s="56"/>
      <c r="GRZ195" s="56"/>
      <c r="GSA195" s="56"/>
      <c r="GSB195" s="56"/>
      <c r="GSC195" s="56"/>
      <c r="GSD195" s="56"/>
      <c r="GSE195" s="56"/>
      <c r="GSF195" s="56"/>
      <c r="GSG195" s="56"/>
      <c r="GSH195" s="56"/>
      <c r="GSI195" s="56"/>
      <c r="GSJ195" s="56"/>
      <c r="GSK195" s="56"/>
      <c r="GSL195" s="56"/>
      <c r="GSM195" s="56"/>
      <c r="GSN195" s="56"/>
      <c r="GSO195" s="56"/>
      <c r="GSP195" s="56"/>
      <c r="GSQ195" s="56"/>
      <c r="GSR195" s="56"/>
      <c r="GSS195" s="56"/>
      <c r="GST195" s="56"/>
      <c r="GSU195" s="56"/>
      <c r="GSV195" s="56"/>
      <c r="GSW195" s="56"/>
      <c r="GSX195" s="56"/>
      <c r="GSY195" s="56"/>
      <c r="GSZ195" s="56"/>
      <c r="GTA195" s="56"/>
      <c r="GTB195" s="56"/>
      <c r="GTC195" s="56"/>
      <c r="GTD195" s="56"/>
      <c r="GTE195" s="56"/>
      <c r="GTF195" s="56"/>
      <c r="GTG195" s="56"/>
      <c r="GTH195" s="56"/>
      <c r="GTI195" s="56"/>
      <c r="GTJ195" s="56"/>
      <c r="GTK195" s="56"/>
      <c r="GTL195" s="56"/>
      <c r="GTM195" s="56"/>
      <c r="GTN195" s="56"/>
      <c r="GTO195" s="56"/>
      <c r="GTP195" s="56"/>
      <c r="GTQ195" s="56"/>
      <c r="GTR195" s="56"/>
      <c r="GTS195" s="56"/>
      <c r="GTT195" s="56"/>
      <c r="GTU195" s="56"/>
      <c r="GTV195" s="56"/>
      <c r="GTW195" s="56"/>
      <c r="GTX195" s="56"/>
      <c r="GTY195" s="56"/>
      <c r="GTZ195" s="56"/>
      <c r="GUA195" s="56"/>
      <c r="GUB195" s="56"/>
      <c r="GUC195" s="56"/>
      <c r="GUD195" s="56"/>
      <c r="GUE195" s="56"/>
      <c r="GUF195" s="56"/>
      <c r="GUG195" s="56"/>
      <c r="GUH195" s="56"/>
      <c r="GUI195" s="56"/>
      <c r="GUJ195" s="56"/>
      <c r="GUK195" s="56"/>
      <c r="GUL195" s="56"/>
      <c r="GUM195" s="56"/>
      <c r="GUN195" s="56"/>
      <c r="GUO195" s="56"/>
      <c r="GUP195" s="56"/>
      <c r="GUQ195" s="56"/>
      <c r="GUR195" s="56"/>
      <c r="GUS195" s="56"/>
      <c r="GUT195" s="56"/>
      <c r="GUU195" s="56"/>
      <c r="GUV195" s="56"/>
      <c r="GUW195" s="56"/>
      <c r="GUX195" s="56"/>
      <c r="GUY195" s="56"/>
      <c r="GUZ195" s="56"/>
      <c r="GVA195" s="56"/>
      <c r="GVB195" s="56"/>
      <c r="GVC195" s="56"/>
      <c r="GVD195" s="56"/>
      <c r="GVE195" s="56"/>
      <c r="GVF195" s="56"/>
      <c r="GVG195" s="56"/>
      <c r="GVH195" s="56"/>
      <c r="GVI195" s="56"/>
      <c r="GVJ195" s="56"/>
      <c r="GVK195" s="56"/>
      <c r="GVL195" s="56"/>
      <c r="GVM195" s="56"/>
      <c r="GVN195" s="56"/>
      <c r="GVO195" s="56"/>
      <c r="GVP195" s="56"/>
      <c r="GVQ195" s="56"/>
      <c r="GVR195" s="56"/>
      <c r="GVS195" s="56"/>
      <c r="GVT195" s="56"/>
      <c r="GVU195" s="56"/>
      <c r="GVV195" s="56"/>
      <c r="GVW195" s="56"/>
      <c r="GVX195" s="56"/>
      <c r="GVY195" s="56"/>
      <c r="GVZ195" s="56"/>
      <c r="GWA195" s="56"/>
      <c r="GWB195" s="56"/>
      <c r="GWC195" s="56"/>
      <c r="GWD195" s="56"/>
      <c r="GWE195" s="56"/>
      <c r="GWF195" s="56"/>
      <c r="GWG195" s="56"/>
      <c r="GWH195" s="56"/>
      <c r="GWI195" s="56"/>
      <c r="GWJ195" s="56"/>
      <c r="GWK195" s="56"/>
      <c r="GWL195" s="56"/>
      <c r="GWM195" s="56"/>
      <c r="GWN195" s="56"/>
      <c r="GWO195" s="56"/>
      <c r="GWP195" s="56"/>
      <c r="GWQ195" s="56"/>
      <c r="GWR195" s="56"/>
      <c r="GWS195" s="56"/>
      <c r="GWT195" s="56"/>
      <c r="GWU195" s="56"/>
      <c r="GWV195" s="56"/>
      <c r="GWW195" s="56"/>
      <c r="GWX195" s="56"/>
      <c r="GWY195" s="56"/>
      <c r="GWZ195" s="56"/>
      <c r="GXA195" s="56"/>
      <c r="GXB195" s="56"/>
      <c r="GXC195" s="56"/>
      <c r="GXD195" s="56"/>
      <c r="GXE195" s="56"/>
      <c r="GXF195" s="56"/>
      <c r="GXG195" s="56"/>
      <c r="GXH195" s="56"/>
      <c r="GXI195" s="56"/>
      <c r="GXJ195" s="56"/>
      <c r="GXK195" s="56"/>
      <c r="GXL195" s="56"/>
      <c r="GXM195" s="56"/>
      <c r="GXN195" s="56"/>
      <c r="GXO195" s="56"/>
      <c r="GXP195" s="56"/>
      <c r="GXQ195" s="56"/>
      <c r="GXR195" s="56"/>
      <c r="GXS195" s="56"/>
      <c r="GXT195" s="56"/>
      <c r="GXU195" s="56"/>
      <c r="GXV195" s="56"/>
      <c r="GXW195" s="56"/>
      <c r="GXX195" s="56"/>
      <c r="GXY195" s="56"/>
      <c r="GXZ195" s="56"/>
      <c r="GYA195" s="56"/>
      <c r="GYB195" s="56"/>
      <c r="GYC195" s="56"/>
      <c r="GYD195" s="56"/>
      <c r="GYE195" s="56"/>
      <c r="GYF195" s="56"/>
      <c r="GYG195" s="56"/>
      <c r="GYH195" s="56"/>
      <c r="GYI195" s="56"/>
      <c r="GYJ195" s="56"/>
      <c r="GYK195" s="56"/>
      <c r="GYL195" s="56"/>
      <c r="GYM195" s="56"/>
      <c r="GYN195" s="56"/>
      <c r="GYO195" s="56"/>
      <c r="GYP195" s="56"/>
      <c r="GYQ195" s="56"/>
      <c r="GYR195" s="56"/>
      <c r="GYS195" s="56"/>
      <c r="GYT195" s="56"/>
      <c r="GYU195" s="56"/>
      <c r="GYV195" s="56"/>
      <c r="GYW195" s="56"/>
      <c r="GYX195" s="56"/>
      <c r="GYY195" s="56"/>
      <c r="GYZ195" s="56"/>
      <c r="GZA195" s="56"/>
      <c r="GZB195" s="56"/>
      <c r="GZC195" s="56"/>
      <c r="GZD195" s="56"/>
      <c r="GZE195" s="56"/>
      <c r="GZF195" s="56"/>
      <c r="GZG195" s="56"/>
      <c r="GZH195" s="56"/>
      <c r="GZI195" s="56"/>
      <c r="GZJ195" s="56"/>
      <c r="GZK195" s="56"/>
      <c r="GZL195" s="56"/>
      <c r="GZM195" s="56"/>
      <c r="GZN195" s="56"/>
      <c r="GZO195" s="56"/>
      <c r="GZP195" s="56"/>
      <c r="GZQ195" s="56"/>
      <c r="GZR195" s="56"/>
      <c r="GZS195" s="56"/>
      <c r="GZT195" s="56"/>
      <c r="GZU195" s="56"/>
      <c r="GZV195" s="56"/>
      <c r="GZW195" s="56"/>
      <c r="GZX195" s="56"/>
      <c r="GZY195" s="56"/>
      <c r="GZZ195" s="56"/>
      <c r="HAA195" s="56"/>
      <c r="HAB195" s="56"/>
      <c r="HAC195" s="56"/>
      <c r="HAD195" s="56"/>
      <c r="HAE195" s="56"/>
      <c r="HAF195" s="56"/>
      <c r="HAG195" s="56"/>
      <c r="HAH195" s="56"/>
      <c r="HAI195" s="56"/>
      <c r="HAJ195" s="56"/>
      <c r="HAK195" s="56"/>
      <c r="HAL195" s="56"/>
      <c r="HAM195" s="56"/>
      <c r="HAN195" s="56"/>
      <c r="HAO195" s="56"/>
      <c r="HAP195" s="56"/>
      <c r="HAQ195" s="56"/>
      <c r="HAR195" s="56"/>
      <c r="HAS195" s="56"/>
      <c r="HAT195" s="56"/>
      <c r="HAU195" s="56"/>
      <c r="HAV195" s="56"/>
      <c r="HAW195" s="56"/>
      <c r="HAX195" s="56"/>
      <c r="HAY195" s="56"/>
      <c r="HAZ195" s="56"/>
      <c r="HBA195" s="56"/>
      <c r="HBB195" s="56"/>
      <c r="HBC195" s="56"/>
      <c r="HBD195" s="56"/>
      <c r="HBE195" s="56"/>
      <c r="HBF195" s="56"/>
      <c r="HBG195" s="56"/>
      <c r="HBH195" s="56"/>
      <c r="HBI195" s="56"/>
      <c r="HBJ195" s="56"/>
      <c r="HBK195" s="56"/>
      <c r="HBL195" s="56"/>
      <c r="HBM195" s="56"/>
      <c r="HBN195" s="56"/>
      <c r="HBO195" s="56"/>
      <c r="HBP195" s="56"/>
      <c r="HBQ195" s="56"/>
      <c r="HBR195" s="56"/>
      <c r="HBS195" s="56"/>
      <c r="HBT195" s="56"/>
      <c r="HBU195" s="56"/>
      <c r="HBV195" s="56"/>
      <c r="HBW195" s="56"/>
      <c r="HBX195" s="56"/>
      <c r="HBY195" s="56"/>
      <c r="HBZ195" s="56"/>
      <c r="HCA195" s="56"/>
      <c r="HCB195" s="56"/>
      <c r="HCC195" s="56"/>
      <c r="HCD195" s="56"/>
      <c r="HCE195" s="56"/>
      <c r="HCF195" s="56"/>
      <c r="HCG195" s="56"/>
      <c r="HCH195" s="56"/>
      <c r="HCI195" s="56"/>
      <c r="HCJ195" s="56"/>
      <c r="HCK195" s="56"/>
      <c r="HCL195" s="56"/>
      <c r="HCM195" s="56"/>
      <c r="HCN195" s="56"/>
      <c r="HCO195" s="56"/>
      <c r="HCP195" s="56"/>
      <c r="HCQ195" s="56"/>
      <c r="HCR195" s="56"/>
      <c r="HCS195" s="56"/>
      <c r="HCT195" s="56"/>
      <c r="HCU195" s="56"/>
      <c r="HCV195" s="56"/>
      <c r="HCW195" s="56"/>
      <c r="HCX195" s="56"/>
      <c r="HCY195" s="56"/>
      <c r="HCZ195" s="56"/>
      <c r="HDA195" s="56"/>
      <c r="HDB195" s="56"/>
      <c r="HDC195" s="56"/>
      <c r="HDD195" s="56"/>
      <c r="HDE195" s="56"/>
      <c r="HDF195" s="56"/>
      <c r="HDG195" s="56"/>
      <c r="HDH195" s="56"/>
      <c r="HDI195" s="56"/>
      <c r="HDJ195" s="56"/>
      <c r="HDK195" s="56"/>
      <c r="HDL195" s="56"/>
      <c r="HDM195" s="56"/>
      <c r="HDN195" s="56"/>
      <c r="HDO195" s="56"/>
      <c r="HDP195" s="56"/>
      <c r="HDQ195" s="56"/>
      <c r="HDR195" s="56"/>
      <c r="HDS195" s="56"/>
      <c r="HDT195" s="56"/>
      <c r="HDU195" s="56"/>
      <c r="HDV195" s="56"/>
      <c r="HDW195" s="56"/>
      <c r="HDX195" s="56"/>
      <c r="HDY195" s="56"/>
      <c r="HDZ195" s="56"/>
      <c r="HEA195" s="56"/>
      <c r="HEB195" s="56"/>
      <c r="HEC195" s="56"/>
      <c r="HED195" s="56"/>
      <c r="HEE195" s="56"/>
      <c r="HEF195" s="56"/>
      <c r="HEG195" s="56"/>
      <c r="HEH195" s="56"/>
      <c r="HEI195" s="56"/>
      <c r="HEJ195" s="56"/>
      <c r="HEK195" s="56"/>
      <c r="HEL195" s="56"/>
      <c r="HEM195" s="56"/>
      <c r="HEN195" s="56"/>
      <c r="HEO195" s="56"/>
      <c r="HEP195" s="56"/>
      <c r="HEQ195" s="56"/>
      <c r="HER195" s="56"/>
      <c r="HES195" s="56"/>
      <c r="HET195" s="56"/>
      <c r="HEU195" s="56"/>
      <c r="HEV195" s="56"/>
      <c r="HEW195" s="56"/>
      <c r="HEX195" s="56"/>
      <c r="HEY195" s="56"/>
      <c r="HEZ195" s="56"/>
      <c r="HFA195" s="56"/>
      <c r="HFB195" s="56"/>
      <c r="HFC195" s="56"/>
      <c r="HFD195" s="56"/>
      <c r="HFE195" s="56"/>
      <c r="HFF195" s="56"/>
      <c r="HFG195" s="56"/>
      <c r="HFH195" s="56"/>
      <c r="HFI195" s="56"/>
      <c r="HFJ195" s="56"/>
      <c r="HFK195" s="56"/>
      <c r="HFL195" s="56"/>
      <c r="HFM195" s="56"/>
      <c r="HFN195" s="56"/>
      <c r="HFO195" s="56"/>
      <c r="HFP195" s="56"/>
      <c r="HFQ195" s="56"/>
      <c r="HFR195" s="56"/>
      <c r="HFS195" s="56"/>
      <c r="HFT195" s="56"/>
      <c r="HFU195" s="56"/>
      <c r="HFV195" s="56"/>
      <c r="HFW195" s="56"/>
      <c r="HFX195" s="56"/>
      <c r="HFY195" s="56"/>
      <c r="HFZ195" s="56"/>
      <c r="HGA195" s="56"/>
      <c r="HGB195" s="56"/>
      <c r="HGC195" s="56"/>
      <c r="HGD195" s="56"/>
      <c r="HGE195" s="56"/>
      <c r="HGF195" s="56"/>
      <c r="HGG195" s="56"/>
      <c r="HGH195" s="56"/>
      <c r="HGI195" s="56"/>
      <c r="HGJ195" s="56"/>
      <c r="HGK195" s="56"/>
      <c r="HGL195" s="56"/>
      <c r="HGM195" s="56"/>
      <c r="HGN195" s="56"/>
      <c r="HGO195" s="56"/>
      <c r="HGP195" s="56"/>
      <c r="HGQ195" s="56"/>
      <c r="HGR195" s="56"/>
      <c r="HGS195" s="56"/>
      <c r="HGT195" s="56"/>
      <c r="HGU195" s="56"/>
      <c r="HGV195" s="56"/>
      <c r="HGW195" s="56"/>
      <c r="HGX195" s="56"/>
      <c r="HGY195" s="56"/>
      <c r="HGZ195" s="56"/>
      <c r="HHA195" s="56"/>
      <c r="HHB195" s="56"/>
      <c r="HHC195" s="56"/>
      <c r="HHD195" s="56"/>
      <c r="HHE195" s="56"/>
      <c r="HHF195" s="56"/>
      <c r="HHG195" s="56"/>
      <c r="HHH195" s="56"/>
      <c r="HHI195" s="56"/>
      <c r="HHJ195" s="56"/>
      <c r="HHK195" s="56"/>
      <c r="HHL195" s="56"/>
      <c r="HHM195" s="56"/>
      <c r="HHN195" s="56"/>
      <c r="HHO195" s="56"/>
      <c r="HHP195" s="56"/>
      <c r="HHQ195" s="56"/>
      <c r="HHR195" s="56"/>
      <c r="HHS195" s="56"/>
      <c r="HHT195" s="56"/>
      <c r="HHU195" s="56"/>
      <c r="HHV195" s="56"/>
      <c r="HHW195" s="56"/>
      <c r="HHX195" s="56"/>
      <c r="HHY195" s="56"/>
      <c r="HHZ195" s="56"/>
      <c r="HIA195" s="56"/>
      <c r="HIB195" s="56"/>
      <c r="HIC195" s="56"/>
      <c r="HID195" s="56"/>
      <c r="HIE195" s="56"/>
      <c r="HIF195" s="56"/>
      <c r="HIG195" s="56"/>
      <c r="HIH195" s="56"/>
      <c r="HII195" s="56"/>
      <c r="HIJ195" s="56"/>
      <c r="HIK195" s="56"/>
      <c r="HIL195" s="56"/>
      <c r="HIM195" s="56"/>
      <c r="HIN195" s="56"/>
      <c r="HIO195" s="56"/>
      <c r="HIP195" s="56"/>
      <c r="HIQ195" s="56"/>
      <c r="HIR195" s="56"/>
      <c r="HIS195" s="56"/>
      <c r="HIT195" s="56"/>
      <c r="HIU195" s="56"/>
      <c r="HIV195" s="56"/>
      <c r="HIW195" s="56"/>
      <c r="HIX195" s="56"/>
      <c r="HIY195" s="56"/>
      <c r="HIZ195" s="56"/>
      <c r="HJA195" s="56"/>
      <c r="HJB195" s="56"/>
      <c r="HJC195" s="56"/>
      <c r="HJD195" s="56"/>
      <c r="HJE195" s="56"/>
      <c r="HJF195" s="56"/>
      <c r="HJG195" s="56"/>
      <c r="HJH195" s="56"/>
      <c r="HJI195" s="56"/>
      <c r="HJJ195" s="56"/>
      <c r="HJK195" s="56"/>
      <c r="HJL195" s="56"/>
      <c r="HJM195" s="56"/>
      <c r="HJN195" s="56"/>
      <c r="HJO195" s="56"/>
      <c r="HJP195" s="56"/>
      <c r="HJQ195" s="56"/>
      <c r="HJR195" s="56"/>
      <c r="HJS195" s="56"/>
      <c r="HJT195" s="56"/>
      <c r="HJU195" s="56"/>
      <c r="HJV195" s="56"/>
      <c r="HJW195" s="56"/>
      <c r="HJX195" s="56"/>
      <c r="HJY195" s="56"/>
      <c r="HJZ195" s="56"/>
      <c r="HKA195" s="56"/>
      <c r="HKB195" s="56"/>
      <c r="HKC195" s="56"/>
      <c r="HKD195" s="56"/>
      <c r="HKE195" s="56"/>
      <c r="HKF195" s="56"/>
      <c r="HKG195" s="56"/>
      <c r="HKH195" s="56"/>
      <c r="HKI195" s="56"/>
      <c r="HKJ195" s="56"/>
      <c r="HKK195" s="56"/>
      <c r="HKL195" s="56"/>
      <c r="HKM195" s="56"/>
      <c r="HKN195" s="56"/>
      <c r="HKO195" s="56"/>
      <c r="HKP195" s="56"/>
      <c r="HKQ195" s="56"/>
      <c r="HKR195" s="56"/>
      <c r="HKS195" s="56"/>
      <c r="HKT195" s="56"/>
      <c r="HKU195" s="56"/>
      <c r="HKV195" s="56"/>
      <c r="HKW195" s="56"/>
      <c r="HKX195" s="56"/>
      <c r="HKY195" s="56"/>
      <c r="HKZ195" s="56"/>
      <c r="HLA195" s="56"/>
      <c r="HLB195" s="56"/>
      <c r="HLC195" s="56"/>
      <c r="HLD195" s="56"/>
      <c r="HLE195" s="56"/>
      <c r="HLF195" s="56"/>
      <c r="HLG195" s="56"/>
      <c r="HLH195" s="56"/>
      <c r="HLI195" s="56"/>
      <c r="HLJ195" s="56"/>
      <c r="HLK195" s="56"/>
      <c r="HLL195" s="56"/>
      <c r="HLM195" s="56"/>
      <c r="HLN195" s="56"/>
      <c r="HLO195" s="56"/>
      <c r="HLP195" s="56"/>
      <c r="HLQ195" s="56"/>
      <c r="HLR195" s="56"/>
      <c r="HLS195" s="56"/>
      <c r="HLT195" s="56"/>
      <c r="HLU195" s="56"/>
      <c r="HLV195" s="56"/>
      <c r="HLW195" s="56"/>
      <c r="HLX195" s="56"/>
      <c r="HLY195" s="56"/>
      <c r="HLZ195" s="56"/>
      <c r="HMA195" s="56"/>
      <c r="HMB195" s="56"/>
      <c r="HMC195" s="56"/>
      <c r="HMD195" s="56"/>
      <c r="HME195" s="56"/>
      <c r="HMF195" s="56"/>
      <c r="HMG195" s="56"/>
      <c r="HMH195" s="56"/>
      <c r="HMI195" s="56"/>
      <c r="HMJ195" s="56"/>
      <c r="HMK195" s="56"/>
      <c r="HML195" s="56"/>
      <c r="HMM195" s="56"/>
      <c r="HMN195" s="56"/>
      <c r="HMO195" s="56"/>
      <c r="HMP195" s="56"/>
      <c r="HMQ195" s="56"/>
      <c r="HMR195" s="56"/>
      <c r="HMS195" s="56"/>
      <c r="HMT195" s="56"/>
      <c r="HMU195" s="56"/>
      <c r="HMV195" s="56"/>
      <c r="HMW195" s="56"/>
      <c r="HMX195" s="56"/>
      <c r="HMY195" s="56"/>
      <c r="HMZ195" s="56"/>
      <c r="HNA195" s="56"/>
      <c r="HNB195" s="56"/>
      <c r="HNC195" s="56"/>
      <c r="HND195" s="56"/>
      <c r="HNE195" s="56"/>
      <c r="HNF195" s="56"/>
      <c r="HNG195" s="56"/>
      <c r="HNH195" s="56"/>
      <c r="HNI195" s="56"/>
      <c r="HNJ195" s="56"/>
      <c r="HNK195" s="56"/>
      <c r="HNL195" s="56"/>
      <c r="HNM195" s="56"/>
      <c r="HNN195" s="56"/>
      <c r="HNO195" s="56"/>
      <c r="HNP195" s="56"/>
      <c r="HNQ195" s="56"/>
      <c r="HNR195" s="56"/>
      <c r="HNS195" s="56"/>
      <c r="HNT195" s="56"/>
      <c r="HNU195" s="56"/>
      <c r="HNV195" s="56"/>
      <c r="HNW195" s="56"/>
      <c r="HNX195" s="56"/>
      <c r="HNY195" s="56"/>
      <c r="HNZ195" s="56"/>
      <c r="HOA195" s="56"/>
      <c r="HOB195" s="56"/>
      <c r="HOC195" s="56"/>
      <c r="HOD195" s="56"/>
      <c r="HOE195" s="56"/>
      <c r="HOF195" s="56"/>
      <c r="HOG195" s="56"/>
      <c r="HOH195" s="56"/>
      <c r="HOI195" s="56"/>
      <c r="HOJ195" s="56"/>
      <c r="HOK195" s="56"/>
      <c r="HOL195" s="56"/>
      <c r="HOM195" s="56"/>
      <c r="HON195" s="56"/>
      <c r="HOO195" s="56"/>
      <c r="HOP195" s="56"/>
      <c r="HOQ195" s="56"/>
      <c r="HOR195" s="56"/>
      <c r="HOS195" s="56"/>
      <c r="HOT195" s="56"/>
      <c r="HOU195" s="56"/>
      <c r="HOV195" s="56"/>
      <c r="HOW195" s="56"/>
      <c r="HOX195" s="56"/>
      <c r="HOY195" s="56"/>
      <c r="HOZ195" s="56"/>
      <c r="HPA195" s="56"/>
      <c r="HPB195" s="56"/>
      <c r="HPC195" s="56"/>
      <c r="HPD195" s="56"/>
      <c r="HPE195" s="56"/>
      <c r="HPF195" s="56"/>
      <c r="HPG195" s="56"/>
      <c r="HPH195" s="56"/>
      <c r="HPI195" s="56"/>
      <c r="HPJ195" s="56"/>
      <c r="HPK195" s="56"/>
      <c r="HPL195" s="56"/>
      <c r="HPM195" s="56"/>
      <c r="HPN195" s="56"/>
      <c r="HPO195" s="56"/>
      <c r="HPP195" s="56"/>
      <c r="HPQ195" s="56"/>
      <c r="HPR195" s="56"/>
      <c r="HPS195" s="56"/>
      <c r="HPT195" s="56"/>
      <c r="HPU195" s="56"/>
      <c r="HPV195" s="56"/>
      <c r="HPW195" s="56"/>
      <c r="HPX195" s="56"/>
      <c r="HPY195" s="56"/>
      <c r="HPZ195" s="56"/>
      <c r="HQA195" s="56"/>
      <c r="HQB195" s="56"/>
      <c r="HQC195" s="56"/>
      <c r="HQD195" s="56"/>
      <c r="HQE195" s="56"/>
      <c r="HQF195" s="56"/>
      <c r="HQG195" s="56"/>
      <c r="HQH195" s="56"/>
      <c r="HQI195" s="56"/>
      <c r="HQJ195" s="56"/>
      <c r="HQK195" s="56"/>
      <c r="HQL195" s="56"/>
      <c r="HQM195" s="56"/>
      <c r="HQN195" s="56"/>
      <c r="HQO195" s="56"/>
      <c r="HQP195" s="56"/>
      <c r="HQQ195" s="56"/>
      <c r="HQR195" s="56"/>
      <c r="HQS195" s="56"/>
      <c r="HQT195" s="56"/>
      <c r="HQU195" s="56"/>
      <c r="HQV195" s="56"/>
      <c r="HQW195" s="56"/>
      <c r="HQX195" s="56"/>
      <c r="HQY195" s="56"/>
      <c r="HQZ195" s="56"/>
      <c r="HRA195" s="56"/>
      <c r="HRB195" s="56"/>
      <c r="HRC195" s="56"/>
      <c r="HRD195" s="56"/>
      <c r="HRE195" s="56"/>
      <c r="HRF195" s="56"/>
      <c r="HRG195" s="56"/>
      <c r="HRH195" s="56"/>
      <c r="HRI195" s="56"/>
      <c r="HRJ195" s="56"/>
      <c r="HRK195" s="56"/>
      <c r="HRL195" s="56"/>
      <c r="HRM195" s="56"/>
      <c r="HRN195" s="56"/>
      <c r="HRO195" s="56"/>
      <c r="HRP195" s="56"/>
      <c r="HRQ195" s="56"/>
      <c r="HRR195" s="56"/>
      <c r="HRS195" s="56"/>
      <c r="HRT195" s="56"/>
      <c r="HRU195" s="56"/>
      <c r="HRV195" s="56"/>
      <c r="HRW195" s="56"/>
      <c r="HRX195" s="56"/>
      <c r="HRY195" s="56"/>
      <c r="HRZ195" s="56"/>
      <c r="HSA195" s="56"/>
      <c r="HSB195" s="56"/>
      <c r="HSC195" s="56"/>
      <c r="HSD195" s="56"/>
      <c r="HSE195" s="56"/>
      <c r="HSF195" s="56"/>
      <c r="HSG195" s="56"/>
      <c r="HSH195" s="56"/>
      <c r="HSI195" s="56"/>
      <c r="HSJ195" s="56"/>
      <c r="HSK195" s="56"/>
      <c r="HSL195" s="56"/>
      <c r="HSM195" s="56"/>
      <c r="HSN195" s="56"/>
      <c r="HSO195" s="56"/>
      <c r="HSP195" s="56"/>
      <c r="HSQ195" s="56"/>
      <c r="HSR195" s="56"/>
      <c r="HSS195" s="56"/>
      <c r="HST195" s="56"/>
      <c r="HSU195" s="56"/>
      <c r="HSV195" s="56"/>
      <c r="HSW195" s="56"/>
      <c r="HSX195" s="56"/>
      <c r="HSY195" s="56"/>
      <c r="HSZ195" s="56"/>
      <c r="HTA195" s="56"/>
      <c r="HTB195" s="56"/>
      <c r="HTC195" s="56"/>
      <c r="HTD195" s="56"/>
      <c r="HTE195" s="56"/>
      <c r="HTF195" s="56"/>
      <c r="HTG195" s="56"/>
      <c r="HTH195" s="56"/>
      <c r="HTI195" s="56"/>
      <c r="HTJ195" s="56"/>
      <c r="HTK195" s="56"/>
      <c r="HTL195" s="56"/>
      <c r="HTM195" s="56"/>
      <c r="HTN195" s="56"/>
      <c r="HTO195" s="56"/>
      <c r="HTP195" s="56"/>
      <c r="HTQ195" s="56"/>
      <c r="HTR195" s="56"/>
      <c r="HTS195" s="56"/>
      <c r="HTT195" s="56"/>
      <c r="HTU195" s="56"/>
      <c r="HTV195" s="56"/>
      <c r="HTW195" s="56"/>
      <c r="HTX195" s="56"/>
      <c r="HTY195" s="56"/>
      <c r="HTZ195" s="56"/>
      <c r="HUA195" s="56"/>
      <c r="HUB195" s="56"/>
      <c r="HUC195" s="56"/>
      <c r="HUD195" s="56"/>
      <c r="HUE195" s="56"/>
      <c r="HUF195" s="56"/>
      <c r="HUG195" s="56"/>
      <c r="HUH195" s="56"/>
      <c r="HUI195" s="56"/>
      <c r="HUJ195" s="56"/>
      <c r="HUK195" s="56"/>
      <c r="HUL195" s="56"/>
      <c r="HUM195" s="56"/>
      <c r="HUN195" s="56"/>
      <c r="HUO195" s="56"/>
      <c r="HUP195" s="56"/>
      <c r="HUQ195" s="56"/>
      <c r="HUR195" s="56"/>
      <c r="HUS195" s="56"/>
      <c r="HUT195" s="56"/>
      <c r="HUU195" s="56"/>
      <c r="HUV195" s="56"/>
      <c r="HUW195" s="56"/>
      <c r="HUX195" s="56"/>
      <c r="HUY195" s="56"/>
      <c r="HUZ195" s="56"/>
      <c r="HVA195" s="56"/>
      <c r="HVB195" s="56"/>
      <c r="HVC195" s="56"/>
      <c r="HVD195" s="56"/>
      <c r="HVE195" s="56"/>
      <c r="HVF195" s="56"/>
      <c r="HVG195" s="56"/>
      <c r="HVH195" s="56"/>
      <c r="HVI195" s="56"/>
      <c r="HVJ195" s="56"/>
      <c r="HVK195" s="56"/>
      <c r="HVL195" s="56"/>
      <c r="HVM195" s="56"/>
      <c r="HVN195" s="56"/>
      <c r="HVO195" s="56"/>
      <c r="HVP195" s="56"/>
      <c r="HVQ195" s="56"/>
      <c r="HVR195" s="56"/>
      <c r="HVS195" s="56"/>
      <c r="HVT195" s="56"/>
      <c r="HVU195" s="56"/>
      <c r="HVV195" s="56"/>
      <c r="HVW195" s="56"/>
      <c r="HVX195" s="56"/>
      <c r="HVY195" s="56"/>
      <c r="HVZ195" s="56"/>
      <c r="HWA195" s="56"/>
      <c r="HWB195" s="56"/>
      <c r="HWC195" s="56"/>
      <c r="HWD195" s="56"/>
      <c r="HWE195" s="56"/>
      <c r="HWF195" s="56"/>
      <c r="HWG195" s="56"/>
      <c r="HWH195" s="56"/>
      <c r="HWI195" s="56"/>
      <c r="HWJ195" s="56"/>
      <c r="HWK195" s="56"/>
      <c r="HWL195" s="56"/>
      <c r="HWM195" s="56"/>
      <c r="HWN195" s="56"/>
      <c r="HWO195" s="56"/>
      <c r="HWP195" s="56"/>
      <c r="HWQ195" s="56"/>
      <c r="HWR195" s="56"/>
      <c r="HWS195" s="56"/>
      <c r="HWT195" s="56"/>
      <c r="HWU195" s="56"/>
      <c r="HWV195" s="56"/>
      <c r="HWW195" s="56"/>
      <c r="HWX195" s="56"/>
      <c r="HWY195" s="56"/>
      <c r="HWZ195" s="56"/>
      <c r="HXA195" s="56"/>
      <c r="HXB195" s="56"/>
      <c r="HXC195" s="56"/>
      <c r="HXD195" s="56"/>
      <c r="HXE195" s="56"/>
      <c r="HXF195" s="56"/>
      <c r="HXG195" s="56"/>
      <c r="HXH195" s="56"/>
      <c r="HXI195" s="56"/>
      <c r="HXJ195" s="56"/>
      <c r="HXK195" s="56"/>
      <c r="HXL195" s="56"/>
      <c r="HXM195" s="56"/>
      <c r="HXN195" s="56"/>
      <c r="HXO195" s="56"/>
      <c r="HXP195" s="56"/>
      <c r="HXQ195" s="56"/>
      <c r="HXR195" s="56"/>
      <c r="HXS195" s="56"/>
      <c r="HXT195" s="56"/>
      <c r="HXU195" s="56"/>
      <c r="HXV195" s="56"/>
      <c r="HXW195" s="56"/>
      <c r="HXX195" s="56"/>
      <c r="HXY195" s="56"/>
      <c r="HXZ195" s="56"/>
      <c r="HYA195" s="56"/>
      <c r="HYB195" s="56"/>
      <c r="HYC195" s="56"/>
      <c r="HYD195" s="56"/>
      <c r="HYE195" s="56"/>
      <c r="HYF195" s="56"/>
      <c r="HYG195" s="56"/>
      <c r="HYH195" s="56"/>
      <c r="HYI195" s="56"/>
      <c r="HYJ195" s="56"/>
      <c r="HYK195" s="56"/>
      <c r="HYL195" s="56"/>
      <c r="HYM195" s="56"/>
      <c r="HYN195" s="56"/>
      <c r="HYO195" s="56"/>
      <c r="HYP195" s="56"/>
      <c r="HYQ195" s="56"/>
      <c r="HYR195" s="56"/>
      <c r="HYS195" s="56"/>
      <c r="HYT195" s="56"/>
      <c r="HYU195" s="56"/>
      <c r="HYV195" s="56"/>
      <c r="HYW195" s="56"/>
      <c r="HYX195" s="56"/>
      <c r="HYY195" s="56"/>
      <c r="HYZ195" s="56"/>
      <c r="HZA195" s="56"/>
      <c r="HZB195" s="56"/>
      <c r="HZC195" s="56"/>
      <c r="HZD195" s="56"/>
      <c r="HZE195" s="56"/>
      <c r="HZF195" s="56"/>
      <c r="HZG195" s="56"/>
      <c r="HZH195" s="56"/>
      <c r="HZI195" s="56"/>
      <c r="HZJ195" s="56"/>
      <c r="HZK195" s="56"/>
      <c r="HZL195" s="56"/>
      <c r="HZM195" s="56"/>
      <c r="HZN195" s="56"/>
      <c r="HZO195" s="56"/>
      <c r="HZP195" s="56"/>
      <c r="HZQ195" s="56"/>
      <c r="HZR195" s="56"/>
      <c r="HZS195" s="56"/>
      <c r="HZT195" s="56"/>
      <c r="HZU195" s="56"/>
      <c r="HZV195" s="56"/>
      <c r="HZW195" s="56"/>
      <c r="HZX195" s="56"/>
      <c r="HZY195" s="56"/>
      <c r="HZZ195" s="56"/>
      <c r="IAA195" s="56"/>
      <c r="IAB195" s="56"/>
      <c r="IAC195" s="56"/>
      <c r="IAD195" s="56"/>
      <c r="IAE195" s="56"/>
      <c r="IAF195" s="56"/>
      <c r="IAG195" s="56"/>
      <c r="IAH195" s="56"/>
      <c r="IAI195" s="56"/>
      <c r="IAJ195" s="56"/>
      <c r="IAK195" s="56"/>
      <c r="IAL195" s="56"/>
      <c r="IAM195" s="56"/>
      <c r="IAN195" s="56"/>
      <c r="IAO195" s="56"/>
      <c r="IAP195" s="56"/>
      <c r="IAQ195" s="56"/>
      <c r="IAR195" s="56"/>
      <c r="IAS195" s="56"/>
      <c r="IAT195" s="56"/>
      <c r="IAU195" s="56"/>
      <c r="IAV195" s="56"/>
      <c r="IAW195" s="56"/>
      <c r="IAX195" s="56"/>
      <c r="IAY195" s="56"/>
      <c r="IAZ195" s="56"/>
      <c r="IBA195" s="56"/>
      <c r="IBB195" s="56"/>
      <c r="IBC195" s="56"/>
      <c r="IBD195" s="56"/>
      <c r="IBE195" s="56"/>
      <c r="IBF195" s="56"/>
      <c r="IBG195" s="56"/>
      <c r="IBH195" s="56"/>
      <c r="IBI195" s="56"/>
      <c r="IBJ195" s="56"/>
      <c r="IBK195" s="56"/>
      <c r="IBL195" s="56"/>
      <c r="IBM195" s="56"/>
      <c r="IBN195" s="56"/>
      <c r="IBO195" s="56"/>
      <c r="IBP195" s="56"/>
      <c r="IBQ195" s="56"/>
      <c r="IBR195" s="56"/>
      <c r="IBS195" s="56"/>
      <c r="IBT195" s="56"/>
      <c r="IBU195" s="56"/>
      <c r="IBV195" s="56"/>
      <c r="IBW195" s="56"/>
      <c r="IBX195" s="56"/>
      <c r="IBY195" s="56"/>
      <c r="IBZ195" s="56"/>
      <c r="ICA195" s="56"/>
      <c r="ICB195" s="56"/>
      <c r="ICC195" s="56"/>
      <c r="ICD195" s="56"/>
      <c r="ICE195" s="56"/>
      <c r="ICF195" s="56"/>
      <c r="ICG195" s="56"/>
      <c r="ICH195" s="56"/>
      <c r="ICI195" s="56"/>
      <c r="ICJ195" s="56"/>
      <c r="ICK195" s="56"/>
      <c r="ICL195" s="56"/>
      <c r="ICM195" s="56"/>
      <c r="ICN195" s="56"/>
      <c r="ICO195" s="56"/>
      <c r="ICP195" s="56"/>
      <c r="ICQ195" s="56"/>
      <c r="ICR195" s="56"/>
      <c r="ICS195" s="56"/>
      <c r="ICT195" s="56"/>
      <c r="ICU195" s="56"/>
      <c r="ICV195" s="56"/>
      <c r="ICW195" s="56"/>
      <c r="ICX195" s="56"/>
      <c r="ICY195" s="56"/>
      <c r="ICZ195" s="56"/>
      <c r="IDA195" s="56"/>
      <c r="IDB195" s="56"/>
      <c r="IDC195" s="56"/>
      <c r="IDD195" s="56"/>
      <c r="IDE195" s="56"/>
      <c r="IDF195" s="56"/>
      <c r="IDG195" s="56"/>
      <c r="IDH195" s="56"/>
      <c r="IDI195" s="56"/>
      <c r="IDJ195" s="56"/>
      <c r="IDK195" s="56"/>
      <c r="IDL195" s="56"/>
      <c r="IDM195" s="56"/>
      <c r="IDN195" s="56"/>
      <c r="IDO195" s="56"/>
      <c r="IDP195" s="56"/>
      <c r="IDQ195" s="56"/>
      <c r="IDR195" s="56"/>
      <c r="IDS195" s="56"/>
      <c r="IDT195" s="56"/>
      <c r="IDU195" s="56"/>
      <c r="IDV195" s="56"/>
      <c r="IDW195" s="56"/>
      <c r="IDX195" s="56"/>
      <c r="IDY195" s="56"/>
      <c r="IDZ195" s="56"/>
      <c r="IEA195" s="56"/>
      <c r="IEB195" s="56"/>
      <c r="IEC195" s="56"/>
      <c r="IED195" s="56"/>
      <c r="IEE195" s="56"/>
      <c r="IEF195" s="56"/>
      <c r="IEG195" s="56"/>
      <c r="IEH195" s="56"/>
      <c r="IEI195" s="56"/>
      <c r="IEJ195" s="56"/>
      <c r="IEK195" s="56"/>
      <c r="IEL195" s="56"/>
      <c r="IEM195" s="56"/>
      <c r="IEN195" s="56"/>
      <c r="IEO195" s="56"/>
      <c r="IEP195" s="56"/>
      <c r="IEQ195" s="56"/>
      <c r="IER195" s="56"/>
      <c r="IES195" s="56"/>
      <c r="IET195" s="56"/>
      <c r="IEU195" s="56"/>
      <c r="IEV195" s="56"/>
      <c r="IEW195" s="56"/>
      <c r="IEX195" s="56"/>
      <c r="IEY195" s="56"/>
      <c r="IEZ195" s="56"/>
      <c r="IFA195" s="56"/>
      <c r="IFB195" s="56"/>
      <c r="IFC195" s="56"/>
      <c r="IFD195" s="56"/>
      <c r="IFE195" s="56"/>
      <c r="IFF195" s="56"/>
      <c r="IFG195" s="56"/>
      <c r="IFH195" s="56"/>
      <c r="IFI195" s="56"/>
      <c r="IFJ195" s="56"/>
      <c r="IFK195" s="56"/>
      <c r="IFL195" s="56"/>
      <c r="IFM195" s="56"/>
      <c r="IFN195" s="56"/>
      <c r="IFO195" s="56"/>
      <c r="IFP195" s="56"/>
      <c r="IFQ195" s="56"/>
      <c r="IFR195" s="56"/>
      <c r="IFS195" s="56"/>
      <c r="IFT195" s="56"/>
      <c r="IFU195" s="56"/>
      <c r="IFV195" s="56"/>
      <c r="IFW195" s="56"/>
      <c r="IFX195" s="56"/>
      <c r="IFY195" s="56"/>
      <c r="IFZ195" s="56"/>
      <c r="IGA195" s="56"/>
      <c r="IGB195" s="56"/>
      <c r="IGC195" s="56"/>
      <c r="IGD195" s="56"/>
      <c r="IGE195" s="56"/>
      <c r="IGF195" s="56"/>
      <c r="IGG195" s="56"/>
      <c r="IGH195" s="56"/>
      <c r="IGI195" s="56"/>
      <c r="IGJ195" s="56"/>
      <c r="IGK195" s="56"/>
      <c r="IGL195" s="56"/>
      <c r="IGM195" s="56"/>
      <c r="IGN195" s="56"/>
      <c r="IGO195" s="56"/>
      <c r="IGP195" s="56"/>
      <c r="IGQ195" s="56"/>
      <c r="IGR195" s="56"/>
      <c r="IGS195" s="56"/>
      <c r="IGT195" s="56"/>
      <c r="IGU195" s="56"/>
      <c r="IGV195" s="56"/>
      <c r="IGW195" s="56"/>
      <c r="IGX195" s="56"/>
      <c r="IGY195" s="56"/>
      <c r="IGZ195" s="56"/>
      <c r="IHA195" s="56"/>
      <c r="IHB195" s="56"/>
      <c r="IHC195" s="56"/>
      <c r="IHD195" s="56"/>
      <c r="IHE195" s="56"/>
      <c r="IHF195" s="56"/>
      <c r="IHG195" s="56"/>
      <c r="IHH195" s="56"/>
      <c r="IHI195" s="56"/>
      <c r="IHJ195" s="56"/>
      <c r="IHK195" s="56"/>
      <c r="IHL195" s="56"/>
      <c r="IHM195" s="56"/>
      <c r="IHN195" s="56"/>
      <c r="IHO195" s="56"/>
      <c r="IHP195" s="56"/>
      <c r="IHQ195" s="56"/>
      <c r="IHR195" s="56"/>
      <c r="IHS195" s="56"/>
      <c r="IHT195" s="56"/>
      <c r="IHU195" s="56"/>
      <c r="IHV195" s="56"/>
      <c r="IHW195" s="56"/>
      <c r="IHX195" s="56"/>
      <c r="IHY195" s="56"/>
      <c r="IHZ195" s="56"/>
      <c r="IIA195" s="56"/>
      <c r="IIB195" s="56"/>
      <c r="IIC195" s="56"/>
      <c r="IID195" s="56"/>
      <c r="IIE195" s="56"/>
      <c r="IIF195" s="56"/>
      <c r="IIG195" s="56"/>
      <c r="IIH195" s="56"/>
      <c r="III195" s="56"/>
      <c r="IIJ195" s="56"/>
      <c r="IIK195" s="56"/>
      <c r="IIL195" s="56"/>
      <c r="IIM195" s="56"/>
      <c r="IIN195" s="56"/>
      <c r="IIO195" s="56"/>
      <c r="IIP195" s="56"/>
      <c r="IIQ195" s="56"/>
      <c r="IIR195" s="56"/>
      <c r="IIS195" s="56"/>
      <c r="IIT195" s="56"/>
      <c r="IIU195" s="56"/>
      <c r="IIV195" s="56"/>
      <c r="IIW195" s="56"/>
      <c r="IIX195" s="56"/>
      <c r="IIY195" s="56"/>
      <c r="IIZ195" s="56"/>
      <c r="IJA195" s="56"/>
      <c r="IJB195" s="56"/>
      <c r="IJC195" s="56"/>
      <c r="IJD195" s="56"/>
      <c r="IJE195" s="56"/>
      <c r="IJF195" s="56"/>
      <c r="IJG195" s="56"/>
      <c r="IJH195" s="56"/>
      <c r="IJI195" s="56"/>
      <c r="IJJ195" s="56"/>
      <c r="IJK195" s="56"/>
      <c r="IJL195" s="56"/>
      <c r="IJM195" s="56"/>
      <c r="IJN195" s="56"/>
      <c r="IJO195" s="56"/>
      <c r="IJP195" s="56"/>
      <c r="IJQ195" s="56"/>
      <c r="IJR195" s="56"/>
      <c r="IJS195" s="56"/>
      <c r="IJT195" s="56"/>
      <c r="IJU195" s="56"/>
      <c r="IJV195" s="56"/>
      <c r="IJW195" s="56"/>
      <c r="IJX195" s="56"/>
      <c r="IJY195" s="56"/>
      <c r="IJZ195" s="56"/>
      <c r="IKA195" s="56"/>
      <c r="IKB195" s="56"/>
      <c r="IKC195" s="56"/>
      <c r="IKD195" s="56"/>
      <c r="IKE195" s="56"/>
      <c r="IKF195" s="56"/>
      <c r="IKG195" s="56"/>
      <c r="IKH195" s="56"/>
      <c r="IKI195" s="56"/>
      <c r="IKJ195" s="56"/>
      <c r="IKK195" s="56"/>
      <c r="IKL195" s="56"/>
      <c r="IKM195" s="56"/>
      <c r="IKN195" s="56"/>
      <c r="IKO195" s="56"/>
      <c r="IKP195" s="56"/>
      <c r="IKQ195" s="56"/>
      <c r="IKR195" s="56"/>
      <c r="IKS195" s="56"/>
      <c r="IKT195" s="56"/>
      <c r="IKU195" s="56"/>
      <c r="IKV195" s="56"/>
      <c r="IKW195" s="56"/>
      <c r="IKX195" s="56"/>
      <c r="IKY195" s="56"/>
      <c r="IKZ195" s="56"/>
      <c r="ILA195" s="56"/>
      <c r="ILB195" s="56"/>
      <c r="ILC195" s="56"/>
      <c r="ILD195" s="56"/>
      <c r="ILE195" s="56"/>
      <c r="ILF195" s="56"/>
      <c r="ILG195" s="56"/>
      <c r="ILH195" s="56"/>
      <c r="ILI195" s="56"/>
      <c r="ILJ195" s="56"/>
      <c r="ILK195" s="56"/>
      <c r="ILL195" s="56"/>
      <c r="ILM195" s="56"/>
      <c r="ILN195" s="56"/>
      <c r="ILO195" s="56"/>
      <c r="ILP195" s="56"/>
      <c r="ILQ195" s="56"/>
      <c r="ILR195" s="56"/>
      <c r="ILS195" s="56"/>
      <c r="ILT195" s="56"/>
      <c r="ILU195" s="56"/>
      <c r="ILV195" s="56"/>
      <c r="ILW195" s="56"/>
      <c r="ILX195" s="56"/>
      <c r="ILY195" s="56"/>
      <c r="ILZ195" s="56"/>
      <c r="IMA195" s="56"/>
      <c r="IMB195" s="56"/>
      <c r="IMC195" s="56"/>
      <c r="IMD195" s="56"/>
      <c r="IME195" s="56"/>
      <c r="IMF195" s="56"/>
      <c r="IMG195" s="56"/>
      <c r="IMH195" s="56"/>
      <c r="IMI195" s="56"/>
      <c r="IMJ195" s="56"/>
      <c r="IMK195" s="56"/>
      <c r="IML195" s="56"/>
      <c r="IMM195" s="56"/>
      <c r="IMN195" s="56"/>
      <c r="IMO195" s="56"/>
      <c r="IMP195" s="56"/>
      <c r="IMQ195" s="56"/>
      <c r="IMR195" s="56"/>
      <c r="IMS195" s="56"/>
      <c r="IMT195" s="56"/>
      <c r="IMU195" s="56"/>
      <c r="IMV195" s="56"/>
      <c r="IMW195" s="56"/>
      <c r="IMX195" s="56"/>
      <c r="IMY195" s="56"/>
      <c r="IMZ195" s="56"/>
      <c r="INA195" s="56"/>
      <c r="INB195" s="56"/>
      <c r="INC195" s="56"/>
      <c r="IND195" s="56"/>
      <c r="INE195" s="56"/>
      <c r="INF195" s="56"/>
      <c r="ING195" s="56"/>
      <c r="INH195" s="56"/>
      <c r="INI195" s="56"/>
      <c r="INJ195" s="56"/>
      <c r="INK195" s="56"/>
      <c r="INL195" s="56"/>
      <c r="INM195" s="56"/>
      <c r="INN195" s="56"/>
      <c r="INO195" s="56"/>
      <c r="INP195" s="56"/>
      <c r="INQ195" s="56"/>
      <c r="INR195" s="56"/>
      <c r="INS195" s="56"/>
      <c r="INT195" s="56"/>
      <c r="INU195" s="56"/>
      <c r="INV195" s="56"/>
      <c r="INW195" s="56"/>
      <c r="INX195" s="56"/>
      <c r="INY195" s="56"/>
      <c r="INZ195" s="56"/>
      <c r="IOA195" s="56"/>
      <c r="IOB195" s="56"/>
      <c r="IOC195" s="56"/>
      <c r="IOD195" s="56"/>
      <c r="IOE195" s="56"/>
      <c r="IOF195" s="56"/>
      <c r="IOG195" s="56"/>
      <c r="IOH195" s="56"/>
      <c r="IOI195" s="56"/>
      <c r="IOJ195" s="56"/>
      <c r="IOK195" s="56"/>
      <c r="IOL195" s="56"/>
      <c r="IOM195" s="56"/>
      <c r="ION195" s="56"/>
      <c r="IOO195" s="56"/>
      <c r="IOP195" s="56"/>
      <c r="IOQ195" s="56"/>
      <c r="IOR195" s="56"/>
      <c r="IOS195" s="56"/>
      <c r="IOT195" s="56"/>
      <c r="IOU195" s="56"/>
      <c r="IOV195" s="56"/>
      <c r="IOW195" s="56"/>
      <c r="IOX195" s="56"/>
      <c r="IOY195" s="56"/>
      <c r="IOZ195" s="56"/>
      <c r="IPA195" s="56"/>
      <c r="IPB195" s="56"/>
      <c r="IPC195" s="56"/>
      <c r="IPD195" s="56"/>
      <c r="IPE195" s="56"/>
      <c r="IPF195" s="56"/>
      <c r="IPG195" s="56"/>
      <c r="IPH195" s="56"/>
      <c r="IPI195" s="56"/>
      <c r="IPJ195" s="56"/>
      <c r="IPK195" s="56"/>
      <c r="IPL195" s="56"/>
      <c r="IPM195" s="56"/>
      <c r="IPN195" s="56"/>
      <c r="IPO195" s="56"/>
      <c r="IPP195" s="56"/>
      <c r="IPQ195" s="56"/>
      <c r="IPR195" s="56"/>
      <c r="IPS195" s="56"/>
      <c r="IPT195" s="56"/>
      <c r="IPU195" s="56"/>
      <c r="IPV195" s="56"/>
      <c r="IPW195" s="56"/>
      <c r="IPX195" s="56"/>
      <c r="IPY195" s="56"/>
      <c r="IPZ195" s="56"/>
      <c r="IQA195" s="56"/>
      <c r="IQB195" s="56"/>
      <c r="IQC195" s="56"/>
      <c r="IQD195" s="56"/>
      <c r="IQE195" s="56"/>
      <c r="IQF195" s="56"/>
      <c r="IQG195" s="56"/>
      <c r="IQH195" s="56"/>
      <c r="IQI195" s="56"/>
      <c r="IQJ195" s="56"/>
      <c r="IQK195" s="56"/>
      <c r="IQL195" s="56"/>
      <c r="IQM195" s="56"/>
      <c r="IQN195" s="56"/>
      <c r="IQO195" s="56"/>
      <c r="IQP195" s="56"/>
      <c r="IQQ195" s="56"/>
      <c r="IQR195" s="56"/>
      <c r="IQS195" s="56"/>
      <c r="IQT195" s="56"/>
      <c r="IQU195" s="56"/>
      <c r="IQV195" s="56"/>
      <c r="IQW195" s="56"/>
      <c r="IQX195" s="56"/>
      <c r="IQY195" s="56"/>
      <c r="IQZ195" s="56"/>
      <c r="IRA195" s="56"/>
      <c r="IRB195" s="56"/>
      <c r="IRC195" s="56"/>
      <c r="IRD195" s="56"/>
      <c r="IRE195" s="56"/>
      <c r="IRF195" s="56"/>
      <c r="IRG195" s="56"/>
      <c r="IRH195" s="56"/>
      <c r="IRI195" s="56"/>
      <c r="IRJ195" s="56"/>
      <c r="IRK195" s="56"/>
      <c r="IRL195" s="56"/>
      <c r="IRM195" s="56"/>
      <c r="IRN195" s="56"/>
      <c r="IRO195" s="56"/>
      <c r="IRP195" s="56"/>
      <c r="IRQ195" s="56"/>
      <c r="IRR195" s="56"/>
      <c r="IRS195" s="56"/>
      <c r="IRT195" s="56"/>
      <c r="IRU195" s="56"/>
      <c r="IRV195" s="56"/>
      <c r="IRW195" s="56"/>
      <c r="IRX195" s="56"/>
      <c r="IRY195" s="56"/>
      <c r="IRZ195" s="56"/>
      <c r="ISA195" s="56"/>
      <c r="ISB195" s="56"/>
      <c r="ISC195" s="56"/>
      <c r="ISD195" s="56"/>
      <c r="ISE195" s="56"/>
      <c r="ISF195" s="56"/>
      <c r="ISG195" s="56"/>
      <c r="ISH195" s="56"/>
      <c r="ISI195" s="56"/>
      <c r="ISJ195" s="56"/>
      <c r="ISK195" s="56"/>
      <c r="ISL195" s="56"/>
      <c r="ISM195" s="56"/>
      <c r="ISN195" s="56"/>
      <c r="ISO195" s="56"/>
      <c r="ISP195" s="56"/>
      <c r="ISQ195" s="56"/>
      <c r="ISR195" s="56"/>
      <c r="ISS195" s="56"/>
      <c r="IST195" s="56"/>
      <c r="ISU195" s="56"/>
      <c r="ISV195" s="56"/>
      <c r="ISW195" s="56"/>
      <c r="ISX195" s="56"/>
      <c r="ISY195" s="56"/>
      <c r="ISZ195" s="56"/>
      <c r="ITA195" s="56"/>
      <c r="ITB195" s="56"/>
      <c r="ITC195" s="56"/>
      <c r="ITD195" s="56"/>
      <c r="ITE195" s="56"/>
      <c r="ITF195" s="56"/>
      <c r="ITG195" s="56"/>
      <c r="ITH195" s="56"/>
      <c r="ITI195" s="56"/>
      <c r="ITJ195" s="56"/>
      <c r="ITK195" s="56"/>
      <c r="ITL195" s="56"/>
      <c r="ITM195" s="56"/>
      <c r="ITN195" s="56"/>
      <c r="ITO195" s="56"/>
      <c r="ITP195" s="56"/>
      <c r="ITQ195" s="56"/>
      <c r="ITR195" s="56"/>
      <c r="ITS195" s="56"/>
      <c r="ITT195" s="56"/>
      <c r="ITU195" s="56"/>
      <c r="ITV195" s="56"/>
      <c r="ITW195" s="56"/>
      <c r="ITX195" s="56"/>
      <c r="ITY195" s="56"/>
      <c r="ITZ195" s="56"/>
      <c r="IUA195" s="56"/>
      <c r="IUB195" s="56"/>
      <c r="IUC195" s="56"/>
      <c r="IUD195" s="56"/>
      <c r="IUE195" s="56"/>
      <c r="IUF195" s="56"/>
      <c r="IUG195" s="56"/>
      <c r="IUH195" s="56"/>
      <c r="IUI195" s="56"/>
      <c r="IUJ195" s="56"/>
      <c r="IUK195" s="56"/>
      <c r="IUL195" s="56"/>
      <c r="IUM195" s="56"/>
      <c r="IUN195" s="56"/>
      <c r="IUO195" s="56"/>
      <c r="IUP195" s="56"/>
      <c r="IUQ195" s="56"/>
      <c r="IUR195" s="56"/>
      <c r="IUS195" s="56"/>
      <c r="IUT195" s="56"/>
      <c r="IUU195" s="56"/>
      <c r="IUV195" s="56"/>
      <c r="IUW195" s="56"/>
      <c r="IUX195" s="56"/>
      <c r="IUY195" s="56"/>
      <c r="IUZ195" s="56"/>
      <c r="IVA195" s="56"/>
      <c r="IVB195" s="56"/>
      <c r="IVC195" s="56"/>
      <c r="IVD195" s="56"/>
      <c r="IVE195" s="56"/>
      <c r="IVF195" s="56"/>
      <c r="IVG195" s="56"/>
      <c r="IVH195" s="56"/>
      <c r="IVI195" s="56"/>
      <c r="IVJ195" s="56"/>
      <c r="IVK195" s="56"/>
      <c r="IVL195" s="56"/>
      <c r="IVM195" s="56"/>
      <c r="IVN195" s="56"/>
      <c r="IVO195" s="56"/>
      <c r="IVP195" s="56"/>
      <c r="IVQ195" s="56"/>
      <c r="IVR195" s="56"/>
      <c r="IVS195" s="56"/>
      <c r="IVT195" s="56"/>
      <c r="IVU195" s="56"/>
      <c r="IVV195" s="56"/>
      <c r="IVW195" s="56"/>
      <c r="IVX195" s="56"/>
      <c r="IVY195" s="56"/>
      <c r="IVZ195" s="56"/>
      <c r="IWA195" s="56"/>
      <c r="IWB195" s="56"/>
      <c r="IWC195" s="56"/>
      <c r="IWD195" s="56"/>
      <c r="IWE195" s="56"/>
      <c r="IWF195" s="56"/>
      <c r="IWG195" s="56"/>
      <c r="IWH195" s="56"/>
      <c r="IWI195" s="56"/>
      <c r="IWJ195" s="56"/>
      <c r="IWK195" s="56"/>
      <c r="IWL195" s="56"/>
      <c r="IWM195" s="56"/>
      <c r="IWN195" s="56"/>
      <c r="IWO195" s="56"/>
      <c r="IWP195" s="56"/>
      <c r="IWQ195" s="56"/>
      <c r="IWR195" s="56"/>
      <c r="IWS195" s="56"/>
      <c r="IWT195" s="56"/>
      <c r="IWU195" s="56"/>
      <c r="IWV195" s="56"/>
      <c r="IWW195" s="56"/>
      <c r="IWX195" s="56"/>
      <c r="IWY195" s="56"/>
      <c r="IWZ195" s="56"/>
      <c r="IXA195" s="56"/>
      <c r="IXB195" s="56"/>
      <c r="IXC195" s="56"/>
      <c r="IXD195" s="56"/>
      <c r="IXE195" s="56"/>
      <c r="IXF195" s="56"/>
      <c r="IXG195" s="56"/>
      <c r="IXH195" s="56"/>
      <c r="IXI195" s="56"/>
      <c r="IXJ195" s="56"/>
      <c r="IXK195" s="56"/>
      <c r="IXL195" s="56"/>
      <c r="IXM195" s="56"/>
      <c r="IXN195" s="56"/>
      <c r="IXO195" s="56"/>
      <c r="IXP195" s="56"/>
      <c r="IXQ195" s="56"/>
      <c r="IXR195" s="56"/>
      <c r="IXS195" s="56"/>
      <c r="IXT195" s="56"/>
      <c r="IXU195" s="56"/>
      <c r="IXV195" s="56"/>
      <c r="IXW195" s="56"/>
      <c r="IXX195" s="56"/>
      <c r="IXY195" s="56"/>
      <c r="IXZ195" s="56"/>
      <c r="IYA195" s="56"/>
      <c r="IYB195" s="56"/>
      <c r="IYC195" s="56"/>
      <c r="IYD195" s="56"/>
      <c r="IYE195" s="56"/>
      <c r="IYF195" s="56"/>
      <c r="IYG195" s="56"/>
      <c r="IYH195" s="56"/>
      <c r="IYI195" s="56"/>
      <c r="IYJ195" s="56"/>
      <c r="IYK195" s="56"/>
      <c r="IYL195" s="56"/>
      <c r="IYM195" s="56"/>
      <c r="IYN195" s="56"/>
      <c r="IYO195" s="56"/>
      <c r="IYP195" s="56"/>
      <c r="IYQ195" s="56"/>
      <c r="IYR195" s="56"/>
      <c r="IYS195" s="56"/>
      <c r="IYT195" s="56"/>
      <c r="IYU195" s="56"/>
      <c r="IYV195" s="56"/>
      <c r="IYW195" s="56"/>
      <c r="IYX195" s="56"/>
      <c r="IYY195" s="56"/>
      <c r="IYZ195" s="56"/>
      <c r="IZA195" s="56"/>
      <c r="IZB195" s="56"/>
      <c r="IZC195" s="56"/>
      <c r="IZD195" s="56"/>
      <c r="IZE195" s="56"/>
      <c r="IZF195" s="56"/>
      <c r="IZG195" s="56"/>
      <c r="IZH195" s="56"/>
      <c r="IZI195" s="56"/>
      <c r="IZJ195" s="56"/>
      <c r="IZK195" s="56"/>
      <c r="IZL195" s="56"/>
      <c r="IZM195" s="56"/>
      <c r="IZN195" s="56"/>
      <c r="IZO195" s="56"/>
      <c r="IZP195" s="56"/>
      <c r="IZQ195" s="56"/>
      <c r="IZR195" s="56"/>
      <c r="IZS195" s="56"/>
      <c r="IZT195" s="56"/>
      <c r="IZU195" s="56"/>
      <c r="IZV195" s="56"/>
      <c r="IZW195" s="56"/>
      <c r="IZX195" s="56"/>
      <c r="IZY195" s="56"/>
      <c r="IZZ195" s="56"/>
      <c r="JAA195" s="56"/>
      <c r="JAB195" s="56"/>
      <c r="JAC195" s="56"/>
      <c r="JAD195" s="56"/>
      <c r="JAE195" s="56"/>
      <c r="JAF195" s="56"/>
      <c r="JAG195" s="56"/>
      <c r="JAH195" s="56"/>
      <c r="JAI195" s="56"/>
      <c r="JAJ195" s="56"/>
      <c r="JAK195" s="56"/>
      <c r="JAL195" s="56"/>
      <c r="JAM195" s="56"/>
      <c r="JAN195" s="56"/>
      <c r="JAO195" s="56"/>
      <c r="JAP195" s="56"/>
      <c r="JAQ195" s="56"/>
      <c r="JAR195" s="56"/>
      <c r="JAS195" s="56"/>
      <c r="JAT195" s="56"/>
      <c r="JAU195" s="56"/>
      <c r="JAV195" s="56"/>
      <c r="JAW195" s="56"/>
      <c r="JAX195" s="56"/>
      <c r="JAY195" s="56"/>
      <c r="JAZ195" s="56"/>
      <c r="JBA195" s="56"/>
      <c r="JBB195" s="56"/>
      <c r="JBC195" s="56"/>
      <c r="JBD195" s="56"/>
      <c r="JBE195" s="56"/>
      <c r="JBF195" s="56"/>
      <c r="JBG195" s="56"/>
      <c r="JBH195" s="56"/>
      <c r="JBI195" s="56"/>
      <c r="JBJ195" s="56"/>
      <c r="JBK195" s="56"/>
      <c r="JBL195" s="56"/>
      <c r="JBM195" s="56"/>
      <c r="JBN195" s="56"/>
      <c r="JBO195" s="56"/>
      <c r="JBP195" s="56"/>
      <c r="JBQ195" s="56"/>
      <c r="JBR195" s="56"/>
      <c r="JBS195" s="56"/>
      <c r="JBT195" s="56"/>
      <c r="JBU195" s="56"/>
      <c r="JBV195" s="56"/>
      <c r="JBW195" s="56"/>
      <c r="JBX195" s="56"/>
      <c r="JBY195" s="56"/>
      <c r="JBZ195" s="56"/>
      <c r="JCA195" s="56"/>
      <c r="JCB195" s="56"/>
      <c r="JCC195" s="56"/>
      <c r="JCD195" s="56"/>
      <c r="JCE195" s="56"/>
      <c r="JCF195" s="56"/>
      <c r="JCG195" s="56"/>
      <c r="JCH195" s="56"/>
      <c r="JCI195" s="56"/>
      <c r="JCJ195" s="56"/>
      <c r="JCK195" s="56"/>
      <c r="JCL195" s="56"/>
      <c r="JCM195" s="56"/>
      <c r="JCN195" s="56"/>
      <c r="JCO195" s="56"/>
      <c r="JCP195" s="56"/>
      <c r="JCQ195" s="56"/>
      <c r="JCR195" s="56"/>
      <c r="JCS195" s="56"/>
      <c r="JCT195" s="56"/>
      <c r="JCU195" s="56"/>
      <c r="JCV195" s="56"/>
      <c r="JCW195" s="56"/>
      <c r="JCX195" s="56"/>
      <c r="JCY195" s="56"/>
      <c r="JCZ195" s="56"/>
      <c r="JDA195" s="56"/>
      <c r="JDB195" s="56"/>
      <c r="JDC195" s="56"/>
      <c r="JDD195" s="56"/>
      <c r="JDE195" s="56"/>
      <c r="JDF195" s="56"/>
      <c r="JDG195" s="56"/>
      <c r="JDH195" s="56"/>
      <c r="JDI195" s="56"/>
      <c r="JDJ195" s="56"/>
      <c r="JDK195" s="56"/>
      <c r="JDL195" s="56"/>
      <c r="JDM195" s="56"/>
      <c r="JDN195" s="56"/>
      <c r="JDO195" s="56"/>
      <c r="JDP195" s="56"/>
      <c r="JDQ195" s="56"/>
      <c r="JDR195" s="56"/>
      <c r="JDS195" s="56"/>
      <c r="JDT195" s="56"/>
      <c r="JDU195" s="56"/>
      <c r="JDV195" s="56"/>
      <c r="JDW195" s="56"/>
      <c r="JDX195" s="56"/>
      <c r="JDY195" s="56"/>
      <c r="JDZ195" s="56"/>
      <c r="JEA195" s="56"/>
      <c r="JEB195" s="56"/>
      <c r="JEC195" s="56"/>
      <c r="JED195" s="56"/>
      <c r="JEE195" s="56"/>
      <c r="JEF195" s="56"/>
      <c r="JEG195" s="56"/>
      <c r="JEH195" s="56"/>
      <c r="JEI195" s="56"/>
      <c r="JEJ195" s="56"/>
      <c r="JEK195" s="56"/>
      <c r="JEL195" s="56"/>
      <c r="JEM195" s="56"/>
      <c r="JEN195" s="56"/>
      <c r="JEO195" s="56"/>
      <c r="JEP195" s="56"/>
      <c r="JEQ195" s="56"/>
      <c r="JER195" s="56"/>
      <c r="JES195" s="56"/>
      <c r="JET195" s="56"/>
      <c r="JEU195" s="56"/>
      <c r="JEV195" s="56"/>
      <c r="JEW195" s="56"/>
      <c r="JEX195" s="56"/>
      <c r="JEY195" s="56"/>
      <c r="JEZ195" s="56"/>
      <c r="JFA195" s="56"/>
      <c r="JFB195" s="56"/>
      <c r="JFC195" s="56"/>
      <c r="JFD195" s="56"/>
      <c r="JFE195" s="56"/>
      <c r="JFF195" s="56"/>
      <c r="JFG195" s="56"/>
      <c r="JFH195" s="56"/>
      <c r="JFI195" s="56"/>
      <c r="JFJ195" s="56"/>
      <c r="JFK195" s="56"/>
      <c r="JFL195" s="56"/>
      <c r="JFM195" s="56"/>
      <c r="JFN195" s="56"/>
      <c r="JFO195" s="56"/>
      <c r="JFP195" s="56"/>
      <c r="JFQ195" s="56"/>
      <c r="JFR195" s="56"/>
      <c r="JFS195" s="56"/>
      <c r="JFT195" s="56"/>
      <c r="JFU195" s="56"/>
      <c r="JFV195" s="56"/>
      <c r="JFW195" s="56"/>
      <c r="JFX195" s="56"/>
      <c r="JFY195" s="56"/>
      <c r="JFZ195" s="56"/>
      <c r="JGA195" s="56"/>
      <c r="JGB195" s="56"/>
      <c r="JGC195" s="56"/>
      <c r="JGD195" s="56"/>
      <c r="JGE195" s="56"/>
      <c r="JGF195" s="56"/>
      <c r="JGG195" s="56"/>
      <c r="JGH195" s="56"/>
      <c r="JGI195" s="56"/>
      <c r="JGJ195" s="56"/>
      <c r="JGK195" s="56"/>
      <c r="JGL195" s="56"/>
      <c r="JGM195" s="56"/>
      <c r="JGN195" s="56"/>
      <c r="JGO195" s="56"/>
      <c r="JGP195" s="56"/>
      <c r="JGQ195" s="56"/>
      <c r="JGR195" s="56"/>
      <c r="JGS195" s="56"/>
      <c r="JGT195" s="56"/>
      <c r="JGU195" s="56"/>
      <c r="JGV195" s="56"/>
      <c r="JGW195" s="56"/>
      <c r="JGX195" s="56"/>
      <c r="JGY195" s="56"/>
      <c r="JGZ195" s="56"/>
      <c r="JHA195" s="56"/>
      <c r="JHB195" s="56"/>
      <c r="JHC195" s="56"/>
      <c r="JHD195" s="56"/>
      <c r="JHE195" s="56"/>
      <c r="JHF195" s="56"/>
      <c r="JHG195" s="56"/>
      <c r="JHH195" s="56"/>
      <c r="JHI195" s="56"/>
      <c r="JHJ195" s="56"/>
      <c r="JHK195" s="56"/>
      <c r="JHL195" s="56"/>
      <c r="JHM195" s="56"/>
      <c r="JHN195" s="56"/>
      <c r="JHO195" s="56"/>
      <c r="JHP195" s="56"/>
      <c r="JHQ195" s="56"/>
      <c r="JHR195" s="56"/>
      <c r="JHS195" s="56"/>
      <c r="JHT195" s="56"/>
      <c r="JHU195" s="56"/>
      <c r="JHV195" s="56"/>
      <c r="JHW195" s="56"/>
      <c r="JHX195" s="56"/>
      <c r="JHY195" s="56"/>
      <c r="JHZ195" s="56"/>
      <c r="JIA195" s="56"/>
      <c r="JIB195" s="56"/>
      <c r="JIC195" s="56"/>
      <c r="JID195" s="56"/>
      <c r="JIE195" s="56"/>
      <c r="JIF195" s="56"/>
      <c r="JIG195" s="56"/>
      <c r="JIH195" s="56"/>
      <c r="JII195" s="56"/>
      <c r="JIJ195" s="56"/>
      <c r="JIK195" s="56"/>
      <c r="JIL195" s="56"/>
      <c r="JIM195" s="56"/>
      <c r="JIN195" s="56"/>
      <c r="JIO195" s="56"/>
      <c r="JIP195" s="56"/>
      <c r="JIQ195" s="56"/>
      <c r="JIR195" s="56"/>
      <c r="JIS195" s="56"/>
      <c r="JIT195" s="56"/>
      <c r="JIU195" s="56"/>
      <c r="JIV195" s="56"/>
      <c r="JIW195" s="56"/>
      <c r="JIX195" s="56"/>
      <c r="JIY195" s="56"/>
      <c r="JIZ195" s="56"/>
      <c r="JJA195" s="56"/>
      <c r="JJB195" s="56"/>
      <c r="JJC195" s="56"/>
      <c r="JJD195" s="56"/>
      <c r="JJE195" s="56"/>
      <c r="JJF195" s="56"/>
      <c r="JJG195" s="56"/>
      <c r="JJH195" s="56"/>
      <c r="JJI195" s="56"/>
      <c r="JJJ195" s="56"/>
      <c r="JJK195" s="56"/>
      <c r="JJL195" s="56"/>
      <c r="JJM195" s="56"/>
      <c r="JJN195" s="56"/>
      <c r="JJO195" s="56"/>
      <c r="JJP195" s="56"/>
      <c r="JJQ195" s="56"/>
      <c r="JJR195" s="56"/>
      <c r="JJS195" s="56"/>
      <c r="JJT195" s="56"/>
      <c r="JJU195" s="56"/>
      <c r="JJV195" s="56"/>
      <c r="JJW195" s="56"/>
      <c r="JJX195" s="56"/>
      <c r="JJY195" s="56"/>
      <c r="JJZ195" s="56"/>
      <c r="JKA195" s="56"/>
      <c r="JKB195" s="56"/>
      <c r="JKC195" s="56"/>
      <c r="JKD195" s="56"/>
      <c r="JKE195" s="56"/>
      <c r="JKF195" s="56"/>
      <c r="JKG195" s="56"/>
      <c r="JKH195" s="56"/>
      <c r="JKI195" s="56"/>
      <c r="JKJ195" s="56"/>
      <c r="JKK195" s="56"/>
      <c r="JKL195" s="56"/>
      <c r="JKM195" s="56"/>
      <c r="JKN195" s="56"/>
      <c r="JKO195" s="56"/>
      <c r="JKP195" s="56"/>
      <c r="JKQ195" s="56"/>
      <c r="JKR195" s="56"/>
      <c r="JKS195" s="56"/>
      <c r="JKT195" s="56"/>
      <c r="JKU195" s="56"/>
      <c r="JKV195" s="56"/>
      <c r="JKW195" s="56"/>
      <c r="JKX195" s="56"/>
      <c r="JKY195" s="56"/>
      <c r="JKZ195" s="56"/>
      <c r="JLA195" s="56"/>
      <c r="JLB195" s="56"/>
      <c r="JLC195" s="56"/>
      <c r="JLD195" s="56"/>
      <c r="JLE195" s="56"/>
      <c r="JLF195" s="56"/>
      <c r="JLG195" s="56"/>
      <c r="JLH195" s="56"/>
      <c r="JLI195" s="56"/>
      <c r="JLJ195" s="56"/>
      <c r="JLK195" s="56"/>
      <c r="JLL195" s="56"/>
      <c r="JLM195" s="56"/>
      <c r="JLN195" s="56"/>
      <c r="JLO195" s="56"/>
      <c r="JLP195" s="56"/>
      <c r="JLQ195" s="56"/>
      <c r="JLR195" s="56"/>
      <c r="JLS195" s="56"/>
      <c r="JLT195" s="56"/>
      <c r="JLU195" s="56"/>
      <c r="JLV195" s="56"/>
      <c r="JLW195" s="56"/>
      <c r="JLX195" s="56"/>
      <c r="JLY195" s="56"/>
      <c r="JLZ195" s="56"/>
      <c r="JMA195" s="56"/>
      <c r="JMB195" s="56"/>
      <c r="JMC195" s="56"/>
      <c r="JMD195" s="56"/>
      <c r="JME195" s="56"/>
      <c r="JMF195" s="56"/>
      <c r="JMG195" s="56"/>
      <c r="JMH195" s="56"/>
      <c r="JMI195" s="56"/>
      <c r="JMJ195" s="56"/>
      <c r="JMK195" s="56"/>
      <c r="JML195" s="56"/>
      <c r="JMM195" s="56"/>
      <c r="JMN195" s="56"/>
      <c r="JMO195" s="56"/>
      <c r="JMP195" s="56"/>
      <c r="JMQ195" s="56"/>
      <c r="JMR195" s="56"/>
      <c r="JMS195" s="56"/>
      <c r="JMT195" s="56"/>
      <c r="JMU195" s="56"/>
      <c r="JMV195" s="56"/>
      <c r="JMW195" s="56"/>
      <c r="JMX195" s="56"/>
      <c r="JMY195" s="56"/>
      <c r="JMZ195" s="56"/>
      <c r="JNA195" s="56"/>
      <c r="JNB195" s="56"/>
      <c r="JNC195" s="56"/>
      <c r="JND195" s="56"/>
      <c r="JNE195" s="56"/>
      <c r="JNF195" s="56"/>
      <c r="JNG195" s="56"/>
      <c r="JNH195" s="56"/>
      <c r="JNI195" s="56"/>
      <c r="JNJ195" s="56"/>
      <c r="JNK195" s="56"/>
      <c r="JNL195" s="56"/>
      <c r="JNM195" s="56"/>
      <c r="JNN195" s="56"/>
      <c r="JNO195" s="56"/>
      <c r="JNP195" s="56"/>
      <c r="JNQ195" s="56"/>
      <c r="JNR195" s="56"/>
      <c r="JNS195" s="56"/>
      <c r="JNT195" s="56"/>
      <c r="JNU195" s="56"/>
      <c r="JNV195" s="56"/>
      <c r="JNW195" s="56"/>
      <c r="JNX195" s="56"/>
      <c r="JNY195" s="56"/>
      <c r="JNZ195" s="56"/>
      <c r="JOA195" s="56"/>
      <c r="JOB195" s="56"/>
      <c r="JOC195" s="56"/>
      <c r="JOD195" s="56"/>
      <c r="JOE195" s="56"/>
      <c r="JOF195" s="56"/>
      <c r="JOG195" s="56"/>
      <c r="JOH195" s="56"/>
      <c r="JOI195" s="56"/>
      <c r="JOJ195" s="56"/>
      <c r="JOK195" s="56"/>
      <c r="JOL195" s="56"/>
      <c r="JOM195" s="56"/>
      <c r="JON195" s="56"/>
      <c r="JOO195" s="56"/>
      <c r="JOP195" s="56"/>
      <c r="JOQ195" s="56"/>
      <c r="JOR195" s="56"/>
      <c r="JOS195" s="56"/>
      <c r="JOT195" s="56"/>
      <c r="JOU195" s="56"/>
      <c r="JOV195" s="56"/>
      <c r="JOW195" s="56"/>
      <c r="JOX195" s="56"/>
      <c r="JOY195" s="56"/>
      <c r="JOZ195" s="56"/>
      <c r="JPA195" s="56"/>
      <c r="JPB195" s="56"/>
      <c r="JPC195" s="56"/>
      <c r="JPD195" s="56"/>
      <c r="JPE195" s="56"/>
      <c r="JPF195" s="56"/>
      <c r="JPG195" s="56"/>
      <c r="JPH195" s="56"/>
      <c r="JPI195" s="56"/>
      <c r="JPJ195" s="56"/>
      <c r="JPK195" s="56"/>
      <c r="JPL195" s="56"/>
      <c r="JPM195" s="56"/>
      <c r="JPN195" s="56"/>
      <c r="JPO195" s="56"/>
      <c r="JPP195" s="56"/>
      <c r="JPQ195" s="56"/>
      <c r="JPR195" s="56"/>
      <c r="JPS195" s="56"/>
      <c r="JPT195" s="56"/>
      <c r="JPU195" s="56"/>
      <c r="JPV195" s="56"/>
      <c r="JPW195" s="56"/>
      <c r="JPX195" s="56"/>
      <c r="JPY195" s="56"/>
      <c r="JPZ195" s="56"/>
      <c r="JQA195" s="56"/>
      <c r="JQB195" s="56"/>
      <c r="JQC195" s="56"/>
      <c r="JQD195" s="56"/>
      <c r="JQE195" s="56"/>
      <c r="JQF195" s="56"/>
      <c r="JQG195" s="56"/>
      <c r="JQH195" s="56"/>
      <c r="JQI195" s="56"/>
      <c r="JQJ195" s="56"/>
      <c r="JQK195" s="56"/>
      <c r="JQL195" s="56"/>
      <c r="JQM195" s="56"/>
      <c r="JQN195" s="56"/>
      <c r="JQO195" s="56"/>
      <c r="JQP195" s="56"/>
      <c r="JQQ195" s="56"/>
      <c r="JQR195" s="56"/>
      <c r="JQS195" s="56"/>
      <c r="JQT195" s="56"/>
      <c r="JQU195" s="56"/>
      <c r="JQV195" s="56"/>
      <c r="JQW195" s="56"/>
      <c r="JQX195" s="56"/>
      <c r="JQY195" s="56"/>
      <c r="JQZ195" s="56"/>
      <c r="JRA195" s="56"/>
      <c r="JRB195" s="56"/>
      <c r="JRC195" s="56"/>
      <c r="JRD195" s="56"/>
      <c r="JRE195" s="56"/>
      <c r="JRF195" s="56"/>
      <c r="JRG195" s="56"/>
      <c r="JRH195" s="56"/>
      <c r="JRI195" s="56"/>
      <c r="JRJ195" s="56"/>
      <c r="JRK195" s="56"/>
      <c r="JRL195" s="56"/>
      <c r="JRM195" s="56"/>
      <c r="JRN195" s="56"/>
      <c r="JRO195" s="56"/>
      <c r="JRP195" s="56"/>
      <c r="JRQ195" s="56"/>
      <c r="JRR195" s="56"/>
      <c r="JRS195" s="56"/>
      <c r="JRT195" s="56"/>
      <c r="JRU195" s="56"/>
      <c r="JRV195" s="56"/>
      <c r="JRW195" s="56"/>
      <c r="JRX195" s="56"/>
      <c r="JRY195" s="56"/>
      <c r="JRZ195" s="56"/>
      <c r="JSA195" s="56"/>
      <c r="JSB195" s="56"/>
      <c r="JSC195" s="56"/>
      <c r="JSD195" s="56"/>
      <c r="JSE195" s="56"/>
      <c r="JSF195" s="56"/>
      <c r="JSG195" s="56"/>
      <c r="JSH195" s="56"/>
      <c r="JSI195" s="56"/>
      <c r="JSJ195" s="56"/>
      <c r="JSK195" s="56"/>
      <c r="JSL195" s="56"/>
      <c r="JSM195" s="56"/>
      <c r="JSN195" s="56"/>
      <c r="JSO195" s="56"/>
      <c r="JSP195" s="56"/>
      <c r="JSQ195" s="56"/>
      <c r="JSR195" s="56"/>
      <c r="JSS195" s="56"/>
      <c r="JST195" s="56"/>
      <c r="JSU195" s="56"/>
      <c r="JSV195" s="56"/>
      <c r="JSW195" s="56"/>
      <c r="JSX195" s="56"/>
      <c r="JSY195" s="56"/>
      <c r="JSZ195" s="56"/>
      <c r="JTA195" s="56"/>
      <c r="JTB195" s="56"/>
      <c r="JTC195" s="56"/>
      <c r="JTD195" s="56"/>
      <c r="JTE195" s="56"/>
      <c r="JTF195" s="56"/>
      <c r="JTG195" s="56"/>
      <c r="JTH195" s="56"/>
      <c r="JTI195" s="56"/>
      <c r="JTJ195" s="56"/>
      <c r="JTK195" s="56"/>
      <c r="JTL195" s="56"/>
      <c r="JTM195" s="56"/>
      <c r="JTN195" s="56"/>
      <c r="JTO195" s="56"/>
      <c r="JTP195" s="56"/>
      <c r="JTQ195" s="56"/>
      <c r="JTR195" s="56"/>
      <c r="JTS195" s="56"/>
      <c r="JTT195" s="56"/>
      <c r="JTU195" s="56"/>
      <c r="JTV195" s="56"/>
      <c r="JTW195" s="56"/>
      <c r="JTX195" s="56"/>
      <c r="JTY195" s="56"/>
      <c r="JTZ195" s="56"/>
      <c r="JUA195" s="56"/>
      <c r="JUB195" s="56"/>
      <c r="JUC195" s="56"/>
      <c r="JUD195" s="56"/>
      <c r="JUE195" s="56"/>
      <c r="JUF195" s="56"/>
      <c r="JUG195" s="56"/>
      <c r="JUH195" s="56"/>
      <c r="JUI195" s="56"/>
      <c r="JUJ195" s="56"/>
      <c r="JUK195" s="56"/>
      <c r="JUL195" s="56"/>
      <c r="JUM195" s="56"/>
      <c r="JUN195" s="56"/>
      <c r="JUO195" s="56"/>
      <c r="JUP195" s="56"/>
      <c r="JUQ195" s="56"/>
      <c r="JUR195" s="56"/>
      <c r="JUS195" s="56"/>
      <c r="JUT195" s="56"/>
      <c r="JUU195" s="56"/>
      <c r="JUV195" s="56"/>
      <c r="JUW195" s="56"/>
      <c r="JUX195" s="56"/>
      <c r="JUY195" s="56"/>
      <c r="JUZ195" s="56"/>
      <c r="JVA195" s="56"/>
      <c r="JVB195" s="56"/>
      <c r="JVC195" s="56"/>
      <c r="JVD195" s="56"/>
      <c r="JVE195" s="56"/>
      <c r="JVF195" s="56"/>
      <c r="JVG195" s="56"/>
      <c r="JVH195" s="56"/>
      <c r="JVI195" s="56"/>
      <c r="JVJ195" s="56"/>
      <c r="JVK195" s="56"/>
      <c r="JVL195" s="56"/>
      <c r="JVM195" s="56"/>
      <c r="JVN195" s="56"/>
      <c r="JVO195" s="56"/>
      <c r="JVP195" s="56"/>
      <c r="JVQ195" s="56"/>
      <c r="JVR195" s="56"/>
      <c r="JVS195" s="56"/>
      <c r="JVT195" s="56"/>
      <c r="JVU195" s="56"/>
      <c r="JVV195" s="56"/>
      <c r="JVW195" s="56"/>
      <c r="JVX195" s="56"/>
      <c r="JVY195" s="56"/>
      <c r="JVZ195" s="56"/>
      <c r="JWA195" s="56"/>
      <c r="JWB195" s="56"/>
      <c r="JWC195" s="56"/>
      <c r="JWD195" s="56"/>
      <c r="JWE195" s="56"/>
      <c r="JWF195" s="56"/>
      <c r="JWG195" s="56"/>
      <c r="JWH195" s="56"/>
      <c r="JWI195" s="56"/>
      <c r="JWJ195" s="56"/>
      <c r="JWK195" s="56"/>
      <c r="JWL195" s="56"/>
      <c r="JWM195" s="56"/>
      <c r="JWN195" s="56"/>
      <c r="JWO195" s="56"/>
      <c r="JWP195" s="56"/>
      <c r="JWQ195" s="56"/>
      <c r="JWR195" s="56"/>
      <c r="JWS195" s="56"/>
      <c r="JWT195" s="56"/>
      <c r="JWU195" s="56"/>
      <c r="JWV195" s="56"/>
      <c r="JWW195" s="56"/>
      <c r="JWX195" s="56"/>
      <c r="JWY195" s="56"/>
      <c r="JWZ195" s="56"/>
      <c r="JXA195" s="56"/>
      <c r="JXB195" s="56"/>
      <c r="JXC195" s="56"/>
      <c r="JXD195" s="56"/>
      <c r="JXE195" s="56"/>
      <c r="JXF195" s="56"/>
      <c r="JXG195" s="56"/>
      <c r="JXH195" s="56"/>
      <c r="JXI195" s="56"/>
      <c r="JXJ195" s="56"/>
      <c r="JXK195" s="56"/>
      <c r="JXL195" s="56"/>
      <c r="JXM195" s="56"/>
      <c r="JXN195" s="56"/>
      <c r="JXO195" s="56"/>
      <c r="JXP195" s="56"/>
      <c r="JXQ195" s="56"/>
      <c r="JXR195" s="56"/>
      <c r="JXS195" s="56"/>
      <c r="JXT195" s="56"/>
      <c r="JXU195" s="56"/>
      <c r="JXV195" s="56"/>
      <c r="JXW195" s="56"/>
      <c r="JXX195" s="56"/>
      <c r="JXY195" s="56"/>
      <c r="JXZ195" s="56"/>
      <c r="JYA195" s="56"/>
      <c r="JYB195" s="56"/>
      <c r="JYC195" s="56"/>
      <c r="JYD195" s="56"/>
      <c r="JYE195" s="56"/>
      <c r="JYF195" s="56"/>
      <c r="JYG195" s="56"/>
      <c r="JYH195" s="56"/>
      <c r="JYI195" s="56"/>
      <c r="JYJ195" s="56"/>
      <c r="JYK195" s="56"/>
      <c r="JYL195" s="56"/>
      <c r="JYM195" s="56"/>
      <c r="JYN195" s="56"/>
      <c r="JYO195" s="56"/>
      <c r="JYP195" s="56"/>
      <c r="JYQ195" s="56"/>
      <c r="JYR195" s="56"/>
      <c r="JYS195" s="56"/>
      <c r="JYT195" s="56"/>
      <c r="JYU195" s="56"/>
      <c r="JYV195" s="56"/>
      <c r="JYW195" s="56"/>
      <c r="JYX195" s="56"/>
      <c r="JYY195" s="56"/>
      <c r="JYZ195" s="56"/>
      <c r="JZA195" s="56"/>
      <c r="JZB195" s="56"/>
      <c r="JZC195" s="56"/>
      <c r="JZD195" s="56"/>
      <c r="JZE195" s="56"/>
      <c r="JZF195" s="56"/>
      <c r="JZG195" s="56"/>
      <c r="JZH195" s="56"/>
      <c r="JZI195" s="56"/>
      <c r="JZJ195" s="56"/>
      <c r="JZK195" s="56"/>
      <c r="JZL195" s="56"/>
      <c r="JZM195" s="56"/>
      <c r="JZN195" s="56"/>
      <c r="JZO195" s="56"/>
      <c r="JZP195" s="56"/>
      <c r="JZQ195" s="56"/>
      <c r="JZR195" s="56"/>
      <c r="JZS195" s="56"/>
      <c r="JZT195" s="56"/>
      <c r="JZU195" s="56"/>
      <c r="JZV195" s="56"/>
      <c r="JZW195" s="56"/>
      <c r="JZX195" s="56"/>
      <c r="JZY195" s="56"/>
      <c r="JZZ195" s="56"/>
      <c r="KAA195" s="56"/>
      <c r="KAB195" s="56"/>
      <c r="KAC195" s="56"/>
      <c r="KAD195" s="56"/>
      <c r="KAE195" s="56"/>
      <c r="KAF195" s="56"/>
      <c r="KAG195" s="56"/>
      <c r="KAH195" s="56"/>
      <c r="KAI195" s="56"/>
      <c r="KAJ195" s="56"/>
      <c r="KAK195" s="56"/>
      <c r="KAL195" s="56"/>
      <c r="KAM195" s="56"/>
      <c r="KAN195" s="56"/>
      <c r="KAO195" s="56"/>
      <c r="KAP195" s="56"/>
      <c r="KAQ195" s="56"/>
      <c r="KAR195" s="56"/>
      <c r="KAS195" s="56"/>
      <c r="KAT195" s="56"/>
      <c r="KAU195" s="56"/>
      <c r="KAV195" s="56"/>
      <c r="KAW195" s="56"/>
      <c r="KAX195" s="56"/>
      <c r="KAY195" s="56"/>
      <c r="KAZ195" s="56"/>
      <c r="KBA195" s="56"/>
      <c r="KBB195" s="56"/>
      <c r="KBC195" s="56"/>
      <c r="KBD195" s="56"/>
      <c r="KBE195" s="56"/>
      <c r="KBF195" s="56"/>
      <c r="KBG195" s="56"/>
      <c r="KBH195" s="56"/>
      <c r="KBI195" s="56"/>
      <c r="KBJ195" s="56"/>
      <c r="KBK195" s="56"/>
      <c r="KBL195" s="56"/>
      <c r="KBM195" s="56"/>
      <c r="KBN195" s="56"/>
      <c r="KBO195" s="56"/>
      <c r="KBP195" s="56"/>
      <c r="KBQ195" s="56"/>
      <c r="KBR195" s="56"/>
      <c r="KBS195" s="56"/>
      <c r="KBT195" s="56"/>
      <c r="KBU195" s="56"/>
      <c r="KBV195" s="56"/>
      <c r="KBW195" s="56"/>
      <c r="KBX195" s="56"/>
      <c r="KBY195" s="56"/>
      <c r="KBZ195" s="56"/>
      <c r="KCA195" s="56"/>
      <c r="KCB195" s="56"/>
      <c r="KCC195" s="56"/>
      <c r="KCD195" s="56"/>
      <c r="KCE195" s="56"/>
      <c r="KCF195" s="56"/>
      <c r="KCG195" s="56"/>
      <c r="KCH195" s="56"/>
      <c r="KCI195" s="56"/>
      <c r="KCJ195" s="56"/>
      <c r="KCK195" s="56"/>
      <c r="KCL195" s="56"/>
      <c r="KCM195" s="56"/>
      <c r="KCN195" s="56"/>
      <c r="KCO195" s="56"/>
      <c r="KCP195" s="56"/>
      <c r="KCQ195" s="56"/>
      <c r="KCR195" s="56"/>
      <c r="KCS195" s="56"/>
      <c r="KCT195" s="56"/>
      <c r="KCU195" s="56"/>
      <c r="KCV195" s="56"/>
      <c r="KCW195" s="56"/>
      <c r="KCX195" s="56"/>
      <c r="KCY195" s="56"/>
      <c r="KCZ195" s="56"/>
      <c r="KDA195" s="56"/>
      <c r="KDB195" s="56"/>
      <c r="KDC195" s="56"/>
      <c r="KDD195" s="56"/>
      <c r="KDE195" s="56"/>
      <c r="KDF195" s="56"/>
      <c r="KDG195" s="56"/>
      <c r="KDH195" s="56"/>
      <c r="KDI195" s="56"/>
      <c r="KDJ195" s="56"/>
      <c r="KDK195" s="56"/>
      <c r="KDL195" s="56"/>
      <c r="KDM195" s="56"/>
      <c r="KDN195" s="56"/>
      <c r="KDO195" s="56"/>
      <c r="KDP195" s="56"/>
      <c r="KDQ195" s="56"/>
      <c r="KDR195" s="56"/>
      <c r="KDS195" s="56"/>
      <c r="KDT195" s="56"/>
      <c r="KDU195" s="56"/>
      <c r="KDV195" s="56"/>
      <c r="KDW195" s="56"/>
      <c r="KDX195" s="56"/>
      <c r="KDY195" s="56"/>
      <c r="KDZ195" s="56"/>
      <c r="KEA195" s="56"/>
      <c r="KEB195" s="56"/>
      <c r="KEC195" s="56"/>
      <c r="KED195" s="56"/>
      <c r="KEE195" s="56"/>
      <c r="KEF195" s="56"/>
      <c r="KEG195" s="56"/>
      <c r="KEH195" s="56"/>
      <c r="KEI195" s="56"/>
      <c r="KEJ195" s="56"/>
      <c r="KEK195" s="56"/>
      <c r="KEL195" s="56"/>
      <c r="KEM195" s="56"/>
      <c r="KEN195" s="56"/>
      <c r="KEO195" s="56"/>
      <c r="KEP195" s="56"/>
      <c r="KEQ195" s="56"/>
      <c r="KER195" s="56"/>
      <c r="KES195" s="56"/>
      <c r="KET195" s="56"/>
      <c r="KEU195" s="56"/>
      <c r="KEV195" s="56"/>
      <c r="KEW195" s="56"/>
      <c r="KEX195" s="56"/>
      <c r="KEY195" s="56"/>
      <c r="KEZ195" s="56"/>
      <c r="KFA195" s="56"/>
      <c r="KFB195" s="56"/>
      <c r="KFC195" s="56"/>
      <c r="KFD195" s="56"/>
      <c r="KFE195" s="56"/>
      <c r="KFF195" s="56"/>
      <c r="KFG195" s="56"/>
      <c r="KFH195" s="56"/>
      <c r="KFI195" s="56"/>
      <c r="KFJ195" s="56"/>
      <c r="KFK195" s="56"/>
      <c r="KFL195" s="56"/>
      <c r="KFM195" s="56"/>
      <c r="KFN195" s="56"/>
      <c r="KFO195" s="56"/>
      <c r="KFP195" s="56"/>
      <c r="KFQ195" s="56"/>
      <c r="KFR195" s="56"/>
      <c r="KFS195" s="56"/>
      <c r="KFT195" s="56"/>
      <c r="KFU195" s="56"/>
      <c r="KFV195" s="56"/>
      <c r="KFW195" s="56"/>
      <c r="KFX195" s="56"/>
      <c r="KFY195" s="56"/>
      <c r="KFZ195" s="56"/>
      <c r="KGA195" s="56"/>
      <c r="KGB195" s="56"/>
      <c r="KGC195" s="56"/>
      <c r="KGD195" s="56"/>
      <c r="KGE195" s="56"/>
      <c r="KGF195" s="56"/>
      <c r="KGG195" s="56"/>
      <c r="KGH195" s="56"/>
      <c r="KGI195" s="56"/>
      <c r="KGJ195" s="56"/>
      <c r="KGK195" s="56"/>
      <c r="KGL195" s="56"/>
      <c r="KGM195" s="56"/>
      <c r="KGN195" s="56"/>
      <c r="KGO195" s="56"/>
      <c r="KGP195" s="56"/>
      <c r="KGQ195" s="56"/>
      <c r="KGR195" s="56"/>
      <c r="KGS195" s="56"/>
      <c r="KGT195" s="56"/>
      <c r="KGU195" s="56"/>
      <c r="KGV195" s="56"/>
      <c r="KGW195" s="56"/>
      <c r="KGX195" s="56"/>
      <c r="KGY195" s="56"/>
      <c r="KGZ195" s="56"/>
      <c r="KHA195" s="56"/>
      <c r="KHB195" s="56"/>
      <c r="KHC195" s="56"/>
      <c r="KHD195" s="56"/>
      <c r="KHE195" s="56"/>
      <c r="KHF195" s="56"/>
      <c r="KHG195" s="56"/>
      <c r="KHH195" s="56"/>
      <c r="KHI195" s="56"/>
      <c r="KHJ195" s="56"/>
      <c r="KHK195" s="56"/>
      <c r="KHL195" s="56"/>
      <c r="KHM195" s="56"/>
      <c r="KHN195" s="56"/>
      <c r="KHO195" s="56"/>
      <c r="KHP195" s="56"/>
      <c r="KHQ195" s="56"/>
      <c r="KHR195" s="56"/>
      <c r="KHS195" s="56"/>
      <c r="KHT195" s="56"/>
      <c r="KHU195" s="56"/>
      <c r="KHV195" s="56"/>
      <c r="KHW195" s="56"/>
      <c r="KHX195" s="56"/>
      <c r="KHY195" s="56"/>
      <c r="KHZ195" s="56"/>
      <c r="KIA195" s="56"/>
      <c r="KIB195" s="56"/>
      <c r="KIC195" s="56"/>
      <c r="KID195" s="56"/>
      <c r="KIE195" s="56"/>
      <c r="KIF195" s="56"/>
      <c r="KIG195" s="56"/>
      <c r="KIH195" s="56"/>
      <c r="KII195" s="56"/>
      <c r="KIJ195" s="56"/>
      <c r="KIK195" s="56"/>
      <c r="KIL195" s="56"/>
      <c r="KIM195" s="56"/>
      <c r="KIN195" s="56"/>
      <c r="KIO195" s="56"/>
      <c r="KIP195" s="56"/>
      <c r="KIQ195" s="56"/>
      <c r="KIR195" s="56"/>
      <c r="KIS195" s="56"/>
      <c r="KIT195" s="56"/>
      <c r="KIU195" s="56"/>
      <c r="KIV195" s="56"/>
      <c r="KIW195" s="56"/>
      <c r="KIX195" s="56"/>
      <c r="KIY195" s="56"/>
      <c r="KIZ195" s="56"/>
      <c r="KJA195" s="56"/>
      <c r="KJB195" s="56"/>
      <c r="KJC195" s="56"/>
      <c r="KJD195" s="56"/>
      <c r="KJE195" s="56"/>
      <c r="KJF195" s="56"/>
      <c r="KJG195" s="56"/>
      <c r="KJH195" s="56"/>
      <c r="KJI195" s="56"/>
      <c r="KJJ195" s="56"/>
      <c r="KJK195" s="56"/>
      <c r="KJL195" s="56"/>
      <c r="KJM195" s="56"/>
      <c r="KJN195" s="56"/>
      <c r="KJO195" s="56"/>
      <c r="KJP195" s="56"/>
      <c r="KJQ195" s="56"/>
      <c r="KJR195" s="56"/>
      <c r="KJS195" s="56"/>
      <c r="KJT195" s="56"/>
      <c r="KJU195" s="56"/>
      <c r="KJV195" s="56"/>
      <c r="KJW195" s="56"/>
      <c r="KJX195" s="56"/>
      <c r="KJY195" s="56"/>
      <c r="KJZ195" s="56"/>
      <c r="KKA195" s="56"/>
      <c r="KKB195" s="56"/>
      <c r="KKC195" s="56"/>
      <c r="KKD195" s="56"/>
      <c r="KKE195" s="56"/>
      <c r="KKF195" s="56"/>
      <c r="KKG195" s="56"/>
      <c r="KKH195" s="56"/>
      <c r="KKI195" s="56"/>
      <c r="KKJ195" s="56"/>
      <c r="KKK195" s="56"/>
      <c r="KKL195" s="56"/>
      <c r="KKM195" s="56"/>
      <c r="KKN195" s="56"/>
      <c r="KKO195" s="56"/>
      <c r="KKP195" s="56"/>
      <c r="KKQ195" s="56"/>
      <c r="KKR195" s="56"/>
      <c r="KKS195" s="56"/>
      <c r="KKT195" s="56"/>
      <c r="KKU195" s="56"/>
      <c r="KKV195" s="56"/>
      <c r="KKW195" s="56"/>
      <c r="KKX195" s="56"/>
      <c r="KKY195" s="56"/>
      <c r="KKZ195" s="56"/>
      <c r="KLA195" s="56"/>
      <c r="KLB195" s="56"/>
      <c r="KLC195" s="56"/>
      <c r="KLD195" s="56"/>
      <c r="KLE195" s="56"/>
      <c r="KLF195" s="56"/>
      <c r="KLG195" s="56"/>
      <c r="KLH195" s="56"/>
      <c r="KLI195" s="56"/>
      <c r="KLJ195" s="56"/>
      <c r="KLK195" s="56"/>
      <c r="KLL195" s="56"/>
      <c r="KLM195" s="56"/>
      <c r="KLN195" s="56"/>
      <c r="KLO195" s="56"/>
      <c r="KLP195" s="56"/>
      <c r="KLQ195" s="56"/>
      <c r="KLR195" s="56"/>
      <c r="KLS195" s="56"/>
      <c r="KLT195" s="56"/>
      <c r="KLU195" s="56"/>
      <c r="KLV195" s="56"/>
      <c r="KLW195" s="56"/>
      <c r="KLX195" s="56"/>
      <c r="KLY195" s="56"/>
      <c r="KLZ195" s="56"/>
      <c r="KMA195" s="56"/>
      <c r="KMB195" s="56"/>
      <c r="KMC195" s="56"/>
      <c r="KMD195" s="56"/>
      <c r="KME195" s="56"/>
      <c r="KMF195" s="56"/>
      <c r="KMG195" s="56"/>
      <c r="KMH195" s="56"/>
      <c r="KMI195" s="56"/>
      <c r="KMJ195" s="56"/>
      <c r="KMK195" s="56"/>
      <c r="KML195" s="56"/>
      <c r="KMM195" s="56"/>
      <c r="KMN195" s="56"/>
      <c r="KMO195" s="56"/>
      <c r="KMP195" s="56"/>
      <c r="KMQ195" s="56"/>
      <c r="KMR195" s="56"/>
      <c r="KMS195" s="56"/>
      <c r="KMT195" s="56"/>
      <c r="KMU195" s="56"/>
      <c r="KMV195" s="56"/>
      <c r="KMW195" s="56"/>
      <c r="KMX195" s="56"/>
      <c r="KMY195" s="56"/>
      <c r="KMZ195" s="56"/>
      <c r="KNA195" s="56"/>
      <c r="KNB195" s="56"/>
      <c r="KNC195" s="56"/>
      <c r="KND195" s="56"/>
      <c r="KNE195" s="56"/>
      <c r="KNF195" s="56"/>
      <c r="KNG195" s="56"/>
      <c r="KNH195" s="56"/>
      <c r="KNI195" s="56"/>
      <c r="KNJ195" s="56"/>
      <c r="KNK195" s="56"/>
      <c r="KNL195" s="56"/>
      <c r="KNM195" s="56"/>
      <c r="KNN195" s="56"/>
      <c r="KNO195" s="56"/>
      <c r="KNP195" s="56"/>
      <c r="KNQ195" s="56"/>
      <c r="KNR195" s="56"/>
      <c r="KNS195" s="56"/>
      <c r="KNT195" s="56"/>
      <c r="KNU195" s="56"/>
      <c r="KNV195" s="56"/>
      <c r="KNW195" s="56"/>
      <c r="KNX195" s="56"/>
      <c r="KNY195" s="56"/>
      <c r="KNZ195" s="56"/>
      <c r="KOA195" s="56"/>
      <c r="KOB195" s="56"/>
      <c r="KOC195" s="56"/>
      <c r="KOD195" s="56"/>
      <c r="KOE195" s="56"/>
      <c r="KOF195" s="56"/>
      <c r="KOG195" s="56"/>
      <c r="KOH195" s="56"/>
      <c r="KOI195" s="56"/>
      <c r="KOJ195" s="56"/>
      <c r="KOK195" s="56"/>
      <c r="KOL195" s="56"/>
      <c r="KOM195" s="56"/>
      <c r="KON195" s="56"/>
      <c r="KOO195" s="56"/>
      <c r="KOP195" s="56"/>
      <c r="KOQ195" s="56"/>
      <c r="KOR195" s="56"/>
      <c r="KOS195" s="56"/>
      <c r="KOT195" s="56"/>
      <c r="KOU195" s="56"/>
      <c r="KOV195" s="56"/>
      <c r="KOW195" s="56"/>
      <c r="KOX195" s="56"/>
      <c r="KOY195" s="56"/>
      <c r="KOZ195" s="56"/>
      <c r="KPA195" s="56"/>
      <c r="KPB195" s="56"/>
      <c r="KPC195" s="56"/>
      <c r="KPD195" s="56"/>
      <c r="KPE195" s="56"/>
      <c r="KPF195" s="56"/>
      <c r="KPG195" s="56"/>
      <c r="KPH195" s="56"/>
      <c r="KPI195" s="56"/>
      <c r="KPJ195" s="56"/>
      <c r="KPK195" s="56"/>
      <c r="KPL195" s="56"/>
      <c r="KPM195" s="56"/>
      <c r="KPN195" s="56"/>
      <c r="KPO195" s="56"/>
      <c r="KPP195" s="56"/>
      <c r="KPQ195" s="56"/>
      <c r="KPR195" s="56"/>
      <c r="KPS195" s="56"/>
      <c r="KPT195" s="56"/>
      <c r="KPU195" s="56"/>
      <c r="KPV195" s="56"/>
      <c r="KPW195" s="56"/>
      <c r="KPX195" s="56"/>
      <c r="KPY195" s="56"/>
      <c r="KPZ195" s="56"/>
      <c r="KQA195" s="56"/>
      <c r="KQB195" s="56"/>
      <c r="KQC195" s="56"/>
      <c r="KQD195" s="56"/>
      <c r="KQE195" s="56"/>
      <c r="KQF195" s="56"/>
      <c r="KQG195" s="56"/>
      <c r="KQH195" s="56"/>
      <c r="KQI195" s="56"/>
      <c r="KQJ195" s="56"/>
      <c r="KQK195" s="56"/>
      <c r="KQL195" s="56"/>
      <c r="KQM195" s="56"/>
      <c r="KQN195" s="56"/>
      <c r="KQO195" s="56"/>
      <c r="KQP195" s="56"/>
      <c r="KQQ195" s="56"/>
      <c r="KQR195" s="56"/>
      <c r="KQS195" s="56"/>
      <c r="KQT195" s="56"/>
      <c r="KQU195" s="56"/>
      <c r="KQV195" s="56"/>
      <c r="KQW195" s="56"/>
      <c r="KQX195" s="56"/>
      <c r="KQY195" s="56"/>
      <c r="KQZ195" s="56"/>
      <c r="KRA195" s="56"/>
      <c r="KRB195" s="56"/>
      <c r="KRC195" s="56"/>
      <c r="KRD195" s="56"/>
      <c r="KRE195" s="56"/>
      <c r="KRF195" s="56"/>
      <c r="KRG195" s="56"/>
      <c r="KRH195" s="56"/>
      <c r="KRI195" s="56"/>
      <c r="KRJ195" s="56"/>
      <c r="KRK195" s="56"/>
      <c r="KRL195" s="56"/>
      <c r="KRM195" s="56"/>
      <c r="KRN195" s="56"/>
      <c r="KRO195" s="56"/>
      <c r="KRP195" s="56"/>
      <c r="KRQ195" s="56"/>
      <c r="KRR195" s="56"/>
      <c r="KRS195" s="56"/>
      <c r="KRT195" s="56"/>
      <c r="KRU195" s="56"/>
      <c r="KRV195" s="56"/>
      <c r="KRW195" s="56"/>
      <c r="KRX195" s="56"/>
      <c r="KRY195" s="56"/>
      <c r="KRZ195" s="56"/>
      <c r="KSA195" s="56"/>
      <c r="KSB195" s="56"/>
      <c r="KSC195" s="56"/>
      <c r="KSD195" s="56"/>
      <c r="KSE195" s="56"/>
      <c r="KSF195" s="56"/>
      <c r="KSG195" s="56"/>
      <c r="KSH195" s="56"/>
      <c r="KSI195" s="56"/>
      <c r="KSJ195" s="56"/>
      <c r="KSK195" s="56"/>
      <c r="KSL195" s="56"/>
      <c r="KSM195" s="56"/>
      <c r="KSN195" s="56"/>
      <c r="KSO195" s="56"/>
      <c r="KSP195" s="56"/>
      <c r="KSQ195" s="56"/>
      <c r="KSR195" s="56"/>
      <c r="KSS195" s="56"/>
      <c r="KST195" s="56"/>
      <c r="KSU195" s="56"/>
      <c r="KSV195" s="56"/>
      <c r="KSW195" s="56"/>
      <c r="KSX195" s="56"/>
      <c r="KSY195" s="56"/>
      <c r="KSZ195" s="56"/>
      <c r="KTA195" s="56"/>
      <c r="KTB195" s="56"/>
      <c r="KTC195" s="56"/>
      <c r="KTD195" s="56"/>
      <c r="KTE195" s="56"/>
      <c r="KTF195" s="56"/>
      <c r="KTG195" s="56"/>
      <c r="KTH195" s="56"/>
      <c r="KTI195" s="56"/>
      <c r="KTJ195" s="56"/>
      <c r="KTK195" s="56"/>
      <c r="KTL195" s="56"/>
      <c r="KTM195" s="56"/>
      <c r="KTN195" s="56"/>
      <c r="KTO195" s="56"/>
      <c r="KTP195" s="56"/>
      <c r="KTQ195" s="56"/>
      <c r="KTR195" s="56"/>
      <c r="KTS195" s="56"/>
      <c r="KTT195" s="56"/>
      <c r="KTU195" s="56"/>
      <c r="KTV195" s="56"/>
      <c r="KTW195" s="56"/>
      <c r="KTX195" s="56"/>
      <c r="KTY195" s="56"/>
      <c r="KTZ195" s="56"/>
      <c r="KUA195" s="56"/>
      <c r="KUB195" s="56"/>
      <c r="KUC195" s="56"/>
      <c r="KUD195" s="56"/>
      <c r="KUE195" s="56"/>
      <c r="KUF195" s="56"/>
      <c r="KUG195" s="56"/>
      <c r="KUH195" s="56"/>
      <c r="KUI195" s="56"/>
      <c r="KUJ195" s="56"/>
      <c r="KUK195" s="56"/>
      <c r="KUL195" s="56"/>
      <c r="KUM195" s="56"/>
      <c r="KUN195" s="56"/>
      <c r="KUO195" s="56"/>
      <c r="KUP195" s="56"/>
      <c r="KUQ195" s="56"/>
      <c r="KUR195" s="56"/>
      <c r="KUS195" s="56"/>
      <c r="KUT195" s="56"/>
      <c r="KUU195" s="56"/>
      <c r="KUV195" s="56"/>
      <c r="KUW195" s="56"/>
      <c r="KUX195" s="56"/>
      <c r="KUY195" s="56"/>
      <c r="KUZ195" s="56"/>
      <c r="KVA195" s="56"/>
      <c r="KVB195" s="56"/>
      <c r="KVC195" s="56"/>
      <c r="KVD195" s="56"/>
      <c r="KVE195" s="56"/>
      <c r="KVF195" s="56"/>
      <c r="KVG195" s="56"/>
      <c r="KVH195" s="56"/>
      <c r="KVI195" s="56"/>
      <c r="KVJ195" s="56"/>
      <c r="KVK195" s="56"/>
      <c r="KVL195" s="56"/>
      <c r="KVM195" s="56"/>
      <c r="KVN195" s="56"/>
      <c r="KVO195" s="56"/>
      <c r="KVP195" s="56"/>
      <c r="KVQ195" s="56"/>
      <c r="KVR195" s="56"/>
      <c r="KVS195" s="56"/>
      <c r="KVT195" s="56"/>
      <c r="KVU195" s="56"/>
      <c r="KVV195" s="56"/>
      <c r="KVW195" s="56"/>
      <c r="KVX195" s="56"/>
      <c r="KVY195" s="56"/>
      <c r="KVZ195" s="56"/>
      <c r="KWA195" s="56"/>
      <c r="KWB195" s="56"/>
      <c r="KWC195" s="56"/>
      <c r="KWD195" s="56"/>
      <c r="KWE195" s="56"/>
      <c r="KWF195" s="56"/>
      <c r="KWG195" s="56"/>
      <c r="KWH195" s="56"/>
      <c r="KWI195" s="56"/>
      <c r="KWJ195" s="56"/>
      <c r="KWK195" s="56"/>
      <c r="KWL195" s="56"/>
      <c r="KWM195" s="56"/>
      <c r="KWN195" s="56"/>
      <c r="KWO195" s="56"/>
      <c r="KWP195" s="56"/>
      <c r="KWQ195" s="56"/>
      <c r="KWR195" s="56"/>
      <c r="KWS195" s="56"/>
      <c r="KWT195" s="56"/>
      <c r="KWU195" s="56"/>
      <c r="KWV195" s="56"/>
      <c r="KWW195" s="56"/>
      <c r="KWX195" s="56"/>
      <c r="KWY195" s="56"/>
      <c r="KWZ195" s="56"/>
      <c r="KXA195" s="56"/>
      <c r="KXB195" s="56"/>
      <c r="KXC195" s="56"/>
      <c r="KXD195" s="56"/>
      <c r="KXE195" s="56"/>
      <c r="KXF195" s="56"/>
      <c r="KXG195" s="56"/>
      <c r="KXH195" s="56"/>
      <c r="KXI195" s="56"/>
      <c r="KXJ195" s="56"/>
      <c r="KXK195" s="56"/>
      <c r="KXL195" s="56"/>
      <c r="KXM195" s="56"/>
      <c r="KXN195" s="56"/>
      <c r="KXO195" s="56"/>
      <c r="KXP195" s="56"/>
      <c r="KXQ195" s="56"/>
      <c r="KXR195" s="56"/>
      <c r="KXS195" s="56"/>
      <c r="KXT195" s="56"/>
      <c r="KXU195" s="56"/>
      <c r="KXV195" s="56"/>
      <c r="KXW195" s="56"/>
      <c r="KXX195" s="56"/>
      <c r="KXY195" s="56"/>
      <c r="KXZ195" s="56"/>
      <c r="KYA195" s="56"/>
      <c r="KYB195" s="56"/>
      <c r="KYC195" s="56"/>
      <c r="KYD195" s="56"/>
      <c r="KYE195" s="56"/>
      <c r="KYF195" s="56"/>
      <c r="KYG195" s="56"/>
      <c r="KYH195" s="56"/>
      <c r="KYI195" s="56"/>
      <c r="KYJ195" s="56"/>
      <c r="KYK195" s="56"/>
      <c r="KYL195" s="56"/>
      <c r="KYM195" s="56"/>
      <c r="KYN195" s="56"/>
      <c r="KYO195" s="56"/>
      <c r="KYP195" s="56"/>
      <c r="KYQ195" s="56"/>
      <c r="KYR195" s="56"/>
      <c r="KYS195" s="56"/>
      <c r="KYT195" s="56"/>
      <c r="KYU195" s="56"/>
      <c r="KYV195" s="56"/>
      <c r="KYW195" s="56"/>
      <c r="KYX195" s="56"/>
      <c r="KYY195" s="56"/>
      <c r="KYZ195" s="56"/>
      <c r="KZA195" s="56"/>
      <c r="KZB195" s="56"/>
      <c r="KZC195" s="56"/>
      <c r="KZD195" s="56"/>
      <c r="KZE195" s="56"/>
      <c r="KZF195" s="56"/>
      <c r="KZG195" s="56"/>
      <c r="KZH195" s="56"/>
      <c r="KZI195" s="56"/>
      <c r="KZJ195" s="56"/>
      <c r="KZK195" s="56"/>
      <c r="KZL195" s="56"/>
      <c r="KZM195" s="56"/>
      <c r="KZN195" s="56"/>
      <c r="KZO195" s="56"/>
      <c r="KZP195" s="56"/>
      <c r="KZQ195" s="56"/>
      <c r="KZR195" s="56"/>
      <c r="KZS195" s="56"/>
      <c r="KZT195" s="56"/>
      <c r="KZU195" s="56"/>
      <c r="KZV195" s="56"/>
      <c r="KZW195" s="56"/>
      <c r="KZX195" s="56"/>
      <c r="KZY195" s="56"/>
      <c r="KZZ195" s="56"/>
      <c r="LAA195" s="56"/>
      <c r="LAB195" s="56"/>
      <c r="LAC195" s="56"/>
      <c r="LAD195" s="56"/>
      <c r="LAE195" s="56"/>
      <c r="LAF195" s="56"/>
      <c r="LAG195" s="56"/>
      <c r="LAH195" s="56"/>
      <c r="LAI195" s="56"/>
      <c r="LAJ195" s="56"/>
      <c r="LAK195" s="56"/>
      <c r="LAL195" s="56"/>
      <c r="LAM195" s="56"/>
      <c r="LAN195" s="56"/>
      <c r="LAO195" s="56"/>
      <c r="LAP195" s="56"/>
      <c r="LAQ195" s="56"/>
      <c r="LAR195" s="56"/>
      <c r="LAS195" s="56"/>
      <c r="LAT195" s="56"/>
      <c r="LAU195" s="56"/>
      <c r="LAV195" s="56"/>
      <c r="LAW195" s="56"/>
      <c r="LAX195" s="56"/>
      <c r="LAY195" s="56"/>
      <c r="LAZ195" s="56"/>
      <c r="LBA195" s="56"/>
      <c r="LBB195" s="56"/>
      <c r="LBC195" s="56"/>
      <c r="LBD195" s="56"/>
      <c r="LBE195" s="56"/>
      <c r="LBF195" s="56"/>
      <c r="LBG195" s="56"/>
      <c r="LBH195" s="56"/>
      <c r="LBI195" s="56"/>
      <c r="LBJ195" s="56"/>
      <c r="LBK195" s="56"/>
      <c r="LBL195" s="56"/>
      <c r="LBM195" s="56"/>
      <c r="LBN195" s="56"/>
      <c r="LBO195" s="56"/>
      <c r="LBP195" s="56"/>
      <c r="LBQ195" s="56"/>
      <c r="LBR195" s="56"/>
      <c r="LBS195" s="56"/>
      <c r="LBT195" s="56"/>
      <c r="LBU195" s="56"/>
      <c r="LBV195" s="56"/>
      <c r="LBW195" s="56"/>
      <c r="LBX195" s="56"/>
      <c r="LBY195" s="56"/>
      <c r="LBZ195" s="56"/>
      <c r="LCA195" s="56"/>
      <c r="LCB195" s="56"/>
      <c r="LCC195" s="56"/>
      <c r="LCD195" s="56"/>
      <c r="LCE195" s="56"/>
      <c r="LCF195" s="56"/>
      <c r="LCG195" s="56"/>
      <c r="LCH195" s="56"/>
      <c r="LCI195" s="56"/>
      <c r="LCJ195" s="56"/>
      <c r="LCK195" s="56"/>
      <c r="LCL195" s="56"/>
      <c r="LCM195" s="56"/>
      <c r="LCN195" s="56"/>
      <c r="LCO195" s="56"/>
      <c r="LCP195" s="56"/>
      <c r="LCQ195" s="56"/>
      <c r="LCR195" s="56"/>
      <c r="LCS195" s="56"/>
      <c r="LCT195" s="56"/>
      <c r="LCU195" s="56"/>
      <c r="LCV195" s="56"/>
      <c r="LCW195" s="56"/>
      <c r="LCX195" s="56"/>
      <c r="LCY195" s="56"/>
      <c r="LCZ195" s="56"/>
      <c r="LDA195" s="56"/>
      <c r="LDB195" s="56"/>
      <c r="LDC195" s="56"/>
      <c r="LDD195" s="56"/>
      <c r="LDE195" s="56"/>
      <c r="LDF195" s="56"/>
      <c r="LDG195" s="56"/>
      <c r="LDH195" s="56"/>
      <c r="LDI195" s="56"/>
      <c r="LDJ195" s="56"/>
      <c r="LDK195" s="56"/>
      <c r="LDL195" s="56"/>
      <c r="LDM195" s="56"/>
      <c r="LDN195" s="56"/>
      <c r="LDO195" s="56"/>
      <c r="LDP195" s="56"/>
      <c r="LDQ195" s="56"/>
      <c r="LDR195" s="56"/>
      <c r="LDS195" s="56"/>
      <c r="LDT195" s="56"/>
      <c r="LDU195" s="56"/>
      <c r="LDV195" s="56"/>
      <c r="LDW195" s="56"/>
      <c r="LDX195" s="56"/>
      <c r="LDY195" s="56"/>
      <c r="LDZ195" s="56"/>
      <c r="LEA195" s="56"/>
      <c r="LEB195" s="56"/>
      <c r="LEC195" s="56"/>
      <c r="LED195" s="56"/>
      <c r="LEE195" s="56"/>
      <c r="LEF195" s="56"/>
      <c r="LEG195" s="56"/>
      <c r="LEH195" s="56"/>
      <c r="LEI195" s="56"/>
      <c r="LEJ195" s="56"/>
      <c r="LEK195" s="56"/>
      <c r="LEL195" s="56"/>
      <c r="LEM195" s="56"/>
      <c r="LEN195" s="56"/>
      <c r="LEO195" s="56"/>
      <c r="LEP195" s="56"/>
      <c r="LEQ195" s="56"/>
      <c r="LER195" s="56"/>
      <c r="LES195" s="56"/>
      <c r="LET195" s="56"/>
      <c r="LEU195" s="56"/>
      <c r="LEV195" s="56"/>
      <c r="LEW195" s="56"/>
      <c r="LEX195" s="56"/>
      <c r="LEY195" s="56"/>
      <c r="LEZ195" s="56"/>
      <c r="LFA195" s="56"/>
      <c r="LFB195" s="56"/>
      <c r="LFC195" s="56"/>
      <c r="LFD195" s="56"/>
      <c r="LFE195" s="56"/>
      <c r="LFF195" s="56"/>
      <c r="LFG195" s="56"/>
      <c r="LFH195" s="56"/>
      <c r="LFI195" s="56"/>
      <c r="LFJ195" s="56"/>
      <c r="LFK195" s="56"/>
      <c r="LFL195" s="56"/>
      <c r="LFM195" s="56"/>
      <c r="LFN195" s="56"/>
      <c r="LFO195" s="56"/>
      <c r="LFP195" s="56"/>
      <c r="LFQ195" s="56"/>
      <c r="LFR195" s="56"/>
      <c r="LFS195" s="56"/>
      <c r="LFT195" s="56"/>
      <c r="LFU195" s="56"/>
      <c r="LFV195" s="56"/>
      <c r="LFW195" s="56"/>
      <c r="LFX195" s="56"/>
      <c r="LFY195" s="56"/>
      <c r="LFZ195" s="56"/>
      <c r="LGA195" s="56"/>
      <c r="LGB195" s="56"/>
      <c r="LGC195" s="56"/>
      <c r="LGD195" s="56"/>
      <c r="LGE195" s="56"/>
      <c r="LGF195" s="56"/>
      <c r="LGG195" s="56"/>
      <c r="LGH195" s="56"/>
      <c r="LGI195" s="56"/>
      <c r="LGJ195" s="56"/>
      <c r="LGK195" s="56"/>
      <c r="LGL195" s="56"/>
      <c r="LGM195" s="56"/>
      <c r="LGN195" s="56"/>
      <c r="LGO195" s="56"/>
      <c r="LGP195" s="56"/>
      <c r="LGQ195" s="56"/>
      <c r="LGR195" s="56"/>
      <c r="LGS195" s="56"/>
      <c r="LGT195" s="56"/>
      <c r="LGU195" s="56"/>
      <c r="LGV195" s="56"/>
      <c r="LGW195" s="56"/>
      <c r="LGX195" s="56"/>
      <c r="LGY195" s="56"/>
      <c r="LGZ195" s="56"/>
      <c r="LHA195" s="56"/>
      <c r="LHB195" s="56"/>
      <c r="LHC195" s="56"/>
      <c r="LHD195" s="56"/>
      <c r="LHE195" s="56"/>
      <c r="LHF195" s="56"/>
      <c r="LHG195" s="56"/>
      <c r="LHH195" s="56"/>
      <c r="LHI195" s="56"/>
      <c r="LHJ195" s="56"/>
      <c r="LHK195" s="56"/>
      <c r="LHL195" s="56"/>
      <c r="LHM195" s="56"/>
      <c r="LHN195" s="56"/>
      <c r="LHO195" s="56"/>
      <c r="LHP195" s="56"/>
      <c r="LHQ195" s="56"/>
      <c r="LHR195" s="56"/>
      <c r="LHS195" s="56"/>
      <c r="LHT195" s="56"/>
      <c r="LHU195" s="56"/>
      <c r="LHV195" s="56"/>
      <c r="LHW195" s="56"/>
      <c r="LHX195" s="56"/>
      <c r="LHY195" s="56"/>
      <c r="LHZ195" s="56"/>
      <c r="LIA195" s="56"/>
      <c r="LIB195" s="56"/>
      <c r="LIC195" s="56"/>
      <c r="LID195" s="56"/>
      <c r="LIE195" s="56"/>
      <c r="LIF195" s="56"/>
      <c r="LIG195" s="56"/>
      <c r="LIH195" s="56"/>
      <c r="LII195" s="56"/>
      <c r="LIJ195" s="56"/>
      <c r="LIK195" s="56"/>
      <c r="LIL195" s="56"/>
      <c r="LIM195" s="56"/>
      <c r="LIN195" s="56"/>
      <c r="LIO195" s="56"/>
      <c r="LIP195" s="56"/>
      <c r="LIQ195" s="56"/>
      <c r="LIR195" s="56"/>
      <c r="LIS195" s="56"/>
      <c r="LIT195" s="56"/>
      <c r="LIU195" s="56"/>
      <c r="LIV195" s="56"/>
      <c r="LIW195" s="56"/>
      <c r="LIX195" s="56"/>
      <c r="LIY195" s="56"/>
      <c r="LIZ195" s="56"/>
      <c r="LJA195" s="56"/>
      <c r="LJB195" s="56"/>
      <c r="LJC195" s="56"/>
      <c r="LJD195" s="56"/>
      <c r="LJE195" s="56"/>
      <c r="LJF195" s="56"/>
      <c r="LJG195" s="56"/>
      <c r="LJH195" s="56"/>
      <c r="LJI195" s="56"/>
      <c r="LJJ195" s="56"/>
      <c r="LJK195" s="56"/>
      <c r="LJL195" s="56"/>
      <c r="LJM195" s="56"/>
      <c r="LJN195" s="56"/>
      <c r="LJO195" s="56"/>
      <c r="LJP195" s="56"/>
      <c r="LJQ195" s="56"/>
      <c r="LJR195" s="56"/>
      <c r="LJS195" s="56"/>
      <c r="LJT195" s="56"/>
      <c r="LJU195" s="56"/>
      <c r="LJV195" s="56"/>
      <c r="LJW195" s="56"/>
      <c r="LJX195" s="56"/>
      <c r="LJY195" s="56"/>
      <c r="LJZ195" s="56"/>
      <c r="LKA195" s="56"/>
      <c r="LKB195" s="56"/>
      <c r="LKC195" s="56"/>
      <c r="LKD195" s="56"/>
      <c r="LKE195" s="56"/>
      <c r="LKF195" s="56"/>
      <c r="LKG195" s="56"/>
      <c r="LKH195" s="56"/>
      <c r="LKI195" s="56"/>
      <c r="LKJ195" s="56"/>
      <c r="LKK195" s="56"/>
      <c r="LKL195" s="56"/>
      <c r="LKM195" s="56"/>
      <c r="LKN195" s="56"/>
      <c r="LKO195" s="56"/>
      <c r="LKP195" s="56"/>
      <c r="LKQ195" s="56"/>
      <c r="LKR195" s="56"/>
      <c r="LKS195" s="56"/>
      <c r="LKT195" s="56"/>
      <c r="LKU195" s="56"/>
      <c r="LKV195" s="56"/>
      <c r="LKW195" s="56"/>
      <c r="LKX195" s="56"/>
      <c r="LKY195" s="56"/>
      <c r="LKZ195" s="56"/>
      <c r="LLA195" s="56"/>
      <c r="LLB195" s="56"/>
      <c r="LLC195" s="56"/>
      <c r="LLD195" s="56"/>
      <c r="LLE195" s="56"/>
      <c r="LLF195" s="56"/>
      <c r="LLG195" s="56"/>
      <c r="LLH195" s="56"/>
      <c r="LLI195" s="56"/>
      <c r="LLJ195" s="56"/>
      <c r="LLK195" s="56"/>
      <c r="LLL195" s="56"/>
      <c r="LLM195" s="56"/>
      <c r="LLN195" s="56"/>
      <c r="LLO195" s="56"/>
      <c r="LLP195" s="56"/>
      <c r="LLQ195" s="56"/>
      <c r="LLR195" s="56"/>
      <c r="LLS195" s="56"/>
      <c r="LLT195" s="56"/>
      <c r="LLU195" s="56"/>
      <c r="LLV195" s="56"/>
      <c r="LLW195" s="56"/>
      <c r="LLX195" s="56"/>
      <c r="LLY195" s="56"/>
      <c r="LLZ195" s="56"/>
      <c r="LMA195" s="56"/>
      <c r="LMB195" s="56"/>
      <c r="LMC195" s="56"/>
      <c r="LMD195" s="56"/>
      <c r="LME195" s="56"/>
      <c r="LMF195" s="56"/>
      <c r="LMG195" s="56"/>
      <c r="LMH195" s="56"/>
      <c r="LMI195" s="56"/>
      <c r="LMJ195" s="56"/>
      <c r="LMK195" s="56"/>
      <c r="LML195" s="56"/>
      <c r="LMM195" s="56"/>
      <c r="LMN195" s="56"/>
      <c r="LMO195" s="56"/>
      <c r="LMP195" s="56"/>
      <c r="LMQ195" s="56"/>
      <c r="LMR195" s="56"/>
      <c r="LMS195" s="56"/>
      <c r="LMT195" s="56"/>
      <c r="LMU195" s="56"/>
      <c r="LMV195" s="56"/>
      <c r="LMW195" s="56"/>
      <c r="LMX195" s="56"/>
      <c r="LMY195" s="56"/>
      <c r="LMZ195" s="56"/>
      <c r="LNA195" s="56"/>
      <c r="LNB195" s="56"/>
      <c r="LNC195" s="56"/>
      <c r="LND195" s="56"/>
      <c r="LNE195" s="56"/>
      <c r="LNF195" s="56"/>
      <c r="LNG195" s="56"/>
      <c r="LNH195" s="56"/>
      <c r="LNI195" s="56"/>
      <c r="LNJ195" s="56"/>
      <c r="LNK195" s="56"/>
      <c r="LNL195" s="56"/>
      <c r="LNM195" s="56"/>
      <c r="LNN195" s="56"/>
      <c r="LNO195" s="56"/>
      <c r="LNP195" s="56"/>
      <c r="LNQ195" s="56"/>
      <c r="LNR195" s="56"/>
      <c r="LNS195" s="56"/>
      <c r="LNT195" s="56"/>
      <c r="LNU195" s="56"/>
      <c r="LNV195" s="56"/>
      <c r="LNW195" s="56"/>
      <c r="LNX195" s="56"/>
      <c r="LNY195" s="56"/>
      <c r="LNZ195" s="56"/>
      <c r="LOA195" s="56"/>
      <c r="LOB195" s="56"/>
      <c r="LOC195" s="56"/>
      <c r="LOD195" s="56"/>
      <c r="LOE195" s="56"/>
      <c r="LOF195" s="56"/>
      <c r="LOG195" s="56"/>
      <c r="LOH195" s="56"/>
      <c r="LOI195" s="56"/>
      <c r="LOJ195" s="56"/>
      <c r="LOK195" s="56"/>
      <c r="LOL195" s="56"/>
      <c r="LOM195" s="56"/>
      <c r="LON195" s="56"/>
      <c r="LOO195" s="56"/>
      <c r="LOP195" s="56"/>
      <c r="LOQ195" s="56"/>
      <c r="LOR195" s="56"/>
      <c r="LOS195" s="56"/>
      <c r="LOT195" s="56"/>
      <c r="LOU195" s="56"/>
      <c r="LOV195" s="56"/>
      <c r="LOW195" s="56"/>
      <c r="LOX195" s="56"/>
      <c r="LOY195" s="56"/>
      <c r="LOZ195" s="56"/>
      <c r="LPA195" s="56"/>
      <c r="LPB195" s="56"/>
      <c r="LPC195" s="56"/>
      <c r="LPD195" s="56"/>
      <c r="LPE195" s="56"/>
      <c r="LPF195" s="56"/>
      <c r="LPG195" s="56"/>
      <c r="LPH195" s="56"/>
      <c r="LPI195" s="56"/>
      <c r="LPJ195" s="56"/>
      <c r="LPK195" s="56"/>
      <c r="LPL195" s="56"/>
      <c r="LPM195" s="56"/>
      <c r="LPN195" s="56"/>
      <c r="LPO195" s="56"/>
      <c r="LPP195" s="56"/>
      <c r="LPQ195" s="56"/>
      <c r="LPR195" s="56"/>
      <c r="LPS195" s="56"/>
      <c r="LPT195" s="56"/>
      <c r="LPU195" s="56"/>
      <c r="LPV195" s="56"/>
      <c r="LPW195" s="56"/>
      <c r="LPX195" s="56"/>
      <c r="LPY195" s="56"/>
      <c r="LPZ195" s="56"/>
      <c r="LQA195" s="56"/>
      <c r="LQB195" s="56"/>
      <c r="LQC195" s="56"/>
      <c r="LQD195" s="56"/>
      <c r="LQE195" s="56"/>
      <c r="LQF195" s="56"/>
      <c r="LQG195" s="56"/>
      <c r="LQH195" s="56"/>
      <c r="LQI195" s="56"/>
      <c r="LQJ195" s="56"/>
      <c r="LQK195" s="56"/>
      <c r="LQL195" s="56"/>
      <c r="LQM195" s="56"/>
      <c r="LQN195" s="56"/>
      <c r="LQO195" s="56"/>
      <c r="LQP195" s="56"/>
      <c r="LQQ195" s="56"/>
      <c r="LQR195" s="56"/>
      <c r="LQS195" s="56"/>
      <c r="LQT195" s="56"/>
      <c r="LQU195" s="56"/>
      <c r="LQV195" s="56"/>
      <c r="LQW195" s="56"/>
      <c r="LQX195" s="56"/>
      <c r="LQY195" s="56"/>
      <c r="LQZ195" s="56"/>
      <c r="LRA195" s="56"/>
      <c r="LRB195" s="56"/>
      <c r="LRC195" s="56"/>
      <c r="LRD195" s="56"/>
      <c r="LRE195" s="56"/>
      <c r="LRF195" s="56"/>
      <c r="LRG195" s="56"/>
      <c r="LRH195" s="56"/>
      <c r="LRI195" s="56"/>
      <c r="LRJ195" s="56"/>
      <c r="LRK195" s="56"/>
      <c r="LRL195" s="56"/>
      <c r="LRM195" s="56"/>
      <c r="LRN195" s="56"/>
      <c r="LRO195" s="56"/>
      <c r="LRP195" s="56"/>
      <c r="LRQ195" s="56"/>
      <c r="LRR195" s="56"/>
      <c r="LRS195" s="56"/>
      <c r="LRT195" s="56"/>
      <c r="LRU195" s="56"/>
      <c r="LRV195" s="56"/>
      <c r="LRW195" s="56"/>
      <c r="LRX195" s="56"/>
      <c r="LRY195" s="56"/>
      <c r="LRZ195" s="56"/>
      <c r="LSA195" s="56"/>
      <c r="LSB195" s="56"/>
      <c r="LSC195" s="56"/>
      <c r="LSD195" s="56"/>
      <c r="LSE195" s="56"/>
      <c r="LSF195" s="56"/>
      <c r="LSG195" s="56"/>
      <c r="LSH195" s="56"/>
      <c r="LSI195" s="56"/>
      <c r="LSJ195" s="56"/>
      <c r="LSK195" s="56"/>
      <c r="LSL195" s="56"/>
      <c r="LSM195" s="56"/>
      <c r="LSN195" s="56"/>
      <c r="LSO195" s="56"/>
      <c r="LSP195" s="56"/>
      <c r="LSQ195" s="56"/>
      <c r="LSR195" s="56"/>
      <c r="LSS195" s="56"/>
      <c r="LST195" s="56"/>
      <c r="LSU195" s="56"/>
      <c r="LSV195" s="56"/>
      <c r="LSW195" s="56"/>
      <c r="LSX195" s="56"/>
      <c r="LSY195" s="56"/>
      <c r="LSZ195" s="56"/>
      <c r="LTA195" s="56"/>
      <c r="LTB195" s="56"/>
      <c r="LTC195" s="56"/>
      <c r="LTD195" s="56"/>
      <c r="LTE195" s="56"/>
      <c r="LTF195" s="56"/>
      <c r="LTG195" s="56"/>
      <c r="LTH195" s="56"/>
      <c r="LTI195" s="56"/>
      <c r="LTJ195" s="56"/>
      <c r="LTK195" s="56"/>
      <c r="LTL195" s="56"/>
      <c r="LTM195" s="56"/>
      <c r="LTN195" s="56"/>
      <c r="LTO195" s="56"/>
      <c r="LTP195" s="56"/>
      <c r="LTQ195" s="56"/>
      <c r="LTR195" s="56"/>
      <c r="LTS195" s="56"/>
      <c r="LTT195" s="56"/>
      <c r="LTU195" s="56"/>
      <c r="LTV195" s="56"/>
      <c r="LTW195" s="56"/>
      <c r="LTX195" s="56"/>
      <c r="LTY195" s="56"/>
      <c r="LTZ195" s="56"/>
      <c r="LUA195" s="56"/>
      <c r="LUB195" s="56"/>
      <c r="LUC195" s="56"/>
      <c r="LUD195" s="56"/>
      <c r="LUE195" s="56"/>
      <c r="LUF195" s="56"/>
      <c r="LUG195" s="56"/>
      <c r="LUH195" s="56"/>
      <c r="LUI195" s="56"/>
      <c r="LUJ195" s="56"/>
      <c r="LUK195" s="56"/>
      <c r="LUL195" s="56"/>
      <c r="LUM195" s="56"/>
      <c r="LUN195" s="56"/>
      <c r="LUO195" s="56"/>
      <c r="LUP195" s="56"/>
      <c r="LUQ195" s="56"/>
      <c r="LUR195" s="56"/>
      <c r="LUS195" s="56"/>
      <c r="LUT195" s="56"/>
      <c r="LUU195" s="56"/>
      <c r="LUV195" s="56"/>
      <c r="LUW195" s="56"/>
      <c r="LUX195" s="56"/>
      <c r="LUY195" s="56"/>
      <c r="LUZ195" s="56"/>
      <c r="LVA195" s="56"/>
      <c r="LVB195" s="56"/>
      <c r="LVC195" s="56"/>
      <c r="LVD195" s="56"/>
      <c r="LVE195" s="56"/>
      <c r="LVF195" s="56"/>
      <c r="LVG195" s="56"/>
      <c r="LVH195" s="56"/>
      <c r="LVI195" s="56"/>
      <c r="LVJ195" s="56"/>
      <c r="LVK195" s="56"/>
      <c r="LVL195" s="56"/>
      <c r="LVM195" s="56"/>
      <c r="LVN195" s="56"/>
      <c r="LVO195" s="56"/>
      <c r="LVP195" s="56"/>
      <c r="LVQ195" s="56"/>
      <c r="LVR195" s="56"/>
      <c r="LVS195" s="56"/>
      <c r="LVT195" s="56"/>
      <c r="LVU195" s="56"/>
      <c r="LVV195" s="56"/>
      <c r="LVW195" s="56"/>
      <c r="LVX195" s="56"/>
      <c r="LVY195" s="56"/>
      <c r="LVZ195" s="56"/>
      <c r="LWA195" s="56"/>
      <c r="LWB195" s="56"/>
      <c r="LWC195" s="56"/>
      <c r="LWD195" s="56"/>
      <c r="LWE195" s="56"/>
      <c r="LWF195" s="56"/>
      <c r="LWG195" s="56"/>
      <c r="LWH195" s="56"/>
      <c r="LWI195" s="56"/>
      <c r="LWJ195" s="56"/>
      <c r="LWK195" s="56"/>
      <c r="LWL195" s="56"/>
      <c r="LWM195" s="56"/>
      <c r="LWN195" s="56"/>
      <c r="LWO195" s="56"/>
      <c r="LWP195" s="56"/>
      <c r="LWQ195" s="56"/>
      <c r="LWR195" s="56"/>
      <c r="LWS195" s="56"/>
      <c r="LWT195" s="56"/>
      <c r="LWU195" s="56"/>
      <c r="LWV195" s="56"/>
      <c r="LWW195" s="56"/>
      <c r="LWX195" s="56"/>
      <c r="LWY195" s="56"/>
      <c r="LWZ195" s="56"/>
      <c r="LXA195" s="56"/>
      <c r="LXB195" s="56"/>
      <c r="LXC195" s="56"/>
      <c r="LXD195" s="56"/>
      <c r="LXE195" s="56"/>
      <c r="LXF195" s="56"/>
      <c r="LXG195" s="56"/>
      <c r="LXH195" s="56"/>
      <c r="LXI195" s="56"/>
      <c r="LXJ195" s="56"/>
      <c r="LXK195" s="56"/>
      <c r="LXL195" s="56"/>
      <c r="LXM195" s="56"/>
      <c r="LXN195" s="56"/>
      <c r="LXO195" s="56"/>
      <c r="LXP195" s="56"/>
      <c r="LXQ195" s="56"/>
      <c r="LXR195" s="56"/>
      <c r="LXS195" s="56"/>
      <c r="LXT195" s="56"/>
      <c r="LXU195" s="56"/>
      <c r="LXV195" s="56"/>
      <c r="LXW195" s="56"/>
      <c r="LXX195" s="56"/>
      <c r="LXY195" s="56"/>
      <c r="LXZ195" s="56"/>
      <c r="LYA195" s="56"/>
      <c r="LYB195" s="56"/>
      <c r="LYC195" s="56"/>
      <c r="LYD195" s="56"/>
      <c r="LYE195" s="56"/>
      <c r="LYF195" s="56"/>
      <c r="LYG195" s="56"/>
      <c r="LYH195" s="56"/>
      <c r="LYI195" s="56"/>
      <c r="LYJ195" s="56"/>
      <c r="LYK195" s="56"/>
      <c r="LYL195" s="56"/>
      <c r="LYM195" s="56"/>
      <c r="LYN195" s="56"/>
      <c r="LYO195" s="56"/>
      <c r="LYP195" s="56"/>
      <c r="LYQ195" s="56"/>
      <c r="LYR195" s="56"/>
      <c r="LYS195" s="56"/>
      <c r="LYT195" s="56"/>
      <c r="LYU195" s="56"/>
      <c r="LYV195" s="56"/>
      <c r="LYW195" s="56"/>
      <c r="LYX195" s="56"/>
      <c r="LYY195" s="56"/>
      <c r="LYZ195" s="56"/>
      <c r="LZA195" s="56"/>
      <c r="LZB195" s="56"/>
      <c r="LZC195" s="56"/>
      <c r="LZD195" s="56"/>
      <c r="LZE195" s="56"/>
      <c r="LZF195" s="56"/>
      <c r="LZG195" s="56"/>
      <c r="LZH195" s="56"/>
      <c r="LZI195" s="56"/>
      <c r="LZJ195" s="56"/>
      <c r="LZK195" s="56"/>
      <c r="LZL195" s="56"/>
      <c r="LZM195" s="56"/>
      <c r="LZN195" s="56"/>
      <c r="LZO195" s="56"/>
      <c r="LZP195" s="56"/>
      <c r="LZQ195" s="56"/>
      <c r="LZR195" s="56"/>
      <c r="LZS195" s="56"/>
      <c r="LZT195" s="56"/>
      <c r="LZU195" s="56"/>
      <c r="LZV195" s="56"/>
      <c r="LZW195" s="56"/>
      <c r="LZX195" s="56"/>
      <c r="LZY195" s="56"/>
      <c r="LZZ195" s="56"/>
      <c r="MAA195" s="56"/>
      <c r="MAB195" s="56"/>
      <c r="MAC195" s="56"/>
      <c r="MAD195" s="56"/>
      <c r="MAE195" s="56"/>
      <c r="MAF195" s="56"/>
      <c r="MAG195" s="56"/>
      <c r="MAH195" s="56"/>
      <c r="MAI195" s="56"/>
      <c r="MAJ195" s="56"/>
      <c r="MAK195" s="56"/>
      <c r="MAL195" s="56"/>
      <c r="MAM195" s="56"/>
      <c r="MAN195" s="56"/>
      <c r="MAO195" s="56"/>
      <c r="MAP195" s="56"/>
      <c r="MAQ195" s="56"/>
      <c r="MAR195" s="56"/>
      <c r="MAS195" s="56"/>
      <c r="MAT195" s="56"/>
      <c r="MAU195" s="56"/>
      <c r="MAV195" s="56"/>
      <c r="MAW195" s="56"/>
      <c r="MAX195" s="56"/>
      <c r="MAY195" s="56"/>
      <c r="MAZ195" s="56"/>
      <c r="MBA195" s="56"/>
      <c r="MBB195" s="56"/>
      <c r="MBC195" s="56"/>
      <c r="MBD195" s="56"/>
      <c r="MBE195" s="56"/>
      <c r="MBF195" s="56"/>
      <c r="MBG195" s="56"/>
      <c r="MBH195" s="56"/>
      <c r="MBI195" s="56"/>
      <c r="MBJ195" s="56"/>
      <c r="MBK195" s="56"/>
      <c r="MBL195" s="56"/>
      <c r="MBM195" s="56"/>
      <c r="MBN195" s="56"/>
      <c r="MBO195" s="56"/>
      <c r="MBP195" s="56"/>
      <c r="MBQ195" s="56"/>
      <c r="MBR195" s="56"/>
      <c r="MBS195" s="56"/>
      <c r="MBT195" s="56"/>
      <c r="MBU195" s="56"/>
      <c r="MBV195" s="56"/>
      <c r="MBW195" s="56"/>
      <c r="MBX195" s="56"/>
      <c r="MBY195" s="56"/>
      <c r="MBZ195" s="56"/>
      <c r="MCA195" s="56"/>
      <c r="MCB195" s="56"/>
      <c r="MCC195" s="56"/>
      <c r="MCD195" s="56"/>
      <c r="MCE195" s="56"/>
      <c r="MCF195" s="56"/>
      <c r="MCG195" s="56"/>
      <c r="MCH195" s="56"/>
      <c r="MCI195" s="56"/>
      <c r="MCJ195" s="56"/>
      <c r="MCK195" s="56"/>
      <c r="MCL195" s="56"/>
      <c r="MCM195" s="56"/>
      <c r="MCN195" s="56"/>
      <c r="MCO195" s="56"/>
      <c r="MCP195" s="56"/>
      <c r="MCQ195" s="56"/>
      <c r="MCR195" s="56"/>
      <c r="MCS195" s="56"/>
      <c r="MCT195" s="56"/>
      <c r="MCU195" s="56"/>
      <c r="MCV195" s="56"/>
      <c r="MCW195" s="56"/>
      <c r="MCX195" s="56"/>
      <c r="MCY195" s="56"/>
      <c r="MCZ195" s="56"/>
      <c r="MDA195" s="56"/>
      <c r="MDB195" s="56"/>
      <c r="MDC195" s="56"/>
      <c r="MDD195" s="56"/>
      <c r="MDE195" s="56"/>
      <c r="MDF195" s="56"/>
      <c r="MDG195" s="56"/>
      <c r="MDH195" s="56"/>
      <c r="MDI195" s="56"/>
      <c r="MDJ195" s="56"/>
      <c r="MDK195" s="56"/>
      <c r="MDL195" s="56"/>
      <c r="MDM195" s="56"/>
      <c r="MDN195" s="56"/>
      <c r="MDO195" s="56"/>
      <c r="MDP195" s="56"/>
      <c r="MDQ195" s="56"/>
      <c r="MDR195" s="56"/>
      <c r="MDS195" s="56"/>
      <c r="MDT195" s="56"/>
      <c r="MDU195" s="56"/>
      <c r="MDV195" s="56"/>
      <c r="MDW195" s="56"/>
      <c r="MDX195" s="56"/>
      <c r="MDY195" s="56"/>
      <c r="MDZ195" s="56"/>
      <c r="MEA195" s="56"/>
      <c r="MEB195" s="56"/>
      <c r="MEC195" s="56"/>
      <c r="MED195" s="56"/>
      <c r="MEE195" s="56"/>
      <c r="MEF195" s="56"/>
      <c r="MEG195" s="56"/>
      <c r="MEH195" s="56"/>
      <c r="MEI195" s="56"/>
      <c r="MEJ195" s="56"/>
      <c r="MEK195" s="56"/>
      <c r="MEL195" s="56"/>
      <c r="MEM195" s="56"/>
      <c r="MEN195" s="56"/>
      <c r="MEO195" s="56"/>
      <c r="MEP195" s="56"/>
      <c r="MEQ195" s="56"/>
      <c r="MER195" s="56"/>
      <c r="MES195" s="56"/>
      <c r="MET195" s="56"/>
      <c r="MEU195" s="56"/>
      <c r="MEV195" s="56"/>
      <c r="MEW195" s="56"/>
      <c r="MEX195" s="56"/>
      <c r="MEY195" s="56"/>
      <c r="MEZ195" s="56"/>
      <c r="MFA195" s="56"/>
      <c r="MFB195" s="56"/>
      <c r="MFC195" s="56"/>
      <c r="MFD195" s="56"/>
      <c r="MFE195" s="56"/>
      <c r="MFF195" s="56"/>
      <c r="MFG195" s="56"/>
      <c r="MFH195" s="56"/>
      <c r="MFI195" s="56"/>
      <c r="MFJ195" s="56"/>
      <c r="MFK195" s="56"/>
      <c r="MFL195" s="56"/>
      <c r="MFM195" s="56"/>
      <c r="MFN195" s="56"/>
      <c r="MFO195" s="56"/>
      <c r="MFP195" s="56"/>
      <c r="MFQ195" s="56"/>
      <c r="MFR195" s="56"/>
      <c r="MFS195" s="56"/>
      <c r="MFT195" s="56"/>
      <c r="MFU195" s="56"/>
      <c r="MFV195" s="56"/>
      <c r="MFW195" s="56"/>
      <c r="MFX195" s="56"/>
      <c r="MFY195" s="56"/>
      <c r="MFZ195" s="56"/>
      <c r="MGA195" s="56"/>
      <c r="MGB195" s="56"/>
      <c r="MGC195" s="56"/>
      <c r="MGD195" s="56"/>
      <c r="MGE195" s="56"/>
      <c r="MGF195" s="56"/>
      <c r="MGG195" s="56"/>
      <c r="MGH195" s="56"/>
      <c r="MGI195" s="56"/>
      <c r="MGJ195" s="56"/>
      <c r="MGK195" s="56"/>
      <c r="MGL195" s="56"/>
      <c r="MGM195" s="56"/>
      <c r="MGN195" s="56"/>
      <c r="MGO195" s="56"/>
      <c r="MGP195" s="56"/>
      <c r="MGQ195" s="56"/>
      <c r="MGR195" s="56"/>
      <c r="MGS195" s="56"/>
      <c r="MGT195" s="56"/>
      <c r="MGU195" s="56"/>
      <c r="MGV195" s="56"/>
      <c r="MGW195" s="56"/>
      <c r="MGX195" s="56"/>
      <c r="MGY195" s="56"/>
      <c r="MGZ195" s="56"/>
      <c r="MHA195" s="56"/>
      <c r="MHB195" s="56"/>
      <c r="MHC195" s="56"/>
      <c r="MHD195" s="56"/>
      <c r="MHE195" s="56"/>
      <c r="MHF195" s="56"/>
      <c r="MHG195" s="56"/>
      <c r="MHH195" s="56"/>
      <c r="MHI195" s="56"/>
      <c r="MHJ195" s="56"/>
      <c r="MHK195" s="56"/>
      <c r="MHL195" s="56"/>
      <c r="MHM195" s="56"/>
      <c r="MHN195" s="56"/>
      <c r="MHO195" s="56"/>
      <c r="MHP195" s="56"/>
      <c r="MHQ195" s="56"/>
      <c r="MHR195" s="56"/>
      <c r="MHS195" s="56"/>
      <c r="MHT195" s="56"/>
      <c r="MHU195" s="56"/>
      <c r="MHV195" s="56"/>
      <c r="MHW195" s="56"/>
      <c r="MHX195" s="56"/>
      <c r="MHY195" s="56"/>
      <c r="MHZ195" s="56"/>
      <c r="MIA195" s="56"/>
      <c r="MIB195" s="56"/>
      <c r="MIC195" s="56"/>
      <c r="MID195" s="56"/>
      <c r="MIE195" s="56"/>
      <c r="MIF195" s="56"/>
      <c r="MIG195" s="56"/>
      <c r="MIH195" s="56"/>
      <c r="MII195" s="56"/>
      <c r="MIJ195" s="56"/>
      <c r="MIK195" s="56"/>
      <c r="MIL195" s="56"/>
      <c r="MIM195" s="56"/>
      <c r="MIN195" s="56"/>
      <c r="MIO195" s="56"/>
      <c r="MIP195" s="56"/>
      <c r="MIQ195" s="56"/>
      <c r="MIR195" s="56"/>
      <c r="MIS195" s="56"/>
      <c r="MIT195" s="56"/>
      <c r="MIU195" s="56"/>
      <c r="MIV195" s="56"/>
      <c r="MIW195" s="56"/>
      <c r="MIX195" s="56"/>
      <c r="MIY195" s="56"/>
      <c r="MIZ195" s="56"/>
      <c r="MJA195" s="56"/>
      <c r="MJB195" s="56"/>
      <c r="MJC195" s="56"/>
      <c r="MJD195" s="56"/>
      <c r="MJE195" s="56"/>
      <c r="MJF195" s="56"/>
      <c r="MJG195" s="56"/>
      <c r="MJH195" s="56"/>
      <c r="MJI195" s="56"/>
      <c r="MJJ195" s="56"/>
      <c r="MJK195" s="56"/>
      <c r="MJL195" s="56"/>
      <c r="MJM195" s="56"/>
      <c r="MJN195" s="56"/>
      <c r="MJO195" s="56"/>
      <c r="MJP195" s="56"/>
      <c r="MJQ195" s="56"/>
      <c r="MJR195" s="56"/>
      <c r="MJS195" s="56"/>
      <c r="MJT195" s="56"/>
      <c r="MJU195" s="56"/>
      <c r="MJV195" s="56"/>
      <c r="MJW195" s="56"/>
      <c r="MJX195" s="56"/>
      <c r="MJY195" s="56"/>
      <c r="MJZ195" s="56"/>
      <c r="MKA195" s="56"/>
      <c r="MKB195" s="56"/>
      <c r="MKC195" s="56"/>
      <c r="MKD195" s="56"/>
      <c r="MKE195" s="56"/>
      <c r="MKF195" s="56"/>
      <c r="MKG195" s="56"/>
      <c r="MKH195" s="56"/>
      <c r="MKI195" s="56"/>
      <c r="MKJ195" s="56"/>
      <c r="MKK195" s="56"/>
      <c r="MKL195" s="56"/>
      <c r="MKM195" s="56"/>
      <c r="MKN195" s="56"/>
      <c r="MKO195" s="56"/>
      <c r="MKP195" s="56"/>
      <c r="MKQ195" s="56"/>
      <c r="MKR195" s="56"/>
      <c r="MKS195" s="56"/>
      <c r="MKT195" s="56"/>
      <c r="MKU195" s="56"/>
      <c r="MKV195" s="56"/>
      <c r="MKW195" s="56"/>
      <c r="MKX195" s="56"/>
      <c r="MKY195" s="56"/>
      <c r="MKZ195" s="56"/>
      <c r="MLA195" s="56"/>
      <c r="MLB195" s="56"/>
      <c r="MLC195" s="56"/>
      <c r="MLD195" s="56"/>
      <c r="MLE195" s="56"/>
      <c r="MLF195" s="56"/>
      <c r="MLG195" s="56"/>
      <c r="MLH195" s="56"/>
      <c r="MLI195" s="56"/>
      <c r="MLJ195" s="56"/>
      <c r="MLK195" s="56"/>
      <c r="MLL195" s="56"/>
      <c r="MLM195" s="56"/>
      <c r="MLN195" s="56"/>
      <c r="MLO195" s="56"/>
      <c r="MLP195" s="56"/>
      <c r="MLQ195" s="56"/>
      <c r="MLR195" s="56"/>
      <c r="MLS195" s="56"/>
      <c r="MLT195" s="56"/>
      <c r="MLU195" s="56"/>
      <c r="MLV195" s="56"/>
      <c r="MLW195" s="56"/>
      <c r="MLX195" s="56"/>
      <c r="MLY195" s="56"/>
      <c r="MLZ195" s="56"/>
      <c r="MMA195" s="56"/>
      <c r="MMB195" s="56"/>
      <c r="MMC195" s="56"/>
      <c r="MMD195" s="56"/>
      <c r="MME195" s="56"/>
      <c r="MMF195" s="56"/>
      <c r="MMG195" s="56"/>
      <c r="MMH195" s="56"/>
      <c r="MMI195" s="56"/>
      <c r="MMJ195" s="56"/>
      <c r="MMK195" s="56"/>
      <c r="MML195" s="56"/>
      <c r="MMM195" s="56"/>
      <c r="MMN195" s="56"/>
      <c r="MMO195" s="56"/>
      <c r="MMP195" s="56"/>
      <c r="MMQ195" s="56"/>
      <c r="MMR195" s="56"/>
      <c r="MMS195" s="56"/>
      <c r="MMT195" s="56"/>
      <c r="MMU195" s="56"/>
      <c r="MMV195" s="56"/>
      <c r="MMW195" s="56"/>
      <c r="MMX195" s="56"/>
      <c r="MMY195" s="56"/>
      <c r="MMZ195" s="56"/>
      <c r="MNA195" s="56"/>
      <c r="MNB195" s="56"/>
      <c r="MNC195" s="56"/>
      <c r="MND195" s="56"/>
      <c r="MNE195" s="56"/>
      <c r="MNF195" s="56"/>
      <c r="MNG195" s="56"/>
      <c r="MNH195" s="56"/>
      <c r="MNI195" s="56"/>
      <c r="MNJ195" s="56"/>
      <c r="MNK195" s="56"/>
      <c r="MNL195" s="56"/>
      <c r="MNM195" s="56"/>
      <c r="MNN195" s="56"/>
      <c r="MNO195" s="56"/>
      <c r="MNP195" s="56"/>
      <c r="MNQ195" s="56"/>
      <c r="MNR195" s="56"/>
      <c r="MNS195" s="56"/>
      <c r="MNT195" s="56"/>
      <c r="MNU195" s="56"/>
      <c r="MNV195" s="56"/>
      <c r="MNW195" s="56"/>
      <c r="MNX195" s="56"/>
      <c r="MNY195" s="56"/>
      <c r="MNZ195" s="56"/>
      <c r="MOA195" s="56"/>
      <c r="MOB195" s="56"/>
      <c r="MOC195" s="56"/>
      <c r="MOD195" s="56"/>
      <c r="MOE195" s="56"/>
      <c r="MOF195" s="56"/>
      <c r="MOG195" s="56"/>
      <c r="MOH195" s="56"/>
      <c r="MOI195" s="56"/>
      <c r="MOJ195" s="56"/>
      <c r="MOK195" s="56"/>
      <c r="MOL195" s="56"/>
      <c r="MOM195" s="56"/>
      <c r="MON195" s="56"/>
      <c r="MOO195" s="56"/>
      <c r="MOP195" s="56"/>
      <c r="MOQ195" s="56"/>
      <c r="MOR195" s="56"/>
      <c r="MOS195" s="56"/>
      <c r="MOT195" s="56"/>
      <c r="MOU195" s="56"/>
      <c r="MOV195" s="56"/>
      <c r="MOW195" s="56"/>
      <c r="MOX195" s="56"/>
      <c r="MOY195" s="56"/>
      <c r="MOZ195" s="56"/>
      <c r="MPA195" s="56"/>
      <c r="MPB195" s="56"/>
      <c r="MPC195" s="56"/>
      <c r="MPD195" s="56"/>
      <c r="MPE195" s="56"/>
      <c r="MPF195" s="56"/>
      <c r="MPG195" s="56"/>
      <c r="MPH195" s="56"/>
      <c r="MPI195" s="56"/>
      <c r="MPJ195" s="56"/>
      <c r="MPK195" s="56"/>
      <c r="MPL195" s="56"/>
      <c r="MPM195" s="56"/>
      <c r="MPN195" s="56"/>
      <c r="MPO195" s="56"/>
      <c r="MPP195" s="56"/>
      <c r="MPQ195" s="56"/>
      <c r="MPR195" s="56"/>
      <c r="MPS195" s="56"/>
      <c r="MPT195" s="56"/>
      <c r="MPU195" s="56"/>
      <c r="MPV195" s="56"/>
      <c r="MPW195" s="56"/>
      <c r="MPX195" s="56"/>
      <c r="MPY195" s="56"/>
      <c r="MPZ195" s="56"/>
      <c r="MQA195" s="56"/>
      <c r="MQB195" s="56"/>
      <c r="MQC195" s="56"/>
      <c r="MQD195" s="56"/>
      <c r="MQE195" s="56"/>
      <c r="MQF195" s="56"/>
      <c r="MQG195" s="56"/>
      <c r="MQH195" s="56"/>
      <c r="MQI195" s="56"/>
      <c r="MQJ195" s="56"/>
      <c r="MQK195" s="56"/>
      <c r="MQL195" s="56"/>
      <c r="MQM195" s="56"/>
      <c r="MQN195" s="56"/>
      <c r="MQO195" s="56"/>
      <c r="MQP195" s="56"/>
      <c r="MQQ195" s="56"/>
      <c r="MQR195" s="56"/>
      <c r="MQS195" s="56"/>
      <c r="MQT195" s="56"/>
      <c r="MQU195" s="56"/>
      <c r="MQV195" s="56"/>
      <c r="MQW195" s="56"/>
      <c r="MQX195" s="56"/>
      <c r="MQY195" s="56"/>
      <c r="MQZ195" s="56"/>
      <c r="MRA195" s="56"/>
      <c r="MRB195" s="56"/>
      <c r="MRC195" s="56"/>
      <c r="MRD195" s="56"/>
      <c r="MRE195" s="56"/>
      <c r="MRF195" s="56"/>
      <c r="MRG195" s="56"/>
      <c r="MRH195" s="56"/>
      <c r="MRI195" s="56"/>
      <c r="MRJ195" s="56"/>
      <c r="MRK195" s="56"/>
      <c r="MRL195" s="56"/>
      <c r="MRM195" s="56"/>
      <c r="MRN195" s="56"/>
      <c r="MRO195" s="56"/>
      <c r="MRP195" s="56"/>
      <c r="MRQ195" s="56"/>
      <c r="MRR195" s="56"/>
      <c r="MRS195" s="56"/>
      <c r="MRT195" s="56"/>
      <c r="MRU195" s="56"/>
      <c r="MRV195" s="56"/>
      <c r="MRW195" s="56"/>
      <c r="MRX195" s="56"/>
      <c r="MRY195" s="56"/>
      <c r="MRZ195" s="56"/>
      <c r="MSA195" s="56"/>
      <c r="MSB195" s="56"/>
      <c r="MSC195" s="56"/>
      <c r="MSD195" s="56"/>
      <c r="MSE195" s="56"/>
      <c r="MSF195" s="56"/>
      <c r="MSG195" s="56"/>
      <c r="MSH195" s="56"/>
      <c r="MSI195" s="56"/>
      <c r="MSJ195" s="56"/>
      <c r="MSK195" s="56"/>
      <c r="MSL195" s="56"/>
      <c r="MSM195" s="56"/>
      <c r="MSN195" s="56"/>
      <c r="MSO195" s="56"/>
      <c r="MSP195" s="56"/>
      <c r="MSQ195" s="56"/>
      <c r="MSR195" s="56"/>
      <c r="MSS195" s="56"/>
      <c r="MST195" s="56"/>
      <c r="MSU195" s="56"/>
      <c r="MSV195" s="56"/>
      <c r="MSW195" s="56"/>
      <c r="MSX195" s="56"/>
      <c r="MSY195" s="56"/>
      <c r="MSZ195" s="56"/>
      <c r="MTA195" s="56"/>
      <c r="MTB195" s="56"/>
      <c r="MTC195" s="56"/>
      <c r="MTD195" s="56"/>
      <c r="MTE195" s="56"/>
      <c r="MTF195" s="56"/>
      <c r="MTG195" s="56"/>
      <c r="MTH195" s="56"/>
      <c r="MTI195" s="56"/>
      <c r="MTJ195" s="56"/>
      <c r="MTK195" s="56"/>
      <c r="MTL195" s="56"/>
      <c r="MTM195" s="56"/>
      <c r="MTN195" s="56"/>
      <c r="MTO195" s="56"/>
      <c r="MTP195" s="56"/>
      <c r="MTQ195" s="56"/>
      <c r="MTR195" s="56"/>
      <c r="MTS195" s="56"/>
      <c r="MTT195" s="56"/>
      <c r="MTU195" s="56"/>
      <c r="MTV195" s="56"/>
      <c r="MTW195" s="56"/>
      <c r="MTX195" s="56"/>
      <c r="MTY195" s="56"/>
      <c r="MTZ195" s="56"/>
      <c r="MUA195" s="56"/>
      <c r="MUB195" s="56"/>
      <c r="MUC195" s="56"/>
      <c r="MUD195" s="56"/>
      <c r="MUE195" s="56"/>
      <c r="MUF195" s="56"/>
      <c r="MUG195" s="56"/>
      <c r="MUH195" s="56"/>
      <c r="MUI195" s="56"/>
      <c r="MUJ195" s="56"/>
      <c r="MUK195" s="56"/>
      <c r="MUL195" s="56"/>
      <c r="MUM195" s="56"/>
      <c r="MUN195" s="56"/>
      <c r="MUO195" s="56"/>
      <c r="MUP195" s="56"/>
      <c r="MUQ195" s="56"/>
      <c r="MUR195" s="56"/>
      <c r="MUS195" s="56"/>
      <c r="MUT195" s="56"/>
      <c r="MUU195" s="56"/>
      <c r="MUV195" s="56"/>
      <c r="MUW195" s="56"/>
      <c r="MUX195" s="56"/>
      <c r="MUY195" s="56"/>
      <c r="MUZ195" s="56"/>
      <c r="MVA195" s="56"/>
      <c r="MVB195" s="56"/>
      <c r="MVC195" s="56"/>
      <c r="MVD195" s="56"/>
      <c r="MVE195" s="56"/>
      <c r="MVF195" s="56"/>
      <c r="MVG195" s="56"/>
      <c r="MVH195" s="56"/>
      <c r="MVI195" s="56"/>
      <c r="MVJ195" s="56"/>
      <c r="MVK195" s="56"/>
      <c r="MVL195" s="56"/>
      <c r="MVM195" s="56"/>
      <c r="MVN195" s="56"/>
      <c r="MVO195" s="56"/>
      <c r="MVP195" s="56"/>
      <c r="MVQ195" s="56"/>
      <c r="MVR195" s="56"/>
      <c r="MVS195" s="56"/>
      <c r="MVT195" s="56"/>
      <c r="MVU195" s="56"/>
      <c r="MVV195" s="56"/>
      <c r="MVW195" s="56"/>
      <c r="MVX195" s="56"/>
      <c r="MVY195" s="56"/>
      <c r="MVZ195" s="56"/>
      <c r="MWA195" s="56"/>
      <c r="MWB195" s="56"/>
      <c r="MWC195" s="56"/>
      <c r="MWD195" s="56"/>
      <c r="MWE195" s="56"/>
      <c r="MWF195" s="56"/>
      <c r="MWG195" s="56"/>
      <c r="MWH195" s="56"/>
      <c r="MWI195" s="56"/>
      <c r="MWJ195" s="56"/>
      <c r="MWK195" s="56"/>
      <c r="MWL195" s="56"/>
      <c r="MWM195" s="56"/>
      <c r="MWN195" s="56"/>
      <c r="MWO195" s="56"/>
      <c r="MWP195" s="56"/>
      <c r="MWQ195" s="56"/>
      <c r="MWR195" s="56"/>
      <c r="MWS195" s="56"/>
      <c r="MWT195" s="56"/>
      <c r="MWU195" s="56"/>
      <c r="MWV195" s="56"/>
      <c r="MWW195" s="56"/>
      <c r="MWX195" s="56"/>
      <c r="MWY195" s="56"/>
      <c r="MWZ195" s="56"/>
      <c r="MXA195" s="56"/>
      <c r="MXB195" s="56"/>
      <c r="MXC195" s="56"/>
      <c r="MXD195" s="56"/>
      <c r="MXE195" s="56"/>
      <c r="MXF195" s="56"/>
      <c r="MXG195" s="56"/>
      <c r="MXH195" s="56"/>
      <c r="MXI195" s="56"/>
      <c r="MXJ195" s="56"/>
      <c r="MXK195" s="56"/>
      <c r="MXL195" s="56"/>
      <c r="MXM195" s="56"/>
      <c r="MXN195" s="56"/>
      <c r="MXO195" s="56"/>
      <c r="MXP195" s="56"/>
      <c r="MXQ195" s="56"/>
      <c r="MXR195" s="56"/>
      <c r="MXS195" s="56"/>
      <c r="MXT195" s="56"/>
      <c r="MXU195" s="56"/>
      <c r="MXV195" s="56"/>
      <c r="MXW195" s="56"/>
      <c r="MXX195" s="56"/>
      <c r="MXY195" s="56"/>
      <c r="MXZ195" s="56"/>
      <c r="MYA195" s="56"/>
      <c r="MYB195" s="56"/>
      <c r="MYC195" s="56"/>
      <c r="MYD195" s="56"/>
      <c r="MYE195" s="56"/>
      <c r="MYF195" s="56"/>
      <c r="MYG195" s="56"/>
      <c r="MYH195" s="56"/>
      <c r="MYI195" s="56"/>
      <c r="MYJ195" s="56"/>
      <c r="MYK195" s="56"/>
      <c r="MYL195" s="56"/>
      <c r="MYM195" s="56"/>
      <c r="MYN195" s="56"/>
      <c r="MYO195" s="56"/>
      <c r="MYP195" s="56"/>
      <c r="MYQ195" s="56"/>
      <c r="MYR195" s="56"/>
      <c r="MYS195" s="56"/>
      <c r="MYT195" s="56"/>
      <c r="MYU195" s="56"/>
      <c r="MYV195" s="56"/>
      <c r="MYW195" s="56"/>
      <c r="MYX195" s="56"/>
      <c r="MYY195" s="56"/>
      <c r="MYZ195" s="56"/>
      <c r="MZA195" s="56"/>
      <c r="MZB195" s="56"/>
      <c r="MZC195" s="56"/>
      <c r="MZD195" s="56"/>
      <c r="MZE195" s="56"/>
      <c r="MZF195" s="56"/>
      <c r="MZG195" s="56"/>
      <c r="MZH195" s="56"/>
      <c r="MZI195" s="56"/>
      <c r="MZJ195" s="56"/>
      <c r="MZK195" s="56"/>
      <c r="MZL195" s="56"/>
      <c r="MZM195" s="56"/>
      <c r="MZN195" s="56"/>
      <c r="MZO195" s="56"/>
      <c r="MZP195" s="56"/>
      <c r="MZQ195" s="56"/>
      <c r="MZR195" s="56"/>
      <c r="MZS195" s="56"/>
      <c r="MZT195" s="56"/>
      <c r="MZU195" s="56"/>
      <c r="MZV195" s="56"/>
      <c r="MZW195" s="56"/>
      <c r="MZX195" s="56"/>
      <c r="MZY195" s="56"/>
      <c r="MZZ195" s="56"/>
      <c r="NAA195" s="56"/>
      <c r="NAB195" s="56"/>
      <c r="NAC195" s="56"/>
      <c r="NAD195" s="56"/>
      <c r="NAE195" s="56"/>
      <c r="NAF195" s="56"/>
      <c r="NAG195" s="56"/>
      <c r="NAH195" s="56"/>
      <c r="NAI195" s="56"/>
      <c r="NAJ195" s="56"/>
      <c r="NAK195" s="56"/>
      <c r="NAL195" s="56"/>
      <c r="NAM195" s="56"/>
      <c r="NAN195" s="56"/>
      <c r="NAO195" s="56"/>
      <c r="NAP195" s="56"/>
      <c r="NAQ195" s="56"/>
      <c r="NAR195" s="56"/>
      <c r="NAS195" s="56"/>
      <c r="NAT195" s="56"/>
      <c r="NAU195" s="56"/>
      <c r="NAV195" s="56"/>
      <c r="NAW195" s="56"/>
      <c r="NAX195" s="56"/>
      <c r="NAY195" s="56"/>
      <c r="NAZ195" s="56"/>
      <c r="NBA195" s="56"/>
      <c r="NBB195" s="56"/>
      <c r="NBC195" s="56"/>
      <c r="NBD195" s="56"/>
      <c r="NBE195" s="56"/>
      <c r="NBF195" s="56"/>
      <c r="NBG195" s="56"/>
      <c r="NBH195" s="56"/>
      <c r="NBI195" s="56"/>
      <c r="NBJ195" s="56"/>
      <c r="NBK195" s="56"/>
      <c r="NBL195" s="56"/>
      <c r="NBM195" s="56"/>
      <c r="NBN195" s="56"/>
      <c r="NBO195" s="56"/>
      <c r="NBP195" s="56"/>
      <c r="NBQ195" s="56"/>
      <c r="NBR195" s="56"/>
      <c r="NBS195" s="56"/>
      <c r="NBT195" s="56"/>
      <c r="NBU195" s="56"/>
      <c r="NBV195" s="56"/>
      <c r="NBW195" s="56"/>
      <c r="NBX195" s="56"/>
      <c r="NBY195" s="56"/>
      <c r="NBZ195" s="56"/>
      <c r="NCA195" s="56"/>
      <c r="NCB195" s="56"/>
      <c r="NCC195" s="56"/>
      <c r="NCD195" s="56"/>
      <c r="NCE195" s="56"/>
      <c r="NCF195" s="56"/>
      <c r="NCG195" s="56"/>
      <c r="NCH195" s="56"/>
      <c r="NCI195" s="56"/>
      <c r="NCJ195" s="56"/>
      <c r="NCK195" s="56"/>
      <c r="NCL195" s="56"/>
      <c r="NCM195" s="56"/>
      <c r="NCN195" s="56"/>
      <c r="NCO195" s="56"/>
      <c r="NCP195" s="56"/>
      <c r="NCQ195" s="56"/>
      <c r="NCR195" s="56"/>
      <c r="NCS195" s="56"/>
      <c r="NCT195" s="56"/>
      <c r="NCU195" s="56"/>
      <c r="NCV195" s="56"/>
      <c r="NCW195" s="56"/>
      <c r="NCX195" s="56"/>
      <c r="NCY195" s="56"/>
      <c r="NCZ195" s="56"/>
      <c r="NDA195" s="56"/>
      <c r="NDB195" s="56"/>
      <c r="NDC195" s="56"/>
      <c r="NDD195" s="56"/>
      <c r="NDE195" s="56"/>
      <c r="NDF195" s="56"/>
      <c r="NDG195" s="56"/>
      <c r="NDH195" s="56"/>
      <c r="NDI195" s="56"/>
      <c r="NDJ195" s="56"/>
      <c r="NDK195" s="56"/>
      <c r="NDL195" s="56"/>
      <c r="NDM195" s="56"/>
      <c r="NDN195" s="56"/>
      <c r="NDO195" s="56"/>
      <c r="NDP195" s="56"/>
      <c r="NDQ195" s="56"/>
      <c r="NDR195" s="56"/>
      <c r="NDS195" s="56"/>
      <c r="NDT195" s="56"/>
      <c r="NDU195" s="56"/>
      <c r="NDV195" s="56"/>
      <c r="NDW195" s="56"/>
      <c r="NDX195" s="56"/>
      <c r="NDY195" s="56"/>
      <c r="NDZ195" s="56"/>
      <c r="NEA195" s="56"/>
      <c r="NEB195" s="56"/>
      <c r="NEC195" s="56"/>
      <c r="NED195" s="56"/>
      <c r="NEE195" s="56"/>
      <c r="NEF195" s="56"/>
      <c r="NEG195" s="56"/>
      <c r="NEH195" s="56"/>
      <c r="NEI195" s="56"/>
      <c r="NEJ195" s="56"/>
      <c r="NEK195" s="56"/>
      <c r="NEL195" s="56"/>
      <c r="NEM195" s="56"/>
      <c r="NEN195" s="56"/>
      <c r="NEO195" s="56"/>
      <c r="NEP195" s="56"/>
      <c r="NEQ195" s="56"/>
      <c r="NER195" s="56"/>
      <c r="NES195" s="56"/>
      <c r="NET195" s="56"/>
      <c r="NEU195" s="56"/>
      <c r="NEV195" s="56"/>
      <c r="NEW195" s="56"/>
      <c r="NEX195" s="56"/>
      <c r="NEY195" s="56"/>
      <c r="NEZ195" s="56"/>
      <c r="NFA195" s="56"/>
      <c r="NFB195" s="56"/>
      <c r="NFC195" s="56"/>
      <c r="NFD195" s="56"/>
      <c r="NFE195" s="56"/>
      <c r="NFF195" s="56"/>
      <c r="NFG195" s="56"/>
      <c r="NFH195" s="56"/>
      <c r="NFI195" s="56"/>
      <c r="NFJ195" s="56"/>
      <c r="NFK195" s="56"/>
      <c r="NFL195" s="56"/>
      <c r="NFM195" s="56"/>
      <c r="NFN195" s="56"/>
      <c r="NFO195" s="56"/>
      <c r="NFP195" s="56"/>
      <c r="NFQ195" s="56"/>
      <c r="NFR195" s="56"/>
      <c r="NFS195" s="56"/>
      <c r="NFT195" s="56"/>
      <c r="NFU195" s="56"/>
      <c r="NFV195" s="56"/>
      <c r="NFW195" s="56"/>
      <c r="NFX195" s="56"/>
      <c r="NFY195" s="56"/>
      <c r="NFZ195" s="56"/>
      <c r="NGA195" s="56"/>
      <c r="NGB195" s="56"/>
      <c r="NGC195" s="56"/>
      <c r="NGD195" s="56"/>
      <c r="NGE195" s="56"/>
      <c r="NGF195" s="56"/>
      <c r="NGG195" s="56"/>
      <c r="NGH195" s="56"/>
      <c r="NGI195" s="56"/>
      <c r="NGJ195" s="56"/>
      <c r="NGK195" s="56"/>
      <c r="NGL195" s="56"/>
      <c r="NGM195" s="56"/>
      <c r="NGN195" s="56"/>
      <c r="NGO195" s="56"/>
      <c r="NGP195" s="56"/>
      <c r="NGQ195" s="56"/>
      <c r="NGR195" s="56"/>
      <c r="NGS195" s="56"/>
      <c r="NGT195" s="56"/>
      <c r="NGU195" s="56"/>
      <c r="NGV195" s="56"/>
      <c r="NGW195" s="56"/>
      <c r="NGX195" s="56"/>
      <c r="NGY195" s="56"/>
      <c r="NGZ195" s="56"/>
      <c r="NHA195" s="56"/>
      <c r="NHB195" s="56"/>
      <c r="NHC195" s="56"/>
      <c r="NHD195" s="56"/>
      <c r="NHE195" s="56"/>
      <c r="NHF195" s="56"/>
      <c r="NHG195" s="56"/>
      <c r="NHH195" s="56"/>
      <c r="NHI195" s="56"/>
      <c r="NHJ195" s="56"/>
      <c r="NHK195" s="56"/>
      <c r="NHL195" s="56"/>
      <c r="NHM195" s="56"/>
      <c r="NHN195" s="56"/>
      <c r="NHO195" s="56"/>
      <c r="NHP195" s="56"/>
      <c r="NHQ195" s="56"/>
      <c r="NHR195" s="56"/>
      <c r="NHS195" s="56"/>
      <c r="NHT195" s="56"/>
      <c r="NHU195" s="56"/>
      <c r="NHV195" s="56"/>
      <c r="NHW195" s="56"/>
      <c r="NHX195" s="56"/>
      <c r="NHY195" s="56"/>
      <c r="NHZ195" s="56"/>
      <c r="NIA195" s="56"/>
      <c r="NIB195" s="56"/>
      <c r="NIC195" s="56"/>
      <c r="NID195" s="56"/>
      <c r="NIE195" s="56"/>
      <c r="NIF195" s="56"/>
      <c r="NIG195" s="56"/>
      <c r="NIH195" s="56"/>
      <c r="NII195" s="56"/>
      <c r="NIJ195" s="56"/>
      <c r="NIK195" s="56"/>
      <c r="NIL195" s="56"/>
      <c r="NIM195" s="56"/>
      <c r="NIN195" s="56"/>
      <c r="NIO195" s="56"/>
      <c r="NIP195" s="56"/>
      <c r="NIQ195" s="56"/>
      <c r="NIR195" s="56"/>
      <c r="NIS195" s="56"/>
      <c r="NIT195" s="56"/>
      <c r="NIU195" s="56"/>
      <c r="NIV195" s="56"/>
      <c r="NIW195" s="56"/>
      <c r="NIX195" s="56"/>
      <c r="NIY195" s="56"/>
      <c r="NIZ195" s="56"/>
      <c r="NJA195" s="56"/>
      <c r="NJB195" s="56"/>
      <c r="NJC195" s="56"/>
      <c r="NJD195" s="56"/>
      <c r="NJE195" s="56"/>
      <c r="NJF195" s="56"/>
      <c r="NJG195" s="56"/>
      <c r="NJH195" s="56"/>
      <c r="NJI195" s="56"/>
      <c r="NJJ195" s="56"/>
      <c r="NJK195" s="56"/>
      <c r="NJL195" s="56"/>
      <c r="NJM195" s="56"/>
      <c r="NJN195" s="56"/>
      <c r="NJO195" s="56"/>
      <c r="NJP195" s="56"/>
      <c r="NJQ195" s="56"/>
      <c r="NJR195" s="56"/>
      <c r="NJS195" s="56"/>
      <c r="NJT195" s="56"/>
      <c r="NJU195" s="56"/>
      <c r="NJV195" s="56"/>
      <c r="NJW195" s="56"/>
      <c r="NJX195" s="56"/>
      <c r="NJY195" s="56"/>
      <c r="NJZ195" s="56"/>
      <c r="NKA195" s="56"/>
      <c r="NKB195" s="56"/>
      <c r="NKC195" s="56"/>
      <c r="NKD195" s="56"/>
      <c r="NKE195" s="56"/>
      <c r="NKF195" s="56"/>
      <c r="NKG195" s="56"/>
      <c r="NKH195" s="56"/>
      <c r="NKI195" s="56"/>
      <c r="NKJ195" s="56"/>
      <c r="NKK195" s="56"/>
      <c r="NKL195" s="56"/>
      <c r="NKM195" s="56"/>
      <c r="NKN195" s="56"/>
      <c r="NKO195" s="56"/>
      <c r="NKP195" s="56"/>
      <c r="NKQ195" s="56"/>
      <c r="NKR195" s="56"/>
      <c r="NKS195" s="56"/>
      <c r="NKT195" s="56"/>
      <c r="NKU195" s="56"/>
      <c r="NKV195" s="56"/>
      <c r="NKW195" s="56"/>
      <c r="NKX195" s="56"/>
      <c r="NKY195" s="56"/>
      <c r="NKZ195" s="56"/>
      <c r="NLA195" s="56"/>
      <c r="NLB195" s="56"/>
      <c r="NLC195" s="56"/>
      <c r="NLD195" s="56"/>
      <c r="NLE195" s="56"/>
      <c r="NLF195" s="56"/>
      <c r="NLG195" s="56"/>
      <c r="NLH195" s="56"/>
      <c r="NLI195" s="56"/>
      <c r="NLJ195" s="56"/>
      <c r="NLK195" s="56"/>
      <c r="NLL195" s="56"/>
      <c r="NLM195" s="56"/>
      <c r="NLN195" s="56"/>
      <c r="NLO195" s="56"/>
      <c r="NLP195" s="56"/>
      <c r="NLQ195" s="56"/>
      <c r="NLR195" s="56"/>
      <c r="NLS195" s="56"/>
      <c r="NLT195" s="56"/>
      <c r="NLU195" s="56"/>
      <c r="NLV195" s="56"/>
      <c r="NLW195" s="56"/>
      <c r="NLX195" s="56"/>
      <c r="NLY195" s="56"/>
      <c r="NLZ195" s="56"/>
      <c r="NMA195" s="56"/>
      <c r="NMB195" s="56"/>
      <c r="NMC195" s="56"/>
      <c r="NMD195" s="56"/>
      <c r="NME195" s="56"/>
      <c r="NMF195" s="56"/>
      <c r="NMG195" s="56"/>
      <c r="NMH195" s="56"/>
      <c r="NMI195" s="56"/>
      <c r="NMJ195" s="56"/>
      <c r="NMK195" s="56"/>
      <c r="NML195" s="56"/>
      <c r="NMM195" s="56"/>
      <c r="NMN195" s="56"/>
      <c r="NMO195" s="56"/>
      <c r="NMP195" s="56"/>
      <c r="NMQ195" s="56"/>
      <c r="NMR195" s="56"/>
      <c r="NMS195" s="56"/>
      <c r="NMT195" s="56"/>
      <c r="NMU195" s="56"/>
      <c r="NMV195" s="56"/>
      <c r="NMW195" s="56"/>
      <c r="NMX195" s="56"/>
      <c r="NMY195" s="56"/>
      <c r="NMZ195" s="56"/>
      <c r="NNA195" s="56"/>
      <c r="NNB195" s="56"/>
      <c r="NNC195" s="56"/>
      <c r="NND195" s="56"/>
      <c r="NNE195" s="56"/>
      <c r="NNF195" s="56"/>
      <c r="NNG195" s="56"/>
      <c r="NNH195" s="56"/>
      <c r="NNI195" s="56"/>
      <c r="NNJ195" s="56"/>
      <c r="NNK195" s="56"/>
      <c r="NNL195" s="56"/>
      <c r="NNM195" s="56"/>
      <c r="NNN195" s="56"/>
      <c r="NNO195" s="56"/>
      <c r="NNP195" s="56"/>
      <c r="NNQ195" s="56"/>
      <c r="NNR195" s="56"/>
      <c r="NNS195" s="56"/>
      <c r="NNT195" s="56"/>
      <c r="NNU195" s="56"/>
      <c r="NNV195" s="56"/>
      <c r="NNW195" s="56"/>
      <c r="NNX195" s="56"/>
      <c r="NNY195" s="56"/>
      <c r="NNZ195" s="56"/>
      <c r="NOA195" s="56"/>
      <c r="NOB195" s="56"/>
      <c r="NOC195" s="56"/>
      <c r="NOD195" s="56"/>
      <c r="NOE195" s="56"/>
      <c r="NOF195" s="56"/>
      <c r="NOG195" s="56"/>
      <c r="NOH195" s="56"/>
      <c r="NOI195" s="56"/>
      <c r="NOJ195" s="56"/>
      <c r="NOK195" s="56"/>
      <c r="NOL195" s="56"/>
      <c r="NOM195" s="56"/>
      <c r="NON195" s="56"/>
      <c r="NOO195" s="56"/>
      <c r="NOP195" s="56"/>
      <c r="NOQ195" s="56"/>
      <c r="NOR195" s="56"/>
      <c r="NOS195" s="56"/>
      <c r="NOT195" s="56"/>
      <c r="NOU195" s="56"/>
      <c r="NOV195" s="56"/>
      <c r="NOW195" s="56"/>
      <c r="NOX195" s="56"/>
      <c r="NOY195" s="56"/>
      <c r="NOZ195" s="56"/>
      <c r="NPA195" s="56"/>
      <c r="NPB195" s="56"/>
      <c r="NPC195" s="56"/>
      <c r="NPD195" s="56"/>
      <c r="NPE195" s="56"/>
      <c r="NPF195" s="56"/>
      <c r="NPG195" s="56"/>
      <c r="NPH195" s="56"/>
      <c r="NPI195" s="56"/>
      <c r="NPJ195" s="56"/>
      <c r="NPK195" s="56"/>
      <c r="NPL195" s="56"/>
      <c r="NPM195" s="56"/>
      <c r="NPN195" s="56"/>
      <c r="NPO195" s="56"/>
      <c r="NPP195" s="56"/>
      <c r="NPQ195" s="56"/>
      <c r="NPR195" s="56"/>
      <c r="NPS195" s="56"/>
      <c r="NPT195" s="56"/>
      <c r="NPU195" s="56"/>
      <c r="NPV195" s="56"/>
      <c r="NPW195" s="56"/>
      <c r="NPX195" s="56"/>
      <c r="NPY195" s="56"/>
      <c r="NPZ195" s="56"/>
      <c r="NQA195" s="56"/>
      <c r="NQB195" s="56"/>
      <c r="NQC195" s="56"/>
      <c r="NQD195" s="56"/>
      <c r="NQE195" s="56"/>
      <c r="NQF195" s="56"/>
      <c r="NQG195" s="56"/>
      <c r="NQH195" s="56"/>
      <c r="NQI195" s="56"/>
      <c r="NQJ195" s="56"/>
      <c r="NQK195" s="56"/>
      <c r="NQL195" s="56"/>
      <c r="NQM195" s="56"/>
      <c r="NQN195" s="56"/>
      <c r="NQO195" s="56"/>
      <c r="NQP195" s="56"/>
      <c r="NQQ195" s="56"/>
      <c r="NQR195" s="56"/>
      <c r="NQS195" s="56"/>
      <c r="NQT195" s="56"/>
      <c r="NQU195" s="56"/>
      <c r="NQV195" s="56"/>
      <c r="NQW195" s="56"/>
      <c r="NQX195" s="56"/>
      <c r="NQY195" s="56"/>
      <c r="NQZ195" s="56"/>
      <c r="NRA195" s="56"/>
      <c r="NRB195" s="56"/>
      <c r="NRC195" s="56"/>
      <c r="NRD195" s="56"/>
      <c r="NRE195" s="56"/>
      <c r="NRF195" s="56"/>
      <c r="NRG195" s="56"/>
      <c r="NRH195" s="56"/>
      <c r="NRI195" s="56"/>
      <c r="NRJ195" s="56"/>
      <c r="NRK195" s="56"/>
      <c r="NRL195" s="56"/>
      <c r="NRM195" s="56"/>
      <c r="NRN195" s="56"/>
      <c r="NRO195" s="56"/>
      <c r="NRP195" s="56"/>
      <c r="NRQ195" s="56"/>
      <c r="NRR195" s="56"/>
      <c r="NRS195" s="56"/>
      <c r="NRT195" s="56"/>
      <c r="NRU195" s="56"/>
      <c r="NRV195" s="56"/>
      <c r="NRW195" s="56"/>
      <c r="NRX195" s="56"/>
      <c r="NRY195" s="56"/>
      <c r="NRZ195" s="56"/>
      <c r="NSA195" s="56"/>
      <c r="NSB195" s="56"/>
      <c r="NSC195" s="56"/>
      <c r="NSD195" s="56"/>
      <c r="NSE195" s="56"/>
      <c r="NSF195" s="56"/>
      <c r="NSG195" s="56"/>
      <c r="NSH195" s="56"/>
      <c r="NSI195" s="56"/>
      <c r="NSJ195" s="56"/>
      <c r="NSK195" s="56"/>
      <c r="NSL195" s="56"/>
      <c r="NSM195" s="56"/>
      <c r="NSN195" s="56"/>
      <c r="NSO195" s="56"/>
      <c r="NSP195" s="56"/>
      <c r="NSQ195" s="56"/>
      <c r="NSR195" s="56"/>
      <c r="NSS195" s="56"/>
      <c r="NST195" s="56"/>
      <c r="NSU195" s="56"/>
      <c r="NSV195" s="56"/>
      <c r="NSW195" s="56"/>
      <c r="NSX195" s="56"/>
      <c r="NSY195" s="56"/>
      <c r="NSZ195" s="56"/>
      <c r="NTA195" s="56"/>
      <c r="NTB195" s="56"/>
      <c r="NTC195" s="56"/>
      <c r="NTD195" s="56"/>
      <c r="NTE195" s="56"/>
      <c r="NTF195" s="56"/>
      <c r="NTG195" s="56"/>
      <c r="NTH195" s="56"/>
      <c r="NTI195" s="56"/>
      <c r="NTJ195" s="56"/>
      <c r="NTK195" s="56"/>
      <c r="NTL195" s="56"/>
      <c r="NTM195" s="56"/>
      <c r="NTN195" s="56"/>
      <c r="NTO195" s="56"/>
      <c r="NTP195" s="56"/>
      <c r="NTQ195" s="56"/>
      <c r="NTR195" s="56"/>
      <c r="NTS195" s="56"/>
      <c r="NTT195" s="56"/>
      <c r="NTU195" s="56"/>
      <c r="NTV195" s="56"/>
      <c r="NTW195" s="56"/>
      <c r="NTX195" s="56"/>
      <c r="NTY195" s="56"/>
      <c r="NTZ195" s="56"/>
      <c r="NUA195" s="56"/>
      <c r="NUB195" s="56"/>
      <c r="NUC195" s="56"/>
      <c r="NUD195" s="56"/>
      <c r="NUE195" s="56"/>
      <c r="NUF195" s="56"/>
      <c r="NUG195" s="56"/>
      <c r="NUH195" s="56"/>
      <c r="NUI195" s="56"/>
      <c r="NUJ195" s="56"/>
      <c r="NUK195" s="56"/>
      <c r="NUL195" s="56"/>
      <c r="NUM195" s="56"/>
      <c r="NUN195" s="56"/>
      <c r="NUO195" s="56"/>
      <c r="NUP195" s="56"/>
      <c r="NUQ195" s="56"/>
      <c r="NUR195" s="56"/>
      <c r="NUS195" s="56"/>
      <c r="NUT195" s="56"/>
      <c r="NUU195" s="56"/>
      <c r="NUV195" s="56"/>
      <c r="NUW195" s="56"/>
      <c r="NUX195" s="56"/>
      <c r="NUY195" s="56"/>
      <c r="NUZ195" s="56"/>
      <c r="NVA195" s="56"/>
      <c r="NVB195" s="56"/>
      <c r="NVC195" s="56"/>
      <c r="NVD195" s="56"/>
      <c r="NVE195" s="56"/>
      <c r="NVF195" s="56"/>
      <c r="NVG195" s="56"/>
      <c r="NVH195" s="56"/>
      <c r="NVI195" s="56"/>
      <c r="NVJ195" s="56"/>
      <c r="NVK195" s="56"/>
      <c r="NVL195" s="56"/>
      <c r="NVM195" s="56"/>
      <c r="NVN195" s="56"/>
      <c r="NVO195" s="56"/>
      <c r="NVP195" s="56"/>
      <c r="NVQ195" s="56"/>
      <c r="NVR195" s="56"/>
      <c r="NVS195" s="56"/>
      <c r="NVT195" s="56"/>
      <c r="NVU195" s="56"/>
      <c r="NVV195" s="56"/>
      <c r="NVW195" s="56"/>
      <c r="NVX195" s="56"/>
      <c r="NVY195" s="56"/>
      <c r="NVZ195" s="56"/>
      <c r="NWA195" s="56"/>
      <c r="NWB195" s="56"/>
      <c r="NWC195" s="56"/>
      <c r="NWD195" s="56"/>
      <c r="NWE195" s="56"/>
      <c r="NWF195" s="56"/>
      <c r="NWG195" s="56"/>
      <c r="NWH195" s="56"/>
      <c r="NWI195" s="56"/>
      <c r="NWJ195" s="56"/>
      <c r="NWK195" s="56"/>
      <c r="NWL195" s="56"/>
      <c r="NWM195" s="56"/>
      <c r="NWN195" s="56"/>
      <c r="NWO195" s="56"/>
      <c r="NWP195" s="56"/>
      <c r="NWQ195" s="56"/>
      <c r="NWR195" s="56"/>
      <c r="NWS195" s="56"/>
      <c r="NWT195" s="56"/>
      <c r="NWU195" s="56"/>
      <c r="NWV195" s="56"/>
      <c r="NWW195" s="56"/>
      <c r="NWX195" s="56"/>
      <c r="NWY195" s="56"/>
      <c r="NWZ195" s="56"/>
      <c r="NXA195" s="56"/>
      <c r="NXB195" s="56"/>
      <c r="NXC195" s="56"/>
      <c r="NXD195" s="56"/>
      <c r="NXE195" s="56"/>
      <c r="NXF195" s="56"/>
      <c r="NXG195" s="56"/>
      <c r="NXH195" s="56"/>
      <c r="NXI195" s="56"/>
      <c r="NXJ195" s="56"/>
      <c r="NXK195" s="56"/>
      <c r="NXL195" s="56"/>
      <c r="NXM195" s="56"/>
      <c r="NXN195" s="56"/>
      <c r="NXO195" s="56"/>
      <c r="NXP195" s="56"/>
      <c r="NXQ195" s="56"/>
      <c r="NXR195" s="56"/>
      <c r="NXS195" s="56"/>
      <c r="NXT195" s="56"/>
      <c r="NXU195" s="56"/>
      <c r="NXV195" s="56"/>
      <c r="NXW195" s="56"/>
      <c r="NXX195" s="56"/>
      <c r="NXY195" s="56"/>
      <c r="NXZ195" s="56"/>
      <c r="NYA195" s="56"/>
      <c r="NYB195" s="56"/>
      <c r="NYC195" s="56"/>
      <c r="NYD195" s="56"/>
      <c r="NYE195" s="56"/>
      <c r="NYF195" s="56"/>
      <c r="NYG195" s="56"/>
      <c r="NYH195" s="56"/>
      <c r="NYI195" s="56"/>
      <c r="NYJ195" s="56"/>
      <c r="NYK195" s="56"/>
      <c r="NYL195" s="56"/>
      <c r="NYM195" s="56"/>
      <c r="NYN195" s="56"/>
      <c r="NYO195" s="56"/>
      <c r="NYP195" s="56"/>
      <c r="NYQ195" s="56"/>
      <c r="NYR195" s="56"/>
      <c r="NYS195" s="56"/>
      <c r="NYT195" s="56"/>
      <c r="NYU195" s="56"/>
      <c r="NYV195" s="56"/>
      <c r="NYW195" s="56"/>
      <c r="NYX195" s="56"/>
      <c r="NYY195" s="56"/>
      <c r="NYZ195" s="56"/>
      <c r="NZA195" s="56"/>
      <c r="NZB195" s="56"/>
      <c r="NZC195" s="56"/>
      <c r="NZD195" s="56"/>
      <c r="NZE195" s="56"/>
      <c r="NZF195" s="56"/>
      <c r="NZG195" s="56"/>
      <c r="NZH195" s="56"/>
      <c r="NZI195" s="56"/>
      <c r="NZJ195" s="56"/>
      <c r="NZK195" s="56"/>
      <c r="NZL195" s="56"/>
      <c r="NZM195" s="56"/>
      <c r="NZN195" s="56"/>
      <c r="NZO195" s="56"/>
      <c r="NZP195" s="56"/>
      <c r="NZQ195" s="56"/>
      <c r="NZR195" s="56"/>
      <c r="NZS195" s="56"/>
      <c r="NZT195" s="56"/>
      <c r="NZU195" s="56"/>
      <c r="NZV195" s="56"/>
      <c r="NZW195" s="56"/>
      <c r="NZX195" s="56"/>
      <c r="NZY195" s="56"/>
      <c r="NZZ195" s="56"/>
      <c r="OAA195" s="56"/>
      <c r="OAB195" s="56"/>
      <c r="OAC195" s="56"/>
      <c r="OAD195" s="56"/>
      <c r="OAE195" s="56"/>
      <c r="OAF195" s="56"/>
      <c r="OAG195" s="56"/>
      <c r="OAH195" s="56"/>
      <c r="OAI195" s="56"/>
      <c r="OAJ195" s="56"/>
      <c r="OAK195" s="56"/>
      <c r="OAL195" s="56"/>
      <c r="OAM195" s="56"/>
      <c r="OAN195" s="56"/>
      <c r="OAO195" s="56"/>
      <c r="OAP195" s="56"/>
      <c r="OAQ195" s="56"/>
      <c r="OAR195" s="56"/>
      <c r="OAS195" s="56"/>
      <c r="OAT195" s="56"/>
      <c r="OAU195" s="56"/>
      <c r="OAV195" s="56"/>
      <c r="OAW195" s="56"/>
      <c r="OAX195" s="56"/>
      <c r="OAY195" s="56"/>
      <c r="OAZ195" s="56"/>
      <c r="OBA195" s="56"/>
      <c r="OBB195" s="56"/>
      <c r="OBC195" s="56"/>
      <c r="OBD195" s="56"/>
      <c r="OBE195" s="56"/>
      <c r="OBF195" s="56"/>
      <c r="OBG195" s="56"/>
      <c r="OBH195" s="56"/>
      <c r="OBI195" s="56"/>
      <c r="OBJ195" s="56"/>
      <c r="OBK195" s="56"/>
      <c r="OBL195" s="56"/>
      <c r="OBM195" s="56"/>
      <c r="OBN195" s="56"/>
      <c r="OBO195" s="56"/>
      <c r="OBP195" s="56"/>
      <c r="OBQ195" s="56"/>
      <c r="OBR195" s="56"/>
      <c r="OBS195" s="56"/>
      <c r="OBT195" s="56"/>
      <c r="OBU195" s="56"/>
      <c r="OBV195" s="56"/>
      <c r="OBW195" s="56"/>
      <c r="OBX195" s="56"/>
      <c r="OBY195" s="56"/>
      <c r="OBZ195" s="56"/>
      <c r="OCA195" s="56"/>
      <c r="OCB195" s="56"/>
      <c r="OCC195" s="56"/>
      <c r="OCD195" s="56"/>
      <c r="OCE195" s="56"/>
      <c r="OCF195" s="56"/>
      <c r="OCG195" s="56"/>
      <c r="OCH195" s="56"/>
      <c r="OCI195" s="56"/>
      <c r="OCJ195" s="56"/>
      <c r="OCK195" s="56"/>
      <c r="OCL195" s="56"/>
      <c r="OCM195" s="56"/>
      <c r="OCN195" s="56"/>
      <c r="OCO195" s="56"/>
      <c r="OCP195" s="56"/>
      <c r="OCQ195" s="56"/>
      <c r="OCR195" s="56"/>
      <c r="OCS195" s="56"/>
      <c r="OCT195" s="56"/>
      <c r="OCU195" s="56"/>
      <c r="OCV195" s="56"/>
      <c r="OCW195" s="56"/>
      <c r="OCX195" s="56"/>
      <c r="OCY195" s="56"/>
      <c r="OCZ195" s="56"/>
      <c r="ODA195" s="56"/>
      <c r="ODB195" s="56"/>
      <c r="ODC195" s="56"/>
      <c r="ODD195" s="56"/>
      <c r="ODE195" s="56"/>
      <c r="ODF195" s="56"/>
      <c r="ODG195" s="56"/>
      <c r="ODH195" s="56"/>
      <c r="ODI195" s="56"/>
      <c r="ODJ195" s="56"/>
      <c r="ODK195" s="56"/>
      <c r="ODL195" s="56"/>
      <c r="ODM195" s="56"/>
      <c r="ODN195" s="56"/>
      <c r="ODO195" s="56"/>
      <c r="ODP195" s="56"/>
      <c r="ODQ195" s="56"/>
      <c r="ODR195" s="56"/>
      <c r="ODS195" s="56"/>
      <c r="ODT195" s="56"/>
      <c r="ODU195" s="56"/>
      <c r="ODV195" s="56"/>
      <c r="ODW195" s="56"/>
      <c r="ODX195" s="56"/>
      <c r="ODY195" s="56"/>
      <c r="ODZ195" s="56"/>
      <c r="OEA195" s="56"/>
      <c r="OEB195" s="56"/>
      <c r="OEC195" s="56"/>
      <c r="OED195" s="56"/>
      <c r="OEE195" s="56"/>
      <c r="OEF195" s="56"/>
      <c r="OEG195" s="56"/>
      <c r="OEH195" s="56"/>
      <c r="OEI195" s="56"/>
      <c r="OEJ195" s="56"/>
      <c r="OEK195" s="56"/>
      <c r="OEL195" s="56"/>
      <c r="OEM195" s="56"/>
      <c r="OEN195" s="56"/>
      <c r="OEO195" s="56"/>
      <c r="OEP195" s="56"/>
      <c r="OEQ195" s="56"/>
      <c r="OER195" s="56"/>
      <c r="OES195" s="56"/>
      <c r="OET195" s="56"/>
      <c r="OEU195" s="56"/>
      <c r="OEV195" s="56"/>
      <c r="OEW195" s="56"/>
      <c r="OEX195" s="56"/>
      <c r="OEY195" s="56"/>
      <c r="OEZ195" s="56"/>
      <c r="OFA195" s="56"/>
      <c r="OFB195" s="56"/>
      <c r="OFC195" s="56"/>
      <c r="OFD195" s="56"/>
      <c r="OFE195" s="56"/>
      <c r="OFF195" s="56"/>
      <c r="OFG195" s="56"/>
      <c r="OFH195" s="56"/>
      <c r="OFI195" s="56"/>
      <c r="OFJ195" s="56"/>
      <c r="OFK195" s="56"/>
      <c r="OFL195" s="56"/>
      <c r="OFM195" s="56"/>
      <c r="OFN195" s="56"/>
      <c r="OFO195" s="56"/>
      <c r="OFP195" s="56"/>
      <c r="OFQ195" s="56"/>
      <c r="OFR195" s="56"/>
      <c r="OFS195" s="56"/>
      <c r="OFT195" s="56"/>
      <c r="OFU195" s="56"/>
      <c r="OFV195" s="56"/>
      <c r="OFW195" s="56"/>
      <c r="OFX195" s="56"/>
      <c r="OFY195" s="56"/>
      <c r="OFZ195" s="56"/>
      <c r="OGA195" s="56"/>
      <c r="OGB195" s="56"/>
      <c r="OGC195" s="56"/>
      <c r="OGD195" s="56"/>
      <c r="OGE195" s="56"/>
      <c r="OGF195" s="56"/>
      <c r="OGG195" s="56"/>
      <c r="OGH195" s="56"/>
      <c r="OGI195" s="56"/>
      <c r="OGJ195" s="56"/>
      <c r="OGK195" s="56"/>
      <c r="OGL195" s="56"/>
      <c r="OGM195" s="56"/>
      <c r="OGN195" s="56"/>
      <c r="OGO195" s="56"/>
      <c r="OGP195" s="56"/>
      <c r="OGQ195" s="56"/>
      <c r="OGR195" s="56"/>
      <c r="OGS195" s="56"/>
      <c r="OGT195" s="56"/>
      <c r="OGU195" s="56"/>
      <c r="OGV195" s="56"/>
      <c r="OGW195" s="56"/>
      <c r="OGX195" s="56"/>
      <c r="OGY195" s="56"/>
      <c r="OGZ195" s="56"/>
      <c r="OHA195" s="56"/>
      <c r="OHB195" s="56"/>
      <c r="OHC195" s="56"/>
      <c r="OHD195" s="56"/>
      <c r="OHE195" s="56"/>
      <c r="OHF195" s="56"/>
      <c r="OHG195" s="56"/>
      <c r="OHH195" s="56"/>
      <c r="OHI195" s="56"/>
      <c r="OHJ195" s="56"/>
      <c r="OHK195" s="56"/>
      <c r="OHL195" s="56"/>
      <c r="OHM195" s="56"/>
      <c r="OHN195" s="56"/>
      <c r="OHO195" s="56"/>
      <c r="OHP195" s="56"/>
      <c r="OHQ195" s="56"/>
      <c r="OHR195" s="56"/>
      <c r="OHS195" s="56"/>
      <c r="OHT195" s="56"/>
      <c r="OHU195" s="56"/>
      <c r="OHV195" s="56"/>
      <c r="OHW195" s="56"/>
      <c r="OHX195" s="56"/>
      <c r="OHY195" s="56"/>
      <c r="OHZ195" s="56"/>
      <c r="OIA195" s="56"/>
      <c r="OIB195" s="56"/>
      <c r="OIC195" s="56"/>
      <c r="OID195" s="56"/>
      <c r="OIE195" s="56"/>
      <c r="OIF195" s="56"/>
      <c r="OIG195" s="56"/>
      <c r="OIH195" s="56"/>
      <c r="OII195" s="56"/>
      <c r="OIJ195" s="56"/>
      <c r="OIK195" s="56"/>
      <c r="OIL195" s="56"/>
      <c r="OIM195" s="56"/>
      <c r="OIN195" s="56"/>
      <c r="OIO195" s="56"/>
      <c r="OIP195" s="56"/>
      <c r="OIQ195" s="56"/>
      <c r="OIR195" s="56"/>
      <c r="OIS195" s="56"/>
      <c r="OIT195" s="56"/>
      <c r="OIU195" s="56"/>
      <c r="OIV195" s="56"/>
      <c r="OIW195" s="56"/>
      <c r="OIX195" s="56"/>
      <c r="OIY195" s="56"/>
      <c r="OIZ195" s="56"/>
      <c r="OJA195" s="56"/>
      <c r="OJB195" s="56"/>
      <c r="OJC195" s="56"/>
      <c r="OJD195" s="56"/>
      <c r="OJE195" s="56"/>
      <c r="OJF195" s="56"/>
      <c r="OJG195" s="56"/>
      <c r="OJH195" s="56"/>
      <c r="OJI195" s="56"/>
      <c r="OJJ195" s="56"/>
      <c r="OJK195" s="56"/>
      <c r="OJL195" s="56"/>
      <c r="OJM195" s="56"/>
      <c r="OJN195" s="56"/>
      <c r="OJO195" s="56"/>
      <c r="OJP195" s="56"/>
      <c r="OJQ195" s="56"/>
      <c r="OJR195" s="56"/>
      <c r="OJS195" s="56"/>
      <c r="OJT195" s="56"/>
      <c r="OJU195" s="56"/>
      <c r="OJV195" s="56"/>
      <c r="OJW195" s="56"/>
      <c r="OJX195" s="56"/>
      <c r="OJY195" s="56"/>
      <c r="OJZ195" s="56"/>
      <c r="OKA195" s="56"/>
      <c r="OKB195" s="56"/>
      <c r="OKC195" s="56"/>
      <c r="OKD195" s="56"/>
      <c r="OKE195" s="56"/>
      <c r="OKF195" s="56"/>
      <c r="OKG195" s="56"/>
      <c r="OKH195" s="56"/>
      <c r="OKI195" s="56"/>
      <c r="OKJ195" s="56"/>
      <c r="OKK195" s="56"/>
      <c r="OKL195" s="56"/>
      <c r="OKM195" s="56"/>
      <c r="OKN195" s="56"/>
      <c r="OKO195" s="56"/>
      <c r="OKP195" s="56"/>
      <c r="OKQ195" s="56"/>
      <c r="OKR195" s="56"/>
      <c r="OKS195" s="56"/>
      <c r="OKT195" s="56"/>
      <c r="OKU195" s="56"/>
      <c r="OKV195" s="56"/>
      <c r="OKW195" s="56"/>
      <c r="OKX195" s="56"/>
      <c r="OKY195" s="56"/>
      <c r="OKZ195" s="56"/>
      <c r="OLA195" s="56"/>
      <c r="OLB195" s="56"/>
      <c r="OLC195" s="56"/>
      <c r="OLD195" s="56"/>
      <c r="OLE195" s="56"/>
      <c r="OLF195" s="56"/>
      <c r="OLG195" s="56"/>
      <c r="OLH195" s="56"/>
      <c r="OLI195" s="56"/>
      <c r="OLJ195" s="56"/>
      <c r="OLK195" s="56"/>
      <c r="OLL195" s="56"/>
      <c r="OLM195" s="56"/>
      <c r="OLN195" s="56"/>
      <c r="OLO195" s="56"/>
      <c r="OLP195" s="56"/>
      <c r="OLQ195" s="56"/>
      <c r="OLR195" s="56"/>
      <c r="OLS195" s="56"/>
      <c r="OLT195" s="56"/>
      <c r="OLU195" s="56"/>
      <c r="OLV195" s="56"/>
      <c r="OLW195" s="56"/>
      <c r="OLX195" s="56"/>
      <c r="OLY195" s="56"/>
      <c r="OLZ195" s="56"/>
      <c r="OMA195" s="56"/>
      <c r="OMB195" s="56"/>
      <c r="OMC195" s="56"/>
      <c r="OMD195" s="56"/>
      <c r="OME195" s="56"/>
      <c r="OMF195" s="56"/>
      <c r="OMG195" s="56"/>
      <c r="OMH195" s="56"/>
      <c r="OMI195" s="56"/>
      <c r="OMJ195" s="56"/>
      <c r="OMK195" s="56"/>
      <c r="OML195" s="56"/>
      <c r="OMM195" s="56"/>
      <c r="OMN195" s="56"/>
      <c r="OMO195" s="56"/>
      <c r="OMP195" s="56"/>
      <c r="OMQ195" s="56"/>
      <c r="OMR195" s="56"/>
      <c r="OMS195" s="56"/>
      <c r="OMT195" s="56"/>
      <c r="OMU195" s="56"/>
      <c r="OMV195" s="56"/>
      <c r="OMW195" s="56"/>
      <c r="OMX195" s="56"/>
      <c r="OMY195" s="56"/>
      <c r="OMZ195" s="56"/>
      <c r="ONA195" s="56"/>
      <c r="ONB195" s="56"/>
      <c r="ONC195" s="56"/>
      <c r="OND195" s="56"/>
      <c r="ONE195" s="56"/>
      <c r="ONF195" s="56"/>
      <c r="ONG195" s="56"/>
      <c r="ONH195" s="56"/>
      <c r="ONI195" s="56"/>
      <c r="ONJ195" s="56"/>
      <c r="ONK195" s="56"/>
      <c r="ONL195" s="56"/>
      <c r="ONM195" s="56"/>
      <c r="ONN195" s="56"/>
      <c r="ONO195" s="56"/>
      <c r="ONP195" s="56"/>
      <c r="ONQ195" s="56"/>
      <c r="ONR195" s="56"/>
      <c r="ONS195" s="56"/>
      <c r="ONT195" s="56"/>
      <c r="ONU195" s="56"/>
      <c r="ONV195" s="56"/>
      <c r="ONW195" s="56"/>
      <c r="ONX195" s="56"/>
      <c r="ONY195" s="56"/>
      <c r="ONZ195" s="56"/>
      <c r="OOA195" s="56"/>
      <c r="OOB195" s="56"/>
      <c r="OOC195" s="56"/>
      <c r="OOD195" s="56"/>
      <c r="OOE195" s="56"/>
      <c r="OOF195" s="56"/>
      <c r="OOG195" s="56"/>
      <c r="OOH195" s="56"/>
      <c r="OOI195" s="56"/>
      <c r="OOJ195" s="56"/>
      <c r="OOK195" s="56"/>
      <c r="OOL195" s="56"/>
      <c r="OOM195" s="56"/>
      <c r="OON195" s="56"/>
      <c r="OOO195" s="56"/>
      <c r="OOP195" s="56"/>
      <c r="OOQ195" s="56"/>
      <c r="OOR195" s="56"/>
      <c r="OOS195" s="56"/>
      <c r="OOT195" s="56"/>
      <c r="OOU195" s="56"/>
      <c r="OOV195" s="56"/>
      <c r="OOW195" s="56"/>
      <c r="OOX195" s="56"/>
      <c r="OOY195" s="56"/>
      <c r="OOZ195" s="56"/>
      <c r="OPA195" s="56"/>
      <c r="OPB195" s="56"/>
      <c r="OPC195" s="56"/>
      <c r="OPD195" s="56"/>
      <c r="OPE195" s="56"/>
      <c r="OPF195" s="56"/>
      <c r="OPG195" s="56"/>
      <c r="OPH195" s="56"/>
      <c r="OPI195" s="56"/>
      <c r="OPJ195" s="56"/>
      <c r="OPK195" s="56"/>
      <c r="OPL195" s="56"/>
      <c r="OPM195" s="56"/>
      <c r="OPN195" s="56"/>
      <c r="OPO195" s="56"/>
      <c r="OPP195" s="56"/>
      <c r="OPQ195" s="56"/>
      <c r="OPR195" s="56"/>
      <c r="OPS195" s="56"/>
      <c r="OPT195" s="56"/>
      <c r="OPU195" s="56"/>
      <c r="OPV195" s="56"/>
      <c r="OPW195" s="56"/>
      <c r="OPX195" s="56"/>
      <c r="OPY195" s="56"/>
      <c r="OPZ195" s="56"/>
      <c r="OQA195" s="56"/>
      <c r="OQB195" s="56"/>
      <c r="OQC195" s="56"/>
      <c r="OQD195" s="56"/>
      <c r="OQE195" s="56"/>
      <c r="OQF195" s="56"/>
      <c r="OQG195" s="56"/>
      <c r="OQH195" s="56"/>
      <c r="OQI195" s="56"/>
      <c r="OQJ195" s="56"/>
      <c r="OQK195" s="56"/>
      <c r="OQL195" s="56"/>
      <c r="OQM195" s="56"/>
      <c r="OQN195" s="56"/>
      <c r="OQO195" s="56"/>
      <c r="OQP195" s="56"/>
      <c r="OQQ195" s="56"/>
      <c r="OQR195" s="56"/>
      <c r="OQS195" s="56"/>
      <c r="OQT195" s="56"/>
      <c r="OQU195" s="56"/>
      <c r="OQV195" s="56"/>
      <c r="OQW195" s="56"/>
      <c r="OQX195" s="56"/>
      <c r="OQY195" s="56"/>
      <c r="OQZ195" s="56"/>
      <c r="ORA195" s="56"/>
      <c r="ORB195" s="56"/>
      <c r="ORC195" s="56"/>
      <c r="ORD195" s="56"/>
      <c r="ORE195" s="56"/>
      <c r="ORF195" s="56"/>
      <c r="ORG195" s="56"/>
      <c r="ORH195" s="56"/>
      <c r="ORI195" s="56"/>
      <c r="ORJ195" s="56"/>
      <c r="ORK195" s="56"/>
      <c r="ORL195" s="56"/>
      <c r="ORM195" s="56"/>
      <c r="ORN195" s="56"/>
      <c r="ORO195" s="56"/>
      <c r="ORP195" s="56"/>
      <c r="ORQ195" s="56"/>
      <c r="ORR195" s="56"/>
      <c r="ORS195" s="56"/>
      <c r="ORT195" s="56"/>
      <c r="ORU195" s="56"/>
      <c r="ORV195" s="56"/>
      <c r="ORW195" s="56"/>
      <c r="ORX195" s="56"/>
      <c r="ORY195" s="56"/>
      <c r="ORZ195" s="56"/>
      <c r="OSA195" s="56"/>
      <c r="OSB195" s="56"/>
      <c r="OSC195" s="56"/>
      <c r="OSD195" s="56"/>
      <c r="OSE195" s="56"/>
      <c r="OSF195" s="56"/>
      <c r="OSG195" s="56"/>
      <c r="OSH195" s="56"/>
      <c r="OSI195" s="56"/>
      <c r="OSJ195" s="56"/>
      <c r="OSK195" s="56"/>
      <c r="OSL195" s="56"/>
      <c r="OSM195" s="56"/>
      <c r="OSN195" s="56"/>
      <c r="OSO195" s="56"/>
      <c r="OSP195" s="56"/>
      <c r="OSQ195" s="56"/>
      <c r="OSR195" s="56"/>
      <c r="OSS195" s="56"/>
      <c r="OST195" s="56"/>
      <c r="OSU195" s="56"/>
      <c r="OSV195" s="56"/>
      <c r="OSW195" s="56"/>
      <c r="OSX195" s="56"/>
      <c r="OSY195" s="56"/>
      <c r="OSZ195" s="56"/>
      <c r="OTA195" s="56"/>
      <c r="OTB195" s="56"/>
      <c r="OTC195" s="56"/>
      <c r="OTD195" s="56"/>
      <c r="OTE195" s="56"/>
      <c r="OTF195" s="56"/>
      <c r="OTG195" s="56"/>
      <c r="OTH195" s="56"/>
      <c r="OTI195" s="56"/>
      <c r="OTJ195" s="56"/>
      <c r="OTK195" s="56"/>
      <c r="OTL195" s="56"/>
      <c r="OTM195" s="56"/>
      <c r="OTN195" s="56"/>
      <c r="OTO195" s="56"/>
      <c r="OTP195" s="56"/>
      <c r="OTQ195" s="56"/>
      <c r="OTR195" s="56"/>
      <c r="OTS195" s="56"/>
      <c r="OTT195" s="56"/>
      <c r="OTU195" s="56"/>
      <c r="OTV195" s="56"/>
      <c r="OTW195" s="56"/>
      <c r="OTX195" s="56"/>
      <c r="OTY195" s="56"/>
      <c r="OTZ195" s="56"/>
      <c r="OUA195" s="56"/>
      <c r="OUB195" s="56"/>
      <c r="OUC195" s="56"/>
      <c r="OUD195" s="56"/>
      <c r="OUE195" s="56"/>
      <c r="OUF195" s="56"/>
      <c r="OUG195" s="56"/>
      <c r="OUH195" s="56"/>
      <c r="OUI195" s="56"/>
      <c r="OUJ195" s="56"/>
      <c r="OUK195" s="56"/>
      <c r="OUL195" s="56"/>
      <c r="OUM195" s="56"/>
      <c r="OUN195" s="56"/>
      <c r="OUO195" s="56"/>
      <c r="OUP195" s="56"/>
      <c r="OUQ195" s="56"/>
      <c r="OUR195" s="56"/>
      <c r="OUS195" s="56"/>
      <c r="OUT195" s="56"/>
      <c r="OUU195" s="56"/>
      <c r="OUV195" s="56"/>
      <c r="OUW195" s="56"/>
      <c r="OUX195" s="56"/>
      <c r="OUY195" s="56"/>
      <c r="OUZ195" s="56"/>
      <c r="OVA195" s="56"/>
      <c r="OVB195" s="56"/>
      <c r="OVC195" s="56"/>
      <c r="OVD195" s="56"/>
      <c r="OVE195" s="56"/>
      <c r="OVF195" s="56"/>
      <c r="OVG195" s="56"/>
      <c r="OVH195" s="56"/>
      <c r="OVI195" s="56"/>
      <c r="OVJ195" s="56"/>
      <c r="OVK195" s="56"/>
      <c r="OVL195" s="56"/>
      <c r="OVM195" s="56"/>
      <c r="OVN195" s="56"/>
      <c r="OVO195" s="56"/>
      <c r="OVP195" s="56"/>
      <c r="OVQ195" s="56"/>
      <c r="OVR195" s="56"/>
      <c r="OVS195" s="56"/>
      <c r="OVT195" s="56"/>
      <c r="OVU195" s="56"/>
      <c r="OVV195" s="56"/>
      <c r="OVW195" s="56"/>
      <c r="OVX195" s="56"/>
      <c r="OVY195" s="56"/>
      <c r="OVZ195" s="56"/>
      <c r="OWA195" s="56"/>
      <c r="OWB195" s="56"/>
      <c r="OWC195" s="56"/>
      <c r="OWD195" s="56"/>
      <c r="OWE195" s="56"/>
      <c r="OWF195" s="56"/>
      <c r="OWG195" s="56"/>
      <c r="OWH195" s="56"/>
      <c r="OWI195" s="56"/>
      <c r="OWJ195" s="56"/>
      <c r="OWK195" s="56"/>
      <c r="OWL195" s="56"/>
      <c r="OWM195" s="56"/>
      <c r="OWN195" s="56"/>
      <c r="OWO195" s="56"/>
      <c r="OWP195" s="56"/>
      <c r="OWQ195" s="56"/>
      <c r="OWR195" s="56"/>
      <c r="OWS195" s="56"/>
      <c r="OWT195" s="56"/>
      <c r="OWU195" s="56"/>
      <c r="OWV195" s="56"/>
      <c r="OWW195" s="56"/>
      <c r="OWX195" s="56"/>
      <c r="OWY195" s="56"/>
      <c r="OWZ195" s="56"/>
      <c r="OXA195" s="56"/>
      <c r="OXB195" s="56"/>
      <c r="OXC195" s="56"/>
      <c r="OXD195" s="56"/>
      <c r="OXE195" s="56"/>
      <c r="OXF195" s="56"/>
      <c r="OXG195" s="56"/>
      <c r="OXH195" s="56"/>
      <c r="OXI195" s="56"/>
      <c r="OXJ195" s="56"/>
      <c r="OXK195" s="56"/>
      <c r="OXL195" s="56"/>
      <c r="OXM195" s="56"/>
      <c r="OXN195" s="56"/>
      <c r="OXO195" s="56"/>
      <c r="OXP195" s="56"/>
      <c r="OXQ195" s="56"/>
      <c r="OXR195" s="56"/>
      <c r="OXS195" s="56"/>
      <c r="OXT195" s="56"/>
      <c r="OXU195" s="56"/>
      <c r="OXV195" s="56"/>
      <c r="OXW195" s="56"/>
      <c r="OXX195" s="56"/>
      <c r="OXY195" s="56"/>
      <c r="OXZ195" s="56"/>
      <c r="OYA195" s="56"/>
      <c r="OYB195" s="56"/>
      <c r="OYC195" s="56"/>
      <c r="OYD195" s="56"/>
      <c r="OYE195" s="56"/>
      <c r="OYF195" s="56"/>
      <c r="OYG195" s="56"/>
      <c r="OYH195" s="56"/>
      <c r="OYI195" s="56"/>
      <c r="OYJ195" s="56"/>
      <c r="OYK195" s="56"/>
      <c r="OYL195" s="56"/>
      <c r="OYM195" s="56"/>
      <c r="OYN195" s="56"/>
      <c r="OYO195" s="56"/>
      <c r="OYP195" s="56"/>
      <c r="OYQ195" s="56"/>
      <c r="OYR195" s="56"/>
      <c r="OYS195" s="56"/>
      <c r="OYT195" s="56"/>
      <c r="OYU195" s="56"/>
      <c r="OYV195" s="56"/>
      <c r="OYW195" s="56"/>
      <c r="OYX195" s="56"/>
      <c r="OYY195" s="56"/>
      <c r="OYZ195" s="56"/>
      <c r="OZA195" s="56"/>
      <c r="OZB195" s="56"/>
      <c r="OZC195" s="56"/>
      <c r="OZD195" s="56"/>
      <c r="OZE195" s="56"/>
      <c r="OZF195" s="56"/>
      <c r="OZG195" s="56"/>
      <c r="OZH195" s="56"/>
      <c r="OZI195" s="56"/>
      <c r="OZJ195" s="56"/>
      <c r="OZK195" s="56"/>
      <c r="OZL195" s="56"/>
      <c r="OZM195" s="56"/>
      <c r="OZN195" s="56"/>
      <c r="OZO195" s="56"/>
      <c r="OZP195" s="56"/>
      <c r="OZQ195" s="56"/>
      <c r="OZR195" s="56"/>
      <c r="OZS195" s="56"/>
      <c r="OZT195" s="56"/>
      <c r="OZU195" s="56"/>
      <c r="OZV195" s="56"/>
      <c r="OZW195" s="56"/>
      <c r="OZX195" s="56"/>
      <c r="OZY195" s="56"/>
      <c r="OZZ195" s="56"/>
      <c r="PAA195" s="56"/>
      <c r="PAB195" s="56"/>
      <c r="PAC195" s="56"/>
      <c r="PAD195" s="56"/>
      <c r="PAE195" s="56"/>
      <c r="PAF195" s="56"/>
      <c r="PAG195" s="56"/>
      <c r="PAH195" s="56"/>
      <c r="PAI195" s="56"/>
      <c r="PAJ195" s="56"/>
      <c r="PAK195" s="56"/>
      <c r="PAL195" s="56"/>
      <c r="PAM195" s="56"/>
      <c r="PAN195" s="56"/>
      <c r="PAO195" s="56"/>
      <c r="PAP195" s="56"/>
      <c r="PAQ195" s="56"/>
      <c r="PAR195" s="56"/>
      <c r="PAS195" s="56"/>
      <c r="PAT195" s="56"/>
      <c r="PAU195" s="56"/>
      <c r="PAV195" s="56"/>
      <c r="PAW195" s="56"/>
      <c r="PAX195" s="56"/>
      <c r="PAY195" s="56"/>
      <c r="PAZ195" s="56"/>
      <c r="PBA195" s="56"/>
      <c r="PBB195" s="56"/>
      <c r="PBC195" s="56"/>
      <c r="PBD195" s="56"/>
      <c r="PBE195" s="56"/>
      <c r="PBF195" s="56"/>
      <c r="PBG195" s="56"/>
      <c r="PBH195" s="56"/>
      <c r="PBI195" s="56"/>
      <c r="PBJ195" s="56"/>
      <c r="PBK195" s="56"/>
      <c r="PBL195" s="56"/>
      <c r="PBM195" s="56"/>
      <c r="PBN195" s="56"/>
      <c r="PBO195" s="56"/>
      <c r="PBP195" s="56"/>
      <c r="PBQ195" s="56"/>
      <c r="PBR195" s="56"/>
      <c r="PBS195" s="56"/>
      <c r="PBT195" s="56"/>
      <c r="PBU195" s="56"/>
      <c r="PBV195" s="56"/>
      <c r="PBW195" s="56"/>
      <c r="PBX195" s="56"/>
      <c r="PBY195" s="56"/>
      <c r="PBZ195" s="56"/>
      <c r="PCA195" s="56"/>
      <c r="PCB195" s="56"/>
      <c r="PCC195" s="56"/>
      <c r="PCD195" s="56"/>
      <c r="PCE195" s="56"/>
      <c r="PCF195" s="56"/>
      <c r="PCG195" s="56"/>
      <c r="PCH195" s="56"/>
      <c r="PCI195" s="56"/>
      <c r="PCJ195" s="56"/>
      <c r="PCK195" s="56"/>
      <c r="PCL195" s="56"/>
      <c r="PCM195" s="56"/>
      <c r="PCN195" s="56"/>
      <c r="PCO195" s="56"/>
      <c r="PCP195" s="56"/>
      <c r="PCQ195" s="56"/>
      <c r="PCR195" s="56"/>
      <c r="PCS195" s="56"/>
      <c r="PCT195" s="56"/>
      <c r="PCU195" s="56"/>
      <c r="PCV195" s="56"/>
      <c r="PCW195" s="56"/>
      <c r="PCX195" s="56"/>
      <c r="PCY195" s="56"/>
      <c r="PCZ195" s="56"/>
      <c r="PDA195" s="56"/>
      <c r="PDB195" s="56"/>
      <c r="PDC195" s="56"/>
      <c r="PDD195" s="56"/>
      <c r="PDE195" s="56"/>
      <c r="PDF195" s="56"/>
      <c r="PDG195" s="56"/>
      <c r="PDH195" s="56"/>
      <c r="PDI195" s="56"/>
      <c r="PDJ195" s="56"/>
      <c r="PDK195" s="56"/>
      <c r="PDL195" s="56"/>
      <c r="PDM195" s="56"/>
      <c r="PDN195" s="56"/>
      <c r="PDO195" s="56"/>
      <c r="PDP195" s="56"/>
      <c r="PDQ195" s="56"/>
      <c r="PDR195" s="56"/>
      <c r="PDS195" s="56"/>
      <c r="PDT195" s="56"/>
      <c r="PDU195" s="56"/>
      <c r="PDV195" s="56"/>
      <c r="PDW195" s="56"/>
      <c r="PDX195" s="56"/>
      <c r="PDY195" s="56"/>
      <c r="PDZ195" s="56"/>
      <c r="PEA195" s="56"/>
      <c r="PEB195" s="56"/>
      <c r="PEC195" s="56"/>
      <c r="PED195" s="56"/>
      <c r="PEE195" s="56"/>
      <c r="PEF195" s="56"/>
      <c r="PEG195" s="56"/>
      <c r="PEH195" s="56"/>
      <c r="PEI195" s="56"/>
      <c r="PEJ195" s="56"/>
      <c r="PEK195" s="56"/>
      <c r="PEL195" s="56"/>
      <c r="PEM195" s="56"/>
      <c r="PEN195" s="56"/>
      <c r="PEO195" s="56"/>
      <c r="PEP195" s="56"/>
      <c r="PEQ195" s="56"/>
      <c r="PER195" s="56"/>
      <c r="PES195" s="56"/>
      <c r="PET195" s="56"/>
      <c r="PEU195" s="56"/>
      <c r="PEV195" s="56"/>
      <c r="PEW195" s="56"/>
      <c r="PEX195" s="56"/>
      <c r="PEY195" s="56"/>
      <c r="PEZ195" s="56"/>
      <c r="PFA195" s="56"/>
      <c r="PFB195" s="56"/>
      <c r="PFC195" s="56"/>
      <c r="PFD195" s="56"/>
      <c r="PFE195" s="56"/>
      <c r="PFF195" s="56"/>
      <c r="PFG195" s="56"/>
      <c r="PFH195" s="56"/>
      <c r="PFI195" s="56"/>
      <c r="PFJ195" s="56"/>
      <c r="PFK195" s="56"/>
      <c r="PFL195" s="56"/>
      <c r="PFM195" s="56"/>
      <c r="PFN195" s="56"/>
      <c r="PFO195" s="56"/>
      <c r="PFP195" s="56"/>
      <c r="PFQ195" s="56"/>
      <c r="PFR195" s="56"/>
      <c r="PFS195" s="56"/>
      <c r="PFT195" s="56"/>
      <c r="PFU195" s="56"/>
      <c r="PFV195" s="56"/>
      <c r="PFW195" s="56"/>
      <c r="PFX195" s="56"/>
      <c r="PFY195" s="56"/>
      <c r="PFZ195" s="56"/>
      <c r="PGA195" s="56"/>
      <c r="PGB195" s="56"/>
      <c r="PGC195" s="56"/>
      <c r="PGD195" s="56"/>
      <c r="PGE195" s="56"/>
      <c r="PGF195" s="56"/>
      <c r="PGG195" s="56"/>
      <c r="PGH195" s="56"/>
      <c r="PGI195" s="56"/>
      <c r="PGJ195" s="56"/>
      <c r="PGK195" s="56"/>
      <c r="PGL195" s="56"/>
      <c r="PGM195" s="56"/>
      <c r="PGN195" s="56"/>
      <c r="PGO195" s="56"/>
      <c r="PGP195" s="56"/>
      <c r="PGQ195" s="56"/>
      <c r="PGR195" s="56"/>
      <c r="PGS195" s="56"/>
      <c r="PGT195" s="56"/>
      <c r="PGU195" s="56"/>
      <c r="PGV195" s="56"/>
      <c r="PGW195" s="56"/>
      <c r="PGX195" s="56"/>
      <c r="PGY195" s="56"/>
      <c r="PGZ195" s="56"/>
      <c r="PHA195" s="56"/>
      <c r="PHB195" s="56"/>
      <c r="PHC195" s="56"/>
      <c r="PHD195" s="56"/>
      <c r="PHE195" s="56"/>
      <c r="PHF195" s="56"/>
      <c r="PHG195" s="56"/>
      <c r="PHH195" s="56"/>
      <c r="PHI195" s="56"/>
      <c r="PHJ195" s="56"/>
      <c r="PHK195" s="56"/>
      <c r="PHL195" s="56"/>
      <c r="PHM195" s="56"/>
      <c r="PHN195" s="56"/>
      <c r="PHO195" s="56"/>
      <c r="PHP195" s="56"/>
      <c r="PHQ195" s="56"/>
      <c r="PHR195" s="56"/>
      <c r="PHS195" s="56"/>
      <c r="PHT195" s="56"/>
      <c r="PHU195" s="56"/>
      <c r="PHV195" s="56"/>
      <c r="PHW195" s="56"/>
      <c r="PHX195" s="56"/>
      <c r="PHY195" s="56"/>
      <c r="PHZ195" s="56"/>
      <c r="PIA195" s="56"/>
      <c r="PIB195" s="56"/>
      <c r="PIC195" s="56"/>
      <c r="PID195" s="56"/>
      <c r="PIE195" s="56"/>
      <c r="PIF195" s="56"/>
      <c r="PIG195" s="56"/>
      <c r="PIH195" s="56"/>
      <c r="PII195" s="56"/>
      <c r="PIJ195" s="56"/>
      <c r="PIK195" s="56"/>
      <c r="PIL195" s="56"/>
      <c r="PIM195" s="56"/>
      <c r="PIN195" s="56"/>
      <c r="PIO195" s="56"/>
      <c r="PIP195" s="56"/>
      <c r="PIQ195" s="56"/>
      <c r="PIR195" s="56"/>
      <c r="PIS195" s="56"/>
      <c r="PIT195" s="56"/>
      <c r="PIU195" s="56"/>
      <c r="PIV195" s="56"/>
      <c r="PIW195" s="56"/>
      <c r="PIX195" s="56"/>
      <c r="PIY195" s="56"/>
      <c r="PIZ195" s="56"/>
      <c r="PJA195" s="56"/>
      <c r="PJB195" s="56"/>
      <c r="PJC195" s="56"/>
      <c r="PJD195" s="56"/>
      <c r="PJE195" s="56"/>
      <c r="PJF195" s="56"/>
      <c r="PJG195" s="56"/>
      <c r="PJH195" s="56"/>
      <c r="PJI195" s="56"/>
      <c r="PJJ195" s="56"/>
      <c r="PJK195" s="56"/>
      <c r="PJL195" s="56"/>
      <c r="PJM195" s="56"/>
      <c r="PJN195" s="56"/>
      <c r="PJO195" s="56"/>
      <c r="PJP195" s="56"/>
      <c r="PJQ195" s="56"/>
      <c r="PJR195" s="56"/>
      <c r="PJS195" s="56"/>
      <c r="PJT195" s="56"/>
      <c r="PJU195" s="56"/>
      <c r="PJV195" s="56"/>
      <c r="PJW195" s="56"/>
      <c r="PJX195" s="56"/>
      <c r="PJY195" s="56"/>
      <c r="PJZ195" s="56"/>
      <c r="PKA195" s="56"/>
      <c r="PKB195" s="56"/>
      <c r="PKC195" s="56"/>
      <c r="PKD195" s="56"/>
      <c r="PKE195" s="56"/>
      <c r="PKF195" s="56"/>
      <c r="PKG195" s="56"/>
      <c r="PKH195" s="56"/>
      <c r="PKI195" s="56"/>
      <c r="PKJ195" s="56"/>
      <c r="PKK195" s="56"/>
      <c r="PKL195" s="56"/>
      <c r="PKM195" s="56"/>
      <c r="PKN195" s="56"/>
      <c r="PKO195" s="56"/>
      <c r="PKP195" s="56"/>
      <c r="PKQ195" s="56"/>
      <c r="PKR195" s="56"/>
      <c r="PKS195" s="56"/>
      <c r="PKT195" s="56"/>
      <c r="PKU195" s="56"/>
      <c r="PKV195" s="56"/>
      <c r="PKW195" s="56"/>
      <c r="PKX195" s="56"/>
      <c r="PKY195" s="56"/>
      <c r="PKZ195" s="56"/>
      <c r="PLA195" s="56"/>
      <c r="PLB195" s="56"/>
      <c r="PLC195" s="56"/>
      <c r="PLD195" s="56"/>
      <c r="PLE195" s="56"/>
      <c r="PLF195" s="56"/>
      <c r="PLG195" s="56"/>
      <c r="PLH195" s="56"/>
      <c r="PLI195" s="56"/>
      <c r="PLJ195" s="56"/>
      <c r="PLK195" s="56"/>
      <c r="PLL195" s="56"/>
      <c r="PLM195" s="56"/>
      <c r="PLN195" s="56"/>
      <c r="PLO195" s="56"/>
      <c r="PLP195" s="56"/>
      <c r="PLQ195" s="56"/>
      <c r="PLR195" s="56"/>
      <c r="PLS195" s="56"/>
      <c r="PLT195" s="56"/>
      <c r="PLU195" s="56"/>
      <c r="PLV195" s="56"/>
      <c r="PLW195" s="56"/>
      <c r="PLX195" s="56"/>
      <c r="PLY195" s="56"/>
      <c r="PLZ195" s="56"/>
      <c r="PMA195" s="56"/>
      <c r="PMB195" s="56"/>
      <c r="PMC195" s="56"/>
      <c r="PMD195" s="56"/>
      <c r="PME195" s="56"/>
      <c r="PMF195" s="56"/>
      <c r="PMG195" s="56"/>
      <c r="PMH195" s="56"/>
      <c r="PMI195" s="56"/>
      <c r="PMJ195" s="56"/>
      <c r="PMK195" s="56"/>
      <c r="PML195" s="56"/>
      <c r="PMM195" s="56"/>
      <c r="PMN195" s="56"/>
      <c r="PMO195" s="56"/>
      <c r="PMP195" s="56"/>
      <c r="PMQ195" s="56"/>
      <c r="PMR195" s="56"/>
      <c r="PMS195" s="56"/>
      <c r="PMT195" s="56"/>
      <c r="PMU195" s="56"/>
      <c r="PMV195" s="56"/>
      <c r="PMW195" s="56"/>
      <c r="PMX195" s="56"/>
      <c r="PMY195" s="56"/>
      <c r="PMZ195" s="56"/>
      <c r="PNA195" s="56"/>
      <c r="PNB195" s="56"/>
      <c r="PNC195" s="56"/>
      <c r="PND195" s="56"/>
      <c r="PNE195" s="56"/>
      <c r="PNF195" s="56"/>
      <c r="PNG195" s="56"/>
      <c r="PNH195" s="56"/>
      <c r="PNI195" s="56"/>
      <c r="PNJ195" s="56"/>
      <c r="PNK195" s="56"/>
      <c r="PNL195" s="56"/>
      <c r="PNM195" s="56"/>
      <c r="PNN195" s="56"/>
      <c r="PNO195" s="56"/>
      <c r="PNP195" s="56"/>
      <c r="PNQ195" s="56"/>
      <c r="PNR195" s="56"/>
      <c r="PNS195" s="56"/>
      <c r="PNT195" s="56"/>
      <c r="PNU195" s="56"/>
      <c r="PNV195" s="56"/>
      <c r="PNW195" s="56"/>
      <c r="PNX195" s="56"/>
      <c r="PNY195" s="56"/>
      <c r="PNZ195" s="56"/>
      <c r="POA195" s="56"/>
      <c r="POB195" s="56"/>
      <c r="POC195" s="56"/>
      <c r="POD195" s="56"/>
      <c r="POE195" s="56"/>
      <c r="POF195" s="56"/>
      <c r="POG195" s="56"/>
      <c r="POH195" s="56"/>
      <c r="POI195" s="56"/>
      <c r="POJ195" s="56"/>
      <c r="POK195" s="56"/>
      <c r="POL195" s="56"/>
      <c r="POM195" s="56"/>
      <c r="PON195" s="56"/>
      <c r="POO195" s="56"/>
      <c r="POP195" s="56"/>
      <c r="POQ195" s="56"/>
      <c r="POR195" s="56"/>
      <c r="POS195" s="56"/>
      <c r="POT195" s="56"/>
      <c r="POU195" s="56"/>
      <c r="POV195" s="56"/>
      <c r="POW195" s="56"/>
      <c r="POX195" s="56"/>
      <c r="POY195" s="56"/>
      <c r="POZ195" s="56"/>
      <c r="PPA195" s="56"/>
      <c r="PPB195" s="56"/>
      <c r="PPC195" s="56"/>
      <c r="PPD195" s="56"/>
      <c r="PPE195" s="56"/>
      <c r="PPF195" s="56"/>
      <c r="PPG195" s="56"/>
      <c r="PPH195" s="56"/>
      <c r="PPI195" s="56"/>
      <c r="PPJ195" s="56"/>
      <c r="PPK195" s="56"/>
      <c r="PPL195" s="56"/>
      <c r="PPM195" s="56"/>
      <c r="PPN195" s="56"/>
      <c r="PPO195" s="56"/>
      <c r="PPP195" s="56"/>
      <c r="PPQ195" s="56"/>
      <c r="PPR195" s="56"/>
      <c r="PPS195" s="56"/>
      <c r="PPT195" s="56"/>
      <c r="PPU195" s="56"/>
      <c r="PPV195" s="56"/>
      <c r="PPW195" s="56"/>
      <c r="PPX195" s="56"/>
      <c r="PPY195" s="56"/>
      <c r="PPZ195" s="56"/>
      <c r="PQA195" s="56"/>
      <c r="PQB195" s="56"/>
      <c r="PQC195" s="56"/>
      <c r="PQD195" s="56"/>
      <c r="PQE195" s="56"/>
      <c r="PQF195" s="56"/>
      <c r="PQG195" s="56"/>
      <c r="PQH195" s="56"/>
      <c r="PQI195" s="56"/>
      <c r="PQJ195" s="56"/>
      <c r="PQK195" s="56"/>
      <c r="PQL195" s="56"/>
      <c r="PQM195" s="56"/>
      <c r="PQN195" s="56"/>
      <c r="PQO195" s="56"/>
      <c r="PQP195" s="56"/>
      <c r="PQQ195" s="56"/>
      <c r="PQR195" s="56"/>
      <c r="PQS195" s="56"/>
      <c r="PQT195" s="56"/>
      <c r="PQU195" s="56"/>
      <c r="PQV195" s="56"/>
      <c r="PQW195" s="56"/>
      <c r="PQX195" s="56"/>
      <c r="PQY195" s="56"/>
      <c r="PQZ195" s="56"/>
      <c r="PRA195" s="56"/>
      <c r="PRB195" s="56"/>
      <c r="PRC195" s="56"/>
      <c r="PRD195" s="56"/>
      <c r="PRE195" s="56"/>
      <c r="PRF195" s="56"/>
      <c r="PRG195" s="56"/>
      <c r="PRH195" s="56"/>
      <c r="PRI195" s="56"/>
      <c r="PRJ195" s="56"/>
      <c r="PRK195" s="56"/>
      <c r="PRL195" s="56"/>
      <c r="PRM195" s="56"/>
      <c r="PRN195" s="56"/>
      <c r="PRO195" s="56"/>
      <c r="PRP195" s="56"/>
      <c r="PRQ195" s="56"/>
      <c r="PRR195" s="56"/>
      <c r="PRS195" s="56"/>
      <c r="PRT195" s="56"/>
      <c r="PRU195" s="56"/>
      <c r="PRV195" s="56"/>
      <c r="PRW195" s="56"/>
      <c r="PRX195" s="56"/>
      <c r="PRY195" s="56"/>
      <c r="PRZ195" s="56"/>
      <c r="PSA195" s="56"/>
      <c r="PSB195" s="56"/>
      <c r="PSC195" s="56"/>
      <c r="PSD195" s="56"/>
      <c r="PSE195" s="56"/>
      <c r="PSF195" s="56"/>
      <c r="PSG195" s="56"/>
      <c r="PSH195" s="56"/>
      <c r="PSI195" s="56"/>
      <c r="PSJ195" s="56"/>
      <c r="PSK195" s="56"/>
      <c r="PSL195" s="56"/>
      <c r="PSM195" s="56"/>
      <c r="PSN195" s="56"/>
      <c r="PSO195" s="56"/>
      <c r="PSP195" s="56"/>
      <c r="PSQ195" s="56"/>
      <c r="PSR195" s="56"/>
      <c r="PSS195" s="56"/>
      <c r="PST195" s="56"/>
      <c r="PSU195" s="56"/>
      <c r="PSV195" s="56"/>
      <c r="PSW195" s="56"/>
      <c r="PSX195" s="56"/>
      <c r="PSY195" s="56"/>
      <c r="PSZ195" s="56"/>
      <c r="PTA195" s="56"/>
      <c r="PTB195" s="56"/>
      <c r="PTC195" s="56"/>
      <c r="PTD195" s="56"/>
      <c r="PTE195" s="56"/>
      <c r="PTF195" s="56"/>
      <c r="PTG195" s="56"/>
      <c r="PTH195" s="56"/>
      <c r="PTI195" s="56"/>
      <c r="PTJ195" s="56"/>
      <c r="PTK195" s="56"/>
      <c r="PTL195" s="56"/>
      <c r="PTM195" s="56"/>
      <c r="PTN195" s="56"/>
      <c r="PTO195" s="56"/>
      <c r="PTP195" s="56"/>
      <c r="PTQ195" s="56"/>
      <c r="PTR195" s="56"/>
      <c r="PTS195" s="56"/>
      <c r="PTT195" s="56"/>
      <c r="PTU195" s="56"/>
      <c r="PTV195" s="56"/>
      <c r="PTW195" s="56"/>
      <c r="PTX195" s="56"/>
      <c r="PTY195" s="56"/>
      <c r="PTZ195" s="56"/>
      <c r="PUA195" s="56"/>
      <c r="PUB195" s="56"/>
      <c r="PUC195" s="56"/>
      <c r="PUD195" s="56"/>
      <c r="PUE195" s="56"/>
      <c r="PUF195" s="56"/>
      <c r="PUG195" s="56"/>
      <c r="PUH195" s="56"/>
      <c r="PUI195" s="56"/>
      <c r="PUJ195" s="56"/>
      <c r="PUK195" s="56"/>
      <c r="PUL195" s="56"/>
      <c r="PUM195" s="56"/>
      <c r="PUN195" s="56"/>
      <c r="PUO195" s="56"/>
      <c r="PUP195" s="56"/>
      <c r="PUQ195" s="56"/>
      <c r="PUR195" s="56"/>
      <c r="PUS195" s="56"/>
      <c r="PUT195" s="56"/>
      <c r="PUU195" s="56"/>
      <c r="PUV195" s="56"/>
      <c r="PUW195" s="56"/>
      <c r="PUX195" s="56"/>
      <c r="PUY195" s="56"/>
      <c r="PUZ195" s="56"/>
      <c r="PVA195" s="56"/>
      <c r="PVB195" s="56"/>
      <c r="PVC195" s="56"/>
      <c r="PVD195" s="56"/>
      <c r="PVE195" s="56"/>
      <c r="PVF195" s="56"/>
      <c r="PVG195" s="56"/>
      <c r="PVH195" s="56"/>
      <c r="PVI195" s="56"/>
      <c r="PVJ195" s="56"/>
      <c r="PVK195" s="56"/>
      <c r="PVL195" s="56"/>
      <c r="PVM195" s="56"/>
      <c r="PVN195" s="56"/>
      <c r="PVO195" s="56"/>
      <c r="PVP195" s="56"/>
      <c r="PVQ195" s="56"/>
      <c r="PVR195" s="56"/>
      <c r="PVS195" s="56"/>
      <c r="PVT195" s="56"/>
      <c r="PVU195" s="56"/>
      <c r="PVV195" s="56"/>
      <c r="PVW195" s="56"/>
      <c r="PVX195" s="56"/>
      <c r="PVY195" s="56"/>
      <c r="PVZ195" s="56"/>
      <c r="PWA195" s="56"/>
      <c r="PWB195" s="56"/>
      <c r="PWC195" s="56"/>
      <c r="PWD195" s="56"/>
      <c r="PWE195" s="56"/>
      <c r="PWF195" s="56"/>
      <c r="PWG195" s="56"/>
      <c r="PWH195" s="56"/>
      <c r="PWI195" s="56"/>
      <c r="PWJ195" s="56"/>
      <c r="PWK195" s="56"/>
      <c r="PWL195" s="56"/>
      <c r="PWM195" s="56"/>
      <c r="PWN195" s="56"/>
      <c r="PWO195" s="56"/>
      <c r="PWP195" s="56"/>
      <c r="PWQ195" s="56"/>
      <c r="PWR195" s="56"/>
      <c r="PWS195" s="56"/>
      <c r="PWT195" s="56"/>
      <c r="PWU195" s="56"/>
      <c r="PWV195" s="56"/>
      <c r="PWW195" s="56"/>
      <c r="PWX195" s="56"/>
      <c r="PWY195" s="56"/>
      <c r="PWZ195" s="56"/>
      <c r="PXA195" s="56"/>
      <c r="PXB195" s="56"/>
      <c r="PXC195" s="56"/>
      <c r="PXD195" s="56"/>
      <c r="PXE195" s="56"/>
      <c r="PXF195" s="56"/>
      <c r="PXG195" s="56"/>
      <c r="PXH195" s="56"/>
      <c r="PXI195" s="56"/>
      <c r="PXJ195" s="56"/>
      <c r="PXK195" s="56"/>
      <c r="PXL195" s="56"/>
      <c r="PXM195" s="56"/>
      <c r="PXN195" s="56"/>
      <c r="PXO195" s="56"/>
      <c r="PXP195" s="56"/>
      <c r="PXQ195" s="56"/>
      <c r="PXR195" s="56"/>
      <c r="PXS195" s="56"/>
      <c r="PXT195" s="56"/>
      <c r="PXU195" s="56"/>
      <c r="PXV195" s="56"/>
      <c r="PXW195" s="56"/>
      <c r="PXX195" s="56"/>
      <c r="PXY195" s="56"/>
      <c r="PXZ195" s="56"/>
      <c r="PYA195" s="56"/>
      <c r="PYB195" s="56"/>
      <c r="PYC195" s="56"/>
      <c r="PYD195" s="56"/>
      <c r="PYE195" s="56"/>
      <c r="PYF195" s="56"/>
      <c r="PYG195" s="56"/>
      <c r="PYH195" s="56"/>
      <c r="PYI195" s="56"/>
      <c r="PYJ195" s="56"/>
      <c r="PYK195" s="56"/>
      <c r="PYL195" s="56"/>
      <c r="PYM195" s="56"/>
      <c r="PYN195" s="56"/>
      <c r="PYO195" s="56"/>
      <c r="PYP195" s="56"/>
      <c r="PYQ195" s="56"/>
      <c r="PYR195" s="56"/>
      <c r="PYS195" s="56"/>
      <c r="PYT195" s="56"/>
      <c r="PYU195" s="56"/>
      <c r="PYV195" s="56"/>
      <c r="PYW195" s="56"/>
      <c r="PYX195" s="56"/>
      <c r="PYY195" s="56"/>
      <c r="PYZ195" s="56"/>
      <c r="PZA195" s="56"/>
      <c r="PZB195" s="56"/>
      <c r="PZC195" s="56"/>
      <c r="PZD195" s="56"/>
      <c r="PZE195" s="56"/>
      <c r="PZF195" s="56"/>
      <c r="PZG195" s="56"/>
      <c r="PZH195" s="56"/>
      <c r="PZI195" s="56"/>
      <c r="PZJ195" s="56"/>
      <c r="PZK195" s="56"/>
      <c r="PZL195" s="56"/>
      <c r="PZM195" s="56"/>
      <c r="PZN195" s="56"/>
      <c r="PZO195" s="56"/>
      <c r="PZP195" s="56"/>
      <c r="PZQ195" s="56"/>
      <c r="PZR195" s="56"/>
      <c r="PZS195" s="56"/>
      <c r="PZT195" s="56"/>
      <c r="PZU195" s="56"/>
      <c r="PZV195" s="56"/>
      <c r="PZW195" s="56"/>
      <c r="PZX195" s="56"/>
      <c r="PZY195" s="56"/>
      <c r="PZZ195" s="56"/>
      <c r="QAA195" s="56"/>
      <c r="QAB195" s="56"/>
      <c r="QAC195" s="56"/>
      <c r="QAD195" s="56"/>
      <c r="QAE195" s="56"/>
      <c r="QAF195" s="56"/>
      <c r="QAG195" s="56"/>
      <c r="QAH195" s="56"/>
      <c r="QAI195" s="56"/>
      <c r="QAJ195" s="56"/>
      <c r="QAK195" s="56"/>
      <c r="QAL195" s="56"/>
      <c r="QAM195" s="56"/>
      <c r="QAN195" s="56"/>
      <c r="QAO195" s="56"/>
      <c r="QAP195" s="56"/>
      <c r="QAQ195" s="56"/>
      <c r="QAR195" s="56"/>
      <c r="QAS195" s="56"/>
      <c r="QAT195" s="56"/>
      <c r="QAU195" s="56"/>
      <c r="QAV195" s="56"/>
      <c r="QAW195" s="56"/>
      <c r="QAX195" s="56"/>
      <c r="QAY195" s="56"/>
      <c r="QAZ195" s="56"/>
      <c r="QBA195" s="56"/>
      <c r="QBB195" s="56"/>
      <c r="QBC195" s="56"/>
      <c r="QBD195" s="56"/>
      <c r="QBE195" s="56"/>
      <c r="QBF195" s="56"/>
      <c r="QBG195" s="56"/>
      <c r="QBH195" s="56"/>
      <c r="QBI195" s="56"/>
      <c r="QBJ195" s="56"/>
      <c r="QBK195" s="56"/>
      <c r="QBL195" s="56"/>
      <c r="QBM195" s="56"/>
      <c r="QBN195" s="56"/>
      <c r="QBO195" s="56"/>
      <c r="QBP195" s="56"/>
      <c r="QBQ195" s="56"/>
      <c r="QBR195" s="56"/>
      <c r="QBS195" s="56"/>
      <c r="QBT195" s="56"/>
      <c r="QBU195" s="56"/>
      <c r="QBV195" s="56"/>
      <c r="QBW195" s="56"/>
      <c r="QBX195" s="56"/>
      <c r="QBY195" s="56"/>
      <c r="QBZ195" s="56"/>
      <c r="QCA195" s="56"/>
      <c r="QCB195" s="56"/>
      <c r="QCC195" s="56"/>
      <c r="QCD195" s="56"/>
      <c r="QCE195" s="56"/>
      <c r="QCF195" s="56"/>
      <c r="QCG195" s="56"/>
      <c r="QCH195" s="56"/>
      <c r="QCI195" s="56"/>
      <c r="QCJ195" s="56"/>
      <c r="QCK195" s="56"/>
      <c r="QCL195" s="56"/>
      <c r="QCM195" s="56"/>
      <c r="QCN195" s="56"/>
      <c r="QCO195" s="56"/>
      <c r="QCP195" s="56"/>
      <c r="QCQ195" s="56"/>
      <c r="QCR195" s="56"/>
      <c r="QCS195" s="56"/>
      <c r="QCT195" s="56"/>
      <c r="QCU195" s="56"/>
      <c r="QCV195" s="56"/>
      <c r="QCW195" s="56"/>
      <c r="QCX195" s="56"/>
      <c r="QCY195" s="56"/>
      <c r="QCZ195" s="56"/>
      <c r="QDA195" s="56"/>
      <c r="QDB195" s="56"/>
      <c r="QDC195" s="56"/>
      <c r="QDD195" s="56"/>
      <c r="QDE195" s="56"/>
      <c r="QDF195" s="56"/>
      <c r="QDG195" s="56"/>
      <c r="QDH195" s="56"/>
      <c r="QDI195" s="56"/>
      <c r="QDJ195" s="56"/>
      <c r="QDK195" s="56"/>
      <c r="QDL195" s="56"/>
      <c r="QDM195" s="56"/>
      <c r="QDN195" s="56"/>
      <c r="QDO195" s="56"/>
      <c r="QDP195" s="56"/>
      <c r="QDQ195" s="56"/>
      <c r="QDR195" s="56"/>
      <c r="QDS195" s="56"/>
      <c r="QDT195" s="56"/>
      <c r="QDU195" s="56"/>
      <c r="QDV195" s="56"/>
      <c r="QDW195" s="56"/>
      <c r="QDX195" s="56"/>
      <c r="QDY195" s="56"/>
      <c r="QDZ195" s="56"/>
      <c r="QEA195" s="56"/>
      <c r="QEB195" s="56"/>
      <c r="QEC195" s="56"/>
      <c r="QED195" s="56"/>
      <c r="QEE195" s="56"/>
      <c r="QEF195" s="56"/>
      <c r="QEG195" s="56"/>
      <c r="QEH195" s="56"/>
      <c r="QEI195" s="56"/>
      <c r="QEJ195" s="56"/>
      <c r="QEK195" s="56"/>
      <c r="QEL195" s="56"/>
      <c r="QEM195" s="56"/>
      <c r="QEN195" s="56"/>
      <c r="QEO195" s="56"/>
      <c r="QEP195" s="56"/>
      <c r="QEQ195" s="56"/>
      <c r="QER195" s="56"/>
      <c r="QES195" s="56"/>
      <c r="QET195" s="56"/>
      <c r="QEU195" s="56"/>
      <c r="QEV195" s="56"/>
      <c r="QEW195" s="56"/>
      <c r="QEX195" s="56"/>
      <c r="QEY195" s="56"/>
      <c r="QEZ195" s="56"/>
      <c r="QFA195" s="56"/>
      <c r="QFB195" s="56"/>
      <c r="QFC195" s="56"/>
      <c r="QFD195" s="56"/>
      <c r="QFE195" s="56"/>
      <c r="QFF195" s="56"/>
      <c r="QFG195" s="56"/>
      <c r="QFH195" s="56"/>
      <c r="QFI195" s="56"/>
      <c r="QFJ195" s="56"/>
      <c r="QFK195" s="56"/>
      <c r="QFL195" s="56"/>
      <c r="QFM195" s="56"/>
      <c r="QFN195" s="56"/>
      <c r="QFO195" s="56"/>
      <c r="QFP195" s="56"/>
      <c r="QFQ195" s="56"/>
      <c r="QFR195" s="56"/>
      <c r="QFS195" s="56"/>
      <c r="QFT195" s="56"/>
      <c r="QFU195" s="56"/>
      <c r="QFV195" s="56"/>
      <c r="QFW195" s="56"/>
      <c r="QFX195" s="56"/>
      <c r="QFY195" s="56"/>
      <c r="QFZ195" s="56"/>
      <c r="QGA195" s="56"/>
      <c r="QGB195" s="56"/>
      <c r="QGC195" s="56"/>
      <c r="QGD195" s="56"/>
      <c r="QGE195" s="56"/>
      <c r="QGF195" s="56"/>
      <c r="QGG195" s="56"/>
      <c r="QGH195" s="56"/>
      <c r="QGI195" s="56"/>
      <c r="QGJ195" s="56"/>
      <c r="QGK195" s="56"/>
      <c r="QGL195" s="56"/>
      <c r="QGM195" s="56"/>
      <c r="QGN195" s="56"/>
      <c r="QGO195" s="56"/>
      <c r="QGP195" s="56"/>
      <c r="QGQ195" s="56"/>
      <c r="QGR195" s="56"/>
      <c r="QGS195" s="56"/>
      <c r="QGT195" s="56"/>
      <c r="QGU195" s="56"/>
      <c r="QGV195" s="56"/>
      <c r="QGW195" s="56"/>
      <c r="QGX195" s="56"/>
      <c r="QGY195" s="56"/>
      <c r="QGZ195" s="56"/>
      <c r="QHA195" s="56"/>
      <c r="QHB195" s="56"/>
      <c r="QHC195" s="56"/>
      <c r="QHD195" s="56"/>
      <c r="QHE195" s="56"/>
      <c r="QHF195" s="56"/>
      <c r="QHG195" s="56"/>
      <c r="QHH195" s="56"/>
      <c r="QHI195" s="56"/>
      <c r="QHJ195" s="56"/>
      <c r="QHK195" s="56"/>
      <c r="QHL195" s="56"/>
      <c r="QHM195" s="56"/>
      <c r="QHN195" s="56"/>
      <c r="QHO195" s="56"/>
      <c r="QHP195" s="56"/>
      <c r="QHQ195" s="56"/>
      <c r="QHR195" s="56"/>
      <c r="QHS195" s="56"/>
      <c r="QHT195" s="56"/>
      <c r="QHU195" s="56"/>
      <c r="QHV195" s="56"/>
      <c r="QHW195" s="56"/>
      <c r="QHX195" s="56"/>
      <c r="QHY195" s="56"/>
      <c r="QHZ195" s="56"/>
      <c r="QIA195" s="56"/>
      <c r="QIB195" s="56"/>
      <c r="QIC195" s="56"/>
      <c r="QID195" s="56"/>
      <c r="QIE195" s="56"/>
      <c r="QIF195" s="56"/>
      <c r="QIG195" s="56"/>
      <c r="QIH195" s="56"/>
      <c r="QII195" s="56"/>
      <c r="QIJ195" s="56"/>
      <c r="QIK195" s="56"/>
      <c r="QIL195" s="56"/>
      <c r="QIM195" s="56"/>
      <c r="QIN195" s="56"/>
      <c r="QIO195" s="56"/>
      <c r="QIP195" s="56"/>
      <c r="QIQ195" s="56"/>
      <c r="QIR195" s="56"/>
      <c r="QIS195" s="56"/>
      <c r="QIT195" s="56"/>
      <c r="QIU195" s="56"/>
      <c r="QIV195" s="56"/>
      <c r="QIW195" s="56"/>
      <c r="QIX195" s="56"/>
      <c r="QIY195" s="56"/>
      <c r="QIZ195" s="56"/>
      <c r="QJA195" s="56"/>
      <c r="QJB195" s="56"/>
      <c r="QJC195" s="56"/>
      <c r="QJD195" s="56"/>
      <c r="QJE195" s="56"/>
      <c r="QJF195" s="56"/>
      <c r="QJG195" s="56"/>
      <c r="QJH195" s="56"/>
      <c r="QJI195" s="56"/>
      <c r="QJJ195" s="56"/>
      <c r="QJK195" s="56"/>
      <c r="QJL195" s="56"/>
      <c r="QJM195" s="56"/>
      <c r="QJN195" s="56"/>
      <c r="QJO195" s="56"/>
      <c r="QJP195" s="56"/>
      <c r="QJQ195" s="56"/>
      <c r="QJR195" s="56"/>
      <c r="QJS195" s="56"/>
      <c r="QJT195" s="56"/>
      <c r="QJU195" s="56"/>
      <c r="QJV195" s="56"/>
      <c r="QJW195" s="56"/>
      <c r="QJX195" s="56"/>
      <c r="QJY195" s="56"/>
      <c r="QJZ195" s="56"/>
      <c r="QKA195" s="56"/>
      <c r="QKB195" s="56"/>
      <c r="QKC195" s="56"/>
      <c r="QKD195" s="56"/>
      <c r="QKE195" s="56"/>
      <c r="QKF195" s="56"/>
      <c r="QKG195" s="56"/>
      <c r="QKH195" s="56"/>
      <c r="QKI195" s="56"/>
      <c r="QKJ195" s="56"/>
      <c r="QKK195" s="56"/>
      <c r="QKL195" s="56"/>
      <c r="QKM195" s="56"/>
      <c r="QKN195" s="56"/>
      <c r="QKO195" s="56"/>
      <c r="QKP195" s="56"/>
      <c r="QKQ195" s="56"/>
      <c r="QKR195" s="56"/>
      <c r="QKS195" s="56"/>
      <c r="QKT195" s="56"/>
      <c r="QKU195" s="56"/>
      <c r="QKV195" s="56"/>
      <c r="QKW195" s="56"/>
      <c r="QKX195" s="56"/>
      <c r="QKY195" s="56"/>
      <c r="QKZ195" s="56"/>
      <c r="QLA195" s="56"/>
      <c r="QLB195" s="56"/>
      <c r="QLC195" s="56"/>
      <c r="QLD195" s="56"/>
      <c r="QLE195" s="56"/>
      <c r="QLF195" s="56"/>
      <c r="QLG195" s="56"/>
      <c r="QLH195" s="56"/>
      <c r="QLI195" s="56"/>
      <c r="QLJ195" s="56"/>
      <c r="QLK195" s="56"/>
      <c r="QLL195" s="56"/>
      <c r="QLM195" s="56"/>
      <c r="QLN195" s="56"/>
      <c r="QLO195" s="56"/>
      <c r="QLP195" s="56"/>
      <c r="QLQ195" s="56"/>
      <c r="QLR195" s="56"/>
      <c r="QLS195" s="56"/>
      <c r="QLT195" s="56"/>
      <c r="QLU195" s="56"/>
      <c r="QLV195" s="56"/>
      <c r="QLW195" s="56"/>
      <c r="QLX195" s="56"/>
      <c r="QLY195" s="56"/>
      <c r="QLZ195" s="56"/>
      <c r="QMA195" s="56"/>
      <c r="QMB195" s="56"/>
      <c r="QMC195" s="56"/>
      <c r="QMD195" s="56"/>
      <c r="QME195" s="56"/>
      <c r="QMF195" s="56"/>
      <c r="QMG195" s="56"/>
      <c r="QMH195" s="56"/>
      <c r="QMI195" s="56"/>
      <c r="QMJ195" s="56"/>
      <c r="QMK195" s="56"/>
      <c r="QML195" s="56"/>
      <c r="QMM195" s="56"/>
      <c r="QMN195" s="56"/>
      <c r="QMO195" s="56"/>
      <c r="QMP195" s="56"/>
      <c r="QMQ195" s="56"/>
      <c r="QMR195" s="56"/>
      <c r="QMS195" s="56"/>
      <c r="QMT195" s="56"/>
      <c r="QMU195" s="56"/>
      <c r="QMV195" s="56"/>
      <c r="QMW195" s="56"/>
      <c r="QMX195" s="56"/>
      <c r="QMY195" s="56"/>
      <c r="QMZ195" s="56"/>
      <c r="QNA195" s="56"/>
      <c r="QNB195" s="56"/>
      <c r="QNC195" s="56"/>
      <c r="QND195" s="56"/>
      <c r="QNE195" s="56"/>
      <c r="QNF195" s="56"/>
      <c r="QNG195" s="56"/>
      <c r="QNH195" s="56"/>
      <c r="QNI195" s="56"/>
      <c r="QNJ195" s="56"/>
      <c r="QNK195" s="56"/>
      <c r="QNL195" s="56"/>
      <c r="QNM195" s="56"/>
      <c r="QNN195" s="56"/>
      <c r="QNO195" s="56"/>
      <c r="QNP195" s="56"/>
      <c r="QNQ195" s="56"/>
      <c r="QNR195" s="56"/>
      <c r="QNS195" s="56"/>
      <c r="QNT195" s="56"/>
      <c r="QNU195" s="56"/>
      <c r="QNV195" s="56"/>
      <c r="QNW195" s="56"/>
      <c r="QNX195" s="56"/>
      <c r="QNY195" s="56"/>
      <c r="QNZ195" s="56"/>
      <c r="QOA195" s="56"/>
      <c r="QOB195" s="56"/>
      <c r="QOC195" s="56"/>
      <c r="QOD195" s="56"/>
      <c r="QOE195" s="56"/>
      <c r="QOF195" s="56"/>
      <c r="QOG195" s="56"/>
      <c r="QOH195" s="56"/>
      <c r="QOI195" s="56"/>
      <c r="QOJ195" s="56"/>
      <c r="QOK195" s="56"/>
      <c r="QOL195" s="56"/>
      <c r="QOM195" s="56"/>
      <c r="QON195" s="56"/>
      <c r="QOO195" s="56"/>
      <c r="QOP195" s="56"/>
      <c r="QOQ195" s="56"/>
      <c r="QOR195" s="56"/>
      <c r="QOS195" s="56"/>
      <c r="QOT195" s="56"/>
      <c r="QOU195" s="56"/>
      <c r="QOV195" s="56"/>
      <c r="QOW195" s="56"/>
      <c r="QOX195" s="56"/>
      <c r="QOY195" s="56"/>
      <c r="QOZ195" s="56"/>
      <c r="QPA195" s="56"/>
      <c r="QPB195" s="56"/>
      <c r="QPC195" s="56"/>
      <c r="QPD195" s="56"/>
      <c r="QPE195" s="56"/>
      <c r="QPF195" s="56"/>
      <c r="QPG195" s="56"/>
      <c r="QPH195" s="56"/>
      <c r="QPI195" s="56"/>
      <c r="QPJ195" s="56"/>
      <c r="QPK195" s="56"/>
      <c r="QPL195" s="56"/>
      <c r="QPM195" s="56"/>
      <c r="QPN195" s="56"/>
      <c r="QPO195" s="56"/>
      <c r="QPP195" s="56"/>
      <c r="QPQ195" s="56"/>
      <c r="QPR195" s="56"/>
      <c r="QPS195" s="56"/>
      <c r="QPT195" s="56"/>
      <c r="QPU195" s="56"/>
      <c r="QPV195" s="56"/>
      <c r="QPW195" s="56"/>
      <c r="QPX195" s="56"/>
      <c r="QPY195" s="56"/>
      <c r="QPZ195" s="56"/>
      <c r="QQA195" s="56"/>
      <c r="QQB195" s="56"/>
      <c r="QQC195" s="56"/>
      <c r="QQD195" s="56"/>
      <c r="QQE195" s="56"/>
      <c r="QQF195" s="56"/>
      <c r="QQG195" s="56"/>
      <c r="QQH195" s="56"/>
      <c r="QQI195" s="56"/>
      <c r="QQJ195" s="56"/>
      <c r="QQK195" s="56"/>
      <c r="QQL195" s="56"/>
      <c r="QQM195" s="56"/>
      <c r="QQN195" s="56"/>
      <c r="QQO195" s="56"/>
      <c r="QQP195" s="56"/>
      <c r="QQQ195" s="56"/>
      <c r="QQR195" s="56"/>
      <c r="QQS195" s="56"/>
      <c r="QQT195" s="56"/>
      <c r="QQU195" s="56"/>
      <c r="QQV195" s="56"/>
      <c r="QQW195" s="56"/>
      <c r="QQX195" s="56"/>
      <c r="QQY195" s="56"/>
      <c r="QQZ195" s="56"/>
      <c r="QRA195" s="56"/>
      <c r="QRB195" s="56"/>
      <c r="QRC195" s="56"/>
      <c r="QRD195" s="56"/>
      <c r="QRE195" s="56"/>
      <c r="QRF195" s="56"/>
      <c r="QRG195" s="56"/>
      <c r="QRH195" s="56"/>
      <c r="QRI195" s="56"/>
      <c r="QRJ195" s="56"/>
      <c r="QRK195" s="56"/>
      <c r="QRL195" s="56"/>
      <c r="QRM195" s="56"/>
      <c r="QRN195" s="56"/>
      <c r="QRO195" s="56"/>
      <c r="QRP195" s="56"/>
      <c r="QRQ195" s="56"/>
      <c r="QRR195" s="56"/>
      <c r="QRS195" s="56"/>
      <c r="QRT195" s="56"/>
      <c r="QRU195" s="56"/>
      <c r="QRV195" s="56"/>
      <c r="QRW195" s="56"/>
      <c r="QRX195" s="56"/>
      <c r="QRY195" s="56"/>
      <c r="QRZ195" s="56"/>
      <c r="QSA195" s="56"/>
      <c r="QSB195" s="56"/>
      <c r="QSC195" s="56"/>
      <c r="QSD195" s="56"/>
      <c r="QSE195" s="56"/>
      <c r="QSF195" s="56"/>
      <c r="QSG195" s="56"/>
      <c r="QSH195" s="56"/>
      <c r="QSI195" s="56"/>
      <c r="QSJ195" s="56"/>
      <c r="QSK195" s="56"/>
      <c r="QSL195" s="56"/>
      <c r="QSM195" s="56"/>
      <c r="QSN195" s="56"/>
      <c r="QSO195" s="56"/>
      <c r="QSP195" s="56"/>
      <c r="QSQ195" s="56"/>
      <c r="QSR195" s="56"/>
      <c r="QSS195" s="56"/>
      <c r="QST195" s="56"/>
      <c r="QSU195" s="56"/>
      <c r="QSV195" s="56"/>
      <c r="QSW195" s="56"/>
      <c r="QSX195" s="56"/>
      <c r="QSY195" s="56"/>
      <c r="QSZ195" s="56"/>
      <c r="QTA195" s="56"/>
      <c r="QTB195" s="56"/>
      <c r="QTC195" s="56"/>
      <c r="QTD195" s="56"/>
      <c r="QTE195" s="56"/>
      <c r="QTF195" s="56"/>
      <c r="QTG195" s="56"/>
      <c r="QTH195" s="56"/>
      <c r="QTI195" s="56"/>
      <c r="QTJ195" s="56"/>
      <c r="QTK195" s="56"/>
      <c r="QTL195" s="56"/>
      <c r="QTM195" s="56"/>
      <c r="QTN195" s="56"/>
      <c r="QTO195" s="56"/>
      <c r="QTP195" s="56"/>
      <c r="QTQ195" s="56"/>
      <c r="QTR195" s="56"/>
      <c r="QTS195" s="56"/>
      <c r="QTT195" s="56"/>
      <c r="QTU195" s="56"/>
      <c r="QTV195" s="56"/>
      <c r="QTW195" s="56"/>
      <c r="QTX195" s="56"/>
      <c r="QTY195" s="56"/>
      <c r="QTZ195" s="56"/>
      <c r="QUA195" s="56"/>
      <c r="QUB195" s="56"/>
      <c r="QUC195" s="56"/>
      <c r="QUD195" s="56"/>
      <c r="QUE195" s="56"/>
      <c r="QUF195" s="56"/>
      <c r="QUG195" s="56"/>
      <c r="QUH195" s="56"/>
      <c r="QUI195" s="56"/>
      <c r="QUJ195" s="56"/>
      <c r="QUK195" s="56"/>
      <c r="QUL195" s="56"/>
      <c r="QUM195" s="56"/>
      <c r="QUN195" s="56"/>
      <c r="QUO195" s="56"/>
      <c r="QUP195" s="56"/>
      <c r="QUQ195" s="56"/>
      <c r="QUR195" s="56"/>
      <c r="QUS195" s="56"/>
      <c r="QUT195" s="56"/>
      <c r="QUU195" s="56"/>
      <c r="QUV195" s="56"/>
      <c r="QUW195" s="56"/>
      <c r="QUX195" s="56"/>
      <c r="QUY195" s="56"/>
      <c r="QUZ195" s="56"/>
      <c r="QVA195" s="56"/>
      <c r="QVB195" s="56"/>
      <c r="QVC195" s="56"/>
      <c r="QVD195" s="56"/>
      <c r="QVE195" s="56"/>
      <c r="QVF195" s="56"/>
      <c r="QVG195" s="56"/>
      <c r="QVH195" s="56"/>
      <c r="QVI195" s="56"/>
      <c r="QVJ195" s="56"/>
      <c r="QVK195" s="56"/>
      <c r="QVL195" s="56"/>
      <c r="QVM195" s="56"/>
      <c r="QVN195" s="56"/>
      <c r="QVO195" s="56"/>
      <c r="QVP195" s="56"/>
      <c r="QVQ195" s="56"/>
      <c r="QVR195" s="56"/>
      <c r="QVS195" s="56"/>
      <c r="QVT195" s="56"/>
      <c r="QVU195" s="56"/>
      <c r="QVV195" s="56"/>
      <c r="QVW195" s="56"/>
      <c r="QVX195" s="56"/>
      <c r="QVY195" s="56"/>
      <c r="QVZ195" s="56"/>
      <c r="QWA195" s="56"/>
      <c r="QWB195" s="56"/>
      <c r="QWC195" s="56"/>
      <c r="QWD195" s="56"/>
      <c r="QWE195" s="56"/>
      <c r="QWF195" s="56"/>
      <c r="QWG195" s="56"/>
      <c r="QWH195" s="56"/>
      <c r="QWI195" s="56"/>
      <c r="QWJ195" s="56"/>
      <c r="QWK195" s="56"/>
      <c r="QWL195" s="56"/>
      <c r="QWM195" s="56"/>
      <c r="QWN195" s="56"/>
      <c r="QWO195" s="56"/>
      <c r="QWP195" s="56"/>
      <c r="QWQ195" s="56"/>
      <c r="QWR195" s="56"/>
      <c r="QWS195" s="56"/>
      <c r="QWT195" s="56"/>
      <c r="QWU195" s="56"/>
      <c r="QWV195" s="56"/>
      <c r="QWW195" s="56"/>
      <c r="QWX195" s="56"/>
      <c r="QWY195" s="56"/>
      <c r="QWZ195" s="56"/>
      <c r="QXA195" s="56"/>
      <c r="QXB195" s="56"/>
      <c r="QXC195" s="56"/>
      <c r="QXD195" s="56"/>
      <c r="QXE195" s="56"/>
      <c r="QXF195" s="56"/>
      <c r="QXG195" s="56"/>
      <c r="QXH195" s="56"/>
      <c r="QXI195" s="56"/>
      <c r="QXJ195" s="56"/>
      <c r="QXK195" s="56"/>
      <c r="QXL195" s="56"/>
      <c r="QXM195" s="56"/>
      <c r="QXN195" s="56"/>
      <c r="QXO195" s="56"/>
      <c r="QXP195" s="56"/>
      <c r="QXQ195" s="56"/>
      <c r="QXR195" s="56"/>
      <c r="QXS195" s="56"/>
      <c r="QXT195" s="56"/>
      <c r="QXU195" s="56"/>
      <c r="QXV195" s="56"/>
      <c r="QXW195" s="56"/>
      <c r="QXX195" s="56"/>
      <c r="QXY195" s="56"/>
      <c r="QXZ195" s="56"/>
      <c r="QYA195" s="56"/>
      <c r="QYB195" s="56"/>
      <c r="QYC195" s="56"/>
      <c r="QYD195" s="56"/>
      <c r="QYE195" s="56"/>
      <c r="QYF195" s="56"/>
      <c r="QYG195" s="56"/>
      <c r="QYH195" s="56"/>
      <c r="QYI195" s="56"/>
      <c r="QYJ195" s="56"/>
      <c r="QYK195" s="56"/>
      <c r="QYL195" s="56"/>
      <c r="QYM195" s="56"/>
      <c r="QYN195" s="56"/>
      <c r="QYO195" s="56"/>
      <c r="QYP195" s="56"/>
      <c r="QYQ195" s="56"/>
      <c r="QYR195" s="56"/>
      <c r="QYS195" s="56"/>
      <c r="QYT195" s="56"/>
      <c r="QYU195" s="56"/>
      <c r="QYV195" s="56"/>
      <c r="QYW195" s="56"/>
      <c r="QYX195" s="56"/>
      <c r="QYY195" s="56"/>
      <c r="QYZ195" s="56"/>
      <c r="QZA195" s="56"/>
      <c r="QZB195" s="56"/>
      <c r="QZC195" s="56"/>
      <c r="QZD195" s="56"/>
      <c r="QZE195" s="56"/>
      <c r="QZF195" s="56"/>
      <c r="QZG195" s="56"/>
      <c r="QZH195" s="56"/>
      <c r="QZI195" s="56"/>
      <c r="QZJ195" s="56"/>
      <c r="QZK195" s="56"/>
      <c r="QZL195" s="56"/>
      <c r="QZM195" s="56"/>
      <c r="QZN195" s="56"/>
      <c r="QZO195" s="56"/>
      <c r="QZP195" s="56"/>
      <c r="QZQ195" s="56"/>
      <c r="QZR195" s="56"/>
      <c r="QZS195" s="56"/>
      <c r="QZT195" s="56"/>
      <c r="QZU195" s="56"/>
      <c r="QZV195" s="56"/>
      <c r="QZW195" s="56"/>
      <c r="QZX195" s="56"/>
      <c r="QZY195" s="56"/>
      <c r="QZZ195" s="56"/>
      <c r="RAA195" s="56"/>
      <c r="RAB195" s="56"/>
      <c r="RAC195" s="56"/>
      <c r="RAD195" s="56"/>
      <c r="RAE195" s="56"/>
      <c r="RAF195" s="56"/>
      <c r="RAG195" s="56"/>
      <c r="RAH195" s="56"/>
      <c r="RAI195" s="56"/>
      <c r="RAJ195" s="56"/>
      <c r="RAK195" s="56"/>
      <c r="RAL195" s="56"/>
      <c r="RAM195" s="56"/>
      <c r="RAN195" s="56"/>
      <c r="RAO195" s="56"/>
      <c r="RAP195" s="56"/>
      <c r="RAQ195" s="56"/>
      <c r="RAR195" s="56"/>
      <c r="RAS195" s="56"/>
      <c r="RAT195" s="56"/>
      <c r="RAU195" s="56"/>
      <c r="RAV195" s="56"/>
      <c r="RAW195" s="56"/>
      <c r="RAX195" s="56"/>
      <c r="RAY195" s="56"/>
      <c r="RAZ195" s="56"/>
      <c r="RBA195" s="56"/>
      <c r="RBB195" s="56"/>
      <c r="RBC195" s="56"/>
      <c r="RBD195" s="56"/>
      <c r="RBE195" s="56"/>
      <c r="RBF195" s="56"/>
      <c r="RBG195" s="56"/>
      <c r="RBH195" s="56"/>
      <c r="RBI195" s="56"/>
      <c r="RBJ195" s="56"/>
      <c r="RBK195" s="56"/>
      <c r="RBL195" s="56"/>
      <c r="RBM195" s="56"/>
      <c r="RBN195" s="56"/>
      <c r="RBO195" s="56"/>
      <c r="RBP195" s="56"/>
      <c r="RBQ195" s="56"/>
      <c r="RBR195" s="56"/>
      <c r="RBS195" s="56"/>
      <c r="RBT195" s="56"/>
      <c r="RBU195" s="56"/>
      <c r="RBV195" s="56"/>
      <c r="RBW195" s="56"/>
      <c r="RBX195" s="56"/>
      <c r="RBY195" s="56"/>
      <c r="RBZ195" s="56"/>
      <c r="RCA195" s="56"/>
      <c r="RCB195" s="56"/>
      <c r="RCC195" s="56"/>
      <c r="RCD195" s="56"/>
      <c r="RCE195" s="56"/>
      <c r="RCF195" s="56"/>
      <c r="RCG195" s="56"/>
      <c r="RCH195" s="56"/>
      <c r="RCI195" s="56"/>
      <c r="RCJ195" s="56"/>
      <c r="RCK195" s="56"/>
      <c r="RCL195" s="56"/>
      <c r="RCM195" s="56"/>
      <c r="RCN195" s="56"/>
      <c r="RCO195" s="56"/>
      <c r="RCP195" s="56"/>
      <c r="RCQ195" s="56"/>
      <c r="RCR195" s="56"/>
      <c r="RCS195" s="56"/>
      <c r="RCT195" s="56"/>
      <c r="RCU195" s="56"/>
      <c r="RCV195" s="56"/>
      <c r="RCW195" s="56"/>
      <c r="RCX195" s="56"/>
      <c r="RCY195" s="56"/>
      <c r="RCZ195" s="56"/>
      <c r="RDA195" s="56"/>
      <c r="RDB195" s="56"/>
      <c r="RDC195" s="56"/>
      <c r="RDD195" s="56"/>
      <c r="RDE195" s="56"/>
      <c r="RDF195" s="56"/>
      <c r="RDG195" s="56"/>
      <c r="RDH195" s="56"/>
      <c r="RDI195" s="56"/>
      <c r="RDJ195" s="56"/>
      <c r="RDK195" s="56"/>
      <c r="RDL195" s="56"/>
      <c r="RDM195" s="56"/>
      <c r="RDN195" s="56"/>
      <c r="RDO195" s="56"/>
      <c r="RDP195" s="56"/>
      <c r="RDQ195" s="56"/>
      <c r="RDR195" s="56"/>
      <c r="RDS195" s="56"/>
      <c r="RDT195" s="56"/>
      <c r="RDU195" s="56"/>
      <c r="RDV195" s="56"/>
      <c r="RDW195" s="56"/>
      <c r="RDX195" s="56"/>
      <c r="RDY195" s="56"/>
      <c r="RDZ195" s="56"/>
      <c r="REA195" s="56"/>
      <c r="REB195" s="56"/>
      <c r="REC195" s="56"/>
      <c r="RED195" s="56"/>
      <c r="REE195" s="56"/>
      <c r="REF195" s="56"/>
      <c r="REG195" s="56"/>
      <c r="REH195" s="56"/>
      <c r="REI195" s="56"/>
      <c r="REJ195" s="56"/>
      <c r="REK195" s="56"/>
      <c r="REL195" s="56"/>
      <c r="REM195" s="56"/>
      <c r="REN195" s="56"/>
      <c r="REO195" s="56"/>
      <c r="REP195" s="56"/>
      <c r="REQ195" s="56"/>
      <c r="RER195" s="56"/>
      <c r="RES195" s="56"/>
      <c r="RET195" s="56"/>
      <c r="REU195" s="56"/>
      <c r="REV195" s="56"/>
      <c r="REW195" s="56"/>
      <c r="REX195" s="56"/>
      <c r="REY195" s="56"/>
      <c r="REZ195" s="56"/>
      <c r="RFA195" s="56"/>
      <c r="RFB195" s="56"/>
      <c r="RFC195" s="56"/>
      <c r="RFD195" s="56"/>
      <c r="RFE195" s="56"/>
      <c r="RFF195" s="56"/>
      <c r="RFG195" s="56"/>
      <c r="RFH195" s="56"/>
      <c r="RFI195" s="56"/>
      <c r="RFJ195" s="56"/>
      <c r="RFK195" s="56"/>
      <c r="RFL195" s="56"/>
      <c r="RFM195" s="56"/>
      <c r="RFN195" s="56"/>
      <c r="RFO195" s="56"/>
      <c r="RFP195" s="56"/>
      <c r="RFQ195" s="56"/>
      <c r="RFR195" s="56"/>
      <c r="RFS195" s="56"/>
      <c r="RFT195" s="56"/>
      <c r="RFU195" s="56"/>
      <c r="RFV195" s="56"/>
      <c r="RFW195" s="56"/>
      <c r="RFX195" s="56"/>
      <c r="RFY195" s="56"/>
      <c r="RFZ195" s="56"/>
      <c r="RGA195" s="56"/>
      <c r="RGB195" s="56"/>
      <c r="RGC195" s="56"/>
      <c r="RGD195" s="56"/>
      <c r="RGE195" s="56"/>
      <c r="RGF195" s="56"/>
      <c r="RGG195" s="56"/>
      <c r="RGH195" s="56"/>
      <c r="RGI195" s="56"/>
      <c r="RGJ195" s="56"/>
      <c r="RGK195" s="56"/>
      <c r="RGL195" s="56"/>
      <c r="RGM195" s="56"/>
      <c r="RGN195" s="56"/>
      <c r="RGO195" s="56"/>
      <c r="RGP195" s="56"/>
      <c r="RGQ195" s="56"/>
      <c r="RGR195" s="56"/>
      <c r="RGS195" s="56"/>
      <c r="RGT195" s="56"/>
      <c r="RGU195" s="56"/>
      <c r="RGV195" s="56"/>
      <c r="RGW195" s="56"/>
      <c r="RGX195" s="56"/>
      <c r="RGY195" s="56"/>
      <c r="RGZ195" s="56"/>
      <c r="RHA195" s="56"/>
      <c r="RHB195" s="56"/>
      <c r="RHC195" s="56"/>
      <c r="RHD195" s="56"/>
      <c r="RHE195" s="56"/>
      <c r="RHF195" s="56"/>
      <c r="RHG195" s="56"/>
      <c r="RHH195" s="56"/>
      <c r="RHI195" s="56"/>
      <c r="RHJ195" s="56"/>
      <c r="RHK195" s="56"/>
      <c r="RHL195" s="56"/>
      <c r="RHM195" s="56"/>
      <c r="RHN195" s="56"/>
      <c r="RHO195" s="56"/>
      <c r="RHP195" s="56"/>
      <c r="RHQ195" s="56"/>
      <c r="RHR195" s="56"/>
      <c r="RHS195" s="56"/>
      <c r="RHT195" s="56"/>
      <c r="RHU195" s="56"/>
      <c r="RHV195" s="56"/>
      <c r="RHW195" s="56"/>
      <c r="RHX195" s="56"/>
      <c r="RHY195" s="56"/>
      <c r="RHZ195" s="56"/>
      <c r="RIA195" s="56"/>
      <c r="RIB195" s="56"/>
      <c r="RIC195" s="56"/>
      <c r="RID195" s="56"/>
      <c r="RIE195" s="56"/>
      <c r="RIF195" s="56"/>
      <c r="RIG195" s="56"/>
      <c r="RIH195" s="56"/>
      <c r="RII195" s="56"/>
      <c r="RIJ195" s="56"/>
      <c r="RIK195" s="56"/>
      <c r="RIL195" s="56"/>
      <c r="RIM195" s="56"/>
      <c r="RIN195" s="56"/>
      <c r="RIO195" s="56"/>
      <c r="RIP195" s="56"/>
      <c r="RIQ195" s="56"/>
      <c r="RIR195" s="56"/>
      <c r="RIS195" s="56"/>
      <c r="RIT195" s="56"/>
      <c r="RIU195" s="56"/>
      <c r="RIV195" s="56"/>
      <c r="RIW195" s="56"/>
      <c r="RIX195" s="56"/>
      <c r="RIY195" s="56"/>
      <c r="RIZ195" s="56"/>
      <c r="RJA195" s="56"/>
      <c r="RJB195" s="56"/>
      <c r="RJC195" s="56"/>
      <c r="RJD195" s="56"/>
      <c r="RJE195" s="56"/>
      <c r="RJF195" s="56"/>
      <c r="RJG195" s="56"/>
      <c r="RJH195" s="56"/>
      <c r="RJI195" s="56"/>
      <c r="RJJ195" s="56"/>
      <c r="RJK195" s="56"/>
      <c r="RJL195" s="56"/>
      <c r="RJM195" s="56"/>
      <c r="RJN195" s="56"/>
      <c r="RJO195" s="56"/>
      <c r="RJP195" s="56"/>
      <c r="RJQ195" s="56"/>
      <c r="RJR195" s="56"/>
      <c r="RJS195" s="56"/>
      <c r="RJT195" s="56"/>
      <c r="RJU195" s="56"/>
      <c r="RJV195" s="56"/>
      <c r="RJW195" s="56"/>
      <c r="RJX195" s="56"/>
      <c r="RJY195" s="56"/>
      <c r="RJZ195" s="56"/>
      <c r="RKA195" s="56"/>
      <c r="RKB195" s="56"/>
      <c r="RKC195" s="56"/>
      <c r="RKD195" s="56"/>
      <c r="RKE195" s="56"/>
      <c r="RKF195" s="56"/>
      <c r="RKG195" s="56"/>
      <c r="RKH195" s="56"/>
      <c r="RKI195" s="56"/>
      <c r="RKJ195" s="56"/>
      <c r="RKK195" s="56"/>
      <c r="RKL195" s="56"/>
      <c r="RKM195" s="56"/>
      <c r="RKN195" s="56"/>
      <c r="RKO195" s="56"/>
      <c r="RKP195" s="56"/>
      <c r="RKQ195" s="56"/>
      <c r="RKR195" s="56"/>
      <c r="RKS195" s="56"/>
      <c r="RKT195" s="56"/>
      <c r="RKU195" s="56"/>
      <c r="RKV195" s="56"/>
      <c r="RKW195" s="56"/>
      <c r="RKX195" s="56"/>
      <c r="RKY195" s="56"/>
      <c r="RKZ195" s="56"/>
      <c r="RLA195" s="56"/>
      <c r="RLB195" s="56"/>
      <c r="RLC195" s="56"/>
      <c r="RLD195" s="56"/>
      <c r="RLE195" s="56"/>
      <c r="RLF195" s="56"/>
      <c r="RLG195" s="56"/>
      <c r="RLH195" s="56"/>
      <c r="RLI195" s="56"/>
      <c r="RLJ195" s="56"/>
      <c r="RLK195" s="56"/>
      <c r="RLL195" s="56"/>
      <c r="RLM195" s="56"/>
      <c r="RLN195" s="56"/>
      <c r="RLO195" s="56"/>
      <c r="RLP195" s="56"/>
      <c r="RLQ195" s="56"/>
      <c r="RLR195" s="56"/>
      <c r="RLS195" s="56"/>
      <c r="RLT195" s="56"/>
      <c r="RLU195" s="56"/>
      <c r="RLV195" s="56"/>
      <c r="RLW195" s="56"/>
      <c r="RLX195" s="56"/>
      <c r="RLY195" s="56"/>
      <c r="RLZ195" s="56"/>
      <c r="RMA195" s="56"/>
      <c r="RMB195" s="56"/>
      <c r="RMC195" s="56"/>
      <c r="RMD195" s="56"/>
      <c r="RME195" s="56"/>
      <c r="RMF195" s="56"/>
      <c r="RMG195" s="56"/>
      <c r="RMH195" s="56"/>
      <c r="RMI195" s="56"/>
      <c r="RMJ195" s="56"/>
      <c r="RMK195" s="56"/>
      <c r="RML195" s="56"/>
      <c r="RMM195" s="56"/>
      <c r="RMN195" s="56"/>
      <c r="RMO195" s="56"/>
      <c r="RMP195" s="56"/>
      <c r="RMQ195" s="56"/>
      <c r="RMR195" s="56"/>
      <c r="RMS195" s="56"/>
      <c r="RMT195" s="56"/>
      <c r="RMU195" s="56"/>
      <c r="RMV195" s="56"/>
      <c r="RMW195" s="56"/>
      <c r="RMX195" s="56"/>
      <c r="RMY195" s="56"/>
      <c r="RMZ195" s="56"/>
      <c r="RNA195" s="56"/>
      <c r="RNB195" s="56"/>
      <c r="RNC195" s="56"/>
      <c r="RND195" s="56"/>
      <c r="RNE195" s="56"/>
      <c r="RNF195" s="56"/>
      <c r="RNG195" s="56"/>
      <c r="RNH195" s="56"/>
      <c r="RNI195" s="56"/>
      <c r="RNJ195" s="56"/>
      <c r="RNK195" s="56"/>
      <c r="RNL195" s="56"/>
      <c r="RNM195" s="56"/>
      <c r="RNN195" s="56"/>
      <c r="RNO195" s="56"/>
      <c r="RNP195" s="56"/>
      <c r="RNQ195" s="56"/>
      <c r="RNR195" s="56"/>
      <c r="RNS195" s="56"/>
      <c r="RNT195" s="56"/>
      <c r="RNU195" s="56"/>
      <c r="RNV195" s="56"/>
      <c r="RNW195" s="56"/>
      <c r="RNX195" s="56"/>
      <c r="RNY195" s="56"/>
      <c r="RNZ195" s="56"/>
      <c r="ROA195" s="56"/>
      <c r="ROB195" s="56"/>
      <c r="ROC195" s="56"/>
      <c r="ROD195" s="56"/>
      <c r="ROE195" s="56"/>
      <c r="ROF195" s="56"/>
      <c r="ROG195" s="56"/>
      <c r="ROH195" s="56"/>
      <c r="ROI195" s="56"/>
      <c r="ROJ195" s="56"/>
      <c r="ROK195" s="56"/>
      <c r="ROL195" s="56"/>
      <c r="ROM195" s="56"/>
      <c r="RON195" s="56"/>
      <c r="ROO195" s="56"/>
      <c r="ROP195" s="56"/>
      <c r="ROQ195" s="56"/>
      <c r="ROR195" s="56"/>
      <c r="ROS195" s="56"/>
      <c r="ROT195" s="56"/>
      <c r="ROU195" s="56"/>
      <c r="ROV195" s="56"/>
      <c r="ROW195" s="56"/>
      <c r="ROX195" s="56"/>
      <c r="ROY195" s="56"/>
      <c r="ROZ195" s="56"/>
      <c r="RPA195" s="56"/>
      <c r="RPB195" s="56"/>
      <c r="RPC195" s="56"/>
      <c r="RPD195" s="56"/>
      <c r="RPE195" s="56"/>
      <c r="RPF195" s="56"/>
      <c r="RPG195" s="56"/>
      <c r="RPH195" s="56"/>
      <c r="RPI195" s="56"/>
      <c r="RPJ195" s="56"/>
      <c r="RPK195" s="56"/>
      <c r="RPL195" s="56"/>
      <c r="RPM195" s="56"/>
      <c r="RPN195" s="56"/>
      <c r="RPO195" s="56"/>
      <c r="RPP195" s="56"/>
      <c r="RPQ195" s="56"/>
      <c r="RPR195" s="56"/>
      <c r="RPS195" s="56"/>
      <c r="RPT195" s="56"/>
      <c r="RPU195" s="56"/>
      <c r="RPV195" s="56"/>
      <c r="RPW195" s="56"/>
      <c r="RPX195" s="56"/>
      <c r="RPY195" s="56"/>
      <c r="RPZ195" s="56"/>
      <c r="RQA195" s="56"/>
      <c r="RQB195" s="56"/>
      <c r="RQC195" s="56"/>
      <c r="RQD195" s="56"/>
      <c r="RQE195" s="56"/>
      <c r="RQF195" s="56"/>
      <c r="RQG195" s="56"/>
      <c r="RQH195" s="56"/>
      <c r="RQI195" s="56"/>
      <c r="RQJ195" s="56"/>
      <c r="RQK195" s="56"/>
      <c r="RQL195" s="56"/>
      <c r="RQM195" s="56"/>
      <c r="RQN195" s="56"/>
      <c r="RQO195" s="56"/>
      <c r="RQP195" s="56"/>
      <c r="RQQ195" s="56"/>
      <c r="RQR195" s="56"/>
      <c r="RQS195" s="56"/>
      <c r="RQT195" s="56"/>
      <c r="RQU195" s="56"/>
      <c r="RQV195" s="56"/>
      <c r="RQW195" s="56"/>
      <c r="RQX195" s="56"/>
      <c r="RQY195" s="56"/>
      <c r="RQZ195" s="56"/>
      <c r="RRA195" s="56"/>
      <c r="RRB195" s="56"/>
      <c r="RRC195" s="56"/>
      <c r="RRD195" s="56"/>
      <c r="RRE195" s="56"/>
      <c r="RRF195" s="56"/>
      <c r="RRG195" s="56"/>
      <c r="RRH195" s="56"/>
      <c r="RRI195" s="56"/>
      <c r="RRJ195" s="56"/>
      <c r="RRK195" s="56"/>
      <c r="RRL195" s="56"/>
      <c r="RRM195" s="56"/>
      <c r="RRN195" s="56"/>
      <c r="RRO195" s="56"/>
      <c r="RRP195" s="56"/>
      <c r="RRQ195" s="56"/>
      <c r="RRR195" s="56"/>
      <c r="RRS195" s="56"/>
      <c r="RRT195" s="56"/>
      <c r="RRU195" s="56"/>
      <c r="RRV195" s="56"/>
      <c r="RRW195" s="56"/>
      <c r="RRX195" s="56"/>
      <c r="RRY195" s="56"/>
      <c r="RRZ195" s="56"/>
      <c r="RSA195" s="56"/>
      <c r="RSB195" s="56"/>
      <c r="RSC195" s="56"/>
      <c r="RSD195" s="56"/>
      <c r="RSE195" s="56"/>
      <c r="RSF195" s="56"/>
      <c r="RSG195" s="56"/>
      <c r="RSH195" s="56"/>
      <c r="RSI195" s="56"/>
      <c r="RSJ195" s="56"/>
      <c r="RSK195" s="56"/>
      <c r="RSL195" s="56"/>
      <c r="RSM195" s="56"/>
      <c r="RSN195" s="56"/>
      <c r="RSO195" s="56"/>
      <c r="RSP195" s="56"/>
      <c r="RSQ195" s="56"/>
      <c r="RSR195" s="56"/>
      <c r="RSS195" s="56"/>
      <c r="RST195" s="56"/>
      <c r="RSU195" s="56"/>
      <c r="RSV195" s="56"/>
      <c r="RSW195" s="56"/>
      <c r="RSX195" s="56"/>
      <c r="RSY195" s="56"/>
      <c r="RSZ195" s="56"/>
      <c r="RTA195" s="56"/>
      <c r="RTB195" s="56"/>
      <c r="RTC195" s="56"/>
      <c r="RTD195" s="56"/>
      <c r="RTE195" s="56"/>
      <c r="RTF195" s="56"/>
      <c r="RTG195" s="56"/>
      <c r="RTH195" s="56"/>
      <c r="RTI195" s="56"/>
      <c r="RTJ195" s="56"/>
      <c r="RTK195" s="56"/>
      <c r="RTL195" s="56"/>
      <c r="RTM195" s="56"/>
      <c r="RTN195" s="56"/>
      <c r="RTO195" s="56"/>
      <c r="RTP195" s="56"/>
      <c r="RTQ195" s="56"/>
      <c r="RTR195" s="56"/>
      <c r="RTS195" s="56"/>
      <c r="RTT195" s="56"/>
      <c r="RTU195" s="56"/>
      <c r="RTV195" s="56"/>
      <c r="RTW195" s="56"/>
      <c r="RTX195" s="56"/>
      <c r="RTY195" s="56"/>
      <c r="RTZ195" s="56"/>
      <c r="RUA195" s="56"/>
      <c r="RUB195" s="56"/>
      <c r="RUC195" s="56"/>
      <c r="RUD195" s="56"/>
      <c r="RUE195" s="56"/>
      <c r="RUF195" s="56"/>
      <c r="RUG195" s="56"/>
      <c r="RUH195" s="56"/>
      <c r="RUI195" s="56"/>
      <c r="RUJ195" s="56"/>
      <c r="RUK195" s="56"/>
      <c r="RUL195" s="56"/>
      <c r="RUM195" s="56"/>
      <c r="RUN195" s="56"/>
      <c r="RUO195" s="56"/>
      <c r="RUP195" s="56"/>
      <c r="RUQ195" s="56"/>
      <c r="RUR195" s="56"/>
      <c r="RUS195" s="56"/>
      <c r="RUT195" s="56"/>
      <c r="RUU195" s="56"/>
      <c r="RUV195" s="56"/>
      <c r="RUW195" s="56"/>
      <c r="RUX195" s="56"/>
      <c r="RUY195" s="56"/>
      <c r="RUZ195" s="56"/>
      <c r="RVA195" s="56"/>
      <c r="RVB195" s="56"/>
      <c r="RVC195" s="56"/>
      <c r="RVD195" s="56"/>
      <c r="RVE195" s="56"/>
      <c r="RVF195" s="56"/>
      <c r="RVG195" s="56"/>
      <c r="RVH195" s="56"/>
      <c r="RVI195" s="56"/>
      <c r="RVJ195" s="56"/>
      <c r="RVK195" s="56"/>
      <c r="RVL195" s="56"/>
      <c r="RVM195" s="56"/>
      <c r="RVN195" s="56"/>
      <c r="RVO195" s="56"/>
      <c r="RVP195" s="56"/>
      <c r="RVQ195" s="56"/>
      <c r="RVR195" s="56"/>
      <c r="RVS195" s="56"/>
      <c r="RVT195" s="56"/>
      <c r="RVU195" s="56"/>
      <c r="RVV195" s="56"/>
      <c r="RVW195" s="56"/>
      <c r="RVX195" s="56"/>
      <c r="RVY195" s="56"/>
      <c r="RVZ195" s="56"/>
      <c r="RWA195" s="56"/>
      <c r="RWB195" s="56"/>
      <c r="RWC195" s="56"/>
      <c r="RWD195" s="56"/>
      <c r="RWE195" s="56"/>
      <c r="RWF195" s="56"/>
      <c r="RWG195" s="56"/>
      <c r="RWH195" s="56"/>
      <c r="RWI195" s="56"/>
      <c r="RWJ195" s="56"/>
      <c r="RWK195" s="56"/>
      <c r="RWL195" s="56"/>
      <c r="RWM195" s="56"/>
      <c r="RWN195" s="56"/>
      <c r="RWO195" s="56"/>
      <c r="RWP195" s="56"/>
      <c r="RWQ195" s="56"/>
      <c r="RWR195" s="56"/>
      <c r="RWS195" s="56"/>
      <c r="RWT195" s="56"/>
      <c r="RWU195" s="56"/>
      <c r="RWV195" s="56"/>
      <c r="RWW195" s="56"/>
      <c r="RWX195" s="56"/>
      <c r="RWY195" s="56"/>
      <c r="RWZ195" s="56"/>
      <c r="RXA195" s="56"/>
      <c r="RXB195" s="56"/>
      <c r="RXC195" s="56"/>
      <c r="RXD195" s="56"/>
      <c r="RXE195" s="56"/>
      <c r="RXF195" s="56"/>
      <c r="RXG195" s="56"/>
      <c r="RXH195" s="56"/>
      <c r="RXI195" s="56"/>
      <c r="RXJ195" s="56"/>
      <c r="RXK195" s="56"/>
      <c r="RXL195" s="56"/>
      <c r="RXM195" s="56"/>
      <c r="RXN195" s="56"/>
      <c r="RXO195" s="56"/>
      <c r="RXP195" s="56"/>
      <c r="RXQ195" s="56"/>
      <c r="RXR195" s="56"/>
      <c r="RXS195" s="56"/>
      <c r="RXT195" s="56"/>
      <c r="RXU195" s="56"/>
      <c r="RXV195" s="56"/>
      <c r="RXW195" s="56"/>
      <c r="RXX195" s="56"/>
      <c r="RXY195" s="56"/>
      <c r="RXZ195" s="56"/>
      <c r="RYA195" s="56"/>
      <c r="RYB195" s="56"/>
      <c r="RYC195" s="56"/>
      <c r="RYD195" s="56"/>
      <c r="RYE195" s="56"/>
      <c r="RYF195" s="56"/>
      <c r="RYG195" s="56"/>
      <c r="RYH195" s="56"/>
      <c r="RYI195" s="56"/>
      <c r="RYJ195" s="56"/>
      <c r="RYK195" s="56"/>
      <c r="RYL195" s="56"/>
      <c r="RYM195" s="56"/>
      <c r="RYN195" s="56"/>
      <c r="RYO195" s="56"/>
      <c r="RYP195" s="56"/>
      <c r="RYQ195" s="56"/>
      <c r="RYR195" s="56"/>
      <c r="RYS195" s="56"/>
      <c r="RYT195" s="56"/>
      <c r="RYU195" s="56"/>
      <c r="RYV195" s="56"/>
      <c r="RYW195" s="56"/>
      <c r="RYX195" s="56"/>
      <c r="RYY195" s="56"/>
      <c r="RYZ195" s="56"/>
      <c r="RZA195" s="56"/>
      <c r="RZB195" s="56"/>
      <c r="RZC195" s="56"/>
      <c r="RZD195" s="56"/>
      <c r="RZE195" s="56"/>
      <c r="RZF195" s="56"/>
      <c r="RZG195" s="56"/>
      <c r="RZH195" s="56"/>
      <c r="RZI195" s="56"/>
      <c r="RZJ195" s="56"/>
      <c r="RZK195" s="56"/>
      <c r="RZL195" s="56"/>
      <c r="RZM195" s="56"/>
      <c r="RZN195" s="56"/>
      <c r="RZO195" s="56"/>
      <c r="RZP195" s="56"/>
      <c r="RZQ195" s="56"/>
      <c r="RZR195" s="56"/>
      <c r="RZS195" s="56"/>
      <c r="RZT195" s="56"/>
      <c r="RZU195" s="56"/>
      <c r="RZV195" s="56"/>
      <c r="RZW195" s="56"/>
      <c r="RZX195" s="56"/>
      <c r="RZY195" s="56"/>
      <c r="RZZ195" s="56"/>
      <c r="SAA195" s="56"/>
      <c r="SAB195" s="56"/>
      <c r="SAC195" s="56"/>
      <c r="SAD195" s="56"/>
      <c r="SAE195" s="56"/>
      <c r="SAF195" s="56"/>
      <c r="SAG195" s="56"/>
      <c r="SAH195" s="56"/>
      <c r="SAI195" s="56"/>
      <c r="SAJ195" s="56"/>
      <c r="SAK195" s="56"/>
      <c r="SAL195" s="56"/>
      <c r="SAM195" s="56"/>
      <c r="SAN195" s="56"/>
      <c r="SAO195" s="56"/>
      <c r="SAP195" s="56"/>
      <c r="SAQ195" s="56"/>
      <c r="SAR195" s="56"/>
      <c r="SAS195" s="56"/>
      <c r="SAT195" s="56"/>
      <c r="SAU195" s="56"/>
      <c r="SAV195" s="56"/>
      <c r="SAW195" s="56"/>
      <c r="SAX195" s="56"/>
      <c r="SAY195" s="56"/>
      <c r="SAZ195" s="56"/>
      <c r="SBA195" s="56"/>
      <c r="SBB195" s="56"/>
      <c r="SBC195" s="56"/>
      <c r="SBD195" s="56"/>
      <c r="SBE195" s="56"/>
      <c r="SBF195" s="56"/>
      <c r="SBG195" s="56"/>
      <c r="SBH195" s="56"/>
      <c r="SBI195" s="56"/>
      <c r="SBJ195" s="56"/>
      <c r="SBK195" s="56"/>
      <c r="SBL195" s="56"/>
      <c r="SBM195" s="56"/>
      <c r="SBN195" s="56"/>
      <c r="SBO195" s="56"/>
      <c r="SBP195" s="56"/>
      <c r="SBQ195" s="56"/>
      <c r="SBR195" s="56"/>
      <c r="SBS195" s="56"/>
      <c r="SBT195" s="56"/>
      <c r="SBU195" s="56"/>
      <c r="SBV195" s="56"/>
      <c r="SBW195" s="56"/>
      <c r="SBX195" s="56"/>
      <c r="SBY195" s="56"/>
      <c r="SBZ195" s="56"/>
      <c r="SCA195" s="56"/>
      <c r="SCB195" s="56"/>
      <c r="SCC195" s="56"/>
      <c r="SCD195" s="56"/>
      <c r="SCE195" s="56"/>
      <c r="SCF195" s="56"/>
      <c r="SCG195" s="56"/>
      <c r="SCH195" s="56"/>
      <c r="SCI195" s="56"/>
      <c r="SCJ195" s="56"/>
      <c r="SCK195" s="56"/>
      <c r="SCL195" s="56"/>
      <c r="SCM195" s="56"/>
      <c r="SCN195" s="56"/>
      <c r="SCO195" s="56"/>
      <c r="SCP195" s="56"/>
      <c r="SCQ195" s="56"/>
      <c r="SCR195" s="56"/>
      <c r="SCS195" s="56"/>
      <c r="SCT195" s="56"/>
      <c r="SCU195" s="56"/>
      <c r="SCV195" s="56"/>
      <c r="SCW195" s="56"/>
      <c r="SCX195" s="56"/>
      <c r="SCY195" s="56"/>
      <c r="SCZ195" s="56"/>
      <c r="SDA195" s="56"/>
      <c r="SDB195" s="56"/>
      <c r="SDC195" s="56"/>
      <c r="SDD195" s="56"/>
      <c r="SDE195" s="56"/>
      <c r="SDF195" s="56"/>
      <c r="SDG195" s="56"/>
      <c r="SDH195" s="56"/>
      <c r="SDI195" s="56"/>
      <c r="SDJ195" s="56"/>
      <c r="SDK195" s="56"/>
      <c r="SDL195" s="56"/>
      <c r="SDM195" s="56"/>
      <c r="SDN195" s="56"/>
      <c r="SDO195" s="56"/>
      <c r="SDP195" s="56"/>
      <c r="SDQ195" s="56"/>
      <c r="SDR195" s="56"/>
      <c r="SDS195" s="56"/>
      <c r="SDT195" s="56"/>
      <c r="SDU195" s="56"/>
      <c r="SDV195" s="56"/>
      <c r="SDW195" s="56"/>
      <c r="SDX195" s="56"/>
      <c r="SDY195" s="56"/>
      <c r="SDZ195" s="56"/>
      <c r="SEA195" s="56"/>
      <c r="SEB195" s="56"/>
      <c r="SEC195" s="56"/>
      <c r="SED195" s="56"/>
      <c r="SEE195" s="56"/>
      <c r="SEF195" s="56"/>
      <c r="SEG195" s="56"/>
      <c r="SEH195" s="56"/>
      <c r="SEI195" s="56"/>
      <c r="SEJ195" s="56"/>
      <c r="SEK195" s="56"/>
      <c r="SEL195" s="56"/>
      <c r="SEM195" s="56"/>
      <c r="SEN195" s="56"/>
      <c r="SEO195" s="56"/>
      <c r="SEP195" s="56"/>
      <c r="SEQ195" s="56"/>
      <c r="SER195" s="56"/>
      <c r="SES195" s="56"/>
      <c r="SET195" s="56"/>
      <c r="SEU195" s="56"/>
      <c r="SEV195" s="56"/>
      <c r="SEW195" s="56"/>
      <c r="SEX195" s="56"/>
      <c r="SEY195" s="56"/>
      <c r="SEZ195" s="56"/>
      <c r="SFA195" s="56"/>
      <c r="SFB195" s="56"/>
      <c r="SFC195" s="56"/>
      <c r="SFD195" s="56"/>
      <c r="SFE195" s="56"/>
      <c r="SFF195" s="56"/>
      <c r="SFG195" s="56"/>
      <c r="SFH195" s="56"/>
      <c r="SFI195" s="56"/>
      <c r="SFJ195" s="56"/>
      <c r="SFK195" s="56"/>
      <c r="SFL195" s="56"/>
      <c r="SFM195" s="56"/>
      <c r="SFN195" s="56"/>
      <c r="SFO195" s="56"/>
      <c r="SFP195" s="56"/>
      <c r="SFQ195" s="56"/>
      <c r="SFR195" s="56"/>
      <c r="SFS195" s="56"/>
      <c r="SFT195" s="56"/>
      <c r="SFU195" s="56"/>
      <c r="SFV195" s="56"/>
      <c r="SFW195" s="56"/>
      <c r="SFX195" s="56"/>
      <c r="SFY195" s="56"/>
      <c r="SFZ195" s="56"/>
      <c r="SGA195" s="56"/>
      <c r="SGB195" s="56"/>
      <c r="SGC195" s="56"/>
      <c r="SGD195" s="56"/>
      <c r="SGE195" s="56"/>
      <c r="SGF195" s="56"/>
      <c r="SGG195" s="56"/>
      <c r="SGH195" s="56"/>
      <c r="SGI195" s="56"/>
      <c r="SGJ195" s="56"/>
      <c r="SGK195" s="56"/>
      <c r="SGL195" s="56"/>
      <c r="SGM195" s="56"/>
      <c r="SGN195" s="56"/>
      <c r="SGO195" s="56"/>
      <c r="SGP195" s="56"/>
      <c r="SGQ195" s="56"/>
      <c r="SGR195" s="56"/>
      <c r="SGS195" s="56"/>
      <c r="SGT195" s="56"/>
      <c r="SGU195" s="56"/>
      <c r="SGV195" s="56"/>
      <c r="SGW195" s="56"/>
      <c r="SGX195" s="56"/>
      <c r="SGY195" s="56"/>
      <c r="SGZ195" s="56"/>
      <c r="SHA195" s="56"/>
      <c r="SHB195" s="56"/>
      <c r="SHC195" s="56"/>
      <c r="SHD195" s="56"/>
      <c r="SHE195" s="56"/>
      <c r="SHF195" s="56"/>
      <c r="SHG195" s="56"/>
      <c r="SHH195" s="56"/>
      <c r="SHI195" s="56"/>
      <c r="SHJ195" s="56"/>
      <c r="SHK195" s="56"/>
      <c r="SHL195" s="56"/>
      <c r="SHM195" s="56"/>
      <c r="SHN195" s="56"/>
      <c r="SHO195" s="56"/>
      <c r="SHP195" s="56"/>
      <c r="SHQ195" s="56"/>
      <c r="SHR195" s="56"/>
      <c r="SHS195" s="56"/>
      <c r="SHT195" s="56"/>
      <c r="SHU195" s="56"/>
      <c r="SHV195" s="56"/>
      <c r="SHW195" s="56"/>
      <c r="SHX195" s="56"/>
      <c r="SHY195" s="56"/>
      <c r="SHZ195" s="56"/>
      <c r="SIA195" s="56"/>
      <c r="SIB195" s="56"/>
      <c r="SIC195" s="56"/>
      <c r="SID195" s="56"/>
      <c r="SIE195" s="56"/>
      <c r="SIF195" s="56"/>
      <c r="SIG195" s="56"/>
      <c r="SIH195" s="56"/>
      <c r="SII195" s="56"/>
      <c r="SIJ195" s="56"/>
      <c r="SIK195" s="56"/>
      <c r="SIL195" s="56"/>
      <c r="SIM195" s="56"/>
      <c r="SIN195" s="56"/>
      <c r="SIO195" s="56"/>
      <c r="SIP195" s="56"/>
      <c r="SIQ195" s="56"/>
      <c r="SIR195" s="56"/>
      <c r="SIS195" s="56"/>
      <c r="SIT195" s="56"/>
      <c r="SIU195" s="56"/>
      <c r="SIV195" s="56"/>
      <c r="SIW195" s="56"/>
      <c r="SIX195" s="56"/>
      <c r="SIY195" s="56"/>
      <c r="SIZ195" s="56"/>
      <c r="SJA195" s="56"/>
      <c r="SJB195" s="56"/>
      <c r="SJC195" s="56"/>
      <c r="SJD195" s="56"/>
      <c r="SJE195" s="56"/>
      <c r="SJF195" s="56"/>
      <c r="SJG195" s="56"/>
      <c r="SJH195" s="56"/>
      <c r="SJI195" s="56"/>
      <c r="SJJ195" s="56"/>
      <c r="SJK195" s="56"/>
      <c r="SJL195" s="56"/>
      <c r="SJM195" s="56"/>
      <c r="SJN195" s="56"/>
      <c r="SJO195" s="56"/>
      <c r="SJP195" s="56"/>
      <c r="SJQ195" s="56"/>
      <c r="SJR195" s="56"/>
      <c r="SJS195" s="56"/>
      <c r="SJT195" s="56"/>
      <c r="SJU195" s="56"/>
      <c r="SJV195" s="56"/>
      <c r="SJW195" s="56"/>
      <c r="SJX195" s="56"/>
      <c r="SJY195" s="56"/>
      <c r="SJZ195" s="56"/>
      <c r="SKA195" s="56"/>
      <c r="SKB195" s="56"/>
      <c r="SKC195" s="56"/>
      <c r="SKD195" s="56"/>
      <c r="SKE195" s="56"/>
      <c r="SKF195" s="56"/>
      <c r="SKG195" s="56"/>
      <c r="SKH195" s="56"/>
      <c r="SKI195" s="56"/>
      <c r="SKJ195" s="56"/>
      <c r="SKK195" s="56"/>
      <c r="SKL195" s="56"/>
      <c r="SKM195" s="56"/>
      <c r="SKN195" s="56"/>
      <c r="SKO195" s="56"/>
      <c r="SKP195" s="56"/>
      <c r="SKQ195" s="56"/>
      <c r="SKR195" s="56"/>
      <c r="SKS195" s="56"/>
      <c r="SKT195" s="56"/>
      <c r="SKU195" s="56"/>
      <c r="SKV195" s="56"/>
      <c r="SKW195" s="56"/>
      <c r="SKX195" s="56"/>
      <c r="SKY195" s="56"/>
      <c r="SKZ195" s="56"/>
      <c r="SLA195" s="56"/>
      <c r="SLB195" s="56"/>
      <c r="SLC195" s="56"/>
      <c r="SLD195" s="56"/>
      <c r="SLE195" s="56"/>
      <c r="SLF195" s="56"/>
      <c r="SLG195" s="56"/>
      <c r="SLH195" s="56"/>
      <c r="SLI195" s="56"/>
      <c r="SLJ195" s="56"/>
      <c r="SLK195" s="56"/>
      <c r="SLL195" s="56"/>
      <c r="SLM195" s="56"/>
      <c r="SLN195" s="56"/>
      <c r="SLO195" s="56"/>
      <c r="SLP195" s="56"/>
      <c r="SLQ195" s="56"/>
      <c r="SLR195" s="56"/>
      <c r="SLS195" s="56"/>
      <c r="SLT195" s="56"/>
      <c r="SLU195" s="56"/>
      <c r="SLV195" s="56"/>
      <c r="SLW195" s="56"/>
      <c r="SLX195" s="56"/>
      <c r="SLY195" s="56"/>
      <c r="SLZ195" s="56"/>
      <c r="SMA195" s="56"/>
      <c r="SMB195" s="56"/>
      <c r="SMC195" s="56"/>
      <c r="SMD195" s="56"/>
      <c r="SME195" s="56"/>
      <c r="SMF195" s="56"/>
      <c r="SMG195" s="56"/>
      <c r="SMH195" s="56"/>
      <c r="SMI195" s="56"/>
      <c r="SMJ195" s="56"/>
      <c r="SMK195" s="56"/>
      <c r="SML195" s="56"/>
      <c r="SMM195" s="56"/>
      <c r="SMN195" s="56"/>
      <c r="SMO195" s="56"/>
      <c r="SMP195" s="56"/>
      <c r="SMQ195" s="56"/>
      <c r="SMR195" s="56"/>
      <c r="SMS195" s="56"/>
      <c r="SMT195" s="56"/>
      <c r="SMU195" s="56"/>
      <c r="SMV195" s="56"/>
      <c r="SMW195" s="56"/>
      <c r="SMX195" s="56"/>
      <c r="SMY195" s="56"/>
      <c r="SMZ195" s="56"/>
      <c r="SNA195" s="56"/>
      <c r="SNB195" s="56"/>
      <c r="SNC195" s="56"/>
      <c r="SND195" s="56"/>
      <c r="SNE195" s="56"/>
      <c r="SNF195" s="56"/>
      <c r="SNG195" s="56"/>
      <c r="SNH195" s="56"/>
      <c r="SNI195" s="56"/>
      <c r="SNJ195" s="56"/>
      <c r="SNK195" s="56"/>
      <c r="SNL195" s="56"/>
      <c r="SNM195" s="56"/>
      <c r="SNN195" s="56"/>
      <c r="SNO195" s="56"/>
      <c r="SNP195" s="56"/>
      <c r="SNQ195" s="56"/>
      <c r="SNR195" s="56"/>
      <c r="SNS195" s="56"/>
      <c r="SNT195" s="56"/>
      <c r="SNU195" s="56"/>
      <c r="SNV195" s="56"/>
      <c r="SNW195" s="56"/>
      <c r="SNX195" s="56"/>
      <c r="SNY195" s="56"/>
      <c r="SNZ195" s="56"/>
      <c r="SOA195" s="56"/>
      <c r="SOB195" s="56"/>
      <c r="SOC195" s="56"/>
      <c r="SOD195" s="56"/>
      <c r="SOE195" s="56"/>
      <c r="SOF195" s="56"/>
      <c r="SOG195" s="56"/>
      <c r="SOH195" s="56"/>
      <c r="SOI195" s="56"/>
      <c r="SOJ195" s="56"/>
      <c r="SOK195" s="56"/>
      <c r="SOL195" s="56"/>
      <c r="SOM195" s="56"/>
      <c r="SON195" s="56"/>
      <c r="SOO195" s="56"/>
      <c r="SOP195" s="56"/>
      <c r="SOQ195" s="56"/>
      <c r="SOR195" s="56"/>
      <c r="SOS195" s="56"/>
      <c r="SOT195" s="56"/>
      <c r="SOU195" s="56"/>
      <c r="SOV195" s="56"/>
      <c r="SOW195" s="56"/>
      <c r="SOX195" s="56"/>
      <c r="SOY195" s="56"/>
      <c r="SOZ195" s="56"/>
      <c r="SPA195" s="56"/>
      <c r="SPB195" s="56"/>
      <c r="SPC195" s="56"/>
      <c r="SPD195" s="56"/>
      <c r="SPE195" s="56"/>
      <c r="SPF195" s="56"/>
      <c r="SPG195" s="56"/>
      <c r="SPH195" s="56"/>
      <c r="SPI195" s="56"/>
      <c r="SPJ195" s="56"/>
      <c r="SPK195" s="56"/>
      <c r="SPL195" s="56"/>
      <c r="SPM195" s="56"/>
      <c r="SPN195" s="56"/>
      <c r="SPO195" s="56"/>
      <c r="SPP195" s="56"/>
      <c r="SPQ195" s="56"/>
      <c r="SPR195" s="56"/>
      <c r="SPS195" s="56"/>
      <c r="SPT195" s="56"/>
      <c r="SPU195" s="56"/>
      <c r="SPV195" s="56"/>
      <c r="SPW195" s="56"/>
      <c r="SPX195" s="56"/>
      <c r="SPY195" s="56"/>
      <c r="SPZ195" s="56"/>
      <c r="SQA195" s="56"/>
      <c r="SQB195" s="56"/>
      <c r="SQC195" s="56"/>
      <c r="SQD195" s="56"/>
      <c r="SQE195" s="56"/>
      <c r="SQF195" s="56"/>
      <c r="SQG195" s="56"/>
      <c r="SQH195" s="56"/>
      <c r="SQI195" s="56"/>
      <c r="SQJ195" s="56"/>
      <c r="SQK195" s="56"/>
      <c r="SQL195" s="56"/>
      <c r="SQM195" s="56"/>
      <c r="SQN195" s="56"/>
      <c r="SQO195" s="56"/>
      <c r="SQP195" s="56"/>
      <c r="SQQ195" s="56"/>
      <c r="SQR195" s="56"/>
      <c r="SQS195" s="56"/>
      <c r="SQT195" s="56"/>
      <c r="SQU195" s="56"/>
      <c r="SQV195" s="56"/>
      <c r="SQW195" s="56"/>
      <c r="SQX195" s="56"/>
      <c r="SQY195" s="56"/>
      <c r="SQZ195" s="56"/>
      <c r="SRA195" s="56"/>
      <c r="SRB195" s="56"/>
      <c r="SRC195" s="56"/>
      <c r="SRD195" s="56"/>
      <c r="SRE195" s="56"/>
      <c r="SRF195" s="56"/>
      <c r="SRG195" s="56"/>
      <c r="SRH195" s="56"/>
      <c r="SRI195" s="56"/>
      <c r="SRJ195" s="56"/>
      <c r="SRK195" s="56"/>
      <c r="SRL195" s="56"/>
      <c r="SRM195" s="56"/>
      <c r="SRN195" s="56"/>
      <c r="SRO195" s="56"/>
      <c r="SRP195" s="56"/>
      <c r="SRQ195" s="56"/>
      <c r="SRR195" s="56"/>
      <c r="SRS195" s="56"/>
      <c r="SRT195" s="56"/>
      <c r="SRU195" s="56"/>
      <c r="SRV195" s="56"/>
      <c r="SRW195" s="56"/>
      <c r="SRX195" s="56"/>
      <c r="SRY195" s="56"/>
      <c r="SRZ195" s="56"/>
      <c r="SSA195" s="56"/>
      <c r="SSB195" s="56"/>
      <c r="SSC195" s="56"/>
      <c r="SSD195" s="56"/>
      <c r="SSE195" s="56"/>
      <c r="SSF195" s="56"/>
      <c r="SSG195" s="56"/>
      <c r="SSH195" s="56"/>
      <c r="SSI195" s="56"/>
      <c r="SSJ195" s="56"/>
      <c r="SSK195" s="56"/>
      <c r="SSL195" s="56"/>
      <c r="SSM195" s="56"/>
      <c r="SSN195" s="56"/>
      <c r="SSO195" s="56"/>
      <c r="SSP195" s="56"/>
      <c r="SSQ195" s="56"/>
      <c r="SSR195" s="56"/>
      <c r="SSS195" s="56"/>
      <c r="SST195" s="56"/>
      <c r="SSU195" s="56"/>
      <c r="SSV195" s="56"/>
      <c r="SSW195" s="56"/>
      <c r="SSX195" s="56"/>
      <c r="SSY195" s="56"/>
      <c r="SSZ195" s="56"/>
      <c r="STA195" s="56"/>
      <c r="STB195" s="56"/>
      <c r="STC195" s="56"/>
      <c r="STD195" s="56"/>
      <c r="STE195" s="56"/>
      <c r="STF195" s="56"/>
      <c r="STG195" s="56"/>
      <c r="STH195" s="56"/>
      <c r="STI195" s="56"/>
      <c r="STJ195" s="56"/>
      <c r="STK195" s="56"/>
      <c r="STL195" s="56"/>
      <c r="STM195" s="56"/>
      <c r="STN195" s="56"/>
      <c r="STO195" s="56"/>
      <c r="STP195" s="56"/>
      <c r="STQ195" s="56"/>
      <c r="STR195" s="56"/>
      <c r="STS195" s="56"/>
      <c r="STT195" s="56"/>
      <c r="STU195" s="56"/>
      <c r="STV195" s="56"/>
      <c r="STW195" s="56"/>
      <c r="STX195" s="56"/>
      <c r="STY195" s="56"/>
      <c r="STZ195" s="56"/>
      <c r="SUA195" s="56"/>
      <c r="SUB195" s="56"/>
      <c r="SUC195" s="56"/>
      <c r="SUD195" s="56"/>
      <c r="SUE195" s="56"/>
      <c r="SUF195" s="56"/>
      <c r="SUG195" s="56"/>
      <c r="SUH195" s="56"/>
      <c r="SUI195" s="56"/>
      <c r="SUJ195" s="56"/>
      <c r="SUK195" s="56"/>
      <c r="SUL195" s="56"/>
      <c r="SUM195" s="56"/>
      <c r="SUN195" s="56"/>
      <c r="SUO195" s="56"/>
      <c r="SUP195" s="56"/>
      <c r="SUQ195" s="56"/>
      <c r="SUR195" s="56"/>
      <c r="SUS195" s="56"/>
      <c r="SUT195" s="56"/>
      <c r="SUU195" s="56"/>
      <c r="SUV195" s="56"/>
      <c r="SUW195" s="56"/>
      <c r="SUX195" s="56"/>
      <c r="SUY195" s="56"/>
      <c r="SUZ195" s="56"/>
      <c r="SVA195" s="56"/>
      <c r="SVB195" s="56"/>
      <c r="SVC195" s="56"/>
      <c r="SVD195" s="56"/>
      <c r="SVE195" s="56"/>
      <c r="SVF195" s="56"/>
      <c r="SVG195" s="56"/>
      <c r="SVH195" s="56"/>
      <c r="SVI195" s="56"/>
      <c r="SVJ195" s="56"/>
      <c r="SVK195" s="56"/>
      <c r="SVL195" s="56"/>
      <c r="SVM195" s="56"/>
      <c r="SVN195" s="56"/>
      <c r="SVO195" s="56"/>
      <c r="SVP195" s="56"/>
      <c r="SVQ195" s="56"/>
      <c r="SVR195" s="56"/>
      <c r="SVS195" s="56"/>
      <c r="SVT195" s="56"/>
      <c r="SVU195" s="56"/>
      <c r="SVV195" s="56"/>
      <c r="SVW195" s="56"/>
      <c r="SVX195" s="56"/>
      <c r="SVY195" s="56"/>
      <c r="SVZ195" s="56"/>
      <c r="SWA195" s="56"/>
      <c r="SWB195" s="56"/>
      <c r="SWC195" s="56"/>
      <c r="SWD195" s="56"/>
      <c r="SWE195" s="56"/>
      <c r="SWF195" s="56"/>
      <c r="SWG195" s="56"/>
      <c r="SWH195" s="56"/>
      <c r="SWI195" s="56"/>
      <c r="SWJ195" s="56"/>
      <c r="SWK195" s="56"/>
      <c r="SWL195" s="56"/>
      <c r="SWM195" s="56"/>
      <c r="SWN195" s="56"/>
      <c r="SWO195" s="56"/>
      <c r="SWP195" s="56"/>
      <c r="SWQ195" s="56"/>
      <c r="SWR195" s="56"/>
      <c r="SWS195" s="56"/>
      <c r="SWT195" s="56"/>
      <c r="SWU195" s="56"/>
      <c r="SWV195" s="56"/>
      <c r="SWW195" s="56"/>
      <c r="SWX195" s="56"/>
      <c r="SWY195" s="56"/>
      <c r="SWZ195" s="56"/>
      <c r="SXA195" s="56"/>
      <c r="SXB195" s="56"/>
      <c r="SXC195" s="56"/>
      <c r="SXD195" s="56"/>
      <c r="SXE195" s="56"/>
      <c r="SXF195" s="56"/>
      <c r="SXG195" s="56"/>
      <c r="SXH195" s="56"/>
      <c r="SXI195" s="56"/>
      <c r="SXJ195" s="56"/>
      <c r="SXK195" s="56"/>
      <c r="SXL195" s="56"/>
      <c r="SXM195" s="56"/>
      <c r="SXN195" s="56"/>
      <c r="SXO195" s="56"/>
      <c r="SXP195" s="56"/>
      <c r="SXQ195" s="56"/>
      <c r="SXR195" s="56"/>
      <c r="SXS195" s="56"/>
      <c r="SXT195" s="56"/>
      <c r="SXU195" s="56"/>
      <c r="SXV195" s="56"/>
      <c r="SXW195" s="56"/>
      <c r="SXX195" s="56"/>
      <c r="SXY195" s="56"/>
      <c r="SXZ195" s="56"/>
      <c r="SYA195" s="56"/>
      <c r="SYB195" s="56"/>
      <c r="SYC195" s="56"/>
      <c r="SYD195" s="56"/>
      <c r="SYE195" s="56"/>
      <c r="SYF195" s="56"/>
      <c r="SYG195" s="56"/>
      <c r="SYH195" s="56"/>
      <c r="SYI195" s="56"/>
      <c r="SYJ195" s="56"/>
      <c r="SYK195" s="56"/>
      <c r="SYL195" s="56"/>
      <c r="SYM195" s="56"/>
      <c r="SYN195" s="56"/>
      <c r="SYO195" s="56"/>
      <c r="SYP195" s="56"/>
      <c r="SYQ195" s="56"/>
      <c r="SYR195" s="56"/>
      <c r="SYS195" s="56"/>
      <c r="SYT195" s="56"/>
      <c r="SYU195" s="56"/>
      <c r="SYV195" s="56"/>
      <c r="SYW195" s="56"/>
      <c r="SYX195" s="56"/>
      <c r="SYY195" s="56"/>
      <c r="SYZ195" s="56"/>
      <c r="SZA195" s="56"/>
      <c r="SZB195" s="56"/>
      <c r="SZC195" s="56"/>
      <c r="SZD195" s="56"/>
      <c r="SZE195" s="56"/>
      <c r="SZF195" s="56"/>
      <c r="SZG195" s="56"/>
      <c r="SZH195" s="56"/>
      <c r="SZI195" s="56"/>
      <c r="SZJ195" s="56"/>
      <c r="SZK195" s="56"/>
      <c r="SZL195" s="56"/>
      <c r="SZM195" s="56"/>
      <c r="SZN195" s="56"/>
      <c r="SZO195" s="56"/>
      <c r="SZP195" s="56"/>
      <c r="SZQ195" s="56"/>
      <c r="SZR195" s="56"/>
      <c r="SZS195" s="56"/>
      <c r="SZT195" s="56"/>
      <c r="SZU195" s="56"/>
      <c r="SZV195" s="56"/>
      <c r="SZW195" s="56"/>
      <c r="SZX195" s="56"/>
      <c r="SZY195" s="56"/>
      <c r="SZZ195" s="56"/>
      <c r="TAA195" s="56"/>
      <c r="TAB195" s="56"/>
      <c r="TAC195" s="56"/>
      <c r="TAD195" s="56"/>
      <c r="TAE195" s="56"/>
      <c r="TAF195" s="56"/>
      <c r="TAG195" s="56"/>
      <c r="TAH195" s="56"/>
      <c r="TAI195" s="56"/>
      <c r="TAJ195" s="56"/>
      <c r="TAK195" s="56"/>
      <c r="TAL195" s="56"/>
      <c r="TAM195" s="56"/>
      <c r="TAN195" s="56"/>
      <c r="TAO195" s="56"/>
      <c r="TAP195" s="56"/>
      <c r="TAQ195" s="56"/>
      <c r="TAR195" s="56"/>
      <c r="TAS195" s="56"/>
      <c r="TAT195" s="56"/>
      <c r="TAU195" s="56"/>
      <c r="TAV195" s="56"/>
      <c r="TAW195" s="56"/>
      <c r="TAX195" s="56"/>
      <c r="TAY195" s="56"/>
      <c r="TAZ195" s="56"/>
      <c r="TBA195" s="56"/>
      <c r="TBB195" s="56"/>
      <c r="TBC195" s="56"/>
      <c r="TBD195" s="56"/>
      <c r="TBE195" s="56"/>
      <c r="TBF195" s="56"/>
      <c r="TBG195" s="56"/>
      <c r="TBH195" s="56"/>
      <c r="TBI195" s="56"/>
      <c r="TBJ195" s="56"/>
      <c r="TBK195" s="56"/>
      <c r="TBL195" s="56"/>
      <c r="TBM195" s="56"/>
      <c r="TBN195" s="56"/>
      <c r="TBO195" s="56"/>
      <c r="TBP195" s="56"/>
      <c r="TBQ195" s="56"/>
      <c r="TBR195" s="56"/>
      <c r="TBS195" s="56"/>
      <c r="TBT195" s="56"/>
      <c r="TBU195" s="56"/>
      <c r="TBV195" s="56"/>
      <c r="TBW195" s="56"/>
      <c r="TBX195" s="56"/>
      <c r="TBY195" s="56"/>
      <c r="TBZ195" s="56"/>
      <c r="TCA195" s="56"/>
      <c r="TCB195" s="56"/>
      <c r="TCC195" s="56"/>
      <c r="TCD195" s="56"/>
      <c r="TCE195" s="56"/>
      <c r="TCF195" s="56"/>
      <c r="TCG195" s="56"/>
      <c r="TCH195" s="56"/>
      <c r="TCI195" s="56"/>
      <c r="TCJ195" s="56"/>
      <c r="TCK195" s="56"/>
      <c r="TCL195" s="56"/>
      <c r="TCM195" s="56"/>
      <c r="TCN195" s="56"/>
      <c r="TCO195" s="56"/>
      <c r="TCP195" s="56"/>
      <c r="TCQ195" s="56"/>
      <c r="TCR195" s="56"/>
      <c r="TCS195" s="56"/>
      <c r="TCT195" s="56"/>
      <c r="TCU195" s="56"/>
      <c r="TCV195" s="56"/>
      <c r="TCW195" s="56"/>
      <c r="TCX195" s="56"/>
      <c r="TCY195" s="56"/>
      <c r="TCZ195" s="56"/>
      <c r="TDA195" s="56"/>
      <c r="TDB195" s="56"/>
      <c r="TDC195" s="56"/>
      <c r="TDD195" s="56"/>
      <c r="TDE195" s="56"/>
      <c r="TDF195" s="56"/>
      <c r="TDG195" s="56"/>
      <c r="TDH195" s="56"/>
      <c r="TDI195" s="56"/>
      <c r="TDJ195" s="56"/>
      <c r="TDK195" s="56"/>
      <c r="TDL195" s="56"/>
      <c r="TDM195" s="56"/>
      <c r="TDN195" s="56"/>
      <c r="TDO195" s="56"/>
      <c r="TDP195" s="56"/>
      <c r="TDQ195" s="56"/>
      <c r="TDR195" s="56"/>
      <c r="TDS195" s="56"/>
      <c r="TDT195" s="56"/>
      <c r="TDU195" s="56"/>
      <c r="TDV195" s="56"/>
      <c r="TDW195" s="56"/>
      <c r="TDX195" s="56"/>
      <c r="TDY195" s="56"/>
      <c r="TDZ195" s="56"/>
      <c r="TEA195" s="56"/>
      <c r="TEB195" s="56"/>
      <c r="TEC195" s="56"/>
      <c r="TED195" s="56"/>
      <c r="TEE195" s="56"/>
      <c r="TEF195" s="56"/>
      <c r="TEG195" s="56"/>
      <c r="TEH195" s="56"/>
      <c r="TEI195" s="56"/>
      <c r="TEJ195" s="56"/>
      <c r="TEK195" s="56"/>
      <c r="TEL195" s="56"/>
      <c r="TEM195" s="56"/>
      <c r="TEN195" s="56"/>
      <c r="TEO195" s="56"/>
      <c r="TEP195" s="56"/>
      <c r="TEQ195" s="56"/>
      <c r="TER195" s="56"/>
      <c r="TES195" s="56"/>
      <c r="TET195" s="56"/>
      <c r="TEU195" s="56"/>
      <c r="TEV195" s="56"/>
      <c r="TEW195" s="56"/>
      <c r="TEX195" s="56"/>
      <c r="TEY195" s="56"/>
      <c r="TEZ195" s="56"/>
      <c r="TFA195" s="56"/>
      <c r="TFB195" s="56"/>
      <c r="TFC195" s="56"/>
      <c r="TFD195" s="56"/>
      <c r="TFE195" s="56"/>
      <c r="TFF195" s="56"/>
      <c r="TFG195" s="56"/>
      <c r="TFH195" s="56"/>
      <c r="TFI195" s="56"/>
      <c r="TFJ195" s="56"/>
      <c r="TFK195" s="56"/>
      <c r="TFL195" s="56"/>
      <c r="TFM195" s="56"/>
      <c r="TFN195" s="56"/>
      <c r="TFO195" s="56"/>
      <c r="TFP195" s="56"/>
      <c r="TFQ195" s="56"/>
      <c r="TFR195" s="56"/>
      <c r="TFS195" s="56"/>
      <c r="TFT195" s="56"/>
      <c r="TFU195" s="56"/>
      <c r="TFV195" s="56"/>
      <c r="TFW195" s="56"/>
      <c r="TFX195" s="56"/>
      <c r="TFY195" s="56"/>
      <c r="TFZ195" s="56"/>
      <c r="TGA195" s="56"/>
      <c r="TGB195" s="56"/>
      <c r="TGC195" s="56"/>
      <c r="TGD195" s="56"/>
      <c r="TGE195" s="56"/>
      <c r="TGF195" s="56"/>
      <c r="TGG195" s="56"/>
      <c r="TGH195" s="56"/>
      <c r="TGI195" s="56"/>
      <c r="TGJ195" s="56"/>
      <c r="TGK195" s="56"/>
      <c r="TGL195" s="56"/>
      <c r="TGM195" s="56"/>
      <c r="TGN195" s="56"/>
      <c r="TGO195" s="56"/>
      <c r="TGP195" s="56"/>
      <c r="TGQ195" s="56"/>
      <c r="TGR195" s="56"/>
      <c r="TGS195" s="56"/>
      <c r="TGT195" s="56"/>
      <c r="TGU195" s="56"/>
      <c r="TGV195" s="56"/>
      <c r="TGW195" s="56"/>
      <c r="TGX195" s="56"/>
      <c r="TGY195" s="56"/>
      <c r="TGZ195" s="56"/>
      <c r="THA195" s="56"/>
      <c r="THB195" s="56"/>
      <c r="THC195" s="56"/>
      <c r="THD195" s="56"/>
      <c r="THE195" s="56"/>
      <c r="THF195" s="56"/>
      <c r="THG195" s="56"/>
      <c r="THH195" s="56"/>
      <c r="THI195" s="56"/>
      <c r="THJ195" s="56"/>
      <c r="THK195" s="56"/>
      <c r="THL195" s="56"/>
      <c r="THM195" s="56"/>
      <c r="THN195" s="56"/>
      <c r="THO195" s="56"/>
      <c r="THP195" s="56"/>
      <c r="THQ195" s="56"/>
      <c r="THR195" s="56"/>
      <c r="THS195" s="56"/>
      <c r="THT195" s="56"/>
      <c r="THU195" s="56"/>
      <c r="THV195" s="56"/>
      <c r="THW195" s="56"/>
      <c r="THX195" s="56"/>
      <c r="THY195" s="56"/>
      <c r="THZ195" s="56"/>
      <c r="TIA195" s="56"/>
      <c r="TIB195" s="56"/>
      <c r="TIC195" s="56"/>
      <c r="TID195" s="56"/>
      <c r="TIE195" s="56"/>
      <c r="TIF195" s="56"/>
      <c r="TIG195" s="56"/>
      <c r="TIH195" s="56"/>
      <c r="TII195" s="56"/>
      <c r="TIJ195" s="56"/>
      <c r="TIK195" s="56"/>
      <c r="TIL195" s="56"/>
      <c r="TIM195" s="56"/>
      <c r="TIN195" s="56"/>
      <c r="TIO195" s="56"/>
      <c r="TIP195" s="56"/>
      <c r="TIQ195" s="56"/>
      <c r="TIR195" s="56"/>
      <c r="TIS195" s="56"/>
      <c r="TIT195" s="56"/>
      <c r="TIU195" s="56"/>
      <c r="TIV195" s="56"/>
      <c r="TIW195" s="56"/>
      <c r="TIX195" s="56"/>
      <c r="TIY195" s="56"/>
      <c r="TIZ195" s="56"/>
      <c r="TJA195" s="56"/>
      <c r="TJB195" s="56"/>
      <c r="TJC195" s="56"/>
      <c r="TJD195" s="56"/>
      <c r="TJE195" s="56"/>
      <c r="TJF195" s="56"/>
      <c r="TJG195" s="56"/>
      <c r="TJH195" s="56"/>
      <c r="TJI195" s="56"/>
      <c r="TJJ195" s="56"/>
      <c r="TJK195" s="56"/>
      <c r="TJL195" s="56"/>
      <c r="TJM195" s="56"/>
      <c r="TJN195" s="56"/>
      <c r="TJO195" s="56"/>
      <c r="TJP195" s="56"/>
      <c r="TJQ195" s="56"/>
      <c r="TJR195" s="56"/>
      <c r="TJS195" s="56"/>
      <c r="TJT195" s="56"/>
      <c r="TJU195" s="56"/>
      <c r="TJV195" s="56"/>
      <c r="TJW195" s="56"/>
      <c r="TJX195" s="56"/>
      <c r="TJY195" s="56"/>
      <c r="TJZ195" s="56"/>
      <c r="TKA195" s="56"/>
      <c r="TKB195" s="56"/>
      <c r="TKC195" s="56"/>
      <c r="TKD195" s="56"/>
      <c r="TKE195" s="56"/>
      <c r="TKF195" s="56"/>
      <c r="TKG195" s="56"/>
      <c r="TKH195" s="56"/>
      <c r="TKI195" s="56"/>
      <c r="TKJ195" s="56"/>
      <c r="TKK195" s="56"/>
      <c r="TKL195" s="56"/>
      <c r="TKM195" s="56"/>
      <c r="TKN195" s="56"/>
      <c r="TKO195" s="56"/>
      <c r="TKP195" s="56"/>
      <c r="TKQ195" s="56"/>
      <c r="TKR195" s="56"/>
      <c r="TKS195" s="56"/>
      <c r="TKT195" s="56"/>
      <c r="TKU195" s="56"/>
      <c r="TKV195" s="56"/>
      <c r="TKW195" s="56"/>
      <c r="TKX195" s="56"/>
      <c r="TKY195" s="56"/>
      <c r="TKZ195" s="56"/>
      <c r="TLA195" s="56"/>
      <c r="TLB195" s="56"/>
      <c r="TLC195" s="56"/>
      <c r="TLD195" s="56"/>
      <c r="TLE195" s="56"/>
      <c r="TLF195" s="56"/>
      <c r="TLG195" s="56"/>
      <c r="TLH195" s="56"/>
      <c r="TLI195" s="56"/>
      <c r="TLJ195" s="56"/>
      <c r="TLK195" s="56"/>
      <c r="TLL195" s="56"/>
      <c r="TLM195" s="56"/>
      <c r="TLN195" s="56"/>
      <c r="TLO195" s="56"/>
      <c r="TLP195" s="56"/>
      <c r="TLQ195" s="56"/>
      <c r="TLR195" s="56"/>
      <c r="TLS195" s="56"/>
      <c r="TLT195" s="56"/>
      <c r="TLU195" s="56"/>
      <c r="TLV195" s="56"/>
      <c r="TLW195" s="56"/>
      <c r="TLX195" s="56"/>
      <c r="TLY195" s="56"/>
      <c r="TLZ195" s="56"/>
      <c r="TMA195" s="56"/>
      <c r="TMB195" s="56"/>
      <c r="TMC195" s="56"/>
      <c r="TMD195" s="56"/>
      <c r="TME195" s="56"/>
      <c r="TMF195" s="56"/>
      <c r="TMG195" s="56"/>
      <c r="TMH195" s="56"/>
      <c r="TMI195" s="56"/>
      <c r="TMJ195" s="56"/>
      <c r="TMK195" s="56"/>
      <c r="TML195" s="56"/>
      <c r="TMM195" s="56"/>
      <c r="TMN195" s="56"/>
      <c r="TMO195" s="56"/>
      <c r="TMP195" s="56"/>
      <c r="TMQ195" s="56"/>
      <c r="TMR195" s="56"/>
      <c r="TMS195" s="56"/>
      <c r="TMT195" s="56"/>
      <c r="TMU195" s="56"/>
      <c r="TMV195" s="56"/>
      <c r="TMW195" s="56"/>
      <c r="TMX195" s="56"/>
      <c r="TMY195" s="56"/>
      <c r="TMZ195" s="56"/>
      <c r="TNA195" s="56"/>
      <c r="TNB195" s="56"/>
      <c r="TNC195" s="56"/>
      <c r="TND195" s="56"/>
      <c r="TNE195" s="56"/>
      <c r="TNF195" s="56"/>
      <c r="TNG195" s="56"/>
      <c r="TNH195" s="56"/>
      <c r="TNI195" s="56"/>
      <c r="TNJ195" s="56"/>
      <c r="TNK195" s="56"/>
      <c r="TNL195" s="56"/>
      <c r="TNM195" s="56"/>
      <c r="TNN195" s="56"/>
      <c r="TNO195" s="56"/>
      <c r="TNP195" s="56"/>
      <c r="TNQ195" s="56"/>
      <c r="TNR195" s="56"/>
      <c r="TNS195" s="56"/>
      <c r="TNT195" s="56"/>
      <c r="TNU195" s="56"/>
      <c r="TNV195" s="56"/>
      <c r="TNW195" s="56"/>
      <c r="TNX195" s="56"/>
      <c r="TNY195" s="56"/>
      <c r="TNZ195" s="56"/>
      <c r="TOA195" s="56"/>
      <c r="TOB195" s="56"/>
      <c r="TOC195" s="56"/>
      <c r="TOD195" s="56"/>
      <c r="TOE195" s="56"/>
      <c r="TOF195" s="56"/>
      <c r="TOG195" s="56"/>
      <c r="TOH195" s="56"/>
      <c r="TOI195" s="56"/>
      <c r="TOJ195" s="56"/>
      <c r="TOK195" s="56"/>
      <c r="TOL195" s="56"/>
      <c r="TOM195" s="56"/>
      <c r="TON195" s="56"/>
      <c r="TOO195" s="56"/>
      <c r="TOP195" s="56"/>
      <c r="TOQ195" s="56"/>
      <c r="TOR195" s="56"/>
      <c r="TOS195" s="56"/>
      <c r="TOT195" s="56"/>
      <c r="TOU195" s="56"/>
      <c r="TOV195" s="56"/>
      <c r="TOW195" s="56"/>
      <c r="TOX195" s="56"/>
      <c r="TOY195" s="56"/>
      <c r="TOZ195" s="56"/>
      <c r="TPA195" s="56"/>
      <c r="TPB195" s="56"/>
      <c r="TPC195" s="56"/>
      <c r="TPD195" s="56"/>
      <c r="TPE195" s="56"/>
      <c r="TPF195" s="56"/>
      <c r="TPG195" s="56"/>
      <c r="TPH195" s="56"/>
      <c r="TPI195" s="56"/>
      <c r="TPJ195" s="56"/>
      <c r="TPK195" s="56"/>
      <c r="TPL195" s="56"/>
      <c r="TPM195" s="56"/>
      <c r="TPN195" s="56"/>
      <c r="TPO195" s="56"/>
      <c r="TPP195" s="56"/>
      <c r="TPQ195" s="56"/>
      <c r="TPR195" s="56"/>
      <c r="TPS195" s="56"/>
      <c r="TPT195" s="56"/>
      <c r="TPU195" s="56"/>
      <c r="TPV195" s="56"/>
      <c r="TPW195" s="56"/>
      <c r="TPX195" s="56"/>
      <c r="TPY195" s="56"/>
      <c r="TPZ195" s="56"/>
      <c r="TQA195" s="56"/>
      <c r="TQB195" s="56"/>
      <c r="TQC195" s="56"/>
      <c r="TQD195" s="56"/>
      <c r="TQE195" s="56"/>
      <c r="TQF195" s="56"/>
      <c r="TQG195" s="56"/>
      <c r="TQH195" s="56"/>
      <c r="TQI195" s="56"/>
      <c r="TQJ195" s="56"/>
      <c r="TQK195" s="56"/>
      <c r="TQL195" s="56"/>
      <c r="TQM195" s="56"/>
      <c r="TQN195" s="56"/>
      <c r="TQO195" s="56"/>
      <c r="TQP195" s="56"/>
      <c r="TQQ195" s="56"/>
      <c r="TQR195" s="56"/>
      <c r="TQS195" s="56"/>
      <c r="TQT195" s="56"/>
      <c r="TQU195" s="56"/>
      <c r="TQV195" s="56"/>
      <c r="TQW195" s="56"/>
      <c r="TQX195" s="56"/>
      <c r="TQY195" s="56"/>
      <c r="TQZ195" s="56"/>
      <c r="TRA195" s="56"/>
      <c r="TRB195" s="56"/>
      <c r="TRC195" s="56"/>
      <c r="TRD195" s="56"/>
      <c r="TRE195" s="56"/>
      <c r="TRF195" s="56"/>
      <c r="TRG195" s="56"/>
      <c r="TRH195" s="56"/>
      <c r="TRI195" s="56"/>
      <c r="TRJ195" s="56"/>
      <c r="TRK195" s="56"/>
      <c r="TRL195" s="56"/>
      <c r="TRM195" s="56"/>
      <c r="TRN195" s="56"/>
      <c r="TRO195" s="56"/>
      <c r="TRP195" s="56"/>
      <c r="TRQ195" s="56"/>
      <c r="TRR195" s="56"/>
      <c r="TRS195" s="56"/>
      <c r="TRT195" s="56"/>
      <c r="TRU195" s="56"/>
      <c r="TRV195" s="56"/>
      <c r="TRW195" s="56"/>
      <c r="TRX195" s="56"/>
      <c r="TRY195" s="56"/>
      <c r="TRZ195" s="56"/>
      <c r="TSA195" s="56"/>
      <c r="TSB195" s="56"/>
      <c r="TSC195" s="56"/>
      <c r="TSD195" s="56"/>
      <c r="TSE195" s="56"/>
      <c r="TSF195" s="56"/>
      <c r="TSG195" s="56"/>
      <c r="TSH195" s="56"/>
      <c r="TSI195" s="56"/>
      <c r="TSJ195" s="56"/>
      <c r="TSK195" s="56"/>
      <c r="TSL195" s="56"/>
      <c r="TSM195" s="56"/>
      <c r="TSN195" s="56"/>
      <c r="TSO195" s="56"/>
      <c r="TSP195" s="56"/>
      <c r="TSQ195" s="56"/>
      <c r="TSR195" s="56"/>
      <c r="TSS195" s="56"/>
      <c r="TST195" s="56"/>
      <c r="TSU195" s="56"/>
      <c r="TSV195" s="56"/>
      <c r="TSW195" s="56"/>
      <c r="TSX195" s="56"/>
      <c r="TSY195" s="56"/>
      <c r="TSZ195" s="56"/>
      <c r="TTA195" s="56"/>
      <c r="TTB195" s="56"/>
      <c r="TTC195" s="56"/>
      <c r="TTD195" s="56"/>
      <c r="TTE195" s="56"/>
      <c r="TTF195" s="56"/>
      <c r="TTG195" s="56"/>
      <c r="TTH195" s="56"/>
      <c r="TTI195" s="56"/>
      <c r="TTJ195" s="56"/>
      <c r="TTK195" s="56"/>
      <c r="TTL195" s="56"/>
      <c r="TTM195" s="56"/>
      <c r="TTN195" s="56"/>
      <c r="TTO195" s="56"/>
      <c r="TTP195" s="56"/>
      <c r="TTQ195" s="56"/>
      <c r="TTR195" s="56"/>
      <c r="TTS195" s="56"/>
      <c r="TTT195" s="56"/>
      <c r="TTU195" s="56"/>
      <c r="TTV195" s="56"/>
      <c r="TTW195" s="56"/>
      <c r="TTX195" s="56"/>
      <c r="TTY195" s="56"/>
      <c r="TTZ195" s="56"/>
      <c r="TUA195" s="56"/>
      <c r="TUB195" s="56"/>
      <c r="TUC195" s="56"/>
      <c r="TUD195" s="56"/>
      <c r="TUE195" s="56"/>
      <c r="TUF195" s="56"/>
      <c r="TUG195" s="56"/>
      <c r="TUH195" s="56"/>
      <c r="TUI195" s="56"/>
      <c r="TUJ195" s="56"/>
      <c r="TUK195" s="56"/>
      <c r="TUL195" s="56"/>
      <c r="TUM195" s="56"/>
      <c r="TUN195" s="56"/>
      <c r="TUO195" s="56"/>
      <c r="TUP195" s="56"/>
      <c r="TUQ195" s="56"/>
      <c r="TUR195" s="56"/>
      <c r="TUS195" s="56"/>
      <c r="TUT195" s="56"/>
      <c r="TUU195" s="56"/>
      <c r="TUV195" s="56"/>
      <c r="TUW195" s="56"/>
      <c r="TUX195" s="56"/>
      <c r="TUY195" s="56"/>
      <c r="TUZ195" s="56"/>
      <c r="TVA195" s="56"/>
      <c r="TVB195" s="56"/>
      <c r="TVC195" s="56"/>
      <c r="TVD195" s="56"/>
      <c r="TVE195" s="56"/>
      <c r="TVF195" s="56"/>
      <c r="TVG195" s="56"/>
      <c r="TVH195" s="56"/>
      <c r="TVI195" s="56"/>
      <c r="TVJ195" s="56"/>
      <c r="TVK195" s="56"/>
      <c r="TVL195" s="56"/>
      <c r="TVM195" s="56"/>
      <c r="TVN195" s="56"/>
      <c r="TVO195" s="56"/>
      <c r="TVP195" s="56"/>
      <c r="TVQ195" s="56"/>
      <c r="TVR195" s="56"/>
      <c r="TVS195" s="56"/>
      <c r="TVT195" s="56"/>
      <c r="TVU195" s="56"/>
      <c r="TVV195" s="56"/>
      <c r="TVW195" s="56"/>
      <c r="TVX195" s="56"/>
      <c r="TVY195" s="56"/>
      <c r="TVZ195" s="56"/>
      <c r="TWA195" s="56"/>
      <c r="TWB195" s="56"/>
      <c r="TWC195" s="56"/>
      <c r="TWD195" s="56"/>
      <c r="TWE195" s="56"/>
      <c r="TWF195" s="56"/>
      <c r="TWG195" s="56"/>
      <c r="TWH195" s="56"/>
      <c r="TWI195" s="56"/>
      <c r="TWJ195" s="56"/>
      <c r="TWK195" s="56"/>
      <c r="TWL195" s="56"/>
      <c r="TWM195" s="56"/>
      <c r="TWN195" s="56"/>
      <c r="TWO195" s="56"/>
      <c r="TWP195" s="56"/>
      <c r="TWQ195" s="56"/>
      <c r="TWR195" s="56"/>
      <c r="TWS195" s="56"/>
      <c r="TWT195" s="56"/>
      <c r="TWU195" s="56"/>
      <c r="TWV195" s="56"/>
      <c r="TWW195" s="56"/>
      <c r="TWX195" s="56"/>
      <c r="TWY195" s="56"/>
      <c r="TWZ195" s="56"/>
      <c r="TXA195" s="56"/>
      <c r="TXB195" s="56"/>
      <c r="TXC195" s="56"/>
      <c r="TXD195" s="56"/>
      <c r="TXE195" s="56"/>
      <c r="TXF195" s="56"/>
      <c r="TXG195" s="56"/>
      <c r="TXH195" s="56"/>
      <c r="TXI195" s="56"/>
      <c r="TXJ195" s="56"/>
      <c r="TXK195" s="56"/>
      <c r="TXL195" s="56"/>
      <c r="TXM195" s="56"/>
      <c r="TXN195" s="56"/>
      <c r="TXO195" s="56"/>
      <c r="TXP195" s="56"/>
      <c r="TXQ195" s="56"/>
      <c r="TXR195" s="56"/>
      <c r="TXS195" s="56"/>
      <c r="TXT195" s="56"/>
      <c r="TXU195" s="56"/>
      <c r="TXV195" s="56"/>
      <c r="TXW195" s="56"/>
      <c r="TXX195" s="56"/>
      <c r="TXY195" s="56"/>
      <c r="TXZ195" s="56"/>
      <c r="TYA195" s="56"/>
      <c r="TYB195" s="56"/>
      <c r="TYC195" s="56"/>
      <c r="TYD195" s="56"/>
      <c r="TYE195" s="56"/>
      <c r="TYF195" s="56"/>
      <c r="TYG195" s="56"/>
      <c r="TYH195" s="56"/>
      <c r="TYI195" s="56"/>
      <c r="TYJ195" s="56"/>
      <c r="TYK195" s="56"/>
      <c r="TYL195" s="56"/>
      <c r="TYM195" s="56"/>
      <c r="TYN195" s="56"/>
      <c r="TYO195" s="56"/>
      <c r="TYP195" s="56"/>
      <c r="TYQ195" s="56"/>
      <c r="TYR195" s="56"/>
      <c r="TYS195" s="56"/>
      <c r="TYT195" s="56"/>
      <c r="TYU195" s="56"/>
      <c r="TYV195" s="56"/>
      <c r="TYW195" s="56"/>
      <c r="TYX195" s="56"/>
      <c r="TYY195" s="56"/>
      <c r="TYZ195" s="56"/>
      <c r="TZA195" s="56"/>
      <c r="TZB195" s="56"/>
      <c r="TZC195" s="56"/>
      <c r="TZD195" s="56"/>
      <c r="TZE195" s="56"/>
      <c r="TZF195" s="56"/>
      <c r="TZG195" s="56"/>
      <c r="TZH195" s="56"/>
      <c r="TZI195" s="56"/>
      <c r="TZJ195" s="56"/>
      <c r="TZK195" s="56"/>
      <c r="TZL195" s="56"/>
      <c r="TZM195" s="56"/>
      <c r="TZN195" s="56"/>
      <c r="TZO195" s="56"/>
      <c r="TZP195" s="56"/>
      <c r="TZQ195" s="56"/>
      <c r="TZR195" s="56"/>
      <c r="TZS195" s="56"/>
      <c r="TZT195" s="56"/>
      <c r="TZU195" s="56"/>
      <c r="TZV195" s="56"/>
      <c r="TZW195" s="56"/>
      <c r="TZX195" s="56"/>
      <c r="TZY195" s="56"/>
      <c r="TZZ195" s="56"/>
      <c r="UAA195" s="56"/>
      <c r="UAB195" s="56"/>
      <c r="UAC195" s="56"/>
      <c r="UAD195" s="56"/>
      <c r="UAE195" s="56"/>
      <c r="UAF195" s="56"/>
      <c r="UAG195" s="56"/>
      <c r="UAH195" s="56"/>
      <c r="UAI195" s="56"/>
      <c r="UAJ195" s="56"/>
      <c r="UAK195" s="56"/>
      <c r="UAL195" s="56"/>
      <c r="UAM195" s="56"/>
      <c r="UAN195" s="56"/>
      <c r="UAO195" s="56"/>
      <c r="UAP195" s="56"/>
      <c r="UAQ195" s="56"/>
      <c r="UAR195" s="56"/>
      <c r="UAS195" s="56"/>
      <c r="UAT195" s="56"/>
      <c r="UAU195" s="56"/>
      <c r="UAV195" s="56"/>
      <c r="UAW195" s="56"/>
      <c r="UAX195" s="56"/>
      <c r="UAY195" s="56"/>
      <c r="UAZ195" s="56"/>
      <c r="UBA195" s="56"/>
      <c r="UBB195" s="56"/>
      <c r="UBC195" s="56"/>
      <c r="UBD195" s="56"/>
      <c r="UBE195" s="56"/>
      <c r="UBF195" s="56"/>
      <c r="UBG195" s="56"/>
      <c r="UBH195" s="56"/>
      <c r="UBI195" s="56"/>
      <c r="UBJ195" s="56"/>
      <c r="UBK195" s="56"/>
      <c r="UBL195" s="56"/>
      <c r="UBM195" s="56"/>
      <c r="UBN195" s="56"/>
      <c r="UBO195" s="56"/>
      <c r="UBP195" s="56"/>
      <c r="UBQ195" s="56"/>
      <c r="UBR195" s="56"/>
      <c r="UBS195" s="56"/>
      <c r="UBT195" s="56"/>
      <c r="UBU195" s="56"/>
      <c r="UBV195" s="56"/>
      <c r="UBW195" s="56"/>
      <c r="UBX195" s="56"/>
      <c r="UBY195" s="56"/>
      <c r="UBZ195" s="56"/>
      <c r="UCA195" s="56"/>
      <c r="UCB195" s="56"/>
      <c r="UCC195" s="56"/>
      <c r="UCD195" s="56"/>
      <c r="UCE195" s="56"/>
      <c r="UCF195" s="56"/>
      <c r="UCG195" s="56"/>
      <c r="UCH195" s="56"/>
      <c r="UCI195" s="56"/>
      <c r="UCJ195" s="56"/>
      <c r="UCK195" s="56"/>
      <c r="UCL195" s="56"/>
      <c r="UCM195" s="56"/>
      <c r="UCN195" s="56"/>
      <c r="UCO195" s="56"/>
      <c r="UCP195" s="56"/>
      <c r="UCQ195" s="56"/>
      <c r="UCR195" s="56"/>
      <c r="UCS195" s="56"/>
      <c r="UCT195" s="56"/>
      <c r="UCU195" s="56"/>
      <c r="UCV195" s="56"/>
      <c r="UCW195" s="56"/>
      <c r="UCX195" s="56"/>
      <c r="UCY195" s="56"/>
      <c r="UCZ195" s="56"/>
      <c r="UDA195" s="56"/>
      <c r="UDB195" s="56"/>
      <c r="UDC195" s="56"/>
      <c r="UDD195" s="56"/>
      <c r="UDE195" s="56"/>
      <c r="UDF195" s="56"/>
      <c r="UDG195" s="56"/>
      <c r="UDH195" s="56"/>
      <c r="UDI195" s="56"/>
      <c r="UDJ195" s="56"/>
      <c r="UDK195" s="56"/>
      <c r="UDL195" s="56"/>
      <c r="UDM195" s="56"/>
      <c r="UDN195" s="56"/>
      <c r="UDO195" s="56"/>
      <c r="UDP195" s="56"/>
      <c r="UDQ195" s="56"/>
      <c r="UDR195" s="56"/>
      <c r="UDS195" s="56"/>
      <c r="UDT195" s="56"/>
      <c r="UDU195" s="56"/>
      <c r="UDV195" s="56"/>
      <c r="UDW195" s="56"/>
      <c r="UDX195" s="56"/>
      <c r="UDY195" s="56"/>
      <c r="UDZ195" s="56"/>
      <c r="UEA195" s="56"/>
      <c r="UEB195" s="56"/>
      <c r="UEC195" s="56"/>
      <c r="UED195" s="56"/>
      <c r="UEE195" s="56"/>
      <c r="UEF195" s="56"/>
      <c r="UEG195" s="56"/>
      <c r="UEH195" s="56"/>
      <c r="UEI195" s="56"/>
      <c r="UEJ195" s="56"/>
      <c r="UEK195" s="56"/>
      <c r="UEL195" s="56"/>
      <c r="UEM195" s="56"/>
      <c r="UEN195" s="56"/>
      <c r="UEO195" s="56"/>
      <c r="UEP195" s="56"/>
      <c r="UEQ195" s="56"/>
      <c r="UER195" s="56"/>
      <c r="UES195" s="56"/>
      <c r="UET195" s="56"/>
      <c r="UEU195" s="56"/>
      <c r="UEV195" s="56"/>
      <c r="UEW195" s="56"/>
      <c r="UEX195" s="56"/>
      <c r="UEY195" s="56"/>
      <c r="UEZ195" s="56"/>
      <c r="UFA195" s="56"/>
      <c r="UFB195" s="56"/>
      <c r="UFC195" s="56"/>
      <c r="UFD195" s="56"/>
      <c r="UFE195" s="56"/>
      <c r="UFF195" s="56"/>
      <c r="UFG195" s="56"/>
      <c r="UFH195" s="56"/>
      <c r="UFI195" s="56"/>
      <c r="UFJ195" s="56"/>
      <c r="UFK195" s="56"/>
      <c r="UFL195" s="56"/>
      <c r="UFM195" s="56"/>
      <c r="UFN195" s="56"/>
      <c r="UFO195" s="56"/>
      <c r="UFP195" s="56"/>
      <c r="UFQ195" s="56"/>
      <c r="UFR195" s="56"/>
      <c r="UFS195" s="56"/>
      <c r="UFT195" s="56"/>
      <c r="UFU195" s="56"/>
      <c r="UFV195" s="56"/>
      <c r="UFW195" s="56"/>
      <c r="UFX195" s="56"/>
      <c r="UFY195" s="56"/>
      <c r="UFZ195" s="56"/>
      <c r="UGA195" s="56"/>
      <c r="UGB195" s="56"/>
      <c r="UGC195" s="56"/>
      <c r="UGD195" s="56"/>
      <c r="UGE195" s="56"/>
      <c r="UGF195" s="56"/>
      <c r="UGG195" s="56"/>
      <c r="UGH195" s="56"/>
      <c r="UGI195" s="56"/>
      <c r="UGJ195" s="56"/>
      <c r="UGK195" s="56"/>
      <c r="UGL195" s="56"/>
      <c r="UGM195" s="56"/>
      <c r="UGN195" s="56"/>
      <c r="UGO195" s="56"/>
      <c r="UGP195" s="56"/>
      <c r="UGQ195" s="56"/>
      <c r="UGR195" s="56"/>
      <c r="UGS195" s="56"/>
      <c r="UGT195" s="56"/>
      <c r="UGU195" s="56"/>
      <c r="UGV195" s="56"/>
      <c r="UGW195" s="56"/>
      <c r="UGX195" s="56"/>
      <c r="UGY195" s="56"/>
      <c r="UGZ195" s="56"/>
      <c r="UHA195" s="56"/>
      <c r="UHB195" s="56"/>
      <c r="UHC195" s="56"/>
      <c r="UHD195" s="56"/>
      <c r="UHE195" s="56"/>
      <c r="UHF195" s="56"/>
      <c r="UHG195" s="56"/>
      <c r="UHH195" s="56"/>
      <c r="UHI195" s="56"/>
      <c r="UHJ195" s="56"/>
      <c r="UHK195" s="56"/>
      <c r="UHL195" s="56"/>
      <c r="UHM195" s="56"/>
      <c r="UHN195" s="56"/>
      <c r="UHO195" s="56"/>
      <c r="UHP195" s="56"/>
      <c r="UHQ195" s="56"/>
      <c r="UHR195" s="56"/>
      <c r="UHS195" s="56"/>
      <c r="UHT195" s="56"/>
      <c r="UHU195" s="56"/>
      <c r="UHV195" s="56"/>
      <c r="UHW195" s="56"/>
      <c r="UHX195" s="56"/>
      <c r="UHY195" s="56"/>
      <c r="UHZ195" s="56"/>
      <c r="UIA195" s="56"/>
      <c r="UIB195" s="56"/>
      <c r="UIC195" s="56"/>
      <c r="UID195" s="56"/>
      <c r="UIE195" s="56"/>
      <c r="UIF195" s="56"/>
      <c r="UIG195" s="56"/>
      <c r="UIH195" s="56"/>
      <c r="UII195" s="56"/>
      <c r="UIJ195" s="56"/>
      <c r="UIK195" s="56"/>
      <c r="UIL195" s="56"/>
      <c r="UIM195" s="56"/>
      <c r="UIN195" s="56"/>
      <c r="UIO195" s="56"/>
      <c r="UIP195" s="56"/>
      <c r="UIQ195" s="56"/>
      <c r="UIR195" s="56"/>
      <c r="UIS195" s="56"/>
      <c r="UIT195" s="56"/>
      <c r="UIU195" s="56"/>
      <c r="UIV195" s="56"/>
      <c r="UIW195" s="56"/>
      <c r="UIX195" s="56"/>
      <c r="UIY195" s="56"/>
      <c r="UIZ195" s="56"/>
      <c r="UJA195" s="56"/>
      <c r="UJB195" s="56"/>
      <c r="UJC195" s="56"/>
      <c r="UJD195" s="56"/>
      <c r="UJE195" s="56"/>
      <c r="UJF195" s="56"/>
      <c r="UJG195" s="56"/>
      <c r="UJH195" s="56"/>
      <c r="UJI195" s="56"/>
      <c r="UJJ195" s="56"/>
      <c r="UJK195" s="56"/>
      <c r="UJL195" s="56"/>
      <c r="UJM195" s="56"/>
      <c r="UJN195" s="56"/>
      <c r="UJO195" s="56"/>
      <c r="UJP195" s="56"/>
      <c r="UJQ195" s="56"/>
      <c r="UJR195" s="56"/>
      <c r="UJS195" s="56"/>
      <c r="UJT195" s="56"/>
      <c r="UJU195" s="56"/>
      <c r="UJV195" s="56"/>
      <c r="UJW195" s="56"/>
      <c r="UJX195" s="56"/>
      <c r="UJY195" s="56"/>
      <c r="UJZ195" s="56"/>
      <c r="UKA195" s="56"/>
      <c r="UKB195" s="56"/>
      <c r="UKC195" s="56"/>
      <c r="UKD195" s="56"/>
      <c r="UKE195" s="56"/>
      <c r="UKF195" s="56"/>
      <c r="UKG195" s="56"/>
      <c r="UKH195" s="56"/>
      <c r="UKI195" s="56"/>
      <c r="UKJ195" s="56"/>
      <c r="UKK195" s="56"/>
      <c r="UKL195" s="56"/>
      <c r="UKM195" s="56"/>
      <c r="UKN195" s="56"/>
      <c r="UKO195" s="56"/>
      <c r="UKP195" s="56"/>
      <c r="UKQ195" s="56"/>
      <c r="UKR195" s="56"/>
      <c r="UKS195" s="56"/>
      <c r="UKT195" s="56"/>
      <c r="UKU195" s="56"/>
      <c r="UKV195" s="56"/>
      <c r="UKW195" s="56"/>
      <c r="UKX195" s="56"/>
      <c r="UKY195" s="56"/>
      <c r="UKZ195" s="56"/>
      <c r="ULA195" s="56"/>
      <c r="ULB195" s="56"/>
      <c r="ULC195" s="56"/>
      <c r="ULD195" s="56"/>
      <c r="ULE195" s="56"/>
      <c r="ULF195" s="56"/>
      <c r="ULG195" s="56"/>
      <c r="ULH195" s="56"/>
      <c r="ULI195" s="56"/>
      <c r="ULJ195" s="56"/>
      <c r="ULK195" s="56"/>
      <c r="ULL195" s="56"/>
      <c r="ULM195" s="56"/>
      <c r="ULN195" s="56"/>
      <c r="ULO195" s="56"/>
      <c r="ULP195" s="56"/>
      <c r="ULQ195" s="56"/>
      <c r="ULR195" s="56"/>
      <c r="ULS195" s="56"/>
      <c r="ULT195" s="56"/>
      <c r="ULU195" s="56"/>
      <c r="ULV195" s="56"/>
      <c r="ULW195" s="56"/>
      <c r="ULX195" s="56"/>
      <c r="ULY195" s="56"/>
      <c r="ULZ195" s="56"/>
      <c r="UMA195" s="56"/>
      <c r="UMB195" s="56"/>
      <c r="UMC195" s="56"/>
      <c r="UMD195" s="56"/>
      <c r="UME195" s="56"/>
      <c r="UMF195" s="56"/>
      <c r="UMG195" s="56"/>
      <c r="UMH195" s="56"/>
      <c r="UMI195" s="56"/>
      <c r="UMJ195" s="56"/>
      <c r="UMK195" s="56"/>
      <c r="UML195" s="56"/>
      <c r="UMM195" s="56"/>
      <c r="UMN195" s="56"/>
      <c r="UMO195" s="56"/>
      <c r="UMP195" s="56"/>
      <c r="UMQ195" s="56"/>
      <c r="UMR195" s="56"/>
      <c r="UMS195" s="56"/>
      <c r="UMT195" s="56"/>
      <c r="UMU195" s="56"/>
      <c r="UMV195" s="56"/>
      <c r="UMW195" s="56"/>
      <c r="UMX195" s="56"/>
      <c r="UMY195" s="56"/>
      <c r="UMZ195" s="56"/>
      <c r="UNA195" s="56"/>
      <c r="UNB195" s="56"/>
      <c r="UNC195" s="56"/>
      <c r="UND195" s="56"/>
      <c r="UNE195" s="56"/>
      <c r="UNF195" s="56"/>
      <c r="UNG195" s="56"/>
      <c r="UNH195" s="56"/>
      <c r="UNI195" s="56"/>
      <c r="UNJ195" s="56"/>
      <c r="UNK195" s="56"/>
      <c r="UNL195" s="56"/>
      <c r="UNM195" s="56"/>
      <c r="UNN195" s="56"/>
      <c r="UNO195" s="56"/>
      <c r="UNP195" s="56"/>
      <c r="UNQ195" s="56"/>
      <c r="UNR195" s="56"/>
      <c r="UNS195" s="56"/>
      <c r="UNT195" s="56"/>
      <c r="UNU195" s="56"/>
      <c r="UNV195" s="56"/>
      <c r="UNW195" s="56"/>
      <c r="UNX195" s="56"/>
      <c r="UNY195" s="56"/>
      <c r="UNZ195" s="56"/>
      <c r="UOA195" s="56"/>
      <c r="UOB195" s="56"/>
      <c r="UOC195" s="56"/>
      <c r="UOD195" s="56"/>
      <c r="UOE195" s="56"/>
      <c r="UOF195" s="56"/>
      <c r="UOG195" s="56"/>
      <c r="UOH195" s="56"/>
      <c r="UOI195" s="56"/>
      <c r="UOJ195" s="56"/>
      <c r="UOK195" s="56"/>
      <c r="UOL195" s="56"/>
      <c r="UOM195" s="56"/>
      <c r="UON195" s="56"/>
      <c r="UOO195" s="56"/>
      <c r="UOP195" s="56"/>
      <c r="UOQ195" s="56"/>
      <c r="UOR195" s="56"/>
      <c r="UOS195" s="56"/>
      <c r="UOT195" s="56"/>
      <c r="UOU195" s="56"/>
      <c r="UOV195" s="56"/>
      <c r="UOW195" s="56"/>
      <c r="UOX195" s="56"/>
      <c r="UOY195" s="56"/>
      <c r="UOZ195" s="56"/>
      <c r="UPA195" s="56"/>
      <c r="UPB195" s="56"/>
      <c r="UPC195" s="56"/>
      <c r="UPD195" s="56"/>
      <c r="UPE195" s="56"/>
      <c r="UPF195" s="56"/>
      <c r="UPG195" s="56"/>
      <c r="UPH195" s="56"/>
      <c r="UPI195" s="56"/>
      <c r="UPJ195" s="56"/>
      <c r="UPK195" s="56"/>
      <c r="UPL195" s="56"/>
      <c r="UPM195" s="56"/>
      <c r="UPN195" s="56"/>
      <c r="UPO195" s="56"/>
      <c r="UPP195" s="56"/>
      <c r="UPQ195" s="56"/>
      <c r="UPR195" s="56"/>
      <c r="UPS195" s="56"/>
      <c r="UPT195" s="56"/>
      <c r="UPU195" s="56"/>
      <c r="UPV195" s="56"/>
      <c r="UPW195" s="56"/>
      <c r="UPX195" s="56"/>
      <c r="UPY195" s="56"/>
      <c r="UPZ195" s="56"/>
      <c r="UQA195" s="56"/>
      <c r="UQB195" s="56"/>
      <c r="UQC195" s="56"/>
      <c r="UQD195" s="56"/>
      <c r="UQE195" s="56"/>
      <c r="UQF195" s="56"/>
      <c r="UQG195" s="56"/>
      <c r="UQH195" s="56"/>
      <c r="UQI195" s="56"/>
      <c r="UQJ195" s="56"/>
      <c r="UQK195" s="56"/>
      <c r="UQL195" s="56"/>
      <c r="UQM195" s="56"/>
      <c r="UQN195" s="56"/>
      <c r="UQO195" s="56"/>
      <c r="UQP195" s="56"/>
      <c r="UQQ195" s="56"/>
      <c r="UQR195" s="56"/>
      <c r="UQS195" s="56"/>
      <c r="UQT195" s="56"/>
      <c r="UQU195" s="56"/>
      <c r="UQV195" s="56"/>
      <c r="UQW195" s="56"/>
      <c r="UQX195" s="56"/>
      <c r="UQY195" s="56"/>
      <c r="UQZ195" s="56"/>
      <c r="URA195" s="56"/>
      <c r="URB195" s="56"/>
      <c r="URC195" s="56"/>
      <c r="URD195" s="56"/>
      <c r="URE195" s="56"/>
      <c r="URF195" s="56"/>
      <c r="URG195" s="56"/>
      <c r="URH195" s="56"/>
      <c r="URI195" s="56"/>
      <c r="URJ195" s="56"/>
      <c r="URK195" s="56"/>
      <c r="URL195" s="56"/>
      <c r="URM195" s="56"/>
      <c r="URN195" s="56"/>
      <c r="URO195" s="56"/>
      <c r="URP195" s="56"/>
      <c r="URQ195" s="56"/>
      <c r="URR195" s="56"/>
      <c r="URS195" s="56"/>
      <c r="URT195" s="56"/>
      <c r="URU195" s="56"/>
      <c r="URV195" s="56"/>
      <c r="URW195" s="56"/>
      <c r="URX195" s="56"/>
      <c r="URY195" s="56"/>
      <c r="URZ195" s="56"/>
      <c r="USA195" s="56"/>
      <c r="USB195" s="56"/>
      <c r="USC195" s="56"/>
      <c r="USD195" s="56"/>
      <c r="USE195" s="56"/>
      <c r="USF195" s="56"/>
      <c r="USG195" s="56"/>
      <c r="USH195" s="56"/>
      <c r="USI195" s="56"/>
      <c r="USJ195" s="56"/>
      <c r="USK195" s="56"/>
      <c r="USL195" s="56"/>
      <c r="USM195" s="56"/>
      <c r="USN195" s="56"/>
      <c r="USO195" s="56"/>
      <c r="USP195" s="56"/>
      <c r="USQ195" s="56"/>
      <c r="USR195" s="56"/>
      <c r="USS195" s="56"/>
      <c r="UST195" s="56"/>
      <c r="USU195" s="56"/>
      <c r="USV195" s="56"/>
      <c r="USW195" s="56"/>
      <c r="USX195" s="56"/>
      <c r="USY195" s="56"/>
      <c r="USZ195" s="56"/>
      <c r="UTA195" s="56"/>
      <c r="UTB195" s="56"/>
      <c r="UTC195" s="56"/>
      <c r="UTD195" s="56"/>
      <c r="UTE195" s="56"/>
      <c r="UTF195" s="56"/>
      <c r="UTG195" s="56"/>
      <c r="UTH195" s="56"/>
      <c r="UTI195" s="56"/>
      <c r="UTJ195" s="56"/>
      <c r="UTK195" s="56"/>
      <c r="UTL195" s="56"/>
      <c r="UTM195" s="56"/>
      <c r="UTN195" s="56"/>
      <c r="UTO195" s="56"/>
      <c r="UTP195" s="56"/>
      <c r="UTQ195" s="56"/>
      <c r="UTR195" s="56"/>
      <c r="UTS195" s="56"/>
      <c r="UTT195" s="56"/>
      <c r="UTU195" s="56"/>
      <c r="UTV195" s="56"/>
      <c r="UTW195" s="56"/>
      <c r="UTX195" s="56"/>
      <c r="UTY195" s="56"/>
      <c r="UTZ195" s="56"/>
      <c r="UUA195" s="56"/>
      <c r="UUB195" s="56"/>
      <c r="UUC195" s="56"/>
      <c r="UUD195" s="56"/>
      <c r="UUE195" s="56"/>
      <c r="UUF195" s="56"/>
      <c r="UUG195" s="56"/>
      <c r="UUH195" s="56"/>
      <c r="UUI195" s="56"/>
      <c r="UUJ195" s="56"/>
      <c r="UUK195" s="56"/>
      <c r="UUL195" s="56"/>
      <c r="UUM195" s="56"/>
      <c r="UUN195" s="56"/>
      <c r="UUO195" s="56"/>
      <c r="UUP195" s="56"/>
      <c r="UUQ195" s="56"/>
      <c r="UUR195" s="56"/>
      <c r="UUS195" s="56"/>
      <c r="UUT195" s="56"/>
      <c r="UUU195" s="56"/>
      <c r="UUV195" s="56"/>
      <c r="UUW195" s="56"/>
      <c r="UUX195" s="56"/>
      <c r="UUY195" s="56"/>
      <c r="UUZ195" s="56"/>
      <c r="UVA195" s="56"/>
      <c r="UVB195" s="56"/>
      <c r="UVC195" s="56"/>
      <c r="UVD195" s="56"/>
      <c r="UVE195" s="56"/>
      <c r="UVF195" s="56"/>
      <c r="UVG195" s="56"/>
      <c r="UVH195" s="56"/>
      <c r="UVI195" s="56"/>
      <c r="UVJ195" s="56"/>
      <c r="UVK195" s="56"/>
      <c r="UVL195" s="56"/>
      <c r="UVM195" s="56"/>
      <c r="UVN195" s="56"/>
      <c r="UVO195" s="56"/>
      <c r="UVP195" s="56"/>
      <c r="UVQ195" s="56"/>
      <c r="UVR195" s="56"/>
      <c r="UVS195" s="56"/>
      <c r="UVT195" s="56"/>
      <c r="UVU195" s="56"/>
      <c r="UVV195" s="56"/>
      <c r="UVW195" s="56"/>
      <c r="UVX195" s="56"/>
      <c r="UVY195" s="56"/>
      <c r="UVZ195" s="56"/>
      <c r="UWA195" s="56"/>
      <c r="UWB195" s="56"/>
      <c r="UWC195" s="56"/>
      <c r="UWD195" s="56"/>
      <c r="UWE195" s="56"/>
      <c r="UWF195" s="56"/>
      <c r="UWG195" s="56"/>
      <c r="UWH195" s="56"/>
      <c r="UWI195" s="56"/>
      <c r="UWJ195" s="56"/>
      <c r="UWK195" s="56"/>
      <c r="UWL195" s="56"/>
      <c r="UWM195" s="56"/>
      <c r="UWN195" s="56"/>
      <c r="UWO195" s="56"/>
      <c r="UWP195" s="56"/>
      <c r="UWQ195" s="56"/>
      <c r="UWR195" s="56"/>
      <c r="UWS195" s="56"/>
      <c r="UWT195" s="56"/>
      <c r="UWU195" s="56"/>
      <c r="UWV195" s="56"/>
      <c r="UWW195" s="56"/>
      <c r="UWX195" s="56"/>
      <c r="UWY195" s="56"/>
      <c r="UWZ195" s="56"/>
      <c r="UXA195" s="56"/>
      <c r="UXB195" s="56"/>
      <c r="UXC195" s="56"/>
      <c r="UXD195" s="56"/>
      <c r="UXE195" s="56"/>
      <c r="UXF195" s="56"/>
      <c r="UXG195" s="56"/>
      <c r="UXH195" s="56"/>
      <c r="UXI195" s="56"/>
      <c r="UXJ195" s="56"/>
      <c r="UXK195" s="56"/>
      <c r="UXL195" s="56"/>
      <c r="UXM195" s="56"/>
      <c r="UXN195" s="56"/>
      <c r="UXO195" s="56"/>
      <c r="UXP195" s="56"/>
      <c r="UXQ195" s="56"/>
      <c r="UXR195" s="56"/>
      <c r="UXS195" s="56"/>
      <c r="UXT195" s="56"/>
      <c r="UXU195" s="56"/>
      <c r="UXV195" s="56"/>
      <c r="UXW195" s="56"/>
      <c r="UXX195" s="56"/>
      <c r="UXY195" s="56"/>
      <c r="UXZ195" s="56"/>
      <c r="UYA195" s="56"/>
      <c r="UYB195" s="56"/>
      <c r="UYC195" s="56"/>
      <c r="UYD195" s="56"/>
      <c r="UYE195" s="56"/>
      <c r="UYF195" s="56"/>
      <c r="UYG195" s="56"/>
      <c r="UYH195" s="56"/>
      <c r="UYI195" s="56"/>
      <c r="UYJ195" s="56"/>
      <c r="UYK195" s="56"/>
      <c r="UYL195" s="56"/>
      <c r="UYM195" s="56"/>
      <c r="UYN195" s="56"/>
      <c r="UYO195" s="56"/>
      <c r="UYP195" s="56"/>
      <c r="UYQ195" s="56"/>
      <c r="UYR195" s="56"/>
      <c r="UYS195" s="56"/>
      <c r="UYT195" s="56"/>
      <c r="UYU195" s="56"/>
      <c r="UYV195" s="56"/>
      <c r="UYW195" s="56"/>
      <c r="UYX195" s="56"/>
      <c r="UYY195" s="56"/>
      <c r="UYZ195" s="56"/>
      <c r="UZA195" s="56"/>
      <c r="UZB195" s="56"/>
      <c r="UZC195" s="56"/>
      <c r="UZD195" s="56"/>
      <c r="UZE195" s="56"/>
      <c r="UZF195" s="56"/>
      <c r="UZG195" s="56"/>
      <c r="UZH195" s="56"/>
      <c r="UZI195" s="56"/>
      <c r="UZJ195" s="56"/>
      <c r="UZK195" s="56"/>
      <c r="UZL195" s="56"/>
      <c r="UZM195" s="56"/>
      <c r="UZN195" s="56"/>
      <c r="UZO195" s="56"/>
      <c r="UZP195" s="56"/>
      <c r="UZQ195" s="56"/>
      <c r="UZR195" s="56"/>
      <c r="UZS195" s="56"/>
      <c r="UZT195" s="56"/>
      <c r="UZU195" s="56"/>
      <c r="UZV195" s="56"/>
      <c r="UZW195" s="56"/>
      <c r="UZX195" s="56"/>
      <c r="UZY195" s="56"/>
      <c r="UZZ195" s="56"/>
      <c r="VAA195" s="56"/>
      <c r="VAB195" s="56"/>
      <c r="VAC195" s="56"/>
      <c r="VAD195" s="56"/>
      <c r="VAE195" s="56"/>
      <c r="VAF195" s="56"/>
      <c r="VAG195" s="56"/>
      <c r="VAH195" s="56"/>
      <c r="VAI195" s="56"/>
      <c r="VAJ195" s="56"/>
      <c r="VAK195" s="56"/>
      <c r="VAL195" s="56"/>
      <c r="VAM195" s="56"/>
      <c r="VAN195" s="56"/>
      <c r="VAO195" s="56"/>
      <c r="VAP195" s="56"/>
      <c r="VAQ195" s="56"/>
      <c r="VAR195" s="56"/>
      <c r="VAS195" s="56"/>
      <c r="VAT195" s="56"/>
      <c r="VAU195" s="56"/>
      <c r="VAV195" s="56"/>
      <c r="VAW195" s="56"/>
      <c r="VAX195" s="56"/>
      <c r="VAY195" s="56"/>
      <c r="VAZ195" s="56"/>
      <c r="VBA195" s="56"/>
      <c r="VBB195" s="56"/>
      <c r="VBC195" s="56"/>
      <c r="VBD195" s="56"/>
      <c r="VBE195" s="56"/>
      <c r="VBF195" s="56"/>
      <c r="VBG195" s="56"/>
      <c r="VBH195" s="56"/>
      <c r="VBI195" s="56"/>
      <c r="VBJ195" s="56"/>
      <c r="VBK195" s="56"/>
      <c r="VBL195" s="56"/>
      <c r="VBM195" s="56"/>
      <c r="VBN195" s="56"/>
      <c r="VBO195" s="56"/>
      <c r="VBP195" s="56"/>
      <c r="VBQ195" s="56"/>
      <c r="VBR195" s="56"/>
      <c r="VBS195" s="56"/>
      <c r="VBT195" s="56"/>
      <c r="VBU195" s="56"/>
      <c r="VBV195" s="56"/>
      <c r="VBW195" s="56"/>
      <c r="VBX195" s="56"/>
      <c r="VBY195" s="56"/>
      <c r="VBZ195" s="56"/>
      <c r="VCA195" s="56"/>
      <c r="VCB195" s="56"/>
      <c r="VCC195" s="56"/>
      <c r="VCD195" s="56"/>
      <c r="VCE195" s="56"/>
      <c r="VCF195" s="56"/>
      <c r="VCG195" s="56"/>
      <c r="VCH195" s="56"/>
      <c r="VCI195" s="56"/>
      <c r="VCJ195" s="56"/>
      <c r="VCK195" s="56"/>
      <c r="VCL195" s="56"/>
      <c r="VCM195" s="56"/>
      <c r="VCN195" s="56"/>
      <c r="VCO195" s="56"/>
      <c r="VCP195" s="56"/>
      <c r="VCQ195" s="56"/>
      <c r="VCR195" s="56"/>
      <c r="VCS195" s="56"/>
      <c r="VCT195" s="56"/>
      <c r="VCU195" s="56"/>
      <c r="VCV195" s="56"/>
      <c r="VCW195" s="56"/>
      <c r="VCX195" s="56"/>
      <c r="VCY195" s="56"/>
      <c r="VCZ195" s="56"/>
      <c r="VDA195" s="56"/>
      <c r="VDB195" s="56"/>
      <c r="VDC195" s="56"/>
      <c r="VDD195" s="56"/>
      <c r="VDE195" s="56"/>
      <c r="VDF195" s="56"/>
      <c r="VDG195" s="56"/>
      <c r="VDH195" s="56"/>
      <c r="VDI195" s="56"/>
      <c r="VDJ195" s="56"/>
      <c r="VDK195" s="56"/>
      <c r="VDL195" s="56"/>
      <c r="VDM195" s="56"/>
      <c r="VDN195" s="56"/>
      <c r="VDO195" s="56"/>
      <c r="VDP195" s="56"/>
      <c r="VDQ195" s="56"/>
      <c r="VDR195" s="56"/>
      <c r="VDS195" s="56"/>
      <c r="VDT195" s="56"/>
      <c r="VDU195" s="56"/>
      <c r="VDV195" s="56"/>
      <c r="VDW195" s="56"/>
      <c r="VDX195" s="56"/>
      <c r="VDY195" s="56"/>
      <c r="VDZ195" s="56"/>
      <c r="VEA195" s="56"/>
      <c r="VEB195" s="56"/>
      <c r="VEC195" s="56"/>
      <c r="VED195" s="56"/>
      <c r="VEE195" s="56"/>
      <c r="VEF195" s="56"/>
      <c r="VEG195" s="56"/>
      <c r="VEH195" s="56"/>
      <c r="VEI195" s="56"/>
      <c r="VEJ195" s="56"/>
      <c r="VEK195" s="56"/>
      <c r="VEL195" s="56"/>
      <c r="VEM195" s="56"/>
      <c r="VEN195" s="56"/>
      <c r="VEO195" s="56"/>
      <c r="VEP195" s="56"/>
      <c r="VEQ195" s="56"/>
      <c r="VER195" s="56"/>
      <c r="VES195" s="56"/>
      <c r="VET195" s="56"/>
      <c r="VEU195" s="56"/>
      <c r="VEV195" s="56"/>
      <c r="VEW195" s="56"/>
      <c r="VEX195" s="56"/>
      <c r="VEY195" s="56"/>
      <c r="VEZ195" s="56"/>
      <c r="VFA195" s="56"/>
      <c r="VFB195" s="56"/>
      <c r="VFC195" s="56"/>
      <c r="VFD195" s="56"/>
      <c r="VFE195" s="56"/>
      <c r="VFF195" s="56"/>
      <c r="VFG195" s="56"/>
      <c r="VFH195" s="56"/>
      <c r="VFI195" s="56"/>
      <c r="VFJ195" s="56"/>
      <c r="VFK195" s="56"/>
      <c r="VFL195" s="56"/>
      <c r="VFM195" s="56"/>
      <c r="VFN195" s="56"/>
      <c r="VFO195" s="56"/>
      <c r="VFP195" s="56"/>
      <c r="VFQ195" s="56"/>
      <c r="VFR195" s="56"/>
      <c r="VFS195" s="56"/>
      <c r="VFT195" s="56"/>
      <c r="VFU195" s="56"/>
      <c r="VFV195" s="56"/>
      <c r="VFW195" s="56"/>
      <c r="VFX195" s="56"/>
      <c r="VFY195" s="56"/>
      <c r="VFZ195" s="56"/>
      <c r="VGA195" s="56"/>
      <c r="VGB195" s="56"/>
      <c r="VGC195" s="56"/>
      <c r="VGD195" s="56"/>
      <c r="VGE195" s="56"/>
      <c r="VGF195" s="56"/>
      <c r="VGG195" s="56"/>
      <c r="VGH195" s="56"/>
      <c r="VGI195" s="56"/>
      <c r="VGJ195" s="56"/>
      <c r="VGK195" s="56"/>
      <c r="VGL195" s="56"/>
      <c r="VGM195" s="56"/>
      <c r="VGN195" s="56"/>
      <c r="VGO195" s="56"/>
      <c r="VGP195" s="56"/>
      <c r="VGQ195" s="56"/>
      <c r="VGR195" s="56"/>
      <c r="VGS195" s="56"/>
      <c r="VGT195" s="56"/>
      <c r="VGU195" s="56"/>
      <c r="VGV195" s="56"/>
      <c r="VGW195" s="56"/>
      <c r="VGX195" s="56"/>
      <c r="VGY195" s="56"/>
      <c r="VGZ195" s="56"/>
      <c r="VHA195" s="56"/>
      <c r="VHB195" s="56"/>
      <c r="VHC195" s="56"/>
      <c r="VHD195" s="56"/>
      <c r="VHE195" s="56"/>
      <c r="VHF195" s="56"/>
      <c r="VHG195" s="56"/>
      <c r="VHH195" s="56"/>
      <c r="VHI195" s="56"/>
      <c r="VHJ195" s="56"/>
      <c r="VHK195" s="56"/>
      <c r="VHL195" s="56"/>
      <c r="VHM195" s="56"/>
      <c r="VHN195" s="56"/>
      <c r="VHO195" s="56"/>
      <c r="VHP195" s="56"/>
      <c r="VHQ195" s="56"/>
      <c r="VHR195" s="56"/>
      <c r="VHS195" s="56"/>
      <c r="VHT195" s="56"/>
      <c r="VHU195" s="56"/>
      <c r="VHV195" s="56"/>
      <c r="VHW195" s="56"/>
      <c r="VHX195" s="56"/>
      <c r="VHY195" s="56"/>
      <c r="VHZ195" s="56"/>
      <c r="VIA195" s="56"/>
      <c r="VIB195" s="56"/>
      <c r="VIC195" s="56"/>
      <c r="VID195" s="56"/>
      <c r="VIE195" s="56"/>
      <c r="VIF195" s="56"/>
      <c r="VIG195" s="56"/>
      <c r="VIH195" s="56"/>
      <c r="VII195" s="56"/>
      <c r="VIJ195" s="56"/>
      <c r="VIK195" s="56"/>
      <c r="VIL195" s="56"/>
      <c r="VIM195" s="56"/>
      <c r="VIN195" s="56"/>
      <c r="VIO195" s="56"/>
      <c r="VIP195" s="56"/>
      <c r="VIQ195" s="56"/>
      <c r="VIR195" s="56"/>
      <c r="VIS195" s="56"/>
      <c r="VIT195" s="56"/>
      <c r="VIU195" s="56"/>
      <c r="VIV195" s="56"/>
      <c r="VIW195" s="56"/>
      <c r="VIX195" s="56"/>
      <c r="VIY195" s="56"/>
      <c r="VIZ195" s="56"/>
      <c r="VJA195" s="56"/>
      <c r="VJB195" s="56"/>
      <c r="VJC195" s="56"/>
      <c r="VJD195" s="56"/>
      <c r="VJE195" s="56"/>
      <c r="VJF195" s="56"/>
      <c r="VJG195" s="56"/>
      <c r="VJH195" s="56"/>
      <c r="VJI195" s="56"/>
      <c r="VJJ195" s="56"/>
      <c r="VJK195" s="56"/>
      <c r="VJL195" s="56"/>
      <c r="VJM195" s="56"/>
      <c r="VJN195" s="56"/>
      <c r="VJO195" s="56"/>
      <c r="VJP195" s="56"/>
      <c r="VJQ195" s="56"/>
      <c r="VJR195" s="56"/>
      <c r="VJS195" s="56"/>
      <c r="VJT195" s="56"/>
      <c r="VJU195" s="56"/>
      <c r="VJV195" s="56"/>
      <c r="VJW195" s="56"/>
      <c r="VJX195" s="56"/>
      <c r="VJY195" s="56"/>
      <c r="VJZ195" s="56"/>
      <c r="VKA195" s="56"/>
      <c r="VKB195" s="56"/>
      <c r="VKC195" s="56"/>
      <c r="VKD195" s="56"/>
      <c r="VKE195" s="56"/>
      <c r="VKF195" s="56"/>
      <c r="VKG195" s="56"/>
      <c r="VKH195" s="56"/>
      <c r="VKI195" s="56"/>
      <c r="VKJ195" s="56"/>
      <c r="VKK195" s="56"/>
      <c r="VKL195" s="56"/>
      <c r="VKM195" s="56"/>
      <c r="VKN195" s="56"/>
      <c r="VKO195" s="56"/>
      <c r="VKP195" s="56"/>
      <c r="VKQ195" s="56"/>
      <c r="VKR195" s="56"/>
      <c r="VKS195" s="56"/>
      <c r="VKT195" s="56"/>
      <c r="VKU195" s="56"/>
      <c r="VKV195" s="56"/>
      <c r="VKW195" s="56"/>
      <c r="VKX195" s="56"/>
      <c r="VKY195" s="56"/>
      <c r="VKZ195" s="56"/>
      <c r="VLA195" s="56"/>
      <c r="VLB195" s="56"/>
      <c r="VLC195" s="56"/>
      <c r="VLD195" s="56"/>
      <c r="VLE195" s="56"/>
      <c r="VLF195" s="56"/>
      <c r="VLG195" s="56"/>
      <c r="VLH195" s="56"/>
      <c r="VLI195" s="56"/>
      <c r="VLJ195" s="56"/>
      <c r="VLK195" s="56"/>
      <c r="VLL195" s="56"/>
      <c r="VLM195" s="56"/>
      <c r="VLN195" s="56"/>
      <c r="VLO195" s="56"/>
      <c r="VLP195" s="56"/>
      <c r="VLQ195" s="56"/>
      <c r="VLR195" s="56"/>
      <c r="VLS195" s="56"/>
      <c r="VLT195" s="56"/>
      <c r="VLU195" s="56"/>
      <c r="VLV195" s="56"/>
      <c r="VLW195" s="56"/>
      <c r="VLX195" s="56"/>
      <c r="VLY195" s="56"/>
      <c r="VLZ195" s="56"/>
      <c r="VMA195" s="56"/>
      <c r="VMB195" s="56"/>
      <c r="VMC195" s="56"/>
      <c r="VMD195" s="56"/>
      <c r="VME195" s="56"/>
      <c r="VMF195" s="56"/>
      <c r="VMG195" s="56"/>
      <c r="VMH195" s="56"/>
      <c r="VMI195" s="56"/>
      <c r="VMJ195" s="56"/>
      <c r="VMK195" s="56"/>
      <c r="VML195" s="56"/>
      <c r="VMM195" s="56"/>
      <c r="VMN195" s="56"/>
      <c r="VMO195" s="56"/>
      <c r="VMP195" s="56"/>
      <c r="VMQ195" s="56"/>
      <c r="VMR195" s="56"/>
      <c r="VMS195" s="56"/>
      <c r="VMT195" s="56"/>
      <c r="VMU195" s="56"/>
      <c r="VMV195" s="56"/>
      <c r="VMW195" s="56"/>
      <c r="VMX195" s="56"/>
      <c r="VMY195" s="56"/>
      <c r="VMZ195" s="56"/>
      <c r="VNA195" s="56"/>
      <c r="VNB195" s="56"/>
      <c r="VNC195" s="56"/>
      <c r="VND195" s="56"/>
      <c r="VNE195" s="56"/>
      <c r="VNF195" s="56"/>
      <c r="VNG195" s="56"/>
      <c r="VNH195" s="56"/>
      <c r="VNI195" s="56"/>
      <c r="VNJ195" s="56"/>
      <c r="VNK195" s="56"/>
      <c r="VNL195" s="56"/>
      <c r="VNM195" s="56"/>
      <c r="VNN195" s="56"/>
      <c r="VNO195" s="56"/>
      <c r="VNP195" s="56"/>
      <c r="VNQ195" s="56"/>
      <c r="VNR195" s="56"/>
      <c r="VNS195" s="56"/>
      <c r="VNT195" s="56"/>
      <c r="VNU195" s="56"/>
      <c r="VNV195" s="56"/>
      <c r="VNW195" s="56"/>
      <c r="VNX195" s="56"/>
      <c r="VNY195" s="56"/>
      <c r="VNZ195" s="56"/>
      <c r="VOA195" s="56"/>
      <c r="VOB195" s="56"/>
      <c r="VOC195" s="56"/>
      <c r="VOD195" s="56"/>
      <c r="VOE195" s="56"/>
      <c r="VOF195" s="56"/>
      <c r="VOG195" s="56"/>
      <c r="VOH195" s="56"/>
      <c r="VOI195" s="56"/>
      <c r="VOJ195" s="56"/>
      <c r="VOK195" s="56"/>
      <c r="VOL195" s="56"/>
      <c r="VOM195" s="56"/>
      <c r="VON195" s="56"/>
      <c r="VOO195" s="56"/>
      <c r="VOP195" s="56"/>
      <c r="VOQ195" s="56"/>
      <c r="VOR195" s="56"/>
      <c r="VOS195" s="56"/>
      <c r="VOT195" s="56"/>
      <c r="VOU195" s="56"/>
      <c r="VOV195" s="56"/>
      <c r="VOW195" s="56"/>
      <c r="VOX195" s="56"/>
      <c r="VOY195" s="56"/>
      <c r="VOZ195" s="56"/>
      <c r="VPA195" s="56"/>
      <c r="VPB195" s="56"/>
      <c r="VPC195" s="56"/>
      <c r="VPD195" s="56"/>
      <c r="VPE195" s="56"/>
      <c r="VPF195" s="56"/>
      <c r="VPG195" s="56"/>
      <c r="VPH195" s="56"/>
      <c r="VPI195" s="56"/>
      <c r="VPJ195" s="56"/>
      <c r="VPK195" s="56"/>
      <c r="VPL195" s="56"/>
      <c r="VPM195" s="56"/>
      <c r="VPN195" s="56"/>
      <c r="VPO195" s="56"/>
      <c r="VPP195" s="56"/>
      <c r="VPQ195" s="56"/>
      <c r="VPR195" s="56"/>
      <c r="VPS195" s="56"/>
      <c r="VPT195" s="56"/>
      <c r="VPU195" s="56"/>
      <c r="VPV195" s="56"/>
      <c r="VPW195" s="56"/>
      <c r="VPX195" s="56"/>
      <c r="VPY195" s="56"/>
      <c r="VPZ195" s="56"/>
      <c r="VQA195" s="56"/>
      <c r="VQB195" s="56"/>
      <c r="VQC195" s="56"/>
      <c r="VQD195" s="56"/>
      <c r="VQE195" s="56"/>
      <c r="VQF195" s="56"/>
      <c r="VQG195" s="56"/>
      <c r="VQH195" s="56"/>
      <c r="VQI195" s="56"/>
      <c r="VQJ195" s="56"/>
      <c r="VQK195" s="56"/>
      <c r="VQL195" s="56"/>
      <c r="VQM195" s="56"/>
      <c r="VQN195" s="56"/>
      <c r="VQO195" s="56"/>
      <c r="VQP195" s="56"/>
      <c r="VQQ195" s="56"/>
      <c r="VQR195" s="56"/>
      <c r="VQS195" s="56"/>
      <c r="VQT195" s="56"/>
      <c r="VQU195" s="56"/>
      <c r="VQV195" s="56"/>
      <c r="VQW195" s="56"/>
      <c r="VQX195" s="56"/>
      <c r="VQY195" s="56"/>
      <c r="VQZ195" s="56"/>
      <c r="VRA195" s="56"/>
      <c r="VRB195" s="56"/>
      <c r="VRC195" s="56"/>
      <c r="VRD195" s="56"/>
      <c r="VRE195" s="56"/>
      <c r="VRF195" s="56"/>
      <c r="VRG195" s="56"/>
      <c r="VRH195" s="56"/>
      <c r="VRI195" s="56"/>
      <c r="VRJ195" s="56"/>
      <c r="VRK195" s="56"/>
      <c r="VRL195" s="56"/>
      <c r="VRM195" s="56"/>
      <c r="VRN195" s="56"/>
      <c r="VRO195" s="56"/>
      <c r="VRP195" s="56"/>
      <c r="VRQ195" s="56"/>
      <c r="VRR195" s="56"/>
      <c r="VRS195" s="56"/>
      <c r="VRT195" s="56"/>
      <c r="VRU195" s="56"/>
      <c r="VRV195" s="56"/>
      <c r="VRW195" s="56"/>
      <c r="VRX195" s="56"/>
      <c r="VRY195" s="56"/>
      <c r="VRZ195" s="56"/>
      <c r="VSA195" s="56"/>
      <c r="VSB195" s="56"/>
      <c r="VSC195" s="56"/>
      <c r="VSD195" s="56"/>
      <c r="VSE195" s="56"/>
      <c r="VSF195" s="56"/>
      <c r="VSG195" s="56"/>
      <c r="VSH195" s="56"/>
      <c r="VSI195" s="56"/>
      <c r="VSJ195" s="56"/>
      <c r="VSK195" s="56"/>
      <c r="VSL195" s="56"/>
      <c r="VSM195" s="56"/>
      <c r="VSN195" s="56"/>
      <c r="VSO195" s="56"/>
      <c r="VSP195" s="56"/>
      <c r="VSQ195" s="56"/>
      <c r="VSR195" s="56"/>
      <c r="VSS195" s="56"/>
      <c r="VST195" s="56"/>
      <c r="VSU195" s="56"/>
      <c r="VSV195" s="56"/>
      <c r="VSW195" s="56"/>
      <c r="VSX195" s="56"/>
      <c r="VSY195" s="56"/>
      <c r="VSZ195" s="56"/>
      <c r="VTA195" s="56"/>
      <c r="VTB195" s="56"/>
      <c r="VTC195" s="56"/>
      <c r="VTD195" s="56"/>
      <c r="VTE195" s="56"/>
      <c r="VTF195" s="56"/>
      <c r="VTG195" s="56"/>
      <c r="VTH195" s="56"/>
      <c r="VTI195" s="56"/>
      <c r="VTJ195" s="56"/>
      <c r="VTK195" s="56"/>
      <c r="VTL195" s="56"/>
      <c r="VTM195" s="56"/>
      <c r="VTN195" s="56"/>
      <c r="VTO195" s="56"/>
      <c r="VTP195" s="56"/>
      <c r="VTQ195" s="56"/>
      <c r="VTR195" s="56"/>
      <c r="VTS195" s="56"/>
      <c r="VTT195" s="56"/>
      <c r="VTU195" s="56"/>
      <c r="VTV195" s="56"/>
      <c r="VTW195" s="56"/>
      <c r="VTX195" s="56"/>
      <c r="VTY195" s="56"/>
      <c r="VTZ195" s="56"/>
      <c r="VUA195" s="56"/>
      <c r="VUB195" s="56"/>
      <c r="VUC195" s="56"/>
      <c r="VUD195" s="56"/>
      <c r="VUE195" s="56"/>
      <c r="VUF195" s="56"/>
      <c r="VUG195" s="56"/>
      <c r="VUH195" s="56"/>
      <c r="VUI195" s="56"/>
      <c r="VUJ195" s="56"/>
      <c r="VUK195" s="56"/>
      <c r="VUL195" s="56"/>
      <c r="VUM195" s="56"/>
      <c r="VUN195" s="56"/>
      <c r="VUO195" s="56"/>
      <c r="VUP195" s="56"/>
      <c r="VUQ195" s="56"/>
      <c r="VUR195" s="56"/>
      <c r="VUS195" s="56"/>
      <c r="VUT195" s="56"/>
      <c r="VUU195" s="56"/>
      <c r="VUV195" s="56"/>
      <c r="VUW195" s="56"/>
      <c r="VUX195" s="56"/>
      <c r="VUY195" s="56"/>
      <c r="VUZ195" s="56"/>
      <c r="VVA195" s="56"/>
      <c r="VVB195" s="56"/>
      <c r="VVC195" s="56"/>
      <c r="VVD195" s="56"/>
      <c r="VVE195" s="56"/>
      <c r="VVF195" s="56"/>
      <c r="VVG195" s="56"/>
      <c r="VVH195" s="56"/>
      <c r="VVI195" s="56"/>
      <c r="VVJ195" s="56"/>
      <c r="VVK195" s="56"/>
      <c r="VVL195" s="56"/>
      <c r="VVM195" s="56"/>
      <c r="VVN195" s="56"/>
      <c r="VVO195" s="56"/>
      <c r="VVP195" s="56"/>
      <c r="VVQ195" s="56"/>
      <c r="VVR195" s="56"/>
      <c r="VVS195" s="56"/>
      <c r="VVT195" s="56"/>
      <c r="VVU195" s="56"/>
      <c r="VVV195" s="56"/>
      <c r="VVW195" s="56"/>
      <c r="VVX195" s="56"/>
      <c r="VVY195" s="56"/>
      <c r="VVZ195" s="56"/>
      <c r="VWA195" s="56"/>
      <c r="VWB195" s="56"/>
      <c r="VWC195" s="56"/>
      <c r="VWD195" s="56"/>
      <c r="VWE195" s="56"/>
      <c r="VWF195" s="56"/>
      <c r="VWG195" s="56"/>
      <c r="VWH195" s="56"/>
      <c r="VWI195" s="56"/>
      <c r="VWJ195" s="56"/>
      <c r="VWK195" s="56"/>
      <c r="VWL195" s="56"/>
      <c r="VWM195" s="56"/>
      <c r="VWN195" s="56"/>
      <c r="VWO195" s="56"/>
      <c r="VWP195" s="56"/>
      <c r="VWQ195" s="56"/>
      <c r="VWR195" s="56"/>
      <c r="VWS195" s="56"/>
      <c r="VWT195" s="56"/>
      <c r="VWU195" s="56"/>
      <c r="VWV195" s="56"/>
      <c r="VWW195" s="56"/>
      <c r="VWX195" s="56"/>
      <c r="VWY195" s="56"/>
      <c r="VWZ195" s="56"/>
      <c r="VXA195" s="56"/>
      <c r="VXB195" s="56"/>
      <c r="VXC195" s="56"/>
      <c r="VXD195" s="56"/>
      <c r="VXE195" s="56"/>
      <c r="VXF195" s="56"/>
      <c r="VXG195" s="56"/>
      <c r="VXH195" s="56"/>
      <c r="VXI195" s="56"/>
      <c r="VXJ195" s="56"/>
      <c r="VXK195" s="56"/>
      <c r="VXL195" s="56"/>
      <c r="VXM195" s="56"/>
      <c r="VXN195" s="56"/>
      <c r="VXO195" s="56"/>
      <c r="VXP195" s="56"/>
      <c r="VXQ195" s="56"/>
      <c r="VXR195" s="56"/>
      <c r="VXS195" s="56"/>
      <c r="VXT195" s="56"/>
      <c r="VXU195" s="56"/>
      <c r="VXV195" s="56"/>
      <c r="VXW195" s="56"/>
      <c r="VXX195" s="56"/>
      <c r="VXY195" s="56"/>
      <c r="VXZ195" s="56"/>
      <c r="VYA195" s="56"/>
      <c r="VYB195" s="56"/>
      <c r="VYC195" s="56"/>
      <c r="VYD195" s="56"/>
      <c r="VYE195" s="56"/>
      <c r="VYF195" s="56"/>
      <c r="VYG195" s="56"/>
      <c r="VYH195" s="56"/>
      <c r="VYI195" s="56"/>
      <c r="VYJ195" s="56"/>
      <c r="VYK195" s="56"/>
      <c r="VYL195" s="56"/>
      <c r="VYM195" s="56"/>
      <c r="VYN195" s="56"/>
      <c r="VYO195" s="56"/>
      <c r="VYP195" s="56"/>
      <c r="VYQ195" s="56"/>
      <c r="VYR195" s="56"/>
      <c r="VYS195" s="56"/>
      <c r="VYT195" s="56"/>
      <c r="VYU195" s="56"/>
      <c r="VYV195" s="56"/>
      <c r="VYW195" s="56"/>
      <c r="VYX195" s="56"/>
      <c r="VYY195" s="56"/>
      <c r="VYZ195" s="56"/>
      <c r="VZA195" s="56"/>
      <c r="VZB195" s="56"/>
      <c r="VZC195" s="56"/>
      <c r="VZD195" s="56"/>
      <c r="VZE195" s="56"/>
      <c r="VZF195" s="56"/>
      <c r="VZG195" s="56"/>
      <c r="VZH195" s="56"/>
      <c r="VZI195" s="56"/>
      <c r="VZJ195" s="56"/>
      <c r="VZK195" s="56"/>
      <c r="VZL195" s="56"/>
      <c r="VZM195" s="56"/>
      <c r="VZN195" s="56"/>
      <c r="VZO195" s="56"/>
      <c r="VZP195" s="56"/>
      <c r="VZQ195" s="56"/>
      <c r="VZR195" s="56"/>
      <c r="VZS195" s="56"/>
      <c r="VZT195" s="56"/>
      <c r="VZU195" s="56"/>
      <c r="VZV195" s="56"/>
      <c r="VZW195" s="56"/>
      <c r="VZX195" s="56"/>
      <c r="VZY195" s="56"/>
      <c r="VZZ195" s="56"/>
      <c r="WAA195" s="56"/>
      <c r="WAB195" s="56"/>
      <c r="WAC195" s="56"/>
      <c r="WAD195" s="56"/>
      <c r="WAE195" s="56"/>
      <c r="WAF195" s="56"/>
      <c r="WAG195" s="56"/>
      <c r="WAH195" s="56"/>
      <c r="WAI195" s="56"/>
      <c r="WAJ195" s="56"/>
      <c r="WAK195" s="56"/>
      <c r="WAL195" s="56"/>
      <c r="WAM195" s="56"/>
      <c r="WAN195" s="56"/>
      <c r="WAO195" s="56"/>
      <c r="WAP195" s="56"/>
      <c r="WAQ195" s="56"/>
      <c r="WAR195" s="56"/>
      <c r="WAS195" s="56"/>
      <c r="WAT195" s="56"/>
      <c r="WAU195" s="56"/>
      <c r="WAV195" s="56"/>
      <c r="WAW195" s="56"/>
      <c r="WAX195" s="56"/>
      <c r="WAY195" s="56"/>
      <c r="WAZ195" s="56"/>
      <c r="WBA195" s="56"/>
      <c r="WBB195" s="56"/>
      <c r="WBC195" s="56"/>
      <c r="WBD195" s="56"/>
      <c r="WBE195" s="56"/>
      <c r="WBF195" s="56"/>
      <c r="WBG195" s="56"/>
      <c r="WBH195" s="56"/>
      <c r="WBI195" s="56"/>
      <c r="WBJ195" s="56"/>
      <c r="WBK195" s="56"/>
      <c r="WBL195" s="56"/>
      <c r="WBM195" s="56"/>
      <c r="WBN195" s="56"/>
      <c r="WBO195" s="56"/>
      <c r="WBP195" s="56"/>
      <c r="WBQ195" s="56"/>
      <c r="WBR195" s="56"/>
      <c r="WBS195" s="56"/>
      <c r="WBT195" s="56"/>
      <c r="WBU195" s="56"/>
      <c r="WBV195" s="56"/>
      <c r="WBW195" s="56"/>
      <c r="WBX195" s="56"/>
      <c r="WBY195" s="56"/>
      <c r="WBZ195" s="56"/>
      <c r="WCA195" s="56"/>
      <c r="WCB195" s="56"/>
      <c r="WCC195" s="56"/>
      <c r="WCD195" s="56"/>
      <c r="WCE195" s="56"/>
      <c r="WCF195" s="56"/>
      <c r="WCG195" s="56"/>
      <c r="WCH195" s="56"/>
      <c r="WCI195" s="56"/>
      <c r="WCJ195" s="56"/>
      <c r="WCK195" s="56"/>
      <c r="WCL195" s="56"/>
      <c r="WCM195" s="56"/>
      <c r="WCN195" s="56"/>
      <c r="WCO195" s="56"/>
      <c r="WCP195" s="56"/>
      <c r="WCQ195" s="56"/>
      <c r="WCR195" s="56"/>
      <c r="WCS195" s="56"/>
      <c r="WCT195" s="56"/>
      <c r="WCU195" s="56"/>
      <c r="WCV195" s="56"/>
      <c r="WCW195" s="56"/>
      <c r="WCX195" s="56"/>
      <c r="WCY195" s="56"/>
      <c r="WCZ195" s="56"/>
      <c r="WDA195" s="56"/>
      <c r="WDB195" s="56"/>
      <c r="WDC195" s="56"/>
      <c r="WDD195" s="56"/>
      <c r="WDE195" s="56"/>
      <c r="WDF195" s="56"/>
      <c r="WDG195" s="56"/>
      <c r="WDH195" s="56"/>
      <c r="WDI195" s="56"/>
      <c r="WDJ195" s="56"/>
      <c r="WDK195" s="56"/>
      <c r="WDL195" s="56"/>
      <c r="WDM195" s="56"/>
      <c r="WDN195" s="56"/>
      <c r="WDO195" s="56"/>
      <c r="WDP195" s="56"/>
      <c r="WDQ195" s="56"/>
      <c r="WDR195" s="56"/>
      <c r="WDS195" s="56"/>
      <c r="WDT195" s="56"/>
      <c r="WDU195" s="56"/>
      <c r="WDV195" s="56"/>
      <c r="WDW195" s="56"/>
      <c r="WDX195" s="56"/>
      <c r="WDY195" s="56"/>
      <c r="WDZ195" s="56"/>
      <c r="WEA195" s="56"/>
      <c r="WEB195" s="56"/>
      <c r="WEC195" s="56"/>
      <c r="WED195" s="56"/>
      <c r="WEE195" s="56"/>
      <c r="WEF195" s="56"/>
      <c r="WEG195" s="56"/>
      <c r="WEH195" s="56"/>
      <c r="WEI195" s="56"/>
      <c r="WEJ195" s="56"/>
      <c r="WEK195" s="56"/>
      <c r="WEL195" s="56"/>
      <c r="WEM195" s="56"/>
      <c r="WEN195" s="56"/>
      <c r="WEO195" s="56"/>
      <c r="WEP195" s="56"/>
      <c r="WEQ195" s="56"/>
      <c r="WER195" s="56"/>
      <c r="WES195" s="56"/>
      <c r="WET195" s="56"/>
      <c r="WEU195" s="56"/>
      <c r="WEV195" s="56"/>
      <c r="WEW195" s="56"/>
      <c r="WEX195" s="56"/>
      <c r="WEY195" s="56"/>
      <c r="WEZ195" s="56"/>
      <c r="WFA195" s="56"/>
      <c r="WFB195" s="56"/>
      <c r="WFC195" s="56"/>
      <c r="WFD195" s="56"/>
      <c r="WFE195" s="56"/>
      <c r="WFF195" s="56"/>
      <c r="WFG195" s="56"/>
      <c r="WFH195" s="56"/>
      <c r="WFI195" s="56"/>
      <c r="WFJ195" s="56"/>
      <c r="WFK195" s="56"/>
      <c r="WFL195" s="56"/>
      <c r="WFM195" s="56"/>
      <c r="WFN195" s="56"/>
      <c r="WFO195" s="56"/>
      <c r="WFP195" s="56"/>
      <c r="WFQ195" s="56"/>
      <c r="WFR195" s="56"/>
      <c r="WFS195" s="56"/>
      <c r="WFT195" s="56"/>
      <c r="WFU195" s="56"/>
      <c r="WFV195" s="56"/>
      <c r="WFW195" s="56"/>
      <c r="WFX195" s="56"/>
      <c r="WFY195" s="56"/>
      <c r="WFZ195" s="56"/>
      <c r="WGA195" s="56"/>
      <c r="WGB195" s="56"/>
      <c r="WGC195" s="56"/>
      <c r="WGD195" s="56"/>
      <c r="WGE195" s="56"/>
      <c r="WGF195" s="56"/>
      <c r="WGG195" s="56"/>
      <c r="WGH195" s="56"/>
      <c r="WGI195" s="56"/>
      <c r="WGJ195" s="56"/>
      <c r="WGK195" s="56"/>
      <c r="WGL195" s="56"/>
      <c r="WGM195" s="56"/>
      <c r="WGN195" s="56"/>
      <c r="WGO195" s="56"/>
      <c r="WGP195" s="56"/>
      <c r="WGQ195" s="56"/>
      <c r="WGR195" s="56"/>
      <c r="WGS195" s="56"/>
      <c r="WGT195" s="56"/>
      <c r="WGU195" s="56"/>
      <c r="WGV195" s="56"/>
      <c r="WGW195" s="56"/>
      <c r="WGX195" s="56"/>
      <c r="WGY195" s="56"/>
      <c r="WGZ195" s="56"/>
      <c r="WHA195" s="56"/>
      <c r="WHB195" s="56"/>
      <c r="WHC195" s="56"/>
      <c r="WHD195" s="56"/>
      <c r="WHE195" s="56"/>
      <c r="WHF195" s="56"/>
      <c r="WHG195" s="56"/>
      <c r="WHH195" s="56"/>
      <c r="WHI195" s="56"/>
      <c r="WHJ195" s="56"/>
      <c r="WHK195" s="56"/>
      <c r="WHL195" s="56"/>
      <c r="WHM195" s="56"/>
      <c r="WHN195" s="56"/>
      <c r="WHO195" s="56"/>
      <c r="WHP195" s="56"/>
      <c r="WHQ195" s="56"/>
      <c r="WHR195" s="56"/>
      <c r="WHS195" s="56"/>
      <c r="WHT195" s="56"/>
      <c r="WHU195" s="56"/>
      <c r="WHV195" s="56"/>
      <c r="WHW195" s="56"/>
      <c r="WHX195" s="56"/>
      <c r="WHY195" s="56"/>
      <c r="WHZ195" s="56"/>
      <c r="WIA195" s="56"/>
      <c r="WIB195" s="56"/>
      <c r="WIC195" s="56"/>
      <c r="WID195" s="56"/>
      <c r="WIE195" s="56"/>
      <c r="WIF195" s="56"/>
      <c r="WIG195" s="56"/>
      <c r="WIH195" s="56"/>
      <c r="WII195" s="56"/>
      <c r="WIJ195" s="56"/>
      <c r="WIK195" s="56"/>
      <c r="WIL195" s="56"/>
      <c r="WIM195" s="56"/>
      <c r="WIN195" s="56"/>
      <c r="WIO195" s="56"/>
      <c r="WIP195" s="56"/>
      <c r="WIQ195" s="56"/>
      <c r="WIR195" s="56"/>
      <c r="WIS195" s="56"/>
      <c r="WIT195" s="56"/>
      <c r="WIU195" s="56"/>
      <c r="WIV195" s="56"/>
      <c r="WIW195" s="56"/>
      <c r="WIX195" s="56"/>
      <c r="WIY195" s="56"/>
      <c r="WIZ195" s="56"/>
      <c r="WJA195" s="56"/>
      <c r="WJB195" s="56"/>
      <c r="WJC195" s="56"/>
      <c r="WJD195" s="56"/>
      <c r="WJE195" s="56"/>
      <c r="WJF195" s="56"/>
      <c r="WJG195" s="56"/>
      <c r="WJH195" s="56"/>
      <c r="WJI195" s="56"/>
      <c r="WJJ195" s="56"/>
      <c r="WJK195" s="56"/>
      <c r="WJL195" s="56"/>
      <c r="WJM195" s="56"/>
      <c r="WJN195" s="56"/>
      <c r="WJO195" s="56"/>
      <c r="WJP195" s="56"/>
      <c r="WJQ195" s="56"/>
      <c r="WJR195" s="56"/>
      <c r="WJS195" s="56"/>
      <c r="WJT195" s="56"/>
      <c r="WJU195" s="56"/>
      <c r="WJV195" s="56"/>
      <c r="WJW195" s="56"/>
      <c r="WJX195" s="56"/>
      <c r="WJY195" s="56"/>
      <c r="WJZ195" s="56"/>
      <c r="WKA195" s="56"/>
      <c r="WKB195" s="56"/>
      <c r="WKC195" s="56"/>
      <c r="WKD195" s="56"/>
      <c r="WKE195" s="56"/>
      <c r="WKF195" s="56"/>
      <c r="WKG195" s="56"/>
      <c r="WKH195" s="56"/>
      <c r="WKI195" s="56"/>
      <c r="WKJ195" s="56"/>
      <c r="WKK195" s="56"/>
      <c r="WKL195" s="56"/>
      <c r="WKM195" s="56"/>
      <c r="WKN195" s="56"/>
      <c r="WKO195" s="56"/>
      <c r="WKP195" s="56"/>
      <c r="WKQ195" s="56"/>
      <c r="WKR195" s="56"/>
      <c r="WKS195" s="56"/>
      <c r="WKT195" s="56"/>
      <c r="WKU195" s="56"/>
      <c r="WKV195" s="56"/>
      <c r="WKW195" s="56"/>
      <c r="WKX195" s="56"/>
      <c r="WKY195" s="56"/>
      <c r="WKZ195" s="56"/>
      <c r="WLA195" s="56"/>
      <c r="WLB195" s="56"/>
      <c r="WLC195" s="56"/>
      <c r="WLD195" s="56"/>
      <c r="WLE195" s="56"/>
      <c r="WLF195" s="56"/>
      <c r="WLG195" s="56"/>
      <c r="WLH195" s="56"/>
      <c r="WLI195" s="56"/>
      <c r="WLJ195" s="56"/>
      <c r="WLK195" s="56"/>
      <c r="WLL195" s="56"/>
      <c r="WLM195" s="56"/>
      <c r="WLN195" s="56"/>
      <c r="WLO195" s="56"/>
      <c r="WLP195" s="56"/>
      <c r="WLQ195" s="56"/>
      <c r="WLR195" s="56"/>
      <c r="WLS195" s="56"/>
      <c r="WLT195" s="56"/>
      <c r="WLU195" s="56"/>
      <c r="WLV195" s="56"/>
      <c r="WLW195" s="56"/>
      <c r="WLX195" s="56"/>
      <c r="WLY195" s="56"/>
      <c r="WLZ195" s="56"/>
      <c r="WMA195" s="56"/>
      <c r="WMB195" s="56"/>
      <c r="WMC195" s="56"/>
      <c r="WMD195" s="56"/>
      <c r="WME195" s="56"/>
      <c r="WMF195" s="56"/>
      <c r="WMG195" s="56"/>
      <c r="WMH195" s="56"/>
      <c r="WMI195" s="56"/>
      <c r="WMJ195" s="56"/>
      <c r="WMK195" s="56"/>
      <c r="WML195" s="56"/>
      <c r="WMM195" s="56"/>
      <c r="WMN195" s="56"/>
      <c r="WMO195" s="56"/>
      <c r="WMP195" s="56"/>
      <c r="WMQ195" s="56"/>
      <c r="WMR195" s="56"/>
      <c r="WMS195" s="56"/>
      <c r="WMT195" s="56"/>
      <c r="WMU195" s="56"/>
      <c r="WMV195" s="56"/>
      <c r="WMW195" s="56"/>
      <c r="WMX195" s="56"/>
      <c r="WMY195" s="56"/>
      <c r="WMZ195" s="56"/>
      <c r="WNA195" s="56"/>
      <c r="WNB195" s="56"/>
      <c r="WNC195" s="56"/>
      <c r="WND195" s="56"/>
      <c r="WNE195" s="56"/>
      <c r="WNF195" s="56"/>
      <c r="WNG195" s="56"/>
      <c r="WNH195" s="56"/>
      <c r="WNI195" s="56"/>
      <c r="WNJ195" s="56"/>
      <c r="WNK195" s="56"/>
      <c r="WNL195" s="56"/>
      <c r="WNM195" s="56"/>
      <c r="WNN195" s="56"/>
      <c r="WNO195" s="56"/>
      <c r="WNP195" s="56"/>
      <c r="WNQ195" s="56"/>
      <c r="WNR195" s="56"/>
      <c r="WNS195" s="56"/>
      <c r="WNT195" s="56"/>
      <c r="WNU195" s="56"/>
      <c r="WNV195" s="56"/>
      <c r="WNW195" s="56"/>
      <c r="WNX195" s="56"/>
      <c r="WNY195" s="56"/>
      <c r="WNZ195" s="56"/>
      <c r="WOA195" s="56"/>
      <c r="WOB195" s="56"/>
      <c r="WOC195" s="56"/>
      <c r="WOD195" s="56"/>
      <c r="WOE195" s="56"/>
      <c r="WOF195" s="56"/>
      <c r="WOG195" s="56"/>
      <c r="WOH195" s="56"/>
      <c r="WOI195" s="56"/>
      <c r="WOJ195" s="56"/>
      <c r="WOK195" s="56"/>
      <c r="WOL195" s="56"/>
      <c r="WOM195" s="56"/>
      <c r="WON195" s="56"/>
      <c r="WOO195" s="56"/>
      <c r="WOP195" s="56"/>
      <c r="WOQ195" s="56"/>
      <c r="WOR195" s="56"/>
      <c r="WOS195" s="56"/>
      <c r="WOT195" s="56"/>
      <c r="WOU195" s="56"/>
      <c r="WOV195" s="56"/>
      <c r="WOW195" s="56"/>
      <c r="WOX195" s="56"/>
      <c r="WOY195" s="56"/>
      <c r="WOZ195" s="56"/>
      <c r="WPA195" s="56"/>
      <c r="WPB195" s="56"/>
      <c r="WPC195" s="56"/>
      <c r="WPD195" s="56"/>
      <c r="WPE195" s="56"/>
      <c r="WPF195" s="56"/>
      <c r="WPG195" s="56"/>
      <c r="WPH195" s="56"/>
      <c r="WPI195" s="56"/>
      <c r="WPJ195" s="56"/>
      <c r="WPK195" s="56"/>
      <c r="WPL195" s="56"/>
      <c r="WPM195" s="56"/>
      <c r="WPN195" s="56"/>
      <c r="WPO195" s="56"/>
      <c r="WPP195" s="56"/>
      <c r="WPQ195" s="56"/>
      <c r="WPR195" s="56"/>
      <c r="WPS195" s="56"/>
      <c r="WPT195" s="56"/>
      <c r="WPU195" s="56"/>
      <c r="WPV195" s="56"/>
      <c r="WPW195" s="56"/>
      <c r="WPX195" s="56"/>
      <c r="WPY195" s="56"/>
      <c r="WPZ195" s="56"/>
      <c r="WQA195" s="56"/>
      <c r="WQB195" s="56"/>
      <c r="WQC195" s="56"/>
      <c r="WQD195" s="56"/>
      <c r="WQE195" s="56"/>
      <c r="WQF195" s="56"/>
      <c r="WQG195" s="56"/>
      <c r="WQH195" s="56"/>
      <c r="WQI195" s="56"/>
      <c r="WQJ195" s="56"/>
      <c r="WQK195" s="56"/>
      <c r="WQL195" s="56"/>
      <c r="WQM195" s="56"/>
      <c r="WQN195" s="56"/>
      <c r="WQO195" s="56"/>
      <c r="WQP195" s="56"/>
      <c r="WQQ195" s="56"/>
      <c r="WQR195" s="56"/>
      <c r="WQS195" s="56"/>
      <c r="WQT195" s="56"/>
      <c r="WQU195" s="56"/>
      <c r="WQV195" s="56"/>
      <c r="WQW195" s="56"/>
      <c r="WQX195" s="56"/>
      <c r="WQY195" s="56"/>
      <c r="WQZ195" s="56"/>
      <c r="WRA195" s="56"/>
      <c r="WRB195" s="56"/>
      <c r="WRC195" s="56"/>
      <c r="WRD195" s="56"/>
      <c r="WRE195" s="56"/>
      <c r="WRF195" s="56"/>
      <c r="WRG195" s="56"/>
      <c r="WRH195" s="56"/>
      <c r="WRI195" s="56"/>
      <c r="WRJ195" s="56"/>
      <c r="WRK195" s="56"/>
      <c r="WRL195" s="56"/>
      <c r="WRM195" s="56"/>
      <c r="WRN195" s="56"/>
      <c r="WRO195" s="56"/>
      <c r="WRP195" s="56"/>
      <c r="WRQ195" s="56"/>
      <c r="WRR195" s="56"/>
      <c r="WRS195" s="56"/>
      <c r="WRT195" s="56"/>
      <c r="WRU195" s="56"/>
      <c r="WRV195" s="56"/>
      <c r="WRW195" s="56"/>
      <c r="WRX195" s="56"/>
      <c r="WRY195" s="56"/>
      <c r="WRZ195" s="56"/>
      <c r="WSA195" s="56"/>
      <c r="WSB195" s="56"/>
      <c r="WSC195" s="56"/>
      <c r="WSD195" s="56"/>
      <c r="WSE195" s="56"/>
      <c r="WSF195" s="56"/>
      <c r="WSG195" s="56"/>
      <c r="WSH195" s="56"/>
      <c r="WSI195" s="56"/>
      <c r="WSJ195" s="56"/>
      <c r="WSK195" s="56"/>
      <c r="WSL195" s="56"/>
      <c r="WSM195" s="56"/>
      <c r="WSN195" s="56"/>
      <c r="WSO195" s="56"/>
      <c r="WSP195" s="56"/>
      <c r="WSQ195" s="56"/>
      <c r="WSR195" s="56"/>
      <c r="WSS195" s="56"/>
      <c r="WST195" s="56"/>
      <c r="WSU195" s="56"/>
      <c r="WSV195" s="56"/>
      <c r="WSW195" s="56"/>
      <c r="WSX195" s="56"/>
      <c r="WSY195" s="56"/>
      <c r="WSZ195" s="56"/>
      <c r="WTA195" s="56"/>
      <c r="WTB195" s="56"/>
      <c r="WTC195" s="56"/>
      <c r="WTD195" s="56"/>
      <c r="WTE195" s="56"/>
      <c r="WTF195" s="56"/>
      <c r="WTG195" s="56"/>
      <c r="WTH195" s="56"/>
      <c r="WTI195" s="56"/>
      <c r="WTJ195" s="56"/>
      <c r="WTK195" s="56"/>
      <c r="WTL195" s="56"/>
      <c r="WTM195" s="56"/>
      <c r="WTN195" s="56"/>
      <c r="WTO195" s="56"/>
      <c r="WTP195" s="56"/>
      <c r="WTQ195" s="56"/>
      <c r="WTR195" s="56"/>
      <c r="WTS195" s="56"/>
      <c r="WTT195" s="56"/>
      <c r="WTU195" s="56"/>
      <c r="WTV195" s="56"/>
      <c r="WTW195" s="56"/>
      <c r="WTX195" s="56"/>
      <c r="WTY195" s="56"/>
      <c r="WTZ195" s="56"/>
      <c r="WUA195" s="56"/>
      <c r="WUB195" s="56"/>
      <c r="WUC195" s="56"/>
      <c r="WUD195" s="56"/>
      <c r="WUE195" s="56"/>
      <c r="WUF195" s="56"/>
      <c r="WUG195" s="56"/>
      <c r="WUH195" s="56"/>
      <c r="WUI195" s="56"/>
      <c r="WUJ195" s="56"/>
      <c r="WUK195" s="56"/>
      <c r="WUL195" s="56"/>
      <c r="WUM195" s="56"/>
      <c r="WUN195" s="56"/>
      <c r="WUO195" s="56"/>
      <c r="WUP195" s="56"/>
      <c r="WUQ195" s="56"/>
      <c r="WUR195" s="56"/>
      <c r="WUS195" s="56"/>
      <c r="WUT195" s="56"/>
      <c r="WUU195" s="56"/>
      <c r="WUV195" s="56"/>
      <c r="WUW195" s="56"/>
      <c r="WUX195" s="56"/>
      <c r="WUY195" s="56"/>
      <c r="WUZ195" s="56"/>
      <c r="WVA195" s="56"/>
      <c r="WVB195" s="56"/>
      <c r="WVC195" s="56"/>
      <c r="WVD195" s="56"/>
      <c r="WVE195" s="56"/>
      <c r="WVF195" s="56"/>
      <c r="WVG195" s="56"/>
      <c r="WVH195" s="56"/>
      <c r="WVI195" s="56"/>
      <c r="WVJ195" s="56"/>
      <c r="WVK195" s="56"/>
      <c r="WVL195" s="56"/>
      <c r="WVM195" s="56"/>
      <c r="WVN195" s="56"/>
      <c r="WVO195" s="56"/>
      <c r="WVP195" s="56"/>
      <c r="WVQ195" s="56"/>
      <c r="WVR195" s="56"/>
      <c r="WVS195" s="56"/>
      <c r="WVT195" s="56"/>
      <c r="WVU195" s="56"/>
      <c r="WVV195" s="56"/>
      <c r="WVW195" s="56"/>
      <c r="WVX195" s="56"/>
      <c r="WVY195" s="56"/>
      <c r="WVZ195" s="56"/>
      <c r="WWA195" s="56"/>
      <c r="WWB195" s="56"/>
      <c r="WWC195" s="56"/>
      <c r="WWD195" s="56"/>
      <c r="WWE195" s="56"/>
      <c r="WWF195" s="56"/>
      <c r="WWG195" s="56"/>
      <c r="WWH195" s="56"/>
      <c r="WWI195" s="56"/>
      <c r="WWJ195" s="56"/>
      <c r="WWK195" s="56"/>
      <c r="WWL195" s="56"/>
      <c r="WWM195" s="56"/>
      <c r="WWN195" s="56"/>
      <c r="WWO195" s="56"/>
      <c r="WWP195" s="56"/>
      <c r="WWQ195" s="56"/>
      <c r="WWR195" s="56"/>
      <c r="WWS195" s="56"/>
      <c r="WWT195" s="56"/>
      <c r="WWU195" s="56"/>
      <c r="WWV195" s="56"/>
      <c r="WWW195" s="56"/>
      <c r="WWX195" s="56"/>
      <c r="WWY195" s="56"/>
      <c r="WWZ195" s="56"/>
      <c r="WXA195" s="56"/>
      <c r="WXB195" s="56"/>
      <c r="WXC195" s="56"/>
      <c r="WXD195" s="56"/>
      <c r="WXE195" s="56"/>
      <c r="WXF195" s="56"/>
      <c r="WXG195" s="56"/>
      <c r="WXH195" s="56"/>
      <c r="WXI195" s="56"/>
      <c r="WXJ195" s="56"/>
      <c r="WXK195" s="56"/>
      <c r="WXL195" s="56"/>
      <c r="WXM195" s="56"/>
      <c r="WXN195" s="56"/>
      <c r="WXO195" s="56"/>
      <c r="WXP195" s="56"/>
      <c r="WXQ195" s="56"/>
      <c r="WXR195" s="56"/>
      <c r="WXS195" s="56"/>
      <c r="WXT195" s="56"/>
      <c r="WXU195" s="56"/>
      <c r="WXV195" s="56"/>
      <c r="WXW195" s="56"/>
      <c r="WXX195" s="56"/>
      <c r="WXY195" s="56"/>
      <c r="WXZ195" s="56"/>
      <c r="WYA195" s="56"/>
      <c r="WYB195" s="56"/>
      <c r="WYC195" s="56"/>
      <c r="WYD195" s="56"/>
      <c r="WYE195" s="56"/>
      <c r="WYF195" s="56"/>
      <c r="WYG195" s="56"/>
      <c r="WYH195" s="56"/>
      <c r="WYI195" s="56"/>
      <c r="WYJ195" s="56"/>
      <c r="WYK195" s="56"/>
      <c r="WYL195" s="56"/>
      <c r="WYM195" s="56"/>
      <c r="WYN195" s="56"/>
      <c r="WYO195" s="56"/>
      <c r="WYP195" s="56"/>
      <c r="WYQ195" s="56"/>
      <c r="WYR195" s="56"/>
      <c r="WYS195" s="56"/>
      <c r="WYT195" s="56"/>
      <c r="WYU195" s="56"/>
      <c r="WYV195" s="56"/>
      <c r="WYW195" s="56"/>
      <c r="WYX195" s="56"/>
      <c r="WYY195" s="56"/>
      <c r="WYZ195" s="56"/>
      <c r="WZA195" s="56"/>
      <c r="WZB195" s="56"/>
      <c r="WZC195" s="56"/>
      <c r="WZD195" s="56"/>
      <c r="WZE195" s="56"/>
      <c r="WZF195" s="56"/>
      <c r="WZG195" s="56"/>
      <c r="WZH195" s="56"/>
      <c r="WZI195" s="56"/>
      <c r="WZJ195" s="56"/>
      <c r="WZK195" s="56"/>
      <c r="WZL195" s="56"/>
      <c r="WZM195" s="56"/>
      <c r="WZN195" s="56"/>
      <c r="WZO195" s="56"/>
      <c r="WZP195" s="56"/>
      <c r="WZQ195" s="56"/>
      <c r="WZR195" s="56"/>
      <c r="WZS195" s="56"/>
      <c r="WZT195" s="56"/>
      <c r="WZU195" s="56"/>
      <c r="WZV195" s="56"/>
      <c r="WZW195" s="56"/>
      <c r="WZX195" s="56"/>
      <c r="WZY195" s="56"/>
      <c r="WZZ195" s="56"/>
      <c r="XAA195" s="56"/>
      <c r="XAB195" s="56"/>
      <c r="XAC195" s="56"/>
      <c r="XAD195" s="56"/>
      <c r="XAE195" s="56"/>
      <c r="XAF195" s="56"/>
      <c r="XAG195" s="56"/>
      <c r="XAH195" s="56"/>
      <c r="XAI195" s="56"/>
      <c r="XAJ195" s="56"/>
      <c r="XAK195" s="56"/>
      <c r="XAL195" s="56"/>
      <c r="XAM195" s="56"/>
      <c r="XAN195" s="56"/>
      <c r="XAO195" s="56"/>
      <c r="XAP195" s="56"/>
      <c r="XAQ195" s="56"/>
      <c r="XAR195" s="56"/>
      <c r="XAS195" s="56"/>
      <c r="XAT195" s="56"/>
      <c r="XAU195" s="56"/>
      <c r="XAV195" s="56"/>
      <c r="XAW195" s="56"/>
      <c r="XAX195" s="56"/>
      <c r="XAY195" s="56"/>
      <c r="XAZ195" s="56"/>
      <c r="XBA195" s="56"/>
      <c r="XBB195" s="56"/>
      <c r="XBC195" s="56"/>
      <c r="XBD195" s="56"/>
      <c r="XBE195" s="56"/>
      <c r="XBF195" s="56"/>
      <c r="XBG195" s="56"/>
      <c r="XBH195" s="56"/>
      <c r="XBI195" s="56"/>
      <c r="XBJ195" s="56"/>
      <c r="XBK195" s="56"/>
      <c r="XBL195" s="56"/>
      <c r="XBM195" s="56"/>
      <c r="XBN195" s="56"/>
      <c r="XBO195" s="56"/>
      <c r="XBP195" s="56"/>
      <c r="XBQ195" s="56"/>
      <c r="XBR195" s="56"/>
      <c r="XBS195" s="56"/>
      <c r="XBT195" s="56"/>
      <c r="XBU195" s="56"/>
      <c r="XBV195" s="56"/>
      <c r="XBW195" s="56"/>
      <c r="XBX195" s="56"/>
      <c r="XBY195" s="56"/>
      <c r="XBZ195" s="56"/>
      <c r="XCA195" s="56"/>
      <c r="XCB195" s="56"/>
      <c r="XCC195" s="56"/>
      <c r="XCD195" s="56"/>
      <c r="XCE195" s="56"/>
      <c r="XCF195" s="56"/>
      <c r="XCG195" s="56"/>
      <c r="XCH195" s="56"/>
      <c r="XCI195" s="56"/>
      <c r="XCJ195" s="56"/>
      <c r="XCK195" s="56"/>
      <c r="XCL195" s="56"/>
      <c r="XCM195" s="56"/>
      <c r="XCN195" s="56"/>
      <c r="XCO195" s="56"/>
      <c r="XCP195" s="56"/>
      <c r="XCQ195" s="56"/>
      <c r="XCR195" s="56"/>
      <c r="XCS195" s="56"/>
      <c r="XCT195" s="56"/>
      <c r="XCU195" s="56"/>
      <c r="XCV195" s="56"/>
      <c r="XCW195" s="56"/>
      <c r="XCX195" s="56"/>
      <c r="XCY195" s="56"/>
      <c r="XCZ195" s="56"/>
      <c r="XDA195" s="56"/>
      <c r="XDB195" s="56"/>
      <c r="XDC195" s="56"/>
      <c r="XDD195" s="56"/>
      <c r="XDE195" s="56"/>
      <c r="XDF195" s="56"/>
      <c r="XDG195" s="56"/>
      <c r="XDH195" s="56"/>
      <c r="XDI195" s="56"/>
      <c r="XDJ195" s="56"/>
      <c r="XDK195" s="56"/>
      <c r="XDL195" s="56"/>
      <c r="XDM195" s="56"/>
      <c r="XDN195" s="56"/>
      <c r="XDO195" s="56"/>
      <c r="XDP195" s="56"/>
      <c r="XDQ195" s="56"/>
      <c r="XDR195" s="56"/>
      <c r="XDS195" s="56"/>
      <c r="XDT195" s="56"/>
      <c r="XDU195" s="56"/>
      <c r="XDV195" s="56"/>
      <c r="XDW195" s="56"/>
      <c r="XDX195" s="56"/>
      <c r="XDY195" s="56"/>
      <c r="XDZ195" s="56"/>
      <c r="XEA195" s="56"/>
      <c r="XEB195" s="56"/>
      <c r="XEC195" s="56"/>
      <c r="XED195" s="56"/>
      <c r="XEE195" s="56"/>
      <c r="XEF195" s="56"/>
      <c r="XEG195" s="56"/>
      <c r="XEH195" s="56"/>
      <c r="XEI195" s="56"/>
      <c r="XEJ195" s="56"/>
      <c r="XEK195" s="56"/>
      <c r="XEL195" s="56"/>
      <c r="XEM195" s="56"/>
      <c r="XEN195" s="56"/>
      <c r="XEO195" s="56"/>
      <c r="XEP195" s="56"/>
      <c r="XEQ195" s="56"/>
      <c r="XER195" s="56"/>
      <c r="XES195" s="56"/>
    </row>
    <row r="196" spans="1:16373" hidden="1">
      <c r="A196" s="47" t="s">
        <v>44</v>
      </c>
      <c r="B196" s="47" t="str">
        <f t="shared" si="49"/>
        <v>July</v>
      </c>
      <c r="C196" s="59">
        <v>45478</v>
      </c>
      <c r="D196" s="47" t="s">
        <v>45</v>
      </c>
      <c r="E196" s="47" t="s">
        <v>59</v>
      </c>
      <c r="F196" s="47" t="s">
        <v>60</v>
      </c>
      <c r="G196" s="91" t="s">
        <v>513</v>
      </c>
      <c r="H196" s="47" t="s">
        <v>514</v>
      </c>
      <c r="I196" s="47" t="s">
        <v>63</v>
      </c>
      <c r="J196" s="47" t="s">
        <v>51</v>
      </c>
      <c r="K196" s="48">
        <v>45113</v>
      </c>
      <c r="L196" s="48">
        <v>45113</v>
      </c>
      <c r="M196" s="48">
        <v>45478</v>
      </c>
      <c r="N196" s="47" t="s">
        <v>52</v>
      </c>
      <c r="O196" s="55" t="s">
        <v>53</v>
      </c>
      <c r="P196" s="62">
        <v>15780</v>
      </c>
      <c r="Q196" s="62">
        <v>1315</v>
      </c>
      <c r="R196" s="96">
        <v>16320</v>
      </c>
      <c r="S196" s="62">
        <f t="shared" si="42"/>
        <v>1360</v>
      </c>
      <c r="T196" s="62">
        <v>15780</v>
      </c>
      <c r="U196" s="62">
        <f t="shared" si="43"/>
        <v>1315</v>
      </c>
      <c r="V196" s="69">
        <v>14100</v>
      </c>
      <c r="W196" s="71">
        <v>1400</v>
      </c>
      <c r="X196" s="105">
        <f t="shared" ref="X196:X203" si="54">W196-25</f>
        <v>1375</v>
      </c>
      <c r="Y196" s="171">
        <f t="shared" si="47"/>
        <v>4.5627376425855515E-2</v>
      </c>
      <c r="Z196" s="64">
        <f t="shared" si="50"/>
        <v>6.4638783269961975E-2</v>
      </c>
      <c r="AA196" s="64">
        <f t="shared" si="44"/>
        <v>2.9411764705882353E-2</v>
      </c>
      <c r="AB196" s="71">
        <f t="shared" si="48"/>
        <v>1400</v>
      </c>
      <c r="AC196" s="64">
        <f t="shared" si="51"/>
        <v>6.4638783269961975E-2</v>
      </c>
      <c r="AD196" s="64">
        <f t="shared" si="45"/>
        <v>2.9411764705882353E-2</v>
      </c>
      <c r="AE196" s="71">
        <f>AB196-20</f>
        <v>1380</v>
      </c>
      <c r="AF196" s="64">
        <f t="shared" si="52"/>
        <v>4.9429657794676805E-2</v>
      </c>
      <c r="AG196" s="64">
        <f t="shared" si="46"/>
        <v>1.4705882352941176E-2</v>
      </c>
      <c r="AH196" s="67"/>
      <c r="AI196" s="47" t="s">
        <v>54</v>
      </c>
      <c r="AJ196" s="47">
        <v>711</v>
      </c>
      <c r="AK196" s="101" t="s">
        <v>65</v>
      </c>
      <c r="AL196" s="101" t="s">
        <v>65</v>
      </c>
      <c r="AM196" s="47" t="s">
        <v>515</v>
      </c>
      <c r="AN196" s="50"/>
      <c r="AO196" s="211">
        <f t="shared" si="53"/>
        <v>-1</v>
      </c>
      <c r="AP196" s="47" t="s">
        <v>57</v>
      </c>
      <c r="AQ196" s="47" t="s">
        <v>58</v>
      </c>
      <c r="AR196" s="47"/>
    </row>
    <row r="197" spans="1:16373" hidden="1">
      <c r="A197" s="47" t="s">
        <v>44</v>
      </c>
      <c r="B197" s="47" t="str">
        <f t="shared" si="49"/>
        <v>July</v>
      </c>
      <c r="C197" s="59">
        <v>45500</v>
      </c>
      <c r="D197" s="47" t="s">
        <v>45</v>
      </c>
      <c r="E197" s="47" t="s">
        <v>59</v>
      </c>
      <c r="F197" s="47" t="s">
        <v>60</v>
      </c>
      <c r="G197" s="91" t="s">
        <v>516</v>
      </c>
      <c r="H197" s="47" t="s">
        <v>517</v>
      </c>
      <c r="I197" s="47" t="s">
        <v>63</v>
      </c>
      <c r="J197" s="47" t="s">
        <v>51</v>
      </c>
      <c r="K197" s="48">
        <v>45135</v>
      </c>
      <c r="L197" s="48">
        <v>45135</v>
      </c>
      <c r="M197" s="48">
        <v>45500</v>
      </c>
      <c r="N197" s="47" t="s">
        <v>52</v>
      </c>
      <c r="O197" s="55" t="s">
        <v>53</v>
      </c>
      <c r="P197" s="62">
        <v>15540</v>
      </c>
      <c r="Q197" s="62">
        <v>1295</v>
      </c>
      <c r="R197" s="96">
        <v>16080</v>
      </c>
      <c r="S197" s="62">
        <f t="shared" si="42"/>
        <v>1340</v>
      </c>
      <c r="T197" s="62">
        <v>15540</v>
      </c>
      <c r="U197" s="62">
        <f t="shared" si="43"/>
        <v>1295</v>
      </c>
      <c r="V197" s="69">
        <v>13980</v>
      </c>
      <c r="W197" s="71">
        <v>1380</v>
      </c>
      <c r="X197" s="105">
        <f t="shared" si="54"/>
        <v>1355</v>
      </c>
      <c r="Y197" s="171">
        <f t="shared" si="47"/>
        <v>4.633204633204633E-2</v>
      </c>
      <c r="Z197" s="64">
        <f t="shared" si="50"/>
        <v>6.5637065637065631E-2</v>
      </c>
      <c r="AA197" s="64">
        <f t="shared" si="44"/>
        <v>2.9850746268656716E-2</v>
      </c>
      <c r="AB197" s="71">
        <f t="shared" si="48"/>
        <v>1380</v>
      </c>
      <c r="AC197" s="64">
        <f t="shared" si="51"/>
        <v>6.5637065637065631E-2</v>
      </c>
      <c r="AD197" s="64">
        <f t="shared" si="45"/>
        <v>2.9850746268656716E-2</v>
      </c>
      <c r="AE197" s="71">
        <f>AB197-20</f>
        <v>1360</v>
      </c>
      <c r="AF197" s="64">
        <f t="shared" si="52"/>
        <v>5.019305019305019E-2</v>
      </c>
      <c r="AG197" s="64">
        <f t="shared" si="46"/>
        <v>1.4925373134328358E-2</v>
      </c>
      <c r="AH197" s="67"/>
      <c r="AI197" s="47" t="s">
        <v>54</v>
      </c>
      <c r="AJ197" s="47">
        <v>711</v>
      </c>
      <c r="AK197" s="101" t="s">
        <v>65</v>
      </c>
      <c r="AL197" s="101" t="s">
        <v>65</v>
      </c>
      <c r="AM197" s="47" t="s">
        <v>487</v>
      </c>
      <c r="AN197" s="50">
        <v>1360</v>
      </c>
      <c r="AO197" s="211">
        <f t="shared" si="53"/>
        <v>5.019305019305019E-2</v>
      </c>
      <c r="AP197" s="47" t="s">
        <v>57</v>
      </c>
      <c r="AQ197" s="47" t="s">
        <v>58</v>
      </c>
      <c r="AR197" s="47"/>
    </row>
    <row r="198" spans="1:16373" hidden="1">
      <c r="A198" s="47" t="s">
        <v>44</v>
      </c>
      <c r="B198" s="47" t="str">
        <f t="shared" si="49"/>
        <v>July</v>
      </c>
      <c r="C198" s="59">
        <v>45497</v>
      </c>
      <c r="D198" s="47" t="s">
        <v>45</v>
      </c>
      <c r="E198" s="47" t="s">
        <v>59</v>
      </c>
      <c r="F198" s="47" t="s">
        <v>60</v>
      </c>
      <c r="G198" s="91" t="s">
        <v>518</v>
      </c>
      <c r="H198" s="47" t="s">
        <v>519</v>
      </c>
      <c r="I198" s="47" t="s">
        <v>63</v>
      </c>
      <c r="J198" s="47" t="s">
        <v>51</v>
      </c>
      <c r="K198" s="48">
        <v>45132</v>
      </c>
      <c r="L198" s="48">
        <v>45132</v>
      </c>
      <c r="M198" s="48">
        <v>45497</v>
      </c>
      <c r="N198" s="47" t="s">
        <v>52</v>
      </c>
      <c r="O198" s="55" t="s">
        <v>53</v>
      </c>
      <c r="P198" s="62">
        <v>15480</v>
      </c>
      <c r="Q198" s="62">
        <v>1290</v>
      </c>
      <c r="R198" s="96">
        <v>16020</v>
      </c>
      <c r="S198" s="62">
        <f t="shared" si="42"/>
        <v>1335</v>
      </c>
      <c r="T198" s="62">
        <v>15480</v>
      </c>
      <c r="U198" s="62">
        <f t="shared" si="43"/>
        <v>1290</v>
      </c>
      <c r="V198" s="69">
        <v>13800</v>
      </c>
      <c r="W198" s="71">
        <v>1375</v>
      </c>
      <c r="X198" s="105">
        <f t="shared" si="54"/>
        <v>1350</v>
      </c>
      <c r="Y198" s="171">
        <f t="shared" si="47"/>
        <v>4.6511627906976744E-2</v>
      </c>
      <c r="Z198" s="64">
        <f t="shared" si="50"/>
        <v>6.589147286821706E-2</v>
      </c>
      <c r="AA198" s="64">
        <f t="shared" si="44"/>
        <v>2.9962546816479401E-2</v>
      </c>
      <c r="AB198" s="71">
        <f t="shared" si="48"/>
        <v>1375</v>
      </c>
      <c r="AC198" s="64">
        <f t="shared" si="51"/>
        <v>6.589147286821706E-2</v>
      </c>
      <c r="AD198" s="64">
        <f t="shared" si="45"/>
        <v>2.9962546816479401E-2</v>
      </c>
      <c r="AE198" s="71">
        <f>AB198-20</f>
        <v>1355</v>
      </c>
      <c r="AF198" s="64">
        <f t="shared" si="52"/>
        <v>5.0387596899224806E-2</v>
      </c>
      <c r="AG198" s="64">
        <f t="shared" si="46"/>
        <v>1.4981273408239701E-2</v>
      </c>
      <c r="AH198" s="67"/>
      <c r="AI198" s="47" t="s">
        <v>54</v>
      </c>
      <c r="AJ198" s="47">
        <v>704</v>
      </c>
      <c r="AK198" s="101" t="s">
        <v>65</v>
      </c>
      <c r="AL198" s="101" t="s">
        <v>65</v>
      </c>
      <c r="AM198" s="47" t="s">
        <v>430</v>
      </c>
      <c r="AN198" s="50">
        <v>1375</v>
      </c>
      <c r="AO198" s="211">
        <f t="shared" si="53"/>
        <v>6.589147286821706E-2</v>
      </c>
      <c r="AP198" s="47" t="s">
        <v>57</v>
      </c>
      <c r="AQ198" s="47" t="s">
        <v>58</v>
      </c>
      <c r="AR198" s="47"/>
    </row>
    <row r="199" spans="1:16373" hidden="1">
      <c r="A199" s="47" t="s">
        <v>74</v>
      </c>
      <c r="B199" s="91" t="str">
        <f t="shared" si="49"/>
        <v>July</v>
      </c>
      <c r="C199" s="141">
        <v>45475</v>
      </c>
      <c r="D199" s="91" t="s">
        <v>45</v>
      </c>
      <c r="E199" s="91" t="s">
        <v>59</v>
      </c>
      <c r="F199" s="91" t="s">
        <v>60</v>
      </c>
      <c r="G199" s="91" t="s">
        <v>520</v>
      </c>
      <c r="H199" s="47" t="s">
        <v>521</v>
      </c>
      <c r="I199" s="91" t="s">
        <v>63</v>
      </c>
      <c r="J199" s="47" t="s">
        <v>51</v>
      </c>
      <c r="K199" s="48">
        <v>45110</v>
      </c>
      <c r="L199" s="48">
        <v>45110</v>
      </c>
      <c r="M199" s="48">
        <v>45475</v>
      </c>
      <c r="N199" s="91" t="s">
        <v>52</v>
      </c>
      <c r="O199" s="136" t="s">
        <v>53</v>
      </c>
      <c r="P199" s="62">
        <v>15480</v>
      </c>
      <c r="Q199" s="62">
        <v>1290</v>
      </c>
      <c r="R199" s="96">
        <v>16020</v>
      </c>
      <c r="S199" s="137">
        <f t="shared" si="42"/>
        <v>1335</v>
      </c>
      <c r="T199" s="62">
        <v>15480</v>
      </c>
      <c r="U199" s="137">
        <f t="shared" si="43"/>
        <v>1290</v>
      </c>
      <c r="V199" s="69">
        <v>13800</v>
      </c>
      <c r="W199" s="138">
        <v>1375</v>
      </c>
      <c r="X199" s="105">
        <f t="shared" si="54"/>
        <v>1350</v>
      </c>
      <c r="Y199" s="171">
        <f t="shared" ref="Y199:Y230" si="55">(X199-U199)/U199</f>
        <v>4.6511627906976744E-2</v>
      </c>
      <c r="Z199" s="116">
        <f t="shared" si="50"/>
        <v>6.589147286821706E-2</v>
      </c>
      <c r="AA199" s="116">
        <f t="shared" si="44"/>
        <v>2.9962546816479401E-2</v>
      </c>
      <c r="AB199" s="138">
        <f t="shared" ref="AB199:AB230" si="56">W199</f>
        <v>1375</v>
      </c>
      <c r="AC199" s="116">
        <f t="shared" si="51"/>
        <v>6.589147286821706E-2</v>
      </c>
      <c r="AD199" s="116">
        <f t="shared" si="45"/>
        <v>2.9962546816479401E-2</v>
      </c>
      <c r="AE199" s="138">
        <v>1340</v>
      </c>
      <c r="AF199" s="116">
        <f t="shared" si="52"/>
        <v>3.875968992248062E-2</v>
      </c>
      <c r="AG199" s="116">
        <f t="shared" si="46"/>
        <v>3.7453183520599251E-3</v>
      </c>
      <c r="AH199" s="287"/>
      <c r="AI199" s="47" t="s">
        <v>54</v>
      </c>
      <c r="AJ199" s="91">
        <v>711</v>
      </c>
      <c r="AK199" s="139" t="s">
        <v>65</v>
      </c>
      <c r="AL199" s="139" t="s">
        <v>65</v>
      </c>
      <c r="AM199" s="47" t="s">
        <v>66</v>
      </c>
      <c r="AN199" s="140">
        <v>1340</v>
      </c>
      <c r="AO199" s="211">
        <f t="shared" si="53"/>
        <v>3.875968992248062E-2</v>
      </c>
      <c r="AP199" s="91" t="s">
        <v>57</v>
      </c>
      <c r="AQ199" s="47" t="s">
        <v>58</v>
      </c>
      <c r="AR199" s="47"/>
    </row>
    <row r="200" spans="1:16373" hidden="1">
      <c r="A200" s="47" t="s">
        <v>44</v>
      </c>
      <c r="B200" s="47" t="str">
        <f t="shared" si="49"/>
        <v>July</v>
      </c>
      <c r="C200" s="59">
        <v>45492</v>
      </c>
      <c r="D200" s="47" t="s">
        <v>45</v>
      </c>
      <c r="E200" s="47" t="s">
        <v>59</v>
      </c>
      <c r="F200" s="47" t="s">
        <v>60</v>
      </c>
      <c r="G200" s="91" t="s">
        <v>526</v>
      </c>
      <c r="H200" s="47" t="s">
        <v>527</v>
      </c>
      <c r="I200" s="47" t="s">
        <v>63</v>
      </c>
      <c r="J200" s="47" t="s">
        <v>51</v>
      </c>
      <c r="K200" s="48">
        <v>45127</v>
      </c>
      <c r="L200" s="48">
        <v>45127</v>
      </c>
      <c r="M200" s="48">
        <v>45492</v>
      </c>
      <c r="N200" s="47" t="s">
        <v>52</v>
      </c>
      <c r="O200" s="55" t="s">
        <v>53</v>
      </c>
      <c r="P200" s="62">
        <v>15420</v>
      </c>
      <c r="Q200" s="62">
        <v>1285</v>
      </c>
      <c r="R200" s="96">
        <v>15960</v>
      </c>
      <c r="S200" s="62">
        <f t="shared" si="42"/>
        <v>1330</v>
      </c>
      <c r="T200" s="62">
        <v>15420</v>
      </c>
      <c r="U200" s="62">
        <f t="shared" si="43"/>
        <v>1285</v>
      </c>
      <c r="V200" s="69">
        <v>13860</v>
      </c>
      <c r="W200" s="71">
        <v>1370</v>
      </c>
      <c r="X200" s="105">
        <f t="shared" si="54"/>
        <v>1345</v>
      </c>
      <c r="Y200" s="171">
        <f t="shared" si="55"/>
        <v>4.6692607003891051E-2</v>
      </c>
      <c r="Z200" s="64">
        <f t="shared" si="50"/>
        <v>6.6147859922178989E-2</v>
      </c>
      <c r="AA200" s="64">
        <f t="shared" si="44"/>
        <v>3.007518796992481E-2</v>
      </c>
      <c r="AB200" s="71">
        <f t="shared" si="56"/>
        <v>1370</v>
      </c>
      <c r="AC200" s="64">
        <f t="shared" si="51"/>
        <v>6.6147859922178989E-2</v>
      </c>
      <c r="AD200" s="64">
        <f t="shared" si="45"/>
        <v>3.007518796992481E-2</v>
      </c>
      <c r="AE200" s="71">
        <v>1345</v>
      </c>
      <c r="AF200" s="64">
        <f t="shared" si="52"/>
        <v>4.6692607003891051E-2</v>
      </c>
      <c r="AG200" s="64">
        <f t="shared" si="46"/>
        <v>1.1278195488721804E-2</v>
      </c>
      <c r="AH200" s="67"/>
      <c r="AI200" s="47" t="s">
        <v>54</v>
      </c>
      <c r="AJ200" s="47">
        <v>812</v>
      </c>
      <c r="AK200" s="101" t="s">
        <v>65</v>
      </c>
      <c r="AL200" s="101" t="s">
        <v>65</v>
      </c>
      <c r="AM200" s="47" t="s">
        <v>285</v>
      </c>
      <c r="AN200" s="50"/>
      <c r="AO200" s="211">
        <f t="shared" si="53"/>
        <v>-1</v>
      </c>
      <c r="AP200" s="47" t="s">
        <v>57</v>
      </c>
      <c r="AQ200" s="47" t="s">
        <v>58</v>
      </c>
      <c r="AR200" s="47"/>
    </row>
    <row r="201" spans="1:16373" hidden="1">
      <c r="A201" s="47" t="s">
        <v>44</v>
      </c>
      <c r="B201" s="47" t="str">
        <f t="shared" si="49"/>
        <v>July</v>
      </c>
      <c r="C201" s="59">
        <v>45484</v>
      </c>
      <c r="D201" s="47" t="s">
        <v>45</v>
      </c>
      <c r="E201" s="47" t="s">
        <v>59</v>
      </c>
      <c r="F201" s="47" t="s">
        <v>60</v>
      </c>
      <c r="G201" s="91" t="s">
        <v>528</v>
      </c>
      <c r="H201" s="47" t="s">
        <v>529</v>
      </c>
      <c r="I201" s="47" t="s">
        <v>63</v>
      </c>
      <c r="J201" s="47" t="s">
        <v>51</v>
      </c>
      <c r="K201" s="48">
        <v>45119</v>
      </c>
      <c r="L201" s="48">
        <v>45119</v>
      </c>
      <c r="M201" s="48">
        <v>45484</v>
      </c>
      <c r="N201" s="47" t="s">
        <v>52</v>
      </c>
      <c r="O201" s="55" t="s">
        <v>53</v>
      </c>
      <c r="P201" s="62">
        <v>15960</v>
      </c>
      <c r="Q201" s="62">
        <v>1330</v>
      </c>
      <c r="R201" s="96">
        <v>16500</v>
      </c>
      <c r="S201" s="62">
        <f t="shared" si="42"/>
        <v>1375</v>
      </c>
      <c r="T201" s="62">
        <v>15420</v>
      </c>
      <c r="U201" s="62">
        <f t="shared" si="43"/>
        <v>1285</v>
      </c>
      <c r="V201" s="69">
        <v>13860</v>
      </c>
      <c r="W201" s="71">
        <v>1370</v>
      </c>
      <c r="X201" s="105">
        <f t="shared" si="54"/>
        <v>1345</v>
      </c>
      <c r="Y201" s="171">
        <f t="shared" si="55"/>
        <v>4.6692607003891051E-2</v>
      </c>
      <c r="Z201" s="64">
        <f t="shared" si="50"/>
        <v>6.6147859922178989E-2</v>
      </c>
      <c r="AA201" s="64">
        <f t="shared" si="44"/>
        <v>-3.6363636363636364E-3</v>
      </c>
      <c r="AB201" s="71">
        <f t="shared" si="56"/>
        <v>1370</v>
      </c>
      <c r="AC201" s="64">
        <f t="shared" si="51"/>
        <v>6.6147859922178989E-2</v>
      </c>
      <c r="AD201" s="64">
        <f t="shared" si="45"/>
        <v>-3.6363636363636364E-3</v>
      </c>
      <c r="AE201" s="71">
        <f>AB201-20</f>
        <v>1350</v>
      </c>
      <c r="AF201" s="64">
        <f t="shared" si="52"/>
        <v>5.0583657587548639E-2</v>
      </c>
      <c r="AG201" s="64">
        <f t="shared" si="46"/>
        <v>-1.8181818181818181E-2</v>
      </c>
      <c r="AH201" s="67"/>
      <c r="AI201" s="47" t="s">
        <v>54</v>
      </c>
      <c r="AJ201" s="47">
        <v>711</v>
      </c>
      <c r="AK201" s="101" t="s">
        <v>65</v>
      </c>
      <c r="AL201" s="101" t="s">
        <v>65</v>
      </c>
      <c r="AM201" s="47" t="s">
        <v>430</v>
      </c>
      <c r="AN201" s="50"/>
      <c r="AO201" s="211">
        <f t="shared" si="53"/>
        <v>-1</v>
      </c>
      <c r="AP201" s="47" t="s">
        <v>57</v>
      </c>
      <c r="AQ201" s="47" t="s">
        <v>58</v>
      </c>
      <c r="AR201" s="47"/>
    </row>
    <row r="202" spans="1:16373" hidden="1">
      <c r="A202" s="47" t="s">
        <v>44</v>
      </c>
      <c r="B202" s="47" t="str">
        <f t="shared" si="49"/>
        <v>July</v>
      </c>
      <c r="C202" s="59">
        <v>45475</v>
      </c>
      <c r="D202" s="47" t="s">
        <v>45</v>
      </c>
      <c r="E202" s="47" t="s">
        <v>59</v>
      </c>
      <c r="F202" s="47" t="s">
        <v>60</v>
      </c>
      <c r="G202" s="91" t="s">
        <v>530</v>
      </c>
      <c r="H202" s="47" t="s">
        <v>531</v>
      </c>
      <c r="I202" s="47" t="s">
        <v>63</v>
      </c>
      <c r="J202" s="47" t="s">
        <v>51</v>
      </c>
      <c r="K202" s="48">
        <v>45110</v>
      </c>
      <c r="L202" s="48">
        <v>45110</v>
      </c>
      <c r="M202" s="48">
        <v>45475</v>
      </c>
      <c r="N202" s="47" t="s">
        <v>52</v>
      </c>
      <c r="O202" s="55" t="s">
        <v>53</v>
      </c>
      <c r="P202" s="62">
        <v>15360</v>
      </c>
      <c r="Q202" s="62">
        <v>1280</v>
      </c>
      <c r="R202" s="96">
        <v>15900</v>
      </c>
      <c r="S202" s="62">
        <f t="shared" si="42"/>
        <v>1325</v>
      </c>
      <c r="T202" s="62">
        <v>15360</v>
      </c>
      <c r="U202" s="62">
        <f t="shared" si="43"/>
        <v>1280</v>
      </c>
      <c r="V202" s="69">
        <v>12600</v>
      </c>
      <c r="W202" s="71">
        <v>1365</v>
      </c>
      <c r="X202" s="105">
        <f t="shared" si="54"/>
        <v>1340</v>
      </c>
      <c r="Y202" s="171">
        <f t="shared" si="55"/>
        <v>4.6875E-2</v>
      </c>
      <c r="Z202" s="64">
        <f t="shared" si="50"/>
        <v>6.640625E-2</v>
      </c>
      <c r="AA202" s="64">
        <f t="shared" si="44"/>
        <v>3.0188679245283019E-2</v>
      </c>
      <c r="AB202" s="71">
        <f t="shared" si="56"/>
        <v>1365</v>
      </c>
      <c r="AC202" s="64">
        <f t="shared" si="51"/>
        <v>6.640625E-2</v>
      </c>
      <c r="AD202" s="64">
        <f t="shared" si="45"/>
        <v>3.0188679245283019E-2</v>
      </c>
      <c r="AE202" s="71">
        <v>1340</v>
      </c>
      <c r="AF202" s="64">
        <f t="shared" si="52"/>
        <v>4.6875E-2</v>
      </c>
      <c r="AG202" s="64">
        <f t="shared" si="46"/>
        <v>1.1320754716981131E-2</v>
      </c>
      <c r="AH202" s="67"/>
      <c r="AI202" s="47" t="s">
        <v>54</v>
      </c>
      <c r="AJ202" s="47">
        <v>836</v>
      </c>
      <c r="AK202" s="101" t="s">
        <v>65</v>
      </c>
      <c r="AL202" s="101" t="s">
        <v>55</v>
      </c>
      <c r="AM202" s="47" t="s">
        <v>69</v>
      </c>
      <c r="AN202" s="50">
        <v>1340</v>
      </c>
      <c r="AO202" s="211">
        <f t="shared" si="53"/>
        <v>4.6875E-2</v>
      </c>
      <c r="AP202" s="47" t="s">
        <v>57</v>
      </c>
      <c r="AQ202" s="47" t="s">
        <v>58</v>
      </c>
      <c r="AR202" s="47"/>
    </row>
    <row r="203" spans="1:16373">
      <c r="A203" s="47" t="s">
        <v>44</v>
      </c>
      <c r="B203" s="47" t="str">
        <f t="shared" si="49"/>
        <v>July</v>
      </c>
      <c r="C203" s="59">
        <v>45482</v>
      </c>
      <c r="D203" s="47" t="s">
        <v>45</v>
      </c>
      <c r="E203" s="47" t="s">
        <v>59</v>
      </c>
      <c r="F203" s="47" t="s">
        <v>60</v>
      </c>
      <c r="G203" s="91" t="s">
        <v>544</v>
      </c>
      <c r="H203" s="47" t="s">
        <v>545</v>
      </c>
      <c r="I203" s="47" t="s">
        <v>63</v>
      </c>
      <c r="J203" s="47" t="s">
        <v>51</v>
      </c>
      <c r="K203" s="48">
        <v>44753</v>
      </c>
      <c r="L203" s="48">
        <v>45117</v>
      </c>
      <c r="M203" s="48">
        <v>45482</v>
      </c>
      <c r="N203" s="47" t="s">
        <v>64</v>
      </c>
      <c r="O203" s="55" t="s">
        <v>53</v>
      </c>
      <c r="P203" s="62">
        <v>15780</v>
      </c>
      <c r="Q203" s="62">
        <v>1315</v>
      </c>
      <c r="R203" s="96">
        <v>16320</v>
      </c>
      <c r="S203" s="62">
        <f t="shared" si="42"/>
        <v>1360</v>
      </c>
      <c r="T203" s="62">
        <v>15540</v>
      </c>
      <c r="U203" s="62">
        <f t="shared" si="43"/>
        <v>1295</v>
      </c>
      <c r="V203" s="69">
        <v>14100</v>
      </c>
      <c r="W203" s="71">
        <v>1390</v>
      </c>
      <c r="X203" s="105">
        <f t="shared" si="54"/>
        <v>1365</v>
      </c>
      <c r="Y203" s="171">
        <f t="shared" si="55"/>
        <v>5.4054054054054057E-2</v>
      </c>
      <c r="Z203" s="64">
        <f t="shared" si="50"/>
        <v>7.3359073359073365E-2</v>
      </c>
      <c r="AA203" s="64">
        <f t="shared" si="44"/>
        <v>2.2058823529411766E-2</v>
      </c>
      <c r="AB203" s="71">
        <f t="shared" si="56"/>
        <v>1390</v>
      </c>
      <c r="AC203" s="64">
        <f t="shared" si="51"/>
        <v>7.3359073359073365E-2</v>
      </c>
      <c r="AD203" s="64">
        <f t="shared" si="45"/>
        <v>2.2058823529411766E-2</v>
      </c>
      <c r="AE203" s="71">
        <v>1380</v>
      </c>
      <c r="AF203" s="64">
        <f t="shared" si="52"/>
        <v>6.5637065637065631E-2</v>
      </c>
      <c r="AG203" s="64">
        <f t="shared" si="46"/>
        <v>1.4705882352941176E-2</v>
      </c>
      <c r="AH203" s="67"/>
      <c r="AI203" s="47" t="s">
        <v>54</v>
      </c>
      <c r="AJ203" s="47">
        <v>836</v>
      </c>
      <c r="AK203" s="101" t="s">
        <v>65</v>
      </c>
      <c r="AL203" s="101" t="s">
        <v>55</v>
      </c>
      <c r="AM203" s="47" t="s">
        <v>546</v>
      </c>
      <c r="AN203" s="50"/>
      <c r="AO203" s="211">
        <f t="shared" si="53"/>
        <v>-1</v>
      </c>
      <c r="AP203" s="47" t="s">
        <v>57</v>
      </c>
      <c r="AQ203" s="47" t="s">
        <v>58</v>
      </c>
      <c r="AR203" s="47"/>
    </row>
    <row r="204" spans="1:16373">
      <c r="A204" s="47" t="s">
        <v>44</v>
      </c>
      <c r="B204" s="47" t="str">
        <f t="shared" si="49"/>
        <v>July</v>
      </c>
      <c r="C204" s="59">
        <v>45483</v>
      </c>
      <c r="D204" s="47" t="s">
        <v>45</v>
      </c>
      <c r="E204" s="47" t="s">
        <v>59</v>
      </c>
      <c r="F204" s="47" t="s">
        <v>60</v>
      </c>
      <c r="G204" s="91" t="s">
        <v>547</v>
      </c>
      <c r="H204" s="47" t="s">
        <v>548</v>
      </c>
      <c r="I204" s="47" t="s">
        <v>63</v>
      </c>
      <c r="J204" s="47" t="s">
        <v>51</v>
      </c>
      <c r="K204" s="48">
        <v>44754</v>
      </c>
      <c r="L204" s="48">
        <v>45118</v>
      </c>
      <c r="M204" s="48">
        <v>45483</v>
      </c>
      <c r="N204" s="47" t="s">
        <v>64</v>
      </c>
      <c r="O204" s="55" t="s">
        <v>53</v>
      </c>
      <c r="P204" s="62">
        <v>13020</v>
      </c>
      <c r="Q204" s="62">
        <v>1085</v>
      </c>
      <c r="R204" s="96">
        <v>13560</v>
      </c>
      <c r="S204" s="62">
        <f t="shared" si="42"/>
        <v>1130</v>
      </c>
      <c r="T204" s="62">
        <v>13020</v>
      </c>
      <c r="U204" s="62">
        <f t="shared" si="43"/>
        <v>1085</v>
      </c>
      <c r="V204" s="69">
        <v>11820</v>
      </c>
      <c r="W204" s="71">
        <v>1175</v>
      </c>
      <c r="X204" s="105">
        <f>W204-30</f>
        <v>1145</v>
      </c>
      <c r="Y204" s="171">
        <f t="shared" si="55"/>
        <v>5.5299539170506916E-2</v>
      </c>
      <c r="Z204" s="64">
        <f t="shared" si="50"/>
        <v>8.294930875576037E-2</v>
      </c>
      <c r="AA204" s="64">
        <f t="shared" si="44"/>
        <v>3.9823008849557522E-2</v>
      </c>
      <c r="AB204" s="71">
        <f t="shared" si="56"/>
        <v>1175</v>
      </c>
      <c r="AC204" s="64">
        <f t="shared" si="51"/>
        <v>8.294930875576037E-2</v>
      </c>
      <c r="AD204" s="64">
        <f t="shared" si="45"/>
        <v>3.9823008849557522E-2</v>
      </c>
      <c r="AE204" s="71">
        <v>1145</v>
      </c>
      <c r="AF204" s="64">
        <f t="shared" si="52"/>
        <v>5.5299539170506916E-2</v>
      </c>
      <c r="AG204" s="64">
        <f t="shared" si="46"/>
        <v>1.3274336283185841E-2</v>
      </c>
      <c r="AH204" s="67"/>
      <c r="AI204" s="47" t="s">
        <v>54</v>
      </c>
      <c r="AJ204" s="47">
        <v>582</v>
      </c>
      <c r="AK204" s="101" t="s">
        <v>55</v>
      </c>
      <c r="AL204" s="101" t="s">
        <v>55</v>
      </c>
      <c r="AM204" s="47" t="s">
        <v>549</v>
      </c>
      <c r="AN204" s="50">
        <v>1145</v>
      </c>
      <c r="AO204" s="211">
        <f t="shared" si="53"/>
        <v>5.5299539170506916E-2</v>
      </c>
      <c r="AP204" s="47" t="s">
        <v>57</v>
      </c>
      <c r="AQ204" s="47" t="s">
        <v>58</v>
      </c>
      <c r="AR204" s="47"/>
    </row>
    <row r="205" spans="1:16373">
      <c r="A205" s="47" t="s">
        <v>44</v>
      </c>
      <c r="B205" s="47" t="str">
        <f t="shared" si="49"/>
        <v>July</v>
      </c>
      <c r="C205" s="59">
        <v>45494</v>
      </c>
      <c r="D205" s="47" t="s">
        <v>45</v>
      </c>
      <c r="E205" s="47" t="s">
        <v>59</v>
      </c>
      <c r="F205" s="47" t="s">
        <v>60</v>
      </c>
      <c r="G205" s="91" t="s">
        <v>550</v>
      </c>
      <c r="H205" s="47" t="s">
        <v>551</v>
      </c>
      <c r="I205" s="47" t="s">
        <v>63</v>
      </c>
      <c r="J205" s="47" t="s">
        <v>51</v>
      </c>
      <c r="K205" s="48">
        <v>44764</v>
      </c>
      <c r="L205" s="48">
        <v>45129</v>
      </c>
      <c r="M205" s="48">
        <v>45494</v>
      </c>
      <c r="N205" s="47" t="s">
        <v>64</v>
      </c>
      <c r="O205" s="55" t="s">
        <v>53</v>
      </c>
      <c r="P205" s="62">
        <v>12840</v>
      </c>
      <c r="Q205" s="62">
        <v>1070</v>
      </c>
      <c r="R205" s="96">
        <v>13380</v>
      </c>
      <c r="S205" s="62">
        <f t="shared" si="42"/>
        <v>1115</v>
      </c>
      <c r="T205" s="62">
        <v>12840</v>
      </c>
      <c r="U205" s="62">
        <f t="shared" si="43"/>
        <v>1070</v>
      </c>
      <c r="V205" s="69">
        <v>11760</v>
      </c>
      <c r="W205" s="71">
        <v>1160</v>
      </c>
      <c r="X205" s="105">
        <f>W205-30</f>
        <v>1130</v>
      </c>
      <c r="Y205" s="171">
        <f t="shared" si="55"/>
        <v>5.6074766355140186E-2</v>
      </c>
      <c r="Z205" s="64">
        <f t="shared" si="50"/>
        <v>8.4112149532710276E-2</v>
      </c>
      <c r="AA205" s="64">
        <f t="shared" si="44"/>
        <v>4.0358744394618833E-2</v>
      </c>
      <c r="AB205" s="71">
        <f t="shared" si="56"/>
        <v>1160</v>
      </c>
      <c r="AC205" s="64">
        <f t="shared" si="51"/>
        <v>8.4112149532710276E-2</v>
      </c>
      <c r="AD205" s="64">
        <f t="shared" si="45"/>
        <v>4.0358744394618833E-2</v>
      </c>
      <c r="AE205" s="71">
        <v>1130</v>
      </c>
      <c r="AF205" s="64">
        <f t="shared" si="52"/>
        <v>5.6074766355140186E-2</v>
      </c>
      <c r="AG205" s="64">
        <f t="shared" si="46"/>
        <v>1.3452914798206279E-2</v>
      </c>
      <c r="AH205" s="67"/>
      <c r="AI205" s="47" t="s">
        <v>54</v>
      </c>
      <c r="AJ205" s="47">
        <v>561</v>
      </c>
      <c r="AK205" s="101" t="s">
        <v>55</v>
      </c>
      <c r="AL205" s="101" t="s">
        <v>55</v>
      </c>
      <c r="AM205" s="47" t="s">
        <v>549</v>
      </c>
      <c r="AN205" s="50">
        <v>1120</v>
      </c>
      <c r="AO205" s="211">
        <f t="shared" si="53"/>
        <v>4.6728971962616821E-2</v>
      </c>
      <c r="AP205" s="47" t="s">
        <v>57</v>
      </c>
      <c r="AQ205" s="47" t="s">
        <v>58</v>
      </c>
      <c r="AR205" s="47"/>
    </row>
    <row r="206" spans="1:16373">
      <c r="A206" s="47" t="s">
        <v>44</v>
      </c>
      <c r="B206" s="47" t="str">
        <f t="shared" si="49"/>
        <v>July</v>
      </c>
      <c r="C206" s="59">
        <v>45494</v>
      </c>
      <c r="D206" s="47" t="s">
        <v>45</v>
      </c>
      <c r="E206" s="47" t="s">
        <v>59</v>
      </c>
      <c r="F206" s="47" t="s">
        <v>60</v>
      </c>
      <c r="G206" s="91" t="s">
        <v>552</v>
      </c>
      <c r="H206" s="47" t="s">
        <v>553</v>
      </c>
      <c r="I206" s="47" t="s">
        <v>63</v>
      </c>
      <c r="J206" s="47" t="s">
        <v>51</v>
      </c>
      <c r="K206" s="48">
        <v>44764</v>
      </c>
      <c r="L206" s="48">
        <v>45129</v>
      </c>
      <c r="M206" s="48">
        <v>45494</v>
      </c>
      <c r="N206" s="47" t="s">
        <v>64</v>
      </c>
      <c r="O206" s="55" t="s">
        <v>53</v>
      </c>
      <c r="P206" s="62">
        <v>15660</v>
      </c>
      <c r="Q206" s="62">
        <v>1305</v>
      </c>
      <c r="R206" s="96">
        <v>16200</v>
      </c>
      <c r="S206" s="62">
        <f t="shared" si="42"/>
        <v>1350</v>
      </c>
      <c r="T206" s="62">
        <v>15660</v>
      </c>
      <c r="U206" s="62">
        <f t="shared" si="43"/>
        <v>1305</v>
      </c>
      <c r="V206" s="69">
        <v>14160</v>
      </c>
      <c r="W206" s="71">
        <v>1405</v>
      </c>
      <c r="X206" s="105">
        <f t="shared" ref="X206:X212" si="57">W206-25</f>
        <v>1380</v>
      </c>
      <c r="Y206" s="171">
        <f t="shared" si="55"/>
        <v>5.7471264367816091E-2</v>
      </c>
      <c r="Z206" s="64">
        <f t="shared" si="50"/>
        <v>7.662835249042145E-2</v>
      </c>
      <c r="AA206" s="64">
        <f t="shared" si="44"/>
        <v>4.0740740740740744E-2</v>
      </c>
      <c r="AB206" s="71">
        <f t="shared" si="56"/>
        <v>1405</v>
      </c>
      <c r="AC206" s="64">
        <f t="shared" si="51"/>
        <v>7.662835249042145E-2</v>
      </c>
      <c r="AD206" s="64">
        <f t="shared" si="45"/>
        <v>4.0740740740740744E-2</v>
      </c>
      <c r="AE206" s="71">
        <v>1375</v>
      </c>
      <c r="AF206" s="64">
        <f t="shared" si="52"/>
        <v>5.3639846743295021E-2</v>
      </c>
      <c r="AG206" s="64">
        <f t="shared" si="46"/>
        <v>1.8518518518518517E-2</v>
      </c>
      <c r="AH206" s="67"/>
      <c r="AI206" s="47" t="s">
        <v>54</v>
      </c>
      <c r="AJ206" s="47">
        <v>799</v>
      </c>
      <c r="AK206" s="101" t="s">
        <v>65</v>
      </c>
      <c r="AL206" s="101" t="s">
        <v>65</v>
      </c>
      <c r="AM206" s="47" t="s">
        <v>554</v>
      </c>
      <c r="AN206" s="50">
        <v>1375</v>
      </c>
      <c r="AO206" s="211">
        <f t="shared" si="53"/>
        <v>5.3639846743295021E-2</v>
      </c>
      <c r="AP206" s="47" t="s">
        <v>57</v>
      </c>
      <c r="AQ206" s="47" t="s">
        <v>58</v>
      </c>
      <c r="AR206" s="47"/>
    </row>
    <row r="207" spans="1:16373">
      <c r="A207" s="47" t="s">
        <v>44</v>
      </c>
      <c r="B207" s="47" t="str">
        <f t="shared" si="49"/>
        <v>July</v>
      </c>
      <c r="C207" s="59">
        <v>45499</v>
      </c>
      <c r="D207" s="47" t="s">
        <v>45</v>
      </c>
      <c r="E207" s="47" t="s">
        <v>59</v>
      </c>
      <c r="F207" s="47" t="s">
        <v>60</v>
      </c>
      <c r="G207" s="91" t="s">
        <v>555</v>
      </c>
      <c r="H207" s="47" t="s">
        <v>556</v>
      </c>
      <c r="I207" s="47" t="s">
        <v>63</v>
      </c>
      <c r="J207" s="47" t="s">
        <v>51</v>
      </c>
      <c r="K207" s="48">
        <v>44769</v>
      </c>
      <c r="L207" s="48">
        <v>45134</v>
      </c>
      <c r="M207" s="48">
        <v>45499</v>
      </c>
      <c r="N207" s="47" t="s">
        <v>64</v>
      </c>
      <c r="O207" s="55" t="s">
        <v>53</v>
      </c>
      <c r="P207" s="62">
        <v>15900</v>
      </c>
      <c r="Q207" s="62">
        <v>1325</v>
      </c>
      <c r="R207" s="96">
        <v>16440</v>
      </c>
      <c r="S207" s="62">
        <f t="shared" si="42"/>
        <v>1370</v>
      </c>
      <c r="T207" s="62">
        <v>15600</v>
      </c>
      <c r="U207" s="62">
        <f t="shared" si="43"/>
        <v>1300</v>
      </c>
      <c r="V207" s="69">
        <v>14220</v>
      </c>
      <c r="W207" s="71">
        <v>1400</v>
      </c>
      <c r="X207" s="105">
        <f t="shared" si="57"/>
        <v>1375</v>
      </c>
      <c r="Y207" s="171">
        <f t="shared" si="55"/>
        <v>5.7692307692307696E-2</v>
      </c>
      <c r="Z207" s="64">
        <f t="shared" si="50"/>
        <v>7.6923076923076927E-2</v>
      </c>
      <c r="AA207" s="64">
        <f t="shared" si="44"/>
        <v>2.1897810218978103E-2</v>
      </c>
      <c r="AB207" s="71">
        <f t="shared" si="56"/>
        <v>1400</v>
      </c>
      <c r="AC207" s="64">
        <f t="shared" si="51"/>
        <v>7.6923076923076927E-2</v>
      </c>
      <c r="AD207" s="64">
        <f t="shared" si="45"/>
        <v>2.1897810218978103E-2</v>
      </c>
      <c r="AE207" s="71">
        <v>1390</v>
      </c>
      <c r="AF207" s="64">
        <f t="shared" si="52"/>
        <v>6.9230769230769235E-2</v>
      </c>
      <c r="AG207" s="64">
        <f t="shared" si="46"/>
        <v>1.4598540145985401E-2</v>
      </c>
      <c r="AH207" s="67"/>
      <c r="AI207" s="47" t="s">
        <v>54</v>
      </c>
      <c r="AJ207" s="47">
        <v>711</v>
      </c>
      <c r="AK207" s="101" t="s">
        <v>65</v>
      </c>
      <c r="AL207" s="101" t="s">
        <v>65</v>
      </c>
      <c r="AM207" s="47" t="s">
        <v>515</v>
      </c>
      <c r="AN207" s="50">
        <v>1400</v>
      </c>
      <c r="AO207" s="211">
        <f t="shared" si="53"/>
        <v>7.6923076923076927E-2</v>
      </c>
      <c r="AP207" s="47" t="s">
        <v>57</v>
      </c>
      <c r="AQ207" s="47" t="s">
        <v>58</v>
      </c>
      <c r="AR207" s="47"/>
    </row>
    <row r="208" spans="1:16373">
      <c r="A208" s="47" t="s">
        <v>74</v>
      </c>
      <c r="B208" s="47" t="str">
        <f t="shared" si="49"/>
        <v>July</v>
      </c>
      <c r="C208" s="59">
        <v>45487</v>
      </c>
      <c r="D208" s="47" t="s">
        <v>45</v>
      </c>
      <c r="E208" s="47" t="s">
        <v>59</v>
      </c>
      <c r="F208" s="47" t="s">
        <v>60</v>
      </c>
      <c r="G208" s="91" t="s">
        <v>557</v>
      </c>
      <c r="H208" s="47" t="s">
        <v>558</v>
      </c>
      <c r="I208" s="112" t="s">
        <v>63</v>
      </c>
      <c r="J208" s="47" t="s">
        <v>51</v>
      </c>
      <c r="K208" s="48">
        <v>44757</v>
      </c>
      <c r="L208" s="48">
        <v>45122</v>
      </c>
      <c r="M208" s="48">
        <v>45487</v>
      </c>
      <c r="N208" s="47" t="s">
        <v>64</v>
      </c>
      <c r="O208" s="55" t="s">
        <v>53</v>
      </c>
      <c r="P208" s="62">
        <v>15420</v>
      </c>
      <c r="Q208" s="62">
        <v>1285</v>
      </c>
      <c r="R208" s="96">
        <v>15960</v>
      </c>
      <c r="S208" s="62">
        <f t="shared" si="42"/>
        <v>1330</v>
      </c>
      <c r="T208" s="62">
        <v>15180</v>
      </c>
      <c r="U208" s="62">
        <f t="shared" si="43"/>
        <v>1265</v>
      </c>
      <c r="V208" s="69">
        <v>13800</v>
      </c>
      <c r="W208" s="71">
        <v>1365</v>
      </c>
      <c r="X208" s="105">
        <f t="shared" si="57"/>
        <v>1340</v>
      </c>
      <c r="Y208" s="171">
        <f t="shared" si="55"/>
        <v>5.9288537549407112E-2</v>
      </c>
      <c r="Z208" s="64">
        <f t="shared" si="50"/>
        <v>7.9051383399209488E-2</v>
      </c>
      <c r="AA208" s="64">
        <f t="shared" si="44"/>
        <v>2.6315789473684209E-2</v>
      </c>
      <c r="AB208" s="71">
        <f t="shared" si="56"/>
        <v>1365</v>
      </c>
      <c r="AC208" s="64">
        <f t="shared" si="51"/>
        <v>7.9051383399209488E-2</v>
      </c>
      <c r="AD208" s="64">
        <f t="shared" si="45"/>
        <v>2.6315789473684209E-2</v>
      </c>
      <c r="AE208" s="71">
        <v>1335</v>
      </c>
      <c r="AF208" s="64">
        <f t="shared" si="52"/>
        <v>5.533596837944664E-2</v>
      </c>
      <c r="AG208" s="64">
        <f t="shared" si="46"/>
        <v>3.7593984962406013E-3</v>
      </c>
      <c r="AH208" s="67"/>
      <c r="AI208" s="47" t="s">
        <v>54</v>
      </c>
      <c r="AJ208" s="47">
        <v>715</v>
      </c>
      <c r="AK208" s="101" t="s">
        <v>65</v>
      </c>
      <c r="AL208" s="101" t="s">
        <v>65</v>
      </c>
      <c r="AM208" s="47" t="s">
        <v>433</v>
      </c>
      <c r="AN208" s="50"/>
      <c r="AO208" s="211">
        <f t="shared" si="53"/>
        <v>-1</v>
      </c>
      <c r="AP208" s="47" t="s">
        <v>57</v>
      </c>
      <c r="AQ208" s="47" t="s">
        <v>58</v>
      </c>
      <c r="AR208" s="47"/>
    </row>
    <row r="209" spans="1:16373">
      <c r="A209" s="47" t="s">
        <v>44</v>
      </c>
      <c r="B209" s="47" t="str">
        <f t="shared" si="49"/>
        <v>July</v>
      </c>
      <c r="C209" s="59">
        <v>45496</v>
      </c>
      <c r="D209" s="47" t="s">
        <v>45</v>
      </c>
      <c r="E209" s="47" t="s">
        <v>59</v>
      </c>
      <c r="F209" s="47" t="s">
        <v>60</v>
      </c>
      <c r="G209" s="91" t="s">
        <v>559</v>
      </c>
      <c r="H209" s="47" t="s">
        <v>560</v>
      </c>
      <c r="I209" s="47" t="s">
        <v>63</v>
      </c>
      <c r="J209" s="47" t="s">
        <v>51</v>
      </c>
      <c r="K209" s="48">
        <v>44585</v>
      </c>
      <c r="L209" s="48">
        <v>45131</v>
      </c>
      <c r="M209" s="48">
        <v>45496</v>
      </c>
      <c r="N209" s="47" t="s">
        <v>64</v>
      </c>
      <c r="O209" s="55" t="s">
        <v>53</v>
      </c>
      <c r="P209" s="62">
        <v>15720</v>
      </c>
      <c r="Q209" s="62">
        <v>1310</v>
      </c>
      <c r="R209" s="96">
        <v>16260</v>
      </c>
      <c r="S209" s="62">
        <f t="shared" si="42"/>
        <v>1355</v>
      </c>
      <c r="T209" s="62">
        <v>15720</v>
      </c>
      <c r="U209" s="62">
        <f t="shared" si="43"/>
        <v>1310</v>
      </c>
      <c r="V209" s="69">
        <v>14400</v>
      </c>
      <c r="W209" s="71">
        <v>1415</v>
      </c>
      <c r="X209" s="105">
        <f t="shared" si="57"/>
        <v>1390</v>
      </c>
      <c r="Y209" s="171">
        <f t="shared" si="55"/>
        <v>6.1068702290076333E-2</v>
      </c>
      <c r="Z209" s="64">
        <f t="shared" si="50"/>
        <v>8.0152671755725186E-2</v>
      </c>
      <c r="AA209" s="64">
        <f t="shared" si="44"/>
        <v>4.4280442804428041E-2</v>
      </c>
      <c r="AB209" s="71">
        <f t="shared" si="56"/>
        <v>1415</v>
      </c>
      <c r="AC209" s="64">
        <f t="shared" si="51"/>
        <v>8.0152671755725186E-2</v>
      </c>
      <c r="AD209" s="64">
        <f t="shared" si="45"/>
        <v>4.4280442804428041E-2</v>
      </c>
      <c r="AE209" s="71">
        <v>1395</v>
      </c>
      <c r="AF209" s="64">
        <f t="shared" si="52"/>
        <v>6.4885496183206104E-2</v>
      </c>
      <c r="AG209" s="64">
        <f t="shared" si="46"/>
        <v>2.9520295202952029E-2</v>
      </c>
      <c r="AH209" s="67"/>
      <c r="AI209" s="47" t="s">
        <v>54</v>
      </c>
      <c r="AJ209" s="47">
        <v>668</v>
      </c>
      <c r="AK209" s="101" t="s">
        <v>65</v>
      </c>
      <c r="AL209" s="101" t="s">
        <v>65</v>
      </c>
      <c r="AM209" s="47" t="s">
        <v>515</v>
      </c>
      <c r="AN209" s="50">
        <v>1395</v>
      </c>
      <c r="AO209" s="211">
        <f t="shared" si="53"/>
        <v>6.4885496183206104E-2</v>
      </c>
      <c r="AP209" s="47" t="s">
        <v>57</v>
      </c>
      <c r="AQ209" s="47" t="s">
        <v>58</v>
      </c>
      <c r="AR209" s="47"/>
    </row>
    <row r="210" spans="1:16373">
      <c r="A210" s="47" t="s">
        <v>44</v>
      </c>
      <c r="B210" s="47" t="str">
        <f t="shared" si="49"/>
        <v>July</v>
      </c>
      <c r="C210" s="59">
        <v>45502</v>
      </c>
      <c r="D210" s="47" t="s">
        <v>45</v>
      </c>
      <c r="E210" s="47" t="s">
        <v>59</v>
      </c>
      <c r="F210" s="47" t="s">
        <v>60</v>
      </c>
      <c r="G210" s="91" t="s">
        <v>561</v>
      </c>
      <c r="H210" s="47" t="s">
        <v>562</v>
      </c>
      <c r="I210" s="47" t="s">
        <v>63</v>
      </c>
      <c r="J210" s="47" t="s">
        <v>51</v>
      </c>
      <c r="K210" s="48">
        <v>44043</v>
      </c>
      <c r="L210" s="48">
        <v>45137</v>
      </c>
      <c r="M210" s="48">
        <v>45502</v>
      </c>
      <c r="N210" s="47" t="s">
        <v>64</v>
      </c>
      <c r="O210" s="55" t="s">
        <v>53</v>
      </c>
      <c r="P210" s="62">
        <v>16080</v>
      </c>
      <c r="Q210" s="62">
        <v>1340</v>
      </c>
      <c r="R210" s="96">
        <v>16620</v>
      </c>
      <c r="S210" s="62">
        <f t="shared" si="42"/>
        <v>1385</v>
      </c>
      <c r="T210" s="62">
        <v>15660</v>
      </c>
      <c r="U210" s="62">
        <f t="shared" si="43"/>
        <v>1305</v>
      </c>
      <c r="V210" s="69">
        <v>14400</v>
      </c>
      <c r="W210" s="71">
        <v>1415</v>
      </c>
      <c r="X210" s="105">
        <f t="shared" si="57"/>
        <v>1390</v>
      </c>
      <c r="Y210" s="171">
        <f t="shared" si="55"/>
        <v>6.5134099616858232E-2</v>
      </c>
      <c r="Z210" s="64">
        <f t="shared" si="50"/>
        <v>8.4291187739463605E-2</v>
      </c>
      <c r="AA210" s="64">
        <f t="shared" si="44"/>
        <v>2.1660649819494584E-2</v>
      </c>
      <c r="AB210" s="71">
        <f t="shared" si="56"/>
        <v>1415</v>
      </c>
      <c r="AC210" s="64">
        <f t="shared" si="51"/>
        <v>8.4291187739463605E-2</v>
      </c>
      <c r="AD210" s="64">
        <f t="shared" si="45"/>
        <v>2.1660649819494584E-2</v>
      </c>
      <c r="AE210" s="71">
        <f>AB210-20</f>
        <v>1395</v>
      </c>
      <c r="AF210" s="64">
        <f t="shared" si="52"/>
        <v>6.8965517241379309E-2</v>
      </c>
      <c r="AG210" s="64">
        <f t="shared" si="46"/>
        <v>7.2202166064981952E-3</v>
      </c>
      <c r="AH210" s="67"/>
      <c r="AI210" s="47" t="s">
        <v>54</v>
      </c>
      <c r="AJ210" s="47">
        <v>711</v>
      </c>
      <c r="AK210" s="101" t="s">
        <v>65</v>
      </c>
      <c r="AL210" s="101" t="s">
        <v>65</v>
      </c>
      <c r="AM210" s="47" t="s">
        <v>563</v>
      </c>
      <c r="AN210" s="50"/>
      <c r="AO210" s="211">
        <f t="shared" si="53"/>
        <v>-1</v>
      </c>
      <c r="AP210" s="47" t="s">
        <v>57</v>
      </c>
      <c r="AQ210" s="47" t="s">
        <v>58</v>
      </c>
      <c r="AR210" s="47"/>
    </row>
    <row r="211" spans="1:16373">
      <c r="A211" s="47" t="s">
        <v>44</v>
      </c>
      <c r="B211" s="47" t="str">
        <f t="shared" si="49"/>
        <v>July</v>
      </c>
      <c r="C211" s="59">
        <v>45494</v>
      </c>
      <c r="D211" s="47" t="s">
        <v>45</v>
      </c>
      <c r="E211" s="47" t="s">
        <v>59</v>
      </c>
      <c r="F211" s="47" t="s">
        <v>60</v>
      </c>
      <c r="G211" s="91" t="s">
        <v>566</v>
      </c>
      <c r="H211" s="47" t="s">
        <v>567</v>
      </c>
      <c r="I211" s="47" t="s">
        <v>63</v>
      </c>
      <c r="J211" s="47" t="s">
        <v>51</v>
      </c>
      <c r="K211" s="48">
        <v>44764</v>
      </c>
      <c r="L211" s="48">
        <v>45129</v>
      </c>
      <c r="M211" s="48">
        <v>45494</v>
      </c>
      <c r="N211" s="47" t="s">
        <v>64</v>
      </c>
      <c r="O211" s="55" t="s">
        <v>53</v>
      </c>
      <c r="P211" s="62">
        <v>16080</v>
      </c>
      <c r="Q211" s="62">
        <v>1340</v>
      </c>
      <c r="R211" s="96">
        <v>16620</v>
      </c>
      <c r="S211" s="62">
        <f t="shared" si="42"/>
        <v>1385</v>
      </c>
      <c r="T211" s="62">
        <v>15600</v>
      </c>
      <c r="U211" s="62">
        <f t="shared" si="43"/>
        <v>1300</v>
      </c>
      <c r="V211" s="69">
        <v>14400</v>
      </c>
      <c r="W211" s="71">
        <v>1415</v>
      </c>
      <c r="X211" s="105">
        <f t="shared" si="57"/>
        <v>1390</v>
      </c>
      <c r="Y211" s="171">
        <f t="shared" si="55"/>
        <v>6.9230769230769235E-2</v>
      </c>
      <c r="Z211" s="64">
        <f t="shared" si="50"/>
        <v>8.8461538461538466E-2</v>
      </c>
      <c r="AA211" s="64">
        <f t="shared" si="44"/>
        <v>2.1660649819494584E-2</v>
      </c>
      <c r="AB211" s="71">
        <f t="shared" si="56"/>
        <v>1415</v>
      </c>
      <c r="AC211" s="64">
        <f t="shared" si="51"/>
        <v>8.8461538461538466E-2</v>
      </c>
      <c r="AD211" s="64">
        <f t="shared" si="45"/>
        <v>2.1660649819494584E-2</v>
      </c>
      <c r="AE211" s="71">
        <v>1390</v>
      </c>
      <c r="AF211" s="64">
        <f t="shared" si="52"/>
        <v>6.9230769230769235E-2</v>
      </c>
      <c r="AG211" s="64">
        <f t="shared" si="46"/>
        <v>3.6101083032490976E-3</v>
      </c>
      <c r="AH211" s="67"/>
      <c r="AI211" s="47" t="s">
        <v>54</v>
      </c>
      <c r="AJ211" s="47">
        <v>709</v>
      </c>
      <c r="AK211" s="101" t="s">
        <v>65</v>
      </c>
      <c r="AL211" s="101" t="s">
        <v>65</v>
      </c>
      <c r="AM211" s="47" t="s">
        <v>563</v>
      </c>
      <c r="AN211" s="50">
        <v>1375</v>
      </c>
      <c r="AO211" s="211">
        <f t="shared" si="53"/>
        <v>5.7692307692307696E-2</v>
      </c>
      <c r="AP211" s="47" t="s">
        <v>57</v>
      </c>
      <c r="AQ211" s="47" t="s">
        <v>58</v>
      </c>
      <c r="AR211" s="47"/>
    </row>
    <row r="212" spans="1:16373">
      <c r="A212" s="47" t="s">
        <v>44</v>
      </c>
      <c r="B212" s="47" t="str">
        <f t="shared" si="49"/>
        <v>July</v>
      </c>
      <c r="C212" s="59">
        <v>45498</v>
      </c>
      <c r="D212" s="47" t="s">
        <v>45</v>
      </c>
      <c r="E212" s="47" t="s">
        <v>59</v>
      </c>
      <c r="F212" s="47" t="s">
        <v>60</v>
      </c>
      <c r="G212" s="91" t="s">
        <v>583</v>
      </c>
      <c r="H212" s="47" t="s">
        <v>584</v>
      </c>
      <c r="I212" s="47" t="s">
        <v>63</v>
      </c>
      <c r="J212" s="47" t="s">
        <v>51</v>
      </c>
      <c r="K212" s="48">
        <v>44768</v>
      </c>
      <c r="L212" s="48">
        <v>45133</v>
      </c>
      <c r="M212" s="48">
        <v>45498</v>
      </c>
      <c r="N212" s="47" t="s">
        <v>64</v>
      </c>
      <c r="O212" s="55" t="s">
        <v>53</v>
      </c>
      <c r="P212" s="62">
        <v>15900</v>
      </c>
      <c r="Q212" s="62">
        <v>1325</v>
      </c>
      <c r="R212" s="96">
        <v>16440</v>
      </c>
      <c r="S212" s="62">
        <f t="shared" si="42"/>
        <v>1370</v>
      </c>
      <c r="T212" s="62">
        <v>15420</v>
      </c>
      <c r="U212" s="62">
        <f t="shared" si="43"/>
        <v>1285</v>
      </c>
      <c r="V212" s="69">
        <v>14220</v>
      </c>
      <c r="W212" s="71">
        <v>1410</v>
      </c>
      <c r="X212" s="105">
        <f t="shared" si="57"/>
        <v>1385</v>
      </c>
      <c r="Y212" s="171">
        <f t="shared" si="55"/>
        <v>7.7821011673151752E-2</v>
      </c>
      <c r="Z212" s="64">
        <f t="shared" si="50"/>
        <v>9.727626459143969E-2</v>
      </c>
      <c r="AA212" s="64">
        <f t="shared" si="44"/>
        <v>2.9197080291970802E-2</v>
      </c>
      <c r="AB212" s="71">
        <f t="shared" si="56"/>
        <v>1410</v>
      </c>
      <c r="AC212" s="64">
        <f t="shared" si="51"/>
        <v>9.727626459143969E-2</v>
      </c>
      <c r="AD212" s="64">
        <f t="shared" si="45"/>
        <v>2.9197080291970802E-2</v>
      </c>
      <c r="AE212" s="71">
        <v>1375</v>
      </c>
      <c r="AF212" s="64">
        <f t="shared" si="52"/>
        <v>7.0038910505836577E-2</v>
      </c>
      <c r="AG212" s="64">
        <f t="shared" si="46"/>
        <v>3.6496350364963502E-3</v>
      </c>
      <c r="AH212" s="67"/>
      <c r="AI212" s="47" t="s">
        <v>54</v>
      </c>
      <c r="AJ212" s="47">
        <v>711</v>
      </c>
      <c r="AK212" s="101" t="s">
        <v>65</v>
      </c>
      <c r="AL212" s="101" t="s">
        <v>65</v>
      </c>
      <c r="AM212" s="47" t="s">
        <v>430</v>
      </c>
      <c r="AN212" s="50"/>
      <c r="AO212" s="211">
        <f t="shared" si="53"/>
        <v>-1</v>
      </c>
      <c r="AP212" s="47" t="s">
        <v>57</v>
      </c>
      <c r="AQ212" s="47" t="s">
        <v>58</v>
      </c>
      <c r="AR212" s="47"/>
    </row>
    <row r="213" spans="1:16373" s="135" customFormat="1">
      <c r="A213" s="47" t="s">
        <v>44</v>
      </c>
      <c r="B213" s="47" t="str">
        <f t="shared" si="49"/>
        <v>July</v>
      </c>
      <c r="C213" s="59">
        <v>45498</v>
      </c>
      <c r="D213" s="47" t="s">
        <v>45</v>
      </c>
      <c r="E213" s="47" t="s">
        <v>59</v>
      </c>
      <c r="F213" s="47" t="s">
        <v>60</v>
      </c>
      <c r="G213" s="91" t="s">
        <v>599</v>
      </c>
      <c r="H213" s="47" t="s">
        <v>600</v>
      </c>
      <c r="I213" s="47" t="s">
        <v>63</v>
      </c>
      <c r="J213" s="47" t="s">
        <v>51</v>
      </c>
      <c r="K213" s="48">
        <v>44403</v>
      </c>
      <c r="L213" s="48">
        <v>44768</v>
      </c>
      <c r="M213" s="48">
        <v>45498</v>
      </c>
      <c r="N213" s="47" t="s">
        <v>64</v>
      </c>
      <c r="O213" s="55" t="s">
        <v>53</v>
      </c>
      <c r="P213" s="62">
        <v>12000</v>
      </c>
      <c r="Q213" s="62">
        <v>1000</v>
      </c>
      <c r="R213" s="96">
        <v>12480</v>
      </c>
      <c r="S213" s="62">
        <f t="shared" si="42"/>
        <v>1040</v>
      </c>
      <c r="T213" s="62">
        <v>11364.36</v>
      </c>
      <c r="U213" s="62">
        <f t="shared" si="43"/>
        <v>947.03000000000009</v>
      </c>
      <c r="V213" s="69">
        <v>10980</v>
      </c>
      <c r="W213" s="71">
        <v>1110</v>
      </c>
      <c r="X213" s="105">
        <f>W213-30</f>
        <v>1080</v>
      </c>
      <c r="Y213" s="171">
        <f t="shared" si="55"/>
        <v>0.14040737885811422</v>
      </c>
      <c r="Z213" s="64">
        <f t="shared" si="50"/>
        <v>0.17208536160417293</v>
      </c>
      <c r="AA213" s="64">
        <f t="shared" si="44"/>
        <v>6.7307692307692304E-2</v>
      </c>
      <c r="AB213" s="71">
        <f t="shared" si="56"/>
        <v>1110</v>
      </c>
      <c r="AC213" s="64">
        <f t="shared" si="51"/>
        <v>0.17208536160417293</v>
      </c>
      <c r="AD213" s="64">
        <f t="shared" si="45"/>
        <v>6.7307692307692304E-2</v>
      </c>
      <c r="AE213" s="71">
        <v>1065</v>
      </c>
      <c r="AF213" s="64">
        <f t="shared" si="52"/>
        <v>0.12456838748508485</v>
      </c>
      <c r="AG213" s="64">
        <f t="shared" si="46"/>
        <v>2.403846153846154E-2</v>
      </c>
      <c r="AH213" s="67"/>
      <c r="AI213" s="47" t="s">
        <v>54</v>
      </c>
      <c r="AJ213" s="47">
        <v>528</v>
      </c>
      <c r="AK213" s="101" t="s">
        <v>55</v>
      </c>
      <c r="AL213" s="101" t="s">
        <v>55</v>
      </c>
      <c r="AM213" s="47" t="s">
        <v>601</v>
      </c>
      <c r="AN213" s="50">
        <v>1090</v>
      </c>
      <c r="AO213" s="211">
        <f t="shared" si="53"/>
        <v>0.1509667064401338</v>
      </c>
      <c r="AP213" s="47" t="s">
        <v>57</v>
      </c>
      <c r="AQ213" s="47" t="s">
        <v>58</v>
      </c>
      <c r="AR213" s="47"/>
      <c r="AS213" s="52"/>
      <c r="AT213" s="52"/>
      <c r="AU213" s="52"/>
      <c r="AV213" s="52"/>
      <c r="AW213" s="52"/>
      <c r="AX213" s="52"/>
      <c r="AY213" s="52"/>
      <c r="AZ213" s="52"/>
      <c r="BA213" s="52"/>
      <c r="BB213" s="52"/>
      <c r="BC213" s="52"/>
      <c r="BD213" s="52"/>
      <c r="BE213" s="52"/>
      <c r="BF213" s="52"/>
      <c r="BG213" s="52"/>
      <c r="BH213" s="52"/>
      <c r="BI213" s="52"/>
      <c r="BJ213" s="52"/>
      <c r="BK213" s="52"/>
      <c r="BL213" s="52"/>
      <c r="BM213" s="52"/>
      <c r="BN213" s="52"/>
      <c r="BO213" s="52"/>
      <c r="BP213" s="52"/>
      <c r="BQ213" s="52"/>
      <c r="BR213" s="52"/>
      <c r="BS213" s="52"/>
      <c r="BT213" s="52"/>
      <c r="BU213" s="52"/>
      <c r="BV213" s="52"/>
      <c r="BW213" s="52"/>
      <c r="BX213" s="52"/>
      <c r="BY213" s="52"/>
      <c r="BZ213" s="52"/>
      <c r="CA213" s="52"/>
      <c r="CB213" s="52"/>
      <c r="CC213" s="52"/>
      <c r="CD213" s="52"/>
      <c r="CE213" s="52"/>
      <c r="CF213" s="52"/>
      <c r="CG213" s="52"/>
      <c r="CH213" s="52"/>
      <c r="CI213" s="52"/>
      <c r="CJ213" s="52"/>
      <c r="CK213" s="52"/>
      <c r="CL213" s="52"/>
      <c r="CM213" s="52"/>
      <c r="CN213" s="52"/>
      <c r="CO213" s="52"/>
      <c r="CP213" s="52"/>
      <c r="CQ213" s="52"/>
      <c r="CR213" s="52"/>
      <c r="CS213" s="52"/>
      <c r="CT213" s="52"/>
      <c r="CU213" s="52"/>
      <c r="CV213" s="52"/>
      <c r="CW213" s="52"/>
      <c r="CX213" s="52"/>
      <c r="CY213" s="52"/>
      <c r="CZ213" s="52"/>
      <c r="DA213" s="52"/>
      <c r="DB213" s="52"/>
      <c r="DC213" s="52"/>
      <c r="DD213" s="52"/>
      <c r="DE213" s="52"/>
      <c r="DF213" s="52"/>
      <c r="DG213" s="52"/>
      <c r="DH213" s="52"/>
      <c r="DI213" s="52"/>
      <c r="DJ213" s="52"/>
      <c r="DK213" s="52"/>
      <c r="DL213" s="52"/>
      <c r="DM213" s="52"/>
      <c r="DN213" s="52"/>
      <c r="DO213" s="52"/>
      <c r="DP213" s="52"/>
      <c r="DQ213" s="52"/>
      <c r="DR213" s="52"/>
      <c r="DS213" s="52"/>
      <c r="DT213" s="52"/>
      <c r="DU213" s="52"/>
      <c r="DV213" s="52"/>
      <c r="DW213" s="52"/>
      <c r="DX213" s="52"/>
      <c r="DY213" s="52"/>
      <c r="DZ213" s="52"/>
      <c r="EA213" s="52"/>
      <c r="EB213" s="52"/>
      <c r="EC213" s="52"/>
      <c r="ED213" s="52"/>
      <c r="EE213" s="52"/>
      <c r="EF213" s="52"/>
      <c r="EG213" s="52"/>
      <c r="EH213" s="52"/>
      <c r="EI213" s="52"/>
      <c r="EJ213" s="52"/>
      <c r="EK213" s="52"/>
      <c r="EL213" s="52"/>
      <c r="EM213" s="52"/>
      <c r="EN213" s="52"/>
      <c r="EO213" s="52"/>
      <c r="EP213" s="52"/>
      <c r="EQ213" s="52"/>
      <c r="ER213" s="52"/>
      <c r="ES213" s="52"/>
      <c r="ET213" s="52"/>
      <c r="EU213" s="52"/>
      <c r="EV213" s="52"/>
      <c r="EW213" s="52"/>
      <c r="EX213" s="52"/>
      <c r="EY213" s="52"/>
      <c r="EZ213" s="52"/>
      <c r="FA213" s="52"/>
      <c r="FB213" s="52"/>
      <c r="FC213" s="52"/>
      <c r="FD213" s="52"/>
      <c r="FE213" s="52"/>
      <c r="FF213" s="52"/>
      <c r="FG213" s="52"/>
      <c r="FH213" s="52"/>
      <c r="FI213" s="52"/>
      <c r="FJ213" s="52"/>
      <c r="FK213" s="52"/>
      <c r="FL213" s="52"/>
      <c r="FM213" s="52"/>
      <c r="FN213" s="52"/>
      <c r="FO213" s="52"/>
      <c r="FP213" s="52"/>
      <c r="FQ213" s="52"/>
      <c r="FR213" s="52"/>
      <c r="FS213" s="52"/>
      <c r="FT213" s="52"/>
      <c r="FU213" s="52"/>
      <c r="FV213" s="52"/>
      <c r="FW213" s="52"/>
      <c r="FX213" s="52"/>
      <c r="FY213" s="52"/>
      <c r="FZ213" s="52"/>
      <c r="GA213" s="52"/>
      <c r="GB213" s="52"/>
      <c r="GC213" s="52"/>
      <c r="GD213" s="52"/>
      <c r="GE213" s="52"/>
      <c r="GF213" s="52"/>
      <c r="GG213" s="52"/>
      <c r="GH213" s="52"/>
      <c r="GI213" s="52"/>
      <c r="GJ213" s="52"/>
      <c r="GK213" s="52"/>
      <c r="GL213" s="52"/>
      <c r="GM213" s="52"/>
      <c r="GN213" s="52"/>
      <c r="GO213" s="52"/>
      <c r="GP213" s="52"/>
      <c r="GQ213" s="52"/>
      <c r="GR213" s="52"/>
      <c r="GS213" s="52"/>
      <c r="GT213" s="52"/>
      <c r="GU213" s="52"/>
      <c r="GV213" s="52"/>
      <c r="GW213" s="52"/>
      <c r="GX213" s="52"/>
      <c r="GY213" s="52"/>
      <c r="GZ213" s="52"/>
      <c r="HA213" s="52"/>
      <c r="HB213" s="52"/>
      <c r="HC213" s="52"/>
      <c r="HD213" s="52"/>
      <c r="HE213" s="52"/>
      <c r="HF213" s="52"/>
      <c r="HG213" s="52"/>
      <c r="HH213" s="52"/>
      <c r="HI213" s="52"/>
      <c r="HJ213" s="52"/>
      <c r="HK213" s="52"/>
      <c r="HL213" s="52"/>
      <c r="HM213" s="52"/>
      <c r="HN213" s="52"/>
      <c r="HO213" s="52"/>
      <c r="HP213" s="52"/>
      <c r="HQ213" s="52"/>
      <c r="HR213" s="52"/>
      <c r="HS213" s="52"/>
      <c r="HT213" s="52"/>
      <c r="HU213" s="52"/>
      <c r="HV213" s="52"/>
      <c r="HW213" s="52"/>
      <c r="HX213" s="52"/>
      <c r="HY213" s="52"/>
      <c r="HZ213" s="52"/>
      <c r="IA213" s="52"/>
      <c r="IB213" s="52"/>
      <c r="IC213" s="52"/>
      <c r="ID213" s="52"/>
      <c r="IE213" s="52"/>
      <c r="IF213" s="52"/>
      <c r="IG213" s="52"/>
      <c r="IH213" s="52"/>
      <c r="II213" s="52"/>
      <c r="IJ213" s="52"/>
      <c r="IK213" s="52"/>
      <c r="IL213" s="52"/>
      <c r="IM213" s="52"/>
      <c r="IN213" s="52"/>
      <c r="IO213" s="52"/>
      <c r="IP213" s="52"/>
      <c r="IQ213" s="52"/>
      <c r="IR213" s="52"/>
      <c r="IS213" s="52"/>
      <c r="IT213" s="52"/>
      <c r="IU213" s="52"/>
      <c r="IV213" s="52"/>
      <c r="IW213" s="52"/>
      <c r="IX213" s="52"/>
      <c r="IY213" s="52"/>
      <c r="IZ213" s="52"/>
      <c r="JA213" s="52"/>
      <c r="JB213" s="52"/>
      <c r="JC213" s="52"/>
      <c r="JD213" s="52"/>
      <c r="JE213" s="52"/>
      <c r="JF213" s="52"/>
      <c r="JG213" s="52"/>
      <c r="JH213" s="52"/>
      <c r="JI213" s="52"/>
      <c r="JJ213" s="52"/>
      <c r="JK213" s="52"/>
      <c r="JL213" s="52"/>
      <c r="JM213" s="52"/>
      <c r="JN213" s="52"/>
      <c r="JO213" s="52"/>
      <c r="JP213" s="52"/>
      <c r="JQ213" s="52"/>
      <c r="JR213" s="52"/>
      <c r="JS213" s="52"/>
      <c r="JT213" s="52"/>
      <c r="JU213" s="52"/>
      <c r="JV213" s="52"/>
      <c r="JW213" s="52"/>
      <c r="JX213" s="52"/>
      <c r="JY213" s="52"/>
      <c r="JZ213" s="52"/>
      <c r="KA213" s="52"/>
      <c r="KB213" s="52"/>
      <c r="KC213" s="52"/>
      <c r="KD213" s="52"/>
      <c r="KE213" s="52"/>
      <c r="KF213" s="52"/>
      <c r="KG213" s="52"/>
      <c r="KH213" s="52"/>
      <c r="KI213" s="52"/>
      <c r="KJ213" s="52"/>
      <c r="KK213" s="52"/>
      <c r="KL213" s="52"/>
      <c r="KM213" s="52"/>
      <c r="KN213" s="52"/>
      <c r="KO213" s="52"/>
      <c r="KP213" s="52"/>
      <c r="KQ213" s="52"/>
      <c r="KR213" s="52"/>
      <c r="KS213" s="52"/>
      <c r="KT213" s="52"/>
      <c r="KU213" s="52"/>
      <c r="KV213" s="52"/>
      <c r="KW213" s="52"/>
      <c r="KX213" s="52"/>
      <c r="KY213" s="52"/>
      <c r="KZ213" s="52"/>
      <c r="LA213" s="52"/>
      <c r="LB213" s="52"/>
      <c r="LC213" s="52"/>
      <c r="LD213" s="52"/>
      <c r="LE213" s="52"/>
      <c r="LF213" s="52"/>
      <c r="LG213" s="52"/>
      <c r="LH213" s="52"/>
      <c r="LI213" s="52"/>
      <c r="LJ213" s="52"/>
      <c r="LK213" s="52"/>
      <c r="LL213" s="52"/>
      <c r="LM213" s="52"/>
      <c r="LN213" s="52"/>
      <c r="LO213" s="52"/>
      <c r="LP213" s="52"/>
      <c r="LQ213" s="52"/>
      <c r="LR213" s="52"/>
      <c r="LS213" s="52"/>
      <c r="LT213" s="52"/>
      <c r="LU213" s="52"/>
      <c r="LV213" s="52"/>
      <c r="LW213" s="52"/>
      <c r="LX213" s="52"/>
      <c r="LY213" s="52"/>
      <c r="LZ213" s="52"/>
      <c r="MA213" s="52"/>
      <c r="MB213" s="52"/>
      <c r="MC213" s="52"/>
      <c r="MD213" s="52"/>
      <c r="ME213" s="52"/>
      <c r="MF213" s="52"/>
      <c r="MG213" s="52"/>
      <c r="MH213" s="52"/>
      <c r="MI213" s="52"/>
      <c r="MJ213" s="52"/>
      <c r="MK213" s="52"/>
      <c r="ML213" s="52"/>
      <c r="MM213" s="52"/>
      <c r="MN213" s="52"/>
      <c r="MO213" s="52"/>
      <c r="MP213" s="52"/>
      <c r="MQ213" s="52"/>
      <c r="MR213" s="52"/>
      <c r="MS213" s="52"/>
      <c r="MT213" s="52"/>
      <c r="MU213" s="52"/>
      <c r="MV213" s="52"/>
      <c r="MW213" s="52"/>
      <c r="MX213" s="52"/>
      <c r="MY213" s="52"/>
      <c r="MZ213" s="52"/>
      <c r="NA213" s="52"/>
      <c r="NB213" s="52"/>
      <c r="NC213" s="52"/>
      <c r="ND213" s="52"/>
      <c r="NE213" s="52"/>
      <c r="NF213" s="52"/>
      <c r="NG213" s="52"/>
      <c r="NH213" s="52"/>
      <c r="NI213" s="52"/>
      <c r="NJ213" s="52"/>
      <c r="NK213" s="52"/>
      <c r="NL213" s="52"/>
      <c r="NM213" s="52"/>
      <c r="NN213" s="52"/>
      <c r="NO213" s="52"/>
      <c r="NP213" s="52"/>
      <c r="NQ213" s="52"/>
      <c r="NR213" s="52"/>
      <c r="NS213" s="52"/>
      <c r="NT213" s="52"/>
      <c r="NU213" s="52"/>
      <c r="NV213" s="52"/>
      <c r="NW213" s="52"/>
      <c r="NX213" s="52"/>
      <c r="NY213" s="52"/>
      <c r="NZ213" s="52"/>
      <c r="OA213" s="52"/>
      <c r="OB213" s="52"/>
      <c r="OC213" s="52"/>
      <c r="OD213" s="52"/>
      <c r="OE213" s="52"/>
      <c r="OF213" s="52"/>
      <c r="OG213" s="52"/>
      <c r="OH213" s="52"/>
      <c r="OI213" s="52"/>
      <c r="OJ213" s="52"/>
      <c r="OK213" s="52"/>
      <c r="OL213" s="52"/>
      <c r="OM213" s="52"/>
      <c r="ON213" s="52"/>
      <c r="OO213" s="52"/>
      <c r="OP213" s="52"/>
      <c r="OQ213" s="52"/>
      <c r="OR213" s="52"/>
      <c r="OS213" s="52"/>
      <c r="OT213" s="52"/>
      <c r="OU213" s="52"/>
      <c r="OV213" s="52"/>
      <c r="OW213" s="52"/>
      <c r="OX213" s="52"/>
      <c r="OY213" s="52"/>
      <c r="OZ213" s="52"/>
      <c r="PA213" s="52"/>
      <c r="PB213" s="52"/>
      <c r="PC213" s="52"/>
      <c r="PD213" s="52"/>
      <c r="PE213" s="52"/>
      <c r="PF213" s="52"/>
      <c r="PG213" s="52"/>
      <c r="PH213" s="52"/>
      <c r="PI213" s="52"/>
      <c r="PJ213" s="52"/>
      <c r="PK213" s="52"/>
      <c r="PL213" s="52"/>
      <c r="PM213" s="52"/>
      <c r="PN213" s="52"/>
      <c r="PO213" s="52"/>
      <c r="PP213" s="52"/>
      <c r="PQ213" s="52"/>
      <c r="PR213" s="52"/>
      <c r="PS213" s="52"/>
      <c r="PT213" s="52"/>
      <c r="PU213" s="52"/>
      <c r="PV213" s="52"/>
      <c r="PW213" s="52"/>
      <c r="PX213" s="52"/>
      <c r="PY213" s="52"/>
      <c r="PZ213" s="52"/>
      <c r="QA213" s="52"/>
      <c r="QB213" s="52"/>
      <c r="QC213" s="52"/>
      <c r="QD213" s="52"/>
      <c r="QE213" s="52"/>
      <c r="QF213" s="52"/>
      <c r="QG213" s="52"/>
      <c r="QH213" s="52"/>
      <c r="QI213" s="52"/>
      <c r="QJ213" s="52"/>
      <c r="QK213" s="52"/>
      <c r="QL213" s="52"/>
      <c r="QM213" s="52"/>
      <c r="QN213" s="52"/>
      <c r="QO213" s="52"/>
      <c r="QP213" s="52"/>
      <c r="QQ213" s="52"/>
      <c r="QR213" s="52"/>
      <c r="QS213" s="52"/>
      <c r="QT213" s="52"/>
      <c r="QU213" s="52"/>
      <c r="QV213" s="52"/>
      <c r="QW213" s="52"/>
      <c r="QX213" s="52"/>
      <c r="QY213" s="52"/>
      <c r="QZ213" s="52"/>
      <c r="RA213" s="52"/>
      <c r="RB213" s="52"/>
      <c r="RC213" s="52"/>
      <c r="RD213" s="52"/>
      <c r="RE213" s="52"/>
      <c r="RF213" s="52"/>
      <c r="RG213" s="52"/>
      <c r="RH213" s="52"/>
      <c r="RI213" s="52"/>
      <c r="RJ213" s="52"/>
      <c r="RK213" s="52"/>
      <c r="RL213" s="52"/>
      <c r="RM213" s="52"/>
      <c r="RN213" s="52"/>
      <c r="RO213" s="52"/>
      <c r="RP213" s="52"/>
      <c r="RQ213" s="52"/>
      <c r="RR213" s="52"/>
      <c r="RS213" s="52"/>
      <c r="RT213" s="52"/>
      <c r="RU213" s="52"/>
      <c r="RV213" s="52"/>
      <c r="RW213" s="52"/>
      <c r="RX213" s="52"/>
      <c r="RY213" s="52"/>
      <c r="RZ213" s="52"/>
      <c r="SA213" s="52"/>
      <c r="SB213" s="52"/>
      <c r="SC213" s="52"/>
      <c r="SD213" s="52"/>
      <c r="SE213" s="52"/>
      <c r="SF213" s="52"/>
      <c r="SG213" s="52"/>
      <c r="SH213" s="52"/>
      <c r="SI213" s="52"/>
      <c r="SJ213" s="52"/>
      <c r="SK213" s="52"/>
      <c r="SL213" s="52"/>
      <c r="SM213" s="52"/>
      <c r="SN213" s="52"/>
      <c r="SO213" s="52"/>
      <c r="SP213" s="52"/>
      <c r="SQ213" s="52"/>
      <c r="SR213" s="52"/>
      <c r="SS213" s="52"/>
      <c r="ST213" s="52"/>
      <c r="SU213" s="52"/>
      <c r="SV213" s="52"/>
      <c r="SW213" s="52"/>
      <c r="SX213" s="52"/>
      <c r="SY213" s="52"/>
      <c r="SZ213" s="52"/>
      <c r="TA213" s="52"/>
      <c r="TB213" s="52"/>
      <c r="TC213" s="52"/>
      <c r="TD213" s="52"/>
      <c r="TE213" s="52"/>
      <c r="TF213" s="52"/>
      <c r="TG213" s="52"/>
      <c r="TH213" s="52"/>
      <c r="TI213" s="52"/>
      <c r="TJ213" s="52"/>
      <c r="TK213" s="52"/>
      <c r="TL213" s="52"/>
      <c r="TM213" s="52"/>
      <c r="TN213" s="52"/>
      <c r="TO213" s="52"/>
      <c r="TP213" s="52"/>
      <c r="TQ213" s="52"/>
      <c r="TR213" s="52"/>
      <c r="TS213" s="52"/>
      <c r="TT213" s="52"/>
      <c r="TU213" s="52"/>
      <c r="TV213" s="52"/>
      <c r="TW213" s="52"/>
      <c r="TX213" s="52"/>
      <c r="TY213" s="52"/>
      <c r="TZ213" s="52"/>
      <c r="UA213" s="52"/>
      <c r="UB213" s="52"/>
      <c r="UC213" s="52"/>
      <c r="UD213" s="52"/>
      <c r="UE213" s="52"/>
      <c r="UF213" s="52"/>
      <c r="UG213" s="52"/>
      <c r="UH213" s="52"/>
      <c r="UI213" s="52"/>
      <c r="UJ213" s="52"/>
      <c r="UK213" s="52"/>
      <c r="UL213" s="52"/>
      <c r="UM213" s="52"/>
      <c r="UN213" s="52"/>
      <c r="UO213" s="52"/>
      <c r="UP213" s="52"/>
      <c r="UQ213" s="52"/>
      <c r="UR213" s="52"/>
      <c r="US213" s="52"/>
      <c r="UT213" s="52"/>
      <c r="UU213" s="52"/>
      <c r="UV213" s="52"/>
      <c r="UW213" s="52"/>
      <c r="UX213" s="52"/>
      <c r="UY213" s="52"/>
      <c r="UZ213" s="52"/>
      <c r="VA213" s="52"/>
      <c r="VB213" s="52"/>
      <c r="VC213" s="52"/>
      <c r="VD213" s="52"/>
      <c r="VE213" s="52"/>
      <c r="VF213" s="52"/>
      <c r="VG213" s="52"/>
      <c r="VH213" s="52"/>
      <c r="VI213" s="52"/>
      <c r="VJ213" s="52"/>
      <c r="VK213" s="52"/>
      <c r="VL213" s="52"/>
      <c r="VM213" s="52"/>
      <c r="VN213" s="52"/>
      <c r="VO213" s="52"/>
      <c r="VP213" s="52"/>
      <c r="VQ213" s="52"/>
      <c r="VR213" s="52"/>
      <c r="VS213" s="52"/>
      <c r="VT213" s="52"/>
      <c r="VU213" s="52"/>
      <c r="VV213" s="52"/>
      <c r="VW213" s="52"/>
      <c r="VX213" s="52"/>
      <c r="VY213" s="52"/>
      <c r="VZ213" s="52"/>
      <c r="WA213" s="52"/>
      <c r="WB213" s="52"/>
      <c r="WC213" s="52"/>
      <c r="WD213" s="52"/>
      <c r="WE213" s="52"/>
      <c r="WF213" s="52"/>
      <c r="WG213" s="52"/>
      <c r="WH213" s="52"/>
      <c r="WI213" s="52"/>
      <c r="WJ213" s="52"/>
      <c r="WK213" s="52"/>
      <c r="WL213" s="52"/>
      <c r="WM213" s="52"/>
      <c r="WN213" s="52"/>
      <c r="WO213" s="52"/>
      <c r="WP213" s="52"/>
      <c r="WQ213" s="52"/>
      <c r="WR213" s="52"/>
      <c r="WS213" s="52"/>
      <c r="WT213" s="52"/>
      <c r="WU213" s="52"/>
      <c r="WV213" s="52"/>
      <c r="WW213" s="52"/>
      <c r="WX213" s="52"/>
      <c r="WY213" s="52"/>
      <c r="WZ213" s="52"/>
      <c r="XA213" s="52"/>
      <c r="XB213" s="52"/>
      <c r="XC213" s="52"/>
      <c r="XD213" s="52"/>
      <c r="XE213" s="52"/>
      <c r="XF213" s="52"/>
      <c r="XG213" s="52"/>
      <c r="XH213" s="52"/>
      <c r="XI213" s="52"/>
      <c r="XJ213" s="52"/>
      <c r="XK213" s="52"/>
      <c r="XL213" s="52"/>
      <c r="XM213" s="52"/>
      <c r="XN213" s="52"/>
      <c r="XO213" s="52"/>
      <c r="XP213" s="52"/>
      <c r="XQ213" s="52"/>
      <c r="XR213" s="52"/>
      <c r="XS213" s="52"/>
      <c r="XT213" s="52"/>
      <c r="XU213" s="52"/>
      <c r="XV213" s="52"/>
      <c r="XW213" s="52"/>
      <c r="XX213" s="52"/>
      <c r="XY213" s="52"/>
      <c r="XZ213" s="52"/>
      <c r="YA213" s="52"/>
      <c r="YB213" s="52"/>
      <c r="YC213" s="52"/>
      <c r="YD213" s="52"/>
      <c r="YE213" s="52"/>
      <c r="YF213" s="52"/>
      <c r="YG213" s="52"/>
      <c r="YH213" s="52"/>
      <c r="YI213" s="52"/>
      <c r="YJ213" s="52"/>
      <c r="YK213" s="52"/>
      <c r="YL213" s="52"/>
      <c r="YM213" s="52"/>
      <c r="YN213" s="52"/>
      <c r="YO213" s="52"/>
      <c r="YP213" s="52"/>
      <c r="YQ213" s="52"/>
      <c r="YR213" s="52"/>
      <c r="YS213" s="52"/>
      <c r="YT213" s="52"/>
      <c r="YU213" s="52"/>
      <c r="YV213" s="52"/>
      <c r="YW213" s="52"/>
      <c r="YX213" s="52"/>
      <c r="YY213" s="52"/>
      <c r="YZ213" s="52"/>
      <c r="ZA213" s="52"/>
      <c r="ZB213" s="52"/>
      <c r="ZC213" s="52"/>
      <c r="ZD213" s="52"/>
      <c r="ZE213" s="52"/>
      <c r="ZF213" s="52"/>
      <c r="ZG213" s="52"/>
      <c r="ZH213" s="52"/>
      <c r="ZI213" s="52"/>
      <c r="ZJ213" s="52"/>
      <c r="ZK213" s="52"/>
      <c r="ZL213" s="52"/>
      <c r="ZM213" s="52"/>
      <c r="ZN213" s="52"/>
      <c r="ZO213" s="52"/>
      <c r="ZP213" s="52"/>
      <c r="ZQ213" s="52"/>
      <c r="ZR213" s="52"/>
      <c r="ZS213" s="52"/>
      <c r="ZT213" s="52"/>
      <c r="ZU213" s="52"/>
      <c r="ZV213" s="52"/>
      <c r="ZW213" s="52"/>
      <c r="ZX213" s="52"/>
      <c r="ZY213" s="52"/>
      <c r="ZZ213" s="52"/>
      <c r="AAA213" s="52"/>
      <c r="AAB213" s="52"/>
      <c r="AAC213" s="52"/>
      <c r="AAD213" s="52"/>
      <c r="AAE213" s="52"/>
      <c r="AAF213" s="52"/>
      <c r="AAG213" s="52"/>
      <c r="AAH213" s="52"/>
      <c r="AAI213" s="52"/>
      <c r="AAJ213" s="52"/>
      <c r="AAK213" s="52"/>
      <c r="AAL213" s="52"/>
      <c r="AAM213" s="52"/>
      <c r="AAN213" s="52"/>
      <c r="AAO213" s="52"/>
      <c r="AAP213" s="52"/>
      <c r="AAQ213" s="52"/>
      <c r="AAR213" s="52"/>
      <c r="AAS213" s="52"/>
      <c r="AAT213" s="52"/>
      <c r="AAU213" s="52"/>
      <c r="AAV213" s="52"/>
      <c r="AAW213" s="52"/>
      <c r="AAX213" s="52"/>
      <c r="AAY213" s="52"/>
      <c r="AAZ213" s="52"/>
      <c r="ABA213" s="52"/>
      <c r="ABB213" s="52"/>
      <c r="ABC213" s="52"/>
      <c r="ABD213" s="52"/>
      <c r="ABE213" s="52"/>
      <c r="ABF213" s="52"/>
      <c r="ABG213" s="52"/>
      <c r="ABH213" s="52"/>
      <c r="ABI213" s="52"/>
      <c r="ABJ213" s="52"/>
      <c r="ABK213" s="52"/>
      <c r="ABL213" s="52"/>
      <c r="ABM213" s="52"/>
      <c r="ABN213" s="52"/>
      <c r="ABO213" s="52"/>
      <c r="ABP213" s="52"/>
      <c r="ABQ213" s="52"/>
      <c r="ABR213" s="52"/>
      <c r="ABS213" s="52"/>
      <c r="ABT213" s="52"/>
      <c r="ABU213" s="52"/>
      <c r="ABV213" s="52"/>
      <c r="ABW213" s="52"/>
      <c r="ABX213" s="52"/>
      <c r="ABY213" s="52"/>
      <c r="ABZ213" s="52"/>
      <c r="ACA213" s="52"/>
      <c r="ACB213" s="52"/>
      <c r="ACC213" s="52"/>
      <c r="ACD213" s="52"/>
      <c r="ACE213" s="52"/>
      <c r="ACF213" s="52"/>
      <c r="ACG213" s="52"/>
      <c r="ACH213" s="52"/>
      <c r="ACI213" s="52"/>
      <c r="ACJ213" s="52"/>
      <c r="ACK213" s="52"/>
      <c r="ACL213" s="52"/>
      <c r="ACM213" s="52"/>
      <c r="ACN213" s="52"/>
      <c r="ACO213" s="52"/>
      <c r="ACP213" s="52"/>
      <c r="ACQ213" s="52"/>
      <c r="ACR213" s="52"/>
      <c r="ACS213" s="52"/>
      <c r="ACT213" s="52"/>
      <c r="ACU213" s="52"/>
      <c r="ACV213" s="52"/>
      <c r="ACW213" s="52"/>
      <c r="ACX213" s="52"/>
      <c r="ACY213" s="52"/>
      <c r="ACZ213" s="52"/>
      <c r="ADA213" s="52"/>
      <c r="ADB213" s="52"/>
      <c r="ADC213" s="52"/>
      <c r="ADD213" s="52"/>
      <c r="ADE213" s="52"/>
      <c r="ADF213" s="52"/>
      <c r="ADG213" s="52"/>
      <c r="ADH213" s="52"/>
      <c r="ADI213" s="52"/>
      <c r="ADJ213" s="52"/>
      <c r="ADK213" s="52"/>
      <c r="ADL213" s="52"/>
      <c r="ADM213" s="52"/>
      <c r="ADN213" s="52"/>
      <c r="ADO213" s="52"/>
      <c r="ADP213" s="52"/>
      <c r="ADQ213" s="52"/>
      <c r="ADR213" s="52"/>
      <c r="ADS213" s="52"/>
      <c r="ADT213" s="52"/>
      <c r="ADU213" s="52"/>
      <c r="ADV213" s="52"/>
      <c r="ADW213" s="52"/>
      <c r="ADX213" s="52"/>
      <c r="ADY213" s="52"/>
      <c r="ADZ213" s="52"/>
      <c r="AEA213" s="52"/>
      <c r="AEB213" s="52"/>
      <c r="AEC213" s="52"/>
      <c r="AED213" s="52"/>
      <c r="AEE213" s="52"/>
      <c r="AEF213" s="52"/>
      <c r="AEG213" s="52"/>
      <c r="AEH213" s="52"/>
      <c r="AEI213" s="52"/>
      <c r="AEJ213" s="52"/>
      <c r="AEK213" s="52"/>
      <c r="AEL213" s="52"/>
      <c r="AEM213" s="52"/>
      <c r="AEN213" s="52"/>
      <c r="AEO213" s="52"/>
      <c r="AEP213" s="52"/>
      <c r="AEQ213" s="52"/>
      <c r="AER213" s="52"/>
      <c r="AES213" s="52"/>
      <c r="AET213" s="52"/>
      <c r="AEU213" s="52"/>
      <c r="AEV213" s="52"/>
      <c r="AEW213" s="52"/>
      <c r="AEX213" s="52"/>
      <c r="AEY213" s="52"/>
      <c r="AEZ213" s="52"/>
      <c r="AFA213" s="52"/>
      <c r="AFB213" s="52"/>
      <c r="AFC213" s="52"/>
      <c r="AFD213" s="52"/>
      <c r="AFE213" s="52"/>
      <c r="AFF213" s="52"/>
      <c r="AFG213" s="52"/>
      <c r="AFH213" s="52"/>
      <c r="AFI213" s="52"/>
      <c r="AFJ213" s="52"/>
      <c r="AFK213" s="52"/>
      <c r="AFL213" s="52"/>
      <c r="AFM213" s="52"/>
      <c r="AFN213" s="52"/>
      <c r="AFO213" s="52"/>
      <c r="AFP213" s="52"/>
      <c r="AFQ213" s="52"/>
      <c r="AFR213" s="52"/>
      <c r="AFS213" s="52"/>
      <c r="AFT213" s="52"/>
      <c r="AFU213" s="52"/>
      <c r="AFV213" s="52"/>
      <c r="AFW213" s="52"/>
      <c r="AFX213" s="52"/>
      <c r="AFY213" s="52"/>
      <c r="AFZ213" s="52"/>
      <c r="AGA213" s="52"/>
      <c r="AGB213" s="52"/>
      <c r="AGC213" s="52"/>
      <c r="AGD213" s="52"/>
      <c r="AGE213" s="52"/>
      <c r="AGF213" s="52"/>
      <c r="AGG213" s="52"/>
      <c r="AGH213" s="52"/>
      <c r="AGI213" s="52"/>
      <c r="AGJ213" s="52"/>
      <c r="AGK213" s="52"/>
      <c r="AGL213" s="52"/>
      <c r="AGM213" s="52"/>
      <c r="AGN213" s="52"/>
      <c r="AGO213" s="52"/>
      <c r="AGP213" s="52"/>
      <c r="AGQ213" s="52"/>
      <c r="AGR213" s="52"/>
      <c r="AGS213" s="52"/>
      <c r="AGT213" s="52"/>
      <c r="AGU213" s="52"/>
      <c r="AGV213" s="52"/>
      <c r="AGW213" s="52"/>
      <c r="AGX213" s="52"/>
      <c r="AGY213" s="52"/>
      <c r="AGZ213" s="52"/>
      <c r="AHA213" s="52"/>
      <c r="AHB213" s="52"/>
      <c r="AHC213" s="52"/>
      <c r="AHD213" s="52"/>
      <c r="AHE213" s="52"/>
      <c r="AHF213" s="52"/>
      <c r="AHG213" s="52"/>
      <c r="AHH213" s="52"/>
      <c r="AHI213" s="52"/>
      <c r="AHJ213" s="52"/>
      <c r="AHK213" s="52"/>
      <c r="AHL213" s="52"/>
      <c r="AHM213" s="52"/>
      <c r="AHN213" s="52"/>
      <c r="AHO213" s="52"/>
      <c r="AHP213" s="52"/>
      <c r="AHQ213" s="52"/>
      <c r="AHR213" s="52"/>
      <c r="AHS213" s="52"/>
      <c r="AHT213" s="52"/>
      <c r="AHU213" s="52"/>
      <c r="AHV213" s="52"/>
      <c r="AHW213" s="52"/>
      <c r="AHX213" s="52"/>
      <c r="AHY213" s="52"/>
      <c r="AHZ213" s="52"/>
      <c r="AIA213" s="52"/>
      <c r="AIB213" s="52"/>
      <c r="AIC213" s="52"/>
      <c r="AID213" s="52"/>
      <c r="AIE213" s="52"/>
      <c r="AIF213" s="52"/>
      <c r="AIG213" s="52"/>
      <c r="AIH213" s="52"/>
      <c r="AII213" s="52"/>
      <c r="AIJ213" s="52"/>
      <c r="AIK213" s="52"/>
      <c r="AIL213" s="52"/>
      <c r="AIM213" s="52"/>
      <c r="AIN213" s="52"/>
      <c r="AIO213" s="52"/>
      <c r="AIP213" s="52"/>
      <c r="AIQ213" s="52"/>
      <c r="AIR213" s="52"/>
      <c r="AIS213" s="52"/>
      <c r="AIT213" s="52"/>
      <c r="AIU213" s="52"/>
      <c r="AIV213" s="52"/>
      <c r="AIW213" s="52"/>
      <c r="AIX213" s="52"/>
      <c r="AIY213" s="52"/>
      <c r="AIZ213" s="52"/>
      <c r="AJA213" s="52"/>
      <c r="AJB213" s="52"/>
      <c r="AJC213" s="52"/>
      <c r="AJD213" s="52"/>
      <c r="AJE213" s="52"/>
      <c r="AJF213" s="52"/>
      <c r="AJG213" s="52"/>
      <c r="AJH213" s="52"/>
      <c r="AJI213" s="52"/>
      <c r="AJJ213" s="52"/>
      <c r="AJK213" s="52"/>
      <c r="AJL213" s="52"/>
      <c r="AJM213" s="52"/>
      <c r="AJN213" s="52"/>
      <c r="AJO213" s="52"/>
      <c r="AJP213" s="52"/>
      <c r="AJQ213" s="52"/>
      <c r="AJR213" s="52"/>
      <c r="AJS213" s="52"/>
      <c r="AJT213" s="52"/>
      <c r="AJU213" s="52"/>
      <c r="AJV213" s="52"/>
      <c r="AJW213" s="52"/>
      <c r="AJX213" s="52"/>
      <c r="AJY213" s="52"/>
      <c r="AJZ213" s="52"/>
      <c r="AKA213" s="52"/>
      <c r="AKB213" s="52"/>
      <c r="AKC213" s="52"/>
      <c r="AKD213" s="52"/>
      <c r="AKE213" s="52"/>
      <c r="AKF213" s="52"/>
      <c r="AKG213" s="52"/>
      <c r="AKH213" s="52"/>
      <c r="AKI213" s="52"/>
      <c r="AKJ213" s="52"/>
      <c r="AKK213" s="52"/>
      <c r="AKL213" s="52"/>
      <c r="AKM213" s="52"/>
      <c r="AKN213" s="52"/>
      <c r="AKO213" s="52"/>
      <c r="AKP213" s="52"/>
      <c r="AKQ213" s="52"/>
      <c r="AKR213" s="52"/>
      <c r="AKS213" s="52"/>
      <c r="AKT213" s="52"/>
      <c r="AKU213" s="52"/>
      <c r="AKV213" s="52"/>
      <c r="AKW213" s="52"/>
      <c r="AKX213" s="52"/>
      <c r="AKY213" s="52"/>
      <c r="AKZ213" s="52"/>
      <c r="ALA213" s="52"/>
      <c r="ALB213" s="52"/>
      <c r="ALC213" s="52"/>
      <c r="ALD213" s="52"/>
      <c r="ALE213" s="52"/>
      <c r="ALF213" s="52"/>
      <c r="ALG213" s="52"/>
      <c r="ALH213" s="52"/>
      <c r="ALI213" s="52"/>
      <c r="ALJ213" s="52"/>
      <c r="ALK213" s="52"/>
      <c r="ALL213" s="52"/>
      <c r="ALM213" s="52"/>
      <c r="ALN213" s="52"/>
      <c r="ALO213" s="52"/>
      <c r="ALP213" s="52"/>
      <c r="ALQ213" s="52"/>
      <c r="ALR213" s="52"/>
      <c r="ALS213" s="52"/>
      <c r="ALT213" s="52"/>
      <c r="ALU213" s="52"/>
      <c r="ALV213" s="52"/>
      <c r="ALW213" s="52"/>
      <c r="ALX213" s="52"/>
      <c r="ALY213" s="52"/>
      <c r="ALZ213" s="52"/>
      <c r="AMA213" s="52"/>
      <c r="AMB213" s="52"/>
      <c r="AMC213" s="52"/>
      <c r="AMD213" s="52"/>
      <c r="AME213" s="52"/>
      <c r="AMF213" s="52"/>
      <c r="AMG213" s="52"/>
      <c r="AMH213" s="52"/>
      <c r="AMI213" s="52"/>
      <c r="AMJ213" s="52"/>
      <c r="AMK213" s="52"/>
      <c r="AML213" s="52"/>
      <c r="AMM213" s="52"/>
      <c r="AMN213" s="52"/>
      <c r="AMO213" s="52"/>
      <c r="AMP213" s="52"/>
      <c r="AMQ213" s="52"/>
      <c r="AMR213" s="52"/>
      <c r="AMS213" s="52"/>
      <c r="AMT213" s="52"/>
      <c r="AMU213" s="52"/>
      <c r="AMV213" s="52"/>
      <c r="AMW213" s="52"/>
      <c r="AMX213" s="52"/>
      <c r="AMY213" s="52"/>
      <c r="AMZ213" s="52"/>
      <c r="ANA213" s="52"/>
      <c r="ANB213" s="52"/>
      <c r="ANC213" s="52"/>
      <c r="AND213" s="52"/>
      <c r="ANE213" s="52"/>
      <c r="ANF213" s="52"/>
      <c r="ANG213" s="52"/>
      <c r="ANH213" s="52"/>
      <c r="ANI213" s="52"/>
      <c r="ANJ213" s="52"/>
      <c r="ANK213" s="52"/>
      <c r="ANL213" s="52"/>
      <c r="ANM213" s="52"/>
      <c r="ANN213" s="52"/>
      <c r="ANO213" s="52"/>
      <c r="ANP213" s="52"/>
      <c r="ANQ213" s="52"/>
      <c r="ANR213" s="52"/>
      <c r="ANS213" s="52"/>
      <c r="ANT213" s="52"/>
      <c r="ANU213" s="52"/>
      <c r="ANV213" s="52"/>
      <c r="ANW213" s="52"/>
      <c r="ANX213" s="52"/>
      <c r="ANY213" s="52"/>
      <c r="ANZ213" s="52"/>
      <c r="AOA213" s="52"/>
      <c r="AOB213" s="52"/>
      <c r="AOC213" s="52"/>
      <c r="AOD213" s="52"/>
      <c r="AOE213" s="52"/>
      <c r="AOF213" s="52"/>
      <c r="AOG213" s="52"/>
      <c r="AOH213" s="52"/>
      <c r="AOI213" s="52"/>
      <c r="AOJ213" s="52"/>
      <c r="AOK213" s="52"/>
      <c r="AOL213" s="52"/>
      <c r="AOM213" s="52"/>
      <c r="AON213" s="52"/>
      <c r="AOO213" s="52"/>
      <c r="AOP213" s="52"/>
      <c r="AOQ213" s="52"/>
      <c r="AOR213" s="52"/>
      <c r="AOS213" s="52"/>
      <c r="AOT213" s="52"/>
      <c r="AOU213" s="52"/>
      <c r="AOV213" s="52"/>
      <c r="AOW213" s="52"/>
      <c r="AOX213" s="52"/>
      <c r="AOY213" s="52"/>
      <c r="AOZ213" s="52"/>
      <c r="APA213" s="52"/>
      <c r="APB213" s="52"/>
      <c r="APC213" s="52"/>
      <c r="APD213" s="52"/>
      <c r="APE213" s="52"/>
      <c r="APF213" s="52"/>
      <c r="APG213" s="52"/>
      <c r="APH213" s="52"/>
      <c r="API213" s="52"/>
      <c r="APJ213" s="52"/>
      <c r="APK213" s="52"/>
      <c r="APL213" s="52"/>
      <c r="APM213" s="52"/>
      <c r="APN213" s="52"/>
      <c r="APO213" s="52"/>
      <c r="APP213" s="52"/>
      <c r="APQ213" s="52"/>
      <c r="APR213" s="52"/>
      <c r="APS213" s="52"/>
      <c r="APT213" s="52"/>
      <c r="APU213" s="52"/>
      <c r="APV213" s="52"/>
      <c r="APW213" s="52"/>
      <c r="APX213" s="52"/>
      <c r="APY213" s="52"/>
      <c r="APZ213" s="52"/>
      <c r="AQA213" s="52"/>
      <c r="AQB213" s="52"/>
      <c r="AQC213" s="52"/>
      <c r="AQD213" s="52"/>
      <c r="AQE213" s="52"/>
      <c r="AQF213" s="52"/>
      <c r="AQG213" s="52"/>
      <c r="AQH213" s="52"/>
      <c r="AQI213" s="52"/>
      <c r="AQJ213" s="52"/>
      <c r="AQK213" s="52"/>
      <c r="AQL213" s="52"/>
      <c r="AQM213" s="52"/>
      <c r="AQN213" s="52"/>
      <c r="AQO213" s="52"/>
      <c r="AQP213" s="52"/>
      <c r="AQQ213" s="52"/>
      <c r="AQR213" s="52"/>
      <c r="AQS213" s="52"/>
      <c r="AQT213" s="52"/>
      <c r="AQU213" s="52"/>
      <c r="AQV213" s="52"/>
      <c r="AQW213" s="52"/>
      <c r="AQX213" s="52"/>
      <c r="AQY213" s="52"/>
      <c r="AQZ213" s="52"/>
      <c r="ARA213" s="52"/>
      <c r="ARB213" s="52"/>
      <c r="ARC213" s="52"/>
      <c r="ARD213" s="52"/>
      <c r="ARE213" s="52"/>
      <c r="ARF213" s="52"/>
      <c r="ARG213" s="52"/>
      <c r="ARH213" s="52"/>
      <c r="ARI213" s="52"/>
      <c r="ARJ213" s="52"/>
      <c r="ARK213" s="52"/>
      <c r="ARL213" s="52"/>
      <c r="ARM213" s="52"/>
      <c r="ARN213" s="52"/>
      <c r="ARO213" s="52"/>
      <c r="ARP213" s="52"/>
      <c r="ARQ213" s="52"/>
      <c r="ARR213" s="52"/>
      <c r="ARS213" s="52"/>
      <c r="ART213" s="52"/>
      <c r="ARU213" s="52"/>
      <c r="ARV213" s="52"/>
      <c r="ARW213" s="52"/>
      <c r="ARX213" s="52"/>
      <c r="ARY213" s="52"/>
      <c r="ARZ213" s="52"/>
      <c r="ASA213" s="52"/>
      <c r="ASB213" s="52"/>
      <c r="ASC213" s="52"/>
      <c r="ASD213" s="52"/>
      <c r="ASE213" s="52"/>
      <c r="ASF213" s="52"/>
      <c r="ASG213" s="52"/>
      <c r="ASH213" s="52"/>
      <c r="ASI213" s="52"/>
      <c r="ASJ213" s="52"/>
      <c r="ASK213" s="52"/>
      <c r="ASL213" s="52"/>
      <c r="ASM213" s="52"/>
      <c r="ASN213" s="52"/>
      <c r="ASO213" s="52"/>
      <c r="ASP213" s="52"/>
      <c r="ASQ213" s="52"/>
      <c r="ASR213" s="52"/>
      <c r="ASS213" s="52"/>
      <c r="AST213" s="52"/>
      <c r="ASU213" s="52"/>
      <c r="ASV213" s="52"/>
      <c r="ASW213" s="52"/>
      <c r="ASX213" s="52"/>
      <c r="ASY213" s="52"/>
      <c r="ASZ213" s="52"/>
      <c r="ATA213" s="52"/>
      <c r="ATB213" s="52"/>
      <c r="ATC213" s="52"/>
      <c r="ATD213" s="52"/>
      <c r="ATE213" s="52"/>
      <c r="ATF213" s="52"/>
      <c r="ATG213" s="52"/>
      <c r="ATH213" s="52"/>
      <c r="ATI213" s="52"/>
      <c r="ATJ213" s="52"/>
      <c r="ATK213" s="52"/>
      <c r="ATL213" s="52"/>
      <c r="ATM213" s="52"/>
      <c r="ATN213" s="52"/>
      <c r="ATO213" s="52"/>
      <c r="ATP213" s="52"/>
      <c r="ATQ213" s="52"/>
      <c r="ATR213" s="52"/>
      <c r="ATS213" s="52"/>
      <c r="ATT213" s="52"/>
      <c r="ATU213" s="52"/>
      <c r="ATV213" s="52"/>
      <c r="ATW213" s="52"/>
      <c r="ATX213" s="52"/>
      <c r="ATY213" s="52"/>
      <c r="ATZ213" s="52"/>
      <c r="AUA213" s="52"/>
      <c r="AUB213" s="52"/>
      <c r="AUC213" s="52"/>
      <c r="AUD213" s="52"/>
      <c r="AUE213" s="52"/>
      <c r="AUF213" s="52"/>
      <c r="AUG213" s="52"/>
      <c r="AUH213" s="52"/>
      <c r="AUI213" s="52"/>
      <c r="AUJ213" s="52"/>
      <c r="AUK213" s="52"/>
      <c r="AUL213" s="52"/>
      <c r="AUM213" s="52"/>
      <c r="AUN213" s="52"/>
      <c r="AUO213" s="52"/>
      <c r="AUP213" s="52"/>
      <c r="AUQ213" s="52"/>
      <c r="AUR213" s="52"/>
      <c r="AUS213" s="52"/>
      <c r="AUT213" s="52"/>
      <c r="AUU213" s="52"/>
      <c r="AUV213" s="52"/>
      <c r="AUW213" s="52"/>
      <c r="AUX213" s="52"/>
      <c r="AUY213" s="52"/>
      <c r="AUZ213" s="52"/>
      <c r="AVA213" s="52"/>
      <c r="AVB213" s="52"/>
      <c r="AVC213" s="52"/>
      <c r="AVD213" s="52"/>
      <c r="AVE213" s="52"/>
      <c r="AVF213" s="52"/>
      <c r="AVG213" s="52"/>
      <c r="AVH213" s="52"/>
      <c r="AVI213" s="52"/>
      <c r="AVJ213" s="52"/>
      <c r="AVK213" s="52"/>
      <c r="AVL213" s="52"/>
      <c r="AVM213" s="52"/>
      <c r="AVN213" s="52"/>
      <c r="AVO213" s="52"/>
      <c r="AVP213" s="52"/>
      <c r="AVQ213" s="52"/>
      <c r="AVR213" s="52"/>
      <c r="AVS213" s="52"/>
      <c r="AVT213" s="52"/>
      <c r="AVU213" s="52"/>
      <c r="AVV213" s="52"/>
      <c r="AVW213" s="52"/>
      <c r="AVX213" s="52"/>
      <c r="AVY213" s="52"/>
      <c r="AVZ213" s="52"/>
      <c r="AWA213" s="52"/>
      <c r="AWB213" s="52"/>
      <c r="AWC213" s="52"/>
      <c r="AWD213" s="52"/>
      <c r="AWE213" s="52"/>
      <c r="AWF213" s="52"/>
      <c r="AWG213" s="52"/>
      <c r="AWH213" s="52"/>
      <c r="AWI213" s="52"/>
      <c r="AWJ213" s="52"/>
      <c r="AWK213" s="52"/>
      <c r="AWL213" s="52"/>
      <c r="AWM213" s="52"/>
      <c r="AWN213" s="52"/>
      <c r="AWO213" s="52"/>
      <c r="AWP213" s="52"/>
      <c r="AWQ213" s="52"/>
      <c r="AWR213" s="52"/>
      <c r="AWS213" s="52"/>
      <c r="AWT213" s="52"/>
      <c r="AWU213" s="52"/>
      <c r="AWV213" s="52"/>
      <c r="AWW213" s="52"/>
      <c r="AWX213" s="52"/>
      <c r="AWY213" s="52"/>
      <c r="AWZ213" s="52"/>
      <c r="AXA213" s="52"/>
      <c r="AXB213" s="52"/>
      <c r="AXC213" s="52"/>
      <c r="AXD213" s="52"/>
      <c r="AXE213" s="52"/>
      <c r="AXF213" s="52"/>
      <c r="AXG213" s="52"/>
      <c r="AXH213" s="52"/>
      <c r="AXI213" s="52"/>
      <c r="AXJ213" s="52"/>
      <c r="AXK213" s="52"/>
      <c r="AXL213" s="52"/>
      <c r="AXM213" s="52"/>
      <c r="AXN213" s="52"/>
      <c r="AXO213" s="52"/>
      <c r="AXP213" s="52"/>
      <c r="AXQ213" s="52"/>
      <c r="AXR213" s="52"/>
      <c r="AXS213" s="52"/>
      <c r="AXT213" s="52"/>
      <c r="AXU213" s="52"/>
      <c r="AXV213" s="52"/>
      <c r="AXW213" s="52"/>
      <c r="AXX213" s="52"/>
      <c r="AXY213" s="52"/>
      <c r="AXZ213" s="52"/>
      <c r="AYA213" s="52"/>
      <c r="AYB213" s="52"/>
      <c r="AYC213" s="52"/>
      <c r="AYD213" s="52"/>
      <c r="AYE213" s="52"/>
      <c r="AYF213" s="52"/>
      <c r="AYG213" s="52"/>
      <c r="AYH213" s="52"/>
      <c r="AYI213" s="52"/>
      <c r="AYJ213" s="52"/>
      <c r="AYK213" s="52"/>
      <c r="AYL213" s="52"/>
      <c r="AYM213" s="52"/>
      <c r="AYN213" s="52"/>
      <c r="AYO213" s="52"/>
      <c r="AYP213" s="52"/>
      <c r="AYQ213" s="52"/>
      <c r="AYR213" s="52"/>
      <c r="AYS213" s="52"/>
      <c r="AYT213" s="52"/>
      <c r="AYU213" s="52"/>
      <c r="AYV213" s="52"/>
      <c r="AYW213" s="52"/>
      <c r="AYX213" s="52"/>
      <c r="AYY213" s="52"/>
      <c r="AYZ213" s="52"/>
      <c r="AZA213" s="52"/>
      <c r="AZB213" s="52"/>
      <c r="AZC213" s="52"/>
      <c r="AZD213" s="52"/>
      <c r="AZE213" s="52"/>
      <c r="AZF213" s="52"/>
      <c r="AZG213" s="52"/>
      <c r="AZH213" s="52"/>
      <c r="AZI213" s="52"/>
      <c r="AZJ213" s="52"/>
      <c r="AZK213" s="52"/>
      <c r="AZL213" s="52"/>
      <c r="AZM213" s="52"/>
      <c r="AZN213" s="52"/>
      <c r="AZO213" s="52"/>
      <c r="AZP213" s="52"/>
      <c r="AZQ213" s="52"/>
      <c r="AZR213" s="52"/>
      <c r="AZS213" s="52"/>
      <c r="AZT213" s="52"/>
      <c r="AZU213" s="52"/>
      <c r="AZV213" s="52"/>
      <c r="AZW213" s="52"/>
      <c r="AZX213" s="52"/>
      <c r="AZY213" s="52"/>
      <c r="AZZ213" s="52"/>
      <c r="BAA213" s="52"/>
      <c r="BAB213" s="52"/>
      <c r="BAC213" s="52"/>
      <c r="BAD213" s="52"/>
      <c r="BAE213" s="52"/>
      <c r="BAF213" s="52"/>
      <c r="BAG213" s="52"/>
      <c r="BAH213" s="52"/>
      <c r="BAI213" s="52"/>
      <c r="BAJ213" s="52"/>
      <c r="BAK213" s="52"/>
      <c r="BAL213" s="52"/>
      <c r="BAM213" s="52"/>
      <c r="BAN213" s="52"/>
      <c r="BAO213" s="52"/>
      <c r="BAP213" s="52"/>
      <c r="BAQ213" s="52"/>
      <c r="BAR213" s="52"/>
      <c r="BAS213" s="52"/>
      <c r="BAT213" s="52"/>
      <c r="BAU213" s="52"/>
      <c r="BAV213" s="52"/>
      <c r="BAW213" s="52"/>
      <c r="BAX213" s="52"/>
      <c r="BAY213" s="52"/>
      <c r="BAZ213" s="52"/>
      <c r="BBA213" s="52"/>
      <c r="BBB213" s="52"/>
      <c r="BBC213" s="52"/>
      <c r="BBD213" s="52"/>
      <c r="BBE213" s="52"/>
      <c r="BBF213" s="52"/>
      <c r="BBG213" s="52"/>
      <c r="BBH213" s="52"/>
      <c r="BBI213" s="52"/>
      <c r="BBJ213" s="52"/>
      <c r="BBK213" s="52"/>
      <c r="BBL213" s="52"/>
      <c r="BBM213" s="52"/>
      <c r="BBN213" s="52"/>
      <c r="BBO213" s="52"/>
      <c r="BBP213" s="52"/>
      <c r="BBQ213" s="52"/>
      <c r="BBR213" s="52"/>
      <c r="BBS213" s="52"/>
      <c r="BBT213" s="52"/>
      <c r="BBU213" s="52"/>
      <c r="BBV213" s="52"/>
      <c r="BBW213" s="52"/>
      <c r="BBX213" s="52"/>
      <c r="BBY213" s="52"/>
      <c r="BBZ213" s="52"/>
      <c r="BCA213" s="52"/>
      <c r="BCB213" s="52"/>
      <c r="BCC213" s="52"/>
      <c r="BCD213" s="52"/>
      <c r="BCE213" s="52"/>
      <c r="BCF213" s="52"/>
      <c r="BCG213" s="52"/>
      <c r="BCH213" s="52"/>
      <c r="BCI213" s="52"/>
      <c r="BCJ213" s="52"/>
      <c r="BCK213" s="52"/>
      <c r="BCL213" s="52"/>
      <c r="BCM213" s="52"/>
      <c r="BCN213" s="52"/>
      <c r="BCO213" s="52"/>
      <c r="BCP213" s="52"/>
      <c r="BCQ213" s="52"/>
      <c r="BCR213" s="52"/>
      <c r="BCS213" s="52"/>
      <c r="BCT213" s="52"/>
      <c r="BCU213" s="52"/>
      <c r="BCV213" s="52"/>
      <c r="BCW213" s="52"/>
      <c r="BCX213" s="52"/>
      <c r="BCY213" s="52"/>
      <c r="BCZ213" s="52"/>
      <c r="BDA213" s="52"/>
      <c r="BDB213" s="52"/>
      <c r="BDC213" s="52"/>
      <c r="BDD213" s="52"/>
      <c r="BDE213" s="52"/>
      <c r="BDF213" s="52"/>
      <c r="BDG213" s="52"/>
      <c r="BDH213" s="52"/>
      <c r="BDI213" s="52"/>
      <c r="BDJ213" s="52"/>
      <c r="BDK213" s="52"/>
      <c r="BDL213" s="52"/>
      <c r="BDM213" s="52"/>
      <c r="BDN213" s="52"/>
      <c r="BDO213" s="52"/>
      <c r="BDP213" s="52"/>
      <c r="BDQ213" s="52"/>
      <c r="BDR213" s="52"/>
      <c r="BDS213" s="52"/>
      <c r="BDT213" s="52"/>
      <c r="BDU213" s="52"/>
      <c r="BDV213" s="52"/>
      <c r="BDW213" s="52"/>
      <c r="BDX213" s="52"/>
      <c r="BDY213" s="52"/>
      <c r="BDZ213" s="52"/>
      <c r="BEA213" s="52"/>
      <c r="BEB213" s="52"/>
      <c r="BEC213" s="52"/>
      <c r="BED213" s="52"/>
      <c r="BEE213" s="52"/>
      <c r="BEF213" s="52"/>
      <c r="BEG213" s="52"/>
      <c r="BEH213" s="52"/>
      <c r="BEI213" s="52"/>
      <c r="BEJ213" s="52"/>
      <c r="BEK213" s="52"/>
      <c r="BEL213" s="52"/>
      <c r="BEM213" s="52"/>
      <c r="BEN213" s="52"/>
      <c r="BEO213" s="52"/>
      <c r="BEP213" s="52"/>
      <c r="BEQ213" s="52"/>
      <c r="BER213" s="52"/>
      <c r="BES213" s="52"/>
      <c r="BET213" s="52"/>
      <c r="BEU213" s="52"/>
      <c r="BEV213" s="52"/>
      <c r="BEW213" s="52"/>
      <c r="BEX213" s="52"/>
      <c r="BEY213" s="52"/>
      <c r="BEZ213" s="52"/>
      <c r="BFA213" s="52"/>
      <c r="BFB213" s="52"/>
      <c r="BFC213" s="52"/>
      <c r="BFD213" s="52"/>
      <c r="BFE213" s="52"/>
      <c r="BFF213" s="52"/>
      <c r="BFG213" s="52"/>
      <c r="BFH213" s="52"/>
      <c r="BFI213" s="52"/>
      <c r="BFJ213" s="52"/>
      <c r="BFK213" s="52"/>
      <c r="BFL213" s="52"/>
      <c r="BFM213" s="52"/>
      <c r="BFN213" s="52"/>
      <c r="BFO213" s="52"/>
      <c r="BFP213" s="52"/>
      <c r="BFQ213" s="52"/>
      <c r="BFR213" s="52"/>
      <c r="BFS213" s="52"/>
      <c r="BFT213" s="52"/>
      <c r="BFU213" s="52"/>
      <c r="BFV213" s="52"/>
      <c r="BFW213" s="52"/>
      <c r="BFX213" s="52"/>
      <c r="BFY213" s="52"/>
      <c r="BFZ213" s="52"/>
      <c r="BGA213" s="52"/>
      <c r="BGB213" s="52"/>
      <c r="BGC213" s="52"/>
      <c r="BGD213" s="52"/>
      <c r="BGE213" s="52"/>
      <c r="BGF213" s="52"/>
      <c r="BGG213" s="52"/>
      <c r="BGH213" s="52"/>
      <c r="BGI213" s="52"/>
      <c r="BGJ213" s="52"/>
      <c r="BGK213" s="52"/>
      <c r="BGL213" s="52"/>
      <c r="BGM213" s="52"/>
      <c r="BGN213" s="52"/>
      <c r="BGO213" s="52"/>
      <c r="BGP213" s="52"/>
      <c r="BGQ213" s="52"/>
      <c r="BGR213" s="52"/>
      <c r="BGS213" s="52"/>
      <c r="BGT213" s="52"/>
      <c r="BGU213" s="52"/>
      <c r="BGV213" s="52"/>
      <c r="BGW213" s="52"/>
      <c r="BGX213" s="52"/>
      <c r="BGY213" s="52"/>
      <c r="BGZ213" s="52"/>
      <c r="BHA213" s="52"/>
      <c r="BHB213" s="52"/>
      <c r="BHC213" s="52"/>
      <c r="BHD213" s="52"/>
      <c r="BHE213" s="52"/>
      <c r="BHF213" s="52"/>
      <c r="BHG213" s="52"/>
      <c r="BHH213" s="52"/>
      <c r="BHI213" s="52"/>
      <c r="BHJ213" s="52"/>
      <c r="BHK213" s="52"/>
      <c r="BHL213" s="52"/>
      <c r="BHM213" s="52"/>
      <c r="BHN213" s="52"/>
      <c r="BHO213" s="52"/>
      <c r="BHP213" s="52"/>
      <c r="BHQ213" s="52"/>
      <c r="BHR213" s="52"/>
      <c r="BHS213" s="52"/>
      <c r="BHT213" s="52"/>
      <c r="BHU213" s="52"/>
      <c r="BHV213" s="52"/>
      <c r="BHW213" s="52"/>
      <c r="BHX213" s="52"/>
      <c r="BHY213" s="52"/>
      <c r="BHZ213" s="52"/>
      <c r="BIA213" s="52"/>
      <c r="BIB213" s="52"/>
      <c r="BIC213" s="52"/>
      <c r="BID213" s="52"/>
      <c r="BIE213" s="52"/>
      <c r="BIF213" s="52"/>
      <c r="BIG213" s="52"/>
      <c r="BIH213" s="52"/>
      <c r="BII213" s="52"/>
      <c r="BIJ213" s="52"/>
      <c r="BIK213" s="52"/>
      <c r="BIL213" s="52"/>
      <c r="BIM213" s="52"/>
      <c r="BIN213" s="52"/>
      <c r="BIO213" s="52"/>
      <c r="BIP213" s="52"/>
      <c r="BIQ213" s="52"/>
      <c r="BIR213" s="52"/>
      <c r="BIS213" s="52"/>
      <c r="BIT213" s="52"/>
      <c r="BIU213" s="52"/>
      <c r="BIV213" s="52"/>
      <c r="BIW213" s="52"/>
      <c r="BIX213" s="52"/>
      <c r="BIY213" s="52"/>
      <c r="BIZ213" s="52"/>
      <c r="BJA213" s="52"/>
      <c r="BJB213" s="52"/>
      <c r="BJC213" s="52"/>
      <c r="BJD213" s="52"/>
      <c r="BJE213" s="52"/>
      <c r="BJF213" s="52"/>
      <c r="BJG213" s="52"/>
      <c r="BJH213" s="52"/>
      <c r="BJI213" s="52"/>
      <c r="BJJ213" s="52"/>
      <c r="BJK213" s="52"/>
      <c r="BJL213" s="52"/>
      <c r="BJM213" s="52"/>
      <c r="BJN213" s="52"/>
      <c r="BJO213" s="52"/>
      <c r="BJP213" s="52"/>
      <c r="BJQ213" s="52"/>
      <c r="BJR213" s="52"/>
      <c r="BJS213" s="52"/>
      <c r="BJT213" s="52"/>
      <c r="BJU213" s="52"/>
      <c r="BJV213" s="52"/>
      <c r="BJW213" s="52"/>
      <c r="BJX213" s="52"/>
      <c r="BJY213" s="52"/>
      <c r="BJZ213" s="52"/>
      <c r="BKA213" s="52"/>
      <c r="BKB213" s="52"/>
      <c r="BKC213" s="52"/>
      <c r="BKD213" s="52"/>
      <c r="BKE213" s="52"/>
      <c r="BKF213" s="52"/>
      <c r="BKG213" s="52"/>
      <c r="BKH213" s="52"/>
      <c r="BKI213" s="52"/>
      <c r="BKJ213" s="52"/>
      <c r="BKK213" s="52"/>
      <c r="BKL213" s="52"/>
      <c r="BKM213" s="52"/>
      <c r="BKN213" s="52"/>
      <c r="BKO213" s="52"/>
      <c r="BKP213" s="52"/>
      <c r="BKQ213" s="52"/>
      <c r="BKR213" s="52"/>
      <c r="BKS213" s="52"/>
      <c r="BKT213" s="52"/>
      <c r="BKU213" s="52"/>
      <c r="BKV213" s="52"/>
      <c r="BKW213" s="52"/>
      <c r="BKX213" s="52"/>
      <c r="BKY213" s="52"/>
      <c r="BKZ213" s="52"/>
      <c r="BLA213" s="52"/>
      <c r="BLB213" s="52"/>
      <c r="BLC213" s="52"/>
      <c r="BLD213" s="52"/>
      <c r="BLE213" s="52"/>
      <c r="BLF213" s="52"/>
      <c r="BLG213" s="52"/>
      <c r="BLH213" s="52"/>
      <c r="BLI213" s="52"/>
      <c r="BLJ213" s="52"/>
      <c r="BLK213" s="52"/>
      <c r="BLL213" s="52"/>
      <c r="BLM213" s="52"/>
      <c r="BLN213" s="52"/>
      <c r="BLO213" s="52"/>
      <c r="BLP213" s="52"/>
      <c r="BLQ213" s="52"/>
      <c r="BLR213" s="52"/>
      <c r="BLS213" s="52"/>
      <c r="BLT213" s="52"/>
      <c r="BLU213" s="52"/>
      <c r="BLV213" s="52"/>
      <c r="BLW213" s="52"/>
      <c r="BLX213" s="52"/>
      <c r="BLY213" s="52"/>
      <c r="BLZ213" s="52"/>
      <c r="BMA213" s="52"/>
      <c r="BMB213" s="52"/>
      <c r="BMC213" s="52"/>
      <c r="BMD213" s="52"/>
      <c r="BME213" s="52"/>
      <c r="BMF213" s="52"/>
      <c r="BMG213" s="52"/>
      <c r="BMH213" s="52"/>
      <c r="BMI213" s="52"/>
      <c r="BMJ213" s="52"/>
      <c r="BMK213" s="52"/>
      <c r="BML213" s="52"/>
      <c r="BMM213" s="52"/>
      <c r="BMN213" s="52"/>
      <c r="BMO213" s="52"/>
      <c r="BMP213" s="52"/>
      <c r="BMQ213" s="52"/>
      <c r="BMR213" s="52"/>
      <c r="BMS213" s="52"/>
      <c r="BMT213" s="52"/>
      <c r="BMU213" s="52"/>
      <c r="BMV213" s="52"/>
      <c r="BMW213" s="52"/>
      <c r="BMX213" s="52"/>
      <c r="BMY213" s="52"/>
      <c r="BMZ213" s="52"/>
      <c r="BNA213" s="52"/>
      <c r="BNB213" s="52"/>
      <c r="BNC213" s="52"/>
      <c r="BND213" s="52"/>
      <c r="BNE213" s="52"/>
      <c r="BNF213" s="52"/>
      <c r="BNG213" s="52"/>
      <c r="BNH213" s="52"/>
      <c r="BNI213" s="52"/>
      <c r="BNJ213" s="52"/>
      <c r="BNK213" s="52"/>
      <c r="BNL213" s="52"/>
      <c r="BNM213" s="52"/>
      <c r="BNN213" s="52"/>
      <c r="BNO213" s="52"/>
      <c r="BNP213" s="52"/>
      <c r="BNQ213" s="52"/>
      <c r="BNR213" s="52"/>
      <c r="BNS213" s="52"/>
      <c r="BNT213" s="52"/>
      <c r="BNU213" s="52"/>
      <c r="BNV213" s="52"/>
      <c r="BNW213" s="52"/>
      <c r="BNX213" s="52"/>
      <c r="BNY213" s="52"/>
      <c r="BNZ213" s="52"/>
      <c r="BOA213" s="52"/>
      <c r="BOB213" s="52"/>
      <c r="BOC213" s="52"/>
      <c r="BOD213" s="52"/>
      <c r="BOE213" s="52"/>
      <c r="BOF213" s="52"/>
      <c r="BOG213" s="52"/>
      <c r="BOH213" s="52"/>
      <c r="BOI213" s="52"/>
      <c r="BOJ213" s="52"/>
      <c r="BOK213" s="52"/>
      <c r="BOL213" s="52"/>
      <c r="BOM213" s="52"/>
      <c r="BON213" s="52"/>
      <c r="BOO213" s="52"/>
      <c r="BOP213" s="52"/>
      <c r="BOQ213" s="52"/>
      <c r="BOR213" s="52"/>
      <c r="BOS213" s="52"/>
      <c r="BOT213" s="52"/>
      <c r="BOU213" s="52"/>
      <c r="BOV213" s="52"/>
      <c r="BOW213" s="52"/>
      <c r="BOX213" s="52"/>
      <c r="BOY213" s="52"/>
      <c r="BOZ213" s="52"/>
      <c r="BPA213" s="52"/>
      <c r="BPB213" s="52"/>
      <c r="BPC213" s="52"/>
      <c r="BPD213" s="52"/>
      <c r="BPE213" s="52"/>
      <c r="BPF213" s="52"/>
      <c r="BPG213" s="52"/>
      <c r="BPH213" s="52"/>
      <c r="BPI213" s="52"/>
      <c r="BPJ213" s="52"/>
      <c r="BPK213" s="52"/>
      <c r="BPL213" s="52"/>
      <c r="BPM213" s="52"/>
      <c r="BPN213" s="52"/>
      <c r="BPO213" s="52"/>
      <c r="BPP213" s="52"/>
      <c r="BPQ213" s="52"/>
      <c r="BPR213" s="52"/>
      <c r="BPS213" s="52"/>
      <c r="BPT213" s="52"/>
      <c r="BPU213" s="52"/>
      <c r="BPV213" s="52"/>
      <c r="BPW213" s="52"/>
      <c r="BPX213" s="52"/>
      <c r="BPY213" s="52"/>
      <c r="BPZ213" s="52"/>
      <c r="BQA213" s="52"/>
      <c r="BQB213" s="52"/>
      <c r="BQC213" s="52"/>
      <c r="BQD213" s="52"/>
      <c r="BQE213" s="52"/>
      <c r="BQF213" s="52"/>
      <c r="BQG213" s="52"/>
      <c r="BQH213" s="52"/>
      <c r="BQI213" s="52"/>
      <c r="BQJ213" s="52"/>
      <c r="BQK213" s="52"/>
      <c r="BQL213" s="52"/>
      <c r="BQM213" s="52"/>
      <c r="BQN213" s="52"/>
      <c r="BQO213" s="52"/>
      <c r="BQP213" s="52"/>
      <c r="BQQ213" s="52"/>
      <c r="BQR213" s="52"/>
      <c r="BQS213" s="52"/>
      <c r="BQT213" s="52"/>
      <c r="BQU213" s="52"/>
      <c r="BQV213" s="52"/>
      <c r="BQW213" s="52"/>
      <c r="BQX213" s="52"/>
      <c r="BQY213" s="52"/>
      <c r="BQZ213" s="52"/>
      <c r="BRA213" s="52"/>
      <c r="BRB213" s="52"/>
      <c r="BRC213" s="52"/>
      <c r="BRD213" s="52"/>
      <c r="BRE213" s="52"/>
      <c r="BRF213" s="52"/>
      <c r="BRG213" s="52"/>
      <c r="BRH213" s="52"/>
      <c r="BRI213" s="52"/>
      <c r="BRJ213" s="52"/>
      <c r="BRK213" s="52"/>
      <c r="BRL213" s="52"/>
      <c r="BRM213" s="52"/>
      <c r="BRN213" s="52"/>
      <c r="BRO213" s="52"/>
      <c r="BRP213" s="52"/>
      <c r="BRQ213" s="52"/>
      <c r="BRR213" s="52"/>
      <c r="BRS213" s="52"/>
      <c r="BRT213" s="52"/>
      <c r="BRU213" s="52"/>
      <c r="BRV213" s="52"/>
      <c r="BRW213" s="52"/>
      <c r="BRX213" s="52"/>
      <c r="BRY213" s="52"/>
      <c r="BRZ213" s="52"/>
      <c r="BSA213" s="52"/>
      <c r="BSB213" s="52"/>
      <c r="BSC213" s="52"/>
      <c r="BSD213" s="52"/>
      <c r="BSE213" s="52"/>
      <c r="BSF213" s="52"/>
      <c r="BSG213" s="52"/>
      <c r="BSH213" s="52"/>
      <c r="BSI213" s="52"/>
      <c r="BSJ213" s="52"/>
      <c r="BSK213" s="52"/>
      <c r="BSL213" s="52"/>
      <c r="BSM213" s="52"/>
      <c r="BSN213" s="52"/>
      <c r="BSO213" s="52"/>
      <c r="BSP213" s="52"/>
      <c r="BSQ213" s="52"/>
      <c r="BSR213" s="52"/>
      <c r="BSS213" s="52"/>
      <c r="BST213" s="52"/>
      <c r="BSU213" s="52"/>
      <c r="BSV213" s="52"/>
      <c r="BSW213" s="52"/>
      <c r="BSX213" s="52"/>
      <c r="BSY213" s="52"/>
      <c r="BSZ213" s="52"/>
      <c r="BTA213" s="52"/>
      <c r="BTB213" s="52"/>
      <c r="BTC213" s="52"/>
      <c r="BTD213" s="52"/>
      <c r="BTE213" s="52"/>
      <c r="BTF213" s="52"/>
      <c r="BTG213" s="52"/>
      <c r="BTH213" s="52"/>
      <c r="BTI213" s="52"/>
      <c r="BTJ213" s="52"/>
      <c r="BTK213" s="52"/>
      <c r="BTL213" s="52"/>
      <c r="BTM213" s="52"/>
      <c r="BTN213" s="52"/>
      <c r="BTO213" s="52"/>
      <c r="BTP213" s="52"/>
      <c r="BTQ213" s="52"/>
      <c r="BTR213" s="52"/>
      <c r="BTS213" s="52"/>
      <c r="BTT213" s="52"/>
      <c r="BTU213" s="52"/>
      <c r="BTV213" s="52"/>
      <c r="BTW213" s="52"/>
      <c r="BTX213" s="52"/>
      <c r="BTY213" s="52"/>
      <c r="BTZ213" s="52"/>
      <c r="BUA213" s="52"/>
      <c r="BUB213" s="52"/>
      <c r="BUC213" s="52"/>
      <c r="BUD213" s="52"/>
      <c r="BUE213" s="52"/>
      <c r="BUF213" s="52"/>
      <c r="BUG213" s="52"/>
      <c r="BUH213" s="52"/>
      <c r="BUI213" s="52"/>
      <c r="BUJ213" s="52"/>
      <c r="BUK213" s="52"/>
      <c r="BUL213" s="52"/>
      <c r="BUM213" s="52"/>
      <c r="BUN213" s="52"/>
      <c r="BUO213" s="52"/>
      <c r="BUP213" s="52"/>
      <c r="BUQ213" s="52"/>
      <c r="BUR213" s="52"/>
      <c r="BUS213" s="52"/>
      <c r="BUT213" s="52"/>
      <c r="BUU213" s="52"/>
      <c r="BUV213" s="52"/>
      <c r="BUW213" s="52"/>
      <c r="BUX213" s="52"/>
      <c r="BUY213" s="52"/>
      <c r="BUZ213" s="52"/>
      <c r="BVA213" s="52"/>
      <c r="BVB213" s="52"/>
      <c r="BVC213" s="52"/>
      <c r="BVD213" s="52"/>
      <c r="BVE213" s="52"/>
      <c r="BVF213" s="52"/>
      <c r="BVG213" s="52"/>
      <c r="BVH213" s="52"/>
      <c r="BVI213" s="52"/>
      <c r="BVJ213" s="52"/>
      <c r="BVK213" s="52"/>
      <c r="BVL213" s="52"/>
      <c r="BVM213" s="52"/>
      <c r="BVN213" s="52"/>
      <c r="BVO213" s="52"/>
      <c r="BVP213" s="52"/>
      <c r="BVQ213" s="52"/>
      <c r="BVR213" s="52"/>
      <c r="BVS213" s="52"/>
      <c r="BVT213" s="52"/>
      <c r="BVU213" s="52"/>
      <c r="BVV213" s="52"/>
      <c r="BVW213" s="52"/>
      <c r="BVX213" s="52"/>
      <c r="BVY213" s="52"/>
      <c r="BVZ213" s="52"/>
      <c r="BWA213" s="52"/>
      <c r="BWB213" s="52"/>
      <c r="BWC213" s="52"/>
      <c r="BWD213" s="52"/>
      <c r="BWE213" s="52"/>
      <c r="BWF213" s="52"/>
      <c r="BWG213" s="52"/>
      <c r="BWH213" s="52"/>
      <c r="BWI213" s="52"/>
      <c r="BWJ213" s="52"/>
      <c r="BWK213" s="52"/>
      <c r="BWL213" s="52"/>
      <c r="BWM213" s="52"/>
      <c r="BWN213" s="52"/>
      <c r="BWO213" s="52"/>
      <c r="BWP213" s="52"/>
      <c r="BWQ213" s="52"/>
      <c r="BWR213" s="52"/>
      <c r="BWS213" s="52"/>
      <c r="BWT213" s="52"/>
      <c r="BWU213" s="52"/>
      <c r="BWV213" s="52"/>
      <c r="BWW213" s="52"/>
      <c r="BWX213" s="52"/>
      <c r="BWY213" s="52"/>
      <c r="BWZ213" s="52"/>
      <c r="BXA213" s="52"/>
      <c r="BXB213" s="52"/>
      <c r="BXC213" s="52"/>
      <c r="BXD213" s="52"/>
      <c r="BXE213" s="52"/>
      <c r="BXF213" s="52"/>
      <c r="BXG213" s="52"/>
      <c r="BXH213" s="52"/>
      <c r="BXI213" s="52"/>
      <c r="BXJ213" s="52"/>
      <c r="BXK213" s="52"/>
      <c r="BXL213" s="52"/>
      <c r="BXM213" s="52"/>
      <c r="BXN213" s="52"/>
      <c r="BXO213" s="52"/>
      <c r="BXP213" s="52"/>
      <c r="BXQ213" s="52"/>
      <c r="BXR213" s="52"/>
      <c r="BXS213" s="52"/>
      <c r="BXT213" s="52"/>
      <c r="BXU213" s="52"/>
      <c r="BXV213" s="52"/>
      <c r="BXW213" s="52"/>
      <c r="BXX213" s="52"/>
      <c r="BXY213" s="52"/>
      <c r="BXZ213" s="52"/>
      <c r="BYA213" s="52"/>
      <c r="BYB213" s="52"/>
      <c r="BYC213" s="52"/>
      <c r="BYD213" s="52"/>
      <c r="BYE213" s="52"/>
      <c r="BYF213" s="52"/>
      <c r="BYG213" s="52"/>
      <c r="BYH213" s="52"/>
      <c r="BYI213" s="52"/>
      <c r="BYJ213" s="52"/>
      <c r="BYK213" s="52"/>
      <c r="BYL213" s="52"/>
      <c r="BYM213" s="52"/>
      <c r="BYN213" s="52"/>
      <c r="BYO213" s="52"/>
      <c r="BYP213" s="52"/>
      <c r="BYQ213" s="52"/>
      <c r="BYR213" s="52"/>
      <c r="BYS213" s="52"/>
      <c r="BYT213" s="52"/>
      <c r="BYU213" s="52"/>
      <c r="BYV213" s="52"/>
      <c r="BYW213" s="52"/>
      <c r="BYX213" s="52"/>
      <c r="BYY213" s="52"/>
      <c r="BYZ213" s="52"/>
      <c r="BZA213" s="52"/>
      <c r="BZB213" s="52"/>
      <c r="BZC213" s="52"/>
      <c r="BZD213" s="52"/>
      <c r="BZE213" s="52"/>
      <c r="BZF213" s="52"/>
      <c r="BZG213" s="52"/>
      <c r="BZH213" s="52"/>
      <c r="BZI213" s="52"/>
      <c r="BZJ213" s="52"/>
      <c r="BZK213" s="52"/>
      <c r="BZL213" s="52"/>
      <c r="BZM213" s="52"/>
      <c r="BZN213" s="52"/>
      <c r="BZO213" s="52"/>
      <c r="BZP213" s="52"/>
      <c r="BZQ213" s="52"/>
      <c r="BZR213" s="52"/>
      <c r="BZS213" s="52"/>
      <c r="BZT213" s="52"/>
      <c r="BZU213" s="52"/>
      <c r="BZV213" s="52"/>
      <c r="BZW213" s="52"/>
      <c r="BZX213" s="52"/>
      <c r="BZY213" s="52"/>
      <c r="BZZ213" s="52"/>
      <c r="CAA213" s="52"/>
      <c r="CAB213" s="52"/>
      <c r="CAC213" s="52"/>
      <c r="CAD213" s="52"/>
      <c r="CAE213" s="52"/>
      <c r="CAF213" s="52"/>
      <c r="CAG213" s="52"/>
      <c r="CAH213" s="52"/>
      <c r="CAI213" s="52"/>
      <c r="CAJ213" s="52"/>
      <c r="CAK213" s="52"/>
      <c r="CAL213" s="52"/>
      <c r="CAM213" s="52"/>
      <c r="CAN213" s="52"/>
      <c r="CAO213" s="52"/>
      <c r="CAP213" s="52"/>
      <c r="CAQ213" s="52"/>
      <c r="CAR213" s="52"/>
      <c r="CAS213" s="52"/>
      <c r="CAT213" s="52"/>
      <c r="CAU213" s="52"/>
      <c r="CAV213" s="52"/>
      <c r="CAW213" s="52"/>
      <c r="CAX213" s="52"/>
      <c r="CAY213" s="52"/>
      <c r="CAZ213" s="52"/>
      <c r="CBA213" s="52"/>
      <c r="CBB213" s="52"/>
      <c r="CBC213" s="52"/>
      <c r="CBD213" s="52"/>
      <c r="CBE213" s="52"/>
      <c r="CBF213" s="52"/>
      <c r="CBG213" s="52"/>
      <c r="CBH213" s="52"/>
      <c r="CBI213" s="52"/>
      <c r="CBJ213" s="52"/>
      <c r="CBK213" s="52"/>
      <c r="CBL213" s="52"/>
      <c r="CBM213" s="52"/>
      <c r="CBN213" s="52"/>
      <c r="CBO213" s="52"/>
      <c r="CBP213" s="52"/>
      <c r="CBQ213" s="52"/>
      <c r="CBR213" s="52"/>
      <c r="CBS213" s="52"/>
      <c r="CBT213" s="52"/>
      <c r="CBU213" s="52"/>
      <c r="CBV213" s="52"/>
      <c r="CBW213" s="52"/>
      <c r="CBX213" s="52"/>
      <c r="CBY213" s="52"/>
      <c r="CBZ213" s="52"/>
      <c r="CCA213" s="52"/>
      <c r="CCB213" s="52"/>
      <c r="CCC213" s="52"/>
      <c r="CCD213" s="52"/>
      <c r="CCE213" s="52"/>
      <c r="CCF213" s="52"/>
      <c r="CCG213" s="52"/>
      <c r="CCH213" s="52"/>
      <c r="CCI213" s="52"/>
      <c r="CCJ213" s="52"/>
      <c r="CCK213" s="52"/>
      <c r="CCL213" s="52"/>
      <c r="CCM213" s="52"/>
      <c r="CCN213" s="52"/>
      <c r="CCO213" s="52"/>
      <c r="CCP213" s="52"/>
      <c r="CCQ213" s="52"/>
      <c r="CCR213" s="52"/>
      <c r="CCS213" s="52"/>
      <c r="CCT213" s="52"/>
      <c r="CCU213" s="52"/>
      <c r="CCV213" s="52"/>
      <c r="CCW213" s="52"/>
      <c r="CCX213" s="52"/>
      <c r="CCY213" s="52"/>
      <c r="CCZ213" s="52"/>
      <c r="CDA213" s="52"/>
      <c r="CDB213" s="52"/>
      <c r="CDC213" s="52"/>
      <c r="CDD213" s="52"/>
      <c r="CDE213" s="52"/>
      <c r="CDF213" s="52"/>
      <c r="CDG213" s="52"/>
      <c r="CDH213" s="52"/>
      <c r="CDI213" s="52"/>
      <c r="CDJ213" s="52"/>
      <c r="CDK213" s="52"/>
      <c r="CDL213" s="52"/>
      <c r="CDM213" s="52"/>
      <c r="CDN213" s="52"/>
      <c r="CDO213" s="52"/>
      <c r="CDP213" s="52"/>
      <c r="CDQ213" s="52"/>
      <c r="CDR213" s="52"/>
      <c r="CDS213" s="52"/>
      <c r="CDT213" s="52"/>
      <c r="CDU213" s="52"/>
      <c r="CDV213" s="52"/>
      <c r="CDW213" s="52"/>
      <c r="CDX213" s="52"/>
      <c r="CDY213" s="52"/>
      <c r="CDZ213" s="52"/>
      <c r="CEA213" s="52"/>
      <c r="CEB213" s="52"/>
      <c r="CEC213" s="52"/>
      <c r="CED213" s="52"/>
      <c r="CEE213" s="52"/>
      <c r="CEF213" s="52"/>
      <c r="CEG213" s="52"/>
      <c r="CEH213" s="52"/>
      <c r="CEI213" s="52"/>
      <c r="CEJ213" s="52"/>
      <c r="CEK213" s="52"/>
      <c r="CEL213" s="52"/>
      <c r="CEM213" s="52"/>
      <c r="CEN213" s="52"/>
      <c r="CEO213" s="52"/>
      <c r="CEP213" s="52"/>
      <c r="CEQ213" s="52"/>
      <c r="CER213" s="52"/>
      <c r="CES213" s="52"/>
      <c r="CET213" s="52"/>
      <c r="CEU213" s="52"/>
      <c r="CEV213" s="52"/>
      <c r="CEW213" s="52"/>
      <c r="CEX213" s="52"/>
      <c r="CEY213" s="52"/>
      <c r="CEZ213" s="52"/>
      <c r="CFA213" s="52"/>
      <c r="CFB213" s="52"/>
      <c r="CFC213" s="52"/>
      <c r="CFD213" s="52"/>
      <c r="CFE213" s="52"/>
      <c r="CFF213" s="52"/>
      <c r="CFG213" s="52"/>
      <c r="CFH213" s="52"/>
      <c r="CFI213" s="52"/>
      <c r="CFJ213" s="52"/>
      <c r="CFK213" s="52"/>
      <c r="CFL213" s="52"/>
      <c r="CFM213" s="52"/>
      <c r="CFN213" s="52"/>
      <c r="CFO213" s="52"/>
      <c r="CFP213" s="52"/>
      <c r="CFQ213" s="52"/>
      <c r="CFR213" s="52"/>
      <c r="CFS213" s="52"/>
      <c r="CFT213" s="52"/>
      <c r="CFU213" s="52"/>
      <c r="CFV213" s="52"/>
      <c r="CFW213" s="52"/>
      <c r="CFX213" s="52"/>
      <c r="CFY213" s="52"/>
      <c r="CFZ213" s="52"/>
      <c r="CGA213" s="52"/>
      <c r="CGB213" s="52"/>
      <c r="CGC213" s="52"/>
      <c r="CGD213" s="52"/>
      <c r="CGE213" s="52"/>
      <c r="CGF213" s="52"/>
      <c r="CGG213" s="52"/>
      <c r="CGH213" s="52"/>
      <c r="CGI213" s="52"/>
      <c r="CGJ213" s="52"/>
      <c r="CGK213" s="52"/>
      <c r="CGL213" s="52"/>
      <c r="CGM213" s="52"/>
      <c r="CGN213" s="52"/>
      <c r="CGO213" s="52"/>
      <c r="CGP213" s="52"/>
      <c r="CGQ213" s="52"/>
      <c r="CGR213" s="52"/>
      <c r="CGS213" s="52"/>
      <c r="CGT213" s="52"/>
      <c r="CGU213" s="52"/>
      <c r="CGV213" s="52"/>
      <c r="CGW213" s="52"/>
      <c r="CGX213" s="52"/>
      <c r="CGY213" s="52"/>
      <c r="CGZ213" s="52"/>
      <c r="CHA213" s="52"/>
      <c r="CHB213" s="52"/>
      <c r="CHC213" s="52"/>
      <c r="CHD213" s="52"/>
      <c r="CHE213" s="52"/>
      <c r="CHF213" s="52"/>
      <c r="CHG213" s="52"/>
      <c r="CHH213" s="52"/>
      <c r="CHI213" s="52"/>
      <c r="CHJ213" s="52"/>
      <c r="CHK213" s="52"/>
      <c r="CHL213" s="52"/>
      <c r="CHM213" s="52"/>
      <c r="CHN213" s="52"/>
      <c r="CHO213" s="52"/>
      <c r="CHP213" s="52"/>
      <c r="CHQ213" s="52"/>
      <c r="CHR213" s="52"/>
      <c r="CHS213" s="52"/>
      <c r="CHT213" s="52"/>
      <c r="CHU213" s="52"/>
      <c r="CHV213" s="52"/>
      <c r="CHW213" s="52"/>
      <c r="CHX213" s="52"/>
      <c r="CHY213" s="52"/>
      <c r="CHZ213" s="52"/>
      <c r="CIA213" s="52"/>
      <c r="CIB213" s="52"/>
      <c r="CIC213" s="52"/>
      <c r="CID213" s="52"/>
      <c r="CIE213" s="52"/>
      <c r="CIF213" s="52"/>
      <c r="CIG213" s="52"/>
      <c r="CIH213" s="52"/>
      <c r="CII213" s="52"/>
      <c r="CIJ213" s="52"/>
      <c r="CIK213" s="52"/>
      <c r="CIL213" s="52"/>
      <c r="CIM213" s="52"/>
      <c r="CIN213" s="52"/>
      <c r="CIO213" s="52"/>
      <c r="CIP213" s="52"/>
      <c r="CIQ213" s="52"/>
      <c r="CIR213" s="52"/>
      <c r="CIS213" s="52"/>
      <c r="CIT213" s="52"/>
      <c r="CIU213" s="52"/>
      <c r="CIV213" s="52"/>
      <c r="CIW213" s="52"/>
      <c r="CIX213" s="52"/>
      <c r="CIY213" s="52"/>
      <c r="CIZ213" s="52"/>
      <c r="CJA213" s="52"/>
      <c r="CJB213" s="52"/>
      <c r="CJC213" s="52"/>
      <c r="CJD213" s="52"/>
      <c r="CJE213" s="52"/>
      <c r="CJF213" s="52"/>
      <c r="CJG213" s="52"/>
      <c r="CJH213" s="52"/>
      <c r="CJI213" s="52"/>
      <c r="CJJ213" s="52"/>
      <c r="CJK213" s="52"/>
      <c r="CJL213" s="52"/>
      <c r="CJM213" s="52"/>
      <c r="CJN213" s="52"/>
      <c r="CJO213" s="52"/>
      <c r="CJP213" s="52"/>
      <c r="CJQ213" s="52"/>
      <c r="CJR213" s="52"/>
      <c r="CJS213" s="52"/>
      <c r="CJT213" s="52"/>
      <c r="CJU213" s="52"/>
      <c r="CJV213" s="52"/>
      <c r="CJW213" s="52"/>
      <c r="CJX213" s="52"/>
      <c r="CJY213" s="52"/>
      <c r="CJZ213" s="52"/>
      <c r="CKA213" s="52"/>
      <c r="CKB213" s="52"/>
      <c r="CKC213" s="52"/>
      <c r="CKD213" s="52"/>
      <c r="CKE213" s="52"/>
      <c r="CKF213" s="52"/>
      <c r="CKG213" s="52"/>
      <c r="CKH213" s="52"/>
      <c r="CKI213" s="52"/>
      <c r="CKJ213" s="52"/>
      <c r="CKK213" s="52"/>
      <c r="CKL213" s="52"/>
      <c r="CKM213" s="52"/>
      <c r="CKN213" s="52"/>
      <c r="CKO213" s="52"/>
      <c r="CKP213" s="52"/>
      <c r="CKQ213" s="52"/>
      <c r="CKR213" s="52"/>
      <c r="CKS213" s="52"/>
      <c r="CKT213" s="52"/>
      <c r="CKU213" s="52"/>
      <c r="CKV213" s="52"/>
      <c r="CKW213" s="52"/>
      <c r="CKX213" s="52"/>
      <c r="CKY213" s="52"/>
      <c r="CKZ213" s="52"/>
      <c r="CLA213" s="52"/>
      <c r="CLB213" s="52"/>
      <c r="CLC213" s="52"/>
      <c r="CLD213" s="52"/>
      <c r="CLE213" s="52"/>
      <c r="CLF213" s="52"/>
      <c r="CLG213" s="52"/>
      <c r="CLH213" s="52"/>
      <c r="CLI213" s="52"/>
      <c r="CLJ213" s="52"/>
      <c r="CLK213" s="52"/>
      <c r="CLL213" s="52"/>
      <c r="CLM213" s="52"/>
      <c r="CLN213" s="52"/>
      <c r="CLO213" s="52"/>
      <c r="CLP213" s="52"/>
      <c r="CLQ213" s="52"/>
      <c r="CLR213" s="52"/>
      <c r="CLS213" s="52"/>
      <c r="CLT213" s="52"/>
      <c r="CLU213" s="52"/>
      <c r="CLV213" s="52"/>
      <c r="CLW213" s="52"/>
      <c r="CLX213" s="52"/>
      <c r="CLY213" s="52"/>
      <c r="CLZ213" s="52"/>
      <c r="CMA213" s="52"/>
      <c r="CMB213" s="52"/>
      <c r="CMC213" s="52"/>
      <c r="CMD213" s="52"/>
      <c r="CME213" s="52"/>
      <c r="CMF213" s="52"/>
      <c r="CMG213" s="52"/>
      <c r="CMH213" s="52"/>
      <c r="CMI213" s="52"/>
      <c r="CMJ213" s="52"/>
      <c r="CMK213" s="52"/>
      <c r="CML213" s="52"/>
      <c r="CMM213" s="52"/>
      <c r="CMN213" s="52"/>
      <c r="CMO213" s="52"/>
      <c r="CMP213" s="52"/>
      <c r="CMQ213" s="52"/>
      <c r="CMR213" s="52"/>
      <c r="CMS213" s="52"/>
      <c r="CMT213" s="52"/>
      <c r="CMU213" s="52"/>
      <c r="CMV213" s="52"/>
      <c r="CMW213" s="52"/>
      <c r="CMX213" s="52"/>
      <c r="CMY213" s="52"/>
      <c r="CMZ213" s="52"/>
      <c r="CNA213" s="52"/>
      <c r="CNB213" s="52"/>
      <c r="CNC213" s="52"/>
      <c r="CND213" s="52"/>
      <c r="CNE213" s="52"/>
      <c r="CNF213" s="52"/>
      <c r="CNG213" s="52"/>
      <c r="CNH213" s="52"/>
      <c r="CNI213" s="52"/>
      <c r="CNJ213" s="52"/>
      <c r="CNK213" s="52"/>
      <c r="CNL213" s="52"/>
      <c r="CNM213" s="52"/>
      <c r="CNN213" s="52"/>
      <c r="CNO213" s="52"/>
      <c r="CNP213" s="52"/>
      <c r="CNQ213" s="52"/>
      <c r="CNR213" s="52"/>
      <c r="CNS213" s="52"/>
      <c r="CNT213" s="52"/>
      <c r="CNU213" s="52"/>
      <c r="CNV213" s="52"/>
      <c r="CNW213" s="52"/>
      <c r="CNX213" s="52"/>
      <c r="CNY213" s="52"/>
      <c r="CNZ213" s="52"/>
      <c r="COA213" s="52"/>
      <c r="COB213" s="52"/>
      <c r="COC213" s="52"/>
      <c r="COD213" s="52"/>
      <c r="COE213" s="52"/>
      <c r="COF213" s="52"/>
      <c r="COG213" s="52"/>
      <c r="COH213" s="52"/>
      <c r="COI213" s="52"/>
      <c r="COJ213" s="52"/>
      <c r="COK213" s="52"/>
      <c r="COL213" s="52"/>
      <c r="COM213" s="52"/>
      <c r="CON213" s="52"/>
      <c r="COO213" s="52"/>
      <c r="COP213" s="52"/>
      <c r="COQ213" s="52"/>
      <c r="COR213" s="52"/>
      <c r="COS213" s="52"/>
      <c r="COT213" s="52"/>
      <c r="COU213" s="52"/>
      <c r="COV213" s="52"/>
      <c r="COW213" s="52"/>
      <c r="COX213" s="52"/>
      <c r="COY213" s="52"/>
      <c r="COZ213" s="52"/>
      <c r="CPA213" s="52"/>
      <c r="CPB213" s="52"/>
      <c r="CPC213" s="52"/>
      <c r="CPD213" s="52"/>
      <c r="CPE213" s="52"/>
      <c r="CPF213" s="52"/>
      <c r="CPG213" s="52"/>
      <c r="CPH213" s="52"/>
      <c r="CPI213" s="52"/>
      <c r="CPJ213" s="52"/>
      <c r="CPK213" s="52"/>
      <c r="CPL213" s="52"/>
      <c r="CPM213" s="52"/>
      <c r="CPN213" s="52"/>
      <c r="CPO213" s="52"/>
      <c r="CPP213" s="52"/>
      <c r="CPQ213" s="52"/>
      <c r="CPR213" s="52"/>
      <c r="CPS213" s="52"/>
      <c r="CPT213" s="52"/>
      <c r="CPU213" s="52"/>
      <c r="CPV213" s="52"/>
      <c r="CPW213" s="52"/>
      <c r="CPX213" s="52"/>
      <c r="CPY213" s="52"/>
      <c r="CPZ213" s="52"/>
      <c r="CQA213" s="52"/>
      <c r="CQB213" s="52"/>
      <c r="CQC213" s="52"/>
      <c r="CQD213" s="52"/>
      <c r="CQE213" s="52"/>
      <c r="CQF213" s="52"/>
      <c r="CQG213" s="52"/>
      <c r="CQH213" s="52"/>
      <c r="CQI213" s="52"/>
      <c r="CQJ213" s="52"/>
      <c r="CQK213" s="52"/>
      <c r="CQL213" s="52"/>
      <c r="CQM213" s="52"/>
      <c r="CQN213" s="52"/>
      <c r="CQO213" s="52"/>
      <c r="CQP213" s="52"/>
      <c r="CQQ213" s="52"/>
      <c r="CQR213" s="52"/>
      <c r="CQS213" s="52"/>
      <c r="CQT213" s="52"/>
      <c r="CQU213" s="52"/>
      <c r="CQV213" s="52"/>
      <c r="CQW213" s="52"/>
      <c r="CQX213" s="52"/>
      <c r="CQY213" s="52"/>
      <c r="CQZ213" s="52"/>
      <c r="CRA213" s="52"/>
      <c r="CRB213" s="52"/>
      <c r="CRC213" s="52"/>
      <c r="CRD213" s="52"/>
      <c r="CRE213" s="52"/>
      <c r="CRF213" s="52"/>
      <c r="CRG213" s="52"/>
      <c r="CRH213" s="52"/>
      <c r="CRI213" s="52"/>
      <c r="CRJ213" s="52"/>
      <c r="CRK213" s="52"/>
      <c r="CRL213" s="52"/>
      <c r="CRM213" s="52"/>
      <c r="CRN213" s="52"/>
      <c r="CRO213" s="52"/>
      <c r="CRP213" s="52"/>
      <c r="CRQ213" s="52"/>
      <c r="CRR213" s="52"/>
      <c r="CRS213" s="52"/>
      <c r="CRT213" s="52"/>
      <c r="CRU213" s="52"/>
      <c r="CRV213" s="52"/>
      <c r="CRW213" s="52"/>
      <c r="CRX213" s="52"/>
      <c r="CRY213" s="52"/>
      <c r="CRZ213" s="52"/>
      <c r="CSA213" s="52"/>
      <c r="CSB213" s="52"/>
      <c r="CSC213" s="52"/>
      <c r="CSD213" s="52"/>
      <c r="CSE213" s="52"/>
      <c r="CSF213" s="52"/>
      <c r="CSG213" s="52"/>
      <c r="CSH213" s="52"/>
      <c r="CSI213" s="52"/>
      <c r="CSJ213" s="52"/>
      <c r="CSK213" s="52"/>
      <c r="CSL213" s="52"/>
      <c r="CSM213" s="52"/>
      <c r="CSN213" s="52"/>
      <c r="CSO213" s="52"/>
      <c r="CSP213" s="52"/>
      <c r="CSQ213" s="52"/>
      <c r="CSR213" s="52"/>
      <c r="CSS213" s="52"/>
      <c r="CST213" s="52"/>
      <c r="CSU213" s="52"/>
      <c r="CSV213" s="52"/>
      <c r="CSW213" s="52"/>
      <c r="CSX213" s="52"/>
      <c r="CSY213" s="52"/>
      <c r="CSZ213" s="52"/>
      <c r="CTA213" s="52"/>
      <c r="CTB213" s="52"/>
      <c r="CTC213" s="52"/>
      <c r="CTD213" s="52"/>
      <c r="CTE213" s="52"/>
      <c r="CTF213" s="52"/>
      <c r="CTG213" s="52"/>
      <c r="CTH213" s="52"/>
      <c r="CTI213" s="52"/>
      <c r="CTJ213" s="52"/>
      <c r="CTK213" s="52"/>
      <c r="CTL213" s="52"/>
      <c r="CTM213" s="52"/>
      <c r="CTN213" s="52"/>
      <c r="CTO213" s="52"/>
      <c r="CTP213" s="52"/>
      <c r="CTQ213" s="52"/>
      <c r="CTR213" s="52"/>
      <c r="CTS213" s="52"/>
      <c r="CTT213" s="52"/>
      <c r="CTU213" s="52"/>
      <c r="CTV213" s="52"/>
      <c r="CTW213" s="52"/>
      <c r="CTX213" s="52"/>
      <c r="CTY213" s="52"/>
      <c r="CTZ213" s="52"/>
      <c r="CUA213" s="52"/>
      <c r="CUB213" s="52"/>
      <c r="CUC213" s="52"/>
      <c r="CUD213" s="52"/>
      <c r="CUE213" s="52"/>
      <c r="CUF213" s="52"/>
      <c r="CUG213" s="52"/>
      <c r="CUH213" s="52"/>
      <c r="CUI213" s="52"/>
      <c r="CUJ213" s="52"/>
      <c r="CUK213" s="52"/>
      <c r="CUL213" s="52"/>
      <c r="CUM213" s="52"/>
      <c r="CUN213" s="52"/>
      <c r="CUO213" s="52"/>
      <c r="CUP213" s="52"/>
      <c r="CUQ213" s="52"/>
      <c r="CUR213" s="52"/>
      <c r="CUS213" s="52"/>
      <c r="CUT213" s="52"/>
      <c r="CUU213" s="52"/>
      <c r="CUV213" s="52"/>
      <c r="CUW213" s="52"/>
      <c r="CUX213" s="52"/>
      <c r="CUY213" s="52"/>
      <c r="CUZ213" s="52"/>
      <c r="CVA213" s="52"/>
      <c r="CVB213" s="52"/>
      <c r="CVC213" s="52"/>
      <c r="CVD213" s="52"/>
      <c r="CVE213" s="52"/>
      <c r="CVF213" s="52"/>
      <c r="CVG213" s="52"/>
      <c r="CVH213" s="52"/>
      <c r="CVI213" s="52"/>
      <c r="CVJ213" s="52"/>
      <c r="CVK213" s="52"/>
      <c r="CVL213" s="52"/>
      <c r="CVM213" s="52"/>
      <c r="CVN213" s="52"/>
      <c r="CVO213" s="52"/>
      <c r="CVP213" s="52"/>
      <c r="CVQ213" s="52"/>
      <c r="CVR213" s="52"/>
      <c r="CVS213" s="52"/>
      <c r="CVT213" s="52"/>
      <c r="CVU213" s="52"/>
      <c r="CVV213" s="52"/>
      <c r="CVW213" s="52"/>
      <c r="CVX213" s="52"/>
      <c r="CVY213" s="52"/>
      <c r="CVZ213" s="52"/>
      <c r="CWA213" s="52"/>
      <c r="CWB213" s="52"/>
      <c r="CWC213" s="52"/>
      <c r="CWD213" s="52"/>
      <c r="CWE213" s="52"/>
      <c r="CWF213" s="52"/>
      <c r="CWG213" s="52"/>
      <c r="CWH213" s="52"/>
      <c r="CWI213" s="52"/>
      <c r="CWJ213" s="52"/>
      <c r="CWK213" s="52"/>
      <c r="CWL213" s="52"/>
      <c r="CWM213" s="52"/>
      <c r="CWN213" s="52"/>
      <c r="CWO213" s="52"/>
      <c r="CWP213" s="52"/>
      <c r="CWQ213" s="52"/>
      <c r="CWR213" s="52"/>
      <c r="CWS213" s="52"/>
      <c r="CWT213" s="52"/>
      <c r="CWU213" s="52"/>
      <c r="CWV213" s="52"/>
      <c r="CWW213" s="52"/>
      <c r="CWX213" s="52"/>
      <c r="CWY213" s="52"/>
      <c r="CWZ213" s="52"/>
      <c r="CXA213" s="52"/>
      <c r="CXB213" s="52"/>
      <c r="CXC213" s="52"/>
      <c r="CXD213" s="52"/>
      <c r="CXE213" s="52"/>
      <c r="CXF213" s="52"/>
      <c r="CXG213" s="52"/>
      <c r="CXH213" s="52"/>
      <c r="CXI213" s="52"/>
      <c r="CXJ213" s="52"/>
      <c r="CXK213" s="52"/>
      <c r="CXL213" s="52"/>
      <c r="CXM213" s="52"/>
      <c r="CXN213" s="52"/>
      <c r="CXO213" s="52"/>
      <c r="CXP213" s="52"/>
      <c r="CXQ213" s="52"/>
      <c r="CXR213" s="52"/>
      <c r="CXS213" s="52"/>
      <c r="CXT213" s="52"/>
      <c r="CXU213" s="52"/>
      <c r="CXV213" s="52"/>
      <c r="CXW213" s="52"/>
      <c r="CXX213" s="52"/>
      <c r="CXY213" s="52"/>
      <c r="CXZ213" s="52"/>
      <c r="CYA213" s="52"/>
      <c r="CYB213" s="52"/>
      <c r="CYC213" s="52"/>
      <c r="CYD213" s="52"/>
      <c r="CYE213" s="52"/>
      <c r="CYF213" s="52"/>
      <c r="CYG213" s="52"/>
      <c r="CYH213" s="52"/>
      <c r="CYI213" s="52"/>
      <c r="CYJ213" s="52"/>
      <c r="CYK213" s="52"/>
      <c r="CYL213" s="52"/>
      <c r="CYM213" s="52"/>
      <c r="CYN213" s="52"/>
      <c r="CYO213" s="52"/>
      <c r="CYP213" s="52"/>
      <c r="CYQ213" s="52"/>
      <c r="CYR213" s="52"/>
      <c r="CYS213" s="52"/>
      <c r="CYT213" s="52"/>
      <c r="CYU213" s="52"/>
      <c r="CYV213" s="52"/>
      <c r="CYW213" s="52"/>
      <c r="CYX213" s="52"/>
      <c r="CYY213" s="52"/>
      <c r="CYZ213" s="52"/>
      <c r="CZA213" s="52"/>
      <c r="CZB213" s="52"/>
      <c r="CZC213" s="52"/>
      <c r="CZD213" s="52"/>
      <c r="CZE213" s="52"/>
      <c r="CZF213" s="52"/>
      <c r="CZG213" s="52"/>
      <c r="CZH213" s="52"/>
      <c r="CZI213" s="52"/>
      <c r="CZJ213" s="52"/>
      <c r="CZK213" s="52"/>
      <c r="CZL213" s="52"/>
      <c r="CZM213" s="52"/>
      <c r="CZN213" s="52"/>
      <c r="CZO213" s="52"/>
      <c r="CZP213" s="52"/>
      <c r="CZQ213" s="52"/>
      <c r="CZR213" s="52"/>
      <c r="CZS213" s="52"/>
      <c r="CZT213" s="52"/>
      <c r="CZU213" s="52"/>
      <c r="CZV213" s="52"/>
      <c r="CZW213" s="52"/>
      <c r="CZX213" s="52"/>
      <c r="CZY213" s="52"/>
      <c r="CZZ213" s="52"/>
      <c r="DAA213" s="52"/>
      <c r="DAB213" s="52"/>
      <c r="DAC213" s="52"/>
      <c r="DAD213" s="52"/>
      <c r="DAE213" s="52"/>
      <c r="DAF213" s="52"/>
      <c r="DAG213" s="52"/>
      <c r="DAH213" s="52"/>
      <c r="DAI213" s="52"/>
      <c r="DAJ213" s="52"/>
      <c r="DAK213" s="52"/>
      <c r="DAL213" s="52"/>
      <c r="DAM213" s="52"/>
      <c r="DAN213" s="52"/>
      <c r="DAO213" s="52"/>
      <c r="DAP213" s="52"/>
      <c r="DAQ213" s="52"/>
      <c r="DAR213" s="52"/>
      <c r="DAS213" s="52"/>
      <c r="DAT213" s="52"/>
      <c r="DAU213" s="52"/>
      <c r="DAV213" s="52"/>
      <c r="DAW213" s="52"/>
      <c r="DAX213" s="52"/>
      <c r="DAY213" s="52"/>
      <c r="DAZ213" s="52"/>
      <c r="DBA213" s="52"/>
      <c r="DBB213" s="52"/>
      <c r="DBC213" s="52"/>
      <c r="DBD213" s="52"/>
      <c r="DBE213" s="52"/>
      <c r="DBF213" s="52"/>
      <c r="DBG213" s="52"/>
      <c r="DBH213" s="52"/>
      <c r="DBI213" s="52"/>
      <c r="DBJ213" s="52"/>
      <c r="DBK213" s="52"/>
      <c r="DBL213" s="52"/>
      <c r="DBM213" s="52"/>
      <c r="DBN213" s="52"/>
      <c r="DBO213" s="52"/>
      <c r="DBP213" s="52"/>
      <c r="DBQ213" s="52"/>
      <c r="DBR213" s="52"/>
      <c r="DBS213" s="52"/>
      <c r="DBT213" s="52"/>
      <c r="DBU213" s="52"/>
      <c r="DBV213" s="52"/>
      <c r="DBW213" s="52"/>
      <c r="DBX213" s="52"/>
      <c r="DBY213" s="52"/>
      <c r="DBZ213" s="52"/>
      <c r="DCA213" s="52"/>
      <c r="DCB213" s="52"/>
      <c r="DCC213" s="52"/>
      <c r="DCD213" s="52"/>
      <c r="DCE213" s="52"/>
      <c r="DCF213" s="52"/>
      <c r="DCG213" s="52"/>
      <c r="DCH213" s="52"/>
      <c r="DCI213" s="52"/>
      <c r="DCJ213" s="52"/>
      <c r="DCK213" s="52"/>
      <c r="DCL213" s="52"/>
      <c r="DCM213" s="52"/>
      <c r="DCN213" s="52"/>
      <c r="DCO213" s="52"/>
      <c r="DCP213" s="52"/>
      <c r="DCQ213" s="52"/>
      <c r="DCR213" s="52"/>
      <c r="DCS213" s="52"/>
      <c r="DCT213" s="52"/>
      <c r="DCU213" s="52"/>
      <c r="DCV213" s="52"/>
      <c r="DCW213" s="52"/>
      <c r="DCX213" s="52"/>
      <c r="DCY213" s="52"/>
      <c r="DCZ213" s="52"/>
      <c r="DDA213" s="52"/>
      <c r="DDB213" s="52"/>
      <c r="DDC213" s="52"/>
      <c r="DDD213" s="52"/>
      <c r="DDE213" s="52"/>
      <c r="DDF213" s="52"/>
      <c r="DDG213" s="52"/>
      <c r="DDH213" s="52"/>
      <c r="DDI213" s="52"/>
      <c r="DDJ213" s="52"/>
      <c r="DDK213" s="52"/>
      <c r="DDL213" s="52"/>
      <c r="DDM213" s="52"/>
      <c r="DDN213" s="52"/>
      <c r="DDO213" s="52"/>
      <c r="DDP213" s="52"/>
      <c r="DDQ213" s="52"/>
      <c r="DDR213" s="52"/>
      <c r="DDS213" s="52"/>
      <c r="DDT213" s="52"/>
      <c r="DDU213" s="52"/>
      <c r="DDV213" s="52"/>
      <c r="DDW213" s="52"/>
      <c r="DDX213" s="52"/>
      <c r="DDY213" s="52"/>
      <c r="DDZ213" s="52"/>
      <c r="DEA213" s="52"/>
      <c r="DEB213" s="52"/>
      <c r="DEC213" s="52"/>
      <c r="DED213" s="52"/>
      <c r="DEE213" s="52"/>
      <c r="DEF213" s="52"/>
      <c r="DEG213" s="52"/>
      <c r="DEH213" s="52"/>
      <c r="DEI213" s="52"/>
      <c r="DEJ213" s="52"/>
      <c r="DEK213" s="52"/>
      <c r="DEL213" s="52"/>
      <c r="DEM213" s="52"/>
      <c r="DEN213" s="52"/>
      <c r="DEO213" s="52"/>
      <c r="DEP213" s="52"/>
      <c r="DEQ213" s="52"/>
      <c r="DER213" s="52"/>
      <c r="DES213" s="52"/>
      <c r="DET213" s="52"/>
      <c r="DEU213" s="52"/>
      <c r="DEV213" s="52"/>
      <c r="DEW213" s="52"/>
      <c r="DEX213" s="52"/>
      <c r="DEY213" s="52"/>
      <c r="DEZ213" s="52"/>
      <c r="DFA213" s="52"/>
      <c r="DFB213" s="52"/>
      <c r="DFC213" s="52"/>
      <c r="DFD213" s="52"/>
      <c r="DFE213" s="52"/>
      <c r="DFF213" s="52"/>
      <c r="DFG213" s="52"/>
      <c r="DFH213" s="52"/>
      <c r="DFI213" s="52"/>
      <c r="DFJ213" s="52"/>
      <c r="DFK213" s="52"/>
      <c r="DFL213" s="52"/>
      <c r="DFM213" s="52"/>
      <c r="DFN213" s="52"/>
      <c r="DFO213" s="52"/>
      <c r="DFP213" s="52"/>
      <c r="DFQ213" s="52"/>
      <c r="DFR213" s="52"/>
      <c r="DFS213" s="52"/>
      <c r="DFT213" s="52"/>
      <c r="DFU213" s="52"/>
      <c r="DFV213" s="52"/>
      <c r="DFW213" s="52"/>
      <c r="DFX213" s="52"/>
      <c r="DFY213" s="52"/>
      <c r="DFZ213" s="52"/>
      <c r="DGA213" s="52"/>
      <c r="DGB213" s="52"/>
      <c r="DGC213" s="52"/>
      <c r="DGD213" s="52"/>
      <c r="DGE213" s="52"/>
      <c r="DGF213" s="52"/>
      <c r="DGG213" s="52"/>
      <c r="DGH213" s="52"/>
      <c r="DGI213" s="52"/>
      <c r="DGJ213" s="52"/>
      <c r="DGK213" s="52"/>
      <c r="DGL213" s="52"/>
      <c r="DGM213" s="52"/>
      <c r="DGN213" s="52"/>
      <c r="DGO213" s="52"/>
      <c r="DGP213" s="52"/>
      <c r="DGQ213" s="52"/>
      <c r="DGR213" s="52"/>
      <c r="DGS213" s="52"/>
      <c r="DGT213" s="52"/>
      <c r="DGU213" s="52"/>
      <c r="DGV213" s="52"/>
      <c r="DGW213" s="52"/>
      <c r="DGX213" s="52"/>
      <c r="DGY213" s="52"/>
      <c r="DGZ213" s="52"/>
      <c r="DHA213" s="52"/>
      <c r="DHB213" s="52"/>
      <c r="DHC213" s="52"/>
      <c r="DHD213" s="52"/>
      <c r="DHE213" s="52"/>
      <c r="DHF213" s="52"/>
      <c r="DHG213" s="52"/>
      <c r="DHH213" s="52"/>
      <c r="DHI213" s="52"/>
      <c r="DHJ213" s="52"/>
      <c r="DHK213" s="52"/>
      <c r="DHL213" s="52"/>
      <c r="DHM213" s="52"/>
      <c r="DHN213" s="52"/>
      <c r="DHO213" s="52"/>
      <c r="DHP213" s="52"/>
      <c r="DHQ213" s="52"/>
      <c r="DHR213" s="52"/>
      <c r="DHS213" s="52"/>
      <c r="DHT213" s="52"/>
      <c r="DHU213" s="52"/>
      <c r="DHV213" s="52"/>
      <c r="DHW213" s="52"/>
      <c r="DHX213" s="52"/>
      <c r="DHY213" s="52"/>
      <c r="DHZ213" s="52"/>
      <c r="DIA213" s="52"/>
      <c r="DIB213" s="52"/>
      <c r="DIC213" s="52"/>
      <c r="DID213" s="52"/>
      <c r="DIE213" s="52"/>
      <c r="DIF213" s="52"/>
      <c r="DIG213" s="52"/>
      <c r="DIH213" s="52"/>
      <c r="DII213" s="52"/>
      <c r="DIJ213" s="52"/>
      <c r="DIK213" s="52"/>
      <c r="DIL213" s="52"/>
      <c r="DIM213" s="52"/>
      <c r="DIN213" s="52"/>
      <c r="DIO213" s="52"/>
      <c r="DIP213" s="52"/>
      <c r="DIQ213" s="52"/>
      <c r="DIR213" s="52"/>
      <c r="DIS213" s="52"/>
      <c r="DIT213" s="52"/>
      <c r="DIU213" s="52"/>
      <c r="DIV213" s="52"/>
      <c r="DIW213" s="52"/>
      <c r="DIX213" s="52"/>
      <c r="DIY213" s="52"/>
      <c r="DIZ213" s="52"/>
      <c r="DJA213" s="52"/>
      <c r="DJB213" s="52"/>
      <c r="DJC213" s="52"/>
      <c r="DJD213" s="52"/>
      <c r="DJE213" s="52"/>
      <c r="DJF213" s="52"/>
      <c r="DJG213" s="52"/>
      <c r="DJH213" s="52"/>
      <c r="DJI213" s="52"/>
      <c r="DJJ213" s="52"/>
      <c r="DJK213" s="52"/>
      <c r="DJL213" s="52"/>
      <c r="DJM213" s="52"/>
      <c r="DJN213" s="52"/>
      <c r="DJO213" s="52"/>
      <c r="DJP213" s="52"/>
      <c r="DJQ213" s="52"/>
      <c r="DJR213" s="52"/>
      <c r="DJS213" s="52"/>
      <c r="DJT213" s="52"/>
      <c r="DJU213" s="52"/>
      <c r="DJV213" s="52"/>
      <c r="DJW213" s="52"/>
      <c r="DJX213" s="52"/>
      <c r="DJY213" s="52"/>
      <c r="DJZ213" s="52"/>
      <c r="DKA213" s="52"/>
      <c r="DKB213" s="52"/>
      <c r="DKC213" s="52"/>
      <c r="DKD213" s="52"/>
      <c r="DKE213" s="52"/>
      <c r="DKF213" s="52"/>
      <c r="DKG213" s="52"/>
      <c r="DKH213" s="52"/>
      <c r="DKI213" s="52"/>
      <c r="DKJ213" s="52"/>
      <c r="DKK213" s="52"/>
      <c r="DKL213" s="52"/>
      <c r="DKM213" s="52"/>
      <c r="DKN213" s="52"/>
      <c r="DKO213" s="52"/>
      <c r="DKP213" s="52"/>
      <c r="DKQ213" s="52"/>
      <c r="DKR213" s="52"/>
      <c r="DKS213" s="52"/>
      <c r="DKT213" s="52"/>
      <c r="DKU213" s="52"/>
      <c r="DKV213" s="52"/>
      <c r="DKW213" s="52"/>
      <c r="DKX213" s="52"/>
      <c r="DKY213" s="52"/>
      <c r="DKZ213" s="52"/>
      <c r="DLA213" s="52"/>
      <c r="DLB213" s="52"/>
      <c r="DLC213" s="52"/>
      <c r="DLD213" s="52"/>
      <c r="DLE213" s="52"/>
      <c r="DLF213" s="52"/>
      <c r="DLG213" s="52"/>
      <c r="DLH213" s="52"/>
      <c r="DLI213" s="52"/>
      <c r="DLJ213" s="52"/>
      <c r="DLK213" s="52"/>
      <c r="DLL213" s="52"/>
      <c r="DLM213" s="52"/>
      <c r="DLN213" s="52"/>
      <c r="DLO213" s="52"/>
      <c r="DLP213" s="52"/>
      <c r="DLQ213" s="52"/>
      <c r="DLR213" s="52"/>
      <c r="DLS213" s="52"/>
      <c r="DLT213" s="52"/>
      <c r="DLU213" s="52"/>
      <c r="DLV213" s="52"/>
      <c r="DLW213" s="52"/>
      <c r="DLX213" s="52"/>
      <c r="DLY213" s="52"/>
      <c r="DLZ213" s="52"/>
      <c r="DMA213" s="52"/>
      <c r="DMB213" s="52"/>
      <c r="DMC213" s="52"/>
      <c r="DMD213" s="52"/>
      <c r="DME213" s="52"/>
      <c r="DMF213" s="52"/>
      <c r="DMG213" s="52"/>
      <c r="DMH213" s="52"/>
      <c r="DMI213" s="52"/>
      <c r="DMJ213" s="52"/>
      <c r="DMK213" s="52"/>
      <c r="DML213" s="52"/>
      <c r="DMM213" s="52"/>
      <c r="DMN213" s="52"/>
      <c r="DMO213" s="52"/>
      <c r="DMP213" s="52"/>
      <c r="DMQ213" s="52"/>
      <c r="DMR213" s="52"/>
      <c r="DMS213" s="52"/>
      <c r="DMT213" s="52"/>
      <c r="DMU213" s="52"/>
      <c r="DMV213" s="52"/>
      <c r="DMW213" s="52"/>
      <c r="DMX213" s="52"/>
      <c r="DMY213" s="52"/>
      <c r="DMZ213" s="52"/>
      <c r="DNA213" s="52"/>
      <c r="DNB213" s="52"/>
      <c r="DNC213" s="52"/>
      <c r="DND213" s="52"/>
      <c r="DNE213" s="52"/>
      <c r="DNF213" s="52"/>
      <c r="DNG213" s="52"/>
      <c r="DNH213" s="52"/>
      <c r="DNI213" s="52"/>
      <c r="DNJ213" s="52"/>
      <c r="DNK213" s="52"/>
      <c r="DNL213" s="52"/>
      <c r="DNM213" s="52"/>
      <c r="DNN213" s="52"/>
      <c r="DNO213" s="52"/>
      <c r="DNP213" s="52"/>
      <c r="DNQ213" s="52"/>
      <c r="DNR213" s="52"/>
      <c r="DNS213" s="52"/>
      <c r="DNT213" s="52"/>
      <c r="DNU213" s="52"/>
      <c r="DNV213" s="52"/>
      <c r="DNW213" s="52"/>
      <c r="DNX213" s="52"/>
      <c r="DNY213" s="52"/>
      <c r="DNZ213" s="52"/>
      <c r="DOA213" s="52"/>
      <c r="DOB213" s="52"/>
      <c r="DOC213" s="52"/>
      <c r="DOD213" s="52"/>
      <c r="DOE213" s="52"/>
      <c r="DOF213" s="52"/>
      <c r="DOG213" s="52"/>
      <c r="DOH213" s="52"/>
      <c r="DOI213" s="52"/>
      <c r="DOJ213" s="52"/>
      <c r="DOK213" s="52"/>
      <c r="DOL213" s="52"/>
      <c r="DOM213" s="52"/>
      <c r="DON213" s="52"/>
      <c r="DOO213" s="52"/>
      <c r="DOP213" s="52"/>
      <c r="DOQ213" s="52"/>
      <c r="DOR213" s="52"/>
      <c r="DOS213" s="52"/>
      <c r="DOT213" s="52"/>
      <c r="DOU213" s="52"/>
      <c r="DOV213" s="52"/>
      <c r="DOW213" s="52"/>
      <c r="DOX213" s="52"/>
      <c r="DOY213" s="52"/>
      <c r="DOZ213" s="52"/>
      <c r="DPA213" s="52"/>
      <c r="DPB213" s="52"/>
      <c r="DPC213" s="52"/>
      <c r="DPD213" s="52"/>
      <c r="DPE213" s="52"/>
      <c r="DPF213" s="52"/>
      <c r="DPG213" s="52"/>
      <c r="DPH213" s="52"/>
      <c r="DPI213" s="52"/>
      <c r="DPJ213" s="52"/>
      <c r="DPK213" s="52"/>
      <c r="DPL213" s="52"/>
      <c r="DPM213" s="52"/>
      <c r="DPN213" s="52"/>
      <c r="DPO213" s="52"/>
      <c r="DPP213" s="52"/>
      <c r="DPQ213" s="52"/>
      <c r="DPR213" s="52"/>
      <c r="DPS213" s="52"/>
      <c r="DPT213" s="52"/>
      <c r="DPU213" s="52"/>
      <c r="DPV213" s="52"/>
      <c r="DPW213" s="52"/>
      <c r="DPX213" s="52"/>
      <c r="DPY213" s="52"/>
      <c r="DPZ213" s="52"/>
      <c r="DQA213" s="52"/>
      <c r="DQB213" s="52"/>
      <c r="DQC213" s="52"/>
      <c r="DQD213" s="52"/>
      <c r="DQE213" s="52"/>
      <c r="DQF213" s="52"/>
      <c r="DQG213" s="52"/>
      <c r="DQH213" s="52"/>
      <c r="DQI213" s="52"/>
      <c r="DQJ213" s="52"/>
      <c r="DQK213" s="52"/>
      <c r="DQL213" s="52"/>
      <c r="DQM213" s="52"/>
      <c r="DQN213" s="52"/>
      <c r="DQO213" s="52"/>
      <c r="DQP213" s="52"/>
      <c r="DQQ213" s="52"/>
      <c r="DQR213" s="52"/>
      <c r="DQS213" s="52"/>
      <c r="DQT213" s="52"/>
      <c r="DQU213" s="52"/>
      <c r="DQV213" s="52"/>
      <c r="DQW213" s="52"/>
      <c r="DQX213" s="52"/>
      <c r="DQY213" s="52"/>
      <c r="DQZ213" s="52"/>
      <c r="DRA213" s="52"/>
      <c r="DRB213" s="52"/>
      <c r="DRC213" s="52"/>
      <c r="DRD213" s="52"/>
      <c r="DRE213" s="52"/>
      <c r="DRF213" s="52"/>
      <c r="DRG213" s="52"/>
      <c r="DRH213" s="52"/>
      <c r="DRI213" s="52"/>
      <c r="DRJ213" s="52"/>
      <c r="DRK213" s="52"/>
      <c r="DRL213" s="52"/>
      <c r="DRM213" s="52"/>
      <c r="DRN213" s="52"/>
      <c r="DRO213" s="52"/>
      <c r="DRP213" s="52"/>
      <c r="DRQ213" s="52"/>
      <c r="DRR213" s="52"/>
      <c r="DRS213" s="52"/>
      <c r="DRT213" s="52"/>
      <c r="DRU213" s="52"/>
      <c r="DRV213" s="52"/>
      <c r="DRW213" s="52"/>
      <c r="DRX213" s="52"/>
      <c r="DRY213" s="52"/>
      <c r="DRZ213" s="52"/>
      <c r="DSA213" s="52"/>
      <c r="DSB213" s="52"/>
      <c r="DSC213" s="52"/>
      <c r="DSD213" s="52"/>
      <c r="DSE213" s="52"/>
      <c r="DSF213" s="52"/>
      <c r="DSG213" s="52"/>
      <c r="DSH213" s="52"/>
      <c r="DSI213" s="52"/>
      <c r="DSJ213" s="52"/>
      <c r="DSK213" s="52"/>
      <c r="DSL213" s="52"/>
      <c r="DSM213" s="52"/>
      <c r="DSN213" s="52"/>
      <c r="DSO213" s="52"/>
      <c r="DSP213" s="52"/>
      <c r="DSQ213" s="52"/>
      <c r="DSR213" s="52"/>
      <c r="DSS213" s="52"/>
      <c r="DST213" s="52"/>
      <c r="DSU213" s="52"/>
      <c r="DSV213" s="52"/>
      <c r="DSW213" s="52"/>
      <c r="DSX213" s="52"/>
      <c r="DSY213" s="52"/>
      <c r="DSZ213" s="52"/>
      <c r="DTA213" s="52"/>
      <c r="DTB213" s="52"/>
      <c r="DTC213" s="52"/>
      <c r="DTD213" s="52"/>
      <c r="DTE213" s="52"/>
      <c r="DTF213" s="52"/>
      <c r="DTG213" s="52"/>
      <c r="DTH213" s="52"/>
      <c r="DTI213" s="52"/>
      <c r="DTJ213" s="52"/>
      <c r="DTK213" s="52"/>
      <c r="DTL213" s="52"/>
      <c r="DTM213" s="52"/>
      <c r="DTN213" s="52"/>
      <c r="DTO213" s="52"/>
      <c r="DTP213" s="52"/>
      <c r="DTQ213" s="52"/>
      <c r="DTR213" s="52"/>
      <c r="DTS213" s="52"/>
      <c r="DTT213" s="52"/>
      <c r="DTU213" s="52"/>
      <c r="DTV213" s="52"/>
      <c r="DTW213" s="52"/>
      <c r="DTX213" s="52"/>
      <c r="DTY213" s="52"/>
      <c r="DTZ213" s="52"/>
      <c r="DUA213" s="52"/>
      <c r="DUB213" s="52"/>
      <c r="DUC213" s="52"/>
      <c r="DUD213" s="52"/>
      <c r="DUE213" s="52"/>
      <c r="DUF213" s="52"/>
      <c r="DUG213" s="52"/>
      <c r="DUH213" s="52"/>
      <c r="DUI213" s="52"/>
      <c r="DUJ213" s="52"/>
      <c r="DUK213" s="52"/>
      <c r="DUL213" s="52"/>
      <c r="DUM213" s="52"/>
      <c r="DUN213" s="52"/>
      <c r="DUO213" s="52"/>
      <c r="DUP213" s="52"/>
      <c r="DUQ213" s="52"/>
      <c r="DUR213" s="52"/>
      <c r="DUS213" s="52"/>
      <c r="DUT213" s="52"/>
      <c r="DUU213" s="52"/>
      <c r="DUV213" s="52"/>
      <c r="DUW213" s="52"/>
      <c r="DUX213" s="52"/>
      <c r="DUY213" s="52"/>
      <c r="DUZ213" s="52"/>
      <c r="DVA213" s="52"/>
      <c r="DVB213" s="52"/>
      <c r="DVC213" s="52"/>
      <c r="DVD213" s="52"/>
      <c r="DVE213" s="52"/>
      <c r="DVF213" s="52"/>
      <c r="DVG213" s="52"/>
      <c r="DVH213" s="52"/>
      <c r="DVI213" s="52"/>
      <c r="DVJ213" s="52"/>
      <c r="DVK213" s="52"/>
      <c r="DVL213" s="52"/>
      <c r="DVM213" s="52"/>
      <c r="DVN213" s="52"/>
      <c r="DVO213" s="52"/>
      <c r="DVP213" s="52"/>
      <c r="DVQ213" s="52"/>
      <c r="DVR213" s="52"/>
      <c r="DVS213" s="52"/>
      <c r="DVT213" s="52"/>
      <c r="DVU213" s="52"/>
      <c r="DVV213" s="52"/>
      <c r="DVW213" s="52"/>
      <c r="DVX213" s="52"/>
      <c r="DVY213" s="52"/>
      <c r="DVZ213" s="52"/>
      <c r="DWA213" s="52"/>
      <c r="DWB213" s="52"/>
      <c r="DWC213" s="52"/>
      <c r="DWD213" s="52"/>
      <c r="DWE213" s="52"/>
      <c r="DWF213" s="52"/>
      <c r="DWG213" s="52"/>
      <c r="DWH213" s="52"/>
      <c r="DWI213" s="52"/>
      <c r="DWJ213" s="52"/>
      <c r="DWK213" s="52"/>
      <c r="DWL213" s="52"/>
      <c r="DWM213" s="52"/>
      <c r="DWN213" s="52"/>
      <c r="DWO213" s="52"/>
      <c r="DWP213" s="52"/>
      <c r="DWQ213" s="52"/>
      <c r="DWR213" s="52"/>
      <c r="DWS213" s="52"/>
      <c r="DWT213" s="52"/>
      <c r="DWU213" s="52"/>
      <c r="DWV213" s="52"/>
      <c r="DWW213" s="52"/>
      <c r="DWX213" s="52"/>
      <c r="DWY213" s="52"/>
      <c r="DWZ213" s="52"/>
      <c r="DXA213" s="52"/>
      <c r="DXB213" s="52"/>
      <c r="DXC213" s="52"/>
      <c r="DXD213" s="52"/>
      <c r="DXE213" s="52"/>
      <c r="DXF213" s="52"/>
      <c r="DXG213" s="52"/>
      <c r="DXH213" s="52"/>
      <c r="DXI213" s="52"/>
      <c r="DXJ213" s="52"/>
      <c r="DXK213" s="52"/>
      <c r="DXL213" s="52"/>
      <c r="DXM213" s="52"/>
      <c r="DXN213" s="52"/>
      <c r="DXO213" s="52"/>
      <c r="DXP213" s="52"/>
      <c r="DXQ213" s="52"/>
      <c r="DXR213" s="52"/>
      <c r="DXS213" s="52"/>
      <c r="DXT213" s="52"/>
      <c r="DXU213" s="52"/>
      <c r="DXV213" s="52"/>
      <c r="DXW213" s="52"/>
      <c r="DXX213" s="52"/>
      <c r="DXY213" s="52"/>
      <c r="DXZ213" s="52"/>
      <c r="DYA213" s="52"/>
      <c r="DYB213" s="52"/>
      <c r="DYC213" s="52"/>
      <c r="DYD213" s="52"/>
      <c r="DYE213" s="52"/>
      <c r="DYF213" s="52"/>
      <c r="DYG213" s="52"/>
      <c r="DYH213" s="52"/>
      <c r="DYI213" s="52"/>
      <c r="DYJ213" s="52"/>
      <c r="DYK213" s="52"/>
      <c r="DYL213" s="52"/>
      <c r="DYM213" s="52"/>
      <c r="DYN213" s="52"/>
      <c r="DYO213" s="52"/>
      <c r="DYP213" s="52"/>
      <c r="DYQ213" s="52"/>
      <c r="DYR213" s="52"/>
      <c r="DYS213" s="52"/>
      <c r="DYT213" s="52"/>
      <c r="DYU213" s="52"/>
      <c r="DYV213" s="52"/>
      <c r="DYW213" s="52"/>
      <c r="DYX213" s="52"/>
      <c r="DYY213" s="52"/>
      <c r="DYZ213" s="52"/>
      <c r="DZA213" s="52"/>
      <c r="DZB213" s="52"/>
      <c r="DZC213" s="52"/>
      <c r="DZD213" s="52"/>
      <c r="DZE213" s="52"/>
      <c r="DZF213" s="52"/>
      <c r="DZG213" s="52"/>
      <c r="DZH213" s="52"/>
      <c r="DZI213" s="52"/>
      <c r="DZJ213" s="52"/>
      <c r="DZK213" s="52"/>
      <c r="DZL213" s="52"/>
      <c r="DZM213" s="52"/>
      <c r="DZN213" s="52"/>
      <c r="DZO213" s="52"/>
      <c r="DZP213" s="52"/>
      <c r="DZQ213" s="52"/>
      <c r="DZR213" s="52"/>
      <c r="DZS213" s="52"/>
      <c r="DZT213" s="52"/>
      <c r="DZU213" s="52"/>
      <c r="DZV213" s="52"/>
      <c r="DZW213" s="52"/>
      <c r="DZX213" s="52"/>
      <c r="DZY213" s="52"/>
      <c r="DZZ213" s="52"/>
      <c r="EAA213" s="52"/>
      <c r="EAB213" s="52"/>
      <c r="EAC213" s="52"/>
      <c r="EAD213" s="52"/>
      <c r="EAE213" s="52"/>
      <c r="EAF213" s="52"/>
      <c r="EAG213" s="52"/>
      <c r="EAH213" s="52"/>
      <c r="EAI213" s="52"/>
      <c r="EAJ213" s="52"/>
      <c r="EAK213" s="52"/>
      <c r="EAL213" s="52"/>
      <c r="EAM213" s="52"/>
      <c r="EAN213" s="52"/>
      <c r="EAO213" s="52"/>
      <c r="EAP213" s="52"/>
      <c r="EAQ213" s="52"/>
      <c r="EAR213" s="52"/>
      <c r="EAS213" s="52"/>
      <c r="EAT213" s="52"/>
      <c r="EAU213" s="52"/>
      <c r="EAV213" s="52"/>
      <c r="EAW213" s="52"/>
      <c r="EAX213" s="52"/>
      <c r="EAY213" s="52"/>
      <c r="EAZ213" s="52"/>
      <c r="EBA213" s="52"/>
      <c r="EBB213" s="52"/>
      <c r="EBC213" s="52"/>
      <c r="EBD213" s="52"/>
      <c r="EBE213" s="52"/>
      <c r="EBF213" s="52"/>
      <c r="EBG213" s="52"/>
      <c r="EBH213" s="52"/>
      <c r="EBI213" s="52"/>
      <c r="EBJ213" s="52"/>
      <c r="EBK213" s="52"/>
      <c r="EBL213" s="52"/>
      <c r="EBM213" s="52"/>
      <c r="EBN213" s="52"/>
      <c r="EBO213" s="52"/>
      <c r="EBP213" s="52"/>
      <c r="EBQ213" s="52"/>
      <c r="EBR213" s="52"/>
      <c r="EBS213" s="52"/>
      <c r="EBT213" s="52"/>
      <c r="EBU213" s="52"/>
      <c r="EBV213" s="52"/>
      <c r="EBW213" s="52"/>
      <c r="EBX213" s="52"/>
      <c r="EBY213" s="52"/>
      <c r="EBZ213" s="52"/>
      <c r="ECA213" s="52"/>
      <c r="ECB213" s="52"/>
      <c r="ECC213" s="52"/>
      <c r="ECD213" s="52"/>
      <c r="ECE213" s="52"/>
      <c r="ECF213" s="52"/>
      <c r="ECG213" s="52"/>
      <c r="ECH213" s="52"/>
      <c r="ECI213" s="52"/>
      <c r="ECJ213" s="52"/>
      <c r="ECK213" s="52"/>
      <c r="ECL213" s="52"/>
      <c r="ECM213" s="52"/>
      <c r="ECN213" s="52"/>
      <c r="ECO213" s="52"/>
      <c r="ECP213" s="52"/>
      <c r="ECQ213" s="52"/>
      <c r="ECR213" s="52"/>
      <c r="ECS213" s="52"/>
      <c r="ECT213" s="52"/>
      <c r="ECU213" s="52"/>
      <c r="ECV213" s="52"/>
      <c r="ECW213" s="52"/>
      <c r="ECX213" s="52"/>
      <c r="ECY213" s="52"/>
      <c r="ECZ213" s="52"/>
      <c r="EDA213" s="52"/>
      <c r="EDB213" s="52"/>
      <c r="EDC213" s="52"/>
      <c r="EDD213" s="52"/>
      <c r="EDE213" s="52"/>
      <c r="EDF213" s="52"/>
      <c r="EDG213" s="52"/>
      <c r="EDH213" s="52"/>
      <c r="EDI213" s="52"/>
      <c r="EDJ213" s="52"/>
      <c r="EDK213" s="52"/>
      <c r="EDL213" s="52"/>
      <c r="EDM213" s="52"/>
      <c r="EDN213" s="52"/>
      <c r="EDO213" s="52"/>
      <c r="EDP213" s="52"/>
      <c r="EDQ213" s="52"/>
      <c r="EDR213" s="52"/>
      <c r="EDS213" s="52"/>
      <c r="EDT213" s="52"/>
      <c r="EDU213" s="52"/>
      <c r="EDV213" s="52"/>
      <c r="EDW213" s="52"/>
      <c r="EDX213" s="52"/>
      <c r="EDY213" s="52"/>
      <c r="EDZ213" s="52"/>
      <c r="EEA213" s="52"/>
      <c r="EEB213" s="52"/>
      <c r="EEC213" s="52"/>
      <c r="EED213" s="52"/>
      <c r="EEE213" s="52"/>
      <c r="EEF213" s="52"/>
      <c r="EEG213" s="52"/>
      <c r="EEH213" s="52"/>
      <c r="EEI213" s="52"/>
      <c r="EEJ213" s="52"/>
      <c r="EEK213" s="52"/>
      <c r="EEL213" s="52"/>
      <c r="EEM213" s="52"/>
      <c r="EEN213" s="52"/>
      <c r="EEO213" s="52"/>
      <c r="EEP213" s="52"/>
      <c r="EEQ213" s="52"/>
      <c r="EER213" s="52"/>
      <c r="EES213" s="52"/>
      <c r="EET213" s="52"/>
      <c r="EEU213" s="52"/>
      <c r="EEV213" s="52"/>
      <c r="EEW213" s="52"/>
      <c r="EEX213" s="52"/>
      <c r="EEY213" s="52"/>
      <c r="EEZ213" s="52"/>
      <c r="EFA213" s="52"/>
      <c r="EFB213" s="52"/>
      <c r="EFC213" s="52"/>
      <c r="EFD213" s="52"/>
      <c r="EFE213" s="52"/>
      <c r="EFF213" s="52"/>
      <c r="EFG213" s="52"/>
      <c r="EFH213" s="52"/>
      <c r="EFI213" s="52"/>
      <c r="EFJ213" s="52"/>
      <c r="EFK213" s="52"/>
      <c r="EFL213" s="52"/>
      <c r="EFM213" s="52"/>
      <c r="EFN213" s="52"/>
      <c r="EFO213" s="52"/>
      <c r="EFP213" s="52"/>
      <c r="EFQ213" s="52"/>
      <c r="EFR213" s="52"/>
      <c r="EFS213" s="52"/>
      <c r="EFT213" s="52"/>
      <c r="EFU213" s="52"/>
      <c r="EFV213" s="52"/>
      <c r="EFW213" s="52"/>
      <c r="EFX213" s="52"/>
      <c r="EFY213" s="52"/>
      <c r="EFZ213" s="52"/>
      <c r="EGA213" s="52"/>
      <c r="EGB213" s="52"/>
      <c r="EGC213" s="52"/>
      <c r="EGD213" s="52"/>
      <c r="EGE213" s="52"/>
      <c r="EGF213" s="52"/>
      <c r="EGG213" s="52"/>
      <c r="EGH213" s="52"/>
      <c r="EGI213" s="52"/>
      <c r="EGJ213" s="52"/>
      <c r="EGK213" s="52"/>
      <c r="EGL213" s="52"/>
      <c r="EGM213" s="52"/>
      <c r="EGN213" s="52"/>
      <c r="EGO213" s="52"/>
      <c r="EGP213" s="52"/>
      <c r="EGQ213" s="52"/>
      <c r="EGR213" s="52"/>
      <c r="EGS213" s="52"/>
      <c r="EGT213" s="52"/>
      <c r="EGU213" s="52"/>
      <c r="EGV213" s="52"/>
      <c r="EGW213" s="52"/>
      <c r="EGX213" s="52"/>
      <c r="EGY213" s="52"/>
      <c r="EGZ213" s="52"/>
      <c r="EHA213" s="52"/>
      <c r="EHB213" s="52"/>
      <c r="EHC213" s="52"/>
      <c r="EHD213" s="52"/>
      <c r="EHE213" s="52"/>
      <c r="EHF213" s="52"/>
      <c r="EHG213" s="52"/>
      <c r="EHH213" s="52"/>
      <c r="EHI213" s="52"/>
      <c r="EHJ213" s="52"/>
      <c r="EHK213" s="52"/>
      <c r="EHL213" s="52"/>
      <c r="EHM213" s="52"/>
      <c r="EHN213" s="52"/>
      <c r="EHO213" s="52"/>
      <c r="EHP213" s="52"/>
      <c r="EHQ213" s="52"/>
      <c r="EHR213" s="52"/>
      <c r="EHS213" s="52"/>
      <c r="EHT213" s="52"/>
      <c r="EHU213" s="52"/>
      <c r="EHV213" s="52"/>
      <c r="EHW213" s="52"/>
      <c r="EHX213" s="52"/>
      <c r="EHY213" s="52"/>
      <c r="EHZ213" s="52"/>
      <c r="EIA213" s="52"/>
      <c r="EIB213" s="52"/>
      <c r="EIC213" s="52"/>
      <c r="EID213" s="52"/>
      <c r="EIE213" s="52"/>
      <c r="EIF213" s="52"/>
      <c r="EIG213" s="52"/>
      <c r="EIH213" s="52"/>
      <c r="EII213" s="52"/>
      <c r="EIJ213" s="52"/>
      <c r="EIK213" s="52"/>
      <c r="EIL213" s="52"/>
      <c r="EIM213" s="52"/>
      <c r="EIN213" s="52"/>
      <c r="EIO213" s="52"/>
      <c r="EIP213" s="52"/>
      <c r="EIQ213" s="52"/>
      <c r="EIR213" s="52"/>
      <c r="EIS213" s="52"/>
      <c r="EIT213" s="52"/>
      <c r="EIU213" s="52"/>
      <c r="EIV213" s="52"/>
      <c r="EIW213" s="52"/>
      <c r="EIX213" s="52"/>
      <c r="EIY213" s="52"/>
      <c r="EIZ213" s="52"/>
      <c r="EJA213" s="52"/>
      <c r="EJB213" s="52"/>
      <c r="EJC213" s="52"/>
      <c r="EJD213" s="52"/>
      <c r="EJE213" s="52"/>
      <c r="EJF213" s="52"/>
      <c r="EJG213" s="52"/>
      <c r="EJH213" s="52"/>
      <c r="EJI213" s="52"/>
      <c r="EJJ213" s="52"/>
      <c r="EJK213" s="52"/>
      <c r="EJL213" s="52"/>
      <c r="EJM213" s="52"/>
      <c r="EJN213" s="52"/>
      <c r="EJO213" s="52"/>
      <c r="EJP213" s="52"/>
      <c r="EJQ213" s="52"/>
      <c r="EJR213" s="52"/>
      <c r="EJS213" s="52"/>
      <c r="EJT213" s="52"/>
      <c r="EJU213" s="52"/>
      <c r="EJV213" s="52"/>
      <c r="EJW213" s="52"/>
      <c r="EJX213" s="52"/>
      <c r="EJY213" s="52"/>
      <c r="EJZ213" s="52"/>
      <c r="EKA213" s="52"/>
      <c r="EKB213" s="52"/>
      <c r="EKC213" s="52"/>
      <c r="EKD213" s="52"/>
      <c r="EKE213" s="52"/>
      <c r="EKF213" s="52"/>
      <c r="EKG213" s="52"/>
      <c r="EKH213" s="52"/>
      <c r="EKI213" s="52"/>
      <c r="EKJ213" s="52"/>
      <c r="EKK213" s="52"/>
      <c r="EKL213" s="52"/>
      <c r="EKM213" s="52"/>
      <c r="EKN213" s="52"/>
      <c r="EKO213" s="52"/>
      <c r="EKP213" s="52"/>
      <c r="EKQ213" s="52"/>
      <c r="EKR213" s="52"/>
      <c r="EKS213" s="52"/>
      <c r="EKT213" s="52"/>
      <c r="EKU213" s="52"/>
      <c r="EKV213" s="52"/>
      <c r="EKW213" s="52"/>
      <c r="EKX213" s="52"/>
      <c r="EKY213" s="52"/>
      <c r="EKZ213" s="52"/>
      <c r="ELA213" s="52"/>
      <c r="ELB213" s="52"/>
      <c r="ELC213" s="52"/>
      <c r="ELD213" s="52"/>
      <c r="ELE213" s="52"/>
      <c r="ELF213" s="52"/>
      <c r="ELG213" s="52"/>
      <c r="ELH213" s="52"/>
      <c r="ELI213" s="52"/>
      <c r="ELJ213" s="52"/>
      <c r="ELK213" s="52"/>
      <c r="ELL213" s="52"/>
      <c r="ELM213" s="52"/>
      <c r="ELN213" s="52"/>
      <c r="ELO213" s="52"/>
      <c r="ELP213" s="52"/>
      <c r="ELQ213" s="52"/>
      <c r="ELR213" s="52"/>
      <c r="ELS213" s="52"/>
      <c r="ELT213" s="52"/>
      <c r="ELU213" s="52"/>
      <c r="ELV213" s="52"/>
      <c r="ELW213" s="52"/>
      <c r="ELX213" s="52"/>
      <c r="ELY213" s="52"/>
      <c r="ELZ213" s="52"/>
      <c r="EMA213" s="52"/>
      <c r="EMB213" s="52"/>
      <c r="EMC213" s="52"/>
      <c r="EMD213" s="52"/>
      <c r="EME213" s="52"/>
      <c r="EMF213" s="52"/>
      <c r="EMG213" s="52"/>
      <c r="EMH213" s="52"/>
      <c r="EMI213" s="52"/>
      <c r="EMJ213" s="52"/>
      <c r="EMK213" s="52"/>
      <c r="EML213" s="52"/>
      <c r="EMM213" s="52"/>
      <c r="EMN213" s="52"/>
      <c r="EMO213" s="52"/>
      <c r="EMP213" s="52"/>
      <c r="EMQ213" s="52"/>
      <c r="EMR213" s="52"/>
      <c r="EMS213" s="52"/>
      <c r="EMT213" s="52"/>
      <c r="EMU213" s="52"/>
      <c r="EMV213" s="52"/>
      <c r="EMW213" s="52"/>
      <c r="EMX213" s="52"/>
      <c r="EMY213" s="52"/>
      <c r="EMZ213" s="52"/>
      <c r="ENA213" s="52"/>
      <c r="ENB213" s="52"/>
      <c r="ENC213" s="52"/>
      <c r="END213" s="52"/>
      <c r="ENE213" s="52"/>
      <c r="ENF213" s="52"/>
      <c r="ENG213" s="52"/>
      <c r="ENH213" s="52"/>
      <c r="ENI213" s="52"/>
      <c r="ENJ213" s="52"/>
      <c r="ENK213" s="52"/>
      <c r="ENL213" s="52"/>
      <c r="ENM213" s="52"/>
      <c r="ENN213" s="52"/>
      <c r="ENO213" s="52"/>
      <c r="ENP213" s="52"/>
      <c r="ENQ213" s="52"/>
      <c r="ENR213" s="52"/>
      <c r="ENS213" s="52"/>
      <c r="ENT213" s="52"/>
      <c r="ENU213" s="52"/>
      <c r="ENV213" s="52"/>
      <c r="ENW213" s="52"/>
      <c r="ENX213" s="52"/>
      <c r="ENY213" s="52"/>
      <c r="ENZ213" s="52"/>
      <c r="EOA213" s="52"/>
      <c r="EOB213" s="52"/>
      <c r="EOC213" s="52"/>
      <c r="EOD213" s="52"/>
      <c r="EOE213" s="52"/>
      <c r="EOF213" s="52"/>
      <c r="EOG213" s="52"/>
      <c r="EOH213" s="52"/>
      <c r="EOI213" s="52"/>
      <c r="EOJ213" s="52"/>
      <c r="EOK213" s="52"/>
      <c r="EOL213" s="52"/>
      <c r="EOM213" s="52"/>
      <c r="EON213" s="52"/>
      <c r="EOO213" s="52"/>
      <c r="EOP213" s="52"/>
      <c r="EOQ213" s="52"/>
      <c r="EOR213" s="52"/>
      <c r="EOS213" s="52"/>
      <c r="EOT213" s="52"/>
      <c r="EOU213" s="52"/>
      <c r="EOV213" s="52"/>
      <c r="EOW213" s="52"/>
      <c r="EOX213" s="52"/>
      <c r="EOY213" s="52"/>
      <c r="EOZ213" s="52"/>
      <c r="EPA213" s="52"/>
      <c r="EPB213" s="52"/>
      <c r="EPC213" s="52"/>
      <c r="EPD213" s="52"/>
      <c r="EPE213" s="52"/>
      <c r="EPF213" s="52"/>
      <c r="EPG213" s="52"/>
      <c r="EPH213" s="52"/>
      <c r="EPI213" s="52"/>
      <c r="EPJ213" s="52"/>
      <c r="EPK213" s="52"/>
      <c r="EPL213" s="52"/>
      <c r="EPM213" s="52"/>
      <c r="EPN213" s="52"/>
      <c r="EPO213" s="52"/>
      <c r="EPP213" s="52"/>
      <c r="EPQ213" s="52"/>
      <c r="EPR213" s="52"/>
      <c r="EPS213" s="52"/>
      <c r="EPT213" s="52"/>
      <c r="EPU213" s="52"/>
      <c r="EPV213" s="52"/>
      <c r="EPW213" s="52"/>
      <c r="EPX213" s="52"/>
      <c r="EPY213" s="52"/>
      <c r="EPZ213" s="52"/>
      <c r="EQA213" s="52"/>
      <c r="EQB213" s="52"/>
      <c r="EQC213" s="52"/>
      <c r="EQD213" s="52"/>
      <c r="EQE213" s="52"/>
      <c r="EQF213" s="52"/>
      <c r="EQG213" s="52"/>
      <c r="EQH213" s="52"/>
      <c r="EQI213" s="52"/>
      <c r="EQJ213" s="52"/>
      <c r="EQK213" s="52"/>
      <c r="EQL213" s="52"/>
      <c r="EQM213" s="52"/>
      <c r="EQN213" s="52"/>
      <c r="EQO213" s="52"/>
      <c r="EQP213" s="52"/>
      <c r="EQQ213" s="52"/>
      <c r="EQR213" s="52"/>
      <c r="EQS213" s="52"/>
      <c r="EQT213" s="52"/>
      <c r="EQU213" s="52"/>
      <c r="EQV213" s="52"/>
      <c r="EQW213" s="52"/>
      <c r="EQX213" s="52"/>
      <c r="EQY213" s="52"/>
      <c r="EQZ213" s="52"/>
      <c r="ERA213" s="52"/>
      <c r="ERB213" s="52"/>
      <c r="ERC213" s="52"/>
      <c r="ERD213" s="52"/>
      <c r="ERE213" s="52"/>
      <c r="ERF213" s="52"/>
      <c r="ERG213" s="52"/>
      <c r="ERH213" s="52"/>
      <c r="ERI213" s="52"/>
      <c r="ERJ213" s="52"/>
      <c r="ERK213" s="52"/>
      <c r="ERL213" s="52"/>
      <c r="ERM213" s="52"/>
      <c r="ERN213" s="52"/>
      <c r="ERO213" s="52"/>
      <c r="ERP213" s="52"/>
      <c r="ERQ213" s="52"/>
      <c r="ERR213" s="52"/>
      <c r="ERS213" s="52"/>
      <c r="ERT213" s="52"/>
      <c r="ERU213" s="52"/>
      <c r="ERV213" s="52"/>
      <c r="ERW213" s="52"/>
      <c r="ERX213" s="52"/>
      <c r="ERY213" s="52"/>
      <c r="ERZ213" s="52"/>
      <c r="ESA213" s="52"/>
      <c r="ESB213" s="52"/>
      <c r="ESC213" s="52"/>
      <c r="ESD213" s="52"/>
      <c r="ESE213" s="52"/>
      <c r="ESF213" s="52"/>
      <c r="ESG213" s="52"/>
      <c r="ESH213" s="52"/>
      <c r="ESI213" s="52"/>
      <c r="ESJ213" s="52"/>
      <c r="ESK213" s="52"/>
      <c r="ESL213" s="52"/>
      <c r="ESM213" s="52"/>
      <c r="ESN213" s="52"/>
      <c r="ESO213" s="52"/>
      <c r="ESP213" s="52"/>
      <c r="ESQ213" s="52"/>
      <c r="ESR213" s="52"/>
      <c r="ESS213" s="52"/>
      <c r="EST213" s="52"/>
      <c r="ESU213" s="52"/>
      <c r="ESV213" s="52"/>
      <c r="ESW213" s="52"/>
      <c r="ESX213" s="52"/>
      <c r="ESY213" s="52"/>
      <c r="ESZ213" s="52"/>
      <c r="ETA213" s="52"/>
      <c r="ETB213" s="52"/>
      <c r="ETC213" s="52"/>
      <c r="ETD213" s="52"/>
      <c r="ETE213" s="52"/>
      <c r="ETF213" s="52"/>
      <c r="ETG213" s="52"/>
      <c r="ETH213" s="52"/>
      <c r="ETI213" s="52"/>
      <c r="ETJ213" s="52"/>
      <c r="ETK213" s="52"/>
      <c r="ETL213" s="52"/>
      <c r="ETM213" s="52"/>
      <c r="ETN213" s="52"/>
      <c r="ETO213" s="52"/>
      <c r="ETP213" s="52"/>
      <c r="ETQ213" s="52"/>
      <c r="ETR213" s="52"/>
      <c r="ETS213" s="52"/>
      <c r="ETT213" s="52"/>
      <c r="ETU213" s="52"/>
      <c r="ETV213" s="52"/>
      <c r="ETW213" s="52"/>
      <c r="ETX213" s="52"/>
      <c r="ETY213" s="52"/>
      <c r="ETZ213" s="52"/>
      <c r="EUA213" s="52"/>
      <c r="EUB213" s="52"/>
      <c r="EUC213" s="52"/>
      <c r="EUD213" s="52"/>
      <c r="EUE213" s="52"/>
      <c r="EUF213" s="52"/>
      <c r="EUG213" s="52"/>
      <c r="EUH213" s="52"/>
      <c r="EUI213" s="52"/>
      <c r="EUJ213" s="52"/>
      <c r="EUK213" s="52"/>
      <c r="EUL213" s="52"/>
      <c r="EUM213" s="52"/>
      <c r="EUN213" s="52"/>
      <c r="EUO213" s="52"/>
      <c r="EUP213" s="52"/>
      <c r="EUQ213" s="52"/>
      <c r="EUR213" s="52"/>
      <c r="EUS213" s="52"/>
      <c r="EUT213" s="52"/>
      <c r="EUU213" s="52"/>
      <c r="EUV213" s="52"/>
      <c r="EUW213" s="52"/>
      <c r="EUX213" s="52"/>
      <c r="EUY213" s="52"/>
      <c r="EUZ213" s="52"/>
      <c r="EVA213" s="52"/>
      <c r="EVB213" s="52"/>
      <c r="EVC213" s="52"/>
      <c r="EVD213" s="52"/>
      <c r="EVE213" s="52"/>
      <c r="EVF213" s="52"/>
      <c r="EVG213" s="52"/>
      <c r="EVH213" s="52"/>
      <c r="EVI213" s="52"/>
      <c r="EVJ213" s="52"/>
      <c r="EVK213" s="52"/>
      <c r="EVL213" s="52"/>
      <c r="EVM213" s="52"/>
      <c r="EVN213" s="52"/>
      <c r="EVO213" s="52"/>
      <c r="EVP213" s="52"/>
      <c r="EVQ213" s="52"/>
      <c r="EVR213" s="52"/>
      <c r="EVS213" s="52"/>
      <c r="EVT213" s="52"/>
      <c r="EVU213" s="52"/>
      <c r="EVV213" s="52"/>
      <c r="EVW213" s="52"/>
      <c r="EVX213" s="52"/>
      <c r="EVY213" s="52"/>
      <c r="EVZ213" s="52"/>
      <c r="EWA213" s="52"/>
      <c r="EWB213" s="52"/>
      <c r="EWC213" s="52"/>
      <c r="EWD213" s="52"/>
      <c r="EWE213" s="52"/>
      <c r="EWF213" s="52"/>
      <c r="EWG213" s="52"/>
      <c r="EWH213" s="52"/>
      <c r="EWI213" s="52"/>
      <c r="EWJ213" s="52"/>
      <c r="EWK213" s="52"/>
      <c r="EWL213" s="52"/>
      <c r="EWM213" s="52"/>
      <c r="EWN213" s="52"/>
      <c r="EWO213" s="52"/>
      <c r="EWP213" s="52"/>
      <c r="EWQ213" s="52"/>
      <c r="EWR213" s="52"/>
      <c r="EWS213" s="52"/>
      <c r="EWT213" s="52"/>
      <c r="EWU213" s="52"/>
      <c r="EWV213" s="52"/>
      <c r="EWW213" s="52"/>
      <c r="EWX213" s="52"/>
      <c r="EWY213" s="52"/>
      <c r="EWZ213" s="52"/>
      <c r="EXA213" s="52"/>
      <c r="EXB213" s="52"/>
      <c r="EXC213" s="52"/>
      <c r="EXD213" s="52"/>
      <c r="EXE213" s="52"/>
      <c r="EXF213" s="52"/>
      <c r="EXG213" s="52"/>
      <c r="EXH213" s="52"/>
      <c r="EXI213" s="52"/>
      <c r="EXJ213" s="52"/>
      <c r="EXK213" s="52"/>
      <c r="EXL213" s="52"/>
      <c r="EXM213" s="52"/>
      <c r="EXN213" s="52"/>
      <c r="EXO213" s="52"/>
      <c r="EXP213" s="52"/>
      <c r="EXQ213" s="52"/>
      <c r="EXR213" s="52"/>
      <c r="EXS213" s="52"/>
      <c r="EXT213" s="52"/>
      <c r="EXU213" s="52"/>
      <c r="EXV213" s="52"/>
      <c r="EXW213" s="52"/>
      <c r="EXX213" s="52"/>
      <c r="EXY213" s="52"/>
      <c r="EXZ213" s="52"/>
      <c r="EYA213" s="52"/>
      <c r="EYB213" s="52"/>
      <c r="EYC213" s="52"/>
      <c r="EYD213" s="52"/>
      <c r="EYE213" s="52"/>
      <c r="EYF213" s="52"/>
      <c r="EYG213" s="52"/>
      <c r="EYH213" s="52"/>
      <c r="EYI213" s="52"/>
      <c r="EYJ213" s="52"/>
      <c r="EYK213" s="52"/>
      <c r="EYL213" s="52"/>
      <c r="EYM213" s="52"/>
      <c r="EYN213" s="52"/>
      <c r="EYO213" s="52"/>
      <c r="EYP213" s="52"/>
      <c r="EYQ213" s="52"/>
      <c r="EYR213" s="52"/>
      <c r="EYS213" s="52"/>
      <c r="EYT213" s="52"/>
      <c r="EYU213" s="52"/>
      <c r="EYV213" s="52"/>
      <c r="EYW213" s="52"/>
      <c r="EYX213" s="52"/>
      <c r="EYY213" s="52"/>
      <c r="EYZ213" s="52"/>
      <c r="EZA213" s="52"/>
      <c r="EZB213" s="52"/>
      <c r="EZC213" s="52"/>
      <c r="EZD213" s="52"/>
      <c r="EZE213" s="52"/>
      <c r="EZF213" s="52"/>
      <c r="EZG213" s="52"/>
      <c r="EZH213" s="52"/>
      <c r="EZI213" s="52"/>
      <c r="EZJ213" s="52"/>
      <c r="EZK213" s="52"/>
      <c r="EZL213" s="52"/>
      <c r="EZM213" s="52"/>
      <c r="EZN213" s="52"/>
      <c r="EZO213" s="52"/>
      <c r="EZP213" s="52"/>
      <c r="EZQ213" s="52"/>
      <c r="EZR213" s="52"/>
      <c r="EZS213" s="52"/>
      <c r="EZT213" s="52"/>
      <c r="EZU213" s="52"/>
      <c r="EZV213" s="52"/>
      <c r="EZW213" s="52"/>
      <c r="EZX213" s="52"/>
      <c r="EZY213" s="52"/>
      <c r="EZZ213" s="52"/>
      <c r="FAA213" s="52"/>
      <c r="FAB213" s="52"/>
      <c r="FAC213" s="52"/>
      <c r="FAD213" s="52"/>
      <c r="FAE213" s="52"/>
      <c r="FAF213" s="52"/>
      <c r="FAG213" s="52"/>
      <c r="FAH213" s="52"/>
      <c r="FAI213" s="52"/>
      <c r="FAJ213" s="52"/>
      <c r="FAK213" s="52"/>
      <c r="FAL213" s="52"/>
      <c r="FAM213" s="52"/>
      <c r="FAN213" s="52"/>
      <c r="FAO213" s="52"/>
      <c r="FAP213" s="52"/>
      <c r="FAQ213" s="52"/>
      <c r="FAR213" s="52"/>
      <c r="FAS213" s="52"/>
      <c r="FAT213" s="52"/>
      <c r="FAU213" s="52"/>
      <c r="FAV213" s="52"/>
      <c r="FAW213" s="52"/>
      <c r="FAX213" s="52"/>
      <c r="FAY213" s="52"/>
      <c r="FAZ213" s="52"/>
      <c r="FBA213" s="52"/>
      <c r="FBB213" s="52"/>
      <c r="FBC213" s="52"/>
      <c r="FBD213" s="52"/>
      <c r="FBE213" s="52"/>
      <c r="FBF213" s="52"/>
      <c r="FBG213" s="52"/>
      <c r="FBH213" s="52"/>
      <c r="FBI213" s="52"/>
      <c r="FBJ213" s="52"/>
      <c r="FBK213" s="52"/>
      <c r="FBL213" s="52"/>
      <c r="FBM213" s="52"/>
      <c r="FBN213" s="52"/>
      <c r="FBO213" s="52"/>
      <c r="FBP213" s="52"/>
      <c r="FBQ213" s="52"/>
      <c r="FBR213" s="52"/>
      <c r="FBS213" s="52"/>
      <c r="FBT213" s="52"/>
      <c r="FBU213" s="52"/>
      <c r="FBV213" s="52"/>
      <c r="FBW213" s="52"/>
      <c r="FBX213" s="52"/>
      <c r="FBY213" s="52"/>
      <c r="FBZ213" s="52"/>
      <c r="FCA213" s="52"/>
      <c r="FCB213" s="52"/>
      <c r="FCC213" s="52"/>
      <c r="FCD213" s="52"/>
      <c r="FCE213" s="52"/>
      <c r="FCF213" s="52"/>
      <c r="FCG213" s="52"/>
      <c r="FCH213" s="52"/>
      <c r="FCI213" s="52"/>
      <c r="FCJ213" s="52"/>
      <c r="FCK213" s="52"/>
      <c r="FCL213" s="52"/>
      <c r="FCM213" s="52"/>
      <c r="FCN213" s="52"/>
      <c r="FCO213" s="52"/>
      <c r="FCP213" s="52"/>
      <c r="FCQ213" s="52"/>
      <c r="FCR213" s="52"/>
      <c r="FCS213" s="52"/>
      <c r="FCT213" s="52"/>
      <c r="FCU213" s="52"/>
      <c r="FCV213" s="52"/>
      <c r="FCW213" s="52"/>
      <c r="FCX213" s="52"/>
      <c r="FCY213" s="52"/>
      <c r="FCZ213" s="52"/>
      <c r="FDA213" s="52"/>
      <c r="FDB213" s="52"/>
      <c r="FDC213" s="52"/>
      <c r="FDD213" s="52"/>
      <c r="FDE213" s="52"/>
      <c r="FDF213" s="52"/>
      <c r="FDG213" s="52"/>
      <c r="FDH213" s="52"/>
      <c r="FDI213" s="52"/>
      <c r="FDJ213" s="52"/>
      <c r="FDK213" s="52"/>
      <c r="FDL213" s="52"/>
      <c r="FDM213" s="52"/>
      <c r="FDN213" s="52"/>
      <c r="FDO213" s="52"/>
      <c r="FDP213" s="52"/>
      <c r="FDQ213" s="52"/>
      <c r="FDR213" s="52"/>
      <c r="FDS213" s="52"/>
      <c r="FDT213" s="52"/>
      <c r="FDU213" s="52"/>
      <c r="FDV213" s="52"/>
      <c r="FDW213" s="52"/>
      <c r="FDX213" s="52"/>
      <c r="FDY213" s="52"/>
      <c r="FDZ213" s="52"/>
      <c r="FEA213" s="52"/>
      <c r="FEB213" s="52"/>
      <c r="FEC213" s="52"/>
      <c r="FED213" s="52"/>
      <c r="FEE213" s="52"/>
      <c r="FEF213" s="52"/>
      <c r="FEG213" s="52"/>
      <c r="FEH213" s="52"/>
      <c r="FEI213" s="52"/>
      <c r="FEJ213" s="52"/>
      <c r="FEK213" s="52"/>
      <c r="FEL213" s="52"/>
      <c r="FEM213" s="52"/>
      <c r="FEN213" s="52"/>
      <c r="FEO213" s="52"/>
      <c r="FEP213" s="52"/>
      <c r="FEQ213" s="52"/>
      <c r="FER213" s="52"/>
      <c r="FES213" s="52"/>
      <c r="FET213" s="52"/>
      <c r="FEU213" s="52"/>
      <c r="FEV213" s="52"/>
      <c r="FEW213" s="52"/>
      <c r="FEX213" s="52"/>
      <c r="FEY213" s="52"/>
      <c r="FEZ213" s="52"/>
      <c r="FFA213" s="52"/>
      <c r="FFB213" s="52"/>
      <c r="FFC213" s="52"/>
      <c r="FFD213" s="52"/>
      <c r="FFE213" s="52"/>
      <c r="FFF213" s="52"/>
      <c r="FFG213" s="52"/>
      <c r="FFH213" s="52"/>
      <c r="FFI213" s="52"/>
      <c r="FFJ213" s="52"/>
      <c r="FFK213" s="52"/>
      <c r="FFL213" s="52"/>
      <c r="FFM213" s="52"/>
      <c r="FFN213" s="52"/>
      <c r="FFO213" s="52"/>
      <c r="FFP213" s="52"/>
      <c r="FFQ213" s="52"/>
      <c r="FFR213" s="52"/>
      <c r="FFS213" s="52"/>
      <c r="FFT213" s="52"/>
      <c r="FFU213" s="52"/>
      <c r="FFV213" s="52"/>
      <c r="FFW213" s="52"/>
      <c r="FFX213" s="52"/>
      <c r="FFY213" s="52"/>
      <c r="FFZ213" s="52"/>
      <c r="FGA213" s="52"/>
      <c r="FGB213" s="52"/>
      <c r="FGC213" s="52"/>
      <c r="FGD213" s="52"/>
      <c r="FGE213" s="52"/>
      <c r="FGF213" s="52"/>
      <c r="FGG213" s="52"/>
      <c r="FGH213" s="52"/>
      <c r="FGI213" s="52"/>
      <c r="FGJ213" s="52"/>
      <c r="FGK213" s="52"/>
      <c r="FGL213" s="52"/>
      <c r="FGM213" s="52"/>
      <c r="FGN213" s="52"/>
      <c r="FGO213" s="52"/>
      <c r="FGP213" s="52"/>
      <c r="FGQ213" s="52"/>
      <c r="FGR213" s="52"/>
      <c r="FGS213" s="52"/>
      <c r="FGT213" s="52"/>
      <c r="FGU213" s="52"/>
      <c r="FGV213" s="52"/>
      <c r="FGW213" s="52"/>
      <c r="FGX213" s="52"/>
      <c r="FGY213" s="52"/>
      <c r="FGZ213" s="52"/>
      <c r="FHA213" s="52"/>
      <c r="FHB213" s="52"/>
      <c r="FHC213" s="52"/>
      <c r="FHD213" s="52"/>
      <c r="FHE213" s="52"/>
      <c r="FHF213" s="52"/>
      <c r="FHG213" s="52"/>
      <c r="FHH213" s="52"/>
      <c r="FHI213" s="52"/>
      <c r="FHJ213" s="52"/>
      <c r="FHK213" s="52"/>
      <c r="FHL213" s="52"/>
      <c r="FHM213" s="52"/>
      <c r="FHN213" s="52"/>
      <c r="FHO213" s="52"/>
      <c r="FHP213" s="52"/>
      <c r="FHQ213" s="52"/>
      <c r="FHR213" s="52"/>
      <c r="FHS213" s="52"/>
      <c r="FHT213" s="52"/>
      <c r="FHU213" s="52"/>
      <c r="FHV213" s="52"/>
      <c r="FHW213" s="52"/>
      <c r="FHX213" s="52"/>
      <c r="FHY213" s="52"/>
      <c r="FHZ213" s="52"/>
      <c r="FIA213" s="52"/>
      <c r="FIB213" s="52"/>
      <c r="FIC213" s="52"/>
      <c r="FID213" s="52"/>
      <c r="FIE213" s="52"/>
      <c r="FIF213" s="52"/>
      <c r="FIG213" s="52"/>
      <c r="FIH213" s="52"/>
      <c r="FII213" s="52"/>
      <c r="FIJ213" s="52"/>
      <c r="FIK213" s="52"/>
      <c r="FIL213" s="52"/>
      <c r="FIM213" s="52"/>
      <c r="FIN213" s="52"/>
      <c r="FIO213" s="52"/>
      <c r="FIP213" s="52"/>
      <c r="FIQ213" s="52"/>
      <c r="FIR213" s="52"/>
      <c r="FIS213" s="52"/>
      <c r="FIT213" s="52"/>
      <c r="FIU213" s="52"/>
      <c r="FIV213" s="52"/>
      <c r="FIW213" s="52"/>
      <c r="FIX213" s="52"/>
      <c r="FIY213" s="52"/>
      <c r="FIZ213" s="52"/>
      <c r="FJA213" s="52"/>
      <c r="FJB213" s="52"/>
      <c r="FJC213" s="52"/>
      <c r="FJD213" s="52"/>
      <c r="FJE213" s="52"/>
      <c r="FJF213" s="52"/>
      <c r="FJG213" s="52"/>
      <c r="FJH213" s="52"/>
      <c r="FJI213" s="52"/>
      <c r="FJJ213" s="52"/>
      <c r="FJK213" s="52"/>
      <c r="FJL213" s="52"/>
      <c r="FJM213" s="52"/>
      <c r="FJN213" s="52"/>
      <c r="FJO213" s="52"/>
      <c r="FJP213" s="52"/>
      <c r="FJQ213" s="52"/>
      <c r="FJR213" s="52"/>
      <c r="FJS213" s="52"/>
      <c r="FJT213" s="52"/>
      <c r="FJU213" s="52"/>
      <c r="FJV213" s="52"/>
      <c r="FJW213" s="52"/>
      <c r="FJX213" s="52"/>
      <c r="FJY213" s="52"/>
      <c r="FJZ213" s="52"/>
      <c r="FKA213" s="52"/>
      <c r="FKB213" s="52"/>
      <c r="FKC213" s="52"/>
      <c r="FKD213" s="52"/>
      <c r="FKE213" s="52"/>
      <c r="FKF213" s="52"/>
      <c r="FKG213" s="52"/>
      <c r="FKH213" s="52"/>
      <c r="FKI213" s="52"/>
      <c r="FKJ213" s="52"/>
      <c r="FKK213" s="52"/>
      <c r="FKL213" s="52"/>
      <c r="FKM213" s="52"/>
      <c r="FKN213" s="52"/>
      <c r="FKO213" s="52"/>
      <c r="FKP213" s="52"/>
      <c r="FKQ213" s="52"/>
      <c r="FKR213" s="52"/>
      <c r="FKS213" s="52"/>
      <c r="FKT213" s="52"/>
      <c r="FKU213" s="52"/>
      <c r="FKV213" s="52"/>
      <c r="FKW213" s="52"/>
      <c r="FKX213" s="52"/>
      <c r="FKY213" s="52"/>
      <c r="FKZ213" s="52"/>
      <c r="FLA213" s="52"/>
      <c r="FLB213" s="52"/>
      <c r="FLC213" s="52"/>
      <c r="FLD213" s="52"/>
      <c r="FLE213" s="52"/>
      <c r="FLF213" s="52"/>
      <c r="FLG213" s="52"/>
      <c r="FLH213" s="52"/>
      <c r="FLI213" s="52"/>
      <c r="FLJ213" s="52"/>
      <c r="FLK213" s="52"/>
      <c r="FLL213" s="52"/>
      <c r="FLM213" s="52"/>
      <c r="FLN213" s="52"/>
      <c r="FLO213" s="52"/>
      <c r="FLP213" s="52"/>
      <c r="FLQ213" s="52"/>
      <c r="FLR213" s="52"/>
      <c r="FLS213" s="52"/>
      <c r="FLT213" s="52"/>
      <c r="FLU213" s="52"/>
      <c r="FLV213" s="52"/>
      <c r="FLW213" s="52"/>
      <c r="FLX213" s="52"/>
      <c r="FLY213" s="52"/>
      <c r="FLZ213" s="52"/>
      <c r="FMA213" s="52"/>
      <c r="FMB213" s="52"/>
      <c r="FMC213" s="52"/>
      <c r="FMD213" s="52"/>
      <c r="FME213" s="52"/>
      <c r="FMF213" s="52"/>
      <c r="FMG213" s="52"/>
      <c r="FMH213" s="52"/>
      <c r="FMI213" s="52"/>
      <c r="FMJ213" s="52"/>
      <c r="FMK213" s="52"/>
      <c r="FML213" s="52"/>
      <c r="FMM213" s="52"/>
      <c r="FMN213" s="52"/>
      <c r="FMO213" s="52"/>
      <c r="FMP213" s="52"/>
      <c r="FMQ213" s="52"/>
      <c r="FMR213" s="52"/>
      <c r="FMS213" s="52"/>
      <c r="FMT213" s="52"/>
      <c r="FMU213" s="52"/>
      <c r="FMV213" s="52"/>
      <c r="FMW213" s="52"/>
      <c r="FMX213" s="52"/>
      <c r="FMY213" s="52"/>
      <c r="FMZ213" s="52"/>
      <c r="FNA213" s="52"/>
      <c r="FNB213" s="52"/>
      <c r="FNC213" s="52"/>
      <c r="FND213" s="52"/>
      <c r="FNE213" s="52"/>
      <c r="FNF213" s="52"/>
      <c r="FNG213" s="52"/>
      <c r="FNH213" s="52"/>
      <c r="FNI213" s="52"/>
      <c r="FNJ213" s="52"/>
      <c r="FNK213" s="52"/>
      <c r="FNL213" s="52"/>
      <c r="FNM213" s="52"/>
      <c r="FNN213" s="52"/>
      <c r="FNO213" s="52"/>
      <c r="FNP213" s="52"/>
      <c r="FNQ213" s="52"/>
      <c r="FNR213" s="52"/>
      <c r="FNS213" s="52"/>
      <c r="FNT213" s="52"/>
      <c r="FNU213" s="52"/>
      <c r="FNV213" s="52"/>
      <c r="FNW213" s="52"/>
      <c r="FNX213" s="52"/>
      <c r="FNY213" s="52"/>
      <c r="FNZ213" s="52"/>
      <c r="FOA213" s="52"/>
      <c r="FOB213" s="52"/>
      <c r="FOC213" s="52"/>
      <c r="FOD213" s="52"/>
      <c r="FOE213" s="52"/>
      <c r="FOF213" s="52"/>
      <c r="FOG213" s="52"/>
      <c r="FOH213" s="52"/>
      <c r="FOI213" s="52"/>
      <c r="FOJ213" s="52"/>
      <c r="FOK213" s="52"/>
      <c r="FOL213" s="52"/>
      <c r="FOM213" s="52"/>
      <c r="FON213" s="52"/>
      <c r="FOO213" s="52"/>
      <c r="FOP213" s="52"/>
      <c r="FOQ213" s="52"/>
      <c r="FOR213" s="52"/>
      <c r="FOS213" s="52"/>
      <c r="FOT213" s="52"/>
      <c r="FOU213" s="52"/>
      <c r="FOV213" s="52"/>
      <c r="FOW213" s="52"/>
      <c r="FOX213" s="52"/>
      <c r="FOY213" s="52"/>
      <c r="FOZ213" s="52"/>
      <c r="FPA213" s="52"/>
      <c r="FPB213" s="52"/>
      <c r="FPC213" s="52"/>
      <c r="FPD213" s="52"/>
      <c r="FPE213" s="52"/>
      <c r="FPF213" s="52"/>
      <c r="FPG213" s="52"/>
      <c r="FPH213" s="52"/>
      <c r="FPI213" s="52"/>
      <c r="FPJ213" s="52"/>
      <c r="FPK213" s="52"/>
      <c r="FPL213" s="52"/>
      <c r="FPM213" s="52"/>
      <c r="FPN213" s="52"/>
      <c r="FPO213" s="52"/>
      <c r="FPP213" s="52"/>
      <c r="FPQ213" s="52"/>
      <c r="FPR213" s="52"/>
      <c r="FPS213" s="52"/>
      <c r="FPT213" s="52"/>
      <c r="FPU213" s="52"/>
      <c r="FPV213" s="52"/>
      <c r="FPW213" s="52"/>
      <c r="FPX213" s="52"/>
      <c r="FPY213" s="52"/>
      <c r="FPZ213" s="52"/>
      <c r="FQA213" s="52"/>
      <c r="FQB213" s="52"/>
      <c r="FQC213" s="52"/>
      <c r="FQD213" s="52"/>
      <c r="FQE213" s="52"/>
      <c r="FQF213" s="52"/>
      <c r="FQG213" s="52"/>
      <c r="FQH213" s="52"/>
      <c r="FQI213" s="52"/>
      <c r="FQJ213" s="52"/>
      <c r="FQK213" s="52"/>
      <c r="FQL213" s="52"/>
      <c r="FQM213" s="52"/>
      <c r="FQN213" s="52"/>
      <c r="FQO213" s="52"/>
      <c r="FQP213" s="52"/>
      <c r="FQQ213" s="52"/>
      <c r="FQR213" s="52"/>
      <c r="FQS213" s="52"/>
      <c r="FQT213" s="52"/>
      <c r="FQU213" s="52"/>
      <c r="FQV213" s="52"/>
      <c r="FQW213" s="52"/>
      <c r="FQX213" s="52"/>
      <c r="FQY213" s="52"/>
      <c r="FQZ213" s="52"/>
      <c r="FRA213" s="52"/>
      <c r="FRB213" s="52"/>
      <c r="FRC213" s="52"/>
      <c r="FRD213" s="52"/>
      <c r="FRE213" s="52"/>
      <c r="FRF213" s="52"/>
      <c r="FRG213" s="52"/>
      <c r="FRH213" s="52"/>
      <c r="FRI213" s="52"/>
      <c r="FRJ213" s="52"/>
      <c r="FRK213" s="52"/>
      <c r="FRL213" s="52"/>
      <c r="FRM213" s="52"/>
      <c r="FRN213" s="52"/>
      <c r="FRO213" s="52"/>
      <c r="FRP213" s="52"/>
      <c r="FRQ213" s="52"/>
      <c r="FRR213" s="52"/>
      <c r="FRS213" s="52"/>
      <c r="FRT213" s="52"/>
      <c r="FRU213" s="52"/>
      <c r="FRV213" s="52"/>
      <c r="FRW213" s="52"/>
      <c r="FRX213" s="52"/>
      <c r="FRY213" s="52"/>
      <c r="FRZ213" s="52"/>
      <c r="FSA213" s="52"/>
      <c r="FSB213" s="52"/>
      <c r="FSC213" s="52"/>
      <c r="FSD213" s="52"/>
      <c r="FSE213" s="52"/>
      <c r="FSF213" s="52"/>
      <c r="FSG213" s="52"/>
      <c r="FSH213" s="52"/>
      <c r="FSI213" s="52"/>
      <c r="FSJ213" s="52"/>
      <c r="FSK213" s="52"/>
      <c r="FSL213" s="52"/>
      <c r="FSM213" s="52"/>
      <c r="FSN213" s="52"/>
      <c r="FSO213" s="52"/>
      <c r="FSP213" s="52"/>
      <c r="FSQ213" s="52"/>
      <c r="FSR213" s="52"/>
      <c r="FSS213" s="52"/>
      <c r="FST213" s="52"/>
      <c r="FSU213" s="52"/>
      <c r="FSV213" s="52"/>
      <c r="FSW213" s="52"/>
      <c r="FSX213" s="52"/>
      <c r="FSY213" s="52"/>
      <c r="FSZ213" s="52"/>
      <c r="FTA213" s="52"/>
      <c r="FTB213" s="52"/>
      <c r="FTC213" s="52"/>
      <c r="FTD213" s="52"/>
      <c r="FTE213" s="52"/>
      <c r="FTF213" s="52"/>
      <c r="FTG213" s="52"/>
      <c r="FTH213" s="52"/>
      <c r="FTI213" s="52"/>
      <c r="FTJ213" s="52"/>
      <c r="FTK213" s="52"/>
      <c r="FTL213" s="52"/>
      <c r="FTM213" s="52"/>
      <c r="FTN213" s="52"/>
      <c r="FTO213" s="52"/>
      <c r="FTP213" s="52"/>
      <c r="FTQ213" s="52"/>
      <c r="FTR213" s="52"/>
      <c r="FTS213" s="52"/>
      <c r="FTT213" s="52"/>
      <c r="FTU213" s="52"/>
      <c r="FTV213" s="52"/>
      <c r="FTW213" s="52"/>
      <c r="FTX213" s="52"/>
      <c r="FTY213" s="52"/>
      <c r="FTZ213" s="52"/>
      <c r="FUA213" s="52"/>
      <c r="FUB213" s="52"/>
      <c r="FUC213" s="52"/>
      <c r="FUD213" s="52"/>
      <c r="FUE213" s="52"/>
      <c r="FUF213" s="52"/>
      <c r="FUG213" s="52"/>
      <c r="FUH213" s="52"/>
      <c r="FUI213" s="52"/>
      <c r="FUJ213" s="52"/>
      <c r="FUK213" s="52"/>
      <c r="FUL213" s="52"/>
      <c r="FUM213" s="52"/>
      <c r="FUN213" s="52"/>
      <c r="FUO213" s="52"/>
      <c r="FUP213" s="52"/>
      <c r="FUQ213" s="52"/>
      <c r="FUR213" s="52"/>
      <c r="FUS213" s="52"/>
      <c r="FUT213" s="52"/>
      <c r="FUU213" s="52"/>
      <c r="FUV213" s="52"/>
      <c r="FUW213" s="52"/>
      <c r="FUX213" s="52"/>
      <c r="FUY213" s="52"/>
      <c r="FUZ213" s="52"/>
      <c r="FVA213" s="52"/>
      <c r="FVB213" s="52"/>
      <c r="FVC213" s="52"/>
      <c r="FVD213" s="52"/>
      <c r="FVE213" s="52"/>
      <c r="FVF213" s="52"/>
      <c r="FVG213" s="52"/>
      <c r="FVH213" s="52"/>
      <c r="FVI213" s="52"/>
      <c r="FVJ213" s="52"/>
      <c r="FVK213" s="52"/>
      <c r="FVL213" s="52"/>
      <c r="FVM213" s="52"/>
      <c r="FVN213" s="52"/>
      <c r="FVO213" s="52"/>
      <c r="FVP213" s="52"/>
      <c r="FVQ213" s="52"/>
      <c r="FVR213" s="52"/>
      <c r="FVS213" s="52"/>
      <c r="FVT213" s="52"/>
      <c r="FVU213" s="52"/>
      <c r="FVV213" s="52"/>
      <c r="FVW213" s="52"/>
      <c r="FVX213" s="52"/>
      <c r="FVY213" s="52"/>
      <c r="FVZ213" s="52"/>
      <c r="FWA213" s="52"/>
      <c r="FWB213" s="52"/>
      <c r="FWC213" s="52"/>
      <c r="FWD213" s="52"/>
      <c r="FWE213" s="52"/>
      <c r="FWF213" s="52"/>
      <c r="FWG213" s="52"/>
      <c r="FWH213" s="52"/>
      <c r="FWI213" s="52"/>
      <c r="FWJ213" s="52"/>
      <c r="FWK213" s="52"/>
      <c r="FWL213" s="52"/>
      <c r="FWM213" s="52"/>
      <c r="FWN213" s="52"/>
      <c r="FWO213" s="52"/>
      <c r="FWP213" s="52"/>
      <c r="FWQ213" s="52"/>
      <c r="FWR213" s="52"/>
      <c r="FWS213" s="52"/>
      <c r="FWT213" s="52"/>
      <c r="FWU213" s="52"/>
      <c r="FWV213" s="52"/>
      <c r="FWW213" s="52"/>
      <c r="FWX213" s="52"/>
      <c r="FWY213" s="52"/>
      <c r="FWZ213" s="52"/>
      <c r="FXA213" s="52"/>
      <c r="FXB213" s="52"/>
      <c r="FXC213" s="52"/>
      <c r="FXD213" s="52"/>
      <c r="FXE213" s="52"/>
      <c r="FXF213" s="52"/>
      <c r="FXG213" s="52"/>
      <c r="FXH213" s="52"/>
      <c r="FXI213" s="52"/>
      <c r="FXJ213" s="52"/>
      <c r="FXK213" s="52"/>
      <c r="FXL213" s="52"/>
      <c r="FXM213" s="52"/>
      <c r="FXN213" s="52"/>
      <c r="FXO213" s="52"/>
      <c r="FXP213" s="52"/>
      <c r="FXQ213" s="52"/>
      <c r="FXR213" s="52"/>
      <c r="FXS213" s="52"/>
      <c r="FXT213" s="52"/>
      <c r="FXU213" s="52"/>
      <c r="FXV213" s="52"/>
      <c r="FXW213" s="52"/>
      <c r="FXX213" s="52"/>
      <c r="FXY213" s="52"/>
      <c r="FXZ213" s="52"/>
      <c r="FYA213" s="52"/>
      <c r="FYB213" s="52"/>
      <c r="FYC213" s="52"/>
      <c r="FYD213" s="52"/>
      <c r="FYE213" s="52"/>
      <c r="FYF213" s="52"/>
      <c r="FYG213" s="52"/>
      <c r="FYH213" s="52"/>
      <c r="FYI213" s="52"/>
      <c r="FYJ213" s="52"/>
      <c r="FYK213" s="52"/>
      <c r="FYL213" s="52"/>
      <c r="FYM213" s="52"/>
      <c r="FYN213" s="52"/>
      <c r="FYO213" s="52"/>
      <c r="FYP213" s="52"/>
      <c r="FYQ213" s="52"/>
      <c r="FYR213" s="52"/>
      <c r="FYS213" s="52"/>
      <c r="FYT213" s="52"/>
      <c r="FYU213" s="52"/>
      <c r="FYV213" s="52"/>
      <c r="FYW213" s="52"/>
      <c r="FYX213" s="52"/>
      <c r="FYY213" s="52"/>
      <c r="FYZ213" s="52"/>
      <c r="FZA213" s="52"/>
      <c r="FZB213" s="52"/>
      <c r="FZC213" s="52"/>
      <c r="FZD213" s="52"/>
      <c r="FZE213" s="52"/>
      <c r="FZF213" s="52"/>
      <c r="FZG213" s="52"/>
      <c r="FZH213" s="52"/>
      <c r="FZI213" s="52"/>
      <c r="FZJ213" s="52"/>
      <c r="FZK213" s="52"/>
      <c r="FZL213" s="52"/>
      <c r="FZM213" s="52"/>
      <c r="FZN213" s="52"/>
      <c r="FZO213" s="52"/>
      <c r="FZP213" s="52"/>
      <c r="FZQ213" s="52"/>
      <c r="FZR213" s="52"/>
      <c r="FZS213" s="52"/>
      <c r="FZT213" s="52"/>
      <c r="FZU213" s="52"/>
      <c r="FZV213" s="52"/>
      <c r="FZW213" s="52"/>
      <c r="FZX213" s="52"/>
      <c r="FZY213" s="52"/>
      <c r="FZZ213" s="52"/>
      <c r="GAA213" s="52"/>
      <c r="GAB213" s="52"/>
      <c r="GAC213" s="52"/>
      <c r="GAD213" s="52"/>
      <c r="GAE213" s="52"/>
      <c r="GAF213" s="52"/>
      <c r="GAG213" s="52"/>
      <c r="GAH213" s="52"/>
      <c r="GAI213" s="52"/>
      <c r="GAJ213" s="52"/>
      <c r="GAK213" s="52"/>
      <c r="GAL213" s="52"/>
      <c r="GAM213" s="52"/>
      <c r="GAN213" s="52"/>
      <c r="GAO213" s="52"/>
      <c r="GAP213" s="52"/>
      <c r="GAQ213" s="52"/>
      <c r="GAR213" s="52"/>
      <c r="GAS213" s="52"/>
      <c r="GAT213" s="52"/>
      <c r="GAU213" s="52"/>
      <c r="GAV213" s="52"/>
      <c r="GAW213" s="52"/>
      <c r="GAX213" s="52"/>
      <c r="GAY213" s="52"/>
      <c r="GAZ213" s="52"/>
      <c r="GBA213" s="52"/>
      <c r="GBB213" s="52"/>
      <c r="GBC213" s="52"/>
      <c r="GBD213" s="52"/>
      <c r="GBE213" s="52"/>
      <c r="GBF213" s="52"/>
      <c r="GBG213" s="52"/>
      <c r="GBH213" s="52"/>
      <c r="GBI213" s="52"/>
      <c r="GBJ213" s="52"/>
      <c r="GBK213" s="52"/>
      <c r="GBL213" s="52"/>
      <c r="GBM213" s="52"/>
      <c r="GBN213" s="52"/>
      <c r="GBO213" s="52"/>
      <c r="GBP213" s="52"/>
      <c r="GBQ213" s="52"/>
      <c r="GBR213" s="52"/>
      <c r="GBS213" s="52"/>
      <c r="GBT213" s="52"/>
      <c r="GBU213" s="52"/>
      <c r="GBV213" s="52"/>
      <c r="GBW213" s="52"/>
      <c r="GBX213" s="52"/>
      <c r="GBY213" s="52"/>
      <c r="GBZ213" s="52"/>
      <c r="GCA213" s="52"/>
      <c r="GCB213" s="52"/>
      <c r="GCC213" s="52"/>
      <c r="GCD213" s="52"/>
      <c r="GCE213" s="52"/>
      <c r="GCF213" s="52"/>
      <c r="GCG213" s="52"/>
      <c r="GCH213" s="52"/>
      <c r="GCI213" s="52"/>
      <c r="GCJ213" s="52"/>
      <c r="GCK213" s="52"/>
      <c r="GCL213" s="52"/>
      <c r="GCM213" s="52"/>
      <c r="GCN213" s="52"/>
      <c r="GCO213" s="52"/>
      <c r="GCP213" s="52"/>
      <c r="GCQ213" s="52"/>
      <c r="GCR213" s="52"/>
      <c r="GCS213" s="52"/>
      <c r="GCT213" s="52"/>
      <c r="GCU213" s="52"/>
      <c r="GCV213" s="52"/>
      <c r="GCW213" s="52"/>
      <c r="GCX213" s="52"/>
      <c r="GCY213" s="52"/>
      <c r="GCZ213" s="52"/>
      <c r="GDA213" s="52"/>
      <c r="GDB213" s="52"/>
      <c r="GDC213" s="52"/>
      <c r="GDD213" s="52"/>
      <c r="GDE213" s="52"/>
      <c r="GDF213" s="52"/>
      <c r="GDG213" s="52"/>
      <c r="GDH213" s="52"/>
      <c r="GDI213" s="52"/>
      <c r="GDJ213" s="52"/>
      <c r="GDK213" s="52"/>
      <c r="GDL213" s="52"/>
      <c r="GDM213" s="52"/>
      <c r="GDN213" s="52"/>
      <c r="GDO213" s="52"/>
      <c r="GDP213" s="52"/>
      <c r="GDQ213" s="52"/>
      <c r="GDR213" s="52"/>
      <c r="GDS213" s="52"/>
      <c r="GDT213" s="52"/>
      <c r="GDU213" s="52"/>
      <c r="GDV213" s="52"/>
      <c r="GDW213" s="52"/>
      <c r="GDX213" s="52"/>
      <c r="GDY213" s="52"/>
      <c r="GDZ213" s="52"/>
      <c r="GEA213" s="52"/>
      <c r="GEB213" s="52"/>
      <c r="GEC213" s="52"/>
      <c r="GED213" s="52"/>
      <c r="GEE213" s="52"/>
      <c r="GEF213" s="52"/>
      <c r="GEG213" s="52"/>
      <c r="GEH213" s="52"/>
      <c r="GEI213" s="52"/>
      <c r="GEJ213" s="52"/>
      <c r="GEK213" s="52"/>
      <c r="GEL213" s="52"/>
      <c r="GEM213" s="52"/>
      <c r="GEN213" s="52"/>
      <c r="GEO213" s="52"/>
      <c r="GEP213" s="52"/>
      <c r="GEQ213" s="52"/>
      <c r="GER213" s="52"/>
      <c r="GES213" s="52"/>
      <c r="GET213" s="52"/>
      <c r="GEU213" s="52"/>
      <c r="GEV213" s="52"/>
      <c r="GEW213" s="52"/>
      <c r="GEX213" s="52"/>
      <c r="GEY213" s="52"/>
      <c r="GEZ213" s="52"/>
      <c r="GFA213" s="52"/>
      <c r="GFB213" s="52"/>
      <c r="GFC213" s="52"/>
      <c r="GFD213" s="52"/>
      <c r="GFE213" s="52"/>
      <c r="GFF213" s="52"/>
      <c r="GFG213" s="52"/>
      <c r="GFH213" s="52"/>
      <c r="GFI213" s="52"/>
      <c r="GFJ213" s="52"/>
      <c r="GFK213" s="52"/>
      <c r="GFL213" s="52"/>
      <c r="GFM213" s="52"/>
      <c r="GFN213" s="52"/>
      <c r="GFO213" s="52"/>
      <c r="GFP213" s="52"/>
      <c r="GFQ213" s="52"/>
      <c r="GFR213" s="52"/>
      <c r="GFS213" s="52"/>
      <c r="GFT213" s="52"/>
      <c r="GFU213" s="52"/>
      <c r="GFV213" s="52"/>
      <c r="GFW213" s="52"/>
      <c r="GFX213" s="52"/>
      <c r="GFY213" s="52"/>
      <c r="GFZ213" s="52"/>
      <c r="GGA213" s="52"/>
      <c r="GGB213" s="52"/>
      <c r="GGC213" s="52"/>
      <c r="GGD213" s="52"/>
      <c r="GGE213" s="52"/>
      <c r="GGF213" s="52"/>
      <c r="GGG213" s="52"/>
      <c r="GGH213" s="52"/>
      <c r="GGI213" s="52"/>
      <c r="GGJ213" s="52"/>
      <c r="GGK213" s="52"/>
      <c r="GGL213" s="52"/>
      <c r="GGM213" s="52"/>
      <c r="GGN213" s="52"/>
      <c r="GGO213" s="52"/>
      <c r="GGP213" s="52"/>
      <c r="GGQ213" s="52"/>
      <c r="GGR213" s="52"/>
      <c r="GGS213" s="52"/>
      <c r="GGT213" s="52"/>
      <c r="GGU213" s="52"/>
      <c r="GGV213" s="52"/>
      <c r="GGW213" s="52"/>
      <c r="GGX213" s="52"/>
      <c r="GGY213" s="52"/>
      <c r="GGZ213" s="52"/>
      <c r="GHA213" s="52"/>
      <c r="GHB213" s="52"/>
      <c r="GHC213" s="52"/>
      <c r="GHD213" s="52"/>
      <c r="GHE213" s="52"/>
      <c r="GHF213" s="52"/>
      <c r="GHG213" s="52"/>
      <c r="GHH213" s="52"/>
      <c r="GHI213" s="52"/>
      <c r="GHJ213" s="52"/>
      <c r="GHK213" s="52"/>
      <c r="GHL213" s="52"/>
      <c r="GHM213" s="52"/>
      <c r="GHN213" s="52"/>
      <c r="GHO213" s="52"/>
      <c r="GHP213" s="52"/>
      <c r="GHQ213" s="52"/>
      <c r="GHR213" s="52"/>
      <c r="GHS213" s="52"/>
      <c r="GHT213" s="52"/>
      <c r="GHU213" s="52"/>
      <c r="GHV213" s="52"/>
      <c r="GHW213" s="52"/>
      <c r="GHX213" s="52"/>
      <c r="GHY213" s="52"/>
      <c r="GHZ213" s="52"/>
      <c r="GIA213" s="52"/>
      <c r="GIB213" s="52"/>
      <c r="GIC213" s="52"/>
      <c r="GID213" s="52"/>
      <c r="GIE213" s="52"/>
      <c r="GIF213" s="52"/>
      <c r="GIG213" s="52"/>
      <c r="GIH213" s="52"/>
      <c r="GII213" s="52"/>
      <c r="GIJ213" s="52"/>
      <c r="GIK213" s="52"/>
      <c r="GIL213" s="52"/>
      <c r="GIM213" s="52"/>
      <c r="GIN213" s="52"/>
      <c r="GIO213" s="52"/>
      <c r="GIP213" s="52"/>
      <c r="GIQ213" s="52"/>
      <c r="GIR213" s="52"/>
      <c r="GIS213" s="52"/>
      <c r="GIT213" s="52"/>
      <c r="GIU213" s="52"/>
      <c r="GIV213" s="52"/>
      <c r="GIW213" s="52"/>
      <c r="GIX213" s="52"/>
      <c r="GIY213" s="52"/>
      <c r="GIZ213" s="52"/>
      <c r="GJA213" s="52"/>
      <c r="GJB213" s="52"/>
      <c r="GJC213" s="52"/>
      <c r="GJD213" s="52"/>
      <c r="GJE213" s="52"/>
      <c r="GJF213" s="52"/>
      <c r="GJG213" s="52"/>
      <c r="GJH213" s="52"/>
      <c r="GJI213" s="52"/>
      <c r="GJJ213" s="52"/>
      <c r="GJK213" s="52"/>
      <c r="GJL213" s="52"/>
      <c r="GJM213" s="52"/>
      <c r="GJN213" s="52"/>
      <c r="GJO213" s="52"/>
      <c r="GJP213" s="52"/>
      <c r="GJQ213" s="52"/>
      <c r="GJR213" s="52"/>
      <c r="GJS213" s="52"/>
      <c r="GJT213" s="52"/>
      <c r="GJU213" s="52"/>
      <c r="GJV213" s="52"/>
      <c r="GJW213" s="52"/>
      <c r="GJX213" s="52"/>
      <c r="GJY213" s="52"/>
      <c r="GJZ213" s="52"/>
      <c r="GKA213" s="52"/>
      <c r="GKB213" s="52"/>
      <c r="GKC213" s="52"/>
      <c r="GKD213" s="52"/>
      <c r="GKE213" s="52"/>
      <c r="GKF213" s="52"/>
      <c r="GKG213" s="52"/>
      <c r="GKH213" s="52"/>
      <c r="GKI213" s="52"/>
      <c r="GKJ213" s="52"/>
      <c r="GKK213" s="52"/>
      <c r="GKL213" s="52"/>
      <c r="GKM213" s="52"/>
      <c r="GKN213" s="52"/>
      <c r="GKO213" s="52"/>
      <c r="GKP213" s="52"/>
      <c r="GKQ213" s="52"/>
      <c r="GKR213" s="52"/>
      <c r="GKS213" s="52"/>
      <c r="GKT213" s="52"/>
      <c r="GKU213" s="52"/>
      <c r="GKV213" s="52"/>
      <c r="GKW213" s="52"/>
      <c r="GKX213" s="52"/>
      <c r="GKY213" s="52"/>
      <c r="GKZ213" s="52"/>
      <c r="GLA213" s="52"/>
      <c r="GLB213" s="52"/>
      <c r="GLC213" s="52"/>
      <c r="GLD213" s="52"/>
      <c r="GLE213" s="52"/>
      <c r="GLF213" s="52"/>
      <c r="GLG213" s="52"/>
      <c r="GLH213" s="52"/>
      <c r="GLI213" s="52"/>
      <c r="GLJ213" s="52"/>
      <c r="GLK213" s="52"/>
      <c r="GLL213" s="52"/>
      <c r="GLM213" s="52"/>
      <c r="GLN213" s="52"/>
      <c r="GLO213" s="52"/>
      <c r="GLP213" s="52"/>
      <c r="GLQ213" s="52"/>
      <c r="GLR213" s="52"/>
      <c r="GLS213" s="52"/>
      <c r="GLT213" s="52"/>
      <c r="GLU213" s="52"/>
      <c r="GLV213" s="52"/>
      <c r="GLW213" s="52"/>
      <c r="GLX213" s="52"/>
      <c r="GLY213" s="52"/>
      <c r="GLZ213" s="52"/>
      <c r="GMA213" s="52"/>
      <c r="GMB213" s="52"/>
      <c r="GMC213" s="52"/>
      <c r="GMD213" s="52"/>
      <c r="GME213" s="52"/>
      <c r="GMF213" s="52"/>
      <c r="GMG213" s="52"/>
      <c r="GMH213" s="52"/>
      <c r="GMI213" s="52"/>
      <c r="GMJ213" s="52"/>
      <c r="GMK213" s="52"/>
      <c r="GML213" s="52"/>
      <c r="GMM213" s="52"/>
      <c r="GMN213" s="52"/>
      <c r="GMO213" s="52"/>
      <c r="GMP213" s="52"/>
      <c r="GMQ213" s="52"/>
      <c r="GMR213" s="52"/>
      <c r="GMS213" s="52"/>
      <c r="GMT213" s="52"/>
      <c r="GMU213" s="52"/>
      <c r="GMV213" s="52"/>
      <c r="GMW213" s="52"/>
      <c r="GMX213" s="52"/>
      <c r="GMY213" s="52"/>
      <c r="GMZ213" s="52"/>
      <c r="GNA213" s="52"/>
      <c r="GNB213" s="52"/>
      <c r="GNC213" s="52"/>
      <c r="GND213" s="52"/>
      <c r="GNE213" s="52"/>
      <c r="GNF213" s="52"/>
      <c r="GNG213" s="52"/>
      <c r="GNH213" s="52"/>
      <c r="GNI213" s="52"/>
      <c r="GNJ213" s="52"/>
      <c r="GNK213" s="52"/>
      <c r="GNL213" s="52"/>
      <c r="GNM213" s="52"/>
      <c r="GNN213" s="52"/>
      <c r="GNO213" s="52"/>
      <c r="GNP213" s="52"/>
      <c r="GNQ213" s="52"/>
      <c r="GNR213" s="52"/>
      <c r="GNS213" s="52"/>
      <c r="GNT213" s="52"/>
      <c r="GNU213" s="52"/>
      <c r="GNV213" s="52"/>
      <c r="GNW213" s="52"/>
      <c r="GNX213" s="52"/>
      <c r="GNY213" s="52"/>
      <c r="GNZ213" s="52"/>
      <c r="GOA213" s="52"/>
      <c r="GOB213" s="52"/>
      <c r="GOC213" s="52"/>
      <c r="GOD213" s="52"/>
      <c r="GOE213" s="52"/>
      <c r="GOF213" s="52"/>
      <c r="GOG213" s="52"/>
      <c r="GOH213" s="52"/>
      <c r="GOI213" s="52"/>
      <c r="GOJ213" s="52"/>
      <c r="GOK213" s="52"/>
      <c r="GOL213" s="52"/>
      <c r="GOM213" s="52"/>
      <c r="GON213" s="52"/>
      <c r="GOO213" s="52"/>
      <c r="GOP213" s="52"/>
      <c r="GOQ213" s="52"/>
      <c r="GOR213" s="52"/>
      <c r="GOS213" s="52"/>
      <c r="GOT213" s="52"/>
      <c r="GOU213" s="52"/>
      <c r="GOV213" s="52"/>
      <c r="GOW213" s="52"/>
      <c r="GOX213" s="52"/>
      <c r="GOY213" s="52"/>
      <c r="GOZ213" s="52"/>
      <c r="GPA213" s="52"/>
      <c r="GPB213" s="52"/>
      <c r="GPC213" s="52"/>
      <c r="GPD213" s="52"/>
      <c r="GPE213" s="52"/>
      <c r="GPF213" s="52"/>
      <c r="GPG213" s="52"/>
      <c r="GPH213" s="52"/>
      <c r="GPI213" s="52"/>
      <c r="GPJ213" s="52"/>
      <c r="GPK213" s="52"/>
      <c r="GPL213" s="52"/>
      <c r="GPM213" s="52"/>
      <c r="GPN213" s="52"/>
      <c r="GPO213" s="52"/>
      <c r="GPP213" s="52"/>
      <c r="GPQ213" s="52"/>
      <c r="GPR213" s="52"/>
      <c r="GPS213" s="52"/>
      <c r="GPT213" s="52"/>
      <c r="GPU213" s="52"/>
      <c r="GPV213" s="52"/>
      <c r="GPW213" s="52"/>
      <c r="GPX213" s="52"/>
      <c r="GPY213" s="52"/>
      <c r="GPZ213" s="52"/>
      <c r="GQA213" s="52"/>
      <c r="GQB213" s="52"/>
      <c r="GQC213" s="52"/>
      <c r="GQD213" s="52"/>
      <c r="GQE213" s="52"/>
      <c r="GQF213" s="52"/>
      <c r="GQG213" s="52"/>
      <c r="GQH213" s="52"/>
      <c r="GQI213" s="52"/>
      <c r="GQJ213" s="52"/>
      <c r="GQK213" s="52"/>
      <c r="GQL213" s="52"/>
      <c r="GQM213" s="52"/>
      <c r="GQN213" s="52"/>
      <c r="GQO213" s="52"/>
      <c r="GQP213" s="52"/>
      <c r="GQQ213" s="52"/>
      <c r="GQR213" s="52"/>
      <c r="GQS213" s="52"/>
      <c r="GQT213" s="52"/>
      <c r="GQU213" s="52"/>
      <c r="GQV213" s="52"/>
      <c r="GQW213" s="52"/>
      <c r="GQX213" s="52"/>
      <c r="GQY213" s="52"/>
      <c r="GQZ213" s="52"/>
      <c r="GRA213" s="52"/>
      <c r="GRB213" s="52"/>
      <c r="GRC213" s="52"/>
      <c r="GRD213" s="52"/>
      <c r="GRE213" s="52"/>
      <c r="GRF213" s="52"/>
      <c r="GRG213" s="52"/>
      <c r="GRH213" s="52"/>
      <c r="GRI213" s="52"/>
      <c r="GRJ213" s="52"/>
      <c r="GRK213" s="52"/>
      <c r="GRL213" s="52"/>
      <c r="GRM213" s="52"/>
      <c r="GRN213" s="52"/>
      <c r="GRO213" s="52"/>
      <c r="GRP213" s="52"/>
      <c r="GRQ213" s="52"/>
      <c r="GRR213" s="52"/>
      <c r="GRS213" s="52"/>
      <c r="GRT213" s="52"/>
      <c r="GRU213" s="52"/>
      <c r="GRV213" s="52"/>
      <c r="GRW213" s="52"/>
      <c r="GRX213" s="52"/>
      <c r="GRY213" s="52"/>
      <c r="GRZ213" s="52"/>
      <c r="GSA213" s="52"/>
      <c r="GSB213" s="52"/>
      <c r="GSC213" s="52"/>
      <c r="GSD213" s="52"/>
      <c r="GSE213" s="52"/>
      <c r="GSF213" s="52"/>
      <c r="GSG213" s="52"/>
      <c r="GSH213" s="52"/>
      <c r="GSI213" s="52"/>
      <c r="GSJ213" s="52"/>
      <c r="GSK213" s="52"/>
      <c r="GSL213" s="52"/>
      <c r="GSM213" s="52"/>
      <c r="GSN213" s="52"/>
      <c r="GSO213" s="52"/>
      <c r="GSP213" s="52"/>
      <c r="GSQ213" s="52"/>
      <c r="GSR213" s="52"/>
      <c r="GSS213" s="52"/>
      <c r="GST213" s="52"/>
      <c r="GSU213" s="52"/>
      <c r="GSV213" s="52"/>
      <c r="GSW213" s="52"/>
      <c r="GSX213" s="52"/>
      <c r="GSY213" s="52"/>
      <c r="GSZ213" s="52"/>
      <c r="GTA213" s="52"/>
      <c r="GTB213" s="52"/>
      <c r="GTC213" s="52"/>
      <c r="GTD213" s="52"/>
      <c r="GTE213" s="52"/>
      <c r="GTF213" s="52"/>
      <c r="GTG213" s="52"/>
      <c r="GTH213" s="52"/>
      <c r="GTI213" s="52"/>
      <c r="GTJ213" s="52"/>
      <c r="GTK213" s="52"/>
      <c r="GTL213" s="52"/>
      <c r="GTM213" s="52"/>
      <c r="GTN213" s="52"/>
      <c r="GTO213" s="52"/>
      <c r="GTP213" s="52"/>
      <c r="GTQ213" s="52"/>
      <c r="GTR213" s="52"/>
      <c r="GTS213" s="52"/>
      <c r="GTT213" s="52"/>
      <c r="GTU213" s="52"/>
      <c r="GTV213" s="52"/>
      <c r="GTW213" s="52"/>
      <c r="GTX213" s="52"/>
      <c r="GTY213" s="52"/>
      <c r="GTZ213" s="52"/>
      <c r="GUA213" s="52"/>
      <c r="GUB213" s="52"/>
      <c r="GUC213" s="52"/>
      <c r="GUD213" s="52"/>
      <c r="GUE213" s="52"/>
      <c r="GUF213" s="52"/>
      <c r="GUG213" s="52"/>
      <c r="GUH213" s="52"/>
      <c r="GUI213" s="52"/>
      <c r="GUJ213" s="52"/>
      <c r="GUK213" s="52"/>
      <c r="GUL213" s="52"/>
      <c r="GUM213" s="52"/>
      <c r="GUN213" s="52"/>
      <c r="GUO213" s="52"/>
      <c r="GUP213" s="52"/>
      <c r="GUQ213" s="52"/>
      <c r="GUR213" s="52"/>
      <c r="GUS213" s="52"/>
      <c r="GUT213" s="52"/>
      <c r="GUU213" s="52"/>
      <c r="GUV213" s="52"/>
      <c r="GUW213" s="52"/>
      <c r="GUX213" s="52"/>
      <c r="GUY213" s="52"/>
      <c r="GUZ213" s="52"/>
      <c r="GVA213" s="52"/>
      <c r="GVB213" s="52"/>
      <c r="GVC213" s="52"/>
      <c r="GVD213" s="52"/>
      <c r="GVE213" s="52"/>
      <c r="GVF213" s="52"/>
      <c r="GVG213" s="52"/>
      <c r="GVH213" s="52"/>
      <c r="GVI213" s="52"/>
      <c r="GVJ213" s="52"/>
      <c r="GVK213" s="52"/>
      <c r="GVL213" s="52"/>
      <c r="GVM213" s="52"/>
      <c r="GVN213" s="52"/>
      <c r="GVO213" s="52"/>
      <c r="GVP213" s="52"/>
      <c r="GVQ213" s="52"/>
      <c r="GVR213" s="52"/>
      <c r="GVS213" s="52"/>
      <c r="GVT213" s="52"/>
      <c r="GVU213" s="52"/>
      <c r="GVV213" s="52"/>
      <c r="GVW213" s="52"/>
      <c r="GVX213" s="52"/>
      <c r="GVY213" s="52"/>
      <c r="GVZ213" s="52"/>
      <c r="GWA213" s="52"/>
      <c r="GWB213" s="52"/>
      <c r="GWC213" s="52"/>
      <c r="GWD213" s="52"/>
      <c r="GWE213" s="52"/>
      <c r="GWF213" s="52"/>
      <c r="GWG213" s="52"/>
      <c r="GWH213" s="52"/>
      <c r="GWI213" s="52"/>
      <c r="GWJ213" s="52"/>
      <c r="GWK213" s="52"/>
      <c r="GWL213" s="52"/>
      <c r="GWM213" s="52"/>
      <c r="GWN213" s="52"/>
      <c r="GWO213" s="52"/>
      <c r="GWP213" s="52"/>
      <c r="GWQ213" s="52"/>
      <c r="GWR213" s="52"/>
      <c r="GWS213" s="52"/>
      <c r="GWT213" s="52"/>
      <c r="GWU213" s="52"/>
      <c r="GWV213" s="52"/>
      <c r="GWW213" s="52"/>
      <c r="GWX213" s="52"/>
      <c r="GWY213" s="52"/>
      <c r="GWZ213" s="52"/>
      <c r="GXA213" s="52"/>
      <c r="GXB213" s="52"/>
      <c r="GXC213" s="52"/>
      <c r="GXD213" s="52"/>
      <c r="GXE213" s="52"/>
      <c r="GXF213" s="52"/>
      <c r="GXG213" s="52"/>
      <c r="GXH213" s="52"/>
      <c r="GXI213" s="52"/>
      <c r="GXJ213" s="52"/>
      <c r="GXK213" s="52"/>
      <c r="GXL213" s="52"/>
      <c r="GXM213" s="52"/>
      <c r="GXN213" s="52"/>
      <c r="GXO213" s="52"/>
      <c r="GXP213" s="52"/>
      <c r="GXQ213" s="52"/>
      <c r="GXR213" s="52"/>
      <c r="GXS213" s="52"/>
      <c r="GXT213" s="52"/>
      <c r="GXU213" s="52"/>
      <c r="GXV213" s="52"/>
      <c r="GXW213" s="52"/>
      <c r="GXX213" s="52"/>
      <c r="GXY213" s="52"/>
      <c r="GXZ213" s="52"/>
      <c r="GYA213" s="52"/>
      <c r="GYB213" s="52"/>
      <c r="GYC213" s="52"/>
      <c r="GYD213" s="52"/>
      <c r="GYE213" s="52"/>
      <c r="GYF213" s="52"/>
      <c r="GYG213" s="52"/>
      <c r="GYH213" s="52"/>
      <c r="GYI213" s="52"/>
      <c r="GYJ213" s="52"/>
      <c r="GYK213" s="52"/>
      <c r="GYL213" s="52"/>
      <c r="GYM213" s="52"/>
      <c r="GYN213" s="52"/>
      <c r="GYO213" s="52"/>
      <c r="GYP213" s="52"/>
      <c r="GYQ213" s="52"/>
      <c r="GYR213" s="52"/>
      <c r="GYS213" s="52"/>
      <c r="GYT213" s="52"/>
      <c r="GYU213" s="52"/>
      <c r="GYV213" s="52"/>
      <c r="GYW213" s="52"/>
      <c r="GYX213" s="52"/>
      <c r="GYY213" s="52"/>
      <c r="GYZ213" s="52"/>
      <c r="GZA213" s="52"/>
      <c r="GZB213" s="52"/>
      <c r="GZC213" s="52"/>
      <c r="GZD213" s="52"/>
      <c r="GZE213" s="52"/>
      <c r="GZF213" s="52"/>
      <c r="GZG213" s="52"/>
      <c r="GZH213" s="52"/>
      <c r="GZI213" s="52"/>
      <c r="GZJ213" s="52"/>
      <c r="GZK213" s="52"/>
      <c r="GZL213" s="52"/>
      <c r="GZM213" s="52"/>
      <c r="GZN213" s="52"/>
      <c r="GZO213" s="52"/>
      <c r="GZP213" s="52"/>
      <c r="GZQ213" s="52"/>
      <c r="GZR213" s="52"/>
      <c r="GZS213" s="52"/>
      <c r="GZT213" s="52"/>
      <c r="GZU213" s="52"/>
      <c r="GZV213" s="52"/>
      <c r="GZW213" s="52"/>
      <c r="GZX213" s="52"/>
      <c r="GZY213" s="52"/>
      <c r="GZZ213" s="52"/>
      <c r="HAA213" s="52"/>
      <c r="HAB213" s="52"/>
      <c r="HAC213" s="52"/>
      <c r="HAD213" s="52"/>
      <c r="HAE213" s="52"/>
      <c r="HAF213" s="52"/>
      <c r="HAG213" s="52"/>
      <c r="HAH213" s="52"/>
      <c r="HAI213" s="52"/>
      <c r="HAJ213" s="52"/>
      <c r="HAK213" s="52"/>
      <c r="HAL213" s="52"/>
      <c r="HAM213" s="52"/>
      <c r="HAN213" s="52"/>
      <c r="HAO213" s="52"/>
      <c r="HAP213" s="52"/>
      <c r="HAQ213" s="52"/>
      <c r="HAR213" s="52"/>
      <c r="HAS213" s="52"/>
      <c r="HAT213" s="52"/>
      <c r="HAU213" s="52"/>
      <c r="HAV213" s="52"/>
      <c r="HAW213" s="52"/>
      <c r="HAX213" s="52"/>
      <c r="HAY213" s="52"/>
      <c r="HAZ213" s="52"/>
      <c r="HBA213" s="52"/>
      <c r="HBB213" s="52"/>
      <c r="HBC213" s="52"/>
      <c r="HBD213" s="52"/>
      <c r="HBE213" s="52"/>
      <c r="HBF213" s="52"/>
      <c r="HBG213" s="52"/>
      <c r="HBH213" s="52"/>
      <c r="HBI213" s="52"/>
      <c r="HBJ213" s="52"/>
      <c r="HBK213" s="52"/>
      <c r="HBL213" s="52"/>
      <c r="HBM213" s="52"/>
      <c r="HBN213" s="52"/>
      <c r="HBO213" s="52"/>
      <c r="HBP213" s="52"/>
      <c r="HBQ213" s="52"/>
      <c r="HBR213" s="52"/>
      <c r="HBS213" s="52"/>
      <c r="HBT213" s="52"/>
      <c r="HBU213" s="52"/>
      <c r="HBV213" s="52"/>
      <c r="HBW213" s="52"/>
      <c r="HBX213" s="52"/>
      <c r="HBY213" s="52"/>
      <c r="HBZ213" s="52"/>
      <c r="HCA213" s="52"/>
      <c r="HCB213" s="52"/>
      <c r="HCC213" s="52"/>
      <c r="HCD213" s="52"/>
      <c r="HCE213" s="52"/>
      <c r="HCF213" s="52"/>
      <c r="HCG213" s="52"/>
      <c r="HCH213" s="52"/>
      <c r="HCI213" s="52"/>
      <c r="HCJ213" s="52"/>
      <c r="HCK213" s="52"/>
      <c r="HCL213" s="52"/>
      <c r="HCM213" s="52"/>
      <c r="HCN213" s="52"/>
      <c r="HCO213" s="52"/>
      <c r="HCP213" s="52"/>
      <c r="HCQ213" s="52"/>
      <c r="HCR213" s="52"/>
      <c r="HCS213" s="52"/>
      <c r="HCT213" s="52"/>
      <c r="HCU213" s="52"/>
      <c r="HCV213" s="52"/>
      <c r="HCW213" s="52"/>
      <c r="HCX213" s="52"/>
      <c r="HCY213" s="52"/>
      <c r="HCZ213" s="52"/>
      <c r="HDA213" s="52"/>
      <c r="HDB213" s="52"/>
      <c r="HDC213" s="52"/>
      <c r="HDD213" s="52"/>
      <c r="HDE213" s="52"/>
      <c r="HDF213" s="52"/>
      <c r="HDG213" s="52"/>
      <c r="HDH213" s="52"/>
      <c r="HDI213" s="52"/>
      <c r="HDJ213" s="52"/>
      <c r="HDK213" s="52"/>
      <c r="HDL213" s="52"/>
      <c r="HDM213" s="52"/>
      <c r="HDN213" s="52"/>
      <c r="HDO213" s="52"/>
      <c r="HDP213" s="52"/>
      <c r="HDQ213" s="52"/>
      <c r="HDR213" s="52"/>
      <c r="HDS213" s="52"/>
      <c r="HDT213" s="52"/>
      <c r="HDU213" s="52"/>
      <c r="HDV213" s="52"/>
      <c r="HDW213" s="52"/>
      <c r="HDX213" s="52"/>
      <c r="HDY213" s="52"/>
      <c r="HDZ213" s="52"/>
      <c r="HEA213" s="52"/>
      <c r="HEB213" s="52"/>
      <c r="HEC213" s="52"/>
      <c r="HED213" s="52"/>
      <c r="HEE213" s="52"/>
      <c r="HEF213" s="52"/>
      <c r="HEG213" s="52"/>
      <c r="HEH213" s="52"/>
      <c r="HEI213" s="52"/>
      <c r="HEJ213" s="52"/>
      <c r="HEK213" s="52"/>
      <c r="HEL213" s="52"/>
      <c r="HEM213" s="52"/>
      <c r="HEN213" s="52"/>
      <c r="HEO213" s="52"/>
      <c r="HEP213" s="52"/>
      <c r="HEQ213" s="52"/>
      <c r="HER213" s="52"/>
      <c r="HES213" s="52"/>
      <c r="HET213" s="52"/>
      <c r="HEU213" s="52"/>
      <c r="HEV213" s="52"/>
      <c r="HEW213" s="52"/>
      <c r="HEX213" s="52"/>
      <c r="HEY213" s="52"/>
      <c r="HEZ213" s="52"/>
      <c r="HFA213" s="52"/>
      <c r="HFB213" s="52"/>
      <c r="HFC213" s="52"/>
      <c r="HFD213" s="52"/>
      <c r="HFE213" s="52"/>
      <c r="HFF213" s="52"/>
      <c r="HFG213" s="52"/>
      <c r="HFH213" s="52"/>
      <c r="HFI213" s="52"/>
      <c r="HFJ213" s="52"/>
      <c r="HFK213" s="52"/>
      <c r="HFL213" s="52"/>
      <c r="HFM213" s="52"/>
      <c r="HFN213" s="52"/>
      <c r="HFO213" s="52"/>
      <c r="HFP213" s="52"/>
      <c r="HFQ213" s="52"/>
      <c r="HFR213" s="52"/>
      <c r="HFS213" s="52"/>
      <c r="HFT213" s="52"/>
      <c r="HFU213" s="52"/>
      <c r="HFV213" s="52"/>
      <c r="HFW213" s="52"/>
      <c r="HFX213" s="52"/>
      <c r="HFY213" s="52"/>
      <c r="HFZ213" s="52"/>
      <c r="HGA213" s="52"/>
      <c r="HGB213" s="52"/>
      <c r="HGC213" s="52"/>
      <c r="HGD213" s="52"/>
      <c r="HGE213" s="52"/>
      <c r="HGF213" s="52"/>
      <c r="HGG213" s="52"/>
      <c r="HGH213" s="52"/>
      <c r="HGI213" s="52"/>
      <c r="HGJ213" s="52"/>
      <c r="HGK213" s="52"/>
      <c r="HGL213" s="52"/>
      <c r="HGM213" s="52"/>
      <c r="HGN213" s="52"/>
      <c r="HGO213" s="52"/>
      <c r="HGP213" s="52"/>
      <c r="HGQ213" s="52"/>
      <c r="HGR213" s="52"/>
      <c r="HGS213" s="52"/>
      <c r="HGT213" s="52"/>
      <c r="HGU213" s="52"/>
      <c r="HGV213" s="52"/>
      <c r="HGW213" s="52"/>
      <c r="HGX213" s="52"/>
      <c r="HGY213" s="52"/>
      <c r="HGZ213" s="52"/>
      <c r="HHA213" s="52"/>
      <c r="HHB213" s="52"/>
      <c r="HHC213" s="52"/>
      <c r="HHD213" s="52"/>
      <c r="HHE213" s="52"/>
      <c r="HHF213" s="52"/>
      <c r="HHG213" s="52"/>
      <c r="HHH213" s="52"/>
      <c r="HHI213" s="52"/>
      <c r="HHJ213" s="52"/>
      <c r="HHK213" s="52"/>
      <c r="HHL213" s="52"/>
      <c r="HHM213" s="52"/>
      <c r="HHN213" s="52"/>
      <c r="HHO213" s="52"/>
      <c r="HHP213" s="52"/>
      <c r="HHQ213" s="52"/>
      <c r="HHR213" s="52"/>
      <c r="HHS213" s="52"/>
      <c r="HHT213" s="52"/>
      <c r="HHU213" s="52"/>
      <c r="HHV213" s="52"/>
      <c r="HHW213" s="52"/>
      <c r="HHX213" s="52"/>
      <c r="HHY213" s="52"/>
      <c r="HHZ213" s="52"/>
      <c r="HIA213" s="52"/>
      <c r="HIB213" s="52"/>
      <c r="HIC213" s="52"/>
      <c r="HID213" s="52"/>
      <c r="HIE213" s="52"/>
      <c r="HIF213" s="52"/>
      <c r="HIG213" s="52"/>
      <c r="HIH213" s="52"/>
      <c r="HII213" s="52"/>
      <c r="HIJ213" s="52"/>
      <c r="HIK213" s="52"/>
      <c r="HIL213" s="52"/>
      <c r="HIM213" s="52"/>
      <c r="HIN213" s="52"/>
      <c r="HIO213" s="52"/>
      <c r="HIP213" s="52"/>
      <c r="HIQ213" s="52"/>
      <c r="HIR213" s="52"/>
      <c r="HIS213" s="52"/>
      <c r="HIT213" s="52"/>
      <c r="HIU213" s="52"/>
      <c r="HIV213" s="52"/>
      <c r="HIW213" s="52"/>
      <c r="HIX213" s="52"/>
      <c r="HIY213" s="52"/>
      <c r="HIZ213" s="52"/>
      <c r="HJA213" s="52"/>
      <c r="HJB213" s="52"/>
      <c r="HJC213" s="52"/>
      <c r="HJD213" s="52"/>
      <c r="HJE213" s="52"/>
      <c r="HJF213" s="52"/>
      <c r="HJG213" s="52"/>
      <c r="HJH213" s="52"/>
      <c r="HJI213" s="52"/>
      <c r="HJJ213" s="52"/>
      <c r="HJK213" s="52"/>
      <c r="HJL213" s="52"/>
      <c r="HJM213" s="52"/>
      <c r="HJN213" s="52"/>
      <c r="HJO213" s="52"/>
      <c r="HJP213" s="52"/>
      <c r="HJQ213" s="52"/>
      <c r="HJR213" s="52"/>
      <c r="HJS213" s="52"/>
      <c r="HJT213" s="52"/>
      <c r="HJU213" s="52"/>
      <c r="HJV213" s="52"/>
      <c r="HJW213" s="52"/>
      <c r="HJX213" s="52"/>
      <c r="HJY213" s="52"/>
      <c r="HJZ213" s="52"/>
      <c r="HKA213" s="52"/>
      <c r="HKB213" s="52"/>
      <c r="HKC213" s="52"/>
      <c r="HKD213" s="52"/>
      <c r="HKE213" s="52"/>
      <c r="HKF213" s="52"/>
      <c r="HKG213" s="52"/>
      <c r="HKH213" s="52"/>
      <c r="HKI213" s="52"/>
      <c r="HKJ213" s="52"/>
      <c r="HKK213" s="52"/>
      <c r="HKL213" s="52"/>
      <c r="HKM213" s="52"/>
      <c r="HKN213" s="52"/>
      <c r="HKO213" s="52"/>
      <c r="HKP213" s="52"/>
      <c r="HKQ213" s="52"/>
      <c r="HKR213" s="52"/>
      <c r="HKS213" s="52"/>
      <c r="HKT213" s="52"/>
      <c r="HKU213" s="52"/>
      <c r="HKV213" s="52"/>
      <c r="HKW213" s="52"/>
      <c r="HKX213" s="52"/>
      <c r="HKY213" s="52"/>
      <c r="HKZ213" s="52"/>
      <c r="HLA213" s="52"/>
      <c r="HLB213" s="52"/>
      <c r="HLC213" s="52"/>
      <c r="HLD213" s="52"/>
      <c r="HLE213" s="52"/>
      <c r="HLF213" s="52"/>
      <c r="HLG213" s="52"/>
      <c r="HLH213" s="52"/>
      <c r="HLI213" s="52"/>
      <c r="HLJ213" s="52"/>
      <c r="HLK213" s="52"/>
      <c r="HLL213" s="52"/>
      <c r="HLM213" s="52"/>
      <c r="HLN213" s="52"/>
      <c r="HLO213" s="52"/>
      <c r="HLP213" s="52"/>
      <c r="HLQ213" s="52"/>
      <c r="HLR213" s="52"/>
      <c r="HLS213" s="52"/>
      <c r="HLT213" s="52"/>
      <c r="HLU213" s="52"/>
      <c r="HLV213" s="52"/>
      <c r="HLW213" s="52"/>
      <c r="HLX213" s="52"/>
      <c r="HLY213" s="52"/>
      <c r="HLZ213" s="52"/>
      <c r="HMA213" s="52"/>
      <c r="HMB213" s="52"/>
      <c r="HMC213" s="52"/>
      <c r="HMD213" s="52"/>
      <c r="HME213" s="52"/>
      <c r="HMF213" s="52"/>
      <c r="HMG213" s="52"/>
      <c r="HMH213" s="52"/>
      <c r="HMI213" s="52"/>
      <c r="HMJ213" s="52"/>
      <c r="HMK213" s="52"/>
      <c r="HML213" s="52"/>
      <c r="HMM213" s="52"/>
      <c r="HMN213" s="52"/>
      <c r="HMO213" s="52"/>
      <c r="HMP213" s="52"/>
      <c r="HMQ213" s="52"/>
      <c r="HMR213" s="52"/>
      <c r="HMS213" s="52"/>
      <c r="HMT213" s="52"/>
      <c r="HMU213" s="52"/>
      <c r="HMV213" s="52"/>
      <c r="HMW213" s="52"/>
      <c r="HMX213" s="52"/>
      <c r="HMY213" s="52"/>
      <c r="HMZ213" s="52"/>
      <c r="HNA213" s="52"/>
      <c r="HNB213" s="52"/>
      <c r="HNC213" s="52"/>
      <c r="HND213" s="52"/>
      <c r="HNE213" s="52"/>
      <c r="HNF213" s="52"/>
      <c r="HNG213" s="52"/>
      <c r="HNH213" s="52"/>
      <c r="HNI213" s="52"/>
      <c r="HNJ213" s="52"/>
      <c r="HNK213" s="52"/>
      <c r="HNL213" s="52"/>
      <c r="HNM213" s="52"/>
      <c r="HNN213" s="52"/>
      <c r="HNO213" s="52"/>
      <c r="HNP213" s="52"/>
      <c r="HNQ213" s="52"/>
      <c r="HNR213" s="52"/>
      <c r="HNS213" s="52"/>
      <c r="HNT213" s="52"/>
      <c r="HNU213" s="52"/>
      <c r="HNV213" s="52"/>
      <c r="HNW213" s="52"/>
      <c r="HNX213" s="52"/>
      <c r="HNY213" s="52"/>
      <c r="HNZ213" s="52"/>
      <c r="HOA213" s="52"/>
      <c r="HOB213" s="52"/>
      <c r="HOC213" s="52"/>
      <c r="HOD213" s="52"/>
      <c r="HOE213" s="52"/>
      <c r="HOF213" s="52"/>
      <c r="HOG213" s="52"/>
      <c r="HOH213" s="52"/>
      <c r="HOI213" s="52"/>
      <c r="HOJ213" s="52"/>
      <c r="HOK213" s="52"/>
      <c r="HOL213" s="52"/>
      <c r="HOM213" s="52"/>
      <c r="HON213" s="52"/>
      <c r="HOO213" s="52"/>
      <c r="HOP213" s="52"/>
      <c r="HOQ213" s="52"/>
      <c r="HOR213" s="52"/>
      <c r="HOS213" s="52"/>
      <c r="HOT213" s="52"/>
      <c r="HOU213" s="52"/>
      <c r="HOV213" s="52"/>
      <c r="HOW213" s="52"/>
      <c r="HOX213" s="52"/>
      <c r="HOY213" s="52"/>
      <c r="HOZ213" s="52"/>
      <c r="HPA213" s="52"/>
      <c r="HPB213" s="52"/>
      <c r="HPC213" s="52"/>
      <c r="HPD213" s="52"/>
      <c r="HPE213" s="52"/>
      <c r="HPF213" s="52"/>
      <c r="HPG213" s="52"/>
      <c r="HPH213" s="52"/>
      <c r="HPI213" s="52"/>
      <c r="HPJ213" s="52"/>
      <c r="HPK213" s="52"/>
      <c r="HPL213" s="52"/>
      <c r="HPM213" s="52"/>
      <c r="HPN213" s="52"/>
      <c r="HPO213" s="52"/>
      <c r="HPP213" s="52"/>
      <c r="HPQ213" s="52"/>
      <c r="HPR213" s="52"/>
      <c r="HPS213" s="52"/>
      <c r="HPT213" s="52"/>
      <c r="HPU213" s="52"/>
      <c r="HPV213" s="52"/>
      <c r="HPW213" s="52"/>
      <c r="HPX213" s="52"/>
      <c r="HPY213" s="52"/>
      <c r="HPZ213" s="52"/>
      <c r="HQA213" s="52"/>
      <c r="HQB213" s="52"/>
      <c r="HQC213" s="52"/>
      <c r="HQD213" s="52"/>
      <c r="HQE213" s="52"/>
      <c r="HQF213" s="52"/>
      <c r="HQG213" s="52"/>
      <c r="HQH213" s="52"/>
      <c r="HQI213" s="52"/>
      <c r="HQJ213" s="52"/>
      <c r="HQK213" s="52"/>
      <c r="HQL213" s="52"/>
      <c r="HQM213" s="52"/>
      <c r="HQN213" s="52"/>
      <c r="HQO213" s="52"/>
      <c r="HQP213" s="52"/>
      <c r="HQQ213" s="52"/>
      <c r="HQR213" s="52"/>
      <c r="HQS213" s="52"/>
      <c r="HQT213" s="52"/>
      <c r="HQU213" s="52"/>
      <c r="HQV213" s="52"/>
      <c r="HQW213" s="52"/>
      <c r="HQX213" s="52"/>
      <c r="HQY213" s="52"/>
      <c r="HQZ213" s="52"/>
      <c r="HRA213" s="52"/>
      <c r="HRB213" s="52"/>
      <c r="HRC213" s="52"/>
      <c r="HRD213" s="52"/>
      <c r="HRE213" s="52"/>
      <c r="HRF213" s="52"/>
      <c r="HRG213" s="52"/>
      <c r="HRH213" s="52"/>
      <c r="HRI213" s="52"/>
      <c r="HRJ213" s="52"/>
      <c r="HRK213" s="52"/>
      <c r="HRL213" s="52"/>
      <c r="HRM213" s="52"/>
      <c r="HRN213" s="52"/>
      <c r="HRO213" s="52"/>
      <c r="HRP213" s="52"/>
      <c r="HRQ213" s="52"/>
      <c r="HRR213" s="52"/>
      <c r="HRS213" s="52"/>
      <c r="HRT213" s="52"/>
      <c r="HRU213" s="52"/>
      <c r="HRV213" s="52"/>
      <c r="HRW213" s="52"/>
      <c r="HRX213" s="52"/>
      <c r="HRY213" s="52"/>
      <c r="HRZ213" s="52"/>
      <c r="HSA213" s="52"/>
      <c r="HSB213" s="52"/>
      <c r="HSC213" s="52"/>
      <c r="HSD213" s="52"/>
      <c r="HSE213" s="52"/>
      <c r="HSF213" s="52"/>
      <c r="HSG213" s="52"/>
      <c r="HSH213" s="52"/>
      <c r="HSI213" s="52"/>
      <c r="HSJ213" s="52"/>
      <c r="HSK213" s="52"/>
      <c r="HSL213" s="52"/>
      <c r="HSM213" s="52"/>
      <c r="HSN213" s="52"/>
      <c r="HSO213" s="52"/>
      <c r="HSP213" s="52"/>
      <c r="HSQ213" s="52"/>
      <c r="HSR213" s="52"/>
      <c r="HSS213" s="52"/>
      <c r="HST213" s="52"/>
      <c r="HSU213" s="52"/>
      <c r="HSV213" s="52"/>
      <c r="HSW213" s="52"/>
      <c r="HSX213" s="52"/>
      <c r="HSY213" s="52"/>
      <c r="HSZ213" s="52"/>
      <c r="HTA213" s="52"/>
      <c r="HTB213" s="52"/>
      <c r="HTC213" s="52"/>
      <c r="HTD213" s="52"/>
      <c r="HTE213" s="52"/>
      <c r="HTF213" s="52"/>
      <c r="HTG213" s="52"/>
      <c r="HTH213" s="52"/>
      <c r="HTI213" s="52"/>
      <c r="HTJ213" s="52"/>
      <c r="HTK213" s="52"/>
      <c r="HTL213" s="52"/>
      <c r="HTM213" s="52"/>
      <c r="HTN213" s="52"/>
      <c r="HTO213" s="52"/>
      <c r="HTP213" s="52"/>
      <c r="HTQ213" s="52"/>
      <c r="HTR213" s="52"/>
      <c r="HTS213" s="52"/>
      <c r="HTT213" s="52"/>
      <c r="HTU213" s="52"/>
      <c r="HTV213" s="52"/>
      <c r="HTW213" s="52"/>
      <c r="HTX213" s="52"/>
      <c r="HTY213" s="52"/>
      <c r="HTZ213" s="52"/>
      <c r="HUA213" s="52"/>
      <c r="HUB213" s="52"/>
      <c r="HUC213" s="52"/>
      <c r="HUD213" s="52"/>
      <c r="HUE213" s="52"/>
      <c r="HUF213" s="52"/>
      <c r="HUG213" s="52"/>
      <c r="HUH213" s="52"/>
      <c r="HUI213" s="52"/>
      <c r="HUJ213" s="52"/>
      <c r="HUK213" s="52"/>
      <c r="HUL213" s="52"/>
      <c r="HUM213" s="52"/>
      <c r="HUN213" s="52"/>
      <c r="HUO213" s="52"/>
      <c r="HUP213" s="52"/>
      <c r="HUQ213" s="52"/>
      <c r="HUR213" s="52"/>
      <c r="HUS213" s="52"/>
      <c r="HUT213" s="52"/>
      <c r="HUU213" s="52"/>
      <c r="HUV213" s="52"/>
      <c r="HUW213" s="52"/>
      <c r="HUX213" s="52"/>
      <c r="HUY213" s="52"/>
      <c r="HUZ213" s="52"/>
      <c r="HVA213" s="52"/>
      <c r="HVB213" s="52"/>
      <c r="HVC213" s="52"/>
      <c r="HVD213" s="52"/>
      <c r="HVE213" s="52"/>
      <c r="HVF213" s="52"/>
      <c r="HVG213" s="52"/>
      <c r="HVH213" s="52"/>
      <c r="HVI213" s="52"/>
      <c r="HVJ213" s="52"/>
      <c r="HVK213" s="52"/>
      <c r="HVL213" s="52"/>
      <c r="HVM213" s="52"/>
      <c r="HVN213" s="52"/>
      <c r="HVO213" s="52"/>
      <c r="HVP213" s="52"/>
      <c r="HVQ213" s="52"/>
      <c r="HVR213" s="52"/>
      <c r="HVS213" s="52"/>
      <c r="HVT213" s="52"/>
      <c r="HVU213" s="52"/>
      <c r="HVV213" s="52"/>
      <c r="HVW213" s="52"/>
      <c r="HVX213" s="52"/>
      <c r="HVY213" s="52"/>
      <c r="HVZ213" s="52"/>
      <c r="HWA213" s="52"/>
      <c r="HWB213" s="52"/>
      <c r="HWC213" s="52"/>
      <c r="HWD213" s="52"/>
      <c r="HWE213" s="52"/>
      <c r="HWF213" s="52"/>
      <c r="HWG213" s="52"/>
      <c r="HWH213" s="52"/>
      <c r="HWI213" s="52"/>
      <c r="HWJ213" s="52"/>
      <c r="HWK213" s="52"/>
      <c r="HWL213" s="52"/>
      <c r="HWM213" s="52"/>
      <c r="HWN213" s="52"/>
      <c r="HWO213" s="52"/>
      <c r="HWP213" s="52"/>
      <c r="HWQ213" s="52"/>
      <c r="HWR213" s="52"/>
      <c r="HWS213" s="52"/>
      <c r="HWT213" s="52"/>
      <c r="HWU213" s="52"/>
      <c r="HWV213" s="52"/>
      <c r="HWW213" s="52"/>
      <c r="HWX213" s="52"/>
      <c r="HWY213" s="52"/>
      <c r="HWZ213" s="52"/>
      <c r="HXA213" s="52"/>
      <c r="HXB213" s="52"/>
      <c r="HXC213" s="52"/>
      <c r="HXD213" s="52"/>
      <c r="HXE213" s="52"/>
      <c r="HXF213" s="52"/>
      <c r="HXG213" s="52"/>
      <c r="HXH213" s="52"/>
      <c r="HXI213" s="52"/>
      <c r="HXJ213" s="52"/>
      <c r="HXK213" s="52"/>
      <c r="HXL213" s="52"/>
      <c r="HXM213" s="52"/>
      <c r="HXN213" s="52"/>
      <c r="HXO213" s="52"/>
      <c r="HXP213" s="52"/>
      <c r="HXQ213" s="52"/>
      <c r="HXR213" s="52"/>
      <c r="HXS213" s="52"/>
      <c r="HXT213" s="52"/>
      <c r="HXU213" s="52"/>
      <c r="HXV213" s="52"/>
      <c r="HXW213" s="52"/>
      <c r="HXX213" s="52"/>
      <c r="HXY213" s="52"/>
      <c r="HXZ213" s="52"/>
      <c r="HYA213" s="52"/>
      <c r="HYB213" s="52"/>
      <c r="HYC213" s="52"/>
      <c r="HYD213" s="52"/>
      <c r="HYE213" s="52"/>
      <c r="HYF213" s="52"/>
      <c r="HYG213" s="52"/>
      <c r="HYH213" s="52"/>
      <c r="HYI213" s="52"/>
      <c r="HYJ213" s="52"/>
      <c r="HYK213" s="52"/>
      <c r="HYL213" s="52"/>
      <c r="HYM213" s="52"/>
      <c r="HYN213" s="52"/>
      <c r="HYO213" s="52"/>
      <c r="HYP213" s="52"/>
      <c r="HYQ213" s="52"/>
      <c r="HYR213" s="52"/>
      <c r="HYS213" s="52"/>
      <c r="HYT213" s="52"/>
      <c r="HYU213" s="52"/>
      <c r="HYV213" s="52"/>
      <c r="HYW213" s="52"/>
      <c r="HYX213" s="52"/>
      <c r="HYY213" s="52"/>
      <c r="HYZ213" s="52"/>
      <c r="HZA213" s="52"/>
      <c r="HZB213" s="52"/>
      <c r="HZC213" s="52"/>
      <c r="HZD213" s="52"/>
      <c r="HZE213" s="52"/>
      <c r="HZF213" s="52"/>
      <c r="HZG213" s="52"/>
      <c r="HZH213" s="52"/>
      <c r="HZI213" s="52"/>
      <c r="HZJ213" s="52"/>
      <c r="HZK213" s="52"/>
      <c r="HZL213" s="52"/>
      <c r="HZM213" s="52"/>
      <c r="HZN213" s="52"/>
      <c r="HZO213" s="52"/>
      <c r="HZP213" s="52"/>
      <c r="HZQ213" s="52"/>
      <c r="HZR213" s="52"/>
      <c r="HZS213" s="52"/>
      <c r="HZT213" s="52"/>
      <c r="HZU213" s="52"/>
      <c r="HZV213" s="52"/>
      <c r="HZW213" s="52"/>
      <c r="HZX213" s="52"/>
      <c r="HZY213" s="52"/>
      <c r="HZZ213" s="52"/>
      <c r="IAA213" s="52"/>
      <c r="IAB213" s="52"/>
      <c r="IAC213" s="52"/>
      <c r="IAD213" s="52"/>
      <c r="IAE213" s="52"/>
      <c r="IAF213" s="52"/>
      <c r="IAG213" s="52"/>
      <c r="IAH213" s="52"/>
      <c r="IAI213" s="52"/>
      <c r="IAJ213" s="52"/>
      <c r="IAK213" s="52"/>
      <c r="IAL213" s="52"/>
      <c r="IAM213" s="52"/>
      <c r="IAN213" s="52"/>
      <c r="IAO213" s="52"/>
      <c r="IAP213" s="52"/>
      <c r="IAQ213" s="52"/>
      <c r="IAR213" s="52"/>
      <c r="IAS213" s="52"/>
      <c r="IAT213" s="52"/>
      <c r="IAU213" s="52"/>
      <c r="IAV213" s="52"/>
      <c r="IAW213" s="52"/>
      <c r="IAX213" s="52"/>
      <c r="IAY213" s="52"/>
      <c r="IAZ213" s="52"/>
      <c r="IBA213" s="52"/>
      <c r="IBB213" s="52"/>
      <c r="IBC213" s="52"/>
      <c r="IBD213" s="52"/>
      <c r="IBE213" s="52"/>
      <c r="IBF213" s="52"/>
      <c r="IBG213" s="52"/>
      <c r="IBH213" s="52"/>
      <c r="IBI213" s="52"/>
      <c r="IBJ213" s="52"/>
      <c r="IBK213" s="52"/>
      <c r="IBL213" s="52"/>
      <c r="IBM213" s="52"/>
      <c r="IBN213" s="52"/>
      <c r="IBO213" s="52"/>
      <c r="IBP213" s="52"/>
      <c r="IBQ213" s="52"/>
      <c r="IBR213" s="52"/>
      <c r="IBS213" s="52"/>
      <c r="IBT213" s="52"/>
      <c r="IBU213" s="52"/>
      <c r="IBV213" s="52"/>
      <c r="IBW213" s="52"/>
      <c r="IBX213" s="52"/>
      <c r="IBY213" s="52"/>
      <c r="IBZ213" s="52"/>
      <c r="ICA213" s="52"/>
      <c r="ICB213" s="52"/>
      <c r="ICC213" s="52"/>
      <c r="ICD213" s="52"/>
      <c r="ICE213" s="52"/>
      <c r="ICF213" s="52"/>
      <c r="ICG213" s="52"/>
      <c r="ICH213" s="52"/>
      <c r="ICI213" s="52"/>
      <c r="ICJ213" s="52"/>
      <c r="ICK213" s="52"/>
      <c r="ICL213" s="52"/>
      <c r="ICM213" s="52"/>
      <c r="ICN213" s="52"/>
      <c r="ICO213" s="52"/>
      <c r="ICP213" s="52"/>
      <c r="ICQ213" s="52"/>
      <c r="ICR213" s="52"/>
      <c r="ICS213" s="52"/>
      <c r="ICT213" s="52"/>
      <c r="ICU213" s="52"/>
      <c r="ICV213" s="52"/>
      <c r="ICW213" s="52"/>
      <c r="ICX213" s="52"/>
      <c r="ICY213" s="52"/>
      <c r="ICZ213" s="52"/>
      <c r="IDA213" s="52"/>
      <c r="IDB213" s="52"/>
      <c r="IDC213" s="52"/>
      <c r="IDD213" s="52"/>
      <c r="IDE213" s="52"/>
      <c r="IDF213" s="52"/>
      <c r="IDG213" s="52"/>
      <c r="IDH213" s="52"/>
      <c r="IDI213" s="52"/>
      <c r="IDJ213" s="52"/>
      <c r="IDK213" s="52"/>
      <c r="IDL213" s="52"/>
      <c r="IDM213" s="52"/>
      <c r="IDN213" s="52"/>
      <c r="IDO213" s="52"/>
      <c r="IDP213" s="52"/>
      <c r="IDQ213" s="52"/>
      <c r="IDR213" s="52"/>
      <c r="IDS213" s="52"/>
      <c r="IDT213" s="52"/>
      <c r="IDU213" s="52"/>
      <c r="IDV213" s="52"/>
      <c r="IDW213" s="52"/>
      <c r="IDX213" s="52"/>
      <c r="IDY213" s="52"/>
      <c r="IDZ213" s="52"/>
      <c r="IEA213" s="52"/>
      <c r="IEB213" s="52"/>
      <c r="IEC213" s="52"/>
      <c r="IED213" s="52"/>
      <c r="IEE213" s="52"/>
      <c r="IEF213" s="52"/>
      <c r="IEG213" s="52"/>
      <c r="IEH213" s="52"/>
      <c r="IEI213" s="52"/>
      <c r="IEJ213" s="52"/>
      <c r="IEK213" s="52"/>
      <c r="IEL213" s="52"/>
      <c r="IEM213" s="52"/>
      <c r="IEN213" s="52"/>
      <c r="IEO213" s="52"/>
      <c r="IEP213" s="52"/>
      <c r="IEQ213" s="52"/>
      <c r="IER213" s="52"/>
      <c r="IES213" s="52"/>
      <c r="IET213" s="52"/>
      <c r="IEU213" s="52"/>
      <c r="IEV213" s="52"/>
      <c r="IEW213" s="52"/>
      <c r="IEX213" s="52"/>
      <c r="IEY213" s="52"/>
      <c r="IEZ213" s="52"/>
      <c r="IFA213" s="52"/>
      <c r="IFB213" s="52"/>
      <c r="IFC213" s="52"/>
      <c r="IFD213" s="52"/>
      <c r="IFE213" s="52"/>
      <c r="IFF213" s="52"/>
      <c r="IFG213" s="52"/>
      <c r="IFH213" s="52"/>
      <c r="IFI213" s="52"/>
      <c r="IFJ213" s="52"/>
      <c r="IFK213" s="52"/>
      <c r="IFL213" s="52"/>
      <c r="IFM213" s="52"/>
      <c r="IFN213" s="52"/>
      <c r="IFO213" s="52"/>
      <c r="IFP213" s="52"/>
      <c r="IFQ213" s="52"/>
      <c r="IFR213" s="52"/>
      <c r="IFS213" s="52"/>
      <c r="IFT213" s="52"/>
      <c r="IFU213" s="52"/>
      <c r="IFV213" s="52"/>
      <c r="IFW213" s="52"/>
      <c r="IFX213" s="52"/>
      <c r="IFY213" s="52"/>
      <c r="IFZ213" s="52"/>
      <c r="IGA213" s="52"/>
      <c r="IGB213" s="52"/>
      <c r="IGC213" s="52"/>
      <c r="IGD213" s="52"/>
      <c r="IGE213" s="52"/>
      <c r="IGF213" s="52"/>
      <c r="IGG213" s="52"/>
      <c r="IGH213" s="52"/>
      <c r="IGI213" s="52"/>
      <c r="IGJ213" s="52"/>
      <c r="IGK213" s="52"/>
      <c r="IGL213" s="52"/>
      <c r="IGM213" s="52"/>
      <c r="IGN213" s="52"/>
      <c r="IGO213" s="52"/>
      <c r="IGP213" s="52"/>
      <c r="IGQ213" s="52"/>
      <c r="IGR213" s="52"/>
      <c r="IGS213" s="52"/>
      <c r="IGT213" s="52"/>
      <c r="IGU213" s="52"/>
      <c r="IGV213" s="52"/>
      <c r="IGW213" s="52"/>
      <c r="IGX213" s="52"/>
      <c r="IGY213" s="52"/>
      <c r="IGZ213" s="52"/>
      <c r="IHA213" s="52"/>
      <c r="IHB213" s="52"/>
      <c r="IHC213" s="52"/>
      <c r="IHD213" s="52"/>
      <c r="IHE213" s="52"/>
      <c r="IHF213" s="52"/>
      <c r="IHG213" s="52"/>
      <c r="IHH213" s="52"/>
      <c r="IHI213" s="52"/>
      <c r="IHJ213" s="52"/>
      <c r="IHK213" s="52"/>
      <c r="IHL213" s="52"/>
      <c r="IHM213" s="52"/>
      <c r="IHN213" s="52"/>
      <c r="IHO213" s="52"/>
      <c r="IHP213" s="52"/>
      <c r="IHQ213" s="52"/>
      <c r="IHR213" s="52"/>
      <c r="IHS213" s="52"/>
      <c r="IHT213" s="52"/>
      <c r="IHU213" s="52"/>
      <c r="IHV213" s="52"/>
      <c r="IHW213" s="52"/>
      <c r="IHX213" s="52"/>
      <c r="IHY213" s="52"/>
      <c r="IHZ213" s="52"/>
      <c r="IIA213" s="52"/>
      <c r="IIB213" s="52"/>
      <c r="IIC213" s="52"/>
      <c r="IID213" s="52"/>
      <c r="IIE213" s="52"/>
      <c r="IIF213" s="52"/>
      <c r="IIG213" s="52"/>
      <c r="IIH213" s="52"/>
      <c r="III213" s="52"/>
      <c r="IIJ213" s="52"/>
      <c r="IIK213" s="52"/>
      <c r="IIL213" s="52"/>
      <c r="IIM213" s="52"/>
      <c r="IIN213" s="52"/>
      <c r="IIO213" s="52"/>
      <c r="IIP213" s="52"/>
      <c r="IIQ213" s="52"/>
      <c r="IIR213" s="52"/>
      <c r="IIS213" s="52"/>
      <c r="IIT213" s="52"/>
      <c r="IIU213" s="52"/>
      <c r="IIV213" s="52"/>
      <c r="IIW213" s="52"/>
      <c r="IIX213" s="52"/>
      <c r="IIY213" s="52"/>
      <c r="IIZ213" s="52"/>
      <c r="IJA213" s="52"/>
      <c r="IJB213" s="52"/>
      <c r="IJC213" s="52"/>
      <c r="IJD213" s="52"/>
      <c r="IJE213" s="52"/>
      <c r="IJF213" s="52"/>
      <c r="IJG213" s="52"/>
      <c r="IJH213" s="52"/>
      <c r="IJI213" s="52"/>
      <c r="IJJ213" s="52"/>
      <c r="IJK213" s="52"/>
      <c r="IJL213" s="52"/>
      <c r="IJM213" s="52"/>
      <c r="IJN213" s="52"/>
      <c r="IJO213" s="52"/>
      <c r="IJP213" s="52"/>
      <c r="IJQ213" s="52"/>
      <c r="IJR213" s="52"/>
      <c r="IJS213" s="52"/>
      <c r="IJT213" s="52"/>
      <c r="IJU213" s="52"/>
      <c r="IJV213" s="52"/>
      <c r="IJW213" s="52"/>
      <c r="IJX213" s="52"/>
      <c r="IJY213" s="52"/>
      <c r="IJZ213" s="52"/>
      <c r="IKA213" s="52"/>
      <c r="IKB213" s="52"/>
      <c r="IKC213" s="52"/>
      <c r="IKD213" s="52"/>
      <c r="IKE213" s="52"/>
      <c r="IKF213" s="52"/>
      <c r="IKG213" s="52"/>
      <c r="IKH213" s="52"/>
      <c r="IKI213" s="52"/>
      <c r="IKJ213" s="52"/>
      <c r="IKK213" s="52"/>
      <c r="IKL213" s="52"/>
      <c r="IKM213" s="52"/>
      <c r="IKN213" s="52"/>
      <c r="IKO213" s="52"/>
      <c r="IKP213" s="52"/>
      <c r="IKQ213" s="52"/>
      <c r="IKR213" s="52"/>
      <c r="IKS213" s="52"/>
      <c r="IKT213" s="52"/>
      <c r="IKU213" s="52"/>
      <c r="IKV213" s="52"/>
      <c r="IKW213" s="52"/>
      <c r="IKX213" s="52"/>
      <c r="IKY213" s="52"/>
      <c r="IKZ213" s="52"/>
      <c r="ILA213" s="52"/>
      <c r="ILB213" s="52"/>
      <c r="ILC213" s="52"/>
      <c r="ILD213" s="52"/>
      <c r="ILE213" s="52"/>
      <c r="ILF213" s="52"/>
      <c r="ILG213" s="52"/>
      <c r="ILH213" s="52"/>
      <c r="ILI213" s="52"/>
      <c r="ILJ213" s="52"/>
      <c r="ILK213" s="52"/>
      <c r="ILL213" s="52"/>
      <c r="ILM213" s="52"/>
      <c r="ILN213" s="52"/>
      <c r="ILO213" s="52"/>
      <c r="ILP213" s="52"/>
      <c r="ILQ213" s="52"/>
      <c r="ILR213" s="52"/>
      <c r="ILS213" s="52"/>
      <c r="ILT213" s="52"/>
      <c r="ILU213" s="52"/>
      <c r="ILV213" s="52"/>
      <c r="ILW213" s="52"/>
      <c r="ILX213" s="52"/>
      <c r="ILY213" s="52"/>
      <c r="ILZ213" s="52"/>
      <c r="IMA213" s="52"/>
      <c r="IMB213" s="52"/>
      <c r="IMC213" s="52"/>
      <c r="IMD213" s="52"/>
      <c r="IME213" s="52"/>
      <c r="IMF213" s="52"/>
      <c r="IMG213" s="52"/>
      <c r="IMH213" s="52"/>
      <c r="IMI213" s="52"/>
      <c r="IMJ213" s="52"/>
      <c r="IMK213" s="52"/>
      <c r="IML213" s="52"/>
      <c r="IMM213" s="52"/>
      <c r="IMN213" s="52"/>
      <c r="IMO213" s="52"/>
      <c r="IMP213" s="52"/>
      <c r="IMQ213" s="52"/>
      <c r="IMR213" s="52"/>
      <c r="IMS213" s="52"/>
      <c r="IMT213" s="52"/>
      <c r="IMU213" s="52"/>
      <c r="IMV213" s="52"/>
      <c r="IMW213" s="52"/>
      <c r="IMX213" s="52"/>
      <c r="IMY213" s="52"/>
      <c r="IMZ213" s="52"/>
      <c r="INA213" s="52"/>
      <c r="INB213" s="52"/>
      <c r="INC213" s="52"/>
      <c r="IND213" s="52"/>
      <c r="INE213" s="52"/>
      <c r="INF213" s="52"/>
      <c r="ING213" s="52"/>
      <c r="INH213" s="52"/>
      <c r="INI213" s="52"/>
      <c r="INJ213" s="52"/>
      <c r="INK213" s="52"/>
      <c r="INL213" s="52"/>
      <c r="INM213" s="52"/>
      <c r="INN213" s="52"/>
      <c r="INO213" s="52"/>
      <c r="INP213" s="52"/>
      <c r="INQ213" s="52"/>
      <c r="INR213" s="52"/>
      <c r="INS213" s="52"/>
      <c r="INT213" s="52"/>
      <c r="INU213" s="52"/>
      <c r="INV213" s="52"/>
      <c r="INW213" s="52"/>
      <c r="INX213" s="52"/>
      <c r="INY213" s="52"/>
      <c r="INZ213" s="52"/>
      <c r="IOA213" s="52"/>
      <c r="IOB213" s="52"/>
      <c r="IOC213" s="52"/>
      <c r="IOD213" s="52"/>
      <c r="IOE213" s="52"/>
      <c r="IOF213" s="52"/>
      <c r="IOG213" s="52"/>
      <c r="IOH213" s="52"/>
      <c r="IOI213" s="52"/>
      <c r="IOJ213" s="52"/>
      <c r="IOK213" s="52"/>
      <c r="IOL213" s="52"/>
      <c r="IOM213" s="52"/>
      <c r="ION213" s="52"/>
      <c r="IOO213" s="52"/>
      <c r="IOP213" s="52"/>
      <c r="IOQ213" s="52"/>
      <c r="IOR213" s="52"/>
      <c r="IOS213" s="52"/>
      <c r="IOT213" s="52"/>
      <c r="IOU213" s="52"/>
      <c r="IOV213" s="52"/>
      <c r="IOW213" s="52"/>
      <c r="IOX213" s="52"/>
      <c r="IOY213" s="52"/>
      <c r="IOZ213" s="52"/>
      <c r="IPA213" s="52"/>
      <c r="IPB213" s="52"/>
      <c r="IPC213" s="52"/>
      <c r="IPD213" s="52"/>
      <c r="IPE213" s="52"/>
      <c r="IPF213" s="52"/>
      <c r="IPG213" s="52"/>
      <c r="IPH213" s="52"/>
      <c r="IPI213" s="52"/>
      <c r="IPJ213" s="52"/>
      <c r="IPK213" s="52"/>
      <c r="IPL213" s="52"/>
      <c r="IPM213" s="52"/>
      <c r="IPN213" s="52"/>
      <c r="IPO213" s="52"/>
      <c r="IPP213" s="52"/>
      <c r="IPQ213" s="52"/>
      <c r="IPR213" s="52"/>
      <c r="IPS213" s="52"/>
      <c r="IPT213" s="52"/>
      <c r="IPU213" s="52"/>
      <c r="IPV213" s="52"/>
      <c r="IPW213" s="52"/>
      <c r="IPX213" s="52"/>
      <c r="IPY213" s="52"/>
      <c r="IPZ213" s="52"/>
      <c r="IQA213" s="52"/>
      <c r="IQB213" s="52"/>
      <c r="IQC213" s="52"/>
      <c r="IQD213" s="52"/>
      <c r="IQE213" s="52"/>
      <c r="IQF213" s="52"/>
      <c r="IQG213" s="52"/>
      <c r="IQH213" s="52"/>
      <c r="IQI213" s="52"/>
      <c r="IQJ213" s="52"/>
      <c r="IQK213" s="52"/>
      <c r="IQL213" s="52"/>
      <c r="IQM213" s="52"/>
      <c r="IQN213" s="52"/>
      <c r="IQO213" s="52"/>
      <c r="IQP213" s="52"/>
      <c r="IQQ213" s="52"/>
      <c r="IQR213" s="52"/>
      <c r="IQS213" s="52"/>
      <c r="IQT213" s="52"/>
      <c r="IQU213" s="52"/>
      <c r="IQV213" s="52"/>
      <c r="IQW213" s="52"/>
      <c r="IQX213" s="52"/>
      <c r="IQY213" s="52"/>
      <c r="IQZ213" s="52"/>
      <c r="IRA213" s="52"/>
      <c r="IRB213" s="52"/>
      <c r="IRC213" s="52"/>
      <c r="IRD213" s="52"/>
      <c r="IRE213" s="52"/>
      <c r="IRF213" s="52"/>
      <c r="IRG213" s="52"/>
      <c r="IRH213" s="52"/>
      <c r="IRI213" s="52"/>
      <c r="IRJ213" s="52"/>
      <c r="IRK213" s="52"/>
      <c r="IRL213" s="52"/>
      <c r="IRM213" s="52"/>
      <c r="IRN213" s="52"/>
      <c r="IRO213" s="52"/>
      <c r="IRP213" s="52"/>
      <c r="IRQ213" s="52"/>
      <c r="IRR213" s="52"/>
      <c r="IRS213" s="52"/>
      <c r="IRT213" s="52"/>
      <c r="IRU213" s="52"/>
      <c r="IRV213" s="52"/>
      <c r="IRW213" s="52"/>
      <c r="IRX213" s="52"/>
      <c r="IRY213" s="52"/>
      <c r="IRZ213" s="52"/>
      <c r="ISA213" s="52"/>
      <c r="ISB213" s="52"/>
      <c r="ISC213" s="52"/>
      <c r="ISD213" s="52"/>
      <c r="ISE213" s="52"/>
      <c r="ISF213" s="52"/>
      <c r="ISG213" s="52"/>
      <c r="ISH213" s="52"/>
      <c r="ISI213" s="52"/>
      <c r="ISJ213" s="52"/>
      <c r="ISK213" s="52"/>
      <c r="ISL213" s="52"/>
      <c r="ISM213" s="52"/>
      <c r="ISN213" s="52"/>
      <c r="ISO213" s="52"/>
      <c r="ISP213" s="52"/>
      <c r="ISQ213" s="52"/>
      <c r="ISR213" s="52"/>
      <c r="ISS213" s="52"/>
      <c r="IST213" s="52"/>
      <c r="ISU213" s="52"/>
      <c r="ISV213" s="52"/>
      <c r="ISW213" s="52"/>
      <c r="ISX213" s="52"/>
      <c r="ISY213" s="52"/>
      <c r="ISZ213" s="52"/>
      <c r="ITA213" s="52"/>
      <c r="ITB213" s="52"/>
      <c r="ITC213" s="52"/>
      <c r="ITD213" s="52"/>
      <c r="ITE213" s="52"/>
      <c r="ITF213" s="52"/>
      <c r="ITG213" s="52"/>
      <c r="ITH213" s="52"/>
      <c r="ITI213" s="52"/>
      <c r="ITJ213" s="52"/>
      <c r="ITK213" s="52"/>
      <c r="ITL213" s="52"/>
      <c r="ITM213" s="52"/>
      <c r="ITN213" s="52"/>
      <c r="ITO213" s="52"/>
      <c r="ITP213" s="52"/>
      <c r="ITQ213" s="52"/>
      <c r="ITR213" s="52"/>
      <c r="ITS213" s="52"/>
      <c r="ITT213" s="52"/>
      <c r="ITU213" s="52"/>
      <c r="ITV213" s="52"/>
      <c r="ITW213" s="52"/>
      <c r="ITX213" s="52"/>
      <c r="ITY213" s="52"/>
      <c r="ITZ213" s="52"/>
      <c r="IUA213" s="52"/>
      <c r="IUB213" s="52"/>
      <c r="IUC213" s="52"/>
      <c r="IUD213" s="52"/>
      <c r="IUE213" s="52"/>
      <c r="IUF213" s="52"/>
      <c r="IUG213" s="52"/>
      <c r="IUH213" s="52"/>
      <c r="IUI213" s="52"/>
      <c r="IUJ213" s="52"/>
      <c r="IUK213" s="52"/>
      <c r="IUL213" s="52"/>
      <c r="IUM213" s="52"/>
      <c r="IUN213" s="52"/>
      <c r="IUO213" s="52"/>
      <c r="IUP213" s="52"/>
      <c r="IUQ213" s="52"/>
      <c r="IUR213" s="52"/>
      <c r="IUS213" s="52"/>
      <c r="IUT213" s="52"/>
      <c r="IUU213" s="52"/>
      <c r="IUV213" s="52"/>
      <c r="IUW213" s="52"/>
      <c r="IUX213" s="52"/>
      <c r="IUY213" s="52"/>
      <c r="IUZ213" s="52"/>
      <c r="IVA213" s="52"/>
      <c r="IVB213" s="52"/>
      <c r="IVC213" s="52"/>
      <c r="IVD213" s="52"/>
      <c r="IVE213" s="52"/>
      <c r="IVF213" s="52"/>
      <c r="IVG213" s="52"/>
      <c r="IVH213" s="52"/>
      <c r="IVI213" s="52"/>
      <c r="IVJ213" s="52"/>
      <c r="IVK213" s="52"/>
      <c r="IVL213" s="52"/>
      <c r="IVM213" s="52"/>
      <c r="IVN213" s="52"/>
      <c r="IVO213" s="52"/>
      <c r="IVP213" s="52"/>
      <c r="IVQ213" s="52"/>
      <c r="IVR213" s="52"/>
      <c r="IVS213" s="52"/>
      <c r="IVT213" s="52"/>
      <c r="IVU213" s="52"/>
      <c r="IVV213" s="52"/>
      <c r="IVW213" s="52"/>
      <c r="IVX213" s="52"/>
      <c r="IVY213" s="52"/>
      <c r="IVZ213" s="52"/>
      <c r="IWA213" s="52"/>
      <c r="IWB213" s="52"/>
      <c r="IWC213" s="52"/>
      <c r="IWD213" s="52"/>
      <c r="IWE213" s="52"/>
      <c r="IWF213" s="52"/>
      <c r="IWG213" s="52"/>
      <c r="IWH213" s="52"/>
      <c r="IWI213" s="52"/>
      <c r="IWJ213" s="52"/>
      <c r="IWK213" s="52"/>
      <c r="IWL213" s="52"/>
      <c r="IWM213" s="52"/>
      <c r="IWN213" s="52"/>
      <c r="IWO213" s="52"/>
      <c r="IWP213" s="52"/>
      <c r="IWQ213" s="52"/>
      <c r="IWR213" s="52"/>
      <c r="IWS213" s="52"/>
      <c r="IWT213" s="52"/>
      <c r="IWU213" s="52"/>
      <c r="IWV213" s="52"/>
      <c r="IWW213" s="52"/>
      <c r="IWX213" s="52"/>
      <c r="IWY213" s="52"/>
      <c r="IWZ213" s="52"/>
      <c r="IXA213" s="52"/>
      <c r="IXB213" s="52"/>
      <c r="IXC213" s="52"/>
      <c r="IXD213" s="52"/>
      <c r="IXE213" s="52"/>
      <c r="IXF213" s="52"/>
      <c r="IXG213" s="52"/>
      <c r="IXH213" s="52"/>
      <c r="IXI213" s="52"/>
      <c r="IXJ213" s="52"/>
      <c r="IXK213" s="52"/>
      <c r="IXL213" s="52"/>
      <c r="IXM213" s="52"/>
      <c r="IXN213" s="52"/>
      <c r="IXO213" s="52"/>
      <c r="IXP213" s="52"/>
      <c r="IXQ213" s="52"/>
      <c r="IXR213" s="52"/>
      <c r="IXS213" s="52"/>
      <c r="IXT213" s="52"/>
      <c r="IXU213" s="52"/>
      <c r="IXV213" s="52"/>
      <c r="IXW213" s="52"/>
      <c r="IXX213" s="52"/>
      <c r="IXY213" s="52"/>
      <c r="IXZ213" s="52"/>
      <c r="IYA213" s="52"/>
      <c r="IYB213" s="52"/>
      <c r="IYC213" s="52"/>
      <c r="IYD213" s="52"/>
      <c r="IYE213" s="52"/>
      <c r="IYF213" s="52"/>
      <c r="IYG213" s="52"/>
      <c r="IYH213" s="52"/>
      <c r="IYI213" s="52"/>
      <c r="IYJ213" s="52"/>
      <c r="IYK213" s="52"/>
      <c r="IYL213" s="52"/>
      <c r="IYM213" s="52"/>
      <c r="IYN213" s="52"/>
      <c r="IYO213" s="52"/>
      <c r="IYP213" s="52"/>
      <c r="IYQ213" s="52"/>
      <c r="IYR213" s="52"/>
      <c r="IYS213" s="52"/>
      <c r="IYT213" s="52"/>
      <c r="IYU213" s="52"/>
      <c r="IYV213" s="52"/>
      <c r="IYW213" s="52"/>
      <c r="IYX213" s="52"/>
      <c r="IYY213" s="52"/>
      <c r="IYZ213" s="52"/>
      <c r="IZA213" s="52"/>
      <c r="IZB213" s="52"/>
      <c r="IZC213" s="52"/>
      <c r="IZD213" s="52"/>
      <c r="IZE213" s="52"/>
      <c r="IZF213" s="52"/>
      <c r="IZG213" s="52"/>
      <c r="IZH213" s="52"/>
      <c r="IZI213" s="52"/>
      <c r="IZJ213" s="52"/>
      <c r="IZK213" s="52"/>
      <c r="IZL213" s="52"/>
      <c r="IZM213" s="52"/>
      <c r="IZN213" s="52"/>
      <c r="IZO213" s="52"/>
      <c r="IZP213" s="52"/>
      <c r="IZQ213" s="52"/>
      <c r="IZR213" s="52"/>
      <c r="IZS213" s="52"/>
      <c r="IZT213" s="52"/>
      <c r="IZU213" s="52"/>
      <c r="IZV213" s="52"/>
      <c r="IZW213" s="52"/>
      <c r="IZX213" s="52"/>
      <c r="IZY213" s="52"/>
      <c r="IZZ213" s="52"/>
      <c r="JAA213" s="52"/>
      <c r="JAB213" s="52"/>
      <c r="JAC213" s="52"/>
      <c r="JAD213" s="52"/>
      <c r="JAE213" s="52"/>
      <c r="JAF213" s="52"/>
      <c r="JAG213" s="52"/>
      <c r="JAH213" s="52"/>
      <c r="JAI213" s="52"/>
      <c r="JAJ213" s="52"/>
      <c r="JAK213" s="52"/>
      <c r="JAL213" s="52"/>
      <c r="JAM213" s="52"/>
      <c r="JAN213" s="52"/>
      <c r="JAO213" s="52"/>
      <c r="JAP213" s="52"/>
      <c r="JAQ213" s="52"/>
      <c r="JAR213" s="52"/>
      <c r="JAS213" s="52"/>
      <c r="JAT213" s="52"/>
      <c r="JAU213" s="52"/>
      <c r="JAV213" s="52"/>
      <c r="JAW213" s="52"/>
      <c r="JAX213" s="52"/>
      <c r="JAY213" s="52"/>
      <c r="JAZ213" s="52"/>
      <c r="JBA213" s="52"/>
      <c r="JBB213" s="52"/>
      <c r="JBC213" s="52"/>
      <c r="JBD213" s="52"/>
      <c r="JBE213" s="52"/>
      <c r="JBF213" s="52"/>
      <c r="JBG213" s="52"/>
      <c r="JBH213" s="52"/>
      <c r="JBI213" s="52"/>
      <c r="JBJ213" s="52"/>
      <c r="JBK213" s="52"/>
      <c r="JBL213" s="52"/>
      <c r="JBM213" s="52"/>
      <c r="JBN213" s="52"/>
      <c r="JBO213" s="52"/>
      <c r="JBP213" s="52"/>
      <c r="JBQ213" s="52"/>
      <c r="JBR213" s="52"/>
      <c r="JBS213" s="52"/>
      <c r="JBT213" s="52"/>
      <c r="JBU213" s="52"/>
      <c r="JBV213" s="52"/>
      <c r="JBW213" s="52"/>
      <c r="JBX213" s="52"/>
      <c r="JBY213" s="52"/>
      <c r="JBZ213" s="52"/>
      <c r="JCA213" s="52"/>
      <c r="JCB213" s="52"/>
      <c r="JCC213" s="52"/>
      <c r="JCD213" s="52"/>
      <c r="JCE213" s="52"/>
      <c r="JCF213" s="52"/>
      <c r="JCG213" s="52"/>
      <c r="JCH213" s="52"/>
      <c r="JCI213" s="52"/>
      <c r="JCJ213" s="52"/>
      <c r="JCK213" s="52"/>
      <c r="JCL213" s="52"/>
      <c r="JCM213" s="52"/>
      <c r="JCN213" s="52"/>
      <c r="JCO213" s="52"/>
      <c r="JCP213" s="52"/>
      <c r="JCQ213" s="52"/>
      <c r="JCR213" s="52"/>
      <c r="JCS213" s="52"/>
      <c r="JCT213" s="52"/>
      <c r="JCU213" s="52"/>
      <c r="JCV213" s="52"/>
      <c r="JCW213" s="52"/>
      <c r="JCX213" s="52"/>
      <c r="JCY213" s="52"/>
      <c r="JCZ213" s="52"/>
      <c r="JDA213" s="52"/>
      <c r="JDB213" s="52"/>
      <c r="JDC213" s="52"/>
      <c r="JDD213" s="52"/>
      <c r="JDE213" s="52"/>
      <c r="JDF213" s="52"/>
      <c r="JDG213" s="52"/>
      <c r="JDH213" s="52"/>
      <c r="JDI213" s="52"/>
      <c r="JDJ213" s="52"/>
      <c r="JDK213" s="52"/>
      <c r="JDL213" s="52"/>
      <c r="JDM213" s="52"/>
      <c r="JDN213" s="52"/>
      <c r="JDO213" s="52"/>
      <c r="JDP213" s="52"/>
      <c r="JDQ213" s="52"/>
      <c r="JDR213" s="52"/>
      <c r="JDS213" s="52"/>
      <c r="JDT213" s="52"/>
      <c r="JDU213" s="52"/>
      <c r="JDV213" s="52"/>
      <c r="JDW213" s="52"/>
      <c r="JDX213" s="52"/>
      <c r="JDY213" s="52"/>
      <c r="JDZ213" s="52"/>
      <c r="JEA213" s="52"/>
      <c r="JEB213" s="52"/>
      <c r="JEC213" s="52"/>
      <c r="JED213" s="52"/>
      <c r="JEE213" s="52"/>
      <c r="JEF213" s="52"/>
      <c r="JEG213" s="52"/>
      <c r="JEH213" s="52"/>
      <c r="JEI213" s="52"/>
      <c r="JEJ213" s="52"/>
      <c r="JEK213" s="52"/>
      <c r="JEL213" s="52"/>
      <c r="JEM213" s="52"/>
      <c r="JEN213" s="52"/>
      <c r="JEO213" s="52"/>
      <c r="JEP213" s="52"/>
      <c r="JEQ213" s="52"/>
      <c r="JER213" s="52"/>
      <c r="JES213" s="52"/>
      <c r="JET213" s="52"/>
      <c r="JEU213" s="52"/>
      <c r="JEV213" s="52"/>
      <c r="JEW213" s="52"/>
      <c r="JEX213" s="52"/>
      <c r="JEY213" s="52"/>
      <c r="JEZ213" s="52"/>
      <c r="JFA213" s="52"/>
      <c r="JFB213" s="52"/>
      <c r="JFC213" s="52"/>
      <c r="JFD213" s="52"/>
      <c r="JFE213" s="52"/>
      <c r="JFF213" s="52"/>
      <c r="JFG213" s="52"/>
      <c r="JFH213" s="52"/>
      <c r="JFI213" s="52"/>
      <c r="JFJ213" s="52"/>
      <c r="JFK213" s="52"/>
      <c r="JFL213" s="52"/>
      <c r="JFM213" s="52"/>
      <c r="JFN213" s="52"/>
      <c r="JFO213" s="52"/>
      <c r="JFP213" s="52"/>
      <c r="JFQ213" s="52"/>
      <c r="JFR213" s="52"/>
      <c r="JFS213" s="52"/>
      <c r="JFT213" s="52"/>
      <c r="JFU213" s="52"/>
      <c r="JFV213" s="52"/>
      <c r="JFW213" s="52"/>
      <c r="JFX213" s="52"/>
      <c r="JFY213" s="52"/>
      <c r="JFZ213" s="52"/>
      <c r="JGA213" s="52"/>
      <c r="JGB213" s="52"/>
      <c r="JGC213" s="52"/>
      <c r="JGD213" s="52"/>
      <c r="JGE213" s="52"/>
      <c r="JGF213" s="52"/>
      <c r="JGG213" s="52"/>
      <c r="JGH213" s="52"/>
      <c r="JGI213" s="52"/>
      <c r="JGJ213" s="52"/>
      <c r="JGK213" s="52"/>
      <c r="JGL213" s="52"/>
      <c r="JGM213" s="52"/>
      <c r="JGN213" s="52"/>
      <c r="JGO213" s="52"/>
      <c r="JGP213" s="52"/>
      <c r="JGQ213" s="52"/>
      <c r="JGR213" s="52"/>
      <c r="JGS213" s="52"/>
      <c r="JGT213" s="52"/>
      <c r="JGU213" s="52"/>
      <c r="JGV213" s="52"/>
      <c r="JGW213" s="52"/>
      <c r="JGX213" s="52"/>
      <c r="JGY213" s="52"/>
      <c r="JGZ213" s="52"/>
      <c r="JHA213" s="52"/>
      <c r="JHB213" s="52"/>
      <c r="JHC213" s="52"/>
      <c r="JHD213" s="52"/>
      <c r="JHE213" s="52"/>
      <c r="JHF213" s="52"/>
      <c r="JHG213" s="52"/>
      <c r="JHH213" s="52"/>
      <c r="JHI213" s="52"/>
      <c r="JHJ213" s="52"/>
      <c r="JHK213" s="52"/>
      <c r="JHL213" s="52"/>
      <c r="JHM213" s="52"/>
      <c r="JHN213" s="52"/>
      <c r="JHO213" s="52"/>
      <c r="JHP213" s="52"/>
      <c r="JHQ213" s="52"/>
      <c r="JHR213" s="52"/>
      <c r="JHS213" s="52"/>
      <c r="JHT213" s="52"/>
      <c r="JHU213" s="52"/>
      <c r="JHV213" s="52"/>
      <c r="JHW213" s="52"/>
      <c r="JHX213" s="52"/>
      <c r="JHY213" s="52"/>
      <c r="JHZ213" s="52"/>
      <c r="JIA213" s="52"/>
      <c r="JIB213" s="52"/>
      <c r="JIC213" s="52"/>
      <c r="JID213" s="52"/>
      <c r="JIE213" s="52"/>
      <c r="JIF213" s="52"/>
      <c r="JIG213" s="52"/>
      <c r="JIH213" s="52"/>
      <c r="JII213" s="52"/>
      <c r="JIJ213" s="52"/>
      <c r="JIK213" s="52"/>
      <c r="JIL213" s="52"/>
      <c r="JIM213" s="52"/>
      <c r="JIN213" s="52"/>
      <c r="JIO213" s="52"/>
      <c r="JIP213" s="52"/>
      <c r="JIQ213" s="52"/>
      <c r="JIR213" s="52"/>
      <c r="JIS213" s="52"/>
      <c r="JIT213" s="52"/>
      <c r="JIU213" s="52"/>
      <c r="JIV213" s="52"/>
      <c r="JIW213" s="52"/>
      <c r="JIX213" s="52"/>
      <c r="JIY213" s="52"/>
      <c r="JIZ213" s="52"/>
      <c r="JJA213" s="52"/>
      <c r="JJB213" s="52"/>
      <c r="JJC213" s="52"/>
      <c r="JJD213" s="52"/>
      <c r="JJE213" s="52"/>
      <c r="JJF213" s="52"/>
      <c r="JJG213" s="52"/>
      <c r="JJH213" s="52"/>
      <c r="JJI213" s="52"/>
      <c r="JJJ213" s="52"/>
      <c r="JJK213" s="52"/>
      <c r="JJL213" s="52"/>
      <c r="JJM213" s="52"/>
      <c r="JJN213" s="52"/>
      <c r="JJO213" s="52"/>
      <c r="JJP213" s="52"/>
      <c r="JJQ213" s="52"/>
      <c r="JJR213" s="52"/>
      <c r="JJS213" s="52"/>
      <c r="JJT213" s="52"/>
      <c r="JJU213" s="52"/>
      <c r="JJV213" s="52"/>
      <c r="JJW213" s="52"/>
      <c r="JJX213" s="52"/>
      <c r="JJY213" s="52"/>
      <c r="JJZ213" s="52"/>
      <c r="JKA213" s="52"/>
      <c r="JKB213" s="52"/>
      <c r="JKC213" s="52"/>
      <c r="JKD213" s="52"/>
      <c r="JKE213" s="52"/>
      <c r="JKF213" s="52"/>
      <c r="JKG213" s="52"/>
      <c r="JKH213" s="52"/>
      <c r="JKI213" s="52"/>
      <c r="JKJ213" s="52"/>
      <c r="JKK213" s="52"/>
      <c r="JKL213" s="52"/>
      <c r="JKM213" s="52"/>
      <c r="JKN213" s="52"/>
      <c r="JKO213" s="52"/>
      <c r="JKP213" s="52"/>
      <c r="JKQ213" s="52"/>
      <c r="JKR213" s="52"/>
      <c r="JKS213" s="52"/>
      <c r="JKT213" s="52"/>
      <c r="JKU213" s="52"/>
      <c r="JKV213" s="52"/>
      <c r="JKW213" s="52"/>
      <c r="JKX213" s="52"/>
      <c r="JKY213" s="52"/>
      <c r="JKZ213" s="52"/>
      <c r="JLA213" s="52"/>
      <c r="JLB213" s="52"/>
      <c r="JLC213" s="52"/>
      <c r="JLD213" s="52"/>
      <c r="JLE213" s="52"/>
      <c r="JLF213" s="52"/>
      <c r="JLG213" s="52"/>
      <c r="JLH213" s="52"/>
      <c r="JLI213" s="52"/>
      <c r="JLJ213" s="52"/>
      <c r="JLK213" s="52"/>
      <c r="JLL213" s="52"/>
      <c r="JLM213" s="52"/>
      <c r="JLN213" s="52"/>
      <c r="JLO213" s="52"/>
      <c r="JLP213" s="52"/>
      <c r="JLQ213" s="52"/>
      <c r="JLR213" s="52"/>
      <c r="JLS213" s="52"/>
      <c r="JLT213" s="52"/>
      <c r="JLU213" s="52"/>
      <c r="JLV213" s="52"/>
      <c r="JLW213" s="52"/>
      <c r="JLX213" s="52"/>
      <c r="JLY213" s="52"/>
      <c r="JLZ213" s="52"/>
      <c r="JMA213" s="52"/>
      <c r="JMB213" s="52"/>
      <c r="JMC213" s="52"/>
      <c r="JMD213" s="52"/>
      <c r="JME213" s="52"/>
      <c r="JMF213" s="52"/>
      <c r="JMG213" s="52"/>
      <c r="JMH213" s="52"/>
      <c r="JMI213" s="52"/>
      <c r="JMJ213" s="52"/>
      <c r="JMK213" s="52"/>
      <c r="JML213" s="52"/>
      <c r="JMM213" s="52"/>
      <c r="JMN213" s="52"/>
      <c r="JMO213" s="52"/>
      <c r="JMP213" s="52"/>
      <c r="JMQ213" s="52"/>
      <c r="JMR213" s="52"/>
      <c r="JMS213" s="52"/>
      <c r="JMT213" s="52"/>
      <c r="JMU213" s="52"/>
      <c r="JMV213" s="52"/>
      <c r="JMW213" s="52"/>
      <c r="JMX213" s="52"/>
      <c r="JMY213" s="52"/>
      <c r="JMZ213" s="52"/>
      <c r="JNA213" s="52"/>
      <c r="JNB213" s="52"/>
      <c r="JNC213" s="52"/>
      <c r="JND213" s="52"/>
      <c r="JNE213" s="52"/>
      <c r="JNF213" s="52"/>
      <c r="JNG213" s="52"/>
      <c r="JNH213" s="52"/>
      <c r="JNI213" s="52"/>
      <c r="JNJ213" s="52"/>
      <c r="JNK213" s="52"/>
      <c r="JNL213" s="52"/>
      <c r="JNM213" s="52"/>
      <c r="JNN213" s="52"/>
      <c r="JNO213" s="52"/>
      <c r="JNP213" s="52"/>
      <c r="JNQ213" s="52"/>
      <c r="JNR213" s="52"/>
      <c r="JNS213" s="52"/>
      <c r="JNT213" s="52"/>
      <c r="JNU213" s="52"/>
      <c r="JNV213" s="52"/>
      <c r="JNW213" s="52"/>
      <c r="JNX213" s="52"/>
      <c r="JNY213" s="52"/>
      <c r="JNZ213" s="52"/>
      <c r="JOA213" s="52"/>
      <c r="JOB213" s="52"/>
      <c r="JOC213" s="52"/>
      <c r="JOD213" s="52"/>
      <c r="JOE213" s="52"/>
      <c r="JOF213" s="52"/>
      <c r="JOG213" s="52"/>
      <c r="JOH213" s="52"/>
      <c r="JOI213" s="52"/>
      <c r="JOJ213" s="52"/>
      <c r="JOK213" s="52"/>
      <c r="JOL213" s="52"/>
      <c r="JOM213" s="52"/>
      <c r="JON213" s="52"/>
      <c r="JOO213" s="52"/>
      <c r="JOP213" s="52"/>
      <c r="JOQ213" s="52"/>
      <c r="JOR213" s="52"/>
      <c r="JOS213" s="52"/>
      <c r="JOT213" s="52"/>
      <c r="JOU213" s="52"/>
      <c r="JOV213" s="52"/>
      <c r="JOW213" s="52"/>
      <c r="JOX213" s="52"/>
      <c r="JOY213" s="52"/>
      <c r="JOZ213" s="52"/>
      <c r="JPA213" s="52"/>
      <c r="JPB213" s="52"/>
      <c r="JPC213" s="52"/>
      <c r="JPD213" s="52"/>
      <c r="JPE213" s="52"/>
      <c r="JPF213" s="52"/>
      <c r="JPG213" s="52"/>
      <c r="JPH213" s="52"/>
      <c r="JPI213" s="52"/>
      <c r="JPJ213" s="52"/>
      <c r="JPK213" s="52"/>
      <c r="JPL213" s="52"/>
      <c r="JPM213" s="52"/>
      <c r="JPN213" s="52"/>
      <c r="JPO213" s="52"/>
      <c r="JPP213" s="52"/>
      <c r="JPQ213" s="52"/>
      <c r="JPR213" s="52"/>
      <c r="JPS213" s="52"/>
      <c r="JPT213" s="52"/>
      <c r="JPU213" s="52"/>
      <c r="JPV213" s="52"/>
      <c r="JPW213" s="52"/>
      <c r="JPX213" s="52"/>
      <c r="JPY213" s="52"/>
      <c r="JPZ213" s="52"/>
      <c r="JQA213" s="52"/>
      <c r="JQB213" s="52"/>
      <c r="JQC213" s="52"/>
      <c r="JQD213" s="52"/>
      <c r="JQE213" s="52"/>
      <c r="JQF213" s="52"/>
      <c r="JQG213" s="52"/>
      <c r="JQH213" s="52"/>
      <c r="JQI213" s="52"/>
      <c r="JQJ213" s="52"/>
      <c r="JQK213" s="52"/>
      <c r="JQL213" s="52"/>
      <c r="JQM213" s="52"/>
      <c r="JQN213" s="52"/>
      <c r="JQO213" s="52"/>
      <c r="JQP213" s="52"/>
      <c r="JQQ213" s="52"/>
      <c r="JQR213" s="52"/>
      <c r="JQS213" s="52"/>
      <c r="JQT213" s="52"/>
      <c r="JQU213" s="52"/>
      <c r="JQV213" s="52"/>
      <c r="JQW213" s="52"/>
      <c r="JQX213" s="52"/>
      <c r="JQY213" s="52"/>
      <c r="JQZ213" s="52"/>
      <c r="JRA213" s="52"/>
      <c r="JRB213" s="52"/>
      <c r="JRC213" s="52"/>
      <c r="JRD213" s="52"/>
      <c r="JRE213" s="52"/>
      <c r="JRF213" s="52"/>
      <c r="JRG213" s="52"/>
      <c r="JRH213" s="52"/>
      <c r="JRI213" s="52"/>
      <c r="JRJ213" s="52"/>
      <c r="JRK213" s="52"/>
      <c r="JRL213" s="52"/>
      <c r="JRM213" s="52"/>
      <c r="JRN213" s="52"/>
      <c r="JRO213" s="52"/>
      <c r="JRP213" s="52"/>
      <c r="JRQ213" s="52"/>
      <c r="JRR213" s="52"/>
      <c r="JRS213" s="52"/>
      <c r="JRT213" s="52"/>
      <c r="JRU213" s="52"/>
      <c r="JRV213" s="52"/>
      <c r="JRW213" s="52"/>
      <c r="JRX213" s="52"/>
      <c r="JRY213" s="52"/>
      <c r="JRZ213" s="52"/>
      <c r="JSA213" s="52"/>
      <c r="JSB213" s="52"/>
      <c r="JSC213" s="52"/>
      <c r="JSD213" s="52"/>
      <c r="JSE213" s="52"/>
      <c r="JSF213" s="52"/>
      <c r="JSG213" s="52"/>
      <c r="JSH213" s="52"/>
      <c r="JSI213" s="52"/>
      <c r="JSJ213" s="52"/>
      <c r="JSK213" s="52"/>
      <c r="JSL213" s="52"/>
      <c r="JSM213" s="52"/>
      <c r="JSN213" s="52"/>
      <c r="JSO213" s="52"/>
      <c r="JSP213" s="52"/>
      <c r="JSQ213" s="52"/>
      <c r="JSR213" s="52"/>
      <c r="JSS213" s="52"/>
      <c r="JST213" s="52"/>
      <c r="JSU213" s="52"/>
      <c r="JSV213" s="52"/>
      <c r="JSW213" s="52"/>
      <c r="JSX213" s="52"/>
      <c r="JSY213" s="52"/>
      <c r="JSZ213" s="52"/>
      <c r="JTA213" s="52"/>
      <c r="JTB213" s="52"/>
      <c r="JTC213" s="52"/>
      <c r="JTD213" s="52"/>
      <c r="JTE213" s="52"/>
      <c r="JTF213" s="52"/>
      <c r="JTG213" s="52"/>
      <c r="JTH213" s="52"/>
      <c r="JTI213" s="52"/>
      <c r="JTJ213" s="52"/>
      <c r="JTK213" s="52"/>
      <c r="JTL213" s="52"/>
      <c r="JTM213" s="52"/>
      <c r="JTN213" s="52"/>
      <c r="JTO213" s="52"/>
      <c r="JTP213" s="52"/>
      <c r="JTQ213" s="52"/>
      <c r="JTR213" s="52"/>
      <c r="JTS213" s="52"/>
      <c r="JTT213" s="52"/>
      <c r="JTU213" s="52"/>
      <c r="JTV213" s="52"/>
      <c r="JTW213" s="52"/>
      <c r="JTX213" s="52"/>
      <c r="JTY213" s="52"/>
      <c r="JTZ213" s="52"/>
      <c r="JUA213" s="52"/>
      <c r="JUB213" s="52"/>
      <c r="JUC213" s="52"/>
      <c r="JUD213" s="52"/>
      <c r="JUE213" s="52"/>
      <c r="JUF213" s="52"/>
      <c r="JUG213" s="52"/>
      <c r="JUH213" s="52"/>
      <c r="JUI213" s="52"/>
      <c r="JUJ213" s="52"/>
      <c r="JUK213" s="52"/>
      <c r="JUL213" s="52"/>
      <c r="JUM213" s="52"/>
      <c r="JUN213" s="52"/>
      <c r="JUO213" s="52"/>
      <c r="JUP213" s="52"/>
      <c r="JUQ213" s="52"/>
      <c r="JUR213" s="52"/>
      <c r="JUS213" s="52"/>
      <c r="JUT213" s="52"/>
      <c r="JUU213" s="52"/>
      <c r="JUV213" s="52"/>
      <c r="JUW213" s="52"/>
      <c r="JUX213" s="52"/>
      <c r="JUY213" s="52"/>
      <c r="JUZ213" s="52"/>
      <c r="JVA213" s="52"/>
      <c r="JVB213" s="52"/>
      <c r="JVC213" s="52"/>
      <c r="JVD213" s="52"/>
      <c r="JVE213" s="52"/>
      <c r="JVF213" s="52"/>
      <c r="JVG213" s="52"/>
      <c r="JVH213" s="52"/>
      <c r="JVI213" s="52"/>
      <c r="JVJ213" s="52"/>
      <c r="JVK213" s="52"/>
      <c r="JVL213" s="52"/>
      <c r="JVM213" s="52"/>
      <c r="JVN213" s="52"/>
      <c r="JVO213" s="52"/>
      <c r="JVP213" s="52"/>
      <c r="JVQ213" s="52"/>
      <c r="JVR213" s="52"/>
      <c r="JVS213" s="52"/>
      <c r="JVT213" s="52"/>
      <c r="JVU213" s="52"/>
      <c r="JVV213" s="52"/>
      <c r="JVW213" s="52"/>
      <c r="JVX213" s="52"/>
      <c r="JVY213" s="52"/>
      <c r="JVZ213" s="52"/>
      <c r="JWA213" s="52"/>
      <c r="JWB213" s="52"/>
      <c r="JWC213" s="52"/>
      <c r="JWD213" s="52"/>
      <c r="JWE213" s="52"/>
      <c r="JWF213" s="52"/>
      <c r="JWG213" s="52"/>
      <c r="JWH213" s="52"/>
      <c r="JWI213" s="52"/>
      <c r="JWJ213" s="52"/>
      <c r="JWK213" s="52"/>
      <c r="JWL213" s="52"/>
      <c r="JWM213" s="52"/>
      <c r="JWN213" s="52"/>
      <c r="JWO213" s="52"/>
      <c r="JWP213" s="52"/>
      <c r="JWQ213" s="52"/>
      <c r="JWR213" s="52"/>
      <c r="JWS213" s="52"/>
      <c r="JWT213" s="52"/>
      <c r="JWU213" s="52"/>
      <c r="JWV213" s="52"/>
      <c r="JWW213" s="52"/>
      <c r="JWX213" s="52"/>
      <c r="JWY213" s="52"/>
      <c r="JWZ213" s="52"/>
      <c r="JXA213" s="52"/>
      <c r="JXB213" s="52"/>
      <c r="JXC213" s="52"/>
      <c r="JXD213" s="52"/>
      <c r="JXE213" s="52"/>
      <c r="JXF213" s="52"/>
      <c r="JXG213" s="52"/>
      <c r="JXH213" s="52"/>
      <c r="JXI213" s="52"/>
      <c r="JXJ213" s="52"/>
      <c r="JXK213" s="52"/>
      <c r="JXL213" s="52"/>
      <c r="JXM213" s="52"/>
      <c r="JXN213" s="52"/>
      <c r="JXO213" s="52"/>
      <c r="JXP213" s="52"/>
      <c r="JXQ213" s="52"/>
      <c r="JXR213" s="52"/>
      <c r="JXS213" s="52"/>
      <c r="JXT213" s="52"/>
      <c r="JXU213" s="52"/>
      <c r="JXV213" s="52"/>
      <c r="JXW213" s="52"/>
      <c r="JXX213" s="52"/>
      <c r="JXY213" s="52"/>
      <c r="JXZ213" s="52"/>
      <c r="JYA213" s="52"/>
      <c r="JYB213" s="52"/>
      <c r="JYC213" s="52"/>
      <c r="JYD213" s="52"/>
      <c r="JYE213" s="52"/>
      <c r="JYF213" s="52"/>
      <c r="JYG213" s="52"/>
      <c r="JYH213" s="52"/>
      <c r="JYI213" s="52"/>
      <c r="JYJ213" s="52"/>
      <c r="JYK213" s="52"/>
      <c r="JYL213" s="52"/>
      <c r="JYM213" s="52"/>
      <c r="JYN213" s="52"/>
      <c r="JYO213" s="52"/>
      <c r="JYP213" s="52"/>
      <c r="JYQ213" s="52"/>
      <c r="JYR213" s="52"/>
      <c r="JYS213" s="52"/>
      <c r="JYT213" s="52"/>
      <c r="JYU213" s="52"/>
      <c r="JYV213" s="52"/>
      <c r="JYW213" s="52"/>
      <c r="JYX213" s="52"/>
      <c r="JYY213" s="52"/>
      <c r="JYZ213" s="52"/>
      <c r="JZA213" s="52"/>
      <c r="JZB213" s="52"/>
      <c r="JZC213" s="52"/>
      <c r="JZD213" s="52"/>
      <c r="JZE213" s="52"/>
      <c r="JZF213" s="52"/>
      <c r="JZG213" s="52"/>
      <c r="JZH213" s="52"/>
      <c r="JZI213" s="52"/>
      <c r="JZJ213" s="52"/>
      <c r="JZK213" s="52"/>
      <c r="JZL213" s="52"/>
      <c r="JZM213" s="52"/>
      <c r="JZN213" s="52"/>
      <c r="JZO213" s="52"/>
      <c r="JZP213" s="52"/>
      <c r="JZQ213" s="52"/>
      <c r="JZR213" s="52"/>
      <c r="JZS213" s="52"/>
      <c r="JZT213" s="52"/>
      <c r="JZU213" s="52"/>
      <c r="JZV213" s="52"/>
      <c r="JZW213" s="52"/>
      <c r="JZX213" s="52"/>
      <c r="JZY213" s="52"/>
      <c r="JZZ213" s="52"/>
      <c r="KAA213" s="52"/>
      <c r="KAB213" s="52"/>
      <c r="KAC213" s="52"/>
      <c r="KAD213" s="52"/>
      <c r="KAE213" s="52"/>
      <c r="KAF213" s="52"/>
      <c r="KAG213" s="52"/>
      <c r="KAH213" s="52"/>
      <c r="KAI213" s="52"/>
      <c r="KAJ213" s="52"/>
      <c r="KAK213" s="52"/>
      <c r="KAL213" s="52"/>
      <c r="KAM213" s="52"/>
      <c r="KAN213" s="52"/>
      <c r="KAO213" s="52"/>
      <c r="KAP213" s="52"/>
      <c r="KAQ213" s="52"/>
      <c r="KAR213" s="52"/>
      <c r="KAS213" s="52"/>
      <c r="KAT213" s="52"/>
      <c r="KAU213" s="52"/>
      <c r="KAV213" s="52"/>
      <c r="KAW213" s="52"/>
      <c r="KAX213" s="52"/>
      <c r="KAY213" s="52"/>
      <c r="KAZ213" s="52"/>
      <c r="KBA213" s="52"/>
      <c r="KBB213" s="52"/>
      <c r="KBC213" s="52"/>
      <c r="KBD213" s="52"/>
      <c r="KBE213" s="52"/>
      <c r="KBF213" s="52"/>
      <c r="KBG213" s="52"/>
      <c r="KBH213" s="52"/>
      <c r="KBI213" s="52"/>
      <c r="KBJ213" s="52"/>
      <c r="KBK213" s="52"/>
      <c r="KBL213" s="52"/>
      <c r="KBM213" s="52"/>
      <c r="KBN213" s="52"/>
      <c r="KBO213" s="52"/>
      <c r="KBP213" s="52"/>
      <c r="KBQ213" s="52"/>
      <c r="KBR213" s="52"/>
      <c r="KBS213" s="52"/>
      <c r="KBT213" s="52"/>
      <c r="KBU213" s="52"/>
      <c r="KBV213" s="52"/>
      <c r="KBW213" s="52"/>
      <c r="KBX213" s="52"/>
      <c r="KBY213" s="52"/>
      <c r="KBZ213" s="52"/>
      <c r="KCA213" s="52"/>
      <c r="KCB213" s="52"/>
      <c r="KCC213" s="52"/>
      <c r="KCD213" s="52"/>
      <c r="KCE213" s="52"/>
      <c r="KCF213" s="52"/>
      <c r="KCG213" s="52"/>
      <c r="KCH213" s="52"/>
      <c r="KCI213" s="52"/>
      <c r="KCJ213" s="52"/>
      <c r="KCK213" s="52"/>
      <c r="KCL213" s="52"/>
      <c r="KCM213" s="52"/>
      <c r="KCN213" s="52"/>
      <c r="KCO213" s="52"/>
      <c r="KCP213" s="52"/>
      <c r="KCQ213" s="52"/>
      <c r="KCR213" s="52"/>
      <c r="KCS213" s="52"/>
      <c r="KCT213" s="52"/>
      <c r="KCU213" s="52"/>
      <c r="KCV213" s="52"/>
      <c r="KCW213" s="52"/>
      <c r="KCX213" s="52"/>
      <c r="KCY213" s="52"/>
      <c r="KCZ213" s="52"/>
      <c r="KDA213" s="52"/>
      <c r="KDB213" s="52"/>
      <c r="KDC213" s="52"/>
      <c r="KDD213" s="52"/>
      <c r="KDE213" s="52"/>
      <c r="KDF213" s="52"/>
      <c r="KDG213" s="52"/>
      <c r="KDH213" s="52"/>
      <c r="KDI213" s="52"/>
      <c r="KDJ213" s="52"/>
      <c r="KDK213" s="52"/>
      <c r="KDL213" s="52"/>
      <c r="KDM213" s="52"/>
      <c r="KDN213" s="52"/>
      <c r="KDO213" s="52"/>
      <c r="KDP213" s="52"/>
      <c r="KDQ213" s="52"/>
      <c r="KDR213" s="52"/>
      <c r="KDS213" s="52"/>
      <c r="KDT213" s="52"/>
      <c r="KDU213" s="52"/>
      <c r="KDV213" s="52"/>
      <c r="KDW213" s="52"/>
      <c r="KDX213" s="52"/>
      <c r="KDY213" s="52"/>
      <c r="KDZ213" s="52"/>
      <c r="KEA213" s="52"/>
      <c r="KEB213" s="52"/>
      <c r="KEC213" s="52"/>
      <c r="KED213" s="52"/>
      <c r="KEE213" s="52"/>
      <c r="KEF213" s="52"/>
      <c r="KEG213" s="52"/>
      <c r="KEH213" s="52"/>
      <c r="KEI213" s="52"/>
      <c r="KEJ213" s="52"/>
      <c r="KEK213" s="52"/>
      <c r="KEL213" s="52"/>
      <c r="KEM213" s="52"/>
      <c r="KEN213" s="52"/>
      <c r="KEO213" s="52"/>
      <c r="KEP213" s="52"/>
      <c r="KEQ213" s="52"/>
      <c r="KER213" s="52"/>
      <c r="KES213" s="52"/>
      <c r="KET213" s="52"/>
      <c r="KEU213" s="52"/>
      <c r="KEV213" s="52"/>
      <c r="KEW213" s="52"/>
      <c r="KEX213" s="52"/>
      <c r="KEY213" s="52"/>
      <c r="KEZ213" s="52"/>
      <c r="KFA213" s="52"/>
      <c r="KFB213" s="52"/>
      <c r="KFC213" s="52"/>
      <c r="KFD213" s="52"/>
      <c r="KFE213" s="52"/>
      <c r="KFF213" s="52"/>
      <c r="KFG213" s="52"/>
      <c r="KFH213" s="52"/>
      <c r="KFI213" s="52"/>
      <c r="KFJ213" s="52"/>
      <c r="KFK213" s="52"/>
      <c r="KFL213" s="52"/>
      <c r="KFM213" s="52"/>
      <c r="KFN213" s="52"/>
      <c r="KFO213" s="52"/>
      <c r="KFP213" s="52"/>
      <c r="KFQ213" s="52"/>
      <c r="KFR213" s="52"/>
      <c r="KFS213" s="52"/>
      <c r="KFT213" s="52"/>
      <c r="KFU213" s="52"/>
      <c r="KFV213" s="52"/>
      <c r="KFW213" s="52"/>
      <c r="KFX213" s="52"/>
      <c r="KFY213" s="52"/>
      <c r="KFZ213" s="52"/>
      <c r="KGA213" s="52"/>
      <c r="KGB213" s="52"/>
      <c r="KGC213" s="52"/>
      <c r="KGD213" s="52"/>
      <c r="KGE213" s="52"/>
      <c r="KGF213" s="52"/>
      <c r="KGG213" s="52"/>
      <c r="KGH213" s="52"/>
      <c r="KGI213" s="52"/>
      <c r="KGJ213" s="52"/>
      <c r="KGK213" s="52"/>
      <c r="KGL213" s="52"/>
      <c r="KGM213" s="52"/>
      <c r="KGN213" s="52"/>
      <c r="KGO213" s="52"/>
      <c r="KGP213" s="52"/>
      <c r="KGQ213" s="52"/>
      <c r="KGR213" s="52"/>
      <c r="KGS213" s="52"/>
      <c r="KGT213" s="52"/>
      <c r="KGU213" s="52"/>
      <c r="KGV213" s="52"/>
      <c r="KGW213" s="52"/>
      <c r="KGX213" s="52"/>
      <c r="KGY213" s="52"/>
      <c r="KGZ213" s="52"/>
      <c r="KHA213" s="52"/>
      <c r="KHB213" s="52"/>
      <c r="KHC213" s="52"/>
      <c r="KHD213" s="52"/>
      <c r="KHE213" s="52"/>
      <c r="KHF213" s="52"/>
      <c r="KHG213" s="52"/>
      <c r="KHH213" s="52"/>
      <c r="KHI213" s="52"/>
      <c r="KHJ213" s="52"/>
      <c r="KHK213" s="52"/>
      <c r="KHL213" s="52"/>
      <c r="KHM213" s="52"/>
      <c r="KHN213" s="52"/>
      <c r="KHO213" s="52"/>
      <c r="KHP213" s="52"/>
      <c r="KHQ213" s="52"/>
      <c r="KHR213" s="52"/>
      <c r="KHS213" s="52"/>
      <c r="KHT213" s="52"/>
      <c r="KHU213" s="52"/>
      <c r="KHV213" s="52"/>
      <c r="KHW213" s="52"/>
      <c r="KHX213" s="52"/>
      <c r="KHY213" s="52"/>
      <c r="KHZ213" s="52"/>
      <c r="KIA213" s="52"/>
      <c r="KIB213" s="52"/>
      <c r="KIC213" s="52"/>
      <c r="KID213" s="52"/>
      <c r="KIE213" s="52"/>
      <c r="KIF213" s="52"/>
      <c r="KIG213" s="52"/>
      <c r="KIH213" s="52"/>
      <c r="KII213" s="52"/>
      <c r="KIJ213" s="52"/>
      <c r="KIK213" s="52"/>
      <c r="KIL213" s="52"/>
      <c r="KIM213" s="52"/>
      <c r="KIN213" s="52"/>
      <c r="KIO213" s="52"/>
      <c r="KIP213" s="52"/>
      <c r="KIQ213" s="52"/>
      <c r="KIR213" s="52"/>
      <c r="KIS213" s="52"/>
      <c r="KIT213" s="52"/>
      <c r="KIU213" s="52"/>
      <c r="KIV213" s="52"/>
      <c r="KIW213" s="52"/>
      <c r="KIX213" s="52"/>
      <c r="KIY213" s="52"/>
      <c r="KIZ213" s="52"/>
      <c r="KJA213" s="52"/>
      <c r="KJB213" s="52"/>
      <c r="KJC213" s="52"/>
      <c r="KJD213" s="52"/>
      <c r="KJE213" s="52"/>
      <c r="KJF213" s="52"/>
      <c r="KJG213" s="52"/>
      <c r="KJH213" s="52"/>
      <c r="KJI213" s="52"/>
      <c r="KJJ213" s="52"/>
      <c r="KJK213" s="52"/>
      <c r="KJL213" s="52"/>
      <c r="KJM213" s="52"/>
      <c r="KJN213" s="52"/>
      <c r="KJO213" s="52"/>
      <c r="KJP213" s="52"/>
      <c r="KJQ213" s="52"/>
      <c r="KJR213" s="52"/>
      <c r="KJS213" s="52"/>
      <c r="KJT213" s="52"/>
      <c r="KJU213" s="52"/>
      <c r="KJV213" s="52"/>
      <c r="KJW213" s="52"/>
      <c r="KJX213" s="52"/>
      <c r="KJY213" s="52"/>
      <c r="KJZ213" s="52"/>
      <c r="KKA213" s="52"/>
      <c r="KKB213" s="52"/>
      <c r="KKC213" s="52"/>
      <c r="KKD213" s="52"/>
      <c r="KKE213" s="52"/>
      <c r="KKF213" s="52"/>
      <c r="KKG213" s="52"/>
      <c r="KKH213" s="52"/>
      <c r="KKI213" s="52"/>
      <c r="KKJ213" s="52"/>
      <c r="KKK213" s="52"/>
      <c r="KKL213" s="52"/>
      <c r="KKM213" s="52"/>
      <c r="KKN213" s="52"/>
      <c r="KKO213" s="52"/>
      <c r="KKP213" s="52"/>
      <c r="KKQ213" s="52"/>
      <c r="KKR213" s="52"/>
      <c r="KKS213" s="52"/>
      <c r="KKT213" s="52"/>
      <c r="KKU213" s="52"/>
      <c r="KKV213" s="52"/>
      <c r="KKW213" s="52"/>
      <c r="KKX213" s="52"/>
      <c r="KKY213" s="52"/>
      <c r="KKZ213" s="52"/>
      <c r="KLA213" s="52"/>
      <c r="KLB213" s="52"/>
      <c r="KLC213" s="52"/>
      <c r="KLD213" s="52"/>
      <c r="KLE213" s="52"/>
      <c r="KLF213" s="52"/>
      <c r="KLG213" s="52"/>
      <c r="KLH213" s="52"/>
      <c r="KLI213" s="52"/>
      <c r="KLJ213" s="52"/>
      <c r="KLK213" s="52"/>
      <c r="KLL213" s="52"/>
      <c r="KLM213" s="52"/>
      <c r="KLN213" s="52"/>
      <c r="KLO213" s="52"/>
      <c r="KLP213" s="52"/>
      <c r="KLQ213" s="52"/>
      <c r="KLR213" s="52"/>
      <c r="KLS213" s="52"/>
      <c r="KLT213" s="52"/>
      <c r="KLU213" s="52"/>
      <c r="KLV213" s="52"/>
      <c r="KLW213" s="52"/>
      <c r="KLX213" s="52"/>
      <c r="KLY213" s="52"/>
      <c r="KLZ213" s="52"/>
      <c r="KMA213" s="52"/>
      <c r="KMB213" s="52"/>
      <c r="KMC213" s="52"/>
      <c r="KMD213" s="52"/>
      <c r="KME213" s="52"/>
      <c r="KMF213" s="52"/>
      <c r="KMG213" s="52"/>
      <c r="KMH213" s="52"/>
      <c r="KMI213" s="52"/>
      <c r="KMJ213" s="52"/>
      <c r="KMK213" s="52"/>
      <c r="KML213" s="52"/>
      <c r="KMM213" s="52"/>
      <c r="KMN213" s="52"/>
      <c r="KMO213" s="52"/>
      <c r="KMP213" s="52"/>
      <c r="KMQ213" s="52"/>
      <c r="KMR213" s="52"/>
      <c r="KMS213" s="52"/>
      <c r="KMT213" s="52"/>
      <c r="KMU213" s="52"/>
      <c r="KMV213" s="52"/>
      <c r="KMW213" s="52"/>
      <c r="KMX213" s="52"/>
      <c r="KMY213" s="52"/>
      <c r="KMZ213" s="52"/>
      <c r="KNA213" s="52"/>
      <c r="KNB213" s="52"/>
      <c r="KNC213" s="52"/>
      <c r="KND213" s="52"/>
      <c r="KNE213" s="52"/>
      <c r="KNF213" s="52"/>
      <c r="KNG213" s="52"/>
      <c r="KNH213" s="52"/>
      <c r="KNI213" s="52"/>
      <c r="KNJ213" s="52"/>
      <c r="KNK213" s="52"/>
      <c r="KNL213" s="52"/>
      <c r="KNM213" s="52"/>
      <c r="KNN213" s="52"/>
      <c r="KNO213" s="52"/>
      <c r="KNP213" s="52"/>
      <c r="KNQ213" s="52"/>
      <c r="KNR213" s="52"/>
      <c r="KNS213" s="52"/>
      <c r="KNT213" s="52"/>
      <c r="KNU213" s="52"/>
      <c r="KNV213" s="52"/>
      <c r="KNW213" s="52"/>
      <c r="KNX213" s="52"/>
      <c r="KNY213" s="52"/>
      <c r="KNZ213" s="52"/>
      <c r="KOA213" s="52"/>
      <c r="KOB213" s="52"/>
      <c r="KOC213" s="52"/>
      <c r="KOD213" s="52"/>
      <c r="KOE213" s="52"/>
      <c r="KOF213" s="52"/>
      <c r="KOG213" s="52"/>
      <c r="KOH213" s="52"/>
      <c r="KOI213" s="52"/>
      <c r="KOJ213" s="52"/>
      <c r="KOK213" s="52"/>
      <c r="KOL213" s="52"/>
      <c r="KOM213" s="52"/>
      <c r="KON213" s="52"/>
      <c r="KOO213" s="52"/>
      <c r="KOP213" s="52"/>
      <c r="KOQ213" s="52"/>
      <c r="KOR213" s="52"/>
      <c r="KOS213" s="52"/>
      <c r="KOT213" s="52"/>
      <c r="KOU213" s="52"/>
      <c r="KOV213" s="52"/>
      <c r="KOW213" s="52"/>
      <c r="KOX213" s="52"/>
      <c r="KOY213" s="52"/>
      <c r="KOZ213" s="52"/>
      <c r="KPA213" s="52"/>
      <c r="KPB213" s="52"/>
      <c r="KPC213" s="52"/>
      <c r="KPD213" s="52"/>
      <c r="KPE213" s="52"/>
      <c r="KPF213" s="52"/>
      <c r="KPG213" s="52"/>
      <c r="KPH213" s="52"/>
      <c r="KPI213" s="52"/>
      <c r="KPJ213" s="52"/>
      <c r="KPK213" s="52"/>
      <c r="KPL213" s="52"/>
      <c r="KPM213" s="52"/>
      <c r="KPN213" s="52"/>
      <c r="KPO213" s="52"/>
      <c r="KPP213" s="52"/>
      <c r="KPQ213" s="52"/>
      <c r="KPR213" s="52"/>
      <c r="KPS213" s="52"/>
      <c r="KPT213" s="52"/>
      <c r="KPU213" s="52"/>
      <c r="KPV213" s="52"/>
      <c r="KPW213" s="52"/>
      <c r="KPX213" s="52"/>
      <c r="KPY213" s="52"/>
      <c r="KPZ213" s="52"/>
      <c r="KQA213" s="52"/>
      <c r="KQB213" s="52"/>
      <c r="KQC213" s="52"/>
      <c r="KQD213" s="52"/>
      <c r="KQE213" s="52"/>
      <c r="KQF213" s="52"/>
      <c r="KQG213" s="52"/>
      <c r="KQH213" s="52"/>
      <c r="KQI213" s="52"/>
      <c r="KQJ213" s="52"/>
      <c r="KQK213" s="52"/>
      <c r="KQL213" s="52"/>
      <c r="KQM213" s="52"/>
      <c r="KQN213" s="52"/>
      <c r="KQO213" s="52"/>
      <c r="KQP213" s="52"/>
      <c r="KQQ213" s="52"/>
      <c r="KQR213" s="52"/>
      <c r="KQS213" s="52"/>
      <c r="KQT213" s="52"/>
      <c r="KQU213" s="52"/>
      <c r="KQV213" s="52"/>
      <c r="KQW213" s="52"/>
      <c r="KQX213" s="52"/>
      <c r="KQY213" s="52"/>
      <c r="KQZ213" s="52"/>
      <c r="KRA213" s="52"/>
      <c r="KRB213" s="52"/>
      <c r="KRC213" s="52"/>
      <c r="KRD213" s="52"/>
      <c r="KRE213" s="52"/>
      <c r="KRF213" s="52"/>
      <c r="KRG213" s="52"/>
      <c r="KRH213" s="52"/>
      <c r="KRI213" s="52"/>
      <c r="KRJ213" s="52"/>
      <c r="KRK213" s="52"/>
      <c r="KRL213" s="52"/>
      <c r="KRM213" s="52"/>
      <c r="KRN213" s="52"/>
      <c r="KRO213" s="52"/>
      <c r="KRP213" s="52"/>
      <c r="KRQ213" s="52"/>
      <c r="KRR213" s="52"/>
      <c r="KRS213" s="52"/>
      <c r="KRT213" s="52"/>
      <c r="KRU213" s="52"/>
      <c r="KRV213" s="52"/>
      <c r="KRW213" s="52"/>
      <c r="KRX213" s="52"/>
      <c r="KRY213" s="52"/>
      <c r="KRZ213" s="52"/>
      <c r="KSA213" s="52"/>
      <c r="KSB213" s="52"/>
      <c r="KSC213" s="52"/>
      <c r="KSD213" s="52"/>
      <c r="KSE213" s="52"/>
      <c r="KSF213" s="52"/>
      <c r="KSG213" s="52"/>
      <c r="KSH213" s="52"/>
      <c r="KSI213" s="52"/>
      <c r="KSJ213" s="52"/>
      <c r="KSK213" s="52"/>
      <c r="KSL213" s="52"/>
      <c r="KSM213" s="52"/>
      <c r="KSN213" s="52"/>
      <c r="KSO213" s="52"/>
      <c r="KSP213" s="52"/>
      <c r="KSQ213" s="52"/>
      <c r="KSR213" s="52"/>
      <c r="KSS213" s="52"/>
      <c r="KST213" s="52"/>
      <c r="KSU213" s="52"/>
      <c r="KSV213" s="52"/>
      <c r="KSW213" s="52"/>
      <c r="KSX213" s="52"/>
      <c r="KSY213" s="52"/>
      <c r="KSZ213" s="52"/>
      <c r="KTA213" s="52"/>
      <c r="KTB213" s="52"/>
      <c r="KTC213" s="52"/>
      <c r="KTD213" s="52"/>
      <c r="KTE213" s="52"/>
      <c r="KTF213" s="52"/>
      <c r="KTG213" s="52"/>
      <c r="KTH213" s="52"/>
      <c r="KTI213" s="52"/>
      <c r="KTJ213" s="52"/>
      <c r="KTK213" s="52"/>
      <c r="KTL213" s="52"/>
      <c r="KTM213" s="52"/>
      <c r="KTN213" s="52"/>
      <c r="KTO213" s="52"/>
      <c r="KTP213" s="52"/>
      <c r="KTQ213" s="52"/>
      <c r="KTR213" s="52"/>
      <c r="KTS213" s="52"/>
      <c r="KTT213" s="52"/>
      <c r="KTU213" s="52"/>
      <c r="KTV213" s="52"/>
      <c r="KTW213" s="52"/>
      <c r="KTX213" s="52"/>
      <c r="KTY213" s="52"/>
      <c r="KTZ213" s="52"/>
      <c r="KUA213" s="52"/>
      <c r="KUB213" s="52"/>
      <c r="KUC213" s="52"/>
      <c r="KUD213" s="52"/>
      <c r="KUE213" s="52"/>
      <c r="KUF213" s="52"/>
      <c r="KUG213" s="52"/>
      <c r="KUH213" s="52"/>
      <c r="KUI213" s="52"/>
      <c r="KUJ213" s="52"/>
      <c r="KUK213" s="52"/>
      <c r="KUL213" s="52"/>
      <c r="KUM213" s="52"/>
      <c r="KUN213" s="52"/>
      <c r="KUO213" s="52"/>
      <c r="KUP213" s="52"/>
      <c r="KUQ213" s="52"/>
      <c r="KUR213" s="52"/>
      <c r="KUS213" s="52"/>
      <c r="KUT213" s="52"/>
      <c r="KUU213" s="52"/>
      <c r="KUV213" s="52"/>
      <c r="KUW213" s="52"/>
      <c r="KUX213" s="52"/>
      <c r="KUY213" s="52"/>
      <c r="KUZ213" s="52"/>
      <c r="KVA213" s="52"/>
      <c r="KVB213" s="52"/>
      <c r="KVC213" s="52"/>
      <c r="KVD213" s="52"/>
      <c r="KVE213" s="52"/>
      <c r="KVF213" s="52"/>
      <c r="KVG213" s="52"/>
      <c r="KVH213" s="52"/>
      <c r="KVI213" s="52"/>
      <c r="KVJ213" s="52"/>
      <c r="KVK213" s="52"/>
      <c r="KVL213" s="52"/>
      <c r="KVM213" s="52"/>
      <c r="KVN213" s="52"/>
      <c r="KVO213" s="52"/>
      <c r="KVP213" s="52"/>
      <c r="KVQ213" s="52"/>
      <c r="KVR213" s="52"/>
      <c r="KVS213" s="52"/>
      <c r="KVT213" s="52"/>
      <c r="KVU213" s="52"/>
      <c r="KVV213" s="52"/>
      <c r="KVW213" s="52"/>
      <c r="KVX213" s="52"/>
      <c r="KVY213" s="52"/>
      <c r="KVZ213" s="52"/>
      <c r="KWA213" s="52"/>
      <c r="KWB213" s="52"/>
      <c r="KWC213" s="52"/>
      <c r="KWD213" s="52"/>
      <c r="KWE213" s="52"/>
      <c r="KWF213" s="52"/>
      <c r="KWG213" s="52"/>
      <c r="KWH213" s="52"/>
      <c r="KWI213" s="52"/>
      <c r="KWJ213" s="52"/>
      <c r="KWK213" s="52"/>
      <c r="KWL213" s="52"/>
      <c r="KWM213" s="52"/>
      <c r="KWN213" s="52"/>
      <c r="KWO213" s="52"/>
      <c r="KWP213" s="52"/>
      <c r="KWQ213" s="52"/>
      <c r="KWR213" s="52"/>
      <c r="KWS213" s="52"/>
      <c r="KWT213" s="52"/>
      <c r="KWU213" s="52"/>
      <c r="KWV213" s="52"/>
      <c r="KWW213" s="52"/>
      <c r="KWX213" s="52"/>
      <c r="KWY213" s="52"/>
      <c r="KWZ213" s="52"/>
      <c r="KXA213" s="52"/>
      <c r="KXB213" s="52"/>
      <c r="KXC213" s="52"/>
      <c r="KXD213" s="52"/>
      <c r="KXE213" s="52"/>
      <c r="KXF213" s="52"/>
      <c r="KXG213" s="52"/>
      <c r="KXH213" s="52"/>
      <c r="KXI213" s="52"/>
      <c r="KXJ213" s="52"/>
      <c r="KXK213" s="52"/>
      <c r="KXL213" s="52"/>
      <c r="KXM213" s="52"/>
      <c r="KXN213" s="52"/>
      <c r="KXO213" s="52"/>
      <c r="KXP213" s="52"/>
      <c r="KXQ213" s="52"/>
      <c r="KXR213" s="52"/>
      <c r="KXS213" s="52"/>
      <c r="KXT213" s="52"/>
      <c r="KXU213" s="52"/>
      <c r="KXV213" s="52"/>
      <c r="KXW213" s="52"/>
      <c r="KXX213" s="52"/>
      <c r="KXY213" s="52"/>
      <c r="KXZ213" s="52"/>
      <c r="KYA213" s="52"/>
      <c r="KYB213" s="52"/>
      <c r="KYC213" s="52"/>
      <c r="KYD213" s="52"/>
      <c r="KYE213" s="52"/>
      <c r="KYF213" s="52"/>
      <c r="KYG213" s="52"/>
      <c r="KYH213" s="52"/>
      <c r="KYI213" s="52"/>
      <c r="KYJ213" s="52"/>
      <c r="KYK213" s="52"/>
      <c r="KYL213" s="52"/>
      <c r="KYM213" s="52"/>
      <c r="KYN213" s="52"/>
      <c r="KYO213" s="52"/>
      <c r="KYP213" s="52"/>
      <c r="KYQ213" s="52"/>
      <c r="KYR213" s="52"/>
      <c r="KYS213" s="52"/>
      <c r="KYT213" s="52"/>
      <c r="KYU213" s="52"/>
      <c r="KYV213" s="52"/>
      <c r="KYW213" s="52"/>
      <c r="KYX213" s="52"/>
      <c r="KYY213" s="52"/>
      <c r="KYZ213" s="52"/>
      <c r="KZA213" s="52"/>
      <c r="KZB213" s="52"/>
      <c r="KZC213" s="52"/>
      <c r="KZD213" s="52"/>
      <c r="KZE213" s="52"/>
      <c r="KZF213" s="52"/>
      <c r="KZG213" s="52"/>
      <c r="KZH213" s="52"/>
      <c r="KZI213" s="52"/>
      <c r="KZJ213" s="52"/>
      <c r="KZK213" s="52"/>
      <c r="KZL213" s="52"/>
      <c r="KZM213" s="52"/>
      <c r="KZN213" s="52"/>
      <c r="KZO213" s="52"/>
      <c r="KZP213" s="52"/>
      <c r="KZQ213" s="52"/>
      <c r="KZR213" s="52"/>
      <c r="KZS213" s="52"/>
      <c r="KZT213" s="52"/>
      <c r="KZU213" s="52"/>
      <c r="KZV213" s="52"/>
      <c r="KZW213" s="52"/>
      <c r="KZX213" s="52"/>
      <c r="KZY213" s="52"/>
      <c r="KZZ213" s="52"/>
      <c r="LAA213" s="52"/>
      <c r="LAB213" s="52"/>
      <c r="LAC213" s="52"/>
      <c r="LAD213" s="52"/>
      <c r="LAE213" s="52"/>
      <c r="LAF213" s="52"/>
      <c r="LAG213" s="52"/>
      <c r="LAH213" s="52"/>
      <c r="LAI213" s="52"/>
      <c r="LAJ213" s="52"/>
      <c r="LAK213" s="52"/>
      <c r="LAL213" s="52"/>
      <c r="LAM213" s="52"/>
      <c r="LAN213" s="52"/>
      <c r="LAO213" s="52"/>
      <c r="LAP213" s="52"/>
      <c r="LAQ213" s="52"/>
      <c r="LAR213" s="52"/>
      <c r="LAS213" s="52"/>
      <c r="LAT213" s="52"/>
      <c r="LAU213" s="52"/>
      <c r="LAV213" s="52"/>
      <c r="LAW213" s="52"/>
      <c r="LAX213" s="52"/>
      <c r="LAY213" s="52"/>
      <c r="LAZ213" s="52"/>
      <c r="LBA213" s="52"/>
      <c r="LBB213" s="52"/>
      <c r="LBC213" s="52"/>
      <c r="LBD213" s="52"/>
      <c r="LBE213" s="52"/>
      <c r="LBF213" s="52"/>
      <c r="LBG213" s="52"/>
      <c r="LBH213" s="52"/>
      <c r="LBI213" s="52"/>
      <c r="LBJ213" s="52"/>
      <c r="LBK213" s="52"/>
      <c r="LBL213" s="52"/>
      <c r="LBM213" s="52"/>
      <c r="LBN213" s="52"/>
      <c r="LBO213" s="52"/>
      <c r="LBP213" s="52"/>
      <c r="LBQ213" s="52"/>
      <c r="LBR213" s="52"/>
      <c r="LBS213" s="52"/>
      <c r="LBT213" s="52"/>
      <c r="LBU213" s="52"/>
      <c r="LBV213" s="52"/>
      <c r="LBW213" s="52"/>
      <c r="LBX213" s="52"/>
      <c r="LBY213" s="52"/>
      <c r="LBZ213" s="52"/>
      <c r="LCA213" s="52"/>
      <c r="LCB213" s="52"/>
      <c r="LCC213" s="52"/>
      <c r="LCD213" s="52"/>
      <c r="LCE213" s="52"/>
      <c r="LCF213" s="52"/>
      <c r="LCG213" s="52"/>
      <c r="LCH213" s="52"/>
      <c r="LCI213" s="52"/>
      <c r="LCJ213" s="52"/>
      <c r="LCK213" s="52"/>
      <c r="LCL213" s="52"/>
      <c r="LCM213" s="52"/>
      <c r="LCN213" s="52"/>
      <c r="LCO213" s="52"/>
      <c r="LCP213" s="52"/>
      <c r="LCQ213" s="52"/>
      <c r="LCR213" s="52"/>
      <c r="LCS213" s="52"/>
      <c r="LCT213" s="52"/>
      <c r="LCU213" s="52"/>
      <c r="LCV213" s="52"/>
      <c r="LCW213" s="52"/>
      <c r="LCX213" s="52"/>
      <c r="LCY213" s="52"/>
      <c r="LCZ213" s="52"/>
      <c r="LDA213" s="52"/>
      <c r="LDB213" s="52"/>
      <c r="LDC213" s="52"/>
      <c r="LDD213" s="52"/>
      <c r="LDE213" s="52"/>
      <c r="LDF213" s="52"/>
      <c r="LDG213" s="52"/>
      <c r="LDH213" s="52"/>
      <c r="LDI213" s="52"/>
      <c r="LDJ213" s="52"/>
      <c r="LDK213" s="52"/>
      <c r="LDL213" s="52"/>
      <c r="LDM213" s="52"/>
      <c r="LDN213" s="52"/>
      <c r="LDO213" s="52"/>
      <c r="LDP213" s="52"/>
      <c r="LDQ213" s="52"/>
      <c r="LDR213" s="52"/>
      <c r="LDS213" s="52"/>
      <c r="LDT213" s="52"/>
      <c r="LDU213" s="52"/>
      <c r="LDV213" s="52"/>
      <c r="LDW213" s="52"/>
      <c r="LDX213" s="52"/>
      <c r="LDY213" s="52"/>
      <c r="LDZ213" s="52"/>
      <c r="LEA213" s="52"/>
      <c r="LEB213" s="52"/>
      <c r="LEC213" s="52"/>
      <c r="LED213" s="52"/>
      <c r="LEE213" s="52"/>
      <c r="LEF213" s="52"/>
      <c r="LEG213" s="52"/>
      <c r="LEH213" s="52"/>
      <c r="LEI213" s="52"/>
      <c r="LEJ213" s="52"/>
      <c r="LEK213" s="52"/>
      <c r="LEL213" s="52"/>
      <c r="LEM213" s="52"/>
      <c r="LEN213" s="52"/>
      <c r="LEO213" s="52"/>
      <c r="LEP213" s="52"/>
      <c r="LEQ213" s="52"/>
      <c r="LER213" s="52"/>
      <c r="LES213" s="52"/>
      <c r="LET213" s="52"/>
      <c r="LEU213" s="52"/>
      <c r="LEV213" s="52"/>
      <c r="LEW213" s="52"/>
      <c r="LEX213" s="52"/>
      <c r="LEY213" s="52"/>
      <c r="LEZ213" s="52"/>
      <c r="LFA213" s="52"/>
      <c r="LFB213" s="52"/>
      <c r="LFC213" s="52"/>
      <c r="LFD213" s="52"/>
      <c r="LFE213" s="52"/>
      <c r="LFF213" s="52"/>
      <c r="LFG213" s="52"/>
      <c r="LFH213" s="52"/>
      <c r="LFI213" s="52"/>
      <c r="LFJ213" s="52"/>
      <c r="LFK213" s="52"/>
      <c r="LFL213" s="52"/>
      <c r="LFM213" s="52"/>
      <c r="LFN213" s="52"/>
      <c r="LFO213" s="52"/>
      <c r="LFP213" s="52"/>
      <c r="LFQ213" s="52"/>
      <c r="LFR213" s="52"/>
      <c r="LFS213" s="52"/>
      <c r="LFT213" s="52"/>
      <c r="LFU213" s="52"/>
      <c r="LFV213" s="52"/>
      <c r="LFW213" s="52"/>
      <c r="LFX213" s="52"/>
      <c r="LFY213" s="52"/>
      <c r="LFZ213" s="52"/>
      <c r="LGA213" s="52"/>
      <c r="LGB213" s="52"/>
      <c r="LGC213" s="52"/>
      <c r="LGD213" s="52"/>
      <c r="LGE213" s="52"/>
      <c r="LGF213" s="52"/>
      <c r="LGG213" s="52"/>
      <c r="LGH213" s="52"/>
      <c r="LGI213" s="52"/>
      <c r="LGJ213" s="52"/>
      <c r="LGK213" s="52"/>
      <c r="LGL213" s="52"/>
      <c r="LGM213" s="52"/>
      <c r="LGN213" s="52"/>
      <c r="LGO213" s="52"/>
      <c r="LGP213" s="52"/>
      <c r="LGQ213" s="52"/>
      <c r="LGR213" s="52"/>
      <c r="LGS213" s="52"/>
      <c r="LGT213" s="52"/>
      <c r="LGU213" s="52"/>
      <c r="LGV213" s="52"/>
      <c r="LGW213" s="52"/>
      <c r="LGX213" s="52"/>
      <c r="LGY213" s="52"/>
      <c r="LGZ213" s="52"/>
      <c r="LHA213" s="52"/>
      <c r="LHB213" s="52"/>
      <c r="LHC213" s="52"/>
      <c r="LHD213" s="52"/>
      <c r="LHE213" s="52"/>
      <c r="LHF213" s="52"/>
      <c r="LHG213" s="52"/>
      <c r="LHH213" s="52"/>
      <c r="LHI213" s="52"/>
      <c r="LHJ213" s="52"/>
      <c r="LHK213" s="52"/>
      <c r="LHL213" s="52"/>
      <c r="LHM213" s="52"/>
      <c r="LHN213" s="52"/>
      <c r="LHO213" s="52"/>
      <c r="LHP213" s="52"/>
      <c r="LHQ213" s="52"/>
      <c r="LHR213" s="52"/>
      <c r="LHS213" s="52"/>
      <c r="LHT213" s="52"/>
      <c r="LHU213" s="52"/>
      <c r="LHV213" s="52"/>
      <c r="LHW213" s="52"/>
      <c r="LHX213" s="52"/>
      <c r="LHY213" s="52"/>
      <c r="LHZ213" s="52"/>
      <c r="LIA213" s="52"/>
      <c r="LIB213" s="52"/>
      <c r="LIC213" s="52"/>
      <c r="LID213" s="52"/>
      <c r="LIE213" s="52"/>
      <c r="LIF213" s="52"/>
      <c r="LIG213" s="52"/>
      <c r="LIH213" s="52"/>
      <c r="LII213" s="52"/>
      <c r="LIJ213" s="52"/>
      <c r="LIK213" s="52"/>
      <c r="LIL213" s="52"/>
      <c r="LIM213" s="52"/>
      <c r="LIN213" s="52"/>
      <c r="LIO213" s="52"/>
      <c r="LIP213" s="52"/>
      <c r="LIQ213" s="52"/>
      <c r="LIR213" s="52"/>
      <c r="LIS213" s="52"/>
      <c r="LIT213" s="52"/>
      <c r="LIU213" s="52"/>
      <c r="LIV213" s="52"/>
      <c r="LIW213" s="52"/>
      <c r="LIX213" s="52"/>
      <c r="LIY213" s="52"/>
      <c r="LIZ213" s="52"/>
      <c r="LJA213" s="52"/>
      <c r="LJB213" s="52"/>
      <c r="LJC213" s="52"/>
      <c r="LJD213" s="52"/>
      <c r="LJE213" s="52"/>
      <c r="LJF213" s="52"/>
      <c r="LJG213" s="52"/>
      <c r="LJH213" s="52"/>
      <c r="LJI213" s="52"/>
      <c r="LJJ213" s="52"/>
      <c r="LJK213" s="52"/>
      <c r="LJL213" s="52"/>
      <c r="LJM213" s="52"/>
      <c r="LJN213" s="52"/>
      <c r="LJO213" s="52"/>
      <c r="LJP213" s="52"/>
      <c r="LJQ213" s="52"/>
      <c r="LJR213" s="52"/>
      <c r="LJS213" s="52"/>
      <c r="LJT213" s="52"/>
      <c r="LJU213" s="52"/>
      <c r="LJV213" s="52"/>
      <c r="LJW213" s="52"/>
      <c r="LJX213" s="52"/>
      <c r="LJY213" s="52"/>
      <c r="LJZ213" s="52"/>
      <c r="LKA213" s="52"/>
      <c r="LKB213" s="52"/>
      <c r="LKC213" s="52"/>
      <c r="LKD213" s="52"/>
      <c r="LKE213" s="52"/>
      <c r="LKF213" s="52"/>
      <c r="LKG213" s="52"/>
      <c r="LKH213" s="52"/>
      <c r="LKI213" s="52"/>
      <c r="LKJ213" s="52"/>
      <c r="LKK213" s="52"/>
      <c r="LKL213" s="52"/>
      <c r="LKM213" s="52"/>
      <c r="LKN213" s="52"/>
      <c r="LKO213" s="52"/>
      <c r="LKP213" s="52"/>
      <c r="LKQ213" s="52"/>
      <c r="LKR213" s="52"/>
      <c r="LKS213" s="52"/>
      <c r="LKT213" s="52"/>
      <c r="LKU213" s="52"/>
      <c r="LKV213" s="52"/>
      <c r="LKW213" s="52"/>
      <c r="LKX213" s="52"/>
      <c r="LKY213" s="52"/>
      <c r="LKZ213" s="52"/>
      <c r="LLA213" s="52"/>
      <c r="LLB213" s="52"/>
      <c r="LLC213" s="52"/>
      <c r="LLD213" s="52"/>
      <c r="LLE213" s="52"/>
      <c r="LLF213" s="52"/>
      <c r="LLG213" s="52"/>
      <c r="LLH213" s="52"/>
      <c r="LLI213" s="52"/>
      <c r="LLJ213" s="52"/>
      <c r="LLK213" s="52"/>
      <c r="LLL213" s="52"/>
      <c r="LLM213" s="52"/>
      <c r="LLN213" s="52"/>
      <c r="LLO213" s="52"/>
      <c r="LLP213" s="52"/>
      <c r="LLQ213" s="52"/>
      <c r="LLR213" s="52"/>
      <c r="LLS213" s="52"/>
      <c r="LLT213" s="52"/>
      <c r="LLU213" s="52"/>
      <c r="LLV213" s="52"/>
      <c r="LLW213" s="52"/>
      <c r="LLX213" s="52"/>
      <c r="LLY213" s="52"/>
      <c r="LLZ213" s="52"/>
      <c r="LMA213" s="52"/>
      <c r="LMB213" s="52"/>
      <c r="LMC213" s="52"/>
      <c r="LMD213" s="52"/>
      <c r="LME213" s="52"/>
      <c r="LMF213" s="52"/>
      <c r="LMG213" s="52"/>
      <c r="LMH213" s="52"/>
      <c r="LMI213" s="52"/>
      <c r="LMJ213" s="52"/>
      <c r="LMK213" s="52"/>
      <c r="LML213" s="52"/>
      <c r="LMM213" s="52"/>
      <c r="LMN213" s="52"/>
      <c r="LMO213" s="52"/>
      <c r="LMP213" s="52"/>
      <c r="LMQ213" s="52"/>
      <c r="LMR213" s="52"/>
      <c r="LMS213" s="52"/>
      <c r="LMT213" s="52"/>
      <c r="LMU213" s="52"/>
      <c r="LMV213" s="52"/>
      <c r="LMW213" s="52"/>
      <c r="LMX213" s="52"/>
      <c r="LMY213" s="52"/>
      <c r="LMZ213" s="52"/>
      <c r="LNA213" s="52"/>
      <c r="LNB213" s="52"/>
      <c r="LNC213" s="52"/>
      <c r="LND213" s="52"/>
      <c r="LNE213" s="52"/>
      <c r="LNF213" s="52"/>
      <c r="LNG213" s="52"/>
      <c r="LNH213" s="52"/>
      <c r="LNI213" s="52"/>
      <c r="LNJ213" s="52"/>
      <c r="LNK213" s="52"/>
      <c r="LNL213" s="52"/>
      <c r="LNM213" s="52"/>
      <c r="LNN213" s="52"/>
      <c r="LNO213" s="52"/>
      <c r="LNP213" s="52"/>
      <c r="LNQ213" s="52"/>
      <c r="LNR213" s="52"/>
      <c r="LNS213" s="52"/>
      <c r="LNT213" s="52"/>
      <c r="LNU213" s="52"/>
      <c r="LNV213" s="52"/>
      <c r="LNW213" s="52"/>
      <c r="LNX213" s="52"/>
      <c r="LNY213" s="52"/>
      <c r="LNZ213" s="52"/>
      <c r="LOA213" s="52"/>
      <c r="LOB213" s="52"/>
      <c r="LOC213" s="52"/>
      <c r="LOD213" s="52"/>
      <c r="LOE213" s="52"/>
      <c r="LOF213" s="52"/>
      <c r="LOG213" s="52"/>
      <c r="LOH213" s="52"/>
      <c r="LOI213" s="52"/>
      <c r="LOJ213" s="52"/>
      <c r="LOK213" s="52"/>
      <c r="LOL213" s="52"/>
      <c r="LOM213" s="52"/>
      <c r="LON213" s="52"/>
      <c r="LOO213" s="52"/>
      <c r="LOP213" s="52"/>
      <c r="LOQ213" s="52"/>
      <c r="LOR213" s="52"/>
      <c r="LOS213" s="52"/>
      <c r="LOT213" s="52"/>
      <c r="LOU213" s="52"/>
      <c r="LOV213" s="52"/>
      <c r="LOW213" s="52"/>
      <c r="LOX213" s="52"/>
      <c r="LOY213" s="52"/>
      <c r="LOZ213" s="52"/>
      <c r="LPA213" s="52"/>
      <c r="LPB213" s="52"/>
      <c r="LPC213" s="52"/>
      <c r="LPD213" s="52"/>
      <c r="LPE213" s="52"/>
      <c r="LPF213" s="52"/>
      <c r="LPG213" s="52"/>
      <c r="LPH213" s="52"/>
      <c r="LPI213" s="52"/>
      <c r="LPJ213" s="52"/>
      <c r="LPK213" s="52"/>
      <c r="LPL213" s="52"/>
      <c r="LPM213" s="52"/>
      <c r="LPN213" s="52"/>
      <c r="LPO213" s="52"/>
      <c r="LPP213" s="52"/>
      <c r="LPQ213" s="52"/>
      <c r="LPR213" s="52"/>
      <c r="LPS213" s="52"/>
      <c r="LPT213" s="52"/>
      <c r="LPU213" s="52"/>
      <c r="LPV213" s="52"/>
      <c r="LPW213" s="52"/>
      <c r="LPX213" s="52"/>
      <c r="LPY213" s="52"/>
      <c r="LPZ213" s="52"/>
      <c r="LQA213" s="52"/>
      <c r="LQB213" s="52"/>
      <c r="LQC213" s="52"/>
      <c r="LQD213" s="52"/>
      <c r="LQE213" s="52"/>
      <c r="LQF213" s="52"/>
      <c r="LQG213" s="52"/>
      <c r="LQH213" s="52"/>
      <c r="LQI213" s="52"/>
      <c r="LQJ213" s="52"/>
      <c r="LQK213" s="52"/>
      <c r="LQL213" s="52"/>
      <c r="LQM213" s="52"/>
      <c r="LQN213" s="52"/>
      <c r="LQO213" s="52"/>
      <c r="LQP213" s="52"/>
      <c r="LQQ213" s="52"/>
      <c r="LQR213" s="52"/>
      <c r="LQS213" s="52"/>
      <c r="LQT213" s="52"/>
      <c r="LQU213" s="52"/>
      <c r="LQV213" s="52"/>
      <c r="LQW213" s="52"/>
      <c r="LQX213" s="52"/>
      <c r="LQY213" s="52"/>
      <c r="LQZ213" s="52"/>
      <c r="LRA213" s="52"/>
      <c r="LRB213" s="52"/>
      <c r="LRC213" s="52"/>
      <c r="LRD213" s="52"/>
      <c r="LRE213" s="52"/>
      <c r="LRF213" s="52"/>
      <c r="LRG213" s="52"/>
      <c r="LRH213" s="52"/>
      <c r="LRI213" s="52"/>
      <c r="LRJ213" s="52"/>
      <c r="LRK213" s="52"/>
      <c r="LRL213" s="52"/>
      <c r="LRM213" s="52"/>
      <c r="LRN213" s="52"/>
      <c r="LRO213" s="52"/>
      <c r="LRP213" s="52"/>
      <c r="LRQ213" s="52"/>
      <c r="LRR213" s="52"/>
      <c r="LRS213" s="52"/>
      <c r="LRT213" s="52"/>
      <c r="LRU213" s="52"/>
      <c r="LRV213" s="52"/>
      <c r="LRW213" s="52"/>
      <c r="LRX213" s="52"/>
      <c r="LRY213" s="52"/>
      <c r="LRZ213" s="52"/>
      <c r="LSA213" s="52"/>
      <c r="LSB213" s="52"/>
      <c r="LSC213" s="52"/>
      <c r="LSD213" s="52"/>
      <c r="LSE213" s="52"/>
      <c r="LSF213" s="52"/>
      <c r="LSG213" s="52"/>
      <c r="LSH213" s="52"/>
      <c r="LSI213" s="52"/>
      <c r="LSJ213" s="52"/>
      <c r="LSK213" s="52"/>
      <c r="LSL213" s="52"/>
      <c r="LSM213" s="52"/>
      <c r="LSN213" s="52"/>
      <c r="LSO213" s="52"/>
      <c r="LSP213" s="52"/>
      <c r="LSQ213" s="52"/>
      <c r="LSR213" s="52"/>
      <c r="LSS213" s="52"/>
      <c r="LST213" s="52"/>
      <c r="LSU213" s="52"/>
      <c r="LSV213" s="52"/>
      <c r="LSW213" s="52"/>
      <c r="LSX213" s="52"/>
      <c r="LSY213" s="52"/>
      <c r="LSZ213" s="52"/>
      <c r="LTA213" s="52"/>
      <c r="LTB213" s="52"/>
      <c r="LTC213" s="52"/>
      <c r="LTD213" s="52"/>
      <c r="LTE213" s="52"/>
      <c r="LTF213" s="52"/>
      <c r="LTG213" s="52"/>
      <c r="LTH213" s="52"/>
      <c r="LTI213" s="52"/>
      <c r="LTJ213" s="52"/>
      <c r="LTK213" s="52"/>
      <c r="LTL213" s="52"/>
      <c r="LTM213" s="52"/>
      <c r="LTN213" s="52"/>
      <c r="LTO213" s="52"/>
      <c r="LTP213" s="52"/>
      <c r="LTQ213" s="52"/>
      <c r="LTR213" s="52"/>
      <c r="LTS213" s="52"/>
      <c r="LTT213" s="52"/>
      <c r="LTU213" s="52"/>
      <c r="LTV213" s="52"/>
      <c r="LTW213" s="52"/>
      <c r="LTX213" s="52"/>
      <c r="LTY213" s="52"/>
      <c r="LTZ213" s="52"/>
      <c r="LUA213" s="52"/>
      <c r="LUB213" s="52"/>
      <c r="LUC213" s="52"/>
      <c r="LUD213" s="52"/>
      <c r="LUE213" s="52"/>
      <c r="LUF213" s="52"/>
      <c r="LUG213" s="52"/>
      <c r="LUH213" s="52"/>
      <c r="LUI213" s="52"/>
      <c r="LUJ213" s="52"/>
      <c r="LUK213" s="52"/>
      <c r="LUL213" s="52"/>
      <c r="LUM213" s="52"/>
      <c r="LUN213" s="52"/>
      <c r="LUO213" s="52"/>
      <c r="LUP213" s="52"/>
      <c r="LUQ213" s="52"/>
      <c r="LUR213" s="52"/>
      <c r="LUS213" s="52"/>
      <c r="LUT213" s="52"/>
      <c r="LUU213" s="52"/>
      <c r="LUV213" s="52"/>
      <c r="LUW213" s="52"/>
      <c r="LUX213" s="52"/>
      <c r="LUY213" s="52"/>
      <c r="LUZ213" s="52"/>
      <c r="LVA213" s="52"/>
      <c r="LVB213" s="52"/>
      <c r="LVC213" s="52"/>
      <c r="LVD213" s="52"/>
      <c r="LVE213" s="52"/>
      <c r="LVF213" s="52"/>
      <c r="LVG213" s="52"/>
      <c r="LVH213" s="52"/>
      <c r="LVI213" s="52"/>
      <c r="LVJ213" s="52"/>
      <c r="LVK213" s="52"/>
      <c r="LVL213" s="52"/>
      <c r="LVM213" s="52"/>
      <c r="LVN213" s="52"/>
      <c r="LVO213" s="52"/>
      <c r="LVP213" s="52"/>
      <c r="LVQ213" s="52"/>
      <c r="LVR213" s="52"/>
      <c r="LVS213" s="52"/>
      <c r="LVT213" s="52"/>
      <c r="LVU213" s="52"/>
      <c r="LVV213" s="52"/>
      <c r="LVW213" s="52"/>
      <c r="LVX213" s="52"/>
      <c r="LVY213" s="52"/>
      <c r="LVZ213" s="52"/>
      <c r="LWA213" s="52"/>
      <c r="LWB213" s="52"/>
      <c r="LWC213" s="52"/>
      <c r="LWD213" s="52"/>
      <c r="LWE213" s="52"/>
      <c r="LWF213" s="52"/>
      <c r="LWG213" s="52"/>
      <c r="LWH213" s="52"/>
      <c r="LWI213" s="52"/>
      <c r="LWJ213" s="52"/>
      <c r="LWK213" s="52"/>
      <c r="LWL213" s="52"/>
      <c r="LWM213" s="52"/>
      <c r="LWN213" s="52"/>
      <c r="LWO213" s="52"/>
      <c r="LWP213" s="52"/>
      <c r="LWQ213" s="52"/>
      <c r="LWR213" s="52"/>
      <c r="LWS213" s="52"/>
      <c r="LWT213" s="52"/>
      <c r="LWU213" s="52"/>
      <c r="LWV213" s="52"/>
      <c r="LWW213" s="52"/>
      <c r="LWX213" s="52"/>
      <c r="LWY213" s="52"/>
      <c r="LWZ213" s="52"/>
      <c r="LXA213" s="52"/>
      <c r="LXB213" s="52"/>
      <c r="LXC213" s="52"/>
      <c r="LXD213" s="52"/>
      <c r="LXE213" s="52"/>
      <c r="LXF213" s="52"/>
      <c r="LXG213" s="52"/>
      <c r="LXH213" s="52"/>
      <c r="LXI213" s="52"/>
      <c r="LXJ213" s="52"/>
      <c r="LXK213" s="52"/>
      <c r="LXL213" s="52"/>
      <c r="LXM213" s="52"/>
      <c r="LXN213" s="52"/>
      <c r="LXO213" s="52"/>
      <c r="LXP213" s="52"/>
      <c r="LXQ213" s="52"/>
      <c r="LXR213" s="52"/>
      <c r="LXS213" s="52"/>
      <c r="LXT213" s="52"/>
      <c r="LXU213" s="52"/>
      <c r="LXV213" s="52"/>
      <c r="LXW213" s="52"/>
      <c r="LXX213" s="52"/>
      <c r="LXY213" s="52"/>
      <c r="LXZ213" s="52"/>
      <c r="LYA213" s="52"/>
      <c r="LYB213" s="52"/>
      <c r="LYC213" s="52"/>
      <c r="LYD213" s="52"/>
      <c r="LYE213" s="52"/>
      <c r="LYF213" s="52"/>
      <c r="LYG213" s="52"/>
      <c r="LYH213" s="52"/>
      <c r="LYI213" s="52"/>
      <c r="LYJ213" s="52"/>
      <c r="LYK213" s="52"/>
      <c r="LYL213" s="52"/>
      <c r="LYM213" s="52"/>
      <c r="LYN213" s="52"/>
      <c r="LYO213" s="52"/>
      <c r="LYP213" s="52"/>
      <c r="LYQ213" s="52"/>
      <c r="LYR213" s="52"/>
      <c r="LYS213" s="52"/>
      <c r="LYT213" s="52"/>
      <c r="LYU213" s="52"/>
      <c r="LYV213" s="52"/>
      <c r="LYW213" s="52"/>
      <c r="LYX213" s="52"/>
      <c r="LYY213" s="52"/>
      <c r="LYZ213" s="52"/>
      <c r="LZA213" s="52"/>
      <c r="LZB213" s="52"/>
      <c r="LZC213" s="52"/>
      <c r="LZD213" s="52"/>
      <c r="LZE213" s="52"/>
      <c r="LZF213" s="52"/>
      <c r="LZG213" s="52"/>
      <c r="LZH213" s="52"/>
      <c r="LZI213" s="52"/>
      <c r="LZJ213" s="52"/>
      <c r="LZK213" s="52"/>
      <c r="LZL213" s="52"/>
      <c r="LZM213" s="52"/>
      <c r="LZN213" s="52"/>
      <c r="LZO213" s="52"/>
      <c r="LZP213" s="52"/>
      <c r="LZQ213" s="52"/>
      <c r="LZR213" s="52"/>
      <c r="LZS213" s="52"/>
      <c r="LZT213" s="52"/>
      <c r="LZU213" s="52"/>
      <c r="LZV213" s="52"/>
      <c r="LZW213" s="52"/>
      <c r="LZX213" s="52"/>
      <c r="LZY213" s="52"/>
      <c r="LZZ213" s="52"/>
      <c r="MAA213" s="52"/>
      <c r="MAB213" s="52"/>
      <c r="MAC213" s="52"/>
      <c r="MAD213" s="52"/>
      <c r="MAE213" s="52"/>
      <c r="MAF213" s="52"/>
      <c r="MAG213" s="52"/>
      <c r="MAH213" s="52"/>
      <c r="MAI213" s="52"/>
      <c r="MAJ213" s="52"/>
      <c r="MAK213" s="52"/>
      <c r="MAL213" s="52"/>
      <c r="MAM213" s="52"/>
      <c r="MAN213" s="52"/>
      <c r="MAO213" s="52"/>
      <c r="MAP213" s="52"/>
      <c r="MAQ213" s="52"/>
      <c r="MAR213" s="52"/>
      <c r="MAS213" s="52"/>
      <c r="MAT213" s="52"/>
      <c r="MAU213" s="52"/>
      <c r="MAV213" s="52"/>
      <c r="MAW213" s="52"/>
      <c r="MAX213" s="52"/>
      <c r="MAY213" s="52"/>
      <c r="MAZ213" s="52"/>
      <c r="MBA213" s="52"/>
      <c r="MBB213" s="52"/>
      <c r="MBC213" s="52"/>
      <c r="MBD213" s="52"/>
      <c r="MBE213" s="52"/>
      <c r="MBF213" s="52"/>
      <c r="MBG213" s="52"/>
      <c r="MBH213" s="52"/>
      <c r="MBI213" s="52"/>
      <c r="MBJ213" s="52"/>
      <c r="MBK213" s="52"/>
      <c r="MBL213" s="52"/>
      <c r="MBM213" s="52"/>
      <c r="MBN213" s="52"/>
      <c r="MBO213" s="52"/>
      <c r="MBP213" s="52"/>
      <c r="MBQ213" s="52"/>
      <c r="MBR213" s="52"/>
      <c r="MBS213" s="52"/>
      <c r="MBT213" s="52"/>
      <c r="MBU213" s="52"/>
      <c r="MBV213" s="52"/>
      <c r="MBW213" s="52"/>
      <c r="MBX213" s="52"/>
      <c r="MBY213" s="52"/>
      <c r="MBZ213" s="52"/>
      <c r="MCA213" s="52"/>
      <c r="MCB213" s="52"/>
      <c r="MCC213" s="52"/>
      <c r="MCD213" s="52"/>
      <c r="MCE213" s="52"/>
      <c r="MCF213" s="52"/>
      <c r="MCG213" s="52"/>
      <c r="MCH213" s="52"/>
      <c r="MCI213" s="52"/>
      <c r="MCJ213" s="52"/>
      <c r="MCK213" s="52"/>
      <c r="MCL213" s="52"/>
      <c r="MCM213" s="52"/>
      <c r="MCN213" s="52"/>
      <c r="MCO213" s="52"/>
      <c r="MCP213" s="52"/>
      <c r="MCQ213" s="52"/>
      <c r="MCR213" s="52"/>
      <c r="MCS213" s="52"/>
      <c r="MCT213" s="52"/>
      <c r="MCU213" s="52"/>
      <c r="MCV213" s="52"/>
      <c r="MCW213" s="52"/>
      <c r="MCX213" s="52"/>
      <c r="MCY213" s="52"/>
      <c r="MCZ213" s="52"/>
      <c r="MDA213" s="52"/>
      <c r="MDB213" s="52"/>
      <c r="MDC213" s="52"/>
      <c r="MDD213" s="52"/>
      <c r="MDE213" s="52"/>
      <c r="MDF213" s="52"/>
      <c r="MDG213" s="52"/>
      <c r="MDH213" s="52"/>
      <c r="MDI213" s="52"/>
      <c r="MDJ213" s="52"/>
      <c r="MDK213" s="52"/>
      <c r="MDL213" s="52"/>
      <c r="MDM213" s="52"/>
      <c r="MDN213" s="52"/>
      <c r="MDO213" s="52"/>
      <c r="MDP213" s="52"/>
      <c r="MDQ213" s="52"/>
      <c r="MDR213" s="52"/>
      <c r="MDS213" s="52"/>
      <c r="MDT213" s="52"/>
      <c r="MDU213" s="52"/>
      <c r="MDV213" s="52"/>
      <c r="MDW213" s="52"/>
      <c r="MDX213" s="52"/>
      <c r="MDY213" s="52"/>
      <c r="MDZ213" s="52"/>
      <c r="MEA213" s="52"/>
      <c r="MEB213" s="52"/>
      <c r="MEC213" s="52"/>
      <c r="MED213" s="52"/>
      <c r="MEE213" s="52"/>
      <c r="MEF213" s="52"/>
      <c r="MEG213" s="52"/>
      <c r="MEH213" s="52"/>
      <c r="MEI213" s="52"/>
      <c r="MEJ213" s="52"/>
      <c r="MEK213" s="52"/>
      <c r="MEL213" s="52"/>
      <c r="MEM213" s="52"/>
      <c r="MEN213" s="52"/>
      <c r="MEO213" s="52"/>
      <c r="MEP213" s="52"/>
      <c r="MEQ213" s="52"/>
      <c r="MER213" s="52"/>
      <c r="MES213" s="52"/>
      <c r="MET213" s="52"/>
      <c r="MEU213" s="52"/>
      <c r="MEV213" s="52"/>
      <c r="MEW213" s="52"/>
      <c r="MEX213" s="52"/>
      <c r="MEY213" s="52"/>
      <c r="MEZ213" s="52"/>
      <c r="MFA213" s="52"/>
      <c r="MFB213" s="52"/>
      <c r="MFC213" s="52"/>
      <c r="MFD213" s="52"/>
      <c r="MFE213" s="52"/>
      <c r="MFF213" s="52"/>
      <c r="MFG213" s="52"/>
      <c r="MFH213" s="52"/>
      <c r="MFI213" s="52"/>
      <c r="MFJ213" s="52"/>
      <c r="MFK213" s="52"/>
      <c r="MFL213" s="52"/>
      <c r="MFM213" s="52"/>
      <c r="MFN213" s="52"/>
      <c r="MFO213" s="52"/>
      <c r="MFP213" s="52"/>
      <c r="MFQ213" s="52"/>
      <c r="MFR213" s="52"/>
      <c r="MFS213" s="52"/>
      <c r="MFT213" s="52"/>
      <c r="MFU213" s="52"/>
      <c r="MFV213" s="52"/>
      <c r="MFW213" s="52"/>
      <c r="MFX213" s="52"/>
      <c r="MFY213" s="52"/>
      <c r="MFZ213" s="52"/>
      <c r="MGA213" s="52"/>
      <c r="MGB213" s="52"/>
      <c r="MGC213" s="52"/>
      <c r="MGD213" s="52"/>
      <c r="MGE213" s="52"/>
      <c r="MGF213" s="52"/>
      <c r="MGG213" s="52"/>
      <c r="MGH213" s="52"/>
      <c r="MGI213" s="52"/>
      <c r="MGJ213" s="52"/>
      <c r="MGK213" s="52"/>
      <c r="MGL213" s="52"/>
      <c r="MGM213" s="52"/>
      <c r="MGN213" s="52"/>
      <c r="MGO213" s="52"/>
      <c r="MGP213" s="52"/>
      <c r="MGQ213" s="52"/>
      <c r="MGR213" s="52"/>
      <c r="MGS213" s="52"/>
      <c r="MGT213" s="52"/>
      <c r="MGU213" s="52"/>
      <c r="MGV213" s="52"/>
      <c r="MGW213" s="52"/>
      <c r="MGX213" s="52"/>
      <c r="MGY213" s="52"/>
      <c r="MGZ213" s="52"/>
      <c r="MHA213" s="52"/>
      <c r="MHB213" s="52"/>
      <c r="MHC213" s="52"/>
      <c r="MHD213" s="52"/>
      <c r="MHE213" s="52"/>
      <c r="MHF213" s="52"/>
      <c r="MHG213" s="52"/>
      <c r="MHH213" s="52"/>
      <c r="MHI213" s="52"/>
      <c r="MHJ213" s="52"/>
      <c r="MHK213" s="52"/>
      <c r="MHL213" s="52"/>
      <c r="MHM213" s="52"/>
      <c r="MHN213" s="52"/>
      <c r="MHO213" s="52"/>
      <c r="MHP213" s="52"/>
      <c r="MHQ213" s="52"/>
      <c r="MHR213" s="52"/>
      <c r="MHS213" s="52"/>
      <c r="MHT213" s="52"/>
      <c r="MHU213" s="52"/>
      <c r="MHV213" s="52"/>
      <c r="MHW213" s="52"/>
      <c r="MHX213" s="52"/>
      <c r="MHY213" s="52"/>
      <c r="MHZ213" s="52"/>
      <c r="MIA213" s="52"/>
      <c r="MIB213" s="52"/>
      <c r="MIC213" s="52"/>
      <c r="MID213" s="52"/>
      <c r="MIE213" s="52"/>
      <c r="MIF213" s="52"/>
      <c r="MIG213" s="52"/>
      <c r="MIH213" s="52"/>
      <c r="MII213" s="52"/>
      <c r="MIJ213" s="52"/>
      <c r="MIK213" s="52"/>
      <c r="MIL213" s="52"/>
      <c r="MIM213" s="52"/>
      <c r="MIN213" s="52"/>
      <c r="MIO213" s="52"/>
      <c r="MIP213" s="52"/>
      <c r="MIQ213" s="52"/>
      <c r="MIR213" s="52"/>
      <c r="MIS213" s="52"/>
      <c r="MIT213" s="52"/>
      <c r="MIU213" s="52"/>
      <c r="MIV213" s="52"/>
      <c r="MIW213" s="52"/>
      <c r="MIX213" s="52"/>
      <c r="MIY213" s="52"/>
      <c r="MIZ213" s="52"/>
      <c r="MJA213" s="52"/>
      <c r="MJB213" s="52"/>
      <c r="MJC213" s="52"/>
      <c r="MJD213" s="52"/>
      <c r="MJE213" s="52"/>
      <c r="MJF213" s="52"/>
      <c r="MJG213" s="52"/>
      <c r="MJH213" s="52"/>
      <c r="MJI213" s="52"/>
      <c r="MJJ213" s="52"/>
      <c r="MJK213" s="52"/>
      <c r="MJL213" s="52"/>
      <c r="MJM213" s="52"/>
      <c r="MJN213" s="52"/>
      <c r="MJO213" s="52"/>
      <c r="MJP213" s="52"/>
      <c r="MJQ213" s="52"/>
      <c r="MJR213" s="52"/>
      <c r="MJS213" s="52"/>
      <c r="MJT213" s="52"/>
      <c r="MJU213" s="52"/>
      <c r="MJV213" s="52"/>
      <c r="MJW213" s="52"/>
      <c r="MJX213" s="52"/>
      <c r="MJY213" s="52"/>
      <c r="MJZ213" s="52"/>
      <c r="MKA213" s="52"/>
      <c r="MKB213" s="52"/>
      <c r="MKC213" s="52"/>
      <c r="MKD213" s="52"/>
      <c r="MKE213" s="52"/>
      <c r="MKF213" s="52"/>
      <c r="MKG213" s="52"/>
      <c r="MKH213" s="52"/>
      <c r="MKI213" s="52"/>
      <c r="MKJ213" s="52"/>
      <c r="MKK213" s="52"/>
      <c r="MKL213" s="52"/>
      <c r="MKM213" s="52"/>
      <c r="MKN213" s="52"/>
      <c r="MKO213" s="52"/>
      <c r="MKP213" s="52"/>
      <c r="MKQ213" s="52"/>
      <c r="MKR213" s="52"/>
      <c r="MKS213" s="52"/>
      <c r="MKT213" s="52"/>
      <c r="MKU213" s="52"/>
      <c r="MKV213" s="52"/>
      <c r="MKW213" s="52"/>
      <c r="MKX213" s="52"/>
      <c r="MKY213" s="52"/>
      <c r="MKZ213" s="52"/>
      <c r="MLA213" s="52"/>
      <c r="MLB213" s="52"/>
      <c r="MLC213" s="52"/>
      <c r="MLD213" s="52"/>
      <c r="MLE213" s="52"/>
      <c r="MLF213" s="52"/>
      <c r="MLG213" s="52"/>
      <c r="MLH213" s="52"/>
      <c r="MLI213" s="52"/>
      <c r="MLJ213" s="52"/>
      <c r="MLK213" s="52"/>
      <c r="MLL213" s="52"/>
      <c r="MLM213" s="52"/>
      <c r="MLN213" s="52"/>
      <c r="MLO213" s="52"/>
      <c r="MLP213" s="52"/>
      <c r="MLQ213" s="52"/>
      <c r="MLR213" s="52"/>
      <c r="MLS213" s="52"/>
      <c r="MLT213" s="52"/>
      <c r="MLU213" s="52"/>
      <c r="MLV213" s="52"/>
      <c r="MLW213" s="52"/>
      <c r="MLX213" s="52"/>
      <c r="MLY213" s="52"/>
      <c r="MLZ213" s="52"/>
      <c r="MMA213" s="52"/>
      <c r="MMB213" s="52"/>
      <c r="MMC213" s="52"/>
      <c r="MMD213" s="52"/>
      <c r="MME213" s="52"/>
      <c r="MMF213" s="52"/>
      <c r="MMG213" s="52"/>
      <c r="MMH213" s="52"/>
      <c r="MMI213" s="52"/>
      <c r="MMJ213" s="52"/>
      <c r="MMK213" s="52"/>
      <c r="MML213" s="52"/>
      <c r="MMM213" s="52"/>
      <c r="MMN213" s="52"/>
      <c r="MMO213" s="52"/>
      <c r="MMP213" s="52"/>
      <c r="MMQ213" s="52"/>
      <c r="MMR213" s="52"/>
      <c r="MMS213" s="52"/>
      <c r="MMT213" s="52"/>
      <c r="MMU213" s="52"/>
      <c r="MMV213" s="52"/>
      <c r="MMW213" s="52"/>
      <c r="MMX213" s="52"/>
      <c r="MMY213" s="52"/>
      <c r="MMZ213" s="52"/>
      <c r="MNA213" s="52"/>
      <c r="MNB213" s="52"/>
      <c r="MNC213" s="52"/>
      <c r="MND213" s="52"/>
      <c r="MNE213" s="52"/>
      <c r="MNF213" s="52"/>
      <c r="MNG213" s="52"/>
      <c r="MNH213" s="52"/>
      <c r="MNI213" s="52"/>
      <c r="MNJ213" s="52"/>
      <c r="MNK213" s="52"/>
      <c r="MNL213" s="52"/>
      <c r="MNM213" s="52"/>
      <c r="MNN213" s="52"/>
      <c r="MNO213" s="52"/>
      <c r="MNP213" s="52"/>
      <c r="MNQ213" s="52"/>
      <c r="MNR213" s="52"/>
      <c r="MNS213" s="52"/>
      <c r="MNT213" s="52"/>
      <c r="MNU213" s="52"/>
      <c r="MNV213" s="52"/>
      <c r="MNW213" s="52"/>
      <c r="MNX213" s="52"/>
      <c r="MNY213" s="52"/>
      <c r="MNZ213" s="52"/>
      <c r="MOA213" s="52"/>
      <c r="MOB213" s="52"/>
      <c r="MOC213" s="52"/>
      <c r="MOD213" s="52"/>
      <c r="MOE213" s="52"/>
      <c r="MOF213" s="52"/>
      <c r="MOG213" s="52"/>
      <c r="MOH213" s="52"/>
      <c r="MOI213" s="52"/>
      <c r="MOJ213" s="52"/>
      <c r="MOK213" s="52"/>
      <c r="MOL213" s="52"/>
      <c r="MOM213" s="52"/>
      <c r="MON213" s="52"/>
      <c r="MOO213" s="52"/>
      <c r="MOP213" s="52"/>
      <c r="MOQ213" s="52"/>
      <c r="MOR213" s="52"/>
      <c r="MOS213" s="52"/>
      <c r="MOT213" s="52"/>
      <c r="MOU213" s="52"/>
      <c r="MOV213" s="52"/>
      <c r="MOW213" s="52"/>
      <c r="MOX213" s="52"/>
      <c r="MOY213" s="52"/>
      <c r="MOZ213" s="52"/>
      <c r="MPA213" s="52"/>
      <c r="MPB213" s="52"/>
      <c r="MPC213" s="52"/>
      <c r="MPD213" s="52"/>
      <c r="MPE213" s="52"/>
      <c r="MPF213" s="52"/>
      <c r="MPG213" s="52"/>
      <c r="MPH213" s="52"/>
      <c r="MPI213" s="52"/>
      <c r="MPJ213" s="52"/>
      <c r="MPK213" s="52"/>
      <c r="MPL213" s="52"/>
      <c r="MPM213" s="52"/>
      <c r="MPN213" s="52"/>
      <c r="MPO213" s="52"/>
      <c r="MPP213" s="52"/>
      <c r="MPQ213" s="52"/>
      <c r="MPR213" s="52"/>
      <c r="MPS213" s="52"/>
      <c r="MPT213" s="52"/>
      <c r="MPU213" s="52"/>
      <c r="MPV213" s="52"/>
      <c r="MPW213" s="52"/>
      <c r="MPX213" s="52"/>
      <c r="MPY213" s="52"/>
      <c r="MPZ213" s="52"/>
      <c r="MQA213" s="52"/>
      <c r="MQB213" s="52"/>
      <c r="MQC213" s="52"/>
      <c r="MQD213" s="52"/>
      <c r="MQE213" s="52"/>
      <c r="MQF213" s="52"/>
      <c r="MQG213" s="52"/>
      <c r="MQH213" s="52"/>
      <c r="MQI213" s="52"/>
      <c r="MQJ213" s="52"/>
      <c r="MQK213" s="52"/>
      <c r="MQL213" s="52"/>
      <c r="MQM213" s="52"/>
      <c r="MQN213" s="52"/>
      <c r="MQO213" s="52"/>
      <c r="MQP213" s="52"/>
      <c r="MQQ213" s="52"/>
      <c r="MQR213" s="52"/>
      <c r="MQS213" s="52"/>
      <c r="MQT213" s="52"/>
      <c r="MQU213" s="52"/>
      <c r="MQV213" s="52"/>
      <c r="MQW213" s="52"/>
      <c r="MQX213" s="52"/>
      <c r="MQY213" s="52"/>
      <c r="MQZ213" s="52"/>
      <c r="MRA213" s="52"/>
      <c r="MRB213" s="52"/>
      <c r="MRC213" s="52"/>
      <c r="MRD213" s="52"/>
      <c r="MRE213" s="52"/>
      <c r="MRF213" s="52"/>
      <c r="MRG213" s="52"/>
      <c r="MRH213" s="52"/>
      <c r="MRI213" s="52"/>
      <c r="MRJ213" s="52"/>
      <c r="MRK213" s="52"/>
      <c r="MRL213" s="52"/>
      <c r="MRM213" s="52"/>
      <c r="MRN213" s="52"/>
      <c r="MRO213" s="52"/>
      <c r="MRP213" s="52"/>
      <c r="MRQ213" s="52"/>
      <c r="MRR213" s="52"/>
      <c r="MRS213" s="52"/>
      <c r="MRT213" s="52"/>
      <c r="MRU213" s="52"/>
      <c r="MRV213" s="52"/>
      <c r="MRW213" s="52"/>
      <c r="MRX213" s="52"/>
      <c r="MRY213" s="52"/>
      <c r="MRZ213" s="52"/>
      <c r="MSA213" s="52"/>
      <c r="MSB213" s="52"/>
      <c r="MSC213" s="52"/>
      <c r="MSD213" s="52"/>
      <c r="MSE213" s="52"/>
      <c r="MSF213" s="52"/>
      <c r="MSG213" s="52"/>
      <c r="MSH213" s="52"/>
      <c r="MSI213" s="52"/>
      <c r="MSJ213" s="52"/>
      <c r="MSK213" s="52"/>
      <c r="MSL213" s="52"/>
      <c r="MSM213" s="52"/>
      <c r="MSN213" s="52"/>
      <c r="MSO213" s="52"/>
      <c r="MSP213" s="52"/>
      <c r="MSQ213" s="52"/>
      <c r="MSR213" s="52"/>
      <c r="MSS213" s="52"/>
      <c r="MST213" s="52"/>
      <c r="MSU213" s="52"/>
      <c r="MSV213" s="52"/>
      <c r="MSW213" s="52"/>
      <c r="MSX213" s="52"/>
      <c r="MSY213" s="52"/>
      <c r="MSZ213" s="52"/>
      <c r="MTA213" s="52"/>
      <c r="MTB213" s="52"/>
      <c r="MTC213" s="52"/>
      <c r="MTD213" s="52"/>
      <c r="MTE213" s="52"/>
      <c r="MTF213" s="52"/>
      <c r="MTG213" s="52"/>
      <c r="MTH213" s="52"/>
      <c r="MTI213" s="52"/>
      <c r="MTJ213" s="52"/>
      <c r="MTK213" s="52"/>
      <c r="MTL213" s="52"/>
      <c r="MTM213" s="52"/>
      <c r="MTN213" s="52"/>
      <c r="MTO213" s="52"/>
      <c r="MTP213" s="52"/>
      <c r="MTQ213" s="52"/>
      <c r="MTR213" s="52"/>
      <c r="MTS213" s="52"/>
      <c r="MTT213" s="52"/>
      <c r="MTU213" s="52"/>
      <c r="MTV213" s="52"/>
      <c r="MTW213" s="52"/>
      <c r="MTX213" s="52"/>
      <c r="MTY213" s="52"/>
      <c r="MTZ213" s="52"/>
      <c r="MUA213" s="52"/>
      <c r="MUB213" s="52"/>
      <c r="MUC213" s="52"/>
      <c r="MUD213" s="52"/>
      <c r="MUE213" s="52"/>
      <c r="MUF213" s="52"/>
      <c r="MUG213" s="52"/>
      <c r="MUH213" s="52"/>
      <c r="MUI213" s="52"/>
      <c r="MUJ213" s="52"/>
      <c r="MUK213" s="52"/>
      <c r="MUL213" s="52"/>
      <c r="MUM213" s="52"/>
      <c r="MUN213" s="52"/>
      <c r="MUO213" s="52"/>
      <c r="MUP213" s="52"/>
      <c r="MUQ213" s="52"/>
      <c r="MUR213" s="52"/>
      <c r="MUS213" s="52"/>
      <c r="MUT213" s="52"/>
      <c r="MUU213" s="52"/>
      <c r="MUV213" s="52"/>
      <c r="MUW213" s="52"/>
      <c r="MUX213" s="52"/>
      <c r="MUY213" s="52"/>
      <c r="MUZ213" s="52"/>
      <c r="MVA213" s="52"/>
      <c r="MVB213" s="52"/>
      <c r="MVC213" s="52"/>
      <c r="MVD213" s="52"/>
      <c r="MVE213" s="52"/>
      <c r="MVF213" s="52"/>
      <c r="MVG213" s="52"/>
      <c r="MVH213" s="52"/>
      <c r="MVI213" s="52"/>
      <c r="MVJ213" s="52"/>
      <c r="MVK213" s="52"/>
      <c r="MVL213" s="52"/>
      <c r="MVM213" s="52"/>
      <c r="MVN213" s="52"/>
      <c r="MVO213" s="52"/>
      <c r="MVP213" s="52"/>
      <c r="MVQ213" s="52"/>
      <c r="MVR213" s="52"/>
      <c r="MVS213" s="52"/>
      <c r="MVT213" s="52"/>
      <c r="MVU213" s="52"/>
      <c r="MVV213" s="52"/>
      <c r="MVW213" s="52"/>
      <c r="MVX213" s="52"/>
      <c r="MVY213" s="52"/>
      <c r="MVZ213" s="52"/>
      <c r="MWA213" s="52"/>
      <c r="MWB213" s="52"/>
      <c r="MWC213" s="52"/>
      <c r="MWD213" s="52"/>
      <c r="MWE213" s="52"/>
      <c r="MWF213" s="52"/>
      <c r="MWG213" s="52"/>
      <c r="MWH213" s="52"/>
      <c r="MWI213" s="52"/>
      <c r="MWJ213" s="52"/>
      <c r="MWK213" s="52"/>
      <c r="MWL213" s="52"/>
      <c r="MWM213" s="52"/>
      <c r="MWN213" s="52"/>
      <c r="MWO213" s="52"/>
      <c r="MWP213" s="52"/>
      <c r="MWQ213" s="52"/>
      <c r="MWR213" s="52"/>
      <c r="MWS213" s="52"/>
      <c r="MWT213" s="52"/>
      <c r="MWU213" s="52"/>
      <c r="MWV213" s="52"/>
      <c r="MWW213" s="52"/>
      <c r="MWX213" s="52"/>
      <c r="MWY213" s="52"/>
      <c r="MWZ213" s="52"/>
      <c r="MXA213" s="52"/>
      <c r="MXB213" s="52"/>
      <c r="MXC213" s="52"/>
      <c r="MXD213" s="52"/>
      <c r="MXE213" s="52"/>
      <c r="MXF213" s="52"/>
      <c r="MXG213" s="52"/>
      <c r="MXH213" s="52"/>
      <c r="MXI213" s="52"/>
      <c r="MXJ213" s="52"/>
      <c r="MXK213" s="52"/>
      <c r="MXL213" s="52"/>
      <c r="MXM213" s="52"/>
      <c r="MXN213" s="52"/>
      <c r="MXO213" s="52"/>
      <c r="MXP213" s="52"/>
      <c r="MXQ213" s="52"/>
      <c r="MXR213" s="52"/>
      <c r="MXS213" s="52"/>
      <c r="MXT213" s="52"/>
      <c r="MXU213" s="52"/>
      <c r="MXV213" s="52"/>
      <c r="MXW213" s="52"/>
      <c r="MXX213" s="52"/>
      <c r="MXY213" s="52"/>
      <c r="MXZ213" s="52"/>
      <c r="MYA213" s="52"/>
      <c r="MYB213" s="52"/>
      <c r="MYC213" s="52"/>
      <c r="MYD213" s="52"/>
      <c r="MYE213" s="52"/>
      <c r="MYF213" s="52"/>
      <c r="MYG213" s="52"/>
      <c r="MYH213" s="52"/>
      <c r="MYI213" s="52"/>
      <c r="MYJ213" s="52"/>
      <c r="MYK213" s="52"/>
      <c r="MYL213" s="52"/>
      <c r="MYM213" s="52"/>
      <c r="MYN213" s="52"/>
      <c r="MYO213" s="52"/>
      <c r="MYP213" s="52"/>
      <c r="MYQ213" s="52"/>
      <c r="MYR213" s="52"/>
      <c r="MYS213" s="52"/>
      <c r="MYT213" s="52"/>
      <c r="MYU213" s="52"/>
      <c r="MYV213" s="52"/>
      <c r="MYW213" s="52"/>
      <c r="MYX213" s="52"/>
      <c r="MYY213" s="52"/>
      <c r="MYZ213" s="52"/>
      <c r="MZA213" s="52"/>
      <c r="MZB213" s="52"/>
      <c r="MZC213" s="52"/>
      <c r="MZD213" s="52"/>
      <c r="MZE213" s="52"/>
      <c r="MZF213" s="52"/>
      <c r="MZG213" s="52"/>
      <c r="MZH213" s="52"/>
      <c r="MZI213" s="52"/>
      <c r="MZJ213" s="52"/>
      <c r="MZK213" s="52"/>
      <c r="MZL213" s="52"/>
      <c r="MZM213" s="52"/>
      <c r="MZN213" s="52"/>
      <c r="MZO213" s="52"/>
      <c r="MZP213" s="52"/>
      <c r="MZQ213" s="52"/>
      <c r="MZR213" s="52"/>
      <c r="MZS213" s="52"/>
      <c r="MZT213" s="52"/>
      <c r="MZU213" s="52"/>
      <c r="MZV213" s="52"/>
      <c r="MZW213" s="52"/>
      <c r="MZX213" s="52"/>
      <c r="MZY213" s="52"/>
      <c r="MZZ213" s="52"/>
      <c r="NAA213" s="52"/>
      <c r="NAB213" s="52"/>
      <c r="NAC213" s="52"/>
      <c r="NAD213" s="52"/>
      <c r="NAE213" s="52"/>
      <c r="NAF213" s="52"/>
      <c r="NAG213" s="52"/>
      <c r="NAH213" s="52"/>
      <c r="NAI213" s="52"/>
      <c r="NAJ213" s="52"/>
      <c r="NAK213" s="52"/>
      <c r="NAL213" s="52"/>
      <c r="NAM213" s="52"/>
      <c r="NAN213" s="52"/>
      <c r="NAO213" s="52"/>
      <c r="NAP213" s="52"/>
      <c r="NAQ213" s="52"/>
      <c r="NAR213" s="52"/>
      <c r="NAS213" s="52"/>
      <c r="NAT213" s="52"/>
      <c r="NAU213" s="52"/>
      <c r="NAV213" s="52"/>
      <c r="NAW213" s="52"/>
      <c r="NAX213" s="52"/>
      <c r="NAY213" s="52"/>
      <c r="NAZ213" s="52"/>
      <c r="NBA213" s="52"/>
      <c r="NBB213" s="52"/>
      <c r="NBC213" s="52"/>
      <c r="NBD213" s="52"/>
      <c r="NBE213" s="52"/>
      <c r="NBF213" s="52"/>
      <c r="NBG213" s="52"/>
      <c r="NBH213" s="52"/>
      <c r="NBI213" s="52"/>
      <c r="NBJ213" s="52"/>
      <c r="NBK213" s="52"/>
      <c r="NBL213" s="52"/>
      <c r="NBM213" s="52"/>
      <c r="NBN213" s="52"/>
      <c r="NBO213" s="52"/>
      <c r="NBP213" s="52"/>
      <c r="NBQ213" s="52"/>
      <c r="NBR213" s="52"/>
      <c r="NBS213" s="52"/>
      <c r="NBT213" s="52"/>
      <c r="NBU213" s="52"/>
      <c r="NBV213" s="52"/>
      <c r="NBW213" s="52"/>
      <c r="NBX213" s="52"/>
      <c r="NBY213" s="52"/>
      <c r="NBZ213" s="52"/>
      <c r="NCA213" s="52"/>
      <c r="NCB213" s="52"/>
      <c r="NCC213" s="52"/>
      <c r="NCD213" s="52"/>
      <c r="NCE213" s="52"/>
      <c r="NCF213" s="52"/>
      <c r="NCG213" s="52"/>
      <c r="NCH213" s="52"/>
      <c r="NCI213" s="52"/>
      <c r="NCJ213" s="52"/>
      <c r="NCK213" s="52"/>
      <c r="NCL213" s="52"/>
      <c r="NCM213" s="52"/>
      <c r="NCN213" s="52"/>
      <c r="NCO213" s="52"/>
      <c r="NCP213" s="52"/>
      <c r="NCQ213" s="52"/>
      <c r="NCR213" s="52"/>
      <c r="NCS213" s="52"/>
      <c r="NCT213" s="52"/>
      <c r="NCU213" s="52"/>
      <c r="NCV213" s="52"/>
      <c r="NCW213" s="52"/>
      <c r="NCX213" s="52"/>
      <c r="NCY213" s="52"/>
      <c r="NCZ213" s="52"/>
      <c r="NDA213" s="52"/>
      <c r="NDB213" s="52"/>
      <c r="NDC213" s="52"/>
      <c r="NDD213" s="52"/>
      <c r="NDE213" s="52"/>
      <c r="NDF213" s="52"/>
      <c r="NDG213" s="52"/>
      <c r="NDH213" s="52"/>
      <c r="NDI213" s="52"/>
      <c r="NDJ213" s="52"/>
      <c r="NDK213" s="52"/>
      <c r="NDL213" s="52"/>
      <c r="NDM213" s="52"/>
      <c r="NDN213" s="52"/>
      <c r="NDO213" s="52"/>
      <c r="NDP213" s="52"/>
      <c r="NDQ213" s="52"/>
      <c r="NDR213" s="52"/>
      <c r="NDS213" s="52"/>
      <c r="NDT213" s="52"/>
      <c r="NDU213" s="52"/>
      <c r="NDV213" s="52"/>
      <c r="NDW213" s="52"/>
      <c r="NDX213" s="52"/>
      <c r="NDY213" s="52"/>
      <c r="NDZ213" s="52"/>
      <c r="NEA213" s="52"/>
      <c r="NEB213" s="52"/>
      <c r="NEC213" s="52"/>
      <c r="NED213" s="52"/>
      <c r="NEE213" s="52"/>
      <c r="NEF213" s="52"/>
      <c r="NEG213" s="52"/>
      <c r="NEH213" s="52"/>
      <c r="NEI213" s="52"/>
      <c r="NEJ213" s="52"/>
      <c r="NEK213" s="52"/>
      <c r="NEL213" s="52"/>
      <c r="NEM213" s="52"/>
      <c r="NEN213" s="52"/>
      <c r="NEO213" s="52"/>
      <c r="NEP213" s="52"/>
      <c r="NEQ213" s="52"/>
      <c r="NER213" s="52"/>
      <c r="NES213" s="52"/>
      <c r="NET213" s="52"/>
      <c r="NEU213" s="52"/>
      <c r="NEV213" s="52"/>
      <c r="NEW213" s="52"/>
      <c r="NEX213" s="52"/>
      <c r="NEY213" s="52"/>
      <c r="NEZ213" s="52"/>
      <c r="NFA213" s="52"/>
      <c r="NFB213" s="52"/>
      <c r="NFC213" s="52"/>
      <c r="NFD213" s="52"/>
      <c r="NFE213" s="52"/>
      <c r="NFF213" s="52"/>
      <c r="NFG213" s="52"/>
      <c r="NFH213" s="52"/>
      <c r="NFI213" s="52"/>
      <c r="NFJ213" s="52"/>
      <c r="NFK213" s="52"/>
      <c r="NFL213" s="52"/>
      <c r="NFM213" s="52"/>
      <c r="NFN213" s="52"/>
      <c r="NFO213" s="52"/>
      <c r="NFP213" s="52"/>
      <c r="NFQ213" s="52"/>
      <c r="NFR213" s="52"/>
      <c r="NFS213" s="52"/>
      <c r="NFT213" s="52"/>
      <c r="NFU213" s="52"/>
      <c r="NFV213" s="52"/>
      <c r="NFW213" s="52"/>
      <c r="NFX213" s="52"/>
      <c r="NFY213" s="52"/>
      <c r="NFZ213" s="52"/>
      <c r="NGA213" s="52"/>
      <c r="NGB213" s="52"/>
      <c r="NGC213" s="52"/>
      <c r="NGD213" s="52"/>
      <c r="NGE213" s="52"/>
      <c r="NGF213" s="52"/>
      <c r="NGG213" s="52"/>
      <c r="NGH213" s="52"/>
      <c r="NGI213" s="52"/>
      <c r="NGJ213" s="52"/>
      <c r="NGK213" s="52"/>
      <c r="NGL213" s="52"/>
      <c r="NGM213" s="52"/>
      <c r="NGN213" s="52"/>
      <c r="NGO213" s="52"/>
      <c r="NGP213" s="52"/>
      <c r="NGQ213" s="52"/>
      <c r="NGR213" s="52"/>
      <c r="NGS213" s="52"/>
      <c r="NGT213" s="52"/>
      <c r="NGU213" s="52"/>
      <c r="NGV213" s="52"/>
      <c r="NGW213" s="52"/>
      <c r="NGX213" s="52"/>
      <c r="NGY213" s="52"/>
      <c r="NGZ213" s="52"/>
      <c r="NHA213" s="52"/>
      <c r="NHB213" s="52"/>
      <c r="NHC213" s="52"/>
      <c r="NHD213" s="52"/>
      <c r="NHE213" s="52"/>
      <c r="NHF213" s="52"/>
      <c r="NHG213" s="52"/>
      <c r="NHH213" s="52"/>
      <c r="NHI213" s="52"/>
      <c r="NHJ213" s="52"/>
      <c r="NHK213" s="52"/>
      <c r="NHL213" s="52"/>
      <c r="NHM213" s="52"/>
      <c r="NHN213" s="52"/>
      <c r="NHO213" s="52"/>
      <c r="NHP213" s="52"/>
      <c r="NHQ213" s="52"/>
      <c r="NHR213" s="52"/>
      <c r="NHS213" s="52"/>
      <c r="NHT213" s="52"/>
      <c r="NHU213" s="52"/>
      <c r="NHV213" s="52"/>
      <c r="NHW213" s="52"/>
      <c r="NHX213" s="52"/>
      <c r="NHY213" s="52"/>
      <c r="NHZ213" s="52"/>
      <c r="NIA213" s="52"/>
      <c r="NIB213" s="52"/>
      <c r="NIC213" s="52"/>
      <c r="NID213" s="52"/>
      <c r="NIE213" s="52"/>
      <c r="NIF213" s="52"/>
      <c r="NIG213" s="52"/>
      <c r="NIH213" s="52"/>
      <c r="NII213" s="52"/>
      <c r="NIJ213" s="52"/>
      <c r="NIK213" s="52"/>
      <c r="NIL213" s="52"/>
      <c r="NIM213" s="52"/>
      <c r="NIN213" s="52"/>
      <c r="NIO213" s="52"/>
      <c r="NIP213" s="52"/>
      <c r="NIQ213" s="52"/>
      <c r="NIR213" s="52"/>
      <c r="NIS213" s="52"/>
      <c r="NIT213" s="52"/>
      <c r="NIU213" s="52"/>
      <c r="NIV213" s="52"/>
      <c r="NIW213" s="52"/>
      <c r="NIX213" s="52"/>
      <c r="NIY213" s="52"/>
      <c r="NIZ213" s="52"/>
      <c r="NJA213" s="52"/>
      <c r="NJB213" s="52"/>
      <c r="NJC213" s="52"/>
      <c r="NJD213" s="52"/>
      <c r="NJE213" s="52"/>
      <c r="NJF213" s="52"/>
      <c r="NJG213" s="52"/>
      <c r="NJH213" s="52"/>
      <c r="NJI213" s="52"/>
      <c r="NJJ213" s="52"/>
      <c r="NJK213" s="52"/>
      <c r="NJL213" s="52"/>
      <c r="NJM213" s="52"/>
      <c r="NJN213" s="52"/>
      <c r="NJO213" s="52"/>
      <c r="NJP213" s="52"/>
      <c r="NJQ213" s="52"/>
      <c r="NJR213" s="52"/>
      <c r="NJS213" s="52"/>
      <c r="NJT213" s="52"/>
      <c r="NJU213" s="52"/>
      <c r="NJV213" s="52"/>
      <c r="NJW213" s="52"/>
      <c r="NJX213" s="52"/>
      <c r="NJY213" s="52"/>
      <c r="NJZ213" s="52"/>
      <c r="NKA213" s="52"/>
      <c r="NKB213" s="52"/>
      <c r="NKC213" s="52"/>
      <c r="NKD213" s="52"/>
      <c r="NKE213" s="52"/>
      <c r="NKF213" s="52"/>
      <c r="NKG213" s="52"/>
      <c r="NKH213" s="52"/>
      <c r="NKI213" s="52"/>
      <c r="NKJ213" s="52"/>
      <c r="NKK213" s="52"/>
      <c r="NKL213" s="52"/>
      <c r="NKM213" s="52"/>
      <c r="NKN213" s="52"/>
      <c r="NKO213" s="52"/>
      <c r="NKP213" s="52"/>
      <c r="NKQ213" s="52"/>
      <c r="NKR213" s="52"/>
      <c r="NKS213" s="52"/>
      <c r="NKT213" s="52"/>
      <c r="NKU213" s="52"/>
      <c r="NKV213" s="52"/>
      <c r="NKW213" s="52"/>
      <c r="NKX213" s="52"/>
      <c r="NKY213" s="52"/>
      <c r="NKZ213" s="52"/>
      <c r="NLA213" s="52"/>
      <c r="NLB213" s="52"/>
      <c r="NLC213" s="52"/>
      <c r="NLD213" s="52"/>
      <c r="NLE213" s="52"/>
      <c r="NLF213" s="52"/>
      <c r="NLG213" s="52"/>
      <c r="NLH213" s="52"/>
      <c r="NLI213" s="52"/>
      <c r="NLJ213" s="52"/>
      <c r="NLK213" s="52"/>
      <c r="NLL213" s="52"/>
      <c r="NLM213" s="52"/>
      <c r="NLN213" s="52"/>
      <c r="NLO213" s="52"/>
      <c r="NLP213" s="52"/>
      <c r="NLQ213" s="52"/>
      <c r="NLR213" s="52"/>
      <c r="NLS213" s="52"/>
      <c r="NLT213" s="52"/>
      <c r="NLU213" s="52"/>
      <c r="NLV213" s="52"/>
      <c r="NLW213" s="52"/>
      <c r="NLX213" s="52"/>
      <c r="NLY213" s="52"/>
      <c r="NLZ213" s="52"/>
      <c r="NMA213" s="52"/>
      <c r="NMB213" s="52"/>
      <c r="NMC213" s="52"/>
      <c r="NMD213" s="52"/>
      <c r="NME213" s="52"/>
      <c r="NMF213" s="52"/>
      <c r="NMG213" s="52"/>
      <c r="NMH213" s="52"/>
      <c r="NMI213" s="52"/>
      <c r="NMJ213" s="52"/>
      <c r="NMK213" s="52"/>
      <c r="NML213" s="52"/>
      <c r="NMM213" s="52"/>
      <c r="NMN213" s="52"/>
      <c r="NMO213" s="52"/>
      <c r="NMP213" s="52"/>
      <c r="NMQ213" s="52"/>
      <c r="NMR213" s="52"/>
      <c r="NMS213" s="52"/>
      <c r="NMT213" s="52"/>
      <c r="NMU213" s="52"/>
      <c r="NMV213" s="52"/>
      <c r="NMW213" s="52"/>
      <c r="NMX213" s="52"/>
      <c r="NMY213" s="52"/>
      <c r="NMZ213" s="52"/>
      <c r="NNA213" s="52"/>
      <c r="NNB213" s="52"/>
      <c r="NNC213" s="52"/>
      <c r="NND213" s="52"/>
      <c r="NNE213" s="52"/>
      <c r="NNF213" s="52"/>
      <c r="NNG213" s="52"/>
      <c r="NNH213" s="52"/>
      <c r="NNI213" s="52"/>
      <c r="NNJ213" s="52"/>
      <c r="NNK213" s="52"/>
      <c r="NNL213" s="52"/>
      <c r="NNM213" s="52"/>
      <c r="NNN213" s="52"/>
      <c r="NNO213" s="52"/>
      <c r="NNP213" s="52"/>
      <c r="NNQ213" s="52"/>
      <c r="NNR213" s="52"/>
      <c r="NNS213" s="52"/>
      <c r="NNT213" s="52"/>
      <c r="NNU213" s="52"/>
      <c r="NNV213" s="52"/>
      <c r="NNW213" s="52"/>
      <c r="NNX213" s="52"/>
      <c r="NNY213" s="52"/>
      <c r="NNZ213" s="52"/>
      <c r="NOA213" s="52"/>
      <c r="NOB213" s="52"/>
      <c r="NOC213" s="52"/>
      <c r="NOD213" s="52"/>
      <c r="NOE213" s="52"/>
      <c r="NOF213" s="52"/>
      <c r="NOG213" s="52"/>
      <c r="NOH213" s="52"/>
      <c r="NOI213" s="52"/>
      <c r="NOJ213" s="52"/>
      <c r="NOK213" s="52"/>
      <c r="NOL213" s="52"/>
      <c r="NOM213" s="52"/>
      <c r="NON213" s="52"/>
      <c r="NOO213" s="52"/>
      <c r="NOP213" s="52"/>
      <c r="NOQ213" s="52"/>
      <c r="NOR213" s="52"/>
      <c r="NOS213" s="52"/>
      <c r="NOT213" s="52"/>
      <c r="NOU213" s="52"/>
      <c r="NOV213" s="52"/>
      <c r="NOW213" s="52"/>
      <c r="NOX213" s="52"/>
      <c r="NOY213" s="52"/>
      <c r="NOZ213" s="52"/>
      <c r="NPA213" s="52"/>
      <c r="NPB213" s="52"/>
      <c r="NPC213" s="52"/>
      <c r="NPD213" s="52"/>
      <c r="NPE213" s="52"/>
      <c r="NPF213" s="52"/>
      <c r="NPG213" s="52"/>
      <c r="NPH213" s="52"/>
      <c r="NPI213" s="52"/>
      <c r="NPJ213" s="52"/>
      <c r="NPK213" s="52"/>
      <c r="NPL213" s="52"/>
      <c r="NPM213" s="52"/>
      <c r="NPN213" s="52"/>
      <c r="NPO213" s="52"/>
      <c r="NPP213" s="52"/>
      <c r="NPQ213" s="52"/>
      <c r="NPR213" s="52"/>
      <c r="NPS213" s="52"/>
      <c r="NPT213" s="52"/>
      <c r="NPU213" s="52"/>
      <c r="NPV213" s="52"/>
      <c r="NPW213" s="52"/>
      <c r="NPX213" s="52"/>
      <c r="NPY213" s="52"/>
      <c r="NPZ213" s="52"/>
      <c r="NQA213" s="52"/>
      <c r="NQB213" s="52"/>
      <c r="NQC213" s="52"/>
      <c r="NQD213" s="52"/>
      <c r="NQE213" s="52"/>
      <c r="NQF213" s="52"/>
      <c r="NQG213" s="52"/>
      <c r="NQH213" s="52"/>
      <c r="NQI213" s="52"/>
      <c r="NQJ213" s="52"/>
      <c r="NQK213" s="52"/>
      <c r="NQL213" s="52"/>
      <c r="NQM213" s="52"/>
      <c r="NQN213" s="52"/>
      <c r="NQO213" s="52"/>
      <c r="NQP213" s="52"/>
      <c r="NQQ213" s="52"/>
      <c r="NQR213" s="52"/>
      <c r="NQS213" s="52"/>
      <c r="NQT213" s="52"/>
      <c r="NQU213" s="52"/>
      <c r="NQV213" s="52"/>
      <c r="NQW213" s="52"/>
      <c r="NQX213" s="52"/>
      <c r="NQY213" s="52"/>
      <c r="NQZ213" s="52"/>
      <c r="NRA213" s="52"/>
      <c r="NRB213" s="52"/>
      <c r="NRC213" s="52"/>
      <c r="NRD213" s="52"/>
      <c r="NRE213" s="52"/>
      <c r="NRF213" s="52"/>
      <c r="NRG213" s="52"/>
      <c r="NRH213" s="52"/>
      <c r="NRI213" s="52"/>
      <c r="NRJ213" s="52"/>
      <c r="NRK213" s="52"/>
      <c r="NRL213" s="52"/>
      <c r="NRM213" s="52"/>
      <c r="NRN213" s="52"/>
      <c r="NRO213" s="52"/>
      <c r="NRP213" s="52"/>
      <c r="NRQ213" s="52"/>
      <c r="NRR213" s="52"/>
      <c r="NRS213" s="52"/>
      <c r="NRT213" s="52"/>
      <c r="NRU213" s="52"/>
      <c r="NRV213" s="52"/>
      <c r="NRW213" s="52"/>
      <c r="NRX213" s="52"/>
      <c r="NRY213" s="52"/>
      <c r="NRZ213" s="52"/>
      <c r="NSA213" s="52"/>
      <c r="NSB213" s="52"/>
      <c r="NSC213" s="52"/>
      <c r="NSD213" s="52"/>
      <c r="NSE213" s="52"/>
      <c r="NSF213" s="52"/>
      <c r="NSG213" s="52"/>
      <c r="NSH213" s="52"/>
      <c r="NSI213" s="52"/>
      <c r="NSJ213" s="52"/>
      <c r="NSK213" s="52"/>
      <c r="NSL213" s="52"/>
      <c r="NSM213" s="52"/>
      <c r="NSN213" s="52"/>
      <c r="NSO213" s="52"/>
      <c r="NSP213" s="52"/>
      <c r="NSQ213" s="52"/>
      <c r="NSR213" s="52"/>
      <c r="NSS213" s="52"/>
      <c r="NST213" s="52"/>
      <c r="NSU213" s="52"/>
      <c r="NSV213" s="52"/>
      <c r="NSW213" s="52"/>
      <c r="NSX213" s="52"/>
      <c r="NSY213" s="52"/>
      <c r="NSZ213" s="52"/>
      <c r="NTA213" s="52"/>
      <c r="NTB213" s="52"/>
      <c r="NTC213" s="52"/>
      <c r="NTD213" s="52"/>
      <c r="NTE213" s="52"/>
      <c r="NTF213" s="52"/>
      <c r="NTG213" s="52"/>
      <c r="NTH213" s="52"/>
      <c r="NTI213" s="52"/>
      <c r="NTJ213" s="52"/>
      <c r="NTK213" s="52"/>
      <c r="NTL213" s="52"/>
      <c r="NTM213" s="52"/>
      <c r="NTN213" s="52"/>
      <c r="NTO213" s="52"/>
      <c r="NTP213" s="52"/>
      <c r="NTQ213" s="52"/>
      <c r="NTR213" s="52"/>
      <c r="NTS213" s="52"/>
      <c r="NTT213" s="52"/>
      <c r="NTU213" s="52"/>
      <c r="NTV213" s="52"/>
      <c r="NTW213" s="52"/>
      <c r="NTX213" s="52"/>
      <c r="NTY213" s="52"/>
      <c r="NTZ213" s="52"/>
      <c r="NUA213" s="52"/>
      <c r="NUB213" s="52"/>
      <c r="NUC213" s="52"/>
      <c r="NUD213" s="52"/>
      <c r="NUE213" s="52"/>
      <c r="NUF213" s="52"/>
      <c r="NUG213" s="52"/>
      <c r="NUH213" s="52"/>
      <c r="NUI213" s="52"/>
      <c r="NUJ213" s="52"/>
      <c r="NUK213" s="52"/>
      <c r="NUL213" s="52"/>
      <c r="NUM213" s="52"/>
      <c r="NUN213" s="52"/>
      <c r="NUO213" s="52"/>
      <c r="NUP213" s="52"/>
      <c r="NUQ213" s="52"/>
      <c r="NUR213" s="52"/>
      <c r="NUS213" s="52"/>
      <c r="NUT213" s="52"/>
      <c r="NUU213" s="52"/>
      <c r="NUV213" s="52"/>
      <c r="NUW213" s="52"/>
      <c r="NUX213" s="52"/>
      <c r="NUY213" s="52"/>
      <c r="NUZ213" s="52"/>
      <c r="NVA213" s="52"/>
      <c r="NVB213" s="52"/>
      <c r="NVC213" s="52"/>
      <c r="NVD213" s="52"/>
      <c r="NVE213" s="52"/>
      <c r="NVF213" s="52"/>
      <c r="NVG213" s="52"/>
      <c r="NVH213" s="52"/>
      <c r="NVI213" s="52"/>
      <c r="NVJ213" s="52"/>
      <c r="NVK213" s="52"/>
      <c r="NVL213" s="52"/>
      <c r="NVM213" s="52"/>
      <c r="NVN213" s="52"/>
      <c r="NVO213" s="52"/>
      <c r="NVP213" s="52"/>
      <c r="NVQ213" s="52"/>
      <c r="NVR213" s="52"/>
      <c r="NVS213" s="52"/>
      <c r="NVT213" s="52"/>
      <c r="NVU213" s="52"/>
      <c r="NVV213" s="52"/>
      <c r="NVW213" s="52"/>
      <c r="NVX213" s="52"/>
      <c r="NVY213" s="52"/>
      <c r="NVZ213" s="52"/>
      <c r="NWA213" s="52"/>
      <c r="NWB213" s="52"/>
      <c r="NWC213" s="52"/>
      <c r="NWD213" s="52"/>
      <c r="NWE213" s="52"/>
      <c r="NWF213" s="52"/>
      <c r="NWG213" s="52"/>
      <c r="NWH213" s="52"/>
      <c r="NWI213" s="52"/>
      <c r="NWJ213" s="52"/>
      <c r="NWK213" s="52"/>
      <c r="NWL213" s="52"/>
      <c r="NWM213" s="52"/>
      <c r="NWN213" s="52"/>
      <c r="NWO213" s="52"/>
      <c r="NWP213" s="52"/>
      <c r="NWQ213" s="52"/>
      <c r="NWR213" s="52"/>
      <c r="NWS213" s="52"/>
      <c r="NWT213" s="52"/>
      <c r="NWU213" s="52"/>
      <c r="NWV213" s="52"/>
      <c r="NWW213" s="52"/>
      <c r="NWX213" s="52"/>
      <c r="NWY213" s="52"/>
      <c r="NWZ213" s="52"/>
      <c r="NXA213" s="52"/>
      <c r="NXB213" s="52"/>
      <c r="NXC213" s="52"/>
      <c r="NXD213" s="52"/>
      <c r="NXE213" s="52"/>
      <c r="NXF213" s="52"/>
      <c r="NXG213" s="52"/>
      <c r="NXH213" s="52"/>
      <c r="NXI213" s="52"/>
      <c r="NXJ213" s="52"/>
      <c r="NXK213" s="52"/>
      <c r="NXL213" s="52"/>
      <c r="NXM213" s="52"/>
      <c r="NXN213" s="52"/>
      <c r="NXO213" s="52"/>
      <c r="NXP213" s="52"/>
      <c r="NXQ213" s="52"/>
      <c r="NXR213" s="52"/>
      <c r="NXS213" s="52"/>
      <c r="NXT213" s="52"/>
      <c r="NXU213" s="52"/>
      <c r="NXV213" s="52"/>
      <c r="NXW213" s="52"/>
      <c r="NXX213" s="52"/>
      <c r="NXY213" s="52"/>
      <c r="NXZ213" s="52"/>
      <c r="NYA213" s="52"/>
      <c r="NYB213" s="52"/>
      <c r="NYC213" s="52"/>
      <c r="NYD213" s="52"/>
      <c r="NYE213" s="52"/>
      <c r="NYF213" s="52"/>
      <c r="NYG213" s="52"/>
      <c r="NYH213" s="52"/>
      <c r="NYI213" s="52"/>
      <c r="NYJ213" s="52"/>
      <c r="NYK213" s="52"/>
      <c r="NYL213" s="52"/>
      <c r="NYM213" s="52"/>
      <c r="NYN213" s="52"/>
      <c r="NYO213" s="52"/>
      <c r="NYP213" s="52"/>
      <c r="NYQ213" s="52"/>
      <c r="NYR213" s="52"/>
      <c r="NYS213" s="52"/>
      <c r="NYT213" s="52"/>
      <c r="NYU213" s="52"/>
      <c r="NYV213" s="52"/>
      <c r="NYW213" s="52"/>
      <c r="NYX213" s="52"/>
      <c r="NYY213" s="52"/>
      <c r="NYZ213" s="52"/>
      <c r="NZA213" s="52"/>
      <c r="NZB213" s="52"/>
      <c r="NZC213" s="52"/>
      <c r="NZD213" s="52"/>
      <c r="NZE213" s="52"/>
      <c r="NZF213" s="52"/>
      <c r="NZG213" s="52"/>
      <c r="NZH213" s="52"/>
      <c r="NZI213" s="52"/>
      <c r="NZJ213" s="52"/>
      <c r="NZK213" s="52"/>
      <c r="NZL213" s="52"/>
      <c r="NZM213" s="52"/>
      <c r="NZN213" s="52"/>
      <c r="NZO213" s="52"/>
      <c r="NZP213" s="52"/>
      <c r="NZQ213" s="52"/>
      <c r="NZR213" s="52"/>
      <c r="NZS213" s="52"/>
      <c r="NZT213" s="52"/>
      <c r="NZU213" s="52"/>
      <c r="NZV213" s="52"/>
      <c r="NZW213" s="52"/>
      <c r="NZX213" s="52"/>
      <c r="NZY213" s="52"/>
      <c r="NZZ213" s="52"/>
      <c r="OAA213" s="52"/>
      <c r="OAB213" s="52"/>
      <c r="OAC213" s="52"/>
      <c r="OAD213" s="52"/>
      <c r="OAE213" s="52"/>
      <c r="OAF213" s="52"/>
      <c r="OAG213" s="52"/>
      <c r="OAH213" s="52"/>
      <c r="OAI213" s="52"/>
      <c r="OAJ213" s="52"/>
      <c r="OAK213" s="52"/>
      <c r="OAL213" s="52"/>
      <c r="OAM213" s="52"/>
      <c r="OAN213" s="52"/>
      <c r="OAO213" s="52"/>
      <c r="OAP213" s="52"/>
      <c r="OAQ213" s="52"/>
      <c r="OAR213" s="52"/>
      <c r="OAS213" s="52"/>
      <c r="OAT213" s="52"/>
      <c r="OAU213" s="52"/>
      <c r="OAV213" s="52"/>
      <c r="OAW213" s="52"/>
      <c r="OAX213" s="52"/>
      <c r="OAY213" s="52"/>
      <c r="OAZ213" s="52"/>
      <c r="OBA213" s="52"/>
      <c r="OBB213" s="52"/>
      <c r="OBC213" s="52"/>
      <c r="OBD213" s="52"/>
      <c r="OBE213" s="52"/>
      <c r="OBF213" s="52"/>
      <c r="OBG213" s="52"/>
      <c r="OBH213" s="52"/>
      <c r="OBI213" s="52"/>
      <c r="OBJ213" s="52"/>
      <c r="OBK213" s="52"/>
      <c r="OBL213" s="52"/>
      <c r="OBM213" s="52"/>
      <c r="OBN213" s="52"/>
      <c r="OBO213" s="52"/>
      <c r="OBP213" s="52"/>
      <c r="OBQ213" s="52"/>
      <c r="OBR213" s="52"/>
      <c r="OBS213" s="52"/>
      <c r="OBT213" s="52"/>
      <c r="OBU213" s="52"/>
      <c r="OBV213" s="52"/>
      <c r="OBW213" s="52"/>
      <c r="OBX213" s="52"/>
      <c r="OBY213" s="52"/>
      <c r="OBZ213" s="52"/>
      <c r="OCA213" s="52"/>
      <c r="OCB213" s="52"/>
      <c r="OCC213" s="52"/>
      <c r="OCD213" s="52"/>
      <c r="OCE213" s="52"/>
      <c r="OCF213" s="52"/>
      <c r="OCG213" s="52"/>
      <c r="OCH213" s="52"/>
      <c r="OCI213" s="52"/>
      <c r="OCJ213" s="52"/>
      <c r="OCK213" s="52"/>
      <c r="OCL213" s="52"/>
      <c r="OCM213" s="52"/>
      <c r="OCN213" s="52"/>
      <c r="OCO213" s="52"/>
      <c r="OCP213" s="52"/>
      <c r="OCQ213" s="52"/>
      <c r="OCR213" s="52"/>
      <c r="OCS213" s="52"/>
      <c r="OCT213" s="52"/>
      <c r="OCU213" s="52"/>
      <c r="OCV213" s="52"/>
      <c r="OCW213" s="52"/>
      <c r="OCX213" s="52"/>
      <c r="OCY213" s="52"/>
      <c r="OCZ213" s="52"/>
      <c r="ODA213" s="52"/>
      <c r="ODB213" s="52"/>
      <c r="ODC213" s="52"/>
      <c r="ODD213" s="52"/>
      <c r="ODE213" s="52"/>
      <c r="ODF213" s="52"/>
      <c r="ODG213" s="52"/>
      <c r="ODH213" s="52"/>
      <c r="ODI213" s="52"/>
      <c r="ODJ213" s="52"/>
      <c r="ODK213" s="52"/>
      <c r="ODL213" s="52"/>
      <c r="ODM213" s="52"/>
      <c r="ODN213" s="52"/>
      <c r="ODO213" s="52"/>
      <c r="ODP213" s="52"/>
      <c r="ODQ213" s="52"/>
      <c r="ODR213" s="52"/>
      <c r="ODS213" s="52"/>
      <c r="ODT213" s="52"/>
      <c r="ODU213" s="52"/>
      <c r="ODV213" s="52"/>
      <c r="ODW213" s="52"/>
      <c r="ODX213" s="52"/>
      <c r="ODY213" s="52"/>
      <c r="ODZ213" s="52"/>
      <c r="OEA213" s="52"/>
      <c r="OEB213" s="52"/>
      <c r="OEC213" s="52"/>
      <c r="OED213" s="52"/>
      <c r="OEE213" s="52"/>
      <c r="OEF213" s="52"/>
      <c r="OEG213" s="52"/>
      <c r="OEH213" s="52"/>
      <c r="OEI213" s="52"/>
      <c r="OEJ213" s="52"/>
      <c r="OEK213" s="52"/>
      <c r="OEL213" s="52"/>
      <c r="OEM213" s="52"/>
      <c r="OEN213" s="52"/>
      <c r="OEO213" s="52"/>
      <c r="OEP213" s="52"/>
      <c r="OEQ213" s="52"/>
      <c r="OER213" s="52"/>
      <c r="OES213" s="52"/>
      <c r="OET213" s="52"/>
      <c r="OEU213" s="52"/>
      <c r="OEV213" s="52"/>
      <c r="OEW213" s="52"/>
      <c r="OEX213" s="52"/>
      <c r="OEY213" s="52"/>
      <c r="OEZ213" s="52"/>
      <c r="OFA213" s="52"/>
      <c r="OFB213" s="52"/>
      <c r="OFC213" s="52"/>
      <c r="OFD213" s="52"/>
      <c r="OFE213" s="52"/>
      <c r="OFF213" s="52"/>
      <c r="OFG213" s="52"/>
      <c r="OFH213" s="52"/>
      <c r="OFI213" s="52"/>
      <c r="OFJ213" s="52"/>
      <c r="OFK213" s="52"/>
      <c r="OFL213" s="52"/>
      <c r="OFM213" s="52"/>
      <c r="OFN213" s="52"/>
      <c r="OFO213" s="52"/>
      <c r="OFP213" s="52"/>
      <c r="OFQ213" s="52"/>
      <c r="OFR213" s="52"/>
      <c r="OFS213" s="52"/>
      <c r="OFT213" s="52"/>
      <c r="OFU213" s="52"/>
      <c r="OFV213" s="52"/>
      <c r="OFW213" s="52"/>
      <c r="OFX213" s="52"/>
      <c r="OFY213" s="52"/>
      <c r="OFZ213" s="52"/>
      <c r="OGA213" s="52"/>
      <c r="OGB213" s="52"/>
      <c r="OGC213" s="52"/>
      <c r="OGD213" s="52"/>
      <c r="OGE213" s="52"/>
      <c r="OGF213" s="52"/>
      <c r="OGG213" s="52"/>
      <c r="OGH213" s="52"/>
      <c r="OGI213" s="52"/>
      <c r="OGJ213" s="52"/>
      <c r="OGK213" s="52"/>
      <c r="OGL213" s="52"/>
      <c r="OGM213" s="52"/>
      <c r="OGN213" s="52"/>
      <c r="OGO213" s="52"/>
      <c r="OGP213" s="52"/>
      <c r="OGQ213" s="52"/>
      <c r="OGR213" s="52"/>
      <c r="OGS213" s="52"/>
      <c r="OGT213" s="52"/>
      <c r="OGU213" s="52"/>
      <c r="OGV213" s="52"/>
      <c r="OGW213" s="52"/>
      <c r="OGX213" s="52"/>
      <c r="OGY213" s="52"/>
      <c r="OGZ213" s="52"/>
      <c r="OHA213" s="52"/>
      <c r="OHB213" s="52"/>
      <c r="OHC213" s="52"/>
      <c r="OHD213" s="52"/>
      <c r="OHE213" s="52"/>
      <c r="OHF213" s="52"/>
      <c r="OHG213" s="52"/>
      <c r="OHH213" s="52"/>
      <c r="OHI213" s="52"/>
      <c r="OHJ213" s="52"/>
      <c r="OHK213" s="52"/>
      <c r="OHL213" s="52"/>
      <c r="OHM213" s="52"/>
      <c r="OHN213" s="52"/>
      <c r="OHO213" s="52"/>
      <c r="OHP213" s="52"/>
      <c r="OHQ213" s="52"/>
      <c r="OHR213" s="52"/>
      <c r="OHS213" s="52"/>
      <c r="OHT213" s="52"/>
      <c r="OHU213" s="52"/>
      <c r="OHV213" s="52"/>
      <c r="OHW213" s="52"/>
      <c r="OHX213" s="52"/>
      <c r="OHY213" s="52"/>
      <c r="OHZ213" s="52"/>
      <c r="OIA213" s="52"/>
      <c r="OIB213" s="52"/>
      <c r="OIC213" s="52"/>
      <c r="OID213" s="52"/>
      <c r="OIE213" s="52"/>
      <c r="OIF213" s="52"/>
      <c r="OIG213" s="52"/>
      <c r="OIH213" s="52"/>
      <c r="OII213" s="52"/>
      <c r="OIJ213" s="52"/>
      <c r="OIK213" s="52"/>
      <c r="OIL213" s="52"/>
      <c r="OIM213" s="52"/>
      <c r="OIN213" s="52"/>
      <c r="OIO213" s="52"/>
      <c r="OIP213" s="52"/>
      <c r="OIQ213" s="52"/>
      <c r="OIR213" s="52"/>
      <c r="OIS213" s="52"/>
      <c r="OIT213" s="52"/>
      <c r="OIU213" s="52"/>
      <c r="OIV213" s="52"/>
      <c r="OIW213" s="52"/>
      <c r="OIX213" s="52"/>
      <c r="OIY213" s="52"/>
      <c r="OIZ213" s="52"/>
      <c r="OJA213" s="52"/>
      <c r="OJB213" s="52"/>
      <c r="OJC213" s="52"/>
      <c r="OJD213" s="52"/>
      <c r="OJE213" s="52"/>
      <c r="OJF213" s="52"/>
      <c r="OJG213" s="52"/>
      <c r="OJH213" s="52"/>
      <c r="OJI213" s="52"/>
      <c r="OJJ213" s="52"/>
      <c r="OJK213" s="52"/>
      <c r="OJL213" s="52"/>
      <c r="OJM213" s="52"/>
      <c r="OJN213" s="52"/>
      <c r="OJO213" s="52"/>
      <c r="OJP213" s="52"/>
      <c r="OJQ213" s="52"/>
      <c r="OJR213" s="52"/>
      <c r="OJS213" s="52"/>
      <c r="OJT213" s="52"/>
      <c r="OJU213" s="52"/>
      <c r="OJV213" s="52"/>
      <c r="OJW213" s="52"/>
      <c r="OJX213" s="52"/>
      <c r="OJY213" s="52"/>
      <c r="OJZ213" s="52"/>
      <c r="OKA213" s="52"/>
      <c r="OKB213" s="52"/>
      <c r="OKC213" s="52"/>
      <c r="OKD213" s="52"/>
      <c r="OKE213" s="52"/>
      <c r="OKF213" s="52"/>
      <c r="OKG213" s="52"/>
      <c r="OKH213" s="52"/>
      <c r="OKI213" s="52"/>
      <c r="OKJ213" s="52"/>
      <c r="OKK213" s="52"/>
      <c r="OKL213" s="52"/>
      <c r="OKM213" s="52"/>
      <c r="OKN213" s="52"/>
      <c r="OKO213" s="52"/>
      <c r="OKP213" s="52"/>
      <c r="OKQ213" s="52"/>
      <c r="OKR213" s="52"/>
      <c r="OKS213" s="52"/>
      <c r="OKT213" s="52"/>
      <c r="OKU213" s="52"/>
      <c r="OKV213" s="52"/>
      <c r="OKW213" s="52"/>
      <c r="OKX213" s="52"/>
      <c r="OKY213" s="52"/>
      <c r="OKZ213" s="52"/>
      <c r="OLA213" s="52"/>
      <c r="OLB213" s="52"/>
      <c r="OLC213" s="52"/>
      <c r="OLD213" s="52"/>
      <c r="OLE213" s="52"/>
      <c r="OLF213" s="52"/>
      <c r="OLG213" s="52"/>
      <c r="OLH213" s="52"/>
      <c r="OLI213" s="52"/>
      <c r="OLJ213" s="52"/>
      <c r="OLK213" s="52"/>
      <c r="OLL213" s="52"/>
      <c r="OLM213" s="52"/>
      <c r="OLN213" s="52"/>
      <c r="OLO213" s="52"/>
      <c r="OLP213" s="52"/>
      <c r="OLQ213" s="52"/>
      <c r="OLR213" s="52"/>
      <c r="OLS213" s="52"/>
      <c r="OLT213" s="52"/>
      <c r="OLU213" s="52"/>
      <c r="OLV213" s="52"/>
      <c r="OLW213" s="52"/>
      <c r="OLX213" s="52"/>
      <c r="OLY213" s="52"/>
      <c r="OLZ213" s="52"/>
      <c r="OMA213" s="52"/>
      <c r="OMB213" s="52"/>
      <c r="OMC213" s="52"/>
      <c r="OMD213" s="52"/>
      <c r="OME213" s="52"/>
      <c r="OMF213" s="52"/>
      <c r="OMG213" s="52"/>
      <c r="OMH213" s="52"/>
      <c r="OMI213" s="52"/>
      <c r="OMJ213" s="52"/>
      <c r="OMK213" s="52"/>
      <c r="OML213" s="52"/>
      <c r="OMM213" s="52"/>
      <c r="OMN213" s="52"/>
      <c r="OMO213" s="52"/>
      <c r="OMP213" s="52"/>
      <c r="OMQ213" s="52"/>
      <c r="OMR213" s="52"/>
      <c r="OMS213" s="52"/>
      <c r="OMT213" s="52"/>
      <c r="OMU213" s="52"/>
      <c r="OMV213" s="52"/>
      <c r="OMW213" s="52"/>
      <c r="OMX213" s="52"/>
      <c r="OMY213" s="52"/>
      <c r="OMZ213" s="52"/>
      <c r="ONA213" s="52"/>
      <c r="ONB213" s="52"/>
      <c r="ONC213" s="52"/>
      <c r="OND213" s="52"/>
      <c r="ONE213" s="52"/>
      <c r="ONF213" s="52"/>
      <c r="ONG213" s="52"/>
      <c r="ONH213" s="52"/>
      <c r="ONI213" s="52"/>
      <c r="ONJ213" s="52"/>
      <c r="ONK213" s="52"/>
      <c r="ONL213" s="52"/>
      <c r="ONM213" s="52"/>
      <c r="ONN213" s="52"/>
      <c r="ONO213" s="52"/>
      <c r="ONP213" s="52"/>
      <c r="ONQ213" s="52"/>
      <c r="ONR213" s="52"/>
      <c r="ONS213" s="52"/>
      <c r="ONT213" s="52"/>
      <c r="ONU213" s="52"/>
      <c r="ONV213" s="52"/>
      <c r="ONW213" s="52"/>
      <c r="ONX213" s="52"/>
      <c r="ONY213" s="52"/>
      <c r="ONZ213" s="52"/>
      <c r="OOA213" s="52"/>
      <c r="OOB213" s="52"/>
      <c r="OOC213" s="52"/>
      <c r="OOD213" s="52"/>
      <c r="OOE213" s="52"/>
      <c r="OOF213" s="52"/>
      <c r="OOG213" s="52"/>
      <c r="OOH213" s="52"/>
      <c r="OOI213" s="52"/>
      <c r="OOJ213" s="52"/>
      <c r="OOK213" s="52"/>
      <c r="OOL213" s="52"/>
      <c r="OOM213" s="52"/>
      <c r="OON213" s="52"/>
      <c r="OOO213" s="52"/>
      <c r="OOP213" s="52"/>
      <c r="OOQ213" s="52"/>
      <c r="OOR213" s="52"/>
      <c r="OOS213" s="52"/>
      <c r="OOT213" s="52"/>
      <c r="OOU213" s="52"/>
      <c r="OOV213" s="52"/>
      <c r="OOW213" s="52"/>
      <c r="OOX213" s="52"/>
      <c r="OOY213" s="52"/>
      <c r="OOZ213" s="52"/>
      <c r="OPA213" s="52"/>
      <c r="OPB213" s="52"/>
      <c r="OPC213" s="52"/>
      <c r="OPD213" s="52"/>
      <c r="OPE213" s="52"/>
      <c r="OPF213" s="52"/>
      <c r="OPG213" s="52"/>
      <c r="OPH213" s="52"/>
      <c r="OPI213" s="52"/>
      <c r="OPJ213" s="52"/>
      <c r="OPK213" s="52"/>
      <c r="OPL213" s="52"/>
      <c r="OPM213" s="52"/>
      <c r="OPN213" s="52"/>
      <c r="OPO213" s="52"/>
      <c r="OPP213" s="52"/>
      <c r="OPQ213" s="52"/>
      <c r="OPR213" s="52"/>
      <c r="OPS213" s="52"/>
      <c r="OPT213" s="52"/>
      <c r="OPU213" s="52"/>
      <c r="OPV213" s="52"/>
      <c r="OPW213" s="52"/>
      <c r="OPX213" s="52"/>
      <c r="OPY213" s="52"/>
      <c r="OPZ213" s="52"/>
      <c r="OQA213" s="52"/>
      <c r="OQB213" s="52"/>
      <c r="OQC213" s="52"/>
      <c r="OQD213" s="52"/>
      <c r="OQE213" s="52"/>
      <c r="OQF213" s="52"/>
      <c r="OQG213" s="52"/>
      <c r="OQH213" s="52"/>
      <c r="OQI213" s="52"/>
      <c r="OQJ213" s="52"/>
      <c r="OQK213" s="52"/>
      <c r="OQL213" s="52"/>
      <c r="OQM213" s="52"/>
      <c r="OQN213" s="52"/>
      <c r="OQO213" s="52"/>
      <c r="OQP213" s="52"/>
      <c r="OQQ213" s="52"/>
      <c r="OQR213" s="52"/>
      <c r="OQS213" s="52"/>
      <c r="OQT213" s="52"/>
      <c r="OQU213" s="52"/>
      <c r="OQV213" s="52"/>
      <c r="OQW213" s="52"/>
      <c r="OQX213" s="52"/>
      <c r="OQY213" s="52"/>
      <c r="OQZ213" s="52"/>
      <c r="ORA213" s="52"/>
      <c r="ORB213" s="52"/>
      <c r="ORC213" s="52"/>
      <c r="ORD213" s="52"/>
      <c r="ORE213" s="52"/>
      <c r="ORF213" s="52"/>
      <c r="ORG213" s="52"/>
      <c r="ORH213" s="52"/>
      <c r="ORI213" s="52"/>
      <c r="ORJ213" s="52"/>
      <c r="ORK213" s="52"/>
      <c r="ORL213" s="52"/>
      <c r="ORM213" s="52"/>
      <c r="ORN213" s="52"/>
      <c r="ORO213" s="52"/>
      <c r="ORP213" s="52"/>
      <c r="ORQ213" s="52"/>
      <c r="ORR213" s="52"/>
      <c r="ORS213" s="52"/>
      <c r="ORT213" s="52"/>
      <c r="ORU213" s="52"/>
      <c r="ORV213" s="52"/>
      <c r="ORW213" s="52"/>
      <c r="ORX213" s="52"/>
      <c r="ORY213" s="52"/>
      <c r="ORZ213" s="52"/>
      <c r="OSA213" s="52"/>
      <c r="OSB213" s="52"/>
      <c r="OSC213" s="52"/>
      <c r="OSD213" s="52"/>
      <c r="OSE213" s="52"/>
      <c r="OSF213" s="52"/>
      <c r="OSG213" s="52"/>
      <c r="OSH213" s="52"/>
      <c r="OSI213" s="52"/>
      <c r="OSJ213" s="52"/>
      <c r="OSK213" s="52"/>
      <c r="OSL213" s="52"/>
      <c r="OSM213" s="52"/>
      <c r="OSN213" s="52"/>
      <c r="OSO213" s="52"/>
      <c r="OSP213" s="52"/>
      <c r="OSQ213" s="52"/>
      <c r="OSR213" s="52"/>
      <c r="OSS213" s="52"/>
      <c r="OST213" s="52"/>
      <c r="OSU213" s="52"/>
      <c r="OSV213" s="52"/>
      <c r="OSW213" s="52"/>
      <c r="OSX213" s="52"/>
      <c r="OSY213" s="52"/>
      <c r="OSZ213" s="52"/>
      <c r="OTA213" s="52"/>
      <c r="OTB213" s="52"/>
      <c r="OTC213" s="52"/>
      <c r="OTD213" s="52"/>
      <c r="OTE213" s="52"/>
      <c r="OTF213" s="52"/>
      <c r="OTG213" s="52"/>
      <c r="OTH213" s="52"/>
      <c r="OTI213" s="52"/>
      <c r="OTJ213" s="52"/>
      <c r="OTK213" s="52"/>
      <c r="OTL213" s="52"/>
      <c r="OTM213" s="52"/>
      <c r="OTN213" s="52"/>
      <c r="OTO213" s="52"/>
      <c r="OTP213" s="52"/>
      <c r="OTQ213" s="52"/>
      <c r="OTR213" s="52"/>
      <c r="OTS213" s="52"/>
      <c r="OTT213" s="52"/>
      <c r="OTU213" s="52"/>
      <c r="OTV213" s="52"/>
      <c r="OTW213" s="52"/>
      <c r="OTX213" s="52"/>
      <c r="OTY213" s="52"/>
      <c r="OTZ213" s="52"/>
      <c r="OUA213" s="52"/>
      <c r="OUB213" s="52"/>
      <c r="OUC213" s="52"/>
      <c r="OUD213" s="52"/>
      <c r="OUE213" s="52"/>
      <c r="OUF213" s="52"/>
      <c r="OUG213" s="52"/>
      <c r="OUH213" s="52"/>
      <c r="OUI213" s="52"/>
      <c r="OUJ213" s="52"/>
      <c r="OUK213" s="52"/>
      <c r="OUL213" s="52"/>
      <c r="OUM213" s="52"/>
      <c r="OUN213" s="52"/>
      <c r="OUO213" s="52"/>
      <c r="OUP213" s="52"/>
      <c r="OUQ213" s="52"/>
      <c r="OUR213" s="52"/>
      <c r="OUS213" s="52"/>
      <c r="OUT213" s="52"/>
      <c r="OUU213" s="52"/>
      <c r="OUV213" s="52"/>
      <c r="OUW213" s="52"/>
      <c r="OUX213" s="52"/>
      <c r="OUY213" s="52"/>
      <c r="OUZ213" s="52"/>
      <c r="OVA213" s="52"/>
      <c r="OVB213" s="52"/>
      <c r="OVC213" s="52"/>
      <c r="OVD213" s="52"/>
      <c r="OVE213" s="52"/>
      <c r="OVF213" s="52"/>
      <c r="OVG213" s="52"/>
      <c r="OVH213" s="52"/>
      <c r="OVI213" s="52"/>
      <c r="OVJ213" s="52"/>
      <c r="OVK213" s="52"/>
      <c r="OVL213" s="52"/>
      <c r="OVM213" s="52"/>
      <c r="OVN213" s="52"/>
      <c r="OVO213" s="52"/>
      <c r="OVP213" s="52"/>
      <c r="OVQ213" s="52"/>
      <c r="OVR213" s="52"/>
      <c r="OVS213" s="52"/>
      <c r="OVT213" s="52"/>
      <c r="OVU213" s="52"/>
      <c r="OVV213" s="52"/>
      <c r="OVW213" s="52"/>
      <c r="OVX213" s="52"/>
      <c r="OVY213" s="52"/>
      <c r="OVZ213" s="52"/>
      <c r="OWA213" s="52"/>
      <c r="OWB213" s="52"/>
      <c r="OWC213" s="52"/>
      <c r="OWD213" s="52"/>
      <c r="OWE213" s="52"/>
      <c r="OWF213" s="52"/>
      <c r="OWG213" s="52"/>
      <c r="OWH213" s="52"/>
      <c r="OWI213" s="52"/>
      <c r="OWJ213" s="52"/>
      <c r="OWK213" s="52"/>
      <c r="OWL213" s="52"/>
      <c r="OWM213" s="52"/>
      <c r="OWN213" s="52"/>
      <c r="OWO213" s="52"/>
      <c r="OWP213" s="52"/>
      <c r="OWQ213" s="52"/>
      <c r="OWR213" s="52"/>
      <c r="OWS213" s="52"/>
      <c r="OWT213" s="52"/>
      <c r="OWU213" s="52"/>
      <c r="OWV213" s="52"/>
      <c r="OWW213" s="52"/>
      <c r="OWX213" s="52"/>
      <c r="OWY213" s="52"/>
      <c r="OWZ213" s="52"/>
      <c r="OXA213" s="52"/>
      <c r="OXB213" s="52"/>
      <c r="OXC213" s="52"/>
      <c r="OXD213" s="52"/>
      <c r="OXE213" s="52"/>
      <c r="OXF213" s="52"/>
      <c r="OXG213" s="52"/>
      <c r="OXH213" s="52"/>
      <c r="OXI213" s="52"/>
      <c r="OXJ213" s="52"/>
      <c r="OXK213" s="52"/>
      <c r="OXL213" s="52"/>
      <c r="OXM213" s="52"/>
      <c r="OXN213" s="52"/>
      <c r="OXO213" s="52"/>
      <c r="OXP213" s="52"/>
      <c r="OXQ213" s="52"/>
      <c r="OXR213" s="52"/>
      <c r="OXS213" s="52"/>
      <c r="OXT213" s="52"/>
      <c r="OXU213" s="52"/>
      <c r="OXV213" s="52"/>
      <c r="OXW213" s="52"/>
      <c r="OXX213" s="52"/>
      <c r="OXY213" s="52"/>
      <c r="OXZ213" s="52"/>
      <c r="OYA213" s="52"/>
      <c r="OYB213" s="52"/>
      <c r="OYC213" s="52"/>
      <c r="OYD213" s="52"/>
      <c r="OYE213" s="52"/>
      <c r="OYF213" s="52"/>
      <c r="OYG213" s="52"/>
      <c r="OYH213" s="52"/>
      <c r="OYI213" s="52"/>
      <c r="OYJ213" s="52"/>
      <c r="OYK213" s="52"/>
      <c r="OYL213" s="52"/>
      <c r="OYM213" s="52"/>
      <c r="OYN213" s="52"/>
      <c r="OYO213" s="52"/>
      <c r="OYP213" s="52"/>
      <c r="OYQ213" s="52"/>
      <c r="OYR213" s="52"/>
      <c r="OYS213" s="52"/>
      <c r="OYT213" s="52"/>
      <c r="OYU213" s="52"/>
      <c r="OYV213" s="52"/>
      <c r="OYW213" s="52"/>
      <c r="OYX213" s="52"/>
      <c r="OYY213" s="52"/>
      <c r="OYZ213" s="52"/>
      <c r="OZA213" s="52"/>
      <c r="OZB213" s="52"/>
      <c r="OZC213" s="52"/>
      <c r="OZD213" s="52"/>
      <c r="OZE213" s="52"/>
      <c r="OZF213" s="52"/>
      <c r="OZG213" s="52"/>
      <c r="OZH213" s="52"/>
      <c r="OZI213" s="52"/>
      <c r="OZJ213" s="52"/>
      <c r="OZK213" s="52"/>
      <c r="OZL213" s="52"/>
      <c r="OZM213" s="52"/>
      <c r="OZN213" s="52"/>
      <c r="OZO213" s="52"/>
      <c r="OZP213" s="52"/>
      <c r="OZQ213" s="52"/>
      <c r="OZR213" s="52"/>
      <c r="OZS213" s="52"/>
      <c r="OZT213" s="52"/>
      <c r="OZU213" s="52"/>
      <c r="OZV213" s="52"/>
      <c r="OZW213" s="52"/>
      <c r="OZX213" s="52"/>
      <c r="OZY213" s="52"/>
      <c r="OZZ213" s="52"/>
      <c r="PAA213" s="52"/>
      <c r="PAB213" s="52"/>
      <c r="PAC213" s="52"/>
      <c r="PAD213" s="52"/>
      <c r="PAE213" s="52"/>
      <c r="PAF213" s="52"/>
      <c r="PAG213" s="52"/>
      <c r="PAH213" s="52"/>
      <c r="PAI213" s="52"/>
      <c r="PAJ213" s="52"/>
      <c r="PAK213" s="52"/>
      <c r="PAL213" s="52"/>
      <c r="PAM213" s="52"/>
      <c r="PAN213" s="52"/>
      <c r="PAO213" s="52"/>
      <c r="PAP213" s="52"/>
      <c r="PAQ213" s="52"/>
      <c r="PAR213" s="52"/>
      <c r="PAS213" s="52"/>
      <c r="PAT213" s="52"/>
      <c r="PAU213" s="52"/>
      <c r="PAV213" s="52"/>
      <c r="PAW213" s="52"/>
      <c r="PAX213" s="52"/>
      <c r="PAY213" s="52"/>
      <c r="PAZ213" s="52"/>
      <c r="PBA213" s="52"/>
      <c r="PBB213" s="52"/>
      <c r="PBC213" s="52"/>
      <c r="PBD213" s="52"/>
      <c r="PBE213" s="52"/>
      <c r="PBF213" s="52"/>
      <c r="PBG213" s="52"/>
      <c r="PBH213" s="52"/>
      <c r="PBI213" s="52"/>
      <c r="PBJ213" s="52"/>
      <c r="PBK213" s="52"/>
      <c r="PBL213" s="52"/>
      <c r="PBM213" s="52"/>
      <c r="PBN213" s="52"/>
      <c r="PBO213" s="52"/>
      <c r="PBP213" s="52"/>
      <c r="PBQ213" s="52"/>
      <c r="PBR213" s="52"/>
      <c r="PBS213" s="52"/>
      <c r="PBT213" s="52"/>
      <c r="PBU213" s="52"/>
      <c r="PBV213" s="52"/>
      <c r="PBW213" s="52"/>
      <c r="PBX213" s="52"/>
      <c r="PBY213" s="52"/>
      <c r="PBZ213" s="52"/>
      <c r="PCA213" s="52"/>
      <c r="PCB213" s="52"/>
      <c r="PCC213" s="52"/>
      <c r="PCD213" s="52"/>
      <c r="PCE213" s="52"/>
      <c r="PCF213" s="52"/>
      <c r="PCG213" s="52"/>
      <c r="PCH213" s="52"/>
      <c r="PCI213" s="52"/>
      <c r="PCJ213" s="52"/>
      <c r="PCK213" s="52"/>
      <c r="PCL213" s="52"/>
      <c r="PCM213" s="52"/>
      <c r="PCN213" s="52"/>
      <c r="PCO213" s="52"/>
      <c r="PCP213" s="52"/>
      <c r="PCQ213" s="52"/>
      <c r="PCR213" s="52"/>
      <c r="PCS213" s="52"/>
      <c r="PCT213" s="52"/>
      <c r="PCU213" s="52"/>
      <c r="PCV213" s="52"/>
      <c r="PCW213" s="52"/>
      <c r="PCX213" s="52"/>
      <c r="PCY213" s="52"/>
      <c r="PCZ213" s="52"/>
      <c r="PDA213" s="52"/>
      <c r="PDB213" s="52"/>
      <c r="PDC213" s="52"/>
      <c r="PDD213" s="52"/>
      <c r="PDE213" s="52"/>
      <c r="PDF213" s="52"/>
      <c r="PDG213" s="52"/>
      <c r="PDH213" s="52"/>
      <c r="PDI213" s="52"/>
      <c r="PDJ213" s="52"/>
      <c r="PDK213" s="52"/>
      <c r="PDL213" s="52"/>
      <c r="PDM213" s="52"/>
      <c r="PDN213" s="52"/>
      <c r="PDO213" s="52"/>
      <c r="PDP213" s="52"/>
      <c r="PDQ213" s="52"/>
      <c r="PDR213" s="52"/>
      <c r="PDS213" s="52"/>
      <c r="PDT213" s="52"/>
      <c r="PDU213" s="52"/>
      <c r="PDV213" s="52"/>
      <c r="PDW213" s="52"/>
      <c r="PDX213" s="52"/>
      <c r="PDY213" s="52"/>
      <c r="PDZ213" s="52"/>
      <c r="PEA213" s="52"/>
      <c r="PEB213" s="52"/>
      <c r="PEC213" s="52"/>
      <c r="PED213" s="52"/>
      <c r="PEE213" s="52"/>
      <c r="PEF213" s="52"/>
      <c r="PEG213" s="52"/>
      <c r="PEH213" s="52"/>
      <c r="PEI213" s="52"/>
      <c r="PEJ213" s="52"/>
      <c r="PEK213" s="52"/>
      <c r="PEL213" s="52"/>
      <c r="PEM213" s="52"/>
      <c r="PEN213" s="52"/>
      <c r="PEO213" s="52"/>
      <c r="PEP213" s="52"/>
      <c r="PEQ213" s="52"/>
      <c r="PER213" s="52"/>
      <c r="PES213" s="52"/>
      <c r="PET213" s="52"/>
      <c r="PEU213" s="52"/>
      <c r="PEV213" s="52"/>
      <c r="PEW213" s="52"/>
      <c r="PEX213" s="52"/>
      <c r="PEY213" s="52"/>
      <c r="PEZ213" s="52"/>
      <c r="PFA213" s="52"/>
      <c r="PFB213" s="52"/>
      <c r="PFC213" s="52"/>
      <c r="PFD213" s="52"/>
      <c r="PFE213" s="52"/>
      <c r="PFF213" s="52"/>
      <c r="PFG213" s="52"/>
      <c r="PFH213" s="52"/>
      <c r="PFI213" s="52"/>
      <c r="PFJ213" s="52"/>
      <c r="PFK213" s="52"/>
      <c r="PFL213" s="52"/>
      <c r="PFM213" s="52"/>
      <c r="PFN213" s="52"/>
      <c r="PFO213" s="52"/>
      <c r="PFP213" s="52"/>
      <c r="PFQ213" s="52"/>
      <c r="PFR213" s="52"/>
      <c r="PFS213" s="52"/>
      <c r="PFT213" s="52"/>
      <c r="PFU213" s="52"/>
      <c r="PFV213" s="52"/>
      <c r="PFW213" s="52"/>
      <c r="PFX213" s="52"/>
      <c r="PFY213" s="52"/>
      <c r="PFZ213" s="52"/>
      <c r="PGA213" s="52"/>
      <c r="PGB213" s="52"/>
      <c r="PGC213" s="52"/>
      <c r="PGD213" s="52"/>
      <c r="PGE213" s="52"/>
      <c r="PGF213" s="52"/>
      <c r="PGG213" s="52"/>
      <c r="PGH213" s="52"/>
      <c r="PGI213" s="52"/>
      <c r="PGJ213" s="52"/>
      <c r="PGK213" s="52"/>
      <c r="PGL213" s="52"/>
      <c r="PGM213" s="52"/>
      <c r="PGN213" s="52"/>
      <c r="PGO213" s="52"/>
      <c r="PGP213" s="52"/>
      <c r="PGQ213" s="52"/>
      <c r="PGR213" s="52"/>
      <c r="PGS213" s="52"/>
      <c r="PGT213" s="52"/>
      <c r="PGU213" s="52"/>
      <c r="PGV213" s="52"/>
      <c r="PGW213" s="52"/>
      <c r="PGX213" s="52"/>
      <c r="PGY213" s="52"/>
      <c r="PGZ213" s="52"/>
      <c r="PHA213" s="52"/>
      <c r="PHB213" s="52"/>
      <c r="PHC213" s="52"/>
      <c r="PHD213" s="52"/>
      <c r="PHE213" s="52"/>
      <c r="PHF213" s="52"/>
      <c r="PHG213" s="52"/>
      <c r="PHH213" s="52"/>
      <c r="PHI213" s="52"/>
      <c r="PHJ213" s="52"/>
      <c r="PHK213" s="52"/>
      <c r="PHL213" s="52"/>
      <c r="PHM213" s="52"/>
      <c r="PHN213" s="52"/>
      <c r="PHO213" s="52"/>
      <c r="PHP213" s="52"/>
      <c r="PHQ213" s="52"/>
      <c r="PHR213" s="52"/>
      <c r="PHS213" s="52"/>
      <c r="PHT213" s="52"/>
      <c r="PHU213" s="52"/>
      <c r="PHV213" s="52"/>
      <c r="PHW213" s="52"/>
      <c r="PHX213" s="52"/>
      <c r="PHY213" s="52"/>
      <c r="PHZ213" s="52"/>
      <c r="PIA213" s="52"/>
      <c r="PIB213" s="52"/>
      <c r="PIC213" s="52"/>
      <c r="PID213" s="52"/>
      <c r="PIE213" s="52"/>
      <c r="PIF213" s="52"/>
      <c r="PIG213" s="52"/>
      <c r="PIH213" s="52"/>
      <c r="PII213" s="52"/>
      <c r="PIJ213" s="52"/>
      <c r="PIK213" s="52"/>
      <c r="PIL213" s="52"/>
      <c r="PIM213" s="52"/>
      <c r="PIN213" s="52"/>
      <c r="PIO213" s="52"/>
      <c r="PIP213" s="52"/>
      <c r="PIQ213" s="52"/>
      <c r="PIR213" s="52"/>
      <c r="PIS213" s="52"/>
      <c r="PIT213" s="52"/>
      <c r="PIU213" s="52"/>
      <c r="PIV213" s="52"/>
      <c r="PIW213" s="52"/>
      <c r="PIX213" s="52"/>
      <c r="PIY213" s="52"/>
      <c r="PIZ213" s="52"/>
      <c r="PJA213" s="52"/>
      <c r="PJB213" s="52"/>
      <c r="PJC213" s="52"/>
      <c r="PJD213" s="52"/>
      <c r="PJE213" s="52"/>
      <c r="PJF213" s="52"/>
      <c r="PJG213" s="52"/>
      <c r="PJH213" s="52"/>
      <c r="PJI213" s="52"/>
      <c r="PJJ213" s="52"/>
      <c r="PJK213" s="52"/>
      <c r="PJL213" s="52"/>
      <c r="PJM213" s="52"/>
      <c r="PJN213" s="52"/>
      <c r="PJO213" s="52"/>
      <c r="PJP213" s="52"/>
      <c r="PJQ213" s="52"/>
      <c r="PJR213" s="52"/>
      <c r="PJS213" s="52"/>
      <c r="PJT213" s="52"/>
      <c r="PJU213" s="52"/>
      <c r="PJV213" s="52"/>
      <c r="PJW213" s="52"/>
      <c r="PJX213" s="52"/>
      <c r="PJY213" s="52"/>
      <c r="PJZ213" s="52"/>
      <c r="PKA213" s="52"/>
      <c r="PKB213" s="52"/>
      <c r="PKC213" s="52"/>
      <c r="PKD213" s="52"/>
      <c r="PKE213" s="52"/>
      <c r="PKF213" s="52"/>
      <c r="PKG213" s="52"/>
      <c r="PKH213" s="52"/>
      <c r="PKI213" s="52"/>
      <c r="PKJ213" s="52"/>
      <c r="PKK213" s="52"/>
      <c r="PKL213" s="52"/>
      <c r="PKM213" s="52"/>
      <c r="PKN213" s="52"/>
      <c r="PKO213" s="52"/>
      <c r="PKP213" s="52"/>
      <c r="PKQ213" s="52"/>
      <c r="PKR213" s="52"/>
      <c r="PKS213" s="52"/>
      <c r="PKT213" s="52"/>
      <c r="PKU213" s="52"/>
      <c r="PKV213" s="52"/>
      <c r="PKW213" s="52"/>
      <c r="PKX213" s="52"/>
      <c r="PKY213" s="52"/>
      <c r="PKZ213" s="52"/>
      <c r="PLA213" s="52"/>
      <c r="PLB213" s="52"/>
      <c r="PLC213" s="52"/>
      <c r="PLD213" s="52"/>
      <c r="PLE213" s="52"/>
      <c r="PLF213" s="52"/>
      <c r="PLG213" s="52"/>
      <c r="PLH213" s="52"/>
      <c r="PLI213" s="52"/>
      <c r="PLJ213" s="52"/>
      <c r="PLK213" s="52"/>
      <c r="PLL213" s="52"/>
      <c r="PLM213" s="52"/>
      <c r="PLN213" s="52"/>
      <c r="PLO213" s="52"/>
      <c r="PLP213" s="52"/>
      <c r="PLQ213" s="52"/>
      <c r="PLR213" s="52"/>
      <c r="PLS213" s="52"/>
      <c r="PLT213" s="52"/>
      <c r="PLU213" s="52"/>
      <c r="PLV213" s="52"/>
      <c r="PLW213" s="52"/>
      <c r="PLX213" s="52"/>
      <c r="PLY213" s="52"/>
      <c r="PLZ213" s="52"/>
      <c r="PMA213" s="52"/>
      <c r="PMB213" s="52"/>
      <c r="PMC213" s="52"/>
      <c r="PMD213" s="52"/>
      <c r="PME213" s="52"/>
      <c r="PMF213" s="52"/>
      <c r="PMG213" s="52"/>
      <c r="PMH213" s="52"/>
      <c r="PMI213" s="52"/>
      <c r="PMJ213" s="52"/>
      <c r="PMK213" s="52"/>
      <c r="PML213" s="52"/>
      <c r="PMM213" s="52"/>
      <c r="PMN213" s="52"/>
      <c r="PMO213" s="52"/>
      <c r="PMP213" s="52"/>
      <c r="PMQ213" s="52"/>
      <c r="PMR213" s="52"/>
      <c r="PMS213" s="52"/>
      <c r="PMT213" s="52"/>
      <c r="PMU213" s="52"/>
      <c r="PMV213" s="52"/>
      <c r="PMW213" s="52"/>
      <c r="PMX213" s="52"/>
      <c r="PMY213" s="52"/>
      <c r="PMZ213" s="52"/>
      <c r="PNA213" s="52"/>
      <c r="PNB213" s="52"/>
      <c r="PNC213" s="52"/>
      <c r="PND213" s="52"/>
      <c r="PNE213" s="52"/>
      <c r="PNF213" s="52"/>
      <c r="PNG213" s="52"/>
      <c r="PNH213" s="52"/>
      <c r="PNI213" s="52"/>
      <c r="PNJ213" s="52"/>
      <c r="PNK213" s="52"/>
      <c r="PNL213" s="52"/>
      <c r="PNM213" s="52"/>
      <c r="PNN213" s="52"/>
      <c r="PNO213" s="52"/>
      <c r="PNP213" s="52"/>
      <c r="PNQ213" s="52"/>
      <c r="PNR213" s="52"/>
      <c r="PNS213" s="52"/>
      <c r="PNT213" s="52"/>
      <c r="PNU213" s="52"/>
      <c r="PNV213" s="52"/>
      <c r="PNW213" s="52"/>
      <c r="PNX213" s="52"/>
      <c r="PNY213" s="52"/>
      <c r="PNZ213" s="52"/>
      <c r="POA213" s="52"/>
      <c r="POB213" s="52"/>
      <c r="POC213" s="52"/>
      <c r="POD213" s="52"/>
      <c r="POE213" s="52"/>
      <c r="POF213" s="52"/>
      <c r="POG213" s="52"/>
      <c r="POH213" s="52"/>
      <c r="POI213" s="52"/>
      <c r="POJ213" s="52"/>
      <c r="POK213" s="52"/>
      <c r="POL213" s="52"/>
      <c r="POM213" s="52"/>
      <c r="PON213" s="52"/>
      <c r="POO213" s="52"/>
      <c r="POP213" s="52"/>
      <c r="POQ213" s="52"/>
      <c r="POR213" s="52"/>
      <c r="POS213" s="52"/>
      <c r="POT213" s="52"/>
      <c r="POU213" s="52"/>
      <c r="POV213" s="52"/>
      <c r="POW213" s="52"/>
      <c r="POX213" s="52"/>
      <c r="POY213" s="52"/>
      <c r="POZ213" s="52"/>
      <c r="PPA213" s="52"/>
      <c r="PPB213" s="52"/>
      <c r="PPC213" s="52"/>
      <c r="PPD213" s="52"/>
      <c r="PPE213" s="52"/>
      <c r="PPF213" s="52"/>
      <c r="PPG213" s="52"/>
      <c r="PPH213" s="52"/>
      <c r="PPI213" s="52"/>
      <c r="PPJ213" s="52"/>
      <c r="PPK213" s="52"/>
      <c r="PPL213" s="52"/>
      <c r="PPM213" s="52"/>
      <c r="PPN213" s="52"/>
      <c r="PPO213" s="52"/>
      <c r="PPP213" s="52"/>
      <c r="PPQ213" s="52"/>
      <c r="PPR213" s="52"/>
      <c r="PPS213" s="52"/>
      <c r="PPT213" s="52"/>
      <c r="PPU213" s="52"/>
      <c r="PPV213" s="52"/>
      <c r="PPW213" s="52"/>
      <c r="PPX213" s="52"/>
      <c r="PPY213" s="52"/>
      <c r="PPZ213" s="52"/>
      <c r="PQA213" s="52"/>
      <c r="PQB213" s="52"/>
      <c r="PQC213" s="52"/>
      <c r="PQD213" s="52"/>
      <c r="PQE213" s="52"/>
      <c r="PQF213" s="52"/>
      <c r="PQG213" s="52"/>
      <c r="PQH213" s="52"/>
      <c r="PQI213" s="52"/>
      <c r="PQJ213" s="52"/>
      <c r="PQK213" s="52"/>
      <c r="PQL213" s="52"/>
      <c r="PQM213" s="52"/>
      <c r="PQN213" s="52"/>
      <c r="PQO213" s="52"/>
      <c r="PQP213" s="52"/>
      <c r="PQQ213" s="52"/>
      <c r="PQR213" s="52"/>
      <c r="PQS213" s="52"/>
      <c r="PQT213" s="52"/>
      <c r="PQU213" s="52"/>
      <c r="PQV213" s="52"/>
      <c r="PQW213" s="52"/>
      <c r="PQX213" s="52"/>
      <c r="PQY213" s="52"/>
      <c r="PQZ213" s="52"/>
      <c r="PRA213" s="52"/>
      <c r="PRB213" s="52"/>
      <c r="PRC213" s="52"/>
      <c r="PRD213" s="52"/>
      <c r="PRE213" s="52"/>
      <c r="PRF213" s="52"/>
      <c r="PRG213" s="52"/>
      <c r="PRH213" s="52"/>
      <c r="PRI213" s="52"/>
      <c r="PRJ213" s="52"/>
      <c r="PRK213" s="52"/>
      <c r="PRL213" s="52"/>
      <c r="PRM213" s="52"/>
      <c r="PRN213" s="52"/>
      <c r="PRO213" s="52"/>
      <c r="PRP213" s="52"/>
      <c r="PRQ213" s="52"/>
      <c r="PRR213" s="52"/>
      <c r="PRS213" s="52"/>
      <c r="PRT213" s="52"/>
      <c r="PRU213" s="52"/>
      <c r="PRV213" s="52"/>
      <c r="PRW213" s="52"/>
      <c r="PRX213" s="52"/>
      <c r="PRY213" s="52"/>
      <c r="PRZ213" s="52"/>
      <c r="PSA213" s="52"/>
      <c r="PSB213" s="52"/>
      <c r="PSC213" s="52"/>
      <c r="PSD213" s="52"/>
      <c r="PSE213" s="52"/>
      <c r="PSF213" s="52"/>
      <c r="PSG213" s="52"/>
      <c r="PSH213" s="52"/>
      <c r="PSI213" s="52"/>
      <c r="PSJ213" s="52"/>
      <c r="PSK213" s="52"/>
      <c r="PSL213" s="52"/>
      <c r="PSM213" s="52"/>
      <c r="PSN213" s="52"/>
      <c r="PSO213" s="52"/>
      <c r="PSP213" s="52"/>
      <c r="PSQ213" s="52"/>
      <c r="PSR213" s="52"/>
      <c r="PSS213" s="52"/>
      <c r="PST213" s="52"/>
      <c r="PSU213" s="52"/>
      <c r="PSV213" s="52"/>
      <c r="PSW213" s="52"/>
      <c r="PSX213" s="52"/>
      <c r="PSY213" s="52"/>
      <c r="PSZ213" s="52"/>
      <c r="PTA213" s="52"/>
      <c r="PTB213" s="52"/>
      <c r="PTC213" s="52"/>
      <c r="PTD213" s="52"/>
      <c r="PTE213" s="52"/>
      <c r="PTF213" s="52"/>
      <c r="PTG213" s="52"/>
      <c r="PTH213" s="52"/>
      <c r="PTI213" s="52"/>
      <c r="PTJ213" s="52"/>
      <c r="PTK213" s="52"/>
      <c r="PTL213" s="52"/>
      <c r="PTM213" s="52"/>
      <c r="PTN213" s="52"/>
      <c r="PTO213" s="52"/>
      <c r="PTP213" s="52"/>
      <c r="PTQ213" s="52"/>
      <c r="PTR213" s="52"/>
      <c r="PTS213" s="52"/>
      <c r="PTT213" s="52"/>
      <c r="PTU213" s="52"/>
      <c r="PTV213" s="52"/>
      <c r="PTW213" s="52"/>
      <c r="PTX213" s="52"/>
      <c r="PTY213" s="52"/>
      <c r="PTZ213" s="52"/>
      <c r="PUA213" s="52"/>
      <c r="PUB213" s="52"/>
      <c r="PUC213" s="52"/>
      <c r="PUD213" s="52"/>
      <c r="PUE213" s="52"/>
      <c r="PUF213" s="52"/>
      <c r="PUG213" s="52"/>
      <c r="PUH213" s="52"/>
      <c r="PUI213" s="52"/>
      <c r="PUJ213" s="52"/>
      <c r="PUK213" s="52"/>
      <c r="PUL213" s="52"/>
      <c r="PUM213" s="52"/>
      <c r="PUN213" s="52"/>
      <c r="PUO213" s="52"/>
      <c r="PUP213" s="52"/>
      <c r="PUQ213" s="52"/>
      <c r="PUR213" s="52"/>
      <c r="PUS213" s="52"/>
      <c r="PUT213" s="52"/>
      <c r="PUU213" s="52"/>
      <c r="PUV213" s="52"/>
      <c r="PUW213" s="52"/>
      <c r="PUX213" s="52"/>
      <c r="PUY213" s="52"/>
      <c r="PUZ213" s="52"/>
      <c r="PVA213" s="52"/>
      <c r="PVB213" s="52"/>
      <c r="PVC213" s="52"/>
      <c r="PVD213" s="52"/>
      <c r="PVE213" s="52"/>
      <c r="PVF213" s="52"/>
      <c r="PVG213" s="52"/>
      <c r="PVH213" s="52"/>
      <c r="PVI213" s="52"/>
      <c r="PVJ213" s="52"/>
      <c r="PVK213" s="52"/>
      <c r="PVL213" s="52"/>
      <c r="PVM213" s="52"/>
      <c r="PVN213" s="52"/>
      <c r="PVO213" s="52"/>
      <c r="PVP213" s="52"/>
      <c r="PVQ213" s="52"/>
      <c r="PVR213" s="52"/>
      <c r="PVS213" s="52"/>
      <c r="PVT213" s="52"/>
      <c r="PVU213" s="52"/>
      <c r="PVV213" s="52"/>
      <c r="PVW213" s="52"/>
      <c r="PVX213" s="52"/>
      <c r="PVY213" s="52"/>
      <c r="PVZ213" s="52"/>
      <c r="PWA213" s="52"/>
      <c r="PWB213" s="52"/>
      <c r="PWC213" s="52"/>
      <c r="PWD213" s="52"/>
      <c r="PWE213" s="52"/>
      <c r="PWF213" s="52"/>
      <c r="PWG213" s="52"/>
      <c r="PWH213" s="52"/>
      <c r="PWI213" s="52"/>
      <c r="PWJ213" s="52"/>
      <c r="PWK213" s="52"/>
      <c r="PWL213" s="52"/>
      <c r="PWM213" s="52"/>
      <c r="PWN213" s="52"/>
      <c r="PWO213" s="52"/>
      <c r="PWP213" s="52"/>
      <c r="PWQ213" s="52"/>
      <c r="PWR213" s="52"/>
      <c r="PWS213" s="52"/>
      <c r="PWT213" s="52"/>
      <c r="PWU213" s="52"/>
      <c r="PWV213" s="52"/>
      <c r="PWW213" s="52"/>
      <c r="PWX213" s="52"/>
      <c r="PWY213" s="52"/>
      <c r="PWZ213" s="52"/>
      <c r="PXA213" s="52"/>
      <c r="PXB213" s="52"/>
      <c r="PXC213" s="52"/>
      <c r="PXD213" s="52"/>
      <c r="PXE213" s="52"/>
      <c r="PXF213" s="52"/>
      <c r="PXG213" s="52"/>
      <c r="PXH213" s="52"/>
      <c r="PXI213" s="52"/>
      <c r="PXJ213" s="52"/>
      <c r="PXK213" s="52"/>
      <c r="PXL213" s="52"/>
      <c r="PXM213" s="52"/>
      <c r="PXN213" s="52"/>
      <c r="PXO213" s="52"/>
      <c r="PXP213" s="52"/>
      <c r="PXQ213" s="52"/>
      <c r="PXR213" s="52"/>
      <c r="PXS213" s="52"/>
      <c r="PXT213" s="52"/>
      <c r="PXU213" s="52"/>
      <c r="PXV213" s="52"/>
      <c r="PXW213" s="52"/>
      <c r="PXX213" s="52"/>
      <c r="PXY213" s="52"/>
      <c r="PXZ213" s="52"/>
      <c r="PYA213" s="52"/>
      <c r="PYB213" s="52"/>
      <c r="PYC213" s="52"/>
      <c r="PYD213" s="52"/>
      <c r="PYE213" s="52"/>
      <c r="PYF213" s="52"/>
      <c r="PYG213" s="52"/>
      <c r="PYH213" s="52"/>
      <c r="PYI213" s="52"/>
      <c r="PYJ213" s="52"/>
      <c r="PYK213" s="52"/>
      <c r="PYL213" s="52"/>
      <c r="PYM213" s="52"/>
      <c r="PYN213" s="52"/>
      <c r="PYO213" s="52"/>
      <c r="PYP213" s="52"/>
      <c r="PYQ213" s="52"/>
      <c r="PYR213" s="52"/>
      <c r="PYS213" s="52"/>
      <c r="PYT213" s="52"/>
      <c r="PYU213" s="52"/>
      <c r="PYV213" s="52"/>
      <c r="PYW213" s="52"/>
      <c r="PYX213" s="52"/>
      <c r="PYY213" s="52"/>
      <c r="PYZ213" s="52"/>
      <c r="PZA213" s="52"/>
      <c r="PZB213" s="52"/>
      <c r="PZC213" s="52"/>
      <c r="PZD213" s="52"/>
      <c r="PZE213" s="52"/>
      <c r="PZF213" s="52"/>
      <c r="PZG213" s="52"/>
      <c r="PZH213" s="52"/>
      <c r="PZI213" s="52"/>
      <c r="PZJ213" s="52"/>
      <c r="PZK213" s="52"/>
      <c r="PZL213" s="52"/>
      <c r="PZM213" s="52"/>
      <c r="PZN213" s="52"/>
      <c r="PZO213" s="52"/>
      <c r="PZP213" s="52"/>
      <c r="PZQ213" s="52"/>
      <c r="PZR213" s="52"/>
      <c r="PZS213" s="52"/>
      <c r="PZT213" s="52"/>
      <c r="PZU213" s="52"/>
      <c r="PZV213" s="52"/>
      <c r="PZW213" s="52"/>
      <c r="PZX213" s="52"/>
      <c r="PZY213" s="52"/>
      <c r="PZZ213" s="52"/>
      <c r="QAA213" s="52"/>
      <c r="QAB213" s="52"/>
      <c r="QAC213" s="52"/>
      <c r="QAD213" s="52"/>
      <c r="QAE213" s="52"/>
      <c r="QAF213" s="52"/>
      <c r="QAG213" s="52"/>
      <c r="QAH213" s="52"/>
      <c r="QAI213" s="52"/>
      <c r="QAJ213" s="52"/>
      <c r="QAK213" s="52"/>
      <c r="QAL213" s="52"/>
      <c r="QAM213" s="52"/>
      <c r="QAN213" s="52"/>
      <c r="QAO213" s="52"/>
      <c r="QAP213" s="52"/>
      <c r="QAQ213" s="52"/>
      <c r="QAR213" s="52"/>
      <c r="QAS213" s="52"/>
      <c r="QAT213" s="52"/>
      <c r="QAU213" s="52"/>
      <c r="QAV213" s="52"/>
      <c r="QAW213" s="52"/>
      <c r="QAX213" s="52"/>
      <c r="QAY213" s="52"/>
      <c r="QAZ213" s="52"/>
      <c r="QBA213" s="52"/>
      <c r="QBB213" s="52"/>
      <c r="QBC213" s="52"/>
      <c r="QBD213" s="52"/>
      <c r="QBE213" s="52"/>
      <c r="QBF213" s="52"/>
      <c r="QBG213" s="52"/>
      <c r="QBH213" s="52"/>
      <c r="QBI213" s="52"/>
      <c r="QBJ213" s="52"/>
      <c r="QBK213" s="52"/>
      <c r="QBL213" s="52"/>
      <c r="QBM213" s="52"/>
      <c r="QBN213" s="52"/>
      <c r="QBO213" s="52"/>
      <c r="QBP213" s="52"/>
      <c r="QBQ213" s="52"/>
      <c r="QBR213" s="52"/>
      <c r="QBS213" s="52"/>
      <c r="QBT213" s="52"/>
      <c r="QBU213" s="52"/>
      <c r="QBV213" s="52"/>
      <c r="QBW213" s="52"/>
      <c r="QBX213" s="52"/>
      <c r="QBY213" s="52"/>
      <c r="QBZ213" s="52"/>
      <c r="QCA213" s="52"/>
      <c r="QCB213" s="52"/>
      <c r="QCC213" s="52"/>
      <c r="QCD213" s="52"/>
      <c r="QCE213" s="52"/>
      <c r="QCF213" s="52"/>
      <c r="QCG213" s="52"/>
      <c r="QCH213" s="52"/>
      <c r="QCI213" s="52"/>
      <c r="QCJ213" s="52"/>
      <c r="QCK213" s="52"/>
      <c r="QCL213" s="52"/>
      <c r="QCM213" s="52"/>
      <c r="QCN213" s="52"/>
      <c r="QCO213" s="52"/>
      <c r="QCP213" s="52"/>
      <c r="QCQ213" s="52"/>
      <c r="QCR213" s="52"/>
      <c r="QCS213" s="52"/>
      <c r="QCT213" s="52"/>
      <c r="QCU213" s="52"/>
      <c r="QCV213" s="52"/>
      <c r="QCW213" s="52"/>
      <c r="QCX213" s="52"/>
      <c r="QCY213" s="52"/>
      <c r="QCZ213" s="52"/>
      <c r="QDA213" s="52"/>
      <c r="QDB213" s="52"/>
      <c r="QDC213" s="52"/>
      <c r="QDD213" s="52"/>
      <c r="QDE213" s="52"/>
      <c r="QDF213" s="52"/>
      <c r="QDG213" s="52"/>
      <c r="QDH213" s="52"/>
      <c r="QDI213" s="52"/>
      <c r="QDJ213" s="52"/>
      <c r="QDK213" s="52"/>
      <c r="QDL213" s="52"/>
      <c r="QDM213" s="52"/>
      <c r="QDN213" s="52"/>
      <c r="QDO213" s="52"/>
      <c r="QDP213" s="52"/>
      <c r="QDQ213" s="52"/>
      <c r="QDR213" s="52"/>
      <c r="QDS213" s="52"/>
      <c r="QDT213" s="52"/>
      <c r="QDU213" s="52"/>
      <c r="QDV213" s="52"/>
      <c r="QDW213" s="52"/>
      <c r="QDX213" s="52"/>
      <c r="QDY213" s="52"/>
      <c r="QDZ213" s="52"/>
      <c r="QEA213" s="52"/>
      <c r="QEB213" s="52"/>
      <c r="QEC213" s="52"/>
      <c r="QED213" s="52"/>
      <c r="QEE213" s="52"/>
      <c r="QEF213" s="52"/>
      <c r="QEG213" s="52"/>
      <c r="QEH213" s="52"/>
      <c r="QEI213" s="52"/>
      <c r="QEJ213" s="52"/>
      <c r="QEK213" s="52"/>
      <c r="QEL213" s="52"/>
      <c r="QEM213" s="52"/>
      <c r="QEN213" s="52"/>
      <c r="QEO213" s="52"/>
      <c r="QEP213" s="52"/>
      <c r="QEQ213" s="52"/>
      <c r="QER213" s="52"/>
      <c r="QES213" s="52"/>
      <c r="QET213" s="52"/>
      <c r="QEU213" s="52"/>
      <c r="QEV213" s="52"/>
      <c r="QEW213" s="52"/>
      <c r="QEX213" s="52"/>
      <c r="QEY213" s="52"/>
      <c r="QEZ213" s="52"/>
      <c r="QFA213" s="52"/>
      <c r="QFB213" s="52"/>
      <c r="QFC213" s="52"/>
      <c r="QFD213" s="52"/>
      <c r="QFE213" s="52"/>
      <c r="QFF213" s="52"/>
      <c r="QFG213" s="52"/>
      <c r="QFH213" s="52"/>
      <c r="QFI213" s="52"/>
      <c r="QFJ213" s="52"/>
      <c r="QFK213" s="52"/>
      <c r="QFL213" s="52"/>
      <c r="QFM213" s="52"/>
      <c r="QFN213" s="52"/>
      <c r="QFO213" s="52"/>
      <c r="QFP213" s="52"/>
      <c r="QFQ213" s="52"/>
      <c r="QFR213" s="52"/>
      <c r="QFS213" s="52"/>
      <c r="QFT213" s="52"/>
      <c r="QFU213" s="52"/>
      <c r="QFV213" s="52"/>
      <c r="QFW213" s="52"/>
      <c r="QFX213" s="52"/>
      <c r="QFY213" s="52"/>
      <c r="QFZ213" s="52"/>
      <c r="QGA213" s="52"/>
      <c r="QGB213" s="52"/>
      <c r="QGC213" s="52"/>
      <c r="QGD213" s="52"/>
      <c r="QGE213" s="52"/>
      <c r="QGF213" s="52"/>
      <c r="QGG213" s="52"/>
      <c r="QGH213" s="52"/>
      <c r="QGI213" s="52"/>
      <c r="QGJ213" s="52"/>
      <c r="QGK213" s="52"/>
      <c r="QGL213" s="52"/>
      <c r="QGM213" s="52"/>
      <c r="QGN213" s="52"/>
      <c r="QGO213" s="52"/>
      <c r="QGP213" s="52"/>
      <c r="QGQ213" s="52"/>
      <c r="QGR213" s="52"/>
      <c r="QGS213" s="52"/>
      <c r="QGT213" s="52"/>
      <c r="QGU213" s="52"/>
      <c r="QGV213" s="52"/>
      <c r="QGW213" s="52"/>
      <c r="QGX213" s="52"/>
      <c r="QGY213" s="52"/>
      <c r="QGZ213" s="52"/>
      <c r="QHA213" s="52"/>
      <c r="QHB213" s="52"/>
      <c r="QHC213" s="52"/>
      <c r="QHD213" s="52"/>
      <c r="QHE213" s="52"/>
      <c r="QHF213" s="52"/>
      <c r="QHG213" s="52"/>
      <c r="QHH213" s="52"/>
      <c r="QHI213" s="52"/>
      <c r="QHJ213" s="52"/>
      <c r="QHK213" s="52"/>
      <c r="QHL213" s="52"/>
      <c r="QHM213" s="52"/>
      <c r="QHN213" s="52"/>
      <c r="QHO213" s="52"/>
      <c r="QHP213" s="52"/>
      <c r="QHQ213" s="52"/>
      <c r="QHR213" s="52"/>
      <c r="QHS213" s="52"/>
      <c r="QHT213" s="52"/>
      <c r="QHU213" s="52"/>
      <c r="QHV213" s="52"/>
      <c r="QHW213" s="52"/>
      <c r="QHX213" s="52"/>
      <c r="QHY213" s="52"/>
      <c r="QHZ213" s="52"/>
      <c r="QIA213" s="52"/>
      <c r="QIB213" s="52"/>
      <c r="QIC213" s="52"/>
      <c r="QID213" s="52"/>
      <c r="QIE213" s="52"/>
      <c r="QIF213" s="52"/>
      <c r="QIG213" s="52"/>
      <c r="QIH213" s="52"/>
      <c r="QII213" s="52"/>
      <c r="QIJ213" s="52"/>
      <c r="QIK213" s="52"/>
      <c r="QIL213" s="52"/>
      <c r="QIM213" s="52"/>
      <c r="QIN213" s="52"/>
      <c r="QIO213" s="52"/>
      <c r="QIP213" s="52"/>
      <c r="QIQ213" s="52"/>
      <c r="QIR213" s="52"/>
      <c r="QIS213" s="52"/>
      <c r="QIT213" s="52"/>
      <c r="QIU213" s="52"/>
      <c r="QIV213" s="52"/>
      <c r="QIW213" s="52"/>
      <c r="QIX213" s="52"/>
      <c r="QIY213" s="52"/>
      <c r="QIZ213" s="52"/>
      <c r="QJA213" s="52"/>
      <c r="QJB213" s="52"/>
      <c r="QJC213" s="52"/>
      <c r="QJD213" s="52"/>
      <c r="QJE213" s="52"/>
      <c r="QJF213" s="52"/>
      <c r="QJG213" s="52"/>
      <c r="QJH213" s="52"/>
      <c r="QJI213" s="52"/>
      <c r="QJJ213" s="52"/>
      <c r="QJK213" s="52"/>
      <c r="QJL213" s="52"/>
      <c r="QJM213" s="52"/>
      <c r="QJN213" s="52"/>
      <c r="QJO213" s="52"/>
      <c r="QJP213" s="52"/>
      <c r="QJQ213" s="52"/>
      <c r="QJR213" s="52"/>
      <c r="QJS213" s="52"/>
      <c r="QJT213" s="52"/>
      <c r="QJU213" s="52"/>
      <c r="QJV213" s="52"/>
      <c r="QJW213" s="52"/>
      <c r="QJX213" s="52"/>
      <c r="QJY213" s="52"/>
      <c r="QJZ213" s="52"/>
      <c r="QKA213" s="52"/>
      <c r="QKB213" s="52"/>
      <c r="QKC213" s="52"/>
      <c r="QKD213" s="52"/>
      <c r="QKE213" s="52"/>
      <c r="QKF213" s="52"/>
      <c r="QKG213" s="52"/>
      <c r="QKH213" s="52"/>
      <c r="QKI213" s="52"/>
      <c r="QKJ213" s="52"/>
      <c r="QKK213" s="52"/>
      <c r="QKL213" s="52"/>
      <c r="QKM213" s="52"/>
      <c r="QKN213" s="52"/>
      <c r="QKO213" s="52"/>
      <c r="QKP213" s="52"/>
      <c r="QKQ213" s="52"/>
      <c r="QKR213" s="52"/>
      <c r="QKS213" s="52"/>
      <c r="QKT213" s="52"/>
      <c r="QKU213" s="52"/>
      <c r="QKV213" s="52"/>
      <c r="QKW213" s="52"/>
      <c r="QKX213" s="52"/>
      <c r="QKY213" s="52"/>
      <c r="QKZ213" s="52"/>
      <c r="QLA213" s="52"/>
      <c r="QLB213" s="52"/>
      <c r="QLC213" s="52"/>
      <c r="QLD213" s="52"/>
      <c r="QLE213" s="52"/>
      <c r="QLF213" s="52"/>
      <c r="QLG213" s="52"/>
      <c r="QLH213" s="52"/>
      <c r="QLI213" s="52"/>
      <c r="QLJ213" s="52"/>
      <c r="QLK213" s="52"/>
      <c r="QLL213" s="52"/>
      <c r="QLM213" s="52"/>
      <c r="QLN213" s="52"/>
      <c r="QLO213" s="52"/>
      <c r="QLP213" s="52"/>
      <c r="QLQ213" s="52"/>
      <c r="QLR213" s="52"/>
      <c r="QLS213" s="52"/>
      <c r="QLT213" s="52"/>
      <c r="QLU213" s="52"/>
      <c r="QLV213" s="52"/>
      <c r="QLW213" s="52"/>
      <c r="QLX213" s="52"/>
      <c r="QLY213" s="52"/>
      <c r="QLZ213" s="52"/>
      <c r="QMA213" s="52"/>
      <c r="QMB213" s="52"/>
      <c r="QMC213" s="52"/>
      <c r="QMD213" s="52"/>
      <c r="QME213" s="52"/>
      <c r="QMF213" s="52"/>
      <c r="QMG213" s="52"/>
      <c r="QMH213" s="52"/>
      <c r="QMI213" s="52"/>
      <c r="QMJ213" s="52"/>
      <c r="QMK213" s="52"/>
      <c r="QML213" s="52"/>
      <c r="QMM213" s="52"/>
      <c r="QMN213" s="52"/>
      <c r="QMO213" s="52"/>
      <c r="QMP213" s="52"/>
      <c r="QMQ213" s="52"/>
      <c r="QMR213" s="52"/>
      <c r="QMS213" s="52"/>
      <c r="QMT213" s="52"/>
      <c r="QMU213" s="52"/>
      <c r="QMV213" s="52"/>
      <c r="QMW213" s="52"/>
      <c r="QMX213" s="52"/>
      <c r="QMY213" s="52"/>
      <c r="QMZ213" s="52"/>
      <c r="QNA213" s="52"/>
      <c r="QNB213" s="52"/>
      <c r="QNC213" s="52"/>
      <c r="QND213" s="52"/>
      <c r="QNE213" s="52"/>
      <c r="QNF213" s="52"/>
      <c r="QNG213" s="52"/>
      <c r="QNH213" s="52"/>
      <c r="QNI213" s="52"/>
      <c r="QNJ213" s="52"/>
      <c r="QNK213" s="52"/>
      <c r="QNL213" s="52"/>
      <c r="QNM213" s="52"/>
      <c r="QNN213" s="52"/>
      <c r="QNO213" s="52"/>
      <c r="QNP213" s="52"/>
      <c r="QNQ213" s="52"/>
      <c r="QNR213" s="52"/>
      <c r="QNS213" s="52"/>
      <c r="QNT213" s="52"/>
      <c r="QNU213" s="52"/>
      <c r="QNV213" s="52"/>
      <c r="QNW213" s="52"/>
      <c r="QNX213" s="52"/>
      <c r="QNY213" s="52"/>
      <c r="QNZ213" s="52"/>
      <c r="QOA213" s="52"/>
      <c r="QOB213" s="52"/>
      <c r="QOC213" s="52"/>
      <c r="QOD213" s="52"/>
      <c r="QOE213" s="52"/>
      <c r="QOF213" s="52"/>
      <c r="QOG213" s="52"/>
      <c r="QOH213" s="52"/>
      <c r="QOI213" s="52"/>
      <c r="QOJ213" s="52"/>
      <c r="QOK213" s="52"/>
      <c r="QOL213" s="52"/>
      <c r="QOM213" s="52"/>
      <c r="QON213" s="52"/>
      <c r="QOO213" s="52"/>
      <c r="QOP213" s="52"/>
      <c r="QOQ213" s="52"/>
      <c r="QOR213" s="52"/>
      <c r="QOS213" s="52"/>
      <c r="QOT213" s="52"/>
      <c r="QOU213" s="52"/>
      <c r="QOV213" s="52"/>
      <c r="QOW213" s="52"/>
      <c r="QOX213" s="52"/>
      <c r="QOY213" s="52"/>
      <c r="QOZ213" s="52"/>
      <c r="QPA213" s="52"/>
      <c r="QPB213" s="52"/>
      <c r="QPC213" s="52"/>
      <c r="QPD213" s="52"/>
      <c r="QPE213" s="52"/>
      <c r="QPF213" s="52"/>
      <c r="QPG213" s="52"/>
      <c r="QPH213" s="52"/>
      <c r="QPI213" s="52"/>
      <c r="QPJ213" s="52"/>
      <c r="QPK213" s="52"/>
      <c r="QPL213" s="52"/>
      <c r="QPM213" s="52"/>
      <c r="QPN213" s="52"/>
      <c r="QPO213" s="52"/>
      <c r="QPP213" s="52"/>
      <c r="QPQ213" s="52"/>
      <c r="QPR213" s="52"/>
      <c r="QPS213" s="52"/>
      <c r="QPT213" s="52"/>
      <c r="QPU213" s="52"/>
      <c r="QPV213" s="52"/>
      <c r="QPW213" s="52"/>
      <c r="QPX213" s="52"/>
      <c r="QPY213" s="52"/>
      <c r="QPZ213" s="52"/>
      <c r="QQA213" s="52"/>
      <c r="QQB213" s="52"/>
      <c r="QQC213" s="52"/>
      <c r="QQD213" s="52"/>
      <c r="QQE213" s="52"/>
      <c r="QQF213" s="52"/>
      <c r="QQG213" s="52"/>
      <c r="QQH213" s="52"/>
      <c r="QQI213" s="52"/>
      <c r="QQJ213" s="52"/>
      <c r="QQK213" s="52"/>
      <c r="QQL213" s="52"/>
      <c r="QQM213" s="52"/>
      <c r="QQN213" s="52"/>
      <c r="QQO213" s="52"/>
      <c r="QQP213" s="52"/>
      <c r="QQQ213" s="52"/>
      <c r="QQR213" s="52"/>
      <c r="QQS213" s="52"/>
      <c r="QQT213" s="52"/>
      <c r="QQU213" s="52"/>
      <c r="QQV213" s="52"/>
      <c r="QQW213" s="52"/>
      <c r="QQX213" s="52"/>
      <c r="QQY213" s="52"/>
      <c r="QQZ213" s="52"/>
      <c r="QRA213" s="52"/>
      <c r="QRB213" s="52"/>
      <c r="QRC213" s="52"/>
      <c r="QRD213" s="52"/>
      <c r="QRE213" s="52"/>
      <c r="QRF213" s="52"/>
      <c r="QRG213" s="52"/>
      <c r="QRH213" s="52"/>
      <c r="QRI213" s="52"/>
      <c r="QRJ213" s="52"/>
      <c r="QRK213" s="52"/>
      <c r="QRL213" s="52"/>
      <c r="QRM213" s="52"/>
      <c r="QRN213" s="52"/>
      <c r="QRO213" s="52"/>
      <c r="QRP213" s="52"/>
      <c r="QRQ213" s="52"/>
      <c r="QRR213" s="52"/>
      <c r="QRS213" s="52"/>
      <c r="QRT213" s="52"/>
      <c r="QRU213" s="52"/>
      <c r="QRV213" s="52"/>
      <c r="QRW213" s="52"/>
      <c r="QRX213" s="52"/>
      <c r="QRY213" s="52"/>
      <c r="QRZ213" s="52"/>
      <c r="QSA213" s="52"/>
      <c r="QSB213" s="52"/>
      <c r="QSC213" s="52"/>
      <c r="QSD213" s="52"/>
      <c r="QSE213" s="52"/>
      <c r="QSF213" s="52"/>
      <c r="QSG213" s="52"/>
      <c r="QSH213" s="52"/>
      <c r="QSI213" s="52"/>
      <c r="QSJ213" s="52"/>
      <c r="QSK213" s="52"/>
      <c r="QSL213" s="52"/>
      <c r="QSM213" s="52"/>
      <c r="QSN213" s="52"/>
      <c r="QSO213" s="52"/>
      <c r="QSP213" s="52"/>
      <c r="QSQ213" s="52"/>
      <c r="QSR213" s="52"/>
      <c r="QSS213" s="52"/>
      <c r="QST213" s="52"/>
      <c r="QSU213" s="52"/>
      <c r="QSV213" s="52"/>
      <c r="QSW213" s="52"/>
      <c r="QSX213" s="52"/>
      <c r="QSY213" s="52"/>
      <c r="QSZ213" s="52"/>
      <c r="QTA213" s="52"/>
      <c r="QTB213" s="52"/>
      <c r="QTC213" s="52"/>
      <c r="QTD213" s="52"/>
      <c r="QTE213" s="52"/>
      <c r="QTF213" s="52"/>
      <c r="QTG213" s="52"/>
      <c r="QTH213" s="52"/>
      <c r="QTI213" s="52"/>
      <c r="QTJ213" s="52"/>
      <c r="QTK213" s="52"/>
      <c r="QTL213" s="52"/>
      <c r="QTM213" s="52"/>
      <c r="QTN213" s="52"/>
      <c r="QTO213" s="52"/>
      <c r="QTP213" s="52"/>
      <c r="QTQ213" s="52"/>
      <c r="QTR213" s="52"/>
      <c r="QTS213" s="52"/>
      <c r="QTT213" s="52"/>
      <c r="QTU213" s="52"/>
      <c r="QTV213" s="52"/>
      <c r="QTW213" s="52"/>
      <c r="QTX213" s="52"/>
      <c r="QTY213" s="52"/>
      <c r="QTZ213" s="52"/>
      <c r="QUA213" s="52"/>
      <c r="QUB213" s="52"/>
      <c r="QUC213" s="52"/>
      <c r="QUD213" s="52"/>
      <c r="QUE213" s="52"/>
      <c r="QUF213" s="52"/>
      <c r="QUG213" s="52"/>
      <c r="QUH213" s="52"/>
      <c r="QUI213" s="52"/>
      <c r="QUJ213" s="52"/>
      <c r="QUK213" s="52"/>
      <c r="QUL213" s="52"/>
      <c r="QUM213" s="52"/>
      <c r="QUN213" s="52"/>
      <c r="QUO213" s="52"/>
      <c r="QUP213" s="52"/>
      <c r="QUQ213" s="52"/>
      <c r="QUR213" s="52"/>
      <c r="QUS213" s="52"/>
      <c r="QUT213" s="52"/>
      <c r="QUU213" s="52"/>
      <c r="QUV213" s="52"/>
      <c r="QUW213" s="52"/>
      <c r="QUX213" s="52"/>
      <c r="QUY213" s="52"/>
      <c r="QUZ213" s="52"/>
      <c r="QVA213" s="52"/>
      <c r="QVB213" s="52"/>
      <c r="QVC213" s="52"/>
      <c r="QVD213" s="52"/>
      <c r="QVE213" s="52"/>
      <c r="QVF213" s="52"/>
      <c r="QVG213" s="52"/>
      <c r="QVH213" s="52"/>
      <c r="QVI213" s="52"/>
      <c r="QVJ213" s="52"/>
      <c r="QVK213" s="52"/>
      <c r="QVL213" s="52"/>
      <c r="QVM213" s="52"/>
      <c r="QVN213" s="52"/>
      <c r="QVO213" s="52"/>
      <c r="QVP213" s="52"/>
      <c r="QVQ213" s="52"/>
      <c r="QVR213" s="52"/>
      <c r="QVS213" s="52"/>
      <c r="QVT213" s="52"/>
      <c r="QVU213" s="52"/>
      <c r="QVV213" s="52"/>
      <c r="QVW213" s="52"/>
      <c r="QVX213" s="52"/>
      <c r="QVY213" s="52"/>
      <c r="QVZ213" s="52"/>
      <c r="QWA213" s="52"/>
      <c r="QWB213" s="52"/>
      <c r="QWC213" s="52"/>
      <c r="QWD213" s="52"/>
      <c r="QWE213" s="52"/>
      <c r="QWF213" s="52"/>
      <c r="QWG213" s="52"/>
      <c r="QWH213" s="52"/>
      <c r="QWI213" s="52"/>
      <c r="QWJ213" s="52"/>
      <c r="QWK213" s="52"/>
      <c r="QWL213" s="52"/>
      <c r="QWM213" s="52"/>
      <c r="QWN213" s="52"/>
      <c r="QWO213" s="52"/>
      <c r="QWP213" s="52"/>
      <c r="QWQ213" s="52"/>
      <c r="QWR213" s="52"/>
      <c r="QWS213" s="52"/>
      <c r="QWT213" s="52"/>
      <c r="QWU213" s="52"/>
      <c r="QWV213" s="52"/>
      <c r="QWW213" s="52"/>
      <c r="QWX213" s="52"/>
      <c r="QWY213" s="52"/>
      <c r="QWZ213" s="52"/>
      <c r="QXA213" s="52"/>
      <c r="QXB213" s="52"/>
      <c r="QXC213" s="52"/>
      <c r="QXD213" s="52"/>
      <c r="QXE213" s="52"/>
      <c r="QXF213" s="52"/>
      <c r="QXG213" s="52"/>
      <c r="QXH213" s="52"/>
      <c r="QXI213" s="52"/>
      <c r="QXJ213" s="52"/>
      <c r="QXK213" s="52"/>
      <c r="QXL213" s="52"/>
      <c r="QXM213" s="52"/>
      <c r="QXN213" s="52"/>
      <c r="QXO213" s="52"/>
      <c r="QXP213" s="52"/>
      <c r="QXQ213" s="52"/>
      <c r="QXR213" s="52"/>
      <c r="QXS213" s="52"/>
      <c r="QXT213" s="52"/>
      <c r="QXU213" s="52"/>
      <c r="QXV213" s="52"/>
      <c r="QXW213" s="52"/>
      <c r="QXX213" s="52"/>
      <c r="QXY213" s="52"/>
      <c r="QXZ213" s="52"/>
      <c r="QYA213" s="52"/>
      <c r="QYB213" s="52"/>
      <c r="QYC213" s="52"/>
      <c r="QYD213" s="52"/>
      <c r="QYE213" s="52"/>
      <c r="QYF213" s="52"/>
      <c r="QYG213" s="52"/>
      <c r="QYH213" s="52"/>
      <c r="QYI213" s="52"/>
      <c r="QYJ213" s="52"/>
      <c r="QYK213" s="52"/>
      <c r="QYL213" s="52"/>
      <c r="QYM213" s="52"/>
      <c r="QYN213" s="52"/>
      <c r="QYO213" s="52"/>
      <c r="QYP213" s="52"/>
      <c r="QYQ213" s="52"/>
      <c r="QYR213" s="52"/>
      <c r="QYS213" s="52"/>
      <c r="QYT213" s="52"/>
      <c r="QYU213" s="52"/>
      <c r="QYV213" s="52"/>
      <c r="QYW213" s="52"/>
      <c r="QYX213" s="52"/>
      <c r="QYY213" s="52"/>
      <c r="QYZ213" s="52"/>
      <c r="QZA213" s="52"/>
      <c r="QZB213" s="52"/>
      <c r="QZC213" s="52"/>
      <c r="QZD213" s="52"/>
      <c r="QZE213" s="52"/>
      <c r="QZF213" s="52"/>
      <c r="QZG213" s="52"/>
      <c r="QZH213" s="52"/>
      <c r="QZI213" s="52"/>
      <c r="QZJ213" s="52"/>
      <c r="QZK213" s="52"/>
      <c r="QZL213" s="52"/>
      <c r="QZM213" s="52"/>
      <c r="QZN213" s="52"/>
      <c r="QZO213" s="52"/>
      <c r="QZP213" s="52"/>
      <c r="QZQ213" s="52"/>
      <c r="QZR213" s="52"/>
      <c r="QZS213" s="52"/>
      <c r="QZT213" s="52"/>
      <c r="QZU213" s="52"/>
      <c r="QZV213" s="52"/>
      <c r="QZW213" s="52"/>
      <c r="QZX213" s="52"/>
      <c r="QZY213" s="52"/>
      <c r="QZZ213" s="52"/>
      <c r="RAA213" s="52"/>
      <c r="RAB213" s="52"/>
      <c r="RAC213" s="52"/>
      <c r="RAD213" s="52"/>
      <c r="RAE213" s="52"/>
      <c r="RAF213" s="52"/>
      <c r="RAG213" s="52"/>
      <c r="RAH213" s="52"/>
      <c r="RAI213" s="52"/>
      <c r="RAJ213" s="52"/>
      <c r="RAK213" s="52"/>
      <c r="RAL213" s="52"/>
      <c r="RAM213" s="52"/>
      <c r="RAN213" s="52"/>
      <c r="RAO213" s="52"/>
      <c r="RAP213" s="52"/>
      <c r="RAQ213" s="52"/>
      <c r="RAR213" s="52"/>
      <c r="RAS213" s="52"/>
      <c r="RAT213" s="52"/>
      <c r="RAU213" s="52"/>
      <c r="RAV213" s="52"/>
      <c r="RAW213" s="52"/>
      <c r="RAX213" s="52"/>
      <c r="RAY213" s="52"/>
      <c r="RAZ213" s="52"/>
      <c r="RBA213" s="52"/>
      <c r="RBB213" s="52"/>
      <c r="RBC213" s="52"/>
      <c r="RBD213" s="52"/>
      <c r="RBE213" s="52"/>
      <c r="RBF213" s="52"/>
      <c r="RBG213" s="52"/>
      <c r="RBH213" s="52"/>
      <c r="RBI213" s="52"/>
      <c r="RBJ213" s="52"/>
      <c r="RBK213" s="52"/>
      <c r="RBL213" s="52"/>
      <c r="RBM213" s="52"/>
      <c r="RBN213" s="52"/>
      <c r="RBO213" s="52"/>
      <c r="RBP213" s="52"/>
      <c r="RBQ213" s="52"/>
      <c r="RBR213" s="52"/>
      <c r="RBS213" s="52"/>
      <c r="RBT213" s="52"/>
      <c r="RBU213" s="52"/>
      <c r="RBV213" s="52"/>
      <c r="RBW213" s="52"/>
      <c r="RBX213" s="52"/>
      <c r="RBY213" s="52"/>
      <c r="RBZ213" s="52"/>
      <c r="RCA213" s="52"/>
      <c r="RCB213" s="52"/>
      <c r="RCC213" s="52"/>
      <c r="RCD213" s="52"/>
      <c r="RCE213" s="52"/>
      <c r="RCF213" s="52"/>
      <c r="RCG213" s="52"/>
      <c r="RCH213" s="52"/>
      <c r="RCI213" s="52"/>
      <c r="RCJ213" s="52"/>
      <c r="RCK213" s="52"/>
      <c r="RCL213" s="52"/>
      <c r="RCM213" s="52"/>
      <c r="RCN213" s="52"/>
      <c r="RCO213" s="52"/>
      <c r="RCP213" s="52"/>
      <c r="RCQ213" s="52"/>
      <c r="RCR213" s="52"/>
      <c r="RCS213" s="52"/>
      <c r="RCT213" s="52"/>
      <c r="RCU213" s="52"/>
      <c r="RCV213" s="52"/>
      <c r="RCW213" s="52"/>
      <c r="RCX213" s="52"/>
      <c r="RCY213" s="52"/>
      <c r="RCZ213" s="52"/>
      <c r="RDA213" s="52"/>
      <c r="RDB213" s="52"/>
      <c r="RDC213" s="52"/>
      <c r="RDD213" s="52"/>
      <c r="RDE213" s="52"/>
      <c r="RDF213" s="52"/>
      <c r="RDG213" s="52"/>
      <c r="RDH213" s="52"/>
      <c r="RDI213" s="52"/>
      <c r="RDJ213" s="52"/>
      <c r="RDK213" s="52"/>
      <c r="RDL213" s="52"/>
      <c r="RDM213" s="52"/>
      <c r="RDN213" s="52"/>
      <c r="RDO213" s="52"/>
      <c r="RDP213" s="52"/>
      <c r="RDQ213" s="52"/>
      <c r="RDR213" s="52"/>
      <c r="RDS213" s="52"/>
      <c r="RDT213" s="52"/>
      <c r="RDU213" s="52"/>
      <c r="RDV213" s="52"/>
      <c r="RDW213" s="52"/>
      <c r="RDX213" s="52"/>
      <c r="RDY213" s="52"/>
      <c r="RDZ213" s="52"/>
      <c r="REA213" s="52"/>
      <c r="REB213" s="52"/>
      <c r="REC213" s="52"/>
      <c r="RED213" s="52"/>
      <c r="REE213" s="52"/>
      <c r="REF213" s="52"/>
      <c r="REG213" s="52"/>
      <c r="REH213" s="52"/>
      <c r="REI213" s="52"/>
      <c r="REJ213" s="52"/>
      <c r="REK213" s="52"/>
      <c r="REL213" s="52"/>
      <c r="REM213" s="52"/>
      <c r="REN213" s="52"/>
      <c r="REO213" s="52"/>
      <c r="REP213" s="52"/>
      <c r="REQ213" s="52"/>
      <c r="RER213" s="52"/>
      <c r="RES213" s="52"/>
      <c r="RET213" s="52"/>
      <c r="REU213" s="52"/>
      <c r="REV213" s="52"/>
      <c r="REW213" s="52"/>
      <c r="REX213" s="52"/>
      <c r="REY213" s="52"/>
      <c r="REZ213" s="52"/>
      <c r="RFA213" s="52"/>
      <c r="RFB213" s="52"/>
      <c r="RFC213" s="52"/>
      <c r="RFD213" s="52"/>
      <c r="RFE213" s="52"/>
      <c r="RFF213" s="52"/>
      <c r="RFG213" s="52"/>
      <c r="RFH213" s="52"/>
      <c r="RFI213" s="52"/>
      <c r="RFJ213" s="52"/>
      <c r="RFK213" s="52"/>
      <c r="RFL213" s="52"/>
      <c r="RFM213" s="52"/>
      <c r="RFN213" s="52"/>
      <c r="RFO213" s="52"/>
      <c r="RFP213" s="52"/>
      <c r="RFQ213" s="52"/>
      <c r="RFR213" s="52"/>
      <c r="RFS213" s="52"/>
      <c r="RFT213" s="52"/>
      <c r="RFU213" s="52"/>
      <c r="RFV213" s="52"/>
      <c r="RFW213" s="52"/>
      <c r="RFX213" s="52"/>
      <c r="RFY213" s="52"/>
      <c r="RFZ213" s="52"/>
      <c r="RGA213" s="52"/>
      <c r="RGB213" s="52"/>
      <c r="RGC213" s="52"/>
      <c r="RGD213" s="52"/>
      <c r="RGE213" s="52"/>
      <c r="RGF213" s="52"/>
      <c r="RGG213" s="52"/>
      <c r="RGH213" s="52"/>
      <c r="RGI213" s="52"/>
      <c r="RGJ213" s="52"/>
      <c r="RGK213" s="52"/>
      <c r="RGL213" s="52"/>
      <c r="RGM213" s="52"/>
      <c r="RGN213" s="52"/>
      <c r="RGO213" s="52"/>
      <c r="RGP213" s="52"/>
      <c r="RGQ213" s="52"/>
      <c r="RGR213" s="52"/>
      <c r="RGS213" s="52"/>
      <c r="RGT213" s="52"/>
      <c r="RGU213" s="52"/>
      <c r="RGV213" s="52"/>
      <c r="RGW213" s="52"/>
      <c r="RGX213" s="52"/>
      <c r="RGY213" s="52"/>
      <c r="RGZ213" s="52"/>
      <c r="RHA213" s="52"/>
      <c r="RHB213" s="52"/>
      <c r="RHC213" s="52"/>
      <c r="RHD213" s="52"/>
      <c r="RHE213" s="52"/>
      <c r="RHF213" s="52"/>
      <c r="RHG213" s="52"/>
      <c r="RHH213" s="52"/>
      <c r="RHI213" s="52"/>
      <c r="RHJ213" s="52"/>
      <c r="RHK213" s="52"/>
      <c r="RHL213" s="52"/>
      <c r="RHM213" s="52"/>
      <c r="RHN213" s="52"/>
      <c r="RHO213" s="52"/>
      <c r="RHP213" s="52"/>
      <c r="RHQ213" s="52"/>
      <c r="RHR213" s="52"/>
      <c r="RHS213" s="52"/>
      <c r="RHT213" s="52"/>
      <c r="RHU213" s="52"/>
      <c r="RHV213" s="52"/>
      <c r="RHW213" s="52"/>
      <c r="RHX213" s="52"/>
      <c r="RHY213" s="52"/>
      <c r="RHZ213" s="52"/>
      <c r="RIA213" s="52"/>
      <c r="RIB213" s="52"/>
      <c r="RIC213" s="52"/>
      <c r="RID213" s="52"/>
      <c r="RIE213" s="52"/>
      <c r="RIF213" s="52"/>
      <c r="RIG213" s="52"/>
      <c r="RIH213" s="52"/>
      <c r="RII213" s="52"/>
      <c r="RIJ213" s="52"/>
      <c r="RIK213" s="52"/>
      <c r="RIL213" s="52"/>
      <c r="RIM213" s="52"/>
      <c r="RIN213" s="52"/>
      <c r="RIO213" s="52"/>
      <c r="RIP213" s="52"/>
      <c r="RIQ213" s="52"/>
      <c r="RIR213" s="52"/>
      <c r="RIS213" s="52"/>
      <c r="RIT213" s="52"/>
      <c r="RIU213" s="52"/>
      <c r="RIV213" s="52"/>
      <c r="RIW213" s="52"/>
      <c r="RIX213" s="52"/>
      <c r="RIY213" s="52"/>
      <c r="RIZ213" s="52"/>
      <c r="RJA213" s="52"/>
      <c r="RJB213" s="52"/>
      <c r="RJC213" s="52"/>
      <c r="RJD213" s="52"/>
      <c r="RJE213" s="52"/>
      <c r="RJF213" s="52"/>
      <c r="RJG213" s="52"/>
      <c r="RJH213" s="52"/>
      <c r="RJI213" s="52"/>
      <c r="RJJ213" s="52"/>
      <c r="RJK213" s="52"/>
      <c r="RJL213" s="52"/>
      <c r="RJM213" s="52"/>
      <c r="RJN213" s="52"/>
      <c r="RJO213" s="52"/>
      <c r="RJP213" s="52"/>
      <c r="RJQ213" s="52"/>
      <c r="RJR213" s="52"/>
      <c r="RJS213" s="52"/>
      <c r="RJT213" s="52"/>
      <c r="RJU213" s="52"/>
      <c r="RJV213" s="52"/>
      <c r="RJW213" s="52"/>
      <c r="RJX213" s="52"/>
      <c r="RJY213" s="52"/>
      <c r="RJZ213" s="52"/>
      <c r="RKA213" s="52"/>
      <c r="RKB213" s="52"/>
      <c r="RKC213" s="52"/>
      <c r="RKD213" s="52"/>
      <c r="RKE213" s="52"/>
      <c r="RKF213" s="52"/>
      <c r="RKG213" s="52"/>
      <c r="RKH213" s="52"/>
      <c r="RKI213" s="52"/>
      <c r="RKJ213" s="52"/>
      <c r="RKK213" s="52"/>
      <c r="RKL213" s="52"/>
      <c r="RKM213" s="52"/>
      <c r="RKN213" s="52"/>
      <c r="RKO213" s="52"/>
      <c r="RKP213" s="52"/>
      <c r="RKQ213" s="52"/>
      <c r="RKR213" s="52"/>
      <c r="RKS213" s="52"/>
      <c r="RKT213" s="52"/>
      <c r="RKU213" s="52"/>
      <c r="RKV213" s="52"/>
      <c r="RKW213" s="52"/>
      <c r="RKX213" s="52"/>
      <c r="RKY213" s="52"/>
      <c r="RKZ213" s="52"/>
      <c r="RLA213" s="52"/>
      <c r="RLB213" s="52"/>
      <c r="RLC213" s="52"/>
      <c r="RLD213" s="52"/>
      <c r="RLE213" s="52"/>
      <c r="RLF213" s="52"/>
      <c r="RLG213" s="52"/>
      <c r="RLH213" s="52"/>
      <c r="RLI213" s="52"/>
      <c r="RLJ213" s="52"/>
      <c r="RLK213" s="52"/>
      <c r="RLL213" s="52"/>
      <c r="RLM213" s="52"/>
      <c r="RLN213" s="52"/>
      <c r="RLO213" s="52"/>
      <c r="RLP213" s="52"/>
      <c r="RLQ213" s="52"/>
      <c r="RLR213" s="52"/>
      <c r="RLS213" s="52"/>
      <c r="RLT213" s="52"/>
      <c r="RLU213" s="52"/>
      <c r="RLV213" s="52"/>
      <c r="RLW213" s="52"/>
      <c r="RLX213" s="52"/>
      <c r="RLY213" s="52"/>
      <c r="RLZ213" s="52"/>
      <c r="RMA213" s="52"/>
      <c r="RMB213" s="52"/>
      <c r="RMC213" s="52"/>
      <c r="RMD213" s="52"/>
      <c r="RME213" s="52"/>
      <c r="RMF213" s="52"/>
      <c r="RMG213" s="52"/>
      <c r="RMH213" s="52"/>
      <c r="RMI213" s="52"/>
      <c r="RMJ213" s="52"/>
      <c r="RMK213" s="52"/>
      <c r="RML213" s="52"/>
      <c r="RMM213" s="52"/>
      <c r="RMN213" s="52"/>
      <c r="RMO213" s="52"/>
      <c r="RMP213" s="52"/>
      <c r="RMQ213" s="52"/>
      <c r="RMR213" s="52"/>
      <c r="RMS213" s="52"/>
      <c r="RMT213" s="52"/>
      <c r="RMU213" s="52"/>
      <c r="RMV213" s="52"/>
      <c r="RMW213" s="52"/>
      <c r="RMX213" s="52"/>
      <c r="RMY213" s="52"/>
      <c r="RMZ213" s="52"/>
      <c r="RNA213" s="52"/>
      <c r="RNB213" s="52"/>
      <c r="RNC213" s="52"/>
      <c r="RND213" s="52"/>
      <c r="RNE213" s="52"/>
      <c r="RNF213" s="52"/>
      <c r="RNG213" s="52"/>
      <c r="RNH213" s="52"/>
      <c r="RNI213" s="52"/>
      <c r="RNJ213" s="52"/>
      <c r="RNK213" s="52"/>
      <c r="RNL213" s="52"/>
      <c r="RNM213" s="52"/>
      <c r="RNN213" s="52"/>
      <c r="RNO213" s="52"/>
      <c r="RNP213" s="52"/>
      <c r="RNQ213" s="52"/>
      <c r="RNR213" s="52"/>
      <c r="RNS213" s="52"/>
      <c r="RNT213" s="52"/>
      <c r="RNU213" s="52"/>
      <c r="RNV213" s="52"/>
      <c r="RNW213" s="52"/>
      <c r="RNX213" s="52"/>
      <c r="RNY213" s="52"/>
      <c r="RNZ213" s="52"/>
      <c r="ROA213" s="52"/>
      <c r="ROB213" s="52"/>
      <c r="ROC213" s="52"/>
      <c r="ROD213" s="52"/>
      <c r="ROE213" s="52"/>
      <c r="ROF213" s="52"/>
      <c r="ROG213" s="52"/>
      <c r="ROH213" s="52"/>
      <c r="ROI213" s="52"/>
      <c r="ROJ213" s="52"/>
      <c r="ROK213" s="52"/>
      <c r="ROL213" s="52"/>
      <c r="ROM213" s="52"/>
      <c r="RON213" s="52"/>
      <c r="ROO213" s="52"/>
      <c r="ROP213" s="52"/>
      <c r="ROQ213" s="52"/>
      <c r="ROR213" s="52"/>
      <c r="ROS213" s="52"/>
      <c r="ROT213" s="52"/>
      <c r="ROU213" s="52"/>
      <c r="ROV213" s="52"/>
      <c r="ROW213" s="52"/>
      <c r="ROX213" s="52"/>
      <c r="ROY213" s="52"/>
      <c r="ROZ213" s="52"/>
      <c r="RPA213" s="52"/>
      <c r="RPB213" s="52"/>
      <c r="RPC213" s="52"/>
      <c r="RPD213" s="52"/>
      <c r="RPE213" s="52"/>
      <c r="RPF213" s="52"/>
      <c r="RPG213" s="52"/>
      <c r="RPH213" s="52"/>
      <c r="RPI213" s="52"/>
      <c r="RPJ213" s="52"/>
      <c r="RPK213" s="52"/>
      <c r="RPL213" s="52"/>
      <c r="RPM213" s="52"/>
      <c r="RPN213" s="52"/>
      <c r="RPO213" s="52"/>
      <c r="RPP213" s="52"/>
      <c r="RPQ213" s="52"/>
      <c r="RPR213" s="52"/>
      <c r="RPS213" s="52"/>
      <c r="RPT213" s="52"/>
      <c r="RPU213" s="52"/>
      <c r="RPV213" s="52"/>
      <c r="RPW213" s="52"/>
      <c r="RPX213" s="52"/>
      <c r="RPY213" s="52"/>
      <c r="RPZ213" s="52"/>
      <c r="RQA213" s="52"/>
      <c r="RQB213" s="52"/>
      <c r="RQC213" s="52"/>
      <c r="RQD213" s="52"/>
      <c r="RQE213" s="52"/>
      <c r="RQF213" s="52"/>
      <c r="RQG213" s="52"/>
      <c r="RQH213" s="52"/>
      <c r="RQI213" s="52"/>
      <c r="RQJ213" s="52"/>
      <c r="RQK213" s="52"/>
      <c r="RQL213" s="52"/>
      <c r="RQM213" s="52"/>
      <c r="RQN213" s="52"/>
      <c r="RQO213" s="52"/>
      <c r="RQP213" s="52"/>
      <c r="RQQ213" s="52"/>
      <c r="RQR213" s="52"/>
      <c r="RQS213" s="52"/>
      <c r="RQT213" s="52"/>
      <c r="RQU213" s="52"/>
      <c r="RQV213" s="52"/>
      <c r="RQW213" s="52"/>
      <c r="RQX213" s="52"/>
      <c r="RQY213" s="52"/>
      <c r="RQZ213" s="52"/>
      <c r="RRA213" s="52"/>
      <c r="RRB213" s="52"/>
      <c r="RRC213" s="52"/>
      <c r="RRD213" s="52"/>
      <c r="RRE213" s="52"/>
      <c r="RRF213" s="52"/>
      <c r="RRG213" s="52"/>
      <c r="RRH213" s="52"/>
      <c r="RRI213" s="52"/>
      <c r="RRJ213" s="52"/>
      <c r="RRK213" s="52"/>
      <c r="RRL213" s="52"/>
      <c r="RRM213" s="52"/>
      <c r="RRN213" s="52"/>
      <c r="RRO213" s="52"/>
      <c r="RRP213" s="52"/>
      <c r="RRQ213" s="52"/>
      <c r="RRR213" s="52"/>
      <c r="RRS213" s="52"/>
      <c r="RRT213" s="52"/>
      <c r="RRU213" s="52"/>
      <c r="RRV213" s="52"/>
      <c r="RRW213" s="52"/>
      <c r="RRX213" s="52"/>
      <c r="RRY213" s="52"/>
      <c r="RRZ213" s="52"/>
      <c r="RSA213" s="52"/>
      <c r="RSB213" s="52"/>
      <c r="RSC213" s="52"/>
      <c r="RSD213" s="52"/>
      <c r="RSE213" s="52"/>
      <c r="RSF213" s="52"/>
      <c r="RSG213" s="52"/>
      <c r="RSH213" s="52"/>
      <c r="RSI213" s="52"/>
      <c r="RSJ213" s="52"/>
      <c r="RSK213" s="52"/>
      <c r="RSL213" s="52"/>
      <c r="RSM213" s="52"/>
      <c r="RSN213" s="52"/>
      <c r="RSO213" s="52"/>
      <c r="RSP213" s="52"/>
      <c r="RSQ213" s="52"/>
      <c r="RSR213" s="52"/>
      <c r="RSS213" s="52"/>
      <c r="RST213" s="52"/>
      <c r="RSU213" s="52"/>
      <c r="RSV213" s="52"/>
      <c r="RSW213" s="52"/>
      <c r="RSX213" s="52"/>
      <c r="RSY213" s="52"/>
      <c r="RSZ213" s="52"/>
      <c r="RTA213" s="52"/>
      <c r="RTB213" s="52"/>
      <c r="RTC213" s="52"/>
      <c r="RTD213" s="52"/>
      <c r="RTE213" s="52"/>
      <c r="RTF213" s="52"/>
      <c r="RTG213" s="52"/>
      <c r="RTH213" s="52"/>
      <c r="RTI213" s="52"/>
      <c r="RTJ213" s="52"/>
      <c r="RTK213" s="52"/>
      <c r="RTL213" s="52"/>
      <c r="RTM213" s="52"/>
      <c r="RTN213" s="52"/>
      <c r="RTO213" s="52"/>
      <c r="RTP213" s="52"/>
      <c r="RTQ213" s="52"/>
      <c r="RTR213" s="52"/>
      <c r="RTS213" s="52"/>
      <c r="RTT213" s="52"/>
      <c r="RTU213" s="52"/>
      <c r="RTV213" s="52"/>
      <c r="RTW213" s="52"/>
      <c r="RTX213" s="52"/>
      <c r="RTY213" s="52"/>
      <c r="RTZ213" s="52"/>
      <c r="RUA213" s="52"/>
      <c r="RUB213" s="52"/>
      <c r="RUC213" s="52"/>
      <c r="RUD213" s="52"/>
      <c r="RUE213" s="52"/>
      <c r="RUF213" s="52"/>
      <c r="RUG213" s="52"/>
      <c r="RUH213" s="52"/>
      <c r="RUI213" s="52"/>
      <c r="RUJ213" s="52"/>
      <c r="RUK213" s="52"/>
      <c r="RUL213" s="52"/>
      <c r="RUM213" s="52"/>
      <c r="RUN213" s="52"/>
      <c r="RUO213" s="52"/>
      <c r="RUP213" s="52"/>
      <c r="RUQ213" s="52"/>
      <c r="RUR213" s="52"/>
      <c r="RUS213" s="52"/>
      <c r="RUT213" s="52"/>
      <c r="RUU213" s="52"/>
      <c r="RUV213" s="52"/>
      <c r="RUW213" s="52"/>
      <c r="RUX213" s="52"/>
      <c r="RUY213" s="52"/>
      <c r="RUZ213" s="52"/>
      <c r="RVA213" s="52"/>
      <c r="RVB213" s="52"/>
      <c r="RVC213" s="52"/>
      <c r="RVD213" s="52"/>
      <c r="RVE213" s="52"/>
      <c r="RVF213" s="52"/>
      <c r="RVG213" s="52"/>
      <c r="RVH213" s="52"/>
      <c r="RVI213" s="52"/>
      <c r="RVJ213" s="52"/>
      <c r="RVK213" s="52"/>
      <c r="RVL213" s="52"/>
      <c r="RVM213" s="52"/>
      <c r="RVN213" s="52"/>
      <c r="RVO213" s="52"/>
      <c r="RVP213" s="52"/>
      <c r="RVQ213" s="52"/>
      <c r="RVR213" s="52"/>
      <c r="RVS213" s="52"/>
      <c r="RVT213" s="52"/>
      <c r="RVU213" s="52"/>
      <c r="RVV213" s="52"/>
      <c r="RVW213" s="52"/>
      <c r="RVX213" s="52"/>
      <c r="RVY213" s="52"/>
      <c r="RVZ213" s="52"/>
      <c r="RWA213" s="52"/>
      <c r="RWB213" s="52"/>
      <c r="RWC213" s="52"/>
      <c r="RWD213" s="52"/>
      <c r="RWE213" s="52"/>
      <c r="RWF213" s="52"/>
      <c r="RWG213" s="52"/>
      <c r="RWH213" s="52"/>
      <c r="RWI213" s="52"/>
      <c r="RWJ213" s="52"/>
      <c r="RWK213" s="52"/>
      <c r="RWL213" s="52"/>
      <c r="RWM213" s="52"/>
      <c r="RWN213" s="52"/>
      <c r="RWO213" s="52"/>
      <c r="RWP213" s="52"/>
      <c r="RWQ213" s="52"/>
      <c r="RWR213" s="52"/>
      <c r="RWS213" s="52"/>
      <c r="RWT213" s="52"/>
      <c r="RWU213" s="52"/>
      <c r="RWV213" s="52"/>
      <c r="RWW213" s="52"/>
      <c r="RWX213" s="52"/>
      <c r="RWY213" s="52"/>
      <c r="RWZ213" s="52"/>
      <c r="RXA213" s="52"/>
      <c r="RXB213" s="52"/>
      <c r="RXC213" s="52"/>
      <c r="RXD213" s="52"/>
      <c r="RXE213" s="52"/>
      <c r="RXF213" s="52"/>
      <c r="RXG213" s="52"/>
      <c r="RXH213" s="52"/>
      <c r="RXI213" s="52"/>
      <c r="RXJ213" s="52"/>
      <c r="RXK213" s="52"/>
      <c r="RXL213" s="52"/>
      <c r="RXM213" s="52"/>
      <c r="RXN213" s="52"/>
      <c r="RXO213" s="52"/>
      <c r="RXP213" s="52"/>
      <c r="RXQ213" s="52"/>
      <c r="RXR213" s="52"/>
      <c r="RXS213" s="52"/>
      <c r="RXT213" s="52"/>
      <c r="RXU213" s="52"/>
      <c r="RXV213" s="52"/>
      <c r="RXW213" s="52"/>
      <c r="RXX213" s="52"/>
      <c r="RXY213" s="52"/>
      <c r="RXZ213" s="52"/>
      <c r="RYA213" s="52"/>
      <c r="RYB213" s="52"/>
      <c r="RYC213" s="52"/>
      <c r="RYD213" s="52"/>
      <c r="RYE213" s="52"/>
      <c r="RYF213" s="52"/>
      <c r="RYG213" s="52"/>
      <c r="RYH213" s="52"/>
      <c r="RYI213" s="52"/>
      <c r="RYJ213" s="52"/>
      <c r="RYK213" s="52"/>
      <c r="RYL213" s="52"/>
      <c r="RYM213" s="52"/>
      <c r="RYN213" s="52"/>
      <c r="RYO213" s="52"/>
      <c r="RYP213" s="52"/>
      <c r="RYQ213" s="52"/>
      <c r="RYR213" s="52"/>
      <c r="RYS213" s="52"/>
      <c r="RYT213" s="52"/>
      <c r="RYU213" s="52"/>
      <c r="RYV213" s="52"/>
      <c r="RYW213" s="52"/>
      <c r="RYX213" s="52"/>
      <c r="RYY213" s="52"/>
      <c r="RYZ213" s="52"/>
      <c r="RZA213" s="52"/>
      <c r="RZB213" s="52"/>
      <c r="RZC213" s="52"/>
      <c r="RZD213" s="52"/>
      <c r="RZE213" s="52"/>
      <c r="RZF213" s="52"/>
      <c r="RZG213" s="52"/>
      <c r="RZH213" s="52"/>
      <c r="RZI213" s="52"/>
      <c r="RZJ213" s="52"/>
      <c r="RZK213" s="52"/>
      <c r="RZL213" s="52"/>
      <c r="RZM213" s="52"/>
      <c r="RZN213" s="52"/>
      <c r="RZO213" s="52"/>
      <c r="RZP213" s="52"/>
      <c r="RZQ213" s="52"/>
      <c r="RZR213" s="52"/>
      <c r="RZS213" s="52"/>
      <c r="RZT213" s="52"/>
      <c r="RZU213" s="52"/>
      <c r="RZV213" s="52"/>
      <c r="RZW213" s="52"/>
      <c r="RZX213" s="52"/>
      <c r="RZY213" s="52"/>
      <c r="RZZ213" s="52"/>
      <c r="SAA213" s="52"/>
      <c r="SAB213" s="52"/>
      <c r="SAC213" s="52"/>
      <c r="SAD213" s="52"/>
      <c r="SAE213" s="52"/>
      <c r="SAF213" s="52"/>
      <c r="SAG213" s="52"/>
      <c r="SAH213" s="52"/>
      <c r="SAI213" s="52"/>
      <c r="SAJ213" s="52"/>
      <c r="SAK213" s="52"/>
      <c r="SAL213" s="52"/>
      <c r="SAM213" s="52"/>
      <c r="SAN213" s="52"/>
      <c r="SAO213" s="52"/>
      <c r="SAP213" s="52"/>
      <c r="SAQ213" s="52"/>
      <c r="SAR213" s="52"/>
      <c r="SAS213" s="52"/>
      <c r="SAT213" s="52"/>
      <c r="SAU213" s="52"/>
      <c r="SAV213" s="52"/>
      <c r="SAW213" s="52"/>
      <c r="SAX213" s="52"/>
      <c r="SAY213" s="52"/>
      <c r="SAZ213" s="52"/>
      <c r="SBA213" s="52"/>
      <c r="SBB213" s="52"/>
      <c r="SBC213" s="52"/>
      <c r="SBD213" s="52"/>
      <c r="SBE213" s="52"/>
      <c r="SBF213" s="52"/>
      <c r="SBG213" s="52"/>
      <c r="SBH213" s="52"/>
      <c r="SBI213" s="52"/>
      <c r="SBJ213" s="52"/>
      <c r="SBK213" s="52"/>
      <c r="SBL213" s="52"/>
      <c r="SBM213" s="52"/>
      <c r="SBN213" s="52"/>
      <c r="SBO213" s="52"/>
      <c r="SBP213" s="52"/>
      <c r="SBQ213" s="52"/>
      <c r="SBR213" s="52"/>
      <c r="SBS213" s="52"/>
      <c r="SBT213" s="52"/>
      <c r="SBU213" s="52"/>
      <c r="SBV213" s="52"/>
      <c r="SBW213" s="52"/>
      <c r="SBX213" s="52"/>
      <c r="SBY213" s="52"/>
      <c r="SBZ213" s="52"/>
      <c r="SCA213" s="52"/>
      <c r="SCB213" s="52"/>
      <c r="SCC213" s="52"/>
      <c r="SCD213" s="52"/>
      <c r="SCE213" s="52"/>
      <c r="SCF213" s="52"/>
      <c r="SCG213" s="52"/>
      <c r="SCH213" s="52"/>
      <c r="SCI213" s="52"/>
      <c r="SCJ213" s="52"/>
      <c r="SCK213" s="52"/>
      <c r="SCL213" s="52"/>
      <c r="SCM213" s="52"/>
      <c r="SCN213" s="52"/>
      <c r="SCO213" s="52"/>
      <c r="SCP213" s="52"/>
      <c r="SCQ213" s="52"/>
      <c r="SCR213" s="52"/>
      <c r="SCS213" s="52"/>
      <c r="SCT213" s="52"/>
      <c r="SCU213" s="52"/>
      <c r="SCV213" s="52"/>
      <c r="SCW213" s="52"/>
      <c r="SCX213" s="52"/>
      <c r="SCY213" s="52"/>
      <c r="SCZ213" s="52"/>
      <c r="SDA213" s="52"/>
      <c r="SDB213" s="52"/>
      <c r="SDC213" s="52"/>
      <c r="SDD213" s="52"/>
      <c r="SDE213" s="52"/>
      <c r="SDF213" s="52"/>
      <c r="SDG213" s="52"/>
      <c r="SDH213" s="52"/>
      <c r="SDI213" s="52"/>
      <c r="SDJ213" s="52"/>
      <c r="SDK213" s="52"/>
      <c r="SDL213" s="52"/>
      <c r="SDM213" s="52"/>
      <c r="SDN213" s="52"/>
      <c r="SDO213" s="52"/>
      <c r="SDP213" s="52"/>
      <c r="SDQ213" s="52"/>
      <c r="SDR213" s="52"/>
      <c r="SDS213" s="52"/>
      <c r="SDT213" s="52"/>
      <c r="SDU213" s="52"/>
      <c r="SDV213" s="52"/>
      <c r="SDW213" s="52"/>
      <c r="SDX213" s="52"/>
      <c r="SDY213" s="52"/>
      <c r="SDZ213" s="52"/>
      <c r="SEA213" s="52"/>
      <c r="SEB213" s="52"/>
      <c r="SEC213" s="52"/>
      <c r="SED213" s="52"/>
      <c r="SEE213" s="52"/>
      <c r="SEF213" s="52"/>
      <c r="SEG213" s="52"/>
      <c r="SEH213" s="52"/>
      <c r="SEI213" s="52"/>
      <c r="SEJ213" s="52"/>
      <c r="SEK213" s="52"/>
      <c r="SEL213" s="52"/>
      <c r="SEM213" s="52"/>
      <c r="SEN213" s="52"/>
      <c r="SEO213" s="52"/>
      <c r="SEP213" s="52"/>
      <c r="SEQ213" s="52"/>
      <c r="SER213" s="52"/>
      <c r="SES213" s="52"/>
      <c r="SET213" s="52"/>
      <c r="SEU213" s="52"/>
      <c r="SEV213" s="52"/>
      <c r="SEW213" s="52"/>
      <c r="SEX213" s="52"/>
      <c r="SEY213" s="52"/>
      <c r="SEZ213" s="52"/>
      <c r="SFA213" s="52"/>
      <c r="SFB213" s="52"/>
      <c r="SFC213" s="52"/>
      <c r="SFD213" s="52"/>
      <c r="SFE213" s="52"/>
      <c r="SFF213" s="52"/>
      <c r="SFG213" s="52"/>
      <c r="SFH213" s="52"/>
      <c r="SFI213" s="52"/>
      <c r="SFJ213" s="52"/>
      <c r="SFK213" s="52"/>
      <c r="SFL213" s="52"/>
      <c r="SFM213" s="52"/>
      <c r="SFN213" s="52"/>
      <c r="SFO213" s="52"/>
      <c r="SFP213" s="52"/>
      <c r="SFQ213" s="52"/>
      <c r="SFR213" s="52"/>
      <c r="SFS213" s="52"/>
      <c r="SFT213" s="52"/>
      <c r="SFU213" s="52"/>
      <c r="SFV213" s="52"/>
      <c r="SFW213" s="52"/>
      <c r="SFX213" s="52"/>
      <c r="SFY213" s="52"/>
      <c r="SFZ213" s="52"/>
      <c r="SGA213" s="52"/>
      <c r="SGB213" s="52"/>
      <c r="SGC213" s="52"/>
      <c r="SGD213" s="52"/>
      <c r="SGE213" s="52"/>
      <c r="SGF213" s="52"/>
      <c r="SGG213" s="52"/>
      <c r="SGH213" s="52"/>
      <c r="SGI213" s="52"/>
      <c r="SGJ213" s="52"/>
      <c r="SGK213" s="52"/>
      <c r="SGL213" s="52"/>
      <c r="SGM213" s="52"/>
      <c r="SGN213" s="52"/>
      <c r="SGO213" s="52"/>
      <c r="SGP213" s="52"/>
      <c r="SGQ213" s="52"/>
      <c r="SGR213" s="52"/>
      <c r="SGS213" s="52"/>
      <c r="SGT213" s="52"/>
      <c r="SGU213" s="52"/>
      <c r="SGV213" s="52"/>
      <c r="SGW213" s="52"/>
      <c r="SGX213" s="52"/>
      <c r="SGY213" s="52"/>
      <c r="SGZ213" s="52"/>
      <c r="SHA213" s="52"/>
      <c r="SHB213" s="52"/>
      <c r="SHC213" s="52"/>
      <c r="SHD213" s="52"/>
      <c r="SHE213" s="52"/>
      <c r="SHF213" s="52"/>
      <c r="SHG213" s="52"/>
      <c r="SHH213" s="52"/>
      <c r="SHI213" s="52"/>
      <c r="SHJ213" s="52"/>
      <c r="SHK213" s="52"/>
      <c r="SHL213" s="52"/>
      <c r="SHM213" s="52"/>
      <c r="SHN213" s="52"/>
      <c r="SHO213" s="52"/>
      <c r="SHP213" s="52"/>
      <c r="SHQ213" s="52"/>
      <c r="SHR213" s="52"/>
      <c r="SHS213" s="52"/>
      <c r="SHT213" s="52"/>
      <c r="SHU213" s="52"/>
      <c r="SHV213" s="52"/>
      <c r="SHW213" s="52"/>
      <c r="SHX213" s="52"/>
      <c r="SHY213" s="52"/>
      <c r="SHZ213" s="52"/>
      <c r="SIA213" s="52"/>
      <c r="SIB213" s="52"/>
      <c r="SIC213" s="52"/>
      <c r="SID213" s="52"/>
      <c r="SIE213" s="52"/>
      <c r="SIF213" s="52"/>
      <c r="SIG213" s="52"/>
      <c r="SIH213" s="52"/>
      <c r="SII213" s="52"/>
      <c r="SIJ213" s="52"/>
      <c r="SIK213" s="52"/>
      <c r="SIL213" s="52"/>
      <c r="SIM213" s="52"/>
      <c r="SIN213" s="52"/>
      <c r="SIO213" s="52"/>
      <c r="SIP213" s="52"/>
      <c r="SIQ213" s="52"/>
      <c r="SIR213" s="52"/>
      <c r="SIS213" s="52"/>
      <c r="SIT213" s="52"/>
      <c r="SIU213" s="52"/>
      <c r="SIV213" s="52"/>
      <c r="SIW213" s="52"/>
      <c r="SIX213" s="52"/>
      <c r="SIY213" s="52"/>
      <c r="SIZ213" s="52"/>
      <c r="SJA213" s="52"/>
      <c r="SJB213" s="52"/>
      <c r="SJC213" s="52"/>
      <c r="SJD213" s="52"/>
      <c r="SJE213" s="52"/>
      <c r="SJF213" s="52"/>
      <c r="SJG213" s="52"/>
      <c r="SJH213" s="52"/>
      <c r="SJI213" s="52"/>
      <c r="SJJ213" s="52"/>
      <c r="SJK213" s="52"/>
      <c r="SJL213" s="52"/>
      <c r="SJM213" s="52"/>
      <c r="SJN213" s="52"/>
      <c r="SJO213" s="52"/>
      <c r="SJP213" s="52"/>
      <c r="SJQ213" s="52"/>
      <c r="SJR213" s="52"/>
      <c r="SJS213" s="52"/>
      <c r="SJT213" s="52"/>
      <c r="SJU213" s="52"/>
      <c r="SJV213" s="52"/>
      <c r="SJW213" s="52"/>
      <c r="SJX213" s="52"/>
      <c r="SJY213" s="52"/>
      <c r="SJZ213" s="52"/>
      <c r="SKA213" s="52"/>
      <c r="SKB213" s="52"/>
      <c r="SKC213" s="52"/>
      <c r="SKD213" s="52"/>
      <c r="SKE213" s="52"/>
      <c r="SKF213" s="52"/>
      <c r="SKG213" s="52"/>
      <c r="SKH213" s="52"/>
      <c r="SKI213" s="52"/>
      <c r="SKJ213" s="52"/>
      <c r="SKK213" s="52"/>
      <c r="SKL213" s="52"/>
      <c r="SKM213" s="52"/>
      <c r="SKN213" s="52"/>
      <c r="SKO213" s="52"/>
      <c r="SKP213" s="52"/>
      <c r="SKQ213" s="52"/>
      <c r="SKR213" s="52"/>
      <c r="SKS213" s="52"/>
      <c r="SKT213" s="52"/>
      <c r="SKU213" s="52"/>
      <c r="SKV213" s="52"/>
      <c r="SKW213" s="52"/>
      <c r="SKX213" s="52"/>
      <c r="SKY213" s="52"/>
      <c r="SKZ213" s="52"/>
      <c r="SLA213" s="52"/>
      <c r="SLB213" s="52"/>
      <c r="SLC213" s="52"/>
      <c r="SLD213" s="52"/>
      <c r="SLE213" s="52"/>
      <c r="SLF213" s="52"/>
      <c r="SLG213" s="52"/>
      <c r="SLH213" s="52"/>
      <c r="SLI213" s="52"/>
      <c r="SLJ213" s="52"/>
      <c r="SLK213" s="52"/>
      <c r="SLL213" s="52"/>
      <c r="SLM213" s="52"/>
      <c r="SLN213" s="52"/>
      <c r="SLO213" s="52"/>
      <c r="SLP213" s="52"/>
      <c r="SLQ213" s="52"/>
      <c r="SLR213" s="52"/>
      <c r="SLS213" s="52"/>
      <c r="SLT213" s="52"/>
      <c r="SLU213" s="52"/>
      <c r="SLV213" s="52"/>
      <c r="SLW213" s="52"/>
      <c r="SLX213" s="52"/>
      <c r="SLY213" s="52"/>
      <c r="SLZ213" s="52"/>
      <c r="SMA213" s="52"/>
      <c r="SMB213" s="52"/>
      <c r="SMC213" s="52"/>
      <c r="SMD213" s="52"/>
      <c r="SME213" s="52"/>
      <c r="SMF213" s="52"/>
      <c r="SMG213" s="52"/>
      <c r="SMH213" s="52"/>
      <c r="SMI213" s="52"/>
      <c r="SMJ213" s="52"/>
      <c r="SMK213" s="52"/>
      <c r="SML213" s="52"/>
      <c r="SMM213" s="52"/>
      <c r="SMN213" s="52"/>
      <c r="SMO213" s="52"/>
      <c r="SMP213" s="52"/>
      <c r="SMQ213" s="52"/>
      <c r="SMR213" s="52"/>
      <c r="SMS213" s="52"/>
      <c r="SMT213" s="52"/>
      <c r="SMU213" s="52"/>
      <c r="SMV213" s="52"/>
      <c r="SMW213" s="52"/>
      <c r="SMX213" s="52"/>
      <c r="SMY213" s="52"/>
      <c r="SMZ213" s="52"/>
      <c r="SNA213" s="52"/>
      <c r="SNB213" s="52"/>
      <c r="SNC213" s="52"/>
      <c r="SND213" s="52"/>
      <c r="SNE213" s="52"/>
      <c r="SNF213" s="52"/>
      <c r="SNG213" s="52"/>
      <c r="SNH213" s="52"/>
      <c r="SNI213" s="52"/>
      <c r="SNJ213" s="52"/>
      <c r="SNK213" s="52"/>
      <c r="SNL213" s="52"/>
      <c r="SNM213" s="52"/>
      <c r="SNN213" s="52"/>
      <c r="SNO213" s="52"/>
      <c r="SNP213" s="52"/>
      <c r="SNQ213" s="52"/>
      <c r="SNR213" s="52"/>
      <c r="SNS213" s="52"/>
      <c r="SNT213" s="52"/>
      <c r="SNU213" s="52"/>
      <c r="SNV213" s="52"/>
      <c r="SNW213" s="52"/>
      <c r="SNX213" s="52"/>
      <c r="SNY213" s="52"/>
      <c r="SNZ213" s="52"/>
      <c r="SOA213" s="52"/>
      <c r="SOB213" s="52"/>
      <c r="SOC213" s="52"/>
      <c r="SOD213" s="52"/>
      <c r="SOE213" s="52"/>
      <c r="SOF213" s="52"/>
      <c r="SOG213" s="52"/>
      <c r="SOH213" s="52"/>
      <c r="SOI213" s="52"/>
      <c r="SOJ213" s="52"/>
      <c r="SOK213" s="52"/>
      <c r="SOL213" s="52"/>
      <c r="SOM213" s="52"/>
      <c r="SON213" s="52"/>
      <c r="SOO213" s="52"/>
      <c r="SOP213" s="52"/>
      <c r="SOQ213" s="52"/>
      <c r="SOR213" s="52"/>
      <c r="SOS213" s="52"/>
      <c r="SOT213" s="52"/>
      <c r="SOU213" s="52"/>
      <c r="SOV213" s="52"/>
      <c r="SOW213" s="52"/>
      <c r="SOX213" s="52"/>
      <c r="SOY213" s="52"/>
      <c r="SOZ213" s="52"/>
      <c r="SPA213" s="52"/>
      <c r="SPB213" s="52"/>
      <c r="SPC213" s="52"/>
      <c r="SPD213" s="52"/>
      <c r="SPE213" s="52"/>
      <c r="SPF213" s="52"/>
      <c r="SPG213" s="52"/>
      <c r="SPH213" s="52"/>
      <c r="SPI213" s="52"/>
      <c r="SPJ213" s="52"/>
      <c r="SPK213" s="52"/>
      <c r="SPL213" s="52"/>
      <c r="SPM213" s="52"/>
      <c r="SPN213" s="52"/>
      <c r="SPO213" s="52"/>
      <c r="SPP213" s="52"/>
      <c r="SPQ213" s="52"/>
      <c r="SPR213" s="52"/>
      <c r="SPS213" s="52"/>
      <c r="SPT213" s="52"/>
      <c r="SPU213" s="52"/>
      <c r="SPV213" s="52"/>
      <c r="SPW213" s="52"/>
      <c r="SPX213" s="52"/>
      <c r="SPY213" s="52"/>
      <c r="SPZ213" s="52"/>
      <c r="SQA213" s="52"/>
      <c r="SQB213" s="52"/>
      <c r="SQC213" s="52"/>
      <c r="SQD213" s="52"/>
      <c r="SQE213" s="52"/>
      <c r="SQF213" s="52"/>
      <c r="SQG213" s="52"/>
      <c r="SQH213" s="52"/>
      <c r="SQI213" s="52"/>
      <c r="SQJ213" s="52"/>
      <c r="SQK213" s="52"/>
      <c r="SQL213" s="52"/>
      <c r="SQM213" s="52"/>
      <c r="SQN213" s="52"/>
      <c r="SQO213" s="52"/>
      <c r="SQP213" s="52"/>
      <c r="SQQ213" s="52"/>
      <c r="SQR213" s="52"/>
      <c r="SQS213" s="52"/>
      <c r="SQT213" s="52"/>
      <c r="SQU213" s="52"/>
      <c r="SQV213" s="52"/>
      <c r="SQW213" s="52"/>
      <c r="SQX213" s="52"/>
      <c r="SQY213" s="52"/>
      <c r="SQZ213" s="52"/>
      <c r="SRA213" s="52"/>
      <c r="SRB213" s="52"/>
      <c r="SRC213" s="52"/>
      <c r="SRD213" s="52"/>
      <c r="SRE213" s="52"/>
      <c r="SRF213" s="52"/>
      <c r="SRG213" s="52"/>
      <c r="SRH213" s="52"/>
      <c r="SRI213" s="52"/>
      <c r="SRJ213" s="52"/>
      <c r="SRK213" s="52"/>
      <c r="SRL213" s="52"/>
      <c r="SRM213" s="52"/>
      <c r="SRN213" s="52"/>
      <c r="SRO213" s="52"/>
      <c r="SRP213" s="52"/>
      <c r="SRQ213" s="52"/>
      <c r="SRR213" s="52"/>
      <c r="SRS213" s="52"/>
      <c r="SRT213" s="52"/>
      <c r="SRU213" s="52"/>
      <c r="SRV213" s="52"/>
      <c r="SRW213" s="52"/>
      <c r="SRX213" s="52"/>
      <c r="SRY213" s="52"/>
      <c r="SRZ213" s="52"/>
      <c r="SSA213" s="52"/>
      <c r="SSB213" s="52"/>
      <c r="SSC213" s="52"/>
      <c r="SSD213" s="52"/>
      <c r="SSE213" s="52"/>
      <c r="SSF213" s="52"/>
      <c r="SSG213" s="52"/>
      <c r="SSH213" s="52"/>
      <c r="SSI213" s="52"/>
      <c r="SSJ213" s="52"/>
      <c r="SSK213" s="52"/>
      <c r="SSL213" s="52"/>
      <c r="SSM213" s="52"/>
      <c r="SSN213" s="52"/>
      <c r="SSO213" s="52"/>
      <c r="SSP213" s="52"/>
      <c r="SSQ213" s="52"/>
      <c r="SSR213" s="52"/>
      <c r="SSS213" s="52"/>
      <c r="SST213" s="52"/>
      <c r="SSU213" s="52"/>
      <c r="SSV213" s="52"/>
      <c r="SSW213" s="52"/>
      <c r="SSX213" s="52"/>
      <c r="SSY213" s="52"/>
      <c r="SSZ213" s="52"/>
      <c r="STA213" s="52"/>
      <c r="STB213" s="52"/>
      <c r="STC213" s="52"/>
      <c r="STD213" s="52"/>
      <c r="STE213" s="52"/>
      <c r="STF213" s="52"/>
      <c r="STG213" s="52"/>
      <c r="STH213" s="52"/>
      <c r="STI213" s="52"/>
      <c r="STJ213" s="52"/>
      <c r="STK213" s="52"/>
      <c r="STL213" s="52"/>
      <c r="STM213" s="52"/>
      <c r="STN213" s="52"/>
      <c r="STO213" s="52"/>
      <c r="STP213" s="52"/>
      <c r="STQ213" s="52"/>
      <c r="STR213" s="52"/>
      <c r="STS213" s="52"/>
      <c r="STT213" s="52"/>
      <c r="STU213" s="52"/>
      <c r="STV213" s="52"/>
      <c r="STW213" s="52"/>
      <c r="STX213" s="52"/>
      <c r="STY213" s="52"/>
      <c r="STZ213" s="52"/>
      <c r="SUA213" s="52"/>
      <c r="SUB213" s="52"/>
      <c r="SUC213" s="52"/>
      <c r="SUD213" s="52"/>
      <c r="SUE213" s="52"/>
      <c r="SUF213" s="52"/>
      <c r="SUG213" s="52"/>
      <c r="SUH213" s="52"/>
      <c r="SUI213" s="52"/>
      <c r="SUJ213" s="52"/>
      <c r="SUK213" s="52"/>
      <c r="SUL213" s="52"/>
      <c r="SUM213" s="52"/>
      <c r="SUN213" s="52"/>
      <c r="SUO213" s="52"/>
      <c r="SUP213" s="52"/>
      <c r="SUQ213" s="52"/>
      <c r="SUR213" s="52"/>
      <c r="SUS213" s="52"/>
      <c r="SUT213" s="52"/>
      <c r="SUU213" s="52"/>
      <c r="SUV213" s="52"/>
      <c r="SUW213" s="52"/>
      <c r="SUX213" s="52"/>
      <c r="SUY213" s="52"/>
      <c r="SUZ213" s="52"/>
      <c r="SVA213" s="52"/>
      <c r="SVB213" s="52"/>
      <c r="SVC213" s="52"/>
      <c r="SVD213" s="52"/>
      <c r="SVE213" s="52"/>
      <c r="SVF213" s="52"/>
      <c r="SVG213" s="52"/>
      <c r="SVH213" s="52"/>
      <c r="SVI213" s="52"/>
      <c r="SVJ213" s="52"/>
      <c r="SVK213" s="52"/>
      <c r="SVL213" s="52"/>
      <c r="SVM213" s="52"/>
      <c r="SVN213" s="52"/>
      <c r="SVO213" s="52"/>
      <c r="SVP213" s="52"/>
      <c r="SVQ213" s="52"/>
      <c r="SVR213" s="52"/>
      <c r="SVS213" s="52"/>
      <c r="SVT213" s="52"/>
      <c r="SVU213" s="52"/>
      <c r="SVV213" s="52"/>
      <c r="SVW213" s="52"/>
      <c r="SVX213" s="52"/>
      <c r="SVY213" s="52"/>
      <c r="SVZ213" s="52"/>
      <c r="SWA213" s="52"/>
      <c r="SWB213" s="52"/>
      <c r="SWC213" s="52"/>
      <c r="SWD213" s="52"/>
      <c r="SWE213" s="52"/>
      <c r="SWF213" s="52"/>
      <c r="SWG213" s="52"/>
      <c r="SWH213" s="52"/>
      <c r="SWI213" s="52"/>
      <c r="SWJ213" s="52"/>
      <c r="SWK213" s="52"/>
      <c r="SWL213" s="52"/>
      <c r="SWM213" s="52"/>
      <c r="SWN213" s="52"/>
      <c r="SWO213" s="52"/>
      <c r="SWP213" s="52"/>
      <c r="SWQ213" s="52"/>
      <c r="SWR213" s="52"/>
      <c r="SWS213" s="52"/>
      <c r="SWT213" s="52"/>
      <c r="SWU213" s="52"/>
      <c r="SWV213" s="52"/>
      <c r="SWW213" s="52"/>
      <c r="SWX213" s="52"/>
      <c r="SWY213" s="52"/>
      <c r="SWZ213" s="52"/>
      <c r="SXA213" s="52"/>
      <c r="SXB213" s="52"/>
      <c r="SXC213" s="52"/>
      <c r="SXD213" s="52"/>
      <c r="SXE213" s="52"/>
      <c r="SXF213" s="52"/>
      <c r="SXG213" s="52"/>
      <c r="SXH213" s="52"/>
      <c r="SXI213" s="52"/>
      <c r="SXJ213" s="52"/>
      <c r="SXK213" s="52"/>
      <c r="SXL213" s="52"/>
      <c r="SXM213" s="52"/>
      <c r="SXN213" s="52"/>
      <c r="SXO213" s="52"/>
      <c r="SXP213" s="52"/>
      <c r="SXQ213" s="52"/>
      <c r="SXR213" s="52"/>
      <c r="SXS213" s="52"/>
      <c r="SXT213" s="52"/>
      <c r="SXU213" s="52"/>
      <c r="SXV213" s="52"/>
      <c r="SXW213" s="52"/>
      <c r="SXX213" s="52"/>
      <c r="SXY213" s="52"/>
      <c r="SXZ213" s="52"/>
      <c r="SYA213" s="52"/>
      <c r="SYB213" s="52"/>
      <c r="SYC213" s="52"/>
      <c r="SYD213" s="52"/>
      <c r="SYE213" s="52"/>
      <c r="SYF213" s="52"/>
      <c r="SYG213" s="52"/>
      <c r="SYH213" s="52"/>
      <c r="SYI213" s="52"/>
      <c r="SYJ213" s="52"/>
      <c r="SYK213" s="52"/>
      <c r="SYL213" s="52"/>
      <c r="SYM213" s="52"/>
      <c r="SYN213" s="52"/>
      <c r="SYO213" s="52"/>
      <c r="SYP213" s="52"/>
      <c r="SYQ213" s="52"/>
      <c r="SYR213" s="52"/>
      <c r="SYS213" s="52"/>
      <c r="SYT213" s="52"/>
      <c r="SYU213" s="52"/>
      <c r="SYV213" s="52"/>
      <c r="SYW213" s="52"/>
      <c r="SYX213" s="52"/>
      <c r="SYY213" s="52"/>
      <c r="SYZ213" s="52"/>
      <c r="SZA213" s="52"/>
      <c r="SZB213" s="52"/>
      <c r="SZC213" s="52"/>
      <c r="SZD213" s="52"/>
      <c r="SZE213" s="52"/>
      <c r="SZF213" s="52"/>
      <c r="SZG213" s="52"/>
      <c r="SZH213" s="52"/>
      <c r="SZI213" s="52"/>
      <c r="SZJ213" s="52"/>
      <c r="SZK213" s="52"/>
      <c r="SZL213" s="52"/>
      <c r="SZM213" s="52"/>
      <c r="SZN213" s="52"/>
      <c r="SZO213" s="52"/>
      <c r="SZP213" s="52"/>
      <c r="SZQ213" s="52"/>
      <c r="SZR213" s="52"/>
      <c r="SZS213" s="52"/>
      <c r="SZT213" s="52"/>
      <c r="SZU213" s="52"/>
      <c r="SZV213" s="52"/>
      <c r="SZW213" s="52"/>
      <c r="SZX213" s="52"/>
      <c r="SZY213" s="52"/>
      <c r="SZZ213" s="52"/>
      <c r="TAA213" s="52"/>
      <c r="TAB213" s="52"/>
      <c r="TAC213" s="52"/>
      <c r="TAD213" s="52"/>
      <c r="TAE213" s="52"/>
      <c r="TAF213" s="52"/>
      <c r="TAG213" s="52"/>
      <c r="TAH213" s="52"/>
      <c r="TAI213" s="52"/>
      <c r="TAJ213" s="52"/>
      <c r="TAK213" s="52"/>
      <c r="TAL213" s="52"/>
      <c r="TAM213" s="52"/>
      <c r="TAN213" s="52"/>
      <c r="TAO213" s="52"/>
      <c r="TAP213" s="52"/>
      <c r="TAQ213" s="52"/>
      <c r="TAR213" s="52"/>
      <c r="TAS213" s="52"/>
      <c r="TAT213" s="52"/>
      <c r="TAU213" s="52"/>
      <c r="TAV213" s="52"/>
      <c r="TAW213" s="52"/>
      <c r="TAX213" s="52"/>
      <c r="TAY213" s="52"/>
      <c r="TAZ213" s="52"/>
      <c r="TBA213" s="52"/>
      <c r="TBB213" s="52"/>
      <c r="TBC213" s="52"/>
      <c r="TBD213" s="52"/>
      <c r="TBE213" s="52"/>
      <c r="TBF213" s="52"/>
      <c r="TBG213" s="52"/>
      <c r="TBH213" s="52"/>
      <c r="TBI213" s="52"/>
      <c r="TBJ213" s="52"/>
      <c r="TBK213" s="52"/>
      <c r="TBL213" s="52"/>
      <c r="TBM213" s="52"/>
      <c r="TBN213" s="52"/>
      <c r="TBO213" s="52"/>
      <c r="TBP213" s="52"/>
      <c r="TBQ213" s="52"/>
      <c r="TBR213" s="52"/>
      <c r="TBS213" s="52"/>
      <c r="TBT213" s="52"/>
      <c r="TBU213" s="52"/>
      <c r="TBV213" s="52"/>
      <c r="TBW213" s="52"/>
      <c r="TBX213" s="52"/>
      <c r="TBY213" s="52"/>
      <c r="TBZ213" s="52"/>
      <c r="TCA213" s="52"/>
      <c r="TCB213" s="52"/>
      <c r="TCC213" s="52"/>
      <c r="TCD213" s="52"/>
      <c r="TCE213" s="52"/>
      <c r="TCF213" s="52"/>
      <c r="TCG213" s="52"/>
      <c r="TCH213" s="52"/>
      <c r="TCI213" s="52"/>
      <c r="TCJ213" s="52"/>
      <c r="TCK213" s="52"/>
      <c r="TCL213" s="52"/>
      <c r="TCM213" s="52"/>
      <c r="TCN213" s="52"/>
      <c r="TCO213" s="52"/>
      <c r="TCP213" s="52"/>
      <c r="TCQ213" s="52"/>
      <c r="TCR213" s="52"/>
      <c r="TCS213" s="52"/>
      <c r="TCT213" s="52"/>
      <c r="TCU213" s="52"/>
      <c r="TCV213" s="52"/>
      <c r="TCW213" s="52"/>
      <c r="TCX213" s="52"/>
      <c r="TCY213" s="52"/>
      <c r="TCZ213" s="52"/>
      <c r="TDA213" s="52"/>
      <c r="TDB213" s="52"/>
      <c r="TDC213" s="52"/>
      <c r="TDD213" s="52"/>
      <c r="TDE213" s="52"/>
      <c r="TDF213" s="52"/>
      <c r="TDG213" s="52"/>
      <c r="TDH213" s="52"/>
      <c r="TDI213" s="52"/>
      <c r="TDJ213" s="52"/>
      <c r="TDK213" s="52"/>
      <c r="TDL213" s="52"/>
      <c r="TDM213" s="52"/>
      <c r="TDN213" s="52"/>
      <c r="TDO213" s="52"/>
      <c r="TDP213" s="52"/>
      <c r="TDQ213" s="52"/>
      <c r="TDR213" s="52"/>
      <c r="TDS213" s="52"/>
      <c r="TDT213" s="52"/>
      <c r="TDU213" s="52"/>
      <c r="TDV213" s="52"/>
      <c r="TDW213" s="52"/>
      <c r="TDX213" s="52"/>
      <c r="TDY213" s="52"/>
      <c r="TDZ213" s="52"/>
      <c r="TEA213" s="52"/>
      <c r="TEB213" s="52"/>
      <c r="TEC213" s="52"/>
      <c r="TED213" s="52"/>
      <c r="TEE213" s="52"/>
      <c r="TEF213" s="52"/>
      <c r="TEG213" s="52"/>
      <c r="TEH213" s="52"/>
      <c r="TEI213" s="52"/>
      <c r="TEJ213" s="52"/>
      <c r="TEK213" s="52"/>
      <c r="TEL213" s="52"/>
      <c r="TEM213" s="52"/>
      <c r="TEN213" s="52"/>
      <c r="TEO213" s="52"/>
      <c r="TEP213" s="52"/>
      <c r="TEQ213" s="52"/>
      <c r="TER213" s="52"/>
      <c r="TES213" s="52"/>
      <c r="TET213" s="52"/>
      <c r="TEU213" s="52"/>
      <c r="TEV213" s="52"/>
      <c r="TEW213" s="52"/>
      <c r="TEX213" s="52"/>
      <c r="TEY213" s="52"/>
      <c r="TEZ213" s="52"/>
      <c r="TFA213" s="52"/>
      <c r="TFB213" s="52"/>
      <c r="TFC213" s="52"/>
      <c r="TFD213" s="52"/>
      <c r="TFE213" s="52"/>
      <c r="TFF213" s="52"/>
      <c r="TFG213" s="52"/>
      <c r="TFH213" s="52"/>
      <c r="TFI213" s="52"/>
      <c r="TFJ213" s="52"/>
      <c r="TFK213" s="52"/>
      <c r="TFL213" s="52"/>
      <c r="TFM213" s="52"/>
      <c r="TFN213" s="52"/>
      <c r="TFO213" s="52"/>
      <c r="TFP213" s="52"/>
      <c r="TFQ213" s="52"/>
      <c r="TFR213" s="52"/>
      <c r="TFS213" s="52"/>
      <c r="TFT213" s="52"/>
      <c r="TFU213" s="52"/>
      <c r="TFV213" s="52"/>
      <c r="TFW213" s="52"/>
      <c r="TFX213" s="52"/>
      <c r="TFY213" s="52"/>
      <c r="TFZ213" s="52"/>
      <c r="TGA213" s="52"/>
      <c r="TGB213" s="52"/>
      <c r="TGC213" s="52"/>
      <c r="TGD213" s="52"/>
      <c r="TGE213" s="52"/>
      <c r="TGF213" s="52"/>
      <c r="TGG213" s="52"/>
      <c r="TGH213" s="52"/>
      <c r="TGI213" s="52"/>
      <c r="TGJ213" s="52"/>
      <c r="TGK213" s="52"/>
      <c r="TGL213" s="52"/>
      <c r="TGM213" s="52"/>
      <c r="TGN213" s="52"/>
      <c r="TGO213" s="52"/>
      <c r="TGP213" s="52"/>
      <c r="TGQ213" s="52"/>
      <c r="TGR213" s="52"/>
      <c r="TGS213" s="52"/>
      <c r="TGT213" s="52"/>
      <c r="TGU213" s="52"/>
      <c r="TGV213" s="52"/>
      <c r="TGW213" s="52"/>
      <c r="TGX213" s="52"/>
      <c r="TGY213" s="52"/>
      <c r="TGZ213" s="52"/>
      <c r="THA213" s="52"/>
      <c r="THB213" s="52"/>
      <c r="THC213" s="52"/>
      <c r="THD213" s="52"/>
      <c r="THE213" s="52"/>
      <c r="THF213" s="52"/>
      <c r="THG213" s="52"/>
      <c r="THH213" s="52"/>
      <c r="THI213" s="52"/>
      <c r="THJ213" s="52"/>
      <c r="THK213" s="52"/>
      <c r="THL213" s="52"/>
      <c r="THM213" s="52"/>
      <c r="THN213" s="52"/>
      <c r="THO213" s="52"/>
      <c r="THP213" s="52"/>
      <c r="THQ213" s="52"/>
      <c r="THR213" s="52"/>
      <c r="THS213" s="52"/>
      <c r="THT213" s="52"/>
      <c r="THU213" s="52"/>
      <c r="THV213" s="52"/>
      <c r="THW213" s="52"/>
      <c r="THX213" s="52"/>
      <c r="THY213" s="52"/>
      <c r="THZ213" s="52"/>
      <c r="TIA213" s="52"/>
      <c r="TIB213" s="52"/>
      <c r="TIC213" s="52"/>
      <c r="TID213" s="52"/>
      <c r="TIE213" s="52"/>
      <c r="TIF213" s="52"/>
      <c r="TIG213" s="52"/>
      <c r="TIH213" s="52"/>
      <c r="TII213" s="52"/>
      <c r="TIJ213" s="52"/>
      <c r="TIK213" s="52"/>
      <c r="TIL213" s="52"/>
      <c r="TIM213" s="52"/>
      <c r="TIN213" s="52"/>
      <c r="TIO213" s="52"/>
      <c r="TIP213" s="52"/>
      <c r="TIQ213" s="52"/>
      <c r="TIR213" s="52"/>
      <c r="TIS213" s="52"/>
      <c r="TIT213" s="52"/>
      <c r="TIU213" s="52"/>
      <c r="TIV213" s="52"/>
      <c r="TIW213" s="52"/>
      <c r="TIX213" s="52"/>
      <c r="TIY213" s="52"/>
      <c r="TIZ213" s="52"/>
      <c r="TJA213" s="52"/>
      <c r="TJB213" s="52"/>
      <c r="TJC213" s="52"/>
      <c r="TJD213" s="52"/>
      <c r="TJE213" s="52"/>
      <c r="TJF213" s="52"/>
      <c r="TJG213" s="52"/>
      <c r="TJH213" s="52"/>
      <c r="TJI213" s="52"/>
      <c r="TJJ213" s="52"/>
      <c r="TJK213" s="52"/>
      <c r="TJL213" s="52"/>
      <c r="TJM213" s="52"/>
      <c r="TJN213" s="52"/>
      <c r="TJO213" s="52"/>
      <c r="TJP213" s="52"/>
      <c r="TJQ213" s="52"/>
      <c r="TJR213" s="52"/>
      <c r="TJS213" s="52"/>
      <c r="TJT213" s="52"/>
      <c r="TJU213" s="52"/>
      <c r="TJV213" s="52"/>
      <c r="TJW213" s="52"/>
      <c r="TJX213" s="52"/>
      <c r="TJY213" s="52"/>
      <c r="TJZ213" s="52"/>
      <c r="TKA213" s="52"/>
      <c r="TKB213" s="52"/>
      <c r="TKC213" s="52"/>
      <c r="TKD213" s="52"/>
      <c r="TKE213" s="52"/>
      <c r="TKF213" s="52"/>
      <c r="TKG213" s="52"/>
      <c r="TKH213" s="52"/>
      <c r="TKI213" s="52"/>
      <c r="TKJ213" s="52"/>
      <c r="TKK213" s="52"/>
      <c r="TKL213" s="52"/>
      <c r="TKM213" s="52"/>
      <c r="TKN213" s="52"/>
      <c r="TKO213" s="52"/>
      <c r="TKP213" s="52"/>
      <c r="TKQ213" s="52"/>
      <c r="TKR213" s="52"/>
      <c r="TKS213" s="52"/>
      <c r="TKT213" s="52"/>
      <c r="TKU213" s="52"/>
      <c r="TKV213" s="52"/>
      <c r="TKW213" s="52"/>
      <c r="TKX213" s="52"/>
      <c r="TKY213" s="52"/>
      <c r="TKZ213" s="52"/>
      <c r="TLA213" s="52"/>
      <c r="TLB213" s="52"/>
      <c r="TLC213" s="52"/>
      <c r="TLD213" s="52"/>
      <c r="TLE213" s="52"/>
      <c r="TLF213" s="52"/>
      <c r="TLG213" s="52"/>
      <c r="TLH213" s="52"/>
      <c r="TLI213" s="52"/>
      <c r="TLJ213" s="52"/>
      <c r="TLK213" s="52"/>
      <c r="TLL213" s="52"/>
      <c r="TLM213" s="52"/>
      <c r="TLN213" s="52"/>
      <c r="TLO213" s="52"/>
      <c r="TLP213" s="52"/>
      <c r="TLQ213" s="52"/>
      <c r="TLR213" s="52"/>
      <c r="TLS213" s="52"/>
      <c r="TLT213" s="52"/>
      <c r="TLU213" s="52"/>
      <c r="TLV213" s="52"/>
      <c r="TLW213" s="52"/>
      <c r="TLX213" s="52"/>
      <c r="TLY213" s="52"/>
      <c r="TLZ213" s="52"/>
      <c r="TMA213" s="52"/>
      <c r="TMB213" s="52"/>
      <c r="TMC213" s="52"/>
      <c r="TMD213" s="52"/>
      <c r="TME213" s="52"/>
      <c r="TMF213" s="52"/>
      <c r="TMG213" s="52"/>
      <c r="TMH213" s="52"/>
      <c r="TMI213" s="52"/>
      <c r="TMJ213" s="52"/>
      <c r="TMK213" s="52"/>
      <c r="TML213" s="52"/>
      <c r="TMM213" s="52"/>
      <c r="TMN213" s="52"/>
      <c r="TMO213" s="52"/>
      <c r="TMP213" s="52"/>
      <c r="TMQ213" s="52"/>
      <c r="TMR213" s="52"/>
      <c r="TMS213" s="52"/>
      <c r="TMT213" s="52"/>
      <c r="TMU213" s="52"/>
      <c r="TMV213" s="52"/>
      <c r="TMW213" s="52"/>
      <c r="TMX213" s="52"/>
      <c r="TMY213" s="52"/>
      <c r="TMZ213" s="52"/>
      <c r="TNA213" s="52"/>
      <c r="TNB213" s="52"/>
      <c r="TNC213" s="52"/>
      <c r="TND213" s="52"/>
      <c r="TNE213" s="52"/>
      <c r="TNF213" s="52"/>
      <c r="TNG213" s="52"/>
      <c r="TNH213" s="52"/>
      <c r="TNI213" s="52"/>
      <c r="TNJ213" s="52"/>
      <c r="TNK213" s="52"/>
      <c r="TNL213" s="52"/>
      <c r="TNM213" s="52"/>
      <c r="TNN213" s="52"/>
      <c r="TNO213" s="52"/>
      <c r="TNP213" s="52"/>
      <c r="TNQ213" s="52"/>
      <c r="TNR213" s="52"/>
      <c r="TNS213" s="52"/>
      <c r="TNT213" s="52"/>
      <c r="TNU213" s="52"/>
      <c r="TNV213" s="52"/>
      <c r="TNW213" s="52"/>
      <c r="TNX213" s="52"/>
      <c r="TNY213" s="52"/>
      <c r="TNZ213" s="52"/>
      <c r="TOA213" s="52"/>
      <c r="TOB213" s="52"/>
      <c r="TOC213" s="52"/>
      <c r="TOD213" s="52"/>
      <c r="TOE213" s="52"/>
      <c r="TOF213" s="52"/>
      <c r="TOG213" s="52"/>
      <c r="TOH213" s="52"/>
      <c r="TOI213" s="52"/>
      <c r="TOJ213" s="52"/>
      <c r="TOK213" s="52"/>
      <c r="TOL213" s="52"/>
      <c r="TOM213" s="52"/>
      <c r="TON213" s="52"/>
      <c r="TOO213" s="52"/>
      <c r="TOP213" s="52"/>
      <c r="TOQ213" s="52"/>
      <c r="TOR213" s="52"/>
      <c r="TOS213" s="52"/>
      <c r="TOT213" s="52"/>
      <c r="TOU213" s="52"/>
      <c r="TOV213" s="52"/>
      <c r="TOW213" s="52"/>
      <c r="TOX213" s="52"/>
      <c r="TOY213" s="52"/>
      <c r="TOZ213" s="52"/>
      <c r="TPA213" s="52"/>
      <c r="TPB213" s="52"/>
      <c r="TPC213" s="52"/>
      <c r="TPD213" s="52"/>
      <c r="TPE213" s="52"/>
      <c r="TPF213" s="52"/>
      <c r="TPG213" s="52"/>
      <c r="TPH213" s="52"/>
      <c r="TPI213" s="52"/>
      <c r="TPJ213" s="52"/>
      <c r="TPK213" s="52"/>
      <c r="TPL213" s="52"/>
      <c r="TPM213" s="52"/>
      <c r="TPN213" s="52"/>
      <c r="TPO213" s="52"/>
      <c r="TPP213" s="52"/>
      <c r="TPQ213" s="52"/>
      <c r="TPR213" s="52"/>
      <c r="TPS213" s="52"/>
      <c r="TPT213" s="52"/>
      <c r="TPU213" s="52"/>
      <c r="TPV213" s="52"/>
      <c r="TPW213" s="52"/>
      <c r="TPX213" s="52"/>
      <c r="TPY213" s="52"/>
      <c r="TPZ213" s="52"/>
      <c r="TQA213" s="52"/>
      <c r="TQB213" s="52"/>
      <c r="TQC213" s="52"/>
      <c r="TQD213" s="52"/>
      <c r="TQE213" s="52"/>
      <c r="TQF213" s="52"/>
      <c r="TQG213" s="52"/>
      <c r="TQH213" s="52"/>
      <c r="TQI213" s="52"/>
      <c r="TQJ213" s="52"/>
      <c r="TQK213" s="52"/>
      <c r="TQL213" s="52"/>
      <c r="TQM213" s="52"/>
      <c r="TQN213" s="52"/>
      <c r="TQO213" s="52"/>
      <c r="TQP213" s="52"/>
      <c r="TQQ213" s="52"/>
      <c r="TQR213" s="52"/>
      <c r="TQS213" s="52"/>
      <c r="TQT213" s="52"/>
      <c r="TQU213" s="52"/>
      <c r="TQV213" s="52"/>
      <c r="TQW213" s="52"/>
      <c r="TQX213" s="52"/>
      <c r="TQY213" s="52"/>
      <c r="TQZ213" s="52"/>
      <c r="TRA213" s="52"/>
      <c r="TRB213" s="52"/>
      <c r="TRC213" s="52"/>
      <c r="TRD213" s="52"/>
      <c r="TRE213" s="52"/>
      <c r="TRF213" s="52"/>
      <c r="TRG213" s="52"/>
      <c r="TRH213" s="52"/>
      <c r="TRI213" s="52"/>
      <c r="TRJ213" s="52"/>
      <c r="TRK213" s="52"/>
      <c r="TRL213" s="52"/>
      <c r="TRM213" s="52"/>
      <c r="TRN213" s="52"/>
      <c r="TRO213" s="52"/>
      <c r="TRP213" s="52"/>
      <c r="TRQ213" s="52"/>
      <c r="TRR213" s="52"/>
      <c r="TRS213" s="52"/>
      <c r="TRT213" s="52"/>
      <c r="TRU213" s="52"/>
      <c r="TRV213" s="52"/>
      <c r="TRW213" s="52"/>
      <c r="TRX213" s="52"/>
      <c r="TRY213" s="52"/>
      <c r="TRZ213" s="52"/>
      <c r="TSA213" s="52"/>
      <c r="TSB213" s="52"/>
      <c r="TSC213" s="52"/>
      <c r="TSD213" s="52"/>
      <c r="TSE213" s="52"/>
      <c r="TSF213" s="52"/>
      <c r="TSG213" s="52"/>
      <c r="TSH213" s="52"/>
      <c r="TSI213" s="52"/>
      <c r="TSJ213" s="52"/>
      <c r="TSK213" s="52"/>
      <c r="TSL213" s="52"/>
      <c r="TSM213" s="52"/>
      <c r="TSN213" s="52"/>
      <c r="TSO213" s="52"/>
      <c r="TSP213" s="52"/>
      <c r="TSQ213" s="52"/>
      <c r="TSR213" s="52"/>
      <c r="TSS213" s="52"/>
      <c r="TST213" s="52"/>
      <c r="TSU213" s="52"/>
      <c r="TSV213" s="52"/>
      <c r="TSW213" s="52"/>
      <c r="TSX213" s="52"/>
      <c r="TSY213" s="52"/>
      <c r="TSZ213" s="52"/>
      <c r="TTA213" s="52"/>
      <c r="TTB213" s="52"/>
      <c r="TTC213" s="52"/>
      <c r="TTD213" s="52"/>
      <c r="TTE213" s="52"/>
      <c r="TTF213" s="52"/>
      <c r="TTG213" s="52"/>
      <c r="TTH213" s="52"/>
      <c r="TTI213" s="52"/>
      <c r="TTJ213" s="52"/>
      <c r="TTK213" s="52"/>
      <c r="TTL213" s="52"/>
      <c r="TTM213" s="52"/>
      <c r="TTN213" s="52"/>
      <c r="TTO213" s="52"/>
      <c r="TTP213" s="52"/>
      <c r="TTQ213" s="52"/>
      <c r="TTR213" s="52"/>
      <c r="TTS213" s="52"/>
      <c r="TTT213" s="52"/>
      <c r="TTU213" s="52"/>
      <c r="TTV213" s="52"/>
      <c r="TTW213" s="52"/>
      <c r="TTX213" s="52"/>
      <c r="TTY213" s="52"/>
      <c r="TTZ213" s="52"/>
      <c r="TUA213" s="52"/>
      <c r="TUB213" s="52"/>
      <c r="TUC213" s="52"/>
      <c r="TUD213" s="52"/>
      <c r="TUE213" s="52"/>
      <c r="TUF213" s="52"/>
      <c r="TUG213" s="52"/>
      <c r="TUH213" s="52"/>
      <c r="TUI213" s="52"/>
      <c r="TUJ213" s="52"/>
      <c r="TUK213" s="52"/>
      <c r="TUL213" s="52"/>
      <c r="TUM213" s="52"/>
      <c r="TUN213" s="52"/>
      <c r="TUO213" s="52"/>
      <c r="TUP213" s="52"/>
      <c r="TUQ213" s="52"/>
      <c r="TUR213" s="52"/>
      <c r="TUS213" s="52"/>
      <c r="TUT213" s="52"/>
      <c r="TUU213" s="52"/>
      <c r="TUV213" s="52"/>
      <c r="TUW213" s="52"/>
      <c r="TUX213" s="52"/>
      <c r="TUY213" s="52"/>
      <c r="TUZ213" s="52"/>
      <c r="TVA213" s="52"/>
      <c r="TVB213" s="52"/>
      <c r="TVC213" s="52"/>
      <c r="TVD213" s="52"/>
      <c r="TVE213" s="52"/>
      <c r="TVF213" s="52"/>
      <c r="TVG213" s="52"/>
      <c r="TVH213" s="52"/>
      <c r="TVI213" s="52"/>
      <c r="TVJ213" s="52"/>
      <c r="TVK213" s="52"/>
      <c r="TVL213" s="52"/>
      <c r="TVM213" s="52"/>
      <c r="TVN213" s="52"/>
      <c r="TVO213" s="52"/>
      <c r="TVP213" s="52"/>
      <c r="TVQ213" s="52"/>
      <c r="TVR213" s="52"/>
      <c r="TVS213" s="52"/>
      <c r="TVT213" s="52"/>
      <c r="TVU213" s="52"/>
      <c r="TVV213" s="52"/>
      <c r="TVW213" s="52"/>
      <c r="TVX213" s="52"/>
      <c r="TVY213" s="52"/>
      <c r="TVZ213" s="52"/>
      <c r="TWA213" s="52"/>
      <c r="TWB213" s="52"/>
      <c r="TWC213" s="52"/>
      <c r="TWD213" s="52"/>
      <c r="TWE213" s="52"/>
      <c r="TWF213" s="52"/>
      <c r="TWG213" s="52"/>
      <c r="TWH213" s="52"/>
      <c r="TWI213" s="52"/>
      <c r="TWJ213" s="52"/>
      <c r="TWK213" s="52"/>
      <c r="TWL213" s="52"/>
      <c r="TWM213" s="52"/>
      <c r="TWN213" s="52"/>
      <c r="TWO213" s="52"/>
      <c r="TWP213" s="52"/>
      <c r="TWQ213" s="52"/>
      <c r="TWR213" s="52"/>
      <c r="TWS213" s="52"/>
      <c r="TWT213" s="52"/>
      <c r="TWU213" s="52"/>
      <c r="TWV213" s="52"/>
      <c r="TWW213" s="52"/>
      <c r="TWX213" s="52"/>
      <c r="TWY213" s="52"/>
      <c r="TWZ213" s="52"/>
      <c r="TXA213" s="52"/>
      <c r="TXB213" s="52"/>
      <c r="TXC213" s="52"/>
      <c r="TXD213" s="52"/>
      <c r="TXE213" s="52"/>
      <c r="TXF213" s="52"/>
      <c r="TXG213" s="52"/>
      <c r="TXH213" s="52"/>
      <c r="TXI213" s="52"/>
      <c r="TXJ213" s="52"/>
      <c r="TXK213" s="52"/>
      <c r="TXL213" s="52"/>
      <c r="TXM213" s="52"/>
      <c r="TXN213" s="52"/>
      <c r="TXO213" s="52"/>
      <c r="TXP213" s="52"/>
      <c r="TXQ213" s="52"/>
      <c r="TXR213" s="52"/>
      <c r="TXS213" s="52"/>
      <c r="TXT213" s="52"/>
      <c r="TXU213" s="52"/>
      <c r="TXV213" s="52"/>
      <c r="TXW213" s="52"/>
      <c r="TXX213" s="52"/>
      <c r="TXY213" s="52"/>
      <c r="TXZ213" s="52"/>
      <c r="TYA213" s="52"/>
      <c r="TYB213" s="52"/>
      <c r="TYC213" s="52"/>
      <c r="TYD213" s="52"/>
      <c r="TYE213" s="52"/>
      <c r="TYF213" s="52"/>
      <c r="TYG213" s="52"/>
      <c r="TYH213" s="52"/>
      <c r="TYI213" s="52"/>
      <c r="TYJ213" s="52"/>
      <c r="TYK213" s="52"/>
      <c r="TYL213" s="52"/>
      <c r="TYM213" s="52"/>
      <c r="TYN213" s="52"/>
      <c r="TYO213" s="52"/>
      <c r="TYP213" s="52"/>
      <c r="TYQ213" s="52"/>
      <c r="TYR213" s="52"/>
      <c r="TYS213" s="52"/>
      <c r="TYT213" s="52"/>
      <c r="TYU213" s="52"/>
      <c r="TYV213" s="52"/>
      <c r="TYW213" s="52"/>
      <c r="TYX213" s="52"/>
      <c r="TYY213" s="52"/>
      <c r="TYZ213" s="52"/>
      <c r="TZA213" s="52"/>
      <c r="TZB213" s="52"/>
      <c r="TZC213" s="52"/>
      <c r="TZD213" s="52"/>
      <c r="TZE213" s="52"/>
      <c r="TZF213" s="52"/>
      <c r="TZG213" s="52"/>
      <c r="TZH213" s="52"/>
      <c r="TZI213" s="52"/>
      <c r="TZJ213" s="52"/>
      <c r="TZK213" s="52"/>
      <c r="TZL213" s="52"/>
      <c r="TZM213" s="52"/>
      <c r="TZN213" s="52"/>
      <c r="TZO213" s="52"/>
      <c r="TZP213" s="52"/>
      <c r="TZQ213" s="52"/>
      <c r="TZR213" s="52"/>
      <c r="TZS213" s="52"/>
      <c r="TZT213" s="52"/>
      <c r="TZU213" s="52"/>
      <c r="TZV213" s="52"/>
      <c r="TZW213" s="52"/>
      <c r="TZX213" s="52"/>
      <c r="TZY213" s="52"/>
      <c r="TZZ213" s="52"/>
      <c r="UAA213" s="52"/>
      <c r="UAB213" s="52"/>
      <c r="UAC213" s="52"/>
      <c r="UAD213" s="52"/>
      <c r="UAE213" s="52"/>
      <c r="UAF213" s="52"/>
      <c r="UAG213" s="52"/>
      <c r="UAH213" s="52"/>
      <c r="UAI213" s="52"/>
      <c r="UAJ213" s="52"/>
      <c r="UAK213" s="52"/>
      <c r="UAL213" s="52"/>
      <c r="UAM213" s="52"/>
      <c r="UAN213" s="52"/>
      <c r="UAO213" s="52"/>
      <c r="UAP213" s="52"/>
      <c r="UAQ213" s="52"/>
      <c r="UAR213" s="52"/>
      <c r="UAS213" s="52"/>
      <c r="UAT213" s="52"/>
      <c r="UAU213" s="52"/>
      <c r="UAV213" s="52"/>
      <c r="UAW213" s="52"/>
      <c r="UAX213" s="52"/>
      <c r="UAY213" s="52"/>
      <c r="UAZ213" s="52"/>
      <c r="UBA213" s="52"/>
      <c r="UBB213" s="52"/>
      <c r="UBC213" s="52"/>
      <c r="UBD213" s="52"/>
      <c r="UBE213" s="52"/>
      <c r="UBF213" s="52"/>
      <c r="UBG213" s="52"/>
      <c r="UBH213" s="52"/>
      <c r="UBI213" s="52"/>
      <c r="UBJ213" s="52"/>
      <c r="UBK213" s="52"/>
      <c r="UBL213" s="52"/>
      <c r="UBM213" s="52"/>
      <c r="UBN213" s="52"/>
      <c r="UBO213" s="52"/>
      <c r="UBP213" s="52"/>
      <c r="UBQ213" s="52"/>
      <c r="UBR213" s="52"/>
      <c r="UBS213" s="52"/>
      <c r="UBT213" s="52"/>
      <c r="UBU213" s="52"/>
      <c r="UBV213" s="52"/>
      <c r="UBW213" s="52"/>
      <c r="UBX213" s="52"/>
      <c r="UBY213" s="52"/>
      <c r="UBZ213" s="52"/>
      <c r="UCA213" s="52"/>
      <c r="UCB213" s="52"/>
      <c r="UCC213" s="52"/>
      <c r="UCD213" s="52"/>
      <c r="UCE213" s="52"/>
      <c r="UCF213" s="52"/>
      <c r="UCG213" s="52"/>
      <c r="UCH213" s="52"/>
      <c r="UCI213" s="52"/>
      <c r="UCJ213" s="52"/>
      <c r="UCK213" s="52"/>
      <c r="UCL213" s="52"/>
      <c r="UCM213" s="52"/>
      <c r="UCN213" s="52"/>
      <c r="UCO213" s="52"/>
      <c r="UCP213" s="52"/>
      <c r="UCQ213" s="52"/>
      <c r="UCR213" s="52"/>
      <c r="UCS213" s="52"/>
      <c r="UCT213" s="52"/>
      <c r="UCU213" s="52"/>
      <c r="UCV213" s="52"/>
      <c r="UCW213" s="52"/>
      <c r="UCX213" s="52"/>
      <c r="UCY213" s="52"/>
      <c r="UCZ213" s="52"/>
      <c r="UDA213" s="52"/>
      <c r="UDB213" s="52"/>
      <c r="UDC213" s="52"/>
      <c r="UDD213" s="52"/>
      <c r="UDE213" s="52"/>
      <c r="UDF213" s="52"/>
      <c r="UDG213" s="52"/>
      <c r="UDH213" s="52"/>
      <c r="UDI213" s="52"/>
      <c r="UDJ213" s="52"/>
      <c r="UDK213" s="52"/>
      <c r="UDL213" s="52"/>
      <c r="UDM213" s="52"/>
      <c r="UDN213" s="52"/>
      <c r="UDO213" s="52"/>
      <c r="UDP213" s="52"/>
      <c r="UDQ213" s="52"/>
      <c r="UDR213" s="52"/>
      <c r="UDS213" s="52"/>
      <c r="UDT213" s="52"/>
      <c r="UDU213" s="52"/>
      <c r="UDV213" s="52"/>
      <c r="UDW213" s="52"/>
      <c r="UDX213" s="52"/>
      <c r="UDY213" s="52"/>
      <c r="UDZ213" s="52"/>
      <c r="UEA213" s="52"/>
      <c r="UEB213" s="52"/>
      <c r="UEC213" s="52"/>
      <c r="UED213" s="52"/>
      <c r="UEE213" s="52"/>
      <c r="UEF213" s="52"/>
      <c r="UEG213" s="52"/>
      <c r="UEH213" s="52"/>
      <c r="UEI213" s="52"/>
      <c r="UEJ213" s="52"/>
      <c r="UEK213" s="52"/>
      <c r="UEL213" s="52"/>
      <c r="UEM213" s="52"/>
      <c r="UEN213" s="52"/>
      <c r="UEO213" s="52"/>
      <c r="UEP213" s="52"/>
      <c r="UEQ213" s="52"/>
      <c r="UER213" s="52"/>
      <c r="UES213" s="52"/>
      <c r="UET213" s="52"/>
      <c r="UEU213" s="52"/>
      <c r="UEV213" s="52"/>
      <c r="UEW213" s="52"/>
      <c r="UEX213" s="52"/>
      <c r="UEY213" s="52"/>
      <c r="UEZ213" s="52"/>
      <c r="UFA213" s="52"/>
      <c r="UFB213" s="52"/>
      <c r="UFC213" s="52"/>
      <c r="UFD213" s="52"/>
      <c r="UFE213" s="52"/>
      <c r="UFF213" s="52"/>
      <c r="UFG213" s="52"/>
      <c r="UFH213" s="52"/>
      <c r="UFI213" s="52"/>
      <c r="UFJ213" s="52"/>
      <c r="UFK213" s="52"/>
      <c r="UFL213" s="52"/>
      <c r="UFM213" s="52"/>
      <c r="UFN213" s="52"/>
      <c r="UFO213" s="52"/>
      <c r="UFP213" s="52"/>
      <c r="UFQ213" s="52"/>
      <c r="UFR213" s="52"/>
      <c r="UFS213" s="52"/>
      <c r="UFT213" s="52"/>
      <c r="UFU213" s="52"/>
      <c r="UFV213" s="52"/>
      <c r="UFW213" s="52"/>
      <c r="UFX213" s="52"/>
      <c r="UFY213" s="52"/>
      <c r="UFZ213" s="52"/>
      <c r="UGA213" s="52"/>
      <c r="UGB213" s="52"/>
      <c r="UGC213" s="52"/>
      <c r="UGD213" s="52"/>
      <c r="UGE213" s="52"/>
      <c r="UGF213" s="52"/>
      <c r="UGG213" s="52"/>
      <c r="UGH213" s="52"/>
      <c r="UGI213" s="52"/>
      <c r="UGJ213" s="52"/>
      <c r="UGK213" s="52"/>
      <c r="UGL213" s="52"/>
      <c r="UGM213" s="52"/>
      <c r="UGN213" s="52"/>
      <c r="UGO213" s="52"/>
      <c r="UGP213" s="52"/>
      <c r="UGQ213" s="52"/>
      <c r="UGR213" s="52"/>
      <c r="UGS213" s="52"/>
      <c r="UGT213" s="52"/>
      <c r="UGU213" s="52"/>
      <c r="UGV213" s="52"/>
      <c r="UGW213" s="52"/>
      <c r="UGX213" s="52"/>
      <c r="UGY213" s="52"/>
      <c r="UGZ213" s="52"/>
      <c r="UHA213" s="52"/>
      <c r="UHB213" s="52"/>
      <c r="UHC213" s="52"/>
      <c r="UHD213" s="52"/>
      <c r="UHE213" s="52"/>
      <c r="UHF213" s="52"/>
      <c r="UHG213" s="52"/>
      <c r="UHH213" s="52"/>
      <c r="UHI213" s="52"/>
      <c r="UHJ213" s="52"/>
      <c r="UHK213" s="52"/>
      <c r="UHL213" s="52"/>
      <c r="UHM213" s="52"/>
      <c r="UHN213" s="52"/>
      <c r="UHO213" s="52"/>
      <c r="UHP213" s="52"/>
      <c r="UHQ213" s="52"/>
      <c r="UHR213" s="52"/>
      <c r="UHS213" s="52"/>
      <c r="UHT213" s="52"/>
      <c r="UHU213" s="52"/>
      <c r="UHV213" s="52"/>
      <c r="UHW213" s="52"/>
      <c r="UHX213" s="52"/>
      <c r="UHY213" s="52"/>
      <c r="UHZ213" s="52"/>
      <c r="UIA213" s="52"/>
      <c r="UIB213" s="52"/>
      <c r="UIC213" s="52"/>
      <c r="UID213" s="52"/>
      <c r="UIE213" s="52"/>
      <c r="UIF213" s="52"/>
      <c r="UIG213" s="52"/>
      <c r="UIH213" s="52"/>
      <c r="UII213" s="52"/>
      <c r="UIJ213" s="52"/>
      <c r="UIK213" s="52"/>
      <c r="UIL213" s="52"/>
      <c r="UIM213" s="52"/>
      <c r="UIN213" s="52"/>
      <c r="UIO213" s="52"/>
      <c r="UIP213" s="52"/>
      <c r="UIQ213" s="52"/>
      <c r="UIR213" s="52"/>
      <c r="UIS213" s="52"/>
      <c r="UIT213" s="52"/>
      <c r="UIU213" s="52"/>
      <c r="UIV213" s="52"/>
      <c r="UIW213" s="52"/>
      <c r="UIX213" s="52"/>
      <c r="UIY213" s="52"/>
      <c r="UIZ213" s="52"/>
      <c r="UJA213" s="52"/>
      <c r="UJB213" s="52"/>
      <c r="UJC213" s="52"/>
      <c r="UJD213" s="52"/>
      <c r="UJE213" s="52"/>
      <c r="UJF213" s="52"/>
      <c r="UJG213" s="52"/>
      <c r="UJH213" s="52"/>
      <c r="UJI213" s="52"/>
      <c r="UJJ213" s="52"/>
      <c r="UJK213" s="52"/>
      <c r="UJL213" s="52"/>
      <c r="UJM213" s="52"/>
      <c r="UJN213" s="52"/>
      <c r="UJO213" s="52"/>
      <c r="UJP213" s="52"/>
      <c r="UJQ213" s="52"/>
      <c r="UJR213" s="52"/>
      <c r="UJS213" s="52"/>
      <c r="UJT213" s="52"/>
      <c r="UJU213" s="52"/>
      <c r="UJV213" s="52"/>
      <c r="UJW213" s="52"/>
      <c r="UJX213" s="52"/>
      <c r="UJY213" s="52"/>
      <c r="UJZ213" s="52"/>
      <c r="UKA213" s="52"/>
      <c r="UKB213" s="52"/>
      <c r="UKC213" s="52"/>
      <c r="UKD213" s="52"/>
      <c r="UKE213" s="52"/>
      <c r="UKF213" s="52"/>
      <c r="UKG213" s="52"/>
      <c r="UKH213" s="52"/>
      <c r="UKI213" s="52"/>
      <c r="UKJ213" s="52"/>
      <c r="UKK213" s="52"/>
      <c r="UKL213" s="52"/>
      <c r="UKM213" s="52"/>
      <c r="UKN213" s="52"/>
      <c r="UKO213" s="52"/>
      <c r="UKP213" s="52"/>
      <c r="UKQ213" s="52"/>
      <c r="UKR213" s="52"/>
      <c r="UKS213" s="52"/>
      <c r="UKT213" s="52"/>
      <c r="UKU213" s="52"/>
      <c r="UKV213" s="52"/>
      <c r="UKW213" s="52"/>
      <c r="UKX213" s="52"/>
      <c r="UKY213" s="52"/>
      <c r="UKZ213" s="52"/>
      <c r="ULA213" s="52"/>
      <c r="ULB213" s="52"/>
      <c r="ULC213" s="52"/>
      <c r="ULD213" s="52"/>
      <c r="ULE213" s="52"/>
      <c r="ULF213" s="52"/>
      <c r="ULG213" s="52"/>
      <c r="ULH213" s="52"/>
      <c r="ULI213" s="52"/>
      <c r="ULJ213" s="52"/>
      <c r="ULK213" s="52"/>
      <c r="ULL213" s="52"/>
      <c r="ULM213" s="52"/>
      <c r="ULN213" s="52"/>
      <c r="ULO213" s="52"/>
      <c r="ULP213" s="52"/>
      <c r="ULQ213" s="52"/>
      <c r="ULR213" s="52"/>
      <c r="ULS213" s="52"/>
      <c r="ULT213" s="52"/>
      <c r="ULU213" s="52"/>
      <c r="ULV213" s="52"/>
      <c r="ULW213" s="52"/>
      <c r="ULX213" s="52"/>
      <c r="ULY213" s="52"/>
      <c r="ULZ213" s="52"/>
      <c r="UMA213" s="52"/>
      <c r="UMB213" s="52"/>
      <c r="UMC213" s="52"/>
      <c r="UMD213" s="52"/>
      <c r="UME213" s="52"/>
      <c r="UMF213" s="52"/>
      <c r="UMG213" s="52"/>
      <c r="UMH213" s="52"/>
      <c r="UMI213" s="52"/>
      <c r="UMJ213" s="52"/>
      <c r="UMK213" s="52"/>
      <c r="UML213" s="52"/>
      <c r="UMM213" s="52"/>
      <c r="UMN213" s="52"/>
      <c r="UMO213" s="52"/>
      <c r="UMP213" s="52"/>
      <c r="UMQ213" s="52"/>
      <c r="UMR213" s="52"/>
      <c r="UMS213" s="52"/>
      <c r="UMT213" s="52"/>
      <c r="UMU213" s="52"/>
      <c r="UMV213" s="52"/>
      <c r="UMW213" s="52"/>
      <c r="UMX213" s="52"/>
      <c r="UMY213" s="52"/>
      <c r="UMZ213" s="52"/>
      <c r="UNA213" s="52"/>
      <c r="UNB213" s="52"/>
      <c r="UNC213" s="52"/>
      <c r="UND213" s="52"/>
      <c r="UNE213" s="52"/>
      <c r="UNF213" s="52"/>
      <c r="UNG213" s="52"/>
      <c r="UNH213" s="52"/>
      <c r="UNI213" s="52"/>
      <c r="UNJ213" s="52"/>
      <c r="UNK213" s="52"/>
      <c r="UNL213" s="52"/>
      <c r="UNM213" s="52"/>
      <c r="UNN213" s="52"/>
      <c r="UNO213" s="52"/>
      <c r="UNP213" s="52"/>
      <c r="UNQ213" s="52"/>
      <c r="UNR213" s="52"/>
      <c r="UNS213" s="52"/>
      <c r="UNT213" s="52"/>
      <c r="UNU213" s="52"/>
      <c r="UNV213" s="52"/>
      <c r="UNW213" s="52"/>
      <c r="UNX213" s="52"/>
      <c r="UNY213" s="52"/>
      <c r="UNZ213" s="52"/>
      <c r="UOA213" s="52"/>
      <c r="UOB213" s="52"/>
      <c r="UOC213" s="52"/>
      <c r="UOD213" s="52"/>
      <c r="UOE213" s="52"/>
      <c r="UOF213" s="52"/>
      <c r="UOG213" s="52"/>
      <c r="UOH213" s="52"/>
      <c r="UOI213" s="52"/>
      <c r="UOJ213" s="52"/>
      <c r="UOK213" s="52"/>
      <c r="UOL213" s="52"/>
      <c r="UOM213" s="52"/>
      <c r="UON213" s="52"/>
      <c r="UOO213" s="52"/>
      <c r="UOP213" s="52"/>
      <c r="UOQ213" s="52"/>
      <c r="UOR213" s="52"/>
      <c r="UOS213" s="52"/>
      <c r="UOT213" s="52"/>
      <c r="UOU213" s="52"/>
      <c r="UOV213" s="52"/>
      <c r="UOW213" s="52"/>
      <c r="UOX213" s="52"/>
      <c r="UOY213" s="52"/>
      <c r="UOZ213" s="52"/>
      <c r="UPA213" s="52"/>
      <c r="UPB213" s="52"/>
      <c r="UPC213" s="52"/>
      <c r="UPD213" s="52"/>
      <c r="UPE213" s="52"/>
      <c r="UPF213" s="52"/>
      <c r="UPG213" s="52"/>
      <c r="UPH213" s="52"/>
      <c r="UPI213" s="52"/>
      <c r="UPJ213" s="52"/>
      <c r="UPK213" s="52"/>
      <c r="UPL213" s="52"/>
      <c r="UPM213" s="52"/>
      <c r="UPN213" s="52"/>
      <c r="UPO213" s="52"/>
      <c r="UPP213" s="52"/>
      <c r="UPQ213" s="52"/>
      <c r="UPR213" s="52"/>
      <c r="UPS213" s="52"/>
      <c r="UPT213" s="52"/>
      <c r="UPU213" s="52"/>
      <c r="UPV213" s="52"/>
      <c r="UPW213" s="52"/>
      <c r="UPX213" s="52"/>
      <c r="UPY213" s="52"/>
      <c r="UPZ213" s="52"/>
      <c r="UQA213" s="52"/>
      <c r="UQB213" s="52"/>
      <c r="UQC213" s="52"/>
      <c r="UQD213" s="52"/>
      <c r="UQE213" s="52"/>
      <c r="UQF213" s="52"/>
      <c r="UQG213" s="52"/>
      <c r="UQH213" s="52"/>
      <c r="UQI213" s="52"/>
      <c r="UQJ213" s="52"/>
      <c r="UQK213" s="52"/>
      <c r="UQL213" s="52"/>
      <c r="UQM213" s="52"/>
      <c r="UQN213" s="52"/>
      <c r="UQO213" s="52"/>
      <c r="UQP213" s="52"/>
      <c r="UQQ213" s="52"/>
      <c r="UQR213" s="52"/>
      <c r="UQS213" s="52"/>
      <c r="UQT213" s="52"/>
      <c r="UQU213" s="52"/>
      <c r="UQV213" s="52"/>
      <c r="UQW213" s="52"/>
      <c r="UQX213" s="52"/>
      <c r="UQY213" s="52"/>
      <c r="UQZ213" s="52"/>
      <c r="URA213" s="52"/>
      <c r="URB213" s="52"/>
      <c r="URC213" s="52"/>
      <c r="URD213" s="52"/>
      <c r="URE213" s="52"/>
      <c r="URF213" s="52"/>
      <c r="URG213" s="52"/>
      <c r="URH213" s="52"/>
      <c r="URI213" s="52"/>
      <c r="URJ213" s="52"/>
      <c r="URK213" s="52"/>
      <c r="URL213" s="52"/>
      <c r="URM213" s="52"/>
      <c r="URN213" s="52"/>
      <c r="URO213" s="52"/>
      <c r="URP213" s="52"/>
      <c r="URQ213" s="52"/>
      <c r="URR213" s="52"/>
      <c r="URS213" s="52"/>
      <c r="URT213" s="52"/>
      <c r="URU213" s="52"/>
      <c r="URV213" s="52"/>
      <c r="URW213" s="52"/>
      <c r="URX213" s="52"/>
      <c r="URY213" s="52"/>
      <c r="URZ213" s="52"/>
      <c r="USA213" s="52"/>
      <c r="USB213" s="52"/>
      <c r="USC213" s="52"/>
      <c r="USD213" s="52"/>
      <c r="USE213" s="52"/>
      <c r="USF213" s="52"/>
      <c r="USG213" s="52"/>
      <c r="USH213" s="52"/>
      <c r="USI213" s="52"/>
      <c r="USJ213" s="52"/>
      <c r="USK213" s="52"/>
      <c r="USL213" s="52"/>
      <c r="USM213" s="52"/>
      <c r="USN213" s="52"/>
      <c r="USO213" s="52"/>
      <c r="USP213" s="52"/>
      <c r="USQ213" s="52"/>
      <c r="USR213" s="52"/>
      <c r="USS213" s="52"/>
      <c r="UST213" s="52"/>
      <c r="USU213" s="52"/>
      <c r="USV213" s="52"/>
      <c r="USW213" s="52"/>
      <c r="USX213" s="52"/>
      <c r="USY213" s="52"/>
      <c r="USZ213" s="52"/>
      <c r="UTA213" s="52"/>
      <c r="UTB213" s="52"/>
      <c r="UTC213" s="52"/>
      <c r="UTD213" s="52"/>
      <c r="UTE213" s="52"/>
      <c r="UTF213" s="52"/>
      <c r="UTG213" s="52"/>
      <c r="UTH213" s="52"/>
      <c r="UTI213" s="52"/>
      <c r="UTJ213" s="52"/>
      <c r="UTK213" s="52"/>
      <c r="UTL213" s="52"/>
      <c r="UTM213" s="52"/>
      <c r="UTN213" s="52"/>
      <c r="UTO213" s="52"/>
      <c r="UTP213" s="52"/>
      <c r="UTQ213" s="52"/>
      <c r="UTR213" s="52"/>
      <c r="UTS213" s="52"/>
      <c r="UTT213" s="52"/>
      <c r="UTU213" s="52"/>
      <c r="UTV213" s="52"/>
      <c r="UTW213" s="52"/>
      <c r="UTX213" s="52"/>
      <c r="UTY213" s="52"/>
      <c r="UTZ213" s="52"/>
      <c r="UUA213" s="52"/>
      <c r="UUB213" s="52"/>
      <c r="UUC213" s="52"/>
      <c r="UUD213" s="52"/>
      <c r="UUE213" s="52"/>
      <c r="UUF213" s="52"/>
      <c r="UUG213" s="52"/>
      <c r="UUH213" s="52"/>
      <c r="UUI213" s="52"/>
      <c r="UUJ213" s="52"/>
      <c r="UUK213" s="52"/>
      <c r="UUL213" s="52"/>
      <c r="UUM213" s="52"/>
      <c r="UUN213" s="52"/>
      <c r="UUO213" s="52"/>
      <c r="UUP213" s="52"/>
      <c r="UUQ213" s="52"/>
      <c r="UUR213" s="52"/>
      <c r="UUS213" s="52"/>
      <c r="UUT213" s="52"/>
      <c r="UUU213" s="52"/>
      <c r="UUV213" s="52"/>
      <c r="UUW213" s="52"/>
      <c r="UUX213" s="52"/>
      <c r="UUY213" s="52"/>
      <c r="UUZ213" s="52"/>
      <c r="UVA213" s="52"/>
      <c r="UVB213" s="52"/>
      <c r="UVC213" s="52"/>
      <c r="UVD213" s="52"/>
      <c r="UVE213" s="52"/>
      <c r="UVF213" s="52"/>
      <c r="UVG213" s="52"/>
      <c r="UVH213" s="52"/>
      <c r="UVI213" s="52"/>
      <c r="UVJ213" s="52"/>
      <c r="UVK213" s="52"/>
      <c r="UVL213" s="52"/>
      <c r="UVM213" s="52"/>
      <c r="UVN213" s="52"/>
      <c r="UVO213" s="52"/>
      <c r="UVP213" s="52"/>
      <c r="UVQ213" s="52"/>
      <c r="UVR213" s="52"/>
      <c r="UVS213" s="52"/>
      <c r="UVT213" s="52"/>
      <c r="UVU213" s="52"/>
      <c r="UVV213" s="52"/>
      <c r="UVW213" s="52"/>
      <c r="UVX213" s="52"/>
      <c r="UVY213" s="52"/>
      <c r="UVZ213" s="52"/>
      <c r="UWA213" s="52"/>
      <c r="UWB213" s="52"/>
      <c r="UWC213" s="52"/>
      <c r="UWD213" s="52"/>
      <c r="UWE213" s="52"/>
      <c r="UWF213" s="52"/>
      <c r="UWG213" s="52"/>
      <c r="UWH213" s="52"/>
      <c r="UWI213" s="52"/>
      <c r="UWJ213" s="52"/>
      <c r="UWK213" s="52"/>
      <c r="UWL213" s="52"/>
      <c r="UWM213" s="52"/>
      <c r="UWN213" s="52"/>
      <c r="UWO213" s="52"/>
      <c r="UWP213" s="52"/>
      <c r="UWQ213" s="52"/>
      <c r="UWR213" s="52"/>
      <c r="UWS213" s="52"/>
      <c r="UWT213" s="52"/>
      <c r="UWU213" s="52"/>
      <c r="UWV213" s="52"/>
      <c r="UWW213" s="52"/>
      <c r="UWX213" s="52"/>
      <c r="UWY213" s="52"/>
      <c r="UWZ213" s="52"/>
      <c r="UXA213" s="52"/>
      <c r="UXB213" s="52"/>
      <c r="UXC213" s="52"/>
      <c r="UXD213" s="52"/>
      <c r="UXE213" s="52"/>
      <c r="UXF213" s="52"/>
      <c r="UXG213" s="52"/>
      <c r="UXH213" s="52"/>
      <c r="UXI213" s="52"/>
      <c r="UXJ213" s="52"/>
      <c r="UXK213" s="52"/>
      <c r="UXL213" s="52"/>
      <c r="UXM213" s="52"/>
      <c r="UXN213" s="52"/>
      <c r="UXO213" s="52"/>
      <c r="UXP213" s="52"/>
      <c r="UXQ213" s="52"/>
      <c r="UXR213" s="52"/>
      <c r="UXS213" s="52"/>
      <c r="UXT213" s="52"/>
      <c r="UXU213" s="52"/>
      <c r="UXV213" s="52"/>
      <c r="UXW213" s="52"/>
      <c r="UXX213" s="52"/>
      <c r="UXY213" s="52"/>
      <c r="UXZ213" s="52"/>
      <c r="UYA213" s="52"/>
      <c r="UYB213" s="52"/>
      <c r="UYC213" s="52"/>
      <c r="UYD213" s="52"/>
      <c r="UYE213" s="52"/>
      <c r="UYF213" s="52"/>
      <c r="UYG213" s="52"/>
      <c r="UYH213" s="52"/>
      <c r="UYI213" s="52"/>
      <c r="UYJ213" s="52"/>
      <c r="UYK213" s="52"/>
      <c r="UYL213" s="52"/>
      <c r="UYM213" s="52"/>
      <c r="UYN213" s="52"/>
      <c r="UYO213" s="52"/>
      <c r="UYP213" s="52"/>
      <c r="UYQ213" s="52"/>
      <c r="UYR213" s="52"/>
      <c r="UYS213" s="52"/>
      <c r="UYT213" s="52"/>
      <c r="UYU213" s="52"/>
      <c r="UYV213" s="52"/>
      <c r="UYW213" s="52"/>
      <c r="UYX213" s="52"/>
      <c r="UYY213" s="52"/>
      <c r="UYZ213" s="52"/>
      <c r="UZA213" s="52"/>
      <c r="UZB213" s="52"/>
      <c r="UZC213" s="52"/>
      <c r="UZD213" s="52"/>
      <c r="UZE213" s="52"/>
      <c r="UZF213" s="52"/>
      <c r="UZG213" s="52"/>
      <c r="UZH213" s="52"/>
      <c r="UZI213" s="52"/>
      <c r="UZJ213" s="52"/>
      <c r="UZK213" s="52"/>
      <c r="UZL213" s="52"/>
      <c r="UZM213" s="52"/>
      <c r="UZN213" s="52"/>
      <c r="UZO213" s="52"/>
      <c r="UZP213" s="52"/>
      <c r="UZQ213" s="52"/>
      <c r="UZR213" s="52"/>
      <c r="UZS213" s="52"/>
      <c r="UZT213" s="52"/>
      <c r="UZU213" s="52"/>
      <c r="UZV213" s="52"/>
      <c r="UZW213" s="52"/>
      <c r="UZX213" s="52"/>
      <c r="UZY213" s="52"/>
      <c r="UZZ213" s="52"/>
      <c r="VAA213" s="52"/>
      <c r="VAB213" s="52"/>
      <c r="VAC213" s="52"/>
      <c r="VAD213" s="52"/>
      <c r="VAE213" s="52"/>
      <c r="VAF213" s="52"/>
      <c r="VAG213" s="52"/>
      <c r="VAH213" s="52"/>
      <c r="VAI213" s="52"/>
      <c r="VAJ213" s="52"/>
      <c r="VAK213" s="52"/>
      <c r="VAL213" s="52"/>
      <c r="VAM213" s="52"/>
      <c r="VAN213" s="52"/>
      <c r="VAO213" s="52"/>
      <c r="VAP213" s="52"/>
      <c r="VAQ213" s="52"/>
      <c r="VAR213" s="52"/>
      <c r="VAS213" s="52"/>
      <c r="VAT213" s="52"/>
      <c r="VAU213" s="52"/>
      <c r="VAV213" s="52"/>
      <c r="VAW213" s="52"/>
      <c r="VAX213" s="52"/>
      <c r="VAY213" s="52"/>
      <c r="VAZ213" s="52"/>
      <c r="VBA213" s="52"/>
      <c r="VBB213" s="52"/>
      <c r="VBC213" s="52"/>
      <c r="VBD213" s="52"/>
      <c r="VBE213" s="52"/>
      <c r="VBF213" s="52"/>
      <c r="VBG213" s="52"/>
      <c r="VBH213" s="52"/>
      <c r="VBI213" s="52"/>
      <c r="VBJ213" s="52"/>
      <c r="VBK213" s="52"/>
      <c r="VBL213" s="52"/>
      <c r="VBM213" s="52"/>
      <c r="VBN213" s="52"/>
      <c r="VBO213" s="52"/>
      <c r="VBP213" s="52"/>
      <c r="VBQ213" s="52"/>
      <c r="VBR213" s="52"/>
      <c r="VBS213" s="52"/>
      <c r="VBT213" s="52"/>
      <c r="VBU213" s="52"/>
      <c r="VBV213" s="52"/>
      <c r="VBW213" s="52"/>
      <c r="VBX213" s="52"/>
      <c r="VBY213" s="52"/>
      <c r="VBZ213" s="52"/>
      <c r="VCA213" s="52"/>
      <c r="VCB213" s="52"/>
      <c r="VCC213" s="52"/>
      <c r="VCD213" s="52"/>
      <c r="VCE213" s="52"/>
      <c r="VCF213" s="52"/>
      <c r="VCG213" s="52"/>
      <c r="VCH213" s="52"/>
      <c r="VCI213" s="52"/>
      <c r="VCJ213" s="52"/>
      <c r="VCK213" s="52"/>
      <c r="VCL213" s="52"/>
      <c r="VCM213" s="52"/>
      <c r="VCN213" s="52"/>
      <c r="VCO213" s="52"/>
      <c r="VCP213" s="52"/>
      <c r="VCQ213" s="52"/>
      <c r="VCR213" s="52"/>
      <c r="VCS213" s="52"/>
      <c r="VCT213" s="52"/>
      <c r="VCU213" s="52"/>
      <c r="VCV213" s="52"/>
      <c r="VCW213" s="52"/>
      <c r="VCX213" s="52"/>
      <c r="VCY213" s="52"/>
      <c r="VCZ213" s="52"/>
      <c r="VDA213" s="52"/>
      <c r="VDB213" s="52"/>
      <c r="VDC213" s="52"/>
      <c r="VDD213" s="52"/>
      <c r="VDE213" s="52"/>
      <c r="VDF213" s="52"/>
      <c r="VDG213" s="52"/>
      <c r="VDH213" s="52"/>
      <c r="VDI213" s="52"/>
      <c r="VDJ213" s="52"/>
      <c r="VDK213" s="52"/>
      <c r="VDL213" s="52"/>
      <c r="VDM213" s="52"/>
      <c r="VDN213" s="52"/>
      <c r="VDO213" s="52"/>
      <c r="VDP213" s="52"/>
      <c r="VDQ213" s="52"/>
      <c r="VDR213" s="52"/>
      <c r="VDS213" s="52"/>
      <c r="VDT213" s="52"/>
      <c r="VDU213" s="52"/>
      <c r="VDV213" s="52"/>
      <c r="VDW213" s="52"/>
      <c r="VDX213" s="52"/>
      <c r="VDY213" s="52"/>
      <c r="VDZ213" s="52"/>
      <c r="VEA213" s="52"/>
      <c r="VEB213" s="52"/>
      <c r="VEC213" s="52"/>
      <c r="VED213" s="52"/>
      <c r="VEE213" s="52"/>
      <c r="VEF213" s="52"/>
      <c r="VEG213" s="52"/>
      <c r="VEH213" s="52"/>
      <c r="VEI213" s="52"/>
      <c r="VEJ213" s="52"/>
      <c r="VEK213" s="52"/>
      <c r="VEL213" s="52"/>
      <c r="VEM213" s="52"/>
      <c r="VEN213" s="52"/>
      <c r="VEO213" s="52"/>
      <c r="VEP213" s="52"/>
      <c r="VEQ213" s="52"/>
      <c r="VER213" s="52"/>
      <c r="VES213" s="52"/>
      <c r="VET213" s="52"/>
      <c r="VEU213" s="52"/>
      <c r="VEV213" s="52"/>
      <c r="VEW213" s="52"/>
      <c r="VEX213" s="52"/>
      <c r="VEY213" s="52"/>
      <c r="VEZ213" s="52"/>
      <c r="VFA213" s="52"/>
      <c r="VFB213" s="52"/>
      <c r="VFC213" s="52"/>
      <c r="VFD213" s="52"/>
      <c r="VFE213" s="52"/>
      <c r="VFF213" s="52"/>
      <c r="VFG213" s="52"/>
      <c r="VFH213" s="52"/>
      <c r="VFI213" s="52"/>
      <c r="VFJ213" s="52"/>
      <c r="VFK213" s="52"/>
      <c r="VFL213" s="52"/>
      <c r="VFM213" s="52"/>
      <c r="VFN213" s="52"/>
      <c r="VFO213" s="52"/>
      <c r="VFP213" s="52"/>
      <c r="VFQ213" s="52"/>
      <c r="VFR213" s="52"/>
      <c r="VFS213" s="52"/>
      <c r="VFT213" s="52"/>
      <c r="VFU213" s="52"/>
      <c r="VFV213" s="52"/>
      <c r="VFW213" s="52"/>
      <c r="VFX213" s="52"/>
      <c r="VFY213" s="52"/>
      <c r="VFZ213" s="52"/>
      <c r="VGA213" s="52"/>
      <c r="VGB213" s="52"/>
      <c r="VGC213" s="52"/>
      <c r="VGD213" s="52"/>
      <c r="VGE213" s="52"/>
      <c r="VGF213" s="52"/>
      <c r="VGG213" s="52"/>
      <c r="VGH213" s="52"/>
      <c r="VGI213" s="52"/>
      <c r="VGJ213" s="52"/>
      <c r="VGK213" s="52"/>
      <c r="VGL213" s="52"/>
      <c r="VGM213" s="52"/>
      <c r="VGN213" s="52"/>
      <c r="VGO213" s="52"/>
      <c r="VGP213" s="52"/>
      <c r="VGQ213" s="52"/>
      <c r="VGR213" s="52"/>
      <c r="VGS213" s="52"/>
      <c r="VGT213" s="52"/>
      <c r="VGU213" s="52"/>
      <c r="VGV213" s="52"/>
      <c r="VGW213" s="52"/>
      <c r="VGX213" s="52"/>
      <c r="VGY213" s="52"/>
      <c r="VGZ213" s="52"/>
      <c r="VHA213" s="52"/>
      <c r="VHB213" s="52"/>
      <c r="VHC213" s="52"/>
      <c r="VHD213" s="52"/>
      <c r="VHE213" s="52"/>
      <c r="VHF213" s="52"/>
      <c r="VHG213" s="52"/>
      <c r="VHH213" s="52"/>
      <c r="VHI213" s="52"/>
      <c r="VHJ213" s="52"/>
      <c r="VHK213" s="52"/>
      <c r="VHL213" s="52"/>
      <c r="VHM213" s="52"/>
      <c r="VHN213" s="52"/>
      <c r="VHO213" s="52"/>
      <c r="VHP213" s="52"/>
      <c r="VHQ213" s="52"/>
      <c r="VHR213" s="52"/>
      <c r="VHS213" s="52"/>
      <c r="VHT213" s="52"/>
      <c r="VHU213" s="52"/>
      <c r="VHV213" s="52"/>
      <c r="VHW213" s="52"/>
      <c r="VHX213" s="52"/>
      <c r="VHY213" s="52"/>
      <c r="VHZ213" s="52"/>
      <c r="VIA213" s="52"/>
      <c r="VIB213" s="52"/>
      <c r="VIC213" s="52"/>
      <c r="VID213" s="52"/>
      <c r="VIE213" s="52"/>
      <c r="VIF213" s="52"/>
      <c r="VIG213" s="52"/>
      <c r="VIH213" s="52"/>
      <c r="VII213" s="52"/>
      <c r="VIJ213" s="52"/>
      <c r="VIK213" s="52"/>
      <c r="VIL213" s="52"/>
      <c r="VIM213" s="52"/>
      <c r="VIN213" s="52"/>
      <c r="VIO213" s="52"/>
      <c r="VIP213" s="52"/>
      <c r="VIQ213" s="52"/>
      <c r="VIR213" s="52"/>
      <c r="VIS213" s="52"/>
      <c r="VIT213" s="52"/>
      <c r="VIU213" s="52"/>
      <c r="VIV213" s="52"/>
      <c r="VIW213" s="52"/>
      <c r="VIX213" s="52"/>
      <c r="VIY213" s="52"/>
      <c r="VIZ213" s="52"/>
      <c r="VJA213" s="52"/>
      <c r="VJB213" s="52"/>
      <c r="VJC213" s="52"/>
      <c r="VJD213" s="52"/>
      <c r="VJE213" s="52"/>
      <c r="VJF213" s="52"/>
      <c r="VJG213" s="52"/>
      <c r="VJH213" s="52"/>
      <c r="VJI213" s="52"/>
      <c r="VJJ213" s="52"/>
      <c r="VJK213" s="52"/>
      <c r="VJL213" s="52"/>
      <c r="VJM213" s="52"/>
      <c r="VJN213" s="52"/>
      <c r="VJO213" s="52"/>
      <c r="VJP213" s="52"/>
      <c r="VJQ213" s="52"/>
      <c r="VJR213" s="52"/>
      <c r="VJS213" s="52"/>
      <c r="VJT213" s="52"/>
      <c r="VJU213" s="52"/>
      <c r="VJV213" s="52"/>
      <c r="VJW213" s="52"/>
      <c r="VJX213" s="52"/>
      <c r="VJY213" s="52"/>
      <c r="VJZ213" s="52"/>
      <c r="VKA213" s="52"/>
      <c r="VKB213" s="52"/>
      <c r="VKC213" s="52"/>
      <c r="VKD213" s="52"/>
      <c r="VKE213" s="52"/>
      <c r="VKF213" s="52"/>
      <c r="VKG213" s="52"/>
      <c r="VKH213" s="52"/>
      <c r="VKI213" s="52"/>
      <c r="VKJ213" s="52"/>
      <c r="VKK213" s="52"/>
      <c r="VKL213" s="52"/>
      <c r="VKM213" s="52"/>
      <c r="VKN213" s="52"/>
      <c r="VKO213" s="52"/>
      <c r="VKP213" s="52"/>
      <c r="VKQ213" s="52"/>
      <c r="VKR213" s="52"/>
      <c r="VKS213" s="52"/>
      <c r="VKT213" s="52"/>
      <c r="VKU213" s="52"/>
      <c r="VKV213" s="52"/>
      <c r="VKW213" s="52"/>
      <c r="VKX213" s="52"/>
      <c r="VKY213" s="52"/>
      <c r="VKZ213" s="52"/>
      <c r="VLA213" s="52"/>
      <c r="VLB213" s="52"/>
      <c r="VLC213" s="52"/>
      <c r="VLD213" s="52"/>
      <c r="VLE213" s="52"/>
      <c r="VLF213" s="52"/>
      <c r="VLG213" s="52"/>
      <c r="VLH213" s="52"/>
      <c r="VLI213" s="52"/>
      <c r="VLJ213" s="52"/>
      <c r="VLK213" s="52"/>
      <c r="VLL213" s="52"/>
      <c r="VLM213" s="52"/>
      <c r="VLN213" s="52"/>
      <c r="VLO213" s="52"/>
      <c r="VLP213" s="52"/>
      <c r="VLQ213" s="52"/>
      <c r="VLR213" s="52"/>
      <c r="VLS213" s="52"/>
      <c r="VLT213" s="52"/>
      <c r="VLU213" s="52"/>
      <c r="VLV213" s="52"/>
      <c r="VLW213" s="52"/>
      <c r="VLX213" s="52"/>
      <c r="VLY213" s="52"/>
      <c r="VLZ213" s="52"/>
      <c r="VMA213" s="52"/>
      <c r="VMB213" s="52"/>
      <c r="VMC213" s="52"/>
      <c r="VMD213" s="52"/>
      <c r="VME213" s="52"/>
      <c r="VMF213" s="52"/>
      <c r="VMG213" s="52"/>
      <c r="VMH213" s="52"/>
      <c r="VMI213" s="52"/>
      <c r="VMJ213" s="52"/>
      <c r="VMK213" s="52"/>
      <c r="VML213" s="52"/>
      <c r="VMM213" s="52"/>
      <c r="VMN213" s="52"/>
      <c r="VMO213" s="52"/>
      <c r="VMP213" s="52"/>
      <c r="VMQ213" s="52"/>
      <c r="VMR213" s="52"/>
      <c r="VMS213" s="52"/>
      <c r="VMT213" s="52"/>
      <c r="VMU213" s="52"/>
      <c r="VMV213" s="52"/>
      <c r="VMW213" s="52"/>
      <c r="VMX213" s="52"/>
      <c r="VMY213" s="52"/>
      <c r="VMZ213" s="52"/>
      <c r="VNA213" s="52"/>
      <c r="VNB213" s="52"/>
      <c r="VNC213" s="52"/>
      <c r="VND213" s="52"/>
      <c r="VNE213" s="52"/>
      <c r="VNF213" s="52"/>
      <c r="VNG213" s="52"/>
      <c r="VNH213" s="52"/>
      <c r="VNI213" s="52"/>
      <c r="VNJ213" s="52"/>
      <c r="VNK213" s="52"/>
      <c r="VNL213" s="52"/>
      <c r="VNM213" s="52"/>
      <c r="VNN213" s="52"/>
      <c r="VNO213" s="52"/>
      <c r="VNP213" s="52"/>
      <c r="VNQ213" s="52"/>
      <c r="VNR213" s="52"/>
      <c r="VNS213" s="52"/>
      <c r="VNT213" s="52"/>
      <c r="VNU213" s="52"/>
      <c r="VNV213" s="52"/>
      <c r="VNW213" s="52"/>
      <c r="VNX213" s="52"/>
      <c r="VNY213" s="52"/>
      <c r="VNZ213" s="52"/>
      <c r="VOA213" s="52"/>
      <c r="VOB213" s="52"/>
      <c r="VOC213" s="52"/>
      <c r="VOD213" s="52"/>
      <c r="VOE213" s="52"/>
      <c r="VOF213" s="52"/>
      <c r="VOG213" s="52"/>
      <c r="VOH213" s="52"/>
      <c r="VOI213" s="52"/>
      <c r="VOJ213" s="52"/>
      <c r="VOK213" s="52"/>
      <c r="VOL213" s="52"/>
      <c r="VOM213" s="52"/>
      <c r="VON213" s="52"/>
      <c r="VOO213" s="52"/>
      <c r="VOP213" s="52"/>
      <c r="VOQ213" s="52"/>
      <c r="VOR213" s="52"/>
      <c r="VOS213" s="52"/>
      <c r="VOT213" s="52"/>
      <c r="VOU213" s="52"/>
      <c r="VOV213" s="52"/>
      <c r="VOW213" s="52"/>
      <c r="VOX213" s="52"/>
      <c r="VOY213" s="52"/>
      <c r="VOZ213" s="52"/>
      <c r="VPA213" s="52"/>
      <c r="VPB213" s="52"/>
      <c r="VPC213" s="52"/>
      <c r="VPD213" s="52"/>
      <c r="VPE213" s="52"/>
      <c r="VPF213" s="52"/>
      <c r="VPG213" s="52"/>
      <c r="VPH213" s="52"/>
      <c r="VPI213" s="52"/>
      <c r="VPJ213" s="52"/>
      <c r="VPK213" s="52"/>
      <c r="VPL213" s="52"/>
      <c r="VPM213" s="52"/>
      <c r="VPN213" s="52"/>
      <c r="VPO213" s="52"/>
      <c r="VPP213" s="52"/>
      <c r="VPQ213" s="52"/>
      <c r="VPR213" s="52"/>
      <c r="VPS213" s="52"/>
      <c r="VPT213" s="52"/>
      <c r="VPU213" s="52"/>
      <c r="VPV213" s="52"/>
      <c r="VPW213" s="52"/>
      <c r="VPX213" s="52"/>
      <c r="VPY213" s="52"/>
      <c r="VPZ213" s="52"/>
      <c r="VQA213" s="52"/>
      <c r="VQB213" s="52"/>
      <c r="VQC213" s="52"/>
      <c r="VQD213" s="52"/>
      <c r="VQE213" s="52"/>
      <c r="VQF213" s="52"/>
      <c r="VQG213" s="52"/>
      <c r="VQH213" s="52"/>
      <c r="VQI213" s="52"/>
      <c r="VQJ213" s="52"/>
      <c r="VQK213" s="52"/>
      <c r="VQL213" s="52"/>
      <c r="VQM213" s="52"/>
      <c r="VQN213" s="52"/>
      <c r="VQO213" s="52"/>
      <c r="VQP213" s="52"/>
      <c r="VQQ213" s="52"/>
      <c r="VQR213" s="52"/>
      <c r="VQS213" s="52"/>
      <c r="VQT213" s="52"/>
      <c r="VQU213" s="52"/>
      <c r="VQV213" s="52"/>
      <c r="VQW213" s="52"/>
      <c r="VQX213" s="52"/>
      <c r="VQY213" s="52"/>
      <c r="VQZ213" s="52"/>
      <c r="VRA213" s="52"/>
      <c r="VRB213" s="52"/>
      <c r="VRC213" s="52"/>
      <c r="VRD213" s="52"/>
      <c r="VRE213" s="52"/>
      <c r="VRF213" s="52"/>
      <c r="VRG213" s="52"/>
      <c r="VRH213" s="52"/>
      <c r="VRI213" s="52"/>
      <c r="VRJ213" s="52"/>
      <c r="VRK213" s="52"/>
      <c r="VRL213" s="52"/>
      <c r="VRM213" s="52"/>
      <c r="VRN213" s="52"/>
      <c r="VRO213" s="52"/>
      <c r="VRP213" s="52"/>
      <c r="VRQ213" s="52"/>
      <c r="VRR213" s="52"/>
      <c r="VRS213" s="52"/>
      <c r="VRT213" s="52"/>
      <c r="VRU213" s="52"/>
      <c r="VRV213" s="52"/>
      <c r="VRW213" s="52"/>
      <c r="VRX213" s="52"/>
      <c r="VRY213" s="52"/>
      <c r="VRZ213" s="52"/>
      <c r="VSA213" s="52"/>
      <c r="VSB213" s="52"/>
      <c r="VSC213" s="52"/>
      <c r="VSD213" s="52"/>
      <c r="VSE213" s="52"/>
      <c r="VSF213" s="52"/>
      <c r="VSG213" s="52"/>
      <c r="VSH213" s="52"/>
      <c r="VSI213" s="52"/>
      <c r="VSJ213" s="52"/>
      <c r="VSK213" s="52"/>
      <c r="VSL213" s="52"/>
      <c r="VSM213" s="52"/>
      <c r="VSN213" s="52"/>
      <c r="VSO213" s="52"/>
      <c r="VSP213" s="52"/>
      <c r="VSQ213" s="52"/>
      <c r="VSR213" s="52"/>
      <c r="VSS213" s="52"/>
      <c r="VST213" s="52"/>
      <c r="VSU213" s="52"/>
      <c r="VSV213" s="52"/>
      <c r="VSW213" s="52"/>
      <c r="VSX213" s="52"/>
      <c r="VSY213" s="52"/>
      <c r="VSZ213" s="52"/>
      <c r="VTA213" s="52"/>
      <c r="VTB213" s="52"/>
      <c r="VTC213" s="52"/>
      <c r="VTD213" s="52"/>
      <c r="VTE213" s="52"/>
      <c r="VTF213" s="52"/>
      <c r="VTG213" s="52"/>
      <c r="VTH213" s="52"/>
      <c r="VTI213" s="52"/>
      <c r="VTJ213" s="52"/>
      <c r="VTK213" s="52"/>
      <c r="VTL213" s="52"/>
      <c r="VTM213" s="52"/>
      <c r="VTN213" s="52"/>
      <c r="VTO213" s="52"/>
      <c r="VTP213" s="52"/>
      <c r="VTQ213" s="52"/>
      <c r="VTR213" s="52"/>
      <c r="VTS213" s="52"/>
      <c r="VTT213" s="52"/>
      <c r="VTU213" s="52"/>
      <c r="VTV213" s="52"/>
      <c r="VTW213" s="52"/>
      <c r="VTX213" s="52"/>
      <c r="VTY213" s="52"/>
      <c r="VTZ213" s="52"/>
      <c r="VUA213" s="52"/>
      <c r="VUB213" s="52"/>
      <c r="VUC213" s="52"/>
      <c r="VUD213" s="52"/>
      <c r="VUE213" s="52"/>
      <c r="VUF213" s="52"/>
      <c r="VUG213" s="52"/>
      <c r="VUH213" s="52"/>
      <c r="VUI213" s="52"/>
      <c r="VUJ213" s="52"/>
      <c r="VUK213" s="52"/>
      <c r="VUL213" s="52"/>
      <c r="VUM213" s="52"/>
      <c r="VUN213" s="52"/>
      <c r="VUO213" s="52"/>
      <c r="VUP213" s="52"/>
      <c r="VUQ213" s="52"/>
      <c r="VUR213" s="52"/>
      <c r="VUS213" s="52"/>
      <c r="VUT213" s="52"/>
      <c r="VUU213" s="52"/>
      <c r="VUV213" s="52"/>
      <c r="VUW213" s="52"/>
      <c r="VUX213" s="52"/>
      <c r="VUY213" s="52"/>
      <c r="VUZ213" s="52"/>
      <c r="VVA213" s="52"/>
      <c r="VVB213" s="52"/>
      <c r="VVC213" s="52"/>
      <c r="VVD213" s="52"/>
      <c r="VVE213" s="52"/>
      <c r="VVF213" s="52"/>
      <c r="VVG213" s="52"/>
      <c r="VVH213" s="52"/>
      <c r="VVI213" s="52"/>
      <c r="VVJ213" s="52"/>
      <c r="VVK213" s="52"/>
      <c r="VVL213" s="52"/>
      <c r="VVM213" s="52"/>
      <c r="VVN213" s="52"/>
      <c r="VVO213" s="52"/>
      <c r="VVP213" s="52"/>
      <c r="VVQ213" s="52"/>
      <c r="VVR213" s="52"/>
      <c r="VVS213" s="52"/>
      <c r="VVT213" s="52"/>
      <c r="VVU213" s="52"/>
      <c r="VVV213" s="52"/>
      <c r="VVW213" s="52"/>
      <c r="VVX213" s="52"/>
      <c r="VVY213" s="52"/>
      <c r="VVZ213" s="52"/>
      <c r="VWA213" s="52"/>
      <c r="VWB213" s="52"/>
      <c r="VWC213" s="52"/>
      <c r="VWD213" s="52"/>
      <c r="VWE213" s="52"/>
      <c r="VWF213" s="52"/>
      <c r="VWG213" s="52"/>
      <c r="VWH213" s="52"/>
      <c r="VWI213" s="52"/>
      <c r="VWJ213" s="52"/>
      <c r="VWK213" s="52"/>
      <c r="VWL213" s="52"/>
      <c r="VWM213" s="52"/>
      <c r="VWN213" s="52"/>
      <c r="VWO213" s="52"/>
      <c r="VWP213" s="52"/>
      <c r="VWQ213" s="52"/>
      <c r="VWR213" s="52"/>
      <c r="VWS213" s="52"/>
      <c r="VWT213" s="52"/>
      <c r="VWU213" s="52"/>
      <c r="VWV213" s="52"/>
      <c r="VWW213" s="52"/>
      <c r="VWX213" s="52"/>
      <c r="VWY213" s="52"/>
      <c r="VWZ213" s="52"/>
      <c r="VXA213" s="52"/>
      <c r="VXB213" s="52"/>
      <c r="VXC213" s="52"/>
      <c r="VXD213" s="52"/>
      <c r="VXE213" s="52"/>
      <c r="VXF213" s="52"/>
      <c r="VXG213" s="52"/>
      <c r="VXH213" s="52"/>
      <c r="VXI213" s="52"/>
      <c r="VXJ213" s="52"/>
      <c r="VXK213" s="52"/>
      <c r="VXL213" s="52"/>
      <c r="VXM213" s="52"/>
      <c r="VXN213" s="52"/>
      <c r="VXO213" s="52"/>
      <c r="VXP213" s="52"/>
      <c r="VXQ213" s="52"/>
      <c r="VXR213" s="52"/>
      <c r="VXS213" s="52"/>
      <c r="VXT213" s="52"/>
      <c r="VXU213" s="52"/>
      <c r="VXV213" s="52"/>
      <c r="VXW213" s="52"/>
      <c r="VXX213" s="52"/>
      <c r="VXY213" s="52"/>
      <c r="VXZ213" s="52"/>
      <c r="VYA213" s="52"/>
      <c r="VYB213" s="52"/>
      <c r="VYC213" s="52"/>
      <c r="VYD213" s="52"/>
      <c r="VYE213" s="52"/>
      <c r="VYF213" s="52"/>
      <c r="VYG213" s="52"/>
      <c r="VYH213" s="52"/>
      <c r="VYI213" s="52"/>
      <c r="VYJ213" s="52"/>
      <c r="VYK213" s="52"/>
      <c r="VYL213" s="52"/>
      <c r="VYM213" s="52"/>
      <c r="VYN213" s="52"/>
      <c r="VYO213" s="52"/>
      <c r="VYP213" s="52"/>
      <c r="VYQ213" s="52"/>
      <c r="VYR213" s="52"/>
      <c r="VYS213" s="52"/>
      <c r="VYT213" s="52"/>
      <c r="VYU213" s="52"/>
      <c r="VYV213" s="52"/>
      <c r="VYW213" s="52"/>
      <c r="VYX213" s="52"/>
      <c r="VYY213" s="52"/>
      <c r="VYZ213" s="52"/>
      <c r="VZA213" s="52"/>
      <c r="VZB213" s="52"/>
      <c r="VZC213" s="52"/>
      <c r="VZD213" s="52"/>
      <c r="VZE213" s="52"/>
      <c r="VZF213" s="52"/>
      <c r="VZG213" s="52"/>
      <c r="VZH213" s="52"/>
      <c r="VZI213" s="52"/>
      <c r="VZJ213" s="52"/>
      <c r="VZK213" s="52"/>
      <c r="VZL213" s="52"/>
      <c r="VZM213" s="52"/>
      <c r="VZN213" s="52"/>
      <c r="VZO213" s="52"/>
      <c r="VZP213" s="52"/>
      <c r="VZQ213" s="52"/>
      <c r="VZR213" s="52"/>
      <c r="VZS213" s="52"/>
      <c r="VZT213" s="52"/>
      <c r="VZU213" s="52"/>
      <c r="VZV213" s="52"/>
      <c r="VZW213" s="52"/>
      <c r="VZX213" s="52"/>
      <c r="VZY213" s="52"/>
      <c r="VZZ213" s="52"/>
      <c r="WAA213" s="52"/>
      <c r="WAB213" s="52"/>
      <c r="WAC213" s="52"/>
      <c r="WAD213" s="52"/>
      <c r="WAE213" s="52"/>
      <c r="WAF213" s="52"/>
      <c r="WAG213" s="52"/>
      <c r="WAH213" s="52"/>
      <c r="WAI213" s="52"/>
      <c r="WAJ213" s="52"/>
      <c r="WAK213" s="52"/>
      <c r="WAL213" s="52"/>
      <c r="WAM213" s="52"/>
      <c r="WAN213" s="52"/>
      <c r="WAO213" s="52"/>
      <c r="WAP213" s="52"/>
      <c r="WAQ213" s="52"/>
      <c r="WAR213" s="52"/>
      <c r="WAS213" s="52"/>
      <c r="WAT213" s="52"/>
      <c r="WAU213" s="52"/>
      <c r="WAV213" s="52"/>
      <c r="WAW213" s="52"/>
      <c r="WAX213" s="52"/>
      <c r="WAY213" s="52"/>
      <c r="WAZ213" s="52"/>
      <c r="WBA213" s="52"/>
      <c r="WBB213" s="52"/>
      <c r="WBC213" s="52"/>
      <c r="WBD213" s="52"/>
      <c r="WBE213" s="52"/>
      <c r="WBF213" s="52"/>
      <c r="WBG213" s="52"/>
      <c r="WBH213" s="52"/>
      <c r="WBI213" s="52"/>
      <c r="WBJ213" s="52"/>
      <c r="WBK213" s="52"/>
      <c r="WBL213" s="52"/>
      <c r="WBM213" s="52"/>
      <c r="WBN213" s="52"/>
      <c r="WBO213" s="52"/>
      <c r="WBP213" s="52"/>
      <c r="WBQ213" s="52"/>
      <c r="WBR213" s="52"/>
      <c r="WBS213" s="52"/>
      <c r="WBT213" s="52"/>
      <c r="WBU213" s="52"/>
      <c r="WBV213" s="52"/>
      <c r="WBW213" s="52"/>
      <c r="WBX213" s="52"/>
      <c r="WBY213" s="52"/>
      <c r="WBZ213" s="52"/>
      <c r="WCA213" s="52"/>
      <c r="WCB213" s="52"/>
      <c r="WCC213" s="52"/>
      <c r="WCD213" s="52"/>
      <c r="WCE213" s="52"/>
      <c r="WCF213" s="52"/>
      <c r="WCG213" s="52"/>
      <c r="WCH213" s="52"/>
      <c r="WCI213" s="52"/>
      <c r="WCJ213" s="52"/>
      <c r="WCK213" s="52"/>
      <c r="WCL213" s="52"/>
      <c r="WCM213" s="52"/>
      <c r="WCN213" s="52"/>
      <c r="WCO213" s="52"/>
      <c r="WCP213" s="52"/>
      <c r="WCQ213" s="52"/>
      <c r="WCR213" s="52"/>
      <c r="WCS213" s="52"/>
      <c r="WCT213" s="52"/>
      <c r="WCU213" s="52"/>
      <c r="WCV213" s="52"/>
      <c r="WCW213" s="52"/>
      <c r="WCX213" s="52"/>
      <c r="WCY213" s="52"/>
      <c r="WCZ213" s="52"/>
      <c r="WDA213" s="52"/>
      <c r="WDB213" s="52"/>
      <c r="WDC213" s="52"/>
      <c r="WDD213" s="52"/>
      <c r="WDE213" s="52"/>
      <c r="WDF213" s="52"/>
      <c r="WDG213" s="52"/>
      <c r="WDH213" s="52"/>
      <c r="WDI213" s="52"/>
      <c r="WDJ213" s="52"/>
      <c r="WDK213" s="52"/>
      <c r="WDL213" s="52"/>
      <c r="WDM213" s="52"/>
      <c r="WDN213" s="52"/>
      <c r="WDO213" s="52"/>
      <c r="WDP213" s="52"/>
      <c r="WDQ213" s="52"/>
      <c r="WDR213" s="52"/>
      <c r="WDS213" s="52"/>
      <c r="WDT213" s="52"/>
      <c r="WDU213" s="52"/>
      <c r="WDV213" s="52"/>
      <c r="WDW213" s="52"/>
      <c r="WDX213" s="52"/>
      <c r="WDY213" s="52"/>
      <c r="WDZ213" s="52"/>
      <c r="WEA213" s="52"/>
      <c r="WEB213" s="52"/>
      <c r="WEC213" s="52"/>
      <c r="WED213" s="52"/>
      <c r="WEE213" s="52"/>
      <c r="WEF213" s="52"/>
      <c r="WEG213" s="52"/>
      <c r="WEH213" s="52"/>
      <c r="WEI213" s="52"/>
      <c r="WEJ213" s="52"/>
      <c r="WEK213" s="52"/>
      <c r="WEL213" s="52"/>
      <c r="WEM213" s="52"/>
      <c r="WEN213" s="52"/>
      <c r="WEO213" s="52"/>
      <c r="WEP213" s="52"/>
      <c r="WEQ213" s="52"/>
      <c r="WER213" s="52"/>
      <c r="WES213" s="52"/>
      <c r="WET213" s="52"/>
      <c r="WEU213" s="52"/>
      <c r="WEV213" s="52"/>
      <c r="WEW213" s="52"/>
      <c r="WEX213" s="52"/>
      <c r="WEY213" s="52"/>
      <c r="WEZ213" s="52"/>
      <c r="WFA213" s="52"/>
      <c r="WFB213" s="52"/>
      <c r="WFC213" s="52"/>
      <c r="WFD213" s="52"/>
      <c r="WFE213" s="52"/>
      <c r="WFF213" s="52"/>
      <c r="WFG213" s="52"/>
      <c r="WFH213" s="52"/>
      <c r="WFI213" s="52"/>
      <c r="WFJ213" s="52"/>
      <c r="WFK213" s="52"/>
      <c r="WFL213" s="52"/>
      <c r="WFM213" s="52"/>
      <c r="WFN213" s="52"/>
      <c r="WFO213" s="52"/>
      <c r="WFP213" s="52"/>
      <c r="WFQ213" s="52"/>
      <c r="WFR213" s="52"/>
      <c r="WFS213" s="52"/>
      <c r="WFT213" s="52"/>
      <c r="WFU213" s="52"/>
      <c r="WFV213" s="52"/>
      <c r="WFW213" s="52"/>
      <c r="WFX213" s="52"/>
      <c r="WFY213" s="52"/>
      <c r="WFZ213" s="52"/>
      <c r="WGA213" s="52"/>
      <c r="WGB213" s="52"/>
      <c r="WGC213" s="52"/>
      <c r="WGD213" s="52"/>
      <c r="WGE213" s="52"/>
      <c r="WGF213" s="52"/>
      <c r="WGG213" s="52"/>
      <c r="WGH213" s="52"/>
      <c r="WGI213" s="52"/>
      <c r="WGJ213" s="52"/>
      <c r="WGK213" s="52"/>
      <c r="WGL213" s="52"/>
      <c r="WGM213" s="52"/>
      <c r="WGN213" s="52"/>
      <c r="WGO213" s="52"/>
      <c r="WGP213" s="52"/>
      <c r="WGQ213" s="52"/>
      <c r="WGR213" s="52"/>
      <c r="WGS213" s="52"/>
      <c r="WGT213" s="52"/>
      <c r="WGU213" s="52"/>
      <c r="WGV213" s="52"/>
      <c r="WGW213" s="52"/>
      <c r="WGX213" s="52"/>
      <c r="WGY213" s="52"/>
      <c r="WGZ213" s="52"/>
      <c r="WHA213" s="52"/>
      <c r="WHB213" s="52"/>
      <c r="WHC213" s="52"/>
      <c r="WHD213" s="52"/>
      <c r="WHE213" s="52"/>
      <c r="WHF213" s="52"/>
      <c r="WHG213" s="52"/>
      <c r="WHH213" s="52"/>
      <c r="WHI213" s="52"/>
      <c r="WHJ213" s="52"/>
      <c r="WHK213" s="52"/>
      <c r="WHL213" s="52"/>
      <c r="WHM213" s="52"/>
      <c r="WHN213" s="52"/>
      <c r="WHO213" s="52"/>
      <c r="WHP213" s="52"/>
      <c r="WHQ213" s="52"/>
      <c r="WHR213" s="52"/>
      <c r="WHS213" s="52"/>
      <c r="WHT213" s="52"/>
      <c r="WHU213" s="52"/>
      <c r="WHV213" s="52"/>
      <c r="WHW213" s="52"/>
      <c r="WHX213" s="52"/>
      <c r="WHY213" s="52"/>
      <c r="WHZ213" s="52"/>
      <c r="WIA213" s="52"/>
      <c r="WIB213" s="52"/>
      <c r="WIC213" s="52"/>
      <c r="WID213" s="52"/>
      <c r="WIE213" s="52"/>
      <c r="WIF213" s="52"/>
      <c r="WIG213" s="52"/>
      <c r="WIH213" s="52"/>
      <c r="WII213" s="52"/>
      <c r="WIJ213" s="52"/>
      <c r="WIK213" s="52"/>
      <c r="WIL213" s="52"/>
      <c r="WIM213" s="52"/>
      <c r="WIN213" s="52"/>
      <c r="WIO213" s="52"/>
      <c r="WIP213" s="52"/>
      <c r="WIQ213" s="52"/>
      <c r="WIR213" s="52"/>
      <c r="WIS213" s="52"/>
      <c r="WIT213" s="52"/>
      <c r="WIU213" s="52"/>
      <c r="WIV213" s="52"/>
      <c r="WIW213" s="52"/>
      <c r="WIX213" s="52"/>
      <c r="WIY213" s="52"/>
      <c r="WIZ213" s="52"/>
      <c r="WJA213" s="52"/>
      <c r="WJB213" s="52"/>
      <c r="WJC213" s="52"/>
      <c r="WJD213" s="52"/>
      <c r="WJE213" s="52"/>
      <c r="WJF213" s="52"/>
      <c r="WJG213" s="52"/>
      <c r="WJH213" s="52"/>
      <c r="WJI213" s="52"/>
      <c r="WJJ213" s="52"/>
      <c r="WJK213" s="52"/>
      <c r="WJL213" s="52"/>
      <c r="WJM213" s="52"/>
      <c r="WJN213" s="52"/>
      <c r="WJO213" s="52"/>
      <c r="WJP213" s="52"/>
      <c r="WJQ213" s="52"/>
      <c r="WJR213" s="52"/>
      <c r="WJS213" s="52"/>
      <c r="WJT213" s="52"/>
      <c r="WJU213" s="52"/>
      <c r="WJV213" s="52"/>
      <c r="WJW213" s="52"/>
      <c r="WJX213" s="52"/>
      <c r="WJY213" s="52"/>
      <c r="WJZ213" s="52"/>
      <c r="WKA213" s="52"/>
      <c r="WKB213" s="52"/>
      <c r="WKC213" s="52"/>
      <c r="WKD213" s="52"/>
      <c r="WKE213" s="52"/>
      <c r="WKF213" s="52"/>
      <c r="WKG213" s="52"/>
      <c r="WKH213" s="52"/>
      <c r="WKI213" s="52"/>
      <c r="WKJ213" s="52"/>
      <c r="WKK213" s="52"/>
      <c r="WKL213" s="52"/>
      <c r="WKM213" s="52"/>
      <c r="WKN213" s="52"/>
      <c r="WKO213" s="52"/>
      <c r="WKP213" s="52"/>
      <c r="WKQ213" s="52"/>
      <c r="WKR213" s="52"/>
      <c r="WKS213" s="52"/>
      <c r="WKT213" s="52"/>
      <c r="WKU213" s="52"/>
      <c r="WKV213" s="52"/>
      <c r="WKW213" s="52"/>
      <c r="WKX213" s="52"/>
      <c r="WKY213" s="52"/>
      <c r="WKZ213" s="52"/>
      <c r="WLA213" s="52"/>
      <c r="WLB213" s="52"/>
      <c r="WLC213" s="52"/>
      <c r="WLD213" s="52"/>
      <c r="WLE213" s="52"/>
      <c r="WLF213" s="52"/>
      <c r="WLG213" s="52"/>
      <c r="WLH213" s="52"/>
      <c r="WLI213" s="52"/>
      <c r="WLJ213" s="52"/>
      <c r="WLK213" s="52"/>
      <c r="WLL213" s="52"/>
      <c r="WLM213" s="52"/>
      <c r="WLN213" s="52"/>
      <c r="WLO213" s="52"/>
      <c r="WLP213" s="52"/>
      <c r="WLQ213" s="52"/>
      <c r="WLR213" s="52"/>
      <c r="WLS213" s="52"/>
      <c r="WLT213" s="52"/>
      <c r="WLU213" s="52"/>
      <c r="WLV213" s="52"/>
      <c r="WLW213" s="52"/>
      <c r="WLX213" s="52"/>
      <c r="WLY213" s="52"/>
      <c r="WLZ213" s="52"/>
      <c r="WMA213" s="52"/>
      <c r="WMB213" s="52"/>
      <c r="WMC213" s="52"/>
      <c r="WMD213" s="52"/>
      <c r="WME213" s="52"/>
      <c r="WMF213" s="52"/>
      <c r="WMG213" s="52"/>
      <c r="WMH213" s="52"/>
      <c r="WMI213" s="52"/>
      <c r="WMJ213" s="52"/>
      <c r="WMK213" s="52"/>
      <c r="WML213" s="52"/>
      <c r="WMM213" s="52"/>
      <c r="WMN213" s="52"/>
      <c r="WMO213" s="52"/>
      <c r="WMP213" s="52"/>
      <c r="WMQ213" s="52"/>
      <c r="WMR213" s="52"/>
      <c r="WMS213" s="52"/>
      <c r="WMT213" s="52"/>
      <c r="WMU213" s="52"/>
      <c r="WMV213" s="52"/>
      <c r="WMW213" s="52"/>
      <c r="WMX213" s="52"/>
      <c r="WMY213" s="52"/>
      <c r="WMZ213" s="52"/>
      <c r="WNA213" s="52"/>
      <c r="WNB213" s="52"/>
      <c r="WNC213" s="52"/>
      <c r="WND213" s="52"/>
      <c r="WNE213" s="52"/>
      <c r="WNF213" s="52"/>
      <c r="WNG213" s="52"/>
      <c r="WNH213" s="52"/>
      <c r="WNI213" s="52"/>
      <c r="WNJ213" s="52"/>
      <c r="WNK213" s="52"/>
      <c r="WNL213" s="52"/>
      <c r="WNM213" s="52"/>
      <c r="WNN213" s="52"/>
      <c r="WNO213" s="52"/>
      <c r="WNP213" s="52"/>
      <c r="WNQ213" s="52"/>
      <c r="WNR213" s="52"/>
      <c r="WNS213" s="52"/>
      <c r="WNT213" s="52"/>
      <c r="WNU213" s="52"/>
      <c r="WNV213" s="52"/>
      <c r="WNW213" s="52"/>
      <c r="WNX213" s="52"/>
      <c r="WNY213" s="52"/>
      <c r="WNZ213" s="52"/>
      <c r="WOA213" s="52"/>
      <c r="WOB213" s="52"/>
      <c r="WOC213" s="52"/>
      <c r="WOD213" s="52"/>
      <c r="WOE213" s="52"/>
      <c r="WOF213" s="52"/>
      <c r="WOG213" s="52"/>
      <c r="WOH213" s="52"/>
      <c r="WOI213" s="52"/>
      <c r="WOJ213" s="52"/>
      <c r="WOK213" s="52"/>
      <c r="WOL213" s="52"/>
      <c r="WOM213" s="52"/>
      <c r="WON213" s="52"/>
      <c r="WOO213" s="52"/>
      <c r="WOP213" s="52"/>
      <c r="WOQ213" s="52"/>
      <c r="WOR213" s="52"/>
      <c r="WOS213" s="52"/>
      <c r="WOT213" s="52"/>
      <c r="WOU213" s="52"/>
      <c r="WOV213" s="52"/>
      <c r="WOW213" s="52"/>
      <c r="WOX213" s="52"/>
      <c r="WOY213" s="52"/>
      <c r="WOZ213" s="52"/>
      <c r="WPA213" s="52"/>
      <c r="WPB213" s="52"/>
      <c r="WPC213" s="52"/>
      <c r="WPD213" s="52"/>
      <c r="WPE213" s="52"/>
      <c r="WPF213" s="52"/>
      <c r="WPG213" s="52"/>
      <c r="WPH213" s="52"/>
      <c r="WPI213" s="52"/>
      <c r="WPJ213" s="52"/>
      <c r="WPK213" s="52"/>
      <c r="WPL213" s="52"/>
      <c r="WPM213" s="52"/>
      <c r="WPN213" s="52"/>
      <c r="WPO213" s="52"/>
      <c r="WPP213" s="52"/>
      <c r="WPQ213" s="52"/>
      <c r="WPR213" s="52"/>
      <c r="WPS213" s="52"/>
      <c r="WPT213" s="52"/>
      <c r="WPU213" s="52"/>
      <c r="WPV213" s="52"/>
      <c r="WPW213" s="52"/>
      <c r="WPX213" s="52"/>
      <c r="WPY213" s="52"/>
      <c r="WPZ213" s="52"/>
      <c r="WQA213" s="52"/>
      <c r="WQB213" s="52"/>
      <c r="WQC213" s="52"/>
      <c r="WQD213" s="52"/>
      <c r="WQE213" s="52"/>
      <c r="WQF213" s="52"/>
      <c r="WQG213" s="52"/>
      <c r="WQH213" s="52"/>
      <c r="WQI213" s="52"/>
      <c r="WQJ213" s="52"/>
      <c r="WQK213" s="52"/>
      <c r="WQL213" s="52"/>
      <c r="WQM213" s="52"/>
      <c r="WQN213" s="52"/>
      <c r="WQO213" s="52"/>
      <c r="WQP213" s="52"/>
      <c r="WQQ213" s="52"/>
      <c r="WQR213" s="52"/>
      <c r="WQS213" s="52"/>
      <c r="WQT213" s="52"/>
      <c r="WQU213" s="52"/>
      <c r="WQV213" s="52"/>
      <c r="WQW213" s="52"/>
      <c r="WQX213" s="52"/>
      <c r="WQY213" s="52"/>
      <c r="WQZ213" s="52"/>
      <c r="WRA213" s="52"/>
      <c r="WRB213" s="52"/>
      <c r="WRC213" s="52"/>
      <c r="WRD213" s="52"/>
      <c r="WRE213" s="52"/>
      <c r="WRF213" s="52"/>
      <c r="WRG213" s="52"/>
      <c r="WRH213" s="52"/>
      <c r="WRI213" s="52"/>
      <c r="WRJ213" s="52"/>
      <c r="WRK213" s="52"/>
      <c r="WRL213" s="52"/>
      <c r="WRM213" s="52"/>
      <c r="WRN213" s="52"/>
      <c r="WRO213" s="52"/>
      <c r="WRP213" s="52"/>
      <c r="WRQ213" s="52"/>
      <c r="WRR213" s="52"/>
      <c r="WRS213" s="52"/>
      <c r="WRT213" s="52"/>
      <c r="WRU213" s="52"/>
      <c r="WRV213" s="52"/>
      <c r="WRW213" s="52"/>
      <c r="WRX213" s="52"/>
      <c r="WRY213" s="52"/>
      <c r="WRZ213" s="52"/>
      <c r="WSA213" s="52"/>
      <c r="WSB213" s="52"/>
      <c r="WSC213" s="52"/>
      <c r="WSD213" s="52"/>
      <c r="WSE213" s="52"/>
      <c r="WSF213" s="52"/>
      <c r="WSG213" s="52"/>
      <c r="WSH213" s="52"/>
      <c r="WSI213" s="52"/>
      <c r="WSJ213" s="52"/>
      <c r="WSK213" s="52"/>
      <c r="WSL213" s="52"/>
      <c r="WSM213" s="52"/>
      <c r="WSN213" s="52"/>
      <c r="WSO213" s="52"/>
      <c r="WSP213" s="52"/>
      <c r="WSQ213" s="52"/>
      <c r="WSR213" s="52"/>
      <c r="WSS213" s="52"/>
      <c r="WST213" s="52"/>
      <c r="WSU213" s="52"/>
      <c r="WSV213" s="52"/>
      <c r="WSW213" s="52"/>
      <c r="WSX213" s="52"/>
      <c r="WSY213" s="52"/>
      <c r="WSZ213" s="52"/>
      <c r="WTA213" s="52"/>
      <c r="WTB213" s="52"/>
      <c r="WTC213" s="52"/>
      <c r="WTD213" s="52"/>
      <c r="WTE213" s="52"/>
      <c r="WTF213" s="52"/>
      <c r="WTG213" s="52"/>
      <c r="WTH213" s="52"/>
      <c r="WTI213" s="52"/>
      <c r="WTJ213" s="52"/>
      <c r="WTK213" s="52"/>
      <c r="WTL213" s="52"/>
      <c r="WTM213" s="52"/>
      <c r="WTN213" s="52"/>
      <c r="WTO213" s="52"/>
      <c r="WTP213" s="52"/>
      <c r="WTQ213" s="52"/>
      <c r="WTR213" s="52"/>
      <c r="WTS213" s="52"/>
      <c r="WTT213" s="52"/>
      <c r="WTU213" s="52"/>
      <c r="WTV213" s="52"/>
      <c r="WTW213" s="52"/>
      <c r="WTX213" s="52"/>
      <c r="WTY213" s="52"/>
      <c r="WTZ213" s="52"/>
      <c r="WUA213" s="52"/>
      <c r="WUB213" s="52"/>
      <c r="WUC213" s="52"/>
      <c r="WUD213" s="52"/>
      <c r="WUE213" s="52"/>
      <c r="WUF213" s="52"/>
      <c r="WUG213" s="52"/>
      <c r="WUH213" s="52"/>
      <c r="WUI213" s="52"/>
      <c r="WUJ213" s="52"/>
      <c r="WUK213" s="52"/>
      <c r="WUL213" s="52"/>
      <c r="WUM213" s="52"/>
      <c r="WUN213" s="52"/>
      <c r="WUO213" s="52"/>
      <c r="WUP213" s="52"/>
      <c r="WUQ213" s="52"/>
      <c r="WUR213" s="52"/>
      <c r="WUS213" s="52"/>
      <c r="WUT213" s="52"/>
      <c r="WUU213" s="52"/>
      <c r="WUV213" s="52"/>
      <c r="WUW213" s="52"/>
      <c r="WUX213" s="52"/>
      <c r="WUY213" s="52"/>
      <c r="WUZ213" s="52"/>
      <c r="WVA213" s="52"/>
      <c r="WVB213" s="52"/>
      <c r="WVC213" s="52"/>
      <c r="WVD213" s="52"/>
      <c r="WVE213" s="52"/>
      <c r="WVF213" s="52"/>
      <c r="WVG213" s="52"/>
      <c r="WVH213" s="52"/>
      <c r="WVI213" s="52"/>
      <c r="WVJ213" s="52"/>
      <c r="WVK213" s="52"/>
      <c r="WVL213" s="52"/>
      <c r="WVM213" s="52"/>
      <c r="WVN213" s="52"/>
      <c r="WVO213" s="52"/>
      <c r="WVP213" s="52"/>
      <c r="WVQ213" s="52"/>
      <c r="WVR213" s="52"/>
      <c r="WVS213" s="52"/>
      <c r="WVT213" s="52"/>
      <c r="WVU213" s="52"/>
      <c r="WVV213" s="52"/>
      <c r="WVW213" s="52"/>
      <c r="WVX213" s="52"/>
      <c r="WVY213" s="52"/>
      <c r="WVZ213" s="52"/>
      <c r="WWA213" s="52"/>
      <c r="WWB213" s="52"/>
      <c r="WWC213" s="52"/>
      <c r="WWD213" s="52"/>
      <c r="WWE213" s="52"/>
      <c r="WWF213" s="52"/>
      <c r="WWG213" s="52"/>
      <c r="WWH213" s="52"/>
      <c r="WWI213" s="52"/>
      <c r="WWJ213" s="52"/>
      <c r="WWK213" s="52"/>
      <c r="WWL213" s="52"/>
      <c r="WWM213" s="52"/>
      <c r="WWN213" s="52"/>
      <c r="WWO213" s="52"/>
      <c r="WWP213" s="52"/>
      <c r="WWQ213" s="52"/>
      <c r="WWR213" s="52"/>
      <c r="WWS213" s="52"/>
      <c r="WWT213" s="52"/>
      <c r="WWU213" s="52"/>
      <c r="WWV213" s="52"/>
      <c r="WWW213" s="52"/>
      <c r="WWX213" s="52"/>
      <c r="WWY213" s="52"/>
      <c r="WWZ213" s="52"/>
      <c r="WXA213" s="52"/>
      <c r="WXB213" s="52"/>
      <c r="WXC213" s="52"/>
      <c r="WXD213" s="52"/>
      <c r="WXE213" s="52"/>
      <c r="WXF213" s="52"/>
      <c r="WXG213" s="52"/>
      <c r="WXH213" s="52"/>
      <c r="WXI213" s="52"/>
      <c r="WXJ213" s="52"/>
      <c r="WXK213" s="52"/>
      <c r="WXL213" s="52"/>
      <c r="WXM213" s="52"/>
      <c r="WXN213" s="52"/>
      <c r="WXO213" s="52"/>
      <c r="WXP213" s="52"/>
      <c r="WXQ213" s="52"/>
      <c r="WXR213" s="52"/>
      <c r="WXS213" s="52"/>
      <c r="WXT213" s="52"/>
      <c r="WXU213" s="52"/>
      <c r="WXV213" s="52"/>
      <c r="WXW213" s="52"/>
      <c r="WXX213" s="52"/>
      <c r="WXY213" s="52"/>
      <c r="WXZ213" s="52"/>
      <c r="WYA213" s="52"/>
      <c r="WYB213" s="52"/>
      <c r="WYC213" s="52"/>
      <c r="WYD213" s="52"/>
      <c r="WYE213" s="52"/>
      <c r="WYF213" s="52"/>
      <c r="WYG213" s="52"/>
      <c r="WYH213" s="52"/>
      <c r="WYI213" s="52"/>
      <c r="WYJ213" s="52"/>
      <c r="WYK213" s="52"/>
      <c r="WYL213" s="52"/>
      <c r="WYM213" s="52"/>
      <c r="WYN213" s="52"/>
      <c r="WYO213" s="52"/>
      <c r="WYP213" s="52"/>
      <c r="WYQ213" s="52"/>
      <c r="WYR213" s="52"/>
      <c r="WYS213" s="52"/>
      <c r="WYT213" s="52"/>
      <c r="WYU213" s="52"/>
      <c r="WYV213" s="52"/>
      <c r="WYW213" s="52"/>
      <c r="WYX213" s="52"/>
      <c r="WYY213" s="52"/>
      <c r="WYZ213" s="52"/>
      <c r="WZA213" s="52"/>
      <c r="WZB213" s="52"/>
      <c r="WZC213" s="52"/>
      <c r="WZD213" s="52"/>
      <c r="WZE213" s="52"/>
      <c r="WZF213" s="52"/>
      <c r="WZG213" s="52"/>
      <c r="WZH213" s="52"/>
      <c r="WZI213" s="52"/>
      <c r="WZJ213" s="52"/>
      <c r="WZK213" s="52"/>
      <c r="WZL213" s="52"/>
      <c r="WZM213" s="52"/>
      <c r="WZN213" s="52"/>
      <c r="WZO213" s="52"/>
      <c r="WZP213" s="52"/>
      <c r="WZQ213" s="52"/>
      <c r="WZR213" s="52"/>
      <c r="WZS213" s="52"/>
      <c r="WZT213" s="52"/>
      <c r="WZU213" s="52"/>
      <c r="WZV213" s="52"/>
      <c r="WZW213" s="52"/>
      <c r="WZX213" s="52"/>
      <c r="WZY213" s="52"/>
      <c r="WZZ213" s="52"/>
      <c r="XAA213" s="52"/>
      <c r="XAB213" s="52"/>
      <c r="XAC213" s="52"/>
      <c r="XAD213" s="52"/>
      <c r="XAE213" s="52"/>
      <c r="XAF213" s="52"/>
      <c r="XAG213" s="52"/>
      <c r="XAH213" s="52"/>
      <c r="XAI213" s="52"/>
      <c r="XAJ213" s="52"/>
      <c r="XAK213" s="52"/>
      <c r="XAL213" s="52"/>
      <c r="XAM213" s="52"/>
      <c r="XAN213" s="52"/>
      <c r="XAO213" s="52"/>
      <c r="XAP213" s="52"/>
      <c r="XAQ213" s="52"/>
      <c r="XAR213" s="52"/>
      <c r="XAS213" s="52"/>
      <c r="XAT213" s="52"/>
      <c r="XAU213" s="52"/>
      <c r="XAV213" s="52"/>
      <c r="XAW213" s="52"/>
      <c r="XAX213" s="52"/>
      <c r="XAY213" s="52"/>
      <c r="XAZ213" s="52"/>
      <c r="XBA213" s="52"/>
      <c r="XBB213" s="52"/>
      <c r="XBC213" s="52"/>
      <c r="XBD213" s="52"/>
      <c r="XBE213" s="52"/>
      <c r="XBF213" s="52"/>
      <c r="XBG213" s="52"/>
      <c r="XBH213" s="52"/>
      <c r="XBI213" s="52"/>
      <c r="XBJ213" s="52"/>
      <c r="XBK213" s="52"/>
      <c r="XBL213" s="52"/>
      <c r="XBM213" s="52"/>
      <c r="XBN213" s="52"/>
      <c r="XBO213" s="52"/>
      <c r="XBP213" s="52"/>
      <c r="XBQ213" s="52"/>
      <c r="XBR213" s="52"/>
      <c r="XBS213" s="52"/>
      <c r="XBT213" s="52"/>
      <c r="XBU213" s="52"/>
      <c r="XBV213" s="52"/>
      <c r="XBW213" s="52"/>
      <c r="XBX213" s="52"/>
      <c r="XBY213" s="52"/>
      <c r="XBZ213" s="52"/>
      <c r="XCA213" s="52"/>
      <c r="XCB213" s="52"/>
      <c r="XCC213" s="52"/>
      <c r="XCD213" s="52"/>
      <c r="XCE213" s="52"/>
      <c r="XCF213" s="52"/>
      <c r="XCG213" s="52"/>
      <c r="XCH213" s="52"/>
      <c r="XCI213" s="52"/>
      <c r="XCJ213" s="52"/>
      <c r="XCK213" s="52"/>
      <c r="XCL213" s="52"/>
      <c r="XCM213" s="52"/>
      <c r="XCN213" s="52"/>
      <c r="XCO213" s="52"/>
      <c r="XCP213" s="52"/>
      <c r="XCQ213" s="52"/>
      <c r="XCR213" s="52"/>
      <c r="XCS213" s="52"/>
      <c r="XCT213" s="52"/>
      <c r="XCU213" s="52"/>
      <c r="XCV213" s="52"/>
      <c r="XCW213" s="52"/>
      <c r="XCX213" s="52"/>
      <c r="XCY213" s="52"/>
      <c r="XCZ213" s="52"/>
      <c r="XDA213" s="52"/>
      <c r="XDB213" s="52"/>
      <c r="XDC213" s="52"/>
      <c r="XDD213" s="52"/>
      <c r="XDE213" s="52"/>
      <c r="XDF213" s="52"/>
      <c r="XDG213" s="52"/>
      <c r="XDH213" s="52"/>
      <c r="XDI213" s="52"/>
      <c r="XDJ213" s="52"/>
      <c r="XDK213" s="52"/>
      <c r="XDL213" s="52"/>
      <c r="XDM213" s="52"/>
      <c r="XDN213" s="52"/>
      <c r="XDO213" s="52"/>
      <c r="XDP213" s="52"/>
      <c r="XDQ213" s="52"/>
      <c r="XDR213" s="52"/>
      <c r="XDS213" s="52"/>
      <c r="XDT213" s="52"/>
      <c r="XDU213" s="52"/>
      <c r="XDV213" s="52"/>
      <c r="XDW213" s="52"/>
      <c r="XDX213" s="52"/>
      <c r="XDY213" s="52"/>
      <c r="XDZ213" s="52"/>
      <c r="XEA213" s="52"/>
      <c r="XEB213" s="52"/>
      <c r="XEC213" s="52"/>
      <c r="XED213" s="52"/>
      <c r="XEE213" s="52"/>
      <c r="XEF213" s="52"/>
      <c r="XEG213" s="52"/>
      <c r="XEH213" s="52"/>
      <c r="XEI213" s="52"/>
      <c r="XEJ213" s="52"/>
      <c r="XEK213" s="52"/>
      <c r="XEL213" s="52"/>
      <c r="XEM213" s="52"/>
      <c r="XEN213" s="52"/>
      <c r="XEO213" s="52"/>
      <c r="XEP213" s="52"/>
      <c r="XEQ213" s="52"/>
      <c r="XER213" s="52"/>
      <c r="XES213" s="52"/>
    </row>
    <row r="214" spans="1:16373">
      <c r="A214" s="47" t="s">
        <v>44</v>
      </c>
      <c r="B214" s="47" t="str">
        <f t="shared" si="49"/>
        <v>July</v>
      </c>
      <c r="C214" s="59">
        <v>45483</v>
      </c>
      <c r="D214" s="47" t="s">
        <v>45</v>
      </c>
      <c r="E214" s="47" t="s">
        <v>59</v>
      </c>
      <c r="F214" s="47" t="s">
        <v>60</v>
      </c>
      <c r="G214" s="94" t="s">
        <v>1136</v>
      </c>
      <c r="H214" s="47" t="s">
        <v>1137</v>
      </c>
      <c r="I214" s="47" t="s">
        <v>1138</v>
      </c>
      <c r="J214" s="47" t="s">
        <v>51</v>
      </c>
      <c r="K214" s="48">
        <v>44754</v>
      </c>
      <c r="L214" s="48">
        <v>45118</v>
      </c>
      <c r="M214" s="48">
        <v>45483</v>
      </c>
      <c r="N214" s="47" t="s">
        <v>64</v>
      </c>
      <c r="O214" s="55" t="s">
        <v>53</v>
      </c>
      <c r="P214" s="62">
        <v>21480</v>
      </c>
      <c r="Q214" s="62">
        <v>1790</v>
      </c>
      <c r="R214" s="96">
        <v>21900</v>
      </c>
      <c r="S214" s="62">
        <f t="shared" si="42"/>
        <v>1825</v>
      </c>
      <c r="T214" s="62">
        <v>20880</v>
      </c>
      <c r="U214" s="62">
        <f t="shared" si="43"/>
        <v>1740</v>
      </c>
      <c r="V214" s="69">
        <v>19320</v>
      </c>
      <c r="W214" s="71">
        <v>1845</v>
      </c>
      <c r="X214" s="105">
        <f>W214-55</f>
        <v>1790</v>
      </c>
      <c r="Y214" s="171">
        <f t="shared" si="55"/>
        <v>2.8735632183908046E-2</v>
      </c>
      <c r="Z214" s="64">
        <f t="shared" si="50"/>
        <v>6.0344827586206899E-2</v>
      </c>
      <c r="AA214" s="64">
        <f t="shared" si="44"/>
        <v>1.0958904109589041E-2</v>
      </c>
      <c r="AB214" s="71">
        <f t="shared" si="56"/>
        <v>1845</v>
      </c>
      <c r="AC214" s="64">
        <f t="shared" si="51"/>
        <v>6.0344827586206899E-2</v>
      </c>
      <c r="AD214" s="64">
        <f t="shared" si="45"/>
        <v>1.0958904109589041E-2</v>
      </c>
      <c r="AE214" s="71">
        <f>AB214-20</f>
        <v>1825</v>
      </c>
      <c r="AF214" s="64">
        <f t="shared" si="52"/>
        <v>4.8850574712643681E-2</v>
      </c>
      <c r="AG214" s="64">
        <f t="shared" si="46"/>
        <v>0</v>
      </c>
      <c r="AH214" s="67"/>
      <c r="AI214" s="47" t="s">
        <v>54</v>
      </c>
      <c r="AJ214" s="47">
        <v>1251</v>
      </c>
      <c r="AK214" s="101" t="s">
        <v>140</v>
      </c>
      <c r="AL214" s="101" t="s">
        <v>65</v>
      </c>
      <c r="AM214" s="47" t="s">
        <v>1139</v>
      </c>
      <c r="AN214" s="50"/>
      <c r="AO214" s="211">
        <f t="shared" si="53"/>
        <v>-1</v>
      </c>
      <c r="AP214" s="47" t="s">
        <v>57</v>
      </c>
      <c r="AQ214" s="47" t="s">
        <v>891</v>
      </c>
      <c r="AR214" s="47"/>
    </row>
    <row r="215" spans="1:16373">
      <c r="A215" s="47" t="s">
        <v>74</v>
      </c>
      <c r="B215" s="47" t="str">
        <f t="shared" si="49"/>
        <v>July</v>
      </c>
      <c r="C215" s="59">
        <v>45483</v>
      </c>
      <c r="D215" s="47" t="s">
        <v>45</v>
      </c>
      <c r="E215" s="47" t="s">
        <v>59</v>
      </c>
      <c r="F215" s="47" t="s">
        <v>60</v>
      </c>
      <c r="G215" s="94" t="s">
        <v>1214</v>
      </c>
      <c r="H215" s="47" t="s">
        <v>1215</v>
      </c>
      <c r="I215" s="47" t="s">
        <v>63</v>
      </c>
      <c r="J215" s="47" t="s">
        <v>51</v>
      </c>
      <c r="K215" s="48">
        <v>44753</v>
      </c>
      <c r="L215" s="48">
        <v>45118</v>
      </c>
      <c r="M215" s="48">
        <v>45483</v>
      </c>
      <c r="N215" s="47" t="s">
        <v>64</v>
      </c>
      <c r="O215" s="55" t="s">
        <v>53</v>
      </c>
      <c r="P215" s="62">
        <v>20640</v>
      </c>
      <c r="Q215" s="62">
        <v>1720</v>
      </c>
      <c r="R215" s="96">
        <v>21060</v>
      </c>
      <c r="S215" s="62">
        <f t="shared" si="42"/>
        <v>1755</v>
      </c>
      <c r="T215" s="62">
        <v>20040</v>
      </c>
      <c r="U215" s="62">
        <f t="shared" si="43"/>
        <v>1670</v>
      </c>
      <c r="V215" s="69">
        <v>18540</v>
      </c>
      <c r="W215" s="71">
        <v>1780</v>
      </c>
      <c r="X215" s="105">
        <f>W215-55</f>
        <v>1725</v>
      </c>
      <c r="Y215" s="171">
        <f t="shared" si="55"/>
        <v>3.2934131736526949E-2</v>
      </c>
      <c r="Z215" s="64">
        <f t="shared" si="50"/>
        <v>6.5868263473053898E-2</v>
      </c>
      <c r="AA215" s="64">
        <f t="shared" si="44"/>
        <v>1.4245014245014245E-2</v>
      </c>
      <c r="AB215" s="71">
        <f t="shared" si="56"/>
        <v>1780</v>
      </c>
      <c r="AC215" s="64">
        <f t="shared" si="51"/>
        <v>6.5868263473053898E-2</v>
      </c>
      <c r="AD215" s="64">
        <f t="shared" si="45"/>
        <v>1.4245014245014245E-2</v>
      </c>
      <c r="AE215" s="71">
        <f>AB215-20</f>
        <v>1760</v>
      </c>
      <c r="AF215" s="64">
        <f t="shared" si="52"/>
        <v>5.3892215568862277E-2</v>
      </c>
      <c r="AG215" s="64">
        <f t="shared" si="46"/>
        <v>2.8490028490028491E-3</v>
      </c>
      <c r="AH215" s="67"/>
      <c r="AI215" s="47" t="s">
        <v>54</v>
      </c>
      <c r="AJ215" s="47">
        <v>985</v>
      </c>
      <c r="AK215" s="101" t="s">
        <v>140</v>
      </c>
      <c r="AL215" s="101" t="s">
        <v>65</v>
      </c>
      <c r="AM215" s="47" t="s">
        <v>1216</v>
      </c>
      <c r="AN215" s="50"/>
      <c r="AO215" s="211">
        <f t="shared" si="53"/>
        <v>-1</v>
      </c>
      <c r="AP215" s="47" t="s">
        <v>57</v>
      </c>
      <c r="AQ215" s="47" t="s">
        <v>891</v>
      </c>
      <c r="AR215" s="47"/>
    </row>
    <row r="216" spans="1:16373">
      <c r="A216" s="47" t="s">
        <v>44</v>
      </c>
      <c r="B216" s="47" t="str">
        <f t="shared" si="49"/>
        <v>August</v>
      </c>
      <c r="C216" s="59">
        <v>45511</v>
      </c>
      <c r="D216" s="47" t="s">
        <v>45</v>
      </c>
      <c r="E216" s="47" t="s">
        <v>59</v>
      </c>
      <c r="F216" s="47" t="s">
        <v>60</v>
      </c>
      <c r="G216" s="94" t="s">
        <v>1263</v>
      </c>
      <c r="H216" s="47" t="s">
        <v>1264</v>
      </c>
      <c r="I216" s="47" t="s">
        <v>63</v>
      </c>
      <c r="J216" s="47" t="s">
        <v>51</v>
      </c>
      <c r="K216" s="48">
        <v>44781</v>
      </c>
      <c r="L216" s="48">
        <v>45146</v>
      </c>
      <c r="M216" s="48">
        <v>45511</v>
      </c>
      <c r="N216" s="47" t="s">
        <v>64</v>
      </c>
      <c r="O216" s="55" t="s">
        <v>53</v>
      </c>
      <c r="P216" s="62">
        <v>15900</v>
      </c>
      <c r="Q216" s="62">
        <v>1325</v>
      </c>
      <c r="R216" s="96">
        <v>16440</v>
      </c>
      <c r="S216" s="62">
        <f t="shared" si="42"/>
        <v>1370</v>
      </c>
      <c r="T216" s="62">
        <v>15780</v>
      </c>
      <c r="U216" s="62">
        <f t="shared" si="43"/>
        <v>1315</v>
      </c>
      <c r="V216" s="69">
        <v>14340</v>
      </c>
      <c r="W216" s="71">
        <v>1410</v>
      </c>
      <c r="X216" s="105">
        <f>W216-25</f>
        <v>1385</v>
      </c>
      <c r="Y216" s="171">
        <f t="shared" si="55"/>
        <v>5.3231939163498096E-2</v>
      </c>
      <c r="Z216" s="64">
        <f t="shared" si="50"/>
        <v>7.2243346007604556E-2</v>
      </c>
      <c r="AA216" s="64">
        <f t="shared" si="44"/>
        <v>2.9197080291970802E-2</v>
      </c>
      <c r="AB216" s="71">
        <f t="shared" si="56"/>
        <v>1410</v>
      </c>
      <c r="AC216" s="64">
        <f t="shared" si="51"/>
        <v>7.2243346007604556E-2</v>
      </c>
      <c r="AD216" s="64">
        <f t="shared" si="45"/>
        <v>2.9197080291970802E-2</v>
      </c>
      <c r="AE216" s="71">
        <v>1395</v>
      </c>
      <c r="AF216" s="64">
        <f t="shared" si="52"/>
        <v>6.0836501901140684E-2</v>
      </c>
      <c r="AG216" s="64">
        <f t="shared" si="46"/>
        <v>1.824817518248175E-2</v>
      </c>
      <c r="AH216" s="67"/>
      <c r="AI216" s="47" t="s">
        <v>54</v>
      </c>
      <c r="AJ216" s="47">
        <v>795</v>
      </c>
      <c r="AK216" s="47" t="s">
        <v>65</v>
      </c>
      <c r="AL216" s="47" t="s">
        <v>65</v>
      </c>
      <c r="AM216" s="47" t="s">
        <v>69</v>
      </c>
      <c r="AN216" s="50"/>
      <c r="AO216" s="211">
        <f t="shared" si="53"/>
        <v>-1</v>
      </c>
      <c r="AP216" s="47" t="s">
        <v>57</v>
      </c>
      <c r="AQ216" s="47" t="s">
        <v>1132</v>
      </c>
      <c r="AR216" s="47"/>
    </row>
    <row r="217" spans="1:16373">
      <c r="A217" s="47" t="s">
        <v>44</v>
      </c>
      <c r="B217" s="47" t="str">
        <f t="shared" si="49"/>
        <v>August</v>
      </c>
      <c r="C217" s="59">
        <v>45512</v>
      </c>
      <c r="D217" s="47" t="s">
        <v>45</v>
      </c>
      <c r="E217" s="47" t="s">
        <v>59</v>
      </c>
      <c r="F217" s="47" t="s">
        <v>60</v>
      </c>
      <c r="G217" s="91" t="s">
        <v>1350</v>
      </c>
      <c r="H217" s="47" t="s">
        <v>1351</v>
      </c>
      <c r="I217" s="47" t="s">
        <v>63</v>
      </c>
      <c r="J217" s="47" t="s">
        <v>51</v>
      </c>
      <c r="K217" s="48">
        <v>44782</v>
      </c>
      <c r="L217" s="48">
        <v>45147</v>
      </c>
      <c r="M217" s="48">
        <v>45512</v>
      </c>
      <c r="N217" s="47" t="s">
        <v>64</v>
      </c>
      <c r="O217" s="55" t="s">
        <v>53</v>
      </c>
      <c r="P217" s="62">
        <v>21300</v>
      </c>
      <c r="Q217" s="62">
        <v>1775</v>
      </c>
      <c r="R217" s="96">
        <v>21720</v>
      </c>
      <c r="S217" s="62">
        <f t="shared" si="42"/>
        <v>1810</v>
      </c>
      <c r="T217" s="62">
        <v>21180</v>
      </c>
      <c r="U217" s="62">
        <f t="shared" si="43"/>
        <v>1765</v>
      </c>
      <c r="V217" s="69">
        <v>19560</v>
      </c>
      <c r="W217" s="71">
        <v>1865</v>
      </c>
      <c r="X217" s="105">
        <f>W217-55</f>
        <v>1810</v>
      </c>
      <c r="Y217" s="171">
        <f t="shared" si="55"/>
        <v>2.5495750708215296E-2</v>
      </c>
      <c r="Z217" s="64">
        <f t="shared" si="50"/>
        <v>5.6657223796033995E-2</v>
      </c>
      <c r="AA217" s="64">
        <f t="shared" si="44"/>
        <v>3.0386740331491711E-2</v>
      </c>
      <c r="AB217" s="71">
        <f t="shared" si="56"/>
        <v>1865</v>
      </c>
      <c r="AC217" s="64">
        <f t="shared" si="51"/>
        <v>5.6657223796033995E-2</v>
      </c>
      <c r="AD217" s="64">
        <f t="shared" si="45"/>
        <v>3.0386740331491711E-2</v>
      </c>
      <c r="AE217" s="71">
        <v>1855</v>
      </c>
      <c r="AF217" s="64">
        <f t="shared" si="52"/>
        <v>5.0991501416430593E-2</v>
      </c>
      <c r="AG217" s="64">
        <f t="shared" si="46"/>
        <v>2.4861878453038673E-2</v>
      </c>
      <c r="AH217" s="67"/>
      <c r="AI217" s="47" t="s">
        <v>54</v>
      </c>
      <c r="AJ217" s="47">
        <v>1020</v>
      </c>
      <c r="AK217" s="47" t="s">
        <v>140</v>
      </c>
      <c r="AL217" s="47" t="s">
        <v>65</v>
      </c>
      <c r="AM217" s="47" t="s">
        <v>1352</v>
      </c>
      <c r="AN217" s="50"/>
      <c r="AO217" s="211">
        <f t="shared" si="53"/>
        <v>-1</v>
      </c>
      <c r="AP217" s="47" t="s">
        <v>57</v>
      </c>
      <c r="AQ217" s="47" t="s">
        <v>1132</v>
      </c>
      <c r="AR217" s="47"/>
    </row>
    <row r="218" spans="1:16373">
      <c r="A218" s="47" t="s">
        <v>44</v>
      </c>
      <c r="B218" s="47" t="str">
        <f t="shared" si="49"/>
        <v>August</v>
      </c>
      <c r="C218" s="59">
        <v>45512</v>
      </c>
      <c r="D218" s="47" t="s">
        <v>45</v>
      </c>
      <c r="E218" s="47" t="s">
        <v>59</v>
      </c>
      <c r="F218" s="47" t="s">
        <v>60</v>
      </c>
      <c r="G218" s="91" t="s">
        <v>1360</v>
      </c>
      <c r="H218" s="47" t="s">
        <v>1361</v>
      </c>
      <c r="I218" s="47" t="s">
        <v>63</v>
      </c>
      <c r="J218" s="47" t="s">
        <v>51</v>
      </c>
      <c r="K218" s="48">
        <v>44782</v>
      </c>
      <c r="L218" s="48">
        <v>45147</v>
      </c>
      <c r="M218" s="48">
        <v>45512</v>
      </c>
      <c r="N218" s="47" t="s">
        <v>64</v>
      </c>
      <c r="O218" s="55" t="s">
        <v>53</v>
      </c>
      <c r="P218" s="62">
        <v>12540</v>
      </c>
      <c r="Q218" s="62">
        <v>1045</v>
      </c>
      <c r="R218" s="96">
        <v>13020</v>
      </c>
      <c r="S218" s="62">
        <f t="shared" si="42"/>
        <v>1085</v>
      </c>
      <c r="T218" s="62">
        <v>12420</v>
      </c>
      <c r="U218" s="62">
        <f t="shared" si="43"/>
        <v>1035</v>
      </c>
      <c r="V218" s="69">
        <v>11340</v>
      </c>
      <c r="W218" s="71">
        <v>1130</v>
      </c>
      <c r="X218" s="105">
        <f>W218-30</f>
        <v>1100</v>
      </c>
      <c r="Y218" s="171">
        <f t="shared" si="55"/>
        <v>6.280193236714976E-2</v>
      </c>
      <c r="Z218" s="64">
        <f t="shared" si="50"/>
        <v>9.1787439613526575E-2</v>
      </c>
      <c r="AA218" s="64">
        <f t="shared" si="44"/>
        <v>4.1474654377880185E-2</v>
      </c>
      <c r="AB218" s="71">
        <f t="shared" si="56"/>
        <v>1130</v>
      </c>
      <c r="AC218" s="64">
        <f t="shared" si="51"/>
        <v>9.1787439613526575E-2</v>
      </c>
      <c r="AD218" s="64">
        <f t="shared" si="45"/>
        <v>4.1474654377880185E-2</v>
      </c>
      <c r="AE218" s="71">
        <v>1095</v>
      </c>
      <c r="AF218" s="64">
        <f t="shared" si="52"/>
        <v>5.7971014492753624E-2</v>
      </c>
      <c r="AG218" s="64">
        <f t="shared" si="46"/>
        <v>9.2165898617511521E-3</v>
      </c>
      <c r="AH218" s="67"/>
      <c r="AI218" s="47" t="s">
        <v>54</v>
      </c>
      <c r="AJ218" s="47">
        <v>535</v>
      </c>
      <c r="AK218" s="47" t="s">
        <v>55</v>
      </c>
      <c r="AL218" s="47" t="s">
        <v>55</v>
      </c>
      <c r="AM218" s="47" t="s">
        <v>1362</v>
      </c>
      <c r="AN218" s="50">
        <v>1110</v>
      </c>
      <c r="AO218" s="211">
        <f t="shared" si="53"/>
        <v>7.2463768115942032E-2</v>
      </c>
      <c r="AP218" s="47" t="s">
        <v>57</v>
      </c>
      <c r="AQ218" s="47" t="s">
        <v>1132</v>
      </c>
      <c r="AR218" s="47"/>
    </row>
    <row r="219" spans="1:16373" hidden="1">
      <c r="A219" s="47" t="s">
        <v>44</v>
      </c>
      <c r="B219" s="47" t="str">
        <f t="shared" si="49"/>
        <v>August</v>
      </c>
      <c r="C219" s="59">
        <v>45513</v>
      </c>
      <c r="D219" s="47" t="s">
        <v>45</v>
      </c>
      <c r="E219" s="47" t="s">
        <v>59</v>
      </c>
      <c r="F219" s="47" t="s">
        <v>60</v>
      </c>
      <c r="G219" s="91" t="s">
        <v>1420</v>
      </c>
      <c r="H219" s="47" t="s">
        <v>1421</v>
      </c>
      <c r="I219" s="47" t="s">
        <v>63</v>
      </c>
      <c r="J219" s="47" t="s">
        <v>51</v>
      </c>
      <c r="K219" s="48">
        <v>45148</v>
      </c>
      <c r="L219" s="48">
        <v>45148</v>
      </c>
      <c r="M219" s="48">
        <v>45513</v>
      </c>
      <c r="N219" s="47" t="s">
        <v>52</v>
      </c>
      <c r="O219" s="55" t="s">
        <v>53</v>
      </c>
      <c r="P219" s="62">
        <v>12720</v>
      </c>
      <c r="Q219" s="62">
        <v>1060</v>
      </c>
      <c r="R219" s="96">
        <v>13200</v>
      </c>
      <c r="S219" s="62">
        <f t="shared" si="42"/>
        <v>1100</v>
      </c>
      <c r="T219" s="62">
        <v>12720</v>
      </c>
      <c r="U219" s="62">
        <f t="shared" si="43"/>
        <v>1060</v>
      </c>
      <c r="V219" s="69">
        <v>11400</v>
      </c>
      <c r="W219" s="71">
        <v>1135</v>
      </c>
      <c r="X219" s="105">
        <f>W219-30</f>
        <v>1105</v>
      </c>
      <c r="Y219" s="171">
        <f t="shared" si="55"/>
        <v>4.2452830188679243E-2</v>
      </c>
      <c r="Z219" s="64">
        <f t="shared" si="50"/>
        <v>7.0754716981132074E-2</v>
      </c>
      <c r="AA219" s="64">
        <f t="shared" si="44"/>
        <v>3.1818181818181815E-2</v>
      </c>
      <c r="AB219" s="71">
        <f t="shared" si="56"/>
        <v>1135</v>
      </c>
      <c r="AC219" s="114">
        <f t="shared" si="51"/>
        <v>7.0754716981132074E-2</v>
      </c>
      <c r="AD219" s="64">
        <f t="shared" si="45"/>
        <v>3.1818181818181815E-2</v>
      </c>
      <c r="AE219" s="71">
        <v>1110</v>
      </c>
      <c r="AF219" s="64">
        <f t="shared" si="52"/>
        <v>4.716981132075472E-2</v>
      </c>
      <c r="AG219" s="64">
        <f t="shared" si="46"/>
        <v>9.0909090909090905E-3</v>
      </c>
      <c r="AH219" s="67"/>
      <c r="AI219" s="47" t="s">
        <v>54</v>
      </c>
      <c r="AJ219" s="47">
        <v>528</v>
      </c>
      <c r="AK219" s="47" t="s">
        <v>55</v>
      </c>
      <c r="AL219" s="47" t="s">
        <v>55</v>
      </c>
      <c r="AM219" s="47" t="s">
        <v>1422</v>
      </c>
      <c r="AN219" s="50">
        <v>1120</v>
      </c>
      <c r="AO219" s="211">
        <f t="shared" si="53"/>
        <v>5.6603773584905662E-2</v>
      </c>
      <c r="AP219" s="47" t="s">
        <v>57</v>
      </c>
      <c r="AQ219" s="47" t="s">
        <v>1132</v>
      </c>
      <c r="AR219" s="47"/>
    </row>
    <row r="220" spans="1:16373">
      <c r="A220" s="47" t="s">
        <v>44</v>
      </c>
      <c r="B220" s="47" t="str">
        <f t="shared" si="49"/>
        <v>August</v>
      </c>
      <c r="C220" s="59">
        <v>45513</v>
      </c>
      <c r="D220" s="47" t="s">
        <v>45</v>
      </c>
      <c r="E220" s="47" t="s">
        <v>59</v>
      </c>
      <c r="F220" s="47" t="s">
        <v>60</v>
      </c>
      <c r="G220" s="91" t="s">
        <v>1426</v>
      </c>
      <c r="H220" s="47" t="s">
        <v>1427</v>
      </c>
      <c r="I220" s="47" t="s">
        <v>63</v>
      </c>
      <c r="J220" s="47" t="s">
        <v>51</v>
      </c>
      <c r="K220" s="48">
        <v>44783</v>
      </c>
      <c r="L220" s="48">
        <v>45148</v>
      </c>
      <c r="M220" s="48">
        <v>45513</v>
      </c>
      <c r="N220" s="47" t="s">
        <v>64</v>
      </c>
      <c r="O220" s="55" t="s">
        <v>53</v>
      </c>
      <c r="P220" s="62">
        <v>12000</v>
      </c>
      <c r="Q220" s="62">
        <v>1000</v>
      </c>
      <c r="R220" s="96">
        <v>12480</v>
      </c>
      <c r="S220" s="62">
        <f t="shared" si="42"/>
        <v>1040</v>
      </c>
      <c r="T220" s="62">
        <v>12120</v>
      </c>
      <c r="U220" s="62">
        <f t="shared" si="43"/>
        <v>1010</v>
      </c>
      <c r="V220" s="69">
        <v>11040</v>
      </c>
      <c r="W220" s="71">
        <v>1105</v>
      </c>
      <c r="X220" s="105">
        <f>W220-30</f>
        <v>1075</v>
      </c>
      <c r="Y220" s="171">
        <f t="shared" si="55"/>
        <v>6.4356435643564358E-2</v>
      </c>
      <c r="Z220" s="64">
        <f t="shared" si="50"/>
        <v>9.405940594059406E-2</v>
      </c>
      <c r="AA220" s="64">
        <f t="shared" si="44"/>
        <v>6.25E-2</v>
      </c>
      <c r="AB220" s="71">
        <f t="shared" si="56"/>
        <v>1105</v>
      </c>
      <c r="AC220" s="64">
        <f t="shared" si="51"/>
        <v>9.405940594059406E-2</v>
      </c>
      <c r="AD220" s="64">
        <f t="shared" si="45"/>
        <v>6.25E-2</v>
      </c>
      <c r="AE220" s="71">
        <v>1055</v>
      </c>
      <c r="AF220" s="64">
        <f t="shared" si="52"/>
        <v>4.4554455445544552E-2</v>
      </c>
      <c r="AG220" s="64">
        <f t="shared" si="46"/>
        <v>1.4423076923076924E-2</v>
      </c>
      <c r="AH220" s="67"/>
      <c r="AI220" s="47" t="s">
        <v>54</v>
      </c>
      <c r="AJ220" s="47">
        <v>486</v>
      </c>
      <c r="AK220" s="47" t="s">
        <v>55</v>
      </c>
      <c r="AL220" s="47" t="s">
        <v>55</v>
      </c>
      <c r="AM220" s="47" t="s">
        <v>509</v>
      </c>
      <c r="AN220" s="50">
        <v>1065</v>
      </c>
      <c r="AO220" s="211">
        <f t="shared" si="53"/>
        <v>5.4455445544554455E-2</v>
      </c>
      <c r="AP220" s="47" t="s">
        <v>57</v>
      </c>
      <c r="AQ220" s="47" t="s">
        <v>1132</v>
      </c>
      <c r="AR220" s="47"/>
    </row>
    <row r="221" spans="1:16373" hidden="1">
      <c r="A221" s="47" t="s">
        <v>74</v>
      </c>
      <c r="B221" s="47" t="str">
        <f t="shared" si="49"/>
        <v>July</v>
      </c>
      <c r="C221" s="59">
        <v>45486</v>
      </c>
      <c r="D221" s="47" t="s">
        <v>45</v>
      </c>
      <c r="E221" s="47" t="s">
        <v>59</v>
      </c>
      <c r="F221" s="47" t="s">
        <v>60</v>
      </c>
      <c r="G221" s="94" t="s">
        <v>1442</v>
      </c>
      <c r="H221" s="47" t="s">
        <v>1443</v>
      </c>
      <c r="I221" s="47" t="s">
        <v>63</v>
      </c>
      <c r="J221" s="47" t="s">
        <v>51</v>
      </c>
      <c r="K221" s="48">
        <v>45121</v>
      </c>
      <c r="L221" s="48">
        <v>45121</v>
      </c>
      <c r="M221" s="48">
        <v>45486</v>
      </c>
      <c r="N221" s="47" t="s">
        <v>52</v>
      </c>
      <c r="O221" s="55" t="s">
        <v>53</v>
      </c>
      <c r="P221" s="62">
        <v>12960</v>
      </c>
      <c r="Q221" s="62">
        <v>1080</v>
      </c>
      <c r="R221" s="96">
        <v>13500</v>
      </c>
      <c r="S221" s="62">
        <f t="shared" si="42"/>
        <v>1125</v>
      </c>
      <c r="T221" s="62">
        <v>12960</v>
      </c>
      <c r="U221" s="62">
        <f t="shared" si="43"/>
        <v>1080</v>
      </c>
      <c r="V221" s="69">
        <v>11640</v>
      </c>
      <c r="W221" s="71">
        <v>1160</v>
      </c>
      <c r="X221" s="105">
        <f>W221-30</f>
        <v>1130</v>
      </c>
      <c r="Y221" s="171">
        <f t="shared" si="55"/>
        <v>4.6296296296296294E-2</v>
      </c>
      <c r="Z221" s="64">
        <f t="shared" si="50"/>
        <v>7.407407407407407E-2</v>
      </c>
      <c r="AA221" s="64">
        <f t="shared" si="44"/>
        <v>3.111111111111111E-2</v>
      </c>
      <c r="AB221" s="71">
        <f t="shared" si="56"/>
        <v>1160</v>
      </c>
      <c r="AC221" s="64">
        <f t="shared" si="51"/>
        <v>7.407407407407407E-2</v>
      </c>
      <c r="AD221" s="64">
        <f t="shared" si="45"/>
        <v>3.111111111111111E-2</v>
      </c>
      <c r="AE221" s="71">
        <f>AB221-20</f>
        <v>1140</v>
      </c>
      <c r="AF221" s="64">
        <f t="shared" si="52"/>
        <v>5.5555555555555552E-2</v>
      </c>
      <c r="AG221" s="64">
        <f t="shared" si="46"/>
        <v>1.3333333333333334E-2</v>
      </c>
      <c r="AH221" s="67"/>
      <c r="AI221" s="47" t="s">
        <v>54</v>
      </c>
      <c r="AJ221" s="47">
        <v>599</v>
      </c>
      <c r="AK221" s="101" t="s">
        <v>55</v>
      </c>
      <c r="AL221" s="101" t="s">
        <v>55</v>
      </c>
      <c r="AM221" s="47" t="s">
        <v>499</v>
      </c>
      <c r="AN221" s="50"/>
      <c r="AO221" s="211">
        <f t="shared" si="53"/>
        <v>-1</v>
      </c>
      <c r="AP221" s="47" t="s">
        <v>57</v>
      </c>
      <c r="AQ221" s="47" t="s">
        <v>891</v>
      </c>
      <c r="AR221" s="47"/>
    </row>
    <row r="222" spans="1:16373" hidden="1">
      <c r="A222" s="47" t="s">
        <v>44</v>
      </c>
      <c r="B222" s="47" t="str">
        <f t="shared" si="49"/>
        <v>August</v>
      </c>
      <c r="C222" s="59">
        <v>45514</v>
      </c>
      <c r="D222" s="47" t="s">
        <v>45</v>
      </c>
      <c r="E222" s="47" t="s">
        <v>59</v>
      </c>
      <c r="F222" s="47" t="s">
        <v>60</v>
      </c>
      <c r="G222" s="91" t="s">
        <v>1508</v>
      </c>
      <c r="H222" s="47" t="s">
        <v>1509</v>
      </c>
      <c r="I222" s="47" t="s">
        <v>63</v>
      </c>
      <c r="J222" s="47" t="s">
        <v>51</v>
      </c>
      <c r="K222" s="48">
        <v>45149</v>
      </c>
      <c r="L222" s="48">
        <v>45149</v>
      </c>
      <c r="M222" s="48">
        <v>45514</v>
      </c>
      <c r="N222" s="47" t="s">
        <v>52</v>
      </c>
      <c r="O222" s="55" t="s">
        <v>53</v>
      </c>
      <c r="P222" s="62">
        <v>17100</v>
      </c>
      <c r="Q222" s="62">
        <v>1425</v>
      </c>
      <c r="R222" s="96">
        <v>17700</v>
      </c>
      <c r="S222" s="62">
        <f t="shared" si="42"/>
        <v>1475</v>
      </c>
      <c r="T222" s="62">
        <v>17100</v>
      </c>
      <c r="U222" s="62">
        <f t="shared" si="43"/>
        <v>1425</v>
      </c>
      <c r="V222" s="69">
        <v>15360</v>
      </c>
      <c r="W222" s="71">
        <v>1505</v>
      </c>
      <c r="X222" s="105">
        <f>W222-25</f>
        <v>1480</v>
      </c>
      <c r="Y222" s="171">
        <f t="shared" si="55"/>
        <v>3.8596491228070177E-2</v>
      </c>
      <c r="Z222" s="64">
        <f t="shared" si="50"/>
        <v>5.6140350877192984E-2</v>
      </c>
      <c r="AA222" s="64">
        <f t="shared" si="44"/>
        <v>2.0338983050847456E-2</v>
      </c>
      <c r="AB222" s="71">
        <f t="shared" si="56"/>
        <v>1505</v>
      </c>
      <c r="AC222" s="64">
        <f t="shared" si="51"/>
        <v>5.6140350877192984E-2</v>
      </c>
      <c r="AD222" s="64">
        <f t="shared" si="45"/>
        <v>2.0338983050847456E-2</v>
      </c>
      <c r="AE222" s="71">
        <f>AB222</f>
        <v>1505</v>
      </c>
      <c r="AF222" s="64">
        <f t="shared" si="52"/>
        <v>5.6140350877192984E-2</v>
      </c>
      <c r="AG222" s="64">
        <f t="shared" si="46"/>
        <v>2.0338983050847456E-2</v>
      </c>
      <c r="AH222" s="67"/>
      <c r="AI222" s="47" t="s">
        <v>54</v>
      </c>
      <c r="AJ222" s="47">
        <v>704</v>
      </c>
      <c r="AK222" s="47" t="s">
        <v>65</v>
      </c>
      <c r="AL222" s="47" t="s">
        <v>65</v>
      </c>
      <c r="AM222" s="47" t="s">
        <v>185</v>
      </c>
      <c r="AN222" s="50">
        <v>1485</v>
      </c>
      <c r="AO222" s="211">
        <f t="shared" si="53"/>
        <v>4.2105263157894736E-2</v>
      </c>
      <c r="AP222" s="47" t="s">
        <v>57</v>
      </c>
      <c r="AQ222" s="47" t="s">
        <v>1132</v>
      </c>
      <c r="AR222" s="47"/>
    </row>
    <row r="223" spans="1:16373">
      <c r="A223" s="47" t="s">
        <v>44</v>
      </c>
      <c r="B223" s="47" t="str">
        <f t="shared" si="49"/>
        <v>August</v>
      </c>
      <c r="C223" s="59">
        <v>45514</v>
      </c>
      <c r="D223" s="47" t="s">
        <v>45</v>
      </c>
      <c r="E223" s="47" t="s">
        <v>59</v>
      </c>
      <c r="F223" s="47" t="s">
        <v>60</v>
      </c>
      <c r="G223" s="91" t="s">
        <v>1513</v>
      </c>
      <c r="H223" s="47" t="s">
        <v>1514</v>
      </c>
      <c r="I223" s="47" t="s">
        <v>63</v>
      </c>
      <c r="J223" s="47" t="s">
        <v>51</v>
      </c>
      <c r="K223" s="48">
        <v>44784</v>
      </c>
      <c r="L223" s="48">
        <v>45149</v>
      </c>
      <c r="M223" s="48">
        <v>45514</v>
      </c>
      <c r="N223" s="47" t="s">
        <v>64</v>
      </c>
      <c r="O223" s="55" t="s">
        <v>53</v>
      </c>
      <c r="P223" s="62">
        <v>15300</v>
      </c>
      <c r="Q223" s="62">
        <v>1275</v>
      </c>
      <c r="R223" s="96">
        <v>15840</v>
      </c>
      <c r="S223" s="62">
        <f t="shared" si="42"/>
        <v>1320</v>
      </c>
      <c r="T223" s="62">
        <v>15420</v>
      </c>
      <c r="U223" s="62">
        <f t="shared" si="43"/>
        <v>1285</v>
      </c>
      <c r="V223" s="69">
        <v>13980</v>
      </c>
      <c r="W223" s="71">
        <v>1380</v>
      </c>
      <c r="X223" s="105">
        <f>W223-25</f>
        <v>1355</v>
      </c>
      <c r="Y223" s="171">
        <f t="shared" si="55"/>
        <v>5.4474708171206226E-2</v>
      </c>
      <c r="Z223" s="64">
        <f t="shared" si="50"/>
        <v>7.3929961089494164E-2</v>
      </c>
      <c r="AA223" s="64">
        <f t="shared" si="44"/>
        <v>4.5454545454545456E-2</v>
      </c>
      <c r="AB223" s="71">
        <f t="shared" si="56"/>
        <v>1380</v>
      </c>
      <c r="AC223" s="64">
        <f t="shared" si="51"/>
        <v>7.3929961089494164E-2</v>
      </c>
      <c r="AD223" s="64">
        <f t="shared" si="45"/>
        <v>4.5454545454545456E-2</v>
      </c>
      <c r="AE223" s="71">
        <v>1340</v>
      </c>
      <c r="AF223" s="64">
        <f t="shared" si="52"/>
        <v>4.2801556420233464E-2</v>
      </c>
      <c r="AG223" s="64">
        <f t="shared" si="46"/>
        <v>1.5151515151515152E-2</v>
      </c>
      <c r="AH223" s="67"/>
      <c r="AI223" s="47" t="s">
        <v>54</v>
      </c>
      <c r="AJ223" s="47">
        <v>711</v>
      </c>
      <c r="AK223" s="47" t="s">
        <v>65</v>
      </c>
      <c r="AL223" s="47" t="s">
        <v>55</v>
      </c>
      <c r="AM223" s="47" t="s">
        <v>490</v>
      </c>
      <c r="AN223" s="50"/>
      <c r="AO223" s="211">
        <f t="shared" si="53"/>
        <v>-1</v>
      </c>
      <c r="AP223" s="47" t="s">
        <v>57</v>
      </c>
      <c r="AQ223" s="47" t="s">
        <v>1132</v>
      </c>
      <c r="AR223" s="47"/>
    </row>
    <row r="224" spans="1:16373">
      <c r="A224" s="47" t="s">
        <v>74</v>
      </c>
      <c r="B224" s="47" t="str">
        <f t="shared" si="49"/>
        <v>August</v>
      </c>
      <c r="C224" s="59">
        <v>45515</v>
      </c>
      <c r="D224" s="47" t="s">
        <v>45</v>
      </c>
      <c r="E224" s="47" t="s">
        <v>59</v>
      </c>
      <c r="F224" s="47" t="s">
        <v>60</v>
      </c>
      <c r="G224" s="91" t="s">
        <v>1566</v>
      </c>
      <c r="H224" s="47" t="s">
        <v>1567</v>
      </c>
      <c r="I224" s="47" t="s">
        <v>63</v>
      </c>
      <c r="J224" s="47" t="s">
        <v>51</v>
      </c>
      <c r="K224" s="48">
        <v>44239</v>
      </c>
      <c r="L224" s="48">
        <v>45334</v>
      </c>
      <c r="M224" s="48">
        <v>45515</v>
      </c>
      <c r="N224" s="47" t="s">
        <v>64</v>
      </c>
      <c r="O224" s="55" t="s">
        <v>53</v>
      </c>
      <c r="P224" s="62">
        <v>12960</v>
      </c>
      <c r="Q224" s="62">
        <v>1080</v>
      </c>
      <c r="R224" s="96">
        <v>13500</v>
      </c>
      <c r="S224" s="62">
        <f t="shared" si="42"/>
        <v>1125</v>
      </c>
      <c r="T224" s="62">
        <v>13560</v>
      </c>
      <c r="U224" s="62">
        <f t="shared" si="43"/>
        <v>1130</v>
      </c>
      <c r="V224" s="69">
        <v>12360</v>
      </c>
      <c r="W224" s="71">
        <v>1145</v>
      </c>
      <c r="X224" s="172">
        <f>W224-30</f>
        <v>1115</v>
      </c>
      <c r="Y224" s="173">
        <f t="shared" si="55"/>
        <v>-1.3274336283185841E-2</v>
      </c>
      <c r="Z224" s="64">
        <f t="shared" si="50"/>
        <v>1.3274336283185841E-2</v>
      </c>
      <c r="AA224" s="64">
        <f t="shared" si="44"/>
        <v>1.7777777777777778E-2</v>
      </c>
      <c r="AB224" s="71">
        <f t="shared" si="56"/>
        <v>1145</v>
      </c>
      <c r="AC224" s="64">
        <f t="shared" si="51"/>
        <v>1.3274336283185841E-2</v>
      </c>
      <c r="AD224" s="64">
        <f t="shared" si="45"/>
        <v>1.7777777777777778E-2</v>
      </c>
      <c r="AE224" s="71">
        <f>AB224</f>
        <v>1145</v>
      </c>
      <c r="AF224" s="64">
        <f t="shared" si="52"/>
        <v>1.3274336283185841E-2</v>
      </c>
      <c r="AG224" s="64">
        <f t="shared" si="46"/>
        <v>1.7777777777777778E-2</v>
      </c>
      <c r="AH224" s="67"/>
      <c r="AI224" s="47" t="s">
        <v>54</v>
      </c>
      <c r="AJ224" s="47">
        <v>528</v>
      </c>
      <c r="AK224" s="47" t="s">
        <v>55</v>
      </c>
      <c r="AL224" s="47" t="s">
        <v>55</v>
      </c>
      <c r="AM224" s="47" t="s">
        <v>1422</v>
      </c>
      <c r="AN224" s="50"/>
      <c r="AO224" s="211">
        <f t="shared" si="53"/>
        <v>-1</v>
      </c>
      <c r="AP224" s="47" t="s">
        <v>57</v>
      </c>
      <c r="AQ224" s="47" t="s">
        <v>1132</v>
      </c>
      <c r="AR224" s="47"/>
    </row>
    <row r="225" spans="1:44">
      <c r="A225" s="47" t="s">
        <v>44</v>
      </c>
      <c r="B225" s="47" t="str">
        <f t="shared" si="49"/>
        <v>August</v>
      </c>
      <c r="C225" s="59">
        <v>45515</v>
      </c>
      <c r="D225" s="47" t="s">
        <v>45</v>
      </c>
      <c r="E225" s="47" t="s">
        <v>59</v>
      </c>
      <c r="F225" s="47" t="s">
        <v>60</v>
      </c>
      <c r="G225" s="91" t="s">
        <v>1581</v>
      </c>
      <c r="H225" s="47" t="s">
        <v>1582</v>
      </c>
      <c r="I225" s="47" t="s">
        <v>63</v>
      </c>
      <c r="J225" s="47" t="s">
        <v>51</v>
      </c>
      <c r="K225" s="48">
        <v>44785</v>
      </c>
      <c r="L225" s="48">
        <v>45150</v>
      </c>
      <c r="M225" s="48">
        <v>45515</v>
      </c>
      <c r="N225" s="47" t="s">
        <v>64</v>
      </c>
      <c r="O225" s="55" t="s">
        <v>53</v>
      </c>
      <c r="P225" s="62">
        <v>15420</v>
      </c>
      <c r="Q225" s="62">
        <v>1285</v>
      </c>
      <c r="R225" s="96">
        <v>15960</v>
      </c>
      <c r="S225" s="62">
        <f t="shared" si="42"/>
        <v>1330</v>
      </c>
      <c r="T225" s="62">
        <v>15600</v>
      </c>
      <c r="U225" s="62">
        <f t="shared" si="43"/>
        <v>1300</v>
      </c>
      <c r="V225" s="69">
        <v>13980</v>
      </c>
      <c r="W225" s="71">
        <v>1380</v>
      </c>
      <c r="X225" s="105">
        <f>W225-25</f>
        <v>1355</v>
      </c>
      <c r="Y225" s="171">
        <f t="shared" si="55"/>
        <v>4.230769230769231E-2</v>
      </c>
      <c r="Z225" s="64">
        <f t="shared" si="50"/>
        <v>6.1538461538461542E-2</v>
      </c>
      <c r="AA225" s="64">
        <f t="shared" si="44"/>
        <v>3.7593984962406013E-2</v>
      </c>
      <c r="AB225" s="71">
        <f t="shared" si="56"/>
        <v>1380</v>
      </c>
      <c r="AC225" s="64">
        <f t="shared" si="51"/>
        <v>6.1538461538461542E-2</v>
      </c>
      <c r="AD225" s="64">
        <f t="shared" si="45"/>
        <v>3.7593984962406013E-2</v>
      </c>
      <c r="AE225" s="71">
        <v>1360</v>
      </c>
      <c r="AF225" s="64">
        <f t="shared" si="52"/>
        <v>4.6153846153846156E-2</v>
      </c>
      <c r="AG225" s="64">
        <f t="shared" si="46"/>
        <v>2.2556390977443608E-2</v>
      </c>
      <c r="AH225" s="67"/>
      <c r="AI225" s="47" t="s">
        <v>250</v>
      </c>
      <c r="AJ225" s="47">
        <v>733</v>
      </c>
      <c r="AK225" s="47" t="s">
        <v>65</v>
      </c>
      <c r="AL225" s="47" t="s">
        <v>65</v>
      </c>
      <c r="AM225" s="47" t="s">
        <v>69</v>
      </c>
      <c r="AN225" s="50"/>
      <c r="AO225" s="211">
        <f t="shared" si="53"/>
        <v>-1</v>
      </c>
      <c r="AP225" s="47" t="s">
        <v>57</v>
      </c>
      <c r="AQ225" s="47" t="s">
        <v>1132</v>
      </c>
      <c r="AR225" s="47"/>
    </row>
    <row r="226" spans="1:44">
      <c r="A226" s="47" t="s">
        <v>44</v>
      </c>
      <c r="B226" s="47" t="str">
        <f t="shared" si="49"/>
        <v>August</v>
      </c>
      <c r="C226" s="59">
        <v>45516</v>
      </c>
      <c r="D226" s="47" t="s">
        <v>45</v>
      </c>
      <c r="E226" s="47" t="s">
        <v>59</v>
      </c>
      <c r="F226" s="47" t="s">
        <v>60</v>
      </c>
      <c r="G226" s="94" t="s">
        <v>1637</v>
      </c>
      <c r="H226" s="47" t="s">
        <v>1638</v>
      </c>
      <c r="I226" s="47" t="s">
        <v>63</v>
      </c>
      <c r="J226" s="47" t="s">
        <v>51</v>
      </c>
      <c r="K226" s="48">
        <v>44421</v>
      </c>
      <c r="L226" s="48">
        <v>45151</v>
      </c>
      <c r="M226" s="48">
        <v>45516</v>
      </c>
      <c r="N226" s="47" t="s">
        <v>64</v>
      </c>
      <c r="O226" s="55" t="s">
        <v>53</v>
      </c>
      <c r="P226" s="62">
        <v>15420</v>
      </c>
      <c r="Q226" s="62">
        <v>1285</v>
      </c>
      <c r="R226" s="96">
        <v>15960</v>
      </c>
      <c r="S226" s="62">
        <f t="shared" ref="S226:S289" si="58">R226/12</f>
        <v>1330</v>
      </c>
      <c r="T226" s="62">
        <v>15420</v>
      </c>
      <c r="U226" s="62">
        <f t="shared" ref="U226:U289" si="59">T226/12</f>
        <v>1285</v>
      </c>
      <c r="V226" s="69">
        <v>13776</v>
      </c>
      <c r="W226" s="71">
        <v>1365</v>
      </c>
      <c r="X226" s="105">
        <f>W226-25</f>
        <v>1340</v>
      </c>
      <c r="Y226" s="171">
        <f t="shared" si="55"/>
        <v>4.2801556420233464E-2</v>
      </c>
      <c r="Z226" s="64">
        <f t="shared" si="50"/>
        <v>6.2256809338521402E-2</v>
      </c>
      <c r="AA226" s="64">
        <f t="shared" si="44"/>
        <v>2.6315789473684209E-2</v>
      </c>
      <c r="AB226" s="71">
        <f t="shared" si="56"/>
        <v>1365</v>
      </c>
      <c r="AC226" s="64">
        <f t="shared" si="51"/>
        <v>6.2256809338521402E-2</v>
      </c>
      <c r="AD226" s="64">
        <f t="shared" si="45"/>
        <v>2.6315789473684209E-2</v>
      </c>
      <c r="AE226" s="71">
        <f>AB226-20</f>
        <v>1345</v>
      </c>
      <c r="AF226" s="64">
        <f t="shared" si="52"/>
        <v>4.6692607003891051E-2</v>
      </c>
      <c r="AG226" s="64">
        <f t="shared" si="46"/>
        <v>1.1278195488721804E-2</v>
      </c>
      <c r="AH226" s="67"/>
      <c r="AI226" s="47" t="s">
        <v>54</v>
      </c>
      <c r="AJ226" s="47">
        <v>704</v>
      </c>
      <c r="AK226" s="47" t="s">
        <v>65</v>
      </c>
      <c r="AL226" s="47" t="s">
        <v>65</v>
      </c>
      <c r="AM226" s="47" t="s">
        <v>66</v>
      </c>
      <c r="AN226" s="50"/>
      <c r="AO226" s="211">
        <f t="shared" si="53"/>
        <v>-1</v>
      </c>
      <c r="AP226" s="47" t="s">
        <v>57</v>
      </c>
      <c r="AQ226" s="47" t="s">
        <v>1132</v>
      </c>
      <c r="AR226" s="47"/>
    </row>
    <row r="227" spans="1:44" hidden="1">
      <c r="A227" s="47" t="s">
        <v>44</v>
      </c>
      <c r="B227" s="47" t="str">
        <f t="shared" si="49"/>
        <v>August</v>
      </c>
      <c r="C227" s="59">
        <v>45517</v>
      </c>
      <c r="D227" s="47" t="s">
        <v>45</v>
      </c>
      <c r="E227" s="47" t="s">
        <v>59</v>
      </c>
      <c r="F227" s="47" t="s">
        <v>60</v>
      </c>
      <c r="G227" s="91" t="s">
        <v>1751</v>
      </c>
      <c r="H227" s="47" t="s">
        <v>1752</v>
      </c>
      <c r="I227" s="47" t="s">
        <v>63</v>
      </c>
      <c r="J227" s="47" t="s">
        <v>51</v>
      </c>
      <c r="K227" s="48">
        <v>45152</v>
      </c>
      <c r="L227" s="48">
        <v>45152</v>
      </c>
      <c r="M227" s="48">
        <v>45517</v>
      </c>
      <c r="N227" s="47" t="s">
        <v>52</v>
      </c>
      <c r="O227" s="55" t="s">
        <v>53</v>
      </c>
      <c r="P227" s="62">
        <v>13020</v>
      </c>
      <c r="Q227" s="62">
        <v>1085</v>
      </c>
      <c r="R227" s="96">
        <v>13560</v>
      </c>
      <c r="S227" s="62">
        <f t="shared" si="58"/>
        <v>1130</v>
      </c>
      <c r="T227" s="62">
        <v>13020</v>
      </c>
      <c r="U227" s="62">
        <f t="shared" si="59"/>
        <v>1085</v>
      </c>
      <c r="V227" s="69">
        <v>11640</v>
      </c>
      <c r="W227" s="71">
        <v>1155</v>
      </c>
      <c r="X227" s="105">
        <f>W227-30</f>
        <v>1125</v>
      </c>
      <c r="Y227" s="171">
        <f t="shared" si="55"/>
        <v>3.6866359447004608E-2</v>
      </c>
      <c r="Z227" s="64">
        <f t="shared" si="50"/>
        <v>6.4516129032258063E-2</v>
      </c>
      <c r="AA227" s="64">
        <f t="shared" si="44"/>
        <v>2.2123893805309734E-2</v>
      </c>
      <c r="AB227" s="71">
        <f t="shared" si="56"/>
        <v>1155</v>
      </c>
      <c r="AC227" s="64">
        <f t="shared" si="51"/>
        <v>6.4516129032258063E-2</v>
      </c>
      <c r="AD227" s="64">
        <f t="shared" si="45"/>
        <v>2.2123893805309734E-2</v>
      </c>
      <c r="AE227" s="71">
        <v>1145</v>
      </c>
      <c r="AF227" s="64">
        <f t="shared" si="52"/>
        <v>5.5299539170506916E-2</v>
      </c>
      <c r="AG227" s="64">
        <f t="shared" si="46"/>
        <v>1.3274336283185841E-2</v>
      </c>
      <c r="AH227" s="67"/>
      <c r="AI227" s="47" t="s">
        <v>54</v>
      </c>
      <c r="AJ227" s="47">
        <v>528</v>
      </c>
      <c r="AK227" s="47" t="s">
        <v>55</v>
      </c>
      <c r="AL227" s="47" t="s">
        <v>55</v>
      </c>
      <c r="AM227" s="47" t="s">
        <v>1753</v>
      </c>
      <c r="AN227" s="50"/>
      <c r="AO227" s="211">
        <f t="shared" si="53"/>
        <v>-1</v>
      </c>
      <c r="AP227" s="47" t="s">
        <v>57</v>
      </c>
      <c r="AQ227" s="47" t="s">
        <v>1132</v>
      </c>
      <c r="AR227" s="47"/>
    </row>
    <row r="228" spans="1:44">
      <c r="A228" s="47" t="s">
        <v>44</v>
      </c>
      <c r="B228" s="47" t="str">
        <f t="shared" si="49"/>
        <v>August</v>
      </c>
      <c r="C228" s="59">
        <v>45518</v>
      </c>
      <c r="D228" s="47" t="s">
        <v>45</v>
      </c>
      <c r="E228" s="47" t="s">
        <v>59</v>
      </c>
      <c r="F228" s="47" t="s">
        <v>60</v>
      </c>
      <c r="G228" s="91" t="s">
        <v>1858</v>
      </c>
      <c r="H228" s="47" t="s">
        <v>1859</v>
      </c>
      <c r="I228" s="47" t="s">
        <v>63</v>
      </c>
      <c r="J228" s="47" t="s">
        <v>51</v>
      </c>
      <c r="K228" s="48">
        <v>44788</v>
      </c>
      <c r="L228" s="48">
        <v>45153</v>
      </c>
      <c r="M228" s="48">
        <v>45518</v>
      </c>
      <c r="N228" s="47" t="s">
        <v>64</v>
      </c>
      <c r="O228" s="55" t="s">
        <v>53</v>
      </c>
      <c r="P228" s="62">
        <v>20580</v>
      </c>
      <c r="Q228" s="62">
        <v>1715</v>
      </c>
      <c r="R228" s="96">
        <v>21240</v>
      </c>
      <c r="S228" s="62">
        <f t="shared" si="58"/>
        <v>1770</v>
      </c>
      <c r="T228" s="62">
        <v>21240</v>
      </c>
      <c r="U228" s="62">
        <f t="shared" si="59"/>
        <v>1770</v>
      </c>
      <c r="V228" s="69">
        <v>19680</v>
      </c>
      <c r="W228" s="71">
        <v>1870</v>
      </c>
      <c r="X228" s="105">
        <f>W228-55</f>
        <v>1815</v>
      </c>
      <c r="Y228" s="171">
        <f t="shared" si="55"/>
        <v>2.5423728813559324E-2</v>
      </c>
      <c r="Z228" s="64">
        <f t="shared" si="50"/>
        <v>5.6497175141242938E-2</v>
      </c>
      <c r="AA228" s="64">
        <f t="shared" si="44"/>
        <v>5.6497175141242938E-2</v>
      </c>
      <c r="AB228" s="71">
        <f t="shared" si="56"/>
        <v>1870</v>
      </c>
      <c r="AC228" s="64">
        <f t="shared" si="51"/>
        <v>5.6497175141242938E-2</v>
      </c>
      <c r="AD228" s="64">
        <f t="shared" si="45"/>
        <v>5.6497175141242938E-2</v>
      </c>
      <c r="AE228" s="71">
        <v>1850</v>
      </c>
      <c r="AF228" s="64">
        <f t="shared" si="52"/>
        <v>4.519774011299435E-2</v>
      </c>
      <c r="AG228" s="64">
        <f t="shared" si="46"/>
        <v>4.519774011299435E-2</v>
      </c>
      <c r="AH228" s="67"/>
      <c r="AI228" s="47" t="s">
        <v>54</v>
      </c>
      <c r="AJ228" s="47">
        <v>1050</v>
      </c>
      <c r="AK228" s="47" t="s">
        <v>140</v>
      </c>
      <c r="AL228" s="47" t="s">
        <v>65</v>
      </c>
      <c r="AM228" s="47" t="s">
        <v>1216</v>
      </c>
      <c r="AN228" s="50"/>
      <c r="AO228" s="211">
        <f t="shared" si="53"/>
        <v>-1</v>
      </c>
      <c r="AP228" s="47" t="s">
        <v>57</v>
      </c>
      <c r="AQ228" s="47" t="s">
        <v>1132</v>
      </c>
      <c r="AR228" s="47"/>
    </row>
    <row r="229" spans="1:44" hidden="1">
      <c r="A229" s="47" t="s">
        <v>44</v>
      </c>
      <c r="B229" s="47" t="str">
        <f t="shared" si="49"/>
        <v>August</v>
      </c>
      <c r="C229" s="59">
        <v>45518</v>
      </c>
      <c r="D229" s="47" t="s">
        <v>45</v>
      </c>
      <c r="E229" s="47" t="s">
        <v>59</v>
      </c>
      <c r="F229" s="47" t="s">
        <v>60</v>
      </c>
      <c r="G229" s="91" t="s">
        <v>1869</v>
      </c>
      <c r="H229" s="47" t="s">
        <v>1870</v>
      </c>
      <c r="I229" s="47" t="s">
        <v>63</v>
      </c>
      <c r="J229" s="47" t="s">
        <v>51</v>
      </c>
      <c r="K229" s="48">
        <v>45153</v>
      </c>
      <c r="L229" s="48">
        <v>45153</v>
      </c>
      <c r="M229" s="48">
        <v>45518</v>
      </c>
      <c r="N229" s="47" t="s">
        <v>52</v>
      </c>
      <c r="O229" s="55" t="s">
        <v>53</v>
      </c>
      <c r="P229" s="62">
        <v>21300</v>
      </c>
      <c r="Q229" s="62">
        <v>1775</v>
      </c>
      <c r="R229" s="96">
        <v>21720</v>
      </c>
      <c r="S229" s="62">
        <f t="shared" si="58"/>
        <v>1810</v>
      </c>
      <c r="T229" s="62">
        <v>20760</v>
      </c>
      <c r="U229" s="62">
        <f t="shared" si="59"/>
        <v>1730</v>
      </c>
      <c r="V229" s="69">
        <v>18900</v>
      </c>
      <c r="W229" s="71">
        <v>1835</v>
      </c>
      <c r="X229" s="105">
        <f>W229-55</f>
        <v>1780</v>
      </c>
      <c r="Y229" s="171">
        <f t="shared" si="55"/>
        <v>2.8901734104046242E-2</v>
      </c>
      <c r="Z229" s="64">
        <f t="shared" si="50"/>
        <v>6.0693641618497107E-2</v>
      </c>
      <c r="AA229" s="64">
        <f t="shared" ref="AA229:AA292" si="60">(W229-S229)/S229</f>
        <v>1.3812154696132596E-2</v>
      </c>
      <c r="AB229" s="71">
        <f t="shared" si="56"/>
        <v>1835</v>
      </c>
      <c r="AC229" s="64">
        <f t="shared" si="51"/>
        <v>6.0693641618497107E-2</v>
      </c>
      <c r="AD229" s="64">
        <f t="shared" ref="AD229:AD292" si="61">(AB229-S229)/S229</f>
        <v>1.3812154696132596E-2</v>
      </c>
      <c r="AE229" s="71">
        <f>AB229-20</f>
        <v>1815</v>
      </c>
      <c r="AF229" s="64">
        <f t="shared" si="52"/>
        <v>4.9132947976878616E-2</v>
      </c>
      <c r="AG229" s="64">
        <f t="shared" ref="AG229:AG292" si="62">(AE229-S229)/S229</f>
        <v>2.7624309392265192E-3</v>
      </c>
      <c r="AH229" s="67"/>
      <c r="AI229" s="47" t="s">
        <v>54</v>
      </c>
      <c r="AJ229" s="47">
        <v>1251</v>
      </c>
      <c r="AK229" s="47" t="s">
        <v>140</v>
      </c>
      <c r="AL229" s="47" t="s">
        <v>65</v>
      </c>
      <c r="AM229" s="47" t="s">
        <v>1139</v>
      </c>
      <c r="AN229" s="50"/>
      <c r="AO229" s="211">
        <f t="shared" si="53"/>
        <v>-1</v>
      </c>
      <c r="AP229" s="47" t="s">
        <v>57</v>
      </c>
      <c r="AQ229" s="47" t="s">
        <v>1132</v>
      </c>
      <c r="AR229" s="47"/>
    </row>
    <row r="230" spans="1:44">
      <c r="A230" s="47" t="s">
        <v>44</v>
      </c>
      <c r="B230" s="47" t="str">
        <f t="shared" si="49"/>
        <v>August</v>
      </c>
      <c r="C230" s="59">
        <v>45518</v>
      </c>
      <c r="D230" s="47" t="s">
        <v>45</v>
      </c>
      <c r="E230" s="47" t="s">
        <v>59</v>
      </c>
      <c r="F230" s="47" t="s">
        <v>60</v>
      </c>
      <c r="G230" s="91" t="s">
        <v>1878</v>
      </c>
      <c r="H230" s="47" t="s">
        <v>1879</v>
      </c>
      <c r="I230" s="47" t="s">
        <v>63</v>
      </c>
      <c r="J230" s="47" t="s">
        <v>51</v>
      </c>
      <c r="K230" s="48">
        <v>44791</v>
      </c>
      <c r="L230" s="48">
        <v>45153</v>
      </c>
      <c r="M230" s="48">
        <v>45518</v>
      </c>
      <c r="N230" s="47" t="s">
        <v>64</v>
      </c>
      <c r="O230" s="55" t="s">
        <v>53</v>
      </c>
      <c r="P230" s="62">
        <v>15420</v>
      </c>
      <c r="Q230" s="62">
        <v>1285</v>
      </c>
      <c r="R230" s="96">
        <v>15960</v>
      </c>
      <c r="S230" s="62">
        <f t="shared" si="58"/>
        <v>1330</v>
      </c>
      <c r="T230" s="62">
        <v>15780</v>
      </c>
      <c r="U230" s="62">
        <f t="shared" si="59"/>
        <v>1315</v>
      </c>
      <c r="V230" s="69">
        <v>14280</v>
      </c>
      <c r="W230" s="71">
        <v>1405</v>
      </c>
      <c r="X230" s="105">
        <f>W230-25</f>
        <v>1380</v>
      </c>
      <c r="Y230" s="171">
        <f t="shared" si="55"/>
        <v>4.9429657794676805E-2</v>
      </c>
      <c r="Z230" s="64">
        <f t="shared" si="50"/>
        <v>6.8441064638783272E-2</v>
      </c>
      <c r="AA230" s="64">
        <f t="shared" si="60"/>
        <v>5.6390977443609019E-2</v>
      </c>
      <c r="AB230" s="71">
        <f t="shared" si="56"/>
        <v>1405</v>
      </c>
      <c r="AC230" s="64">
        <f t="shared" si="51"/>
        <v>6.8441064638783272E-2</v>
      </c>
      <c r="AD230" s="64">
        <f t="shared" si="61"/>
        <v>5.6390977443609019E-2</v>
      </c>
      <c r="AE230" s="71">
        <v>1375</v>
      </c>
      <c r="AF230" s="64">
        <f t="shared" si="52"/>
        <v>4.5627376425855515E-2</v>
      </c>
      <c r="AG230" s="64">
        <f t="shared" si="62"/>
        <v>3.3834586466165412E-2</v>
      </c>
      <c r="AH230" s="67"/>
      <c r="AI230" s="47" t="s">
        <v>250</v>
      </c>
      <c r="AJ230" s="47">
        <v>733</v>
      </c>
      <c r="AK230" s="47" t="s">
        <v>65</v>
      </c>
      <c r="AL230" s="47" t="s">
        <v>65</v>
      </c>
      <c r="AM230" s="47" t="s">
        <v>1880</v>
      </c>
      <c r="AN230" s="50"/>
      <c r="AO230" s="211">
        <f t="shared" si="53"/>
        <v>-1</v>
      </c>
      <c r="AP230" s="47" t="s">
        <v>57</v>
      </c>
      <c r="AQ230" s="47" t="s">
        <v>1132</v>
      </c>
      <c r="AR230" s="47"/>
    </row>
    <row r="231" spans="1:44">
      <c r="A231" s="47" t="s">
        <v>44</v>
      </c>
      <c r="B231" s="47" t="str">
        <f t="shared" si="49"/>
        <v>August</v>
      </c>
      <c r="C231" s="59">
        <v>45519</v>
      </c>
      <c r="D231" s="47" t="s">
        <v>45</v>
      </c>
      <c r="E231" s="47" t="s">
        <v>59</v>
      </c>
      <c r="F231" s="47" t="s">
        <v>60</v>
      </c>
      <c r="G231" s="91" t="s">
        <v>1949</v>
      </c>
      <c r="H231" s="47" t="s">
        <v>1950</v>
      </c>
      <c r="I231" s="47" t="s">
        <v>63</v>
      </c>
      <c r="J231" s="47" t="s">
        <v>51</v>
      </c>
      <c r="K231" s="48">
        <v>44789</v>
      </c>
      <c r="L231" s="48">
        <v>45154</v>
      </c>
      <c r="M231" s="48">
        <v>45519</v>
      </c>
      <c r="N231" s="47" t="s">
        <v>64</v>
      </c>
      <c r="O231" s="55" t="s">
        <v>53</v>
      </c>
      <c r="P231" s="62">
        <v>12600</v>
      </c>
      <c r="Q231" s="62">
        <v>1050</v>
      </c>
      <c r="R231" s="96">
        <v>13080</v>
      </c>
      <c r="S231" s="62">
        <f t="shared" si="58"/>
        <v>1090</v>
      </c>
      <c r="T231" s="62">
        <v>12900</v>
      </c>
      <c r="U231" s="62">
        <f t="shared" si="59"/>
        <v>1075</v>
      </c>
      <c r="V231" s="69">
        <v>11460</v>
      </c>
      <c r="W231" s="71">
        <v>1145</v>
      </c>
      <c r="X231" s="105">
        <f>W231-30</f>
        <v>1115</v>
      </c>
      <c r="Y231" s="171">
        <f t="shared" ref="Y231:Y262" si="63">(X231-U231)/U231</f>
        <v>3.7209302325581395E-2</v>
      </c>
      <c r="Z231" s="64">
        <f t="shared" si="50"/>
        <v>6.5116279069767441E-2</v>
      </c>
      <c r="AA231" s="64">
        <f t="shared" si="60"/>
        <v>5.0458715596330278E-2</v>
      </c>
      <c r="AB231" s="71">
        <f t="shared" ref="AB231:AB262" si="64">W231</f>
        <v>1145</v>
      </c>
      <c r="AC231" s="64">
        <f t="shared" si="51"/>
        <v>6.5116279069767441E-2</v>
      </c>
      <c r="AD231" s="64">
        <f t="shared" si="61"/>
        <v>5.0458715596330278E-2</v>
      </c>
      <c r="AE231" s="71">
        <f>AB231-20</f>
        <v>1125</v>
      </c>
      <c r="AF231" s="64">
        <f t="shared" si="52"/>
        <v>4.6511627906976744E-2</v>
      </c>
      <c r="AG231" s="64">
        <f t="shared" si="62"/>
        <v>3.2110091743119268E-2</v>
      </c>
      <c r="AH231" s="67"/>
      <c r="AI231" s="47" t="s">
        <v>54</v>
      </c>
      <c r="AJ231" s="47">
        <v>522</v>
      </c>
      <c r="AK231" s="47" t="s">
        <v>55</v>
      </c>
      <c r="AL231" s="47" t="s">
        <v>55</v>
      </c>
      <c r="AM231" s="47" t="s">
        <v>1422</v>
      </c>
      <c r="AN231" s="50"/>
      <c r="AO231" s="211">
        <f t="shared" si="53"/>
        <v>-1</v>
      </c>
      <c r="AP231" s="47" t="s">
        <v>57</v>
      </c>
      <c r="AQ231" s="47" t="s">
        <v>1132</v>
      </c>
      <c r="AR231" s="47"/>
    </row>
    <row r="232" spans="1:44" hidden="1">
      <c r="A232" s="47" t="s">
        <v>44</v>
      </c>
      <c r="B232" s="47" t="str">
        <f t="shared" si="49"/>
        <v>August</v>
      </c>
      <c r="C232" s="59">
        <v>45519</v>
      </c>
      <c r="D232" s="47" t="s">
        <v>45</v>
      </c>
      <c r="E232" s="47" t="s">
        <v>59</v>
      </c>
      <c r="F232" s="47" t="s">
        <v>60</v>
      </c>
      <c r="G232" s="91" t="s">
        <v>1951</v>
      </c>
      <c r="H232" s="47" t="s">
        <v>1952</v>
      </c>
      <c r="I232" s="47" t="s">
        <v>63</v>
      </c>
      <c r="J232" s="47" t="s">
        <v>51</v>
      </c>
      <c r="K232" s="48">
        <v>45154</v>
      </c>
      <c r="L232" s="48">
        <v>45154</v>
      </c>
      <c r="M232" s="48">
        <v>45519</v>
      </c>
      <c r="N232" s="47" t="s">
        <v>52</v>
      </c>
      <c r="O232" s="55" t="s">
        <v>53</v>
      </c>
      <c r="P232" s="62">
        <v>15780</v>
      </c>
      <c r="Q232" s="62">
        <v>1315</v>
      </c>
      <c r="R232" s="96">
        <v>16320</v>
      </c>
      <c r="S232" s="62">
        <f t="shared" si="58"/>
        <v>1360</v>
      </c>
      <c r="T232" s="62">
        <v>15780</v>
      </c>
      <c r="U232" s="62">
        <f t="shared" si="59"/>
        <v>1315</v>
      </c>
      <c r="V232" s="69">
        <v>14940</v>
      </c>
      <c r="W232" s="71">
        <v>1395</v>
      </c>
      <c r="X232" s="105">
        <f>W232-25</f>
        <v>1370</v>
      </c>
      <c r="Y232" s="171">
        <f t="shared" si="63"/>
        <v>4.1825095057034217E-2</v>
      </c>
      <c r="Z232" s="64">
        <f t="shared" si="50"/>
        <v>6.0836501901140684E-2</v>
      </c>
      <c r="AA232" s="64">
        <f t="shared" si="60"/>
        <v>2.5735294117647058E-2</v>
      </c>
      <c r="AB232" s="71">
        <f t="shared" si="64"/>
        <v>1395</v>
      </c>
      <c r="AC232" s="64">
        <f t="shared" si="51"/>
        <v>6.0836501901140684E-2</v>
      </c>
      <c r="AD232" s="64">
        <f t="shared" si="61"/>
        <v>2.5735294117647058E-2</v>
      </c>
      <c r="AE232" s="71">
        <v>1375</v>
      </c>
      <c r="AF232" s="64">
        <f t="shared" si="52"/>
        <v>4.5627376425855515E-2</v>
      </c>
      <c r="AG232" s="64">
        <f t="shared" si="62"/>
        <v>1.1029411764705883E-2</v>
      </c>
      <c r="AH232" s="67"/>
      <c r="AI232" s="47" t="s">
        <v>54</v>
      </c>
      <c r="AJ232" s="47">
        <v>711</v>
      </c>
      <c r="AK232" s="47" t="s">
        <v>65</v>
      </c>
      <c r="AL232" s="47" t="s">
        <v>65</v>
      </c>
      <c r="AM232" s="47" t="s">
        <v>515</v>
      </c>
      <c r="AN232" s="50"/>
      <c r="AO232" s="211">
        <f t="shared" si="53"/>
        <v>-1</v>
      </c>
      <c r="AP232" s="47" t="s">
        <v>57</v>
      </c>
      <c r="AQ232" s="47" t="s">
        <v>1132</v>
      </c>
      <c r="AR232" s="47"/>
    </row>
    <row r="233" spans="1:44">
      <c r="A233" s="47" t="s">
        <v>44</v>
      </c>
      <c r="B233" s="47" t="str">
        <f t="shared" si="49"/>
        <v>August</v>
      </c>
      <c r="C233" s="59">
        <v>45519</v>
      </c>
      <c r="D233" s="47" t="s">
        <v>45</v>
      </c>
      <c r="E233" s="47" t="s">
        <v>59</v>
      </c>
      <c r="F233" s="47" t="s">
        <v>60</v>
      </c>
      <c r="G233" s="91" t="s">
        <v>1953</v>
      </c>
      <c r="H233" s="47" t="s">
        <v>1954</v>
      </c>
      <c r="I233" s="47" t="s">
        <v>63</v>
      </c>
      <c r="J233" s="47" t="s">
        <v>51</v>
      </c>
      <c r="K233" s="48">
        <v>44789</v>
      </c>
      <c r="L233" s="48">
        <v>45154</v>
      </c>
      <c r="M233" s="48">
        <v>45519</v>
      </c>
      <c r="N233" s="47" t="s">
        <v>64</v>
      </c>
      <c r="O233" s="55" t="s">
        <v>53</v>
      </c>
      <c r="P233" s="62">
        <v>12000</v>
      </c>
      <c r="Q233" s="62">
        <v>1000</v>
      </c>
      <c r="R233" s="96">
        <v>12480</v>
      </c>
      <c r="S233" s="62">
        <f t="shared" si="58"/>
        <v>1040</v>
      </c>
      <c r="T233" s="62">
        <v>12480</v>
      </c>
      <c r="U233" s="62">
        <f t="shared" si="59"/>
        <v>1040</v>
      </c>
      <c r="V233" s="69">
        <v>11400</v>
      </c>
      <c r="W233" s="71">
        <v>1135</v>
      </c>
      <c r="X233" s="105">
        <f>W233-30</f>
        <v>1105</v>
      </c>
      <c r="Y233" s="171">
        <f t="shared" si="63"/>
        <v>6.25E-2</v>
      </c>
      <c r="Z233" s="64">
        <f t="shared" si="50"/>
        <v>9.1346153846153841E-2</v>
      </c>
      <c r="AA233" s="64">
        <f t="shared" si="60"/>
        <v>9.1346153846153841E-2</v>
      </c>
      <c r="AB233" s="71">
        <f t="shared" si="64"/>
        <v>1135</v>
      </c>
      <c r="AC233" s="64">
        <f t="shared" si="51"/>
        <v>9.1346153846153841E-2</v>
      </c>
      <c r="AD233" s="64">
        <f t="shared" si="61"/>
        <v>9.1346153846153841E-2</v>
      </c>
      <c r="AE233" s="71">
        <v>1100</v>
      </c>
      <c r="AF233" s="64">
        <f t="shared" si="52"/>
        <v>5.7692307692307696E-2</v>
      </c>
      <c r="AG233" s="64">
        <f t="shared" si="62"/>
        <v>5.7692307692307696E-2</v>
      </c>
      <c r="AH233" s="67"/>
      <c r="AI233" s="47" t="s">
        <v>54</v>
      </c>
      <c r="AJ233" s="47">
        <v>501</v>
      </c>
      <c r="AK233" s="47" t="s">
        <v>55</v>
      </c>
      <c r="AL233" s="47" t="s">
        <v>55</v>
      </c>
      <c r="AM233" s="47" t="s">
        <v>484</v>
      </c>
      <c r="AN233" s="50">
        <v>1105</v>
      </c>
      <c r="AO233" s="211">
        <f t="shared" si="53"/>
        <v>6.25E-2</v>
      </c>
      <c r="AP233" s="47" t="s">
        <v>57</v>
      </c>
      <c r="AQ233" s="47" t="s">
        <v>1132</v>
      </c>
      <c r="AR233" s="47"/>
    </row>
    <row r="234" spans="1:44">
      <c r="A234" s="47" t="s">
        <v>44</v>
      </c>
      <c r="B234" s="47" t="str">
        <f t="shared" si="49"/>
        <v>August</v>
      </c>
      <c r="C234" s="59">
        <v>45520</v>
      </c>
      <c r="D234" s="47" t="s">
        <v>45</v>
      </c>
      <c r="E234" s="47" t="s">
        <v>59</v>
      </c>
      <c r="F234" s="47" t="s">
        <v>60</v>
      </c>
      <c r="G234" s="91" t="s">
        <v>2004</v>
      </c>
      <c r="H234" s="47" t="s">
        <v>2005</v>
      </c>
      <c r="I234" s="47" t="s">
        <v>63</v>
      </c>
      <c r="J234" s="47" t="s">
        <v>51</v>
      </c>
      <c r="K234" s="48">
        <v>44425</v>
      </c>
      <c r="L234" s="48">
        <v>45155</v>
      </c>
      <c r="M234" s="48">
        <v>45520</v>
      </c>
      <c r="N234" s="47" t="s">
        <v>64</v>
      </c>
      <c r="O234" s="55" t="s">
        <v>53</v>
      </c>
      <c r="P234" s="62">
        <v>15780</v>
      </c>
      <c r="Q234" s="62">
        <v>1315</v>
      </c>
      <c r="R234" s="96">
        <v>16320</v>
      </c>
      <c r="S234" s="62">
        <f t="shared" si="58"/>
        <v>1360</v>
      </c>
      <c r="T234" s="62">
        <v>15720</v>
      </c>
      <c r="U234" s="62">
        <f t="shared" si="59"/>
        <v>1310</v>
      </c>
      <c r="V234" s="69">
        <v>14100</v>
      </c>
      <c r="W234" s="71">
        <v>1390</v>
      </c>
      <c r="X234" s="105">
        <f>W234-25</f>
        <v>1365</v>
      </c>
      <c r="Y234" s="171">
        <f t="shared" si="63"/>
        <v>4.1984732824427481E-2</v>
      </c>
      <c r="Z234" s="64">
        <f t="shared" si="50"/>
        <v>6.1068702290076333E-2</v>
      </c>
      <c r="AA234" s="64">
        <f t="shared" si="60"/>
        <v>2.2058823529411766E-2</v>
      </c>
      <c r="AB234" s="71">
        <f t="shared" si="64"/>
        <v>1390</v>
      </c>
      <c r="AC234" s="64">
        <f t="shared" si="51"/>
        <v>6.1068702290076333E-2</v>
      </c>
      <c r="AD234" s="64">
        <f t="shared" si="61"/>
        <v>2.2058823529411766E-2</v>
      </c>
      <c r="AE234" s="71">
        <f>AB234</f>
        <v>1390</v>
      </c>
      <c r="AF234" s="64">
        <f t="shared" si="52"/>
        <v>6.1068702290076333E-2</v>
      </c>
      <c r="AG234" s="64">
        <f t="shared" si="62"/>
        <v>2.2058823529411766E-2</v>
      </c>
      <c r="AH234" s="67"/>
      <c r="AI234" s="47" t="s">
        <v>54</v>
      </c>
      <c r="AJ234" s="47">
        <v>810</v>
      </c>
      <c r="AK234" s="47" t="s">
        <v>65</v>
      </c>
      <c r="AL234" s="47" t="s">
        <v>65</v>
      </c>
      <c r="AM234" s="47" t="s">
        <v>185</v>
      </c>
      <c r="AN234" s="50"/>
      <c r="AO234" s="211">
        <f t="shared" si="53"/>
        <v>-1</v>
      </c>
      <c r="AP234" s="47" t="s">
        <v>57</v>
      </c>
      <c r="AQ234" s="47" t="s">
        <v>1132</v>
      </c>
      <c r="AR234" s="47"/>
    </row>
    <row r="235" spans="1:44">
      <c r="A235" s="47" t="s">
        <v>44</v>
      </c>
      <c r="B235" s="47" t="str">
        <f t="shared" si="49"/>
        <v>August</v>
      </c>
      <c r="C235" s="59">
        <v>45520</v>
      </c>
      <c r="D235" s="47" t="s">
        <v>45</v>
      </c>
      <c r="E235" s="47" t="s">
        <v>59</v>
      </c>
      <c r="F235" s="47" t="s">
        <v>60</v>
      </c>
      <c r="G235" s="91" t="s">
        <v>2006</v>
      </c>
      <c r="H235" s="47" t="s">
        <v>2007</v>
      </c>
      <c r="I235" s="47" t="s">
        <v>63</v>
      </c>
      <c r="J235" s="47" t="s">
        <v>51</v>
      </c>
      <c r="K235" s="48">
        <v>44790</v>
      </c>
      <c r="L235" s="48">
        <v>45155</v>
      </c>
      <c r="M235" s="48">
        <v>45520</v>
      </c>
      <c r="N235" s="47" t="s">
        <v>64</v>
      </c>
      <c r="O235" s="55" t="s">
        <v>53</v>
      </c>
      <c r="P235" s="62">
        <v>15540</v>
      </c>
      <c r="Q235" s="62">
        <v>1295</v>
      </c>
      <c r="R235" s="96">
        <v>16080</v>
      </c>
      <c r="S235" s="62">
        <f t="shared" si="58"/>
        <v>1340</v>
      </c>
      <c r="T235" s="62">
        <v>15540</v>
      </c>
      <c r="U235" s="62">
        <f t="shared" si="59"/>
        <v>1295</v>
      </c>
      <c r="V235" s="69">
        <v>14100</v>
      </c>
      <c r="W235" s="71">
        <v>1390</v>
      </c>
      <c r="X235" s="105">
        <f>W235-25</f>
        <v>1365</v>
      </c>
      <c r="Y235" s="171">
        <f t="shared" si="63"/>
        <v>5.4054054054054057E-2</v>
      </c>
      <c r="Z235" s="64">
        <f t="shared" si="50"/>
        <v>7.3359073359073365E-2</v>
      </c>
      <c r="AA235" s="64">
        <f t="shared" si="60"/>
        <v>3.7313432835820892E-2</v>
      </c>
      <c r="AB235" s="71">
        <f t="shared" si="64"/>
        <v>1390</v>
      </c>
      <c r="AC235" s="64">
        <f t="shared" si="51"/>
        <v>7.3359073359073365E-2</v>
      </c>
      <c r="AD235" s="64">
        <f t="shared" si="61"/>
        <v>3.7313432835820892E-2</v>
      </c>
      <c r="AE235" s="71">
        <v>1360</v>
      </c>
      <c r="AF235" s="64">
        <f t="shared" si="52"/>
        <v>5.019305019305019E-2</v>
      </c>
      <c r="AG235" s="64">
        <f t="shared" si="62"/>
        <v>1.4925373134328358E-2</v>
      </c>
      <c r="AH235" s="67"/>
      <c r="AI235" s="47" t="s">
        <v>54</v>
      </c>
      <c r="AJ235" s="47">
        <v>711</v>
      </c>
      <c r="AK235" s="47" t="s">
        <v>65</v>
      </c>
      <c r="AL235" s="47" t="s">
        <v>65</v>
      </c>
      <c r="AM235" s="47" t="s">
        <v>66</v>
      </c>
      <c r="AN235" s="50"/>
      <c r="AO235" s="211">
        <f t="shared" si="53"/>
        <v>-1</v>
      </c>
      <c r="AP235" s="47" t="s">
        <v>57</v>
      </c>
      <c r="AQ235" s="47" t="s">
        <v>1132</v>
      </c>
      <c r="AR235" s="47"/>
    </row>
    <row r="236" spans="1:44">
      <c r="A236" s="47" t="s">
        <v>44</v>
      </c>
      <c r="B236" s="47" t="str">
        <f t="shared" si="49"/>
        <v>August</v>
      </c>
      <c r="C236" s="59">
        <v>45520</v>
      </c>
      <c r="D236" s="47" t="s">
        <v>45</v>
      </c>
      <c r="E236" s="47" t="s">
        <v>59</v>
      </c>
      <c r="F236" s="47" t="s">
        <v>60</v>
      </c>
      <c r="G236" s="91" t="s">
        <v>2045</v>
      </c>
      <c r="H236" s="47" t="s">
        <v>2046</v>
      </c>
      <c r="I236" s="47" t="s">
        <v>63</v>
      </c>
      <c r="J236" s="47" t="s">
        <v>51</v>
      </c>
      <c r="K236" s="48">
        <v>44790</v>
      </c>
      <c r="L236" s="48">
        <v>44790</v>
      </c>
      <c r="M236" s="48">
        <v>45520</v>
      </c>
      <c r="N236" s="47" t="s">
        <v>64</v>
      </c>
      <c r="O236" s="55" t="s">
        <v>53</v>
      </c>
      <c r="P236" s="62">
        <v>12360</v>
      </c>
      <c r="Q236" s="62">
        <v>1030</v>
      </c>
      <c r="R236" s="96">
        <v>12840</v>
      </c>
      <c r="S236" s="62">
        <f t="shared" si="58"/>
        <v>1070</v>
      </c>
      <c r="T236" s="62">
        <v>12112.8</v>
      </c>
      <c r="U236" s="62">
        <f t="shared" si="59"/>
        <v>1009.4</v>
      </c>
      <c r="V236" s="69">
        <v>11760</v>
      </c>
      <c r="W236" s="71">
        <v>1140</v>
      </c>
      <c r="X236" s="105">
        <f>W236-30</f>
        <v>1110</v>
      </c>
      <c r="Y236" s="171">
        <f t="shared" si="63"/>
        <v>9.9663166237368761E-2</v>
      </c>
      <c r="Z236" s="64">
        <f t="shared" si="50"/>
        <v>0.12938379235189224</v>
      </c>
      <c r="AA236" s="64">
        <f t="shared" si="60"/>
        <v>6.5420560747663545E-2</v>
      </c>
      <c r="AB236" s="71">
        <f t="shared" si="64"/>
        <v>1140</v>
      </c>
      <c r="AC236" s="64">
        <f t="shared" si="51"/>
        <v>0.12938379235189224</v>
      </c>
      <c r="AD236" s="64">
        <f t="shared" si="61"/>
        <v>6.5420560747663545E-2</v>
      </c>
      <c r="AE236" s="71">
        <v>1100</v>
      </c>
      <c r="AF236" s="64">
        <f t="shared" si="52"/>
        <v>8.9756290865860927E-2</v>
      </c>
      <c r="AG236" s="64">
        <f t="shared" si="62"/>
        <v>2.8037383177570093E-2</v>
      </c>
      <c r="AH236" s="67"/>
      <c r="AI236" s="47" t="s">
        <v>54</v>
      </c>
      <c r="AJ236" s="47">
        <v>589</v>
      </c>
      <c r="AK236" s="47" t="s">
        <v>55</v>
      </c>
      <c r="AL236" s="47" t="s">
        <v>55</v>
      </c>
      <c r="AM236" s="47" t="s">
        <v>234</v>
      </c>
      <c r="AN236" s="50">
        <v>1100</v>
      </c>
      <c r="AO236" s="211">
        <f t="shared" si="53"/>
        <v>8.9756290865860927E-2</v>
      </c>
      <c r="AP236" s="47" t="s">
        <v>57</v>
      </c>
      <c r="AQ236" s="47" t="s">
        <v>1132</v>
      </c>
      <c r="AR236" s="47"/>
    </row>
    <row r="237" spans="1:44" hidden="1">
      <c r="A237" s="47" t="s">
        <v>44</v>
      </c>
      <c r="B237" s="47" t="str">
        <f t="shared" si="49"/>
        <v>August</v>
      </c>
      <c r="C237" s="59">
        <v>45521</v>
      </c>
      <c r="D237" s="47" t="s">
        <v>45</v>
      </c>
      <c r="E237" s="47" t="s">
        <v>59</v>
      </c>
      <c r="F237" s="47" t="s">
        <v>60</v>
      </c>
      <c r="G237" s="91" t="s">
        <v>2115</v>
      </c>
      <c r="H237" s="47" t="s">
        <v>2116</v>
      </c>
      <c r="I237" s="47" t="s">
        <v>63</v>
      </c>
      <c r="J237" s="47" t="s">
        <v>51</v>
      </c>
      <c r="K237" s="48">
        <v>45156</v>
      </c>
      <c r="L237" s="48">
        <v>45156</v>
      </c>
      <c r="M237" s="48">
        <v>45521</v>
      </c>
      <c r="N237" s="47" t="s">
        <v>52</v>
      </c>
      <c r="O237" s="55" t="s">
        <v>53</v>
      </c>
      <c r="P237" s="62">
        <v>16200</v>
      </c>
      <c r="Q237" s="62">
        <v>1350</v>
      </c>
      <c r="R237" s="96">
        <v>16740</v>
      </c>
      <c r="S237" s="62">
        <f t="shared" si="58"/>
        <v>1395</v>
      </c>
      <c r="T237" s="62">
        <v>16200</v>
      </c>
      <c r="U237" s="62">
        <f t="shared" si="59"/>
        <v>1350</v>
      </c>
      <c r="V237" s="69">
        <v>14160</v>
      </c>
      <c r="W237" s="71">
        <v>1430</v>
      </c>
      <c r="X237" s="105">
        <f>W237-25</f>
        <v>1405</v>
      </c>
      <c r="Y237" s="171">
        <f t="shared" si="63"/>
        <v>4.0740740740740744E-2</v>
      </c>
      <c r="Z237" s="64">
        <f t="shared" si="50"/>
        <v>5.9259259259259262E-2</v>
      </c>
      <c r="AA237" s="64">
        <f t="shared" si="60"/>
        <v>2.5089605734767026E-2</v>
      </c>
      <c r="AB237" s="71">
        <f t="shared" si="64"/>
        <v>1430</v>
      </c>
      <c r="AC237" s="64">
        <f t="shared" si="51"/>
        <v>5.9259259259259262E-2</v>
      </c>
      <c r="AD237" s="64">
        <f t="shared" si="61"/>
        <v>2.5089605734767026E-2</v>
      </c>
      <c r="AE237" s="71">
        <f>AB237-20</f>
        <v>1410</v>
      </c>
      <c r="AF237" s="64">
        <f t="shared" si="52"/>
        <v>4.4444444444444446E-2</v>
      </c>
      <c r="AG237" s="64">
        <f t="shared" si="62"/>
        <v>1.0752688172043012E-2</v>
      </c>
      <c r="AH237" s="67"/>
      <c r="AI237" s="47" t="s">
        <v>54</v>
      </c>
      <c r="AJ237" s="47">
        <v>765</v>
      </c>
      <c r="AK237" s="47" t="s">
        <v>65</v>
      </c>
      <c r="AL237" s="47" t="s">
        <v>65</v>
      </c>
      <c r="AM237" s="47" t="s">
        <v>69</v>
      </c>
      <c r="AN237" s="50"/>
      <c r="AO237" s="211">
        <f t="shared" si="53"/>
        <v>-1</v>
      </c>
      <c r="AP237" s="47" t="s">
        <v>57</v>
      </c>
      <c r="AQ237" s="47" t="s">
        <v>1132</v>
      </c>
      <c r="AR237" s="47"/>
    </row>
    <row r="238" spans="1:44" hidden="1">
      <c r="A238" s="47" t="s">
        <v>44</v>
      </c>
      <c r="B238" s="47" t="str">
        <f t="shared" si="49"/>
        <v>August</v>
      </c>
      <c r="C238" s="59">
        <v>45521</v>
      </c>
      <c r="D238" s="47" t="s">
        <v>45</v>
      </c>
      <c r="E238" s="47" t="s">
        <v>59</v>
      </c>
      <c r="F238" s="47" t="s">
        <v>60</v>
      </c>
      <c r="G238" s="91" t="s">
        <v>2119</v>
      </c>
      <c r="H238" s="47" t="s">
        <v>2120</v>
      </c>
      <c r="I238" s="47" t="s">
        <v>63</v>
      </c>
      <c r="J238" s="47" t="s">
        <v>51</v>
      </c>
      <c r="K238" s="48">
        <v>45156</v>
      </c>
      <c r="L238" s="48">
        <v>45156</v>
      </c>
      <c r="M238" s="48">
        <v>45521</v>
      </c>
      <c r="N238" s="47" t="s">
        <v>52</v>
      </c>
      <c r="O238" s="55" t="s">
        <v>53</v>
      </c>
      <c r="P238" s="62">
        <v>13200</v>
      </c>
      <c r="Q238" s="62">
        <v>1100</v>
      </c>
      <c r="R238" s="96">
        <v>13740</v>
      </c>
      <c r="S238" s="62">
        <f t="shared" si="58"/>
        <v>1145</v>
      </c>
      <c r="T238" s="62">
        <v>13200</v>
      </c>
      <c r="U238" s="62">
        <f t="shared" si="59"/>
        <v>1100</v>
      </c>
      <c r="V238" s="69">
        <v>12300</v>
      </c>
      <c r="W238" s="71">
        <v>1190</v>
      </c>
      <c r="X238" s="105">
        <f>W238-30</f>
        <v>1160</v>
      </c>
      <c r="Y238" s="171">
        <f t="shared" si="63"/>
        <v>5.4545454545454543E-2</v>
      </c>
      <c r="Z238" s="64">
        <f t="shared" si="50"/>
        <v>8.1818181818181818E-2</v>
      </c>
      <c r="AA238" s="64">
        <f t="shared" si="60"/>
        <v>3.9301310043668124E-2</v>
      </c>
      <c r="AB238" s="71">
        <f t="shared" si="64"/>
        <v>1190</v>
      </c>
      <c r="AC238" s="64">
        <f t="shared" si="51"/>
        <v>8.1818181818181818E-2</v>
      </c>
      <c r="AD238" s="64">
        <f t="shared" si="61"/>
        <v>3.9301310043668124E-2</v>
      </c>
      <c r="AE238" s="71">
        <v>1160</v>
      </c>
      <c r="AF238" s="64">
        <f t="shared" si="52"/>
        <v>5.4545454545454543E-2</v>
      </c>
      <c r="AG238" s="64">
        <f t="shared" si="62"/>
        <v>1.3100436681222707E-2</v>
      </c>
      <c r="AH238" s="67"/>
      <c r="AI238" s="47" t="s">
        <v>54</v>
      </c>
      <c r="AJ238" s="47">
        <v>491</v>
      </c>
      <c r="AK238" s="47" t="s">
        <v>55</v>
      </c>
      <c r="AL238" s="47" t="s">
        <v>55</v>
      </c>
      <c r="AM238" s="47" t="s">
        <v>2121</v>
      </c>
      <c r="AN238" s="50"/>
      <c r="AO238" s="211">
        <f t="shared" si="53"/>
        <v>-1</v>
      </c>
      <c r="AP238" s="47" t="s">
        <v>57</v>
      </c>
      <c r="AQ238" s="47" t="s">
        <v>1132</v>
      </c>
      <c r="AR238" s="47"/>
    </row>
    <row r="239" spans="1:44">
      <c r="A239" s="47" t="s">
        <v>44</v>
      </c>
      <c r="B239" s="47" t="str">
        <f t="shared" si="49"/>
        <v>August</v>
      </c>
      <c r="C239" s="59">
        <v>45521</v>
      </c>
      <c r="D239" s="47" t="s">
        <v>45</v>
      </c>
      <c r="E239" s="47" t="s">
        <v>59</v>
      </c>
      <c r="F239" s="47" t="s">
        <v>60</v>
      </c>
      <c r="G239" s="91" t="s">
        <v>2122</v>
      </c>
      <c r="H239" s="47" t="s">
        <v>2123</v>
      </c>
      <c r="I239" s="47" t="s">
        <v>63</v>
      </c>
      <c r="J239" s="47" t="s">
        <v>51</v>
      </c>
      <c r="K239" s="48">
        <v>44791</v>
      </c>
      <c r="L239" s="48">
        <v>45156</v>
      </c>
      <c r="M239" s="48">
        <v>45521</v>
      </c>
      <c r="N239" s="47" t="s">
        <v>64</v>
      </c>
      <c r="O239" s="55" t="s">
        <v>53</v>
      </c>
      <c r="P239" s="62">
        <v>15420</v>
      </c>
      <c r="Q239" s="62">
        <v>1285</v>
      </c>
      <c r="R239" s="96">
        <v>15960</v>
      </c>
      <c r="S239" s="62">
        <f t="shared" si="58"/>
        <v>1330</v>
      </c>
      <c r="T239" s="62">
        <v>15600</v>
      </c>
      <c r="U239" s="62">
        <f t="shared" si="59"/>
        <v>1300</v>
      </c>
      <c r="V239" s="69">
        <v>14220</v>
      </c>
      <c r="W239" s="71">
        <v>1400</v>
      </c>
      <c r="X239" s="105">
        <f>W239-25</f>
        <v>1375</v>
      </c>
      <c r="Y239" s="171">
        <f t="shared" si="63"/>
        <v>5.7692307692307696E-2</v>
      </c>
      <c r="Z239" s="64">
        <f t="shared" si="50"/>
        <v>7.6923076923076927E-2</v>
      </c>
      <c r="AA239" s="64">
        <f t="shared" si="60"/>
        <v>5.2631578947368418E-2</v>
      </c>
      <c r="AB239" s="71">
        <f t="shared" si="64"/>
        <v>1400</v>
      </c>
      <c r="AC239" s="64">
        <f t="shared" si="51"/>
        <v>7.6923076923076927E-2</v>
      </c>
      <c r="AD239" s="64">
        <f t="shared" si="61"/>
        <v>5.2631578947368418E-2</v>
      </c>
      <c r="AE239" s="71">
        <v>1375</v>
      </c>
      <c r="AF239" s="64">
        <f t="shared" si="52"/>
        <v>5.7692307692307696E-2</v>
      </c>
      <c r="AG239" s="64">
        <f t="shared" si="62"/>
        <v>3.3834586466165412E-2</v>
      </c>
      <c r="AH239" s="67"/>
      <c r="AI239" s="47" t="s">
        <v>54</v>
      </c>
      <c r="AJ239" s="47">
        <v>717</v>
      </c>
      <c r="AK239" s="47" t="s">
        <v>65</v>
      </c>
      <c r="AL239" s="47" t="s">
        <v>65</v>
      </c>
      <c r="AM239" s="47" t="s">
        <v>185</v>
      </c>
      <c r="AN239" s="50"/>
      <c r="AO239" s="211">
        <f t="shared" si="53"/>
        <v>-1</v>
      </c>
      <c r="AP239" s="47" t="s">
        <v>57</v>
      </c>
      <c r="AQ239" s="47" t="s">
        <v>1132</v>
      </c>
      <c r="AR239" s="47"/>
    </row>
    <row r="240" spans="1:44">
      <c r="A240" s="47" t="s">
        <v>44</v>
      </c>
      <c r="B240" s="47" t="str">
        <f t="shared" si="49"/>
        <v>August</v>
      </c>
      <c r="C240" s="59">
        <v>45523</v>
      </c>
      <c r="D240" s="47" t="s">
        <v>45</v>
      </c>
      <c r="E240" s="47" t="s">
        <v>59</v>
      </c>
      <c r="F240" s="47" t="s">
        <v>60</v>
      </c>
      <c r="G240" s="91" t="s">
        <v>2305</v>
      </c>
      <c r="H240" s="47" t="s">
        <v>2306</v>
      </c>
      <c r="I240" s="47" t="s">
        <v>63</v>
      </c>
      <c r="J240" s="47" t="s">
        <v>51</v>
      </c>
      <c r="K240" s="48">
        <v>44428</v>
      </c>
      <c r="L240" s="48">
        <v>45158</v>
      </c>
      <c r="M240" s="48">
        <v>45523</v>
      </c>
      <c r="N240" s="47" t="s">
        <v>64</v>
      </c>
      <c r="O240" s="55" t="s">
        <v>53</v>
      </c>
      <c r="P240" s="62">
        <v>22140</v>
      </c>
      <c r="Q240" s="62">
        <v>1845</v>
      </c>
      <c r="R240" s="96">
        <v>22560</v>
      </c>
      <c r="S240" s="62">
        <f t="shared" si="58"/>
        <v>1880</v>
      </c>
      <c r="T240" s="62">
        <v>21480</v>
      </c>
      <c r="U240" s="62">
        <f t="shared" si="59"/>
        <v>1790</v>
      </c>
      <c r="V240" s="69">
        <v>19860</v>
      </c>
      <c r="W240" s="71">
        <v>1890</v>
      </c>
      <c r="X240" s="105">
        <f>W240-55</f>
        <v>1835</v>
      </c>
      <c r="Y240" s="171">
        <f t="shared" si="63"/>
        <v>2.5139664804469275E-2</v>
      </c>
      <c r="Z240" s="64">
        <f t="shared" si="50"/>
        <v>5.5865921787709494E-2</v>
      </c>
      <c r="AA240" s="64">
        <f t="shared" si="60"/>
        <v>5.3191489361702126E-3</v>
      </c>
      <c r="AB240" s="71">
        <f t="shared" si="64"/>
        <v>1890</v>
      </c>
      <c r="AC240" s="64">
        <f t="shared" si="51"/>
        <v>5.5865921787709494E-2</v>
      </c>
      <c r="AD240" s="64">
        <f t="shared" si="61"/>
        <v>5.3191489361702126E-3</v>
      </c>
      <c r="AE240" s="71">
        <f>AB240-20</f>
        <v>1870</v>
      </c>
      <c r="AF240" s="64">
        <f t="shared" si="52"/>
        <v>4.4692737430167599E-2</v>
      </c>
      <c r="AG240" s="64">
        <f t="shared" si="62"/>
        <v>-5.3191489361702126E-3</v>
      </c>
      <c r="AH240" s="67"/>
      <c r="AI240" s="47" t="s">
        <v>54</v>
      </c>
      <c r="AJ240" s="47">
        <v>1000</v>
      </c>
      <c r="AK240" s="47" t="s">
        <v>140</v>
      </c>
      <c r="AL240" s="47" t="s">
        <v>65</v>
      </c>
      <c r="AM240" s="47" t="s">
        <v>2307</v>
      </c>
      <c r="AN240" s="50"/>
      <c r="AO240" s="211">
        <f t="shared" si="53"/>
        <v>-1</v>
      </c>
      <c r="AP240" s="47" t="s">
        <v>57</v>
      </c>
      <c r="AQ240" s="47" t="s">
        <v>1132</v>
      </c>
      <c r="AR240" s="47"/>
    </row>
    <row r="241" spans="1:44" hidden="1">
      <c r="A241" s="47" t="s">
        <v>74</v>
      </c>
      <c r="B241" s="47" t="str">
        <f t="shared" si="49"/>
        <v>August</v>
      </c>
      <c r="C241" s="59">
        <v>45524</v>
      </c>
      <c r="D241" s="47" t="s">
        <v>45</v>
      </c>
      <c r="E241" s="47" t="s">
        <v>59</v>
      </c>
      <c r="F241" s="47" t="s">
        <v>60</v>
      </c>
      <c r="G241" s="91" t="s">
        <v>2390</v>
      </c>
      <c r="H241" s="47" t="s">
        <v>2391</v>
      </c>
      <c r="I241" s="47" t="s">
        <v>63</v>
      </c>
      <c r="J241" s="47" t="s">
        <v>51</v>
      </c>
      <c r="K241" s="48">
        <v>45281</v>
      </c>
      <c r="L241" s="48">
        <v>45281</v>
      </c>
      <c r="M241" s="48">
        <v>45524</v>
      </c>
      <c r="N241" s="47" t="s">
        <v>52</v>
      </c>
      <c r="O241" s="55" t="s">
        <v>53</v>
      </c>
      <c r="P241" s="62">
        <v>12720</v>
      </c>
      <c r="Q241" s="62">
        <v>1060</v>
      </c>
      <c r="R241" s="96">
        <v>13500</v>
      </c>
      <c r="S241" s="62">
        <f t="shared" si="58"/>
        <v>1125</v>
      </c>
      <c r="T241" s="62">
        <v>13500</v>
      </c>
      <c r="U241" s="62">
        <f t="shared" si="59"/>
        <v>1125</v>
      </c>
      <c r="V241" s="69">
        <v>12120</v>
      </c>
      <c r="W241" s="71">
        <v>1155</v>
      </c>
      <c r="X241" s="172">
        <f>W241-30</f>
        <v>1125</v>
      </c>
      <c r="Y241" s="176">
        <f t="shared" si="63"/>
        <v>0</v>
      </c>
      <c r="Z241" s="64">
        <f t="shared" si="50"/>
        <v>2.6666666666666668E-2</v>
      </c>
      <c r="AA241" s="64">
        <f t="shared" si="60"/>
        <v>2.6666666666666668E-2</v>
      </c>
      <c r="AB241" s="71">
        <f t="shared" si="64"/>
        <v>1155</v>
      </c>
      <c r="AC241" s="64">
        <f t="shared" si="51"/>
        <v>2.6666666666666668E-2</v>
      </c>
      <c r="AD241" s="64">
        <f t="shared" si="61"/>
        <v>2.6666666666666668E-2</v>
      </c>
      <c r="AE241" s="71">
        <f>AB241</f>
        <v>1155</v>
      </c>
      <c r="AF241" s="64">
        <f t="shared" si="52"/>
        <v>2.6666666666666668E-2</v>
      </c>
      <c r="AG241" s="64">
        <f t="shared" si="62"/>
        <v>2.6666666666666668E-2</v>
      </c>
      <c r="AH241" s="67"/>
      <c r="AI241" s="47" t="s">
        <v>54</v>
      </c>
      <c r="AJ241" s="47">
        <v>522</v>
      </c>
      <c r="AK241" s="47" t="s">
        <v>55</v>
      </c>
      <c r="AL241" s="47" t="s">
        <v>55</v>
      </c>
      <c r="AM241" s="47" t="s">
        <v>2392</v>
      </c>
      <c r="AN241" s="50"/>
      <c r="AO241" s="211">
        <f t="shared" si="53"/>
        <v>-1</v>
      </c>
      <c r="AP241" s="47" t="s">
        <v>57</v>
      </c>
      <c r="AQ241" s="47" t="s">
        <v>1132</v>
      </c>
      <c r="AR241" s="47"/>
    </row>
    <row r="242" spans="1:44" hidden="1">
      <c r="A242" s="47" t="s">
        <v>44</v>
      </c>
      <c r="B242" s="47" t="str">
        <f t="shared" si="49"/>
        <v>August</v>
      </c>
      <c r="C242" s="59">
        <v>45524</v>
      </c>
      <c r="D242" s="47" t="s">
        <v>45</v>
      </c>
      <c r="E242" s="47" t="s">
        <v>59</v>
      </c>
      <c r="F242" s="47" t="s">
        <v>60</v>
      </c>
      <c r="G242" s="91" t="s">
        <v>2395</v>
      </c>
      <c r="H242" s="47" t="s">
        <v>2396</v>
      </c>
      <c r="I242" s="47" t="s">
        <v>63</v>
      </c>
      <c r="J242" s="47" t="s">
        <v>51</v>
      </c>
      <c r="K242" s="48">
        <v>45159</v>
      </c>
      <c r="L242" s="48">
        <v>45159</v>
      </c>
      <c r="M242" s="48">
        <v>45524</v>
      </c>
      <c r="N242" s="47" t="s">
        <v>52</v>
      </c>
      <c r="O242" s="55" t="s">
        <v>53</v>
      </c>
      <c r="P242" s="62">
        <v>21720</v>
      </c>
      <c r="Q242" s="62">
        <v>1810</v>
      </c>
      <c r="R242" s="96">
        <v>22140</v>
      </c>
      <c r="S242" s="62">
        <f t="shared" si="58"/>
        <v>1845</v>
      </c>
      <c r="T242" s="62">
        <v>20520</v>
      </c>
      <c r="U242" s="62">
        <f t="shared" si="59"/>
        <v>1710</v>
      </c>
      <c r="V242" s="69">
        <v>18960</v>
      </c>
      <c r="W242" s="71">
        <v>1815</v>
      </c>
      <c r="X242" s="105">
        <f>W242-55</f>
        <v>1760</v>
      </c>
      <c r="Y242" s="171">
        <f t="shared" si="63"/>
        <v>2.9239766081871343E-2</v>
      </c>
      <c r="Z242" s="64">
        <f t="shared" si="50"/>
        <v>6.1403508771929821E-2</v>
      </c>
      <c r="AA242" s="64">
        <f t="shared" si="60"/>
        <v>-1.6260162601626018E-2</v>
      </c>
      <c r="AB242" s="71">
        <f t="shared" si="64"/>
        <v>1815</v>
      </c>
      <c r="AC242" s="64">
        <f t="shared" si="51"/>
        <v>6.1403508771929821E-2</v>
      </c>
      <c r="AD242" s="64">
        <f t="shared" si="61"/>
        <v>-1.6260162601626018E-2</v>
      </c>
      <c r="AE242" s="71">
        <f>AB242</f>
        <v>1815</v>
      </c>
      <c r="AF242" s="64">
        <f t="shared" si="52"/>
        <v>6.1403508771929821E-2</v>
      </c>
      <c r="AG242" s="64">
        <f t="shared" si="62"/>
        <v>-1.6260162601626018E-2</v>
      </c>
      <c r="AH242" s="67"/>
      <c r="AI242" s="47" t="s">
        <v>54</v>
      </c>
      <c r="AJ242" s="47">
        <v>1127</v>
      </c>
      <c r="AK242" s="47" t="s">
        <v>140</v>
      </c>
      <c r="AL242" s="47" t="s">
        <v>65</v>
      </c>
      <c r="AM242" s="47" t="s">
        <v>176</v>
      </c>
      <c r="AN242" s="50"/>
      <c r="AO242" s="211">
        <f t="shared" si="53"/>
        <v>-1</v>
      </c>
      <c r="AP242" s="47" t="s">
        <v>57</v>
      </c>
      <c r="AQ242" s="47" t="s">
        <v>1132</v>
      </c>
      <c r="AR242" s="47"/>
    </row>
    <row r="243" spans="1:44" hidden="1">
      <c r="A243" s="47" t="s">
        <v>44</v>
      </c>
      <c r="B243" s="47" t="str">
        <f t="shared" si="49"/>
        <v>August</v>
      </c>
      <c r="C243" s="59">
        <v>45524</v>
      </c>
      <c r="D243" s="47" t="s">
        <v>45</v>
      </c>
      <c r="E243" s="47" t="s">
        <v>59</v>
      </c>
      <c r="F243" s="47" t="s">
        <v>60</v>
      </c>
      <c r="G243" s="91" t="s">
        <v>2399</v>
      </c>
      <c r="H243" s="47" t="s">
        <v>2400</v>
      </c>
      <c r="I243" s="47" t="s">
        <v>63</v>
      </c>
      <c r="J243" s="47" t="s">
        <v>51</v>
      </c>
      <c r="K243" s="48">
        <v>45159</v>
      </c>
      <c r="L243" s="48">
        <v>45159</v>
      </c>
      <c r="M243" s="48">
        <v>45524</v>
      </c>
      <c r="N243" s="47" t="s">
        <v>52</v>
      </c>
      <c r="O243" s="55" t="s">
        <v>53</v>
      </c>
      <c r="P243" s="62">
        <v>16020</v>
      </c>
      <c r="Q243" s="62">
        <v>1335</v>
      </c>
      <c r="R243" s="96">
        <v>16560</v>
      </c>
      <c r="S243" s="62">
        <f t="shared" si="58"/>
        <v>1380</v>
      </c>
      <c r="T243" s="62">
        <v>16020</v>
      </c>
      <c r="U243" s="62">
        <f t="shared" si="59"/>
        <v>1335</v>
      </c>
      <c r="V243" s="69">
        <v>14400</v>
      </c>
      <c r="W243" s="71">
        <v>1415</v>
      </c>
      <c r="X243" s="105">
        <f>W243-25</f>
        <v>1390</v>
      </c>
      <c r="Y243" s="171">
        <f t="shared" si="63"/>
        <v>4.1198501872659173E-2</v>
      </c>
      <c r="Z243" s="64">
        <f t="shared" si="50"/>
        <v>5.9925093632958802E-2</v>
      </c>
      <c r="AA243" s="64">
        <f t="shared" si="60"/>
        <v>2.5362318840579712E-2</v>
      </c>
      <c r="AB243" s="71">
        <f t="shared" si="64"/>
        <v>1415</v>
      </c>
      <c r="AC243" s="64">
        <f t="shared" si="51"/>
        <v>5.9925093632958802E-2</v>
      </c>
      <c r="AD243" s="64">
        <f t="shared" si="61"/>
        <v>2.5362318840579712E-2</v>
      </c>
      <c r="AE243" s="71">
        <f>AB243</f>
        <v>1415</v>
      </c>
      <c r="AF243" s="64">
        <f t="shared" si="52"/>
        <v>5.9925093632958802E-2</v>
      </c>
      <c r="AG243" s="64">
        <f t="shared" si="62"/>
        <v>2.5362318840579712E-2</v>
      </c>
      <c r="AH243" s="67"/>
      <c r="AI243" s="47" t="s">
        <v>54</v>
      </c>
      <c r="AJ243" s="47">
        <v>795</v>
      </c>
      <c r="AK243" s="47" t="s">
        <v>65</v>
      </c>
      <c r="AL243" s="47" t="s">
        <v>65</v>
      </c>
      <c r="AM243" s="47" t="s">
        <v>2401</v>
      </c>
      <c r="AN243" s="50">
        <v>1415</v>
      </c>
      <c r="AO243" s="211">
        <f t="shared" si="53"/>
        <v>5.9925093632958802E-2</v>
      </c>
      <c r="AP243" s="47" t="s">
        <v>57</v>
      </c>
      <c r="AQ243" s="47" t="s">
        <v>1132</v>
      </c>
      <c r="AR243" s="47"/>
    </row>
    <row r="244" spans="1:44">
      <c r="A244" s="47" t="s">
        <v>74</v>
      </c>
      <c r="B244" s="47" t="str">
        <f t="shared" si="49"/>
        <v>August</v>
      </c>
      <c r="C244" s="59">
        <v>45525</v>
      </c>
      <c r="D244" s="47" t="s">
        <v>45</v>
      </c>
      <c r="E244" s="47" t="s">
        <v>59</v>
      </c>
      <c r="F244" s="47" t="s">
        <v>60</v>
      </c>
      <c r="G244" s="91" t="s">
        <v>2519</v>
      </c>
      <c r="H244" s="47" t="s">
        <v>2520</v>
      </c>
      <c r="I244" s="47" t="s">
        <v>63</v>
      </c>
      <c r="J244" s="47" t="s">
        <v>51</v>
      </c>
      <c r="K244" s="48">
        <v>43518</v>
      </c>
      <c r="L244" s="48">
        <v>45344</v>
      </c>
      <c r="M244" s="48">
        <v>45525</v>
      </c>
      <c r="N244" s="47" t="s">
        <v>64</v>
      </c>
      <c r="O244" s="55" t="s">
        <v>53</v>
      </c>
      <c r="P244" s="62">
        <v>13620</v>
      </c>
      <c r="Q244" s="62">
        <v>1135</v>
      </c>
      <c r="R244" s="96">
        <v>14160</v>
      </c>
      <c r="S244" s="62">
        <f t="shared" si="58"/>
        <v>1180</v>
      </c>
      <c r="T244" s="62">
        <v>14100</v>
      </c>
      <c r="U244" s="62">
        <f t="shared" si="59"/>
        <v>1175</v>
      </c>
      <c r="V244" s="69">
        <v>12960</v>
      </c>
      <c r="W244" s="71">
        <v>1190</v>
      </c>
      <c r="X244" s="172">
        <f>W244-30</f>
        <v>1160</v>
      </c>
      <c r="Y244" s="173">
        <f t="shared" si="63"/>
        <v>-1.276595744680851E-2</v>
      </c>
      <c r="Z244" s="64">
        <f t="shared" si="50"/>
        <v>1.276595744680851E-2</v>
      </c>
      <c r="AA244" s="64">
        <f t="shared" si="60"/>
        <v>8.4745762711864406E-3</v>
      </c>
      <c r="AB244" s="71">
        <f t="shared" si="64"/>
        <v>1190</v>
      </c>
      <c r="AC244" s="64">
        <f t="shared" si="51"/>
        <v>1.276595744680851E-2</v>
      </c>
      <c r="AD244" s="64">
        <f t="shared" si="61"/>
        <v>8.4745762711864406E-3</v>
      </c>
      <c r="AE244" s="71">
        <f>AB244</f>
        <v>1190</v>
      </c>
      <c r="AF244" s="64">
        <f t="shared" si="52"/>
        <v>1.276595744680851E-2</v>
      </c>
      <c r="AG244" s="64">
        <f t="shared" si="62"/>
        <v>8.4745762711864406E-3</v>
      </c>
      <c r="AH244" s="67"/>
      <c r="AI244" s="47" t="s">
        <v>54</v>
      </c>
      <c r="AJ244" s="47">
        <v>491</v>
      </c>
      <c r="AK244" s="47" t="s">
        <v>55</v>
      </c>
      <c r="AL244" s="47" t="s">
        <v>55</v>
      </c>
      <c r="AM244" s="47" t="s">
        <v>276</v>
      </c>
      <c r="AN244" s="50">
        <v>1190</v>
      </c>
      <c r="AO244" s="211">
        <f t="shared" si="53"/>
        <v>1.276595744680851E-2</v>
      </c>
      <c r="AP244" s="47" t="s">
        <v>57</v>
      </c>
      <c r="AQ244" s="47" t="s">
        <v>1132</v>
      </c>
      <c r="AR244" s="47"/>
    </row>
    <row r="245" spans="1:44" hidden="1">
      <c r="A245" s="47" t="s">
        <v>44</v>
      </c>
      <c r="B245" s="47" t="str">
        <f t="shared" si="49"/>
        <v>August</v>
      </c>
      <c r="C245" s="59">
        <v>45525</v>
      </c>
      <c r="D245" s="47" t="s">
        <v>45</v>
      </c>
      <c r="E245" s="47" t="s">
        <v>59</v>
      </c>
      <c r="F245" s="47" t="s">
        <v>60</v>
      </c>
      <c r="G245" s="91" t="s">
        <v>2539</v>
      </c>
      <c r="H245" s="47" t="s">
        <v>2540</v>
      </c>
      <c r="I245" s="47" t="s">
        <v>63</v>
      </c>
      <c r="J245" s="47" t="s">
        <v>51</v>
      </c>
      <c r="K245" s="48">
        <v>45160</v>
      </c>
      <c r="L245" s="48">
        <v>45160</v>
      </c>
      <c r="M245" s="48">
        <v>45525</v>
      </c>
      <c r="N245" s="47" t="s">
        <v>52</v>
      </c>
      <c r="O245" s="55" t="s">
        <v>53</v>
      </c>
      <c r="P245" s="62">
        <v>21600</v>
      </c>
      <c r="Q245" s="62">
        <v>1800</v>
      </c>
      <c r="R245" s="96">
        <v>22020</v>
      </c>
      <c r="S245" s="62">
        <f t="shared" si="58"/>
        <v>1835</v>
      </c>
      <c r="T245" s="62">
        <v>21600</v>
      </c>
      <c r="U245" s="62">
        <f t="shared" si="59"/>
        <v>1800</v>
      </c>
      <c r="V245" s="69">
        <v>19920</v>
      </c>
      <c r="W245" s="71">
        <v>1900</v>
      </c>
      <c r="X245" s="105">
        <f>W245-55</f>
        <v>1845</v>
      </c>
      <c r="Y245" s="171">
        <f t="shared" si="63"/>
        <v>2.5000000000000001E-2</v>
      </c>
      <c r="Z245" s="64">
        <f t="shared" si="50"/>
        <v>5.5555555555555552E-2</v>
      </c>
      <c r="AA245" s="64">
        <f t="shared" si="60"/>
        <v>3.5422343324250684E-2</v>
      </c>
      <c r="AB245" s="71">
        <f t="shared" si="64"/>
        <v>1900</v>
      </c>
      <c r="AC245" s="64">
        <f t="shared" si="51"/>
        <v>5.5555555555555552E-2</v>
      </c>
      <c r="AD245" s="64">
        <f t="shared" si="61"/>
        <v>3.5422343324250684E-2</v>
      </c>
      <c r="AE245" s="71">
        <v>1880</v>
      </c>
      <c r="AF245" s="64">
        <f t="shared" si="52"/>
        <v>4.4444444444444446E-2</v>
      </c>
      <c r="AG245" s="64">
        <f t="shared" si="62"/>
        <v>2.4523160762942781E-2</v>
      </c>
      <c r="AH245" s="67"/>
      <c r="AI245" s="47" t="s">
        <v>54</v>
      </c>
      <c r="AJ245" s="47">
        <v>1006</v>
      </c>
      <c r="AK245" s="47" t="s">
        <v>140</v>
      </c>
      <c r="AL245" s="47" t="s">
        <v>55</v>
      </c>
      <c r="AM245" s="47" t="s">
        <v>179</v>
      </c>
      <c r="AN245" s="50">
        <v>1880</v>
      </c>
      <c r="AO245" s="211">
        <f t="shared" si="53"/>
        <v>4.4444444444444446E-2</v>
      </c>
      <c r="AP245" s="47" t="s">
        <v>57</v>
      </c>
      <c r="AQ245" s="47" t="s">
        <v>1132</v>
      </c>
      <c r="AR245" s="47"/>
    </row>
    <row r="246" spans="1:44">
      <c r="A246" s="47" t="s">
        <v>44</v>
      </c>
      <c r="B246" s="47" t="str">
        <f t="shared" si="49"/>
        <v>August</v>
      </c>
      <c r="C246" s="59">
        <v>45525</v>
      </c>
      <c r="D246" s="47" t="s">
        <v>45</v>
      </c>
      <c r="E246" s="47" t="s">
        <v>59</v>
      </c>
      <c r="F246" s="47" t="s">
        <v>60</v>
      </c>
      <c r="G246" s="91" t="s">
        <v>2549</v>
      </c>
      <c r="H246" s="47" t="s">
        <v>2550</v>
      </c>
      <c r="I246" s="47" t="s">
        <v>63</v>
      </c>
      <c r="J246" s="47" t="s">
        <v>51</v>
      </c>
      <c r="K246" s="48">
        <v>43427</v>
      </c>
      <c r="L246" s="48">
        <v>45160</v>
      </c>
      <c r="M246" s="48">
        <v>45525</v>
      </c>
      <c r="N246" s="47" t="s">
        <v>64</v>
      </c>
      <c r="O246" s="55" t="s">
        <v>53</v>
      </c>
      <c r="P246" s="62">
        <v>21300</v>
      </c>
      <c r="Q246" s="62">
        <v>1775</v>
      </c>
      <c r="R246" s="96">
        <v>21720</v>
      </c>
      <c r="S246" s="62">
        <f t="shared" si="58"/>
        <v>1810</v>
      </c>
      <c r="T246" s="62">
        <v>21600</v>
      </c>
      <c r="U246" s="62">
        <f t="shared" si="59"/>
        <v>1800</v>
      </c>
      <c r="V246" s="69">
        <v>19200</v>
      </c>
      <c r="W246" s="71">
        <v>1925</v>
      </c>
      <c r="X246" s="105">
        <f>W246-55</f>
        <v>1870</v>
      </c>
      <c r="Y246" s="171">
        <f t="shared" si="63"/>
        <v>3.888888888888889E-2</v>
      </c>
      <c r="Z246" s="64">
        <f t="shared" si="50"/>
        <v>6.9444444444444448E-2</v>
      </c>
      <c r="AA246" s="64">
        <f t="shared" si="60"/>
        <v>6.3535911602209949E-2</v>
      </c>
      <c r="AB246" s="71">
        <f t="shared" si="64"/>
        <v>1925</v>
      </c>
      <c r="AC246" s="64">
        <f t="shared" si="51"/>
        <v>6.9444444444444448E-2</v>
      </c>
      <c r="AD246" s="64">
        <f t="shared" si="61"/>
        <v>6.3535911602209949E-2</v>
      </c>
      <c r="AE246" s="71">
        <v>1900</v>
      </c>
      <c r="AF246" s="64">
        <f t="shared" si="52"/>
        <v>5.5555555555555552E-2</v>
      </c>
      <c r="AG246" s="64">
        <f t="shared" si="62"/>
        <v>4.9723756906077346E-2</v>
      </c>
      <c r="AH246" s="67"/>
      <c r="AI246" s="47" t="s">
        <v>54</v>
      </c>
      <c r="AJ246" s="47">
        <v>1015</v>
      </c>
      <c r="AK246" s="47" t="s">
        <v>140</v>
      </c>
      <c r="AL246" s="47" t="s">
        <v>65</v>
      </c>
      <c r="AM246" s="47" t="s">
        <v>2551</v>
      </c>
      <c r="AN246" s="50"/>
      <c r="AO246" s="211">
        <f t="shared" si="53"/>
        <v>-1</v>
      </c>
      <c r="AP246" s="47" t="s">
        <v>57</v>
      </c>
      <c r="AQ246" s="47" t="s">
        <v>1132</v>
      </c>
      <c r="AR246" s="47"/>
    </row>
    <row r="247" spans="1:44">
      <c r="A247" s="47" t="s">
        <v>44</v>
      </c>
      <c r="B247" s="47" t="str">
        <f t="shared" si="49"/>
        <v>August</v>
      </c>
      <c r="C247" s="59">
        <v>45526</v>
      </c>
      <c r="D247" s="47" t="s">
        <v>45</v>
      </c>
      <c r="E247" s="47" t="s">
        <v>59</v>
      </c>
      <c r="F247" s="47" t="s">
        <v>60</v>
      </c>
      <c r="G247" s="91" t="s">
        <v>2646</v>
      </c>
      <c r="H247" s="47" t="s">
        <v>2647</v>
      </c>
      <c r="I247" s="47" t="s">
        <v>63</v>
      </c>
      <c r="J247" s="47" t="s">
        <v>51</v>
      </c>
      <c r="K247" s="48">
        <v>44796</v>
      </c>
      <c r="L247" s="48">
        <v>45161</v>
      </c>
      <c r="M247" s="48">
        <v>45526</v>
      </c>
      <c r="N247" s="47" t="s">
        <v>64</v>
      </c>
      <c r="O247" s="55" t="s">
        <v>53</v>
      </c>
      <c r="P247" s="62">
        <v>21720</v>
      </c>
      <c r="Q247" s="62">
        <v>1810</v>
      </c>
      <c r="R247" s="96">
        <v>22140</v>
      </c>
      <c r="S247" s="62">
        <f t="shared" si="58"/>
        <v>1845</v>
      </c>
      <c r="T247" s="62">
        <v>21360</v>
      </c>
      <c r="U247" s="62">
        <f t="shared" si="59"/>
        <v>1780</v>
      </c>
      <c r="V247" s="69">
        <v>19740</v>
      </c>
      <c r="W247" s="71">
        <v>1880</v>
      </c>
      <c r="X247" s="105">
        <f>W247-55</f>
        <v>1825</v>
      </c>
      <c r="Y247" s="171">
        <f t="shared" si="63"/>
        <v>2.5280898876404494E-2</v>
      </c>
      <c r="Z247" s="64">
        <f t="shared" si="50"/>
        <v>5.6179775280898875E-2</v>
      </c>
      <c r="AA247" s="64">
        <f t="shared" si="60"/>
        <v>1.8970189701897018E-2</v>
      </c>
      <c r="AB247" s="71">
        <f t="shared" si="64"/>
        <v>1880</v>
      </c>
      <c r="AC247" s="64">
        <f t="shared" si="51"/>
        <v>5.6179775280898875E-2</v>
      </c>
      <c r="AD247" s="64">
        <f t="shared" si="61"/>
        <v>1.8970189701897018E-2</v>
      </c>
      <c r="AE247" s="71">
        <v>1865</v>
      </c>
      <c r="AF247" s="64">
        <f t="shared" si="52"/>
        <v>4.7752808988764044E-2</v>
      </c>
      <c r="AG247" s="64">
        <f t="shared" si="62"/>
        <v>1.0840108401084011E-2</v>
      </c>
      <c r="AH247" s="67"/>
      <c r="AI247" s="47" t="s">
        <v>54</v>
      </c>
      <c r="AJ247" s="47">
        <v>1020</v>
      </c>
      <c r="AK247" s="47" t="s">
        <v>140</v>
      </c>
      <c r="AL247" s="47" t="s">
        <v>140</v>
      </c>
      <c r="AM247" s="47" t="s">
        <v>2648</v>
      </c>
      <c r="AN247" s="50"/>
      <c r="AO247" s="211">
        <f t="shared" si="53"/>
        <v>-1</v>
      </c>
      <c r="AP247" s="47" t="s">
        <v>57</v>
      </c>
      <c r="AQ247" s="47" t="s">
        <v>1132</v>
      </c>
      <c r="AR247" s="47"/>
    </row>
    <row r="248" spans="1:44">
      <c r="A248" s="47" t="s">
        <v>44</v>
      </c>
      <c r="B248" s="47" t="str">
        <f t="shared" si="49"/>
        <v>August</v>
      </c>
      <c r="C248" s="59">
        <v>45526</v>
      </c>
      <c r="D248" s="47" t="s">
        <v>45</v>
      </c>
      <c r="E248" s="47" t="s">
        <v>59</v>
      </c>
      <c r="F248" s="47" t="s">
        <v>60</v>
      </c>
      <c r="G248" s="91" t="s">
        <v>2649</v>
      </c>
      <c r="H248" s="47" t="s">
        <v>2650</v>
      </c>
      <c r="I248" s="47" t="s">
        <v>63</v>
      </c>
      <c r="J248" s="47" t="s">
        <v>51</v>
      </c>
      <c r="K248" s="48">
        <v>44431</v>
      </c>
      <c r="L248" s="48">
        <v>45161</v>
      </c>
      <c r="M248" s="48">
        <v>45526</v>
      </c>
      <c r="N248" s="47" t="s">
        <v>64</v>
      </c>
      <c r="O248" s="55" t="s">
        <v>53</v>
      </c>
      <c r="P248" s="62">
        <v>12720</v>
      </c>
      <c r="Q248" s="62">
        <v>1060</v>
      </c>
      <c r="R248" s="96">
        <v>13200</v>
      </c>
      <c r="S248" s="62">
        <f t="shared" si="58"/>
        <v>1100</v>
      </c>
      <c r="T248" s="62">
        <v>12960</v>
      </c>
      <c r="U248" s="62">
        <f t="shared" si="59"/>
        <v>1080</v>
      </c>
      <c r="V248" s="69">
        <v>11580</v>
      </c>
      <c r="W248" s="71">
        <v>1150</v>
      </c>
      <c r="X248" s="105">
        <f>W248-30</f>
        <v>1120</v>
      </c>
      <c r="Y248" s="171">
        <f t="shared" si="63"/>
        <v>3.7037037037037035E-2</v>
      </c>
      <c r="Z248" s="64">
        <f t="shared" si="50"/>
        <v>6.4814814814814811E-2</v>
      </c>
      <c r="AA248" s="64">
        <f t="shared" si="60"/>
        <v>4.5454545454545456E-2</v>
      </c>
      <c r="AB248" s="71">
        <f t="shared" si="64"/>
        <v>1150</v>
      </c>
      <c r="AC248" s="64">
        <f t="shared" si="51"/>
        <v>6.4814814814814811E-2</v>
      </c>
      <c r="AD248" s="64">
        <f t="shared" si="61"/>
        <v>4.5454545454545456E-2</v>
      </c>
      <c r="AE248" s="71">
        <v>1135</v>
      </c>
      <c r="AF248" s="64">
        <f t="shared" si="52"/>
        <v>5.0925925925925923E-2</v>
      </c>
      <c r="AG248" s="64">
        <f t="shared" si="62"/>
        <v>3.1818181818181815E-2</v>
      </c>
      <c r="AH248" s="67"/>
      <c r="AI248" s="47" t="s">
        <v>54</v>
      </c>
      <c r="AJ248" s="47">
        <v>528</v>
      </c>
      <c r="AK248" s="47" t="s">
        <v>55</v>
      </c>
      <c r="AL248" s="47" t="s">
        <v>55</v>
      </c>
      <c r="AM248" s="47" t="s">
        <v>276</v>
      </c>
      <c r="AN248" s="50"/>
      <c r="AO248" s="211">
        <f t="shared" si="53"/>
        <v>-1</v>
      </c>
      <c r="AP248" s="47" t="s">
        <v>57</v>
      </c>
      <c r="AQ248" s="47" t="s">
        <v>1132</v>
      </c>
      <c r="AR248" s="47"/>
    </row>
    <row r="249" spans="1:44" hidden="1">
      <c r="A249" s="47" t="s">
        <v>44</v>
      </c>
      <c r="B249" s="47" t="str">
        <f t="shared" si="49"/>
        <v>August</v>
      </c>
      <c r="C249" s="59">
        <v>45526</v>
      </c>
      <c r="D249" s="47" t="s">
        <v>45</v>
      </c>
      <c r="E249" s="47" t="s">
        <v>59</v>
      </c>
      <c r="F249" s="47" t="s">
        <v>60</v>
      </c>
      <c r="G249" s="91" t="s">
        <v>2651</v>
      </c>
      <c r="H249" s="47" t="s">
        <v>2652</v>
      </c>
      <c r="I249" s="47" t="s">
        <v>63</v>
      </c>
      <c r="J249" s="47" t="s">
        <v>51</v>
      </c>
      <c r="K249" s="48">
        <v>45161</v>
      </c>
      <c r="L249" s="48">
        <v>45161</v>
      </c>
      <c r="M249" s="48">
        <v>45526</v>
      </c>
      <c r="N249" s="47" t="s">
        <v>52</v>
      </c>
      <c r="O249" s="55" t="s">
        <v>53</v>
      </c>
      <c r="P249" s="62">
        <v>12840</v>
      </c>
      <c r="Q249" s="62">
        <v>1070</v>
      </c>
      <c r="R249" s="96">
        <v>13380</v>
      </c>
      <c r="S249" s="62">
        <f t="shared" si="58"/>
        <v>1115</v>
      </c>
      <c r="T249" s="62">
        <v>12660</v>
      </c>
      <c r="U249" s="62">
        <f t="shared" si="59"/>
        <v>1055</v>
      </c>
      <c r="V249" s="69">
        <v>12240</v>
      </c>
      <c r="W249" s="71">
        <v>1130</v>
      </c>
      <c r="X249" s="105">
        <f>W249-30</f>
        <v>1100</v>
      </c>
      <c r="Y249" s="171">
        <f t="shared" si="63"/>
        <v>4.2654028436018961E-2</v>
      </c>
      <c r="Z249" s="64">
        <f t="shared" si="50"/>
        <v>7.1090047393364927E-2</v>
      </c>
      <c r="AA249" s="64">
        <f t="shared" si="60"/>
        <v>1.3452914798206279E-2</v>
      </c>
      <c r="AB249" s="71">
        <f t="shared" si="64"/>
        <v>1130</v>
      </c>
      <c r="AC249" s="64">
        <f t="shared" si="51"/>
        <v>7.1090047393364927E-2</v>
      </c>
      <c r="AD249" s="64">
        <f t="shared" si="61"/>
        <v>1.3452914798206279E-2</v>
      </c>
      <c r="AE249" s="71">
        <v>1120</v>
      </c>
      <c r="AF249" s="64">
        <f t="shared" si="52"/>
        <v>6.1611374407582936E-2</v>
      </c>
      <c r="AG249" s="64">
        <f t="shared" si="62"/>
        <v>4.4843049327354259E-3</v>
      </c>
      <c r="AH249" s="67"/>
      <c r="AI249" s="47" t="s">
        <v>54</v>
      </c>
      <c r="AJ249" s="47">
        <v>528</v>
      </c>
      <c r="AK249" s="47" t="s">
        <v>55</v>
      </c>
      <c r="AL249" s="47" t="s">
        <v>55</v>
      </c>
      <c r="AM249" s="47" t="s">
        <v>2653</v>
      </c>
      <c r="AN249" s="50">
        <v>1120</v>
      </c>
      <c r="AO249" s="211">
        <f t="shared" si="53"/>
        <v>6.1611374407582936E-2</v>
      </c>
      <c r="AP249" s="47" t="s">
        <v>57</v>
      </c>
      <c r="AQ249" s="47" t="s">
        <v>1132</v>
      </c>
      <c r="AR249" s="47"/>
    </row>
    <row r="250" spans="1:44" hidden="1">
      <c r="A250" s="47" t="s">
        <v>44</v>
      </c>
      <c r="B250" s="47" t="str">
        <f t="shared" si="49"/>
        <v>August</v>
      </c>
      <c r="C250" s="59">
        <v>45526</v>
      </c>
      <c r="D250" s="47" t="s">
        <v>45</v>
      </c>
      <c r="E250" s="47" t="s">
        <v>59</v>
      </c>
      <c r="F250" s="47" t="s">
        <v>60</v>
      </c>
      <c r="G250" s="91" t="s">
        <v>2654</v>
      </c>
      <c r="H250" s="47" t="s">
        <v>2655</v>
      </c>
      <c r="I250" s="47" t="s">
        <v>63</v>
      </c>
      <c r="J250" s="47" t="s">
        <v>51</v>
      </c>
      <c r="K250" s="48">
        <v>45161</v>
      </c>
      <c r="L250" s="48">
        <v>45161</v>
      </c>
      <c r="M250" s="48">
        <v>45526</v>
      </c>
      <c r="N250" s="47" t="s">
        <v>52</v>
      </c>
      <c r="O250" s="55" t="s">
        <v>53</v>
      </c>
      <c r="P250" s="62">
        <v>15360</v>
      </c>
      <c r="Q250" s="62">
        <v>1280</v>
      </c>
      <c r="R250" s="96">
        <v>15900</v>
      </c>
      <c r="S250" s="62">
        <f t="shared" si="58"/>
        <v>1325</v>
      </c>
      <c r="T250" s="62">
        <v>15360</v>
      </c>
      <c r="U250" s="62">
        <f t="shared" si="59"/>
        <v>1280</v>
      </c>
      <c r="V250" s="69">
        <v>13620</v>
      </c>
      <c r="W250" s="71">
        <v>1365</v>
      </c>
      <c r="X250" s="105">
        <f>W250-25</f>
        <v>1340</v>
      </c>
      <c r="Y250" s="171">
        <f t="shared" si="63"/>
        <v>4.6875E-2</v>
      </c>
      <c r="Z250" s="64">
        <f t="shared" si="50"/>
        <v>6.640625E-2</v>
      </c>
      <c r="AA250" s="64">
        <f t="shared" si="60"/>
        <v>3.0188679245283019E-2</v>
      </c>
      <c r="AB250" s="71">
        <f t="shared" si="64"/>
        <v>1365</v>
      </c>
      <c r="AC250" s="64">
        <f t="shared" si="51"/>
        <v>6.640625E-2</v>
      </c>
      <c r="AD250" s="64">
        <f t="shared" si="61"/>
        <v>3.0188679245283019E-2</v>
      </c>
      <c r="AE250" s="71">
        <v>1335</v>
      </c>
      <c r="AF250" s="64">
        <f t="shared" si="52"/>
        <v>4.296875E-2</v>
      </c>
      <c r="AG250" s="64">
        <f t="shared" si="62"/>
        <v>7.5471698113207548E-3</v>
      </c>
      <c r="AH250" s="67"/>
      <c r="AI250" s="47" t="s">
        <v>54</v>
      </c>
      <c r="AJ250" s="47">
        <v>711</v>
      </c>
      <c r="AK250" s="47" t="s">
        <v>65</v>
      </c>
      <c r="AL250" s="47" t="s">
        <v>65</v>
      </c>
      <c r="AM250" s="47" t="s">
        <v>69</v>
      </c>
      <c r="AN250" s="50">
        <v>1345</v>
      </c>
      <c r="AO250" s="211">
        <f t="shared" si="53"/>
        <v>5.078125E-2</v>
      </c>
      <c r="AP250" s="47" t="s">
        <v>57</v>
      </c>
      <c r="AQ250" s="47" t="s">
        <v>1132</v>
      </c>
      <c r="AR250" s="47"/>
    </row>
    <row r="251" spans="1:44">
      <c r="A251" s="47" t="s">
        <v>44</v>
      </c>
      <c r="B251" s="47" t="str">
        <f t="shared" si="49"/>
        <v>August</v>
      </c>
      <c r="C251" s="59">
        <v>45526</v>
      </c>
      <c r="D251" s="47" t="s">
        <v>45</v>
      </c>
      <c r="E251" s="47" t="s">
        <v>59</v>
      </c>
      <c r="F251" s="47" t="s">
        <v>60</v>
      </c>
      <c r="G251" s="91" t="s">
        <v>2658</v>
      </c>
      <c r="H251" s="47" t="s">
        <v>2659</v>
      </c>
      <c r="I251" s="47" t="s">
        <v>63</v>
      </c>
      <c r="J251" s="47" t="s">
        <v>51</v>
      </c>
      <c r="K251" s="48">
        <v>44431</v>
      </c>
      <c r="L251" s="48">
        <v>45161</v>
      </c>
      <c r="M251" s="48">
        <v>45526</v>
      </c>
      <c r="N251" s="47" t="s">
        <v>64</v>
      </c>
      <c r="O251" s="55" t="s">
        <v>53</v>
      </c>
      <c r="P251" s="62">
        <v>15420</v>
      </c>
      <c r="Q251" s="62">
        <v>1285</v>
      </c>
      <c r="R251" s="96">
        <v>15960</v>
      </c>
      <c r="S251" s="62">
        <f t="shared" si="58"/>
        <v>1330</v>
      </c>
      <c r="T251" s="62">
        <v>15420</v>
      </c>
      <c r="U251" s="62">
        <f t="shared" si="59"/>
        <v>1285</v>
      </c>
      <c r="V251" s="69">
        <v>13980</v>
      </c>
      <c r="W251" s="71">
        <v>1390</v>
      </c>
      <c r="X251" s="105">
        <f>W251-25</f>
        <v>1365</v>
      </c>
      <c r="Y251" s="171">
        <f t="shared" si="63"/>
        <v>6.2256809338521402E-2</v>
      </c>
      <c r="Z251" s="64">
        <f t="shared" si="50"/>
        <v>8.171206225680934E-2</v>
      </c>
      <c r="AA251" s="64">
        <f t="shared" si="60"/>
        <v>4.5112781954887216E-2</v>
      </c>
      <c r="AB251" s="71">
        <f t="shared" si="64"/>
        <v>1390</v>
      </c>
      <c r="AC251" s="64">
        <f t="shared" si="51"/>
        <v>8.171206225680934E-2</v>
      </c>
      <c r="AD251" s="64">
        <f t="shared" si="61"/>
        <v>4.5112781954887216E-2</v>
      </c>
      <c r="AE251" s="71">
        <v>1350</v>
      </c>
      <c r="AF251" s="64">
        <f t="shared" si="52"/>
        <v>5.0583657587548639E-2</v>
      </c>
      <c r="AG251" s="64">
        <f t="shared" si="62"/>
        <v>1.5037593984962405E-2</v>
      </c>
      <c r="AH251" s="67"/>
      <c r="AI251" s="47" t="s">
        <v>54</v>
      </c>
      <c r="AJ251" s="47">
        <v>711</v>
      </c>
      <c r="AK251" s="47" t="s">
        <v>65</v>
      </c>
      <c r="AL251" s="47" t="s">
        <v>65</v>
      </c>
      <c r="AM251" s="47" t="s">
        <v>490</v>
      </c>
      <c r="AN251" s="50">
        <v>1350</v>
      </c>
      <c r="AO251" s="211">
        <f t="shared" si="53"/>
        <v>5.0583657587548639E-2</v>
      </c>
      <c r="AP251" s="47" t="s">
        <v>57</v>
      </c>
      <c r="AQ251" s="47" t="s">
        <v>1132</v>
      </c>
      <c r="AR251" s="47"/>
    </row>
    <row r="252" spans="1:44" hidden="1">
      <c r="A252" s="47" t="s">
        <v>44</v>
      </c>
      <c r="B252" s="47" t="str">
        <f t="shared" si="49"/>
        <v>August</v>
      </c>
      <c r="C252" s="59">
        <v>45528</v>
      </c>
      <c r="D252" s="47" t="s">
        <v>45</v>
      </c>
      <c r="E252" s="47" t="s">
        <v>59</v>
      </c>
      <c r="F252" s="47" t="s">
        <v>60</v>
      </c>
      <c r="G252" s="91" t="s">
        <v>2852</v>
      </c>
      <c r="H252" s="47" t="s">
        <v>2853</v>
      </c>
      <c r="I252" s="47" t="s">
        <v>63</v>
      </c>
      <c r="J252" s="47" t="s">
        <v>51</v>
      </c>
      <c r="K252" s="48">
        <v>45163</v>
      </c>
      <c r="L252" s="48">
        <v>45163</v>
      </c>
      <c r="M252" s="48">
        <v>45528</v>
      </c>
      <c r="N252" s="47" t="s">
        <v>52</v>
      </c>
      <c r="O252" s="55" t="s">
        <v>53</v>
      </c>
      <c r="P252" s="62">
        <v>16980</v>
      </c>
      <c r="Q252" s="62">
        <v>1415</v>
      </c>
      <c r="R252" s="96">
        <v>17580</v>
      </c>
      <c r="S252" s="62">
        <f t="shared" si="58"/>
        <v>1465</v>
      </c>
      <c r="T252" s="62">
        <v>16980</v>
      </c>
      <c r="U252" s="62">
        <f t="shared" si="59"/>
        <v>1415</v>
      </c>
      <c r="V252" s="69">
        <v>15360</v>
      </c>
      <c r="W252" s="71">
        <v>1495</v>
      </c>
      <c r="X252" s="105">
        <f>W252-25</f>
        <v>1470</v>
      </c>
      <c r="Y252" s="171">
        <f t="shared" si="63"/>
        <v>3.8869257950530034E-2</v>
      </c>
      <c r="Z252" s="64">
        <f t="shared" si="50"/>
        <v>5.6537102473498232E-2</v>
      </c>
      <c r="AA252" s="64">
        <f t="shared" si="60"/>
        <v>2.0477815699658702E-2</v>
      </c>
      <c r="AB252" s="71">
        <f t="shared" si="64"/>
        <v>1495</v>
      </c>
      <c r="AC252" s="64">
        <f t="shared" si="51"/>
        <v>5.6537102473498232E-2</v>
      </c>
      <c r="AD252" s="64">
        <f t="shared" si="61"/>
        <v>2.0477815699658702E-2</v>
      </c>
      <c r="AE252" s="71">
        <f>AB252-20</f>
        <v>1475</v>
      </c>
      <c r="AF252" s="64">
        <f t="shared" si="52"/>
        <v>4.2402826855123678E-2</v>
      </c>
      <c r="AG252" s="64">
        <f t="shared" si="62"/>
        <v>6.8259385665529011E-3</v>
      </c>
      <c r="AH252" s="67"/>
      <c r="AI252" s="47" t="s">
        <v>54</v>
      </c>
      <c r="AJ252" s="47">
        <v>704</v>
      </c>
      <c r="AK252" s="47" t="s">
        <v>65</v>
      </c>
      <c r="AL252" s="47" t="s">
        <v>65</v>
      </c>
      <c r="AM252" s="47" t="s">
        <v>2854</v>
      </c>
      <c r="AN252" s="50">
        <v>1495</v>
      </c>
      <c r="AO252" s="211">
        <f t="shared" si="53"/>
        <v>5.6537102473498232E-2</v>
      </c>
      <c r="AP252" s="47" t="s">
        <v>57</v>
      </c>
      <c r="AQ252" s="47" t="s">
        <v>1132</v>
      </c>
      <c r="AR252" s="47"/>
    </row>
    <row r="253" spans="1:44" hidden="1">
      <c r="A253" s="47" t="s">
        <v>44</v>
      </c>
      <c r="B253" s="47" t="str">
        <f t="shared" si="49"/>
        <v>August</v>
      </c>
      <c r="C253" s="59">
        <v>45528</v>
      </c>
      <c r="D253" s="47" t="s">
        <v>45</v>
      </c>
      <c r="E253" s="47" t="s">
        <v>59</v>
      </c>
      <c r="F253" s="47" t="s">
        <v>60</v>
      </c>
      <c r="G253" s="91" t="s">
        <v>2855</v>
      </c>
      <c r="H253" s="47" t="s">
        <v>2856</v>
      </c>
      <c r="I253" s="47" t="s">
        <v>63</v>
      </c>
      <c r="J253" s="47" t="s">
        <v>51</v>
      </c>
      <c r="K253" s="48">
        <v>45163</v>
      </c>
      <c r="L253" s="48">
        <v>45163</v>
      </c>
      <c r="M253" s="48">
        <v>45528</v>
      </c>
      <c r="N253" s="47" t="s">
        <v>52</v>
      </c>
      <c r="O253" s="55" t="s">
        <v>53</v>
      </c>
      <c r="P253" s="62">
        <v>16080</v>
      </c>
      <c r="Q253" s="62">
        <v>1340</v>
      </c>
      <c r="R253" s="96">
        <v>16620</v>
      </c>
      <c r="S253" s="62">
        <f t="shared" si="58"/>
        <v>1385</v>
      </c>
      <c r="T253" s="62">
        <v>16080</v>
      </c>
      <c r="U253" s="62">
        <f t="shared" si="59"/>
        <v>1340</v>
      </c>
      <c r="V253" s="69">
        <v>14220</v>
      </c>
      <c r="W253" s="71">
        <v>1420</v>
      </c>
      <c r="X253" s="105">
        <f>W253-25</f>
        <v>1395</v>
      </c>
      <c r="Y253" s="171">
        <f t="shared" si="63"/>
        <v>4.1044776119402986E-2</v>
      </c>
      <c r="Z253" s="64">
        <f t="shared" si="50"/>
        <v>5.9701492537313432E-2</v>
      </c>
      <c r="AA253" s="64">
        <f t="shared" si="60"/>
        <v>2.5270758122743681E-2</v>
      </c>
      <c r="AB253" s="71">
        <f t="shared" si="64"/>
        <v>1420</v>
      </c>
      <c r="AC253" s="64">
        <f t="shared" si="51"/>
        <v>5.9701492537313432E-2</v>
      </c>
      <c r="AD253" s="64">
        <f t="shared" si="61"/>
        <v>2.5270758122743681E-2</v>
      </c>
      <c r="AE253" s="71">
        <v>1400</v>
      </c>
      <c r="AF253" s="64">
        <f t="shared" si="52"/>
        <v>4.4776119402985072E-2</v>
      </c>
      <c r="AG253" s="64">
        <f t="shared" si="62"/>
        <v>1.0830324909747292E-2</v>
      </c>
      <c r="AH253" s="67"/>
      <c r="AI253" s="47" t="s">
        <v>54</v>
      </c>
      <c r="AJ253" s="47">
        <v>765</v>
      </c>
      <c r="AK253" s="47" t="s">
        <v>65</v>
      </c>
      <c r="AL253" s="47" t="s">
        <v>65</v>
      </c>
      <c r="AM253" s="47" t="s">
        <v>69</v>
      </c>
      <c r="AN253" s="50"/>
      <c r="AO253" s="211">
        <f t="shared" si="53"/>
        <v>-1</v>
      </c>
      <c r="AP253" s="47" t="s">
        <v>57</v>
      </c>
      <c r="AQ253" s="47" t="s">
        <v>1132</v>
      </c>
      <c r="AR253" s="47"/>
    </row>
    <row r="254" spans="1:44">
      <c r="A254" s="47" t="s">
        <v>44</v>
      </c>
      <c r="B254" s="47" t="str">
        <f t="shared" si="49"/>
        <v>August</v>
      </c>
      <c r="C254" s="59">
        <v>45528</v>
      </c>
      <c r="D254" s="47" t="s">
        <v>45</v>
      </c>
      <c r="E254" s="47" t="s">
        <v>59</v>
      </c>
      <c r="F254" s="47" t="s">
        <v>60</v>
      </c>
      <c r="G254" s="91" t="s">
        <v>2857</v>
      </c>
      <c r="H254" s="47" t="s">
        <v>2858</v>
      </c>
      <c r="I254" s="47" t="s">
        <v>63</v>
      </c>
      <c r="J254" s="47" t="s">
        <v>51</v>
      </c>
      <c r="K254" s="48">
        <v>44798</v>
      </c>
      <c r="L254" s="48">
        <v>45163</v>
      </c>
      <c r="M254" s="48">
        <v>45528</v>
      </c>
      <c r="N254" s="47" t="s">
        <v>64</v>
      </c>
      <c r="O254" s="55" t="s">
        <v>53</v>
      </c>
      <c r="P254" s="62">
        <v>12240</v>
      </c>
      <c r="Q254" s="62">
        <v>1020</v>
      </c>
      <c r="R254" s="96">
        <v>12960</v>
      </c>
      <c r="S254" s="62">
        <f t="shared" si="58"/>
        <v>1080</v>
      </c>
      <c r="T254" s="62">
        <v>12960</v>
      </c>
      <c r="U254" s="62">
        <f t="shared" si="59"/>
        <v>1080</v>
      </c>
      <c r="V254" s="69">
        <v>11640</v>
      </c>
      <c r="W254" s="71">
        <v>1155</v>
      </c>
      <c r="X254" s="105">
        <f>W254-30</f>
        <v>1125</v>
      </c>
      <c r="Y254" s="171">
        <f t="shared" si="63"/>
        <v>4.1666666666666664E-2</v>
      </c>
      <c r="Z254" s="64">
        <f t="shared" si="50"/>
        <v>6.9444444444444448E-2</v>
      </c>
      <c r="AA254" s="64">
        <f t="shared" si="60"/>
        <v>6.9444444444444448E-2</v>
      </c>
      <c r="AB254" s="71">
        <f t="shared" si="64"/>
        <v>1155</v>
      </c>
      <c r="AC254" s="64">
        <f t="shared" si="51"/>
        <v>6.9444444444444448E-2</v>
      </c>
      <c r="AD254" s="64">
        <f t="shared" si="61"/>
        <v>6.9444444444444448E-2</v>
      </c>
      <c r="AE254" s="71">
        <v>1135</v>
      </c>
      <c r="AF254" s="64">
        <f t="shared" si="52"/>
        <v>5.0925925925925923E-2</v>
      </c>
      <c r="AG254" s="64">
        <f t="shared" si="62"/>
        <v>5.0925925925925923E-2</v>
      </c>
      <c r="AH254" s="67"/>
      <c r="AI254" s="47" t="s">
        <v>54</v>
      </c>
      <c r="AJ254" s="47">
        <v>528</v>
      </c>
      <c r="AK254" s="47" t="s">
        <v>55</v>
      </c>
      <c r="AL254" s="47" t="s">
        <v>55</v>
      </c>
      <c r="AM254" s="47" t="s">
        <v>2859</v>
      </c>
      <c r="AN254" s="50">
        <v>1155</v>
      </c>
      <c r="AO254" s="211">
        <f t="shared" si="53"/>
        <v>6.9444444444444448E-2</v>
      </c>
      <c r="AP254" s="47" t="s">
        <v>57</v>
      </c>
      <c r="AQ254" s="47" t="s">
        <v>1132</v>
      </c>
      <c r="AR254" s="47"/>
    </row>
    <row r="255" spans="1:44" hidden="1">
      <c r="A255" s="47" t="s">
        <v>44</v>
      </c>
      <c r="B255" s="47" t="str">
        <f t="shared" si="49"/>
        <v>August</v>
      </c>
      <c r="C255" s="59">
        <v>45528</v>
      </c>
      <c r="D255" s="47" t="s">
        <v>45</v>
      </c>
      <c r="E255" s="47" t="s">
        <v>59</v>
      </c>
      <c r="F255" s="47" t="s">
        <v>60</v>
      </c>
      <c r="G255" s="91" t="s">
        <v>2860</v>
      </c>
      <c r="H255" s="47" t="s">
        <v>2861</v>
      </c>
      <c r="I255" s="47" t="s">
        <v>63</v>
      </c>
      <c r="J255" s="47" t="s">
        <v>51</v>
      </c>
      <c r="K255" s="48">
        <v>45163</v>
      </c>
      <c r="L255" s="48">
        <v>45163</v>
      </c>
      <c r="M255" s="48">
        <v>45528</v>
      </c>
      <c r="N255" s="47" t="s">
        <v>52</v>
      </c>
      <c r="O255" s="55" t="s">
        <v>53</v>
      </c>
      <c r="P255" s="62">
        <v>15780</v>
      </c>
      <c r="Q255" s="62">
        <v>1315</v>
      </c>
      <c r="R255" s="96">
        <v>16320</v>
      </c>
      <c r="S255" s="62">
        <f t="shared" si="58"/>
        <v>1360</v>
      </c>
      <c r="T255" s="62">
        <v>15780</v>
      </c>
      <c r="U255" s="62">
        <f t="shared" si="59"/>
        <v>1315</v>
      </c>
      <c r="V255" s="69">
        <v>14160</v>
      </c>
      <c r="W255" s="71">
        <v>1395</v>
      </c>
      <c r="X255" s="105">
        <f>W255-25</f>
        <v>1370</v>
      </c>
      <c r="Y255" s="171">
        <f t="shared" si="63"/>
        <v>4.1825095057034217E-2</v>
      </c>
      <c r="Z255" s="64">
        <f t="shared" si="50"/>
        <v>6.0836501901140684E-2</v>
      </c>
      <c r="AA255" s="64">
        <f t="shared" si="60"/>
        <v>2.5735294117647058E-2</v>
      </c>
      <c r="AB255" s="71">
        <f t="shared" si="64"/>
        <v>1395</v>
      </c>
      <c r="AC255" s="64">
        <f t="shared" si="51"/>
        <v>6.0836501901140684E-2</v>
      </c>
      <c r="AD255" s="64">
        <f t="shared" si="61"/>
        <v>2.5735294117647058E-2</v>
      </c>
      <c r="AE255" s="71">
        <f>AB255-20</f>
        <v>1375</v>
      </c>
      <c r="AF255" s="64">
        <f t="shared" si="52"/>
        <v>4.5627376425855515E-2</v>
      </c>
      <c r="AG255" s="64">
        <f t="shared" si="62"/>
        <v>1.1029411764705883E-2</v>
      </c>
      <c r="AH255" s="67"/>
      <c r="AI255" s="47" t="s">
        <v>250</v>
      </c>
      <c r="AJ255" s="47">
        <v>710</v>
      </c>
      <c r="AK255" s="47" t="s">
        <v>65</v>
      </c>
      <c r="AL255" s="47" t="s">
        <v>55</v>
      </c>
      <c r="AM255" s="47" t="s">
        <v>490</v>
      </c>
      <c r="AN255" s="50"/>
      <c r="AO255" s="211">
        <f t="shared" si="53"/>
        <v>-1</v>
      </c>
      <c r="AP255" s="47" t="s">
        <v>57</v>
      </c>
      <c r="AQ255" s="47" t="s">
        <v>1132</v>
      </c>
      <c r="AR255" s="47"/>
    </row>
    <row r="256" spans="1:44">
      <c r="A256" s="47" t="s">
        <v>44</v>
      </c>
      <c r="B256" s="47" t="str">
        <f t="shared" si="49"/>
        <v>August</v>
      </c>
      <c r="C256" s="59">
        <v>45529</v>
      </c>
      <c r="D256" s="47" t="s">
        <v>45</v>
      </c>
      <c r="E256" s="47" t="s">
        <v>59</v>
      </c>
      <c r="F256" s="47" t="s">
        <v>60</v>
      </c>
      <c r="G256" s="91" t="s">
        <v>3055</v>
      </c>
      <c r="H256" s="47" t="s">
        <v>3056</v>
      </c>
      <c r="I256" s="47" t="s">
        <v>63</v>
      </c>
      <c r="J256" s="47" t="s">
        <v>51</v>
      </c>
      <c r="K256" s="48">
        <v>44799</v>
      </c>
      <c r="L256" s="48">
        <v>45164</v>
      </c>
      <c r="M256" s="48">
        <v>45529</v>
      </c>
      <c r="N256" s="47" t="s">
        <v>64</v>
      </c>
      <c r="O256" s="55" t="s">
        <v>53</v>
      </c>
      <c r="P256" s="62">
        <v>15300</v>
      </c>
      <c r="Q256" s="62">
        <v>1275</v>
      </c>
      <c r="R256" s="96">
        <v>15960</v>
      </c>
      <c r="S256" s="62">
        <f t="shared" si="58"/>
        <v>1330</v>
      </c>
      <c r="T256" s="62">
        <v>15960</v>
      </c>
      <c r="U256" s="62">
        <f t="shared" si="59"/>
        <v>1330</v>
      </c>
      <c r="V256" s="69">
        <v>14340</v>
      </c>
      <c r="W256" s="71">
        <v>1410</v>
      </c>
      <c r="X256" s="105">
        <f>W256-25</f>
        <v>1385</v>
      </c>
      <c r="Y256" s="171">
        <f t="shared" si="63"/>
        <v>4.1353383458646614E-2</v>
      </c>
      <c r="Z256" s="64">
        <f t="shared" si="50"/>
        <v>6.0150375939849621E-2</v>
      </c>
      <c r="AA256" s="64">
        <f t="shared" si="60"/>
        <v>6.0150375939849621E-2</v>
      </c>
      <c r="AB256" s="71">
        <f t="shared" si="64"/>
        <v>1410</v>
      </c>
      <c r="AC256" s="64">
        <f t="shared" si="51"/>
        <v>6.0150375939849621E-2</v>
      </c>
      <c r="AD256" s="64">
        <f t="shared" si="61"/>
        <v>6.0150375939849621E-2</v>
      </c>
      <c r="AE256" s="71">
        <f>AB256-20</f>
        <v>1390</v>
      </c>
      <c r="AF256" s="64">
        <f t="shared" si="52"/>
        <v>4.5112781954887216E-2</v>
      </c>
      <c r="AG256" s="64">
        <f t="shared" si="62"/>
        <v>4.5112781954887216E-2</v>
      </c>
      <c r="AH256" s="67"/>
      <c r="AI256" s="47" t="s">
        <v>54</v>
      </c>
      <c r="AJ256" s="47">
        <v>857</v>
      </c>
      <c r="AK256" s="47" t="s">
        <v>65</v>
      </c>
      <c r="AL256" s="47" t="s">
        <v>65</v>
      </c>
      <c r="AM256" s="47" t="s">
        <v>3057</v>
      </c>
      <c r="AN256" s="50">
        <v>1410</v>
      </c>
      <c r="AO256" s="211">
        <f t="shared" si="53"/>
        <v>6.0150375939849621E-2</v>
      </c>
      <c r="AP256" s="47" t="s">
        <v>57</v>
      </c>
      <c r="AQ256" s="47" t="s">
        <v>1132</v>
      </c>
      <c r="AR256" s="47"/>
    </row>
    <row r="257" spans="1:44" hidden="1">
      <c r="A257" s="47" t="s">
        <v>44</v>
      </c>
      <c r="B257" s="47" t="str">
        <f t="shared" si="49"/>
        <v>August</v>
      </c>
      <c r="C257" s="59">
        <v>45529</v>
      </c>
      <c r="D257" s="47" t="s">
        <v>45</v>
      </c>
      <c r="E257" s="112" t="s">
        <v>59</v>
      </c>
      <c r="F257" s="47" t="s">
        <v>60</v>
      </c>
      <c r="G257" s="91" t="s">
        <v>3058</v>
      </c>
      <c r="H257" s="47" t="s">
        <v>3059</v>
      </c>
      <c r="I257" s="47" t="s">
        <v>63</v>
      </c>
      <c r="J257" s="47" t="s">
        <v>51</v>
      </c>
      <c r="K257" s="48">
        <v>45163</v>
      </c>
      <c r="L257" s="48">
        <v>45164</v>
      </c>
      <c r="M257" s="48">
        <v>45529</v>
      </c>
      <c r="N257" s="47" t="s">
        <v>52</v>
      </c>
      <c r="O257" s="55" t="s">
        <v>53</v>
      </c>
      <c r="P257" s="62">
        <v>15480</v>
      </c>
      <c r="Q257" s="62">
        <v>1290</v>
      </c>
      <c r="R257" s="96">
        <v>16020</v>
      </c>
      <c r="S257" s="62">
        <f t="shared" si="58"/>
        <v>1335</v>
      </c>
      <c r="T257" s="62">
        <v>15480</v>
      </c>
      <c r="U257" s="62">
        <f t="shared" si="59"/>
        <v>1290</v>
      </c>
      <c r="V257" s="69">
        <v>14640</v>
      </c>
      <c r="W257" s="71">
        <v>1375</v>
      </c>
      <c r="X257" s="105">
        <f>W257-25</f>
        <v>1350</v>
      </c>
      <c r="Y257" s="171">
        <f t="shared" si="63"/>
        <v>4.6511627906976744E-2</v>
      </c>
      <c r="Z257" s="64">
        <f t="shared" si="50"/>
        <v>6.589147286821706E-2</v>
      </c>
      <c r="AA257" s="64">
        <f t="shared" si="60"/>
        <v>2.9962546816479401E-2</v>
      </c>
      <c r="AB257" s="71">
        <f t="shared" si="64"/>
        <v>1375</v>
      </c>
      <c r="AC257" s="64">
        <f t="shared" si="51"/>
        <v>6.589147286821706E-2</v>
      </c>
      <c r="AD257" s="64">
        <f t="shared" si="61"/>
        <v>2.9962546816479401E-2</v>
      </c>
      <c r="AE257" s="71">
        <v>1350</v>
      </c>
      <c r="AF257" s="64">
        <f t="shared" si="52"/>
        <v>4.6511627906976744E-2</v>
      </c>
      <c r="AG257" s="64">
        <f t="shared" si="62"/>
        <v>1.1235955056179775E-2</v>
      </c>
      <c r="AH257" s="67"/>
      <c r="AI257" s="47" t="s">
        <v>54</v>
      </c>
      <c r="AJ257" s="47">
        <v>711</v>
      </c>
      <c r="AK257" s="47" t="s">
        <v>65</v>
      </c>
      <c r="AL257" s="47" t="s">
        <v>65</v>
      </c>
      <c r="AM257" s="47" t="s">
        <v>430</v>
      </c>
      <c r="AN257" s="50"/>
      <c r="AO257" s="211">
        <f t="shared" si="53"/>
        <v>-1</v>
      </c>
      <c r="AP257" s="47" t="s">
        <v>57</v>
      </c>
      <c r="AQ257" s="47" t="s">
        <v>1132</v>
      </c>
      <c r="AR257" s="47"/>
    </row>
    <row r="258" spans="1:44">
      <c r="A258" s="47" t="s">
        <v>44</v>
      </c>
      <c r="B258" s="47" t="str">
        <f t="shared" ref="B258:B321" si="65">TEXT(C258,"mmmm")</f>
        <v>August</v>
      </c>
      <c r="C258" s="59">
        <v>45529</v>
      </c>
      <c r="D258" s="47" t="s">
        <v>45</v>
      </c>
      <c r="E258" s="47" t="s">
        <v>59</v>
      </c>
      <c r="F258" s="47" t="s">
        <v>60</v>
      </c>
      <c r="G258" s="91" t="s">
        <v>3060</v>
      </c>
      <c r="H258" s="47" t="s">
        <v>3061</v>
      </c>
      <c r="I258" s="47" t="s">
        <v>63</v>
      </c>
      <c r="J258" s="47" t="s">
        <v>51</v>
      </c>
      <c r="K258" s="48">
        <v>44799</v>
      </c>
      <c r="L258" s="48">
        <v>45164</v>
      </c>
      <c r="M258" s="48">
        <v>45529</v>
      </c>
      <c r="N258" s="47" t="s">
        <v>64</v>
      </c>
      <c r="O258" s="55" t="s">
        <v>53</v>
      </c>
      <c r="P258" s="62">
        <v>15300</v>
      </c>
      <c r="Q258" s="62">
        <v>1275</v>
      </c>
      <c r="R258" s="96">
        <v>15840</v>
      </c>
      <c r="S258" s="62">
        <f t="shared" si="58"/>
        <v>1320</v>
      </c>
      <c r="T258" s="62">
        <v>15180</v>
      </c>
      <c r="U258" s="62">
        <f t="shared" si="59"/>
        <v>1265</v>
      </c>
      <c r="V258" s="69">
        <v>13800</v>
      </c>
      <c r="W258" s="71">
        <v>1365</v>
      </c>
      <c r="X258" s="105">
        <f>W258-25</f>
        <v>1340</v>
      </c>
      <c r="Y258" s="171">
        <f t="shared" si="63"/>
        <v>5.9288537549407112E-2</v>
      </c>
      <c r="Z258" s="64">
        <f t="shared" ref="Z258:Z321" si="66">(W258-U258)/U258</f>
        <v>7.9051383399209488E-2</v>
      </c>
      <c r="AA258" s="64">
        <f t="shared" si="60"/>
        <v>3.4090909090909088E-2</v>
      </c>
      <c r="AB258" s="71">
        <f t="shared" si="64"/>
        <v>1365</v>
      </c>
      <c r="AC258" s="64">
        <f t="shared" ref="AC258:AC321" si="67">(AB258-U258)/U258</f>
        <v>7.9051383399209488E-2</v>
      </c>
      <c r="AD258" s="64">
        <f t="shared" si="61"/>
        <v>3.4090909090909088E-2</v>
      </c>
      <c r="AE258" s="71">
        <v>1325</v>
      </c>
      <c r="AF258" s="64">
        <f t="shared" ref="AF258:AF321" si="68">(AE258-U258)/U258</f>
        <v>4.7430830039525688E-2</v>
      </c>
      <c r="AG258" s="64">
        <f t="shared" si="62"/>
        <v>3.787878787878788E-3</v>
      </c>
      <c r="AH258" s="67"/>
      <c r="AI258" s="47" t="s">
        <v>54</v>
      </c>
      <c r="AJ258" s="47">
        <v>711</v>
      </c>
      <c r="AK258" s="47" t="s">
        <v>65</v>
      </c>
      <c r="AL258" s="47" t="s">
        <v>65</v>
      </c>
      <c r="AM258" s="47" t="s">
        <v>66</v>
      </c>
      <c r="AN258" s="50">
        <v>1355</v>
      </c>
      <c r="AO258" s="211">
        <f t="shared" ref="AO258:AO321" si="69">SUM(AN258-U258)/U258</f>
        <v>7.1146245059288543E-2</v>
      </c>
      <c r="AP258" s="47" t="s">
        <v>57</v>
      </c>
      <c r="AQ258" s="47" t="s">
        <v>1132</v>
      </c>
      <c r="AR258" s="47"/>
    </row>
    <row r="259" spans="1:44">
      <c r="A259" s="47" t="s">
        <v>44</v>
      </c>
      <c r="B259" s="47" t="str">
        <f t="shared" si="65"/>
        <v>August</v>
      </c>
      <c r="C259" s="59">
        <v>45530</v>
      </c>
      <c r="D259" s="47" t="s">
        <v>45</v>
      </c>
      <c r="E259" s="47" t="s">
        <v>59</v>
      </c>
      <c r="F259" s="47" t="s">
        <v>60</v>
      </c>
      <c r="G259" s="91" t="s">
        <v>3136</v>
      </c>
      <c r="H259" s="47" t="s">
        <v>3137</v>
      </c>
      <c r="I259" s="47" t="s">
        <v>63</v>
      </c>
      <c r="J259" s="47" t="s">
        <v>51</v>
      </c>
      <c r="K259" s="48">
        <v>44435</v>
      </c>
      <c r="L259" s="48">
        <v>45165</v>
      </c>
      <c r="M259" s="48">
        <v>45530</v>
      </c>
      <c r="N259" s="47" t="s">
        <v>64</v>
      </c>
      <c r="O259" s="55" t="s">
        <v>53</v>
      </c>
      <c r="P259" s="62">
        <v>12540</v>
      </c>
      <c r="Q259" s="62">
        <v>1045</v>
      </c>
      <c r="R259" s="96">
        <v>13020</v>
      </c>
      <c r="S259" s="62">
        <f t="shared" si="58"/>
        <v>1085</v>
      </c>
      <c r="T259" s="62">
        <v>12480</v>
      </c>
      <c r="U259" s="62">
        <f t="shared" si="59"/>
        <v>1040</v>
      </c>
      <c r="V259" s="69">
        <v>11400</v>
      </c>
      <c r="W259" s="71">
        <v>1135</v>
      </c>
      <c r="X259" s="105">
        <f>W259-30</f>
        <v>1105</v>
      </c>
      <c r="Y259" s="171">
        <f t="shared" si="63"/>
        <v>6.25E-2</v>
      </c>
      <c r="Z259" s="64">
        <f t="shared" si="66"/>
        <v>9.1346153846153841E-2</v>
      </c>
      <c r="AA259" s="64">
        <f t="shared" si="60"/>
        <v>4.6082949308755762E-2</v>
      </c>
      <c r="AB259" s="71">
        <f t="shared" si="64"/>
        <v>1135</v>
      </c>
      <c r="AC259" s="64">
        <f t="shared" si="67"/>
        <v>9.1346153846153841E-2</v>
      </c>
      <c r="AD259" s="64">
        <f t="shared" si="61"/>
        <v>4.6082949308755762E-2</v>
      </c>
      <c r="AE259" s="71">
        <v>1100</v>
      </c>
      <c r="AF259" s="64">
        <f t="shared" si="68"/>
        <v>5.7692307692307696E-2</v>
      </c>
      <c r="AG259" s="64">
        <f t="shared" si="62"/>
        <v>1.3824884792626729E-2</v>
      </c>
      <c r="AH259" s="67"/>
      <c r="AI259" s="47" t="s">
        <v>54</v>
      </c>
      <c r="AJ259" s="47">
        <v>528</v>
      </c>
      <c r="AK259" s="47" t="s">
        <v>55</v>
      </c>
      <c r="AL259" s="47" t="s">
        <v>55</v>
      </c>
      <c r="AM259" s="47" t="s">
        <v>2859</v>
      </c>
      <c r="AN259" s="50"/>
      <c r="AO259" s="211">
        <f t="shared" si="69"/>
        <v>-1</v>
      </c>
      <c r="AP259" s="47" t="s">
        <v>57</v>
      </c>
      <c r="AQ259" s="47" t="s">
        <v>116</v>
      </c>
      <c r="AR259" s="47"/>
    </row>
    <row r="260" spans="1:44">
      <c r="A260" s="47" t="s">
        <v>44</v>
      </c>
      <c r="B260" s="47" t="str">
        <f t="shared" si="65"/>
        <v>August</v>
      </c>
      <c r="C260" s="59">
        <v>45531</v>
      </c>
      <c r="D260" s="47" t="s">
        <v>45</v>
      </c>
      <c r="E260" s="47" t="s">
        <v>59</v>
      </c>
      <c r="F260" s="47" t="s">
        <v>60</v>
      </c>
      <c r="G260" s="91" t="s">
        <v>3194</v>
      </c>
      <c r="H260" s="47" t="s">
        <v>3195</v>
      </c>
      <c r="I260" s="47" t="s">
        <v>63</v>
      </c>
      <c r="J260" s="47" t="s">
        <v>51</v>
      </c>
      <c r="K260" s="48">
        <v>44436</v>
      </c>
      <c r="L260" s="48">
        <v>44801</v>
      </c>
      <c r="M260" s="48">
        <v>45531</v>
      </c>
      <c r="N260" s="47" t="s">
        <v>64</v>
      </c>
      <c r="O260" s="55" t="s">
        <v>53</v>
      </c>
      <c r="P260" s="62">
        <v>11940</v>
      </c>
      <c r="Q260" s="62">
        <v>995</v>
      </c>
      <c r="R260" s="96">
        <v>12420</v>
      </c>
      <c r="S260" s="62">
        <f t="shared" si="58"/>
        <v>1035</v>
      </c>
      <c r="T260" s="62">
        <v>11302.2</v>
      </c>
      <c r="U260" s="62">
        <f t="shared" si="59"/>
        <v>941.85</v>
      </c>
      <c r="V260" s="69">
        <v>10920</v>
      </c>
      <c r="W260" s="71">
        <v>1115</v>
      </c>
      <c r="X260" s="105">
        <f>W260-30</f>
        <v>1085</v>
      </c>
      <c r="Y260" s="171">
        <f t="shared" si="63"/>
        <v>0.15198810850984762</v>
      </c>
      <c r="Z260" s="64">
        <f t="shared" si="66"/>
        <v>0.18384031427509687</v>
      </c>
      <c r="AA260" s="64">
        <f t="shared" si="60"/>
        <v>7.7294685990338161E-2</v>
      </c>
      <c r="AB260" s="71">
        <f t="shared" si="64"/>
        <v>1115</v>
      </c>
      <c r="AC260" s="64">
        <f t="shared" si="67"/>
        <v>0.18384031427509687</v>
      </c>
      <c r="AD260" s="64">
        <f t="shared" si="61"/>
        <v>7.7294685990338161E-2</v>
      </c>
      <c r="AE260" s="71">
        <v>1045</v>
      </c>
      <c r="AF260" s="64">
        <f t="shared" si="68"/>
        <v>0.10951850082284863</v>
      </c>
      <c r="AG260" s="64">
        <f t="shared" si="62"/>
        <v>9.6618357487922701E-3</v>
      </c>
      <c r="AH260" s="67"/>
      <c r="AI260" s="47" t="s">
        <v>54</v>
      </c>
      <c r="AJ260" s="47">
        <v>528</v>
      </c>
      <c r="AK260" s="47" t="s">
        <v>55</v>
      </c>
      <c r="AL260" s="47" t="s">
        <v>55</v>
      </c>
      <c r="AM260" s="47" t="s">
        <v>2653</v>
      </c>
      <c r="AN260" s="50"/>
      <c r="AO260" s="211">
        <f t="shared" si="69"/>
        <v>-1</v>
      </c>
      <c r="AP260" s="47" t="s">
        <v>57</v>
      </c>
      <c r="AQ260" s="47" t="s">
        <v>131</v>
      </c>
      <c r="AR260" s="47"/>
    </row>
    <row r="261" spans="1:44">
      <c r="A261" s="47" t="s">
        <v>44</v>
      </c>
      <c r="B261" s="47" t="str">
        <f t="shared" si="65"/>
        <v>August</v>
      </c>
      <c r="C261" s="59">
        <v>45532</v>
      </c>
      <c r="D261" s="47" t="s">
        <v>45</v>
      </c>
      <c r="E261" s="47" t="s">
        <v>59</v>
      </c>
      <c r="F261" s="47" t="s">
        <v>60</v>
      </c>
      <c r="G261" s="91" t="s">
        <v>3342</v>
      </c>
      <c r="H261" s="47" t="s">
        <v>3343</v>
      </c>
      <c r="I261" s="47" t="s">
        <v>63</v>
      </c>
      <c r="J261" s="47" t="s">
        <v>51</v>
      </c>
      <c r="K261" s="48">
        <v>44802</v>
      </c>
      <c r="L261" s="48">
        <v>45167</v>
      </c>
      <c r="M261" s="48">
        <v>45532</v>
      </c>
      <c r="N261" s="47" t="s">
        <v>64</v>
      </c>
      <c r="O261" s="55" t="s">
        <v>53</v>
      </c>
      <c r="P261" s="62">
        <v>15420</v>
      </c>
      <c r="Q261" s="62">
        <v>1285</v>
      </c>
      <c r="R261" s="96">
        <v>15960</v>
      </c>
      <c r="S261" s="62">
        <f t="shared" si="58"/>
        <v>1330</v>
      </c>
      <c r="T261" s="62">
        <v>15480</v>
      </c>
      <c r="U261" s="62">
        <f t="shared" si="59"/>
        <v>1290</v>
      </c>
      <c r="V261" s="69">
        <v>14040</v>
      </c>
      <c r="W261" s="71">
        <v>1385</v>
      </c>
      <c r="X261" s="105">
        <f>W261-25</f>
        <v>1360</v>
      </c>
      <c r="Y261" s="171">
        <f t="shared" si="63"/>
        <v>5.4263565891472867E-2</v>
      </c>
      <c r="Z261" s="64">
        <f t="shared" si="66"/>
        <v>7.3643410852713184E-2</v>
      </c>
      <c r="AA261" s="64">
        <f t="shared" si="60"/>
        <v>4.1353383458646614E-2</v>
      </c>
      <c r="AB261" s="71">
        <f t="shared" si="64"/>
        <v>1385</v>
      </c>
      <c r="AC261" s="64">
        <f t="shared" si="67"/>
        <v>7.3643410852713184E-2</v>
      </c>
      <c r="AD261" s="64">
        <f t="shared" si="61"/>
        <v>4.1353383458646614E-2</v>
      </c>
      <c r="AE261" s="71">
        <v>1355</v>
      </c>
      <c r="AF261" s="64">
        <f t="shared" si="68"/>
        <v>5.0387596899224806E-2</v>
      </c>
      <c r="AG261" s="64">
        <f t="shared" si="62"/>
        <v>1.8796992481203006E-2</v>
      </c>
      <c r="AH261" s="67"/>
      <c r="AI261" s="47" t="s">
        <v>54</v>
      </c>
      <c r="AJ261" s="47">
        <v>716</v>
      </c>
      <c r="AK261" s="47" t="s">
        <v>65</v>
      </c>
      <c r="AL261" s="47" t="s">
        <v>65</v>
      </c>
      <c r="AM261" s="47" t="s">
        <v>3344</v>
      </c>
      <c r="AN261" s="50">
        <v>1365</v>
      </c>
      <c r="AO261" s="211">
        <f t="shared" si="69"/>
        <v>5.8139534883720929E-2</v>
      </c>
      <c r="AP261" s="47" t="s">
        <v>57</v>
      </c>
      <c r="AQ261" s="47" t="s">
        <v>131</v>
      </c>
      <c r="AR261" s="47"/>
    </row>
    <row r="262" spans="1:44" hidden="1">
      <c r="A262" s="47" t="s">
        <v>44</v>
      </c>
      <c r="B262" s="47" t="str">
        <f t="shared" si="65"/>
        <v>August</v>
      </c>
      <c r="C262" s="59">
        <v>45534</v>
      </c>
      <c r="D262" s="47" t="s">
        <v>45</v>
      </c>
      <c r="E262" s="47" t="s">
        <v>59</v>
      </c>
      <c r="F262" s="47" t="s">
        <v>60</v>
      </c>
      <c r="G262" s="91" t="s">
        <v>3505</v>
      </c>
      <c r="H262" s="47" t="s">
        <v>3506</v>
      </c>
      <c r="I262" s="47" t="s">
        <v>63</v>
      </c>
      <c r="J262" s="47" t="s">
        <v>51</v>
      </c>
      <c r="K262" s="48">
        <v>45169</v>
      </c>
      <c r="L262" s="48">
        <v>45169</v>
      </c>
      <c r="M262" s="48">
        <v>45534</v>
      </c>
      <c r="N262" s="47" t="s">
        <v>52</v>
      </c>
      <c r="O262" s="55" t="s">
        <v>53</v>
      </c>
      <c r="P262" s="62">
        <v>16680</v>
      </c>
      <c r="Q262" s="62">
        <v>1390</v>
      </c>
      <c r="R262" s="96">
        <v>17280</v>
      </c>
      <c r="S262" s="62">
        <f t="shared" si="58"/>
        <v>1440</v>
      </c>
      <c r="T262" s="62">
        <v>15720</v>
      </c>
      <c r="U262" s="62">
        <f t="shared" si="59"/>
        <v>1310</v>
      </c>
      <c r="V262" s="69">
        <v>14100</v>
      </c>
      <c r="W262" s="71">
        <v>1390</v>
      </c>
      <c r="X262" s="105">
        <f>W262-25</f>
        <v>1365</v>
      </c>
      <c r="Y262" s="171">
        <f t="shared" si="63"/>
        <v>4.1984732824427481E-2</v>
      </c>
      <c r="Z262" s="64">
        <f t="shared" si="66"/>
        <v>6.1068702290076333E-2</v>
      </c>
      <c r="AA262" s="64">
        <f t="shared" si="60"/>
        <v>-3.4722222222222224E-2</v>
      </c>
      <c r="AB262" s="71">
        <f t="shared" si="64"/>
        <v>1390</v>
      </c>
      <c r="AC262" s="64">
        <f t="shared" si="67"/>
        <v>6.1068702290076333E-2</v>
      </c>
      <c r="AD262" s="64">
        <f t="shared" si="61"/>
        <v>-3.4722222222222224E-2</v>
      </c>
      <c r="AE262" s="71">
        <f>AB262-20</f>
        <v>1370</v>
      </c>
      <c r="AF262" s="64">
        <f t="shared" si="68"/>
        <v>4.5801526717557252E-2</v>
      </c>
      <c r="AG262" s="64">
        <f t="shared" si="62"/>
        <v>-4.8611111111111112E-2</v>
      </c>
      <c r="AH262" s="67"/>
      <c r="AI262" s="47" t="s">
        <v>54</v>
      </c>
      <c r="AJ262" s="47">
        <v>840</v>
      </c>
      <c r="AK262" s="47" t="s">
        <v>65</v>
      </c>
      <c r="AL262" s="47" t="s">
        <v>65</v>
      </c>
      <c r="AM262" s="47" t="s">
        <v>433</v>
      </c>
      <c r="AN262" s="50"/>
      <c r="AO262" s="211">
        <f t="shared" si="69"/>
        <v>-1</v>
      </c>
      <c r="AP262" s="47" t="s">
        <v>57</v>
      </c>
      <c r="AQ262" s="47" t="s">
        <v>131</v>
      </c>
      <c r="AR262" s="47"/>
    </row>
    <row r="263" spans="1:44" hidden="1">
      <c r="A263" s="47" t="s">
        <v>44</v>
      </c>
      <c r="B263" s="47" t="str">
        <f t="shared" si="65"/>
        <v>August</v>
      </c>
      <c r="C263" s="59">
        <v>45534</v>
      </c>
      <c r="D263" s="47" t="s">
        <v>45</v>
      </c>
      <c r="E263" s="47" t="s">
        <v>59</v>
      </c>
      <c r="F263" s="47" t="s">
        <v>60</v>
      </c>
      <c r="G263" s="91" t="s">
        <v>3507</v>
      </c>
      <c r="H263" s="47" t="s">
        <v>3508</v>
      </c>
      <c r="I263" s="47" t="s">
        <v>63</v>
      </c>
      <c r="J263" s="47" t="s">
        <v>51</v>
      </c>
      <c r="K263" s="48">
        <v>45169</v>
      </c>
      <c r="L263" s="48">
        <v>45169</v>
      </c>
      <c r="M263" s="48">
        <v>45534</v>
      </c>
      <c r="N263" s="47" t="s">
        <v>52</v>
      </c>
      <c r="O263" s="55" t="s">
        <v>53</v>
      </c>
      <c r="P263" s="62">
        <v>15540</v>
      </c>
      <c r="Q263" s="62">
        <v>1295</v>
      </c>
      <c r="R263" s="96">
        <v>16080</v>
      </c>
      <c r="S263" s="62">
        <f t="shared" si="58"/>
        <v>1340</v>
      </c>
      <c r="T263" s="62">
        <v>15540</v>
      </c>
      <c r="U263" s="62">
        <f t="shared" si="59"/>
        <v>1295</v>
      </c>
      <c r="V263" s="69">
        <v>13629</v>
      </c>
      <c r="W263" s="71">
        <v>1375</v>
      </c>
      <c r="X263" s="105">
        <f>W263-25</f>
        <v>1350</v>
      </c>
      <c r="Y263" s="171">
        <f t="shared" ref="Y263:Y272" si="70">(X263-U263)/U263</f>
        <v>4.2471042471042469E-2</v>
      </c>
      <c r="Z263" s="64">
        <f t="shared" si="66"/>
        <v>6.1776061776061778E-2</v>
      </c>
      <c r="AA263" s="64">
        <f t="shared" si="60"/>
        <v>2.6119402985074626E-2</v>
      </c>
      <c r="AB263" s="71">
        <f t="shared" ref="AB263:AB272" si="71">W263</f>
        <v>1375</v>
      </c>
      <c r="AC263" s="64">
        <f t="shared" si="67"/>
        <v>6.1776061776061778E-2</v>
      </c>
      <c r="AD263" s="64">
        <f t="shared" si="61"/>
        <v>2.6119402985074626E-2</v>
      </c>
      <c r="AE263" s="71">
        <f>AB263-20</f>
        <v>1355</v>
      </c>
      <c r="AF263" s="64">
        <f t="shared" si="68"/>
        <v>4.633204633204633E-2</v>
      </c>
      <c r="AG263" s="64">
        <f t="shared" si="62"/>
        <v>1.1194029850746268E-2</v>
      </c>
      <c r="AH263" s="67"/>
      <c r="AI263" s="47" t="s">
        <v>54</v>
      </c>
      <c r="AJ263" s="47">
        <v>810</v>
      </c>
      <c r="AK263" s="47" t="s">
        <v>65</v>
      </c>
      <c r="AL263" s="47" t="s">
        <v>65</v>
      </c>
      <c r="AM263" s="47" t="s">
        <v>433</v>
      </c>
      <c r="AN263" s="50"/>
      <c r="AO263" s="211">
        <f t="shared" si="69"/>
        <v>-1</v>
      </c>
      <c r="AP263" s="47" t="s">
        <v>57</v>
      </c>
      <c r="AQ263" s="47" t="s">
        <v>131</v>
      </c>
      <c r="AR263" s="47"/>
    </row>
    <row r="264" spans="1:44">
      <c r="A264" s="47" t="s">
        <v>44</v>
      </c>
      <c r="B264" s="47" t="str">
        <f t="shared" si="65"/>
        <v>August</v>
      </c>
      <c r="C264" s="59">
        <v>45534</v>
      </c>
      <c r="D264" s="47" t="s">
        <v>45</v>
      </c>
      <c r="E264" s="47" t="s">
        <v>59</v>
      </c>
      <c r="F264" s="47" t="s">
        <v>60</v>
      </c>
      <c r="G264" s="91" t="s">
        <v>3511</v>
      </c>
      <c r="H264" s="47" t="s">
        <v>3512</v>
      </c>
      <c r="I264" s="47" t="s">
        <v>63</v>
      </c>
      <c r="J264" s="47" t="s">
        <v>51</v>
      </c>
      <c r="K264" s="48">
        <v>44439</v>
      </c>
      <c r="L264" s="48">
        <v>45169</v>
      </c>
      <c r="M264" s="48">
        <v>45534</v>
      </c>
      <c r="N264" s="47" t="s">
        <v>64</v>
      </c>
      <c r="O264" s="55" t="s">
        <v>53</v>
      </c>
      <c r="P264" s="62">
        <v>15900</v>
      </c>
      <c r="Q264" s="62">
        <v>1325</v>
      </c>
      <c r="R264" s="96">
        <v>16440</v>
      </c>
      <c r="S264" s="62">
        <f t="shared" si="58"/>
        <v>1370</v>
      </c>
      <c r="T264" s="62">
        <v>15720</v>
      </c>
      <c r="U264" s="62">
        <f t="shared" si="59"/>
        <v>1310</v>
      </c>
      <c r="V264" s="69">
        <v>14220</v>
      </c>
      <c r="W264" s="71">
        <v>1410</v>
      </c>
      <c r="X264" s="105">
        <f>W264-25</f>
        <v>1385</v>
      </c>
      <c r="Y264" s="171">
        <f t="shared" si="70"/>
        <v>5.7251908396946563E-2</v>
      </c>
      <c r="Z264" s="64">
        <f t="shared" si="66"/>
        <v>7.6335877862595422E-2</v>
      </c>
      <c r="AA264" s="64">
        <f t="shared" si="60"/>
        <v>2.9197080291970802E-2</v>
      </c>
      <c r="AB264" s="71">
        <f t="shared" si="71"/>
        <v>1410</v>
      </c>
      <c r="AC264" s="64">
        <f t="shared" si="67"/>
        <v>7.6335877862595422E-2</v>
      </c>
      <c r="AD264" s="64">
        <f t="shared" si="61"/>
        <v>2.9197080291970802E-2</v>
      </c>
      <c r="AE264" s="71">
        <v>1375</v>
      </c>
      <c r="AF264" s="64">
        <f t="shared" si="68"/>
        <v>4.9618320610687022E-2</v>
      </c>
      <c r="AG264" s="64">
        <f t="shared" si="62"/>
        <v>3.6496350364963502E-3</v>
      </c>
      <c r="AH264" s="67"/>
      <c r="AI264" s="47" t="s">
        <v>54</v>
      </c>
      <c r="AJ264" s="47">
        <v>857</v>
      </c>
      <c r="AK264" s="47" t="s">
        <v>65</v>
      </c>
      <c r="AL264" s="47" t="s">
        <v>65</v>
      </c>
      <c r="AM264" s="47" t="s">
        <v>554</v>
      </c>
      <c r="AN264" s="50"/>
      <c r="AO264" s="211">
        <f t="shared" si="69"/>
        <v>-1</v>
      </c>
      <c r="AP264" s="47" t="s">
        <v>57</v>
      </c>
      <c r="AQ264" s="47" t="s">
        <v>131</v>
      </c>
      <c r="AR264" s="47"/>
    </row>
    <row r="265" spans="1:44">
      <c r="A265" s="47" t="s">
        <v>44</v>
      </c>
      <c r="B265" s="47" t="str">
        <f t="shared" si="65"/>
        <v>August</v>
      </c>
      <c r="C265" s="59">
        <v>45534</v>
      </c>
      <c r="D265" s="47" t="s">
        <v>45</v>
      </c>
      <c r="E265" s="47" t="s">
        <v>59</v>
      </c>
      <c r="F265" s="47" t="s">
        <v>60</v>
      </c>
      <c r="G265" s="91" t="s">
        <v>3513</v>
      </c>
      <c r="H265" s="47" t="s">
        <v>3514</v>
      </c>
      <c r="I265" s="47" t="s">
        <v>63</v>
      </c>
      <c r="J265" s="47" t="s">
        <v>51</v>
      </c>
      <c r="K265" s="48">
        <v>44439</v>
      </c>
      <c r="L265" s="48">
        <v>45169</v>
      </c>
      <c r="M265" s="48">
        <v>45534</v>
      </c>
      <c r="N265" s="47" t="s">
        <v>64</v>
      </c>
      <c r="O265" s="55" t="s">
        <v>53</v>
      </c>
      <c r="P265" s="62">
        <v>12000</v>
      </c>
      <c r="Q265" s="62">
        <v>1000</v>
      </c>
      <c r="R265" s="96">
        <v>12480</v>
      </c>
      <c r="S265" s="62">
        <f t="shared" si="58"/>
        <v>1040</v>
      </c>
      <c r="T265" s="62">
        <v>12300</v>
      </c>
      <c r="U265" s="62">
        <f t="shared" si="59"/>
        <v>1025</v>
      </c>
      <c r="V265" s="69">
        <v>11220</v>
      </c>
      <c r="W265" s="71">
        <v>1120</v>
      </c>
      <c r="X265" s="105">
        <f>W265-30</f>
        <v>1090</v>
      </c>
      <c r="Y265" s="171">
        <f t="shared" si="70"/>
        <v>6.3414634146341464E-2</v>
      </c>
      <c r="Z265" s="64">
        <f t="shared" si="66"/>
        <v>9.2682926829268292E-2</v>
      </c>
      <c r="AA265" s="64">
        <f t="shared" si="60"/>
        <v>7.6923076923076927E-2</v>
      </c>
      <c r="AB265" s="71">
        <f t="shared" si="71"/>
        <v>1120</v>
      </c>
      <c r="AC265" s="64">
        <f t="shared" si="67"/>
        <v>9.2682926829268292E-2</v>
      </c>
      <c r="AD265" s="64">
        <f t="shared" si="61"/>
        <v>7.6923076923076927E-2</v>
      </c>
      <c r="AE265" s="71">
        <v>1070</v>
      </c>
      <c r="AF265" s="64">
        <f t="shared" si="68"/>
        <v>4.3902439024390241E-2</v>
      </c>
      <c r="AG265" s="64">
        <f t="shared" si="62"/>
        <v>2.8846153846153848E-2</v>
      </c>
      <c r="AH265" s="67"/>
      <c r="AI265" s="47" t="s">
        <v>54</v>
      </c>
      <c r="AJ265" s="47">
        <v>535</v>
      </c>
      <c r="AK265" s="47" t="s">
        <v>55</v>
      </c>
      <c r="AL265" s="47" t="s">
        <v>55</v>
      </c>
      <c r="AM265" s="47" t="s">
        <v>499</v>
      </c>
      <c r="AN265" s="50">
        <v>1080</v>
      </c>
      <c r="AO265" s="211">
        <f t="shared" si="69"/>
        <v>5.3658536585365853E-2</v>
      </c>
      <c r="AP265" s="47" t="s">
        <v>57</v>
      </c>
      <c r="AQ265" s="47" t="s">
        <v>131</v>
      </c>
      <c r="AR265" s="47"/>
    </row>
    <row r="266" spans="1:44">
      <c r="A266" s="47" t="s">
        <v>44</v>
      </c>
      <c r="B266" s="47" t="str">
        <f t="shared" si="65"/>
        <v>August</v>
      </c>
      <c r="C266" s="59">
        <v>45535</v>
      </c>
      <c r="D266" s="47" t="s">
        <v>45</v>
      </c>
      <c r="E266" s="47" t="s">
        <v>59</v>
      </c>
      <c r="F266" s="47" t="s">
        <v>60</v>
      </c>
      <c r="G266" s="91" t="s">
        <v>3677</v>
      </c>
      <c r="H266" s="47" t="s">
        <v>3678</v>
      </c>
      <c r="I266" s="47" t="s">
        <v>63</v>
      </c>
      <c r="J266" s="47" t="s">
        <v>51</v>
      </c>
      <c r="K266" s="48">
        <v>44440</v>
      </c>
      <c r="L266" s="48">
        <v>45170</v>
      </c>
      <c r="M266" s="48">
        <v>45535</v>
      </c>
      <c r="N266" s="47" t="s">
        <v>64</v>
      </c>
      <c r="O266" s="55" t="s">
        <v>53</v>
      </c>
      <c r="P266" s="62">
        <v>21300</v>
      </c>
      <c r="Q266" s="62">
        <v>1775</v>
      </c>
      <c r="R266" s="96">
        <v>21720</v>
      </c>
      <c r="S266" s="62">
        <f t="shared" si="58"/>
        <v>1810</v>
      </c>
      <c r="T266" s="62">
        <v>21120</v>
      </c>
      <c r="U266" s="62">
        <f t="shared" si="59"/>
        <v>1760</v>
      </c>
      <c r="V266" s="69">
        <v>19500</v>
      </c>
      <c r="W266" s="71">
        <v>1860</v>
      </c>
      <c r="X266" s="105">
        <f>W266-55</f>
        <v>1805</v>
      </c>
      <c r="Y266" s="171">
        <f t="shared" si="70"/>
        <v>2.556818181818182E-2</v>
      </c>
      <c r="Z266" s="64">
        <f t="shared" si="66"/>
        <v>5.6818181818181816E-2</v>
      </c>
      <c r="AA266" s="64">
        <f t="shared" si="60"/>
        <v>2.7624309392265192E-2</v>
      </c>
      <c r="AB266" s="71">
        <f t="shared" si="71"/>
        <v>1860</v>
      </c>
      <c r="AC266" s="64">
        <f t="shared" si="67"/>
        <v>5.6818181818181816E-2</v>
      </c>
      <c r="AD266" s="64">
        <f t="shared" si="61"/>
        <v>2.7624309392265192E-2</v>
      </c>
      <c r="AE266" s="71">
        <v>1840</v>
      </c>
      <c r="AF266" s="64">
        <f t="shared" si="68"/>
        <v>4.5454545454545456E-2</v>
      </c>
      <c r="AG266" s="64">
        <f t="shared" si="62"/>
        <v>1.6574585635359115E-2</v>
      </c>
      <c r="AH266" s="67"/>
      <c r="AI266" s="47" t="s">
        <v>54</v>
      </c>
      <c r="AJ266" s="47">
        <v>1015</v>
      </c>
      <c r="AK266" s="47" t="s">
        <v>140</v>
      </c>
      <c r="AL266" s="47" t="s">
        <v>65</v>
      </c>
      <c r="AM266" s="47" t="s">
        <v>453</v>
      </c>
      <c r="AN266" s="50"/>
      <c r="AO266" s="211">
        <f t="shared" si="69"/>
        <v>-1</v>
      </c>
      <c r="AP266" s="47" t="s">
        <v>57</v>
      </c>
      <c r="AQ266" s="47" t="s">
        <v>131</v>
      </c>
      <c r="AR266" s="47"/>
    </row>
    <row r="267" spans="1:44">
      <c r="A267" s="47" t="s">
        <v>44</v>
      </c>
      <c r="B267" s="47" t="str">
        <f t="shared" si="65"/>
        <v>August</v>
      </c>
      <c r="C267" s="59">
        <v>45535</v>
      </c>
      <c r="D267" s="47" t="s">
        <v>45</v>
      </c>
      <c r="E267" s="47" t="s">
        <v>59</v>
      </c>
      <c r="F267" s="47" t="s">
        <v>60</v>
      </c>
      <c r="G267" s="91" t="s">
        <v>3682</v>
      </c>
      <c r="H267" s="47" t="s">
        <v>3683</v>
      </c>
      <c r="I267" s="47" t="s">
        <v>63</v>
      </c>
      <c r="J267" s="47" t="s">
        <v>51</v>
      </c>
      <c r="K267" s="48">
        <v>44440</v>
      </c>
      <c r="L267" s="48">
        <v>45170</v>
      </c>
      <c r="M267" s="48">
        <v>45535</v>
      </c>
      <c r="N267" s="47" t="s">
        <v>64</v>
      </c>
      <c r="O267" s="55" t="s">
        <v>53</v>
      </c>
      <c r="P267" s="62">
        <v>21180</v>
      </c>
      <c r="Q267" s="62">
        <v>1765</v>
      </c>
      <c r="R267" s="96">
        <v>21600</v>
      </c>
      <c r="S267" s="62">
        <f t="shared" si="58"/>
        <v>1800</v>
      </c>
      <c r="T267" s="62">
        <v>20820</v>
      </c>
      <c r="U267" s="62">
        <f t="shared" si="59"/>
        <v>1735</v>
      </c>
      <c r="V267" s="69">
        <v>19020</v>
      </c>
      <c r="W267" s="71">
        <v>1840</v>
      </c>
      <c r="X267" s="105">
        <f>W267-55</f>
        <v>1785</v>
      </c>
      <c r="Y267" s="171">
        <f t="shared" si="70"/>
        <v>2.8818443804034581E-2</v>
      </c>
      <c r="Z267" s="64">
        <f t="shared" si="66"/>
        <v>6.0518731988472622E-2</v>
      </c>
      <c r="AA267" s="64">
        <f t="shared" si="60"/>
        <v>2.2222222222222223E-2</v>
      </c>
      <c r="AB267" s="71">
        <f t="shared" si="71"/>
        <v>1840</v>
      </c>
      <c r="AC267" s="64">
        <f t="shared" si="67"/>
        <v>6.0518731988472622E-2</v>
      </c>
      <c r="AD267" s="64">
        <f t="shared" si="61"/>
        <v>2.2222222222222223E-2</v>
      </c>
      <c r="AE267" s="71">
        <v>1820</v>
      </c>
      <c r="AF267" s="64">
        <f t="shared" si="68"/>
        <v>4.8991354466858789E-2</v>
      </c>
      <c r="AG267" s="64">
        <f t="shared" si="62"/>
        <v>1.1111111111111112E-2</v>
      </c>
      <c r="AH267" s="67"/>
      <c r="AI267" s="47" t="s">
        <v>395</v>
      </c>
      <c r="AJ267" s="47">
        <v>1020</v>
      </c>
      <c r="AK267" s="47" t="s">
        <v>140</v>
      </c>
      <c r="AL267" s="47" t="s">
        <v>65</v>
      </c>
      <c r="AM267" s="47" t="s">
        <v>3684</v>
      </c>
      <c r="AN267" s="50">
        <v>1840</v>
      </c>
      <c r="AO267" s="211">
        <f t="shared" si="69"/>
        <v>6.0518731988472622E-2</v>
      </c>
      <c r="AP267" s="47" t="s">
        <v>57</v>
      </c>
      <c r="AQ267" s="47" t="s">
        <v>131</v>
      </c>
      <c r="AR267" s="47"/>
    </row>
    <row r="268" spans="1:44" hidden="1">
      <c r="A268" s="47" t="s">
        <v>44</v>
      </c>
      <c r="B268" s="47" t="str">
        <f t="shared" si="65"/>
        <v>August</v>
      </c>
      <c r="C268" s="59">
        <v>45535</v>
      </c>
      <c r="D268" s="47" t="s">
        <v>45</v>
      </c>
      <c r="E268" s="47" t="s">
        <v>59</v>
      </c>
      <c r="F268" s="47" t="s">
        <v>60</v>
      </c>
      <c r="G268" s="91" t="s">
        <v>3690</v>
      </c>
      <c r="H268" s="47" t="s">
        <v>3691</v>
      </c>
      <c r="I268" s="47" t="s">
        <v>63</v>
      </c>
      <c r="J268" s="47" t="s">
        <v>51</v>
      </c>
      <c r="K268" s="48">
        <v>45170</v>
      </c>
      <c r="L268" s="48">
        <v>45170</v>
      </c>
      <c r="M268" s="48">
        <v>45535</v>
      </c>
      <c r="N268" s="47" t="s">
        <v>52</v>
      </c>
      <c r="O268" s="55" t="s">
        <v>53</v>
      </c>
      <c r="P268" s="62">
        <v>13080</v>
      </c>
      <c r="Q268" s="62">
        <v>1090</v>
      </c>
      <c r="R268" s="96">
        <v>13620</v>
      </c>
      <c r="S268" s="62">
        <f t="shared" si="58"/>
        <v>1135</v>
      </c>
      <c r="T268" s="62">
        <v>13080</v>
      </c>
      <c r="U268" s="62">
        <f t="shared" si="59"/>
        <v>1090</v>
      </c>
      <c r="V268" s="69">
        <v>11640</v>
      </c>
      <c r="W268" s="71">
        <v>1155</v>
      </c>
      <c r="X268" s="105">
        <f>W268-30</f>
        <v>1125</v>
      </c>
      <c r="Y268" s="171">
        <f t="shared" si="70"/>
        <v>3.2110091743119268E-2</v>
      </c>
      <c r="Z268" s="64">
        <f t="shared" si="66"/>
        <v>5.9633027522935783E-2</v>
      </c>
      <c r="AA268" s="64">
        <f t="shared" si="60"/>
        <v>1.7621145374449341E-2</v>
      </c>
      <c r="AB268" s="71">
        <f t="shared" si="71"/>
        <v>1155</v>
      </c>
      <c r="AC268" s="64">
        <f t="shared" si="67"/>
        <v>5.9633027522935783E-2</v>
      </c>
      <c r="AD268" s="64">
        <f t="shared" si="61"/>
        <v>1.7621145374449341E-2</v>
      </c>
      <c r="AE268" s="71">
        <f>AB268</f>
        <v>1155</v>
      </c>
      <c r="AF268" s="64">
        <f t="shared" si="68"/>
        <v>5.9633027522935783E-2</v>
      </c>
      <c r="AG268" s="64">
        <f t="shared" si="62"/>
        <v>1.7621145374449341E-2</v>
      </c>
      <c r="AH268" s="67"/>
      <c r="AI268" s="47" t="s">
        <v>54</v>
      </c>
      <c r="AJ268" s="47">
        <v>528</v>
      </c>
      <c r="AK268" s="47" t="s">
        <v>55</v>
      </c>
      <c r="AL268" s="47" t="s">
        <v>65</v>
      </c>
      <c r="AM268" s="47" t="s">
        <v>1422</v>
      </c>
      <c r="AN268" s="50"/>
      <c r="AO268" s="211">
        <f t="shared" si="69"/>
        <v>-1</v>
      </c>
      <c r="AP268" s="47" t="s">
        <v>57</v>
      </c>
      <c r="AQ268" s="47" t="s">
        <v>131</v>
      </c>
      <c r="AR268" s="47"/>
    </row>
    <row r="269" spans="1:44" hidden="1">
      <c r="A269" s="47" t="s">
        <v>44</v>
      </c>
      <c r="B269" s="47" t="str">
        <f t="shared" si="65"/>
        <v>August</v>
      </c>
      <c r="C269" s="59">
        <v>45535</v>
      </c>
      <c r="D269" s="47" t="s">
        <v>45</v>
      </c>
      <c r="E269" s="47" t="s">
        <v>59</v>
      </c>
      <c r="F269" s="47" t="s">
        <v>60</v>
      </c>
      <c r="G269" s="91" t="s">
        <v>3692</v>
      </c>
      <c r="H269" s="47" t="s">
        <v>3693</v>
      </c>
      <c r="I269" s="47" t="s">
        <v>63</v>
      </c>
      <c r="J269" s="47" t="s">
        <v>51</v>
      </c>
      <c r="K269" s="48">
        <v>45170</v>
      </c>
      <c r="L269" s="48">
        <v>45170</v>
      </c>
      <c r="M269" s="48">
        <v>45535</v>
      </c>
      <c r="N269" s="47" t="s">
        <v>52</v>
      </c>
      <c r="O269" s="55" t="s">
        <v>53</v>
      </c>
      <c r="P269" s="62">
        <v>16800</v>
      </c>
      <c r="Q269" s="62">
        <v>1400</v>
      </c>
      <c r="R269" s="96">
        <v>17400</v>
      </c>
      <c r="S269" s="62">
        <f t="shared" si="58"/>
        <v>1450</v>
      </c>
      <c r="T269" s="62">
        <v>16320</v>
      </c>
      <c r="U269" s="62">
        <f t="shared" si="59"/>
        <v>1360</v>
      </c>
      <c r="V269" s="69">
        <v>15120</v>
      </c>
      <c r="W269" s="71">
        <v>1430</v>
      </c>
      <c r="X269" s="105">
        <f>W269-25</f>
        <v>1405</v>
      </c>
      <c r="Y269" s="171">
        <f t="shared" si="70"/>
        <v>3.3088235294117647E-2</v>
      </c>
      <c r="Z269" s="64">
        <f t="shared" si="66"/>
        <v>5.1470588235294115E-2</v>
      </c>
      <c r="AA269" s="64">
        <f t="shared" si="60"/>
        <v>-1.3793103448275862E-2</v>
      </c>
      <c r="AB269" s="71">
        <f t="shared" si="71"/>
        <v>1430</v>
      </c>
      <c r="AC269" s="64">
        <f t="shared" si="67"/>
        <v>5.1470588235294115E-2</v>
      </c>
      <c r="AD269" s="64">
        <f t="shared" si="61"/>
        <v>-1.3793103448275862E-2</v>
      </c>
      <c r="AE269" s="71">
        <v>1430</v>
      </c>
      <c r="AF269" s="64">
        <f t="shared" si="68"/>
        <v>5.1470588235294115E-2</v>
      </c>
      <c r="AG269" s="64">
        <f t="shared" si="62"/>
        <v>-1.3793103448275862E-2</v>
      </c>
      <c r="AH269" s="67"/>
      <c r="AI269" s="47" t="s">
        <v>54</v>
      </c>
      <c r="AJ269" s="47">
        <v>826</v>
      </c>
      <c r="AK269" s="47" t="s">
        <v>65</v>
      </c>
      <c r="AL269" s="47" t="s">
        <v>65</v>
      </c>
      <c r="AM269" s="47" t="s">
        <v>563</v>
      </c>
      <c r="AN269" s="50"/>
      <c r="AO269" s="211">
        <f t="shared" si="69"/>
        <v>-1</v>
      </c>
      <c r="AP269" s="47" t="s">
        <v>57</v>
      </c>
      <c r="AQ269" s="47" t="s">
        <v>131</v>
      </c>
      <c r="AR269" s="47"/>
    </row>
    <row r="270" spans="1:44" hidden="1">
      <c r="A270" s="47" t="s">
        <v>44</v>
      </c>
      <c r="B270" s="47" t="str">
        <f t="shared" si="65"/>
        <v>August</v>
      </c>
      <c r="C270" s="59">
        <v>45535</v>
      </c>
      <c r="D270" s="47" t="s">
        <v>45</v>
      </c>
      <c r="E270" s="47" t="s">
        <v>59</v>
      </c>
      <c r="F270" s="47" t="s">
        <v>60</v>
      </c>
      <c r="G270" s="91" t="s">
        <v>3699</v>
      </c>
      <c r="H270" s="47" t="s">
        <v>3700</v>
      </c>
      <c r="I270" s="47" t="s">
        <v>63</v>
      </c>
      <c r="J270" s="47" t="s">
        <v>51</v>
      </c>
      <c r="K270" s="48">
        <v>45170</v>
      </c>
      <c r="L270" s="48">
        <v>45170</v>
      </c>
      <c r="M270" s="48">
        <v>45535</v>
      </c>
      <c r="N270" s="47" t="s">
        <v>52</v>
      </c>
      <c r="O270" s="55" t="s">
        <v>53</v>
      </c>
      <c r="P270" s="62">
        <v>15840</v>
      </c>
      <c r="Q270" s="62">
        <v>1320</v>
      </c>
      <c r="R270" s="96">
        <v>16380</v>
      </c>
      <c r="S270" s="62">
        <f t="shared" si="58"/>
        <v>1365</v>
      </c>
      <c r="T270" s="62">
        <v>15840</v>
      </c>
      <c r="U270" s="62">
        <f t="shared" si="59"/>
        <v>1320</v>
      </c>
      <c r="V270" s="69">
        <v>14160</v>
      </c>
      <c r="W270" s="71">
        <v>1395</v>
      </c>
      <c r="X270" s="105">
        <f>W270-25</f>
        <v>1370</v>
      </c>
      <c r="Y270" s="171">
        <f t="shared" si="70"/>
        <v>3.787878787878788E-2</v>
      </c>
      <c r="Z270" s="64">
        <f t="shared" si="66"/>
        <v>5.6818181818181816E-2</v>
      </c>
      <c r="AA270" s="64">
        <f t="shared" si="60"/>
        <v>2.197802197802198E-2</v>
      </c>
      <c r="AB270" s="71">
        <f t="shared" si="71"/>
        <v>1395</v>
      </c>
      <c r="AC270" s="64">
        <f t="shared" si="67"/>
        <v>5.6818181818181816E-2</v>
      </c>
      <c r="AD270" s="64">
        <f t="shared" si="61"/>
        <v>2.197802197802198E-2</v>
      </c>
      <c r="AE270" s="71">
        <v>1375</v>
      </c>
      <c r="AF270" s="64">
        <f t="shared" si="68"/>
        <v>4.1666666666666664E-2</v>
      </c>
      <c r="AG270" s="64">
        <f t="shared" si="62"/>
        <v>7.326007326007326E-3</v>
      </c>
      <c r="AH270" s="67"/>
      <c r="AI270" s="47" t="s">
        <v>54</v>
      </c>
      <c r="AJ270" s="47">
        <v>711</v>
      </c>
      <c r="AK270" s="47" t="s">
        <v>65</v>
      </c>
      <c r="AL270" s="47" t="s">
        <v>65</v>
      </c>
      <c r="AM270" s="47" t="s">
        <v>490</v>
      </c>
      <c r="AN270" s="50">
        <v>1395</v>
      </c>
      <c r="AO270" s="211">
        <f t="shared" si="69"/>
        <v>5.6818181818181816E-2</v>
      </c>
      <c r="AP270" s="47" t="s">
        <v>57</v>
      </c>
      <c r="AQ270" s="47" t="s">
        <v>131</v>
      </c>
      <c r="AR270" s="47"/>
    </row>
    <row r="271" spans="1:44" hidden="1">
      <c r="A271" s="47" t="s">
        <v>44</v>
      </c>
      <c r="B271" s="47" t="str">
        <f t="shared" si="65"/>
        <v>August</v>
      </c>
      <c r="C271" s="59">
        <v>45535</v>
      </c>
      <c r="D271" s="47" t="s">
        <v>45</v>
      </c>
      <c r="E271" s="47" t="s">
        <v>59</v>
      </c>
      <c r="F271" s="47" t="s">
        <v>60</v>
      </c>
      <c r="G271" s="91" t="s">
        <v>3701</v>
      </c>
      <c r="H271" s="47" t="s">
        <v>3702</v>
      </c>
      <c r="I271" s="47" t="s">
        <v>63</v>
      </c>
      <c r="J271" s="47" t="s">
        <v>51</v>
      </c>
      <c r="K271" s="48">
        <v>45170</v>
      </c>
      <c r="L271" s="48">
        <v>45170</v>
      </c>
      <c r="M271" s="48">
        <v>45535</v>
      </c>
      <c r="N271" s="47" t="s">
        <v>52</v>
      </c>
      <c r="O271" s="55" t="s">
        <v>53</v>
      </c>
      <c r="P271" s="62">
        <v>15720</v>
      </c>
      <c r="Q271" s="62">
        <v>1310</v>
      </c>
      <c r="R271" s="96">
        <v>16260</v>
      </c>
      <c r="S271" s="62">
        <f t="shared" si="58"/>
        <v>1355</v>
      </c>
      <c r="T271" s="62">
        <v>15720</v>
      </c>
      <c r="U271" s="62">
        <f t="shared" si="59"/>
        <v>1310</v>
      </c>
      <c r="V271" s="69">
        <v>14040</v>
      </c>
      <c r="W271" s="71">
        <v>1385</v>
      </c>
      <c r="X271" s="105">
        <f>W271-25</f>
        <v>1360</v>
      </c>
      <c r="Y271" s="171">
        <f t="shared" si="70"/>
        <v>3.8167938931297711E-2</v>
      </c>
      <c r="Z271" s="64">
        <f t="shared" si="66"/>
        <v>5.7251908396946563E-2</v>
      </c>
      <c r="AA271" s="64">
        <f t="shared" si="60"/>
        <v>2.2140221402214021E-2</v>
      </c>
      <c r="AB271" s="71">
        <f t="shared" si="71"/>
        <v>1385</v>
      </c>
      <c r="AC271" s="64">
        <f t="shared" si="67"/>
        <v>5.7251908396946563E-2</v>
      </c>
      <c r="AD271" s="64">
        <f t="shared" si="61"/>
        <v>2.2140221402214021E-2</v>
      </c>
      <c r="AE271" s="71">
        <f>AB271</f>
        <v>1385</v>
      </c>
      <c r="AF271" s="64">
        <f t="shared" si="68"/>
        <v>5.7251908396946563E-2</v>
      </c>
      <c r="AG271" s="64">
        <f t="shared" si="62"/>
        <v>2.2140221402214021E-2</v>
      </c>
      <c r="AH271" s="67"/>
      <c r="AI271" s="47" t="s">
        <v>54</v>
      </c>
      <c r="AJ271" s="47">
        <v>810</v>
      </c>
      <c r="AK271" s="47" t="s">
        <v>65</v>
      </c>
      <c r="AL271" s="47" t="s">
        <v>65</v>
      </c>
      <c r="AM271" s="47" t="s">
        <v>3057</v>
      </c>
      <c r="AN271" s="50"/>
      <c r="AO271" s="211">
        <f t="shared" si="69"/>
        <v>-1</v>
      </c>
      <c r="AP271" s="47" t="s">
        <v>57</v>
      </c>
      <c r="AQ271" s="47" t="s">
        <v>131</v>
      </c>
      <c r="AR271" s="47"/>
    </row>
    <row r="272" spans="1:44">
      <c r="A272" s="47" t="s">
        <v>44</v>
      </c>
      <c r="B272" s="47" t="str">
        <f t="shared" si="65"/>
        <v>August</v>
      </c>
      <c r="C272" s="59">
        <v>45535</v>
      </c>
      <c r="D272" s="47" t="s">
        <v>45</v>
      </c>
      <c r="E272" s="47" t="s">
        <v>59</v>
      </c>
      <c r="F272" s="47" t="s">
        <v>60</v>
      </c>
      <c r="G272" s="91" t="s">
        <v>3703</v>
      </c>
      <c r="H272" s="47" t="s">
        <v>3704</v>
      </c>
      <c r="I272" s="47" t="s">
        <v>63</v>
      </c>
      <c r="J272" s="47" t="s">
        <v>51</v>
      </c>
      <c r="K272" s="48">
        <v>44805</v>
      </c>
      <c r="L272" s="48">
        <v>45170</v>
      </c>
      <c r="M272" s="48">
        <v>45535</v>
      </c>
      <c r="N272" s="47" t="s">
        <v>64</v>
      </c>
      <c r="O272" s="55" t="s">
        <v>53</v>
      </c>
      <c r="P272" s="62">
        <v>15420</v>
      </c>
      <c r="Q272" s="62">
        <v>1285</v>
      </c>
      <c r="R272" s="96">
        <v>15960</v>
      </c>
      <c r="S272" s="62">
        <f t="shared" si="58"/>
        <v>1330</v>
      </c>
      <c r="T272" s="62">
        <v>15720</v>
      </c>
      <c r="U272" s="62">
        <f t="shared" si="59"/>
        <v>1310</v>
      </c>
      <c r="V272" s="69">
        <v>14100</v>
      </c>
      <c r="W272" s="71">
        <v>1390</v>
      </c>
      <c r="X272" s="105">
        <f>W272-25</f>
        <v>1365</v>
      </c>
      <c r="Y272" s="171">
        <f t="shared" si="70"/>
        <v>4.1984732824427481E-2</v>
      </c>
      <c r="Z272" s="64">
        <f t="shared" si="66"/>
        <v>6.1068702290076333E-2</v>
      </c>
      <c r="AA272" s="64">
        <f t="shared" si="60"/>
        <v>4.5112781954887216E-2</v>
      </c>
      <c r="AB272" s="71">
        <f t="shared" si="71"/>
        <v>1390</v>
      </c>
      <c r="AC272" s="64">
        <f t="shared" si="67"/>
        <v>6.1068702290076333E-2</v>
      </c>
      <c r="AD272" s="64">
        <f t="shared" si="61"/>
        <v>4.5112781954887216E-2</v>
      </c>
      <c r="AE272" s="71">
        <v>1365</v>
      </c>
      <c r="AF272" s="64">
        <f t="shared" si="68"/>
        <v>4.1984732824427481E-2</v>
      </c>
      <c r="AG272" s="64">
        <f t="shared" si="62"/>
        <v>2.6315789473684209E-2</v>
      </c>
      <c r="AH272" s="67"/>
      <c r="AI272" s="47" t="s">
        <v>54</v>
      </c>
      <c r="AJ272" s="47">
        <v>711</v>
      </c>
      <c r="AK272" s="47" t="s">
        <v>65</v>
      </c>
      <c r="AL272" s="47" t="s">
        <v>65</v>
      </c>
      <c r="AM272" s="47" t="s">
        <v>66</v>
      </c>
      <c r="AN272" s="50">
        <v>1365</v>
      </c>
      <c r="AO272" s="211">
        <f t="shared" si="69"/>
        <v>4.1984732824427481E-2</v>
      </c>
      <c r="AP272" s="47" t="s">
        <v>57</v>
      </c>
      <c r="AQ272" s="47" t="s">
        <v>131</v>
      </c>
      <c r="AR272" s="47"/>
    </row>
    <row r="273" spans="1:44">
      <c r="A273" s="47" t="s">
        <v>44</v>
      </c>
      <c r="B273" s="47" t="str">
        <f t="shared" si="65"/>
        <v>July</v>
      </c>
      <c r="C273" s="59">
        <v>45491</v>
      </c>
      <c r="D273" s="47" t="s">
        <v>2086</v>
      </c>
      <c r="E273" s="47" t="s">
        <v>2130</v>
      </c>
      <c r="F273" s="47" t="s">
        <v>1052</v>
      </c>
      <c r="G273" s="47" t="s">
        <v>2131</v>
      </c>
      <c r="H273" s="47" t="s">
        <v>2132</v>
      </c>
      <c r="I273" s="47"/>
      <c r="J273" s="47" t="s">
        <v>51</v>
      </c>
      <c r="K273" s="48">
        <v>44761</v>
      </c>
      <c r="L273" s="48">
        <v>45126</v>
      </c>
      <c r="M273" s="48">
        <v>45491</v>
      </c>
      <c r="N273" s="47" t="s">
        <v>64</v>
      </c>
      <c r="O273" s="55" t="s">
        <v>53</v>
      </c>
      <c r="P273" s="62">
        <v>22500</v>
      </c>
      <c r="Q273" s="62">
        <v>1875</v>
      </c>
      <c r="R273" s="103">
        <v>22500</v>
      </c>
      <c r="S273" s="62">
        <f t="shared" si="58"/>
        <v>1875</v>
      </c>
      <c r="T273" s="62">
        <v>22500</v>
      </c>
      <c r="U273" s="62">
        <f t="shared" si="59"/>
        <v>1875</v>
      </c>
      <c r="V273" s="69">
        <v>21000</v>
      </c>
      <c r="W273" s="71" t="s">
        <v>123</v>
      </c>
      <c r="X273" s="71"/>
      <c r="Y273" s="71"/>
      <c r="Z273" s="64" t="e">
        <f t="shared" si="66"/>
        <v>#VALUE!</v>
      </c>
      <c r="AA273" s="64" t="e">
        <f t="shared" si="60"/>
        <v>#VALUE!</v>
      </c>
      <c r="AB273" s="71">
        <v>1950</v>
      </c>
      <c r="AC273" s="64">
        <f t="shared" si="67"/>
        <v>0.04</v>
      </c>
      <c r="AD273" s="64">
        <f t="shared" si="61"/>
        <v>0.04</v>
      </c>
      <c r="AE273" s="71">
        <v>1925</v>
      </c>
      <c r="AF273" s="64">
        <f t="shared" si="68"/>
        <v>2.6666666666666668E-2</v>
      </c>
      <c r="AG273" s="64">
        <f t="shared" si="62"/>
        <v>2.6666666666666668E-2</v>
      </c>
      <c r="AH273" s="67"/>
      <c r="AI273" s="47" t="s">
        <v>54</v>
      </c>
      <c r="AJ273" s="47">
        <v>732</v>
      </c>
      <c r="AK273" s="101" t="s">
        <v>55</v>
      </c>
      <c r="AL273" s="101" t="s">
        <v>55</v>
      </c>
      <c r="AM273" s="47" t="s">
        <v>2133</v>
      </c>
      <c r="AN273" s="47"/>
      <c r="AO273" s="211">
        <f t="shared" si="69"/>
        <v>-1</v>
      </c>
      <c r="AP273" s="47" t="s">
        <v>90</v>
      </c>
      <c r="AQ273" s="91" t="s">
        <v>116</v>
      </c>
      <c r="AR273" s="47"/>
    </row>
    <row r="274" spans="1:44">
      <c r="A274" s="47" t="s">
        <v>44</v>
      </c>
      <c r="B274" s="47" t="str">
        <f t="shared" si="65"/>
        <v>July</v>
      </c>
      <c r="C274" s="59">
        <v>45501</v>
      </c>
      <c r="D274" s="47" t="s">
        <v>83</v>
      </c>
      <c r="E274" s="47" t="s">
        <v>411</v>
      </c>
      <c r="F274" s="47" t="s">
        <v>323</v>
      </c>
      <c r="G274" s="47" t="s">
        <v>412</v>
      </c>
      <c r="H274" s="47" t="s">
        <v>413</v>
      </c>
      <c r="I274" s="47" t="s">
        <v>414</v>
      </c>
      <c r="J274" s="47" t="s">
        <v>51</v>
      </c>
      <c r="K274" s="48">
        <v>44772</v>
      </c>
      <c r="L274" s="48">
        <v>45136</v>
      </c>
      <c r="M274" s="48">
        <v>45501</v>
      </c>
      <c r="N274" s="47" t="s">
        <v>64</v>
      </c>
      <c r="O274" s="55" t="s">
        <v>53</v>
      </c>
      <c r="P274" s="62">
        <v>24336</v>
      </c>
      <c r="Q274" s="62">
        <v>2028</v>
      </c>
      <c r="R274" s="103">
        <v>26000</v>
      </c>
      <c r="S274" s="62">
        <f t="shared" si="58"/>
        <v>2166.6666666666665</v>
      </c>
      <c r="T274" s="62">
        <v>22800</v>
      </c>
      <c r="U274" s="62">
        <f t="shared" si="59"/>
        <v>1900</v>
      </c>
      <c r="V274" s="69">
        <v>20880</v>
      </c>
      <c r="W274" s="71" t="s">
        <v>123</v>
      </c>
      <c r="X274" s="71"/>
      <c r="Y274" s="71"/>
      <c r="Z274" s="64" t="e">
        <f t="shared" si="66"/>
        <v>#VALUE!</v>
      </c>
      <c r="AA274" s="64" t="e">
        <f t="shared" si="60"/>
        <v>#VALUE!</v>
      </c>
      <c r="AB274" s="71">
        <v>2025</v>
      </c>
      <c r="AC274" s="64">
        <f t="shared" si="67"/>
        <v>6.5789473684210523E-2</v>
      </c>
      <c r="AD274" s="64">
        <f t="shared" si="61"/>
        <v>-6.5384615384615319E-2</v>
      </c>
      <c r="AE274" s="71">
        <v>1985</v>
      </c>
      <c r="AF274" s="64">
        <f t="shared" si="68"/>
        <v>4.4736842105263158E-2</v>
      </c>
      <c r="AG274" s="64">
        <f t="shared" si="62"/>
        <v>-8.3846153846153779E-2</v>
      </c>
      <c r="AH274" s="67" t="s">
        <v>415</v>
      </c>
      <c r="AI274" s="47" t="s">
        <v>54</v>
      </c>
      <c r="AJ274" s="47">
        <v>573.71</v>
      </c>
      <c r="AK274" s="101" t="s">
        <v>55</v>
      </c>
      <c r="AL274" s="101" t="s">
        <v>55</v>
      </c>
      <c r="AM274" s="47" t="s">
        <v>416</v>
      </c>
      <c r="AN274" s="47">
        <v>2025</v>
      </c>
      <c r="AO274" s="211">
        <f t="shared" si="69"/>
        <v>6.5789473684210523E-2</v>
      </c>
      <c r="AP274" s="47" t="s">
        <v>90</v>
      </c>
      <c r="AQ274" s="223" t="s">
        <v>125</v>
      </c>
      <c r="AR274" s="47"/>
    </row>
    <row r="275" spans="1:44" hidden="1">
      <c r="A275" s="47" t="s">
        <v>44</v>
      </c>
      <c r="B275" s="47" t="str">
        <f t="shared" si="65"/>
        <v>August</v>
      </c>
      <c r="C275" s="59">
        <v>45511</v>
      </c>
      <c r="D275" s="47" t="s">
        <v>83</v>
      </c>
      <c r="E275" s="47" t="s">
        <v>411</v>
      </c>
      <c r="F275" s="47" t="s">
        <v>323</v>
      </c>
      <c r="G275" s="47" t="s">
        <v>467</v>
      </c>
      <c r="H275" s="47" t="s">
        <v>468</v>
      </c>
      <c r="I275" s="53" t="s">
        <v>469</v>
      </c>
      <c r="J275" s="47" t="s">
        <v>51</v>
      </c>
      <c r="K275" s="48">
        <v>45146</v>
      </c>
      <c r="L275" s="48">
        <v>45146</v>
      </c>
      <c r="M275" s="48">
        <v>45511</v>
      </c>
      <c r="N275" s="47" t="s">
        <v>52</v>
      </c>
      <c r="O275" s="55" t="s">
        <v>53</v>
      </c>
      <c r="P275" s="62">
        <v>29120</v>
      </c>
      <c r="Q275" s="62">
        <v>2426.6666666666665</v>
      </c>
      <c r="R275" s="103">
        <v>29120</v>
      </c>
      <c r="S275" s="62">
        <f t="shared" si="58"/>
        <v>2426.6666666666665</v>
      </c>
      <c r="T275" s="62">
        <v>28200</v>
      </c>
      <c r="U275" s="62">
        <f t="shared" si="59"/>
        <v>2350</v>
      </c>
      <c r="V275" s="69">
        <v>25584</v>
      </c>
      <c r="W275" s="71" t="s">
        <v>123</v>
      </c>
      <c r="X275" s="71"/>
      <c r="Y275" s="71"/>
      <c r="Z275" s="64" t="e">
        <f t="shared" si="66"/>
        <v>#VALUE!</v>
      </c>
      <c r="AA275" s="64" t="e">
        <f t="shared" si="60"/>
        <v>#VALUE!</v>
      </c>
      <c r="AB275" s="71">
        <v>2475</v>
      </c>
      <c r="AC275" s="64">
        <f t="shared" si="67"/>
        <v>5.3191489361702128E-2</v>
      </c>
      <c r="AD275" s="64">
        <f t="shared" si="61"/>
        <v>1.9917582417582482E-2</v>
      </c>
      <c r="AE275" s="71">
        <v>2450</v>
      </c>
      <c r="AF275" s="64">
        <f t="shared" si="68"/>
        <v>4.2553191489361701E-2</v>
      </c>
      <c r="AG275" s="64">
        <f t="shared" si="62"/>
        <v>9.6153846153846784E-3</v>
      </c>
      <c r="AH275" s="67"/>
      <c r="AI275" s="47" t="s">
        <v>54</v>
      </c>
      <c r="AJ275" s="47">
        <v>657.17</v>
      </c>
      <c r="AK275" s="47" t="s">
        <v>65</v>
      </c>
      <c r="AL275" s="47" t="s">
        <v>55</v>
      </c>
      <c r="AM275" s="47" t="s">
        <v>470</v>
      </c>
      <c r="AN275" s="47"/>
      <c r="AO275" s="211">
        <f t="shared" si="69"/>
        <v>-1</v>
      </c>
      <c r="AP275" s="47" t="s">
        <v>90</v>
      </c>
      <c r="AQ275" s="91" t="s">
        <v>116</v>
      </c>
      <c r="AR275" s="47"/>
    </row>
    <row r="276" spans="1:44" hidden="1">
      <c r="A276" s="47" t="s">
        <v>44</v>
      </c>
      <c r="B276" s="47" t="str">
        <f t="shared" si="65"/>
        <v>August</v>
      </c>
      <c r="C276" s="59">
        <v>45513</v>
      </c>
      <c r="D276" s="47" t="s">
        <v>83</v>
      </c>
      <c r="E276" s="47" t="s">
        <v>411</v>
      </c>
      <c r="F276" s="47" t="s">
        <v>323</v>
      </c>
      <c r="G276" s="47" t="s">
        <v>639</v>
      </c>
      <c r="H276" s="47" t="s">
        <v>640</v>
      </c>
      <c r="I276" s="53" t="s">
        <v>469</v>
      </c>
      <c r="J276" s="47" t="s">
        <v>51</v>
      </c>
      <c r="K276" s="48">
        <v>45148</v>
      </c>
      <c r="L276" s="48">
        <v>45148</v>
      </c>
      <c r="M276" s="48">
        <v>45513</v>
      </c>
      <c r="N276" s="47" t="s">
        <v>52</v>
      </c>
      <c r="O276" s="55" t="s">
        <v>53</v>
      </c>
      <c r="P276" s="62">
        <v>29484</v>
      </c>
      <c r="Q276" s="62">
        <v>2457</v>
      </c>
      <c r="R276" s="103">
        <v>29484</v>
      </c>
      <c r="S276" s="62">
        <f t="shared" si="58"/>
        <v>2457</v>
      </c>
      <c r="T276" s="62">
        <v>29820</v>
      </c>
      <c r="U276" s="62">
        <f t="shared" si="59"/>
        <v>2485</v>
      </c>
      <c r="V276" s="69">
        <v>27600</v>
      </c>
      <c r="W276" s="71" t="s">
        <v>123</v>
      </c>
      <c r="X276" s="71"/>
      <c r="Y276" s="71"/>
      <c r="Z276" s="64" t="e">
        <f t="shared" si="66"/>
        <v>#VALUE!</v>
      </c>
      <c r="AA276" s="64" t="e">
        <f t="shared" si="60"/>
        <v>#VALUE!</v>
      </c>
      <c r="AB276" s="71">
        <v>2600</v>
      </c>
      <c r="AC276" s="64">
        <f t="shared" si="67"/>
        <v>4.6277665995975853E-2</v>
      </c>
      <c r="AD276" s="64">
        <f t="shared" si="61"/>
        <v>5.8201058201058198E-2</v>
      </c>
      <c r="AE276" s="71">
        <v>2585</v>
      </c>
      <c r="AF276" s="64">
        <f t="shared" si="68"/>
        <v>4.0241448692152917E-2</v>
      </c>
      <c r="AG276" s="64">
        <f t="shared" si="62"/>
        <v>5.2096052096052094E-2</v>
      </c>
      <c r="AH276" s="67"/>
      <c r="AI276" s="47" t="s">
        <v>54</v>
      </c>
      <c r="AJ276" s="47">
        <v>678.13</v>
      </c>
      <c r="AK276" s="47" t="s">
        <v>65</v>
      </c>
      <c r="AL276" s="47" t="s">
        <v>55</v>
      </c>
      <c r="AM276" s="47" t="s">
        <v>641</v>
      </c>
      <c r="AN276" s="47"/>
      <c r="AO276" s="211">
        <f t="shared" si="69"/>
        <v>-1</v>
      </c>
      <c r="AP276" s="47" t="s">
        <v>90</v>
      </c>
      <c r="AQ276" s="91" t="s">
        <v>116</v>
      </c>
      <c r="AR276" s="47" t="s">
        <v>117</v>
      </c>
    </row>
    <row r="277" spans="1:44" hidden="1">
      <c r="A277" s="47" t="s">
        <v>44</v>
      </c>
      <c r="B277" s="47" t="str">
        <f t="shared" si="65"/>
        <v>August</v>
      </c>
      <c r="C277" s="59">
        <v>45521</v>
      </c>
      <c r="D277" s="47" t="s">
        <v>83</v>
      </c>
      <c r="E277" s="47" t="s">
        <v>411</v>
      </c>
      <c r="F277" s="47" t="s">
        <v>323</v>
      </c>
      <c r="G277" s="47" t="s">
        <v>642</v>
      </c>
      <c r="H277" s="47" t="s">
        <v>643</v>
      </c>
      <c r="I277" s="53" t="s">
        <v>469</v>
      </c>
      <c r="J277" s="47" t="s">
        <v>51</v>
      </c>
      <c r="K277" s="48">
        <v>45159</v>
      </c>
      <c r="L277" s="48">
        <v>45156</v>
      </c>
      <c r="M277" s="48">
        <v>45521</v>
      </c>
      <c r="N277" s="47" t="s">
        <v>52</v>
      </c>
      <c r="O277" s="55" t="s">
        <v>53</v>
      </c>
      <c r="P277" s="62">
        <v>25896</v>
      </c>
      <c r="Q277" s="62">
        <v>2158</v>
      </c>
      <c r="R277" s="103">
        <v>27560</v>
      </c>
      <c r="S277" s="62">
        <f t="shared" si="58"/>
        <v>2296.6666666666665</v>
      </c>
      <c r="T277" s="62">
        <v>27000</v>
      </c>
      <c r="U277" s="62">
        <f t="shared" si="59"/>
        <v>2250</v>
      </c>
      <c r="V277" s="69">
        <v>24840</v>
      </c>
      <c r="W277" s="71" t="s">
        <v>123</v>
      </c>
      <c r="X277" s="71"/>
      <c r="Y277" s="71"/>
      <c r="Z277" s="64" t="e">
        <f t="shared" si="66"/>
        <v>#VALUE!</v>
      </c>
      <c r="AA277" s="64" t="e">
        <f t="shared" si="60"/>
        <v>#VALUE!</v>
      </c>
      <c r="AB277" s="71">
        <v>2365</v>
      </c>
      <c r="AC277" s="64">
        <f t="shared" si="67"/>
        <v>5.1111111111111114E-2</v>
      </c>
      <c r="AD277" s="64">
        <f t="shared" si="61"/>
        <v>2.9753265602322273E-2</v>
      </c>
      <c r="AE277" s="71">
        <v>2345</v>
      </c>
      <c r="AF277" s="64">
        <f t="shared" si="68"/>
        <v>4.2222222222222223E-2</v>
      </c>
      <c r="AG277" s="64">
        <f t="shared" si="62"/>
        <v>2.104499274310602E-2</v>
      </c>
      <c r="AH277" s="67"/>
      <c r="AI277" s="47" t="s">
        <v>54</v>
      </c>
      <c r="AJ277" s="47">
        <v>722.1</v>
      </c>
      <c r="AK277" s="47" t="s">
        <v>55</v>
      </c>
      <c r="AL277" s="47" t="s">
        <v>55</v>
      </c>
      <c r="AM277" s="47" t="s">
        <v>644</v>
      </c>
      <c r="AN277" s="47"/>
      <c r="AO277" s="211">
        <f t="shared" si="69"/>
        <v>-1</v>
      </c>
      <c r="AP277" s="47" t="s">
        <v>90</v>
      </c>
      <c r="AQ277" s="91" t="s">
        <v>116</v>
      </c>
      <c r="AR277" s="47"/>
    </row>
    <row r="278" spans="1:44">
      <c r="A278" s="47" t="s">
        <v>44</v>
      </c>
      <c r="B278" s="47" t="str">
        <f t="shared" si="65"/>
        <v>August</v>
      </c>
      <c r="C278" s="59">
        <v>45529</v>
      </c>
      <c r="D278" s="47" t="s">
        <v>83</v>
      </c>
      <c r="E278" s="47" t="s">
        <v>411</v>
      </c>
      <c r="F278" s="47" t="s">
        <v>323</v>
      </c>
      <c r="G278" s="47" t="s">
        <v>645</v>
      </c>
      <c r="H278" s="47" t="s">
        <v>646</v>
      </c>
      <c r="I278" s="53" t="s">
        <v>469</v>
      </c>
      <c r="J278" s="47" t="s">
        <v>51</v>
      </c>
      <c r="K278" s="48">
        <v>44434</v>
      </c>
      <c r="L278" s="48">
        <v>45164</v>
      </c>
      <c r="M278" s="48">
        <v>45529</v>
      </c>
      <c r="N278" s="47" t="s">
        <v>64</v>
      </c>
      <c r="O278" s="55" t="s">
        <v>53</v>
      </c>
      <c r="P278" s="62">
        <v>23660</v>
      </c>
      <c r="Q278" s="62">
        <v>1971.6666666666667</v>
      </c>
      <c r="R278" s="103">
        <v>25272</v>
      </c>
      <c r="S278" s="62">
        <f t="shared" si="58"/>
        <v>2106</v>
      </c>
      <c r="T278" s="62">
        <v>20220</v>
      </c>
      <c r="U278" s="137">
        <f t="shared" si="59"/>
        <v>1685</v>
      </c>
      <c r="V278" s="69">
        <v>18780</v>
      </c>
      <c r="W278" s="71" t="s">
        <v>123</v>
      </c>
      <c r="X278" s="71"/>
      <c r="Y278" s="71"/>
      <c r="Z278" s="64" t="e">
        <f t="shared" si="66"/>
        <v>#VALUE!</v>
      </c>
      <c r="AA278" s="64" t="e">
        <f t="shared" si="60"/>
        <v>#VALUE!</v>
      </c>
      <c r="AB278" s="71">
        <v>1800</v>
      </c>
      <c r="AC278" s="64">
        <f t="shared" si="67"/>
        <v>6.8249258160237386E-2</v>
      </c>
      <c r="AD278" s="64">
        <f t="shared" si="61"/>
        <v>-0.14529914529914531</v>
      </c>
      <c r="AE278" s="71">
        <v>1775</v>
      </c>
      <c r="AF278" s="64">
        <f t="shared" si="68"/>
        <v>5.3412462908011868E-2</v>
      </c>
      <c r="AG278" s="64">
        <f t="shared" si="62"/>
        <v>-0.15716999050332384</v>
      </c>
      <c r="AH278" s="67"/>
      <c r="AI278" s="47" t="s">
        <v>54</v>
      </c>
      <c r="AJ278" s="47">
        <v>502.35</v>
      </c>
      <c r="AK278" s="47" t="s">
        <v>55</v>
      </c>
      <c r="AL278" s="47" t="s">
        <v>55</v>
      </c>
      <c r="AM278" s="47" t="s">
        <v>647</v>
      </c>
      <c r="AN278" s="47">
        <v>1775</v>
      </c>
      <c r="AO278" s="211">
        <f t="shared" si="69"/>
        <v>5.3412462908011868E-2</v>
      </c>
      <c r="AP278" s="47" t="s">
        <v>90</v>
      </c>
      <c r="AQ278" s="91" t="s">
        <v>116</v>
      </c>
      <c r="AR278" s="47"/>
    </row>
    <row r="279" spans="1:44">
      <c r="A279" s="47" t="s">
        <v>44</v>
      </c>
      <c r="B279" s="47" t="str">
        <f t="shared" si="65"/>
        <v>July</v>
      </c>
      <c r="C279" s="59">
        <v>45492</v>
      </c>
      <c r="D279" s="47" t="s">
        <v>83</v>
      </c>
      <c r="E279" s="47" t="s">
        <v>411</v>
      </c>
      <c r="F279" s="47" t="s">
        <v>323</v>
      </c>
      <c r="G279" s="47" t="s">
        <v>648</v>
      </c>
      <c r="H279" s="47" t="s">
        <v>649</v>
      </c>
      <c r="I279" s="53" t="s">
        <v>650</v>
      </c>
      <c r="J279" s="47" t="s">
        <v>51</v>
      </c>
      <c r="K279" s="48">
        <v>44762</v>
      </c>
      <c r="L279" s="48">
        <v>45127</v>
      </c>
      <c r="M279" s="48">
        <v>45492</v>
      </c>
      <c r="N279" s="47" t="s">
        <v>64</v>
      </c>
      <c r="O279" s="55" t="s">
        <v>53</v>
      </c>
      <c r="P279" s="62">
        <v>29952</v>
      </c>
      <c r="Q279" s="62">
        <v>2496</v>
      </c>
      <c r="R279" s="103">
        <v>29952</v>
      </c>
      <c r="S279" s="62">
        <f t="shared" si="58"/>
        <v>2496</v>
      </c>
      <c r="T279" s="62">
        <v>28560</v>
      </c>
      <c r="U279" s="62">
        <f t="shared" si="59"/>
        <v>2380</v>
      </c>
      <c r="V279" s="69">
        <v>26520</v>
      </c>
      <c r="W279" s="71" t="s">
        <v>123</v>
      </c>
      <c r="X279" s="71"/>
      <c r="Y279" s="71"/>
      <c r="Z279" s="64" t="e">
        <f t="shared" si="66"/>
        <v>#VALUE!</v>
      </c>
      <c r="AA279" s="64" t="e">
        <f t="shared" si="60"/>
        <v>#VALUE!</v>
      </c>
      <c r="AB279" s="71">
        <v>2500</v>
      </c>
      <c r="AC279" s="64">
        <f t="shared" si="67"/>
        <v>5.0420168067226892E-2</v>
      </c>
      <c r="AD279" s="64">
        <f t="shared" si="61"/>
        <v>1.6025641025641025E-3</v>
      </c>
      <c r="AE279" s="71">
        <v>2490</v>
      </c>
      <c r="AF279" s="64">
        <f t="shared" si="68"/>
        <v>4.6218487394957986E-2</v>
      </c>
      <c r="AG279" s="64">
        <f t="shared" si="62"/>
        <v>-2.403846153846154E-3</v>
      </c>
      <c r="AH279" s="67"/>
      <c r="AI279" s="47" t="s">
        <v>54</v>
      </c>
      <c r="AJ279" s="47">
        <v>789.68</v>
      </c>
      <c r="AK279" s="101" t="s">
        <v>65</v>
      </c>
      <c r="AL279" s="101" t="s">
        <v>55</v>
      </c>
      <c r="AM279" s="47" t="s">
        <v>651</v>
      </c>
      <c r="AN279" s="47">
        <v>2500</v>
      </c>
      <c r="AO279" s="211">
        <f t="shared" si="69"/>
        <v>5.0420168067226892E-2</v>
      </c>
      <c r="AP279" s="47" t="s">
        <v>90</v>
      </c>
      <c r="AQ279" s="91" t="s">
        <v>116</v>
      </c>
      <c r="AR279" s="47"/>
    </row>
    <row r="280" spans="1:44">
      <c r="A280" s="47" t="s">
        <v>44</v>
      </c>
      <c r="B280" s="47" t="str">
        <f t="shared" si="65"/>
        <v>July</v>
      </c>
      <c r="C280" s="59">
        <v>45493</v>
      </c>
      <c r="D280" s="47" t="s">
        <v>83</v>
      </c>
      <c r="E280" s="47" t="s">
        <v>411</v>
      </c>
      <c r="F280" s="47" t="s">
        <v>323</v>
      </c>
      <c r="G280" s="47" t="s">
        <v>652</v>
      </c>
      <c r="H280" s="47" t="s">
        <v>653</v>
      </c>
      <c r="I280" s="53" t="s">
        <v>654</v>
      </c>
      <c r="J280" s="47" t="s">
        <v>51</v>
      </c>
      <c r="K280" s="48">
        <v>42937</v>
      </c>
      <c r="L280" s="48">
        <v>45128</v>
      </c>
      <c r="M280" s="48">
        <v>45493</v>
      </c>
      <c r="N280" s="47" t="s">
        <v>64</v>
      </c>
      <c r="O280" s="55" t="s">
        <v>53</v>
      </c>
      <c r="P280" s="62">
        <v>24596</v>
      </c>
      <c r="Q280" s="62">
        <v>2049.6666666666665</v>
      </c>
      <c r="R280" s="103">
        <v>24596</v>
      </c>
      <c r="S280" s="62">
        <f t="shared" si="58"/>
        <v>2049.6666666666665</v>
      </c>
      <c r="T280" s="62">
        <v>23700</v>
      </c>
      <c r="U280" s="62">
        <f t="shared" si="59"/>
        <v>1975</v>
      </c>
      <c r="V280" s="69">
        <v>21840</v>
      </c>
      <c r="W280" s="71" t="s">
        <v>123</v>
      </c>
      <c r="X280" s="71"/>
      <c r="Y280" s="71"/>
      <c r="Z280" s="64" t="e">
        <f t="shared" si="66"/>
        <v>#VALUE!</v>
      </c>
      <c r="AA280" s="64" t="e">
        <f t="shared" si="60"/>
        <v>#VALUE!</v>
      </c>
      <c r="AB280" s="71">
        <v>2075</v>
      </c>
      <c r="AC280" s="64">
        <f t="shared" si="67"/>
        <v>5.0632911392405063E-2</v>
      </c>
      <c r="AD280" s="64">
        <f t="shared" si="61"/>
        <v>1.2359733289965922E-2</v>
      </c>
      <c r="AE280" s="71">
        <f>AB280</f>
        <v>2075</v>
      </c>
      <c r="AF280" s="64">
        <f t="shared" si="68"/>
        <v>5.0632911392405063E-2</v>
      </c>
      <c r="AG280" s="64">
        <f t="shared" si="62"/>
        <v>1.2359733289965922E-2</v>
      </c>
      <c r="AH280" s="67" t="s">
        <v>415</v>
      </c>
      <c r="AI280" s="47" t="s">
        <v>54</v>
      </c>
      <c r="AJ280" s="47">
        <v>581.03</v>
      </c>
      <c r="AK280" s="101" t="s">
        <v>55</v>
      </c>
      <c r="AL280" s="101" t="s">
        <v>55</v>
      </c>
      <c r="AM280" s="47" t="s">
        <v>655</v>
      </c>
      <c r="AN280" s="47">
        <v>2075</v>
      </c>
      <c r="AO280" s="211">
        <f t="shared" si="69"/>
        <v>5.0632911392405063E-2</v>
      </c>
      <c r="AP280" s="47" t="s">
        <v>90</v>
      </c>
      <c r="AQ280" s="91" t="s">
        <v>116</v>
      </c>
      <c r="AR280" s="47"/>
    </row>
    <row r="281" spans="1:44">
      <c r="A281" s="47" t="s">
        <v>44</v>
      </c>
      <c r="B281" s="47" t="str">
        <f t="shared" si="65"/>
        <v>August</v>
      </c>
      <c r="C281" s="59">
        <v>45507</v>
      </c>
      <c r="D281" s="47" t="s">
        <v>83</v>
      </c>
      <c r="E281" s="47" t="s">
        <v>1015</v>
      </c>
      <c r="F281" s="47" t="s">
        <v>323</v>
      </c>
      <c r="G281" s="47" t="s">
        <v>1016</v>
      </c>
      <c r="H281" s="47" t="s">
        <v>1017</v>
      </c>
      <c r="I281" s="47" t="s">
        <v>1018</v>
      </c>
      <c r="J281" s="47" t="s">
        <v>51</v>
      </c>
      <c r="K281" s="48">
        <v>44777</v>
      </c>
      <c r="L281" s="48">
        <v>45142</v>
      </c>
      <c r="M281" s="48">
        <v>45507</v>
      </c>
      <c r="N281" s="47" t="s">
        <v>64</v>
      </c>
      <c r="O281" s="55" t="s">
        <v>327</v>
      </c>
      <c r="P281" s="62">
        <v>28392</v>
      </c>
      <c r="Q281" s="62">
        <v>2366</v>
      </c>
      <c r="R281" s="103">
        <v>28912</v>
      </c>
      <c r="S281" s="62">
        <f t="shared" si="58"/>
        <v>2409.3333333333335</v>
      </c>
      <c r="T281" s="62">
        <v>27120</v>
      </c>
      <c r="U281" s="62">
        <f t="shared" si="59"/>
        <v>2260</v>
      </c>
      <c r="V281" s="69">
        <v>25200</v>
      </c>
      <c r="W281" s="71" t="s">
        <v>123</v>
      </c>
      <c r="X281" s="71"/>
      <c r="Y281" s="71"/>
      <c r="Z281" s="64" t="e">
        <f t="shared" si="66"/>
        <v>#VALUE!</v>
      </c>
      <c r="AA281" s="64" t="e">
        <f t="shared" si="60"/>
        <v>#VALUE!</v>
      </c>
      <c r="AB281" s="71">
        <v>2450</v>
      </c>
      <c r="AC281" s="64">
        <f t="shared" si="67"/>
        <v>8.4070796460176997E-2</v>
      </c>
      <c r="AD281" s="64">
        <f t="shared" si="61"/>
        <v>1.6878804648588756E-2</v>
      </c>
      <c r="AE281" s="175">
        <v>2410</v>
      </c>
      <c r="AF281" s="64">
        <f t="shared" si="68"/>
        <v>6.637168141592921E-2</v>
      </c>
      <c r="AG281" s="64">
        <f t="shared" si="62"/>
        <v>2.7670171555057346E-4</v>
      </c>
      <c r="AH281" s="67"/>
      <c r="AI281" s="47" t="s">
        <v>54</v>
      </c>
      <c r="AJ281" s="47">
        <v>924.23</v>
      </c>
      <c r="AK281" s="47" t="s">
        <v>55</v>
      </c>
      <c r="AL281" s="47" t="s">
        <v>55</v>
      </c>
      <c r="AM281" s="47" t="s">
        <v>1019</v>
      </c>
      <c r="AN281" s="47"/>
      <c r="AO281" s="211">
        <f t="shared" si="69"/>
        <v>-1</v>
      </c>
      <c r="AP281" s="47" t="s">
        <v>90</v>
      </c>
      <c r="AQ281" s="91" t="s">
        <v>116</v>
      </c>
      <c r="AR281" s="47"/>
    </row>
    <row r="282" spans="1:44" hidden="1">
      <c r="A282" s="47" t="s">
        <v>44</v>
      </c>
      <c r="B282" s="47" t="str">
        <f t="shared" si="65"/>
        <v>July</v>
      </c>
      <c r="C282" s="59">
        <v>45496</v>
      </c>
      <c r="D282" s="47" t="s">
        <v>83</v>
      </c>
      <c r="E282" s="47" t="s">
        <v>1015</v>
      </c>
      <c r="F282" s="47" t="s">
        <v>323</v>
      </c>
      <c r="G282" s="47" t="s">
        <v>2142</v>
      </c>
      <c r="H282" s="47" t="s">
        <v>2143</v>
      </c>
      <c r="I282" s="47" t="s">
        <v>50</v>
      </c>
      <c r="J282" s="47" t="s">
        <v>51</v>
      </c>
      <c r="K282" s="48">
        <v>45131</v>
      </c>
      <c r="L282" s="48">
        <v>45131</v>
      </c>
      <c r="M282" s="48">
        <v>45496</v>
      </c>
      <c r="N282" s="47" t="s">
        <v>52</v>
      </c>
      <c r="O282" s="55" t="s">
        <v>327</v>
      </c>
      <c r="P282" s="62">
        <v>26364</v>
      </c>
      <c r="Q282" s="62">
        <v>2197</v>
      </c>
      <c r="R282" s="103">
        <v>26884</v>
      </c>
      <c r="S282" s="62">
        <f t="shared" si="58"/>
        <v>2240.3333333333335</v>
      </c>
      <c r="T282" s="62">
        <v>27000</v>
      </c>
      <c r="U282" s="62">
        <f t="shared" si="59"/>
        <v>2250</v>
      </c>
      <c r="V282" s="69">
        <v>24900</v>
      </c>
      <c r="W282" s="71" t="s">
        <v>123</v>
      </c>
      <c r="X282" s="71"/>
      <c r="Y282" s="71"/>
      <c r="Z282" s="64" t="e">
        <f t="shared" si="66"/>
        <v>#VALUE!</v>
      </c>
      <c r="AA282" s="64" t="e">
        <f t="shared" si="60"/>
        <v>#VALUE!</v>
      </c>
      <c r="AB282" s="71">
        <v>2375</v>
      </c>
      <c r="AC282" s="64">
        <f t="shared" si="67"/>
        <v>5.5555555555555552E-2</v>
      </c>
      <c r="AD282" s="64">
        <f t="shared" si="61"/>
        <v>6.0110102663294078E-2</v>
      </c>
      <c r="AE282" s="71">
        <v>2365</v>
      </c>
      <c r="AF282" s="64">
        <f t="shared" si="68"/>
        <v>5.1111111111111114E-2</v>
      </c>
      <c r="AG282" s="64">
        <f t="shared" si="62"/>
        <v>5.5646481178396004E-2</v>
      </c>
      <c r="AH282" s="67"/>
      <c r="AI282" s="47" t="s">
        <v>54</v>
      </c>
      <c r="AJ282" s="47">
        <v>711.65</v>
      </c>
      <c r="AK282" s="101" t="s">
        <v>55</v>
      </c>
      <c r="AL282" s="101" t="s">
        <v>55</v>
      </c>
      <c r="AM282" s="47" t="s">
        <v>2144</v>
      </c>
      <c r="AN282" s="47"/>
      <c r="AO282" s="211">
        <f t="shared" si="69"/>
        <v>-1</v>
      </c>
      <c r="AP282" s="47" t="s">
        <v>90</v>
      </c>
      <c r="AQ282" s="91" t="s">
        <v>116</v>
      </c>
      <c r="AR282" s="47"/>
    </row>
    <row r="283" spans="1:44">
      <c r="A283" s="47" t="s">
        <v>44</v>
      </c>
      <c r="B283" s="47" t="str">
        <f t="shared" si="65"/>
        <v>July</v>
      </c>
      <c r="C283" s="59">
        <v>45495</v>
      </c>
      <c r="D283" s="47" t="s">
        <v>83</v>
      </c>
      <c r="E283" s="47" t="s">
        <v>1015</v>
      </c>
      <c r="F283" s="47" t="s">
        <v>323</v>
      </c>
      <c r="G283" s="47" t="s">
        <v>2145</v>
      </c>
      <c r="H283" s="47" t="s">
        <v>2146</v>
      </c>
      <c r="I283" s="47" t="s">
        <v>2147</v>
      </c>
      <c r="J283" s="47" t="s">
        <v>51</v>
      </c>
      <c r="K283" s="48">
        <v>44035</v>
      </c>
      <c r="L283" s="48">
        <v>45130</v>
      </c>
      <c r="M283" s="48">
        <v>45495</v>
      </c>
      <c r="N283" s="47" t="s">
        <v>64</v>
      </c>
      <c r="O283" s="55" t="s">
        <v>327</v>
      </c>
      <c r="P283" s="62">
        <v>46176</v>
      </c>
      <c r="Q283" s="62">
        <v>3848</v>
      </c>
      <c r="R283" s="103">
        <v>48360</v>
      </c>
      <c r="S283" s="62">
        <f t="shared" si="58"/>
        <v>4030</v>
      </c>
      <c r="T283" s="62">
        <v>45420</v>
      </c>
      <c r="U283" s="62">
        <f t="shared" si="59"/>
        <v>3785</v>
      </c>
      <c r="V283" s="69">
        <v>42000</v>
      </c>
      <c r="W283" s="71" t="s">
        <v>123</v>
      </c>
      <c r="X283" s="71"/>
      <c r="Y283" s="71"/>
      <c r="Z283" s="64" t="e">
        <f t="shared" si="66"/>
        <v>#VALUE!</v>
      </c>
      <c r="AA283" s="64" t="e">
        <f t="shared" si="60"/>
        <v>#VALUE!</v>
      </c>
      <c r="AB283" s="71">
        <v>4025</v>
      </c>
      <c r="AC283" s="64">
        <f t="shared" si="67"/>
        <v>6.3408190224570671E-2</v>
      </c>
      <c r="AD283" s="64">
        <f t="shared" si="61"/>
        <v>-1.2406947890818859E-3</v>
      </c>
      <c r="AE283" s="71">
        <v>4010</v>
      </c>
      <c r="AF283" s="64">
        <f t="shared" si="68"/>
        <v>5.9445178335535004E-2</v>
      </c>
      <c r="AG283" s="64">
        <f t="shared" si="62"/>
        <v>-4.9627791563275434E-3</v>
      </c>
      <c r="AH283" s="67"/>
      <c r="AI283" s="47" t="s">
        <v>54</v>
      </c>
      <c r="AJ283" s="47">
        <v>1570</v>
      </c>
      <c r="AK283" s="101" t="s">
        <v>140</v>
      </c>
      <c r="AL283" s="101" t="s">
        <v>55</v>
      </c>
      <c r="AM283" s="47" t="s">
        <v>2148</v>
      </c>
      <c r="AN283" s="47"/>
      <c r="AO283" s="211">
        <f t="shared" si="69"/>
        <v>-1</v>
      </c>
      <c r="AP283" s="47" t="s">
        <v>90</v>
      </c>
      <c r="AQ283" s="91" t="s">
        <v>116</v>
      </c>
      <c r="AR283" s="47"/>
    </row>
    <row r="284" spans="1:44">
      <c r="A284" s="47" t="s">
        <v>44</v>
      </c>
      <c r="B284" s="47" t="str">
        <f t="shared" si="65"/>
        <v>August</v>
      </c>
      <c r="C284" s="59">
        <v>45535</v>
      </c>
      <c r="D284" s="47" t="s">
        <v>83</v>
      </c>
      <c r="E284" s="47" t="s">
        <v>1015</v>
      </c>
      <c r="F284" s="47" t="s">
        <v>323</v>
      </c>
      <c r="G284" s="47" t="s">
        <v>3742</v>
      </c>
      <c r="H284" s="47" t="s">
        <v>3743</v>
      </c>
      <c r="I284" s="47" t="s">
        <v>3744</v>
      </c>
      <c r="J284" s="47" t="s">
        <v>51</v>
      </c>
      <c r="K284" s="48">
        <v>44429</v>
      </c>
      <c r="L284" s="48">
        <v>45170</v>
      </c>
      <c r="M284" s="48">
        <v>45535</v>
      </c>
      <c r="N284" s="47" t="s">
        <v>64</v>
      </c>
      <c r="O284" s="55" t="s">
        <v>327</v>
      </c>
      <c r="P284" s="62">
        <v>36504</v>
      </c>
      <c r="Q284" s="62">
        <v>3042</v>
      </c>
      <c r="R284" s="103">
        <v>38584</v>
      </c>
      <c r="S284" s="62">
        <f t="shared" si="58"/>
        <v>3215.3333333333335</v>
      </c>
      <c r="T284" s="62">
        <v>33420</v>
      </c>
      <c r="U284" s="137">
        <f t="shared" si="59"/>
        <v>2785</v>
      </c>
      <c r="V284" s="69">
        <v>30780</v>
      </c>
      <c r="W284" s="71" t="s">
        <v>123</v>
      </c>
      <c r="X284" s="71"/>
      <c r="Y284" s="71"/>
      <c r="Z284" s="64" t="e">
        <f t="shared" si="66"/>
        <v>#VALUE!</v>
      </c>
      <c r="AA284" s="64" t="e">
        <f t="shared" si="60"/>
        <v>#VALUE!</v>
      </c>
      <c r="AB284" s="71">
        <v>3000</v>
      </c>
      <c r="AC284" s="64">
        <f t="shared" si="67"/>
        <v>7.719928186714542E-2</v>
      </c>
      <c r="AD284" s="64">
        <f t="shared" si="61"/>
        <v>-6.6970765083972678E-2</v>
      </c>
      <c r="AE284" s="71">
        <v>2900</v>
      </c>
      <c r="AF284" s="64">
        <f t="shared" si="68"/>
        <v>4.1292639138240578E-2</v>
      </c>
      <c r="AG284" s="64">
        <f t="shared" si="62"/>
        <v>-9.8071739581173586E-2</v>
      </c>
      <c r="AH284" s="67" t="s">
        <v>3745</v>
      </c>
      <c r="AI284" s="47" t="s">
        <v>54</v>
      </c>
      <c r="AJ284" s="47">
        <v>1145</v>
      </c>
      <c r="AK284" s="47" t="s">
        <v>65</v>
      </c>
      <c r="AL284" s="47" t="s">
        <v>55</v>
      </c>
      <c r="AM284" s="47" t="s">
        <v>3746</v>
      </c>
      <c r="AN284" s="47"/>
      <c r="AO284" s="211">
        <f t="shared" si="69"/>
        <v>-1</v>
      </c>
      <c r="AP284" s="47" t="s">
        <v>90</v>
      </c>
      <c r="AQ284" s="91" t="s">
        <v>116</v>
      </c>
      <c r="AR284" s="47"/>
    </row>
    <row r="285" spans="1:44" hidden="1">
      <c r="A285" s="47" t="s">
        <v>44</v>
      </c>
      <c r="B285" s="47" t="str">
        <f t="shared" si="65"/>
        <v>July</v>
      </c>
      <c r="C285" s="59">
        <v>45475</v>
      </c>
      <c r="D285" s="47" t="s">
        <v>45</v>
      </c>
      <c r="E285" s="47" t="s">
        <v>847</v>
      </c>
      <c r="F285" s="47" t="s">
        <v>848</v>
      </c>
      <c r="G285" s="112" t="s">
        <v>849</v>
      </c>
      <c r="H285" s="47" t="s">
        <v>850</v>
      </c>
      <c r="I285" s="47" t="s">
        <v>63</v>
      </c>
      <c r="J285" s="47" t="s">
        <v>51</v>
      </c>
      <c r="K285" s="48">
        <v>45110</v>
      </c>
      <c r="L285" s="48">
        <v>45110</v>
      </c>
      <c r="M285" s="48">
        <v>45475</v>
      </c>
      <c r="N285" s="47" t="s">
        <v>52</v>
      </c>
      <c r="O285" s="55" t="s">
        <v>53</v>
      </c>
      <c r="P285" s="62">
        <v>15860</v>
      </c>
      <c r="Q285" s="62">
        <v>1321.6666666666667</v>
      </c>
      <c r="R285" s="96">
        <v>17316</v>
      </c>
      <c r="S285" s="62">
        <f t="shared" si="58"/>
        <v>1443</v>
      </c>
      <c r="T285" s="62">
        <v>15480</v>
      </c>
      <c r="U285" s="62">
        <f t="shared" si="59"/>
        <v>1290</v>
      </c>
      <c r="V285" s="69">
        <v>15860</v>
      </c>
      <c r="W285" s="71">
        <v>1450</v>
      </c>
      <c r="X285" s="105">
        <f>W285-50</f>
        <v>1400</v>
      </c>
      <c r="Y285" s="171">
        <f>(X285-U285)/U285</f>
        <v>8.5271317829457363E-2</v>
      </c>
      <c r="Z285" s="64">
        <f t="shared" si="66"/>
        <v>0.12403100775193798</v>
      </c>
      <c r="AA285" s="64">
        <f t="shared" si="60"/>
        <v>4.8510048510048507E-3</v>
      </c>
      <c r="AB285" s="71">
        <f>W285</f>
        <v>1450</v>
      </c>
      <c r="AC285" s="64">
        <f t="shared" si="67"/>
        <v>0.12403100775193798</v>
      </c>
      <c r="AD285" s="64">
        <f t="shared" si="61"/>
        <v>4.8510048510048507E-3</v>
      </c>
      <c r="AE285" s="71">
        <f>AB285-20</f>
        <v>1430</v>
      </c>
      <c r="AF285" s="64">
        <f t="shared" si="68"/>
        <v>0.10852713178294573</v>
      </c>
      <c r="AG285" s="64">
        <f t="shared" si="62"/>
        <v>-9.0090090090090089E-3</v>
      </c>
      <c r="AH285" s="67">
        <v>1410</v>
      </c>
      <c r="AI285" s="47" t="s">
        <v>54</v>
      </c>
      <c r="AJ285" s="47">
        <v>510.2</v>
      </c>
      <c r="AK285" s="47" t="s">
        <v>55</v>
      </c>
      <c r="AL285" s="47" t="s">
        <v>55</v>
      </c>
      <c r="AM285" s="47" t="s">
        <v>851</v>
      </c>
      <c r="AN285" s="50">
        <v>1390</v>
      </c>
      <c r="AO285" s="211">
        <f t="shared" si="69"/>
        <v>7.7519379844961239E-2</v>
      </c>
      <c r="AP285" s="47" t="s">
        <v>852</v>
      </c>
      <c r="AQ285" s="111" t="s">
        <v>125</v>
      </c>
      <c r="AR285" s="47" t="s">
        <v>853</v>
      </c>
    </row>
    <row r="286" spans="1:44" hidden="1">
      <c r="A286" s="47" t="s">
        <v>44</v>
      </c>
      <c r="B286" s="47" t="str">
        <f t="shared" si="65"/>
        <v>July</v>
      </c>
      <c r="C286" s="59">
        <v>45475</v>
      </c>
      <c r="D286" s="47" t="s">
        <v>45</v>
      </c>
      <c r="E286" s="47" t="s">
        <v>847</v>
      </c>
      <c r="F286" s="47" t="s">
        <v>848</v>
      </c>
      <c r="G286" s="112" t="s">
        <v>854</v>
      </c>
      <c r="H286" s="47" t="s">
        <v>855</v>
      </c>
      <c r="I286" s="47" t="s">
        <v>63</v>
      </c>
      <c r="J286" s="47" t="s">
        <v>51</v>
      </c>
      <c r="K286" s="48">
        <v>45110</v>
      </c>
      <c r="L286" s="48">
        <v>45110</v>
      </c>
      <c r="M286" s="48">
        <v>45475</v>
      </c>
      <c r="N286" s="47" t="s">
        <v>52</v>
      </c>
      <c r="O286" s="55" t="s">
        <v>53</v>
      </c>
      <c r="P286" s="62">
        <v>15288</v>
      </c>
      <c r="Q286" s="62">
        <v>1274</v>
      </c>
      <c r="R286" s="96">
        <v>16848</v>
      </c>
      <c r="S286" s="62">
        <f t="shared" si="58"/>
        <v>1404</v>
      </c>
      <c r="T286" s="62">
        <v>15900</v>
      </c>
      <c r="U286" s="62">
        <f t="shared" si="59"/>
        <v>1325</v>
      </c>
      <c r="V286" s="69">
        <v>15288</v>
      </c>
      <c r="W286" s="71">
        <v>1505</v>
      </c>
      <c r="X286" s="105">
        <f>W286-50</f>
        <v>1455</v>
      </c>
      <c r="Y286" s="171">
        <f>(X286-U286)/U286</f>
        <v>9.8113207547169817E-2</v>
      </c>
      <c r="Z286" s="64">
        <f t="shared" si="66"/>
        <v>0.13584905660377358</v>
      </c>
      <c r="AA286" s="64">
        <f t="shared" si="60"/>
        <v>7.1937321937321941E-2</v>
      </c>
      <c r="AB286" s="71">
        <f>W286</f>
        <v>1505</v>
      </c>
      <c r="AC286" s="64">
        <f t="shared" si="67"/>
        <v>0.13584905660377358</v>
      </c>
      <c r="AD286" s="64">
        <f t="shared" si="61"/>
        <v>7.1937321937321941E-2</v>
      </c>
      <c r="AE286" s="71">
        <v>1475</v>
      </c>
      <c r="AF286" s="64">
        <f t="shared" si="68"/>
        <v>0.11320754716981132</v>
      </c>
      <c r="AG286" s="64">
        <f t="shared" si="62"/>
        <v>5.0569800569800573E-2</v>
      </c>
      <c r="AH286" s="67"/>
      <c r="AI286" s="47" t="s">
        <v>54</v>
      </c>
      <c r="AJ286" s="47">
        <v>437.2</v>
      </c>
      <c r="AK286" s="47" t="s">
        <v>55</v>
      </c>
      <c r="AL286" s="47" t="s">
        <v>55</v>
      </c>
      <c r="AM286" s="47" t="s">
        <v>856</v>
      </c>
      <c r="AN286" s="50">
        <v>1440</v>
      </c>
      <c r="AO286" s="211">
        <f t="shared" si="69"/>
        <v>8.6792452830188674E-2</v>
      </c>
      <c r="AP286" s="47" t="s">
        <v>852</v>
      </c>
      <c r="AQ286" s="111" t="s">
        <v>125</v>
      </c>
      <c r="AR286" s="47" t="s">
        <v>857</v>
      </c>
    </row>
    <row r="287" spans="1:44">
      <c r="A287" s="47" t="s">
        <v>44</v>
      </c>
      <c r="B287" s="47" t="str">
        <f t="shared" si="65"/>
        <v>July</v>
      </c>
      <c r="C287" s="59">
        <v>45485</v>
      </c>
      <c r="D287" s="47" t="s">
        <v>45</v>
      </c>
      <c r="E287" s="47" t="s">
        <v>847</v>
      </c>
      <c r="F287" s="47" t="s">
        <v>848</v>
      </c>
      <c r="G287" s="47" t="s">
        <v>860</v>
      </c>
      <c r="H287" s="47" t="s">
        <v>861</v>
      </c>
      <c r="I287" s="47" t="s">
        <v>862</v>
      </c>
      <c r="J287" s="47" t="s">
        <v>51</v>
      </c>
      <c r="K287" s="48">
        <v>44939</v>
      </c>
      <c r="L287" s="48">
        <v>45304</v>
      </c>
      <c r="M287" s="48">
        <v>45485</v>
      </c>
      <c r="N287" s="47" t="s">
        <v>64</v>
      </c>
      <c r="O287" s="55" t="s">
        <v>53</v>
      </c>
      <c r="P287" s="62">
        <v>15912</v>
      </c>
      <c r="Q287" s="62">
        <v>1326</v>
      </c>
      <c r="R287" s="96">
        <v>17316</v>
      </c>
      <c r="S287" s="62">
        <f t="shared" si="58"/>
        <v>1443</v>
      </c>
      <c r="T287" s="62">
        <v>17760</v>
      </c>
      <c r="U287" s="62">
        <f t="shared" si="59"/>
        <v>1480</v>
      </c>
      <c r="V287" s="69">
        <v>16380</v>
      </c>
      <c r="W287" s="71">
        <v>1470</v>
      </c>
      <c r="X287" s="172">
        <f>W287-50</f>
        <v>1420</v>
      </c>
      <c r="Y287" s="173">
        <f>(X287-U287)/U287</f>
        <v>-4.0540540540540543E-2</v>
      </c>
      <c r="Z287" s="92">
        <f t="shared" si="66"/>
        <v>-6.7567567567567571E-3</v>
      </c>
      <c r="AA287" s="64">
        <f t="shared" si="60"/>
        <v>1.8711018711018712E-2</v>
      </c>
      <c r="AB287" s="106">
        <v>1495</v>
      </c>
      <c r="AC287" s="64">
        <f t="shared" si="67"/>
        <v>1.0135135135135136E-2</v>
      </c>
      <c r="AD287" s="64">
        <f t="shared" si="61"/>
        <v>3.6036036036036036E-2</v>
      </c>
      <c r="AE287" s="71">
        <v>1495</v>
      </c>
      <c r="AF287" s="64">
        <f t="shared" si="68"/>
        <v>1.0135135135135136E-2</v>
      </c>
      <c r="AG287" s="64">
        <f t="shared" si="62"/>
        <v>3.6036036036036036E-2</v>
      </c>
      <c r="AH287" s="67" t="s">
        <v>846</v>
      </c>
      <c r="AI287" s="47" t="s">
        <v>54</v>
      </c>
      <c r="AJ287" s="47">
        <v>524.70000000000005</v>
      </c>
      <c r="AK287" s="47" t="s">
        <v>55</v>
      </c>
      <c r="AL287" s="47" t="s">
        <v>55</v>
      </c>
      <c r="AM287" s="47" t="s">
        <v>863</v>
      </c>
      <c r="AN287" s="50">
        <v>1495</v>
      </c>
      <c r="AO287" s="211">
        <f t="shared" si="69"/>
        <v>1.0135135135135136E-2</v>
      </c>
      <c r="AP287" s="47" t="s">
        <v>852</v>
      </c>
      <c r="AQ287" s="111" t="s">
        <v>125</v>
      </c>
      <c r="AR287" s="47" t="s">
        <v>864</v>
      </c>
    </row>
    <row r="288" spans="1:44" hidden="1">
      <c r="A288" s="47" t="s">
        <v>44</v>
      </c>
      <c r="B288" s="47" t="str">
        <f t="shared" si="65"/>
        <v>July</v>
      </c>
      <c r="C288" s="59">
        <v>45483</v>
      </c>
      <c r="D288" s="47" t="s">
        <v>45</v>
      </c>
      <c r="E288" s="47" t="s">
        <v>847</v>
      </c>
      <c r="F288" s="47" t="s">
        <v>848</v>
      </c>
      <c r="G288" s="47" t="s">
        <v>887</v>
      </c>
      <c r="H288" s="47" t="s">
        <v>888</v>
      </c>
      <c r="I288" s="47" t="s">
        <v>63</v>
      </c>
      <c r="J288" s="47" t="s">
        <v>51</v>
      </c>
      <c r="K288" s="48">
        <v>45302</v>
      </c>
      <c r="L288" s="48">
        <v>45302</v>
      </c>
      <c r="M288" s="48">
        <v>45483</v>
      </c>
      <c r="N288" s="47" t="s">
        <v>52</v>
      </c>
      <c r="O288" s="55" t="s">
        <v>889</v>
      </c>
      <c r="P288" s="62">
        <v>15860</v>
      </c>
      <c r="Q288" s="62">
        <v>1321.6666666666667</v>
      </c>
      <c r="R288" s="96">
        <v>17316</v>
      </c>
      <c r="S288" s="62">
        <f t="shared" si="58"/>
        <v>1443</v>
      </c>
      <c r="T288" s="62">
        <v>17040</v>
      </c>
      <c r="U288" s="62">
        <f t="shared" si="59"/>
        <v>1420</v>
      </c>
      <c r="V288" s="69">
        <v>15300</v>
      </c>
      <c r="W288" s="71">
        <v>1440</v>
      </c>
      <c r="X288" s="172">
        <f>W288-50</f>
        <v>1390</v>
      </c>
      <c r="Y288" s="173">
        <f>(X288-U288)/U288</f>
        <v>-2.1126760563380281E-2</v>
      </c>
      <c r="Z288" s="64">
        <f t="shared" si="66"/>
        <v>1.4084507042253521E-2</v>
      </c>
      <c r="AA288" s="64">
        <f t="shared" si="60"/>
        <v>-2.0790020790020791E-3</v>
      </c>
      <c r="AB288" s="71">
        <f>W288</f>
        <v>1440</v>
      </c>
      <c r="AC288" s="64">
        <f t="shared" si="67"/>
        <v>1.4084507042253521E-2</v>
      </c>
      <c r="AD288" s="64">
        <f t="shared" si="61"/>
        <v>-2.0790020790020791E-3</v>
      </c>
      <c r="AE288" s="71">
        <f>AB288</f>
        <v>1440</v>
      </c>
      <c r="AF288" s="64">
        <f t="shared" si="68"/>
        <v>1.4084507042253521E-2</v>
      </c>
      <c r="AG288" s="64">
        <f t="shared" si="62"/>
        <v>-2.0790020790020791E-3</v>
      </c>
      <c r="AH288" s="67"/>
      <c r="AI288" s="47" t="s">
        <v>250</v>
      </c>
      <c r="AJ288" s="47">
        <v>509.5</v>
      </c>
      <c r="AK288" s="47" t="s">
        <v>55</v>
      </c>
      <c r="AL288" s="47" t="s">
        <v>55</v>
      </c>
      <c r="AM288" s="47" t="s">
        <v>890</v>
      </c>
      <c r="AN288" s="50"/>
      <c r="AO288" s="211">
        <f t="shared" si="69"/>
        <v>-1</v>
      </c>
      <c r="AP288" s="47" t="s">
        <v>852</v>
      </c>
      <c r="AQ288" s="94" t="s">
        <v>891</v>
      </c>
      <c r="AR288" s="47" t="s">
        <v>892</v>
      </c>
    </row>
    <row r="289" spans="1:44">
      <c r="A289" s="47" t="s">
        <v>44</v>
      </c>
      <c r="B289" s="47" t="str">
        <f t="shared" si="65"/>
        <v>July</v>
      </c>
      <c r="C289" s="59">
        <v>45475</v>
      </c>
      <c r="D289" s="47" t="s">
        <v>45</v>
      </c>
      <c r="E289" s="47" t="s">
        <v>847</v>
      </c>
      <c r="F289" s="47" t="s">
        <v>848</v>
      </c>
      <c r="G289" s="112" t="s">
        <v>905</v>
      </c>
      <c r="H289" s="47" t="s">
        <v>906</v>
      </c>
      <c r="I289" s="47" t="s">
        <v>63</v>
      </c>
      <c r="J289" s="47" t="s">
        <v>51</v>
      </c>
      <c r="K289" s="48">
        <v>44564</v>
      </c>
      <c r="L289" s="48">
        <v>45294</v>
      </c>
      <c r="M289" s="48">
        <v>45475</v>
      </c>
      <c r="N289" s="47" t="s">
        <v>64</v>
      </c>
      <c r="O289" s="55" t="s">
        <v>53</v>
      </c>
      <c r="P289" s="62">
        <v>20800</v>
      </c>
      <c r="Q289" s="62">
        <v>1733.3333333333333</v>
      </c>
      <c r="R289" s="96">
        <v>21580</v>
      </c>
      <c r="S289" s="62">
        <f t="shared" si="58"/>
        <v>1798.3333333333333</v>
      </c>
      <c r="T289" s="62">
        <v>21900</v>
      </c>
      <c r="U289" s="62">
        <f t="shared" si="59"/>
        <v>1825</v>
      </c>
      <c r="V289" s="69">
        <v>19140</v>
      </c>
      <c r="W289" s="71">
        <v>1890</v>
      </c>
      <c r="X289" s="71"/>
      <c r="Y289" s="71"/>
      <c r="Z289" s="64">
        <f t="shared" si="66"/>
        <v>3.5616438356164383E-2</v>
      </c>
      <c r="AA289" s="64">
        <f t="shared" si="60"/>
        <v>5.0973123262279936E-2</v>
      </c>
      <c r="AB289" s="71">
        <f>W289</f>
        <v>1890</v>
      </c>
      <c r="AC289" s="64">
        <f t="shared" si="67"/>
        <v>3.5616438356164383E-2</v>
      </c>
      <c r="AD289" s="64">
        <f t="shared" si="61"/>
        <v>5.0973123262279936E-2</v>
      </c>
      <c r="AE289" s="71">
        <f>AB289</f>
        <v>1890</v>
      </c>
      <c r="AF289" s="64">
        <f t="shared" si="68"/>
        <v>3.5616438356164383E-2</v>
      </c>
      <c r="AG289" s="64">
        <f t="shared" si="62"/>
        <v>5.0973123262279936E-2</v>
      </c>
      <c r="AH289" s="67"/>
      <c r="AI289" s="47" t="s">
        <v>54</v>
      </c>
      <c r="AJ289" s="47">
        <v>766.3</v>
      </c>
      <c r="AK289" s="47" t="s">
        <v>65</v>
      </c>
      <c r="AL289" s="47" t="s">
        <v>65</v>
      </c>
      <c r="AM289" s="47" t="s">
        <v>907</v>
      </c>
      <c r="AN289" s="50">
        <v>1855</v>
      </c>
      <c r="AO289" s="211">
        <f t="shared" si="69"/>
        <v>1.643835616438356E-2</v>
      </c>
      <c r="AP289" s="47" t="s">
        <v>852</v>
      </c>
      <c r="AQ289" s="111" t="s">
        <v>125</v>
      </c>
      <c r="AR289" s="47" t="s">
        <v>908</v>
      </c>
    </row>
    <row r="290" spans="1:44" hidden="1">
      <c r="A290" s="47" t="s">
        <v>74</v>
      </c>
      <c r="B290" s="47" t="str">
        <f t="shared" si="65"/>
        <v>August</v>
      </c>
      <c r="C290" s="59">
        <v>45506</v>
      </c>
      <c r="D290" s="47" t="s">
        <v>45</v>
      </c>
      <c r="E290" s="47" t="s">
        <v>847</v>
      </c>
      <c r="F290" s="47" t="s">
        <v>848</v>
      </c>
      <c r="G290" s="47" t="s">
        <v>956</v>
      </c>
      <c r="H290" s="47" t="s">
        <v>957</v>
      </c>
      <c r="I290" s="47" t="s">
        <v>63</v>
      </c>
      <c r="J290" s="47" t="s">
        <v>51</v>
      </c>
      <c r="K290" s="48">
        <v>45324</v>
      </c>
      <c r="L290" s="48">
        <v>45324</v>
      </c>
      <c r="M290" s="48">
        <v>45506</v>
      </c>
      <c r="N290" s="47" t="s">
        <v>52</v>
      </c>
      <c r="O290" s="55" t="s">
        <v>53</v>
      </c>
      <c r="P290" s="62">
        <v>23348</v>
      </c>
      <c r="Q290" s="62">
        <v>1945.6666666666667</v>
      </c>
      <c r="R290" s="96">
        <v>25012</v>
      </c>
      <c r="S290" s="62">
        <f t="shared" ref="S290:S353" si="72">R290/12</f>
        <v>2084.3333333333335</v>
      </c>
      <c r="T290" s="62">
        <v>25380</v>
      </c>
      <c r="U290" s="62">
        <f t="shared" ref="U290:U353" si="73">T290/12</f>
        <v>2115</v>
      </c>
      <c r="V290" s="69">
        <v>23400</v>
      </c>
      <c r="W290" s="71">
        <v>2140</v>
      </c>
      <c r="X290" s="71"/>
      <c r="Y290" s="71"/>
      <c r="Z290" s="64">
        <f t="shared" si="66"/>
        <v>1.1820330969267139E-2</v>
      </c>
      <c r="AA290" s="64">
        <f t="shared" si="60"/>
        <v>2.6707180553334323E-2</v>
      </c>
      <c r="AB290" s="71">
        <f>W290</f>
        <v>2140</v>
      </c>
      <c r="AC290" s="64">
        <f t="shared" si="67"/>
        <v>1.1820330969267139E-2</v>
      </c>
      <c r="AD290" s="64">
        <f t="shared" si="61"/>
        <v>2.6707180553334323E-2</v>
      </c>
      <c r="AE290" s="71">
        <f>AB290</f>
        <v>2140</v>
      </c>
      <c r="AF290" s="64">
        <f t="shared" si="68"/>
        <v>1.1820330969267139E-2</v>
      </c>
      <c r="AG290" s="64">
        <f t="shared" si="62"/>
        <v>2.6707180553334323E-2</v>
      </c>
      <c r="AH290" s="67"/>
      <c r="AI290" s="47" t="s">
        <v>54</v>
      </c>
      <c r="AJ290" s="47">
        <v>999.4</v>
      </c>
      <c r="AK290" s="47" t="s">
        <v>140</v>
      </c>
      <c r="AL290" s="47" t="s">
        <v>55</v>
      </c>
      <c r="AM290" s="47" t="s">
        <v>958</v>
      </c>
      <c r="AN290" s="50"/>
      <c r="AO290" s="211">
        <f t="shared" si="69"/>
        <v>-1</v>
      </c>
      <c r="AP290" s="47" t="s">
        <v>852</v>
      </c>
      <c r="AQ290" s="94" t="s">
        <v>959</v>
      </c>
      <c r="AR290" s="47" t="s">
        <v>960</v>
      </c>
    </row>
    <row r="291" spans="1:44" hidden="1">
      <c r="A291" s="47" t="s">
        <v>44</v>
      </c>
      <c r="B291" s="47" t="str">
        <f t="shared" si="65"/>
        <v>July</v>
      </c>
      <c r="C291" s="59">
        <v>45484</v>
      </c>
      <c r="D291" s="47" t="s">
        <v>45</v>
      </c>
      <c r="E291" s="47" t="s">
        <v>847</v>
      </c>
      <c r="F291" s="47" t="s">
        <v>848</v>
      </c>
      <c r="G291" s="93" t="s">
        <v>1059</v>
      </c>
      <c r="H291" s="47" t="s">
        <v>1060</v>
      </c>
      <c r="I291" s="47" t="s">
        <v>63</v>
      </c>
      <c r="J291" s="47" t="s">
        <v>51</v>
      </c>
      <c r="K291" s="48">
        <v>45119</v>
      </c>
      <c r="L291" s="48">
        <v>45119</v>
      </c>
      <c r="M291" s="48">
        <v>45484</v>
      </c>
      <c r="N291" s="47" t="s">
        <v>52</v>
      </c>
      <c r="O291" s="55" t="s">
        <v>53</v>
      </c>
      <c r="P291" s="62">
        <v>15860</v>
      </c>
      <c r="Q291" s="62">
        <v>1321.6666666666667</v>
      </c>
      <c r="R291" s="96">
        <v>17316</v>
      </c>
      <c r="S291" s="62">
        <f t="shared" si="72"/>
        <v>1443</v>
      </c>
      <c r="T291" s="62">
        <v>16320</v>
      </c>
      <c r="U291" s="62">
        <f t="shared" si="73"/>
        <v>1360</v>
      </c>
      <c r="V291" s="69">
        <v>15860</v>
      </c>
      <c r="W291" s="71">
        <v>1515</v>
      </c>
      <c r="X291" s="105">
        <f t="shared" ref="X291:X323" si="74">W291-50</f>
        <v>1465</v>
      </c>
      <c r="Y291" s="171">
        <f t="shared" ref="Y291:Y323" si="75">(X291-U291)/U291</f>
        <v>7.720588235294118E-2</v>
      </c>
      <c r="Z291" s="64">
        <f t="shared" si="66"/>
        <v>0.11397058823529412</v>
      </c>
      <c r="AA291" s="64">
        <f t="shared" si="60"/>
        <v>4.9896049896049899E-2</v>
      </c>
      <c r="AB291" s="71">
        <f>W291</f>
        <v>1515</v>
      </c>
      <c r="AC291" s="64">
        <f t="shared" si="67"/>
        <v>0.11397058823529412</v>
      </c>
      <c r="AD291" s="64">
        <f t="shared" si="61"/>
        <v>4.9896049896049899E-2</v>
      </c>
      <c r="AE291" s="71">
        <v>1465</v>
      </c>
      <c r="AF291" s="64">
        <f t="shared" si="68"/>
        <v>7.720588235294118E-2</v>
      </c>
      <c r="AG291" s="64">
        <f t="shared" si="62"/>
        <v>1.5246015246015246E-2</v>
      </c>
      <c r="AH291" s="67"/>
      <c r="AI291" s="47" t="s">
        <v>54</v>
      </c>
      <c r="AJ291" s="47">
        <v>510.9</v>
      </c>
      <c r="AK291" s="47" t="s">
        <v>55</v>
      </c>
      <c r="AL291" s="47" t="s">
        <v>55</v>
      </c>
      <c r="AM291" s="47" t="s">
        <v>863</v>
      </c>
      <c r="AN291" s="50">
        <v>1465</v>
      </c>
      <c r="AO291" s="211">
        <f t="shared" si="69"/>
        <v>7.720588235294118E-2</v>
      </c>
      <c r="AP291" s="47" t="s">
        <v>852</v>
      </c>
      <c r="AQ291" s="91" t="s">
        <v>1061</v>
      </c>
      <c r="AR291" s="47" t="s">
        <v>1062</v>
      </c>
    </row>
    <row r="292" spans="1:44" hidden="1">
      <c r="A292" s="47" t="s">
        <v>74</v>
      </c>
      <c r="B292" s="47" t="str">
        <f t="shared" si="65"/>
        <v>July</v>
      </c>
      <c r="C292" s="59">
        <v>45484</v>
      </c>
      <c r="D292" s="47" t="s">
        <v>45</v>
      </c>
      <c r="E292" s="47" t="s">
        <v>847</v>
      </c>
      <c r="F292" s="47" t="s">
        <v>848</v>
      </c>
      <c r="G292" s="47" t="s">
        <v>1063</v>
      </c>
      <c r="H292" s="47" t="s">
        <v>1064</v>
      </c>
      <c r="I292" s="47" t="s">
        <v>63</v>
      </c>
      <c r="J292" s="47" t="s">
        <v>51</v>
      </c>
      <c r="K292" s="48">
        <v>45119</v>
      </c>
      <c r="L292" s="48">
        <v>45119</v>
      </c>
      <c r="M292" s="48">
        <v>45484</v>
      </c>
      <c r="N292" s="47" t="s">
        <v>52</v>
      </c>
      <c r="O292" s="55" t="s">
        <v>53</v>
      </c>
      <c r="P292" s="62">
        <v>15704</v>
      </c>
      <c r="Q292" s="62">
        <v>1308.6666666666667</v>
      </c>
      <c r="R292" s="96">
        <v>17108</v>
      </c>
      <c r="S292" s="62">
        <f t="shared" si="72"/>
        <v>1425.6666666666667</v>
      </c>
      <c r="T292" s="62">
        <v>15480</v>
      </c>
      <c r="U292" s="62">
        <f t="shared" si="73"/>
        <v>1290</v>
      </c>
      <c r="V292" s="69">
        <v>15704</v>
      </c>
      <c r="W292" s="71">
        <v>1440</v>
      </c>
      <c r="X292" s="105">
        <f t="shared" si="74"/>
        <v>1390</v>
      </c>
      <c r="Y292" s="171">
        <f t="shared" si="75"/>
        <v>7.7519379844961239E-2</v>
      </c>
      <c r="Z292" s="64">
        <f t="shared" si="66"/>
        <v>0.11627906976744186</v>
      </c>
      <c r="AA292" s="64">
        <f t="shared" si="60"/>
        <v>1.0053776011222766E-2</v>
      </c>
      <c r="AB292" s="71">
        <f>W292</f>
        <v>1440</v>
      </c>
      <c r="AC292" s="64">
        <f t="shared" si="67"/>
        <v>0.11627906976744186</v>
      </c>
      <c r="AD292" s="64">
        <f t="shared" si="61"/>
        <v>1.0053776011222766E-2</v>
      </c>
      <c r="AE292" s="71">
        <f>AB292-20</f>
        <v>1420</v>
      </c>
      <c r="AF292" s="64">
        <f t="shared" si="68"/>
        <v>0.10077519379844961</v>
      </c>
      <c r="AG292" s="64">
        <f t="shared" si="62"/>
        <v>-3.9747486555997726E-3</v>
      </c>
      <c r="AH292" s="67"/>
      <c r="AI292" s="47" t="s">
        <v>54</v>
      </c>
      <c r="AJ292" s="47">
        <v>493.8</v>
      </c>
      <c r="AK292" s="47" t="s">
        <v>55</v>
      </c>
      <c r="AL292" s="47" t="s">
        <v>55</v>
      </c>
      <c r="AM292" s="47" t="s">
        <v>1065</v>
      </c>
      <c r="AN292" s="50"/>
      <c r="AO292" s="211">
        <f t="shared" si="69"/>
        <v>-1</v>
      </c>
      <c r="AP292" s="47" t="s">
        <v>852</v>
      </c>
      <c r="AQ292" s="94" t="s">
        <v>891</v>
      </c>
      <c r="AR292" s="47" t="s">
        <v>1066</v>
      </c>
    </row>
    <row r="293" spans="1:44">
      <c r="A293" s="47" t="s">
        <v>44</v>
      </c>
      <c r="B293" s="47" t="str">
        <f t="shared" si="65"/>
        <v>July</v>
      </c>
      <c r="C293" s="59">
        <v>45486</v>
      </c>
      <c r="D293" s="47" t="s">
        <v>45</v>
      </c>
      <c r="E293" s="47" t="s">
        <v>847</v>
      </c>
      <c r="F293" s="47" t="s">
        <v>848</v>
      </c>
      <c r="G293" s="47" t="s">
        <v>1067</v>
      </c>
      <c r="H293" s="47" t="s">
        <v>1068</v>
      </c>
      <c r="I293" s="47" t="s">
        <v>63</v>
      </c>
      <c r="J293" s="47" t="s">
        <v>51</v>
      </c>
      <c r="K293" s="48">
        <v>44940</v>
      </c>
      <c r="L293" s="48">
        <v>45305</v>
      </c>
      <c r="M293" s="48">
        <v>45486</v>
      </c>
      <c r="N293" s="47" t="s">
        <v>64</v>
      </c>
      <c r="O293" s="55" t="s">
        <v>53</v>
      </c>
      <c r="P293" s="62">
        <v>15860</v>
      </c>
      <c r="Q293" s="62">
        <v>1321.6666666666667</v>
      </c>
      <c r="R293" s="96">
        <v>17316</v>
      </c>
      <c r="S293" s="62">
        <f t="shared" si="72"/>
        <v>1443</v>
      </c>
      <c r="T293" s="62">
        <v>17460</v>
      </c>
      <c r="U293" s="62">
        <f t="shared" si="73"/>
        <v>1455</v>
      </c>
      <c r="V293" s="69">
        <v>15300</v>
      </c>
      <c r="W293" s="71">
        <v>1440</v>
      </c>
      <c r="X293" s="172">
        <f t="shared" si="74"/>
        <v>1390</v>
      </c>
      <c r="Y293" s="173">
        <f t="shared" si="75"/>
        <v>-4.4673539518900345E-2</v>
      </c>
      <c r="Z293" s="92">
        <f t="shared" si="66"/>
        <v>-1.0309278350515464E-2</v>
      </c>
      <c r="AA293" s="64">
        <f t="shared" ref="AA293:AA356" si="76">(W293-S293)/S293</f>
        <v>-2.0790020790020791E-3</v>
      </c>
      <c r="AB293" s="106">
        <v>1460</v>
      </c>
      <c r="AC293" s="64">
        <f t="shared" si="67"/>
        <v>3.4364261168384879E-3</v>
      </c>
      <c r="AD293" s="64">
        <f t="shared" ref="AD293:AD356" si="77">(AB293-S293)/S293</f>
        <v>1.1781011781011781E-2</v>
      </c>
      <c r="AE293" s="71">
        <v>1460</v>
      </c>
      <c r="AF293" s="64">
        <f t="shared" si="68"/>
        <v>3.4364261168384879E-3</v>
      </c>
      <c r="AG293" s="64">
        <f t="shared" ref="AG293:AG356" si="78">(AE293-S293)/S293</f>
        <v>1.1781011781011781E-2</v>
      </c>
      <c r="AH293" s="67" t="s">
        <v>846</v>
      </c>
      <c r="AI293" s="47" t="s">
        <v>250</v>
      </c>
      <c r="AJ293" s="47">
        <v>509.5</v>
      </c>
      <c r="AK293" s="101" t="s">
        <v>55</v>
      </c>
      <c r="AL293" s="101" t="s">
        <v>55</v>
      </c>
      <c r="AM293" s="47" t="s">
        <v>1069</v>
      </c>
      <c r="AN293" s="50"/>
      <c r="AO293" s="211">
        <f t="shared" si="69"/>
        <v>-1</v>
      </c>
      <c r="AP293" s="47" t="s">
        <v>852</v>
      </c>
      <c r="AQ293" s="94" t="s">
        <v>898</v>
      </c>
      <c r="AR293" s="47" t="s">
        <v>1070</v>
      </c>
    </row>
    <row r="294" spans="1:44" hidden="1">
      <c r="A294" s="47" t="s">
        <v>74</v>
      </c>
      <c r="B294" s="47" t="str">
        <f t="shared" si="65"/>
        <v>July</v>
      </c>
      <c r="C294" s="59">
        <v>45487</v>
      </c>
      <c r="D294" s="47" t="s">
        <v>45</v>
      </c>
      <c r="E294" s="47" t="s">
        <v>847</v>
      </c>
      <c r="F294" s="47" t="s">
        <v>848</v>
      </c>
      <c r="G294" s="47" t="s">
        <v>1076</v>
      </c>
      <c r="H294" s="47" t="s">
        <v>1077</v>
      </c>
      <c r="I294" s="47" t="s">
        <v>63</v>
      </c>
      <c r="J294" s="47" t="s">
        <v>51</v>
      </c>
      <c r="K294" s="48">
        <v>45122</v>
      </c>
      <c r="L294" s="48">
        <v>45122</v>
      </c>
      <c r="M294" s="48">
        <v>45487</v>
      </c>
      <c r="N294" s="47" t="s">
        <v>52</v>
      </c>
      <c r="O294" s="55" t="s">
        <v>53</v>
      </c>
      <c r="P294" s="62">
        <v>15288</v>
      </c>
      <c r="Q294" s="62">
        <v>1274</v>
      </c>
      <c r="R294" s="96">
        <v>16848</v>
      </c>
      <c r="S294" s="62">
        <f t="shared" si="72"/>
        <v>1404</v>
      </c>
      <c r="T294" s="62">
        <v>15600</v>
      </c>
      <c r="U294" s="62">
        <f t="shared" si="73"/>
        <v>1300</v>
      </c>
      <c r="V294" s="69">
        <v>15288</v>
      </c>
      <c r="W294" s="71">
        <v>1480</v>
      </c>
      <c r="X294" s="105">
        <f t="shared" si="74"/>
        <v>1430</v>
      </c>
      <c r="Y294" s="171">
        <f t="shared" si="75"/>
        <v>0.1</v>
      </c>
      <c r="Z294" s="64">
        <f t="shared" si="66"/>
        <v>0.13846153846153847</v>
      </c>
      <c r="AA294" s="64">
        <f t="shared" si="76"/>
        <v>5.4131054131054131E-2</v>
      </c>
      <c r="AB294" s="71">
        <f t="shared" ref="AB294:AB325" si="79">W294</f>
        <v>1480</v>
      </c>
      <c r="AC294" s="64">
        <f t="shared" si="67"/>
        <v>0.13846153846153847</v>
      </c>
      <c r="AD294" s="64">
        <f t="shared" si="77"/>
        <v>5.4131054131054131E-2</v>
      </c>
      <c r="AE294" s="71">
        <v>1450</v>
      </c>
      <c r="AF294" s="64">
        <f t="shared" si="68"/>
        <v>0.11538461538461539</v>
      </c>
      <c r="AG294" s="64">
        <f t="shared" si="78"/>
        <v>3.2763532763532763E-2</v>
      </c>
      <c r="AH294" s="67"/>
      <c r="AI294" s="47" t="s">
        <v>54</v>
      </c>
      <c r="AJ294" s="47">
        <v>437.2</v>
      </c>
      <c r="AK294" s="101" t="s">
        <v>55</v>
      </c>
      <c r="AL294" s="101" t="s">
        <v>55</v>
      </c>
      <c r="AM294" s="47" t="s">
        <v>1078</v>
      </c>
      <c r="AN294" s="50">
        <v>1405</v>
      </c>
      <c r="AO294" s="211">
        <f t="shared" si="69"/>
        <v>8.0769230769230774E-2</v>
      </c>
      <c r="AP294" s="47" t="s">
        <v>852</v>
      </c>
      <c r="AQ294" s="111" t="s">
        <v>125</v>
      </c>
      <c r="AR294" s="47" t="s">
        <v>946</v>
      </c>
    </row>
    <row r="295" spans="1:44" hidden="1">
      <c r="A295" s="47" t="s">
        <v>44</v>
      </c>
      <c r="B295" s="47" t="str">
        <f t="shared" si="65"/>
        <v>July</v>
      </c>
      <c r="C295" s="59">
        <v>45489</v>
      </c>
      <c r="D295" s="47" t="s">
        <v>45</v>
      </c>
      <c r="E295" s="47" t="s">
        <v>847</v>
      </c>
      <c r="F295" s="47" t="s">
        <v>848</v>
      </c>
      <c r="G295" s="47" t="s">
        <v>1167</v>
      </c>
      <c r="H295" s="47" t="s">
        <v>1168</v>
      </c>
      <c r="I295" s="47" t="s">
        <v>63</v>
      </c>
      <c r="J295" s="47" t="s">
        <v>51</v>
      </c>
      <c r="K295" s="48">
        <v>45124</v>
      </c>
      <c r="L295" s="48">
        <v>45124</v>
      </c>
      <c r="M295" s="48">
        <v>45489</v>
      </c>
      <c r="N295" s="47" t="s">
        <v>52</v>
      </c>
      <c r="O295" s="55" t="s">
        <v>53</v>
      </c>
      <c r="P295" s="62">
        <v>15288</v>
      </c>
      <c r="Q295" s="62">
        <v>1274</v>
      </c>
      <c r="R295" s="96">
        <v>16848</v>
      </c>
      <c r="S295" s="62">
        <f t="shared" si="72"/>
        <v>1404</v>
      </c>
      <c r="T295" s="62">
        <v>15600</v>
      </c>
      <c r="U295" s="62">
        <f t="shared" si="73"/>
        <v>1300</v>
      </c>
      <c r="V295" s="69">
        <v>15288</v>
      </c>
      <c r="W295" s="71">
        <v>1470</v>
      </c>
      <c r="X295" s="105">
        <f t="shared" si="74"/>
        <v>1420</v>
      </c>
      <c r="Y295" s="171">
        <f t="shared" si="75"/>
        <v>9.2307692307692313E-2</v>
      </c>
      <c r="Z295" s="64">
        <f t="shared" si="66"/>
        <v>0.13076923076923078</v>
      </c>
      <c r="AA295" s="64">
        <f t="shared" si="76"/>
        <v>4.7008547008547008E-2</v>
      </c>
      <c r="AB295" s="71">
        <f t="shared" si="79"/>
        <v>1470</v>
      </c>
      <c r="AC295" s="64">
        <f t="shared" si="67"/>
        <v>0.13076923076923078</v>
      </c>
      <c r="AD295" s="64">
        <f t="shared" si="77"/>
        <v>4.7008547008547008E-2</v>
      </c>
      <c r="AE295" s="71">
        <v>1430</v>
      </c>
      <c r="AF295" s="64">
        <f t="shared" si="68"/>
        <v>0.1</v>
      </c>
      <c r="AG295" s="64">
        <f t="shared" si="78"/>
        <v>1.8518518518518517E-2</v>
      </c>
      <c r="AH295" s="67"/>
      <c r="AI295" s="47" t="s">
        <v>54</v>
      </c>
      <c r="AJ295" s="47">
        <v>437.2</v>
      </c>
      <c r="AK295" s="101" t="s">
        <v>55</v>
      </c>
      <c r="AL295" s="101" t="s">
        <v>55</v>
      </c>
      <c r="AM295" s="47" t="s">
        <v>1169</v>
      </c>
      <c r="AN295" s="50"/>
      <c r="AO295" s="211">
        <f t="shared" si="69"/>
        <v>-1</v>
      </c>
      <c r="AP295" s="47" t="s">
        <v>852</v>
      </c>
      <c r="AQ295" s="56" t="s">
        <v>891</v>
      </c>
      <c r="AR295" s="47" t="s">
        <v>1066</v>
      </c>
    </row>
    <row r="296" spans="1:44" hidden="1">
      <c r="A296" s="47" t="s">
        <v>44</v>
      </c>
      <c r="B296" s="47" t="str">
        <f t="shared" si="65"/>
        <v>July</v>
      </c>
      <c r="C296" s="59">
        <v>45492</v>
      </c>
      <c r="D296" s="47" t="s">
        <v>45</v>
      </c>
      <c r="E296" s="47" t="s">
        <v>847</v>
      </c>
      <c r="F296" s="47" t="s">
        <v>848</v>
      </c>
      <c r="G296" s="47" t="s">
        <v>1180</v>
      </c>
      <c r="H296" s="47" t="s">
        <v>1181</v>
      </c>
      <c r="I296" s="47" t="s">
        <v>63</v>
      </c>
      <c r="J296" s="47" t="s">
        <v>51</v>
      </c>
      <c r="K296" s="48">
        <v>45127</v>
      </c>
      <c r="L296" s="48">
        <v>45127</v>
      </c>
      <c r="M296" s="48">
        <v>45492</v>
      </c>
      <c r="N296" s="47" t="s">
        <v>52</v>
      </c>
      <c r="O296" s="55" t="s">
        <v>53</v>
      </c>
      <c r="P296" s="62">
        <v>15860</v>
      </c>
      <c r="Q296" s="62">
        <v>1321.6666666666667</v>
      </c>
      <c r="R296" s="96">
        <v>17316</v>
      </c>
      <c r="S296" s="62">
        <f t="shared" si="72"/>
        <v>1443</v>
      </c>
      <c r="T296" s="62">
        <v>15600</v>
      </c>
      <c r="U296" s="62">
        <f t="shared" si="73"/>
        <v>1300</v>
      </c>
      <c r="V296" s="69">
        <v>15860</v>
      </c>
      <c r="W296" s="71">
        <v>1460</v>
      </c>
      <c r="X296" s="105">
        <f t="shared" si="74"/>
        <v>1410</v>
      </c>
      <c r="Y296" s="171">
        <f t="shared" si="75"/>
        <v>8.461538461538462E-2</v>
      </c>
      <c r="Z296" s="64">
        <f t="shared" si="66"/>
        <v>0.12307692307692308</v>
      </c>
      <c r="AA296" s="64">
        <f t="shared" si="76"/>
        <v>1.1781011781011781E-2</v>
      </c>
      <c r="AB296" s="71">
        <f t="shared" si="79"/>
        <v>1460</v>
      </c>
      <c r="AC296" s="64">
        <f t="shared" si="67"/>
        <v>0.12307692307692308</v>
      </c>
      <c r="AD296" s="64">
        <f t="shared" si="77"/>
        <v>1.1781011781011781E-2</v>
      </c>
      <c r="AE296" s="71">
        <f>AB296-20</f>
        <v>1440</v>
      </c>
      <c r="AF296" s="64">
        <f t="shared" si="68"/>
        <v>0.1076923076923077</v>
      </c>
      <c r="AG296" s="64">
        <f t="shared" si="78"/>
        <v>-2.0790020790020791E-3</v>
      </c>
      <c r="AH296" s="67"/>
      <c r="AI296" s="47" t="s">
        <v>54</v>
      </c>
      <c r="AJ296" s="47">
        <v>509.5</v>
      </c>
      <c r="AK296" s="101" t="s">
        <v>55</v>
      </c>
      <c r="AL296" s="101" t="s">
        <v>55</v>
      </c>
      <c r="AM296" s="47" t="s">
        <v>1069</v>
      </c>
      <c r="AN296" s="50"/>
      <c r="AO296" s="211">
        <f t="shared" si="69"/>
        <v>-1</v>
      </c>
      <c r="AP296" s="47" t="s">
        <v>852</v>
      </c>
      <c r="AQ296" s="56" t="s">
        <v>898</v>
      </c>
      <c r="AR296" s="47" t="s">
        <v>1182</v>
      </c>
    </row>
    <row r="297" spans="1:44" hidden="1">
      <c r="A297" s="47" t="s">
        <v>44</v>
      </c>
      <c r="B297" s="47" t="str">
        <f t="shared" si="65"/>
        <v>July</v>
      </c>
      <c r="C297" s="59">
        <v>45493</v>
      </c>
      <c r="D297" s="47" t="s">
        <v>45</v>
      </c>
      <c r="E297" s="47" t="s">
        <v>847</v>
      </c>
      <c r="F297" s="47" t="s">
        <v>848</v>
      </c>
      <c r="G297" s="47" t="s">
        <v>1189</v>
      </c>
      <c r="H297" s="47" t="s">
        <v>1190</v>
      </c>
      <c r="I297" s="47" t="s">
        <v>63</v>
      </c>
      <c r="J297" s="47" t="s">
        <v>51</v>
      </c>
      <c r="K297" s="48">
        <v>45128</v>
      </c>
      <c r="L297" s="48">
        <v>45128</v>
      </c>
      <c r="M297" s="48">
        <v>45493</v>
      </c>
      <c r="N297" s="47" t="s">
        <v>52</v>
      </c>
      <c r="O297" s="55" t="s">
        <v>53</v>
      </c>
      <c r="P297" s="62">
        <v>15704</v>
      </c>
      <c r="Q297" s="62">
        <v>1308.6666666666667</v>
      </c>
      <c r="R297" s="96">
        <v>17108</v>
      </c>
      <c r="S297" s="62">
        <f t="shared" si="72"/>
        <v>1425.6666666666667</v>
      </c>
      <c r="T297" s="62">
        <v>15720</v>
      </c>
      <c r="U297" s="62">
        <f t="shared" si="73"/>
        <v>1310</v>
      </c>
      <c r="V297" s="69">
        <v>15704</v>
      </c>
      <c r="W297" s="71">
        <v>1460</v>
      </c>
      <c r="X297" s="105">
        <f t="shared" si="74"/>
        <v>1410</v>
      </c>
      <c r="Y297" s="171">
        <f t="shared" si="75"/>
        <v>7.6335877862595422E-2</v>
      </c>
      <c r="Z297" s="64">
        <f t="shared" si="66"/>
        <v>0.11450381679389313</v>
      </c>
      <c r="AA297" s="64">
        <f t="shared" si="76"/>
        <v>2.4082300678045305E-2</v>
      </c>
      <c r="AB297" s="71">
        <f t="shared" si="79"/>
        <v>1460</v>
      </c>
      <c r="AC297" s="64">
        <f t="shared" si="67"/>
        <v>0.11450381679389313</v>
      </c>
      <c r="AD297" s="64">
        <f t="shared" si="77"/>
        <v>2.4082300678045305E-2</v>
      </c>
      <c r="AE297" s="71">
        <v>1450</v>
      </c>
      <c r="AF297" s="64">
        <f t="shared" si="68"/>
        <v>0.10687022900763359</v>
      </c>
      <c r="AG297" s="64">
        <f t="shared" si="78"/>
        <v>1.7068038344634034E-2</v>
      </c>
      <c r="AH297" s="67"/>
      <c r="AI297" s="47" t="s">
        <v>54</v>
      </c>
      <c r="AJ297" s="47">
        <v>493.8</v>
      </c>
      <c r="AK297" s="101" t="s">
        <v>55</v>
      </c>
      <c r="AL297" s="101" t="s">
        <v>55</v>
      </c>
      <c r="AM297" s="47" t="s">
        <v>1065</v>
      </c>
      <c r="AN297" s="50">
        <v>1430</v>
      </c>
      <c r="AO297" s="211">
        <f t="shared" si="69"/>
        <v>9.1603053435114504E-2</v>
      </c>
      <c r="AP297" s="47" t="s">
        <v>852</v>
      </c>
      <c r="AQ297" s="111" t="s">
        <v>125</v>
      </c>
      <c r="AR297" s="47" t="s">
        <v>1191</v>
      </c>
    </row>
    <row r="298" spans="1:44" hidden="1">
      <c r="A298" s="47" t="s">
        <v>44</v>
      </c>
      <c r="B298" s="47" t="str">
        <f t="shared" si="65"/>
        <v>July</v>
      </c>
      <c r="C298" s="59">
        <v>45493</v>
      </c>
      <c r="D298" s="47" t="s">
        <v>45</v>
      </c>
      <c r="E298" s="47" t="s">
        <v>847</v>
      </c>
      <c r="F298" s="47" t="s">
        <v>848</v>
      </c>
      <c r="G298" s="47" t="s">
        <v>1203</v>
      </c>
      <c r="H298" s="47" t="s">
        <v>1204</v>
      </c>
      <c r="I298" s="47" t="s">
        <v>63</v>
      </c>
      <c r="J298" s="47" t="s">
        <v>51</v>
      </c>
      <c r="K298" s="48">
        <v>45128</v>
      </c>
      <c r="L298" s="48">
        <v>45128</v>
      </c>
      <c r="M298" s="48">
        <v>45493</v>
      </c>
      <c r="N298" s="47" t="s">
        <v>52</v>
      </c>
      <c r="O298" s="55" t="s">
        <v>53</v>
      </c>
      <c r="P298" s="62">
        <v>15860</v>
      </c>
      <c r="Q298" s="62">
        <v>1321.6666666666667</v>
      </c>
      <c r="R298" s="96">
        <v>17316</v>
      </c>
      <c r="S298" s="62">
        <f t="shared" si="72"/>
        <v>1443</v>
      </c>
      <c r="T298" s="62">
        <v>15600</v>
      </c>
      <c r="U298" s="62">
        <f t="shared" si="73"/>
        <v>1300</v>
      </c>
      <c r="V298" s="69">
        <v>15860</v>
      </c>
      <c r="W298" s="71">
        <v>1460</v>
      </c>
      <c r="X298" s="105">
        <f t="shared" si="74"/>
        <v>1410</v>
      </c>
      <c r="Y298" s="171">
        <f t="shared" si="75"/>
        <v>8.461538461538462E-2</v>
      </c>
      <c r="Z298" s="64">
        <f t="shared" si="66"/>
        <v>0.12307692307692308</v>
      </c>
      <c r="AA298" s="64">
        <f t="shared" si="76"/>
        <v>1.1781011781011781E-2</v>
      </c>
      <c r="AB298" s="71">
        <f t="shared" si="79"/>
        <v>1460</v>
      </c>
      <c r="AC298" s="64">
        <f t="shared" si="67"/>
        <v>0.12307692307692308</v>
      </c>
      <c r="AD298" s="64">
        <f t="shared" si="77"/>
        <v>1.1781011781011781E-2</v>
      </c>
      <c r="AE298" s="71">
        <f>AB298-20</f>
        <v>1440</v>
      </c>
      <c r="AF298" s="64">
        <f t="shared" si="68"/>
        <v>0.1076923076923077</v>
      </c>
      <c r="AG298" s="64">
        <f t="shared" si="78"/>
        <v>-2.0790020790020791E-3</v>
      </c>
      <c r="AH298" s="67"/>
      <c r="AI298" s="47" t="s">
        <v>54</v>
      </c>
      <c r="AJ298" s="47">
        <v>509.5</v>
      </c>
      <c r="AK298" s="101" t="s">
        <v>55</v>
      </c>
      <c r="AL298" s="101" t="s">
        <v>55</v>
      </c>
      <c r="AM298" s="47" t="s">
        <v>890</v>
      </c>
      <c r="AN298" s="50"/>
      <c r="AO298" s="211">
        <f t="shared" si="69"/>
        <v>-1</v>
      </c>
      <c r="AP298" s="47" t="s">
        <v>852</v>
      </c>
      <c r="AQ298" s="94" t="s">
        <v>898</v>
      </c>
      <c r="AR298" s="47" t="s">
        <v>1066</v>
      </c>
    </row>
    <row r="299" spans="1:44" hidden="1">
      <c r="A299" s="47" t="s">
        <v>44</v>
      </c>
      <c r="B299" s="47" t="str">
        <f t="shared" si="65"/>
        <v>July</v>
      </c>
      <c r="C299" s="59">
        <v>45493</v>
      </c>
      <c r="D299" s="47" t="s">
        <v>45</v>
      </c>
      <c r="E299" s="47" t="s">
        <v>847</v>
      </c>
      <c r="F299" s="47" t="s">
        <v>848</v>
      </c>
      <c r="G299" s="47" t="s">
        <v>1210</v>
      </c>
      <c r="H299" s="47" t="s">
        <v>1211</v>
      </c>
      <c r="I299" s="47" t="s">
        <v>63</v>
      </c>
      <c r="J299" s="47" t="s">
        <v>51</v>
      </c>
      <c r="K299" s="48">
        <v>45128</v>
      </c>
      <c r="L299" s="48">
        <v>45128</v>
      </c>
      <c r="M299" s="48">
        <v>45493</v>
      </c>
      <c r="N299" s="47" t="s">
        <v>52</v>
      </c>
      <c r="O299" s="55" t="s">
        <v>53</v>
      </c>
      <c r="P299" s="62">
        <v>15756</v>
      </c>
      <c r="Q299" s="62">
        <v>1313</v>
      </c>
      <c r="R299" s="96">
        <v>17212</v>
      </c>
      <c r="S299" s="62">
        <f t="shared" si="72"/>
        <v>1434.3333333333333</v>
      </c>
      <c r="T299" s="62">
        <v>15360</v>
      </c>
      <c r="U299" s="62">
        <f t="shared" si="73"/>
        <v>1280</v>
      </c>
      <c r="V299" s="69">
        <v>15756</v>
      </c>
      <c r="W299" s="71">
        <v>1450</v>
      </c>
      <c r="X299" s="105">
        <f t="shared" si="74"/>
        <v>1400</v>
      </c>
      <c r="Y299" s="171">
        <f t="shared" si="75"/>
        <v>9.375E-2</v>
      </c>
      <c r="Z299" s="64">
        <f t="shared" si="66"/>
        <v>0.1328125</v>
      </c>
      <c r="AA299" s="64">
        <f t="shared" si="76"/>
        <v>1.0922612131071398E-2</v>
      </c>
      <c r="AB299" s="71">
        <f t="shared" si="79"/>
        <v>1450</v>
      </c>
      <c r="AC299" s="64">
        <f t="shared" si="67"/>
        <v>0.1328125</v>
      </c>
      <c r="AD299" s="64">
        <f t="shared" si="77"/>
        <v>1.0922612131071398E-2</v>
      </c>
      <c r="AE299" s="71">
        <f>AB299</f>
        <v>1450</v>
      </c>
      <c r="AF299" s="64">
        <f t="shared" si="68"/>
        <v>0.1328125</v>
      </c>
      <c r="AG299" s="64">
        <f t="shared" si="78"/>
        <v>1.0922612131071398E-2</v>
      </c>
      <c r="AH299" s="67"/>
      <c r="AI299" s="47" t="s">
        <v>54</v>
      </c>
      <c r="AJ299" s="47">
        <v>508</v>
      </c>
      <c r="AK299" s="101" t="s">
        <v>55</v>
      </c>
      <c r="AL299" s="101" t="s">
        <v>55</v>
      </c>
      <c r="AM299" s="47" t="s">
        <v>1212</v>
      </c>
      <c r="AN299" s="50">
        <v>1450</v>
      </c>
      <c r="AO299" s="211">
        <f t="shared" si="69"/>
        <v>0.1328125</v>
      </c>
      <c r="AP299" s="47" t="s">
        <v>852</v>
      </c>
      <c r="AQ299" s="111" t="s">
        <v>125</v>
      </c>
      <c r="AR299" s="47" t="s">
        <v>1213</v>
      </c>
    </row>
    <row r="300" spans="1:44" hidden="1">
      <c r="A300" s="47" t="s">
        <v>44</v>
      </c>
      <c r="B300" s="47" t="str">
        <f t="shared" si="65"/>
        <v>July</v>
      </c>
      <c r="C300" s="59">
        <v>45494</v>
      </c>
      <c r="D300" s="47" t="s">
        <v>45</v>
      </c>
      <c r="E300" s="47" t="s">
        <v>847</v>
      </c>
      <c r="F300" s="47" t="s">
        <v>848</v>
      </c>
      <c r="G300" s="47" t="s">
        <v>1265</v>
      </c>
      <c r="H300" s="47" t="s">
        <v>1266</v>
      </c>
      <c r="I300" s="47" t="s">
        <v>63</v>
      </c>
      <c r="J300" s="47" t="s">
        <v>51</v>
      </c>
      <c r="K300" s="48">
        <v>45129</v>
      </c>
      <c r="L300" s="48">
        <v>45129</v>
      </c>
      <c r="M300" s="48">
        <v>45494</v>
      </c>
      <c r="N300" s="47" t="s">
        <v>52</v>
      </c>
      <c r="O300" s="55" t="s">
        <v>53</v>
      </c>
      <c r="P300" s="62">
        <v>15704</v>
      </c>
      <c r="Q300" s="62">
        <v>1308.6666666666667</v>
      </c>
      <c r="R300" s="96">
        <v>17108</v>
      </c>
      <c r="S300" s="62">
        <f t="shared" si="72"/>
        <v>1425.6666666666667</v>
      </c>
      <c r="T300" s="62">
        <v>15360</v>
      </c>
      <c r="U300" s="62">
        <f t="shared" si="73"/>
        <v>1280</v>
      </c>
      <c r="V300" s="69">
        <v>15704</v>
      </c>
      <c r="W300" s="71">
        <v>1450</v>
      </c>
      <c r="X300" s="105">
        <f t="shared" si="74"/>
        <v>1400</v>
      </c>
      <c r="Y300" s="171">
        <f t="shared" si="75"/>
        <v>9.375E-2</v>
      </c>
      <c r="Z300" s="64">
        <f t="shared" si="66"/>
        <v>0.1328125</v>
      </c>
      <c r="AA300" s="64">
        <f t="shared" si="76"/>
        <v>1.7068038344634034E-2</v>
      </c>
      <c r="AB300" s="71">
        <f t="shared" si="79"/>
        <v>1450</v>
      </c>
      <c r="AC300" s="64">
        <f t="shared" si="67"/>
        <v>0.1328125</v>
      </c>
      <c r="AD300" s="64">
        <f t="shared" si="77"/>
        <v>1.7068038344634034E-2</v>
      </c>
      <c r="AE300" s="71">
        <v>1445</v>
      </c>
      <c r="AF300" s="64">
        <f t="shared" si="68"/>
        <v>0.12890625</v>
      </c>
      <c r="AG300" s="64">
        <f t="shared" si="78"/>
        <v>1.35609071779284E-2</v>
      </c>
      <c r="AH300" s="67"/>
      <c r="AI300" s="47" t="s">
        <v>54</v>
      </c>
      <c r="AJ300" s="47">
        <v>518.70000000000005</v>
      </c>
      <c r="AK300" s="101" t="s">
        <v>55</v>
      </c>
      <c r="AL300" s="101" t="s">
        <v>55</v>
      </c>
      <c r="AM300" s="47" t="s">
        <v>1267</v>
      </c>
      <c r="AN300" s="50"/>
      <c r="AO300" s="211">
        <f t="shared" si="69"/>
        <v>-1</v>
      </c>
      <c r="AP300" s="47" t="s">
        <v>852</v>
      </c>
      <c r="AQ300" s="94" t="s">
        <v>898</v>
      </c>
      <c r="AR300" s="47" t="s">
        <v>995</v>
      </c>
    </row>
    <row r="301" spans="1:44" hidden="1">
      <c r="A301" s="47" t="s">
        <v>44</v>
      </c>
      <c r="B301" s="47" t="str">
        <f t="shared" si="65"/>
        <v>August</v>
      </c>
      <c r="C301" s="59">
        <v>45511</v>
      </c>
      <c r="D301" s="47" t="s">
        <v>45</v>
      </c>
      <c r="E301" s="47" t="s">
        <v>847</v>
      </c>
      <c r="F301" s="47" t="s">
        <v>848</v>
      </c>
      <c r="G301" s="52" t="s">
        <v>1278</v>
      </c>
      <c r="H301" s="47" t="s">
        <v>1279</v>
      </c>
      <c r="I301" s="47" t="s">
        <v>63</v>
      </c>
      <c r="J301" s="47" t="s">
        <v>51</v>
      </c>
      <c r="K301" s="48">
        <v>45146</v>
      </c>
      <c r="L301" s="48">
        <v>45146</v>
      </c>
      <c r="M301" s="48">
        <v>45511</v>
      </c>
      <c r="N301" s="47" t="s">
        <v>52</v>
      </c>
      <c r="O301" s="55" t="s">
        <v>53</v>
      </c>
      <c r="P301" s="62">
        <v>15912</v>
      </c>
      <c r="Q301" s="62">
        <v>1326</v>
      </c>
      <c r="R301" s="96">
        <v>17316</v>
      </c>
      <c r="S301" s="62">
        <f t="shared" si="72"/>
        <v>1443</v>
      </c>
      <c r="T301" s="62">
        <v>15900</v>
      </c>
      <c r="U301" s="62">
        <f t="shared" si="73"/>
        <v>1325</v>
      </c>
      <c r="V301" s="69">
        <v>15120</v>
      </c>
      <c r="W301" s="71">
        <v>1510</v>
      </c>
      <c r="X301" s="105">
        <f t="shared" si="74"/>
        <v>1460</v>
      </c>
      <c r="Y301" s="171">
        <f t="shared" si="75"/>
        <v>0.10188679245283019</v>
      </c>
      <c r="Z301" s="64">
        <f t="shared" si="66"/>
        <v>0.13962264150943396</v>
      </c>
      <c r="AA301" s="64">
        <f t="shared" si="76"/>
        <v>4.6431046431046431E-2</v>
      </c>
      <c r="AB301" s="71">
        <f t="shared" si="79"/>
        <v>1510</v>
      </c>
      <c r="AC301" s="64">
        <f t="shared" si="67"/>
        <v>0.13962264150943396</v>
      </c>
      <c r="AD301" s="64">
        <f t="shared" si="77"/>
        <v>4.6431046431046431E-2</v>
      </c>
      <c r="AE301" s="71">
        <v>1470</v>
      </c>
      <c r="AF301" s="64">
        <f t="shared" si="68"/>
        <v>0.10943396226415095</v>
      </c>
      <c r="AG301" s="64">
        <f t="shared" si="78"/>
        <v>1.8711018711018712E-2</v>
      </c>
      <c r="AH301" s="67"/>
      <c r="AI301" s="47" t="s">
        <v>54</v>
      </c>
      <c r="AJ301" s="47">
        <v>518.1</v>
      </c>
      <c r="AK301" s="47" t="s">
        <v>55</v>
      </c>
      <c r="AL301" s="47" t="s">
        <v>55</v>
      </c>
      <c r="AM301" s="47" t="s">
        <v>1280</v>
      </c>
      <c r="AN301" s="50">
        <v>1510</v>
      </c>
      <c r="AO301" s="211">
        <f t="shared" si="69"/>
        <v>0.13962264150943396</v>
      </c>
      <c r="AP301" s="47" t="s">
        <v>852</v>
      </c>
      <c r="AQ301" s="111" t="s">
        <v>125</v>
      </c>
      <c r="AR301" s="47" t="s">
        <v>1281</v>
      </c>
    </row>
    <row r="302" spans="1:44" hidden="1">
      <c r="A302" s="47" t="s">
        <v>44</v>
      </c>
      <c r="B302" s="47" t="str">
        <f t="shared" si="65"/>
        <v>July</v>
      </c>
      <c r="C302" s="59">
        <v>45498</v>
      </c>
      <c r="D302" s="47" t="s">
        <v>45</v>
      </c>
      <c r="E302" s="47" t="s">
        <v>847</v>
      </c>
      <c r="F302" s="47" t="s">
        <v>848</v>
      </c>
      <c r="G302" s="47" t="s">
        <v>1416</v>
      </c>
      <c r="H302" s="47" t="s">
        <v>1417</v>
      </c>
      <c r="I302" s="47" t="s">
        <v>63</v>
      </c>
      <c r="J302" s="47" t="s">
        <v>51</v>
      </c>
      <c r="K302" s="48">
        <v>45316</v>
      </c>
      <c r="L302" s="48">
        <v>45316</v>
      </c>
      <c r="M302" s="48">
        <v>45497</v>
      </c>
      <c r="N302" s="47" t="s">
        <v>52</v>
      </c>
      <c r="O302" s="55" t="s">
        <v>53</v>
      </c>
      <c r="P302" s="62">
        <v>15912</v>
      </c>
      <c r="Q302" s="62">
        <v>1326</v>
      </c>
      <c r="R302" s="96">
        <v>17316</v>
      </c>
      <c r="S302" s="62">
        <f t="shared" si="72"/>
        <v>1443</v>
      </c>
      <c r="T302" s="62">
        <v>17820</v>
      </c>
      <c r="U302" s="62">
        <f t="shared" si="73"/>
        <v>1485</v>
      </c>
      <c r="V302" s="69">
        <v>15900</v>
      </c>
      <c r="W302" s="71">
        <v>1505</v>
      </c>
      <c r="X302" s="172">
        <f t="shared" si="74"/>
        <v>1455</v>
      </c>
      <c r="Y302" s="173">
        <f t="shared" si="75"/>
        <v>-2.0202020202020204E-2</v>
      </c>
      <c r="Z302" s="64">
        <f t="shared" si="66"/>
        <v>1.3468013468013467E-2</v>
      </c>
      <c r="AA302" s="64">
        <f t="shared" si="76"/>
        <v>4.2966042966042964E-2</v>
      </c>
      <c r="AB302" s="71">
        <f t="shared" si="79"/>
        <v>1505</v>
      </c>
      <c r="AC302" s="64">
        <f t="shared" si="67"/>
        <v>1.3468013468013467E-2</v>
      </c>
      <c r="AD302" s="64">
        <f t="shared" si="77"/>
        <v>4.2966042966042964E-2</v>
      </c>
      <c r="AE302" s="71">
        <f>AB302</f>
        <v>1505</v>
      </c>
      <c r="AF302" s="64">
        <f t="shared" si="68"/>
        <v>1.3468013468013467E-2</v>
      </c>
      <c r="AG302" s="64">
        <f t="shared" si="78"/>
        <v>4.2966042966042964E-2</v>
      </c>
      <c r="AH302" s="67"/>
      <c r="AI302" s="47" t="s">
        <v>54</v>
      </c>
      <c r="AJ302" s="47">
        <v>522.70000000000005</v>
      </c>
      <c r="AK302" s="101" t="s">
        <v>55</v>
      </c>
      <c r="AL302" s="101" t="s">
        <v>55</v>
      </c>
      <c r="AM302" s="47" t="s">
        <v>1418</v>
      </c>
      <c r="AN302" s="50">
        <v>1505</v>
      </c>
      <c r="AO302" s="211">
        <f t="shared" si="69"/>
        <v>1.3468013468013467E-2</v>
      </c>
      <c r="AP302" s="47" t="s">
        <v>852</v>
      </c>
      <c r="AQ302" s="111" t="s">
        <v>125</v>
      </c>
      <c r="AR302" s="47" t="s">
        <v>1419</v>
      </c>
    </row>
    <row r="303" spans="1:44" hidden="1">
      <c r="A303" s="47" t="s">
        <v>44</v>
      </c>
      <c r="B303" s="47" t="str">
        <f t="shared" si="65"/>
        <v>July</v>
      </c>
      <c r="C303" s="59">
        <v>45499</v>
      </c>
      <c r="D303" s="47" t="s">
        <v>45</v>
      </c>
      <c r="E303" s="47" t="s">
        <v>847</v>
      </c>
      <c r="F303" s="47" t="s">
        <v>848</v>
      </c>
      <c r="G303" s="47" t="s">
        <v>1438</v>
      </c>
      <c r="H303" s="47" t="s">
        <v>1439</v>
      </c>
      <c r="I303" s="47" t="s">
        <v>63</v>
      </c>
      <c r="J303" s="47" t="s">
        <v>51</v>
      </c>
      <c r="K303" s="48">
        <v>45134</v>
      </c>
      <c r="L303" s="48">
        <v>45134</v>
      </c>
      <c r="M303" s="48">
        <v>45499</v>
      </c>
      <c r="N303" s="47" t="s">
        <v>52</v>
      </c>
      <c r="O303" s="55" t="s">
        <v>53</v>
      </c>
      <c r="P303" s="62">
        <v>15288</v>
      </c>
      <c r="Q303" s="62">
        <v>1274</v>
      </c>
      <c r="R303" s="96">
        <v>16848</v>
      </c>
      <c r="S303" s="62">
        <f t="shared" si="72"/>
        <v>1404</v>
      </c>
      <c r="T303" s="62">
        <v>15600</v>
      </c>
      <c r="U303" s="62">
        <f t="shared" si="73"/>
        <v>1300</v>
      </c>
      <c r="V303" s="69">
        <v>15288</v>
      </c>
      <c r="W303" s="71">
        <v>1440</v>
      </c>
      <c r="X303" s="105">
        <f t="shared" si="74"/>
        <v>1390</v>
      </c>
      <c r="Y303" s="171">
        <f t="shared" si="75"/>
        <v>6.9230769230769235E-2</v>
      </c>
      <c r="Z303" s="64">
        <f t="shared" si="66"/>
        <v>0.1076923076923077</v>
      </c>
      <c r="AA303" s="64">
        <f t="shared" si="76"/>
        <v>2.564102564102564E-2</v>
      </c>
      <c r="AB303" s="71">
        <f t="shared" si="79"/>
        <v>1440</v>
      </c>
      <c r="AC303" s="64">
        <f t="shared" si="67"/>
        <v>0.1076923076923077</v>
      </c>
      <c r="AD303" s="64">
        <f t="shared" si="77"/>
        <v>2.564102564102564E-2</v>
      </c>
      <c r="AE303" s="71">
        <v>1430</v>
      </c>
      <c r="AF303" s="64">
        <f t="shared" si="68"/>
        <v>0.1</v>
      </c>
      <c r="AG303" s="64">
        <f t="shared" si="78"/>
        <v>1.8518518518518517E-2</v>
      </c>
      <c r="AH303" s="67"/>
      <c r="AI303" s="47" t="s">
        <v>54</v>
      </c>
      <c r="AJ303" s="47">
        <v>437.2</v>
      </c>
      <c r="AK303" s="101" t="s">
        <v>55</v>
      </c>
      <c r="AL303" s="101" t="s">
        <v>55</v>
      </c>
      <c r="AM303" s="47" t="s">
        <v>1440</v>
      </c>
      <c r="AN303" s="50"/>
      <c r="AO303" s="211">
        <f t="shared" si="69"/>
        <v>-1</v>
      </c>
      <c r="AP303" s="47" t="s">
        <v>852</v>
      </c>
      <c r="AQ303" s="91" t="s">
        <v>1074</v>
      </c>
      <c r="AR303" s="47" t="s">
        <v>1441</v>
      </c>
    </row>
    <row r="304" spans="1:44" hidden="1">
      <c r="A304" s="47" t="s">
        <v>44</v>
      </c>
      <c r="B304" s="47" t="str">
        <f t="shared" si="65"/>
        <v>July</v>
      </c>
      <c r="C304" s="59">
        <v>45499</v>
      </c>
      <c r="D304" s="47" t="s">
        <v>45</v>
      </c>
      <c r="E304" s="47" t="s">
        <v>847</v>
      </c>
      <c r="F304" s="47" t="s">
        <v>848</v>
      </c>
      <c r="G304" s="47" t="s">
        <v>1470</v>
      </c>
      <c r="H304" s="47" t="s">
        <v>1471</v>
      </c>
      <c r="I304" s="47" t="s">
        <v>1472</v>
      </c>
      <c r="J304" s="47" t="s">
        <v>51</v>
      </c>
      <c r="K304" s="48">
        <v>45134</v>
      </c>
      <c r="L304" s="48">
        <v>45134</v>
      </c>
      <c r="M304" s="48">
        <v>45499</v>
      </c>
      <c r="N304" s="47" t="s">
        <v>52</v>
      </c>
      <c r="O304" s="55" t="s">
        <v>53</v>
      </c>
      <c r="P304" s="62">
        <v>15288</v>
      </c>
      <c r="Q304" s="62">
        <v>1274</v>
      </c>
      <c r="R304" s="96">
        <v>16848</v>
      </c>
      <c r="S304" s="62">
        <f t="shared" si="72"/>
        <v>1404</v>
      </c>
      <c r="T304" s="62">
        <v>15600</v>
      </c>
      <c r="U304" s="62">
        <f t="shared" si="73"/>
        <v>1300</v>
      </c>
      <c r="V304" s="69">
        <v>15288</v>
      </c>
      <c r="W304" s="71">
        <v>1470</v>
      </c>
      <c r="X304" s="105">
        <f t="shared" si="74"/>
        <v>1420</v>
      </c>
      <c r="Y304" s="171">
        <f t="shared" si="75"/>
        <v>9.2307692307692313E-2</v>
      </c>
      <c r="Z304" s="64">
        <f t="shared" si="66"/>
        <v>0.13076923076923078</v>
      </c>
      <c r="AA304" s="64">
        <f t="shared" si="76"/>
        <v>4.7008547008547008E-2</v>
      </c>
      <c r="AB304" s="71">
        <f t="shared" si="79"/>
        <v>1470</v>
      </c>
      <c r="AC304" s="64">
        <f t="shared" si="67"/>
        <v>0.13076923076923078</v>
      </c>
      <c r="AD304" s="64">
        <f t="shared" si="77"/>
        <v>4.7008547008547008E-2</v>
      </c>
      <c r="AE304" s="71">
        <v>1430</v>
      </c>
      <c r="AF304" s="64">
        <f t="shared" si="68"/>
        <v>0.1</v>
      </c>
      <c r="AG304" s="64">
        <f t="shared" si="78"/>
        <v>1.8518518518518517E-2</v>
      </c>
      <c r="AH304" s="67"/>
      <c r="AI304" s="47" t="s">
        <v>54</v>
      </c>
      <c r="AJ304" s="47">
        <v>437.2</v>
      </c>
      <c r="AK304" s="101" t="s">
        <v>55</v>
      </c>
      <c r="AL304" s="101" t="s">
        <v>55</v>
      </c>
      <c r="AM304" s="47" t="s">
        <v>856</v>
      </c>
      <c r="AN304" s="50"/>
      <c r="AO304" s="211">
        <f t="shared" si="69"/>
        <v>-1</v>
      </c>
      <c r="AP304" s="47" t="s">
        <v>852</v>
      </c>
      <c r="AQ304" s="91" t="s">
        <v>1074</v>
      </c>
      <c r="AR304" s="47" t="s">
        <v>1441</v>
      </c>
    </row>
    <row r="305" spans="1:44" hidden="1">
      <c r="A305" s="47" t="s">
        <v>44</v>
      </c>
      <c r="B305" s="47" t="str">
        <f t="shared" si="65"/>
        <v>July</v>
      </c>
      <c r="C305" s="59">
        <v>45499</v>
      </c>
      <c r="D305" s="47" t="s">
        <v>45</v>
      </c>
      <c r="E305" s="47" t="s">
        <v>847</v>
      </c>
      <c r="F305" s="47" t="s">
        <v>848</v>
      </c>
      <c r="G305" s="47" t="s">
        <v>1473</v>
      </c>
      <c r="H305" s="47" t="s">
        <v>1474</v>
      </c>
      <c r="I305" s="47" t="s">
        <v>63</v>
      </c>
      <c r="J305" s="47" t="s">
        <v>51</v>
      </c>
      <c r="K305" s="48">
        <v>45134</v>
      </c>
      <c r="L305" s="48">
        <v>45134</v>
      </c>
      <c r="M305" s="48">
        <v>45499</v>
      </c>
      <c r="N305" s="47" t="s">
        <v>52</v>
      </c>
      <c r="O305" s="55" t="s">
        <v>53</v>
      </c>
      <c r="P305" s="62">
        <v>15756</v>
      </c>
      <c r="Q305" s="62">
        <v>1313</v>
      </c>
      <c r="R305" s="96">
        <v>17212</v>
      </c>
      <c r="S305" s="62">
        <f t="shared" si="72"/>
        <v>1434.3333333333333</v>
      </c>
      <c r="T305" s="62">
        <v>15720</v>
      </c>
      <c r="U305" s="62">
        <f t="shared" si="73"/>
        <v>1310</v>
      </c>
      <c r="V305" s="69">
        <v>15756</v>
      </c>
      <c r="W305" s="71">
        <v>1425</v>
      </c>
      <c r="X305" s="105">
        <f t="shared" si="74"/>
        <v>1375</v>
      </c>
      <c r="Y305" s="171">
        <f t="shared" si="75"/>
        <v>4.9618320610687022E-2</v>
      </c>
      <c r="Z305" s="64">
        <f t="shared" si="66"/>
        <v>8.7786259541984726E-2</v>
      </c>
      <c r="AA305" s="64">
        <f t="shared" si="76"/>
        <v>-6.507088078085004E-3</v>
      </c>
      <c r="AB305" s="71">
        <f t="shared" si="79"/>
        <v>1425</v>
      </c>
      <c r="AC305" s="64">
        <f t="shared" si="67"/>
        <v>8.7786259541984726E-2</v>
      </c>
      <c r="AD305" s="64">
        <f t="shared" si="77"/>
        <v>-6.507088078085004E-3</v>
      </c>
      <c r="AE305" s="71">
        <f>AB305</f>
        <v>1425</v>
      </c>
      <c r="AF305" s="64">
        <f t="shared" si="68"/>
        <v>8.7786259541984726E-2</v>
      </c>
      <c r="AG305" s="64">
        <f t="shared" si="78"/>
        <v>-6.507088078085004E-3</v>
      </c>
      <c r="AH305" s="67"/>
      <c r="AI305" s="47" t="s">
        <v>54</v>
      </c>
      <c r="AJ305" s="47">
        <v>513.29999999999995</v>
      </c>
      <c r="AK305" s="101" t="s">
        <v>55</v>
      </c>
      <c r="AL305" s="101" t="s">
        <v>55</v>
      </c>
      <c r="AM305" s="47" t="s">
        <v>1267</v>
      </c>
      <c r="AN305" s="50"/>
      <c r="AO305" s="211">
        <f t="shared" si="69"/>
        <v>-1</v>
      </c>
      <c r="AP305" s="47" t="s">
        <v>852</v>
      </c>
      <c r="AQ305" s="94" t="s">
        <v>1039</v>
      </c>
      <c r="AR305" s="47"/>
    </row>
    <row r="306" spans="1:44" hidden="1">
      <c r="A306" s="47" t="s">
        <v>74</v>
      </c>
      <c r="B306" s="47" t="str">
        <f t="shared" si="65"/>
        <v>July</v>
      </c>
      <c r="C306" s="59">
        <v>45500</v>
      </c>
      <c r="D306" s="47" t="s">
        <v>45</v>
      </c>
      <c r="E306" s="47" t="s">
        <v>847</v>
      </c>
      <c r="F306" s="47" t="s">
        <v>848</v>
      </c>
      <c r="G306" s="47" t="s">
        <v>1479</v>
      </c>
      <c r="H306" s="47" t="s">
        <v>1480</v>
      </c>
      <c r="I306" s="47" t="s">
        <v>63</v>
      </c>
      <c r="J306" s="47" t="s">
        <v>51</v>
      </c>
      <c r="K306" s="48">
        <v>45135</v>
      </c>
      <c r="L306" s="48">
        <v>45135</v>
      </c>
      <c r="M306" s="48">
        <v>45500</v>
      </c>
      <c r="N306" s="47" t="s">
        <v>52</v>
      </c>
      <c r="O306" s="55" t="s">
        <v>53</v>
      </c>
      <c r="P306" s="62">
        <v>15704</v>
      </c>
      <c r="Q306" s="62">
        <v>1308.6666666666667</v>
      </c>
      <c r="R306" s="96">
        <v>17108</v>
      </c>
      <c r="S306" s="62">
        <f t="shared" si="72"/>
        <v>1425.6666666666667</v>
      </c>
      <c r="T306" s="62">
        <v>15840</v>
      </c>
      <c r="U306" s="62">
        <f t="shared" si="73"/>
        <v>1320</v>
      </c>
      <c r="V306" s="69">
        <v>15704</v>
      </c>
      <c r="W306" s="71">
        <v>1470</v>
      </c>
      <c r="X306" s="105">
        <f t="shared" si="74"/>
        <v>1420</v>
      </c>
      <c r="Y306" s="171">
        <f t="shared" si="75"/>
        <v>7.575757575757576E-2</v>
      </c>
      <c r="Z306" s="64">
        <f t="shared" si="66"/>
        <v>0.11363636363636363</v>
      </c>
      <c r="AA306" s="64">
        <f t="shared" si="76"/>
        <v>3.1096563011456572E-2</v>
      </c>
      <c r="AB306" s="71">
        <f t="shared" si="79"/>
        <v>1470</v>
      </c>
      <c r="AC306" s="64">
        <f t="shared" si="67"/>
        <v>0.11363636363636363</v>
      </c>
      <c r="AD306" s="64">
        <f t="shared" si="77"/>
        <v>3.1096563011456572E-2</v>
      </c>
      <c r="AE306" s="71">
        <v>1450</v>
      </c>
      <c r="AF306" s="64">
        <f t="shared" si="68"/>
        <v>9.8484848484848481E-2</v>
      </c>
      <c r="AG306" s="64">
        <f t="shared" si="78"/>
        <v>1.7068038344634034E-2</v>
      </c>
      <c r="AH306" s="67" t="s">
        <v>1481</v>
      </c>
      <c r="AI306" s="47" t="s">
        <v>54</v>
      </c>
      <c r="AJ306" s="47">
        <v>493.8</v>
      </c>
      <c r="AK306" s="101" t="s">
        <v>55</v>
      </c>
      <c r="AL306" s="101" t="s">
        <v>55</v>
      </c>
      <c r="AM306" s="47" t="s">
        <v>1065</v>
      </c>
      <c r="AN306" s="50"/>
      <c r="AO306" s="211">
        <f t="shared" si="69"/>
        <v>-1</v>
      </c>
      <c r="AP306" s="47" t="s">
        <v>852</v>
      </c>
      <c r="AQ306" s="94" t="s">
        <v>898</v>
      </c>
      <c r="AR306" s="47" t="s">
        <v>1482</v>
      </c>
    </row>
    <row r="307" spans="1:44" hidden="1">
      <c r="A307" s="47" t="s">
        <v>74</v>
      </c>
      <c r="B307" s="47" t="str">
        <f t="shared" si="65"/>
        <v>July</v>
      </c>
      <c r="C307" s="59">
        <v>45500</v>
      </c>
      <c r="D307" s="47" t="s">
        <v>45</v>
      </c>
      <c r="E307" s="47" t="s">
        <v>847</v>
      </c>
      <c r="F307" s="47" t="s">
        <v>848</v>
      </c>
      <c r="G307" s="47" t="s">
        <v>1484</v>
      </c>
      <c r="H307" s="47" t="s">
        <v>1485</v>
      </c>
      <c r="I307" s="47" t="s">
        <v>63</v>
      </c>
      <c r="J307" s="47" t="s">
        <v>51</v>
      </c>
      <c r="K307" s="48">
        <v>45135</v>
      </c>
      <c r="L307" s="48">
        <v>45135</v>
      </c>
      <c r="M307" s="48">
        <v>45500</v>
      </c>
      <c r="N307" s="47" t="s">
        <v>52</v>
      </c>
      <c r="O307" s="55" t="s">
        <v>53</v>
      </c>
      <c r="P307" s="62">
        <v>15756</v>
      </c>
      <c r="Q307" s="62">
        <v>1313</v>
      </c>
      <c r="R307" s="96">
        <v>17212</v>
      </c>
      <c r="S307" s="62">
        <f t="shared" si="72"/>
        <v>1434.3333333333333</v>
      </c>
      <c r="T307" s="62">
        <v>15960</v>
      </c>
      <c r="U307" s="62">
        <f t="shared" si="73"/>
        <v>1330</v>
      </c>
      <c r="V307" s="69">
        <v>15756</v>
      </c>
      <c r="W307" s="71">
        <v>1490</v>
      </c>
      <c r="X307" s="105">
        <f t="shared" si="74"/>
        <v>1440</v>
      </c>
      <c r="Y307" s="171">
        <f t="shared" si="75"/>
        <v>8.2706766917293228E-2</v>
      </c>
      <c r="Z307" s="64">
        <f t="shared" si="66"/>
        <v>0.12030075187969924</v>
      </c>
      <c r="AA307" s="64">
        <f t="shared" si="76"/>
        <v>3.8810132465721646E-2</v>
      </c>
      <c r="AB307" s="71">
        <f t="shared" si="79"/>
        <v>1490</v>
      </c>
      <c r="AC307" s="64">
        <f t="shared" si="67"/>
        <v>0.12030075187969924</v>
      </c>
      <c r="AD307" s="64">
        <f t="shared" si="77"/>
        <v>3.8810132465721646E-2</v>
      </c>
      <c r="AE307" s="71">
        <v>1470</v>
      </c>
      <c r="AF307" s="64">
        <f t="shared" si="68"/>
        <v>0.10526315789473684</v>
      </c>
      <c r="AG307" s="64">
        <f t="shared" si="78"/>
        <v>2.486637229839652E-2</v>
      </c>
      <c r="AH307" s="67"/>
      <c r="AI307" s="47" t="s">
        <v>54</v>
      </c>
      <c r="AJ307" s="47">
        <v>508</v>
      </c>
      <c r="AK307" s="101" t="s">
        <v>55</v>
      </c>
      <c r="AL307" s="101" t="s">
        <v>55</v>
      </c>
      <c r="AM307" s="47" t="s">
        <v>1212</v>
      </c>
      <c r="AN307" s="50"/>
      <c r="AO307" s="211">
        <f t="shared" si="69"/>
        <v>-1</v>
      </c>
      <c r="AP307" s="47" t="s">
        <v>852</v>
      </c>
      <c r="AQ307" s="94" t="s">
        <v>898</v>
      </c>
      <c r="AR307" s="47" t="s">
        <v>1486</v>
      </c>
    </row>
    <row r="308" spans="1:44" hidden="1">
      <c r="A308" s="47" t="s">
        <v>44</v>
      </c>
      <c r="B308" s="47" t="str">
        <f t="shared" si="65"/>
        <v>July</v>
      </c>
      <c r="C308" s="59">
        <v>45500</v>
      </c>
      <c r="D308" s="47" t="s">
        <v>45</v>
      </c>
      <c r="E308" s="47" t="s">
        <v>847</v>
      </c>
      <c r="F308" s="47" t="s">
        <v>848</v>
      </c>
      <c r="G308" s="47" t="s">
        <v>1498</v>
      </c>
      <c r="H308" s="47" t="s">
        <v>1499</v>
      </c>
      <c r="I308" s="47" t="s">
        <v>63</v>
      </c>
      <c r="J308" s="47" t="s">
        <v>51</v>
      </c>
      <c r="K308" s="48">
        <v>45135</v>
      </c>
      <c r="L308" s="48">
        <v>45135</v>
      </c>
      <c r="M308" s="48">
        <v>45500</v>
      </c>
      <c r="N308" s="47" t="s">
        <v>52</v>
      </c>
      <c r="O308" s="55" t="s">
        <v>53</v>
      </c>
      <c r="P308" s="62">
        <v>15860</v>
      </c>
      <c r="Q308" s="62">
        <v>1321.6666666666667</v>
      </c>
      <c r="R308" s="96">
        <v>17316</v>
      </c>
      <c r="S308" s="62">
        <f t="shared" si="72"/>
        <v>1443</v>
      </c>
      <c r="T308" s="62">
        <v>15600</v>
      </c>
      <c r="U308" s="62">
        <f t="shared" si="73"/>
        <v>1300</v>
      </c>
      <c r="V308" s="69">
        <v>15860</v>
      </c>
      <c r="W308" s="71">
        <v>1460</v>
      </c>
      <c r="X308" s="105">
        <f t="shared" si="74"/>
        <v>1410</v>
      </c>
      <c r="Y308" s="171">
        <f t="shared" si="75"/>
        <v>8.461538461538462E-2</v>
      </c>
      <c r="Z308" s="64">
        <f t="shared" si="66"/>
        <v>0.12307692307692308</v>
      </c>
      <c r="AA308" s="64">
        <f t="shared" si="76"/>
        <v>1.1781011781011781E-2</v>
      </c>
      <c r="AB308" s="71">
        <f t="shared" si="79"/>
        <v>1460</v>
      </c>
      <c r="AC308" s="64">
        <f t="shared" si="67"/>
        <v>0.12307692307692308</v>
      </c>
      <c r="AD308" s="64">
        <f t="shared" si="77"/>
        <v>1.1781011781011781E-2</v>
      </c>
      <c r="AE308" s="71">
        <v>1450</v>
      </c>
      <c r="AF308" s="64">
        <f t="shared" si="68"/>
        <v>0.11538461538461539</v>
      </c>
      <c r="AG308" s="64">
        <f t="shared" si="78"/>
        <v>4.8510048510048507E-3</v>
      </c>
      <c r="AH308" s="67"/>
      <c r="AI308" s="47" t="s">
        <v>54</v>
      </c>
      <c r="AJ308" s="47">
        <v>509.5</v>
      </c>
      <c r="AK308" s="101" t="s">
        <v>55</v>
      </c>
      <c r="AL308" s="101" t="s">
        <v>55</v>
      </c>
      <c r="AM308" s="47" t="s">
        <v>890</v>
      </c>
      <c r="AN308" s="50"/>
      <c r="AO308" s="211">
        <f t="shared" si="69"/>
        <v>-1</v>
      </c>
      <c r="AP308" s="47" t="s">
        <v>852</v>
      </c>
      <c r="AQ308" s="94" t="s">
        <v>1500</v>
      </c>
      <c r="AR308" s="47" t="s">
        <v>1501</v>
      </c>
    </row>
    <row r="309" spans="1:44" hidden="1">
      <c r="A309" s="47" t="s">
        <v>44</v>
      </c>
      <c r="B309" s="47" t="str">
        <f t="shared" si="65"/>
        <v>July</v>
      </c>
      <c r="C309" s="59">
        <v>45501</v>
      </c>
      <c r="D309" s="47" t="s">
        <v>45</v>
      </c>
      <c r="E309" s="47" t="s">
        <v>847</v>
      </c>
      <c r="F309" s="47" t="s">
        <v>848</v>
      </c>
      <c r="G309" s="47" t="s">
        <v>1577</v>
      </c>
      <c r="H309" s="47" t="s">
        <v>1578</v>
      </c>
      <c r="I309" s="47" t="s">
        <v>63</v>
      </c>
      <c r="J309" s="47" t="s">
        <v>51</v>
      </c>
      <c r="K309" s="48">
        <v>45136</v>
      </c>
      <c r="L309" s="48">
        <v>45136</v>
      </c>
      <c r="M309" s="48">
        <v>45501</v>
      </c>
      <c r="N309" s="47" t="s">
        <v>52</v>
      </c>
      <c r="O309" s="55" t="s">
        <v>53</v>
      </c>
      <c r="P309" s="62">
        <v>15288</v>
      </c>
      <c r="Q309" s="62">
        <v>1274</v>
      </c>
      <c r="R309" s="96">
        <v>16848</v>
      </c>
      <c r="S309" s="62">
        <f t="shared" si="72"/>
        <v>1404</v>
      </c>
      <c r="T309" s="62">
        <v>15600</v>
      </c>
      <c r="U309" s="62">
        <f t="shared" si="73"/>
        <v>1300</v>
      </c>
      <c r="V309" s="69">
        <v>15288</v>
      </c>
      <c r="W309" s="71">
        <v>1470</v>
      </c>
      <c r="X309" s="105">
        <f t="shared" si="74"/>
        <v>1420</v>
      </c>
      <c r="Y309" s="171">
        <f t="shared" si="75"/>
        <v>9.2307692307692313E-2</v>
      </c>
      <c r="Z309" s="64">
        <f t="shared" si="66"/>
        <v>0.13076923076923078</v>
      </c>
      <c r="AA309" s="64">
        <f t="shared" si="76"/>
        <v>4.7008547008547008E-2</v>
      </c>
      <c r="AB309" s="71">
        <f t="shared" si="79"/>
        <v>1470</v>
      </c>
      <c r="AC309" s="64">
        <f t="shared" si="67"/>
        <v>0.13076923076923078</v>
      </c>
      <c r="AD309" s="64">
        <f t="shared" si="77"/>
        <v>4.7008547008547008E-2</v>
      </c>
      <c r="AE309" s="71">
        <v>1430</v>
      </c>
      <c r="AF309" s="64">
        <f t="shared" si="68"/>
        <v>0.1</v>
      </c>
      <c r="AG309" s="64">
        <f t="shared" si="78"/>
        <v>1.8518518518518517E-2</v>
      </c>
      <c r="AH309" s="67"/>
      <c r="AI309" s="47" t="s">
        <v>54</v>
      </c>
      <c r="AJ309" s="47">
        <v>437.2</v>
      </c>
      <c r="AK309" s="101" t="s">
        <v>55</v>
      </c>
      <c r="AL309" s="101" t="s">
        <v>55</v>
      </c>
      <c r="AM309" s="47" t="s">
        <v>1579</v>
      </c>
      <c r="AN309" s="50"/>
      <c r="AO309" s="211">
        <f t="shared" si="69"/>
        <v>-1</v>
      </c>
      <c r="AP309" s="47" t="s">
        <v>852</v>
      </c>
      <c r="AQ309" s="94" t="s">
        <v>891</v>
      </c>
      <c r="AR309" s="47" t="s">
        <v>1580</v>
      </c>
    </row>
    <row r="310" spans="1:44" hidden="1">
      <c r="A310" s="47" t="s">
        <v>44</v>
      </c>
      <c r="B310" s="47" t="str">
        <f t="shared" si="65"/>
        <v>July</v>
      </c>
      <c r="C310" s="59">
        <v>45491</v>
      </c>
      <c r="D310" s="47" t="s">
        <v>45</v>
      </c>
      <c r="E310" s="47" t="s">
        <v>847</v>
      </c>
      <c r="F310" s="47" t="s">
        <v>848</v>
      </c>
      <c r="G310" s="47" t="s">
        <v>1607</v>
      </c>
      <c r="H310" s="47" t="s">
        <v>1608</v>
      </c>
      <c r="I310" s="47" t="s">
        <v>63</v>
      </c>
      <c r="J310" s="47" t="s">
        <v>51</v>
      </c>
      <c r="K310" s="48">
        <v>45126</v>
      </c>
      <c r="L310" s="48">
        <v>45126</v>
      </c>
      <c r="M310" s="48">
        <v>45491</v>
      </c>
      <c r="N310" s="47" t="s">
        <v>52</v>
      </c>
      <c r="O310" s="55" t="s">
        <v>53</v>
      </c>
      <c r="P310" s="62">
        <v>15288</v>
      </c>
      <c r="Q310" s="62">
        <v>1274</v>
      </c>
      <c r="R310" s="96">
        <v>16848</v>
      </c>
      <c r="S310" s="62">
        <f t="shared" si="72"/>
        <v>1404</v>
      </c>
      <c r="T310" s="62">
        <v>15600</v>
      </c>
      <c r="U310" s="62">
        <f t="shared" si="73"/>
        <v>1300</v>
      </c>
      <c r="V310" s="69">
        <v>15288</v>
      </c>
      <c r="W310" s="71">
        <v>1435</v>
      </c>
      <c r="X310" s="105">
        <f t="shared" si="74"/>
        <v>1385</v>
      </c>
      <c r="Y310" s="171">
        <f t="shared" si="75"/>
        <v>6.5384615384615388E-2</v>
      </c>
      <c r="Z310" s="64">
        <f t="shared" si="66"/>
        <v>0.10384615384615385</v>
      </c>
      <c r="AA310" s="64">
        <f t="shared" si="76"/>
        <v>2.2079772079772079E-2</v>
      </c>
      <c r="AB310" s="71">
        <f t="shared" si="79"/>
        <v>1435</v>
      </c>
      <c r="AC310" s="64">
        <f t="shared" si="67"/>
        <v>0.10384615384615385</v>
      </c>
      <c r="AD310" s="64">
        <f t="shared" si="77"/>
        <v>2.2079772079772079E-2</v>
      </c>
      <c r="AE310" s="71">
        <v>1430</v>
      </c>
      <c r="AF310" s="64">
        <f t="shared" si="68"/>
        <v>0.1</v>
      </c>
      <c r="AG310" s="64">
        <f t="shared" si="78"/>
        <v>1.8518518518518517E-2</v>
      </c>
      <c r="AH310" s="67"/>
      <c r="AI310" s="47" t="s">
        <v>54</v>
      </c>
      <c r="AJ310" s="47">
        <v>437.2</v>
      </c>
      <c r="AK310" s="101" t="s">
        <v>55</v>
      </c>
      <c r="AL310" s="101" t="s">
        <v>55</v>
      </c>
      <c r="AM310" s="47" t="s">
        <v>1609</v>
      </c>
      <c r="AN310" s="50"/>
      <c r="AO310" s="211">
        <f t="shared" si="69"/>
        <v>-1</v>
      </c>
      <c r="AP310" s="47" t="s">
        <v>852</v>
      </c>
      <c r="AQ310" s="94" t="s">
        <v>891</v>
      </c>
      <c r="AR310" s="47" t="s">
        <v>1610</v>
      </c>
    </row>
    <row r="311" spans="1:44" hidden="1">
      <c r="A311" s="47" t="s">
        <v>44</v>
      </c>
      <c r="B311" s="47" t="str">
        <f t="shared" si="65"/>
        <v>July</v>
      </c>
      <c r="C311" s="59">
        <v>45503</v>
      </c>
      <c r="D311" s="47" t="s">
        <v>45</v>
      </c>
      <c r="E311" s="47" t="s">
        <v>847</v>
      </c>
      <c r="F311" s="47" t="s">
        <v>848</v>
      </c>
      <c r="G311" s="47" t="s">
        <v>1622</v>
      </c>
      <c r="H311" s="47" t="s">
        <v>1623</v>
      </c>
      <c r="I311" s="47" t="s">
        <v>63</v>
      </c>
      <c r="J311" s="47" t="s">
        <v>51</v>
      </c>
      <c r="K311" s="48">
        <v>45138</v>
      </c>
      <c r="L311" s="48">
        <v>45138</v>
      </c>
      <c r="M311" s="48">
        <v>45503</v>
      </c>
      <c r="N311" s="47" t="s">
        <v>52</v>
      </c>
      <c r="O311" s="55" t="s">
        <v>53</v>
      </c>
      <c r="P311" s="62">
        <v>15600</v>
      </c>
      <c r="Q311" s="62">
        <v>1300</v>
      </c>
      <c r="R311" s="96">
        <v>17108</v>
      </c>
      <c r="S311" s="62">
        <f t="shared" si="72"/>
        <v>1425.6666666666667</v>
      </c>
      <c r="T311" s="62">
        <v>15720</v>
      </c>
      <c r="U311" s="62">
        <f t="shared" si="73"/>
        <v>1310</v>
      </c>
      <c r="V311" s="69">
        <v>15600</v>
      </c>
      <c r="W311" s="71">
        <v>1425</v>
      </c>
      <c r="X311" s="105">
        <f t="shared" si="74"/>
        <v>1375</v>
      </c>
      <c r="Y311" s="171">
        <f t="shared" si="75"/>
        <v>4.9618320610687022E-2</v>
      </c>
      <c r="Z311" s="64">
        <f t="shared" si="66"/>
        <v>8.7786259541984726E-2</v>
      </c>
      <c r="AA311" s="64">
        <f t="shared" si="76"/>
        <v>-4.6761748889413777E-4</v>
      </c>
      <c r="AB311" s="71">
        <f t="shared" si="79"/>
        <v>1425</v>
      </c>
      <c r="AC311" s="64">
        <f t="shared" si="67"/>
        <v>8.7786259541984726E-2</v>
      </c>
      <c r="AD311" s="64">
        <f t="shared" si="77"/>
        <v>-4.6761748889413777E-4</v>
      </c>
      <c r="AE311" s="71">
        <f>AB311</f>
        <v>1425</v>
      </c>
      <c r="AF311" s="64">
        <f t="shared" si="68"/>
        <v>8.7786259541984726E-2</v>
      </c>
      <c r="AG311" s="64">
        <f t="shared" si="78"/>
        <v>-4.6761748889413777E-4</v>
      </c>
      <c r="AH311" s="67"/>
      <c r="AI311" s="47" t="s">
        <v>54</v>
      </c>
      <c r="AJ311" s="47">
        <v>499.7</v>
      </c>
      <c r="AK311" s="101" t="s">
        <v>55</v>
      </c>
      <c r="AL311" s="101" t="s">
        <v>55</v>
      </c>
      <c r="AM311" s="47" t="s">
        <v>1624</v>
      </c>
      <c r="AN311" s="50"/>
      <c r="AO311" s="211">
        <f t="shared" si="69"/>
        <v>-1</v>
      </c>
      <c r="AP311" s="47" t="s">
        <v>852</v>
      </c>
      <c r="AQ311" s="94" t="s">
        <v>891</v>
      </c>
      <c r="AR311" s="47" t="s">
        <v>1580</v>
      </c>
    </row>
    <row r="312" spans="1:44" hidden="1">
      <c r="A312" s="47" t="s">
        <v>44</v>
      </c>
      <c r="B312" s="47" t="str">
        <f t="shared" si="65"/>
        <v>July</v>
      </c>
      <c r="C312" s="59">
        <v>45503</v>
      </c>
      <c r="D312" s="47" t="s">
        <v>45</v>
      </c>
      <c r="E312" s="47" t="s">
        <v>847</v>
      </c>
      <c r="F312" s="47" t="s">
        <v>848</v>
      </c>
      <c r="G312" s="47" t="s">
        <v>1628</v>
      </c>
      <c r="H312" s="47" t="s">
        <v>1629</v>
      </c>
      <c r="I312" s="47" t="s">
        <v>63</v>
      </c>
      <c r="J312" s="47" t="s">
        <v>51</v>
      </c>
      <c r="K312" s="48">
        <v>45138</v>
      </c>
      <c r="L312" s="48">
        <v>45138</v>
      </c>
      <c r="M312" s="48">
        <v>45503</v>
      </c>
      <c r="N312" s="47" t="s">
        <v>52</v>
      </c>
      <c r="O312" s="55" t="s">
        <v>53</v>
      </c>
      <c r="P312" s="62">
        <v>15704</v>
      </c>
      <c r="Q312" s="62">
        <v>1308.6666666666667</v>
      </c>
      <c r="R312" s="96">
        <v>17108</v>
      </c>
      <c r="S312" s="62">
        <f t="shared" si="72"/>
        <v>1425.6666666666667</v>
      </c>
      <c r="T312" s="62">
        <v>15360</v>
      </c>
      <c r="U312" s="62">
        <f t="shared" si="73"/>
        <v>1280</v>
      </c>
      <c r="V312" s="69">
        <v>15704</v>
      </c>
      <c r="W312" s="71">
        <v>1435</v>
      </c>
      <c r="X312" s="105">
        <f t="shared" si="74"/>
        <v>1385</v>
      </c>
      <c r="Y312" s="171">
        <f t="shared" si="75"/>
        <v>8.203125E-2</v>
      </c>
      <c r="Z312" s="64">
        <f t="shared" si="66"/>
        <v>0.12109375</v>
      </c>
      <c r="AA312" s="64">
        <f t="shared" si="76"/>
        <v>6.5466448445171315E-3</v>
      </c>
      <c r="AB312" s="71">
        <f t="shared" si="79"/>
        <v>1435</v>
      </c>
      <c r="AC312" s="64">
        <f t="shared" si="67"/>
        <v>0.12109375</v>
      </c>
      <c r="AD312" s="64">
        <f t="shared" si="77"/>
        <v>6.5466448445171315E-3</v>
      </c>
      <c r="AE312" s="71">
        <f>AB312</f>
        <v>1435</v>
      </c>
      <c r="AF312" s="64">
        <f t="shared" si="68"/>
        <v>0.12109375</v>
      </c>
      <c r="AG312" s="64">
        <f t="shared" si="78"/>
        <v>6.5466448445171315E-3</v>
      </c>
      <c r="AH312" s="67"/>
      <c r="AI312" s="47" t="s">
        <v>54</v>
      </c>
      <c r="AJ312" s="47">
        <v>493.8</v>
      </c>
      <c r="AK312" s="101" t="s">
        <v>55</v>
      </c>
      <c r="AL312" s="101" t="s">
        <v>55</v>
      </c>
      <c r="AM312" s="47" t="s">
        <v>1065</v>
      </c>
      <c r="AN312" s="50"/>
      <c r="AO312" s="211">
        <f t="shared" si="69"/>
        <v>-1</v>
      </c>
      <c r="AP312" s="47" t="s">
        <v>852</v>
      </c>
      <c r="AQ312" s="94" t="s">
        <v>891</v>
      </c>
      <c r="AR312" s="47" t="s">
        <v>1630</v>
      </c>
    </row>
    <row r="313" spans="1:44" hidden="1">
      <c r="A313" s="47" t="s">
        <v>44</v>
      </c>
      <c r="B313" s="47" t="str">
        <f t="shared" si="65"/>
        <v>July</v>
      </c>
      <c r="C313" s="59">
        <v>45503</v>
      </c>
      <c r="D313" s="47" t="s">
        <v>45</v>
      </c>
      <c r="E313" s="47" t="s">
        <v>847</v>
      </c>
      <c r="F313" s="47" t="s">
        <v>848</v>
      </c>
      <c r="G313" s="93" t="s">
        <v>1639</v>
      </c>
      <c r="H313" s="47" t="s">
        <v>1640</v>
      </c>
      <c r="I313" s="47" t="s">
        <v>63</v>
      </c>
      <c r="J313" s="47" t="s">
        <v>51</v>
      </c>
      <c r="K313" s="48">
        <v>45138</v>
      </c>
      <c r="L313" s="48">
        <v>45138</v>
      </c>
      <c r="M313" s="48">
        <v>45503</v>
      </c>
      <c r="N313" s="47" t="s">
        <v>52</v>
      </c>
      <c r="O313" s="55" t="s">
        <v>53</v>
      </c>
      <c r="P313" s="62">
        <v>15756</v>
      </c>
      <c r="Q313" s="62">
        <v>1313</v>
      </c>
      <c r="R313" s="96">
        <v>17212</v>
      </c>
      <c r="S313" s="62">
        <f t="shared" si="72"/>
        <v>1434.3333333333333</v>
      </c>
      <c r="T313" s="62">
        <v>15960</v>
      </c>
      <c r="U313" s="62">
        <f t="shared" si="73"/>
        <v>1330</v>
      </c>
      <c r="V313" s="69">
        <v>15756</v>
      </c>
      <c r="W313" s="71">
        <v>1490</v>
      </c>
      <c r="X313" s="105">
        <f t="shared" si="74"/>
        <v>1440</v>
      </c>
      <c r="Y313" s="171">
        <f t="shared" si="75"/>
        <v>8.2706766917293228E-2</v>
      </c>
      <c r="Z313" s="64">
        <f t="shared" si="66"/>
        <v>0.12030075187969924</v>
      </c>
      <c r="AA313" s="64">
        <f t="shared" si="76"/>
        <v>3.8810132465721646E-2</v>
      </c>
      <c r="AB313" s="71">
        <f t="shared" si="79"/>
        <v>1490</v>
      </c>
      <c r="AC313" s="64">
        <f t="shared" si="67"/>
        <v>0.12030075187969924</v>
      </c>
      <c r="AD313" s="64">
        <f t="shared" si="77"/>
        <v>3.8810132465721646E-2</v>
      </c>
      <c r="AE313" s="71">
        <v>1450</v>
      </c>
      <c r="AF313" s="64">
        <f t="shared" si="68"/>
        <v>9.0225563909774431E-2</v>
      </c>
      <c r="AG313" s="64">
        <f t="shared" si="78"/>
        <v>1.0922612131071398E-2</v>
      </c>
      <c r="AH313" s="67"/>
      <c r="AI313" s="47" t="s">
        <v>54</v>
      </c>
      <c r="AJ313" s="47">
        <v>508</v>
      </c>
      <c r="AK313" s="101" t="s">
        <v>55</v>
      </c>
      <c r="AL313" s="101" t="s">
        <v>55</v>
      </c>
      <c r="AM313" s="47" t="s">
        <v>1641</v>
      </c>
      <c r="AN313" s="50"/>
      <c r="AO313" s="211">
        <f t="shared" si="69"/>
        <v>-1</v>
      </c>
      <c r="AP313" s="47" t="s">
        <v>852</v>
      </c>
      <c r="AQ313" s="94" t="s">
        <v>1642</v>
      </c>
      <c r="AR313" s="47" t="s">
        <v>1643</v>
      </c>
    </row>
    <row r="314" spans="1:44" hidden="1">
      <c r="A314" s="47" t="s">
        <v>44</v>
      </c>
      <c r="B314" s="47" t="str">
        <f t="shared" si="65"/>
        <v>July</v>
      </c>
      <c r="C314" s="59">
        <v>45503</v>
      </c>
      <c r="D314" s="47" t="s">
        <v>45</v>
      </c>
      <c r="E314" s="47" t="s">
        <v>847</v>
      </c>
      <c r="F314" s="47" t="s">
        <v>848</v>
      </c>
      <c r="G314" s="47" t="s">
        <v>1644</v>
      </c>
      <c r="H314" s="47" t="s">
        <v>1645</v>
      </c>
      <c r="I314" s="47" t="s">
        <v>63</v>
      </c>
      <c r="J314" s="47" t="s">
        <v>51</v>
      </c>
      <c r="K314" s="48">
        <v>45138</v>
      </c>
      <c r="L314" s="48">
        <v>45138</v>
      </c>
      <c r="M314" s="48">
        <v>45503</v>
      </c>
      <c r="N314" s="47" t="s">
        <v>52</v>
      </c>
      <c r="O314" s="55" t="s">
        <v>53</v>
      </c>
      <c r="P314" s="62">
        <v>15704</v>
      </c>
      <c r="Q314" s="62">
        <v>1308.6666666666667</v>
      </c>
      <c r="R314" s="96">
        <v>17108</v>
      </c>
      <c r="S314" s="62">
        <f t="shared" si="72"/>
        <v>1425.6666666666667</v>
      </c>
      <c r="T314" s="62">
        <v>15240</v>
      </c>
      <c r="U314" s="62">
        <f t="shared" si="73"/>
        <v>1270</v>
      </c>
      <c r="V314" s="69">
        <v>15704</v>
      </c>
      <c r="W314" s="71">
        <v>1430</v>
      </c>
      <c r="X314" s="105">
        <f t="shared" si="74"/>
        <v>1380</v>
      </c>
      <c r="Y314" s="171">
        <f t="shared" si="75"/>
        <v>8.6614173228346455E-2</v>
      </c>
      <c r="Z314" s="64">
        <f t="shared" si="66"/>
        <v>0.12598425196850394</v>
      </c>
      <c r="AA314" s="64">
        <f t="shared" si="76"/>
        <v>3.0395136778114968E-3</v>
      </c>
      <c r="AB314" s="71">
        <f t="shared" si="79"/>
        <v>1430</v>
      </c>
      <c r="AC314" s="64">
        <f t="shared" si="67"/>
        <v>0.12598425196850394</v>
      </c>
      <c r="AD314" s="64">
        <f t="shared" si="77"/>
        <v>3.0395136778114968E-3</v>
      </c>
      <c r="AE314" s="71">
        <f>AB314</f>
        <v>1430</v>
      </c>
      <c r="AF314" s="64">
        <f t="shared" si="68"/>
        <v>0.12598425196850394</v>
      </c>
      <c r="AG314" s="64">
        <f t="shared" si="78"/>
        <v>3.0395136778114968E-3</v>
      </c>
      <c r="AH314" s="67"/>
      <c r="AI314" s="47" t="s">
        <v>250</v>
      </c>
      <c r="AJ314" s="47">
        <v>493.8</v>
      </c>
      <c r="AK314" s="101" t="s">
        <v>55</v>
      </c>
      <c r="AL314" s="101" t="s">
        <v>55</v>
      </c>
      <c r="AM314" s="47" t="s">
        <v>1065</v>
      </c>
      <c r="AN314" s="50"/>
      <c r="AO314" s="211">
        <f t="shared" si="69"/>
        <v>-1</v>
      </c>
      <c r="AP314" s="47" t="s">
        <v>852</v>
      </c>
      <c r="AQ314" s="94" t="s">
        <v>891</v>
      </c>
      <c r="AR314" s="47" t="s">
        <v>1646</v>
      </c>
    </row>
    <row r="315" spans="1:44" hidden="1">
      <c r="A315" s="47" t="s">
        <v>74</v>
      </c>
      <c r="B315" s="47" t="str">
        <f t="shared" si="65"/>
        <v>July</v>
      </c>
      <c r="C315" s="59">
        <v>45501</v>
      </c>
      <c r="D315" s="47" t="s">
        <v>45</v>
      </c>
      <c r="E315" s="47" t="s">
        <v>847</v>
      </c>
      <c r="F315" s="47" t="s">
        <v>848</v>
      </c>
      <c r="G315" s="47" t="s">
        <v>1647</v>
      </c>
      <c r="H315" s="47" t="s">
        <v>1648</v>
      </c>
      <c r="I315" s="47" t="s">
        <v>63</v>
      </c>
      <c r="J315" s="47" t="s">
        <v>51</v>
      </c>
      <c r="K315" s="48">
        <v>45136</v>
      </c>
      <c r="L315" s="48">
        <v>45136</v>
      </c>
      <c r="M315" s="48">
        <v>45501</v>
      </c>
      <c r="N315" s="47" t="s">
        <v>52</v>
      </c>
      <c r="O315" s="55" t="s">
        <v>53</v>
      </c>
      <c r="P315" s="62">
        <v>15600</v>
      </c>
      <c r="Q315" s="62">
        <v>1300</v>
      </c>
      <c r="R315" s="96">
        <v>17108</v>
      </c>
      <c r="S315" s="62">
        <f t="shared" si="72"/>
        <v>1425.6666666666667</v>
      </c>
      <c r="T315" s="62">
        <v>15720</v>
      </c>
      <c r="U315" s="62">
        <f t="shared" si="73"/>
        <v>1310</v>
      </c>
      <c r="V315" s="69">
        <v>15600</v>
      </c>
      <c r="W315" s="71">
        <v>1460</v>
      </c>
      <c r="X315" s="105">
        <f t="shared" si="74"/>
        <v>1410</v>
      </c>
      <c r="Y315" s="171">
        <f t="shared" si="75"/>
        <v>7.6335877862595422E-2</v>
      </c>
      <c r="Z315" s="64">
        <f t="shared" si="66"/>
        <v>0.11450381679389313</v>
      </c>
      <c r="AA315" s="64">
        <f t="shared" si="76"/>
        <v>2.4082300678045305E-2</v>
      </c>
      <c r="AB315" s="71">
        <f t="shared" si="79"/>
        <v>1460</v>
      </c>
      <c r="AC315" s="64">
        <f t="shared" si="67"/>
        <v>0.11450381679389313</v>
      </c>
      <c r="AD315" s="64">
        <f t="shared" si="77"/>
        <v>2.4082300678045305E-2</v>
      </c>
      <c r="AE315" s="71">
        <v>1450</v>
      </c>
      <c r="AF315" s="64">
        <f t="shared" si="68"/>
        <v>0.10687022900763359</v>
      </c>
      <c r="AG315" s="64">
        <f t="shared" si="78"/>
        <v>1.7068038344634034E-2</v>
      </c>
      <c r="AH315" s="67"/>
      <c r="AI315" s="47" t="s">
        <v>54</v>
      </c>
      <c r="AJ315" s="47">
        <v>486</v>
      </c>
      <c r="AK315" s="101" t="s">
        <v>55</v>
      </c>
      <c r="AL315" s="101" t="s">
        <v>55</v>
      </c>
      <c r="AM315" s="47" t="s">
        <v>1649</v>
      </c>
      <c r="AN315" s="50">
        <v>1445</v>
      </c>
      <c r="AO315" s="211">
        <f t="shared" si="69"/>
        <v>0.10305343511450382</v>
      </c>
      <c r="AP315" s="47" t="s">
        <v>852</v>
      </c>
      <c r="AQ315" s="111" t="s">
        <v>125</v>
      </c>
      <c r="AR315" s="47" t="s">
        <v>1650</v>
      </c>
    </row>
    <row r="316" spans="1:44" hidden="1">
      <c r="A316" s="47" t="s">
        <v>44</v>
      </c>
      <c r="B316" s="47" t="str">
        <f t="shared" si="65"/>
        <v>July</v>
      </c>
      <c r="C316" s="59">
        <v>45491</v>
      </c>
      <c r="D316" s="47" t="s">
        <v>45</v>
      </c>
      <c r="E316" s="47" t="s">
        <v>847</v>
      </c>
      <c r="F316" s="47" t="s">
        <v>848</v>
      </c>
      <c r="G316" s="47" t="s">
        <v>1651</v>
      </c>
      <c r="H316" s="47" t="s">
        <v>1652</v>
      </c>
      <c r="I316" s="47" t="s">
        <v>63</v>
      </c>
      <c r="J316" s="47" t="s">
        <v>51</v>
      </c>
      <c r="K316" s="48">
        <v>45126</v>
      </c>
      <c r="L316" s="48">
        <v>45126</v>
      </c>
      <c r="M316" s="48">
        <v>45491</v>
      </c>
      <c r="N316" s="47" t="s">
        <v>52</v>
      </c>
      <c r="O316" s="55" t="s">
        <v>53</v>
      </c>
      <c r="P316" s="62">
        <v>15704</v>
      </c>
      <c r="Q316" s="62">
        <v>1308.6666666666667</v>
      </c>
      <c r="R316" s="96">
        <v>17108</v>
      </c>
      <c r="S316" s="62">
        <f t="shared" si="72"/>
        <v>1425.6666666666667</v>
      </c>
      <c r="T316" s="62">
        <v>15600</v>
      </c>
      <c r="U316" s="62">
        <f t="shared" si="73"/>
        <v>1300</v>
      </c>
      <c r="V316" s="69">
        <v>15704</v>
      </c>
      <c r="W316" s="71">
        <v>1450</v>
      </c>
      <c r="X316" s="105">
        <f t="shared" si="74"/>
        <v>1400</v>
      </c>
      <c r="Y316" s="171">
        <f t="shared" si="75"/>
        <v>7.6923076923076927E-2</v>
      </c>
      <c r="Z316" s="64">
        <f t="shared" si="66"/>
        <v>0.11538461538461539</v>
      </c>
      <c r="AA316" s="64">
        <f t="shared" si="76"/>
        <v>1.7068038344634034E-2</v>
      </c>
      <c r="AB316" s="71">
        <f t="shared" si="79"/>
        <v>1450</v>
      </c>
      <c r="AC316" s="64">
        <f t="shared" si="67"/>
        <v>0.11538461538461539</v>
      </c>
      <c r="AD316" s="64">
        <f t="shared" si="77"/>
        <v>1.7068038344634034E-2</v>
      </c>
      <c r="AE316" s="71">
        <v>1445</v>
      </c>
      <c r="AF316" s="64">
        <f t="shared" si="68"/>
        <v>0.11153846153846154</v>
      </c>
      <c r="AG316" s="64">
        <f t="shared" si="78"/>
        <v>1.35609071779284E-2</v>
      </c>
      <c r="AH316" s="67"/>
      <c r="AI316" s="47" t="s">
        <v>54</v>
      </c>
      <c r="AJ316" s="47">
        <v>493.8</v>
      </c>
      <c r="AK316" s="101" t="s">
        <v>55</v>
      </c>
      <c r="AL316" s="101" t="s">
        <v>55</v>
      </c>
      <c r="AM316" s="47" t="s">
        <v>1212</v>
      </c>
      <c r="AN316" s="50"/>
      <c r="AO316" s="211">
        <f t="shared" si="69"/>
        <v>-1</v>
      </c>
      <c r="AP316" s="47" t="s">
        <v>852</v>
      </c>
      <c r="AQ316" s="94" t="s">
        <v>898</v>
      </c>
      <c r="AR316" s="47" t="s">
        <v>1653</v>
      </c>
    </row>
    <row r="317" spans="1:44" hidden="1">
      <c r="A317" s="47" t="s">
        <v>44</v>
      </c>
      <c r="B317" s="47" t="str">
        <f t="shared" si="65"/>
        <v>July</v>
      </c>
      <c r="C317" s="59">
        <v>45484</v>
      </c>
      <c r="D317" s="47" t="s">
        <v>45</v>
      </c>
      <c r="E317" s="47" t="s">
        <v>847</v>
      </c>
      <c r="F317" s="47" t="s">
        <v>848</v>
      </c>
      <c r="G317" s="47" t="s">
        <v>1654</v>
      </c>
      <c r="H317" s="47" t="s">
        <v>1655</v>
      </c>
      <c r="I317" s="47" t="s">
        <v>63</v>
      </c>
      <c r="J317" s="47" t="s">
        <v>51</v>
      </c>
      <c r="K317" s="48">
        <v>45119</v>
      </c>
      <c r="L317" s="48">
        <v>45119</v>
      </c>
      <c r="M317" s="48">
        <v>45484</v>
      </c>
      <c r="N317" s="47" t="s">
        <v>52</v>
      </c>
      <c r="O317" s="55" t="s">
        <v>53</v>
      </c>
      <c r="P317" s="62">
        <v>15600</v>
      </c>
      <c r="Q317" s="62">
        <v>1300</v>
      </c>
      <c r="R317" s="96">
        <v>17108</v>
      </c>
      <c r="S317" s="62">
        <f t="shared" si="72"/>
        <v>1425.6666666666667</v>
      </c>
      <c r="T317" s="62">
        <v>15600</v>
      </c>
      <c r="U317" s="62">
        <f t="shared" si="73"/>
        <v>1300</v>
      </c>
      <c r="V317" s="69">
        <v>15600</v>
      </c>
      <c r="W317" s="71">
        <v>1450</v>
      </c>
      <c r="X317" s="105">
        <f t="shared" si="74"/>
        <v>1400</v>
      </c>
      <c r="Y317" s="171">
        <f t="shared" si="75"/>
        <v>7.6923076923076927E-2</v>
      </c>
      <c r="Z317" s="64">
        <f t="shared" si="66"/>
        <v>0.11538461538461539</v>
      </c>
      <c r="AA317" s="64">
        <f t="shared" si="76"/>
        <v>1.7068038344634034E-2</v>
      </c>
      <c r="AB317" s="71">
        <f t="shared" si="79"/>
        <v>1450</v>
      </c>
      <c r="AC317" s="64">
        <f t="shared" si="67"/>
        <v>0.11538461538461539</v>
      </c>
      <c r="AD317" s="64">
        <f t="shared" si="77"/>
        <v>1.7068038344634034E-2</v>
      </c>
      <c r="AE317" s="71">
        <f>AB317</f>
        <v>1450</v>
      </c>
      <c r="AF317" s="64">
        <f t="shared" si="68"/>
        <v>0.11538461538461539</v>
      </c>
      <c r="AG317" s="64">
        <f t="shared" si="78"/>
        <v>1.7068038344634034E-2</v>
      </c>
      <c r="AH317" s="67"/>
      <c r="AI317" s="47" t="s">
        <v>54</v>
      </c>
      <c r="AJ317" s="47">
        <v>486</v>
      </c>
      <c r="AK317" s="47" t="s">
        <v>55</v>
      </c>
      <c r="AL317" s="47" t="s">
        <v>55</v>
      </c>
      <c r="AM317" s="47" t="s">
        <v>1656</v>
      </c>
      <c r="AN317" s="50"/>
      <c r="AO317" s="211">
        <f t="shared" si="69"/>
        <v>-1</v>
      </c>
      <c r="AP317" s="47" t="s">
        <v>852</v>
      </c>
      <c r="AQ317" s="94" t="s">
        <v>898</v>
      </c>
      <c r="AR317" s="47" t="s">
        <v>1657</v>
      </c>
    </row>
    <row r="318" spans="1:44" hidden="1">
      <c r="A318" s="47" t="s">
        <v>44</v>
      </c>
      <c r="B318" s="47" t="str">
        <f t="shared" si="65"/>
        <v>July</v>
      </c>
      <c r="C318" s="59">
        <v>45503</v>
      </c>
      <c r="D318" s="47" t="s">
        <v>45</v>
      </c>
      <c r="E318" s="47" t="s">
        <v>847</v>
      </c>
      <c r="F318" s="47" t="s">
        <v>848</v>
      </c>
      <c r="G318" s="47" t="s">
        <v>1658</v>
      </c>
      <c r="H318" s="47" t="s">
        <v>1659</v>
      </c>
      <c r="I318" s="47" t="s">
        <v>63</v>
      </c>
      <c r="J318" s="47" t="s">
        <v>51</v>
      </c>
      <c r="K318" s="48">
        <v>45138</v>
      </c>
      <c r="L318" s="48">
        <v>45138</v>
      </c>
      <c r="M318" s="48">
        <v>45503</v>
      </c>
      <c r="N318" s="47" t="s">
        <v>52</v>
      </c>
      <c r="O318" s="55" t="s">
        <v>53</v>
      </c>
      <c r="P318" s="62">
        <v>15704</v>
      </c>
      <c r="Q318" s="62">
        <v>1308.6666666666667</v>
      </c>
      <c r="R318" s="96">
        <v>17108</v>
      </c>
      <c r="S318" s="62">
        <f t="shared" si="72"/>
        <v>1425.6666666666667</v>
      </c>
      <c r="T318" s="62">
        <v>15540</v>
      </c>
      <c r="U318" s="62">
        <f t="shared" si="73"/>
        <v>1295</v>
      </c>
      <c r="V318" s="69">
        <v>15704</v>
      </c>
      <c r="W318" s="71">
        <v>1470</v>
      </c>
      <c r="X318" s="105">
        <f t="shared" si="74"/>
        <v>1420</v>
      </c>
      <c r="Y318" s="171">
        <f t="shared" si="75"/>
        <v>9.6525096525096526E-2</v>
      </c>
      <c r="Z318" s="64">
        <f t="shared" si="66"/>
        <v>0.13513513513513514</v>
      </c>
      <c r="AA318" s="64">
        <f t="shared" si="76"/>
        <v>3.1096563011456572E-2</v>
      </c>
      <c r="AB318" s="71">
        <f t="shared" si="79"/>
        <v>1470</v>
      </c>
      <c r="AC318" s="64">
        <f t="shared" si="67"/>
        <v>0.13513513513513514</v>
      </c>
      <c r="AD318" s="64">
        <f t="shared" si="77"/>
        <v>3.1096563011456572E-2</v>
      </c>
      <c r="AE318" s="71">
        <v>1450</v>
      </c>
      <c r="AF318" s="64">
        <f t="shared" si="68"/>
        <v>0.11969111969111969</v>
      </c>
      <c r="AG318" s="64">
        <f t="shared" si="78"/>
        <v>1.7068038344634034E-2</v>
      </c>
      <c r="AH318" s="67"/>
      <c r="AI318" s="47" t="s">
        <v>54</v>
      </c>
      <c r="AJ318" s="47">
        <v>493.8</v>
      </c>
      <c r="AK318" s="101" t="s">
        <v>55</v>
      </c>
      <c r="AL318" s="101" t="s">
        <v>55</v>
      </c>
      <c r="AM318" s="47" t="s">
        <v>1660</v>
      </c>
      <c r="AN318" s="50">
        <v>1430</v>
      </c>
      <c r="AO318" s="211">
        <f t="shared" si="69"/>
        <v>0.10424710424710425</v>
      </c>
      <c r="AP318" s="47" t="s">
        <v>852</v>
      </c>
      <c r="AQ318" s="111" t="s">
        <v>125</v>
      </c>
      <c r="AR318" s="53" t="s">
        <v>857</v>
      </c>
    </row>
    <row r="319" spans="1:44" hidden="1">
      <c r="A319" s="47" t="s">
        <v>44</v>
      </c>
      <c r="B319" s="47" t="str">
        <f t="shared" si="65"/>
        <v>July</v>
      </c>
      <c r="C319" s="59">
        <v>45477</v>
      </c>
      <c r="D319" s="47" t="s">
        <v>45</v>
      </c>
      <c r="E319" s="47" t="s">
        <v>847</v>
      </c>
      <c r="F319" s="47" t="s">
        <v>848</v>
      </c>
      <c r="G319" s="47" t="s">
        <v>1665</v>
      </c>
      <c r="H319" s="47" t="s">
        <v>1666</v>
      </c>
      <c r="I319" s="47" t="s">
        <v>63</v>
      </c>
      <c r="J319" s="47" t="s">
        <v>51</v>
      </c>
      <c r="K319" s="48">
        <v>45112</v>
      </c>
      <c r="L319" s="48">
        <v>45112</v>
      </c>
      <c r="M319" s="48">
        <v>45477</v>
      </c>
      <c r="N319" s="47" t="s">
        <v>52</v>
      </c>
      <c r="O319" s="55" t="s">
        <v>53</v>
      </c>
      <c r="P319" s="62">
        <v>15704</v>
      </c>
      <c r="Q319" s="62">
        <v>1308.6666666666667</v>
      </c>
      <c r="R319" s="96">
        <v>17108</v>
      </c>
      <c r="S319" s="62">
        <f t="shared" si="72"/>
        <v>1425.6666666666667</v>
      </c>
      <c r="T319" s="62">
        <v>15960</v>
      </c>
      <c r="U319" s="62">
        <f t="shared" si="73"/>
        <v>1330</v>
      </c>
      <c r="V319" s="69">
        <v>15704</v>
      </c>
      <c r="W319" s="71">
        <v>1485</v>
      </c>
      <c r="X319" s="105">
        <f t="shared" si="74"/>
        <v>1435</v>
      </c>
      <c r="Y319" s="171">
        <f t="shared" si="75"/>
        <v>7.8947368421052627E-2</v>
      </c>
      <c r="Z319" s="64">
        <f t="shared" si="66"/>
        <v>0.11654135338345864</v>
      </c>
      <c r="AA319" s="64">
        <f t="shared" si="76"/>
        <v>4.1617956511573476E-2</v>
      </c>
      <c r="AB319" s="71">
        <f t="shared" si="79"/>
        <v>1485</v>
      </c>
      <c r="AC319" s="64">
        <f t="shared" si="67"/>
        <v>0.11654135338345864</v>
      </c>
      <c r="AD319" s="64">
        <f t="shared" si="77"/>
        <v>4.1617956511573476E-2</v>
      </c>
      <c r="AE319" s="71">
        <v>1450</v>
      </c>
      <c r="AF319" s="64">
        <f t="shared" si="68"/>
        <v>9.0225563909774431E-2</v>
      </c>
      <c r="AG319" s="64">
        <f t="shared" si="78"/>
        <v>1.7068038344634034E-2</v>
      </c>
      <c r="AH319" s="67"/>
      <c r="AI319" s="47" t="s">
        <v>54</v>
      </c>
      <c r="AJ319" s="47">
        <v>493.8</v>
      </c>
      <c r="AK319" s="47" t="s">
        <v>55</v>
      </c>
      <c r="AL319" s="47" t="s">
        <v>55</v>
      </c>
      <c r="AM319" s="47" t="s">
        <v>1660</v>
      </c>
      <c r="AN319" s="50">
        <v>1485</v>
      </c>
      <c r="AO319" s="211">
        <f t="shared" si="69"/>
        <v>0.11654135338345864</v>
      </c>
      <c r="AP319" s="47" t="s">
        <v>852</v>
      </c>
      <c r="AQ319" s="111" t="s">
        <v>125</v>
      </c>
      <c r="AR319" s="47" t="s">
        <v>1667</v>
      </c>
    </row>
    <row r="320" spans="1:44" hidden="1">
      <c r="A320" s="47" t="s">
        <v>44</v>
      </c>
      <c r="B320" s="47" t="str">
        <f t="shared" si="65"/>
        <v>July</v>
      </c>
      <c r="C320" s="59">
        <v>45504</v>
      </c>
      <c r="D320" s="47" t="s">
        <v>45</v>
      </c>
      <c r="E320" s="47" t="s">
        <v>847</v>
      </c>
      <c r="F320" s="47" t="s">
        <v>848</v>
      </c>
      <c r="G320" s="47" t="s">
        <v>1668</v>
      </c>
      <c r="H320" s="47" t="s">
        <v>1669</v>
      </c>
      <c r="I320" s="47" t="s">
        <v>63</v>
      </c>
      <c r="J320" s="47" t="s">
        <v>51</v>
      </c>
      <c r="K320" s="48">
        <v>45322</v>
      </c>
      <c r="L320" s="48">
        <v>45322</v>
      </c>
      <c r="M320" s="48">
        <v>45503</v>
      </c>
      <c r="N320" s="47" t="s">
        <v>52</v>
      </c>
      <c r="O320" s="55" t="s">
        <v>53</v>
      </c>
      <c r="P320" s="62">
        <v>15912</v>
      </c>
      <c r="Q320" s="62">
        <v>1326</v>
      </c>
      <c r="R320" s="96">
        <v>17316</v>
      </c>
      <c r="S320" s="62">
        <f t="shared" si="72"/>
        <v>1443</v>
      </c>
      <c r="T320" s="62">
        <v>17940</v>
      </c>
      <c r="U320" s="62">
        <f t="shared" si="73"/>
        <v>1495</v>
      </c>
      <c r="V320" s="69">
        <v>16020</v>
      </c>
      <c r="W320" s="71">
        <v>1515</v>
      </c>
      <c r="X320" s="172">
        <f t="shared" si="74"/>
        <v>1465</v>
      </c>
      <c r="Y320" s="173">
        <f t="shared" si="75"/>
        <v>-2.0066889632107024E-2</v>
      </c>
      <c r="Z320" s="64">
        <f t="shared" si="66"/>
        <v>1.3377926421404682E-2</v>
      </c>
      <c r="AA320" s="64">
        <f t="shared" si="76"/>
        <v>4.9896049896049899E-2</v>
      </c>
      <c r="AB320" s="71">
        <f t="shared" si="79"/>
        <v>1515</v>
      </c>
      <c r="AC320" s="64">
        <f t="shared" si="67"/>
        <v>1.3377926421404682E-2</v>
      </c>
      <c r="AD320" s="64">
        <f t="shared" si="77"/>
        <v>4.9896049896049899E-2</v>
      </c>
      <c r="AE320" s="71">
        <f>AB320</f>
        <v>1515</v>
      </c>
      <c r="AF320" s="64">
        <f t="shared" si="68"/>
        <v>1.3377926421404682E-2</v>
      </c>
      <c r="AG320" s="64">
        <f t="shared" si="78"/>
        <v>4.9896049896049899E-2</v>
      </c>
      <c r="AH320" s="67"/>
      <c r="AI320" s="47" t="s">
        <v>54</v>
      </c>
      <c r="AJ320" s="47">
        <v>518.1</v>
      </c>
      <c r="AK320" s="101" t="s">
        <v>55</v>
      </c>
      <c r="AL320" s="101" t="s">
        <v>55</v>
      </c>
      <c r="AM320" s="47" t="s">
        <v>1280</v>
      </c>
      <c r="AN320" s="50">
        <v>1515</v>
      </c>
      <c r="AO320" s="211">
        <f t="shared" si="69"/>
        <v>1.3377926421404682E-2</v>
      </c>
      <c r="AP320" s="47" t="s">
        <v>852</v>
      </c>
      <c r="AQ320" s="111" t="s">
        <v>125</v>
      </c>
      <c r="AR320" s="52" t="s">
        <v>1670</v>
      </c>
    </row>
    <row r="321" spans="1:44" hidden="1">
      <c r="A321" s="47" t="s">
        <v>44</v>
      </c>
      <c r="B321" s="47" t="str">
        <f t="shared" si="65"/>
        <v>July</v>
      </c>
      <c r="C321" s="59">
        <v>45504</v>
      </c>
      <c r="D321" s="47" t="s">
        <v>45</v>
      </c>
      <c r="E321" s="47" t="s">
        <v>847</v>
      </c>
      <c r="F321" s="47" t="s">
        <v>848</v>
      </c>
      <c r="G321" s="47" t="s">
        <v>1678</v>
      </c>
      <c r="H321" s="47" t="s">
        <v>1679</v>
      </c>
      <c r="I321" s="47" t="s">
        <v>63</v>
      </c>
      <c r="J321" s="47" t="s">
        <v>51</v>
      </c>
      <c r="K321" s="48">
        <v>45139</v>
      </c>
      <c r="L321" s="48">
        <v>45139</v>
      </c>
      <c r="M321" s="48">
        <v>45504</v>
      </c>
      <c r="N321" s="47" t="s">
        <v>52</v>
      </c>
      <c r="O321" s="55" t="s">
        <v>53</v>
      </c>
      <c r="P321" s="62">
        <v>15600</v>
      </c>
      <c r="Q321" s="62">
        <v>1300</v>
      </c>
      <c r="R321" s="96">
        <v>17108</v>
      </c>
      <c r="S321" s="62">
        <f t="shared" si="72"/>
        <v>1425.6666666666667</v>
      </c>
      <c r="T321" s="62">
        <v>15600</v>
      </c>
      <c r="U321" s="62">
        <f t="shared" si="73"/>
        <v>1300</v>
      </c>
      <c r="V321" s="69">
        <v>15600</v>
      </c>
      <c r="W321" s="71">
        <v>1415</v>
      </c>
      <c r="X321" s="105">
        <f t="shared" si="74"/>
        <v>1365</v>
      </c>
      <c r="Y321" s="171">
        <f t="shared" si="75"/>
        <v>0.05</v>
      </c>
      <c r="Z321" s="64">
        <f t="shared" si="66"/>
        <v>8.8461538461538466E-2</v>
      </c>
      <c r="AA321" s="64">
        <f t="shared" si="76"/>
        <v>-7.4818798223054072E-3</v>
      </c>
      <c r="AB321" s="71">
        <f t="shared" si="79"/>
        <v>1415</v>
      </c>
      <c r="AC321" s="64">
        <f t="shared" si="67"/>
        <v>8.8461538461538466E-2</v>
      </c>
      <c r="AD321" s="64">
        <f t="shared" si="77"/>
        <v>-7.4818798223054072E-3</v>
      </c>
      <c r="AE321" s="71">
        <f>AB321-20</f>
        <v>1395</v>
      </c>
      <c r="AF321" s="64">
        <f t="shared" si="68"/>
        <v>7.3076923076923081E-2</v>
      </c>
      <c r="AG321" s="64">
        <f t="shared" si="78"/>
        <v>-2.1510404489127947E-2</v>
      </c>
      <c r="AH321" s="67"/>
      <c r="AI321" s="47" t="s">
        <v>54</v>
      </c>
      <c r="AJ321" s="47">
        <v>499.7</v>
      </c>
      <c r="AK321" s="101" t="s">
        <v>55</v>
      </c>
      <c r="AL321" s="101" t="s">
        <v>55</v>
      </c>
      <c r="AM321" s="47" t="s">
        <v>1624</v>
      </c>
      <c r="AN321" s="50"/>
      <c r="AO321" s="211">
        <f t="shared" si="69"/>
        <v>-1</v>
      </c>
      <c r="AP321" s="47" t="s">
        <v>852</v>
      </c>
      <c r="AQ321" s="94" t="s">
        <v>891</v>
      </c>
      <c r="AR321" s="47" t="s">
        <v>1066</v>
      </c>
    </row>
    <row r="322" spans="1:44" hidden="1">
      <c r="A322" s="47" t="s">
        <v>44</v>
      </c>
      <c r="B322" s="47" t="str">
        <f t="shared" ref="B322:B385" si="80">TEXT(C322,"mmmm")</f>
        <v>July</v>
      </c>
      <c r="C322" s="59">
        <v>45493</v>
      </c>
      <c r="D322" s="47" t="s">
        <v>45</v>
      </c>
      <c r="E322" s="47" t="s">
        <v>847</v>
      </c>
      <c r="F322" s="47" t="s">
        <v>848</v>
      </c>
      <c r="G322" s="47" t="s">
        <v>1699</v>
      </c>
      <c r="H322" s="47" t="s">
        <v>1700</v>
      </c>
      <c r="I322" s="47" t="s">
        <v>63</v>
      </c>
      <c r="J322" s="47" t="s">
        <v>51</v>
      </c>
      <c r="K322" s="48">
        <v>45128</v>
      </c>
      <c r="L322" s="48">
        <v>45128</v>
      </c>
      <c r="M322" s="48">
        <v>45493</v>
      </c>
      <c r="N322" s="47" t="s">
        <v>52</v>
      </c>
      <c r="O322" s="55" t="s">
        <v>53</v>
      </c>
      <c r="P322" s="62">
        <v>15704</v>
      </c>
      <c r="Q322" s="62">
        <v>1308.6666666666667</v>
      </c>
      <c r="R322" s="96">
        <v>17108</v>
      </c>
      <c r="S322" s="62">
        <f t="shared" si="72"/>
        <v>1425.6666666666667</v>
      </c>
      <c r="T322" s="62">
        <v>15600</v>
      </c>
      <c r="U322" s="62">
        <f t="shared" si="73"/>
        <v>1300</v>
      </c>
      <c r="V322" s="69">
        <v>15704</v>
      </c>
      <c r="W322" s="71">
        <v>1460</v>
      </c>
      <c r="X322" s="105">
        <f t="shared" si="74"/>
        <v>1410</v>
      </c>
      <c r="Y322" s="171">
        <f t="shared" si="75"/>
        <v>8.461538461538462E-2</v>
      </c>
      <c r="Z322" s="64">
        <f t="shared" ref="Z322:Z385" si="81">(W322-U322)/U322</f>
        <v>0.12307692307692308</v>
      </c>
      <c r="AA322" s="64">
        <f t="shared" si="76"/>
        <v>2.4082300678045305E-2</v>
      </c>
      <c r="AB322" s="71">
        <f t="shared" si="79"/>
        <v>1460</v>
      </c>
      <c r="AC322" s="64">
        <f t="shared" ref="AC322:AC385" si="82">(AB322-U322)/U322</f>
        <v>0.12307692307692308</v>
      </c>
      <c r="AD322" s="64">
        <f t="shared" si="77"/>
        <v>2.4082300678045305E-2</v>
      </c>
      <c r="AE322" s="71">
        <f>AB322-20</f>
        <v>1440</v>
      </c>
      <c r="AF322" s="64">
        <f t="shared" ref="AF322:AF385" si="83">(AE322-U322)/U322</f>
        <v>0.1076923076923077</v>
      </c>
      <c r="AG322" s="64">
        <f t="shared" si="78"/>
        <v>1.0053776011222766E-2</v>
      </c>
      <c r="AH322" s="67"/>
      <c r="AI322" s="47" t="s">
        <v>54</v>
      </c>
      <c r="AJ322" s="47">
        <v>518.70000000000005</v>
      </c>
      <c r="AK322" s="101" t="s">
        <v>55</v>
      </c>
      <c r="AL322" s="101" t="s">
        <v>55</v>
      </c>
      <c r="AM322" s="47" t="s">
        <v>1267</v>
      </c>
      <c r="AN322" s="50">
        <v>1460</v>
      </c>
      <c r="AO322" s="211">
        <f t="shared" ref="AO322:AO385" si="84">SUM(AN322-U322)/U322</f>
        <v>0.12307692307692308</v>
      </c>
      <c r="AP322" s="47" t="s">
        <v>852</v>
      </c>
      <c r="AQ322" s="223" t="s">
        <v>125</v>
      </c>
      <c r="AR322" s="47" t="s">
        <v>1199</v>
      </c>
    </row>
    <row r="323" spans="1:44" hidden="1">
      <c r="A323" s="47" t="s">
        <v>44</v>
      </c>
      <c r="B323" s="47" t="str">
        <f t="shared" si="80"/>
        <v>July</v>
      </c>
      <c r="C323" s="59">
        <v>45476</v>
      </c>
      <c r="D323" s="47" t="s">
        <v>45</v>
      </c>
      <c r="E323" s="47" t="s">
        <v>847</v>
      </c>
      <c r="F323" s="47" t="s">
        <v>848</v>
      </c>
      <c r="G323" s="47" t="s">
        <v>1710</v>
      </c>
      <c r="H323" s="47" t="s">
        <v>1711</v>
      </c>
      <c r="I323" s="47" t="s">
        <v>63</v>
      </c>
      <c r="J323" s="47" t="s">
        <v>51</v>
      </c>
      <c r="K323" s="48">
        <v>45111</v>
      </c>
      <c r="L323" s="48">
        <v>45111</v>
      </c>
      <c r="M323" s="48">
        <v>45476</v>
      </c>
      <c r="N323" s="47" t="s">
        <v>52</v>
      </c>
      <c r="O323" s="55" t="s">
        <v>53</v>
      </c>
      <c r="P323" s="62">
        <v>15912</v>
      </c>
      <c r="Q323" s="62">
        <v>1326</v>
      </c>
      <c r="R323" s="96">
        <v>17316</v>
      </c>
      <c r="S323" s="62">
        <f t="shared" si="72"/>
        <v>1443</v>
      </c>
      <c r="T323" s="62">
        <v>15600</v>
      </c>
      <c r="U323" s="62">
        <f t="shared" si="73"/>
        <v>1300</v>
      </c>
      <c r="V323" s="69">
        <v>15912</v>
      </c>
      <c r="W323" s="71">
        <v>1460</v>
      </c>
      <c r="X323" s="105">
        <f t="shared" si="74"/>
        <v>1410</v>
      </c>
      <c r="Y323" s="171">
        <f t="shared" si="75"/>
        <v>8.461538461538462E-2</v>
      </c>
      <c r="Z323" s="64">
        <f t="shared" si="81"/>
        <v>0.12307692307692308</v>
      </c>
      <c r="AA323" s="64">
        <f t="shared" si="76"/>
        <v>1.1781011781011781E-2</v>
      </c>
      <c r="AB323" s="71">
        <f t="shared" si="79"/>
        <v>1460</v>
      </c>
      <c r="AC323" s="64">
        <f t="shared" si="82"/>
        <v>0.12307692307692308</v>
      </c>
      <c r="AD323" s="64">
        <f t="shared" si="77"/>
        <v>1.1781011781011781E-2</v>
      </c>
      <c r="AE323" s="71">
        <v>1450</v>
      </c>
      <c r="AF323" s="64">
        <f t="shared" si="83"/>
        <v>0.11538461538461539</v>
      </c>
      <c r="AG323" s="64">
        <f t="shared" si="78"/>
        <v>4.8510048510048507E-3</v>
      </c>
      <c r="AH323" s="67"/>
      <c r="AI323" s="47" t="s">
        <v>54</v>
      </c>
      <c r="AJ323" s="47">
        <v>507.5</v>
      </c>
      <c r="AK323" s="47" t="s">
        <v>55</v>
      </c>
      <c r="AL323" s="47" t="s">
        <v>55</v>
      </c>
      <c r="AM323" s="47" t="s">
        <v>1712</v>
      </c>
      <c r="AN323" s="50"/>
      <c r="AO323" s="211">
        <f t="shared" si="84"/>
        <v>-1</v>
      </c>
      <c r="AP323" s="47" t="s">
        <v>852</v>
      </c>
      <c r="AQ323" s="94" t="s">
        <v>1713</v>
      </c>
      <c r="AR323" s="47"/>
    </row>
    <row r="324" spans="1:44">
      <c r="A324" s="47" t="s">
        <v>74</v>
      </c>
      <c r="B324" s="47" t="str">
        <f t="shared" si="80"/>
        <v>August</v>
      </c>
      <c r="C324" s="59">
        <v>45507</v>
      </c>
      <c r="D324" s="47" t="s">
        <v>45</v>
      </c>
      <c r="E324" s="47" t="s">
        <v>847</v>
      </c>
      <c r="F324" s="47" t="s">
        <v>848</v>
      </c>
      <c r="G324" s="47" t="s">
        <v>1714</v>
      </c>
      <c r="H324" s="47" t="s">
        <v>1715</v>
      </c>
      <c r="I324" s="47" t="s">
        <v>63</v>
      </c>
      <c r="J324" s="47" t="s">
        <v>51</v>
      </c>
      <c r="K324" s="48">
        <v>44961</v>
      </c>
      <c r="L324" s="48">
        <v>45326</v>
      </c>
      <c r="M324" s="48">
        <v>45507</v>
      </c>
      <c r="N324" s="47" t="s">
        <v>64</v>
      </c>
      <c r="O324" s="55" t="s">
        <v>53</v>
      </c>
      <c r="P324" s="62">
        <v>20696</v>
      </c>
      <c r="Q324" s="62">
        <v>1724.6666666666667</v>
      </c>
      <c r="R324" s="96">
        <v>21476</v>
      </c>
      <c r="S324" s="62">
        <f t="shared" si="72"/>
        <v>1789.6666666666667</v>
      </c>
      <c r="T324" s="62">
        <v>21180</v>
      </c>
      <c r="U324" s="62">
        <f t="shared" si="73"/>
        <v>1765</v>
      </c>
      <c r="V324" s="69">
        <v>19200</v>
      </c>
      <c r="W324" s="71">
        <v>1840</v>
      </c>
      <c r="X324" s="71"/>
      <c r="Y324" s="71"/>
      <c r="Z324" s="64">
        <f t="shared" si="81"/>
        <v>4.2492917847025496E-2</v>
      </c>
      <c r="AA324" s="64">
        <f t="shared" si="76"/>
        <v>2.8124417954926387E-2</v>
      </c>
      <c r="AB324" s="71">
        <f t="shared" si="79"/>
        <v>1840</v>
      </c>
      <c r="AC324" s="64">
        <f t="shared" si="82"/>
        <v>4.2492917847025496E-2</v>
      </c>
      <c r="AD324" s="64">
        <f t="shared" si="77"/>
        <v>2.8124417954926387E-2</v>
      </c>
      <c r="AE324" s="71">
        <f>AB324-20</f>
        <v>1820</v>
      </c>
      <c r="AF324" s="64">
        <f t="shared" si="83"/>
        <v>3.1161473087818695E-2</v>
      </c>
      <c r="AG324" s="64">
        <f t="shared" si="78"/>
        <v>1.694915254237284E-2</v>
      </c>
      <c r="AH324" s="67"/>
      <c r="AI324" s="47" t="s">
        <v>54</v>
      </c>
      <c r="AJ324" s="47">
        <v>750.8</v>
      </c>
      <c r="AK324" s="47" t="s">
        <v>65</v>
      </c>
      <c r="AL324" s="47" t="s">
        <v>65</v>
      </c>
      <c r="AM324" s="47" t="s">
        <v>1716</v>
      </c>
      <c r="AN324" s="50"/>
      <c r="AO324" s="211">
        <f t="shared" si="84"/>
        <v>-1</v>
      </c>
      <c r="AP324" s="47" t="s">
        <v>852</v>
      </c>
      <c r="AQ324" s="91" t="s">
        <v>1074</v>
      </c>
      <c r="AR324" s="47" t="s">
        <v>1717</v>
      </c>
    </row>
    <row r="325" spans="1:44" hidden="1">
      <c r="A325" s="47" t="s">
        <v>44</v>
      </c>
      <c r="B325" s="47" t="str">
        <f t="shared" si="80"/>
        <v>August</v>
      </c>
      <c r="C325" s="59">
        <v>45508</v>
      </c>
      <c r="D325" s="47" t="s">
        <v>45</v>
      </c>
      <c r="E325" s="47" t="s">
        <v>847</v>
      </c>
      <c r="F325" s="47" t="s">
        <v>848</v>
      </c>
      <c r="G325" s="47" t="s">
        <v>1733</v>
      </c>
      <c r="H325" s="47" t="s">
        <v>1734</v>
      </c>
      <c r="I325" s="47" t="s">
        <v>63</v>
      </c>
      <c r="J325" s="47" t="s">
        <v>51</v>
      </c>
      <c r="K325" s="48">
        <v>45143</v>
      </c>
      <c r="L325" s="48">
        <v>45143</v>
      </c>
      <c r="M325" s="48">
        <v>45508</v>
      </c>
      <c r="N325" s="47" t="s">
        <v>52</v>
      </c>
      <c r="O325" s="55" t="s">
        <v>53</v>
      </c>
      <c r="P325" s="62">
        <v>15912</v>
      </c>
      <c r="Q325" s="62">
        <v>1326</v>
      </c>
      <c r="R325" s="96">
        <v>17316</v>
      </c>
      <c r="S325" s="62">
        <f t="shared" si="72"/>
        <v>1443</v>
      </c>
      <c r="T325" s="62">
        <v>15840</v>
      </c>
      <c r="U325" s="62">
        <f t="shared" si="73"/>
        <v>1320</v>
      </c>
      <c r="V325" s="69">
        <v>15840</v>
      </c>
      <c r="W325" s="71">
        <v>1450</v>
      </c>
      <c r="X325" s="105">
        <f t="shared" ref="X325:X331" si="85">W325-50</f>
        <v>1400</v>
      </c>
      <c r="Y325" s="171">
        <f t="shared" ref="Y325:Y331" si="86">(X325-U325)/U325</f>
        <v>6.0606060606060608E-2</v>
      </c>
      <c r="Z325" s="64">
        <f t="shared" si="81"/>
        <v>9.8484848484848481E-2</v>
      </c>
      <c r="AA325" s="64">
        <f t="shared" si="76"/>
        <v>4.8510048510048507E-3</v>
      </c>
      <c r="AB325" s="71">
        <f t="shared" si="79"/>
        <v>1450</v>
      </c>
      <c r="AC325" s="64">
        <f t="shared" si="82"/>
        <v>9.8484848484848481E-2</v>
      </c>
      <c r="AD325" s="64">
        <f t="shared" si="77"/>
        <v>4.8510048510048507E-3</v>
      </c>
      <c r="AE325" s="71">
        <f>AB325-20</f>
        <v>1430</v>
      </c>
      <c r="AF325" s="64">
        <f t="shared" si="83"/>
        <v>8.3333333333333329E-2</v>
      </c>
      <c r="AG325" s="64">
        <f t="shared" si="78"/>
        <v>-9.0090090090090089E-3</v>
      </c>
      <c r="AH325" s="67"/>
      <c r="AI325" s="47" t="s">
        <v>54</v>
      </c>
      <c r="AJ325" s="47">
        <v>506.8</v>
      </c>
      <c r="AK325" s="47" t="s">
        <v>55</v>
      </c>
      <c r="AL325" s="47" t="s">
        <v>55</v>
      </c>
      <c r="AM325" s="47" t="s">
        <v>863</v>
      </c>
      <c r="AN325" s="50">
        <v>1450</v>
      </c>
      <c r="AO325" s="211">
        <f t="shared" si="84"/>
        <v>9.8484848484848481E-2</v>
      </c>
      <c r="AP325" s="47" t="s">
        <v>852</v>
      </c>
      <c r="AQ325" s="91" t="s">
        <v>1074</v>
      </c>
      <c r="AR325" s="47" t="s">
        <v>1720</v>
      </c>
    </row>
    <row r="326" spans="1:44" hidden="1">
      <c r="A326" s="47" t="s">
        <v>44</v>
      </c>
      <c r="B326" s="47" t="str">
        <f t="shared" si="80"/>
        <v>August</v>
      </c>
      <c r="C326" s="221">
        <v>45510</v>
      </c>
      <c r="D326" s="47" t="s">
        <v>45</v>
      </c>
      <c r="E326" s="47" t="s">
        <v>847</v>
      </c>
      <c r="F326" s="47" t="s">
        <v>848</v>
      </c>
      <c r="G326" s="47" t="s">
        <v>1748</v>
      </c>
      <c r="H326" s="47" t="s">
        <v>1749</v>
      </c>
      <c r="I326" s="47" t="s">
        <v>63</v>
      </c>
      <c r="J326" s="47" t="s">
        <v>51</v>
      </c>
      <c r="K326" s="48">
        <v>45145</v>
      </c>
      <c r="L326" s="48">
        <v>45145</v>
      </c>
      <c r="M326" s="48">
        <v>45510</v>
      </c>
      <c r="N326" s="47" t="s">
        <v>52</v>
      </c>
      <c r="O326" s="55" t="s">
        <v>53</v>
      </c>
      <c r="P326" s="62">
        <v>15600</v>
      </c>
      <c r="Q326" s="62">
        <v>1300</v>
      </c>
      <c r="R326" s="96">
        <v>17108</v>
      </c>
      <c r="S326" s="62">
        <f t="shared" si="72"/>
        <v>1425.6666666666667</v>
      </c>
      <c r="T326" s="62">
        <v>15840</v>
      </c>
      <c r="U326" s="62">
        <f t="shared" si="73"/>
        <v>1320</v>
      </c>
      <c r="V326" s="69">
        <v>15600</v>
      </c>
      <c r="W326" s="71">
        <v>1460</v>
      </c>
      <c r="X326" s="105">
        <f t="shared" si="85"/>
        <v>1410</v>
      </c>
      <c r="Y326" s="171">
        <f t="shared" si="86"/>
        <v>6.8181818181818177E-2</v>
      </c>
      <c r="Z326" s="64">
        <f t="shared" si="81"/>
        <v>0.10606060606060606</v>
      </c>
      <c r="AA326" s="64">
        <f t="shared" si="76"/>
        <v>2.4082300678045305E-2</v>
      </c>
      <c r="AB326" s="71">
        <f t="shared" ref="AB326:AB342" si="87">W326</f>
        <v>1460</v>
      </c>
      <c r="AC326" s="64">
        <f t="shared" si="82"/>
        <v>0.10606060606060606</v>
      </c>
      <c r="AD326" s="64">
        <f t="shared" si="77"/>
        <v>2.4082300678045305E-2</v>
      </c>
      <c r="AE326" s="71">
        <v>1440</v>
      </c>
      <c r="AF326" s="64">
        <f t="shared" si="83"/>
        <v>9.0909090909090912E-2</v>
      </c>
      <c r="AG326" s="64">
        <f t="shared" si="78"/>
        <v>1.0053776011222766E-2</v>
      </c>
      <c r="AH326" s="67"/>
      <c r="AI326" s="47" t="s">
        <v>54</v>
      </c>
      <c r="AJ326" s="47">
        <v>490.6</v>
      </c>
      <c r="AK326" s="47" t="s">
        <v>55</v>
      </c>
      <c r="AL326" s="47" t="s">
        <v>55</v>
      </c>
      <c r="AM326" s="47" t="s">
        <v>1065</v>
      </c>
      <c r="AN326" s="50"/>
      <c r="AO326" s="211">
        <f t="shared" si="84"/>
        <v>-1</v>
      </c>
      <c r="AP326" s="47" t="s">
        <v>852</v>
      </c>
      <c r="AQ326" s="91" t="s">
        <v>1074</v>
      </c>
      <c r="AR326" s="47" t="s">
        <v>1750</v>
      </c>
    </row>
    <row r="327" spans="1:44" hidden="1">
      <c r="A327" s="47" t="s">
        <v>44</v>
      </c>
      <c r="B327" s="47" t="str">
        <f t="shared" si="80"/>
        <v>August</v>
      </c>
      <c r="C327" s="59">
        <v>45510</v>
      </c>
      <c r="D327" s="47" t="s">
        <v>45</v>
      </c>
      <c r="E327" s="47" t="s">
        <v>847</v>
      </c>
      <c r="F327" s="47" t="s">
        <v>848</v>
      </c>
      <c r="G327" s="47" t="s">
        <v>1754</v>
      </c>
      <c r="H327" s="47" t="s">
        <v>1755</v>
      </c>
      <c r="I327" s="47" t="s">
        <v>1756</v>
      </c>
      <c r="J327" s="47" t="s">
        <v>51</v>
      </c>
      <c r="K327" s="48">
        <v>45145</v>
      </c>
      <c r="L327" s="48">
        <v>45145</v>
      </c>
      <c r="M327" s="48">
        <v>45510</v>
      </c>
      <c r="N327" s="47" t="s">
        <v>52</v>
      </c>
      <c r="O327" s="55" t="s">
        <v>53</v>
      </c>
      <c r="P327" s="62">
        <v>15288</v>
      </c>
      <c r="Q327" s="62">
        <v>1274</v>
      </c>
      <c r="R327" s="96">
        <v>16848</v>
      </c>
      <c r="S327" s="62">
        <f t="shared" si="72"/>
        <v>1404</v>
      </c>
      <c r="T327" s="62">
        <v>15600</v>
      </c>
      <c r="U327" s="62">
        <f t="shared" si="73"/>
        <v>1300</v>
      </c>
      <c r="V327" s="69">
        <v>15288</v>
      </c>
      <c r="W327" s="71">
        <v>1440</v>
      </c>
      <c r="X327" s="105">
        <f t="shared" si="85"/>
        <v>1390</v>
      </c>
      <c r="Y327" s="171">
        <f t="shared" si="86"/>
        <v>6.9230769230769235E-2</v>
      </c>
      <c r="Z327" s="64">
        <f t="shared" si="81"/>
        <v>0.1076923076923077</v>
      </c>
      <c r="AA327" s="64">
        <f t="shared" si="76"/>
        <v>2.564102564102564E-2</v>
      </c>
      <c r="AB327" s="71">
        <f t="shared" si="87"/>
        <v>1440</v>
      </c>
      <c r="AC327" s="64">
        <f t="shared" si="82"/>
        <v>0.1076923076923077</v>
      </c>
      <c r="AD327" s="64">
        <f t="shared" si="77"/>
        <v>2.564102564102564E-2</v>
      </c>
      <c r="AE327" s="71">
        <v>1430</v>
      </c>
      <c r="AF327" s="64">
        <f t="shared" si="83"/>
        <v>0.1</v>
      </c>
      <c r="AG327" s="64">
        <f t="shared" si="78"/>
        <v>1.8518518518518517E-2</v>
      </c>
      <c r="AH327" s="67"/>
      <c r="AI327" s="47" t="s">
        <v>54</v>
      </c>
      <c r="AJ327" s="47">
        <v>437.2</v>
      </c>
      <c r="AK327" s="47" t="s">
        <v>55</v>
      </c>
      <c r="AL327" s="47" t="s">
        <v>55</v>
      </c>
      <c r="AM327" s="47" t="s">
        <v>1078</v>
      </c>
      <c r="AN327" s="50"/>
      <c r="AO327" s="211">
        <f t="shared" si="84"/>
        <v>-1</v>
      </c>
      <c r="AP327" s="47" t="s">
        <v>852</v>
      </c>
      <c r="AQ327" s="91" t="s">
        <v>1074</v>
      </c>
      <c r="AR327" s="77" t="s">
        <v>1757</v>
      </c>
    </row>
    <row r="328" spans="1:44" hidden="1">
      <c r="A328" s="47" t="s">
        <v>44</v>
      </c>
      <c r="B328" s="47" t="str">
        <f t="shared" si="80"/>
        <v>August</v>
      </c>
      <c r="C328" s="59">
        <v>45511</v>
      </c>
      <c r="D328" s="47" t="s">
        <v>45</v>
      </c>
      <c r="E328" s="47" t="s">
        <v>847</v>
      </c>
      <c r="F328" s="47" t="s">
        <v>848</v>
      </c>
      <c r="G328" s="47" t="s">
        <v>1875</v>
      </c>
      <c r="H328" s="47" t="s">
        <v>1876</v>
      </c>
      <c r="I328" s="47" t="s">
        <v>63</v>
      </c>
      <c r="J328" s="47" t="s">
        <v>51</v>
      </c>
      <c r="K328" s="48">
        <v>45146</v>
      </c>
      <c r="L328" s="48">
        <v>45146</v>
      </c>
      <c r="M328" s="48">
        <v>45511</v>
      </c>
      <c r="N328" s="47" t="s">
        <v>52</v>
      </c>
      <c r="O328" s="55" t="s">
        <v>53</v>
      </c>
      <c r="P328" s="62">
        <v>15756</v>
      </c>
      <c r="Q328" s="62">
        <v>1313</v>
      </c>
      <c r="R328" s="96">
        <v>17212</v>
      </c>
      <c r="S328" s="62">
        <f t="shared" si="72"/>
        <v>1434.3333333333333</v>
      </c>
      <c r="T328" s="62">
        <v>15120</v>
      </c>
      <c r="U328" s="62">
        <f t="shared" si="73"/>
        <v>1260</v>
      </c>
      <c r="V328" s="69">
        <v>14820</v>
      </c>
      <c r="W328" s="71">
        <v>1410</v>
      </c>
      <c r="X328" s="105">
        <f t="shared" si="85"/>
        <v>1360</v>
      </c>
      <c r="Y328" s="171">
        <f t="shared" si="86"/>
        <v>7.9365079365079361E-2</v>
      </c>
      <c r="Z328" s="64">
        <f t="shared" si="81"/>
        <v>0.11904761904761904</v>
      </c>
      <c r="AA328" s="64">
        <f t="shared" si="76"/>
        <v>-1.6964908203578846E-2</v>
      </c>
      <c r="AB328" s="71">
        <f t="shared" si="87"/>
        <v>1410</v>
      </c>
      <c r="AC328" s="64">
        <f t="shared" si="82"/>
        <v>0.11904761904761904</v>
      </c>
      <c r="AD328" s="64">
        <f t="shared" si="77"/>
        <v>-1.6964908203578846E-2</v>
      </c>
      <c r="AE328" s="71">
        <f>AB328-20</f>
        <v>1390</v>
      </c>
      <c r="AF328" s="64">
        <f t="shared" si="83"/>
        <v>0.10317460317460317</v>
      </c>
      <c r="AG328" s="64">
        <f t="shared" si="78"/>
        <v>-3.0908668370903968E-2</v>
      </c>
      <c r="AH328" s="67"/>
      <c r="AI328" s="47" t="s">
        <v>54</v>
      </c>
      <c r="AJ328" s="47">
        <v>508</v>
      </c>
      <c r="AK328" s="47" t="s">
        <v>55</v>
      </c>
      <c r="AL328" s="47" t="s">
        <v>55</v>
      </c>
      <c r="AM328" s="47" t="s">
        <v>1877</v>
      </c>
      <c r="AN328" s="50"/>
      <c r="AO328" s="211">
        <f t="shared" si="84"/>
        <v>-1</v>
      </c>
      <c r="AP328" s="47" t="s">
        <v>852</v>
      </c>
      <c r="AQ328" s="94" t="s">
        <v>891</v>
      </c>
      <c r="AR328" s="47" t="s">
        <v>1580</v>
      </c>
    </row>
    <row r="329" spans="1:44" hidden="1">
      <c r="A329" s="47" t="s">
        <v>74</v>
      </c>
      <c r="B329" s="47" t="str">
        <f t="shared" si="80"/>
        <v>August</v>
      </c>
      <c r="C329" s="59">
        <v>45512</v>
      </c>
      <c r="D329" s="47" t="s">
        <v>45</v>
      </c>
      <c r="E329" s="47" t="s">
        <v>847</v>
      </c>
      <c r="F329" s="47" t="s">
        <v>848</v>
      </c>
      <c r="G329" s="47" t="s">
        <v>1884</v>
      </c>
      <c r="H329" s="47" t="s">
        <v>1885</v>
      </c>
      <c r="I329" s="47" t="s">
        <v>63</v>
      </c>
      <c r="J329" s="47" t="s">
        <v>51</v>
      </c>
      <c r="K329" s="48">
        <v>45331</v>
      </c>
      <c r="L329" s="48">
        <v>45331</v>
      </c>
      <c r="M329" s="48">
        <v>45512</v>
      </c>
      <c r="N329" s="47" t="s">
        <v>52</v>
      </c>
      <c r="O329" s="55" t="s">
        <v>53</v>
      </c>
      <c r="P329" s="62">
        <v>15912</v>
      </c>
      <c r="Q329" s="62">
        <v>1326</v>
      </c>
      <c r="R329" s="96">
        <v>17316</v>
      </c>
      <c r="S329" s="62">
        <f t="shared" si="72"/>
        <v>1443</v>
      </c>
      <c r="T329" s="62">
        <v>17940</v>
      </c>
      <c r="U329" s="62">
        <f t="shared" si="73"/>
        <v>1495</v>
      </c>
      <c r="V329" s="69">
        <v>0</v>
      </c>
      <c r="W329" s="71">
        <v>1520</v>
      </c>
      <c r="X329" s="172">
        <f t="shared" si="85"/>
        <v>1470</v>
      </c>
      <c r="Y329" s="173">
        <f t="shared" si="86"/>
        <v>-1.6722408026755852E-2</v>
      </c>
      <c r="Z329" s="64">
        <f t="shared" si="81"/>
        <v>1.6722408026755852E-2</v>
      </c>
      <c r="AA329" s="64">
        <f t="shared" si="76"/>
        <v>5.3361053361053359E-2</v>
      </c>
      <c r="AB329" s="71">
        <f t="shared" si="87"/>
        <v>1520</v>
      </c>
      <c r="AC329" s="64">
        <f t="shared" si="82"/>
        <v>1.6722408026755852E-2</v>
      </c>
      <c r="AD329" s="64">
        <f t="shared" si="77"/>
        <v>5.3361053361053359E-2</v>
      </c>
      <c r="AE329" s="71">
        <f>AB329</f>
        <v>1520</v>
      </c>
      <c r="AF329" s="64">
        <f t="shared" si="83"/>
        <v>1.6722408026755852E-2</v>
      </c>
      <c r="AG329" s="64">
        <f t="shared" si="78"/>
        <v>5.3361053361053359E-2</v>
      </c>
      <c r="AH329" s="67"/>
      <c r="AI329" s="47" t="s">
        <v>54</v>
      </c>
      <c r="AJ329" s="47">
        <v>522.70000000000005</v>
      </c>
      <c r="AK329" s="47" t="s">
        <v>55</v>
      </c>
      <c r="AL329" s="47" t="s">
        <v>55</v>
      </c>
      <c r="AM329" s="47" t="s">
        <v>1418</v>
      </c>
      <c r="AN329" s="50"/>
      <c r="AO329" s="211">
        <f t="shared" si="84"/>
        <v>-1</v>
      </c>
      <c r="AP329" s="47" t="s">
        <v>852</v>
      </c>
      <c r="AQ329" s="91" t="s">
        <v>1074</v>
      </c>
      <c r="AR329" s="47" t="s">
        <v>1886</v>
      </c>
    </row>
    <row r="330" spans="1:44">
      <c r="A330" s="47" t="s">
        <v>74</v>
      </c>
      <c r="B330" s="47" t="str">
        <f t="shared" si="80"/>
        <v>August</v>
      </c>
      <c r="C330" s="59">
        <v>45514</v>
      </c>
      <c r="D330" s="47" t="s">
        <v>45</v>
      </c>
      <c r="E330" s="47" t="s">
        <v>847</v>
      </c>
      <c r="F330" s="47" t="s">
        <v>848</v>
      </c>
      <c r="G330" s="47" t="s">
        <v>2075</v>
      </c>
      <c r="H330" s="47" t="s">
        <v>2076</v>
      </c>
      <c r="I330" s="47" t="s">
        <v>63</v>
      </c>
      <c r="J330" s="47" t="s">
        <v>51</v>
      </c>
      <c r="K330" s="48">
        <v>44968</v>
      </c>
      <c r="L330" s="48">
        <v>45333</v>
      </c>
      <c r="M330" s="48">
        <v>45514</v>
      </c>
      <c r="N330" s="47" t="s">
        <v>64</v>
      </c>
      <c r="O330" s="55" t="s">
        <v>53</v>
      </c>
      <c r="P330" s="62">
        <v>15860</v>
      </c>
      <c r="Q330" s="62">
        <v>1321.6666666666667</v>
      </c>
      <c r="R330" s="96">
        <v>17316</v>
      </c>
      <c r="S330" s="62">
        <f t="shared" si="72"/>
        <v>1443</v>
      </c>
      <c r="T330" s="62">
        <v>16800</v>
      </c>
      <c r="U330" s="62">
        <f t="shared" si="73"/>
        <v>1400</v>
      </c>
      <c r="V330" s="69">
        <v>15300</v>
      </c>
      <c r="W330" s="71">
        <v>1450</v>
      </c>
      <c r="X330" s="172">
        <f t="shared" si="85"/>
        <v>1400</v>
      </c>
      <c r="Y330" s="176">
        <f t="shared" si="86"/>
        <v>0</v>
      </c>
      <c r="Z330" s="64">
        <f t="shared" si="81"/>
        <v>3.5714285714285712E-2</v>
      </c>
      <c r="AA330" s="64">
        <f t="shared" si="76"/>
        <v>4.8510048510048507E-3</v>
      </c>
      <c r="AB330" s="71">
        <f t="shared" si="87"/>
        <v>1450</v>
      </c>
      <c r="AC330" s="64">
        <f t="shared" si="82"/>
        <v>3.5714285714285712E-2</v>
      </c>
      <c r="AD330" s="64">
        <f t="shared" si="77"/>
        <v>4.8510048510048507E-3</v>
      </c>
      <c r="AE330" s="71">
        <f>AB330</f>
        <v>1450</v>
      </c>
      <c r="AF330" s="64">
        <f t="shared" si="83"/>
        <v>3.5714285714285712E-2</v>
      </c>
      <c r="AG330" s="64">
        <f t="shared" si="78"/>
        <v>4.8510048510048507E-3</v>
      </c>
      <c r="AH330" s="67"/>
      <c r="AI330" s="47" t="s">
        <v>54</v>
      </c>
      <c r="AJ330" s="47">
        <v>509.5</v>
      </c>
      <c r="AK330" s="47" t="s">
        <v>55</v>
      </c>
      <c r="AL330" s="47" t="s">
        <v>55</v>
      </c>
      <c r="AM330" s="47" t="s">
        <v>890</v>
      </c>
      <c r="AN330" s="50"/>
      <c r="AO330" s="211">
        <f t="shared" si="84"/>
        <v>-1</v>
      </c>
      <c r="AP330" s="47" t="s">
        <v>852</v>
      </c>
      <c r="AQ330" s="94" t="s">
        <v>891</v>
      </c>
      <c r="AR330" s="47" t="s">
        <v>1580</v>
      </c>
    </row>
    <row r="331" spans="1:44">
      <c r="A331" s="47" t="s">
        <v>74</v>
      </c>
      <c r="B331" s="47" t="str">
        <f t="shared" si="80"/>
        <v>August</v>
      </c>
      <c r="C331" s="59">
        <v>45514</v>
      </c>
      <c r="D331" s="47" t="s">
        <v>45</v>
      </c>
      <c r="E331" s="47" t="s">
        <v>847</v>
      </c>
      <c r="F331" s="47" t="s">
        <v>848</v>
      </c>
      <c r="G331" s="47" t="s">
        <v>2077</v>
      </c>
      <c r="H331" s="47" t="s">
        <v>2078</v>
      </c>
      <c r="I331" s="47" t="s">
        <v>63</v>
      </c>
      <c r="J331" s="47" t="s">
        <v>51</v>
      </c>
      <c r="K331" s="48">
        <v>44968</v>
      </c>
      <c r="L331" s="48">
        <v>45333</v>
      </c>
      <c r="M331" s="48">
        <v>45514</v>
      </c>
      <c r="N331" s="47" t="s">
        <v>64</v>
      </c>
      <c r="O331" s="55" t="s">
        <v>53</v>
      </c>
      <c r="P331" s="62">
        <v>15860</v>
      </c>
      <c r="Q331" s="62">
        <v>1321.6666666666667</v>
      </c>
      <c r="R331" s="96">
        <v>17316</v>
      </c>
      <c r="S331" s="62">
        <f t="shared" si="72"/>
        <v>1443</v>
      </c>
      <c r="T331" s="62">
        <v>16800</v>
      </c>
      <c r="U331" s="62">
        <f t="shared" si="73"/>
        <v>1400</v>
      </c>
      <c r="V331" s="69">
        <v>15300</v>
      </c>
      <c r="W331" s="71">
        <v>1450</v>
      </c>
      <c r="X331" s="172">
        <f t="shared" si="85"/>
        <v>1400</v>
      </c>
      <c r="Y331" s="176">
        <f t="shared" si="86"/>
        <v>0</v>
      </c>
      <c r="Z331" s="64">
        <f t="shared" si="81"/>
        <v>3.5714285714285712E-2</v>
      </c>
      <c r="AA331" s="64">
        <f t="shared" si="76"/>
        <v>4.8510048510048507E-3</v>
      </c>
      <c r="AB331" s="71">
        <f t="shared" si="87"/>
        <v>1450</v>
      </c>
      <c r="AC331" s="64">
        <f t="shared" si="82"/>
        <v>3.5714285714285712E-2</v>
      </c>
      <c r="AD331" s="64">
        <f t="shared" si="77"/>
        <v>4.8510048510048507E-3</v>
      </c>
      <c r="AE331" s="71">
        <f>AB331</f>
        <v>1450</v>
      </c>
      <c r="AF331" s="64">
        <f t="shared" si="83"/>
        <v>3.5714285714285712E-2</v>
      </c>
      <c r="AG331" s="64">
        <f t="shared" si="78"/>
        <v>4.8510048510048507E-3</v>
      </c>
      <c r="AH331" s="67"/>
      <c r="AI331" s="47" t="s">
        <v>54</v>
      </c>
      <c r="AJ331" s="47">
        <v>509.5</v>
      </c>
      <c r="AK331" s="47" t="s">
        <v>55</v>
      </c>
      <c r="AL331" s="47" t="s">
        <v>55</v>
      </c>
      <c r="AM331" s="47" t="s">
        <v>1069</v>
      </c>
      <c r="AN331" s="50"/>
      <c r="AO331" s="211">
        <f t="shared" si="84"/>
        <v>-1</v>
      </c>
      <c r="AP331" s="47" t="s">
        <v>852</v>
      </c>
      <c r="AQ331" s="91" t="s">
        <v>1074</v>
      </c>
      <c r="AR331" s="47" t="s">
        <v>2079</v>
      </c>
    </row>
    <row r="332" spans="1:44" hidden="1">
      <c r="A332" s="47" t="s">
        <v>44</v>
      </c>
      <c r="B332" s="47" t="str">
        <f t="shared" si="80"/>
        <v>July</v>
      </c>
      <c r="C332" s="59">
        <v>45503</v>
      </c>
      <c r="D332" s="47" t="s">
        <v>45</v>
      </c>
      <c r="E332" s="47" t="s">
        <v>847</v>
      </c>
      <c r="F332" s="47" t="s">
        <v>848</v>
      </c>
      <c r="G332" s="47" t="s">
        <v>2236</v>
      </c>
      <c r="H332" s="47" t="s">
        <v>2237</v>
      </c>
      <c r="I332" s="47" t="s">
        <v>63</v>
      </c>
      <c r="J332" s="47" t="s">
        <v>51</v>
      </c>
      <c r="K332" s="48">
        <v>45138</v>
      </c>
      <c r="L332" s="48">
        <v>45138</v>
      </c>
      <c r="M332" s="48">
        <v>45503</v>
      </c>
      <c r="N332" s="47" t="s">
        <v>52</v>
      </c>
      <c r="O332" s="55" t="s">
        <v>53</v>
      </c>
      <c r="P332" s="62">
        <v>20800</v>
      </c>
      <c r="Q332" s="62">
        <v>1733.3333333333333</v>
      </c>
      <c r="R332" s="96">
        <v>21580</v>
      </c>
      <c r="S332" s="62">
        <f t="shared" si="72"/>
        <v>1798.3333333333333</v>
      </c>
      <c r="T332" s="62">
        <v>19440</v>
      </c>
      <c r="U332" s="62">
        <f t="shared" si="73"/>
        <v>1620</v>
      </c>
      <c r="V332" s="69">
        <v>20800</v>
      </c>
      <c r="W332" s="71">
        <v>1875</v>
      </c>
      <c r="X332" s="71"/>
      <c r="Y332" s="71"/>
      <c r="Z332" s="64">
        <f t="shared" si="81"/>
        <v>0.15740740740740741</v>
      </c>
      <c r="AA332" s="64">
        <f t="shared" si="76"/>
        <v>4.2632066728452316E-2</v>
      </c>
      <c r="AB332" s="71">
        <f t="shared" si="87"/>
        <v>1875</v>
      </c>
      <c r="AC332" s="64">
        <f t="shared" si="82"/>
        <v>0.15740740740740741</v>
      </c>
      <c r="AD332" s="64">
        <f t="shared" si="77"/>
        <v>4.2632066728452316E-2</v>
      </c>
      <c r="AE332" s="71">
        <v>1845</v>
      </c>
      <c r="AF332" s="64">
        <f t="shared" si="83"/>
        <v>0.1388888888888889</v>
      </c>
      <c r="AG332" s="64">
        <f t="shared" si="78"/>
        <v>2.5949953660797078E-2</v>
      </c>
      <c r="AH332" s="67" t="s">
        <v>2238</v>
      </c>
      <c r="AI332" s="47" t="s">
        <v>54</v>
      </c>
      <c r="AJ332" s="47">
        <v>761.5</v>
      </c>
      <c r="AK332" s="47" t="s">
        <v>65</v>
      </c>
      <c r="AL332" s="47" t="s">
        <v>65</v>
      </c>
      <c r="AM332" s="47" t="s">
        <v>2239</v>
      </c>
      <c r="AN332" s="50">
        <v>1745</v>
      </c>
      <c r="AO332" s="211">
        <f t="shared" si="84"/>
        <v>7.716049382716049E-2</v>
      </c>
      <c r="AP332" s="47" t="s">
        <v>852</v>
      </c>
      <c r="AQ332" s="111" t="s">
        <v>125</v>
      </c>
      <c r="AR332" s="47" t="s">
        <v>2240</v>
      </c>
    </row>
    <row r="333" spans="1:44" hidden="1">
      <c r="A333" s="47" t="s">
        <v>44</v>
      </c>
      <c r="B333" s="47" t="str">
        <f t="shared" si="80"/>
        <v>July</v>
      </c>
      <c r="C333" s="59">
        <v>45495</v>
      </c>
      <c r="D333" s="47" t="s">
        <v>45</v>
      </c>
      <c r="E333" s="47" t="s">
        <v>847</v>
      </c>
      <c r="F333" s="47" t="s">
        <v>848</v>
      </c>
      <c r="G333" s="47" t="s">
        <v>2246</v>
      </c>
      <c r="H333" s="47" t="s">
        <v>2247</v>
      </c>
      <c r="I333" s="47" t="s">
        <v>63</v>
      </c>
      <c r="J333" s="47" t="s">
        <v>51</v>
      </c>
      <c r="K333" s="48">
        <v>45314</v>
      </c>
      <c r="L333" s="48">
        <v>45314</v>
      </c>
      <c r="M333" s="48">
        <v>45495</v>
      </c>
      <c r="N333" s="47" t="s">
        <v>52</v>
      </c>
      <c r="O333" s="55" t="s">
        <v>53</v>
      </c>
      <c r="P333" s="62">
        <v>13676</v>
      </c>
      <c r="Q333" s="62">
        <v>1139.6666666666667</v>
      </c>
      <c r="R333" s="96">
        <v>14248</v>
      </c>
      <c r="S333" s="62">
        <f t="shared" si="72"/>
        <v>1187.3333333333333</v>
      </c>
      <c r="T333" s="62">
        <v>14400</v>
      </c>
      <c r="U333" s="62">
        <f t="shared" si="73"/>
        <v>1200</v>
      </c>
      <c r="V333" s="69">
        <v>13740</v>
      </c>
      <c r="W333" s="71">
        <v>1220</v>
      </c>
      <c r="X333" s="71"/>
      <c r="Y333" s="71"/>
      <c r="Z333" s="64">
        <f t="shared" si="81"/>
        <v>1.6666666666666666E-2</v>
      </c>
      <c r="AA333" s="64">
        <f t="shared" si="76"/>
        <v>2.7512633352049475E-2</v>
      </c>
      <c r="AB333" s="71">
        <f t="shared" si="87"/>
        <v>1220</v>
      </c>
      <c r="AC333" s="64">
        <f t="shared" si="82"/>
        <v>1.6666666666666666E-2</v>
      </c>
      <c r="AD333" s="64">
        <f t="shared" si="77"/>
        <v>2.7512633352049475E-2</v>
      </c>
      <c r="AE333" s="71">
        <f>AB333</f>
        <v>1220</v>
      </c>
      <c r="AF333" s="64">
        <f t="shared" si="83"/>
        <v>1.6666666666666666E-2</v>
      </c>
      <c r="AG333" s="64">
        <f t="shared" si="78"/>
        <v>2.7512633352049475E-2</v>
      </c>
      <c r="AH333" s="67"/>
      <c r="AI333" s="47" t="s">
        <v>54</v>
      </c>
      <c r="AJ333" s="47">
        <v>395.2</v>
      </c>
      <c r="AK333" s="101" t="s">
        <v>131</v>
      </c>
      <c r="AL333" s="101" t="s">
        <v>55</v>
      </c>
      <c r="AM333" s="47" t="s">
        <v>2248</v>
      </c>
      <c r="AN333" s="50">
        <v>1220</v>
      </c>
      <c r="AO333" s="211">
        <f t="shared" si="84"/>
        <v>1.6666666666666666E-2</v>
      </c>
      <c r="AP333" s="47" t="s">
        <v>852</v>
      </c>
      <c r="AQ333" s="111" t="s">
        <v>125</v>
      </c>
      <c r="AR333" s="47" t="s">
        <v>1199</v>
      </c>
    </row>
    <row r="334" spans="1:44" hidden="1">
      <c r="A334" s="47" t="s">
        <v>44</v>
      </c>
      <c r="B334" s="47" t="str">
        <f t="shared" si="80"/>
        <v>August</v>
      </c>
      <c r="C334" s="59">
        <v>45516</v>
      </c>
      <c r="D334" s="47" t="s">
        <v>45</v>
      </c>
      <c r="E334" s="47" t="s">
        <v>847</v>
      </c>
      <c r="F334" s="47" t="s">
        <v>848</v>
      </c>
      <c r="G334" s="47" t="s">
        <v>2335</v>
      </c>
      <c r="H334" s="47" t="s">
        <v>2336</v>
      </c>
      <c r="I334" s="47" t="s">
        <v>63</v>
      </c>
      <c r="J334" s="47" t="s">
        <v>51</v>
      </c>
      <c r="K334" s="48">
        <v>45059</v>
      </c>
      <c r="L334" s="48">
        <v>45059</v>
      </c>
      <c r="M334" s="48">
        <v>45516</v>
      </c>
      <c r="N334" s="47" t="s">
        <v>52</v>
      </c>
      <c r="O334" s="55" t="s">
        <v>53</v>
      </c>
      <c r="P334" s="62">
        <v>15600</v>
      </c>
      <c r="Q334" s="62">
        <v>1300</v>
      </c>
      <c r="R334" s="96">
        <v>17108</v>
      </c>
      <c r="S334" s="62">
        <f t="shared" si="72"/>
        <v>1425.6666666666667</v>
      </c>
      <c r="T334" s="62">
        <v>15480</v>
      </c>
      <c r="U334" s="62">
        <f t="shared" si="73"/>
        <v>1290</v>
      </c>
      <c r="V334" s="69">
        <v>15600</v>
      </c>
      <c r="W334" s="71">
        <v>1430</v>
      </c>
      <c r="X334" s="105">
        <f>W334-50</f>
        <v>1380</v>
      </c>
      <c r="Y334" s="171">
        <f>(X334-U334)/U334</f>
        <v>6.9767441860465115E-2</v>
      </c>
      <c r="Z334" s="64">
        <f t="shared" si="81"/>
        <v>0.10852713178294573</v>
      </c>
      <c r="AA334" s="64">
        <f t="shared" si="76"/>
        <v>3.0395136778114968E-3</v>
      </c>
      <c r="AB334" s="71">
        <f t="shared" si="87"/>
        <v>1430</v>
      </c>
      <c r="AC334" s="64">
        <f t="shared" si="82"/>
        <v>0.10852713178294573</v>
      </c>
      <c r="AD334" s="64">
        <f t="shared" si="77"/>
        <v>3.0395136778114968E-3</v>
      </c>
      <c r="AE334" s="71">
        <f>AB334</f>
        <v>1430</v>
      </c>
      <c r="AF334" s="64">
        <f t="shared" si="83"/>
        <v>0.10852713178294573</v>
      </c>
      <c r="AG334" s="64">
        <f t="shared" si="78"/>
        <v>3.0395136778114968E-3</v>
      </c>
      <c r="AH334" s="67"/>
      <c r="AI334" s="47" t="s">
        <v>54</v>
      </c>
      <c r="AJ334" s="47">
        <v>490.6</v>
      </c>
      <c r="AK334" s="47" t="s">
        <v>55</v>
      </c>
      <c r="AL334" s="47" t="s">
        <v>55</v>
      </c>
      <c r="AM334" s="47" t="s">
        <v>1065</v>
      </c>
      <c r="AN334" s="50">
        <v>1430</v>
      </c>
      <c r="AO334" s="211">
        <f t="shared" si="84"/>
        <v>0.10852713178294573</v>
      </c>
      <c r="AP334" s="47" t="s">
        <v>852</v>
      </c>
      <c r="AQ334" s="223" t="s">
        <v>125</v>
      </c>
      <c r="AR334" s="53" t="s">
        <v>2337</v>
      </c>
    </row>
    <row r="335" spans="1:44" hidden="1">
      <c r="A335" s="47" t="s">
        <v>44</v>
      </c>
      <c r="B335" s="47" t="str">
        <f t="shared" si="80"/>
        <v>August</v>
      </c>
      <c r="C335" s="59">
        <v>45517</v>
      </c>
      <c r="D335" s="47" t="s">
        <v>45</v>
      </c>
      <c r="E335" s="47" t="s">
        <v>847</v>
      </c>
      <c r="F335" s="47" t="s">
        <v>848</v>
      </c>
      <c r="G335" s="47" t="s">
        <v>2371</v>
      </c>
      <c r="H335" s="47" t="s">
        <v>2372</v>
      </c>
      <c r="I335" s="47" t="s">
        <v>63</v>
      </c>
      <c r="J335" s="47" t="s">
        <v>51</v>
      </c>
      <c r="K335" s="48">
        <v>45152</v>
      </c>
      <c r="L335" s="48">
        <v>45152</v>
      </c>
      <c r="M335" s="48">
        <v>45517</v>
      </c>
      <c r="N335" s="47" t="s">
        <v>52</v>
      </c>
      <c r="O335" s="55" t="s">
        <v>53</v>
      </c>
      <c r="P335" s="62">
        <v>15288</v>
      </c>
      <c r="Q335" s="62">
        <v>1274</v>
      </c>
      <c r="R335" s="96">
        <v>16848</v>
      </c>
      <c r="S335" s="62">
        <f t="shared" si="72"/>
        <v>1404</v>
      </c>
      <c r="T335" s="62">
        <v>15600</v>
      </c>
      <c r="U335" s="62">
        <f t="shared" si="73"/>
        <v>1300</v>
      </c>
      <c r="V335" s="69">
        <v>15288</v>
      </c>
      <c r="W335" s="71">
        <v>1470</v>
      </c>
      <c r="X335" s="105">
        <f>W335-50</f>
        <v>1420</v>
      </c>
      <c r="Y335" s="171">
        <f>(X335-U335)/U335</f>
        <v>9.2307692307692313E-2</v>
      </c>
      <c r="Z335" s="64">
        <f t="shared" si="81"/>
        <v>0.13076923076923078</v>
      </c>
      <c r="AA335" s="64">
        <f t="shared" si="76"/>
        <v>4.7008547008547008E-2</v>
      </c>
      <c r="AB335" s="71">
        <f t="shared" si="87"/>
        <v>1470</v>
      </c>
      <c r="AC335" s="64">
        <f t="shared" si="82"/>
        <v>0.13076923076923078</v>
      </c>
      <c r="AD335" s="64">
        <f t="shared" si="77"/>
        <v>4.7008547008547008E-2</v>
      </c>
      <c r="AE335" s="71">
        <v>1450</v>
      </c>
      <c r="AF335" s="64">
        <f t="shared" si="83"/>
        <v>0.11538461538461539</v>
      </c>
      <c r="AG335" s="64">
        <f t="shared" si="78"/>
        <v>3.2763532763532763E-2</v>
      </c>
      <c r="AH335" s="67"/>
      <c r="AI335" s="47" t="s">
        <v>54</v>
      </c>
      <c r="AJ335" s="47">
        <v>437.2</v>
      </c>
      <c r="AK335" s="47" t="s">
        <v>55</v>
      </c>
      <c r="AL335" s="47" t="s">
        <v>55</v>
      </c>
      <c r="AM335" s="47" t="s">
        <v>2373</v>
      </c>
      <c r="AN335" s="50"/>
      <c r="AO335" s="211">
        <f t="shared" si="84"/>
        <v>-1</v>
      </c>
      <c r="AP335" s="47" t="s">
        <v>852</v>
      </c>
      <c r="AQ335" s="91" t="s">
        <v>1132</v>
      </c>
      <c r="AR335" s="47" t="s">
        <v>2367</v>
      </c>
    </row>
    <row r="336" spans="1:44">
      <c r="A336" s="47" t="s">
        <v>44</v>
      </c>
      <c r="B336" s="47" t="str">
        <f t="shared" si="80"/>
        <v>July</v>
      </c>
      <c r="C336" s="59">
        <v>45485</v>
      </c>
      <c r="D336" s="47" t="s">
        <v>45</v>
      </c>
      <c r="E336" s="47" t="s">
        <v>847</v>
      </c>
      <c r="F336" s="47" t="s">
        <v>848</v>
      </c>
      <c r="G336" s="47" t="s">
        <v>2387</v>
      </c>
      <c r="H336" s="47" t="s">
        <v>2388</v>
      </c>
      <c r="I336" s="47" t="s">
        <v>63</v>
      </c>
      <c r="J336" s="47" t="s">
        <v>51</v>
      </c>
      <c r="K336" s="48">
        <v>45090</v>
      </c>
      <c r="L336" s="48">
        <v>45090</v>
      </c>
      <c r="M336" s="48">
        <v>45485</v>
      </c>
      <c r="N336" s="47" t="s">
        <v>64</v>
      </c>
      <c r="O336" s="55" t="s">
        <v>53</v>
      </c>
      <c r="P336" s="62">
        <v>20696</v>
      </c>
      <c r="Q336" s="62">
        <v>1724.6666666666667</v>
      </c>
      <c r="R336" s="96">
        <v>21476</v>
      </c>
      <c r="S336" s="62">
        <f t="shared" si="72"/>
        <v>1789.6666666666667</v>
      </c>
      <c r="T336" s="62">
        <v>19860</v>
      </c>
      <c r="U336" s="62">
        <f t="shared" si="73"/>
        <v>1655</v>
      </c>
      <c r="V336" s="69">
        <v>20696</v>
      </c>
      <c r="W336" s="71">
        <v>1840</v>
      </c>
      <c r="X336" s="71"/>
      <c r="Y336" s="71"/>
      <c r="Z336" s="64">
        <f t="shared" si="81"/>
        <v>0.11178247734138973</v>
      </c>
      <c r="AA336" s="64">
        <f t="shared" si="76"/>
        <v>2.8124417954926387E-2</v>
      </c>
      <c r="AB336" s="71">
        <f t="shared" si="87"/>
        <v>1840</v>
      </c>
      <c r="AC336" s="64">
        <f t="shared" si="82"/>
        <v>0.11178247734138973</v>
      </c>
      <c r="AD336" s="64">
        <f t="shared" si="77"/>
        <v>2.8124417954926387E-2</v>
      </c>
      <c r="AE336" s="71">
        <v>1820</v>
      </c>
      <c r="AF336" s="64">
        <f t="shared" si="83"/>
        <v>9.9697885196374625E-2</v>
      </c>
      <c r="AG336" s="64">
        <f t="shared" si="78"/>
        <v>1.694915254237284E-2</v>
      </c>
      <c r="AH336" s="67"/>
      <c r="AI336" s="47" t="s">
        <v>54</v>
      </c>
      <c r="AJ336" s="47">
        <v>750.8</v>
      </c>
      <c r="AK336" s="47" t="s">
        <v>65</v>
      </c>
      <c r="AL336" s="47" t="s">
        <v>65</v>
      </c>
      <c r="AM336" s="47" t="s">
        <v>2389</v>
      </c>
      <c r="AN336" s="50"/>
      <c r="AO336" s="211">
        <f t="shared" si="84"/>
        <v>-1</v>
      </c>
      <c r="AP336" s="47" t="s">
        <v>852</v>
      </c>
      <c r="AQ336" s="94" t="s">
        <v>898</v>
      </c>
      <c r="AR336" s="47"/>
    </row>
    <row r="337" spans="1:44" hidden="1">
      <c r="A337" s="47" t="s">
        <v>44</v>
      </c>
      <c r="B337" s="47" t="str">
        <f t="shared" si="80"/>
        <v>August</v>
      </c>
      <c r="C337" s="59">
        <v>45522</v>
      </c>
      <c r="D337" s="47" t="s">
        <v>45</v>
      </c>
      <c r="E337" s="47" t="s">
        <v>847</v>
      </c>
      <c r="F337" s="47" t="s">
        <v>848</v>
      </c>
      <c r="G337" s="47" t="s">
        <v>2533</v>
      </c>
      <c r="H337" s="47" t="s">
        <v>2534</v>
      </c>
      <c r="I337" s="47" t="s">
        <v>63</v>
      </c>
      <c r="J337" s="47" t="s">
        <v>51</v>
      </c>
      <c r="K337" s="48">
        <v>45157</v>
      </c>
      <c r="L337" s="48">
        <v>45157</v>
      </c>
      <c r="M337" s="48">
        <v>45522</v>
      </c>
      <c r="N337" s="47" t="s">
        <v>52</v>
      </c>
      <c r="O337" s="55" t="s">
        <v>53</v>
      </c>
      <c r="P337" s="62">
        <v>15600</v>
      </c>
      <c r="Q337" s="62">
        <v>1300</v>
      </c>
      <c r="R337" s="96">
        <v>17108</v>
      </c>
      <c r="S337" s="62">
        <f t="shared" si="72"/>
        <v>1425.6666666666667</v>
      </c>
      <c r="T337" s="62">
        <v>15480</v>
      </c>
      <c r="U337" s="62">
        <f t="shared" si="73"/>
        <v>1290</v>
      </c>
      <c r="V337" s="69">
        <v>15600</v>
      </c>
      <c r="W337" s="71">
        <v>1415</v>
      </c>
      <c r="X337" s="105">
        <f t="shared" ref="X337:X342" si="88">W337-50</f>
        <v>1365</v>
      </c>
      <c r="Y337" s="171">
        <f t="shared" ref="Y337:Y342" si="89">(X337-U337)/U337</f>
        <v>5.8139534883720929E-2</v>
      </c>
      <c r="Z337" s="64">
        <f t="shared" si="81"/>
        <v>9.6899224806201556E-2</v>
      </c>
      <c r="AA337" s="64">
        <f t="shared" si="76"/>
        <v>-7.4818798223054072E-3</v>
      </c>
      <c r="AB337" s="71">
        <f t="shared" si="87"/>
        <v>1415</v>
      </c>
      <c r="AC337" s="64">
        <f t="shared" si="82"/>
        <v>9.6899224806201556E-2</v>
      </c>
      <c r="AD337" s="64">
        <f t="shared" si="77"/>
        <v>-7.4818798223054072E-3</v>
      </c>
      <c r="AE337" s="71">
        <f>AB337</f>
        <v>1415</v>
      </c>
      <c r="AF337" s="64">
        <f t="shared" si="83"/>
        <v>9.6899224806201556E-2</v>
      </c>
      <c r="AG337" s="64">
        <f t="shared" si="78"/>
        <v>-7.4818798223054072E-3</v>
      </c>
      <c r="AH337" s="67"/>
      <c r="AI337" s="47" t="s">
        <v>54</v>
      </c>
      <c r="AJ337" s="47">
        <v>499.7</v>
      </c>
      <c r="AK337" s="47" t="s">
        <v>55</v>
      </c>
      <c r="AL337" s="47" t="s">
        <v>55</v>
      </c>
      <c r="AM337" s="47" t="s">
        <v>1624</v>
      </c>
      <c r="AN337" s="50"/>
      <c r="AO337" s="211">
        <f t="shared" si="84"/>
        <v>-1</v>
      </c>
      <c r="AP337" s="47" t="s">
        <v>852</v>
      </c>
      <c r="AQ337" s="94" t="s">
        <v>891</v>
      </c>
      <c r="AR337" s="52" t="s">
        <v>2535</v>
      </c>
    </row>
    <row r="338" spans="1:44" hidden="1">
      <c r="A338" s="47" t="s">
        <v>74</v>
      </c>
      <c r="B338" s="47" t="str">
        <f t="shared" si="80"/>
        <v>August</v>
      </c>
      <c r="C338" s="59">
        <v>45524</v>
      </c>
      <c r="D338" s="47" t="s">
        <v>45</v>
      </c>
      <c r="E338" s="47" t="s">
        <v>847</v>
      </c>
      <c r="F338" s="47" t="s">
        <v>848</v>
      </c>
      <c r="G338" s="47" t="s">
        <v>2572</v>
      </c>
      <c r="H338" s="47" t="s">
        <v>2573</v>
      </c>
      <c r="I338" s="47" t="s">
        <v>63</v>
      </c>
      <c r="J338" s="47" t="s">
        <v>51</v>
      </c>
      <c r="K338" s="48">
        <v>45343</v>
      </c>
      <c r="L338" s="48">
        <v>45343</v>
      </c>
      <c r="M338" s="48">
        <v>45524</v>
      </c>
      <c r="N338" s="47" t="s">
        <v>52</v>
      </c>
      <c r="O338" s="55" t="s">
        <v>53</v>
      </c>
      <c r="P338" s="62">
        <v>15704</v>
      </c>
      <c r="Q338" s="62">
        <v>1308.6666666666667</v>
      </c>
      <c r="R338" s="96">
        <v>17108</v>
      </c>
      <c r="S338" s="62">
        <f t="shared" si="72"/>
        <v>1425.6666666666667</v>
      </c>
      <c r="T338" s="62">
        <v>17280</v>
      </c>
      <c r="U338" s="62">
        <f t="shared" si="73"/>
        <v>1440</v>
      </c>
      <c r="V338" s="69">
        <v>15120</v>
      </c>
      <c r="W338" s="71">
        <v>1460</v>
      </c>
      <c r="X338" s="172">
        <f t="shared" si="88"/>
        <v>1410</v>
      </c>
      <c r="Y338" s="173">
        <f t="shared" si="89"/>
        <v>-2.0833333333333332E-2</v>
      </c>
      <c r="Z338" s="64">
        <f t="shared" si="81"/>
        <v>1.3888888888888888E-2</v>
      </c>
      <c r="AA338" s="64">
        <f t="shared" si="76"/>
        <v>2.4082300678045305E-2</v>
      </c>
      <c r="AB338" s="71">
        <f t="shared" si="87"/>
        <v>1460</v>
      </c>
      <c r="AC338" s="64">
        <f t="shared" si="82"/>
        <v>1.3888888888888888E-2</v>
      </c>
      <c r="AD338" s="64">
        <f t="shared" si="77"/>
        <v>2.4082300678045305E-2</v>
      </c>
      <c r="AE338" s="71">
        <f>AB338</f>
        <v>1460</v>
      </c>
      <c r="AF338" s="64">
        <f t="shared" si="83"/>
        <v>1.3888888888888888E-2</v>
      </c>
      <c r="AG338" s="64">
        <f t="shared" si="78"/>
        <v>2.4082300678045305E-2</v>
      </c>
      <c r="AH338" s="67"/>
      <c r="AI338" s="47" t="s">
        <v>395</v>
      </c>
      <c r="AJ338" s="47">
        <v>518.70000000000005</v>
      </c>
      <c r="AK338" s="47" t="s">
        <v>55</v>
      </c>
      <c r="AL338" s="47" t="s">
        <v>55</v>
      </c>
      <c r="AM338" s="47" t="s">
        <v>2574</v>
      </c>
      <c r="AN338" s="50"/>
      <c r="AO338" s="211">
        <f t="shared" si="84"/>
        <v>-1</v>
      </c>
      <c r="AP338" s="47" t="s">
        <v>852</v>
      </c>
      <c r="AQ338" s="91" t="s">
        <v>891</v>
      </c>
      <c r="AR338" s="47" t="s">
        <v>2575</v>
      </c>
    </row>
    <row r="339" spans="1:44" hidden="1">
      <c r="A339" s="47" t="s">
        <v>44</v>
      </c>
      <c r="B339" s="47" t="str">
        <f t="shared" si="80"/>
        <v>August</v>
      </c>
      <c r="C339" s="59">
        <v>45528</v>
      </c>
      <c r="D339" s="47" t="s">
        <v>45</v>
      </c>
      <c r="E339" s="47" t="s">
        <v>847</v>
      </c>
      <c r="F339" s="47" t="s">
        <v>848</v>
      </c>
      <c r="G339" s="47" t="s">
        <v>2873</v>
      </c>
      <c r="H339" s="47" t="s">
        <v>2874</v>
      </c>
      <c r="I339" s="47" t="s">
        <v>63</v>
      </c>
      <c r="J339" s="47" t="s">
        <v>51</v>
      </c>
      <c r="K339" s="48">
        <v>45163</v>
      </c>
      <c r="L339" s="48">
        <v>45163</v>
      </c>
      <c r="M339" s="48">
        <v>45528</v>
      </c>
      <c r="N339" s="47" t="s">
        <v>52</v>
      </c>
      <c r="O339" s="55" t="s">
        <v>53</v>
      </c>
      <c r="P339" s="62">
        <v>15704</v>
      </c>
      <c r="Q339" s="62">
        <v>1308.6666666666667</v>
      </c>
      <c r="R339" s="96">
        <v>17108</v>
      </c>
      <c r="S339" s="62">
        <f t="shared" si="72"/>
        <v>1425.6666666666667</v>
      </c>
      <c r="T339" s="62">
        <v>15600</v>
      </c>
      <c r="U339" s="62">
        <f t="shared" si="73"/>
        <v>1300</v>
      </c>
      <c r="V339" s="69">
        <v>15704</v>
      </c>
      <c r="W339" s="71">
        <v>1480</v>
      </c>
      <c r="X339" s="105">
        <f t="shared" si="88"/>
        <v>1430</v>
      </c>
      <c r="Y339" s="171">
        <f t="shared" si="89"/>
        <v>0.1</v>
      </c>
      <c r="Z339" s="64">
        <f t="shared" si="81"/>
        <v>0.13846153846153847</v>
      </c>
      <c r="AA339" s="64">
        <f t="shared" si="76"/>
        <v>3.8110825344867844E-2</v>
      </c>
      <c r="AB339" s="71">
        <f t="shared" si="87"/>
        <v>1480</v>
      </c>
      <c r="AC339" s="64">
        <f t="shared" si="82"/>
        <v>0.13846153846153847</v>
      </c>
      <c r="AD339" s="64">
        <f t="shared" si="77"/>
        <v>3.8110825344867844E-2</v>
      </c>
      <c r="AE339" s="71">
        <v>1450</v>
      </c>
      <c r="AF339" s="64">
        <f t="shared" si="83"/>
        <v>0.11538461538461539</v>
      </c>
      <c r="AG339" s="64">
        <f t="shared" si="78"/>
        <v>1.7068038344634034E-2</v>
      </c>
      <c r="AH339" s="67"/>
      <c r="AI339" s="47" t="s">
        <v>54</v>
      </c>
      <c r="AJ339" s="47">
        <v>518.70000000000005</v>
      </c>
      <c r="AK339" s="47" t="s">
        <v>55</v>
      </c>
      <c r="AL339" s="47" t="s">
        <v>55</v>
      </c>
      <c r="AM339" s="47" t="s">
        <v>1267</v>
      </c>
      <c r="AN339" s="50"/>
      <c r="AO339" s="211">
        <f t="shared" si="84"/>
        <v>-1</v>
      </c>
      <c r="AP339" s="47" t="s">
        <v>852</v>
      </c>
      <c r="AQ339" s="91" t="s">
        <v>1132</v>
      </c>
      <c r="AR339" s="47"/>
    </row>
    <row r="340" spans="1:44" hidden="1">
      <c r="A340" s="47" t="s">
        <v>74</v>
      </c>
      <c r="B340" s="47" t="str">
        <f t="shared" si="80"/>
        <v>August</v>
      </c>
      <c r="C340" s="59">
        <v>45531</v>
      </c>
      <c r="D340" s="47" t="s">
        <v>45</v>
      </c>
      <c r="E340" s="47" t="s">
        <v>847</v>
      </c>
      <c r="F340" s="47" t="s">
        <v>848</v>
      </c>
      <c r="G340" s="47" t="s">
        <v>3190</v>
      </c>
      <c r="H340" s="47" t="s">
        <v>3191</v>
      </c>
      <c r="I340" s="47" t="s">
        <v>63</v>
      </c>
      <c r="J340" s="47" t="s">
        <v>51</v>
      </c>
      <c r="K340" s="48">
        <v>45350</v>
      </c>
      <c r="L340" s="48">
        <v>45350</v>
      </c>
      <c r="M340" s="48">
        <v>45531</v>
      </c>
      <c r="N340" s="47" t="s">
        <v>52</v>
      </c>
      <c r="O340" s="55" t="s">
        <v>53</v>
      </c>
      <c r="P340" s="62">
        <v>15860</v>
      </c>
      <c r="Q340" s="62">
        <v>1321.6666666666667</v>
      </c>
      <c r="R340" s="96">
        <v>17316</v>
      </c>
      <c r="S340" s="62">
        <f t="shared" si="72"/>
        <v>1443</v>
      </c>
      <c r="T340" s="62">
        <v>17160</v>
      </c>
      <c r="U340" s="62">
        <f t="shared" si="73"/>
        <v>1430</v>
      </c>
      <c r="V340" s="69">
        <v>15180</v>
      </c>
      <c r="W340" s="71">
        <v>1445</v>
      </c>
      <c r="X340" s="172">
        <f t="shared" si="88"/>
        <v>1395</v>
      </c>
      <c r="Y340" s="173">
        <f t="shared" si="89"/>
        <v>-2.4475524475524476E-2</v>
      </c>
      <c r="Z340" s="64">
        <f t="shared" si="81"/>
        <v>1.048951048951049E-2</v>
      </c>
      <c r="AA340" s="64">
        <f t="shared" si="76"/>
        <v>1.386001386001386E-3</v>
      </c>
      <c r="AB340" s="71">
        <f t="shared" si="87"/>
        <v>1445</v>
      </c>
      <c r="AC340" s="64">
        <f t="shared" si="82"/>
        <v>1.048951048951049E-2</v>
      </c>
      <c r="AD340" s="64">
        <f t="shared" si="77"/>
        <v>1.386001386001386E-3</v>
      </c>
      <c r="AE340" s="71">
        <f>AB340</f>
        <v>1445</v>
      </c>
      <c r="AF340" s="64">
        <f t="shared" si="83"/>
        <v>1.048951048951049E-2</v>
      </c>
      <c r="AG340" s="64">
        <f t="shared" si="78"/>
        <v>1.386001386001386E-3</v>
      </c>
      <c r="AH340" s="67"/>
      <c r="AI340" s="47" t="s">
        <v>54</v>
      </c>
      <c r="AJ340" s="47">
        <v>510.2</v>
      </c>
      <c r="AK340" s="47" t="s">
        <v>55</v>
      </c>
      <c r="AL340" s="47" t="s">
        <v>55</v>
      </c>
      <c r="AM340" s="47" t="s">
        <v>3192</v>
      </c>
      <c r="AN340" s="50">
        <v>1445</v>
      </c>
      <c r="AO340" s="211">
        <f t="shared" si="84"/>
        <v>1.048951048951049E-2</v>
      </c>
      <c r="AP340" s="47" t="s">
        <v>852</v>
      </c>
      <c r="AQ340" s="111" t="s">
        <v>125</v>
      </c>
      <c r="AR340" s="47" t="s">
        <v>3193</v>
      </c>
    </row>
    <row r="341" spans="1:44" hidden="1">
      <c r="A341" s="47" t="s">
        <v>44</v>
      </c>
      <c r="B341" s="47" t="str">
        <f t="shared" si="80"/>
        <v>August</v>
      </c>
      <c r="C341" s="59">
        <v>45532</v>
      </c>
      <c r="D341" s="47" t="s">
        <v>45</v>
      </c>
      <c r="E341" s="47" t="s">
        <v>847</v>
      </c>
      <c r="F341" s="47" t="s">
        <v>848</v>
      </c>
      <c r="G341" s="47" t="s">
        <v>3368</v>
      </c>
      <c r="H341" s="47" t="s">
        <v>3369</v>
      </c>
      <c r="I341" s="47" t="s">
        <v>63</v>
      </c>
      <c r="J341" s="47" t="s">
        <v>51</v>
      </c>
      <c r="K341" s="48">
        <v>45351</v>
      </c>
      <c r="L341" s="48">
        <v>45351</v>
      </c>
      <c r="M341" s="48">
        <v>45532</v>
      </c>
      <c r="N341" s="47" t="s">
        <v>52</v>
      </c>
      <c r="O341" s="55" t="s">
        <v>53</v>
      </c>
      <c r="P341" s="62">
        <v>15860</v>
      </c>
      <c r="Q341" s="62">
        <v>1321.6666666666667</v>
      </c>
      <c r="R341" s="96">
        <v>17316</v>
      </c>
      <c r="S341" s="62">
        <f t="shared" si="72"/>
        <v>1443</v>
      </c>
      <c r="T341" s="62">
        <v>16440</v>
      </c>
      <c r="U341" s="62">
        <f t="shared" si="73"/>
        <v>1370</v>
      </c>
      <c r="V341" s="69">
        <v>15600</v>
      </c>
      <c r="W341" s="71">
        <v>1460</v>
      </c>
      <c r="X341" s="105">
        <f t="shared" si="88"/>
        <v>1410</v>
      </c>
      <c r="Y341" s="171">
        <f t="shared" si="89"/>
        <v>2.9197080291970802E-2</v>
      </c>
      <c r="Z341" s="64">
        <f t="shared" si="81"/>
        <v>6.569343065693431E-2</v>
      </c>
      <c r="AA341" s="64">
        <f t="shared" si="76"/>
        <v>1.1781011781011781E-2</v>
      </c>
      <c r="AB341" s="71">
        <f t="shared" si="87"/>
        <v>1460</v>
      </c>
      <c r="AC341" s="64">
        <f t="shared" si="82"/>
        <v>6.569343065693431E-2</v>
      </c>
      <c r="AD341" s="64">
        <f t="shared" si="77"/>
        <v>1.1781011781011781E-2</v>
      </c>
      <c r="AE341" s="71">
        <v>1450</v>
      </c>
      <c r="AF341" s="64">
        <f t="shared" si="83"/>
        <v>5.8394160583941604E-2</v>
      </c>
      <c r="AG341" s="64">
        <f t="shared" si="78"/>
        <v>4.8510048510048507E-3</v>
      </c>
      <c r="AH341" s="67"/>
      <c r="AI341" s="47" t="s">
        <v>54</v>
      </c>
      <c r="AJ341" s="47">
        <v>510.2</v>
      </c>
      <c r="AK341" s="47" t="s">
        <v>55</v>
      </c>
      <c r="AL341" s="47" t="s">
        <v>55</v>
      </c>
      <c r="AM341" s="47" t="s">
        <v>3192</v>
      </c>
      <c r="AN341" s="50"/>
      <c r="AO341" s="211">
        <f t="shared" si="84"/>
        <v>-1</v>
      </c>
      <c r="AP341" s="47" t="s">
        <v>852</v>
      </c>
      <c r="AQ341" s="91" t="s">
        <v>1074</v>
      </c>
      <c r="AR341" s="47" t="s">
        <v>3370</v>
      </c>
    </row>
    <row r="342" spans="1:44" hidden="1">
      <c r="A342" s="47" t="s">
        <v>44</v>
      </c>
      <c r="B342" s="47" t="str">
        <f t="shared" si="80"/>
        <v>August</v>
      </c>
      <c r="C342" s="59">
        <v>45535</v>
      </c>
      <c r="D342" s="47" t="s">
        <v>45</v>
      </c>
      <c r="E342" s="47" t="s">
        <v>847</v>
      </c>
      <c r="F342" s="47" t="s">
        <v>848</v>
      </c>
      <c r="G342" s="47" t="s">
        <v>3705</v>
      </c>
      <c r="H342" s="47" t="s">
        <v>3706</v>
      </c>
      <c r="I342" s="47" t="s">
        <v>63</v>
      </c>
      <c r="J342" s="47" t="s">
        <v>51</v>
      </c>
      <c r="K342" s="48">
        <v>45170</v>
      </c>
      <c r="L342" s="48">
        <v>45170</v>
      </c>
      <c r="M342" s="48">
        <v>45535</v>
      </c>
      <c r="N342" s="47" t="s">
        <v>52</v>
      </c>
      <c r="O342" s="55" t="s">
        <v>53</v>
      </c>
      <c r="P342" s="62">
        <v>15756</v>
      </c>
      <c r="Q342" s="62">
        <v>1313</v>
      </c>
      <c r="R342" s="96">
        <v>17212</v>
      </c>
      <c r="S342" s="62">
        <f t="shared" si="72"/>
        <v>1434.3333333333333</v>
      </c>
      <c r="T342" s="62">
        <v>16560</v>
      </c>
      <c r="U342" s="62">
        <f t="shared" si="73"/>
        <v>1380</v>
      </c>
      <c r="V342" s="69">
        <v>15600</v>
      </c>
      <c r="W342" s="71">
        <v>1495</v>
      </c>
      <c r="X342" s="105">
        <f t="shared" si="88"/>
        <v>1445</v>
      </c>
      <c r="Y342" s="171">
        <f t="shared" si="89"/>
        <v>4.710144927536232E-2</v>
      </c>
      <c r="Z342" s="64">
        <f t="shared" si="81"/>
        <v>8.3333333333333329E-2</v>
      </c>
      <c r="AA342" s="64">
        <f t="shared" si="76"/>
        <v>4.2296072507552927E-2</v>
      </c>
      <c r="AB342" s="71">
        <f t="shared" si="87"/>
        <v>1495</v>
      </c>
      <c r="AC342" s="64">
        <f t="shared" si="82"/>
        <v>8.3333333333333329E-2</v>
      </c>
      <c r="AD342" s="64">
        <f t="shared" si="77"/>
        <v>4.2296072507552927E-2</v>
      </c>
      <c r="AE342" s="71">
        <v>1470</v>
      </c>
      <c r="AF342" s="64">
        <f t="shared" si="83"/>
        <v>6.5217391304347824E-2</v>
      </c>
      <c r="AG342" s="64">
        <f t="shared" si="78"/>
        <v>2.486637229839652E-2</v>
      </c>
      <c r="AH342" s="67"/>
      <c r="AI342" s="47" t="s">
        <v>54</v>
      </c>
      <c r="AJ342" s="47">
        <v>508</v>
      </c>
      <c r="AK342" s="47" t="s">
        <v>55</v>
      </c>
      <c r="AL342" s="47" t="s">
        <v>55</v>
      </c>
      <c r="AM342" s="47" t="s">
        <v>1212</v>
      </c>
      <c r="AN342" s="50"/>
      <c r="AO342" s="211">
        <f t="shared" si="84"/>
        <v>-1</v>
      </c>
      <c r="AP342" s="47" t="s">
        <v>852</v>
      </c>
      <c r="AQ342" s="94" t="s">
        <v>891</v>
      </c>
      <c r="AR342" s="47" t="s">
        <v>3707</v>
      </c>
    </row>
    <row r="343" spans="1:44">
      <c r="A343" s="47" t="s">
        <v>44</v>
      </c>
      <c r="B343" s="47" t="str">
        <f t="shared" si="80"/>
        <v>August</v>
      </c>
      <c r="C343" s="59">
        <v>45511</v>
      </c>
      <c r="D343" s="47" t="s">
        <v>109</v>
      </c>
      <c r="E343" s="47" t="s">
        <v>110</v>
      </c>
      <c r="F343" s="47" t="s">
        <v>111</v>
      </c>
      <c r="G343" s="47" t="s">
        <v>112</v>
      </c>
      <c r="H343" s="47" t="s">
        <v>113</v>
      </c>
      <c r="I343" s="47" t="s">
        <v>50</v>
      </c>
      <c r="J343" s="47" t="s">
        <v>51</v>
      </c>
      <c r="K343" s="48">
        <v>44750</v>
      </c>
      <c r="L343" s="48">
        <v>45115</v>
      </c>
      <c r="M343" s="48">
        <v>45511</v>
      </c>
      <c r="N343" s="47" t="s">
        <v>64</v>
      </c>
      <c r="O343" s="55" t="s">
        <v>53</v>
      </c>
      <c r="P343" s="62">
        <v>13920</v>
      </c>
      <c r="Q343" s="62">
        <v>1160</v>
      </c>
      <c r="R343" s="96">
        <v>13800</v>
      </c>
      <c r="S343" s="62">
        <f t="shared" si="72"/>
        <v>1150</v>
      </c>
      <c r="T343" s="62">
        <v>13500</v>
      </c>
      <c r="U343" s="62">
        <f t="shared" si="73"/>
        <v>1125</v>
      </c>
      <c r="V343" s="69">
        <v>12480</v>
      </c>
      <c r="W343" s="71">
        <v>1255</v>
      </c>
      <c r="X343" s="71"/>
      <c r="Y343" s="71"/>
      <c r="Z343" s="64">
        <f t="shared" si="81"/>
        <v>0.11555555555555555</v>
      </c>
      <c r="AA343" s="64">
        <f t="shared" si="76"/>
        <v>9.1304347826086957E-2</v>
      </c>
      <c r="AB343" s="71">
        <v>1185</v>
      </c>
      <c r="AC343" s="64">
        <f t="shared" si="82"/>
        <v>5.3333333333333337E-2</v>
      </c>
      <c r="AD343" s="64">
        <f t="shared" si="77"/>
        <v>3.0434782608695653E-2</v>
      </c>
      <c r="AE343" s="138">
        <v>1155</v>
      </c>
      <c r="AF343" s="64">
        <f t="shared" si="83"/>
        <v>2.6666666666666668E-2</v>
      </c>
      <c r="AG343" s="64">
        <f t="shared" si="78"/>
        <v>4.3478260869565218E-3</v>
      </c>
      <c r="AH343" s="67" t="s">
        <v>114</v>
      </c>
      <c r="AI343" s="47" t="s">
        <v>54</v>
      </c>
      <c r="AJ343" s="47">
        <v>537</v>
      </c>
      <c r="AK343" s="47" t="s">
        <v>55</v>
      </c>
      <c r="AL343" s="47" t="s">
        <v>55</v>
      </c>
      <c r="AM343" s="47" t="s">
        <v>115</v>
      </c>
      <c r="AN343" s="47"/>
      <c r="AO343" s="211">
        <f t="shared" si="84"/>
        <v>-1</v>
      </c>
      <c r="AP343" s="47" t="s">
        <v>90</v>
      </c>
      <c r="AQ343" s="91" t="s">
        <v>116</v>
      </c>
      <c r="AR343" s="47" t="s">
        <v>117</v>
      </c>
    </row>
    <row r="344" spans="1:44" hidden="1">
      <c r="A344" s="47" t="s">
        <v>44</v>
      </c>
      <c r="B344" s="47" t="str">
        <f t="shared" si="80"/>
        <v>August</v>
      </c>
      <c r="C344" s="59">
        <v>45528</v>
      </c>
      <c r="D344" s="47" t="s">
        <v>109</v>
      </c>
      <c r="E344" s="47" t="s">
        <v>110</v>
      </c>
      <c r="F344" s="47" t="s">
        <v>111</v>
      </c>
      <c r="G344" s="47" t="s">
        <v>1205</v>
      </c>
      <c r="H344" s="47" t="s">
        <v>1206</v>
      </c>
      <c r="I344" s="47" t="s">
        <v>1207</v>
      </c>
      <c r="J344" s="47" t="s">
        <v>51</v>
      </c>
      <c r="K344" s="48">
        <v>45163</v>
      </c>
      <c r="L344" s="48">
        <v>45163</v>
      </c>
      <c r="M344" s="48">
        <v>45528</v>
      </c>
      <c r="N344" s="47" t="s">
        <v>52</v>
      </c>
      <c r="O344" s="55" t="s">
        <v>53</v>
      </c>
      <c r="P344" s="62">
        <v>13920</v>
      </c>
      <c r="Q344" s="62">
        <v>1160</v>
      </c>
      <c r="R344" s="96">
        <v>13800</v>
      </c>
      <c r="S344" s="62">
        <f t="shared" si="72"/>
        <v>1150</v>
      </c>
      <c r="T344" s="62">
        <v>14400</v>
      </c>
      <c r="U344" s="62">
        <f t="shared" si="73"/>
        <v>1200</v>
      </c>
      <c r="V344" s="69">
        <v>12420</v>
      </c>
      <c r="W344" s="71">
        <v>1255</v>
      </c>
      <c r="X344" s="71"/>
      <c r="Y344" s="71"/>
      <c r="Z344" s="64">
        <f t="shared" si="81"/>
        <v>4.583333333333333E-2</v>
      </c>
      <c r="AA344" s="64">
        <f t="shared" si="76"/>
        <v>9.1304347826086957E-2</v>
      </c>
      <c r="AB344" s="71">
        <v>1265</v>
      </c>
      <c r="AC344" s="64">
        <f t="shared" si="82"/>
        <v>5.4166666666666669E-2</v>
      </c>
      <c r="AD344" s="64">
        <f t="shared" si="77"/>
        <v>0.1</v>
      </c>
      <c r="AE344" s="234">
        <v>1205</v>
      </c>
      <c r="AF344" s="64">
        <f t="shared" si="83"/>
        <v>4.1666666666666666E-3</v>
      </c>
      <c r="AG344" s="64">
        <f t="shared" si="78"/>
        <v>4.7826086956521741E-2</v>
      </c>
      <c r="AH344" s="67" t="s">
        <v>1208</v>
      </c>
      <c r="AI344" s="47" t="s">
        <v>54</v>
      </c>
      <c r="AJ344" s="47">
        <v>545</v>
      </c>
      <c r="AK344" s="47" t="s">
        <v>55</v>
      </c>
      <c r="AL344" s="47" t="s">
        <v>55</v>
      </c>
      <c r="AM344" s="47" t="s">
        <v>1209</v>
      </c>
      <c r="AN344" s="47"/>
      <c r="AO344" s="211">
        <f t="shared" si="84"/>
        <v>-1</v>
      </c>
      <c r="AP344" s="47" t="s">
        <v>90</v>
      </c>
      <c r="AQ344" s="128" t="s">
        <v>116</v>
      </c>
      <c r="AR344" s="47" t="s">
        <v>131</v>
      </c>
    </row>
    <row r="345" spans="1:44">
      <c r="A345" s="47" t="s">
        <v>44</v>
      </c>
      <c r="B345" s="47" t="str">
        <f t="shared" si="80"/>
        <v>August</v>
      </c>
      <c r="C345" s="59">
        <v>45505</v>
      </c>
      <c r="D345" s="47" t="s">
        <v>109</v>
      </c>
      <c r="E345" s="47" t="s">
        <v>110</v>
      </c>
      <c r="F345" s="47" t="s">
        <v>111</v>
      </c>
      <c r="G345" s="47" t="s">
        <v>1291</v>
      </c>
      <c r="H345" s="47" t="s">
        <v>1292</v>
      </c>
      <c r="I345" s="47" t="s">
        <v>50</v>
      </c>
      <c r="J345" s="47" t="s">
        <v>51</v>
      </c>
      <c r="K345" s="48">
        <v>44775</v>
      </c>
      <c r="L345" s="48">
        <v>45140</v>
      </c>
      <c r="M345" s="48">
        <v>45505</v>
      </c>
      <c r="N345" s="47" t="s">
        <v>64</v>
      </c>
      <c r="O345" s="55" t="s">
        <v>53</v>
      </c>
      <c r="P345" s="62">
        <v>17520</v>
      </c>
      <c r="Q345" s="62">
        <v>1460</v>
      </c>
      <c r="R345" s="96">
        <v>17820</v>
      </c>
      <c r="S345" s="62">
        <f t="shared" si="72"/>
        <v>1485</v>
      </c>
      <c r="T345" s="62">
        <v>16500</v>
      </c>
      <c r="U345" s="62">
        <f t="shared" si="73"/>
        <v>1375</v>
      </c>
      <c r="V345" s="69">
        <v>15300</v>
      </c>
      <c r="W345" s="71">
        <v>1545</v>
      </c>
      <c r="X345" s="71"/>
      <c r="Y345" s="71"/>
      <c r="Z345" s="64">
        <f t="shared" si="81"/>
        <v>0.12363636363636364</v>
      </c>
      <c r="AA345" s="64">
        <f t="shared" si="76"/>
        <v>4.0404040404040407E-2</v>
      </c>
      <c r="AB345" s="71">
        <v>1490</v>
      </c>
      <c r="AC345" s="64">
        <f t="shared" si="82"/>
        <v>8.3636363636363634E-2</v>
      </c>
      <c r="AD345" s="64">
        <f t="shared" si="77"/>
        <v>3.3670033670033669E-3</v>
      </c>
      <c r="AE345" s="71">
        <v>1475</v>
      </c>
      <c r="AF345" s="64">
        <f t="shared" si="83"/>
        <v>7.2727272727272724E-2</v>
      </c>
      <c r="AG345" s="64">
        <f t="shared" si="78"/>
        <v>-6.7340067340067337E-3</v>
      </c>
      <c r="AH345" s="67"/>
      <c r="AI345" s="47" t="s">
        <v>54</v>
      </c>
      <c r="AJ345" s="47">
        <v>737</v>
      </c>
      <c r="AK345" s="47" t="s">
        <v>65</v>
      </c>
      <c r="AL345" s="47" t="s">
        <v>65</v>
      </c>
      <c r="AM345" s="47" t="s">
        <v>1293</v>
      </c>
      <c r="AN345" s="47"/>
      <c r="AO345" s="211">
        <f t="shared" si="84"/>
        <v>-1</v>
      </c>
      <c r="AP345" s="47" t="s">
        <v>90</v>
      </c>
      <c r="AQ345" s="91" t="s">
        <v>58</v>
      </c>
      <c r="AR345" s="47"/>
    </row>
    <row r="346" spans="1:44" ht="17.25" hidden="1" customHeight="1">
      <c r="A346" s="47" t="s">
        <v>44</v>
      </c>
      <c r="B346" s="47" t="str">
        <f t="shared" si="80"/>
        <v>August</v>
      </c>
      <c r="C346" s="59">
        <v>45510</v>
      </c>
      <c r="D346" s="47" t="s">
        <v>109</v>
      </c>
      <c r="E346" s="47" t="s">
        <v>110</v>
      </c>
      <c r="F346" s="47" t="s">
        <v>111</v>
      </c>
      <c r="G346" s="47" t="s">
        <v>1299</v>
      </c>
      <c r="H346" s="47" t="s">
        <v>1300</v>
      </c>
      <c r="I346" s="47" t="s">
        <v>1301</v>
      </c>
      <c r="J346" s="47" t="s">
        <v>51</v>
      </c>
      <c r="K346" s="48">
        <v>45145</v>
      </c>
      <c r="L346" s="48">
        <v>45145</v>
      </c>
      <c r="M346" s="48">
        <v>45510</v>
      </c>
      <c r="N346" s="47" t="s">
        <v>52</v>
      </c>
      <c r="O346" s="55" t="s">
        <v>53</v>
      </c>
      <c r="P346" s="62">
        <v>18600</v>
      </c>
      <c r="Q346" s="62">
        <v>1550</v>
      </c>
      <c r="R346" s="96">
        <v>19620</v>
      </c>
      <c r="S346" s="62">
        <f t="shared" si="72"/>
        <v>1635</v>
      </c>
      <c r="T346" s="62">
        <v>18600</v>
      </c>
      <c r="U346" s="62">
        <f t="shared" si="73"/>
        <v>1550</v>
      </c>
      <c r="V346" s="69">
        <v>17220</v>
      </c>
      <c r="W346" s="71">
        <v>1740</v>
      </c>
      <c r="X346" s="71"/>
      <c r="Y346" s="71"/>
      <c r="Z346" s="64">
        <f t="shared" si="81"/>
        <v>0.12258064516129032</v>
      </c>
      <c r="AA346" s="64">
        <f t="shared" si="76"/>
        <v>6.4220183486238536E-2</v>
      </c>
      <c r="AB346" s="71">
        <v>1650</v>
      </c>
      <c r="AC346" s="64">
        <f t="shared" si="82"/>
        <v>6.4516129032258063E-2</v>
      </c>
      <c r="AD346" s="64">
        <f t="shared" si="77"/>
        <v>9.1743119266055051E-3</v>
      </c>
      <c r="AE346" s="71">
        <v>1635</v>
      </c>
      <c r="AF346" s="64">
        <f t="shared" si="83"/>
        <v>5.4838709677419356E-2</v>
      </c>
      <c r="AG346" s="64">
        <f t="shared" si="78"/>
        <v>0</v>
      </c>
      <c r="AH346" s="67"/>
      <c r="AI346" s="47" t="s">
        <v>54</v>
      </c>
      <c r="AJ346" s="47">
        <v>742</v>
      </c>
      <c r="AK346" s="47" t="s">
        <v>65</v>
      </c>
      <c r="AL346" s="47" t="s">
        <v>65</v>
      </c>
      <c r="AM346" s="47" t="s">
        <v>1302</v>
      </c>
      <c r="AN346" s="47"/>
      <c r="AO346" s="211">
        <f t="shared" si="84"/>
        <v>-1</v>
      </c>
      <c r="AP346" s="47" t="s">
        <v>90</v>
      </c>
      <c r="AQ346" s="91" t="s">
        <v>116</v>
      </c>
      <c r="AR346" s="47"/>
    </row>
    <row r="347" spans="1:44" hidden="1">
      <c r="A347" s="47" t="s">
        <v>44</v>
      </c>
      <c r="B347" s="47" t="str">
        <f t="shared" si="80"/>
        <v>August</v>
      </c>
      <c r="C347" s="59">
        <v>45511</v>
      </c>
      <c r="D347" s="47" t="s">
        <v>109</v>
      </c>
      <c r="E347" s="47" t="s">
        <v>110</v>
      </c>
      <c r="F347" s="47" t="s">
        <v>111</v>
      </c>
      <c r="G347" s="47" t="s">
        <v>1303</v>
      </c>
      <c r="H347" s="47" t="s">
        <v>1304</v>
      </c>
      <c r="I347" s="47" t="s">
        <v>50</v>
      </c>
      <c r="J347" s="47" t="s">
        <v>51</v>
      </c>
      <c r="K347" s="48">
        <v>45146</v>
      </c>
      <c r="L347" s="48">
        <v>45146</v>
      </c>
      <c r="M347" s="48">
        <v>45511</v>
      </c>
      <c r="N347" s="47" t="s">
        <v>52</v>
      </c>
      <c r="O347" s="55" t="s">
        <v>53</v>
      </c>
      <c r="P347" s="62">
        <v>16980</v>
      </c>
      <c r="Q347" s="62">
        <v>1415</v>
      </c>
      <c r="R347" s="96">
        <v>17700</v>
      </c>
      <c r="S347" s="62">
        <f t="shared" si="72"/>
        <v>1475</v>
      </c>
      <c r="T347" s="62">
        <v>17220</v>
      </c>
      <c r="U347" s="62">
        <f t="shared" si="73"/>
        <v>1435</v>
      </c>
      <c r="V347" s="69">
        <v>16059.12</v>
      </c>
      <c r="W347" s="71">
        <v>1560</v>
      </c>
      <c r="X347" s="71"/>
      <c r="Y347" s="71"/>
      <c r="Z347" s="64">
        <f t="shared" si="81"/>
        <v>8.7108013937282236E-2</v>
      </c>
      <c r="AA347" s="64">
        <f t="shared" si="76"/>
        <v>5.7627118644067797E-2</v>
      </c>
      <c r="AB347" s="71">
        <v>1525</v>
      </c>
      <c r="AC347" s="64">
        <f t="shared" si="82"/>
        <v>6.2717770034843204E-2</v>
      </c>
      <c r="AD347" s="64">
        <f t="shared" si="77"/>
        <v>3.3898305084745763E-2</v>
      </c>
      <c r="AE347" s="138">
        <v>1485</v>
      </c>
      <c r="AF347" s="64">
        <f t="shared" si="83"/>
        <v>3.484320557491289E-2</v>
      </c>
      <c r="AG347" s="64">
        <f t="shared" si="78"/>
        <v>6.7796610169491523E-3</v>
      </c>
      <c r="AH347" s="67" t="s">
        <v>1305</v>
      </c>
      <c r="AI347" s="47" t="s">
        <v>54</v>
      </c>
      <c r="AJ347" s="47">
        <v>777</v>
      </c>
      <c r="AK347" s="47" t="s">
        <v>65</v>
      </c>
      <c r="AL347" s="47" t="s">
        <v>65</v>
      </c>
      <c r="AM347" s="47" t="s">
        <v>1306</v>
      </c>
      <c r="AN347" s="47"/>
      <c r="AO347" s="211">
        <f t="shared" si="84"/>
        <v>-1</v>
      </c>
      <c r="AP347" s="47" t="s">
        <v>90</v>
      </c>
      <c r="AQ347" s="91" t="s">
        <v>116</v>
      </c>
      <c r="AR347" s="47"/>
    </row>
    <row r="348" spans="1:44" hidden="1">
      <c r="A348" s="47" t="s">
        <v>44</v>
      </c>
      <c r="B348" s="47" t="str">
        <f t="shared" si="80"/>
        <v>August</v>
      </c>
      <c r="C348" s="59">
        <v>45511</v>
      </c>
      <c r="D348" s="47" t="s">
        <v>109</v>
      </c>
      <c r="E348" s="47" t="s">
        <v>110</v>
      </c>
      <c r="F348" s="47" t="s">
        <v>111</v>
      </c>
      <c r="G348" s="47" t="s">
        <v>1434</v>
      </c>
      <c r="H348" s="47" t="s">
        <v>1435</v>
      </c>
      <c r="I348" s="47" t="s">
        <v>50</v>
      </c>
      <c r="J348" s="47" t="s">
        <v>51</v>
      </c>
      <c r="K348" s="48">
        <v>45146</v>
      </c>
      <c r="L348" s="48">
        <v>45146</v>
      </c>
      <c r="M348" s="48">
        <v>45511</v>
      </c>
      <c r="N348" s="47" t="s">
        <v>52</v>
      </c>
      <c r="O348" s="55" t="s">
        <v>53</v>
      </c>
      <c r="P348" s="62">
        <v>17520</v>
      </c>
      <c r="Q348" s="62">
        <v>1460</v>
      </c>
      <c r="R348" s="96">
        <v>17820</v>
      </c>
      <c r="S348" s="62">
        <f t="shared" si="72"/>
        <v>1485</v>
      </c>
      <c r="T348" s="62">
        <v>17520</v>
      </c>
      <c r="U348" s="62">
        <f t="shared" si="73"/>
        <v>1460</v>
      </c>
      <c r="V348" s="69">
        <v>16140</v>
      </c>
      <c r="W348" s="71">
        <v>1585</v>
      </c>
      <c r="X348" s="71"/>
      <c r="Y348" s="71"/>
      <c r="Z348" s="64">
        <f t="shared" si="81"/>
        <v>8.5616438356164379E-2</v>
      </c>
      <c r="AA348" s="64">
        <f t="shared" si="76"/>
        <v>6.7340067340067339E-2</v>
      </c>
      <c r="AB348" s="71">
        <v>1550</v>
      </c>
      <c r="AC348" s="64">
        <f t="shared" si="82"/>
        <v>6.1643835616438353E-2</v>
      </c>
      <c r="AD348" s="64">
        <f t="shared" si="77"/>
        <v>4.3771043771043773E-2</v>
      </c>
      <c r="AE348" s="138">
        <v>1505</v>
      </c>
      <c r="AF348" s="64">
        <f t="shared" si="83"/>
        <v>3.0821917808219176E-2</v>
      </c>
      <c r="AG348" s="64">
        <f t="shared" si="78"/>
        <v>1.3468013468013467E-2</v>
      </c>
      <c r="AH348" s="67" t="s">
        <v>1436</v>
      </c>
      <c r="AI348" s="47" t="s">
        <v>54</v>
      </c>
      <c r="AJ348" s="47">
        <v>746</v>
      </c>
      <c r="AK348" s="47" t="s">
        <v>65</v>
      </c>
      <c r="AL348" s="47" t="s">
        <v>65</v>
      </c>
      <c r="AM348" s="47" t="s">
        <v>1437</v>
      </c>
      <c r="AN348" s="47">
        <v>1515</v>
      </c>
      <c r="AO348" s="211">
        <f t="shared" si="84"/>
        <v>3.7671232876712327E-2</v>
      </c>
      <c r="AP348" s="47" t="s">
        <v>90</v>
      </c>
      <c r="AQ348" s="91" t="s">
        <v>116</v>
      </c>
      <c r="AR348" s="47"/>
    </row>
    <row r="349" spans="1:44">
      <c r="A349" s="47" t="s">
        <v>44</v>
      </c>
      <c r="B349" s="47" t="str">
        <f t="shared" si="80"/>
        <v>August</v>
      </c>
      <c r="C349" s="59">
        <v>45513</v>
      </c>
      <c r="D349" s="47" t="s">
        <v>109</v>
      </c>
      <c r="E349" s="47" t="s">
        <v>110</v>
      </c>
      <c r="F349" s="47" t="s">
        <v>111</v>
      </c>
      <c r="G349" s="47" t="s">
        <v>1597</v>
      </c>
      <c r="H349" s="47" t="s">
        <v>1598</v>
      </c>
      <c r="I349" s="47" t="s">
        <v>50</v>
      </c>
      <c r="J349" s="47" t="s">
        <v>51</v>
      </c>
      <c r="K349" s="48">
        <v>44783</v>
      </c>
      <c r="L349" s="48">
        <v>45148</v>
      </c>
      <c r="M349" s="48">
        <v>45513</v>
      </c>
      <c r="N349" s="47" t="s">
        <v>64</v>
      </c>
      <c r="O349" s="55" t="s">
        <v>53</v>
      </c>
      <c r="P349" s="62">
        <v>18600</v>
      </c>
      <c r="Q349" s="62">
        <v>1550</v>
      </c>
      <c r="R349" s="96">
        <v>19800</v>
      </c>
      <c r="S349" s="62">
        <f t="shared" si="72"/>
        <v>1650</v>
      </c>
      <c r="T349" s="62">
        <v>19200</v>
      </c>
      <c r="U349" s="62">
        <f t="shared" si="73"/>
        <v>1600</v>
      </c>
      <c r="V349" s="69">
        <v>18600</v>
      </c>
      <c r="W349" s="71">
        <v>1690</v>
      </c>
      <c r="X349" s="71"/>
      <c r="Y349" s="71"/>
      <c r="Z349" s="64">
        <f t="shared" si="81"/>
        <v>5.6250000000000001E-2</v>
      </c>
      <c r="AA349" s="64">
        <f t="shared" si="76"/>
        <v>2.4242424242424242E-2</v>
      </c>
      <c r="AB349" s="71">
        <v>1680</v>
      </c>
      <c r="AC349" s="64">
        <f t="shared" si="82"/>
        <v>0.05</v>
      </c>
      <c r="AD349" s="64">
        <f t="shared" si="77"/>
        <v>1.8181818181818181E-2</v>
      </c>
      <c r="AE349" s="71">
        <v>1665</v>
      </c>
      <c r="AF349" s="64">
        <f t="shared" si="83"/>
        <v>4.0625000000000001E-2</v>
      </c>
      <c r="AG349" s="64">
        <f t="shared" si="78"/>
        <v>9.0909090909090905E-3</v>
      </c>
      <c r="AH349" s="67"/>
      <c r="AI349" s="47" t="s">
        <v>54</v>
      </c>
      <c r="AJ349" s="47">
        <v>777</v>
      </c>
      <c r="AK349" s="47" t="s">
        <v>65</v>
      </c>
      <c r="AL349" s="47" t="s">
        <v>65</v>
      </c>
      <c r="AM349" s="47" t="s">
        <v>1599</v>
      </c>
      <c r="AN349" s="47">
        <v>1665</v>
      </c>
      <c r="AO349" s="211">
        <f t="shared" si="84"/>
        <v>4.0625000000000001E-2</v>
      </c>
      <c r="AP349" s="47" t="s">
        <v>90</v>
      </c>
      <c r="AQ349" s="91" t="s">
        <v>116</v>
      </c>
      <c r="AR349" s="47"/>
    </row>
    <row r="350" spans="1:44" hidden="1">
      <c r="A350" s="47" t="s">
        <v>44</v>
      </c>
      <c r="B350" s="47" t="str">
        <f t="shared" si="80"/>
        <v>August</v>
      </c>
      <c r="C350" s="59">
        <v>45515</v>
      </c>
      <c r="D350" s="47" t="s">
        <v>109</v>
      </c>
      <c r="E350" s="47" t="s">
        <v>110</v>
      </c>
      <c r="F350" s="47" t="s">
        <v>111</v>
      </c>
      <c r="G350" s="47" t="s">
        <v>1600</v>
      </c>
      <c r="H350" s="47" t="s">
        <v>1601</v>
      </c>
      <c r="I350" s="47" t="s">
        <v>50</v>
      </c>
      <c r="J350" s="47" t="s">
        <v>51</v>
      </c>
      <c r="K350" s="48">
        <v>45150</v>
      </c>
      <c r="L350" s="48">
        <v>45150</v>
      </c>
      <c r="M350" s="48">
        <v>45515</v>
      </c>
      <c r="N350" s="47" t="s">
        <v>52</v>
      </c>
      <c r="O350" s="55" t="s">
        <v>53</v>
      </c>
      <c r="P350" s="62">
        <v>16980</v>
      </c>
      <c r="Q350" s="62">
        <v>1415</v>
      </c>
      <c r="R350" s="96">
        <v>17700</v>
      </c>
      <c r="S350" s="62">
        <f t="shared" si="72"/>
        <v>1475</v>
      </c>
      <c r="T350" s="62">
        <v>16500</v>
      </c>
      <c r="U350" s="62">
        <f t="shared" si="73"/>
        <v>1375</v>
      </c>
      <c r="V350" s="69">
        <v>14580</v>
      </c>
      <c r="W350" s="71">
        <v>1520</v>
      </c>
      <c r="X350" s="71"/>
      <c r="Y350" s="71"/>
      <c r="Z350" s="64">
        <f t="shared" si="81"/>
        <v>0.10545454545454545</v>
      </c>
      <c r="AA350" s="64">
        <f t="shared" si="76"/>
        <v>3.0508474576271188E-2</v>
      </c>
      <c r="AB350" s="71">
        <v>1490</v>
      </c>
      <c r="AC350" s="64">
        <f t="shared" si="82"/>
        <v>8.3636363636363634E-2</v>
      </c>
      <c r="AD350" s="64">
        <f t="shared" si="77"/>
        <v>1.0169491525423728E-2</v>
      </c>
      <c r="AE350" s="71">
        <v>1475</v>
      </c>
      <c r="AF350" s="64">
        <f t="shared" si="83"/>
        <v>7.2727272727272724E-2</v>
      </c>
      <c r="AG350" s="64">
        <f t="shared" si="78"/>
        <v>0</v>
      </c>
      <c r="AH350" s="67"/>
      <c r="AI350" s="47" t="s">
        <v>54</v>
      </c>
      <c r="AJ350" s="47">
        <v>753</v>
      </c>
      <c r="AK350" s="47" t="s">
        <v>65</v>
      </c>
      <c r="AL350" s="47" t="s">
        <v>65</v>
      </c>
      <c r="AM350" s="47" t="s">
        <v>1602</v>
      </c>
      <c r="AN350" s="47"/>
      <c r="AO350" s="211">
        <f t="shared" si="84"/>
        <v>-1</v>
      </c>
      <c r="AP350" s="47" t="s">
        <v>90</v>
      </c>
      <c r="AQ350" s="91" t="s">
        <v>116</v>
      </c>
      <c r="AR350" s="47"/>
    </row>
    <row r="351" spans="1:44">
      <c r="A351" s="47" t="s">
        <v>44</v>
      </c>
      <c r="B351" s="47" t="str">
        <f t="shared" si="80"/>
        <v>August</v>
      </c>
      <c r="C351" s="59">
        <v>45515</v>
      </c>
      <c r="D351" s="47" t="s">
        <v>109</v>
      </c>
      <c r="E351" s="47" t="s">
        <v>110</v>
      </c>
      <c r="F351" s="47" t="s">
        <v>111</v>
      </c>
      <c r="G351" s="47" t="s">
        <v>1957</v>
      </c>
      <c r="H351" s="47" t="s">
        <v>1958</v>
      </c>
      <c r="I351" s="47" t="s">
        <v>50</v>
      </c>
      <c r="J351" s="47" t="s">
        <v>51</v>
      </c>
      <c r="K351" s="48">
        <v>44420</v>
      </c>
      <c r="L351" s="48">
        <v>45150</v>
      </c>
      <c r="M351" s="48">
        <v>45515</v>
      </c>
      <c r="N351" s="47" t="s">
        <v>64</v>
      </c>
      <c r="O351" s="55" t="s">
        <v>53</v>
      </c>
      <c r="P351" s="62">
        <v>18000</v>
      </c>
      <c r="Q351" s="62">
        <v>1500</v>
      </c>
      <c r="R351" s="96">
        <v>18000</v>
      </c>
      <c r="S351" s="62">
        <f t="shared" si="72"/>
        <v>1500</v>
      </c>
      <c r="T351" s="62">
        <v>18600</v>
      </c>
      <c r="U351" s="62">
        <f t="shared" si="73"/>
        <v>1550</v>
      </c>
      <c r="V351" s="69">
        <v>18000</v>
      </c>
      <c r="W351" s="71">
        <v>1565</v>
      </c>
      <c r="X351" s="71"/>
      <c r="Y351" s="71"/>
      <c r="Z351" s="64">
        <f t="shared" si="81"/>
        <v>9.6774193548387101E-3</v>
      </c>
      <c r="AA351" s="64">
        <f t="shared" si="76"/>
        <v>4.3333333333333335E-2</v>
      </c>
      <c r="AB351" s="71">
        <v>1630</v>
      </c>
      <c r="AC351" s="64">
        <f t="shared" si="82"/>
        <v>5.1612903225806452E-2</v>
      </c>
      <c r="AD351" s="64">
        <f t="shared" si="77"/>
        <v>8.666666666666667E-2</v>
      </c>
      <c r="AE351" s="71">
        <v>1610</v>
      </c>
      <c r="AF351" s="64">
        <f t="shared" si="83"/>
        <v>3.870967741935484E-2</v>
      </c>
      <c r="AG351" s="64">
        <f t="shared" si="78"/>
        <v>7.3333333333333334E-2</v>
      </c>
      <c r="AH351" s="67"/>
      <c r="AI351" s="47" t="s">
        <v>54</v>
      </c>
      <c r="AJ351" s="47">
        <v>777</v>
      </c>
      <c r="AK351" s="47" t="s">
        <v>65</v>
      </c>
      <c r="AL351" s="47" t="s">
        <v>65</v>
      </c>
      <c r="AM351" s="47" t="s">
        <v>1959</v>
      </c>
      <c r="AN351" s="47">
        <v>1630</v>
      </c>
      <c r="AO351" s="211">
        <f t="shared" si="84"/>
        <v>5.1612903225806452E-2</v>
      </c>
      <c r="AP351" s="47" t="s">
        <v>90</v>
      </c>
      <c r="AQ351" s="111" t="s">
        <v>125</v>
      </c>
      <c r="AR351" s="47"/>
    </row>
    <row r="352" spans="1:44" hidden="1">
      <c r="A352" s="47" t="s">
        <v>44</v>
      </c>
      <c r="B352" s="47" t="str">
        <f t="shared" si="80"/>
        <v>August</v>
      </c>
      <c r="C352" s="59">
        <v>45519</v>
      </c>
      <c r="D352" s="47" t="s">
        <v>109</v>
      </c>
      <c r="E352" s="47" t="s">
        <v>110</v>
      </c>
      <c r="F352" s="47" t="s">
        <v>111</v>
      </c>
      <c r="G352" s="47" t="s">
        <v>1960</v>
      </c>
      <c r="H352" s="47" t="s">
        <v>1961</v>
      </c>
      <c r="I352" s="47" t="s">
        <v>50</v>
      </c>
      <c r="J352" s="47" t="s">
        <v>51</v>
      </c>
      <c r="K352" s="48">
        <v>45154</v>
      </c>
      <c r="L352" s="48">
        <v>45154</v>
      </c>
      <c r="M352" s="48">
        <v>45519</v>
      </c>
      <c r="N352" s="47" t="s">
        <v>52</v>
      </c>
      <c r="O352" s="55" t="s">
        <v>53</v>
      </c>
      <c r="P352" s="62">
        <v>18600</v>
      </c>
      <c r="Q352" s="62">
        <v>1550</v>
      </c>
      <c r="R352" s="96">
        <v>19620</v>
      </c>
      <c r="S352" s="62">
        <f t="shared" si="72"/>
        <v>1635</v>
      </c>
      <c r="T352" s="62">
        <v>18000</v>
      </c>
      <c r="U352" s="62">
        <f t="shared" si="73"/>
        <v>1500</v>
      </c>
      <c r="V352" s="69">
        <v>17280</v>
      </c>
      <c r="W352" s="71">
        <v>1630</v>
      </c>
      <c r="X352" s="71"/>
      <c r="Y352" s="71"/>
      <c r="Z352" s="64">
        <f t="shared" si="81"/>
        <v>8.666666666666667E-2</v>
      </c>
      <c r="AA352" s="64">
        <f t="shared" si="76"/>
        <v>-3.0581039755351682E-3</v>
      </c>
      <c r="AB352" s="71">
        <v>1650</v>
      </c>
      <c r="AC352" s="64">
        <f t="shared" si="82"/>
        <v>0.1</v>
      </c>
      <c r="AD352" s="64">
        <f t="shared" si="77"/>
        <v>9.1743119266055051E-3</v>
      </c>
      <c r="AE352" s="71">
        <v>1625</v>
      </c>
      <c r="AF352" s="64">
        <f t="shared" si="83"/>
        <v>8.3333333333333329E-2</v>
      </c>
      <c r="AG352" s="64">
        <f t="shared" si="78"/>
        <v>-6.1162079510703364E-3</v>
      </c>
      <c r="AH352" s="67"/>
      <c r="AI352" s="47" t="s">
        <v>54</v>
      </c>
      <c r="AJ352" s="47">
        <v>786</v>
      </c>
      <c r="AK352" s="47" t="s">
        <v>65</v>
      </c>
      <c r="AL352" s="47" t="s">
        <v>65</v>
      </c>
      <c r="AM352" s="47" t="s">
        <v>1962</v>
      </c>
      <c r="AN352" s="47"/>
      <c r="AO352" s="211">
        <f t="shared" si="84"/>
        <v>-1</v>
      </c>
      <c r="AP352" s="47" t="s">
        <v>90</v>
      </c>
      <c r="AQ352" s="91" t="s">
        <v>116</v>
      </c>
      <c r="AR352" s="47" t="s">
        <v>117</v>
      </c>
    </row>
    <row r="353" spans="1:44" hidden="1">
      <c r="A353" s="47" t="s">
        <v>44</v>
      </c>
      <c r="B353" s="47" t="str">
        <f t="shared" si="80"/>
        <v>July</v>
      </c>
      <c r="C353" s="59">
        <v>45493</v>
      </c>
      <c r="D353" s="47" t="s">
        <v>109</v>
      </c>
      <c r="E353" s="47" t="s">
        <v>110</v>
      </c>
      <c r="F353" s="47" t="s">
        <v>111</v>
      </c>
      <c r="G353" s="47" t="s">
        <v>2194</v>
      </c>
      <c r="H353" s="47" t="s">
        <v>2195</v>
      </c>
      <c r="I353" s="47" t="s">
        <v>50</v>
      </c>
      <c r="J353" s="47" t="s">
        <v>51</v>
      </c>
      <c r="K353" s="48">
        <v>45128</v>
      </c>
      <c r="L353" s="48">
        <v>45128</v>
      </c>
      <c r="M353" s="48">
        <v>45493</v>
      </c>
      <c r="N353" s="47" t="s">
        <v>52</v>
      </c>
      <c r="O353" s="55" t="s">
        <v>53</v>
      </c>
      <c r="P353" s="62">
        <v>18600</v>
      </c>
      <c r="Q353" s="62">
        <v>1550</v>
      </c>
      <c r="R353" s="96">
        <v>18600</v>
      </c>
      <c r="S353" s="62">
        <f t="shared" si="72"/>
        <v>1550</v>
      </c>
      <c r="T353" s="62">
        <v>17940</v>
      </c>
      <c r="U353" s="62">
        <f t="shared" si="73"/>
        <v>1495</v>
      </c>
      <c r="V353" s="69">
        <v>16860</v>
      </c>
      <c r="W353" s="71">
        <v>1545</v>
      </c>
      <c r="X353" s="71"/>
      <c r="Y353" s="71"/>
      <c r="Z353" s="64">
        <f t="shared" si="81"/>
        <v>3.3444816053511704E-2</v>
      </c>
      <c r="AA353" s="64">
        <f t="shared" si="76"/>
        <v>-3.2258064516129032E-3</v>
      </c>
      <c r="AB353" s="71">
        <v>1600</v>
      </c>
      <c r="AC353" s="64">
        <f t="shared" si="82"/>
        <v>7.0234113712374577E-2</v>
      </c>
      <c r="AD353" s="64">
        <f t="shared" si="77"/>
        <v>3.2258064516129031E-2</v>
      </c>
      <c r="AE353" s="71">
        <v>1575</v>
      </c>
      <c r="AF353" s="64">
        <f t="shared" si="83"/>
        <v>5.3511705685618728E-2</v>
      </c>
      <c r="AG353" s="64">
        <f t="shared" si="78"/>
        <v>1.6129032258064516E-2</v>
      </c>
      <c r="AH353" s="67"/>
      <c r="AI353" s="47" t="s">
        <v>54</v>
      </c>
      <c r="AJ353" s="47">
        <v>786</v>
      </c>
      <c r="AK353" s="101" t="s">
        <v>65</v>
      </c>
      <c r="AL353" s="101" t="s">
        <v>65</v>
      </c>
      <c r="AM353" s="47" t="s">
        <v>2196</v>
      </c>
      <c r="AN353" s="47">
        <v>1600</v>
      </c>
      <c r="AO353" s="211">
        <f t="shared" si="84"/>
        <v>7.0234113712374577E-2</v>
      </c>
      <c r="AP353" s="47" t="s">
        <v>90</v>
      </c>
      <c r="AQ353" s="91" t="s">
        <v>116</v>
      </c>
      <c r="AR353" s="47"/>
    </row>
    <row r="354" spans="1:44" hidden="1">
      <c r="A354" s="47" t="s">
        <v>44</v>
      </c>
      <c r="B354" s="47" t="str">
        <f t="shared" si="80"/>
        <v>July</v>
      </c>
      <c r="C354" s="59">
        <v>45490</v>
      </c>
      <c r="D354" s="47" t="s">
        <v>109</v>
      </c>
      <c r="E354" s="47" t="s">
        <v>110</v>
      </c>
      <c r="F354" s="47" t="s">
        <v>111</v>
      </c>
      <c r="G354" s="47" t="s">
        <v>2197</v>
      </c>
      <c r="H354" s="47" t="s">
        <v>2198</v>
      </c>
      <c r="I354" s="47" t="s">
        <v>50</v>
      </c>
      <c r="J354" s="47" t="s">
        <v>51</v>
      </c>
      <c r="K354" s="48">
        <v>45125</v>
      </c>
      <c r="L354" s="48">
        <v>45125</v>
      </c>
      <c r="M354" s="48">
        <v>45490</v>
      </c>
      <c r="N354" s="47" t="s">
        <v>52</v>
      </c>
      <c r="O354" s="55" t="s">
        <v>53</v>
      </c>
      <c r="P354" s="62">
        <v>18600</v>
      </c>
      <c r="Q354" s="62">
        <v>1550</v>
      </c>
      <c r="R354" s="96">
        <v>19500</v>
      </c>
      <c r="S354" s="62">
        <f t="shared" ref="S354:S398" si="90">R354/12</f>
        <v>1625</v>
      </c>
      <c r="T354" s="62">
        <v>17820</v>
      </c>
      <c r="U354" s="62">
        <f t="shared" ref="U354:U397" si="91">T354/12</f>
        <v>1485</v>
      </c>
      <c r="V354" s="69">
        <v>17160</v>
      </c>
      <c r="W354" s="71">
        <v>1610</v>
      </c>
      <c r="X354" s="71"/>
      <c r="Y354" s="71"/>
      <c r="Z354" s="64">
        <f t="shared" si="81"/>
        <v>8.4175084175084181E-2</v>
      </c>
      <c r="AA354" s="64">
        <f t="shared" si="76"/>
        <v>-9.2307692307692316E-3</v>
      </c>
      <c r="AB354" s="71">
        <v>1650</v>
      </c>
      <c r="AC354" s="64">
        <f t="shared" si="82"/>
        <v>0.1111111111111111</v>
      </c>
      <c r="AD354" s="64">
        <f t="shared" si="77"/>
        <v>1.5384615384615385E-2</v>
      </c>
      <c r="AE354" s="71">
        <v>1600</v>
      </c>
      <c r="AF354" s="64">
        <f t="shared" si="83"/>
        <v>7.7441077441077436E-2</v>
      </c>
      <c r="AG354" s="64">
        <f t="shared" si="78"/>
        <v>-1.5384615384615385E-2</v>
      </c>
      <c r="AH354" s="67"/>
      <c r="AI354" s="47" t="s">
        <v>54</v>
      </c>
      <c r="AJ354" s="47">
        <v>786</v>
      </c>
      <c r="AK354" s="101" t="s">
        <v>65</v>
      </c>
      <c r="AL354" s="101" t="s">
        <v>65</v>
      </c>
      <c r="AM354" s="47" t="s">
        <v>2199</v>
      </c>
      <c r="AN354" s="47"/>
      <c r="AO354" s="211">
        <f t="shared" si="84"/>
        <v>-1</v>
      </c>
      <c r="AP354" s="47" t="s">
        <v>90</v>
      </c>
      <c r="AQ354" s="91" t="s">
        <v>116</v>
      </c>
      <c r="AR354" s="47"/>
    </row>
    <row r="355" spans="1:44">
      <c r="A355" s="47" t="s">
        <v>74</v>
      </c>
      <c r="B355" s="47" t="str">
        <f t="shared" si="80"/>
        <v>July</v>
      </c>
      <c r="C355" s="59">
        <v>45485</v>
      </c>
      <c r="D355" s="47" t="s">
        <v>109</v>
      </c>
      <c r="E355" s="47" t="s">
        <v>110</v>
      </c>
      <c r="F355" s="47" t="s">
        <v>111</v>
      </c>
      <c r="G355" s="47" t="s">
        <v>2200</v>
      </c>
      <c r="H355" s="47" t="s">
        <v>2201</v>
      </c>
      <c r="I355" s="47" t="s">
        <v>2202</v>
      </c>
      <c r="J355" s="47" t="s">
        <v>51</v>
      </c>
      <c r="K355" s="48">
        <v>44390</v>
      </c>
      <c r="L355" s="48">
        <v>45120</v>
      </c>
      <c r="M355" s="48">
        <v>45485</v>
      </c>
      <c r="N355" s="47" t="s">
        <v>64</v>
      </c>
      <c r="O355" s="55" t="s">
        <v>53</v>
      </c>
      <c r="P355" s="62">
        <v>14700</v>
      </c>
      <c r="Q355" s="62">
        <v>1225</v>
      </c>
      <c r="R355" s="96">
        <v>15840</v>
      </c>
      <c r="S355" s="62">
        <f t="shared" si="90"/>
        <v>1320</v>
      </c>
      <c r="T355" s="62">
        <v>13920</v>
      </c>
      <c r="U355" s="62">
        <f t="shared" si="91"/>
        <v>1160</v>
      </c>
      <c r="V355" s="69">
        <v>13320</v>
      </c>
      <c r="W355" s="71">
        <v>1300</v>
      </c>
      <c r="X355" s="71"/>
      <c r="Y355" s="71"/>
      <c r="Z355" s="64">
        <f t="shared" si="81"/>
        <v>0.1206896551724138</v>
      </c>
      <c r="AA355" s="64">
        <f t="shared" si="76"/>
        <v>-1.5151515151515152E-2</v>
      </c>
      <c r="AB355" s="71">
        <v>1300</v>
      </c>
      <c r="AC355" s="64">
        <f t="shared" si="82"/>
        <v>0.1206896551724138</v>
      </c>
      <c r="AD355" s="64">
        <f t="shared" si="77"/>
        <v>-1.5151515151515152E-2</v>
      </c>
      <c r="AE355" s="71">
        <v>1285</v>
      </c>
      <c r="AF355" s="64">
        <f t="shared" si="83"/>
        <v>0.10775862068965517</v>
      </c>
      <c r="AG355" s="64">
        <f t="shared" si="78"/>
        <v>-2.6515151515151516E-2</v>
      </c>
      <c r="AH355" s="67"/>
      <c r="AI355" s="47" t="s">
        <v>395</v>
      </c>
      <c r="AJ355" s="47">
        <v>537</v>
      </c>
      <c r="AK355" s="101" t="s">
        <v>55</v>
      </c>
      <c r="AL355" s="101" t="s">
        <v>55</v>
      </c>
      <c r="AM355" s="47" t="s">
        <v>2203</v>
      </c>
      <c r="AN355" s="47"/>
      <c r="AO355" s="211">
        <f t="shared" si="84"/>
        <v>-1</v>
      </c>
      <c r="AP355" s="47" t="s">
        <v>90</v>
      </c>
      <c r="AQ355" s="91" t="s">
        <v>116</v>
      </c>
      <c r="AR355" s="47"/>
    </row>
    <row r="356" spans="1:44">
      <c r="A356" s="47" t="s">
        <v>44</v>
      </c>
      <c r="B356" s="47" t="str">
        <f t="shared" si="80"/>
        <v>July</v>
      </c>
      <c r="C356" s="59">
        <v>45497</v>
      </c>
      <c r="D356" s="47" t="s">
        <v>109</v>
      </c>
      <c r="E356" s="47" t="s">
        <v>110</v>
      </c>
      <c r="F356" s="47" t="s">
        <v>111</v>
      </c>
      <c r="G356" s="47" t="s">
        <v>2204</v>
      </c>
      <c r="H356" s="47" t="s">
        <v>2205</v>
      </c>
      <c r="I356" s="47" t="s">
        <v>50</v>
      </c>
      <c r="J356" s="47" t="s">
        <v>51</v>
      </c>
      <c r="K356" s="48">
        <v>44767</v>
      </c>
      <c r="L356" s="48">
        <v>45132</v>
      </c>
      <c r="M356" s="48">
        <v>45497</v>
      </c>
      <c r="N356" s="47" t="s">
        <v>64</v>
      </c>
      <c r="O356" s="55" t="s">
        <v>53</v>
      </c>
      <c r="P356" s="62">
        <v>18600</v>
      </c>
      <c r="Q356" s="62">
        <v>1550</v>
      </c>
      <c r="R356" s="96">
        <v>19620</v>
      </c>
      <c r="S356" s="62">
        <f t="shared" si="90"/>
        <v>1635</v>
      </c>
      <c r="T356" s="62">
        <v>18600</v>
      </c>
      <c r="U356" s="62">
        <f t="shared" si="91"/>
        <v>1550</v>
      </c>
      <c r="V356" s="69">
        <v>18420</v>
      </c>
      <c r="W356" s="71">
        <v>1675</v>
      </c>
      <c r="X356" s="71"/>
      <c r="Y356" s="71"/>
      <c r="Z356" s="64">
        <f t="shared" si="81"/>
        <v>8.0645161290322578E-2</v>
      </c>
      <c r="AA356" s="64">
        <f t="shared" si="76"/>
        <v>2.4464831804281346E-2</v>
      </c>
      <c r="AB356" s="71">
        <v>1675</v>
      </c>
      <c r="AC356" s="64">
        <f t="shared" si="82"/>
        <v>8.0645161290322578E-2</v>
      </c>
      <c r="AD356" s="64">
        <f t="shared" si="77"/>
        <v>2.4464831804281346E-2</v>
      </c>
      <c r="AE356" s="71">
        <v>1635</v>
      </c>
      <c r="AF356" s="64">
        <f t="shared" si="83"/>
        <v>5.4838709677419356E-2</v>
      </c>
      <c r="AG356" s="64">
        <f t="shared" si="78"/>
        <v>0</v>
      </c>
      <c r="AH356" s="67"/>
      <c r="AI356" s="47" t="s">
        <v>54</v>
      </c>
      <c r="AJ356" s="47">
        <v>777</v>
      </c>
      <c r="AK356" s="101" t="s">
        <v>65</v>
      </c>
      <c r="AL356" s="101" t="s">
        <v>65</v>
      </c>
      <c r="AM356" s="47" t="s">
        <v>2206</v>
      </c>
      <c r="AN356" s="47"/>
      <c r="AO356" s="211">
        <f t="shared" si="84"/>
        <v>-1</v>
      </c>
      <c r="AP356" s="47" t="s">
        <v>90</v>
      </c>
      <c r="AQ356" s="91" t="s">
        <v>116</v>
      </c>
      <c r="AR356" s="47"/>
    </row>
    <row r="357" spans="1:44">
      <c r="A357" s="47" t="s">
        <v>44</v>
      </c>
      <c r="B357" s="47" t="str">
        <f t="shared" si="80"/>
        <v>July</v>
      </c>
      <c r="C357" s="59">
        <v>45477</v>
      </c>
      <c r="D357" s="47" t="s">
        <v>109</v>
      </c>
      <c r="E357" s="47" t="s">
        <v>110</v>
      </c>
      <c r="F357" s="47" t="s">
        <v>111</v>
      </c>
      <c r="G357" s="47" t="s">
        <v>2207</v>
      </c>
      <c r="H357" s="47" t="s">
        <v>2208</v>
      </c>
      <c r="I357" s="47" t="s">
        <v>2209</v>
      </c>
      <c r="J357" s="47" t="s">
        <v>51</v>
      </c>
      <c r="K357" s="48">
        <v>44382</v>
      </c>
      <c r="L357" s="48">
        <v>45112</v>
      </c>
      <c r="M357" s="48">
        <v>45477</v>
      </c>
      <c r="N357" s="47" t="s">
        <v>64</v>
      </c>
      <c r="O357" s="55" t="s">
        <v>53</v>
      </c>
      <c r="P357" s="62">
        <v>14700</v>
      </c>
      <c r="Q357" s="62">
        <v>1225</v>
      </c>
      <c r="R357" s="96">
        <v>15900</v>
      </c>
      <c r="S357" s="62">
        <f t="shared" si="90"/>
        <v>1325</v>
      </c>
      <c r="T357" s="62">
        <v>14100</v>
      </c>
      <c r="U357" s="62">
        <f t="shared" si="91"/>
        <v>1175</v>
      </c>
      <c r="V357" s="69">
        <v>13320</v>
      </c>
      <c r="W357" s="71">
        <v>1310</v>
      </c>
      <c r="X357" s="71"/>
      <c r="Y357" s="71"/>
      <c r="Z357" s="64">
        <f t="shared" si="81"/>
        <v>0.1148936170212766</v>
      </c>
      <c r="AA357" s="64">
        <f t="shared" ref="AA357:AA420" si="92">(W357-S357)/S357</f>
        <v>-1.1320754716981131E-2</v>
      </c>
      <c r="AB357" s="71">
        <v>1325</v>
      </c>
      <c r="AC357" s="64">
        <f t="shared" si="82"/>
        <v>0.1276595744680851</v>
      </c>
      <c r="AD357" s="64">
        <f t="shared" ref="AD357:AD420" si="93">(AB357-S357)/S357</f>
        <v>0</v>
      </c>
      <c r="AE357" s="71">
        <v>1300</v>
      </c>
      <c r="AF357" s="64">
        <f t="shared" si="83"/>
        <v>0.10638297872340426</v>
      </c>
      <c r="AG357" s="64">
        <f t="shared" ref="AG357:AG420" si="94">(AE357-S357)/S357</f>
        <v>-1.8867924528301886E-2</v>
      </c>
      <c r="AH357" s="67"/>
      <c r="AI357" s="47" t="s">
        <v>54</v>
      </c>
      <c r="AJ357" s="47">
        <v>537</v>
      </c>
      <c r="AK357" s="101" t="s">
        <v>55</v>
      </c>
      <c r="AL357" s="101" t="s">
        <v>55</v>
      </c>
      <c r="AM357" s="47" t="s">
        <v>2210</v>
      </c>
      <c r="AN357" s="47">
        <v>1325</v>
      </c>
      <c r="AO357" s="211">
        <f t="shared" si="84"/>
        <v>0.1276595744680851</v>
      </c>
      <c r="AP357" s="47" t="s">
        <v>90</v>
      </c>
      <c r="AQ357" s="111" t="s">
        <v>125</v>
      </c>
      <c r="AR357" s="47"/>
    </row>
    <row r="358" spans="1:44" hidden="1">
      <c r="A358" s="47" t="s">
        <v>44</v>
      </c>
      <c r="B358" s="47" t="str">
        <f t="shared" si="80"/>
        <v>July</v>
      </c>
      <c r="C358" s="59">
        <v>45479</v>
      </c>
      <c r="D358" s="47" t="s">
        <v>109</v>
      </c>
      <c r="E358" s="47" t="s">
        <v>110</v>
      </c>
      <c r="F358" s="47" t="s">
        <v>111</v>
      </c>
      <c r="G358" s="47" t="s">
        <v>2211</v>
      </c>
      <c r="H358" s="47" t="s">
        <v>2212</v>
      </c>
      <c r="I358" s="47" t="s">
        <v>50</v>
      </c>
      <c r="J358" s="47" t="s">
        <v>51</v>
      </c>
      <c r="K358" s="48">
        <v>45114</v>
      </c>
      <c r="L358" s="48">
        <v>45114</v>
      </c>
      <c r="M358" s="48">
        <v>45479</v>
      </c>
      <c r="N358" s="47" t="s">
        <v>52</v>
      </c>
      <c r="O358" s="55" t="s">
        <v>53</v>
      </c>
      <c r="P358" s="62">
        <v>18600</v>
      </c>
      <c r="Q358" s="62">
        <v>1550</v>
      </c>
      <c r="R358" s="96">
        <v>19740</v>
      </c>
      <c r="S358" s="62">
        <f t="shared" si="90"/>
        <v>1645</v>
      </c>
      <c r="T358" s="62">
        <v>18600</v>
      </c>
      <c r="U358" s="62">
        <f t="shared" si="91"/>
        <v>1550</v>
      </c>
      <c r="V358" s="69">
        <v>17400</v>
      </c>
      <c r="W358" s="71">
        <v>1635</v>
      </c>
      <c r="X358" s="71"/>
      <c r="Y358" s="71"/>
      <c r="Z358" s="64">
        <f t="shared" si="81"/>
        <v>5.4838709677419356E-2</v>
      </c>
      <c r="AA358" s="64">
        <f t="shared" si="92"/>
        <v>-6.0790273556231003E-3</v>
      </c>
      <c r="AB358" s="71">
        <v>1675</v>
      </c>
      <c r="AC358" s="64">
        <f t="shared" si="82"/>
        <v>8.0645161290322578E-2</v>
      </c>
      <c r="AD358" s="64">
        <f t="shared" si="93"/>
        <v>1.82370820668693E-2</v>
      </c>
      <c r="AE358" s="71">
        <v>1650</v>
      </c>
      <c r="AF358" s="64">
        <f t="shared" si="83"/>
        <v>6.4516129032258063E-2</v>
      </c>
      <c r="AG358" s="64">
        <f t="shared" si="94"/>
        <v>3.0395136778115501E-3</v>
      </c>
      <c r="AH358" s="67"/>
      <c r="AI358" s="47" t="s">
        <v>54</v>
      </c>
      <c r="AJ358" s="47">
        <v>786</v>
      </c>
      <c r="AK358" s="101" t="s">
        <v>65</v>
      </c>
      <c r="AL358" s="101" t="s">
        <v>65</v>
      </c>
      <c r="AM358" s="47" t="s">
        <v>2213</v>
      </c>
      <c r="AN358" s="47">
        <v>1675</v>
      </c>
      <c r="AO358" s="211">
        <f t="shared" si="84"/>
        <v>8.0645161290322578E-2</v>
      </c>
      <c r="AP358" s="47" t="s">
        <v>90</v>
      </c>
      <c r="AQ358" s="91" t="s">
        <v>116</v>
      </c>
      <c r="AR358" s="47"/>
    </row>
    <row r="359" spans="1:44">
      <c r="A359" s="47" t="s">
        <v>44</v>
      </c>
      <c r="B359" s="47" t="str">
        <f t="shared" si="80"/>
        <v>July</v>
      </c>
      <c r="C359" s="59">
        <v>45486</v>
      </c>
      <c r="D359" s="47" t="s">
        <v>109</v>
      </c>
      <c r="E359" s="47" t="s">
        <v>110</v>
      </c>
      <c r="F359" s="47" t="s">
        <v>111</v>
      </c>
      <c r="G359" s="47" t="s">
        <v>2214</v>
      </c>
      <c r="H359" s="47" t="s">
        <v>2215</v>
      </c>
      <c r="I359" s="47" t="s">
        <v>50</v>
      </c>
      <c r="J359" s="47" t="s">
        <v>51</v>
      </c>
      <c r="K359" s="48">
        <v>44391</v>
      </c>
      <c r="L359" s="48">
        <v>45121</v>
      </c>
      <c r="M359" s="48">
        <v>45486</v>
      </c>
      <c r="N359" s="47" t="s">
        <v>64</v>
      </c>
      <c r="O359" s="55" t="s">
        <v>53</v>
      </c>
      <c r="P359" s="62">
        <v>16980</v>
      </c>
      <c r="Q359" s="62">
        <v>1415</v>
      </c>
      <c r="R359" s="96">
        <v>17700</v>
      </c>
      <c r="S359" s="62">
        <f t="shared" si="90"/>
        <v>1475</v>
      </c>
      <c r="T359" s="62">
        <v>16500</v>
      </c>
      <c r="U359" s="62">
        <f t="shared" si="91"/>
        <v>1375</v>
      </c>
      <c r="V359" s="69">
        <v>15000</v>
      </c>
      <c r="W359" s="71">
        <v>1535</v>
      </c>
      <c r="X359" s="71"/>
      <c r="Y359" s="71"/>
      <c r="Z359" s="64">
        <f t="shared" si="81"/>
        <v>0.11636363636363636</v>
      </c>
      <c r="AA359" s="64">
        <f t="shared" si="92"/>
        <v>4.0677966101694912E-2</v>
      </c>
      <c r="AB359" s="71">
        <v>1500</v>
      </c>
      <c r="AC359" s="64">
        <f t="shared" si="82"/>
        <v>9.0909090909090912E-2</v>
      </c>
      <c r="AD359" s="64">
        <f t="shared" si="93"/>
        <v>1.6949152542372881E-2</v>
      </c>
      <c r="AE359" s="71">
        <v>1475</v>
      </c>
      <c r="AF359" s="64">
        <f t="shared" si="83"/>
        <v>7.2727272727272724E-2</v>
      </c>
      <c r="AG359" s="64">
        <f t="shared" si="94"/>
        <v>0</v>
      </c>
      <c r="AH359" s="67"/>
      <c r="AI359" s="47" t="s">
        <v>54</v>
      </c>
      <c r="AJ359" s="47">
        <v>746</v>
      </c>
      <c r="AK359" s="101" t="s">
        <v>65</v>
      </c>
      <c r="AL359" s="101" t="s">
        <v>65</v>
      </c>
      <c r="AM359" s="47" t="s">
        <v>2216</v>
      </c>
      <c r="AN359" s="47">
        <v>1475</v>
      </c>
      <c r="AO359" s="211">
        <f t="shared" si="84"/>
        <v>7.2727272727272724E-2</v>
      </c>
      <c r="AP359" s="47" t="s">
        <v>90</v>
      </c>
      <c r="AQ359" s="91" t="s">
        <v>116</v>
      </c>
      <c r="AR359" s="47"/>
    </row>
    <row r="360" spans="1:44" ht="31.5" hidden="1" customHeight="1">
      <c r="A360" s="47" t="s">
        <v>44</v>
      </c>
      <c r="B360" s="47" t="str">
        <f t="shared" si="80"/>
        <v>July</v>
      </c>
      <c r="C360" s="59">
        <v>45500</v>
      </c>
      <c r="D360" s="47" t="s">
        <v>109</v>
      </c>
      <c r="E360" s="47" t="s">
        <v>110</v>
      </c>
      <c r="F360" s="47" t="s">
        <v>111</v>
      </c>
      <c r="G360" s="47" t="s">
        <v>2217</v>
      </c>
      <c r="H360" s="47" t="s">
        <v>2218</v>
      </c>
      <c r="I360" s="47" t="s">
        <v>50</v>
      </c>
      <c r="J360" s="47" t="s">
        <v>51</v>
      </c>
      <c r="K360" s="48">
        <v>45135</v>
      </c>
      <c r="L360" s="48">
        <v>45135</v>
      </c>
      <c r="M360" s="48">
        <v>45500</v>
      </c>
      <c r="N360" s="47" t="s">
        <v>52</v>
      </c>
      <c r="O360" s="55" t="s">
        <v>53</v>
      </c>
      <c r="P360" s="62">
        <v>18600</v>
      </c>
      <c r="Q360" s="62">
        <v>1550</v>
      </c>
      <c r="R360" s="96">
        <v>19800</v>
      </c>
      <c r="S360" s="62">
        <f t="shared" si="90"/>
        <v>1650</v>
      </c>
      <c r="T360" s="62">
        <v>18600</v>
      </c>
      <c r="U360" s="62">
        <f t="shared" si="91"/>
        <v>1550</v>
      </c>
      <c r="V360" s="69">
        <v>17400</v>
      </c>
      <c r="W360" s="71">
        <v>1645</v>
      </c>
      <c r="X360" s="71"/>
      <c r="Y360" s="71"/>
      <c r="Z360" s="64">
        <f t="shared" si="81"/>
        <v>6.1290322580645158E-2</v>
      </c>
      <c r="AA360" s="64">
        <f t="shared" si="92"/>
        <v>-3.0303030303030303E-3</v>
      </c>
      <c r="AB360" s="71">
        <v>1675</v>
      </c>
      <c r="AC360" s="64">
        <f t="shared" si="82"/>
        <v>8.0645161290322578E-2</v>
      </c>
      <c r="AD360" s="64">
        <f t="shared" si="93"/>
        <v>1.5151515151515152E-2</v>
      </c>
      <c r="AE360" s="71">
        <v>1650</v>
      </c>
      <c r="AF360" s="64">
        <f t="shared" si="83"/>
        <v>6.4516129032258063E-2</v>
      </c>
      <c r="AG360" s="64">
        <f t="shared" si="94"/>
        <v>0</v>
      </c>
      <c r="AH360" s="67"/>
      <c r="AI360" s="47" t="s">
        <v>54</v>
      </c>
      <c r="AJ360" s="47">
        <v>786</v>
      </c>
      <c r="AK360" s="101" t="s">
        <v>65</v>
      </c>
      <c r="AL360" s="101" t="s">
        <v>65</v>
      </c>
      <c r="AM360" s="47" t="s">
        <v>2219</v>
      </c>
      <c r="AN360" s="47"/>
      <c r="AO360" s="211">
        <f t="shared" si="84"/>
        <v>-1</v>
      </c>
      <c r="AP360" s="47" t="s">
        <v>90</v>
      </c>
      <c r="AQ360" s="91" t="s">
        <v>116</v>
      </c>
      <c r="AR360" s="47"/>
    </row>
    <row r="361" spans="1:44" hidden="1">
      <c r="A361" s="47" t="s">
        <v>44</v>
      </c>
      <c r="B361" s="47" t="str">
        <f t="shared" si="80"/>
        <v>July</v>
      </c>
      <c r="C361" s="59">
        <v>45503</v>
      </c>
      <c r="D361" s="47" t="s">
        <v>109</v>
      </c>
      <c r="E361" s="47" t="s">
        <v>110</v>
      </c>
      <c r="F361" s="47" t="s">
        <v>111</v>
      </c>
      <c r="G361" s="47" t="s">
        <v>2220</v>
      </c>
      <c r="H361" s="47" t="s">
        <v>2221</v>
      </c>
      <c r="I361" s="47" t="s">
        <v>50</v>
      </c>
      <c r="J361" s="47" t="s">
        <v>51</v>
      </c>
      <c r="K361" s="48">
        <v>45138</v>
      </c>
      <c r="L361" s="48">
        <v>45138</v>
      </c>
      <c r="M361" s="48">
        <v>45503</v>
      </c>
      <c r="N361" s="47" t="s">
        <v>52</v>
      </c>
      <c r="O361" s="55" t="s">
        <v>53</v>
      </c>
      <c r="P361" s="62">
        <v>16980</v>
      </c>
      <c r="Q361" s="62">
        <v>1415</v>
      </c>
      <c r="R361" s="96">
        <v>17700</v>
      </c>
      <c r="S361" s="62">
        <f t="shared" si="90"/>
        <v>1475</v>
      </c>
      <c r="T361" s="62">
        <v>17400</v>
      </c>
      <c r="U361" s="62">
        <f t="shared" si="91"/>
        <v>1450</v>
      </c>
      <c r="V361" s="69">
        <v>15276.6</v>
      </c>
      <c r="W361" s="71">
        <v>1575</v>
      </c>
      <c r="X361" s="71"/>
      <c r="Y361" s="71"/>
      <c r="Z361" s="64">
        <f t="shared" si="81"/>
        <v>8.6206896551724144E-2</v>
      </c>
      <c r="AA361" s="64">
        <f t="shared" si="92"/>
        <v>6.7796610169491525E-2</v>
      </c>
      <c r="AB361" s="71">
        <v>1550</v>
      </c>
      <c r="AC361" s="64">
        <f t="shared" si="82"/>
        <v>6.8965517241379309E-2</v>
      </c>
      <c r="AD361" s="64">
        <f t="shared" si="93"/>
        <v>5.0847457627118647E-2</v>
      </c>
      <c r="AE361" s="71">
        <v>1535</v>
      </c>
      <c r="AF361" s="64">
        <f t="shared" si="83"/>
        <v>5.8620689655172413E-2</v>
      </c>
      <c r="AG361" s="64">
        <f t="shared" si="94"/>
        <v>4.0677966101694912E-2</v>
      </c>
      <c r="AH361" s="67"/>
      <c r="AI361" s="47" t="s">
        <v>54</v>
      </c>
      <c r="AJ361" s="47">
        <v>706</v>
      </c>
      <c r="AK361" s="101" t="s">
        <v>65</v>
      </c>
      <c r="AL361" s="101" t="s">
        <v>65</v>
      </c>
      <c r="AM361" s="47" t="s">
        <v>2222</v>
      </c>
      <c r="AN361" s="47">
        <v>1575</v>
      </c>
      <c r="AO361" s="211">
        <f t="shared" si="84"/>
        <v>8.6206896551724144E-2</v>
      </c>
      <c r="AP361" s="47" t="s">
        <v>90</v>
      </c>
      <c r="AQ361" s="91" t="s">
        <v>116</v>
      </c>
      <c r="AR361" s="47"/>
    </row>
    <row r="362" spans="1:44" hidden="1">
      <c r="A362" s="47" t="s">
        <v>44</v>
      </c>
      <c r="B362" s="47" t="str">
        <f t="shared" si="80"/>
        <v>July</v>
      </c>
      <c r="C362" s="59">
        <v>45484</v>
      </c>
      <c r="D362" s="47" t="s">
        <v>109</v>
      </c>
      <c r="E362" s="47" t="s">
        <v>110</v>
      </c>
      <c r="F362" s="47" t="s">
        <v>111</v>
      </c>
      <c r="G362" s="47" t="s">
        <v>2223</v>
      </c>
      <c r="H362" s="47" t="s">
        <v>2224</v>
      </c>
      <c r="I362" s="47" t="s">
        <v>50</v>
      </c>
      <c r="J362" s="47" t="s">
        <v>51</v>
      </c>
      <c r="K362" s="48">
        <v>45119</v>
      </c>
      <c r="L362" s="48">
        <v>45119</v>
      </c>
      <c r="M362" s="48">
        <v>45484</v>
      </c>
      <c r="N362" s="47" t="s">
        <v>52</v>
      </c>
      <c r="O362" s="55" t="s">
        <v>53</v>
      </c>
      <c r="P362" s="62">
        <v>17040</v>
      </c>
      <c r="Q362" s="62">
        <v>1420</v>
      </c>
      <c r="R362" s="96">
        <v>17820</v>
      </c>
      <c r="S362" s="62">
        <f t="shared" si="90"/>
        <v>1485</v>
      </c>
      <c r="T362" s="62">
        <v>16320</v>
      </c>
      <c r="U362" s="62">
        <f t="shared" si="91"/>
        <v>1360</v>
      </c>
      <c r="V362" s="69">
        <v>15120</v>
      </c>
      <c r="W362" s="71">
        <v>1535</v>
      </c>
      <c r="X362" s="71"/>
      <c r="Y362" s="71"/>
      <c r="Z362" s="64">
        <f t="shared" si="81"/>
        <v>0.12867647058823528</v>
      </c>
      <c r="AA362" s="64">
        <f t="shared" si="92"/>
        <v>3.3670033670033669E-2</v>
      </c>
      <c r="AB362" s="71">
        <v>1500</v>
      </c>
      <c r="AC362" s="64">
        <f t="shared" si="82"/>
        <v>0.10294117647058823</v>
      </c>
      <c r="AD362" s="64">
        <f t="shared" si="93"/>
        <v>1.0101010101010102E-2</v>
      </c>
      <c r="AE362" s="71">
        <v>1485</v>
      </c>
      <c r="AF362" s="64">
        <f t="shared" si="83"/>
        <v>9.1911764705882359E-2</v>
      </c>
      <c r="AG362" s="64">
        <f t="shared" si="94"/>
        <v>0</v>
      </c>
      <c r="AH362" s="67"/>
      <c r="AI362" s="47" t="s">
        <v>54</v>
      </c>
      <c r="AJ362" s="47">
        <v>746</v>
      </c>
      <c r="AK362" s="101" t="s">
        <v>65</v>
      </c>
      <c r="AL362" s="101" t="s">
        <v>65</v>
      </c>
      <c r="AM362" s="47" t="s">
        <v>2225</v>
      </c>
      <c r="AN362" s="47"/>
      <c r="AO362" s="211">
        <f t="shared" si="84"/>
        <v>-1</v>
      </c>
      <c r="AP362" s="47" t="s">
        <v>90</v>
      </c>
      <c r="AQ362" s="91" t="s">
        <v>116</v>
      </c>
      <c r="AR362" s="47"/>
    </row>
    <row r="363" spans="1:44">
      <c r="A363" s="47" t="s">
        <v>44</v>
      </c>
      <c r="B363" s="47" t="str">
        <f t="shared" si="80"/>
        <v>July</v>
      </c>
      <c r="C363" s="59">
        <v>45485</v>
      </c>
      <c r="D363" s="47" t="s">
        <v>109</v>
      </c>
      <c r="E363" s="47" t="s">
        <v>110</v>
      </c>
      <c r="F363" s="47" t="s">
        <v>111</v>
      </c>
      <c r="G363" s="47" t="s">
        <v>2259</v>
      </c>
      <c r="H363" s="47" t="s">
        <v>2260</v>
      </c>
      <c r="I363" s="47" t="s">
        <v>50</v>
      </c>
      <c r="J363" s="47" t="s">
        <v>51</v>
      </c>
      <c r="K363" s="48">
        <v>44390</v>
      </c>
      <c r="L363" s="48">
        <v>45120</v>
      </c>
      <c r="M363" s="48">
        <v>45485</v>
      </c>
      <c r="N363" s="47" t="s">
        <v>64</v>
      </c>
      <c r="O363" s="55" t="s">
        <v>53</v>
      </c>
      <c r="P363" s="62">
        <v>17100</v>
      </c>
      <c r="Q363" s="62">
        <v>1425</v>
      </c>
      <c r="R363" s="96">
        <v>17820</v>
      </c>
      <c r="S363" s="62">
        <f t="shared" si="90"/>
        <v>1485</v>
      </c>
      <c r="T363" s="62">
        <v>16800</v>
      </c>
      <c r="U363" s="62">
        <f t="shared" si="91"/>
        <v>1400</v>
      </c>
      <c r="V363" s="69">
        <v>14880</v>
      </c>
      <c r="W363" s="71">
        <v>1535</v>
      </c>
      <c r="X363" s="71"/>
      <c r="Y363" s="71"/>
      <c r="Z363" s="64">
        <f t="shared" si="81"/>
        <v>9.6428571428571433E-2</v>
      </c>
      <c r="AA363" s="64">
        <f t="shared" si="92"/>
        <v>3.3670033670033669E-2</v>
      </c>
      <c r="AB363" s="71">
        <v>1510</v>
      </c>
      <c r="AC363" s="64">
        <f t="shared" si="82"/>
        <v>7.857142857142857E-2</v>
      </c>
      <c r="AD363" s="64">
        <f t="shared" si="93"/>
        <v>1.6835016835016835E-2</v>
      </c>
      <c r="AE363" s="71">
        <v>1495</v>
      </c>
      <c r="AF363" s="64">
        <f t="shared" si="83"/>
        <v>6.7857142857142852E-2</v>
      </c>
      <c r="AG363" s="64">
        <f t="shared" si="94"/>
        <v>6.7340067340067337E-3</v>
      </c>
      <c r="AH363" s="67"/>
      <c r="AI363" s="47" t="s">
        <v>54</v>
      </c>
      <c r="AJ363" s="47">
        <v>746</v>
      </c>
      <c r="AK363" s="101" t="s">
        <v>65</v>
      </c>
      <c r="AL363" s="101" t="s">
        <v>65</v>
      </c>
      <c r="AM363" s="47" t="s">
        <v>2261</v>
      </c>
      <c r="AN363" s="47"/>
      <c r="AO363" s="211">
        <f t="shared" si="84"/>
        <v>-1</v>
      </c>
      <c r="AP363" s="47" t="s">
        <v>90</v>
      </c>
      <c r="AQ363" s="91" t="s">
        <v>116</v>
      </c>
      <c r="AR363" s="47"/>
    </row>
    <row r="364" spans="1:44" hidden="1">
      <c r="A364" s="47" t="s">
        <v>44</v>
      </c>
      <c r="B364" s="47" t="str">
        <f t="shared" si="80"/>
        <v>July</v>
      </c>
      <c r="C364" s="59">
        <v>45503</v>
      </c>
      <c r="D364" s="47" t="s">
        <v>109</v>
      </c>
      <c r="E364" s="47" t="s">
        <v>110</v>
      </c>
      <c r="F364" s="47" t="s">
        <v>111</v>
      </c>
      <c r="G364" s="47" t="s">
        <v>2262</v>
      </c>
      <c r="H364" s="47" t="s">
        <v>2263</v>
      </c>
      <c r="I364" s="47" t="s">
        <v>50</v>
      </c>
      <c r="J364" s="47" t="s">
        <v>51</v>
      </c>
      <c r="K364" s="48">
        <v>45138</v>
      </c>
      <c r="L364" s="48">
        <v>45138</v>
      </c>
      <c r="M364" s="48">
        <v>45503</v>
      </c>
      <c r="N364" s="47" t="s">
        <v>52</v>
      </c>
      <c r="O364" s="55" t="s">
        <v>53</v>
      </c>
      <c r="P364" s="62">
        <v>13920</v>
      </c>
      <c r="Q364" s="62">
        <v>1160</v>
      </c>
      <c r="R364" s="96">
        <v>13800</v>
      </c>
      <c r="S364" s="62">
        <f t="shared" si="90"/>
        <v>1150</v>
      </c>
      <c r="T364" s="62">
        <v>13560</v>
      </c>
      <c r="U364" s="62">
        <f t="shared" si="91"/>
        <v>1130</v>
      </c>
      <c r="V364" s="69">
        <v>13200</v>
      </c>
      <c r="W364" s="71">
        <v>1240</v>
      </c>
      <c r="X364" s="71"/>
      <c r="Y364" s="71"/>
      <c r="Z364" s="64">
        <f t="shared" si="81"/>
        <v>9.7345132743362831E-2</v>
      </c>
      <c r="AA364" s="64">
        <f t="shared" si="92"/>
        <v>7.8260869565217397E-2</v>
      </c>
      <c r="AB364" s="71">
        <v>1250</v>
      </c>
      <c r="AC364" s="64">
        <f t="shared" si="82"/>
        <v>0.10619469026548672</v>
      </c>
      <c r="AD364" s="64">
        <f t="shared" si="93"/>
        <v>8.6956521739130432E-2</v>
      </c>
      <c r="AE364" s="71">
        <v>1200</v>
      </c>
      <c r="AF364" s="64">
        <f t="shared" si="83"/>
        <v>6.1946902654867256E-2</v>
      </c>
      <c r="AG364" s="64">
        <f t="shared" si="94"/>
        <v>4.3478260869565216E-2</v>
      </c>
      <c r="AH364" s="67"/>
      <c r="AI364" s="47" t="s">
        <v>54</v>
      </c>
      <c r="AJ364" s="47">
        <v>644</v>
      </c>
      <c r="AK364" s="101" t="s">
        <v>55</v>
      </c>
      <c r="AL364" s="101" t="s">
        <v>55</v>
      </c>
      <c r="AM364" s="47" t="s">
        <v>2264</v>
      </c>
      <c r="AN364" s="47">
        <v>1250</v>
      </c>
      <c r="AO364" s="211">
        <f t="shared" si="84"/>
        <v>0.10619469026548672</v>
      </c>
      <c r="AP364" s="47" t="s">
        <v>90</v>
      </c>
      <c r="AQ364" s="111" t="s">
        <v>125</v>
      </c>
      <c r="AR364" s="47"/>
    </row>
    <row r="365" spans="1:44" hidden="1">
      <c r="A365" s="47" t="s">
        <v>74</v>
      </c>
      <c r="B365" s="47" t="str">
        <f t="shared" si="80"/>
        <v>July</v>
      </c>
      <c r="C365" s="59">
        <v>45493</v>
      </c>
      <c r="D365" s="47" t="s">
        <v>109</v>
      </c>
      <c r="E365" s="47" t="s">
        <v>110</v>
      </c>
      <c r="F365" s="47" t="s">
        <v>111</v>
      </c>
      <c r="G365" s="47" t="s">
        <v>2265</v>
      </c>
      <c r="H365" s="47" t="s">
        <v>2266</v>
      </c>
      <c r="I365" s="47" t="s">
        <v>2267</v>
      </c>
      <c r="J365" s="47" t="s">
        <v>51</v>
      </c>
      <c r="K365" s="48">
        <v>45128</v>
      </c>
      <c r="L365" s="48">
        <v>45128</v>
      </c>
      <c r="M365" s="48">
        <v>45493</v>
      </c>
      <c r="N365" s="47" t="s">
        <v>52</v>
      </c>
      <c r="O365" s="55" t="s">
        <v>53</v>
      </c>
      <c r="P365" s="62">
        <v>14580</v>
      </c>
      <c r="Q365" s="62">
        <v>1215</v>
      </c>
      <c r="R365" s="96">
        <v>15000</v>
      </c>
      <c r="S365" s="62">
        <f t="shared" si="90"/>
        <v>1250</v>
      </c>
      <c r="T365" s="62">
        <v>12840</v>
      </c>
      <c r="U365" s="62">
        <f t="shared" si="91"/>
        <v>1070</v>
      </c>
      <c r="V365" s="69">
        <v>11400</v>
      </c>
      <c r="W365" s="71">
        <v>1235</v>
      </c>
      <c r="X365" s="71"/>
      <c r="Y365" s="71"/>
      <c r="Z365" s="64">
        <f t="shared" si="81"/>
        <v>0.1542056074766355</v>
      </c>
      <c r="AA365" s="64">
        <f t="shared" si="92"/>
        <v>-1.2E-2</v>
      </c>
      <c r="AB365" s="71">
        <v>1225</v>
      </c>
      <c r="AC365" s="64">
        <f t="shared" si="82"/>
        <v>0.14485981308411214</v>
      </c>
      <c r="AD365" s="64">
        <f t="shared" si="93"/>
        <v>-0.02</v>
      </c>
      <c r="AE365" s="71">
        <v>1225</v>
      </c>
      <c r="AF365" s="64">
        <f t="shared" si="83"/>
        <v>0.14485981308411214</v>
      </c>
      <c r="AG365" s="64">
        <f t="shared" si="94"/>
        <v>-0.02</v>
      </c>
      <c r="AH365" s="67"/>
      <c r="AI365" s="47" t="s">
        <v>54</v>
      </c>
      <c r="AJ365" s="47">
        <v>537</v>
      </c>
      <c r="AK365" s="101" t="s">
        <v>55</v>
      </c>
      <c r="AL365" s="101" t="s">
        <v>55</v>
      </c>
      <c r="AM365" s="47" t="s">
        <v>2268</v>
      </c>
      <c r="AN365" s="47"/>
      <c r="AO365" s="211">
        <f t="shared" si="84"/>
        <v>-1</v>
      </c>
      <c r="AP365" s="47" t="s">
        <v>90</v>
      </c>
      <c r="AQ365" s="91" t="s">
        <v>116</v>
      </c>
      <c r="AR365" s="47"/>
    </row>
    <row r="366" spans="1:44">
      <c r="A366" s="47" t="s">
        <v>44</v>
      </c>
      <c r="B366" s="47" t="str">
        <f t="shared" si="80"/>
        <v>July</v>
      </c>
      <c r="C366" s="59">
        <v>45474</v>
      </c>
      <c r="D366" s="47" t="s">
        <v>109</v>
      </c>
      <c r="E366" s="47" t="s">
        <v>110</v>
      </c>
      <c r="F366" s="47" t="s">
        <v>111</v>
      </c>
      <c r="G366" s="47" t="s">
        <v>2269</v>
      </c>
      <c r="H366" s="47" t="s">
        <v>2270</v>
      </c>
      <c r="I366" s="47" t="s">
        <v>50</v>
      </c>
      <c r="J366" s="47" t="s">
        <v>51</v>
      </c>
      <c r="K366" s="48">
        <v>44379</v>
      </c>
      <c r="L366" s="48">
        <v>44379</v>
      </c>
      <c r="M366" s="48">
        <v>45474</v>
      </c>
      <c r="N366" s="47" t="s">
        <v>64</v>
      </c>
      <c r="O366" s="55" t="s">
        <v>53</v>
      </c>
      <c r="P366" s="62">
        <v>14580</v>
      </c>
      <c r="Q366" s="62">
        <v>1215</v>
      </c>
      <c r="R366" s="96">
        <v>15000</v>
      </c>
      <c r="S366" s="62">
        <f t="shared" si="90"/>
        <v>1250</v>
      </c>
      <c r="T366" s="62">
        <v>13818.84</v>
      </c>
      <c r="U366" s="62">
        <f t="shared" si="91"/>
        <v>1151.57</v>
      </c>
      <c r="V366" s="69">
        <v>13351.56</v>
      </c>
      <c r="W366" s="71">
        <v>1270</v>
      </c>
      <c r="X366" s="71"/>
      <c r="Y366" s="71"/>
      <c r="Z366" s="64">
        <f t="shared" si="81"/>
        <v>0.10284220672646914</v>
      </c>
      <c r="AA366" s="64">
        <f t="shared" si="92"/>
        <v>1.6E-2</v>
      </c>
      <c r="AB366" s="71">
        <v>1295</v>
      </c>
      <c r="AC366" s="64">
        <f t="shared" si="82"/>
        <v>0.12455169898486421</v>
      </c>
      <c r="AD366" s="64">
        <f t="shared" si="93"/>
        <v>3.5999999999999997E-2</v>
      </c>
      <c r="AE366" s="71">
        <v>1275</v>
      </c>
      <c r="AF366" s="64">
        <f t="shared" si="83"/>
        <v>0.10718410517814815</v>
      </c>
      <c r="AG366" s="64">
        <f t="shared" si="94"/>
        <v>0.02</v>
      </c>
      <c r="AH366" s="67"/>
      <c r="AI366" s="47" t="s">
        <v>54</v>
      </c>
      <c r="AJ366" s="47">
        <v>543</v>
      </c>
      <c r="AK366" s="101" t="s">
        <v>55</v>
      </c>
      <c r="AL366" s="101" t="s">
        <v>55</v>
      </c>
      <c r="AM366" s="47" t="s">
        <v>2271</v>
      </c>
      <c r="AN366" s="47"/>
      <c r="AO366" s="211">
        <f t="shared" si="84"/>
        <v>-1</v>
      </c>
      <c r="AP366" s="47" t="s">
        <v>90</v>
      </c>
      <c r="AQ366" s="91" t="s">
        <v>116</v>
      </c>
      <c r="AR366" s="47"/>
    </row>
    <row r="367" spans="1:44">
      <c r="A367" s="47" t="s">
        <v>44</v>
      </c>
      <c r="B367" s="47" t="str">
        <f t="shared" si="80"/>
        <v>July</v>
      </c>
      <c r="C367" s="59">
        <v>45492</v>
      </c>
      <c r="D367" s="47" t="s">
        <v>109</v>
      </c>
      <c r="E367" s="47" t="s">
        <v>110</v>
      </c>
      <c r="F367" s="47" t="s">
        <v>111</v>
      </c>
      <c r="G367" s="47" t="s">
        <v>2272</v>
      </c>
      <c r="H367" s="47" t="s">
        <v>2273</v>
      </c>
      <c r="I367" s="47" t="s">
        <v>2274</v>
      </c>
      <c r="J367" s="47" t="s">
        <v>51</v>
      </c>
      <c r="K367" s="48">
        <v>44397</v>
      </c>
      <c r="L367" s="48">
        <v>45127</v>
      </c>
      <c r="M367" s="48">
        <v>45492</v>
      </c>
      <c r="N367" s="47" t="s">
        <v>64</v>
      </c>
      <c r="O367" s="55" t="s">
        <v>53</v>
      </c>
      <c r="P367" s="62">
        <v>18600</v>
      </c>
      <c r="Q367" s="62">
        <v>1550</v>
      </c>
      <c r="R367" s="96">
        <v>18900</v>
      </c>
      <c r="S367" s="62">
        <f t="shared" si="90"/>
        <v>1575</v>
      </c>
      <c r="T367" s="62">
        <v>18360</v>
      </c>
      <c r="U367" s="62">
        <f t="shared" si="91"/>
        <v>1530</v>
      </c>
      <c r="V367" s="69">
        <v>18240</v>
      </c>
      <c r="W367" s="71">
        <v>1660</v>
      </c>
      <c r="X367" s="71"/>
      <c r="Y367" s="71"/>
      <c r="Z367" s="64">
        <f t="shared" si="81"/>
        <v>8.4967320261437912E-2</v>
      </c>
      <c r="AA367" s="64">
        <f t="shared" si="92"/>
        <v>5.3968253968253971E-2</v>
      </c>
      <c r="AB367" s="71">
        <v>1675</v>
      </c>
      <c r="AC367" s="64">
        <f t="shared" si="82"/>
        <v>9.4771241830065356E-2</v>
      </c>
      <c r="AD367" s="64">
        <f t="shared" si="93"/>
        <v>6.3492063492063489E-2</v>
      </c>
      <c r="AE367" s="71">
        <v>1630</v>
      </c>
      <c r="AF367" s="64">
        <f t="shared" si="83"/>
        <v>6.535947712418301E-2</v>
      </c>
      <c r="AG367" s="64">
        <f t="shared" si="94"/>
        <v>3.4920634920634921E-2</v>
      </c>
      <c r="AH367" s="67"/>
      <c r="AI367" s="47" t="s">
        <v>54</v>
      </c>
      <c r="AJ367" s="47">
        <v>777</v>
      </c>
      <c r="AK367" s="101" t="s">
        <v>65</v>
      </c>
      <c r="AL367" s="101" t="s">
        <v>65</v>
      </c>
      <c r="AM367" s="47" t="s">
        <v>2275</v>
      </c>
      <c r="AN367" s="47">
        <v>1645</v>
      </c>
      <c r="AO367" s="211">
        <f t="shared" si="84"/>
        <v>7.5163398692810454E-2</v>
      </c>
      <c r="AP367" s="47" t="s">
        <v>90</v>
      </c>
      <c r="AQ367" s="128" t="s">
        <v>116</v>
      </c>
      <c r="AR367" s="47"/>
    </row>
    <row r="368" spans="1:44" ht="39" hidden="1" customHeight="1">
      <c r="A368" s="47" t="s">
        <v>44</v>
      </c>
      <c r="B368" s="47" t="str">
        <f t="shared" si="80"/>
        <v>August</v>
      </c>
      <c r="C368" s="59">
        <v>45519</v>
      </c>
      <c r="D368" s="47" t="s">
        <v>109</v>
      </c>
      <c r="E368" s="47" t="s">
        <v>110</v>
      </c>
      <c r="F368" s="47" t="s">
        <v>111</v>
      </c>
      <c r="G368" s="47" t="s">
        <v>2409</v>
      </c>
      <c r="H368" s="47" t="s">
        <v>2410</v>
      </c>
      <c r="I368" s="47" t="s">
        <v>50</v>
      </c>
      <c r="J368" s="47" t="s">
        <v>51</v>
      </c>
      <c r="K368" s="48">
        <v>45154</v>
      </c>
      <c r="L368" s="48">
        <v>45154</v>
      </c>
      <c r="M368" s="48">
        <v>45519</v>
      </c>
      <c r="N368" s="47" t="s">
        <v>52</v>
      </c>
      <c r="O368" s="55" t="s">
        <v>53</v>
      </c>
      <c r="P368" s="62">
        <v>17520</v>
      </c>
      <c r="Q368" s="62">
        <v>1460</v>
      </c>
      <c r="R368" s="96">
        <v>17820</v>
      </c>
      <c r="S368" s="62">
        <f t="shared" si="90"/>
        <v>1485</v>
      </c>
      <c r="T368" s="62">
        <v>17040</v>
      </c>
      <c r="U368" s="62">
        <f t="shared" si="91"/>
        <v>1420</v>
      </c>
      <c r="V368" s="69">
        <v>15587.16</v>
      </c>
      <c r="W368" s="71">
        <v>1545</v>
      </c>
      <c r="X368" s="71"/>
      <c r="Y368" s="71"/>
      <c r="Z368" s="64">
        <f t="shared" si="81"/>
        <v>8.8028169014084501E-2</v>
      </c>
      <c r="AA368" s="64">
        <f t="shared" si="92"/>
        <v>4.0404040404040407E-2</v>
      </c>
      <c r="AB368" s="71">
        <v>1510</v>
      </c>
      <c r="AC368" s="64">
        <f t="shared" si="82"/>
        <v>6.3380281690140844E-2</v>
      </c>
      <c r="AD368" s="64">
        <f t="shared" si="93"/>
        <v>1.6835016835016835E-2</v>
      </c>
      <c r="AE368" s="71">
        <v>1495</v>
      </c>
      <c r="AF368" s="64">
        <f t="shared" si="83"/>
        <v>5.2816901408450703E-2</v>
      </c>
      <c r="AG368" s="64">
        <f t="shared" si="94"/>
        <v>6.7340067340067337E-3</v>
      </c>
      <c r="AH368" s="67"/>
      <c r="AI368" s="47" t="s">
        <v>54</v>
      </c>
      <c r="AJ368" s="47">
        <v>777</v>
      </c>
      <c r="AK368" s="47" t="s">
        <v>65</v>
      </c>
      <c r="AL368" s="47" t="s">
        <v>65</v>
      </c>
      <c r="AM368" s="47" t="s">
        <v>2411</v>
      </c>
      <c r="AN368" s="47">
        <v>1530</v>
      </c>
      <c r="AO368" s="211">
        <f t="shared" si="84"/>
        <v>7.746478873239436E-2</v>
      </c>
      <c r="AP368" s="47" t="s">
        <v>90</v>
      </c>
      <c r="AQ368" s="111" t="s">
        <v>125</v>
      </c>
      <c r="AR368" s="47"/>
    </row>
    <row r="369" spans="1:44" hidden="1">
      <c r="A369" s="47" t="s">
        <v>44</v>
      </c>
      <c r="B369" s="47" t="str">
        <f t="shared" si="80"/>
        <v>August</v>
      </c>
      <c r="C369" s="59">
        <v>45524</v>
      </c>
      <c r="D369" s="47" t="s">
        <v>109</v>
      </c>
      <c r="E369" s="47" t="s">
        <v>110</v>
      </c>
      <c r="F369" s="47" t="s">
        <v>111</v>
      </c>
      <c r="G369" s="47" t="s">
        <v>2412</v>
      </c>
      <c r="H369" s="47" t="s">
        <v>2413</v>
      </c>
      <c r="I369" s="47" t="s">
        <v>50</v>
      </c>
      <c r="J369" s="47" t="s">
        <v>51</v>
      </c>
      <c r="K369" s="48">
        <v>45159</v>
      </c>
      <c r="L369" s="48">
        <v>45159</v>
      </c>
      <c r="M369" s="48">
        <v>45524</v>
      </c>
      <c r="N369" s="47" t="s">
        <v>52</v>
      </c>
      <c r="O369" s="55" t="s">
        <v>53</v>
      </c>
      <c r="P369" s="62">
        <v>16980</v>
      </c>
      <c r="Q369" s="62">
        <v>1415</v>
      </c>
      <c r="R369" s="96">
        <v>17700</v>
      </c>
      <c r="S369" s="62">
        <f t="shared" si="90"/>
        <v>1475</v>
      </c>
      <c r="T369" s="62">
        <v>17100</v>
      </c>
      <c r="U369" s="62">
        <f t="shared" si="91"/>
        <v>1425</v>
      </c>
      <c r="V369" s="69">
        <v>15540</v>
      </c>
      <c r="W369" s="71">
        <v>1580</v>
      </c>
      <c r="X369" s="71"/>
      <c r="Y369" s="71"/>
      <c r="Z369" s="64">
        <f t="shared" si="81"/>
        <v>0.10877192982456141</v>
      </c>
      <c r="AA369" s="64">
        <f t="shared" si="92"/>
        <v>7.1186440677966104E-2</v>
      </c>
      <c r="AB369" s="71">
        <v>1525</v>
      </c>
      <c r="AC369" s="64">
        <f t="shared" si="82"/>
        <v>7.0175438596491224E-2</v>
      </c>
      <c r="AD369" s="64">
        <f t="shared" si="93"/>
        <v>3.3898305084745763E-2</v>
      </c>
      <c r="AE369" s="138">
        <v>1485</v>
      </c>
      <c r="AF369" s="64">
        <f t="shared" si="83"/>
        <v>4.2105263157894736E-2</v>
      </c>
      <c r="AG369" s="64">
        <f t="shared" si="94"/>
        <v>6.7796610169491523E-3</v>
      </c>
      <c r="AH369" s="67" t="s">
        <v>1305</v>
      </c>
      <c r="AI369" s="47" t="s">
        <v>54</v>
      </c>
      <c r="AJ369" s="47">
        <v>742</v>
      </c>
      <c r="AK369" s="47" t="s">
        <v>65</v>
      </c>
      <c r="AL369" s="47" t="s">
        <v>65</v>
      </c>
      <c r="AM369" s="47" t="s">
        <v>2414</v>
      </c>
      <c r="AN369" s="47"/>
      <c r="AO369" s="211">
        <f t="shared" si="84"/>
        <v>-1</v>
      </c>
      <c r="AP369" s="47" t="s">
        <v>90</v>
      </c>
      <c r="AQ369" s="91" t="s">
        <v>116</v>
      </c>
      <c r="AR369" s="47"/>
    </row>
    <row r="370" spans="1:44">
      <c r="A370" s="47" t="s">
        <v>44</v>
      </c>
      <c r="B370" s="47" t="str">
        <f t="shared" si="80"/>
        <v>August</v>
      </c>
      <c r="C370" s="59">
        <v>45524</v>
      </c>
      <c r="D370" s="47" t="s">
        <v>109</v>
      </c>
      <c r="E370" s="47" t="s">
        <v>110</v>
      </c>
      <c r="F370" s="47" t="s">
        <v>111</v>
      </c>
      <c r="G370" s="47" t="s">
        <v>2880</v>
      </c>
      <c r="H370" s="47" t="s">
        <v>2881</v>
      </c>
      <c r="I370" s="47" t="s">
        <v>50</v>
      </c>
      <c r="J370" s="47" t="s">
        <v>51</v>
      </c>
      <c r="K370" s="48">
        <v>44429</v>
      </c>
      <c r="L370" s="48">
        <v>45159</v>
      </c>
      <c r="M370" s="48">
        <v>45524</v>
      </c>
      <c r="N370" s="47" t="s">
        <v>64</v>
      </c>
      <c r="O370" s="55" t="s">
        <v>53</v>
      </c>
      <c r="P370" s="62">
        <v>17520</v>
      </c>
      <c r="Q370" s="62">
        <v>1460</v>
      </c>
      <c r="R370" s="96">
        <v>17820</v>
      </c>
      <c r="S370" s="62">
        <f t="shared" si="90"/>
        <v>1485</v>
      </c>
      <c r="T370" s="62">
        <v>16620</v>
      </c>
      <c r="U370" s="62">
        <f t="shared" si="91"/>
        <v>1385</v>
      </c>
      <c r="V370" s="69">
        <v>15400.8</v>
      </c>
      <c r="W370" s="71">
        <v>1525</v>
      </c>
      <c r="X370" s="71"/>
      <c r="Y370" s="71"/>
      <c r="Z370" s="64">
        <f t="shared" si="81"/>
        <v>0.10108303249097472</v>
      </c>
      <c r="AA370" s="64">
        <f t="shared" si="92"/>
        <v>2.6936026936026935E-2</v>
      </c>
      <c r="AB370" s="71">
        <v>1500</v>
      </c>
      <c r="AC370" s="64">
        <f t="shared" si="82"/>
        <v>8.3032490974729242E-2</v>
      </c>
      <c r="AD370" s="64">
        <f t="shared" si="93"/>
        <v>1.0101010101010102E-2</v>
      </c>
      <c r="AE370" s="138">
        <v>1485</v>
      </c>
      <c r="AF370" s="64">
        <f t="shared" si="83"/>
        <v>7.2202166064981949E-2</v>
      </c>
      <c r="AG370" s="64">
        <f t="shared" si="94"/>
        <v>0</v>
      </c>
      <c r="AH370" s="67"/>
      <c r="AI370" s="47" t="s">
        <v>54</v>
      </c>
      <c r="AJ370" s="47">
        <v>754</v>
      </c>
      <c r="AK370" s="47" t="s">
        <v>65</v>
      </c>
      <c r="AL370" s="47" t="s">
        <v>65</v>
      </c>
      <c r="AM370" s="47" t="s">
        <v>2882</v>
      </c>
      <c r="AN370" s="47"/>
      <c r="AO370" s="211">
        <f t="shared" si="84"/>
        <v>-1</v>
      </c>
      <c r="AP370" s="47" t="s">
        <v>90</v>
      </c>
      <c r="AQ370" s="91" t="s">
        <v>116</v>
      </c>
      <c r="AR370" s="47"/>
    </row>
    <row r="371" spans="1:44">
      <c r="A371" s="47" t="s">
        <v>44</v>
      </c>
      <c r="B371" s="47" t="str">
        <f t="shared" si="80"/>
        <v>August</v>
      </c>
      <c r="C371" s="59">
        <v>45529</v>
      </c>
      <c r="D371" s="47" t="s">
        <v>109</v>
      </c>
      <c r="E371" s="47" t="s">
        <v>110</v>
      </c>
      <c r="F371" s="47" t="s">
        <v>111</v>
      </c>
      <c r="G371" s="47" t="s">
        <v>3071</v>
      </c>
      <c r="H371" s="47" t="s">
        <v>3072</v>
      </c>
      <c r="I371" s="47" t="s">
        <v>50</v>
      </c>
      <c r="J371" s="47" t="s">
        <v>51</v>
      </c>
      <c r="K371" s="48">
        <v>44790</v>
      </c>
      <c r="L371" s="48">
        <v>45164</v>
      </c>
      <c r="M371" s="48">
        <v>45529</v>
      </c>
      <c r="N371" s="47" t="s">
        <v>64</v>
      </c>
      <c r="O371" s="55" t="s">
        <v>53</v>
      </c>
      <c r="P371" s="62">
        <v>16980</v>
      </c>
      <c r="Q371" s="62">
        <v>1415</v>
      </c>
      <c r="R371" s="96">
        <v>17700</v>
      </c>
      <c r="S371" s="62">
        <f t="shared" si="90"/>
        <v>1475</v>
      </c>
      <c r="T371" s="62">
        <v>16380</v>
      </c>
      <c r="U371" s="62">
        <f t="shared" si="91"/>
        <v>1365</v>
      </c>
      <c r="V371" s="69">
        <v>15060</v>
      </c>
      <c r="W371" s="71">
        <v>1540</v>
      </c>
      <c r="X371" s="71"/>
      <c r="Y371" s="71"/>
      <c r="Z371" s="64">
        <f t="shared" si="81"/>
        <v>0.12820512820512819</v>
      </c>
      <c r="AA371" s="64">
        <f t="shared" si="92"/>
        <v>4.4067796610169491E-2</v>
      </c>
      <c r="AB371" s="71">
        <v>1485</v>
      </c>
      <c r="AC371" s="64">
        <f t="shared" si="82"/>
        <v>8.7912087912087919E-2</v>
      </c>
      <c r="AD371" s="64">
        <f t="shared" si="93"/>
        <v>6.7796610169491523E-3</v>
      </c>
      <c r="AE371" s="71">
        <v>1475</v>
      </c>
      <c r="AF371" s="64">
        <f t="shared" si="83"/>
        <v>8.0586080586080591E-2</v>
      </c>
      <c r="AG371" s="64">
        <f t="shared" si="94"/>
        <v>0</v>
      </c>
      <c r="AH371" s="67"/>
      <c r="AI371" s="47" t="s">
        <v>54</v>
      </c>
      <c r="AJ371" s="47">
        <v>746</v>
      </c>
      <c r="AK371" s="47" t="s">
        <v>65</v>
      </c>
      <c r="AL371" s="47" t="s">
        <v>65</v>
      </c>
      <c r="AM371" s="47" t="s">
        <v>3073</v>
      </c>
      <c r="AN371" s="47"/>
      <c r="AO371" s="211">
        <f t="shared" si="84"/>
        <v>-1</v>
      </c>
      <c r="AP371" s="47" t="s">
        <v>90</v>
      </c>
      <c r="AQ371" s="94" t="s">
        <v>891</v>
      </c>
      <c r="AR371" s="47"/>
    </row>
    <row r="372" spans="1:44">
      <c r="A372" s="47" t="s">
        <v>44</v>
      </c>
      <c r="B372" s="47" t="str">
        <f t="shared" si="80"/>
        <v>August</v>
      </c>
      <c r="C372" s="59">
        <v>45535</v>
      </c>
      <c r="D372" s="47" t="s">
        <v>109</v>
      </c>
      <c r="E372" s="47" t="s">
        <v>110</v>
      </c>
      <c r="F372" s="47" t="s">
        <v>111</v>
      </c>
      <c r="G372" s="47" t="s">
        <v>3747</v>
      </c>
      <c r="H372" s="47" t="s">
        <v>3748</v>
      </c>
      <c r="I372" s="47" t="s">
        <v>3749</v>
      </c>
      <c r="J372" s="47" t="s">
        <v>51</v>
      </c>
      <c r="K372" s="48">
        <v>44440</v>
      </c>
      <c r="L372" s="48">
        <v>45170</v>
      </c>
      <c r="M372" s="48">
        <v>45535</v>
      </c>
      <c r="N372" s="47" t="s">
        <v>64</v>
      </c>
      <c r="O372" s="55" t="s">
        <v>53</v>
      </c>
      <c r="P372" s="62">
        <v>17520</v>
      </c>
      <c r="Q372" s="62">
        <v>1460</v>
      </c>
      <c r="R372" s="96">
        <v>17820</v>
      </c>
      <c r="S372" s="62">
        <f t="shared" si="90"/>
        <v>1485</v>
      </c>
      <c r="T372" s="62">
        <v>17400</v>
      </c>
      <c r="U372" s="62">
        <f t="shared" si="91"/>
        <v>1450</v>
      </c>
      <c r="V372" s="69">
        <v>16080</v>
      </c>
      <c r="W372" s="71">
        <v>1565</v>
      </c>
      <c r="X372" s="71"/>
      <c r="Y372" s="71"/>
      <c r="Z372" s="64">
        <f t="shared" si="81"/>
        <v>7.9310344827586213E-2</v>
      </c>
      <c r="AA372" s="64">
        <f t="shared" si="92"/>
        <v>5.387205387205387E-2</v>
      </c>
      <c r="AB372" s="71">
        <v>1545</v>
      </c>
      <c r="AC372" s="64">
        <f t="shared" si="82"/>
        <v>6.5517241379310351E-2</v>
      </c>
      <c r="AD372" s="64">
        <f t="shared" si="93"/>
        <v>4.0404040404040407E-2</v>
      </c>
      <c r="AE372" s="71">
        <v>1510</v>
      </c>
      <c r="AF372" s="64">
        <f t="shared" si="83"/>
        <v>4.1379310344827586E-2</v>
      </c>
      <c r="AG372" s="64">
        <f t="shared" si="94"/>
        <v>1.6835016835016835E-2</v>
      </c>
      <c r="AH372" s="67"/>
      <c r="AI372" s="47" t="s">
        <v>54</v>
      </c>
      <c r="AJ372" s="47">
        <v>746</v>
      </c>
      <c r="AK372" s="47" t="s">
        <v>65</v>
      </c>
      <c r="AL372" s="47" t="s">
        <v>65</v>
      </c>
      <c r="AM372" s="47" t="s">
        <v>3750</v>
      </c>
      <c r="AN372" s="47"/>
      <c r="AO372" s="211">
        <f t="shared" si="84"/>
        <v>-1</v>
      </c>
      <c r="AP372" s="47" t="s">
        <v>90</v>
      </c>
      <c r="AQ372" s="91" t="s">
        <v>116</v>
      </c>
      <c r="AR372" s="47"/>
    </row>
    <row r="373" spans="1:44" hidden="1">
      <c r="A373" s="47" t="s">
        <v>44</v>
      </c>
      <c r="B373" s="47" t="str">
        <f t="shared" si="80"/>
        <v>July</v>
      </c>
      <c r="C373" s="59">
        <v>45485</v>
      </c>
      <c r="D373" s="47" t="s">
        <v>45</v>
      </c>
      <c r="E373" s="47" t="s">
        <v>893</v>
      </c>
      <c r="F373" s="47" t="s">
        <v>894</v>
      </c>
      <c r="G373" s="47" t="s">
        <v>895</v>
      </c>
      <c r="H373" s="47" t="s">
        <v>896</v>
      </c>
      <c r="I373" s="47" t="s">
        <v>50</v>
      </c>
      <c r="J373" s="47" t="s">
        <v>51</v>
      </c>
      <c r="K373" s="48">
        <v>45304</v>
      </c>
      <c r="L373" s="48">
        <v>45304</v>
      </c>
      <c r="M373" s="48">
        <v>45485</v>
      </c>
      <c r="N373" s="47" t="s">
        <v>52</v>
      </c>
      <c r="O373" s="55" t="s">
        <v>53</v>
      </c>
      <c r="P373" s="62">
        <v>16320</v>
      </c>
      <c r="Q373" s="62">
        <v>1360</v>
      </c>
      <c r="R373" s="96">
        <v>16620</v>
      </c>
      <c r="S373" s="62">
        <f t="shared" si="90"/>
        <v>1385</v>
      </c>
      <c r="T373" s="62">
        <v>17160</v>
      </c>
      <c r="U373" s="62">
        <f t="shared" si="91"/>
        <v>1430</v>
      </c>
      <c r="V373" s="69">
        <v>16980</v>
      </c>
      <c r="W373" s="71">
        <v>1450</v>
      </c>
      <c r="X373" s="175">
        <f>W373-50</f>
        <v>1400</v>
      </c>
      <c r="Y373" s="173">
        <f>(X373-U373)/U373</f>
        <v>-2.097902097902098E-2</v>
      </c>
      <c r="Z373" s="64">
        <f t="shared" si="81"/>
        <v>1.3986013986013986E-2</v>
      </c>
      <c r="AA373" s="64">
        <f t="shared" si="92"/>
        <v>4.6931407942238268E-2</v>
      </c>
      <c r="AB373" s="71">
        <f t="shared" ref="AB373:AB397" si="95">W373</f>
        <v>1450</v>
      </c>
      <c r="AC373" s="64">
        <f t="shared" si="82"/>
        <v>1.3986013986013986E-2</v>
      </c>
      <c r="AD373" s="64">
        <f t="shared" si="93"/>
        <v>4.6931407942238268E-2</v>
      </c>
      <c r="AE373" s="71">
        <f t="shared" ref="AE373:AE379" si="96">AB373</f>
        <v>1450</v>
      </c>
      <c r="AF373" s="64">
        <f t="shared" si="83"/>
        <v>1.3986013986013986E-2</v>
      </c>
      <c r="AG373" s="64">
        <f t="shared" si="94"/>
        <v>4.6931407942238268E-2</v>
      </c>
      <c r="AH373" s="67"/>
      <c r="AI373" s="47" t="s">
        <v>54</v>
      </c>
      <c r="AJ373" s="47">
        <v>695</v>
      </c>
      <c r="AK373" s="47" t="s">
        <v>65</v>
      </c>
      <c r="AL373" s="47" t="s">
        <v>65</v>
      </c>
      <c r="AM373" s="47" t="s">
        <v>897</v>
      </c>
      <c r="AN373" s="50"/>
      <c r="AO373" s="211">
        <f t="shared" si="84"/>
        <v>-1</v>
      </c>
      <c r="AP373" s="47" t="s">
        <v>852</v>
      </c>
      <c r="AQ373" s="94" t="s">
        <v>898</v>
      </c>
      <c r="AR373" s="47" t="s">
        <v>899</v>
      </c>
    </row>
    <row r="374" spans="1:44" hidden="1">
      <c r="A374" s="47" t="s">
        <v>44</v>
      </c>
      <c r="B374" s="47" t="str">
        <f t="shared" si="80"/>
        <v>July</v>
      </c>
      <c r="C374" s="59">
        <v>45481</v>
      </c>
      <c r="D374" s="47" t="s">
        <v>45</v>
      </c>
      <c r="E374" s="47" t="s">
        <v>893</v>
      </c>
      <c r="F374" s="47" t="s">
        <v>894</v>
      </c>
      <c r="G374" s="47" t="s">
        <v>980</v>
      </c>
      <c r="H374" s="47"/>
      <c r="I374" s="47" t="s">
        <v>50</v>
      </c>
      <c r="J374" s="47" t="s">
        <v>51</v>
      </c>
      <c r="K374" s="48">
        <v>45299</v>
      </c>
      <c r="L374" s="48">
        <v>45299</v>
      </c>
      <c r="M374" s="48">
        <v>45481</v>
      </c>
      <c r="N374" s="47" t="s">
        <v>52</v>
      </c>
      <c r="O374" s="55" t="s">
        <v>53</v>
      </c>
      <c r="P374" s="62">
        <v>16200</v>
      </c>
      <c r="Q374" s="62">
        <v>1350</v>
      </c>
      <c r="R374" s="96">
        <v>16380</v>
      </c>
      <c r="S374" s="62">
        <f t="shared" si="90"/>
        <v>1365</v>
      </c>
      <c r="T374" s="62">
        <v>16320</v>
      </c>
      <c r="U374" s="62">
        <f t="shared" si="91"/>
        <v>1360</v>
      </c>
      <c r="V374" s="69">
        <v>15120</v>
      </c>
      <c r="W374" s="71">
        <v>1405</v>
      </c>
      <c r="X374" s="175">
        <f>W374-50</f>
        <v>1355</v>
      </c>
      <c r="Y374" s="173">
        <f>(X374-U374)/U374</f>
        <v>-3.6764705882352941E-3</v>
      </c>
      <c r="Z374" s="64">
        <f t="shared" si="81"/>
        <v>3.3088235294117647E-2</v>
      </c>
      <c r="AA374" s="64">
        <f t="shared" si="92"/>
        <v>2.9304029304029304E-2</v>
      </c>
      <c r="AB374" s="71">
        <f t="shared" si="95"/>
        <v>1405</v>
      </c>
      <c r="AC374" s="64">
        <f t="shared" si="82"/>
        <v>3.3088235294117647E-2</v>
      </c>
      <c r="AD374" s="64">
        <f t="shared" si="93"/>
        <v>2.9304029304029304E-2</v>
      </c>
      <c r="AE374" s="71">
        <f t="shared" si="96"/>
        <v>1405</v>
      </c>
      <c r="AF374" s="64">
        <f t="shared" si="83"/>
        <v>3.3088235294117647E-2</v>
      </c>
      <c r="AG374" s="64">
        <f t="shared" si="94"/>
        <v>2.9304029304029304E-2</v>
      </c>
      <c r="AH374" s="67"/>
      <c r="AI374" s="47" t="s">
        <v>54</v>
      </c>
      <c r="AJ374" s="47">
        <v>644</v>
      </c>
      <c r="AK374" s="47" t="s">
        <v>65</v>
      </c>
      <c r="AL374" s="47" t="s">
        <v>65</v>
      </c>
      <c r="AM374" s="47" t="s">
        <v>981</v>
      </c>
      <c r="AN374" s="50"/>
      <c r="AO374" s="211">
        <f t="shared" si="84"/>
        <v>-1</v>
      </c>
      <c r="AP374" s="47" t="s">
        <v>852</v>
      </c>
      <c r="AQ374" s="94" t="s">
        <v>898</v>
      </c>
      <c r="AR374" s="47" t="s">
        <v>982</v>
      </c>
    </row>
    <row r="375" spans="1:44" hidden="1">
      <c r="A375" s="47" t="s">
        <v>44</v>
      </c>
      <c r="B375" s="47" t="str">
        <f t="shared" si="80"/>
        <v>July</v>
      </c>
      <c r="C375" s="59">
        <v>45486</v>
      </c>
      <c r="D375" s="47" t="s">
        <v>45</v>
      </c>
      <c r="E375" s="47" t="s">
        <v>893</v>
      </c>
      <c r="F375" s="47" t="s">
        <v>894</v>
      </c>
      <c r="G375" s="47" t="s">
        <v>1033</v>
      </c>
      <c r="H375" s="47" t="s">
        <v>1034</v>
      </c>
      <c r="I375" s="47" t="s">
        <v>50</v>
      </c>
      <c r="J375" s="47" t="s">
        <v>51</v>
      </c>
      <c r="K375" s="48">
        <v>45121</v>
      </c>
      <c r="L375" s="48">
        <v>45121</v>
      </c>
      <c r="M375" s="48">
        <v>45486</v>
      </c>
      <c r="N375" s="47" t="s">
        <v>52</v>
      </c>
      <c r="O375" s="55" t="s">
        <v>53</v>
      </c>
      <c r="P375" s="62">
        <v>16320</v>
      </c>
      <c r="Q375" s="62">
        <v>1360</v>
      </c>
      <c r="R375" s="96">
        <v>16620</v>
      </c>
      <c r="S375" s="62">
        <f t="shared" si="90"/>
        <v>1385</v>
      </c>
      <c r="T375" s="62">
        <v>16320</v>
      </c>
      <c r="U375" s="62">
        <f t="shared" si="91"/>
        <v>1360</v>
      </c>
      <c r="V375" s="69">
        <v>15000</v>
      </c>
      <c r="W375" s="71">
        <v>1420</v>
      </c>
      <c r="X375" s="71">
        <f>W375-50</f>
        <v>1370</v>
      </c>
      <c r="Y375" s="176">
        <f>(X375-U375)/U375</f>
        <v>7.3529411764705881E-3</v>
      </c>
      <c r="Z375" s="64">
        <f t="shared" si="81"/>
        <v>4.4117647058823532E-2</v>
      </c>
      <c r="AA375" s="64">
        <f t="shared" si="92"/>
        <v>2.5270758122743681E-2</v>
      </c>
      <c r="AB375" s="71">
        <f t="shared" si="95"/>
        <v>1420</v>
      </c>
      <c r="AC375" s="64">
        <f t="shared" si="82"/>
        <v>4.4117647058823532E-2</v>
      </c>
      <c r="AD375" s="64">
        <f t="shared" si="93"/>
        <v>2.5270758122743681E-2</v>
      </c>
      <c r="AE375" s="71">
        <f t="shared" si="96"/>
        <v>1420</v>
      </c>
      <c r="AF375" s="64">
        <f t="shared" si="83"/>
        <v>4.4117647058823532E-2</v>
      </c>
      <c r="AG375" s="64">
        <f t="shared" si="94"/>
        <v>2.5270758122743681E-2</v>
      </c>
      <c r="AH375" s="67"/>
      <c r="AI375" s="47" t="s">
        <v>54</v>
      </c>
      <c r="AJ375" s="47">
        <v>696</v>
      </c>
      <c r="AK375" s="101" t="s">
        <v>65</v>
      </c>
      <c r="AL375" s="101" t="s">
        <v>65</v>
      </c>
      <c r="AM375" s="47" t="s">
        <v>1035</v>
      </c>
      <c r="AN375" s="50">
        <v>1420</v>
      </c>
      <c r="AO375" s="211">
        <f t="shared" si="84"/>
        <v>4.4117647058823532E-2</v>
      </c>
      <c r="AP375" s="47" t="s">
        <v>852</v>
      </c>
      <c r="AQ375" s="111" t="s">
        <v>125</v>
      </c>
      <c r="AR375" s="47"/>
    </row>
    <row r="376" spans="1:44" hidden="1">
      <c r="A376" s="47" t="s">
        <v>44</v>
      </c>
      <c r="B376" s="47" t="str">
        <f t="shared" si="80"/>
        <v>July</v>
      </c>
      <c r="C376" s="59">
        <v>45503</v>
      </c>
      <c r="D376" s="47" t="s">
        <v>45</v>
      </c>
      <c r="E376" s="47" t="s">
        <v>893</v>
      </c>
      <c r="F376" s="47" t="s">
        <v>894</v>
      </c>
      <c r="G376" s="47" t="s">
        <v>1036</v>
      </c>
      <c r="H376" s="47" t="s">
        <v>1037</v>
      </c>
      <c r="I376" s="47" t="s">
        <v>1038</v>
      </c>
      <c r="J376" s="47" t="s">
        <v>51</v>
      </c>
      <c r="K376" s="48">
        <v>45138</v>
      </c>
      <c r="L376" s="48">
        <v>45138</v>
      </c>
      <c r="M376" s="48">
        <v>45503</v>
      </c>
      <c r="N376" s="47" t="s">
        <v>52</v>
      </c>
      <c r="O376" s="55" t="s">
        <v>53</v>
      </c>
      <c r="P376" s="62">
        <v>16320</v>
      </c>
      <c r="Q376" s="62">
        <v>1360</v>
      </c>
      <c r="R376" s="96">
        <v>16620</v>
      </c>
      <c r="S376" s="62">
        <f t="shared" si="90"/>
        <v>1385</v>
      </c>
      <c r="T376" s="62">
        <v>16200</v>
      </c>
      <c r="U376" s="62">
        <f t="shared" si="91"/>
        <v>1350</v>
      </c>
      <c r="V376" s="69">
        <v>14940</v>
      </c>
      <c r="W376" s="71">
        <v>1410</v>
      </c>
      <c r="X376" s="71">
        <f>W376-50</f>
        <v>1360</v>
      </c>
      <c r="Y376" s="176">
        <f>(X376-U376)/U376</f>
        <v>7.4074074074074077E-3</v>
      </c>
      <c r="Z376" s="64">
        <f t="shared" si="81"/>
        <v>4.4444444444444446E-2</v>
      </c>
      <c r="AA376" s="64">
        <f t="shared" si="92"/>
        <v>1.8050541516245487E-2</v>
      </c>
      <c r="AB376" s="71">
        <f t="shared" si="95"/>
        <v>1410</v>
      </c>
      <c r="AC376" s="64">
        <f t="shared" si="82"/>
        <v>4.4444444444444446E-2</v>
      </c>
      <c r="AD376" s="64">
        <f t="shared" si="93"/>
        <v>1.8050541516245487E-2</v>
      </c>
      <c r="AE376" s="71">
        <f t="shared" si="96"/>
        <v>1410</v>
      </c>
      <c r="AF376" s="64">
        <f t="shared" si="83"/>
        <v>4.4444444444444446E-2</v>
      </c>
      <c r="AG376" s="64">
        <f t="shared" si="94"/>
        <v>1.8050541516245487E-2</v>
      </c>
      <c r="AH376" s="67"/>
      <c r="AI376" s="47" t="s">
        <v>54</v>
      </c>
      <c r="AJ376" s="47">
        <v>696</v>
      </c>
      <c r="AK376" s="101" t="s">
        <v>65</v>
      </c>
      <c r="AL376" s="101" t="s">
        <v>65</v>
      </c>
      <c r="AM376" s="47" t="s">
        <v>1035</v>
      </c>
      <c r="AN376" s="50"/>
      <c r="AO376" s="211">
        <f t="shared" si="84"/>
        <v>-1</v>
      </c>
      <c r="AP376" s="47" t="s">
        <v>852</v>
      </c>
      <c r="AQ376" s="94" t="s">
        <v>1039</v>
      </c>
      <c r="AR376" s="47" t="s">
        <v>1040</v>
      </c>
    </row>
    <row r="377" spans="1:44">
      <c r="A377" s="47" t="s">
        <v>44</v>
      </c>
      <c r="B377" s="47" t="str">
        <f t="shared" si="80"/>
        <v>July</v>
      </c>
      <c r="C377" s="59">
        <v>45493</v>
      </c>
      <c r="D377" s="47" t="s">
        <v>45</v>
      </c>
      <c r="E377" s="47" t="s">
        <v>893</v>
      </c>
      <c r="F377" s="47" t="s">
        <v>894</v>
      </c>
      <c r="G377" s="47" t="s">
        <v>1048</v>
      </c>
      <c r="H377" s="47" t="s">
        <v>1049</v>
      </c>
      <c r="I377" s="47" t="s">
        <v>50</v>
      </c>
      <c r="J377" s="47" t="s">
        <v>51</v>
      </c>
      <c r="K377" s="48">
        <v>45128</v>
      </c>
      <c r="L377" s="48">
        <v>45128</v>
      </c>
      <c r="M377" s="48">
        <v>45493</v>
      </c>
      <c r="N377" s="47" t="s">
        <v>64</v>
      </c>
      <c r="O377" s="55" t="s">
        <v>889</v>
      </c>
      <c r="P377" s="62">
        <v>16380</v>
      </c>
      <c r="Q377" s="62">
        <v>1365</v>
      </c>
      <c r="R377" s="96">
        <v>16680</v>
      </c>
      <c r="S377" s="62">
        <f t="shared" si="90"/>
        <v>1390</v>
      </c>
      <c r="T377" s="62">
        <v>16380</v>
      </c>
      <c r="U377" s="62">
        <f t="shared" si="91"/>
        <v>1365</v>
      </c>
      <c r="V377" s="69">
        <v>16380</v>
      </c>
      <c r="W377" s="71">
        <v>1430</v>
      </c>
      <c r="X377" s="71">
        <f>W377-50</f>
        <v>1380</v>
      </c>
      <c r="Y377" s="176">
        <f>(X377-U377)/U377</f>
        <v>1.098901098901099E-2</v>
      </c>
      <c r="Z377" s="64">
        <f t="shared" si="81"/>
        <v>4.7619047619047616E-2</v>
      </c>
      <c r="AA377" s="64">
        <f t="shared" si="92"/>
        <v>2.8776978417266189E-2</v>
      </c>
      <c r="AB377" s="71">
        <f t="shared" si="95"/>
        <v>1430</v>
      </c>
      <c r="AC377" s="64">
        <f t="shared" si="82"/>
        <v>4.7619047619047616E-2</v>
      </c>
      <c r="AD377" s="64">
        <f t="shared" si="93"/>
        <v>2.8776978417266189E-2</v>
      </c>
      <c r="AE377" s="71">
        <f t="shared" si="96"/>
        <v>1430</v>
      </c>
      <c r="AF377" s="64">
        <f t="shared" si="83"/>
        <v>4.7619047619047616E-2</v>
      </c>
      <c r="AG377" s="64">
        <f t="shared" si="94"/>
        <v>2.8776978417266189E-2</v>
      </c>
      <c r="AH377" s="67"/>
      <c r="AI377" s="47" t="s">
        <v>395</v>
      </c>
      <c r="AJ377" s="47">
        <v>695</v>
      </c>
      <c r="AK377" s="101" t="s">
        <v>65</v>
      </c>
      <c r="AL377" s="101" t="s">
        <v>65</v>
      </c>
      <c r="AM377" s="47" t="s">
        <v>897</v>
      </c>
      <c r="AN377" s="50">
        <v>1390</v>
      </c>
      <c r="AO377" s="211">
        <f t="shared" si="84"/>
        <v>1.8315018315018316E-2</v>
      </c>
      <c r="AP377" s="47" t="s">
        <v>852</v>
      </c>
      <c r="AQ377" s="168" t="s">
        <v>1050</v>
      </c>
    </row>
    <row r="378" spans="1:44" hidden="1">
      <c r="A378" s="47" t="s">
        <v>44</v>
      </c>
      <c r="B378" s="47" t="str">
        <f t="shared" si="80"/>
        <v>July</v>
      </c>
      <c r="C378" s="59">
        <v>45496</v>
      </c>
      <c r="D378" s="47" t="s">
        <v>45</v>
      </c>
      <c r="E378" s="47" t="s">
        <v>893</v>
      </c>
      <c r="F378" s="47" t="s">
        <v>894</v>
      </c>
      <c r="G378" s="47" t="s">
        <v>1353</v>
      </c>
      <c r="H378" s="47" t="s">
        <v>1354</v>
      </c>
      <c r="I378" s="47" t="s">
        <v>50</v>
      </c>
      <c r="J378" s="47" t="s">
        <v>51</v>
      </c>
      <c r="K378" s="48">
        <v>45131</v>
      </c>
      <c r="L378" s="48">
        <v>45131</v>
      </c>
      <c r="M378" s="48">
        <v>45496</v>
      </c>
      <c r="N378" s="47" t="s">
        <v>52</v>
      </c>
      <c r="O378" s="55" t="s">
        <v>53</v>
      </c>
      <c r="P378" s="62">
        <v>12900</v>
      </c>
      <c r="Q378" s="62">
        <v>1075</v>
      </c>
      <c r="R378" s="96">
        <v>13080</v>
      </c>
      <c r="S378" s="62">
        <f t="shared" si="90"/>
        <v>1090</v>
      </c>
      <c r="T378" s="62">
        <v>12840</v>
      </c>
      <c r="U378" s="62">
        <f t="shared" si="91"/>
        <v>1070</v>
      </c>
      <c r="V378" s="69">
        <v>11940</v>
      </c>
      <c r="W378" s="71">
        <v>1115</v>
      </c>
      <c r="X378" s="71"/>
      <c r="Y378" s="71"/>
      <c r="Z378" s="64">
        <f t="shared" si="81"/>
        <v>4.2056074766355138E-2</v>
      </c>
      <c r="AA378" s="64">
        <f t="shared" si="92"/>
        <v>2.2935779816513763E-2</v>
      </c>
      <c r="AB378" s="71">
        <f t="shared" si="95"/>
        <v>1115</v>
      </c>
      <c r="AC378" s="64">
        <f t="shared" si="82"/>
        <v>4.2056074766355138E-2</v>
      </c>
      <c r="AD378" s="64">
        <f t="shared" si="93"/>
        <v>2.2935779816513763E-2</v>
      </c>
      <c r="AE378" s="71">
        <f t="shared" si="96"/>
        <v>1115</v>
      </c>
      <c r="AF378" s="64">
        <f t="shared" si="83"/>
        <v>4.2056074766355138E-2</v>
      </c>
      <c r="AG378" s="64">
        <f t="shared" si="94"/>
        <v>2.2935779816513763E-2</v>
      </c>
      <c r="AH378" s="67"/>
      <c r="AI378" s="47" t="s">
        <v>250</v>
      </c>
      <c r="AJ378" s="47">
        <v>573</v>
      </c>
      <c r="AK378" s="101" t="s">
        <v>55</v>
      </c>
      <c r="AL378" s="101" t="s">
        <v>55</v>
      </c>
      <c r="AM378" s="47" t="s">
        <v>1355</v>
      </c>
      <c r="AN378" s="50">
        <v>1115</v>
      </c>
      <c r="AO378" s="211">
        <f t="shared" si="84"/>
        <v>4.2056074766355138E-2</v>
      </c>
      <c r="AP378" s="47" t="s">
        <v>852</v>
      </c>
      <c r="AQ378" s="111" t="s">
        <v>986</v>
      </c>
      <c r="AR378" s="47" t="s">
        <v>1058</v>
      </c>
    </row>
    <row r="379" spans="1:44" hidden="1">
      <c r="A379" s="47" t="s">
        <v>44</v>
      </c>
      <c r="B379" s="47" t="str">
        <f t="shared" si="80"/>
        <v>July</v>
      </c>
      <c r="C379" s="59">
        <v>45500</v>
      </c>
      <c r="D379" s="47" t="s">
        <v>45</v>
      </c>
      <c r="E379" s="47" t="s">
        <v>893</v>
      </c>
      <c r="F379" s="47" t="s">
        <v>894</v>
      </c>
      <c r="G379" s="47" t="s">
        <v>1502</v>
      </c>
      <c r="H379" s="47" t="s">
        <v>1503</v>
      </c>
      <c r="I379" s="47" t="s">
        <v>1504</v>
      </c>
      <c r="J379" s="47" t="s">
        <v>51</v>
      </c>
      <c r="K379" s="48">
        <v>45135</v>
      </c>
      <c r="L379" s="48">
        <v>45135</v>
      </c>
      <c r="M379" s="48">
        <v>45500</v>
      </c>
      <c r="N379" s="47" t="s">
        <v>52</v>
      </c>
      <c r="O379" s="55" t="s">
        <v>53</v>
      </c>
      <c r="P379" s="62">
        <v>13200</v>
      </c>
      <c r="Q379" s="62">
        <v>1100</v>
      </c>
      <c r="R379" s="96">
        <v>13380</v>
      </c>
      <c r="S379" s="62">
        <f t="shared" si="90"/>
        <v>1115</v>
      </c>
      <c r="T379" s="62">
        <v>13200</v>
      </c>
      <c r="U379" s="62">
        <f t="shared" si="91"/>
        <v>1100</v>
      </c>
      <c r="V379" s="69">
        <v>12540</v>
      </c>
      <c r="W379" s="71">
        <v>1145</v>
      </c>
      <c r="X379" s="71"/>
      <c r="Y379" s="71"/>
      <c r="Z379" s="64">
        <f t="shared" si="81"/>
        <v>4.0909090909090909E-2</v>
      </c>
      <c r="AA379" s="64">
        <f t="shared" si="92"/>
        <v>2.6905829596412557E-2</v>
      </c>
      <c r="AB379" s="71">
        <f t="shared" si="95"/>
        <v>1145</v>
      </c>
      <c r="AC379" s="64">
        <f t="shared" si="82"/>
        <v>4.0909090909090909E-2</v>
      </c>
      <c r="AD379" s="64">
        <f t="shared" si="93"/>
        <v>2.6905829596412557E-2</v>
      </c>
      <c r="AE379" s="71">
        <f t="shared" si="96"/>
        <v>1145</v>
      </c>
      <c r="AF379" s="64">
        <f t="shared" si="83"/>
        <v>4.0909090909090909E-2</v>
      </c>
      <c r="AG379" s="64">
        <f t="shared" si="94"/>
        <v>2.6905829596412557E-2</v>
      </c>
      <c r="AH379" s="67"/>
      <c r="AI379" s="47" t="s">
        <v>54</v>
      </c>
      <c r="AJ379" s="47">
        <v>573</v>
      </c>
      <c r="AK379" s="101" t="s">
        <v>55</v>
      </c>
      <c r="AL379" s="101" t="s">
        <v>55</v>
      </c>
      <c r="AM379" s="47" t="s">
        <v>1355</v>
      </c>
      <c r="AN379" s="50">
        <v>1145</v>
      </c>
      <c r="AO379" s="211">
        <f t="shared" si="84"/>
        <v>4.0909090909090909E-2</v>
      </c>
      <c r="AP379" s="47" t="s">
        <v>852</v>
      </c>
      <c r="AQ379" s="111" t="s">
        <v>125</v>
      </c>
      <c r="AR379" s="47" t="s">
        <v>1505</v>
      </c>
    </row>
    <row r="380" spans="1:44" hidden="1">
      <c r="A380" s="47" t="s">
        <v>44</v>
      </c>
      <c r="B380" s="47" t="str">
        <f t="shared" si="80"/>
        <v>July</v>
      </c>
      <c r="C380" s="59">
        <v>45492</v>
      </c>
      <c r="D380" s="47" t="s">
        <v>45</v>
      </c>
      <c r="E380" s="47" t="s">
        <v>893</v>
      </c>
      <c r="F380" s="47" t="s">
        <v>894</v>
      </c>
      <c r="G380" s="47" t="s">
        <v>1539</v>
      </c>
      <c r="H380" s="47" t="s">
        <v>1540</v>
      </c>
      <c r="I380" s="47" t="s">
        <v>1541</v>
      </c>
      <c r="J380" s="47" t="s">
        <v>51</v>
      </c>
      <c r="K380" s="48">
        <v>45311</v>
      </c>
      <c r="L380" s="48">
        <v>45311</v>
      </c>
      <c r="M380" s="48">
        <v>45492</v>
      </c>
      <c r="N380" s="47" t="s">
        <v>52</v>
      </c>
      <c r="O380" s="55" t="s">
        <v>53</v>
      </c>
      <c r="P380" s="62">
        <v>17940</v>
      </c>
      <c r="Q380" s="62">
        <v>1495</v>
      </c>
      <c r="R380" s="96">
        <v>17940</v>
      </c>
      <c r="S380" s="62">
        <f t="shared" si="90"/>
        <v>1495</v>
      </c>
      <c r="T380" s="62">
        <v>16860</v>
      </c>
      <c r="U380" s="62">
        <f t="shared" si="91"/>
        <v>1405</v>
      </c>
      <c r="V380" s="69">
        <v>16860</v>
      </c>
      <c r="W380" s="71">
        <v>1535</v>
      </c>
      <c r="X380" s="71">
        <f>W380-50</f>
        <v>1485</v>
      </c>
      <c r="Y380" s="171">
        <f>(X380-U380)/U380</f>
        <v>5.6939501779359428E-2</v>
      </c>
      <c r="Z380" s="64">
        <f t="shared" si="81"/>
        <v>9.2526690391459068E-2</v>
      </c>
      <c r="AA380" s="64">
        <f t="shared" si="92"/>
        <v>2.6755852842809364E-2</v>
      </c>
      <c r="AB380" s="71">
        <f t="shared" si="95"/>
        <v>1535</v>
      </c>
      <c r="AC380" s="64">
        <f t="shared" si="82"/>
        <v>9.2526690391459068E-2</v>
      </c>
      <c r="AD380" s="64">
        <f t="shared" si="93"/>
        <v>2.6755852842809364E-2</v>
      </c>
      <c r="AE380" s="71">
        <v>1505</v>
      </c>
      <c r="AF380" s="64">
        <f t="shared" si="83"/>
        <v>7.1174377224199295E-2</v>
      </c>
      <c r="AG380" s="64">
        <f t="shared" si="94"/>
        <v>6.688963210702341E-3</v>
      </c>
      <c r="AH380" s="67"/>
      <c r="AI380" s="47" t="s">
        <v>54</v>
      </c>
      <c r="AJ380" s="47">
        <v>705</v>
      </c>
      <c r="AK380" s="101" t="s">
        <v>65</v>
      </c>
      <c r="AL380" s="101" t="s">
        <v>65</v>
      </c>
      <c r="AM380" s="47" t="s">
        <v>1542</v>
      </c>
      <c r="AN380" s="50"/>
      <c r="AO380" s="211">
        <f t="shared" si="84"/>
        <v>-1</v>
      </c>
      <c r="AP380" s="47" t="s">
        <v>852</v>
      </c>
      <c r="AQ380" s="94" t="s">
        <v>891</v>
      </c>
      <c r="AR380" s="47" t="s">
        <v>1543</v>
      </c>
    </row>
    <row r="381" spans="1:44" hidden="1">
      <c r="A381" s="47" t="s">
        <v>44</v>
      </c>
      <c r="B381" s="47" t="str">
        <f t="shared" si="80"/>
        <v>August</v>
      </c>
      <c r="C381" s="59">
        <v>45505</v>
      </c>
      <c r="D381" s="47" t="s">
        <v>45</v>
      </c>
      <c r="E381" s="47" t="s">
        <v>893</v>
      </c>
      <c r="F381" s="47" t="s">
        <v>894</v>
      </c>
      <c r="G381" s="47" t="s">
        <v>1683</v>
      </c>
      <c r="H381" s="47" t="s">
        <v>1684</v>
      </c>
      <c r="I381" s="47" t="s">
        <v>50</v>
      </c>
      <c r="J381" s="47" t="s">
        <v>51</v>
      </c>
      <c r="K381" s="48">
        <v>45140</v>
      </c>
      <c r="L381" s="48">
        <v>45140</v>
      </c>
      <c r="M381" s="48">
        <v>45505</v>
      </c>
      <c r="N381" s="47" t="s">
        <v>52</v>
      </c>
      <c r="O381" s="55" t="s">
        <v>53</v>
      </c>
      <c r="P381" s="62">
        <v>13140</v>
      </c>
      <c r="Q381" s="62">
        <v>1095</v>
      </c>
      <c r="R381" s="96">
        <v>13800</v>
      </c>
      <c r="S381" s="62">
        <f t="shared" si="90"/>
        <v>1150</v>
      </c>
      <c r="T381" s="62">
        <v>13140</v>
      </c>
      <c r="U381" s="62">
        <f t="shared" si="91"/>
        <v>1095</v>
      </c>
      <c r="V381" s="69">
        <v>12420</v>
      </c>
      <c r="W381" s="71">
        <v>1140</v>
      </c>
      <c r="X381" s="105">
        <f>W381-30</f>
        <v>1110</v>
      </c>
      <c r="Y381" s="176">
        <f>(X381-U381)/U381</f>
        <v>1.3698630136986301E-2</v>
      </c>
      <c r="Z381" s="64">
        <f t="shared" si="81"/>
        <v>4.1095890410958902E-2</v>
      </c>
      <c r="AA381" s="64">
        <f t="shared" si="92"/>
        <v>-8.6956521739130436E-3</v>
      </c>
      <c r="AB381" s="71">
        <f t="shared" si="95"/>
        <v>1140</v>
      </c>
      <c r="AC381" s="64">
        <f t="shared" si="82"/>
        <v>4.1095890410958902E-2</v>
      </c>
      <c r="AD381" s="64">
        <f t="shared" si="93"/>
        <v>-8.6956521739130436E-3</v>
      </c>
      <c r="AE381" s="71">
        <f t="shared" ref="AE381:AE389" si="97">AB381</f>
        <v>1140</v>
      </c>
      <c r="AF381" s="64">
        <f t="shared" si="83"/>
        <v>4.1095890410958902E-2</v>
      </c>
      <c r="AG381" s="64">
        <f t="shared" si="94"/>
        <v>-8.6956521739130436E-3</v>
      </c>
      <c r="AH381" s="67"/>
      <c r="AI381" s="47" t="s">
        <v>54</v>
      </c>
      <c r="AJ381" s="47">
        <v>629</v>
      </c>
      <c r="AK381" s="47" t="s">
        <v>55</v>
      </c>
      <c r="AL381" s="47" t="s">
        <v>55</v>
      </c>
      <c r="AM381" s="47" t="s">
        <v>1685</v>
      </c>
      <c r="AN381" s="50">
        <v>1140</v>
      </c>
      <c r="AO381" s="211">
        <f t="shared" si="84"/>
        <v>4.1095890410958902E-2</v>
      </c>
      <c r="AP381" s="47" t="s">
        <v>852</v>
      </c>
      <c r="AQ381" s="223" t="s">
        <v>125</v>
      </c>
      <c r="AR381" s="47" t="s">
        <v>1199</v>
      </c>
    </row>
    <row r="382" spans="1:44" hidden="1">
      <c r="A382" s="47" t="s">
        <v>44</v>
      </c>
      <c r="B382" s="47" t="str">
        <f t="shared" si="80"/>
        <v>August</v>
      </c>
      <c r="C382" s="59">
        <v>45507</v>
      </c>
      <c r="D382" s="47" t="s">
        <v>45</v>
      </c>
      <c r="E382" s="47" t="s">
        <v>893</v>
      </c>
      <c r="F382" s="47" t="s">
        <v>894</v>
      </c>
      <c r="G382" s="47" t="s">
        <v>1693</v>
      </c>
      <c r="H382" s="47" t="s">
        <v>1694</v>
      </c>
      <c r="I382" s="47" t="s">
        <v>50</v>
      </c>
      <c r="J382" s="47" t="s">
        <v>51</v>
      </c>
      <c r="K382" s="48">
        <v>45142</v>
      </c>
      <c r="L382" s="48">
        <v>45142</v>
      </c>
      <c r="M382" s="48">
        <v>45507</v>
      </c>
      <c r="N382" s="47" t="s">
        <v>52</v>
      </c>
      <c r="O382" s="55" t="s">
        <v>53</v>
      </c>
      <c r="P382" s="62">
        <v>13800</v>
      </c>
      <c r="Q382" s="62">
        <v>1150</v>
      </c>
      <c r="R382" s="96">
        <v>13980</v>
      </c>
      <c r="S382" s="62">
        <f t="shared" si="90"/>
        <v>1165</v>
      </c>
      <c r="T382" s="62">
        <v>13440</v>
      </c>
      <c r="U382" s="62">
        <f t="shared" si="91"/>
        <v>1120</v>
      </c>
      <c r="V382" s="69">
        <v>12480</v>
      </c>
      <c r="W382" s="71">
        <v>1165</v>
      </c>
      <c r="X382" s="105">
        <f>W382-30</f>
        <v>1135</v>
      </c>
      <c r="Y382" s="176">
        <f>(X382-U382)/U382</f>
        <v>1.3392857142857142E-2</v>
      </c>
      <c r="Z382" s="64">
        <f t="shared" si="81"/>
        <v>4.0178571428571432E-2</v>
      </c>
      <c r="AA382" s="64">
        <f t="shared" si="92"/>
        <v>0</v>
      </c>
      <c r="AB382" s="71">
        <f t="shared" si="95"/>
        <v>1165</v>
      </c>
      <c r="AC382" s="64">
        <f t="shared" si="82"/>
        <v>4.0178571428571432E-2</v>
      </c>
      <c r="AD382" s="64">
        <f t="shared" si="93"/>
        <v>0</v>
      </c>
      <c r="AE382" s="71">
        <f t="shared" si="97"/>
        <v>1165</v>
      </c>
      <c r="AF382" s="64">
        <f t="shared" si="83"/>
        <v>4.0178571428571432E-2</v>
      </c>
      <c r="AG382" s="64">
        <f t="shared" si="94"/>
        <v>0</v>
      </c>
      <c r="AH382" s="67"/>
      <c r="AI382" s="47" t="s">
        <v>54</v>
      </c>
      <c r="AJ382" s="47">
        <v>679</v>
      </c>
      <c r="AK382" s="47" t="s">
        <v>55</v>
      </c>
      <c r="AL382" s="47" t="s">
        <v>55</v>
      </c>
      <c r="AM382" s="47" t="s">
        <v>1695</v>
      </c>
      <c r="AN382" s="50">
        <v>1165</v>
      </c>
      <c r="AO382" s="211">
        <f t="shared" si="84"/>
        <v>4.0178571428571432E-2</v>
      </c>
      <c r="AP382" s="47" t="s">
        <v>852</v>
      </c>
      <c r="AQ382" s="111" t="s">
        <v>125</v>
      </c>
      <c r="AR382" s="47" t="s">
        <v>1199</v>
      </c>
    </row>
    <row r="383" spans="1:44" hidden="1">
      <c r="A383" s="47" t="s">
        <v>44</v>
      </c>
      <c r="B383" s="47" t="str">
        <f t="shared" si="80"/>
        <v>August</v>
      </c>
      <c r="C383" s="59">
        <v>45517</v>
      </c>
      <c r="D383" s="47" t="s">
        <v>45</v>
      </c>
      <c r="E383" s="47" t="s">
        <v>893</v>
      </c>
      <c r="F383" s="47" t="s">
        <v>894</v>
      </c>
      <c r="G383" s="47" t="s">
        <v>2347</v>
      </c>
      <c r="H383" s="47" t="s">
        <v>2348</v>
      </c>
      <c r="I383" s="47" t="s">
        <v>50</v>
      </c>
      <c r="J383" s="47" t="s">
        <v>51</v>
      </c>
      <c r="K383" s="48">
        <v>45152</v>
      </c>
      <c r="L383" s="48">
        <v>45152</v>
      </c>
      <c r="M383" s="48">
        <v>45517</v>
      </c>
      <c r="N383" s="47" t="s">
        <v>52</v>
      </c>
      <c r="O383" s="55" t="s">
        <v>53</v>
      </c>
      <c r="P383" s="62">
        <v>16320</v>
      </c>
      <c r="Q383" s="62">
        <v>1360</v>
      </c>
      <c r="R383" s="96">
        <v>16620</v>
      </c>
      <c r="S383" s="62">
        <f t="shared" si="90"/>
        <v>1385</v>
      </c>
      <c r="T383" s="62">
        <v>16080</v>
      </c>
      <c r="U383" s="62">
        <f t="shared" si="91"/>
        <v>1340</v>
      </c>
      <c r="V383" s="69">
        <v>15000</v>
      </c>
      <c r="W383" s="71">
        <v>1400</v>
      </c>
      <c r="X383" s="71">
        <f>W383-50</f>
        <v>1350</v>
      </c>
      <c r="Y383" s="176">
        <f>(X383-U383)/U383</f>
        <v>7.462686567164179E-3</v>
      </c>
      <c r="Z383" s="64">
        <f t="shared" si="81"/>
        <v>4.4776119402985072E-2</v>
      </c>
      <c r="AA383" s="64">
        <f t="shared" si="92"/>
        <v>1.0830324909747292E-2</v>
      </c>
      <c r="AB383" s="71">
        <f t="shared" si="95"/>
        <v>1400</v>
      </c>
      <c r="AC383" s="64">
        <f t="shared" si="82"/>
        <v>4.4776119402985072E-2</v>
      </c>
      <c r="AD383" s="64">
        <f t="shared" si="93"/>
        <v>1.0830324909747292E-2</v>
      </c>
      <c r="AE383" s="71">
        <f t="shared" si="97"/>
        <v>1400</v>
      </c>
      <c r="AF383" s="64">
        <f t="shared" si="83"/>
        <v>4.4776119402985072E-2</v>
      </c>
      <c r="AG383" s="64">
        <f t="shared" si="94"/>
        <v>1.0830324909747292E-2</v>
      </c>
      <c r="AH383" s="67"/>
      <c r="AI383" s="47" t="s">
        <v>54</v>
      </c>
      <c r="AJ383" s="47">
        <v>694</v>
      </c>
      <c r="AK383" s="47" t="s">
        <v>65</v>
      </c>
      <c r="AL383" s="47" t="s">
        <v>65</v>
      </c>
      <c r="AM383" s="47" t="s">
        <v>2349</v>
      </c>
      <c r="AN383" s="50"/>
      <c r="AO383" s="211">
        <f t="shared" si="84"/>
        <v>-1</v>
      </c>
      <c r="AP383" s="47" t="s">
        <v>852</v>
      </c>
      <c r="AQ383" s="91" t="s">
        <v>1074</v>
      </c>
      <c r="AR383" s="47"/>
    </row>
    <row r="384" spans="1:44" hidden="1">
      <c r="A384" s="47" t="s">
        <v>74</v>
      </c>
      <c r="B384" s="47" t="str">
        <f t="shared" si="80"/>
        <v>August</v>
      </c>
      <c r="C384" s="59">
        <v>45518</v>
      </c>
      <c r="D384" s="47" t="s">
        <v>45</v>
      </c>
      <c r="E384" s="47" t="s">
        <v>893</v>
      </c>
      <c r="F384" s="47" t="s">
        <v>894</v>
      </c>
      <c r="G384" s="47" t="s">
        <v>2379</v>
      </c>
      <c r="H384" s="47" t="s">
        <v>2380</v>
      </c>
      <c r="I384" s="47" t="s">
        <v>50</v>
      </c>
      <c r="J384" s="47" t="s">
        <v>51</v>
      </c>
      <c r="K384" s="48">
        <v>45153</v>
      </c>
      <c r="L384" s="48">
        <v>45153</v>
      </c>
      <c r="M384" s="48">
        <v>45518</v>
      </c>
      <c r="N384" s="47" t="s">
        <v>52</v>
      </c>
      <c r="O384" s="55" t="s">
        <v>53</v>
      </c>
      <c r="P384" s="62">
        <v>16680</v>
      </c>
      <c r="Q384" s="62">
        <v>1390</v>
      </c>
      <c r="R384" s="96">
        <v>16890</v>
      </c>
      <c r="S384" s="62">
        <f t="shared" si="90"/>
        <v>1407.5</v>
      </c>
      <c r="T384" s="62">
        <v>16680</v>
      </c>
      <c r="U384" s="62">
        <f t="shared" si="91"/>
        <v>1390</v>
      </c>
      <c r="V384" s="69">
        <v>15660</v>
      </c>
      <c r="W384" s="71">
        <v>1440</v>
      </c>
      <c r="X384" s="175">
        <f>W384-50</f>
        <v>1390</v>
      </c>
      <c r="Y384" s="176">
        <f>(X384-U384)/U384</f>
        <v>0</v>
      </c>
      <c r="Z384" s="64">
        <f t="shared" si="81"/>
        <v>3.5971223021582732E-2</v>
      </c>
      <c r="AA384" s="64">
        <f t="shared" si="92"/>
        <v>2.3090586145648313E-2</v>
      </c>
      <c r="AB384" s="71">
        <f t="shared" si="95"/>
        <v>1440</v>
      </c>
      <c r="AC384" s="64">
        <f t="shared" si="82"/>
        <v>3.5971223021582732E-2</v>
      </c>
      <c r="AD384" s="64">
        <f t="shared" si="93"/>
        <v>2.3090586145648313E-2</v>
      </c>
      <c r="AE384" s="71">
        <f t="shared" si="97"/>
        <v>1440</v>
      </c>
      <c r="AF384" s="64">
        <f t="shared" si="83"/>
        <v>3.5971223021582732E-2</v>
      </c>
      <c r="AG384" s="64">
        <f t="shared" si="94"/>
        <v>2.3090586145648313E-2</v>
      </c>
      <c r="AH384" s="67"/>
      <c r="AI384" s="47" t="s">
        <v>54</v>
      </c>
      <c r="AJ384" s="47">
        <v>695</v>
      </c>
      <c r="AK384" s="47" t="s">
        <v>65</v>
      </c>
      <c r="AL384" s="47" t="s">
        <v>65</v>
      </c>
      <c r="AM384" s="47" t="s">
        <v>897</v>
      </c>
      <c r="AN384" s="50">
        <v>1440</v>
      </c>
      <c r="AO384" s="211">
        <f t="shared" si="84"/>
        <v>3.5971223021582732E-2</v>
      </c>
      <c r="AP384" s="47" t="s">
        <v>852</v>
      </c>
      <c r="AQ384" s="111" t="s">
        <v>125</v>
      </c>
      <c r="AR384" s="52" t="s">
        <v>2381</v>
      </c>
    </row>
    <row r="385" spans="1:45" hidden="1">
      <c r="A385" s="47" t="s">
        <v>44</v>
      </c>
      <c r="B385" s="47" t="str">
        <f t="shared" si="80"/>
        <v>July</v>
      </c>
      <c r="C385" s="59">
        <v>45479</v>
      </c>
      <c r="D385" s="47" t="s">
        <v>45</v>
      </c>
      <c r="E385" s="47" t="s">
        <v>893</v>
      </c>
      <c r="F385" s="47" t="s">
        <v>894</v>
      </c>
      <c r="G385" s="47" t="s">
        <v>2485</v>
      </c>
      <c r="H385" s="47" t="s">
        <v>2486</v>
      </c>
      <c r="I385" s="47" t="s">
        <v>50</v>
      </c>
      <c r="J385" s="47" t="s">
        <v>51</v>
      </c>
      <c r="K385" s="48">
        <v>45114</v>
      </c>
      <c r="L385" s="48">
        <v>45114</v>
      </c>
      <c r="M385" s="48">
        <v>45479</v>
      </c>
      <c r="N385" s="47" t="s">
        <v>52</v>
      </c>
      <c r="O385" s="55" t="s">
        <v>53</v>
      </c>
      <c r="P385" s="62">
        <v>12900</v>
      </c>
      <c r="Q385" s="62">
        <v>1075</v>
      </c>
      <c r="R385" s="96">
        <v>13080</v>
      </c>
      <c r="S385" s="62">
        <f t="shared" si="90"/>
        <v>1090</v>
      </c>
      <c r="T385" s="62">
        <v>12900</v>
      </c>
      <c r="U385" s="62">
        <f t="shared" si="91"/>
        <v>1075</v>
      </c>
      <c r="V385" s="69">
        <v>12180</v>
      </c>
      <c r="W385" s="71">
        <v>1125</v>
      </c>
      <c r="X385" s="71"/>
      <c r="Y385" s="71"/>
      <c r="Z385" s="64">
        <f t="shared" si="81"/>
        <v>4.6511627906976744E-2</v>
      </c>
      <c r="AA385" s="64">
        <f t="shared" si="92"/>
        <v>3.2110091743119268E-2</v>
      </c>
      <c r="AB385" s="71">
        <f t="shared" si="95"/>
        <v>1125</v>
      </c>
      <c r="AC385" s="64">
        <f t="shared" si="82"/>
        <v>4.6511627906976744E-2</v>
      </c>
      <c r="AD385" s="64">
        <f t="shared" si="93"/>
        <v>3.2110091743119268E-2</v>
      </c>
      <c r="AE385" s="71">
        <f t="shared" si="97"/>
        <v>1125</v>
      </c>
      <c r="AF385" s="64">
        <f t="shared" si="83"/>
        <v>4.6511627906976744E-2</v>
      </c>
      <c r="AG385" s="64">
        <f t="shared" si="94"/>
        <v>3.2110091743119268E-2</v>
      </c>
      <c r="AH385" s="67"/>
      <c r="AI385" s="47" t="s">
        <v>395</v>
      </c>
      <c r="AJ385" s="47">
        <v>573</v>
      </c>
      <c r="AK385" s="47" t="s">
        <v>55</v>
      </c>
      <c r="AL385" s="47" t="s">
        <v>55</v>
      </c>
      <c r="AM385" s="47" t="s">
        <v>1355</v>
      </c>
      <c r="AN385" s="50"/>
      <c r="AO385" s="211">
        <f t="shared" si="84"/>
        <v>-1</v>
      </c>
      <c r="AP385" s="47" t="s">
        <v>852</v>
      </c>
      <c r="AQ385" s="94" t="s">
        <v>898</v>
      </c>
      <c r="AR385" s="47" t="s">
        <v>1066</v>
      </c>
    </row>
    <row r="386" spans="1:45">
      <c r="A386" s="47" t="s">
        <v>44</v>
      </c>
      <c r="B386" s="47" t="str">
        <f t="shared" ref="B386:B449" si="98">TEXT(C386,"mmmm")</f>
        <v>July</v>
      </c>
      <c r="C386" s="59">
        <v>45503</v>
      </c>
      <c r="D386" s="47" t="s">
        <v>45</v>
      </c>
      <c r="E386" s="47" t="s">
        <v>893</v>
      </c>
      <c r="F386" s="47" t="s">
        <v>894</v>
      </c>
      <c r="G386" s="47" t="s">
        <v>2487</v>
      </c>
      <c r="H386" s="47" t="s">
        <v>1049</v>
      </c>
      <c r="I386" s="47" t="s">
        <v>50</v>
      </c>
      <c r="J386" s="47" t="s">
        <v>51</v>
      </c>
      <c r="K386" s="48">
        <v>45138</v>
      </c>
      <c r="L386" s="48">
        <v>45138</v>
      </c>
      <c r="M386" s="48">
        <v>45503</v>
      </c>
      <c r="N386" s="47" t="s">
        <v>64</v>
      </c>
      <c r="O386" s="55" t="s">
        <v>889</v>
      </c>
      <c r="P386" s="62">
        <v>14400</v>
      </c>
      <c r="Q386" s="62">
        <v>1200</v>
      </c>
      <c r="R386" s="96">
        <v>14400</v>
      </c>
      <c r="S386" s="62">
        <f t="shared" si="90"/>
        <v>1200</v>
      </c>
      <c r="T386" s="62">
        <v>12960</v>
      </c>
      <c r="U386" s="62">
        <f t="shared" si="91"/>
        <v>1080</v>
      </c>
      <c r="V386" s="69">
        <v>12960</v>
      </c>
      <c r="W386" s="71">
        <v>1115</v>
      </c>
      <c r="X386" s="71"/>
      <c r="Y386" s="71"/>
      <c r="Z386" s="64">
        <f t="shared" ref="Z386:Z449" si="99">(W386-U386)/U386</f>
        <v>3.2407407407407406E-2</v>
      </c>
      <c r="AA386" s="64">
        <f t="shared" si="92"/>
        <v>-7.0833333333333331E-2</v>
      </c>
      <c r="AB386" s="71">
        <f t="shared" si="95"/>
        <v>1115</v>
      </c>
      <c r="AC386" s="64">
        <f t="shared" ref="AC386:AC449" si="100">(AB386-U386)/U386</f>
        <v>3.2407407407407406E-2</v>
      </c>
      <c r="AD386" s="64">
        <f t="shared" si="93"/>
        <v>-7.0833333333333331E-2</v>
      </c>
      <c r="AE386" s="71">
        <f t="shared" si="97"/>
        <v>1115</v>
      </c>
      <c r="AF386" s="64">
        <f t="shared" ref="AF386:AF449" si="101">(AE386-U386)/U386</f>
        <v>3.2407407407407406E-2</v>
      </c>
      <c r="AG386" s="64">
        <f t="shared" si="94"/>
        <v>-7.0833333333333331E-2</v>
      </c>
      <c r="AH386" s="67"/>
      <c r="AI386" s="47" t="s">
        <v>395</v>
      </c>
      <c r="AJ386" s="47">
        <v>595</v>
      </c>
      <c r="AK386" s="101" t="s">
        <v>55</v>
      </c>
      <c r="AL386" s="101" t="s">
        <v>55</v>
      </c>
      <c r="AM386" s="47" t="s">
        <v>1355</v>
      </c>
      <c r="AN386" s="50">
        <v>1173</v>
      </c>
      <c r="AO386" s="211">
        <f t="shared" ref="AO386:AO449" si="102">SUM(AN386-U386)/U386</f>
        <v>8.611111111111111E-2</v>
      </c>
      <c r="AP386" s="47" t="s">
        <v>852</v>
      </c>
      <c r="AQ386" s="111" t="s">
        <v>125</v>
      </c>
      <c r="AR386" s="47" t="s">
        <v>1974</v>
      </c>
    </row>
    <row r="387" spans="1:45" hidden="1">
      <c r="A387" s="47" t="s">
        <v>44</v>
      </c>
      <c r="B387" s="47" t="str">
        <f t="shared" si="98"/>
        <v>July</v>
      </c>
      <c r="C387" s="59">
        <v>45498</v>
      </c>
      <c r="D387" s="47" t="s">
        <v>45</v>
      </c>
      <c r="E387" s="47" t="s">
        <v>893</v>
      </c>
      <c r="F387" s="47" t="s">
        <v>894</v>
      </c>
      <c r="G387" s="47" t="s">
        <v>2491</v>
      </c>
      <c r="H387" s="47" t="s">
        <v>2492</v>
      </c>
      <c r="I387" s="47" t="s">
        <v>50</v>
      </c>
      <c r="J387" s="47" t="s">
        <v>51</v>
      </c>
      <c r="K387" s="48">
        <v>45133</v>
      </c>
      <c r="L387" s="48">
        <v>45133</v>
      </c>
      <c r="M387" s="48">
        <v>45498</v>
      </c>
      <c r="N387" s="47" t="s">
        <v>52</v>
      </c>
      <c r="O387" s="55" t="s">
        <v>53</v>
      </c>
      <c r="P387" s="62">
        <v>12540</v>
      </c>
      <c r="Q387" s="62">
        <v>1045</v>
      </c>
      <c r="R387" s="96">
        <v>12720</v>
      </c>
      <c r="S387" s="62">
        <f t="shared" si="90"/>
        <v>1060</v>
      </c>
      <c r="T387" s="62">
        <v>12420</v>
      </c>
      <c r="U387" s="62">
        <f t="shared" si="91"/>
        <v>1035</v>
      </c>
      <c r="V387" s="69">
        <v>11580</v>
      </c>
      <c r="W387" s="71">
        <v>1080</v>
      </c>
      <c r="X387" s="71"/>
      <c r="Y387" s="71"/>
      <c r="Z387" s="64">
        <f t="shared" si="99"/>
        <v>4.3478260869565216E-2</v>
      </c>
      <c r="AA387" s="64">
        <f t="shared" si="92"/>
        <v>1.8867924528301886E-2</v>
      </c>
      <c r="AB387" s="71">
        <f t="shared" si="95"/>
        <v>1080</v>
      </c>
      <c r="AC387" s="64">
        <f t="shared" si="100"/>
        <v>4.3478260869565216E-2</v>
      </c>
      <c r="AD387" s="64">
        <f t="shared" si="93"/>
        <v>1.8867924528301886E-2</v>
      </c>
      <c r="AE387" s="71">
        <f t="shared" si="97"/>
        <v>1080</v>
      </c>
      <c r="AF387" s="64">
        <f t="shared" si="101"/>
        <v>4.3478260869565216E-2</v>
      </c>
      <c r="AG387" s="64">
        <f t="shared" si="94"/>
        <v>1.8867924528301886E-2</v>
      </c>
      <c r="AH387" s="67"/>
      <c r="AI387" s="47" t="s">
        <v>54</v>
      </c>
      <c r="AJ387" s="47">
        <v>483</v>
      </c>
      <c r="AK387" s="101" t="s">
        <v>55</v>
      </c>
      <c r="AL387" s="101" t="s">
        <v>55</v>
      </c>
      <c r="AM387" s="47" t="s">
        <v>2493</v>
      </c>
      <c r="AN387" s="50">
        <v>1080</v>
      </c>
      <c r="AO387" s="211">
        <f t="shared" si="102"/>
        <v>4.3478260869565216E-2</v>
      </c>
      <c r="AP387" s="47" t="s">
        <v>852</v>
      </c>
      <c r="AQ387" s="223" t="s">
        <v>125</v>
      </c>
      <c r="AR387" s="47" t="s">
        <v>2494</v>
      </c>
    </row>
    <row r="388" spans="1:45" hidden="1">
      <c r="A388" s="47" t="s">
        <v>44</v>
      </c>
      <c r="B388" s="47" t="str">
        <f t="shared" si="98"/>
        <v>July</v>
      </c>
      <c r="C388" s="59">
        <v>45497</v>
      </c>
      <c r="D388" s="47" t="s">
        <v>45</v>
      </c>
      <c r="E388" s="47" t="s">
        <v>893</v>
      </c>
      <c r="F388" s="47" t="s">
        <v>894</v>
      </c>
      <c r="G388" s="47" t="s">
        <v>2495</v>
      </c>
      <c r="H388" s="47" t="s">
        <v>2496</v>
      </c>
      <c r="I388" s="47" t="s">
        <v>50</v>
      </c>
      <c r="J388" s="47" t="s">
        <v>51</v>
      </c>
      <c r="K388" s="48">
        <v>45316</v>
      </c>
      <c r="L388" s="48">
        <v>45316</v>
      </c>
      <c r="M388" s="48">
        <v>45497</v>
      </c>
      <c r="N388" s="47" t="s">
        <v>52</v>
      </c>
      <c r="O388" s="55" t="s">
        <v>53</v>
      </c>
      <c r="P388" s="62">
        <v>12300</v>
      </c>
      <c r="Q388" s="62">
        <v>1025</v>
      </c>
      <c r="R388" s="96">
        <v>12720</v>
      </c>
      <c r="S388" s="62">
        <f t="shared" si="90"/>
        <v>1060</v>
      </c>
      <c r="T388" s="62">
        <v>12720</v>
      </c>
      <c r="U388" s="62">
        <f t="shared" si="91"/>
        <v>1060</v>
      </c>
      <c r="V388" s="69">
        <v>12660</v>
      </c>
      <c r="W388" s="71">
        <v>1065</v>
      </c>
      <c r="X388" s="71"/>
      <c r="Y388" s="71"/>
      <c r="Z388" s="64">
        <f t="shared" si="99"/>
        <v>4.7169811320754715E-3</v>
      </c>
      <c r="AA388" s="64">
        <f t="shared" si="92"/>
        <v>4.7169811320754715E-3</v>
      </c>
      <c r="AB388" s="71">
        <f t="shared" si="95"/>
        <v>1065</v>
      </c>
      <c r="AC388" s="64">
        <f t="shared" si="100"/>
        <v>4.7169811320754715E-3</v>
      </c>
      <c r="AD388" s="64">
        <f t="shared" si="93"/>
        <v>4.7169811320754715E-3</v>
      </c>
      <c r="AE388" s="71">
        <f t="shared" si="97"/>
        <v>1065</v>
      </c>
      <c r="AF388" s="64">
        <f t="shared" si="101"/>
        <v>4.7169811320754715E-3</v>
      </c>
      <c r="AG388" s="64">
        <f t="shared" si="94"/>
        <v>4.7169811320754715E-3</v>
      </c>
      <c r="AH388" s="67"/>
      <c r="AI388" s="47" t="s">
        <v>54</v>
      </c>
      <c r="AJ388" s="47">
        <v>483</v>
      </c>
      <c r="AK388" s="101" t="s">
        <v>55</v>
      </c>
      <c r="AL388" s="101" t="s">
        <v>55</v>
      </c>
      <c r="AM388" s="47" t="s">
        <v>2493</v>
      </c>
      <c r="AN388" s="50">
        <v>1065</v>
      </c>
      <c r="AO388" s="211">
        <f t="shared" si="102"/>
        <v>4.7169811320754715E-3</v>
      </c>
      <c r="AP388" s="47" t="s">
        <v>852</v>
      </c>
      <c r="AQ388" s="111" t="s">
        <v>125</v>
      </c>
      <c r="AR388" s="47" t="s">
        <v>2497</v>
      </c>
    </row>
    <row r="389" spans="1:45" hidden="1">
      <c r="A389" s="47" t="s">
        <v>44</v>
      </c>
      <c r="B389" s="47" t="str">
        <f t="shared" si="98"/>
        <v>July</v>
      </c>
      <c r="C389" s="59">
        <v>45504</v>
      </c>
      <c r="D389" s="47" t="s">
        <v>45</v>
      </c>
      <c r="E389" s="47" t="s">
        <v>893</v>
      </c>
      <c r="F389" s="47" t="s">
        <v>894</v>
      </c>
      <c r="G389" s="47" t="s">
        <v>2498</v>
      </c>
      <c r="H389" s="47" t="s">
        <v>2499</v>
      </c>
      <c r="I389" s="47" t="s">
        <v>50</v>
      </c>
      <c r="J389" s="47" t="s">
        <v>51</v>
      </c>
      <c r="K389" s="48">
        <v>45139</v>
      </c>
      <c r="L389" s="48">
        <v>45139</v>
      </c>
      <c r="M389" s="48">
        <v>45504</v>
      </c>
      <c r="N389" s="47" t="s">
        <v>52</v>
      </c>
      <c r="O389" s="55" t="s">
        <v>53</v>
      </c>
      <c r="P389" s="62">
        <v>12420</v>
      </c>
      <c r="Q389" s="62">
        <v>1035</v>
      </c>
      <c r="R389" s="96">
        <v>12600</v>
      </c>
      <c r="S389" s="62">
        <f t="shared" si="90"/>
        <v>1050</v>
      </c>
      <c r="T389" s="62">
        <v>12420</v>
      </c>
      <c r="U389" s="62">
        <f t="shared" si="91"/>
        <v>1035</v>
      </c>
      <c r="V389" s="69">
        <v>11520</v>
      </c>
      <c r="W389" s="71">
        <v>1075</v>
      </c>
      <c r="X389" s="71"/>
      <c r="Y389" s="71"/>
      <c r="Z389" s="64">
        <f t="shared" si="99"/>
        <v>3.864734299516908E-2</v>
      </c>
      <c r="AA389" s="64">
        <f t="shared" si="92"/>
        <v>2.3809523809523808E-2</v>
      </c>
      <c r="AB389" s="71">
        <f t="shared" si="95"/>
        <v>1075</v>
      </c>
      <c r="AC389" s="64">
        <f t="shared" si="100"/>
        <v>3.864734299516908E-2</v>
      </c>
      <c r="AD389" s="64">
        <f t="shared" si="93"/>
        <v>2.3809523809523808E-2</v>
      </c>
      <c r="AE389" s="71">
        <f t="shared" si="97"/>
        <v>1075</v>
      </c>
      <c r="AF389" s="64">
        <f t="shared" si="101"/>
        <v>3.864734299516908E-2</v>
      </c>
      <c r="AG389" s="64">
        <f t="shared" si="94"/>
        <v>2.3809523809523808E-2</v>
      </c>
      <c r="AH389" s="67"/>
      <c r="AI389" s="47" t="s">
        <v>54</v>
      </c>
      <c r="AJ389" s="47">
        <v>522</v>
      </c>
      <c r="AK389" s="101" t="s">
        <v>55</v>
      </c>
      <c r="AL389" s="101" t="s">
        <v>55</v>
      </c>
      <c r="AM389" s="47" t="s">
        <v>2500</v>
      </c>
      <c r="AN389" s="50"/>
      <c r="AO389" s="211">
        <f t="shared" si="102"/>
        <v>-1</v>
      </c>
      <c r="AP389" s="47" t="s">
        <v>852</v>
      </c>
      <c r="AQ389" s="56" t="s">
        <v>898</v>
      </c>
      <c r="AR389" s="47" t="s">
        <v>2501</v>
      </c>
    </row>
    <row r="390" spans="1:45" hidden="1">
      <c r="A390" s="47" t="s">
        <v>74</v>
      </c>
      <c r="B390" s="47" t="str">
        <f t="shared" si="98"/>
        <v>August</v>
      </c>
      <c r="C390" s="59">
        <v>45525</v>
      </c>
      <c r="D390" s="47" t="s">
        <v>45</v>
      </c>
      <c r="E390" s="47" t="s">
        <v>893</v>
      </c>
      <c r="F390" s="47" t="s">
        <v>894</v>
      </c>
      <c r="G390" s="47" t="s">
        <v>2637</v>
      </c>
      <c r="H390" s="47" t="s">
        <v>2638</v>
      </c>
      <c r="I390" s="47" t="s">
        <v>50</v>
      </c>
      <c r="J390" s="47" t="s">
        <v>51</v>
      </c>
      <c r="K390" s="48">
        <v>45282</v>
      </c>
      <c r="L390" s="48">
        <v>45282</v>
      </c>
      <c r="M390" s="48">
        <v>45525</v>
      </c>
      <c r="N390" s="47" t="s">
        <v>52</v>
      </c>
      <c r="O390" s="55" t="s">
        <v>53</v>
      </c>
      <c r="P390" s="62">
        <v>16800</v>
      </c>
      <c r="Q390" s="62">
        <v>1400</v>
      </c>
      <c r="R390" s="96">
        <v>17400</v>
      </c>
      <c r="S390" s="62">
        <f t="shared" si="90"/>
        <v>1450</v>
      </c>
      <c r="T390" s="62">
        <v>17100</v>
      </c>
      <c r="U390" s="62">
        <f t="shared" si="91"/>
        <v>1425</v>
      </c>
      <c r="V390" s="69">
        <v>16620</v>
      </c>
      <c r="W390" s="71">
        <v>1520</v>
      </c>
      <c r="X390" s="71">
        <f>W390-50</f>
        <v>1470</v>
      </c>
      <c r="Y390" s="171">
        <f t="shared" ref="Y390:Y397" si="103">(X390-U390)/U390</f>
        <v>3.1578947368421054E-2</v>
      </c>
      <c r="Z390" s="64">
        <f t="shared" si="99"/>
        <v>6.6666666666666666E-2</v>
      </c>
      <c r="AA390" s="64">
        <f t="shared" si="92"/>
        <v>4.8275862068965517E-2</v>
      </c>
      <c r="AB390" s="71">
        <f t="shared" si="95"/>
        <v>1520</v>
      </c>
      <c r="AC390" s="64">
        <f t="shared" si="100"/>
        <v>6.6666666666666666E-2</v>
      </c>
      <c r="AD390" s="64">
        <f t="shared" si="93"/>
        <v>4.8275862068965517E-2</v>
      </c>
      <c r="AE390" s="71">
        <v>1495</v>
      </c>
      <c r="AF390" s="64">
        <f t="shared" si="101"/>
        <v>4.912280701754386E-2</v>
      </c>
      <c r="AG390" s="64">
        <f t="shared" si="94"/>
        <v>3.1034482758620689E-2</v>
      </c>
      <c r="AH390" s="67"/>
      <c r="AI390" s="47" t="s">
        <v>54</v>
      </c>
      <c r="AJ390" s="47">
        <v>701</v>
      </c>
      <c r="AK390" s="47" t="s">
        <v>65</v>
      </c>
      <c r="AL390" s="47" t="s">
        <v>65</v>
      </c>
      <c r="AM390" s="47" t="s">
        <v>2639</v>
      </c>
      <c r="AN390" s="50">
        <v>1520</v>
      </c>
      <c r="AO390" s="211">
        <f t="shared" si="102"/>
        <v>6.6666666666666666E-2</v>
      </c>
      <c r="AP390" s="47" t="s">
        <v>852</v>
      </c>
      <c r="AQ390" s="111" t="s">
        <v>125</v>
      </c>
      <c r="AR390" s="47" t="s">
        <v>1199</v>
      </c>
    </row>
    <row r="391" spans="1:45">
      <c r="A391" s="47" t="s">
        <v>44</v>
      </c>
      <c r="B391" s="47" t="str">
        <f t="shared" si="98"/>
        <v>August</v>
      </c>
      <c r="C391" s="59">
        <v>45525</v>
      </c>
      <c r="D391" s="47" t="s">
        <v>45</v>
      </c>
      <c r="E391" s="47" t="s">
        <v>893</v>
      </c>
      <c r="F391" s="47" t="s">
        <v>894</v>
      </c>
      <c r="G391" s="47" t="s">
        <v>2694</v>
      </c>
      <c r="H391" s="47" t="s">
        <v>2695</v>
      </c>
      <c r="I391" s="47" t="s">
        <v>50</v>
      </c>
      <c r="J391" s="47" t="s">
        <v>51</v>
      </c>
      <c r="K391" s="48">
        <v>44826</v>
      </c>
      <c r="L391" s="48">
        <v>45191</v>
      </c>
      <c r="M391" s="48">
        <v>45525</v>
      </c>
      <c r="N391" s="47" t="s">
        <v>64</v>
      </c>
      <c r="O391" s="55" t="s">
        <v>53</v>
      </c>
      <c r="P391" s="62">
        <v>17580</v>
      </c>
      <c r="Q391" s="62">
        <v>1465</v>
      </c>
      <c r="R391" s="96">
        <v>18000</v>
      </c>
      <c r="S391" s="62">
        <f t="shared" si="90"/>
        <v>1500</v>
      </c>
      <c r="T391" s="62">
        <v>17760</v>
      </c>
      <c r="U391" s="62">
        <f t="shared" si="91"/>
        <v>1480</v>
      </c>
      <c r="V391" s="69">
        <v>16260</v>
      </c>
      <c r="W391" s="71">
        <v>1530</v>
      </c>
      <c r="X391" s="175">
        <f>W391-50</f>
        <v>1480</v>
      </c>
      <c r="Y391" s="176">
        <f t="shared" si="103"/>
        <v>0</v>
      </c>
      <c r="Z391" s="64">
        <f t="shared" si="99"/>
        <v>3.3783783783783786E-2</v>
      </c>
      <c r="AA391" s="64">
        <f t="shared" si="92"/>
        <v>0.02</v>
      </c>
      <c r="AB391" s="71">
        <f t="shared" si="95"/>
        <v>1530</v>
      </c>
      <c r="AC391" s="64">
        <f t="shared" si="100"/>
        <v>3.3783783783783786E-2</v>
      </c>
      <c r="AD391" s="64">
        <f t="shared" si="93"/>
        <v>0.02</v>
      </c>
      <c r="AE391" s="71">
        <f>AB391</f>
        <v>1530</v>
      </c>
      <c r="AF391" s="64">
        <f t="shared" si="101"/>
        <v>3.3783783783783786E-2</v>
      </c>
      <c r="AG391" s="64">
        <f t="shared" si="94"/>
        <v>0.02</v>
      </c>
      <c r="AH391" s="67"/>
      <c r="AI391" s="47" t="s">
        <v>54</v>
      </c>
      <c r="AJ391" s="47">
        <v>699</v>
      </c>
      <c r="AK391" s="47" t="s">
        <v>65</v>
      </c>
      <c r="AL391" s="47" t="s">
        <v>65</v>
      </c>
      <c r="AM391" s="47" t="s">
        <v>2639</v>
      </c>
      <c r="AN391" s="50">
        <v>1530</v>
      </c>
      <c r="AO391" s="211">
        <f t="shared" si="102"/>
        <v>3.3783783783783786E-2</v>
      </c>
      <c r="AP391" s="47" t="s">
        <v>852</v>
      </c>
      <c r="AQ391" s="223" t="s">
        <v>125</v>
      </c>
      <c r="AR391" s="47" t="s">
        <v>987</v>
      </c>
    </row>
    <row r="392" spans="1:45" hidden="1">
      <c r="A392" s="47" t="s">
        <v>44</v>
      </c>
      <c r="B392" s="47" t="str">
        <f t="shared" si="98"/>
        <v>August</v>
      </c>
      <c r="C392" s="59">
        <v>45525</v>
      </c>
      <c r="D392" s="47" t="s">
        <v>45</v>
      </c>
      <c r="E392" s="47" t="s">
        <v>893</v>
      </c>
      <c r="F392" s="47" t="s">
        <v>894</v>
      </c>
      <c r="G392" s="47" t="s">
        <v>2738</v>
      </c>
      <c r="H392" s="47" t="s">
        <v>2739</v>
      </c>
      <c r="I392" s="47" t="s">
        <v>2740</v>
      </c>
      <c r="J392" s="47" t="s">
        <v>51</v>
      </c>
      <c r="K392" s="48">
        <v>45160</v>
      </c>
      <c r="L392" s="48">
        <v>45160</v>
      </c>
      <c r="M392" s="48">
        <v>45525</v>
      </c>
      <c r="N392" s="47" t="s">
        <v>52</v>
      </c>
      <c r="O392" s="55" t="s">
        <v>53</v>
      </c>
      <c r="P392" s="62">
        <v>16200</v>
      </c>
      <c r="Q392" s="62">
        <v>1350</v>
      </c>
      <c r="R392" s="96">
        <v>16380</v>
      </c>
      <c r="S392" s="62">
        <f t="shared" si="90"/>
        <v>1365</v>
      </c>
      <c r="T392" s="62">
        <v>15900</v>
      </c>
      <c r="U392" s="62">
        <f t="shared" si="91"/>
        <v>1325</v>
      </c>
      <c r="V392" s="69">
        <v>14700</v>
      </c>
      <c r="W392" s="71">
        <v>1395</v>
      </c>
      <c r="X392" s="71">
        <f>W392-50</f>
        <v>1345</v>
      </c>
      <c r="Y392" s="176">
        <f t="shared" si="103"/>
        <v>1.509433962264151E-2</v>
      </c>
      <c r="Z392" s="64">
        <f t="shared" si="99"/>
        <v>5.2830188679245285E-2</v>
      </c>
      <c r="AA392" s="64">
        <f t="shared" si="92"/>
        <v>2.197802197802198E-2</v>
      </c>
      <c r="AB392" s="71">
        <f t="shared" si="95"/>
        <v>1395</v>
      </c>
      <c r="AC392" s="64">
        <f t="shared" si="100"/>
        <v>5.2830188679245285E-2</v>
      </c>
      <c r="AD392" s="64">
        <f t="shared" si="93"/>
        <v>2.197802197802198E-2</v>
      </c>
      <c r="AE392" s="71">
        <v>1390</v>
      </c>
      <c r="AF392" s="64">
        <f t="shared" si="101"/>
        <v>4.9056603773584909E-2</v>
      </c>
      <c r="AG392" s="64">
        <f t="shared" si="94"/>
        <v>1.8315018315018316E-2</v>
      </c>
      <c r="AH392" s="67"/>
      <c r="AI392" s="47" t="s">
        <v>54</v>
      </c>
      <c r="AJ392" s="47">
        <v>644</v>
      </c>
      <c r="AK392" s="47" t="s">
        <v>65</v>
      </c>
      <c r="AL392" s="47" t="s">
        <v>65</v>
      </c>
      <c r="AM392" s="47" t="s">
        <v>981</v>
      </c>
      <c r="AN392" s="50"/>
      <c r="AO392" s="211">
        <f t="shared" si="102"/>
        <v>-1</v>
      </c>
      <c r="AP392" s="47" t="s">
        <v>852</v>
      </c>
      <c r="AQ392" s="91" t="s">
        <v>1074</v>
      </c>
      <c r="AR392" s="47" t="s">
        <v>2741</v>
      </c>
    </row>
    <row r="393" spans="1:45" hidden="1">
      <c r="A393" s="47" t="s">
        <v>44</v>
      </c>
      <c r="B393" s="47" t="str">
        <f t="shared" si="98"/>
        <v>August</v>
      </c>
      <c r="C393" s="59">
        <v>45527</v>
      </c>
      <c r="D393" s="47" t="s">
        <v>45</v>
      </c>
      <c r="E393" s="47" t="s">
        <v>893</v>
      </c>
      <c r="F393" s="47" t="s">
        <v>894</v>
      </c>
      <c r="G393" s="47" t="s">
        <v>2850</v>
      </c>
      <c r="H393" s="47" t="s">
        <v>2851</v>
      </c>
      <c r="I393" s="47" t="s">
        <v>50</v>
      </c>
      <c r="J393" s="47" t="s">
        <v>51</v>
      </c>
      <c r="K393" s="48">
        <v>45162</v>
      </c>
      <c r="L393" s="48">
        <v>45162</v>
      </c>
      <c r="M393" s="48">
        <v>45527</v>
      </c>
      <c r="N393" s="47" t="s">
        <v>52</v>
      </c>
      <c r="O393" s="55" t="s">
        <v>53</v>
      </c>
      <c r="P393" s="62">
        <v>13800</v>
      </c>
      <c r="Q393" s="62">
        <v>1150</v>
      </c>
      <c r="R393" s="96">
        <v>13980</v>
      </c>
      <c r="S393" s="62">
        <f t="shared" si="90"/>
        <v>1165</v>
      </c>
      <c r="T393" s="62">
        <v>13800</v>
      </c>
      <c r="U393" s="62">
        <f t="shared" si="91"/>
        <v>1150</v>
      </c>
      <c r="V393" s="69">
        <v>12960</v>
      </c>
      <c r="W393" s="71">
        <v>1195</v>
      </c>
      <c r="X393" s="105">
        <f>W393-30</f>
        <v>1165</v>
      </c>
      <c r="Y393" s="176">
        <f t="shared" si="103"/>
        <v>1.3043478260869565E-2</v>
      </c>
      <c r="Z393" s="64">
        <f t="shared" si="99"/>
        <v>3.9130434782608699E-2</v>
      </c>
      <c r="AA393" s="64">
        <f t="shared" si="92"/>
        <v>2.575107296137339E-2</v>
      </c>
      <c r="AB393" s="71">
        <f t="shared" si="95"/>
        <v>1195</v>
      </c>
      <c r="AC393" s="64">
        <f t="shared" si="100"/>
        <v>3.9130434782608699E-2</v>
      </c>
      <c r="AD393" s="64">
        <f t="shared" si="93"/>
        <v>2.575107296137339E-2</v>
      </c>
      <c r="AE393" s="71">
        <f>AB393</f>
        <v>1195</v>
      </c>
      <c r="AF393" s="64">
        <f t="shared" si="101"/>
        <v>3.9130434782608699E-2</v>
      </c>
      <c r="AG393" s="64">
        <f t="shared" si="94"/>
        <v>2.575107296137339E-2</v>
      </c>
      <c r="AH393" s="67"/>
      <c r="AI393" s="47" t="s">
        <v>54</v>
      </c>
      <c r="AJ393" s="47">
        <v>629</v>
      </c>
      <c r="AK393" s="47" t="s">
        <v>55</v>
      </c>
      <c r="AL393" s="47" t="s">
        <v>55</v>
      </c>
      <c r="AM393" s="47" t="s">
        <v>1685</v>
      </c>
      <c r="AN393" s="50"/>
      <c r="AO393" s="211">
        <f t="shared" si="102"/>
        <v>-1</v>
      </c>
      <c r="AP393" s="47" t="s">
        <v>852</v>
      </c>
      <c r="AQ393" s="94" t="s">
        <v>1039</v>
      </c>
      <c r="AR393" s="47" t="s">
        <v>960</v>
      </c>
      <c r="AS393" s="47"/>
    </row>
    <row r="394" spans="1:45" hidden="1">
      <c r="A394" s="47" t="s">
        <v>44</v>
      </c>
      <c r="B394" s="47" t="str">
        <f t="shared" si="98"/>
        <v>August</v>
      </c>
      <c r="C394" s="59">
        <v>45533</v>
      </c>
      <c r="D394" s="47" t="s">
        <v>45</v>
      </c>
      <c r="E394" s="47" t="s">
        <v>893</v>
      </c>
      <c r="F394" s="47" t="s">
        <v>894</v>
      </c>
      <c r="G394" s="47" t="s">
        <v>3418</v>
      </c>
      <c r="H394" s="47" t="s">
        <v>3419</v>
      </c>
      <c r="I394" s="47" t="s">
        <v>50</v>
      </c>
      <c r="J394" s="47" t="s">
        <v>51</v>
      </c>
      <c r="K394" s="48">
        <v>45168</v>
      </c>
      <c r="L394" s="48">
        <v>45168</v>
      </c>
      <c r="M394" s="48">
        <v>45533</v>
      </c>
      <c r="N394" s="47" t="s">
        <v>52</v>
      </c>
      <c r="O394" s="55" t="s">
        <v>53</v>
      </c>
      <c r="P394" s="62">
        <v>16380</v>
      </c>
      <c r="Q394" s="62">
        <v>1365</v>
      </c>
      <c r="R394" s="96">
        <v>16680</v>
      </c>
      <c r="S394" s="62">
        <f t="shared" si="90"/>
        <v>1390</v>
      </c>
      <c r="T394" s="62">
        <v>16380</v>
      </c>
      <c r="U394" s="62">
        <f t="shared" si="91"/>
        <v>1365</v>
      </c>
      <c r="V394" s="69">
        <v>15540</v>
      </c>
      <c r="W394" s="71">
        <v>1425</v>
      </c>
      <c r="X394" s="71">
        <f>W394-50</f>
        <v>1375</v>
      </c>
      <c r="Y394" s="176">
        <f t="shared" si="103"/>
        <v>7.326007326007326E-3</v>
      </c>
      <c r="Z394" s="64">
        <f t="shared" si="99"/>
        <v>4.3956043956043959E-2</v>
      </c>
      <c r="AA394" s="64">
        <f t="shared" si="92"/>
        <v>2.5179856115107913E-2</v>
      </c>
      <c r="AB394" s="71">
        <f t="shared" si="95"/>
        <v>1425</v>
      </c>
      <c r="AC394" s="64">
        <f t="shared" si="100"/>
        <v>4.3956043956043959E-2</v>
      </c>
      <c r="AD394" s="64">
        <f t="shared" si="93"/>
        <v>2.5179856115107913E-2</v>
      </c>
      <c r="AE394" s="71">
        <f>AB394</f>
        <v>1425</v>
      </c>
      <c r="AF394" s="64">
        <f t="shared" si="101"/>
        <v>4.3956043956043959E-2</v>
      </c>
      <c r="AG394" s="64">
        <f t="shared" si="94"/>
        <v>2.5179856115107913E-2</v>
      </c>
      <c r="AH394" s="67"/>
      <c r="AI394" s="47" t="s">
        <v>54</v>
      </c>
      <c r="AJ394" s="47">
        <v>696</v>
      </c>
      <c r="AK394" s="47" t="s">
        <v>65</v>
      </c>
      <c r="AL394" s="47" t="s">
        <v>65</v>
      </c>
      <c r="AM394" s="47" t="s">
        <v>1035</v>
      </c>
      <c r="AN394" s="50"/>
      <c r="AO394" s="211">
        <f t="shared" si="102"/>
        <v>-1</v>
      </c>
      <c r="AP394" s="47" t="s">
        <v>852</v>
      </c>
      <c r="AQ394" s="91" t="s">
        <v>1132</v>
      </c>
      <c r="AR394" s="47"/>
    </row>
    <row r="395" spans="1:45" hidden="1">
      <c r="A395" s="47" t="s">
        <v>44</v>
      </c>
      <c r="B395" s="47" t="str">
        <f t="shared" si="98"/>
        <v>August</v>
      </c>
      <c r="C395" s="59">
        <v>45533</v>
      </c>
      <c r="D395" s="47" t="s">
        <v>45</v>
      </c>
      <c r="E395" s="47" t="s">
        <v>893</v>
      </c>
      <c r="F395" s="47" t="s">
        <v>894</v>
      </c>
      <c r="G395" s="47" t="s">
        <v>3444</v>
      </c>
      <c r="H395" s="47" t="s">
        <v>3445</v>
      </c>
      <c r="I395" s="47" t="s">
        <v>50</v>
      </c>
      <c r="J395" s="47" t="s">
        <v>51</v>
      </c>
      <c r="K395" s="48">
        <v>45353</v>
      </c>
      <c r="L395" s="48">
        <v>45353</v>
      </c>
      <c r="M395" s="48">
        <v>45352</v>
      </c>
      <c r="N395" s="47" t="s">
        <v>52</v>
      </c>
      <c r="O395" s="55" t="s">
        <v>53</v>
      </c>
      <c r="P395" s="62">
        <v>16500</v>
      </c>
      <c r="Q395" s="62">
        <v>1375</v>
      </c>
      <c r="R395" s="96">
        <v>16800</v>
      </c>
      <c r="S395" s="62">
        <f t="shared" si="90"/>
        <v>1400</v>
      </c>
      <c r="T395" s="62">
        <v>15540</v>
      </c>
      <c r="U395" s="62">
        <f t="shared" si="91"/>
        <v>1295</v>
      </c>
      <c r="V395" s="69">
        <v>16140</v>
      </c>
      <c r="W395" s="71">
        <v>1405</v>
      </c>
      <c r="X395" s="71">
        <f>W395-50</f>
        <v>1355</v>
      </c>
      <c r="Y395" s="171">
        <f t="shared" si="103"/>
        <v>4.633204633204633E-2</v>
      </c>
      <c r="Z395" s="64">
        <f t="shared" si="99"/>
        <v>8.4942084942084939E-2</v>
      </c>
      <c r="AA395" s="64">
        <f t="shared" si="92"/>
        <v>3.5714285714285713E-3</v>
      </c>
      <c r="AB395" s="71">
        <f t="shared" si="95"/>
        <v>1405</v>
      </c>
      <c r="AC395" s="64">
        <f t="shared" si="100"/>
        <v>8.4942084942084939E-2</v>
      </c>
      <c r="AD395" s="64">
        <f t="shared" si="93"/>
        <v>3.5714285714285713E-3</v>
      </c>
      <c r="AE395" s="71">
        <f>AB395</f>
        <v>1405</v>
      </c>
      <c r="AF395" s="64">
        <f t="shared" si="101"/>
        <v>8.4942084942084939E-2</v>
      </c>
      <c r="AG395" s="64">
        <f t="shared" si="94"/>
        <v>3.5714285714285713E-3</v>
      </c>
      <c r="AH395" s="67"/>
      <c r="AI395" s="47" t="s">
        <v>54</v>
      </c>
      <c r="AJ395" s="47">
        <v>696</v>
      </c>
      <c r="AK395" s="47" t="s">
        <v>65</v>
      </c>
      <c r="AL395" s="47" t="s">
        <v>65</v>
      </c>
      <c r="AM395" s="47" t="s">
        <v>1035</v>
      </c>
      <c r="AN395" s="50"/>
      <c r="AO395" s="211">
        <f t="shared" si="102"/>
        <v>-1</v>
      </c>
      <c r="AP395" s="47" t="s">
        <v>852</v>
      </c>
      <c r="AQ395" s="94" t="s">
        <v>1039</v>
      </c>
      <c r="AR395" s="47" t="s">
        <v>960</v>
      </c>
    </row>
    <row r="396" spans="1:45" hidden="1">
      <c r="A396" s="47" t="s">
        <v>44</v>
      </c>
      <c r="B396" s="47" t="str">
        <f t="shared" si="98"/>
        <v>August</v>
      </c>
      <c r="C396" s="59">
        <v>45534</v>
      </c>
      <c r="D396" s="47" t="s">
        <v>45</v>
      </c>
      <c r="E396" s="47" t="s">
        <v>893</v>
      </c>
      <c r="F396" s="47" t="s">
        <v>894</v>
      </c>
      <c r="G396" s="47" t="s">
        <v>3540</v>
      </c>
      <c r="H396" s="47" t="s">
        <v>3541</v>
      </c>
      <c r="I396" s="47" t="s">
        <v>3542</v>
      </c>
      <c r="J396" s="47" t="s">
        <v>51</v>
      </c>
      <c r="K396" s="48">
        <v>45169</v>
      </c>
      <c r="L396" s="48">
        <v>45169</v>
      </c>
      <c r="M396" s="48">
        <v>45534</v>
      </c>
      <c r="N396" s="47" t="s">
        <v>52</v>
      </c>
      <c r="O396" s="55" t="s">
        <v>53</v>
      </c>
      <c r="P396" s="62">
        <v>18000</v>
      </c>
      <c r="Q396" s="62">
        <v>1500</v>
      </c>
      <c r="R396" s="96">
        <v>18180</v>
      </c>
      <c r="S396" s="62">
        <f t="shared" si="90"/>
        <v>1515</v>
      </c>
      <c r="T396" s="62">
        <v>18000</v>
      </c>
      <c r="U396" s="62">
        <f t="shared" si="91"/>
        <v>1500</v>
      </c>
      <c r="V396" s="69">
        <v>17580</v>
      </c>
      <c r="W396" s="71">
        <v>1600</v>
      </c>
      <c r="X396" s="71">
        <f>W396-50</f>
        <v>1550</v>
      </c>
      <c r="Y396" s="171">
        <f t="shared" si="103"/>
        <v>3.3333333333333333E-2</v>
      </c>
      <c r="Z396" s="64">
        <f t="shared" si="99"/>
        <v>6.6666666666666666E-2</v>
      </c>
      <c r="AA396" s="64">
        <f t="shared" si="92"/>
        <v>5.6105610561056105E-2</v>
      </c>
      <c r="AB396" s="71">
        <f t="shared" si="95"/>
        <v>1600</v>
      </c>
      <c r="AC396" s="64">
        <f t="shared" si="100"/>
        <v>6.6666666666666666E-2</v>
      </c>
      <c r="AD396" s="64">
        <f t="shared" si="93"/>
        <v>5.6105610561056105E-2</v>
      </c>
      <c r="AE396" s="71">
        <v>1575</v>
      </c>
      <c r="AF396" s="64">
        <f t="shared" si="101"/>
        <v>0.05</v>
      </c>
      <c r="AG396" s="64">
        <f t="shared" si="94"/>
        <v>3.9603960396039604E-2</v>
      </c>
      <c r="AH396" s="67"/>
      <c r="AI396" s="47" t="s">
        <v>54</v>
      </c>
      <c r="AJ396" s="47">
        <v>815</v>
      </c>
      <c r="AK396" s="47" t="s">
        <v>65</v>
      </c>
      <c r="AL396" s="47" t="s">
        <v>65</v>
      </c>
      <c r="AM396" s="47" t="s">
        <v>3543</v>
      </c>
      <c r="AN396" s="50"/>
      <c r="AO396" s="211">
        <f t="shared" si="102"/>
        <v>-1</v>
      </c>
      <c r="AP396" s="47" t="s">
        <v>852</v>
      </c>
      <c r="AQ396" s="94" t="s">
        <v>891</v>
      </c>
      <c r="AR396" s="47" t="s">
        <v>1066</v>
      </c>
    </row>
    <row r="397" spans="1:45">
      <c r="A397" s="47" t="s">
        <v>44</v>
      </c>
      <c r="B397" s="47" t="str">
        <f t="shared" si="98"/>
        <v>August</v>
      </c>
      <c r="C397" s="59">
        <v>45535</v>
      </c>
      <c r="D397" s="47" t="s">
        <v>45</v>
      </c>
      <c r="E397" s="47" t="s">
        <v>893</v>
      </c>
      <c r="F397" s="47" t="s">
        <v>894</v>
      </c>
      <c r="G397" s="47" t="s">
        <v>3611</v>
      </c>
      <c r="H397" s="47" t="s">
        <v>3612</v>
      </c>
      <c r="I397" s="47" t="s">
        <v>50</v>
      </c>
      <c r="J397" s="47" t="s">
        <v>51</v>
      </c>
      <c r="K397" s="48">
        <v>44809</v>
      </c>
      <c r="L397" s="48">
        <v>45170</v>
      </c>
      <c r="M397" s="48">
        <v>45535</v>
      </c>
      <c r="N397" s="47" t="s">
        <v>64</v>
      </c>
      <c r="O397" s="55" t="s">
        <v>53</v>
      </c>
      <c r="P397" s="62">
        <v>16200</v>
      </c>
      <c r="Q397" s="62">
        <v>1350</v>
      </c>
      <c r="R397" s="96">
        <v>16500</v>
      </c>
      <c r="S397" s="62">
        <f t="shared" si="90"/>
        <v>1375</v>
      </c>
      <c r="T397" s="62">
        <v>16500</v>
      </c>
      <c r="U397" s="62">
        <f t="shared" si="91"/>
        <v>1375</v>
      </c>
      <c r="V397" s="69">
        <v>15060</v>
      </c>
      <c r="W397" s="71">
        <v>1425</v>
      </c>
      <c r="X397" s="175">
        <f>W397-50</f>
        <v>1375</v>
      </c>
      <c r="Y397" s="176">
        <f t="shared" si="103"/>
        <v>0</v>
      </c>
      <c r="Z397" s="64">
        <f t="shared" si="99"/>
        <v>3.6363636363636362E-2</v>
      </c>
      <c r="AA397" s="64">
        <f t="shared" si="92"/>
        <v>3.6363636363636362E-2</v>
      </c>
      <c r="AB397" s="71">
        <f t="shared" si="95"/>
        <v>1425</v>
      </c>
      <c r="AC397" s="64">
        <f t="shared" si="100"/>
        <v>3.6363636363636362E-2</v>
      </c>
      <c r="AD397" s="64">
        <f t="shared" si="93"/>
        <v>3.6363636363636362E-2</v>
      </c>
      <c r="AE397" s="71">
        <f>AB397</f>
        <v>1425</v>
      </c>
      <c r="AF397" s="64">
        <f t="shared" si="101"/>
        <v>3.6363636363636362E-2</v>
      </c>
      <c r="AG397" s="64">
        <f t="shared" si="94"/>
        <v>3.6363636363636362E-2</v>
      </c>
      <c r="AH397" s="67"/>
      <c r="AI397" s="47" t="s">
        <v>54</v>
      </c>
      <c r="AJ397" s="47">
        <v>695</v>
      </c>
      <c r="AK397" s="47" t="s">
        <v>65</v>
      </c>
      <c r="AL397" s="47" t="s">
        <v>65</v>
      </c>
      <c r="AM397" s="47" t="s">
        <v>897</v>
      </c>
      <c r="AN397" s="50">
        <v>1425</v>
      </c>
      <c r="AO397" s="211">
        <f t="shared" si="102"/>
        <v>3.6363636363636362E-2</v>
      </c>
      <c r="AP397" s="47" t="s">
        <v>852</v>
      </c>
      <c r="AQ397" s="91" t="s">
        <v>3613</v>
      </c>
      <c r="AR397" s="47" t="s">
        <v>3614</v>
      </c>
    </row>
    <row r="398" spans="1:45">
      <c r="A398" s="47"/>
      <c r="B398" s="47" t="str">
        <f t="shared" si="98"/>
        <v>20/07/2024</v>
      </c>
      <c r="C398" s="59" t="s">
        <v>3825</v>
      </c>
      <c r="D398" s="53" t="s">
        <v>45</v>
      </c>
      <c r="E398" s="47" t="s">
        <v>893</v>
      </c>
      <c r="F398" s="47"/>
      <c r="G398" s="47" t="s">
        <v>3826</v>
      </c>
      <c r="H398" s="47"/>
      <c r="I398" s="47" t="s">
        <v>3827</v>
      </c>
      <c r="J398" s="47"/>
      <c r="K398" s="47"/>
      <c r="L398" s="47"/>
      <c r="M398" s="47"/>
      <c r="N398" s="47"/>
      <c r="O398" s="55" t="s">
        <v>53</v>
      </c>
      <c r="P398" s="62">
        <v>12300</v>
      </c>
      <c r="Q398" s="62">
        <v>1025</v>
      </c>
      <c r="R398" s="103">
        <v>12900</v>
      </c>
      <c r="S398" s="62">
        <f t="shared" si="90"/>
        <v>1075</v>
      </c>
      <c r="T398" s="55"/>
      <c r="U398" s="62">
        <v>1105</v>
      </c>
      <c r="V398" s="69"/>
      <c r="W398" s="200">
        <v>1100</v>
      </c>
      <c r="X398" s="71"/>
      <c r="Y398" s="71"/>
      <c r="Z398" s="90">
        <f t="shared" si="99"/>
        <v>-4.5248868778280547E-3</v>
      </c>
      <c r="AA398" s="90">
        <f t="shared" si="92"/>
        <v>2.3255813953488372E-2</v>
      </c>
      <c r="AB398" s="71">
        <v>1125</v>
      </c>
      <c r="AC398" s="90">
        <f t="shared" si="100"/>
        <v>1.8099547511312219E-2</v>
      </c>
      <c r="AD398" s="90">
        <f t="shared" si="93"/>
        <v>4.6511627906976744E-2</v>
      </c>
      <c r="AE398" s="71">
        <v>1125</v>
      </c>
      <c r="AF398" s="90">
        <f t="shared" si="101"/>
        <v>1.8099547511312219E-2</v>
      </c>
      <c r="AG398" s="90">
        <f t="shared" si="94"/>
        <v>4.6511627906976744E-2</v>
      </c>
      <c r="AH398" s="67" t="s">
        <v>846</v>
      </c>
      <c r="AI398" s="47"/>
      <c r="AJ398" s="47" t="s">
        <v>3828</v>
      </c>
      <c r="AK398" s="47">
        <v>1</v>
      </c>
      <c r="AL398" s="47">
        <v>1</v>
      </c>
      <c r="AM398" s="47" t="s">
        <v>3829</v>
      </c>
      <c r="AN398" s="47" t="s">
        <v>3830</v>
      </c>
      <c r="AO398" s="211" t="e">
        <f t="shared" si="102"/>
        <v>#VALUE!</v>
      </c>
      <c r="AP398" s="47" t="s">
        <v>852</v>
      </c>
      <c r="AQ398" s="111" t="s">
        <v>125</v>
      </c>
      <c r="AR398" s="47" t="s">
        <v>3831</v>
      </c>
    </row>
    <row r="399" spans="1:45" hidden="1">
      <c r="A399" s="47" t="s">
        <v>44</v>
      </c>
      <c r="B399" s="47" t="str">
        <f t="shared" si="98"/>
        <v>August</v>
      </c>
      <c r="C399" s="59">
        <v>45518</v>
      </c>
      <c r="D399" s="47" t="s">
        <v>83</v>
      </c>
      <c r="E399" s="47" t="s">
        <v>1897</v>
      </c>
      <c r="F399" s="47" t="s">
        <v>323</v>
      </c>
      <c r="G399" s="47" t="s">
        <v>1898</v>
      </c>
      <c r="H399" s="47" t="s">
        <v>1899</v>
      </c>
      <c r="I399" s="47" t="s">
        <v>1900</v>
      </c>
      <c r="J399" s="47" t="s">
        <v>51</v>
      </c>
      <c r="K399" s="48">
        <v>45153</v>
      </c>
      <c r="L399" s="48">
        <v>45153</v>
      </c>
      <c r="M399" s="48">
        <v>45518</v>
      </c>
      <c r="N399" s="47" t="s">
        <v>52</v>
      </c>
      <c r="O399" s="55" t="s">
        <v>53</v>
      </c>
      <c r="P399" s="62">
        <v>34800</v>
      </c>
      <c r="Q399" s="62">
        <v>2900</v>
      </c>
      <c r="R399" s="103">
        <v>37200</v>
      </c>
      <c r="S399" s="62"/>
      <c r="T399" s="62">
        <v>36000</v>
      </c>
      <c r="U399" s="62"/>
      <c r="V399" s="69">
        <v>33600</v>
      </c>
      <c r="W399" s="71" t="s">
        <v>123</v>
      </c>
      <c r="X399" s="71"/>
      <c r="Y399" s="71"/>
      <c r="Z399" s="64" t="e">
        <f t="shared" si="99"/>
        <v>#VALUE!</v>
      </c>
      <c r="AA399" s="64" t="e">
        <f t="shared" si="92"/>
        <v>#VALUE!</v>
      </c>
      <c r="AB399" s="71"/>
      <c r="AC399" s="64" t="e">
        <f t="shared" si="100"/>
        <v>#DIV/0!</v>
      </c>
      <c r="AD399" s="64" t="e">
        <f t="shared" si="93"/>
        <v>#DIV/0!</v>
      </c>
      <c r="AE399" s="71">
        <f>AB399</f>
        <v>0</v>
      </c>
      <c r="AF399" s="64" t="e">
        <f t="shared" si="101"/>
        <v>#DIV/0!</v>
      </c>
      <c r="AG399" s="64" t="e">
        <f t="shared" si="94"/>
        <v>#DIV/0!</v>
      </c>
      <c r="AH399" s="67" t="s">
        <v>933</v>
      </c>
      <c r="AI399" s="47" t="s">
        <v>54</v>
      </c>
      <c r="AJ399" s="47">
        <v>744</v>
      </c>
      <c r="AK399" s="47" t="s">
        <v>65</v>
      </c>
      <c r="AL399" s="47" t="s">
        <v>55</v>
      </c>
      <c r="AM399" s="47" t="s">
        <v>1901</v>
      </c>
      <c r="AN399" s="47"/>
      <c r="AO399" s="211" t="e">
        <f t="shared" si="102"/>
        <v>#DIV/0!</v>
      </c>
      <c r="AP399" s="47" t="s">
        <v>90</v>
      </c>
      <c r="AQ399" s="47" t="s">
        <v>935</v>
      </c>
      <c r="AR399" s="47"/>
    </row>
    <row r="400" spans="1:45" hidden="1">
      <c r="A400" s="47" t="s">
        <v>44</v>
      </c>
      <c r="B400" s="47" t="str">
        <f t="shared" si="98"/>
        <v>August</v>
      </c>
      <c r="C400" s="59">
        <v>45518</v>
      </c>
      <c r="D400" s="47" t="s">
        <v>83</v>
      </c>
      <c r="E400" s="47" t="s">
        <v>1897</v>
      </c>
      <c r="F400" s="47" t="s">
        <v>323</v>
      </c>
      <c r="G400" s="47" t="s">
        <v>1902</v>
      </c>
      <c r="H400" s="47" t="s">
        <v>1903</v>
      </c>
      <c r="I400" s="47" t="s">
        <v>50</v>
      </c>
      <c r="J400" s="47" t="s">
        <v>51</v>
      </c>
      <c r="K400" s="48">
        <v>45153</v>
      </c>
      <c r="L400" s="48">
        <v>45153</v>
      </c>
      <c r="M400" s="48">
        <v>45518</v>
      </c>
      <c r="N400" s="47" t="s">
        <v>52</v>
      </c>
      <c r="O400" s="55" t="s">
        <v>53</v>
      </c>
      <c r="P400" s="62">
        <v>34800</v>
      </c>
      <c r="Q400" s="62">
        <v>2900</v>
      </c>
      <c r="R400" s="103">
        <v>36000</v>
      </c>
      <c r="S400" s="62"/>
      <c r="T400" s="62">
        <v>34800</v>
      </c>
      <c r="U400" s="62"/>
      <c r="V400" s="69">
        <v>33600</v>
      </c>
      <c r="W400" s="71" t="s">
        <v>123</v>
      </c>
      <c r="X400" s="71"/>
      <c r="Y400" s="71"/>
      <c r="Z400" s="64" t="e">
        <f t="shared" si="99"/>
        <v>#VALUE!</v>
      </c>
      <c r="AA400" s="64" t="e">
        <f t="shared" si="92"/>
        <v>#VALUE!</v>
      </c>
      <c r="AB400" s="71"/>
      <c r="AC400" s="64" t="e">
        <f t="shared" si="100"/>
        <v>#DIV/0!</v>
      </c>
      <c r="AD400" s="64" t="e">
        <f t="shared" si="93"/>
        <v>#DIV/0!</v>
      </c>
      <c r="AE400" s="71">
        <f>AB400</f>
        <v>0</v>
      </c>
      <c r="AF400" s="64" t="e">
        <f t="shared" si="101"/>
        <v>#DIV/0!</v>
      </c>
      <c r="AG400" s="64" t="e">
        <f t="shared" si="94"/>
        <v>#DIV/0!</v>
      </c>
      <c r="AH400" s="67" t="s">
        <v>933</v>
      </c>
      <c r="AI400" s="47" t="s">
        <v>54</v>
      </c>
      <c r="AJ400" s="47">
        <v>751.32</v>
      </c>
      <c r="AK400" s="47" t="s">
        <v>65</v>
      </c>
      <c r="AL400" s="47" t="s">
        <v>55</v>
      </c>
      <c r="AM400" s="47" t="s">
        <v>1904</v>
      </c>
      <c r="AN400" s="47"/>
      <c r="AO400" s="211" t="e">
        <f t="shared" si="102"/>
        <v>#DIV/0!</v>
      </c>
      <c r="AP400" s="47" t="s">
        <v>90</v>
      </c>
      <c r="AQ400" s="47" t="s">
        <v>935</v>
      </c>
      <c r="AR400" s="47"/>
    </row>
    <row r="401" spans="1:44">
      <c r="A401" s="47" t="s">
        <v>44</v>
      </c>
      <c r="B401" s="47" t="str">
        <f t="shared" si="98"/>
        <v>August</v>
      </c>
      <c r="C401" s="59">
        <v>45521</v>
      </c>
      <c r="D401" s="47" t="s">
        <v>83</v>
      </c>
      <c r="E401" s="47" t="s">
        <v>322</v>
      </c>
      <c r="F401" s="47" t="s">
        <v>323</v>
      </c>
      <c r="G401" s="47" t="s">
        <v>324</v>
      </c>
      <c r="H401" s="47" t="s">
        <v>325</v>
      </c>
      <c r="I401" s="53" t="s">
        <v>326</v>
      </c>
      <c r="J401" s="47" t="s">
        <v>51</v>
      </c>
      <c r="K401" s="48">
        <v>44426</v>
      </c>
      <c r="L401" s="48">
        <v>44791</v>
      </c>
      <c r="M401" s="48">
        <v>45521</v>
      </c>
      <c r="N401" s="47" t="s">
        <v>64</v>
      </c>
      <c r="O401" s="55" t="s">
        <v>327</v>
      </c>
      <c r="P401" s="62">
        <v>32940</v>
      </c>
      <c r="Q401" s="62">
        <v>2745</v>
      </c>
      <c r="R401" s="103">
        <v>33840</v>
      </c>
      <c r="S401" s="62">
        <f t="shared" ref="S401:S416" si="104">R401/12</f>
        <v>2820</v>
      </c>
      <c r="T401" s="62">
        <v>28814.400000000001</v>
      </c>
      <c r="U401" s="137">
        <f t="shared" ref="U401:U432" si="105">T401/12</f>
        <v>2401.2000000000003</v>
      </c>
      <c r="V401" s="69">
        <v>27840</v>
      </c>
      <c r="W401" s="71" t="s">
        <v>123</v>
      </c>
      <c r="X401" s="71"/>
      <c r="Y401" s="71"/>
      <c r="Z401" s="64" t="e">
        <f t="shared" si="99"/>
        <v>#VALUE!</v>
      </c>
      <c r="AA401" s="64" t="e">
        <f t="shared" si="92"/>
        <v>#VALUE!</v>
      </c>
      <c r="AB401" s="71">
        <v>2700</v>
      </c>
      <c r="AC401" s="64">
        <f t="shared" si="100"/>
        <v>0.12443778110944514</v>
      </c>
      <c r="AD401" s="64">
        <f t="shared" si="93"/>
        <v>-4.2553191489361701E-2</v>
      </c>
      <c r="AE401" s="71">
        <v>2650</v>
      </c>
      <c r="AF401" s="64">
        <f t="shared" si="101"/>
        <v>0.10361485923704802</v>
      </c>
      <c r="AG401" s="64">
        <f t="shared" si="94"/>
        <v>-6.0283687943262408E-2</v>
      </c>
      <c r="AH401" s="67" t="s">
        <v>328</v>
      </c>
      <c r="AI401" s="47" t="s">
        <v>54</v>
      </c>
      <c r="AJ401" s="47">
        <v>958</v>
      </c>
      <c r="AK401" s="47" t="s">
        <v>65</v>
      </c>
      <c r="AL401" s="47" t="s">
        <v>65</v>
      </c>
      <c r="AM401" s="47" t="s">
        <v>329</v>
      </c>
      <c r="AN401" s="47"/>
      <c r="AO401" s="211">
        <f t="shared" si="102"/>
        <v>-1</v>
      </c>
      <c r="AP401" s="47" t="s">
        <v>90</v>
      </c>
      <c r="AQ401" s="91" t="s">
        <v>116</v>
      </c>
      <c r="AR401" s="47"/>
    </row>
    <row r="402" spans="1:44">
      <c r="A402" s="47" t="s">
        <v>44</v>
      </c>
      <c r="B402" s="47" t="str">
        <f t="shared" si="98"/>
        <v>July</v>
      </c>
      <c r="C402" s="59">
        <v>45504</v>
      </c>
      <c r="D402" s="47" t="s">
        <v>83</v>
      </c>
      <c r="E402" s="47" t="s">
        <v>322</v>
      </c>
      <c r="F402" s="47" t="s">
        <v>323</v>
      </c>
      <c r="G402" s="47" t="s">
        <v>356</v>
      </c>
      <c r="H402" s="47" t="s">
        <v>357</v>
      </c>
      <c r="I402" s="53" t="s">
        <v>358</v>
      </c>
      <c r="J402" s="47" t="s">
        <v>51</v>
      </c>
      <c r="K402" s="48">
        <v>43678</v>
      </c>
      <c r="L402" s="48">
        <v>45139</v>
      </c>
      <c r="M402" s="48">
        <v>45504</v>
      </c>
      <c r="N402" s="47" t="s">
        <v>64</v>
      </c>
      <c r="O402" s="55" t="s">
        <v>327</v>
      </c>
      <c r="P402" s="62">
        <v>36000</v>
      </c>
      <c r="Q402" s="62">
        <v>3000</v>
      </c>
      <c r="R402" s="103">
        <v>37020</v>
      </c>
      <c r="S402" s="62">
        <f t="shared" si="104"/>
        <v>3085</v>
      </c>
      <c r="T402" s="62">
        <v>36120</v>
      </c>
      <c r="U402" s="62">
        <f t="shared" si="105"/>
        <v>3010</v>
      </c>
      <c r="V402" s="69">
        <v>33840</v>
      </c>
      <c r="W402" s="71" t="s">
        <v>123</v>
      </c>
      <c r="X402" s="71"/>
      <c r="Y402" s="71"/>
      <c r="Z402" s="64" t="e">
        <f t="shared" si="99"/>
        <v>#VALUE!</v>
      </c>
      <c r="AA402" s="64" t="e">
        <f t="shared" si="92"/>
        <v>#VALUE!</v>
      </c>
      <c r="AB402" s="71">
        <v>3200</v>
      </c>
      <c r="AC402" s="64">
        <f t="shared" si="100"/>
        <v>6.3122923588039864E-2</v>
      </c>
      <c r="AD402" s="64">
        <f t="shared" si="93"/>
        <v>3.7277147487844407E-2</v>
      </c>
      <c r="AE402" s="71">
        <v>3150</v>
      </c>
      <c r="AF402" s="64">
        <f t="shared" si="101"/>
        <v>4.6511627906976744E-2</v>
      </c>
      <c r="AG402" s="64">
        <f t="shared" si="94"/>
        <v>2.1069692058346839E-2</v>
      </c>
      <c r="AH402" s="67"/>
      <c r="AI402" s="47" t="s">
        <v>54</v>
      </c>
      <c r="AJ402" s="47">
        <v>1249.6500000000001</v>
      </c>
      <c r="AK402" s="101" t="s">
        <v>140</v>
      </c>
      <c r="AL402" s="101" t="s">
        <v>65</v>
      </c>
      <c r="AM402" s="47" t="s">
        <v>359</v>
      </c>
      <c r="AN402" s="47"/>
      <c r="AO402" s="211">
        <f t="shared" si="102"/>
        <v>-1</v>
      </c>
      <c r="AP402" s="47" t="s">
        <v>90</v>
      </c>
      <c r="AQ402" s="91" t="s">
        <v>116</v>
      </c>
      <c r="AR402" s="47"/>
    </row>
    <row r="403" spans="1:44">
      <c r="A403" s="47" t="s">
        <v>44</v>
      </c>
      <c r="B403" s="47" t="str">
        <f t="shared" si="98"/>
        <v>July</v>
      </c>
      <c r="C403" s="59">
        <v>45492</v>
      </c>
      <c r="D403" s="47" t="s">
        <v>83</v>
      </c>
      <c r="E403" s="47" t="s">
        <v>322</v>
      </c>
      <c r="F403" s="47" t="s">
        <v>323</v>
      </c>
      <c r="G403" s="47" t="s">
        <v>360</v>
      </c>
      <c r="H403" s="47" t="s">
        <v>361</v>
      </c>
      <c r="I403" s="47" t="s">
        <v>362</v>
      </c>
      <c r="J403" s="47" t="s">
        <v>51</v>
      </c>
      <c r="K403" s="48">
        <v>43120</v>
      </c>
      <c r="L403" s="48">
        <v>45127</v>
      </c>
      <c r="M403" s="48">
        <v>45492</v>
      </c>
      <c r="N403" s="47" t="s">
        <v>64</v>
      </c>
      <c r="O403" s="55" t="s">
        <v>327</v>
      </c>
      <c r="P403" s="62">
        <v>30000</v>
      </c>
      <c r="Q403" s="62">
        <v>2500</v>
      </c>
      <c r="R403" s="103">
        <v>31500</v>
      </c>
      <c r="S403" s="62">
        <f t="shared" si="104"/>
        <v>2625</v>
      </c>
      <c r="T403" s="62">
        <v>29520</v>
      </c>
      <c r="U403" s="62">
        <f t="shared" si="105"/>
        <v>2460</v>
      </c>
      <c r="V403" s="69">
        <v>27420</v>
      </c>
      <c r="W403" s="71" t="s">
        <v>123</v>
      </c>
      <c r="X403" s="71"/>
      <c r="Y403" s="71"/>
      <c r="Z403" s="64" t="e">
        <f t="shared" si="99"/>
        <v>#VALUE!</v>
      </c>
      <c r="AA403" s="64" t="e">
        <f t="shared" si="92"/>
        <v>#VALUE!</v>
      </c>
      <c r="AB403" s="71">
        <v>2675</v>
      </c>
      <c r="AC403" s="64">
        <f t="shared" si="100"/>
        <v>8.7398373983739841E-2</v>
      </c>
      <c r="AD403" s="64">
        <f t="shared" si="93"/>
        <v>1.9047619047619049E-2</v>
      </c>
      <c r="AE403" s="71">
        <v>2650</v>
      </c>
      <c r="AF403" s="64">
        <f t="shared" si="101"/>
        <v>7.7235772357723581E-2</v>
      </c>
      <c r="AG403" s="64">
        <f t="shared" si="94"/>
        <v>9.5238095238095247E-3</v>
      </c>
      <c r="AH403" s="67"/>
      <c r="AI403" s="47" t="s">
        <v>54</v>
      </c>
      <c r="AJ403" s="47">
        <v>847.05</v>
      </c>
      <c r="AK403" s="101" t="s">
        <v>65</v>
      </c>
      <c r="AL403" s="101" t="s">
        <v>55</v>
      </c>
      <c r="AM403" s="47" t="s">
        <v>363</v>
      </c>
      <c r="AN403" s="47"/>
      <c r="AO403" s="211">
        <f t="shared" si="102"/>
        <v>-1</v>
      </c>
      <c r="AP403" s="47" t="s">
        <v>90</v>
      </c>
      <c r="AQ403" s="91" t="s">
        <v>116</v>
      </c>
      <c r="AR403" s="47"/>
    </row>
    <row r="404" spans="1:44" hidden="1">
      <c r="A404" s="47" t="s">
        <v>44</v>
      </c>
      <c r="B404" s="47" t="str">
        <f t="shared" si="98"/>
        <v>August</v>
      </c>
      <c r="C404" s="59">
        <v>45506</v>
      </c>
      <c r="D404" s="47" t="s">
        <v>83</v>
      </c>
      <c r="E404" s="47" t="s">
        <v>322</v>
      </c>
      <c r="F404" s="47" t="s">
        <v>323</v>
      </c>
      <c r="G404" s="47" t="s">
        <v>364</v>
      </c>
      <c r="H404" s="47" t="s">
        <v>365</v>
      </c>
      <c r="I404" s="53" t="s">
        <v>366</v>
      </c>
      <c r="J404" s="47" t="s">
        <v>51</v>
      </c>
      <c r="K404" s="48">
        <v>45141</v>
      </c>
      <c r="L404" s="48">
        <v>45141</v>
      </c>
      <c r="M404" s="48">
        <v>45506</v>
      </c>
      <c r="N404" s="47" t="s">
        <v>52</v>
      </c>
      <c r="O404" s="55" t="s">
        <v>327</v>
      </c>
      <c r="P404" s="62">
        <v>32940</v>
      </c>
      <c r="Q404" s="62">
        <v>2745</v>
      </c>
      <c r="R404" s="103">
        <v>33840</v>
      </c>
      <c r="S404" s="62">
        <f t="shared" si="104"/>
        <v>2820</v>
      </c>
      <c r="T404" s="62">
        <v>33000</v>
      </c>
      <c r="U404" s="62">
        <f t="shared" si="105"/>
        <v>2750</v>
      </c>
      <c r="V404" s="69">
        <v>28740</v>
      </c>
      <c r="W404" s="71" t="s">
        <v>123</v>
      </c>
      <c r="X404" s="71"/>
      <c r="Y404" s="71"/>
      <c r="Z404" s="64" t="e">
        <f t="shared" si="99"/>
        <v>#VALUE!</v>
      </c>
      <c r="AA404" s="64" t="e">
        <f t="shared" si="92"/>
        <v>#VALUE!</v>
      </c>
      <c r="AB404" s="71">
        <v>2950</v>
      </c>
      <c r="AC404" s="64">
        <f t="shared" si="100"/>
        <v>7.2727272727272724E-2</v>
      </c>
      <c r="AD404" s="64">
        <f t="shared" si="93"/>
        <v>4.6099290780141841E-2</v>
      </c>
      <c r="AE404" s="175">
        <v>2870</v>
      </c>
      <c r="AF404" s="64">
        <f t="shared" si="101"/>
        <v>4.363636363636364E-2</v>
      </c>
      <c r="AG404" s="64">
        <f t="shared" si="94"/>
        <v>1.7730496453900711E-2</v>
      </c>
      <c r="AH404" s="67"/>
      <c r="AI404" s="47" t="s">
        <v>54</v>
      </c>
      <c r="AJ404" s="47">
        <v>808</v>
      </c>
      <c r="AK404" s="47" t="s">
        <v>65</v>
      </c>
      <c r="AL404" s="47" t="s">
        <v>55</v>
      </c>
      <c r="AM404" s="47" t="s">
        <v>367</v>
      </c>
      <c r="AN404" s="47"/>
      <c r="AO404" s="211">
        <f t="shared" si="102"/>
        <v>-1</v>
      </c>
      <c r="AP404" s="47" t="s">
        <v>90</v>
      </c>
      <c r="AQ404" s="91" t="s">
        <v>116</v>
      </c>
      <c r="AR404" s="47"/>
    </row>
    <row r="405" spans="1:44" hidden="1">
      <c r="A405" s="47" t="s">
        <v>44</v>
      </c>
      <c r="B405" s="47" t="str">
        <f t="shared" si="98"/>
        <v>August</v>
      </c>
      <c r="C405" s="59">
        <v>45511</v>
      </c>
      <c r="D405" s="47" t="s">
        <v>83</v>
      </c>
      <c r="E405" s="47" t="s">
        <v>322</v>
      </c>
      <c r="F405" s="47" t="s">
        <v>323</v>
      </c>
      <c r="G405" s="47" t="s">
        <v>1307</v>
      </c>
      <c r="H405" s="47" t="s">
        <v>1308</v>
      </c>
      <c r="I405" s="53" t="s">
        <v>1309</v>
      </c>
      <c r="J405" s="47" t="s">
        <v>51</v>
      </c>
      <c r="K405" s="48">
        <v>45146</v>
      </c>
      <c r="L405" s="48">
        <v>45146</v>
      </c>
      <c r="M405" s="48">
        <v>45511</v>
      </c>
      <c r="N405" s="47" t="s">
        <v>52</v>
      </c>
      <c r="O405" s="55" t="s">
        <v>327</v>
      </c>
      <c r="P405" s="62">
        <v>32940</v>
      </c>
      <c r="Q405" s="62">
        <v>2745</v>
      </c>
      <c r="R405" s="103">
        <v>33840</v>
      </c>
      <c r="S405" s="62">
        <f t="shared" si="104"/>
        <v>2820</v>
      </c>
      <c r="T405" s="62">
        <v>34920</v>
      </c>
      <c r="U405" s="62">
        <f t="shared" si="105"/>
        <v>2910</v>
      </c>
      <c r="V405" s="69">
        <v>30240</v>
      </c>
      <c r="W405" s="71" t="s">
        <v>123</v>
      </c>
      <c r="X405" s="71"/>
      <c r="Y405" s="71"/>
      <c r="Z405" s="64" t="e">
        <f t="shared" si="99"/>
        <v>#VALUE!</v>
      </c>
      <c r="AA405" s="64" t="e">
        <f t="shared" si="92"/>
        <v>#VALUE!</v>
      </c>
      <c r="AB405" s="71">
        <v>2950</v>
      </c>
      <c r="AC405" s="64">
        <f t="shared" si="100"/>
        <v>1.3745704467353952E-2</v>
      </c>
      <c r="AD405" s="64">
        <f t="shared" si="93"/>
        <v>4.6099290780141841E-2</v>
      </c>
      <c r="AE405" s="71">
        <f t="shared" ref="AE405:AE416" si="106">AB405</f>
        <v>2950</v>
      </c>
      <c r="AF405" s="64">
        <f t="shared" si="101"/>
        <v>1.3745704467353952E-2</v>
      </c>
      <c r="AG405" s="64">
        <f t="shared" si="94"/>
        <v>4.6099290780141841E-2</v>
      </c>
      <c r="AH405" s="67" t="s">
        <v>1310</v>
      </c>
      <c r="AI405" s="47" t="s">
        <v>54</v>
      </c>
      <c r="AJ405" s="47">
        <v>966</v>
      </c>
      <c r="AK405" s="47" t="s">
        <v>65</v>
      </c>
      <c r="AL405" s="47" t="s">
        <v>65</v>
      </c>
      <c r="AM405" s="47" t="s">
        <v>1311</v>
      </c>
      <c r="AN405" s="47"/>
      <c r="AO405" s="211">
        <f t="shared" si="102"/>
        <v>-1</v>
      </c>
      <c r="AP405" s="47" t="s">
        <v>90</v>
      </c>
      <c r="AQ405" s="91" t="s">
        <v>116</v>
      </c>
      <c r="AR405" s="47"/>
    </row>
    <row r="406" spans="1:44" hidden="1">
      <c r="A406" s="47" t="s">
        <v>44</v>
      </c>
      <c r="B406" s="47" t="str">
        <f t="shared" si="98"/>
        <v>July</v>
      </c>
      <c r="C406" s="59">
        <v>45479</v>
      </c>
      <c r="D406" s="47" t="s">
        <v>964</v>
      </c>
      <c r="E406" s="47" t="s">
        <v>965</v>
      </c>
      <c r="F406" s="47" t="s">
        <v>966</v>
      </c>
      <c r="G406" s="47" t="s">
        <v>967</v>
      </c>
      <c r="H406" s="47" t="s">
        <v>968</v>
      </c>
      <c r="I406" s="47" t="s">
        <v>969</v>
      </c>
      <c r="J406" s="47" t="s">
        <v>51</v>
      </c>
      <c r="K406" s="48">
        <v>45114</v>
      </c>
      <c r="L406" s="48">
        <v>45114</v>
      </c>
      <c r="M406" s="48">
        <v>45479</v>
      </c>
      <c r="N406" s="47" t="s">
        <v>52</v>
      </c>
      <c r="O406" s="55" t="s">
        <v>970</v>
      </c>
      <c r="P406" s="62">
        <v>11520</v>
      </c>
      <c r="Q406" s="62">
        <v>960</v>
      </c>
      <c r="R406" s="98"/>
      <c r="S406" s="62">
        <f t="shared" si="104"/>
        <v>0</v>
      </c>
      <c r="T406" s="62">
        <v>10560</v>
      </c>
      <c r="U406" s="62">
        <f t="shared" si="105"/>
        <v>880</v>
      </c>
      <c r="V406" s="69">
        <v>10560</v>
      </c>
      <c r="W406" s="71" t="s">
        <v>971</v>
      </c>
      <c r="X406" s="71"/>
      <c r="Y406" s="71"/>
      <c r="Z406" s="64" t="e">
        <f t="shared" si="99"/>
        <v>#VALUE!</v>
      </c>
      <c r="AA406" s="64" t="e">
        <f t="shared" si="92"/>
        <v>#VALUE!</v>
      </c>
      <c r="AB406" s="71">
        <v>1120</v>
      </c>
      <c r="AC406" s="64">
        <f t="shared" si="100"/>
        <v>0.27272727272727271</v>
      </c>
      <c r="AD406" s="64" t="e">
        <f t="shared" si="93"/>
        <v>#DIV/0!</v>
      </c>
      <c r="AE406" s="71">
        <f t="shared" si="106"/>
        <v>1120</v>
      </c>
      <c r="AF406" s="64">
        <f t="shared" si="101"/>
        <v>0.27272727272727271</v>
      </c>
      <c r="AG406" s="64" t="e">
        <f t="shared" si="94"/>
        <v>#DIV/0!</v>
      </c>
      <c r="AH406" s="67"/>
      <c r="AI406" s="47" t="s">
        <v>54</v>
      </c>
      <c r="AJ406" s="47">
        <v>581.25599999999997</v>
      </c>
      <c r="AK406" s="101" t="s">
        <v>55</v>
      </c>
      <c r="AL406" s="101" t="s">
        <v>131</v>
      </c>
      <c r="AM406" s="47" t="s">
        <v>972</v>
      </c>
      <c r="AN406" s="47">
        <v>1010</v>
      </c>
      <c r="AO406" s="211">
        <f t="shared" si="102"/>
        <v>0.14772727272727273</v>
      </c>
      <c r="AP406" s="47" t="s">
        <v>852</v>
      </c>
      <c r="AQ406" s="91" t="s">
        <v>58</v>
      </c>
      <c r="AR406" s="47"/>
    </row>
    <row r="407" spans="1:44">
      <c r="A407" s="47" t="s">
        <v>44</v>
      </c>
      <c r="B407" s="47" t="str">
        <f t="shared" si="98"/>
        <v>July</v>
      </c>
      <c r="C407" s="59">
        <v>45488</v>
      </c>
      <c r="D407" s="47" t="s">
        <v>964</v>
      </c>
      <c r="E407" s="47" t="s">
        <v>1159</v>
      </c>
      <c r="F407" s="47" t="s">
        <v>1160</v>
      </c>
      <c r="G407" s="47" t="s">
        <v>1161</v>
      </c>
      <c r="H407" s="47" t="s">
        <v>1162</v>
      </c>
      <c r="I407" s="47" t="s">
        <v>50</v>
      </c>
      <c r="J407" s="47" t="s">
        <v>51</v>
      </c>
      <c r="K407" s="48">
        <v>43297</v>
      </c>
      <c r="L407" s="48">
        <v>43297</v>
      </c>
      <c r="M407" s="48">
        <v>45488</v>
      </c>
      <c r="N407" s="47" t="s">
        <v>64</v>
      </c>
      <c r="O407" s="55" t="s">
        <v>1163</v>
      </c>
      <c r="P407" s="62">
        <v>10471</v>
      </c>
      <c r="Q407" s="62">
        <v>872.58333333333337</v>
      </c>
      <c r="R407" s="98"/>
      <c r="S407" s="62">
        <f t="shared" si="104"/>
        <v>0</v>
      </c>
      <c r="T407" s="62">
        <v>10261.969999999999</v>
      </c>
      <c r="U407" s="62">
        <f t="shared" si="105"/>
        <v>855.16416666666657</v>
      </c>
      <c r="V407" s="69">
        <v>9590.6299999999992</v>
      </c>
      <c r="W407" s="71" t="s">
        <v>1164</v>
      </c>
      <c r="X407" s="71"/>
      <c r="Y407" s="71"/>
      <c r="Z407" s="64" t="e">
        <f t="shared" si="99"/>
        <v>#VALUE!</v>
      </c>
      <c r="AA407" s="64" t="e">
        <f t="shared" si="92"/>
        <v>#VALUE!</v>
      </c>
      <c r="AB407" s="71" t="str">
        <f>W407</f>
        <v xml:space="preserve">AFF R </v>
      </c>
      <c r="AC407" s="64" t="e">
        <f t="shared" si="100"/>
        <v>#VALUE!</v>
      </c>
      <c r="AD407" s="64" t="e">
        <f t="shared" si="93"/>
        <v>#VALUE!</v>
      </c>
      <c r="AE407" s="71" t="str">
        <f t="shared" si="106"/>
        <v xml:space="preserve">AFF R </v>
      </c>
      <c r="AF407" s="64" t="e">
        <f t="shared" si="101"/>
        <v>#VALUE!</v>
      </c>
      <c r="AG407" s="64" t="e">
        <f t="shared" si="94"/>
        <v>#VALUE!</v>
      </c>
      <c r="AH407" s="67"/>
      <c r="AI407" s="47" t="s">
        <v>54</v>
      </c>
      <c r="AJ407" s="47">
        <v>981.67</v>
      </c>
      <c r="AK407" s="101" t="s">
        <v>140</v>
      </c>
      <c r="AL407" s="101" t="s">
        <v>55</v>
      </c>
      <c r="AM407" s="47" t="s">
        <v>1165</v>
      </c>
      <c r="AN407" s="77" t="s">
        <v>1166</v>
      </c>
      <c r="AO407" s="211" t="e">
        <f t="shared" si="102"/>
        <v>#VALUE!</v>
      </c>
      <c r="AP407" s="47" t="s">
        <v>852</v>
      </c>
      <c r="AQ407" s="111" t="s">
        <v>125</v>
      </c>
      <c r="AR407" s="47"/>
    </row>
    <row r="408" spans="1:44" hidden="1">
      <c r="A408" s="47" t="s">
        <v>44</v>
      </c>
      <c r="B408" s="47" t="str">
        <f t="shared" si="98"/>
        <v>July</v>
      </c>
      <c r="C408" s="59">
        <v>45493</v>
      </c>
      <c r="D408" s="47" t="s">
        <v>964</v>
      </c>
      <c r="E408" s="47" t="s">
        <v>1249</v>
      </c>
      <c r="F408" s="47" t="s">
        <v>1160</v>
      </c>
      <c r="G408" s="47" t="s">
        <v>1250</v>
      </c>
      <c r="H408" s="47" t="s">
        <v>1251</v>
      </c>
      <c r="I408" s="47" t="s">
        <v>1252</v>
      </c>
      <c r="J408" s="47" t="s">
        <v>51</v>
      </c>
      <c r="K408" s="48">
        <v>45128</v>
      </c>
      <c r="L408" s="48">
        <v>45128</v>
      </c>
      <c r="M408" s="48">
        <v>45493</v>
      </c>
      <c r="N408" s="47" t="s">
        <v>52</v>
      </c>
      <c r="O408" s="55" t="s">
        <v>970</v>
      </c>
      <c r="P408" s="62">
        <v>28800</v>
      </c>
      <c r="Q408" s="62">
        <v>2400</v>
      </c>
      <c r="R408" s="98"/>
      <c r="S408" s="62">
        <f t="shared" si="104"/>
        <v>0</v>
      </c>
      <c r="T408" s="62">
        <v>27360</v>
      </c>
      <c r="U408" s="62">
        <f t="shared" si="105"/>
        <v>2280</v>
      </c>
      <c r="V408" s="69">
        <v>28800</v>
      </c>
      <c r="W408" s="71" t="s">
        <v>971</v>
      </c>
      <c r="X408" s="71"/>
      <c r="Y408" s="71"/>
      <c r="Z408" s="64" t="e">
        <f t="shared" si="99"/>
        <v>#VALUE!</v>
      </c>
      <c r="AA408" s="64" t="e">
        <f t="shared" si="92"/>
        <v>#VALUE!</v>
      </c>
      <c r="AB408" s="71">
        <v>2480</v>
      </c>
      <c r="AC408" s="64">
        <f t="shared" si="100"/>
        <v>8.771929824561403E-2</v>
      </c>
      <c r="AD408" s="64" t="e">
        <f t="shared" si="93"/>
        <v>#DIV/0!</v>
      </c>
      <c r="AE408" s="71">
        <f t="shared" si="106"/>
        <v>2480</v>
      </c>
      <c r="AF408" s="64">
        <f t="shared" si="101"/>
        <v>8.771929824561403E-2</v>
      </c>
      <c r="AG408" s="64" t="e">
        <f t="shared" si="94"/>
        <v>#DIV/0!</v>
      </c>
      <c r="AH408" s="67"/>
      <c r="AI408" s="47" t="s">
        <v>250</v>
      </c>
      <c r="AJ408" s="47">
        <v>1005</v>
      </c>
      <c r="AK408" s="101" t="s">
        <v>140</v>
      </c>
      <c r="AL408" s="101" t="s">
        <v>55</v>
      </c>
      <c r="AM408" s="47" t="s">
        <v>1253</v>
      </c>
      <c r="AN408" s="47"/>
      <c r="AO408" s="211">
        <f t="shared" si="102"/>
        <v>-1</v>
      </c>
      <c r="AP408" s="47" t="s">
        <v>852</v>
      </c>
      <c r="AQ408" s="91" t="s">
        <v>1074</v>
      </c>
      <c r="AR408" s="47" t="s">
        <v>1254</v>
      </c>
    </row>
    <row r="409" spans="1:44" hidden="1">
      <c r="A409" s="47" t="s">
        <v>44</v>
      </c>
      <c r="B409" s="47" t="str">
        <f t="shared" si="98"/>
        <v>July</v>
      </c>
      <c r="C409" s="59">
        <v>45500</v>
      </c>
      <c r="D409" s="47" t="s">
        <v>964</v>
      </c>
      <c r="E409" s="47" t="s">
        <v>1249</v>
      </c>
      <c r="F409" s="47" t="s">
        <v>1160</v>
      </c>
      <c r="G409" s="47" t="s">
        <v>1528</v>
      </c>
      <c r="H409" s="47" t="s">
        <v>1529</v>
      </c>
      <c r="I409" s="47" t="s">
        <v>1252</v>
      </c>
      <c r="J409" s="47" t="s">
        <v>51</v>
      </c>
      <c r="K409" s="48">
        <v>45135</v>
      </c>
      <c r="L409" s="48">
        <v>45135</v>
      </c>
      <c r="M409" s="48">
        <v>45500</v>
      </c>
      <c r="N409" s="47" t="s">
        <v>52</v>
      </c>
      <c r="O409" s="55" t="s">
        <v>970</v>
      </c>
      <c r="P409" s="62">
        <v>28800</v>
      </c>
      <c r="Q409" s="62">
        <v>2400</v>
      </c>
      <c r="R409" s="98"/>
      <c r="S409" s="62">
        <f t="shared" si="104"/>
        <v>0</v>
      </c>
      <c r="T409" s="62">
        <v>27360</v>
      </c>
      <c r="U409" s="62">
        <f t="shared" si="105"/>
        <v>2280</v>
      </c>
      <c r="V409" s="69">
        <v>28800</v>
      </c>
      <c r="W409" s="71" t="s">
        <v>971</v>
      </c>
      <c r="X409" s="71"/>
      <c r="Y409" s="71"/>
      <c r="Z409" s="64" t="e">
        <f t="shared" si="99"/>
        <v>#VALUE!</v>
      </c>
      <c r="AA409" s="64" t="e">
        <f t="shared" si="92"/>
        <v>#VALUE!</v>
      </c>
      <c r="AB409" s="71">
        <v>2480</v>
      </c>
      <c r="AC409" s="64">
        <f t="shared" si="100"/>
        <v>8.771929824561403E-2</v>
      </c>
      <c r="AD409" s="64" t="e">
        <f t="shared" si="93"/>
        <v>#DIV/0!</v>
      </c>
      <c r="AE409" s="71">
        <f t="shared" si="106"/>
        <v>2480</v>
      </c>
      <c r="AF409" s="64">
        <f t="shared" si="101"/>
        <v>8.771929824561403E-2</v>
      </c>
      <c r="AG409" s="64" t="e">
        <f t="shared" si="94"/>
        <v>#DIV/0!</v>
      </c>
      <c r="AH409" s="67"/>
      <c r="AI409" s="47" t="s">
        <v>54</v>
      </c>
      <c r="AJ409" s="47">
        <v>1006</v>
      </c>
      <c r="AK409" s="101" t="s">
        <v>140</v>
      </c>
      <c r="AL409" s="101" t="s">
        <v>55</v>
      </c>
      <c r="AM409" s="47" t="s">
        <v>1530</v>
      </c>
      <c r="AN409" s="47"/>
      <c r="AO409" s="211">
        <f t="shared" si="102"/>
        <v>-1</v>
      </c>
      <c r="AP409" s="47" t="s">
        <v>852</v>
      </c>
      <c r="AQ409" s="91" t="s">
        <v>58</v>
      </c>
      <c r="AR409" s="47"/>
    </row>
    <row r="410" spans="1:44">
      <c r="A410" s="47" t="s">
        <v>44</v>
      </c>
      <c r="B410" s="47" t="str">
        <f t="shared" si="98"/>
        <v>July</v>
      </c>
      <c r="C410" s="59">
        <v>45497</v>
      </c>
      <c r="D410" s="47" t="s">
        <v>964</v>
      </c>
      <c r="E410" s="47" t="s">
        <v>1372</v>
      </c>
      <c r="F410" s="47" t="s">
        <v>1160</v>
      </c>
      <c r="G410" s="47" t="s">
        <v>1373</v>
      </c>
      <c r="H410" s="47" t="s">
        <v>1374</v>
      </c>
      <c r="I410" s="47"/>
      <c r="J410" s="47" t="s">
        <v>51</v>
      </c>
      <c r="K410" s="48">
        <v>42576</v>
      </c>
      <c r="L410" s="48">
        <v>42576</v>
      </c>
      <c r="M410" s="48">
        <v>44766</v>
      </c>
      <c r="N410" s="47" t="s">
        <v>64</v>
      </c>
      <c r="O410" s="55" t="s">
        <v>1163</v>
      </c>
      <c r="P410" s="62">
        <v>11024</v>
      </c>
      <c r="Q410" s="62">
        <v>918.66666666666663</v>
      </c>
      <c r="R410" s="98"/>
      <c r="S410" s="62">
        <f t="shared" si="104"/>
        <v>0</v>
      </c>
      <c r="T410" s="62">
        <v>11023.63</v>
      </c>
      <c r="U410" s="62">
        <f t="shared" si="105"/>
        <v>918.63583333333327</v>
      </c>
      <c r="V410" s="69">
        <v>10302.459999999999</v>
      </c>
      <c r="W410" s="71" t="s">
        <v>1164</v>
      </c>
      <c r="X410" s="71"/>
      <c r="Y410" s="71"/>
      <c r="Z410" s="64" t="e">
        <f t="shared" si="99"/>
        <v>#VALUE!</v>
      </c>
      <c r="AA410" s="64" t="e">
        <f t="shared" si="92"/>
        <v>#VALUE!</v>
      </c>
      <c r="AB410" s="71" t="str">
        <f t="shared" ref="AB410:AB417" si="107">W410</f>
        <v xml:space="preserve">AFF R </v>
      </c>
      <c r="AC410" s="64" t="e">
        <f t="shared" si="100"/>
        <v>#VALUE!</v>
      </c>
      <c r="AD410" s="64" t="e">
        <f t="shared" si="93"/>
        <v>#VALUE!</v>
      </c>
      <c r="AE410" s="71" t="str">
        <f t="shared" si="106"/>
        <v xml:space="preserve">AFF R </v>
      </c>
      <c r="AF410" s="64" t="e">
        <f t="shared" si="101"/>
        <v>#VALUE!</v>
      </c>
      <c r="AG410" s="64" t="e">
        <f t="shared" si="94"/>
        <v>#VALUE!</v>
      </c>
      <c r="AH410" s="67"/>
      <c r="AI410" s="47" t="s">
        <v>250</v>
      </c>
      <c r="AJ410" s="47">
        <v>1161</v>
      </c>
      <c r="AK410" s="47" t="s">
        <v>140</v>
      </c>
      <c r="AL410" s="47" t="s">
        <v>55</v>
      </c>
      <c r="AM410" s="47" t="s">
        <v>1375</v>
      </c>
      <c r="AN410" s="77" t="s">
        <v>1376</v>
      </c>
      <c r="AO410" s="211" t="e">
        <f t="shared" si="102"/>
        <v>#VALUE!</v>
      </c>
      <c r="AP410" s="47" t="s">
        <v>852</v>
      </c>
      <c r="AQ410" s="111" t="s">
        <v>125</v>
      </c>
      <c r="AR410" s="47" t="s">
        <v>1377</v>
      </c>
    </row>
    <row r="411" spans="1:44">
      <c r="A411" s="47" t="s">
        <v>44</v>
      </c>
      <c r="B411" s="47" t="str">
        <f t="shared" si="98"/>
        <v>July</v>
      </c>
      <c r="C411" s="59">
        <v>45504</v>
      </c>
      <c r="D411" s="47" t="s">
        <v>964</v>
      </c>
      <c r="E411" s="47" t="s">
        <v>1372</v>
      </c>
      <c r="F411" s="47" t="s">
        <v>1160</v>
      </c>
      <c r="G411" s="47" t="s">
        <v>1680</v>
      </c>
      <c r="H411" s="47" t="s">
        <v>1681</v>
      </c>
      <c r="I411" s="47" t="s">
        <v>50</v>
      </c>
      <c r="J411" s="47" t="s">
        <v>51</v>
      </c>
      <c r="K411" s="48">
        <v>43313</v>
      </c>
      <c r="L411" s="48">
        <v>43313</v>
      </c>
      <c r="M411" s="48">
        <v>45504</v>
      </c>
      <c r="N411" s="47" t="s">
        <v>64</v>
      </c>
      <c r="O411" s="55" t="s">
        <v>1163</v>
      </c>
      <c r="P411" s="62">
        <v>9848</v>
      </c>
      <c r="Q411" s="62">
        <v>820.66666666666663</v>
      </c>
      <c r="R411" s="98"/>
      <c r="S411" s="62">
        <f t="shared" si="104"/>
        <v>0</v>
      </c>
      <c r="T411" s="62">
        <v>9847.7199999999993</v>
      </c>
      <c r="U411" s="62">
        <f t="shared" si="105"/>
        <v>820.64333333333332</v>
      </c>
      <c r="V411" s="69">
        <v>9203.48</v>
      </c>
      <c r="W411" s="71" t="s">
        <v>1164</v>
      </c>
      <c r="X411" s="71"/>
      <c r="Y411" s="71"/>
      <c r="Z411" s="64" t="e">
        <f t="shared" si="99"/>
        <v>#VALUE!</v>
      </c>
      <c r="AA411" s="64" t="e">
        <f t="shared" si="92"/>
        <v>#VALUE!</v>
      </c>
      <c r="AB411" s="71" t="str">
        <f t="shared" si="107"/>
        <v xml:space="preserve">AFF R </v>
      </c>
      <c r="AC411" s="64" t="e">
        <f t="shared" si="100"/>
        <v>#VALUE!</v>
      </c>
      <c r="AD411" s="64" t="e">
        <f t="shared" si="93"/>
        <v>#VALUE!</v>
      </c>
      <c r="AE411" s="71" t="str">
        <f t="shared" si="106"/>
        <v xml:space="preserve">AFF R </v>
      </c>
      <c r="AF411" s="64" t="e">
        <f t="shared" si="101"/>
        <v>#VALUE!</v>
      </c>
      <c r="AG411" s="64" t="e">
        <f t="shared" si="94"/>
        <v>#VALUE!</v>
      </c>
      <c r="AH411" s="67"/>
      <c r="AI411" s="47" t="s">
        <v>54</v>
      </c>
      <c r="AJ411" s="47">
        <v>849.27</v>
      </c>
      <c r="AK411" s="101" t="s">
        <v>65</v>
      </c>
      <c r="AL411" s="101" t="s">
        <v>55</v>
      </c>
      <c r="AM411" s="47" t="s">
        <v>1375</v>
      </c>
      <c r="AN411" s="77" t="s">
        <v>1682</v>
      </c>
      <c r="AO411" s="211" t="e">
        <f t="shared" si="102"/>
        <v>#VALUE!</v>
      </c>
      <c r="AP411" s="47" t="s">
        <v>852</v>
      </c>
      <c r="AQ411" s="111" t="s">
        <v>125</v>
      </c>
      <c r="AR411" s="47"/>
    </row>
    <row r="412" spans="1:44">
      <c r="A412" s="47" t="s">
        <v>44</v>
      </c>
      <c r="B412" s="47" t="str">
        <f t="shared" si="98"/>
        <v>August</v>
      </c>
      <c r="C412" s="59">
        <v>45510</v>
      </c>
      <c r="D412" s="47" t="s">
        <v>964</v>
      </c>
      <c r="E412" s="47" t="s">
        <v>1372</v>
      </c>
      <c r="F412" s="47" t="s">
        <v>1160</v>
      </c>
      <c r="G412" s="47" t="s">
        <v>1771</v>
      </c>
      <c r="H412" s="47" t="s">
        <v>1772</v>
      </c>
      <c r="I412" s="47"/>
      <c r="J412" s="47" t="s">
        <v>51</v>
      </c>
      <c r="K412" s="48">
        <v>42954</v>
      </c>
      <c r="L412" s="48">
        <v>42954</v>
      </c>
      <c r="M412" s="48">
        <v>45144</v>
      </c>
      <c r="N412" s="47" t="s">
        <v>64</v>
      </c>
      <c r="O412" s="55" t="s">
        <v>1163</v>
      </c>
      <c r="P412" s="62">
        <v>14657</v>
      </c>
      <c r="Q412" s="62">
        <v>1221.4166666666667</v>
      </c>
      <c r="R412" s="98"/>
      <c r="S412" s="62">
        <f t="shared" si="104"/>
        <v>0</v>
      </c>
      <c r="T412" s="62">
        <v>14656.59</v>
      </c>
      <c r="U412" s="62">
        <f t="shared" si="105"/>
        <v>1221.3824999999999</v>
      </c>
      <c r="V412" s="69">
        <v>13697.75</v>
      </c>
      <c r="W412" s="71" t="s">
        <v>1164</v>
      </c>
      <c r="X412" s="71"/>
      <c r="Y412" s="71"/>
      <c r="Z412" s="64" t="e">
        <f t="shared" si="99"/>
        <v>#VALUE!</v>
      </c>
      <c r="AA412" s="64" t="e">
        <f t="shared" si="92"/>
        <v>#VALUE!</v>
      </c>
      <c r="AB412" s="71" t="str">
        <f t="shared" si="107"/>
        <v xml:space="preserve">AFF R </v>
      </c>
      <c r="AC412" s="64" t="e">
        <f t="shared" si="100"/>
        <v>#VALUE!</v>
      </c>
      <c r="AD412" s="64" t="e">
        <f t="shared" si="93"/>
        <v>#VALUE!</v>
      </c>
      <c r="AE412" s="71" t="str">
        <f t="shared" si="106"/>
        <v xml:space="preserve">AFF R </v>
      </c>
      <c r="AF412" s="64" t="e">
        <f t="shared" si="101"/>
        <v>#VALUE!</v>
      </c>
      <c r="AG412" s="64" t="e">
        <f t="shared" si="94"/>
        <v>#VALUE!</v>
      </c>
      <c r="AH412" s="67"/>
      <c r="AI412" s="47" t="s">
        <v>250</v>
      </c>
      <c r="AJ412" s="47">
        <v>1204.48</v>
      </c>
      <c r="AK412" s="47" t="s">
        <v>1093</v>
      </c>
      <c r="AL412" s="47" t="s">
        <v>55</v>
      </c>
      <c r="AM412" s="47" t="s">
        <v>1375</v>
      </c>
      <c r="AN412" s="47">
        <v>1315.42</v>
      </c>
      <c r="AO412" s="211">
        <f t="shared" si="102"/>
        <v>7.6992670191361134E-2</v>
      </c>
      <c r="AP412" s="47" t="s">
        <v>852</v>
      </c>
      <c r="AQ412" s="91" t="s">
        <v>1132</v>
      </c>
      <c r="AR412" s="47"/>
    </row>
    <row r="413" spans="1:44">
      <c r="A413" s="47" t="s">
        <v>44</v>
      </c>
      <c r="B413" s="47" t="str">
        <f t="shared" si="98"/>
        <v>August</v>
      </c>
      <c r="C413" s="59">
        <v>45531</v>
      </c>
      <c r="D413" s="47" t="s">
        <v>964</v>
      </c>
      <c r="E413" s="47" t="s">
        <v>1372</v>
      </c>
      <c r="F413" s="47" t="s">
        <v>1160</v>
      </c>
      <c r="G413" s="47" t="s">
        <v>3209</v>
      </c>
      <c r="H413" s="47" t="s">
        <v>3210</v>
      </c>
      <c r="I413" s="47"/>
      <c r="J413" s="47" t="s">
        <v>51</v>
      </c>
      <c r="K413" s="48">
        <v>43340</v>
      </c>
      <c r="L413" s="48">
        <v>43340</v>
      </c>
      <c r="M413" s="48">
        <v>45531</v>
      </c>
      <c r="N413" s="47" t="s">
        <v>64</v>
      </c>
      <c r="O413" s="55" t="s">
        <v>1163</v>
      </c>
      <c r="P413" s="62">
        <v>8374</v>
      </c>
      <c r="Q413" s="62">
        <v>697.83333333333337</v>
      </c>
      <c r="R413" s="98"/>
      <c r="S413" s="62">
        <f t="shared" si="104"/>
        <v>0</v>
      </c>
      <c r="T413" s="62">
        <v>8373.7800000000007</v>
      </c>
      <c r="U413" s="62">
        <f t="shared" si="105"/>
        <v>697.81500000000005</v>
      </c>
      <c r="V413" s="69">
        <v>7825.96</v>
      </c>
      <c r="W413" s="71" t="s">
        <v>1164</v>
      </c>
      <c r="X413" s="71"/>
      <c r="Y413" s="71"/>
      <c r="Z413" s="64" t="e">
        <f t="shared" si="99"/>
        <v>#VALUE!</v>
      </c>
      <c r="AA413" s="64" t="e">
        <f t="shared" si="92"/>
        <v>#VALUE!</v>
      </c>
      <c r="AB413" s="71" t="str">
        <f t="shared" si="107"/>
        <v xml:space="preserve">AFF R </v>
      </c>
      <c r="AC413" s="64" t="e">
        <f t="shared" si="100"/>
        <v>#VALUE!</v>
      </c>
      <c r="AD413" s="64" t="e">
        <f t="shared" si="93"/>
        <v>#VALUE!</v>
      </c>
      <c r="AE413" s="71" t="str">
        <f t="shared" si="106"/>
        <v xml:space="preserve">AFF R </v>
      </c>
      <c r="AF413" s="64" t="e">
        <f t="shared" si="101"/>
        <v>#VALUE!</v>
      </c>
      <c r="AG413" s="64" t="e">
        <f t="shared" si="94"/>
        <v>#VALUE!</v>
      </c>
      <c r="AH413" s="67"/>
      <c r="AI413" s="47" t="s">
        <v>54</v>
      </c>
      <c r="AJ413" s="47">
        <v>537</v>
      </c>
      <c r="AK413" s="47" t="s">
        <v>55</v>
      </c>
      <c r="AL413" s="47" t="s">
        <v>55</v>
      </c>
      <c r="AM413" s="47" t="s">
        <v>131</v>
      </c>
      <c r="AN413" s="47">
        <v>751.54</v>
      </c>
      <c r="AO413" s="211">
        <f t="shared" si="102"/>
        <v>7.6990319783896741E-2</v>
      </c>
      <c r="AP413" s="47" t="s">
        <v>852</v>
      </c>
      <c r="AQ413" s="91" t="s">
        <v>1132</v>
      </c>
      <c r="AR413" s="47"/>
    </row>
    <row r="414" spans="1:44">
      <c r="A414" s="47" t="s">
        <v>44</v>
      </c>
      <c r="B414" s="47" t="str">
        <f t="shared" si="98"/>
        <v>August</v>
      </c>
      <c r="C414" s="59">
        <v>45531</v>
      </c>
      <c r="D414" s="47" t="s">
        <v>964</v>
      </c>
      <c r="E414" s="47" t="s">
        <v>1372</v>
      </c>
      <c r="F414" s="47" t="s">
        <v>1160</v>
      </c>
      <c r="G414" s="47" t="s">
        <v>3220</v>
      </c>
      <c r="H414" s="47" t="s">
        <v>3221</v>
      </c>
      <c r="I414" s="47"/>
      <c r="J414" s="47" t="s">
        <v>51</v>
      </c>
      <c r="K414" s="48">
        <v>43340</v>
      </c>
      <c r="L414" s="48">
        <v>43340</v>
      </c>
      <c r="M414" s="48">
        <v>45531</v>
      </c>
      <c r="N414" s="47" t="s">
        <v>64</v>
      </c>
      <c r="O414" s="55" t="s">
        <v>1163</v>
      </c>
      <c r="P414" s="62">
        <v>8374</v>
      </c>
      <c r="Q414" s="62">
        <v>697.83333333333337</v>
      </c>
      <c r="R414" s="98"/>
      <c r="S414" s="62">
        <f t="shared" si="104"/>
        <v>0</v>
      </c>
      <c r="T414" s="62">
        <v>8373.7800000000007</v>
      </c>
      <c r="U414" s="62">
        <f t="shared" si="105"/>
        <v>697.81500000000005</v>
      </c>
      <c r="V414" s="69">
        <v>7825.96</v>
      </c>
      <c r="W414" s="71" t="s">
        <v>1164</v>
      </c>
      <c r="X414" s="71"/>
      <c r="Y414" s="71"/>
      <c r="Z414" s="64" t="e">
        <f t="shared" si="99"/>
        <v>#VALUE!</v>
      </c>
      <c r="AA414" s="64" t="e">
        <f t="shared" si="92"/>
        <v>#VALUE!</v>
      </c>
      <c r="AB414" s="71" t="str">
        <f t="shared" si="107"/>
        <v xml:space="preserve">AFF R </v>
      </c>
      <c r="AC414" s="64" t="e">
        <f t="shared" si="100"/>
        <v>#VALUE!</v>
      </c>
      <c r="AD414" s="64" t="e">
        <f t="shared" si="93"/>
        <v>#VALUE!</v>
      </c>
      <c r="AE414" s="71" t="str">
        <f t="shared" si="106"/>
        <v xml:space="preserve">AFF R </v>
      </c>
      <c r="AF414" s="64" t="e">
        <f t="shared" si="101"/>
        <v>#VALUE!</v>
      </c>
      <c r="AG414" s="64" t="e">
        <f t="shared" si="94"/>
        <v>#VALUE!</v>
      </c>
      <c r="AH414" s="67"/>
      <c r="AI414" s="47" t="s">
        <v>250</v>
      </c>
      <c r="AJ414" s="47">
        <v>537</v>
      </c>
      <c r="AK414" s="47" t="s">
        <v>55</v>
      </c>
      <c r="AL414" s="47" t="s">
        <v>55</v>
      </c>
      <c r="AM414" s="47" t="s">
        <v>131</v>
      </c>
      <c r="AN414" s="77" t="s">
        <v>3222</v>
      </c>
      <c r="AO414" s="211" t="e">
        <f t="shared" si="102"/>
        <v>#VALUE!</v>
      </c>
      <c r="AP414" s="47" t="s">
        <v>852</v>
      </c>
      <c r="AQ414" s="91" t="s">
        <v>1132</v>
      </c>
      <c r="AR414" s="47"/>
    </row>
    <row r="415" spans="1:44">
      <c r="A415" s="47" t="s">
        <v>44</v>
      </c>
      <c r="B415" s="47" t="str">
        <f t="shared" si="98"/>
        <v>August</v>
      </c>
      <c r="C415" s="59">
        <v>45531</v>
      </c>
      <c r="D415" s="47" t="s">
        <v>964</v>
      </c>
      <c r="E415" s="47" t="s">
        <v>1372</v>
      </c>
      <c r="F415" s="47" t="s">
        <v>1160</v>
      </c>
      <c r="G415" s="47" t="s">
        <v>3223</v>
      </c>
      <c r="H415" s="47" t="s">
        <v>3224</v>
      </c>
      <c r="I415" s="47"/>
      <c r="J415" s="47" t="s">
        <v>51</v>
      </c>
      <c r="K415" s="48">
        <v>43340</v>
      </c>
      <c r="L415" s="48">
        <v>43340</v>
      </c>
      <c r="M415" s="48">
        <v>45531</v>
      </c>
      <c r="N415" s="47" t="s">
        <v>64</v>
      </c>
      <c r="O415" s="55" t="s">
        <v>1163</v>
      </c>
      <c r="P415" s="62">
        <v>8374</v>
      </c>
      <c r="Q415" s="62">
        <v>697.83333333333337</v>
      </c>
      <c r="R415" s="98"/>
      <c r="S415" s="62">
        <f t="shared" si="104"/>
        <v>0</v>
      </c>
      <c r="T415" s="62">
        <v>8373.7800000000007</v>
      </c>
      <c r="U415" s="62">
        <f t="shared" si="105"/>
        <v>697.81500000000005</v>
      </c>
      <c r="V415" s="69">
        <v>7825.96</v>
      </c>
      <c r="W415" s="71" t="s">
        <v>1164</v>
      </c>
      <c r="X415" s="71"/>
      <c r="Y415" s="71"/>
      <c r="Z415" s="64" t="e">
        <f t="shared" si="99"/>
        <v>#VALUE!</v>
      </c>
      <c r="AA415" s="64" t="e">
        <f t="shared" si="92"/>
        <v>#VALUE!</v>
      </c>
      <c r="AB415" s="71" t="str">
        <f t="shared" si="107"/>
        <v xml:space="preserve">AFF R </v>
      </c>
      <c r="AC415" s="64" t="e">
        <f t="shared" si="100"/>
        <v>#VALUE!</v>
      </c>
      <c r="AD415" s="64" t="e">
        <f t="shared" si="93"/>
        <v>#VALUE!</v>
      </c>
      <c r="AE415" s="71" t="str">
        <f t="shared" si="106"/>
        <v xml:space="preserve">AFF R </v>
      </c>
      <c r="AF415" s="64" t="e">
        <f t="shared" si="101"/>
        <v>#VALUE!</v>
      </c>
      <c r="AG415" s="64" t="e">
        <f t="shared" si="94"/>
        <v>#VALUE!</v>
      </c>
      <c r="AH415" s="67"/>
      <c r="AI415" s="47" t="s">
        <v>54</v>
      </c>
      <c r="AJ415" s="47">
        <v>517</v>
      </c>
      <c r="AK415" s="47" t="s">
        <v>55</v>
      </c>
      <c r="AL415" s="47" t="s">
        <v>55</v>
      </c>
      <c r="AM415" s="47" t="s">
        <v>131</v>
      </c>
      <c r="AN415" s="47">
        <v>751.54</v>
      </c>
      <c r="AO415" s="211">
        <f t="shared" si="102"/>
        <v>7.6990319783896741E-2</v>
      </c>
      <c r="AP415" s="47" t="s">
        <v>852</v>
      </c>
      <c r="AQ415" s="91" t="s">
        <v>1132</v>
      </c>
      <c r="AR415" s="47"/>
    </row>
    <row r="416" spans="1:44" hidden="1">
      <c r="A416" s="47" t="s">
        <v>865</v>
      </c>
      <c r="B416" s="47" t="str">
        <f t="shared" si="98"/>
        <v>July</v>
      </c>
      <c r="C416" s="59">
        <v>45475</v>
      </c>
      <c r="D416" s="47" t="s">
        <v>109</v>
      </c>
      <c r="E416" s="47" t="s">
        <v>866</v>
      </c>
      <c r="F416" s="47" t="s">
        <v>867</v>
      </c>
      <c r="G416" s="47" t="s">
        <v>868</v>
      </c>
      <c r="H416" s="47" t="s">
        <v>869</v>
      </c>
      <c r="I416" s="47" t="s">
        <v>63</v>
      </c>
      <c r="J416" s="47" t="s">
        <v>51</v>
      </c>
      <c r="K416" s="48">
        <v>45110</v>
      </c>
      <c r="L416" s="48">
        <v>45110</v>
      </c>
      <c r="M416" s="48">
        <v>45475</v>
      </c>
      <c r="N416" s="47" t="s">
        <v>52</v>
      </c>
      <c r="O416" s="55" t="s">
        <v>53</v>
      </c>
      <c r="P416" s="62">
        <v>21767</v>
      </c>
      <c r="Q416" s="62">
        <v>1813.9166666666667</v>
      </c>
      <c r="R416" s="279">
        <v>21008</v>
      </c>
      <c r="S416" s="62">
        <f t="shared" si="104"/>
        <v>1750.6666666666667</v>
      </c>
      <c r="T416" s="62">
        <v>22620</v>
      </c>
      <c r="U416" s="62">
        <f t="shared" si="105"/>
        <v>1885</v>
      </c>
      <c r="V416" s="69">
        <v>20400</v>
      </c>
      <c r="W416" s="71">
        <v>1980</v>
      </c>
      <c r="X416" s="71"/>
      <c r="Y416" s="71"/>
      <c r="Z416" s="64">
        <f t="shared" si="99"/>
        <v>5.0397877984084884E-2</v>
      </c>
      <c r="AA416" s="64">
        <f t="shared" si="92"/>
        <v>0.13099771515613096</v>
      </c>
      <c r="AB416" s="71">
        <f t="shared" si="107"/>
        <v>1980</v>
      </c>
      <c r="AC416" s="64">
        <f t="shared" si="100"/>
        <v>5.0397877984084884E-2</v>
      </c>
      <c r="AD416" s="64">
        <f t="shared" si="93"/>
        <v>0.13099771515613096</v>
      </c>
      <c r="AE416" s="71">
        <f t="shared" si="106"/>
        <v>1980</v>
      </c>
      <c r="AF416" s="64">
        <f t="shared" si="101"/>
        <v>5.0397877984084884E-2</v>
      </c>
      <c r="AG416" s="64">
        <f t="shared" si="94"/>
        <v>0.13099771515613096</v>
      </c>
      <c r="AH416" s="67">
        <v>1935</v>
      </c>
      <c r="AI416" s="47" t="s">
        <v>54</v>
      </c>
      <c r="AJ416" s="47">
        <v>1004</v>
      </c>
      <c r="AK416" s="47" t="s">
        <v>140</v>
      </c>
      <c r="AL416" s="47" t="s">
        <v>55</v>
      </c>
      <c r="AM416" s="47" t="s">
        <v>870</v>
      </c>
      <c r="AN416" s="47"/>
      <c r="AO416" s="211">
        <f t="shared" si="102"/>
        <v>-1</v>
      </c>
      <c r="AP416" s="47" t="s">
        <v>852</v>
      </c>
      <c r="AQ416" s="111" t="s">
        <v>125</v>
      </c>
      <c r="AR416" s="47" t="s">
        <v>871</v>
      </c>
    </row>
    <row r="417" spans="1:44">
      <c r="A417" s="47" t="s">
        <v>44</v>
      </c>
      <c r="B417" s="47" t="str">
        <f t="shared" si="98"/>
        <v>July</v>
      </c>
      <c r="C417" s="59">
        <v>45481</v>
      </c>
      <c r="D417" s="47" t="s">
        <v>109</v>
      </c>
      <c r="E417" s="47" t="s">
        <v>866</v>
      </c>
      <c r="F417" s="47" t="s">
        <v>867</v>
      </c>
      <c r="G417" s="47" t="s">
        <v>983</v>
      </c>
      <c r="H417" s="47" t="s">
        <v>984</v>
      </c>
      <c r="I417" s="47" t="s">
        <v>63</v>
      </c>
      <c r="J417" s="47" t="s">
        <v>51</v>
      </c>
      <c r="K417" s="48">
        <v>44386</v>
      </c>
      <c r="L417" s="48">
        <v>45116</v>
      </c>
      <c r="M417" s="48">
        <v>45481</v>
      </c>
      <c r="N417" s="47" t="s">
        <v>64</v>
      </c>
      <c r="O417" s="55" t="s">
        <v>53</v>
      </c>
      <c r="P417" s="62">
        <v>15935</v>
      </c>
      <c r="Q417" s="62">
        <v>1327.9166666666667</v>
      </c>
      <c r="R417" s="279">
        <v>28496</v>
      </c>
      <c r="S417" s="125">
        <v>1330</v>
      </c>
      <c r="T417" s="62">
        <v>15240</v>
      </c>
      <c r="U417" s="62">
        <f t="shared" si="105"/>
        <v>1270</v>
      </c>
      <c r="V417" s="69">
        <v>14580</v>
      </c>
      <c r="W417" s="71">
        <v>1345</v>
      </c>
      <c r="X417" s="71"/>
      <c r="Y417" s="71"/>
      <c r="Z417" s="64">
        <f t="shared" si="99"/>
        <v>5.905511811023622E-2</v>
      </c>
      <c r="AA417" s="64">
        <f t="shared" si="92"/>
        <v>1.1278195488721804E-2</v>
      </c>
      <c r="AB417" s="71">
        <f t="shared" si="107"/>
        <v>1345</v>
      </c>
      <c r="AC417" s="64">
        <f t="shared" si="100"/>
        <v>5.905511811023622E-2</v>
      </c>
      <c r="AD417" s="64">
        <f t="shared" si="93"/>
        <v>1.1278195488721804E-2</v>
      </c>
      <c r="AE417" s="71">
        <v>1330</v>
      </c>
      <c r="AF417" s="64">
        <f t="shared" si="101"/>
        <v>4.7244094488188976E-2</v>
      </c>
      <c r="AG417" s="64">
        <f t="shared" si="94"/>
        <v>0</v>
      </c>
      <c r="AH417" s="67"/>
      <c r="AI417" s="47" t="s">
        <v>54</v>
      </c>
      <c r="AJ417" s="47">
        <v>735</v>
      </c>
      <c r="AK417" s="47" t="s">
        <v>65</v>
      </c>
      <c r="AL417" s="47" t="s">
        <v>65</v>
      </c>
      <c r="AM417" s="47" t="s">
        <v>985</v>
      </c>
      <c r="AN417" s="47">
        <v>1345</v>
      </c>
      <c r="AO417" s="211">
        <f t="shared" si="102"/>
        <v>5.905511811023622E-2</v>
      </c>
      <c r="AP417" s="47" t="s">
        <v>852</v>
      </c>
      <c r="AQ417" s="111" t="s">
        <v>986</v>
      </c>
      <c r="AR417" s="47" t="s">
        <v>987</v>
      </c>
    </row>
    <row r="418" spans="1:44">
      <c r="A418" s="47" t="s">
        <v>44</v>
      </c>
      <c r="B418" s="47" t="str">
        <f t="shared" si="98"/>
        <v>July</v>
      </c>
      <c r="C418" s="59">
        <v>45487</v>
      </c>
      <c r="D418" s="47" t="s">
        <v>109</v>
      </c>
      <c r="E418" s="47" t="s">
        <v>866</v>
      </c>
      <c r="F418" s="47" t="s">
        <v>867</v>
      </c>
      <c r="G418" s="47" t="s">
        <v>1090</v>
      </c>
      <c r="H418" s="47" t="s">
        <v>1091</v>
      </c>
      <c r="I418" s="47" t="s">
        <v>1092</v>
      </c>
      <c r="J418" s="47" t="s">
        <v>51</v>
      </c>
      <c r="K418" s="48">
        <v>44392</v>
      </c>
      <c r="L418" s="48">
        <v>44392</v>
      </c>
      <c r="M418" s="48">
        <v>45487</v>
      </c>
      <c r="N418" s="47" t="s">
        <v>64</v>
      </c>
      <c r="O418" s="55" t="s">
        <v>53</v>
      </c>
      <c r="P418" s="62">
        <v>28496</v>
      </c>
      <c r="Q418" s="62">
        <v>2374.6666666666665</v>
      </c>
      <c r="R418" s="279">
        <v>28496</v>
      </c>
      <c r="S418" s="62">
        <f t="shared" ref="S418:S427" si="108">R418/12</f>
        <v>2374.6666666666665</v>
      </c>
      <c r="T418" s="62">
        <v>26994.84</v>
      </c>
      <c r="U418" s="62">
        <f t="shared" si="105"/>
        <v>2249.5700000000002</v>
      </c>
      <c r="V418" s="69">
        <v>26082</v>
      </c>
      <c r="W418" s="71">
        <v>2655</v>
      </c>
      <c r="X418" s="71"/>
      <c r="Y418" s="71"/>
      <c r="Z418" s="64">
        <f t="shared" si="99"/>
        <v>0.18022555421702804</v>
      </c>
      <c r="AA418" s="64">
        <f t="shared" si="92"/>
        <v>0.11805165637282433</v>
      </c>
      <c r="AB418" s="71">
        <v>2375</v>
      </c>
      <c r="AC418" s="64">
        <f t="shared" si="100"/>
        <v>5.5757322510524156E-2</v>
      </c>
      <c r="AD418" s="64">
        <f t="shared" si="93"/>
        <v>1.4037057832684655E-4</v>
      </c>
      <c r="AE418" s="71">
        <v>2360</v>
      </c>
      <c r="AF418" s="64">
        <f t="shared" si="101"/>
        <v>4.9089381526247165E-2</v>
      </c>
      <c r="AG418" s="64">
        <f t="shared" si="94"/>
        <v>-6.1763054463783752E-3</v>
      </c>
      <c r="AH418" s="67"/>
      <c r="AI418" s="47" t="s">
        <v>54</v>
      </c>
      <c r="AJ418" s="47">
        <v>1630</v>
      </c>
      <c r="AK418" s="101" t="s">
        <v>1093</v>
      </c>
      <c r="AL418" s="101" t="s">
        <v>55</v>
      </c>
      <c r="AM418" s="47" t="s">
        <v>1094</v>
      </c>
      <c r="AN418" s="47"/>
      <c r="AO418" s="211">
        <f t="shared" si="102"/>
        <v>-1</v>
      </c>
      <c r="AP418" s="47" t="s">
        <v>852</v>
      </c>
      <c r="AQ418" s="94" t="s">
        <v>891</v>
      </c>
      <c r="AR418" s="47" t="s">
        <v>1066</v>
      </c>
    </row>
    <row r="419" spans="1:44">
      <c r="A419" s="47" t="s">
        <v>44</v>
      </c>
      <c r="B419" s="47" t="str">
        <f t="shared" si="98"/>
        <v>August</v>
      </c>
      <c r="C419" s="59">
        <v>45509</v>
      </c>
      <c r="D419" s="47" t="s">
        <v>109</v>
      </c>
      <c r="E419" s="47" t="s">
        <v>866</v>
      </c>
      <c r="F419" s="47" t="s">
        <v>867</v>
      </c>
      <c r="G419" s="47" t="s">
        <v>1133</v>
      </c>
      <c r="H419" s="47" t="s">
        <v>1134</v>
      </c>
      <c r="I419" s="47" t="s">
        <v>63</v>
      </c>
      <c r="J419" s="47" t="s">
        <v>51</v>
      </c>
      <c r="K419" s="48">
        <v>44779</v>
      </c>
      <c r="L419" s="48">
        <v>45144</v>
      </c>
      <c r="M419" s="48">
        <v>45509</v>
      </c>
      <c r="N419" s="47" t="s">
        <v>64</v>
      </c>
      <c r="O419" s="55" t="s">
        <v>53</v>
      </c>
      <c r="P419" s="62">
        <v>13000</v>
      </c>
      <c r="Q419" s="62">
        <v>1083.3333333333333</v>
      </c>
      <c r="R419" s="279">
        <v>13156</v>
      </c>
      <c r="S419" s="62">
        <f t="shared" si="108"/>
        <v>1096.3333333333333</v>
      </c>
      <c r="T419" s="62">
        <v>12900</v>
      </c>
      <c r="U419" s="62">
        <f t="shared" si="105"/>
        <v>1075</v>
      </c>
      <c r="V419" s="69">
        <v>12300</v>
      </c>
      <c r="W419" s="71">
        <v>1120</v>
      </c>
      <c r="X419" s="71"/>
      <c r="Y419" s="71"/>
      <c r="Z419" s="64">
        <f t="shared" si="99"/>
        <v>4.1860465116279069E-2</v>
      </c>
      <c r="AA419" s="64">
        <f t="shared" si="92"/>
        <v>2.1587108543630353E-2</v>
      </c>
      <c r="AB419" s="71">
        <v>1135</v>
      </c>
      <c r="AC419" s="64">
        <f t="shared" si="100"/>
        <v>5.5813953488372092E-2</v>
      </c>
      <c r="AD419" s="64">
        <f t="shared" si="93"/>
        <v>3.5269078747339686E-2</v>
      </c>
      <c r="AE419" s="71">
        <v>1120</v>
      </c>
      <c r="AF419" s="64">
        <f t="shared" si="101"/>
        <v>4.1860465116279069E-2</v>
      </c>
      <c r="AG419" s="64">
        <f t="shared" si="94"/>
        <v>2.1587108543630353E-2</v>
      </c>
      <c r="AH419" s="67"/>
      <c r="AI419" s="47" t="s">
        <v>54</v>
      </c>
      <c r="AJ419" s="47">
        <v>546</v>
      </c>
      <c r="AK419" s="47" t="s">
        <v>55</v>
      </c>
      <c r="AL419" s="47" t="s">
        <v>55</v>
      </c>
      <c r="AM419" s="47" t="s">
        <v>1135</v>
      </c>
      <c r="AN419" s="47"/>
      <c r="AO419" s="211">
        <f t="shared" si="102"/>
        <v>-1</v>
      </c>
      <c r="AP419" s="47" t="s">
        <v>852</v>
      </c>
      <c r="AQ419" s="94" t="s">
        <v>898</v>
      </c>
      <c r="AR419" s="47" t="s">
        <v>1066</v>
      </c>
    </row>
    <row r="420" spans="1:44" hidden="1">
      <c r="A420" s="47" t="s">
        <v>44</v>
      </c>
      <c r="B420" s="47" t="str">
        <f t="shared" si="98"/>
        <v>July</v>
      </c>
      <c r="C420" s="59">
        <v>45493</v>
      </c>
      <c r="D420" s="47" t="s">
        <v>109</v>
      </c>
      <c r="E420" s="47" t="s">
        <v>866</v>
      </c>
      <c r="F420" s="47" t="s">
        <v>867</v>
      </c>
      <c r="G420" s="47" t="s">
        <v>1227</v>
      </c>
      <c r="H420" s="47" t="s">
        <v>1228</v>
      </c>
      <c r="I420" s="47" t="s">
        <v>63</v>
      </c>
      <c r="J420" s="47" t="s">
        <v>51</v>
      </c>
      <c r="K420" s="48">
        <v>45128</v>
      </c>
      <c r="L420" s="48">
        <v>45128</v>
      </c>
      <c r="M420" s="48">
        <v>45493</v>
      </c>
      <c r="N420" s="47" t="s">
        <v>52</v>
      </c>
      <c r="O420" s="55" t="s">
        <v>53</v>
      </c>
      <c r="P420" s="62">
        <v>16130</v>
      </c>
      <c r="Q420" s="62">
        <v>1344.1666666666667</v>
      </c>
      <c r="R420" s="279">
        <v>13156</v>
      </c>
      <c r="S420" s="62">
        <f t="shared" si="108"/>
        <v>1096.3333333333333</v>
      </c>
      <c r="T420" s="62">
        <v>15900</v>
      </c>
      <c r="U420" s="62">
        <f t="shared" si="105"/>
        <v>1325</v>
      </c>
      <c r="V420" s="69">
        <v>14700</v>
      </c>
      <c r="W420" s="71">
        <v>1360</v>
      </c>
      <c r="X420" s="71"/>
      <c r="Y420" s="71"/>
      <c r="Z420" s="64">
        <f t="shared" si="99"/>
        <v>2.6415094339622643E-2</v>
      </c>
      <c r="AA420" s="64">
        <f t="shared" si="92"/>
        <v>0.2404986318029797</v>
      </c>
      <c r="AB420" s="71">
        <v>1375</v>
      </c>
      <c r="AC420" s="64">
        <f t="shared" si="100"/>
        <v>3.7735849056603772E-2</v>
      </c>
      <c r="AD420" s="64">
        <f t="shared" si="93"/>
        <v>0.25418060200668907</v>
      </c>
      <c r="AE420" s="71">
        <v>1365</v>
      </c>
      <c r="AF420" s="64">
        <f t="shared" si="101"/>
        <v>3.0188679245283019E-2</v>
      </c>
      <c r="AG420" s="64">
        <f t="shared" si="94"/>
        <v>0.24505928853754949</v>
      </c>
      <c r="AH420" s="67"/>
      <c r="AI420" s="47" t="s">
        <v>54</v>
      </c>
      <c r="AJ420" s="47">
        <v>744</v>
      </c>
      <c r="AK420" s="101" t="s">
        <v>65</v>
      </c>
      <c r="AL420" s="101" t="s">
        <v>65</v>
      </c>
      <c r="AM420" s="47" t="s">
        <v>985</v>
      </c>
      <c r="AN420" s="47">
        <v>1375</v>
      </c>
      <c r="AO420" s="211">
        <f t="shared" si="102"/>
        <v>3.7735849056603772E-2</v>
      </c>
      <c r="AP420" s="47" t="s">
        <v>852</v>
      </c>
      <c r="AQ420" s="111" t="s">
        <v>125</v>
      </c>
      <c r="AR420" s="47" t="s">
        <v>1229</v>
      </c>
    </row>
    <row r="421" spans="1:44">
      <c r="A421" s="47" t="s">
        <v>44</v>
      </c>
      <c r="B421" s="47" t="str">
        <f t="shared" si="98"/>
        <v>July</v>
      </c>
      <c r="C421" s="59">
        <v>45493</v>
      </c>
      <c r="D421" s="47" t="s">
        <v>109</v>
      </c>
      <c r="E421" s="47" t="s">
        <v>866</v>
      </c>
      <c r="F421" s="47" t="s">
        <v>867</v>
      </c>
      <c r="G421" s="47" t="s">
        <v>1230</v>
      </c>
      <c r="H421" s="47" t="s">
        <v>1231</v>
      </c>
      <c r="I421" s="47" t="s">
        <v>63</v>
      </c>
      <c r="J421" s="47" t="s">
        <v>51</v>
      </c>
      <c r="K421" s="48">
        <v>44398</v>
      </c>
      <c r="L421" s="48">
        <v>45128</v>
      </c>
      <c r="M421" s="48">
        <v>45493</v>
      </c>
      <c r="N421" s="47" t="s">
        <v>64</v>
      </c>
      <c r="O421" s="55" t="s">
        <v>53</v>
      </c>
      <c r="P421" s="62">
        <v>15652</v>
      </c>
      <c r="Q421" s="62">
        <v>1304.3333333333333</v>
      </c>
      <c r="R421" s="279">
        <v>15860</v>
      </c>
      <c r="S421" s="62">
        <f t="shared" si="108"/>
        <v>1321.6666666666667</v>
      </c>
      <c r="T421" s="62">
        <v>15600</v>
      </c>
      <c r="U421" s="62">
        <f t="shared" si="105"/>
        <v>1300</v>
      </c>
      <c r="V421" s="69">
        <v>14340</v>
      </c>
      <c r="W421" s="71">
        <v>1300</v>
      </c>
      <c r="X421" s="71"/>
      <c r="Y421" s="71"/>
      <c r="Z421" s="64">
        <f t="shared" si="99"/>
        <v>0</v>
      </c>
      <c r="AA421" s="64">
        <f t="shared" ref="AA421:AA484" si="109">(W421-S421)/S421</f>
        <v>-1.6393442622950876E-2</v>
      </c>
      <c r="AB421" s="71">
        <v>1365</v>
      </c>
      <c r="AC421" s="64">
        <f t="shared" si="100"/>
        <v>0.05</v>
      </c>
      <c r="AD421" s="64">
        <f t="shared" ref="AD421:AD484" si="110">(AB421-S421)/S421</f>
        <v>3.2786885245901579E-2</v>
      </c>
      <c r="AE421" s="71">
        <v>1355</v>
      </c>
      <c r="AF421" s="64">
        <f t="shared" si="101"/>
        <v>4.230769230769231E-2</v>
      </c>
      <c r="AG421" s="64">
        <f t="shared" ref="AG421:AG484" si="111">(AE421-S421)/S421</f>
        <v>2.5220680958385817E-2</v>
      </c>
      <c r="AH421" s="67"/>
      <c r="AI421" s="47" t="s">
        <v>54</v>
      </c>
      <c r="AJ421" s="47">
        <v>629</v>
      </c>
      <c r="AK421" s="101" t="s">
        <v>65</v>
      </c>
      <c r="AL421" s="101" t="s">
        <v>55</v>
      </c>
      <c r="AM421" s="47" t="s">
        <v>1232</v>
      </c>
      <c r="AN421" s="47">
        <v>1365</v>
      </c>
      <c r="AO421" s="211">
        <f t="shared" si="102"/>
        <v>0.05</v>
      </c>
      <c r="AP421" s="47" t="s">
        <v>852</v>
      </c>
      <c r="AQ421" s="111" t="s">
        <v>125</v>
      </c>
      <c r="AR421" s="47" t="s">
        <v>991</v>
      </c>
    </row>
    <row r="422" spans="1:44">
      <c r="A422" s="47" t="s">
        <v>44</v>
      </c>
      <c r="B422" s="47" t="str">
        <f t="shared" si="98"/>
        <v>July</v>
      </c>
      <c r="C422" s="59">
        <v>45494</v>
      </c>
      <c r="D422" s="47" t="s">
        <v>109</v>
      </c>
      <c r="E422" s="47" t="s">
        <v>866</v>
      </c>
      <c r="F422" s="47" t="s">
        <v>867</v>
      </c>
      <c r="G422" s="47" t="s">
        <v>1268</v>
      </c>
      <c r="H422" s="47" t="s">
        <v>1269</v>
      </c>
      <c r="I422" s="47" t="s">
        <v>63</v>
      </c>
      <c r="J422" s="47" t="s">
        <v>51</v>
      </c>
      <c r="K422" s="48">
        <v>44399</v>
      </c>
      <c r="L422" s="48">
        <v>45129</v>
      </c>
      <c r="M422" s="48">
        <v>45494</v>
      </c>
      <c r="N422" s="47" t="s">
        <v>64</v>
      </c>
      <c r="O422" s="55" t="s">
        <v>53</v>
      </c>
      <c r="P422" s="62">
        <v>13000</v>
      </c>
      <c r="Q422" s="62">
        <v>1083.3333333333333</v>
      </c>
      <c r="R422" s="279">
        <v>13156</v>
      </c>
      <c r="S422" s="62">
        <f t="shared" si="108"/>
        <v>1096.3333333333333</v>
      </c>
      <c r="T422" s="62">
        <v>12720</v>
      </c>
      <c r="U422" s="62">
        <f t="shared" si="105"/>
        <v>1060</v>
      </c>
      <c r="V422" s="69">
        <v>12180</v>
      </c>
      <c r="W422" s="71">
        <v>1120</v>
      </c>
      <c r="X422" s="71"/>
      <c r="Y422" s="71"/>
      <c r="Z422" s="64">
        <f t="shared" si="99"/>
        <v>5.6603773584905662E-2</v>
      </c>
      <c r="AA422" s="64">
        <f t="shared" si="109"/>
        <v>2.1587108543630353E-2</v>
      </c>
      <c r="AB422" s="71">
        <v>1140</v>
      </c>
      <c r="AC422" s="64">
        <f t="shared" si="100"/>
        <v>7.5471698113207544E-2</v>
      </c>
      <c r="AD422" s="64">
        <f t="shared" si="110"/>
        <v>3.9829735481909469E-2</v>
      </c>
      <c r="AE422" s="71">
        <v>1120</v>
      </c>
      <c r="AF422" s="64">
        <f t="shared" si="101"/>
        <v>5.6603773584905662E-2</v>
      </c>
      <c r="AG422" s="64">
        <f t="shared" si="111"/>
        <v>2.1587108543630353E-2</v>
      </c>
      <c r="AH422" s="67"/>
      <c r="AI422" s="47" t="s">
        <v>54</v>
      </c>
      <c r="AJ422" s="47">
        <v>546</v>
      </c>
      <c r="AK422" s="101" t="s">
        <v>55</v>
      </c>
      <c r="AL422" s="101" t="s">
        <v>55</v>
      </c>
      <c r="AM422" s="47" t="s">
        <v>1270</v>
      </c>
      <c r="AN422" s="47">
        <v>1120</v>
      </c>
      <c r="AO422" s="211">
        <f t="shared" si="102"/>
        <v>5.6603773584905662E-2</v>
      </c>
      <c r="AP422" s="47" t="s">
        <v>852</v>
      </c>
      <c r="AQ422" s="111" t="s">
        <v>125</v>
      </c>
      <c r="AR422" s="47" t="s">
        <v>1271</v>
      </c>
    </row>
    <row r="423" spans="1:44" hidden="1">
      <c r="A423" s="47" t="s">
        <v>44</v>
      </c>
      <c r="B423" s="47" t="str">
        <f t="shared" si="98"/>
        <v>August</v>
      </c>
      <c r="C423" s="59">
        <v>45507</v>
      </c>
      <c r="D423" s="47" t="s">
        <v>109</v>
      </c>
      <c r="E423" s="47" t="s">
        <v>866</v>
      </c>
      <c r="F423" s="47" t="s">
        <v>867</v>
      </c>
      <c r="G423" s="47" t="s">
        <v>1707</v>
      </c>
      <c r="H423" s="47" t="s">
        <v>1708</v>
      </c>
      <c r="I423" s="47" t="s">
        <v>1709</v>
      </c>
      <c r="J423" s="47" t="s">
        <v>51</v>
      </c>
      <c r="K423" s="48">
        <v>45142</v>
      </c>
      <c r="L423" s="48">
        <v>45142</v>
      </c>
      <c r="M423" s="48">
        <v>45507</v>
      </c>
      <c r="N423" s="47" t="s">
        <v>52</v>
      </c>
      <c r="O423" s="55" t="s">
        <v>53</v>
      </c>
      <c r="P423" s="62">
        <v>13052</v>
      </c>
      <c r="Q423" s="62">
        <v>1087.6666666666667</v>
      </c>
      <c r="R423" s="279">
        <v>13156</v>
      </c>
      <c r="S423" s="62">
        <f t="shared" si="108"/>
        <v>1096.3333333333333</v>
      </c>
      <c r="T423" s="62">
        <v>12780</v>
      </c>
      <c r="U423" s="62">
        <f t="shared" si="105"/>
        <v>1065</v>
      </c>
      <c r="V423" s="69">
        <v>11940</v>
      </c>
      <c r="W423" s="71">
        <v>1120</v>
      </c>
      <c r="X423" s="71"/>
      <c r="Y423" s="71"/>
      <c r="Z423" s="64">
        <f t="shared" si="99"/>
        <v>5.1643192488262914E-2</v>
      </c>
      <c r="AA423" s="64">
        <f t="shared" si="109"/>
        <v>2.1587108543630353E-2</v>
      </c>
      <c r="AB423" s="71">
        <v>1135</v>
      </c>
      <c r="AC423" s="64">
        <f t="shared" si="100"/>
        <v>6.5727699530516437E-2</v>
      </c>
      <c r="AD423" s="64">
        <f t="shared" si="110"/>
        <v>3.5269078747339686E-2</v>
      </c>
      <c r="AE423" s="71">
        <v>1115</v>
      </c>
      <c r="AF423" s="64">
        <f t="shared" si="101"/>
        <v>4.6948356807511735E-2</v>
      </c>
      <c r="AG423" s="64">
        <f t="shared" si="111"/>
        <v>1.7026451809060573E-2</v>
      </c>
      <c r="AH423" s="67"/>
      <c r="AI423" s="47" t="s">
        <v>54</v>
      </c>
      <c r="AJ423" s="47">
        <v>575</v>
      </c>
      <c r="AK423" s="47" t="s">
        <v>55</v>
      </c>
      <c r="AL423" s="47" t="s">
        <v>55</v>
      </c>
      <c r="AM423" s="47" t="s">
        <v>1270</v>
      </c>
      <c r="AN423" s="47">
        <v>1135</v>
      </c>
      <c r="AO423" s="211">
        <f t="shared" si="102"/>
        <v>6.5727699530516437E-2</v>
      </c>
      <c r="AP423" s="47" t="s">
        <v>852</v>
      </c>
      <c r="AQ423" s="91" t="s">
        <v>125</v>
      </c>
      <c r="AR423" s="47" t="s">
        <v>991</v>
      </c>
    </row>
    <row r="424" spans="1:44">
      <c r="A424" s="47" t="s">
        <v>44</v>
      </c>
      <c r="B424" s="47" t="str">
        <f t="shared" si="98"/>
        <v>August</v>
      </c>
      <c r="C424" s="59">
        <v>45514</v>
      </c>
      <c r="D424" s="47" t="s">
        <v>109</v>
      </c>
      <c r="E424" s="47" t="s">
        <v>866</v>
      </c>
      <c r="F424" s="47" t="s">
        <v>867</v>
      </c>
      <c r="G424" s="47" t="s">
        <v>2127</v>
      </c>
      <c r="H424" s="47" t="s">
        <v>2128</v>
      </c>
      <c r="I424" s="47" t="s">
        <v>63</v>
      </c>
      <c r="J424" s="47" t="s">
        <v>51</v>
      </c>
      <c r="K424" s="48">
        <v>44419</v>
      </c>
      <c r="L424" s="48">
        <v>44784</v>
      </c>
      <c r="M424" s="48">
        <v>45514</v>
      </c>
      <c r="N424" s="47" t="s">
        <v>64</v>
      </c>
      <c r="O424" s="55" t="s">
        <v>53</v>
      </c>
      <c r="P424" s="62">
        <v>15935</v>
      </c>
      <c r="Q424" s="62">
        <v>1327.9166666666667</v>
      </c>
      <c r="R424" s="279">
        <v>15860</v>
      </c>
      <c r="S424" s="62">
        <f t="shared" si="108"/>
        <v>1321.6666666666667</v>
      </c>
      <c r="T424" s="62">
        <v>14904</v>
      </c>
      <c r="U424" s="62">
        <f t="shared" si="105"/>
        <v>1242</v>
      </c>
      <c r="V424" s="69">
        <v>14400</v>
      </c>
      <c r="W424" s="71">
        <v>1340</v>
      </c>
      <c r="X424" s="71"/>
      <c r="Y424" s="71"/>
      <c r="Z424" s="64">
        <f t="shared" si="99"/>
        <v>7.8904991948470213E-2</v>
      </c>
      <c r="AA424" s="64">
        <f t="shared" si="109"/>
        <v>1.3871374527112174E-2</v>
      </c>
      <c r="AB424" s="71">
        <v>1330</v>
      </c>
      <c r="AC424" s="64">
        <f t="shared" si="100"/>
        <v>7.0853462157809979E-2</v>
      </c>
      <c r="AD424" s="64">
        <f t="shared" si="110"/>
        <v>6.305170239596411E-3</v>
      </c>
      <c r="AE424" s="71">
        <v>1320</v>
      </c>
      <c r="AF424" s="64">
        <f t="shared" si="101"/>
        <v>6.280193236714976E-2</v>
      </c>
      <c r="AG424" s="64">
        <f t="shared" si="111"/>
        <v>-1.2610340479193511E-3</v>
      </c>
      <c r="AH424" s="67"/>
      <c r="AI424" s="47" t="s">
        <v>54</v>
      </c>
      <c r="AJ424" s="47">
        <v>735</v>
      </c>
      <c r="AK424" s="47" t="s">
        <v>65</v>
      </c>
      <c r="AL424" s="47" t="s">
        <v>65</v>
      </c>
      <c r="AM424" s="47" t="s">
        <v>985</v>
      </c>
      <c r="AN424" s="47">
        <v>1325</v>
      </c>
      <c r="AO424" s="211">
        <f t="shared" si="102"/>
        <v>6.6827697262479877E-2</v>
      </c>
      <c r="AP424" s="47" t="s">
        <v>852</v>
      </c>
      <c r="AQ424" s="111" t="s">
        <v>125</v>
      </c>
      <c r="AR424" s="47" t="s">
        <v>2129</v>
      </c>
    </row>
    <row r="425" spans="1:44">
      <c r="A425" s="47" t="s">
        <v>44</v>
      </c>
      <c r="B425" s="47" t="str">
        <f t="shared" si="98"/>
        <v>July</v>
      </c>
      <c r="C425" s="59">
        <v>45486</v>
      </c>
      <c r="D425" s="47" t="s">
        <v>109</v>
      </c>
      <c r="E425" s="47" t="s">
        <v>866</v>
      </c>
      <c r="F425" s="47" t="s">
        <v>867</v>
      </c>
      <c r="G425" s="47" t="s">
        <v>2338</v>
      </c>
      <c r="H425" s="47" t="s">
        <v>2339</v>
      </c>
      <c r="I425" s="47" t="s">
        <v>63</v>
      </c>
      <c r="J425" s="47" t="s">
        <v>51</v>
      </c>
      <c r="K425" s="48">
        <v>44756</v>
      </c>
      <c r="L425" s="48">
        <v>44756</v>
      </c>
      <c r="M425" s="48">
        <v>45486</v>
      </c>
      <c r="N425" s="47" t="s">
        <v>64</v>
      </c>
      <c r="O425" s="55" t="s">
        <v>53</v>
      </c>
      <c r="P425" s="62">
        <v>22937</v>
      </c>
      <c r="Q425" s="62">
        <v>1911.4166666666667</v>
      </c>
      <c r="R425" s="279">
        <v>21528</v>
      </c>
      <c r="S425" s="62">
        <f t="shared" si="108"/>
        <v>1794</v>
      </c>
      <c r="T425" s="62">
        <v>21735</v>
      </c>
      <c r="U425" s="62">
        <f t="shared" si="105"/>
        <v>1811.25</v>
      </c>
      <c r="V425" s="69">
        <v>21000</v>
      </c>
      <c r="W425" s="71">
        <v>1920</v>
      </c>
      <c r="X425" s="71"/>
      <c r="Y425" s="71"/>
      <c r="Z425" s="64">
        <f t="shared" si="99"/>
        <v>6.0041407867494824E-2</v>
      </c>
      <c r="AA425" s="64">
        <f t="shared" si="109"/>
        <v>7.0234113712374577E-2</v>
      </c>
      <c r="AB425" s="71">
        <f>W425</f>
        <v>1920</v>
      </c>
      <c r="AC425" s="64">
        <f t="shared" si="100"/>
        <v>6.0041407867494824E-2</v>
      </c>
      <c r="AD425" s="64">
        <f t="shared" si="110"/>
        <v>7.0234113712374577E-2</v>
      </c>
      <c r="AE425" s="71">
        <f>AB425</f>
        <v>1920</v>
      </c>
      <c r="AF425" s="64">
        <f t="shared" si="101"/>
        <v>6.0041407867494824E-2</v>
      </c>
      <c r="AG425" s="64">
        <f t="shared" si="111"/>
        <v>7.0234113712374577E-2</v>
      </c>
      <c r="AH425" s="67"/>
      <c r="AI425" s="47" t="s">
        <v>54</v>
      </c>
      <c r="AJ425" s="47">
        <v>1058</v>
      </c>
      <c r="AK425" s="101" t="s">
        <v>140</v>
      </c>
      <c r="AL425" s="101" t="s">
        <v>55</v>
      </c>
      <c r="AM425" s="47" t="s">
        <v>870</v>
      </c>
      <c r="AN425" s="47">
        <v>1920</v>
      </c>
      <c r="AO425" s="211">
        <f t="shared" si="102"/>
        <v>6.0041407867494824E-2</v>
      </c>
      <c r="AP425" s="47" t="s">
        <v>852</v>
      </c>
      <c r="AQ425" s="223" t="s">
        <v>125</v>
      </c>
      <c r="AR425" s="47" t="s">
        <v>2340</v>
      </c>
    </row>
    <row r="426" spans="1:44">
      <c r="A426" s="47" t="s">
        <v>44</v>
      </c>
      <c r="B426" s="47" t="str">
        <f t="shared" si="98"/>
        <v>July</v>
      </c>
      <c r="C426" s="59">
        <v>45479</v>
      </c>
      <c r="D426" s="47" t="s">
        <v>109</v>
      </c>
      <c r="E426" s="47" t="s">
        <v>866</v>
      </c>
      <c r="F426" s="47" t="s">
        <v>867</v>
      </c>
      <c r="G426" s="47" t="s">
        <v>2341</v>
      </c>
      <c r="H426" s="47" t="s">
        <v>2342</v>
      </c>
      <c r="I426" s="47" t="s">
        <v>63</v>
      </c>
      <c r="J426" s="47" t="s">
        <v>51</v>
      </c>
      <c r="K426" s="48">
        <v>44749</v>
      </c>
      <c r="L426" s="48">
        <v>45114</v>
      </c>
      <c r="M426" s="48">
        <v>45479</v>
      </c>
      <c r="N426" s="47" t="s">
        <v>64</v>
      </c>
      <c r="O426" s="55" t="s">
        <v>53</v>
      </c>
      <c r="P426" s="62">
        <v>15704</v>
      </c>
      <c r="Q426" s="62">
        <v>1308.6666666666667</v>
      </c>
      <c r="R426" s="279">
        <v>15912</v>
      </c>
      <c r="S426" s="62">
        <f t="shared" si="108"/>
        <v>1326</v>
      </c>
      <c r="T426" s="62">
        <v>15600</v>
      </c>
      <c r="U426" s="62">
        <f t="shared" si="105"/>
        <v>1300</v>
      </c>
      <c r="V426" s="69">
        <v>14700</v>
      </c>
      <c r="W426" s="71">
        <v>1340</v>
      </c>
      <c r="X426" s="71"/>
      <c r="Y426" s="71"/>
      <c r="Z426" s="64">
        <f t="shared" si="99"/>
        <v>3.0769230769230771E-2</v>
      </c>
      <c r="AA426" s="64">
        <f t="shared" si="109"/>
        <v>1.0558069381598794E-2</v>
      </c>
      <c r="AB426" s="71">
        <v>1365</v>
      </c>
      <c r="AC426" s="64">
        <f t="shared" si="100"/>
        <v>0.05</v>
      </c>
      <c r="AD426" s="64">
        <f t="shared" si="110"/>
        <v>2.9411764705882353E-2</v>
      </c>
      <c r="AE426" s="71">
        <v>1340</v>
      </c>
      <c r="AF426" s="64">
        <f t="shared" si="101"/>
        <v>3.0769230769230771E-2</v>
      </c>
      <c r="AG426" s="64">
        <f t="shared" si="111"/>
        <v>1.0558069381598794E-2</v>
      </c>
      <c r="AH426" s="67"/>
      <c r="AI426" s="47" t="s">
        <v>54</v>
      </c>
      <c r="AJ426" s="47">
        <v>735</v>
      </c>
      <c r="AK426" s="47" t="s">
        <v>65</v>
      </c>
      <c r="AL426" s="47" t="s">
        <v>65</v>
      </c>
      <c r="AM426" s="47" t="s">
        <v>2343</v>
      </c>
      <c r="AN426" s="47">
        <v>1340</v>
      </c>
      <c r="AO426" s="211">
        <f t="shared" si="102"/>
        <v>3.0769230769230771E-2</v>
      </c>
      <c r="AP426" s="47" t="s">
        <v>852</v>
      </c>
      <c r="AQ426" s="223" t="s">
        <v>125</v>
      </c>
      <c r="AR426" s="47" t="s">
        <v>1199</v>
      </c>
    </row>
    <row r="427" spans="1:44">
      <c r="A427" s="47" t="s">
        <v>44</v>
      </c>
      <c r="B427" s="47" t="str">
        <f t="shared" si="98"/>
        <v>July</v>
      </c>
      <c r="C427" s="59">
        <v>45493</v>
      </c>
      <c r="D427" s="47" t="s">
        <v>109</v>
      </c>
      <c r="E427" s="47" t="s">
        <v>866</v>
      </c>
      <c r="F427" s="47" t="s">
        <v>867</v>
      </c>
      <c r="G427" s="47" t="s">
        <v>2350</v>
      </c>
      <c r="H427" s="47" t="s">
        <v>2351</v>
      </c>
      <c r="I427" s="47" t="s">
        <v>63</v>
      </c>
      <c r="J427" s="47" t="s">
        <v>51</v>
      </c>
      <c r="K427" s="48">
        <v>44763</v>
      </c>
      <c r="L427" s="48">
        <v>45128</v>
      </c>
      <c r="M427" s="48">
        <v>45493</v>
      </c>
      <c r="N427" s="47" t="s">
        <v>64</v>
      </c>
      <c r="O427" s="55" t="s">
        <v>53</v>
      </c>
      <c r="P427" s="62">
        <v>15704</v>
      </c>
      <c r="Q427" s="62">
        <v>1308.6666666666667</v>
      </c>
      <c r="R427" s="279">
        <v>15912</v>
      </c>
      <c r="S427" s="62">
        <f t="shared" si="108"/>
        <v>1326</v>
      </c>
      <c r="T427" s="62">
        <v>15600</v>
      </c>
      <c r="U427" s="62">
        <f t="shared" si="105"/>
        <v>1300</v>
      </c>
      <c r="V427" s="69">
        <v>14580</v>
      </c>
      <c r="W427" s="71">
        <v>1365</v>
      </c>
      <c r="X427" s="71"/>
      <c r="Y427" s="71"/>
      <c r="Z427" s="64">
        <f t="shared" si="99"/>
        <v>0.05</v>
      </c>
      <c r="AA427" s="64">
        <f t="shared" si="109"/>
        <v>2.9411764705882353E-2</v>
      </c>
      <c r="AB427" s="71">
        <v>1375</v>
      </c>
      <c r="AC427" s="64">
        <f t="shared" si="100"/>
        <v>5.7692307692307696E-2</v>
      </c>
      <c r="AD427" s="64">
        <f t="shared" si="110"/>
        <v>3.6953242835595777E-2</v>
      </c>
      <c r="AE427" s="71">
        <v>1360</v>
      </c>
      <c r="AF427" s="64">
        <f t="shared" si="101"/>
        <v>4.6153846153846156E-2</v>
      </c>
      <c r="AG427" s="64">
        <f t="shared" si="111"/>
        <v>2.564102564102564E-2</v>
      </c>
      <c r="AH427" s="67"/>
      <c r="AI427" s="47" t="s">
        <v>54</v>
      </c>
      <c r="AJ427" s="47">
        <v>744</v>
      </c>
      <c r="AK427" s="101" t="s">
        <v>65</v>
      </c>
      <c r="AL427" s="101" t="s">
        <v>65</v>
      </c>
      <c r="AM427" s="47" t="s">
        <v>985</v>
      </c>
      <c r="AN427" s="47">
        <v>1375</v>
      </c>
      <c r="AO427" s="211">
        <f t="shared" si="102"/>
        <v>5.7692307692307696E-2</v>
      </c>
      <c r="AP427" s="47" t="s">
        <v>852</v>
      </c>
      <c r="AQ427" s="223" t="s">
        <v>125</v>
      </c>
      <c r="AR427" s="47" t="s">
        <v>2129</v>
      </c>
    </row>
    <row r="428" spans="1:44">
      <c r="A428" s="47" t="s">
        <v>44</v>
      </c>
      <c r="B428" s="47" t="str">
        <f t="shared" si="98"/>
        <v>July</v>
      </c>
      <c r="C428" s="59">
        <v>45504</v>
      </c>
      <c r="D428" s="47" t="s">
        <v>109</v>
      </c>
      <c r="E428" s="47" t="s">
        <v>866</v>
      </c>
      <c r="F428" s="47" t="s">
        <v>867</v>
      </c>
      <c r="G428" s="47" t="s">
        <v>2352</v>
      </c>
      <c r="H428" s="47" t="s">
        <v>2353</v>
      </c>
      <c r="I428" s="47" t="s">
        <v>63</v>
      </c>
      <c r="J428" s="47" t="s">
        <v>51</v>
      </c>
      <c r="K428" s="48">
        <v>43861</v>
      </c>
      <c r="L428" s="48">
        <v>45139</v>
      </c>
      <c r="M428" s="48">
        <v>45504</v>
      </c>
      <c r="N428" s="47" t="s">
        <v>64</v>
      </c>
      <c r="O428" s="55" t="s">
        <v>53</v>
      </c>
      <c r="P428" s="62">
        <v>12466</v>
      </c>
      <c r="Q428" s="62">
        <v>1038.8333333333333</v>
      </c>
      <c r="R428" s="279">
        <v>28496</v>
      </c>
      <c r="S428" s="125">
        <v>1096</v>
      </c>
      <c r="T428" s="62">
        <v>13140</v>
      </c>
      <c r="U428" s="62">
        <f t="shared" si="105"/>
        <v>1095</v>
      </c>
      <c r="V428" s="69">
        <v>12000</v>
      </c>
      <c r="W428" s="71"/>
      <c r="X428" s="71"/>
      <c r="Y428" s="71"/>
      <c r="Z428" s="64">
        <f t="shared" si="99"/>
        <v>-1</v>
      </c>
      <c r="AA428" s="64">
        <f t="shared" si="109"/>
        <v>-1</v>
      </c>
      <c r="AB428" s="71">
        <v>1150</v>
      </c>
      <c r="AC428" s="64">
        <f t="shared" si="100"/>
        <v>5.0228310502283102E-2</v>
      </c>
      <c r="AD428" s="64">
        <f t="shared" si="110"/>
        <v>4.9270072992700732E-2</v>
      </c>
      <c r="AE428" s="71">
        <v>1150</v>
      </c>
      <c r="AF428" s="64">
        <f t="shared" si="101"/>
        <v>5.0228310502283102E-2</v>
      </c>
      <c r="AG428" s="64">
        <f t="shared" si="111"/>
        <v>4.9270072992700732E-2</v>
      </c>
      <c r="AH428" s="67"/>
      <c r="AI428" s="47" t="s">
        <v>54</v>
      </c>
      <c r="AJ428" s="47">
        <v>575</v>
      </c>
      <c r="AK428" s="101" t="s">
        <v>55</v>
      </c>
      <c r="AL428" s="101" t="s">
        <v>55</v>
      </c>
      <c r="AM428" s="47" t="s">
        <v>1270</v>
      </c>
      <c r="AN428" s="47">
        <v>1150</v>
      </c>
      <c r="AO428" s="211">
        <f t="shared" si="102"/>
        <v>5.0228310502283102E-2</v>
      </c>
      <c r="AP428" s="47" t="s">
        <v>852</v>
      </c>
      <c r="AQ428" s="111" t="s">
        <v>125</v>
      </c>
      <c r="AR428" s="47" t="s">
        <v>2354</v>
      </c>
    </row>
    <row r="429" spans="1:44">
      <c r="A429" s="47" t="s">
        <v>44</v>
      </c>
      <c r="B429" s="47" t="str">
        <f t="shared" si="98"/>
        <v>July</v>
      </c>
      <c r="C429" s="59">
        <v>45482</v>
      </c>
      <c r="D429" s="47" t="s">
        <v>109</v>
      </c>
      <c r="E429" s="47" t="s">
        <v>866</v>
      </c>
      <c r="F429" s="47" t="s">
        <v>867</v>
      </c>
      <c r="G429" s="47" t="s">
        <v>2355</v>
      </c>
      <c r="H429" s="47" t="s">
        <v>2356</v>
      </c>
      <c r="I429" s="47" t="s">
        <v>63</v>
      </c>
      <c r="J429" s="47" t="s">
        <v>51</v>
      </c>
      <c r="K429" s="48">
        <v>44387</v>
      </c>
      <c r="L429" s="48">
        <v>44752</v>
      </c>
      <c r="M429" s="48">
        <v>45482</v>
      </c>
      <c r="N429" s="47" t="s">
        <v>64</v>
      </c>
      <c r="O429" s="55" t="s">
        <v>53</v>
      </c>
      <c r="P429" s="62">
        <v>13000</v>
      </c>
      <c r="Q429" s="62">
        <v>1083.3333333333333</v>
      </c>
      <c r="R429" s="279">
        <v>13156</v>
      </c>
      <c r="S429" s="62">
        <f t="shared" ref="S429:S460" si="112">R429/12</f>
        <v>1096.3333333333333</v>
      </c>
      <c r="T429" s="62">
        <v>12420</v>
      </c>
      <c r="U429" s="62">
        <f t="shared" si="105"/>
        <v>1035</v>
      </c>
      <c r="V429" s="69">
        <v>12000</v>
      </c>
      <c r="W429" s="71">
        <v>1105</v>
      </c>
      <c r="X429" s="71"/>
      <c r="Y429" s="71"/>
      <c r="Z429" s="64">
        <f t="shared" si="99"/>
        <v>6.7632850241545889E-2</v>
      </c>
      <c r="AA429" s="64">
        <f t="shared" si="109"/>
        <v>7.9051383399210175E-3</v>
      </c>
      <c r="AB429" s="71">
        <v>1125</v>
      </c>
      <c r="AC429" s="64">
        <f t="shared" si="100"/>
        <v>8.6956521739130432E-2</v>
      </c>
      <c r="AD429" s="64">
        <f t="shared" si="110"/>
        <v>2.6147765278200133E-2</v>
      </c>
      <c r="AE429" s="71">
        <v>1100</v>
      </c>
      <c r="AF429" s="64">
        <f t="shared" si="101"/>
        <v>6.280193236714976E-2</v>
      </c>
      <c r="AG429" s="64">
        <f t="shared" si="111"/>
        <v>3.3444816053512399E-3</v>
      </c>
      <c r="AH429" s="67"/>
      <c r="AI429" s="47" t="s">
        <v>54</v>
      </c>
      <c r="AJ429" s="47">
        <v>546</v>
      </c>
      <c r="AK429" s="47" t="s">
        <v>55</v>
      </c>
      <c r="AL429" s="47" t="s">
        <v>55</v>
      </c>
      <c r="AM429" s="47" t="s">
        <v>2357</v>
      </c>
      <c r="AN429" s="47">
        <v>1105</v>
      </c>
      <c r="AO429" s="211">
        <f t="shared" si="102"/>
        <v>6.7632850241545889E-2</v>
      </c>
      <c r="AP429" s="142" t="s">
        <v>852</v>
      </c>
      <c r="AQ429" s="111" t="s">
        <v>986</v>
      </c>
      <c r="AR429" s="143" t="s">
        <v>2358</v>
      </c>
    </row>
    <row r="430" spans="1:44">
      <c r="A430" s="47" t="s">
        <v>44</v>
      </c>
      <c r="B430" s="47" t="str">
        <f t="shared" si="98"/>
        <v>July</v>
      </c>
      <c r="C430" s="59">
        <v>45498</v>
      </c>
      <c r="D430" s="47" t="s">
        <v>109</v>
      </c>
      <c r="E430" s="47" t="s">
        <v>866</v>
      </c>
      <c r="F430" s="47" t="s">
        <v>867</v>
      </c>
      <c r="G430" s="47" t="s">
        <v>2359</v>
      </c>
      <c r="H430" s="47" t="s">
        <v>2360</v>
      </c>
      <c r="I430" s="47" t="s">
        <v>63</v>
      </c>
      <c r="J430" s="47" t="s">
        <v>51</v>
      </c>
      <c r="K430" s="48">
        <v>44403</v>
      </c>
      <c r="L430" s="48">
        <v>45133</v>
      </c>
      <c r="M430" s="48">
        <v>45498</v>
      </c>
      <c r="N430" s="47" t="s">
        <v>64</v>
      </c>
      <c r="O430" s="55" t="s">
        <v>53</v>
      </c>
      <c r="P430" s="62">
        <v>13000</v>
      </c>
      <c r="Q430" s="62">
        <v>1083.3333333333333</v>
      </c>
      <c r="R430" s="279">
        <v>13156</v>
      </c>
      <c r="S430" s="62">
        <f t="shared" si="112"/>
        <v>1096.3333333333333</v>
      </c>
      <c r="T430" s="62">
        <v>12960</v>
      </c>
      <c r="U430" s="62">
        <f t="shared" si="105"/>
        <v>1080</v>
      </c>
      <c r="V430" s="69">
        <v>12180</v>
      </c>
      <c r="W430" s="71">
        <v>1115</v>
      </c>
      <c r="X430" s="71"/>
      <c r="Y430" s="71"/>
      <c r="Z430" s="64">
        <f t="shared" si="99"/>
        <v>3.2407407407407406E-2</v>
      </c>
      <c r="AA430" s="64">
        <f t="shared" si="109"/>
        <v>1.7026451809060573E-2</v>
      </c>
      <c r="AB430" s="71">
        <v>1150</v>
      </c>
      <c r="AC430" s="64">
        <f t="shared" si="100"/>
        <v>6.4814814814814811E-2</v>
      </c>
      <c r="AD430" s="64">
        <f t="shared" si="110"/>
        <v>4.8951048951049021E-2</v>
      </c>
      <c r="AE430" s="71">
        <v>1125</v>
      </c>
      <c r="AF430" s="64">
        <f t="shared" si="101"/>
        <v>4.1666666666666664E-2</v>
      </c>
      <c r="AG430" s="64">
        <f t="shared" si="111"/>
        <v>2.6147765278200133E-2</v>
      </c>
      <c r="AH430" s="67"/>
      <c r="AI430" s="47" t="s">
        <v>54</v>
      </c>
      <c r="AJ430" s="47">
        <v>546</v>
      </c>
      <c r="AK430" s="101" t="s">
        <v>55</v>
      </c>
      <c r="AL430" s="101" t="s">
        <v>55</v>
      </c>
      <c r="AM430" s="47" t="s">
        <v>2361</v>
      </c>
      <c r="AN430" s="47">
        <v>1130</v>
      </c>
      <c r="AO430" s="211">
        <f t="shared" si="102"/>
        <v>4.6296296296296294E-2</v>
      </c>
      <c r="AP430" s="142" t="s">
        <v>852</v>
      </c>
      <c r="AQ430" s="111" t="s">
        <v>2362</v>
      </c>
      <c r="AR430" s="143" t="s">
        <v>2363</v>
      </c>
    </row>
    <row r="431" spans="1:44" hidden="1">
      <c r="A431" s="47" t="s">
        <v>44</v>
      </c>
      <c r="B431" s="47" t="str">
        <f t="shared" si="98"/>
        <v>July</v>
      </c>
      <c r="C431" s="59">
        <v>45500</v>
      </c>
      <c r="D431" s="47" t="s">
        <v>109</v>
      </c>
      <c r="E431" s="47" t="s">
        <v>866</v>
      </c>
      <c r="F431" s="47" t="s">
        <v>867</v>
      </c>
      <c r="G431" s="47" t="s">
        <v>2382</v>
      </c>
      <c r="H431" s="47" t="s">
        <v>2383</v>
      </c>
      <c r="I431" s="47" t="s">
        <v>63</v>
      </c>
      <c r="J431" s="47" t="s">
        <v>51</v>
      </c>
      <c r="K431" s="48">
        <v>45135</v>
      </c>
      <c r="L431" s="48">
        <v>45135</v>
      </c>
      <c r="M431" s="48">
        <v>45500</v>
      </c>
      <c r="N431" s="47" t="s">
        <v>52</v>
      </c>
      <c r="O431" s="55" t="s">
        <v>53</v>
      </c>
      <c r="P431" s="62">
        <v>12466</v>
      </c>
      <c r="Q431" s="62">
        <v>1038.8333333333333</v>
      </c>
      <c r="R431" s="279">
        <v>13156</v>
      </c>
      <c r="S431" s="62">
        <f t="shared" si="112"/>
        <v>1096.3333333333333</v>
      </c>
      <c r="T431" s="62">
        <v>12900</v>
      </c>
      <c r="U431" s="62">
        <f t="shared" si="105"/>
        <v>1075</v>
      </c>
      <c r="V431" s="69">
        <v>12000</v>
      </c>
      <c r="W431" s="71">
        <v>1120</v>
      </c>
      <c r="X431" s="71"/>
      <c r="Y431" s="71"/>
      <c r="Z431" s="64">
        <f t="shared" si="99"/>
        <v>4.1860465116279069E-2</v>
      </c>
      <c r="AA431" s="64">
        <f t="shared" si="109"/>
        <v>2.1587108543630353E-2</v>
      </c>
      <c r="AB431" s="71">
        <v>1150</v>
      </c>
      <c r="AC431" s="64">
        <f t="shared" si="100"/>
        <v>6.9767441860465115E-2</v>
      </c>
      <c r="AD431" s="64">
        <f t="shared" si="110"/>
        <v>4.8951048951049021E-2</v>
      </c>
      <c r="AE431" s="71">
        <v>1125</v>
      </c>
      <c r="AF431" s="64">
        <f t="shared" si="101"/>
        <v>4.6511627906976744E-2</v>
      </c>
      <c r="AG431" s="64">
        <f t="shared" si="111"/>
        <v>2.6147765278200133E-2</v>
      </c>
      <c r="AH431" s="67"/>
      <c r="AI431" s="47" t="s">
        <v>54</v>
      </c>
      <c r="AJ431" s="47">
        <v>575</v>
      </c>
      <c r="AK431" s="101" t="s">
        <v>55</v>
      </c>
      <c r="AL431" s="101" t="s">
        <v>55</v>
      </c>
      <c r="AM431" s="47" t="s">
        <v>1270</v>
      </c>
      <c r="AN431" s="47">
        <v>1150</v>
      </c>
      <c r="AO431" s="211">
        <f t="shared" si="102"/>
        <v>6.9767441860465115E-2</v>
      </c>
      <c r="AP431" s="142" t="s">
        <v>852</v>
      </c>
      <c r="AQ431" s="284" t="s">
        <v>125</v>
      </c>
      <c r="AR431" s="143" t="s">
        <v>2340</v>
      </c>
    </row>
    <row r="432" spans="1:44">
      <c r="A432" s="47" t="s">
        <v>44</v>
      </c>
      <c r="B432" s="47" t="str">
        <f t="shared" si="98"/>
        <v>August</v>
      </c>
      <c r="C432" s="59">
        <v>45525</v>
      </c>
      <c r="D432" s="47" t="s">
        <v>109</v>
      </c>
      <c r="E432" s="47" t="s">
        <v>866</v>
      </c>
      <c r="F432" s="47" t="s">
        <v>867</v>
      </c>
      <c r="G432" s="47" t="s">
        <v>2774</v>
      </c>
      <c r="H432" s="47" t="s">
        <v>2775</v>
      </c>
      <c r="I432" s="47" t="s">
        <v>63</v>
      </c>
      <c r="J432" s="47" t="s">
        <v>51</v>
      </c>
      <c r="K432" s="48">
        <v>44795</v>
      </c>
      <c r="L432" s="48">
        <v>45160</v>
      </c>
      <c r="M432" s="48">
        <v>45525</v>
      </c>
      <c r="N432" s="47" t="s">
        <v>64</v>
      </c>
      <c r="O432" s="55" t="s">
        <v>53</v>
      </c>
      <c r="P432" s="62">
        <v>13052</v>
      </c>
      <c r="Q432" s="62">
        <v>1087.6666666666667</v>
      </c>
      <c r="R432" s="279">
        <v>13156</v>
      </c>
      <c r="S432" s="62">
        <f t="shared" si="112"/>
        <v>1096.3333333333333</v>
      </c>
      <c r="T432" s="62">
        <v>12900</v>
      </c>
      <c r="U432" s="62">
        <f t="shared" si="105"/>
        <v>1075</v>
      </c>
      <c r="V432" s="69">
        <v>11940</v>
      </c>
      <c r="W432" s="71">
        <v>1120</v>
      </c>
      <c r="X432" s="71"/>
      <c r="Y432" s="71"/>
      <c r="Z432" s="64">
        <f t="shared" si="99"/>
        <v>4.1860465116279069E-2</v>
      </c>
      <c r="AA432" s="64">
        <f t="shared" si="109"/>
        <v>2.1587108543630353E-2</v>
      </c>
      <c r="AB432" s="71">
        <v>1135</v>
      </c>
      <c r="AC432" s="64">
        <f t="shared" si="100"/>
        <v>5.5813953488372092E-2</v>
      </c>
      <c r="AD432" s="64">
        <f t="shared" si="110"/>
        <v>3.5269078747339686E-2</v>
      </c>
      <c r="AE432" s="71">
        <v>1115</v>
      </c>
      <c r="AF432" s="64">
        <f t="shared" si="101"/>
        <v>3.7209302325581395E-2</v>
      </c>
      <c r="AG432" s="64">
        <f t="shared" si="111"/>
        <v>1.7026451809060573E-2</v>
      </c>
      <c r="AH432" s="67"/>
      <c r="AI432" s="47" t="s">
        <v>54</v>
      </c>
      <c r="AJ432" s="47">
        <v>575</v>
      </c>
      <c r="AK432" s="47" t="s">
        <v>65</v>
      </c>
      <c r="AL432" s="47" t="s">
        <v>55</v>
      </c>
      <c r="AM432" s="47" t="s">
        <v>1270</v>
      </c>
      <c r="AN432" s="47">
        <v>1135</v>
      </c>
      <c r="AO432" s="211">
        <f t="shared" si="102"/>
        <v>5.5813953488372092E-2</v>
      </c>
      <c r="AP432" s="142" t="s">
        <v>852</v>
      </c>
      <c r="AQ432" s="284" t="s">
        <v>986</v>
      </c>
      <c r="AR432" s="143" t="s">
        <v>2776</v>
      </c>
    </row>
    <row r="433" spans="1:44" hidden="1">
      <c r="A433" s="47" t="s">
        <v>44</v>
      </c>
      <c r="B433" s="47" t="str">
        <f t="shared" si="98"/>
        <v>August</v>
      </c>
      <c r="C433" s="59">
        <v>45526</v>
      </c>
      <c r="D433" s="47" t="s">
        <v>109</v>
      </c>
      <c r="E433" s="47" t="s">
        <v>866</v>
      </c>
      <c r="F433" s="47" t="s">
        <v>867</v>
      </c>
      <c r="G433" s="47" t="s">
        <v>2813</v>
      </c>
      <c r="H433" s="47" t="s">
        <v>2814</v>
      </c>
      <c r="I433" s="47" t="s">
        <v>63</v>
      </c>
      <c r="J433" s="47" t="s">
        <v>51</v>
      </c>
      <c r="K433" s="48">
        <v>45161</v>
      </c>
      <c r="L433" s="48">
        <v>45161</v>
      </c>
      <c r="M433" s="48">
        <v>45526</v>
      </c>
      <c r="N433" s="47" t="s">
        <v>52</v>
      </c>
      <c r="O433" s="55" t="s">
        <v>53</v>
      </c>
      <c r="P433" s="62">
        <v>15652</v>
      </c>
      <c r="Q433" s="62">
        <v>1304.3333333333333</v>
      </c>
      <c r="R433" s="279">
        <v>15860</v>
      </c>
      <c r="S433" s="62">
        <f t="shared" si="112"/>
        <v>1321.6666666666667</v>
      </c>
      <c r="T433" s="62">
        <v>15780</v>
      </c>
      <c r="U433" s="62">
        <f t="shared" ref="U433:U464" si="113">T433/12</f>
        <v>1315</v>
      </c>
      <c r="V433" s="69">
        <v>14220</v>
      </c>
      <c r="W433" s="71">
        <v>1310</v>
      </c>
      <c r="X433" s="71"/>
      <c r="Y433" s="71"/>
      <c r="Z433" s="70">
        <f t="shared" si="99"/>
        <v>-3.8022813688212928E-3</v>
      </c>
      <c r="AA433" s="64">
        <f t="shared" si="109"/>
        <v>-8.8272383354351131E-3</v>
      </c>
      <c r="AB433" s="71">
        <v>1380</v>
      </c>
      <c r="AC433" s="64">
        <f t="shared" si="100"/>
        <v>4.9429657794676805E-2</v>
      </c>
      <c r="AD433" s="64">
        <f t="shared" si="110"/>
        <v>4.4136191677175224E-2</v>
      </c>
      <c r="AE433" s="71">
        <v>1360</v>
      </c>
      <c r="AF433" s="64">
        <f t="shared" si="101"/>
        <v>3.4220532319391636E-2</v>
      </c>
      <c r="AG433" s="64">
        <f t="shared" si="111"/>
        <v>2.9003783102143698E-2</v>
      </c>
      <c r="AH433" s="67"/>
      <c r="AI433" s="47" t="s">
        <v>54</v>
      </c>
      <c r="AJ433" s="47">
        <v>629</v>
      </c>
      <c r="AK433" s="47" t="s">
        <v>65</v>
      </c>
      <c r="AL433" s="47" t="s">
        <v>55</v>
      </c>
      <c r="AM433" s="47" t="s">
        <v>2343</v>
      </c>
      <c r="AN433" s="47">
        <v>1380</v>
      </c>
      <c r="AO433" s="211">
        <f t="shared" si="102"/>
        <v>4.9429657794676805E-2</v>
      </c>
      <c r="AP433" s="142" t="s">
        <v>852</v>
      </c>
      <c r="AQ433" s="284" t="s">
        <v>125</v>
      </c>
      <c r="AR433" s="143" t="s">
        <v>1199</v>
      </c>
    </row>
    <row r="434" spans="1:44" hidden="1">
      <c r="A434" s="47" t="s">
        <v>44</v>
      </c>
      <c r="B434" s="47" t="str">
        <f t="shared" si="98"/>
        <v>August</v>
      </c>
      <c r="C434" s="59">
        <v>45528</v>
      </c>
      <c r="D434" s="47" t="s">
        <v>109</v>
      </c>
      <c r="E434" s="47" t="s">
        <v>866</v>
      </c>
      <c r="F434" s="47" t="s">
        <v>867</v>
      </c>
      <c r="G434" s="47" t="s">
        <v>3050</v>
      </c>
      <c r="H434" s="47" t="s">
        <v>3051</v>
      </c>
      <c r="I434" s="47" t="s">
        <v>63</v>
      </c>
      <c r="J434" s="47" t="s">
        <v>51</v>
      </c>
      <c r="K434" s="48">
        <v>45163</v>
      </c>
      <c r="L434" s="48">
        <v>45163</v>
      </c>
      <c r="M434" s="48">
        <v>45528</v>
      </c>
      <c r="N434" s="47" t="s">
        <v>52</v>
      </c>
      <c r="O434" s="55" t="s">
        <v>53</v>
      </c>
      <c r="P434" s="62">
        <v>15704</v>
      </c>
      <c r="Q434" s="62">
        <v>1308.6666666666667</v>
      </c>
      <c r="R434" s="279">
        <v>15912</v>
      </c>
      <c r="S434" s="62">
        <f t="shared" si="112"/>
        <v>1326</v>
      </c>
      <c r="T434" s="62">
        <v>15540</v>
      </c>
      <c r="U434" s="62">
        <f t="shared" si="113"/>
        <v>1295</v>
      </c>
      <c r="V434" s="69">
        <v>14880</v>
      </c>
      <c r="W434" s="71">
        <v>1365</v>
      </c>
      <c r="X434" s="71"/>
      <c r="Y434" s="71"/>
      <c r="Z434" s="64">
        <f t="shared" si="99"/>
        <v>5.4054054054054057E-2</v>
      </c>
      <c r="AA434" s="64">
        <f t="shared" si="109"/>
        <v>2.9411764705882353E-2</v>
      </c>
      <c r="AB434" s="71">
        <v>1365</v>
      </c>
      <c r="AC434" s="64">
        <f t="shared" si="100"/>
        <v>5.4054054054054057E-2</v>
      </c>
      <c r="AD434" s="64">
        <f t="shared" si="110"/>
        <v>2.9411764705882353E-2</v>
      </c>
      <c r="AE434" s="71">
        <v>1350</v>
      </c>
      <c r="AF434" s="64">
        <f t="shared" si="101"/>
        <v>4.2471042471042469E-2</v>
      </c>
      <c r="AG434" s="64">
        <f t="shared" si="111"/>
        <v>1.8099547511312219E-2</v>
      </c>
      <c r="AH434" s="67"/>
      <c r="AI434" s="47" t="s">
        <v>54</v>
      </c>
      <c r="AJ434" s="47">
        <v>744</v>
      </c>
      <c r="AK434" s="47" t="s">
        <v>65</v>
      </c>
      <c r="AL434" s="47" t="s">
        <v>65</v>
      </c>
      <c r="AM434" s="47" t="s">
        <v>1232</v>
      </c>
      <c r="AN434" s="47"/>
      <c r="AO434" s="211">
        <f t="shared" si="102"/>
        <v>-1</v>
      </c>
      <c r="AP434" s="142" t="s">
        <v>852</v>
      </c>
      <c r="AQ434" s="192" t="s">
        <v>1074</v>
      </c>
      <c r="AR434" s="143" t="s">
        <v>3052</v>
      </c>
    </row>
    <row r="435" spans="1:44" hidden="1">
      <c r="A435" s="47" t="s">
        <v>44</v>
      </c>
      <c r="B435" s="47" t="str">
        <f t="shared" si="98"/>
        <v>August</v>
      </c>
      <c r="C435" s="59">
        <v>45531</v>
      </c>
      <c r="D435" s="47" t="s">
        <v>109</v>
      </c>
      <c r="E435" s="47" t="s">
        <v>866</v>
      </c>
      <c r="F435" s="47" t="s">
        <v>867</v>
      </c>
      <c r="G435" s="47" t="s">
        <v>3240</v>
      </c>
      <c r="H435" s="47" t="s">
        <v>3241</v>
      </c>
      <c r="I435" s="47" t="s">
        <v>63</v>
      </c>
      <c r="J435" s="47" t="s">
        <v>51</v>
      </c>
      <c r="K435" s="48">
        <v>45166</v>
      </c>
      <c r="L435" s="48">
        <v>45166</v>
      </c>
      <c r="M435" s="48">
        <v>45531</v>
      </c>
      <c r="N435" s="47" t="s">
        <v>52</v>
      </c>
      <c r="O435" s="55" t="s">
        <v>53</v>
      </c>
      <c r="P435" s="62">
        <v>13052</v>
      </c>
      <c r="Q435" s="62">
        <v>1087.6666666666667</v>
      </c>
      <c r="R435" s="279">
        <v>13156</v>
      </c>
      <c r="S435" s="62">
        <f t="shared" si="112"/>
        <v>1096.3333333333333</v>
      </c>
      <c r="T435" s="62">
        <v>13080</v>
      </c>
      <c r="U435" s="62">
        <f t="shared" si="113"/>
        <v>1090</v>
      </c>
      <c r="V435" s="69">
        <v>12720</v>
      </c>
      <c r="W435" s="71">
        <v>1115</v>
      </c>
      <c r="X435" s="71"/>
      <c r="Y435" s="71"/>
      <c r="Z435" s="64">
        <f t="shared" si="99"/>
        <v>2.2935779816513763E-2</v>
      </c>
      <c r="AA435" s="64">
        <f t="shared" si="109"/>
        <v>1.7026451809060573E-2</v>
      </c>
      <c r="AB435" s="71">
        <v>1150</v>
      </c>
      <c r="AC435" s="64">
        <f t="shared" si="100"/>
        <v>5.5045871559633031E-2</v>
      </c>
      <c r="AD435" s="64">
        <f t="shared" si="110"/>
        <v>4.8951048951049021E-2</v>
      </c>
      <c r="AE435" s="71">
        <v>1125</v>
      </c>
      <c r="AF435" s="64">
        <f t="shared" si="101"/>
        <v>3.2110091743119268E-2</v>
      </c>
      <c r="AG435" s="64">
        <f t="shared" si="111"/>
        <v>2.6147765278200133E-2</v>
      </c>
      <c r="AH435" s="67"/>
      <c r="AI435" s="47" t="s">
        <v>250</v>
      </c>
      <c r="AJ435" s="47">
        <v>575</v>
      </c>
      <c r="AK435" s="47" t="s">
        <v>55</v>
      </c>
      <c r="AL435" s="47" t="s">
        <v>55</v>
      </c>
      <c r="AM435" s="47" t="s">
        <v>2357</v>
      </c>
      <c r="AN435" s="47">
        <v>1150</v>
      </c>
      <c r="AO435" s="211">
        <f t="shared" si="102"/>
        <v>5.5045871559633031E-2</v>
      </c>
      <c r="AP435" s="47" t="s">
        <v>852</v>
      </c>
      <c r="AQ435" s="111" t="s">
        <v>125</v>
      </c>
      <c r="AR435" s="47" t="s">
        <v>3242</v>
      </c>
    </row>
    <row r="436" spans="1:44">
      <c r="A436" s="47" t="s">
        <v>44</v>
      </c>
      <c r="B436" s="47" t="str">
        <f t="shared" si="98"/>
        <v>August</v>
      </c>
      <c r="C436" s="59">
        <v>45533</v>
      </c>
      <c r="D436" s="47" t="s">
        <v>109</v>
      </c>
      <c r="E436" s="47" t="s">
        <v>866</v>
      </c>
      <c r="F436" s="47" t="s">
        <v>867</v>
      </c>
      <c r="G436" s="47" t="s">
        <v>3449</v>
      </c>
      <c r="H436" s="47" t="s">
        <v>3450</v>
      </c>
      <c r="I436" s="47" t="s">
        <v>63</v>
      </c>
      <c r="J436" s="47" t="s">
        <v>51</v>
      </c>
      <c r="K436" s="48">
        <v>43707</v>
      </c>
      <c r="L436" s="48">
        <v>45168</v>
      </c>
      <c r="M436" s="48">
        <v>45533</v>
      </c>
      <c r="N436" s="47" t="s">
        <v>64</v>
      </c>
      <c r="O436" s="55" t="s">
        <v>53</v>
      </c>
      <c r="P436" s="62">
        <v>13000</v>
      </c>
      <c r="Q436" s="62">
        <v>1083.3333333333333</v>
      </c>
      <c r="R436" s="279">
        <v>13156</v>
      </c>
      <c r="S436" s="62">
        <f t="shared" si="112"/>
        <v>1096.3333333333333</v>
      </c>
      <c r="T436" s="62">
        <v>12900</v>
      </c>
      <c r="U436" s="62">
        <f t="shared" si="113"/>
        <v>1075</v>
      </c>
      <c r="V436" s="69">
        <v>11940</v>
      </c>
      <c r="W436" s="71">
        <v>1120</v>
      </c>
      <c r="X436" s="71"/>
      <c r="Y436" s="71"/>
      <c r="Z436" s="64">
        <f t="shared" si="99"/>
        <v>4.1860465116279069E-2</v>
      </c>
      <c r="AA436" s="64">
        <f t="shared" si="109"/>
        <v>2.1587108543630353E-2</v>
      </c>
      <c r="AB436" s="71">
        <v>1135</v>
      </c>
      <c r="AC436" s="64">
        <f t="shared" si="100"/>
        <v>5.5813953488372092E-2</v>
      </c>
      <c r="AD436" s="64">
        <f t="shared" si="110"/>
        <v>3.5269078747339686E-2</v>
      </c>
      <c r="AE436" s="71">
        <v>1120</v>
      </c>
      <c r="AF436" s="64">
        <f t="shared" si="101"/>
        <v>4.1860465116279069E-2</v>
      </c>
      <c r="AG436" s="64">
        <f t="shared" si="111"/>
        <v>2.1587108543630353E-2</v>
      </c>
      <c r="AH436" s="67"/>
      <c r="AI436" s="47" t="s">
        <v>54</v>
      </c>
      <c r="AJ436" s="47">
        <v>546</v>
      </c>
      <c r="AK436" s="47" t="s">
        <v>55</v>
      </c>
      <c r="AL436" s="47" t="s">
        <v>55</v>
      </c>
      <c r="AM436" s="47" t="s">
        <v>3451</v>
      </c>
      <c r="AN436" s="47"/>
      <c r="AO436" s="211">
        <f t="shared" si="102"/>
        <v>-1</v>
      </c>
      <c r="AP436" s="47" t="s">
        <v>852</v>
      </c>
      <c r="AQ436" s="91" t="s">
        <v>1074</v>
      </c>
      <c r="AR436" s="53" t="s">
        <v>3452</v>
      </c>
    </row>
    <row r="437" spans="1:44" hidden="1">
      <c r="A437" s="47" t="s">
        <v>44</v>
      </c>
      <c r="B437" s="47" t="str">
        <f t="shared" si="98"/>
        <v>July</v>
      </c>
      <c r="C437" s="59">
        <v>45480</v>
      </c>
      <c r="D437" s="47" t="s">
        <v>45</v>
      </c>
      <c r="E437" s="47" t="s">
        <v>973</v>
      </c>
      <c r="F437" s="47" t="s">
        <v>974</v>
      </c>
      <c r="G437" s="47" t="s">
        <v>975</v>
      </c>
      <c r="H437" s="47" t="s">
        <v>976</v>
      </c>
      <c r="I437" s="47" t="s">
        <v>50</v>
      </c>
      <c r="J437" s="47" t="s">
        <v>51</v>
      </c>
      <c r="K437" s="48">
        <v>45115</v>
      </c>
      <c r="L437" s="48">
        <v>45115</v>
      </c>
      <c r="M437" s="48">
        <v>45480</v>
      </c>
      <c r="N437" s="47" t="s">
        <v>52</v>
      </c>
      <c r="O437" s="55" t="s">
        <v>53</v>
      </c>
      <c r="P437" s="62">
        <v>22308</v>
      </c>
      <c r="Q437" s="62">
        <v>1859</v>
      </c>
      <c r="R437" s="96">
        <v>23192</v>
      </c>
      <c r="S437" s="62">
        <f t="shared" si="112"/>
        <v>1932.6666666666667</v>
      </c>
      <c r="T437" s="62">
        <v>22620</v>
      </c>
      <c r="U437" s="62">
        <f t="shared" si="113"/>
        <v>1885</v>
      </c>
      <c r="V437" s="69">
        <v>20824.61</v>
      </c>
      <c r="W437" s="71">
        <v>1990</v>
      </c>
      <c r="X437" s="105">
        <f t="shared" ref="X437:X468" si="114">W437-(W437*2%)</f>
        <v>1950.2</v>
      </c>
      <c r="Y437" s="171">
        <f t="shared" ref="Y437:Y468" si="115">(X437-U437)/U437</f>
        <v>3.4588859416445648E-2</v>
      </c>
      <c r="Z437" s="64">
        <f t="shared" si="99"/>
        <v>5.5702917771883291E-2</v>
      </c>
      <c r="AA437" s="64">
        <f t="shared" si="109"/>
        <v>2.966540186271124E-2</v>
      </c>
      <c r="AB437" s="71">
        <f t="shared" ref="AB437:AB468" si="116">W437</f>
        <v>1990</v>
      </c>
      <c r="AC437" s="64">
        <f t="shared" si="100"/>
        <v>5.5702917771883291E-2</v>
      </c>
      <c r="AD437" s="64">
        <f t="shared" si="110"/>
        <v>2.966540186271124E-2</v>
      </c>
      <c r="AE437" s="71">
        <v>1980</v>
      </c>
      <c r="AF437" s="64">
        <f t="shared" si="101"/>
        <v>5.0397877984084884E-2</v>
      </c>
      <c r="AG437" s="64">
        <f t="shared" si="111"/>
        <v>2.4491203863401131E-2</v>
      </c>
      <c r="AH437" s="67"/>
      <c r="AI437" s="47" t="s">
        <v>54</v>
      </c>
      <c r="AJ437" s="47">
        <v>682.2</v>
      </c>
      <c r="AK437" s="47" t="s">
        <v>65</v>
      </c>
      <c r="AL437" s="47" t="s">
        <v>65</v>
      </c>
      <c r="AM437" s="47" t="s">
        <v>977</v>
      </c>
      <c r="AN437" s="50">
        <v>1990</v>
      </c>
      <c r="AO437" s="211">
        <f t="shared" si="102"/>
        <v>5.5702917771883291E-2</v>
      </c>
      <c r="AP437" s="47" t="s">
        <v>852</v>
      </c>
      <c r="AQ437" s="91" t="s">
        <v>978</v>
      </c>
      <c r="AR437" s="47" t="s">
        <v>979</v>
      </c>
    </row>
    <row r="438" spans="1:44" hidden="1">
      <c r="A438" s="47" t="s">
        <v>44</v>
      </c>
      <c r="B438" s="47" t="str">
        <f t="shared" si="98"/>
        <v>August</v>
      </c>
      <c r="C438" s="59">
        <v>45507</v>
      </c>
      <c r="D438" s="47" t="s">
        <v>45</v>
      </c>
      <c r="E438" s="47" t="s">
        <v>973</v>
      </c>
      <c r="F438" s="47" t="s">
        <v>974</v>
      </c>
      <c r="G438" s="47" t="s">
        <v>988</v>
      </c>
      <c r="H438" s="47" t="s">
        <v>989</v>
      </c>
      <c r="I438" s="47" t="s">
        <v>50</v>
      </c>
      <c r="J438" s="47" t="s">
        <v>51</v>
      </c>
      <c r="K438" s="48">
        <v>45142</v>
      </c>
      <c r="L438" s="48">
        <v>45142</v>
      </c>
      <c r="M438" s="48">
        <v>45507</v>
      </c>
      <c r="N438" s="47" t="s">
        <v>52</v>
      </c>
      <c r="O438" s="55" t="s">
        <v>53</v>
      </c>
      <c r="P438" s="62">
        <v>17316</v>
      </c>
      <c r="Q438" s="62">
        <v>1443</v>
      </c>
      <c r="R438" s="96">
        <v>18512</v>
      </c>
      <c r="S438" s="62">
        <f t="shared" si="112"/>
        <v>1542.6666666666667</v>
      </c>
      <c r="T438" s="62">
        <v>18720</v>
      </c>
      <c r="U438" s="62">
        <f t="shared" si="113"/>
        <v>1560</v>
      </c>
      <c r="V438" s="69">
        <v>18180</v>
      </c>
      <c r="W438" s="63">
        <v>1645</v>
      </c>
      <c r="X438" s="105">
        <f t="shared" si="114"/>
        <v>1612.1</v>
      </c>
      <c r="Y438" s="171">
        <f t="shared" si="115"/>
        <v>3.3397435897435837E-2</v>
      </c>
      <c r="Z438" s="64">
        <f t="shared" si="99"/>
        <v>5.4487179487179488E-2</v>
      </c>
      <c r="AA438" s="64">
        <f t="shared" si="109"/>
        <v>6.6335350043215155E-2</v>
      </c>
      <c r="AB438" s="71">
        <f t="shared" si="116"/>
        <v>1645</v>
      </c>
      <c r="AC438" s="64">
        <f t="shared" si="100"/>
        <v>5.4487179487179488E-2</v>
      </c>
      <c r="AD438" s="64">
        <f t="shared" si="110"/>
        <v>6.6335350043215155E-2</v>
      </c>
      <c r="AE438" s="63">
        <v>1625</v>
      </c>
      <c r="AF438" s="64">
        <f t="shared" si="101"/>
        <v>4.1666666666666664E-2</v>
      </c>
      <c r="AG438" s="64">
        <f t="shared" si="111"/>
        <v>5.3370786516853883E-2</v>
      </c>
      <c r="AH438" s="67"/>
      <c r="AI438" s="47" t="s">
        <v>54</v>
      </c>
      <c r="AJ438" s="47">
        <v>479.26</v>
      </c>
      <c r="AK438" s="47" t="s">
        <v>55</v>
      </c>
      <c r="AL438" s="47" t="s">
        <v>55</v>
      </c>
      <c r="AM438" s="47" t="s">
        <v>990</v>
      </c>
      <c r="AN438" s="50">
        <v>1645</v>
      </c>
      <c r="AO438" s="211">
        <f t="shared" si="102"/>
        <v>5.4487179487179488E-2</v>
      </c>
      <c r="AP438" s="47" t="s">
        <v>852</v>
      </c>
      <c r="AQ438" s="111" t="s">
        <v>125</v>
      </c>
      <c r="AR438" s="47" t="s">
        <v>991</v>
      </c>
    </row>
    <row r="439" spans="1:44" hidden="1">
      <c r="A439" s="47" t="s">
        <v>74</v>
      </c>
      <c r="B439" s="47" t="str">
        <f t="shared" si="98"/>
        <v>July</v>
      </c>
      <c r="C439" s="59">
        <v>45482</v>
      </c>
      <c r="D439" s="47" t="s">
        <v>45</v>
      </c>
      <c r="E439" s="47" t="s">
        <v>973</v>
      </c>
      <c r="F439" s="47" t="s">
        <v>974</v>
      </c>
      <c r="G439" s="47" t="s">
        <v>996</v>
      </c>
      <c r="H439" s="47" t="s">
        <v>997</v>
      </c>
      <c r="I439" s="47" t="s">
        <v>50</v>
      </c>
      <c r="J439" s="47" t="s">
        <v>51</v>
      </c>
      <c r="K439" s="48">
        <v>45117</v>
      </c>
      <c r="L439" s="48">
        <v>45117</v>
      </c>
      <c r="M439" s="48">
        <v>45482</v>
      </c>
      <c r="N439" s="47" t="s">
        <v>52</v>
      </c>
      <c r="O439" s="55" t="s">
        <v>53</v>
      </c>
      <c r="P439" s="62">
        <v>13572</v>
      </c>
      <c r="Q439" s="62">
        <v>1131</v>
      </c>
      <c r="R439" s="96">
        <v>15028</v>
      </c>
      <c r="S439" s="62">
        <f t="shared" si="112"/>
        <v>1252.3333333333333</v>
      </c>
      <c r="T439" s="62">
        <v>13200</v>
      </c>
      <c r="U439" s="62">
        <f t="shared" si="113"/>
        <v>1100</v>
      </c>
      <c r="V439" s="69">
        <v>11040</v>
      </c>
      <c r="W439" s="71">
        <v>1150</v>
      </c>
      <c r="X439" s="105">
        <f t="shared" si="114"/>
        <v>1127</v>
      </c>
      <c r="Y439" s="171">
        <f t="shared" si="115"/>
        <v>2.4545454545454544E-2</v>
      </c>
      <c r="Z439" s="64">
        <f t="shared" si="99"/>
        <v>4.5454545454545456E-2</v>
      </c>
      <c r="AA439" s="64">
        <f t="shared" si="109"/>
        <v>-8.1714133617247747E-2</v>
      </c>
      <c r="AB439" s="71">
        <f t="shared" si="116"/>
        <v>1150</v>
      </c>
      <c r="AC439" s="64">
        <f t="shared" si="100"/>
        <v>4.5454545454545456E-2</v>
      </c>
      <c r="AD439" s="64">
        <f t="shared" si="110"/>
        <v>-8.1714133617247747E-2</v>
      </c>
      <c r="AE439" s="71">
        <f>AB439</f>
        <v>1150</v>
      </c>
      <c r="AF439" s="64">
        <f t="shared" si="101"/>
        <v>4.5454545454545456E-2</v>
      </c>
      <c r="AG439" s="64">
        <f t="shared" si="111"/>
        <v>-8.1714133617247747E-2</v>
      </c>
      <c r="AH439" s="67"/>
      <c r="AI439" s="47" t="s">
        <v>54</v>
      </c>
      <c r="AJ439" s="47">
        <v>348.44</v>
      </c>
      <c r="AK439" s="47" t="s">
        <v>93</v>
      </c>
      <c r="AL439" s="47" t="s">
        <v>55</v>
      </c>
      <c r="AM439" s="47" t="s">
        <v>998</v>
      </c>
      <c r="AN439" s="50">
        <v>1150</v>
      </c>
      <c r="AO439" s="211">
        <f t="shared" si="102"/>
        <v>4.5454545454545456E-2</v>
      </c>
      <c r="AP439" s="47" t="s">
        <v>852</v>
      </c>
      <c r="AQ439" s="111" t="s">
        <v>125</v>
      </c>
      <c r="AR439" s="53" t="s">
        <v>999</v>
      </c>
    </row>
    <row r="440" spans="1:44">
      <c r="A440" s="47" t="s">
        <v>44</v>
      </c>
      <c r="B440" s="47" t="str">
        <f t="shared" si="98"/>
        <v>July</v>
      </c>
      <c r="C440" s="59">
        <v>45483</v>
      </c>
      <c r="D440" s="47" t="s">
        <v>45</v>
      </c>
      <c r="E440" s="47" t="s">
        <v>973</v>
      </c>
      <c r="F440" s="47" t="s">
        <v>974</v>
      </c>
      <c r="G440" s="112" t="s">
        <v>1020</v>
      </c>
      <c r="H440" s="47" t="s">
        <v>1021</v>
      </c>
      <c r="I440" s="47" t="s">
        <v>50</v>
      </c>
      <c r="J440" s="47" t="s">
        <v>51</v>
      </c>
      <c r="K440" s="48">
        <v>44753</v>
      </c>
      <c r="L440" s="48">
        <v>45118</v>
      </c>
      <c r="M440" s="48">
        <v>45483</v>
      </c>
      <c r="N440" s="47" t="s">
        <v>64</v>
      </c>
      <c r="O440" s="55" t="s">
        <v>53</v>
      </c>
      <c r="P440" s="62">
        <v>22204</v>
      </c>
      <c r="Q440" s="62">
        <v>1850.3333333333333</v>
      </c>
      <c r="R440" s="96">
        <v>23088</v>
      </c>
      <c r="S440" s="62">
        <f t="shared" si="112"/>
        <v>1924</v>
      </c>
      <c r="T440" s="62">
        <v>22260</v>
      </c>
      <c r="U440" s="62">
        <f t="shared" si="113"/>
        <v>1855</v>
      </c>
      <c r="V440" s="69">
        <v>19920</v>
      </c>
      <c r="W440" s="71">
        <v>1960</v>
      </c>
      <c r="X440" s="105">
        <f t="shared" si="114"/>
        <v>1920.8</v>
      </c>
      <c r="Y440" s="171">
        <f t="shared" si="115"/>
        <v>3.5471698113207523E-2</v>
      </c>
      <c r="Z440" s="64">
        <f t="shared" si="99"/>
        <v>5.6603773584905662E-2</v>
      </c>
      <c r="AA440" s="64">
        <f t="shared" si="109"/>
        <v>1.8711018711018712E-2</v>
      </c>
      <c r="AB440" s="71">
        <f t="shared" si="116"/>
        <v>1960</v>
      </c>
      <c r="AC440" s="64">
        <f t="shared" si="100"/>
        <v>5.6603773584905662E-2</v>
      </c>
      <c r="AD440" s="64">
        <f t="shared" si="110"/>
        <v>1.8711018711018712E-2</v>
      </c>
      <c r="AE440" s="71">
        <v>1950</v>
      </c>
      <c r="AF440" s="64">
        <f t="shared" si="101"/>
        <v>5.1212938005390833E-2</v>
      </c>
      <c r="AG440" s="64">
        <f t="shared" si="111"/>
        <v>1.3513513513513514E-2</v>
      </c>
      <c r="AH440" s="67"/>
      <c r="AI440" s="47" t="s">
        <v>54</v>
      </c>
      <c r="AJ440" s="47">
        <v>624.27</v>
      </c>
      <c r="AK440" s="101" t="s">
        <v>65</v>
      </c>
      <c r="AL440" s="101" t="s">
        <v>65</v>
      </c>
      <c r="AM440" s="47" t="s">
        <v>977</v>
      </c>
      <c r="AN440" s="50">
        <v>1930</v>
      </c>
      <c r="AO440" s="211">
        <f t="shared" si="102"/>
        <v>4.0431266846361183E-2</v>
      </c>
      <c r="AP440" s="47" t="s">
        <v>852</v>
      </c>
      <c r="AQ440" s="111" t="s">
        <v>125</v>
      </c>
      <c r="AR440" s="47" t="s">
        <v>1022</v>
      </c>
    </row>
    <row r="441" spans="1:44">
      <c r="A441" s="47" t="s">
        <v>44</v>
      </c>
      <c r="B441" s="47" t="str">
        <f t="shared" si="98"/>
        <v>July</v>
      </c>
      <c r="C441" s="59">
        <v>45484</v>
      </c>
      <c r="D441" s="47" t="s">
        <v>45</v>
      </c>
      <c r="E441" s="47" t="s">
        <v>973</v>
      </c>
      <c r="F441" s="47" t="s">
        <v>974</v>
      </c>
      <c r="G441" s="112" t="s">
        <v>1055</v>
      </c>
      <c r="H441" s="47" t="s">
        <v>1056</v>
      </c>
      <c r="I441" s="47" t="s">
        <v>50</v>
      </c>
      <c r="J441" s="47" t="s">
        <v>51</v>
      </c>
      <c r="K441" s="48">
        <v>44512</v>
      </c>
      <c r="L441" s="48">
        <v>45242</v>
      </c>
      <c r="M441" s="48">
        <v>45484</v>
      </c>
      <c r="N441" s="47" t="s">
        <v>64</v>
      </c>
      <c r="O441" s="55" t="s">
        <v>53</v>
      </c>
      <c r="P441" s="62">
        <v>22204</v>
      </c>
      <c r="Q441" s="62">
        <v>1850.3333333333333</v>
      </c>
      <c r="R441" s="96">
        <v>23088</v>
      </c>
      <c r="S441" s="62">
        <f t="shared" si="112"/>
        <v>1924</v>
      </c>
      <c r="T441" s="62">
        <v>22380</v>
      </c>
      <c r="U441" s="62">
        <f t="shared" si="113"/>
        <v>1865</v>
      </c>
      <c r="V441" s="69">
        <v>20640</v>
      </c>
      <c r="W441" s="71">
        <v>1940</v>
      </c>
      <c r="X441" s="105">
        <f t="shared" si="114"/>
        <v>1901.2</v>
      </c>
      <c r="Y441" s="176">
        <f t="shared" si="115"/>
        <v>1.9410187667560346E-2</v>
      </c>
      <c r="Z441" s="64">
        <f t="shared" si="99"/>
        <v>4.0214477211796246E-2</v>
      </c>
      <c r="AA441" s="64">
        <f t="shared" si="109"/>
        <v>8.3160083160083165E-3</v>
      </c>
      <c r="AB441" s="71">
        <f t="shared" si="116"/>
        <v>1940</v>
      </c>
      <c r="AC441" s="64">
        <f t="shared" si="100"/>
        <v>4.0214477211796246E-2</v>
      </c>
      <c r="AD441" s="64">
        <f t="shared" si="110"/>
        <v>8.3160083160083165E-3</v>
      </c>
      <c r="AE441" s="71">
        <f>AB441</f>
        <v>1940</v>
      </c>
      <c r="AF441" s="64">
        <f t="shared" si="101"/>
        <v>4.0214477211796246E-2</v>
      </c>
      <c r="AG441" s="64">
        <f t="shared" si="111"/>
        <v>8.3160083160083165E-3</v>
      </c>
      <c r="AH441" s="67"/>
      <c r="AI441" s="47" t="s">
        <v>54</v>
      </c>
      <c r="AJ441" s="47">
        <v>640.66</v>
      </c>
      <c r="AK441" s="101" t="s">
        <v>65</v>
      </c>
      <c r="AL441" s="101" t="s">
        <v>65</v>
      </c>
      <c r="AM441" s="47" t="s">
        <v>1057</v>
      </c>
      <c r="AN441" s="50"/>
      <c r="AO441" s="211">
        <f t="shared" si="102"/>
        <v>-1</v>
      </c>
      <c r="AP441" s="47" t="s">
        <v>852</v>
      </c>
      <c r="AQ441" s="94" t="s">
        <v>891</v>
      </c>
      <c r="AR441" s="47" t="s">
        <v>1058</v>
      </c>
    </row>
    <row r="442" spans="1:44">
      <c r="A442" s="47" t="s">
        <v>44</v>
      </c>
      <c r="B442" s="47" t="str">
        <f t="shared" si="98"/>
        <v>July</v>
      </c>
      <c r="C442" s="59">
        <v>45487</v>
      </c>
      <c r="D442" s="47" t="s">
        <v>45</v>
      </c>
      <c r="E442" s="47" t="s">
        <v>973</v>
      </c>
      <c r="F442" s="47" t="s">
        <v>974</v>
      </c>
      <c r="G442" s="47" t="s">
        <v>1071</v>
      </c>
      <c r="H442" s="47" t="s">
        <v>1072</v>
      </c>
      <c r="I442" s="47" t="s">
        <v>1073</v>
      </c>
      <c r="J442" s="47" t="s">
        <v>51</v>
      </c>
      <c r="K442" s="48">
        <v>44757</v>
      </c>
      <c r="L442" s="48">
        <v>45122</v>
      </c>
      <c r="M442" s="48">
        <v>45487</v>
      </c>
      <c r="N442" s="47" t="s">
        <v>64</v>
      </c>
      <c r="O442" s="55" t="s">
        <v>53</v>
      </c>
      <c r="P442" s="62">
        <v>22204</v>
      </c>
      <c r="Q442" s="62">
        <v>1850.3333333333333</v>
      </c>
      <c r="R442" s="96">
        <v>23088</v>
      </c>
      <c r="S442" s="62">
        <f t="shared" si="112"/>
        <v>1924</v>
      </c>
      <c r="T442" s="62">
        <v>21240</v>
      </c>
      <c r="U442" s="62">
        <f t="shared" si="113"/>
        <v>1770</v>
      </c>
      <c r="V442" s="69">
        <v>19800</v>
      </c>
      <c r="W442" s="71">
        <v>1950</v>
      </c>
      <c r="X442" s="105">
        <f t="shared" si="114"/>
        <v>1911</v>
      </c>
      <c r="Y442" s="171">
        <f t="shared" si="115"/>
        <v>7.9661016949152536E-2</v>
      </c>
      <c r="Z442" s="64">
        <f t="shared" si="99"/>
        <v>0.10169491525423729</v>
      </c>
      <c r="AA442" s="64">
        <f t="shared" si="109"/>
        <v>1.3513513513513514E-2</v>
      </c>
      <c r="AB442" s="71">
        <f t="shared" si="116"/>
        <v>1950</v>
      </c>
      <c r="AC442" s="64">
        <f t="shared" si="100"/>
        <v>0.10169491525423729</v>
      </c>
      <c r="AD442" s="64">
        <f t="shared" si="110"/>
        <v>1.3513513513513514E-2</v>
      </c>
      <c r="AE442" s="71">
        <v>1940</v>
      </c>
      <c r="AF442" s="64">
        <f t="shared" si="101"/>
        <v>9.6045197740112997E-2</v>
      </c>
      <c r="AG442" s="64">
        <f t="shared" si="111"/>
        <v>8.3160083160083165E-3</v>
      </c>
      <c r="AH442" s="67"/>
      <c r="AI442" s="47" t="s">
        <v>54</v>
      </c>
      <c r="AJ442" s="47">
        <v>606.96</v>
      </c>
      <c r="AK442" s="101" t="s">
        <v>65</v>
      </c>
      <c r="AL442" s="101" t="s">
        <v>65</v>
      </c>
      <c r="AM442" s="47" t="s">
        <v>977</v>
      </c>
      <c r="AN442" s="50"/>
      <c r="AO442" s="211">
        <f t="shared" si="102"/>
        <v>-1</v>
      </c>
      <c r="AP442" s="47" t="s">
        <v>852</v>
      </c>
      <c r="AQ442" s="91" t="s">
        <v>1074</v>
      </c>
      <c r="AR442" s="47" t="s">
        <v>1075</v>
      </c>
    </row>
    <row r="443" spans="1:44">
      <c r="A443" s="47" t="s">
        <v>44</v>
      </c>
      <c r="B443" s="47" t="str">
        <f t="shared" si="98"/>
        <v>July</v>
      </c>
      <c r="C443" s="59">
        <v>45486</v>
      </c>
      <c r="D443" s="47" t="s">
        <v>45</v>
      </c>
      <c r="E443" s="47" t="s">
        <v>973</v>
      </c>
      <c r="F443" s="47" t="s">
        <v>974</v>
      </c>
      <c r="G443" s="112" t="s">
        <v>1098</v>
      </c>
      <c r="H443" s="47" t="s">
        <v>1099</v>
      </c>
      <c r="I443" s="47" t="s">
        <v>50</v>
      </c>
      <c r="J443" s="47" t="s">
        <v>51</v>
      </c>
      <c r="K443" s="48">
        <v>44088</v>
      </c>
      <c r="L443" s="48">
        <v>45183</v>
      </c>
      <c r="M443" s="48">
        <v>45486</v>
      </c>
      <c r="N443" s="47" t="s">
        <v>64</v>
      </c>
      <c r="O443" s="55" t="s">
        <v>53</v>
      </c>
      <c r="P443" s="62">
        <v>23036</v>
      </c>
      <c r="Q443" s="62">
        <v>1919.6666666666667</v>
      </c>
      <c r="R443" s="96">
        <v>23972</v>
      </c>
      <c r="S443" s="62">
        <f t="shared" si="112"/>
        <v>1997.6666666666667</v>
      </c>
      <c r="T443" s="62">
        <v>23040</v>
      </c>
      <c r="U443" s="62">
        <f t="shared" si="113"/>
        <v>1920</v>
      </c>
      <c r="V443" s="69">
        <v>21338.76</v>
      </c>
      <c r="W443" s="71">
        <v>2005</v>
      </c>
      <c r="X443" s="105">
        <f t="shared" si="114"/>
        <v>1964.9</v>
      </c>
      <c r="Y443" s="171">
        <f t="shared" si="115"/>
        <v>2.3385416666666714E-2</v>
      </c>
      <c r="Z443" s="64">
        <f t="shared" si="99"/>
        <v>4.4270833333333336E-2</v>
      </c>
      <c r="AA443" s="64">
        <f t="shared" si="109"/>
        <v>3.670949441014479E-3</v>
      </c>
      <c r="AB443" s="71">
        <f t="shared" si="116"/>
        <v>2005</v>
      </c>
      <c r="AC443" s="64">
        <f t="shared" si="100"/>
        <v>4.4270833333333336E-2</v>
      </c>
      <c r="AD443" s="64">
        <f t="shared" si="110"/>
        <v>3.670949441014479E-3</v>
      </c>
      <c r="AE443" s="71">
        <f>AB443</f>
        <v>2005</v>
      </c>
      <c r="AF443" s="64">
        <f t="shared" si="101"/>
        <v>4.4270833333333336E-2</v>
      </c>
      <c r="AG443" s="64">
        <f t="shared" si="111"/>
        <v>3.670949441014479E-3</v>
      </c>
      <c r="AH443" s="67"/>
      <c r="AI443" s="47" t="s">
        <v>54</v>
      </c>
      <c r="AJ443" s="47">
        <v>771.16</v>
      </c>
      <c r="AK443" s="101" t="s">
        <v>65</v>
      </c>
      <c r="AL443" s="101" t="s">
        <v>65</v>
      </c>
      <c r="AM443" s="47" t="s">
        <v>977</v>
      </c>
      <c r="AN443" s="50"/>
      <c r="AO443" s="211">
        <f t="shared" si="102"/>
        <v>-1</v>
      </c>
      <c r="AP443" s="47" t="s">
        <v>852</v>
      </c>
      <c r="AQ443" s="94" t="s">
        <v>898</v>
      </c>
      <c r="AR443" s="47" t="s">
        <v>1066</v>
      </c>
    </row>
    <row r="444" spans="1:44">
      <c r="A444" s="47" t="s">
        <v>44</v>
      </c>
      <c r="B444" s="47" t="str">
        <f t="shared" si="98"/>
        <v>July</v>
      </c>
      <c r="C444" s="59">
        <v>45488</v>
      </c>
      <c r="D444" s="47" t="s">
        <v>45</v>
      </c>
      <c r="E444" s="47" t="s">
        <v>973</v>
      </c>
      <c r="F444" s="47" t="s">
        <v>974</v>
      </c>
      <c r="G444" s="112" t="s">
        <v>1117</v>
      </c>
      <c r="H444" s="47" t="s">
        <v>1118</v>
      </c>
      <c r="I444" s="47" t="s">
        <v>50</v>
      </c>
      <c r="J444" s="47" t="s">
        <v>51</v>
      </c>
      <c r="K444" s="48">
        <v>43661</v>
      </c>
      <c r="L444" s="48">
        <v>45123</v>
      </c>
      <c r="M444" s="48">
        <v>45488</v>
      </c>
      <c r="N444" s="47" t="s">
        <v>64</v>
      </c>
      <c r="O444" s="55" t="s">
        <v>53</v>
      </c>
      <c r="P444" s="62">
        <v>23036</v>
      </c>
      <c r="Q444" s="62">
        <v>1919.6666666666667</v>
      </c>
      <c r="R444" s="96">
        <v>23972</v>
      </c>
      <c r="S444" s="62">
        <f t="shared" si="112"/>
        <v>1997.6666666666667</v>
      </c>
      <c r="T444" s="62">
        <v>23580</v>
      </c>
      <c r="U444" s="62">
        <f t="shared" si="113"/>
        <v>1965</v>
      </c>
      <c r="V444" s="69">
        <v>21600</v>
      </c>
      <c r="W444" s="71">
        <v>2070</v>
      </c>
      <c r="X444" s="105">
        <f t="shared" si="114"/>
        <v>2028.6</v>
      </c>
      <c r="Y444" s="171">
        <f t="shared" si="115"/>
        <v>3.2366412213740411E-2</v>
      </c>
      <c r="Z444" s="64">
        <f t="shared" si="99"/>
        <v>5.3435114503816793E-2</v>
      </c>
      <c r="AA444" s="64">
        <f t="shared" si="109"/>
        <v>3.6208910395461334E-2</v>
      </c>
      <c r="AB444" s="71">
        <f t="shared" si="116"/>
        <v>2070</v>
      </c>
      <c r="AC444" s="64">
        <f t="shared" si="100"/>
        <v>5.3435114503816793E-2</v>
      </c>
      <c r="AD444" s="64">
        <f t="shared" si="110"/>
        <v>3.6208910395461334E-2</v>
      </c>
      <c r="AE444" s="71">
        <v>2045</v>
      </c>
      <c r="AF444" s="64">
        <f t="shared" si="101"/>
        <v>4.0712468193384227E-2</v>
      </c>
      <c r="AG444" s="64">
        <f t="shared" si="111"/>
        <v>2.3694310028366389E-2</v>
      </c>
      <c r="AH444" s="67"/>
      <c r="AI444" s="47" t="s">
        <v>54</v>
      </c>
      <c r="AJ444" s="47">
        <v>766.45</v>
      </c>
      <c r="AK444" s="101" t="s">
        <v>65</v>
      </c>
      <c r="AL444" s="101" t="s">
        <v>65</v>
      </c>
      <c r="AM444" s="47" t="s">
        <v>1119</v>
      </c>
      <c r="AN444" s="50"/>
      <c r="AO444" s="211">
        <f t="shared" si="102"/>
        <v>-1</v>
      </c>
      <c r="AP444" s="47" t="s">
        <v>852</v>
      </c>
      <c r="AQ444" s="94" t="s">
        <v>1120</v>
      </c>
      <c r="AR444" s="47" t="s">
        <v>1121</v>
      </c>
    </row>
    <row r="445" spans="1:44" hidden="1">
      <c r="A445" s="47" t="s">
        <v>74</v>
      </c>
      <c r="B445" s="47" t="str">
        <f t="shared" si="98"/>
        <v>August</v>
      </c>
      <c r="C445" s="59">
        <v>45510</v>
      </c>
      <c r="D445" s="47" t="s">
        <v>45</v>
      </c>
      <c r="E445" s="47" t="s">
        <v>973</v>
      </c>
      <c r="F445" s="47" t="s">
        <v>974</v>
      </c>
      <c r="G445" s="47" t="s">
        <v>1170</v>
      </c>
      <c r="H445" s="47" t="s">
        <v>1171</v>
      </c>
      <c r="I445" s="47" t="s">
        <v>50</v>
      </c>
      <c r="J445" s="47" t="s">
        <v>51</v>
      </c>
      <c r="K445" s="48">
        <v>45329</v>
      </c>
      <c r="L445" s="48">
        <v>45329</v>
      </c>
      <c r="M445" s="48">
        <v>45510</v>
      </c>
      <c r="N445" s="47" t="s">
        <v>52</v>
      </c>
      <c r="O445" s="55" t="s">
        <v>53</v>
      </c>
      <c r="P445" s="62">
        <v>23036</v>
      </c>
      <c r="Q445" s="62">
        <v>1919.6666666666667</v>
      </c>
      <c r="R445" s="96">
        <v>23972</v>
      </c>
      <c r="S445" s="62">
        <f t="shared" si="112"/>
        <v>1997.6666666666667</v>
      </c>
      <c r="T445" s="62">
        <v>23520</v>
      </c>
      <c r="U445" s="62">
        <f t="shared" si="113"/>
        <v>1960</v>
      </c>
      <c r="V445" s="69">
        <v>23160</v>
      </c>
      <c r="W445" s="71">
        <v>1980</v>
      </c>
      <c r="X445" s="172">
        <f t="shared" si="114"/>
        <v>1940.4</v>
      </c>
      <c r="Y445" s="173">
        <f t="shared" si="115"/>
        <v>-9.9999999999999534E-3</v>
      </c>
      <c r="Z445" s="64">
        <f t="shared" si="99"/>
        <v>1.020408163265306E-2</v>
      </c>
      <c r="AA445" s="64">
        <f t="shared" si="109"/>
        <v>-8.8436509260804656E-3</v>
      </c>
      <c r="AB445" s="71">
        <f t="shared" si="116"/>
        <v>1980</v>
      </c>
      <c r="AC445" s="64">
        <f t="shared" si="100"/>
        <v>1.020408163265306E-2</v>
      </c>
      <c r="AD445" s="64">
        <f t="shared" si="110"/>
        <v>-8.8436509260804656E-3</v>
      </c>
      <c r="AE445" s="71">
        <f>AB445</f>
        <v>1980</v>
      </c>
      <c r="AF445" s="64">
        <f t="shared" si="101"/>
        <v>1.020408163265306E-2</v>
      </c>
      <c r="AG445" s="64">
        <f t="shared" si="111"/>
        <v>-8.8436509260804656E-3</v>
      </c>
      <c r="AH445" s="67"/>
      <c r="AI445" s="47" t="s">
        <v>54</v>
      </c>
      <c r="AJ445" s="47">
        <v>727.77</v>
      </c>
      <c r="AK445" s="47" t="s">
        <v>65</v>
      </c>
      <c r="AL445" s="47" t="s">
        <v>65</v>
      </c>
      <c r="AM445" s="47" t="s">
        <v>1172</v>
      </c>
      <c r="AN445" s="50">
        <v>1980</v>
      </c>
      <c r="AO445" s="211">
        <f t="shared" si="102"/>
        <v>1.020408163265306E-2</v>
      </c>
      <c r="AP445" s="47" t="s">
        <v>852</v>
      </c>
      <c r="AQ445" s="111" t="s">
        <v>125</v>
      </c>
      <c r="AR445" s="143" t="s">
        <v>1173</v>
      </c>
    </row>
    <row r="446" spans="1:44" hidden="1">
      <c r="A446" s="47" t="s">
        <v>44</v>
      </c>
      <c r="B446" s="47" t="str">
        <f t="shared" si="98"/>
        <v>July</v>
      </c>
      <c r="C446" s="59">
        <v>45477</v>
      </c>
      <c r="D446" s="47" t="s">
        <v>45</v>
      </c>
      <c r="E446" s="47" t="s">
        <v>973</v>
      </c>
      <c r="F446" s="47" t="s">
        <v>974</v>
      </c>
      <c r="G446" s="47" t="s">
        <v>1247</v>
      </c>
      <c r="H446" s="47" t="s">
        <v>1248</v>
      </c>
      <c r="I446" s="47" t="s">
        <v>50</v>
      </c>
      <c r="J446" s="47" t="s">
        <v>51</v>
      </c>
      <c r="K446" s="48">
        <v>45112</v>
      </c>
      <c r="L446" s="48">
        <v>45112</v>
      </c>
      <c r="M446" s="48">
        <v>45477</v>
      </c>
      <c r="N446" s="47" t="s">
        <v>52</v>
      </c>
      <c r="O446" s="55" t="s">
        <v>53</v>
      </c>
      <c r="P446" s="62">
        <v>22724</v>
      </c>
      <c r="Q446" s="62">
        <v>1893.6666666666667</v>
      </c>
      <c r="R446" s="96">
        <v>23660</v>
      </c>
      <c r="S446" s="62">
        <f t="shared" si="112"/>
        <v>1971.6666666666667</v>
      </c>
      <c r="T446" s="62">
        <v>22680</v>
      </c>
      <c r="U446" s="62">
        <f t="shared" si="113"/>
        <v>1890</v>
      </c>
      <c r="V446" s="69">
        <v>20295</v>
      </c>
      <c r="W446" s="71">
        <v>1995</v>
      </c>
      <c r="X446" s="105">
        <f t="shared" si="114"/>
        <v>1955.1</v>
      </c>
      <c r="Y446" s="171">
        <f t="shared" si="115"/>
        <v>3.4444444444444396E-2</v>
      </c>
      <c r="Z446" s="64">
        <f t="shared" si="99"/>
        <v>5.5555555555555552E-2</v>
      </c>
      <c r="AA446" s="64">
        <f t="shared" si="109"/>
        <v>1.183431952662718E-2</v>
      </c>
      <c r="AB446" s="71">
        <f t="shared" si="116"/>
        <v>1995</v>
      </c>
      <c r="AC446" s="64">
        <f t="shared" si="100"/>
        <v>5.5555555555555552E-2</v>
      </c>
      <c r="AD446" s="64">
        <f t="shared" si="110"/>
        <v>1.183431952662718E-2</v>
      </c>
      <c r="AE446" s="71">
        <v>1990</v>
      </c>
      <c r="AF446" s="64">
        <f t="shared" si="101"/>
        <v>5.2910052910052907E-2</v>
      </c>
      <c r="AG446" s="64">
        <f t="shared" si="111"/>
        <v>9.2983939137784907E-3</v>
      </c>
      <c r="AH446" s="67"/>
      <c r="AI446" s="47" t="s">
        <v>54</v>
      </c>
      <c r="AJ446" s="47">
        <v>624.27</v>
      </c>
      <c r="AK446" s="47" t="s">
        <v>65</v>
      </c>
      <c r="AL446" s="47" t="s">
        <v>65</v>
      </c>
      <c r="AM446" s="47" t="s">
        <v>977</v>
      </c>
      <c r="AN446" s="50">
        <v>1995</v>
      </c>
      <c r="AO446" s="211">
        <f t="shared" si="102"/>
        <v>5.5555555555555552E-2</v>
      </c>
      <c r="AP446" s="47" t="s">
        <v>852</v>
      </c>
      <c r="AQ446" s="111" t="s">
        <v>125</v>
      </c>
      <c r="AR446" s="47" t="s">
        <v>999</v>
      </c>
    </row>
    <row r="447" spans="1:44">
      <c r="A447" s="47" t="s">
        <v>44</v>
      </c>
      <c r="B447" s="47" t="str">
        <f t="shared" si="98"/>
        <v>July</v>
      </c>
      <c r="C447" s="59">
        <v>45480</v>
      </c>
      <c r="D447" s="47" t="s">
        <v>45</v>
      </c>
      <c r="E447" s="47" t="s">
        <v>973</v>
      </c>
      <c r="F447" s="47" t="s">
        <v>974</v>
      </c>
      <c r="G447" s="47" t="s">
        <v>1255</v>
      </c>
      <c r="H447" s="47" t="s">
        <v>1256</v>
      </c>
      <c r="I447" s="47" t="s">
        <v>50</v>
      </c>
      <c r="J447" s="47" t="s">
        <v>51</v>
      </c>
      <c r="K447" s="48">
        <v>44750</v>
      </c>
      <c r="L447" s="48">
        <v>45115</v>
      </c>
      <c r="M447" s="48">
        <v>45480</v>
      </c>
      <c r="N447" s="47" t="s">
        <v>64</v>
      </c>
      <c r="O447" s="55" t="s">
        <v>53</v>
      </c>
      <c r="P447" s="62">
        <v>22880</v>
      </c>
      <c r="Q447" s="62">
        <v>1906.6666666666667</v>
      </c>
      <c r="R447" s="96">
        <v>23764</v>
      </c>
      <c r="S447" s="62">
        <f t="shared" si="112"/>
        <v>1980.3333333333333</v>
      </c>
      <c r="T447" s="62">
        <v>22560</v>
      </c>
      <c r="U447" s="62">
        <f t="shared" si="113"/>
        <v>1880</v>
      </c>
      <c r="V447" s="69">
        <v>20220</v>
      </c>
      <c r="W447" s="71">
        <v>1985</v>
      </c>
      <c r="X447" s="105">
        <f t="shared" si="114"/>
        <v>1945.3</v>
      </c>
      <c r="Y447" s="171">
        <f t="shared" si="115"/>
        <v>3.4734042553191465E-2</v>
      </c>
      <c r="Z447" s="64">
        <f t="shared" si="99"/>
        <v>5.5851063829787231E-2</v>
      </c>
      <c r="AA447" s="64">
        <f t="shared" si="109"/>
        <v>2.3565056387813885E-3</v>
      </c>
      <c r="AB447" s="71">
        <f t="shared" si="116"/>
        <v>1985</v>
      </c>
      <c r="AC447" s="64">
        <f t="shared" si="100"/>
        <v>5.5851063829787231E-2</v>
      </c>
      <c r="AD447" s="64">
        <f t="shared" si="110"/>
        <v>2.3565056387813885E-3</v>
      </c>
      <c r="AE447" s="71">
        <f t="shared" ref="AE447:AE454" si="117">AB447</f>
        <v>1985</v>
      </c>
      <c r="AF447" s="64">
        <f t="shared" si="101"/>
        <v>5.5851063829787231E-2</v>
      </c>
      <c r="AG447" s="64">
        <f t="shared" si="111"/>
        <v>2.3565056387813885E-3</v>
      </c>
      <c r="AH447" s="67"/>
      <c r="AI447" s="47" t="s">
        <v>54</v>
      </c>
      <c r="AJ447" s="47">
        <v>672.69</v>
      </c>
      <c r="AK447" s="47" t="s">
        <v>65</v>
      </c>
      <c r="AL447" s="47" t="s">
        <v>65</v>
      </c>
      <c r="AM447" s="47" t="s">
        <v>977</v>
      </c>
      <c r="AN447" s="50">
        <v>1985</v>
      </c>
      <c r="AO447" s="211">
        <f t="shared" si="102"/>
        <v>5.5851063829787231E-2</v>
      </c>
      <c r="AP447" s="47" t="s">
        <v>852</v>
      </c>
      <c r="AQ447" s="111" t="s">
        <v>986</v>
      </c>
      <c r="AR447" s="47" t="s">
        <v>1257</v>
      </c>
    </row>
    <row r="448" spans="1:44" hidden="1">
      <c r="A448" s="47" t="s">
        <v>44</v>
      </c>
      <c r="B448" s="47" t="str">
        <f t="shared" si="98"/>
        <v>July</v>
      </c>
      <c r="C448" s="59">
        <v>45479</v>
      </c>
      <c r="D448" s="47" t="s">
        <v>45</v>
      </c>
      <c r="E448" s="47" t="s">
        <v>973</v>
      </c>
      <c r="F448" s="47" t="s">
        <v>974</v>
      </c>
      <c r="G448" s="112" t="s">
        <v>1260</v>
      </c>
      <c r="H448" s="47" t="s">
        <v>1261</v>
      </c>
      <c r="I448" s="47" t="s">
        <v>50</v>
      </c>
      <c r="J448" s="47" t="s">
        <v>51</v>
      </c>
      <c r="K448" s="48">
        <v>45114</v>
      </c>
      <c r="L448" s="48">
        <v>45114</v>
      </c>
      <c r="M448" s="48">
        <v>45479</v>
      </c>
      <c r="N448" s="47" t="s">
        <v>52</v>
      </c>
      <c r="O448" s="55" t="s">
        <v>53</v>
      </c>
      <c r="P448" s="62">
        <v>22880</v>
      </c>
      <c r="Q448" s="62">
        <v>1906.6666666666667</v>
      </c>
      <c r="R448" s="96">
        <v>23764</v>
      </c>
      <c r="S448" s="62">
        <f t="shared" si="112"/>
        <v>1980.3333333333333</v>
      </c>
      <c r="T448" s="62">
        <v>22440</v>
      </c>
      <c r="U448" s="62">
        <f t="shared" si="113"/>
        <v>1870</v>
      </c>
      <c r="V448" s="69">
        <v>20100</v>
      </c>
      <c r="W448" s="71">
        <v>1975</v>
      </c>
      <c r="X448" s="105">
        <f t="shared" si="114"/>
        <v>1935.5</v>
      </c>
      <c r="Y448" s="171">
        <f t="shared" si="115"/>
        <v>3.5026737967914438E-2</v>
      </c>
      <c r="Z448" s="64">
        <f t="shared" si="99"/>
        <v>5.6149732620320858E-2</v>
      </c>
      <c r="AA448" s="64">
        <f t="shared" si="109"/>
        <v>-2.6931493014643619E-3</v>
      </c>
      <c r="AB448" s="71">
        <f t="shared" si="116"/>
        <v>1975</v>
      </c>
      <c r="AC448" s="64">
        <f t="shared" si="100"/>
        <v>5.6149732620320858E-2</v>
      </c>
      <c r="AD448" s="64">
        <f t="shared" si="110"/>
        <v>-2.6931493014643619E-3</v>
      </c>
      <c r="AE448" s="71">
        <f t="shared" si="117"/>
        <v>1975</v>
      </c>
      <c r="AF448" s="64">
        <f t="shared" si="101"/>
        <v>5.6149732620320858E-2</v>
      </c>
      <c r="AG448" s="64">
        <f t="shared" si="111"/>
        <v>-2.6931493014643619E-3</v>
      </c>
      <c r="AH448" s="67"/>
      <c r="AI448" s="47" t="s">
        <v>54</v>
      </c>
      <c r="AJ448" s="47">
        <v>691.07</v>
      </c>
      <c r="AK448" s="47" t="s">
        <v>65</v>
      </c>
      <c r="AL448" s="47" t="s">
        <v>65</v>
      </c>
      <c r="AM448" s="47" t="s">
        <v>1172</v>
      </c>
      <c r="AN448" s="50"/>
      <c r="AO448" s="211">
        <f t="shared" si="102"/>
        <v>-1</v>
      </c>
      <c r="AP448" s="47" t="s">
        <v>852</v>
      </c>
      <c r="AQ448" s="94" t="s">
        <v>898</v>
      </c>
      <c r="AR448" s="47" t="s">
        <v>1262</v>
      </c>
    </row>
    <row r="449" spans="1:44">
      <c r="A449" s="47" t="s">
        <v>44</v>
      </c>
      <c r="B449" s="47" t="str">
        <f t="shared" si="98"/>
        <v>July</v>
      </c>
      <c r="C449" s="59">
        <v>45503</v>
      </c>
      <c r="D449" s="47" t="s">
        <v>45</v>
      </c>
      <c r="E449" s="47" t="s">
        <v>973</v>
      </c>
      <c r="F449" s="47" t="s">
        <v>974</v>
      </c>
      <c r="G449" s="112" t="s">
        <v>1275</v>
      </c>
      <c r="H449" s="47" t="s">
        <v>1276</v>
      </c>
      <c r="I449" s="47" t="s">
        <v>50</v>
      </c>
      <c r="J449" s="47" t="s">
        <v>51</v>
      </c>
      <c r="K449" s="48">
        <v>44408</v>
      </c>
      <c r="L449" s="48">
        <v>45138</v>
      </c>
      <c r="M449" s="48">
        <v>45503</v>
      </c>
      <c r="N449" s="47" t="s">
        <v>64</v>
      </c>
      <c r="O449" s="55" t="s">
        <v>53</v>
      </c>
      <c r="P449" s="62">
        <v>22724</v>
      </c>
      <c r="Q449" s="62">
        <v>1893.6666666666667</v>
      </c>
      <c r="R449" s="96">
        <v>23660</v>
      </c>
      <c r="S449" s="62">
        <f t="shared" si="112"/>
        <v>1971.6666666666667</v>
      </c>
      <c r="T449" s="62">
        <v>22080</v>
      </c>
      <c r="U449" s="62">
        <f t="shared" si="113"/>
        <v>1840</v>
      </c>
      <c r="V449" s="69">
        <v>20220</v>
      </c>
      <c r="W449" s="71">
        <v>1945</v>
      </c>
      <c r="X449" s="105">
        <f t="shared" si="114"/>
        <v>1906.1</v>
      </c>
      <c r="Y449" s="171">
        <f t="shared" si="115"/>
        <v>3.5923913043478209E-2</v>
      </c>
      <c r="Z449" s="64">
        <f t="shared" si="99"/>
        <v>5.7065217391304345E-2</v>
      </c>
      <c r="AA449" s="64">
        <f t="shared" si="109"/>
        <v>-1.3524936601859716E-2</v>
      </c>
      <c r="AB449" s="71">
        <f t="shared" si="116"/>
        <v>1945</v>
      </c>
      <c r="AC449" s="64">
        <f t="shared" si="100"/>
        <v>5.7065217391304345E-2</v>
      </c>
      <c r="AD449" s="64">
        <f t="shared" si="110"/>
        <v>-1.3524936601859716E-2</v>
      </c>
      <c r="AE449" s="71">
        <f t="shared" si="117"/>
        <v>1945</v>
      </c>
      <c r="AF449" s="64">
        <f t="shared" si="101"/>
        <v>5.7065217391304345E-2</v>
      </c>
      <c r="AG449" s="64">
        <f t="shared" si="111"/>
        <v>-1.3524936601859716E-2</v>
      </c>
      <c r="AH449" s="67"/>
      <c r="AI449" s="47" t="s">
        <v>54</v>
      </c>
      <c r="AJ449" s="47">
        <v>647</v>
      </c>
      <c r="AK449" s="101" t="s">
        <v>65</v>
      </c>
      <c r="AL449" s="101" t="s">
        <v>65</v>
      </c>
      <c r="AM449" s="47" t="s">
        <v>1172</v>
      </c>
      <c r="AN449" s="50"/>
      <c r="AO449" s="211">
        <f t="shared" si="102"/>
        <v>-1</v>
      </c>
      <c r="AP449" s="47" t="s">
        <v>852</v>
      </c>
      <c r="AQ449" s="94" t="s">
        <v>898</v>
      </c>
      <c r="AR449" s="47" t="s">
        <v>1277</v>
      </c>
    </row>
    <row r="450" spans="1:44">
      <c r="A450" s="47" t="s">
        <v>44</v>
      </c>
      <c r="B450" s="47" t="str">
        <f t="shared" ref="B450:B513" si="118">TEXT(C450,"mmmm")</f>
        <v>July</v>
      </c>
      <c r="C450" s="59">
        <v>45501</v>
      </c>
      <c r="D450" s="47" t="s">
        <v>45</v>
      </c>
      <c r="E450" s="47" t="s">
        <v>973</v>
      </c>
      <c r="F450" s="47" t="s">
        <v>974</v>
      </c>
      <c r="G450" s="112" t="s">
        <v>1282</v>
      </c>
      <c r="H450" s="47" t="s">
        <v>1283</v>
      </c>
      <c r="I450" s="47" t="s">
        <v>50</v>
      </c>
      <c r="J450" s="47" t="s">
        <v>51</v>
      </c>
      <c r="K450" s="48">
        <v>44771</v>
      </c>
      <c r="L450" s="48">
        <v>45136</v>
      </c>
      <c r="M450" s="48">
        <v>45501</v>
      </c>
      <c r="N450" s="47" t="s">
        <v>64</v>
      </c>
      <c r="O450" s="55" t="s">
        <v>53</v>
      </c>
      <c r="P450" s="62">
        <v>22204</v>
      </c>
      <c r="Q450" s="62">
        <v>1850.3333333333333</v>
      </c>
      <c r="R450" s="96">
        <v>23088</v>
      </c>
      <c r="S450" s="62">
        <f t="shared" si="112"/>
        <v>1924</v>
      </c>
      <c r="T450" s="62">
        <v>22020</v>
      </c>
      <c r="U450" s="62">
        <f t="shared" si="113"/>
        <v>1835</v>
      </c>
      <c r="V450" s="69">
        <v>20340</v>
      </c>
      <c r="W450" s="71">
        <v>1940</v>
      </c>
      <c r="X450" s="105">
        <f t="shared" si="114"/>
        <v>1901.2</v>
      </c>
      <c r="Y450" s="171">
        <f t="shared" si="115"/>
        <v>3.6076294277929181E-2</v>
      </c>
      <c r="Z450" s="64">
        <f t="shared" ref="Z450:Z513" si="119">(W450-U450)/U450</f>
        <v>5.7220708446866483E-2</v>
      </c>
      <c r="AA450" s="64">
        <f t="shared" si="109"/>
        <v>8.3160083160083165E-3</v>
      </c>
      <c r="AB450" s="71">
        <f t="shared" si="116"/>
        <v>1940</v>
      </c>
      <c r="AC450" s="64">
        <f t="shared" ref="AC450:AC513" si="120">(AB450-U450)/U450</f>
        <v>5.7220708446866483E-2</v>
      </c>
      <c r="AD450" s="64">
        <f t="shared" si="110"/>
        <v>8.3160083160083165E-3</v>
      </c>
      <c r="AE450" s="71">
        <f t="shared" si="117"/>
        <v>1940</v>
      </c>
      <c r="AF450" s="64">
        <f t="shared" ref="AF450:AF513" si="121">(AE450-U450)/U450</f>
        <v>5.7220708446866483E-2</v>
      </c>
      <c r="AG450" s="64">
        <f t="shared" si="111"/>
        <v>8.3160083160083165E-3</v>
      </c>
      <c r="AH450" s="67"/>
      <c r="AI450" s="47" t="s">
        <v>54</v>
      </c>
      <c r="AJ450" s="47">
        <v>640.66</v>
      </c>
      <c r="AK450" s="101" t="s">
        <v>65</v>
      </c>
      <c r="AL450" s="101" t="s">
        <v>65</v>
      </c>
      <c r="AM450" s="47" t="s">
        <v>1172</v>
      </c>
      <c r="AN450" s="50"/>
      <c r="AO450" s="211">
        <f t="shared" ref="AO450:AO513" si="122">SUM(AN450-U450)/U450</f>
        <v>-1</v>
      </c>
      <c r="AP450" s="47" t="s">
        <v>852</v>
      </c>
      <c r="AQ450" s="94" t="s">
        <v>1039</v>
      </c>
      <c r="AR450" s="47" t="s">
        <v>1284</v>
      </c>
    </row>
    <row r="451" spans="1:44">
      <c r="A451" s="47" t="s">
        <v>74</v>
      </c>
      <c r="B451" s="47" t="str">
        <f t="shared" si="118"/>
        <v>July</v>
      </c>
      <c r="C451" s="59">
        <v>45485</v>
      </c>
      <c r="D451" s="47" t="s">
        <v>45</v>
      </c>
      <c r="E451" s="47" t="s">
        <v>973</v>
      </c>
      <c r="F451" s="47" t="s">
        <v>974</v>
      </c>
      <c r="G451" s="47" t="s">
        <v>1312</v>
      </c>
      <c r="H451" s="47" t="s">
        <v>1313</v>
      </c>
      <c r="I451" s="47" t="s">
        <v>50</v>
      </c>
      <c r="J451" s="47" t="s">
        <v>51</v>
      </c>
      <c r="K451" s="48">
        <v>44025</v>
      </c>
      <c r="L451" s="48">
        <v>45120</v>
      </c>
      <c r="M451" s="48">
        <v>45485</v>
      </c>
      <c r="N451" s="47" t="s">
        <v>64</v>
      </c>
      <c r="O451" s="55" t="s">
        <v>53</v>
      </c>
      <c r="P451" s="62">
        <v>16900</v>
      </c>
      <c r="Q451" s="62">
        <v>1408.3333333333333</v>
      </c>
      <c r="R451" s="96">
        <v>18044</v>
      </c>
      <c r="S451" s="62">
        <f t="shared" si="112"/>
        <v>1503.6666666666667</v>
      </c>
      <c r="T451" s="62">
        <v>17160</v>
      </c>
      <c r="U451" s="62">
        <f t="shared" si="113"/>
        <v>1430</v>
      </c>
      <c r="V451" s="69">
        <v>15120</v>
      </c>
      <c r="W451" s="71">
        <v>1515</v>
      </c>
      <c r="X451" s="105">
        <f t="shared" si="114"/>
        <v>1484.7</v>
      </c>
      <c r="Y451" s="171">
        <f t="shared" si="115"/>
        <v>3.8251748251748284E-2</v>
      </c>
      <c r="Z451" s="64">
        <f t="shared" si="119"/>
        <v>5.944055944055944E-2</v>
      </c>
      <c r="AA451" s="64">
        <f t="shared" si="109"/>
        <v>7.5371314564397626E-3</v>
      </c>
      <c r="AB451" s="71">
        <f t="shared" si="116"/>
        <v>1515</v>
      </c>
      <c r="AC451" s="64">
        <f t="shared" si="120"/>
        <v>5.944055944055944E-2</v>
      </c>
      <c r="AD451" s="64">
        <f t="shared" si="110"/>
        <v>7.5371314564397626E-3</v>
      </c>
      <c r="AE451" s="71">
        <f t="shared" si="117"/>
        <v>1515</v>
      </c>
      <c r="AF451" s="64">
        <f t="shared" si="121"/>
        <v>5.944055944055944E-2</v>
      </c>
      <c r="AG451" s="64">
        <f t="shared" si="111"/>
        <v>7.5371314564397626E-3</v>
      </c>
      <c r="AH451" s="67"/>
      <c r="AI451" s="47" t="s">
        <v>54</v>
      </c>
      <c r="AJ451" s="47">
        <v>474.4</v>
      </c>
      <c r="AK451" s="101" t="s">
        <v>55</v>
      </c>
      <c r="AL451" s="101" t="s">
        <v>55</v>
      </c>
      <c r="AM451" s="47" t="s">
        <v>990</v>
      </c>
      <c r="AN451" s="50">
        <v>1515</v>
      </c>
      <c r="AO451" s="211">
        <f t="shared" si="122"/>
        <v>5.944055944055944E-2</v>
      </c>
      <c r="AP451" s="47" t="s">
        <v>852</v>
      </c>
      <c r="AQ451" s="111" t="s">
        <v>125</v>
      </c>
      <c r="AR451" s="53" t="s">
        <v>999</v>
      </c>
    </row>
    <row r="452" spans="1:44">
      <c r="A452" s="47" t="s">
        <v>44</v>
      </c>
      <c r="B452" s="47" t="str">
        <f t="shared" si="118"/>
        <v>July</v>
      </c>
      <c r="C452" s="59">
        <v>45504</v>
      </c>
      <c r="D452" s="47" t="s">
        <v>45</v>
      </c>
      <c r="E452" s="47" t="s">
        <v>973</v>
      </c>
      <c r="F452" s="47" t="s">
        <v>974</v>
      </c>
      <c r="G452" s="47" t="s">
        <v>1314</v>
      </c>
      <c r="H452" s="47" t="s">
        <v>1315</v>
      </c>
      <c r="I452" s="47" t="s">
        <v>50</v>
      </c>
      <c r="J452" s="47" t="s">
        <v>51</v>
      </c>
      <c r="K452" s="48">
        <v>43678</v>
      </c>
      <c r="L452" s="48">
        <v>45139</v>
      </c>
      <c r="M452" s="48">
        <v>45504</v>
      </c>
      <c r="N452" s="47" t="s">
        <v>64</v>
      </c>
      <c r="O452" s="55" t="s">
        <v>53</v>
      </c>
      <c r="P452" s="62">
        <v>17576</v>
      </c>
      <c r="Q452" s="62">
        <v>1464.6666666666667</v>
      </c>
      <c r="R452" s="96">
        <v>18720</v>
      </c>
      <c r="S452" s="62">
        <f t="shared" si="112"/>
        <v>1560</v>
      </c>
      <c r="T452" s="62">
        <v>17160</v>
      </c>
      <c r="U452" s="62">
        <f t="shared" si="113"/>
        <v>1430</v>
      </c>
      <c r="V452" s="69">
        <v>15240</v>
      </c>
      <c r="W452" s="71">
        <v>1515</v>
      </c>
      <c r="X452" s="105">
        <f t="shared" si="114"/>
        <v>1484.7</v>
      </c>
      <c r="Y452" s="171">
        <f t="shared" si="115"/>
        <v>3.8251748251748284E-2</v>
      </c>
      <c r="Z452" s="64">
        <f t="shared" si="119"/>
        <v>5.944055944055944E-2</v>
      </c>
      <c r="AA452" s="64">
        <f t="shared" si="109"/>
        <v>-2.8846153846153848E-2</v>
      </c>
      <c r="AB452" s="71">
        <f t="shared" si="116"/>
        <v>1515</v>
      </c>
      <c r="AC452" s="64">
        <f t="shared" si="120"/>
        <v>5.944055944055944E-2</v>
      </c>
      <c r="AD452" s="64">
        <f t="shared" si="110"/>
        <v>-2.8846153846153848E-2</v>
      </c>
      <c r="AE452" s="71">
        <f t="shared" si="117"/>
        <v>1515</v>
      </c>
      <c r="AF452" s="64">
        <f t="shared" si="121"/>
        <v>5.944055944055944E-2</v>
      </c>
      <c r="AG452" s="64">
        <f t="shared" si="111"/>
        <v>-2.8846153846153848E-2</v>
      </c>
      <c r="AH452" s="67"/>
      <c r="AI452" s="47" t="s">
        <v>54</v>
      </c>
      <c r="AJ452" s="47">
        <v>548.03</v>
      </c>
      <c r="AK452" s="101" t="s">
        <v>55</v>
      </c>
      <c r="AL452" s="101" t="s">
        <v>55</v>
      </c>
      <c r="AM452" s="47" t="s">
        <v>1316</v>
      </c>
      <c r="AN452" s="50">
        <v>1515</v>
      </c>
      <c r="AO452" s="211">
        <f t="shared" si="122"/>
        <v>5.944055944055944E-2</v>
      </c>
      <c r="AP452" s="47" t="s">
        <v>852</v>
      </c>
      <c r="AQ452" s="111" t="s">
        <v>125</v>
      </c>
      <c r="AR452" s="47" t="s">
        <v>1317</v>
      </c>
    </row>
    <row r="453" spans="1:44" hidden="1">
      <c r="A453" s="47" t="s">
        <v>44</v>
      </c>
      <c r="B453" s="47" t="str">
        <f t="shared" si="118"/>
        <v>July</v>
      </c>
      <c r="C453" s="59">
        <v>45497</v>
      </c>
      <c r="D453" s="47" t="s">
        <v>45</v>
      </c>
      <c r="E453" s="47" t="s">
        <v>973</v>
      </c>
      <c r="F453" s="47" t="s">
        <v>974</v>
      </c>
      <c r="G453" s="47" t="s">
        <v>1318</v>
      </c>
      <c r="H453" s="47" t="s">
        <v>1319</v>
      </c>
      <c r="I453" s="47" t="s">
        <v>50</v>
      </c>
      <c r="J453" s="47" t="s">
        <v>51</v>
      </c>
      <c r="K453" s="48">
        <v>45132</v>
      </c>
      <c r="L453" s="48">
        <v>45132</v>
      </c>
      <c r="M453" s="48">
        <v>45497</v>
      </c>
      <c r="N453" s="47" t="s">
        <v>52</v>
      </c>
      <c r="O453" s="55" t="s">
        <v>53</v>
      </c>
      <c r="P453" s="62">
        <v>17160</v>
      </c>
      <c r="Q453" s="62">
        <v>1430</v>
      </c>
      <c r="R453" s="96">
        <v>18304</v>
      </c>
      <c r="S453" s="62">
        <f t="shared" si="112"/>
        <v>1525.3333333333333</v>
      </c>
      <c r="T453" s="62">
        <v>16980</v>
      </c>
      <c r="U453" s="62">
        <f t="shared" si="113"/>
        <v>1415</v>
      </c>
      <c r="V453" s="69">
        <v>15180</v>
      </c>
      <c r="W453" s="71">
        <v>1500</v>
      </c>
      <c r="X453" s="105">
        <f t="shared" si="114"/>
        <v>1470</v>
      </c>
      <c r="Y453" s="171">
        <f t="shared" si="115"/>
        <v>3.8869257950530034E-2</v>
      </c>
      <c r="Z453" s="64">
        <f t="shared" si="119"/>
        <v>6.0070671378091869E-2</v>
      </c>
      <c r="AA453" s="64">
        <f t="shared" si="109"/>
        <v>-1.6608391608391559E-2</v>
      </c>
      <c r="AB453" s="71">
        <f t="shared" si="116"/>
        <v>1500</v>
      </c>
      <c r="AC453" s="64">
        <f t="shared" si="120"/>
        <v>6.0070671378091869E-2</v>
      </c>
      <c r="AD453" s="64">
        <f t="shared" si="110"/>
        <v>-1.6608391608391559E-2</v>
      </c>
      <c r="AE453" s="71">
        <f t="shared" si="117"/>
        <v>1500</v>
      </c>
      <c r="AF453" s="64">
        <f t="shared" si="121"/>
        <v>6.0070671378091869E-2</v>
      </c>
      <c r="AG453" s="64">
        <f t="shared" si="111"/>
        <v>-1.6608391608391559E-2</v>
      </c>
      <c r="AH453" s="67"/>
      <c r="AI453" s="47" t="s">
        <v>54</v>
      </c>
      <c r="AJ453" s="47">
        <v>548.03</v>
      </c>
      <c r="AK453" s="101" t="s">
        <v>55</v>
      </c>
      <c r="AL453" s="101" t="s">
        <v>55</v>
      </c>
      <c r="AM453" s="47" t="s">
        <v>1316</v>
      </c>
      <c r="AN453" s="50">
        <v>1500</v>
      </c>
      <c r="AO453" s="211">
        <f t="shared" si="122"/>
        <v>6.0070671378091869E-2</v>
      </c>
      <c r="AP453" s="47" t="s">
        <v>852</v>
      </c>
      <c r="AQ453" s="111" t="s">
        <v>986</v>
      </c>
      <c r="AR453" s="53" t="s">
        <v>999</v>
      </c>
    </row>
    <row r="454" spans="1:44" hidden="1">
      <c r="A454" s="47" t="s">
        <v>74</v>
      </c>
      <c r="B454" s="47" t="str">
        <f t="shared" si="118"/>
        <v>July</v>
      </c>
      <c r="C454" s="59">
        <v>45494</v>
      </c>
      <c r="D454" s="47" t="s">
        <v>45</v>
      </c>
      <c r="E454" s="47" t="s">
        <v>973</v>
      </c>
      <c r="F454" s="47" t="s">
        <v>974</v>
      </c>
      <c r="G454" s="47" t="s">
        <v>1344</v>
      </c>
      <c r="H454" s="47" t="s">
        <v>1345</v>
      </c>
      <c r="I454" s="47" t="s">
        <v>50</v>
      </c>
      <c r="J454" s="47" t="s">
        <v>51</v>
      </c>
      <c r="K454" s="48">
        <v>45129</v>
      </c>
      <c r="L454" s="48">
        <v>45129</v>
      </c>
      <c r="M454" s="48">
        <v>45494</v>
      </c>
      <c r="N454" s="47" t="s">
        <v>52</v>
      </c>
      <c r="O454" s="55" t="s">
        <v>53</v>
      </c>
      <c r="P454" s="62">
        <v>16900</v>
      </c>
      <c r="Q454" s="62">
        <v>1408.3333333333333</v>
      </c>
      <c r="R454" s="96">
        <v>18044</v>
      </c>
      <c r="S454" s="62">
        <f t="shared" si="112"/>
        <v>1503.6666666666667</v>
      </c>
      <c r="T454" s="62">
        <v>16500</v>
      </c>
      <c r="U454" s="62">
        <f t="shared" si="113"/>
        <v>1375</v>
      </c>
      <c r="V454" s="69">
        <v>14580</v>
      </c>
      <c r="W454" s="71">
        <v>1460</v>
      </c>
      <c r="X454" s="105">
        <f t="shared" si="114"/>
        <v>1430.8</v>
      </c>
      <c r="Y454" s="171">
        <f t="shared" si="115"/>
        <v>4.0581818181818149E-2</v>
      </c>
      <c r="Z454" s="64">
        <f t="shared" si="119"/>
        <v>6.1818181818181821E-2</v>
      </c>
      <c r="AA454" s="64">
        <f t="shared" si="109"/>
        <v>-2.9040124140988742E-2</v>
      </c>
      <c r="AB454" s="71">
        <f t="shared" si="116"/>
        <v>1460</v>
      </c>
      <c r="AC454" s="64">
        <f t="shared" si="120"/>
        <v>6.1818181818181821E-2</v>
      </c>
      <c r="AD454" s="64">
        <f t="shared" si="110"/>
        <v>-2.9040124140988742E-2</v>
      </c>
      <c r="AE454" s="71">
        <f t="shared" si="117"/>
        <v>1460</v>
      </c>
      <c r="AF454" s="64">
        <f t="shared" si="121"/>
        <v>6.1818181818181821E-2</v>
      </c>
      <c r="AG454" s="64">
        <f t="shared" si="111"/>
        <v>-2.9040124140988742E-2</v>
      </c>
      <c r="AH454" s="67"/>
      <c r="AI454" s="47" t="s">
        <v>250</v>
      </c>
      <c r="AJ454" s="47">
        <v>469.62</v>
      </c>
      <c r="AK454" s="101" t="s">
        <v>55</v>
      </c>
      <c r="AL454" s="101" t="s">
        <v>55</v>
      </c>
      <c r="AM454" s="47" t="s">
        <v>1316</v>
      </c>
      <c r="AN454" s="50">
        <v>1460</v>
      </c>
      <c r="AO454" s="211">
        <f t="shared" si="122"/>
        <v>6.1818181818181821E-2</v>
      </c>
      <c r="AP454" s="47" t="s">
        <v>852</v>
      </c>
      <c r="AQ454" s="111" t="s">
        <v>125</v>
      </c>
      <c r="AR454" s="53" t="s">
        <v>999</v>
      </c>
    </row>
    <row r="455" spans="1:44">
      <c r="A455" s="47" t="s">
        <v>44</v>
      </c>
      <c r="B455" s="47" t="str">
        <f t="shared" si="118"/>
        <v>July</v>
      </c>
      <c r="C455" s="59">
        <v>45496</v>
      </c>
      <c r="D455" s="47" t="s">
        <v>45</v>
      </c>
      <c r="E455" s="47" t="s">
        <v>973</v>
      </c>
      <c r="F455" s="47" t="s">
        <v>974</v>
      </c>
      <c r="G455" s="47" t="s">
        <v>1346</v>
      </c>
      <c r="H455" s="47" t="s">
        <v>1347</v>
      </c>
      <c r="I455" s="47" t="s">
        <v>50</v>
      </c>
      <c r="J455" s="47" t="s">
        <v>51</v>
      </c>
      <c r="K455" s="48">
        <v>44128</v>
      </c>
      <c r="L455" s="48">
        <v>45131</v>
      </c>
      <c r="M455" s="48">
        <v>45496</v>
      </c>
      <c r="N455" s="47" t="s">
        <v>64</v>
      </c>
      <c r="O455" s="55" t="s">
        <v>53</v>
      </c>
      <c r="P455" s="62">
        <v>22724</v>
      </c>
      <c r="Q455" s="62">
        <v>1893.6666666666667</v>
      </c>
      <c r="R455" s="96">
        <v>23660</v>
      </c>
      <c r="S455" s="62">
        <f t="shared" si="112"/>
        <v>1971.6666666666667</v>
      </c>
      <c r="T455" s="62">
        <v>22560</v>
      </c>
      <c r="U455" s="62">
        <f t="shared" si="113"/>
        <v>1880</v>
      </c>
      <c r="V455" s="69">
        <v>20040</v>
      </c>
      <c r="W455" s="71">
        <v>1995</v>
      </c>
      <c r="X455" s="105">
        <f t="shared" si="114"/>
        <v>1955.1</v>
      </c>
      <c r="Y455" s="171">
        <f t="shared" si="115"/>
        <v>3.9946808510638247E-2</v>
      </c>
      <c r="Z455" s="64">
        <f t="shared" si="119"/>
        <v>6.1170212765957445E-2</v>
      </c>
      <c r="AA455" s="64">
        <f t="shared" si="109"/>
        <v>1.183431952662718E-2</v>
      </c>
      <c r="AB455" s="71">
        <f t="shared" si="116"/>
        <v>1995</v>
      </c>
      <c r="AC455" s="64">
        <f t="shared" si="120"/>
        <v>6.1170212765957445E-2</v>
      </c>
      <c r="AD455" s="64">
        <f t="shared" si="110"/>
        <v>1.183431952662718E-2</v>
      </c>
      <c r="AE455" s="71">
        <v>1990</v>
      </c>
      <c r="AF455" s="64">
        <f t="shared" si="121"/>
        <v>5.8510638297872342E-2</v>
      </c>
      <c r="AG455" s="64">
        <f t="shared" si="111"/>
        <v>9.2983939137784907E-3</v>
      </c>
      <c r="AH455" s="67"/>
      <c r="AI455" s="47" t="s">
        <v>54</v>
      </c>
      <c r="AJ455" s="47">
        <v>606.96</v>
      </c>
      <c r="AK455" s="101" t="s">
        <v>65</v>
      </c>
      <c r="AL455" s="101" t="s">
        <v>65</v>
      </c>
      <c r="AM455" s="47" t="s">
        <v>1348</v>
      </c>
      <c r="AN455" s="50">
        <v>1975</v>
      </c>
      <c r="AO455" s="211">
        <f t="shared" si="122"/>
        <v>5.0531914893617018E-2</v>
      </c>
      <c r="AP455" s="47" t="s">
        <v>852</v>
      </c>
      <c r="AQ455" s="111" t="s">
        <v>125</v>
      </c>
      <c r="AR455" s="47" t="s">
        <v>1349</v>
      </c>
    </row>
    <row r="456" spans="1:44">
      <c r="A456" s="47" t="s">
        <v>74</v>
      </c>
      <c r="B456" s="47" t="str">
        <f t="shared" si="118"/>
        <v>July</v>
      </c>
      <c r="C456" s="59">
        <v>45500</v>
      </c>
      <c r="D456" s="47" t="s">
        <v>45</v>
      </c>
      <c r="E456" s="47" t="s">
        <v>973</v>
      </c>
      <c r="F456" s="47" t="s">
        <v>974</v>
      </c>
      <c r="G456" s="112" t="s">
        <v>1475</v>
      </c>
      <c r="H456" s="47" t="s">
        <v>1476</v>
      </c>
      <c r="I456" s="47" t="s">
        <v>50</v>
      </c>
      <c r="J456" s="47" t="s">
        <v>51</v>
      </c>
      <c r="K456" s="48">
        <v>44405</v>
      </c>
      <c r="L456" s="48">
        <v>45135</v>
      </c>
      <c r="M456" s="48">
        <v>45500</v>
      </c>
      <c r="N456" s="47" t="s">
        <v>64</v>
      </c>
      <c r="O456" s="55" t="s">
        <v>53</v>
      </c>
      <c r="P456" s="62">
        <v>22308</v>
      </c>
      <c r="Q456" s="62">
        <v>1859</v>
      </c>
      <c r="R456" s="96">
        <v>23192</v>
      </c>
      <c r="S456" s="62">
        <f t="shared" si="112"/>
        <v>1932.6666666666667</v>
      </c>
      <c r="T456" s="62">
        <v>22260</v>
      </c>
      <c r="U456" s="62">
        <f t="shared" si="113"/>
        <v>1855</v>
      </c>
      <c r="V456" s="69">
        <v>20400</v>
      </c>
      <c r="W456" s="71">
        <v>1960</v>
      </c>
      <c r="X456" s="105">
        <f t="shared" si="114"/>
        <v>1920.8</v>
      </c>
      <c r="Y456" s="171">
        <f t="shared" si="115"/>
        <v>3.5471698113207523E-2</v>
      </c>
      <c r="Z456" s="64">
        <f t="shared" si="119"/>
        <v>5.6603773584905662E-2</v>
      </c>
      <c r="AA456" s="64">
        <f t="shared" si="109"/>
        <v>1.4142807864780919E-2</v>
      </c>
      <c r="AB456" s="71">
        <f t="shared" si="116"/>
        <v>1960</v>
      </c>
      <c r="AC456" s="64">
        <f t="shared" si="120"/>
        <v>5.6603773584905662E-2</v>
      </c>
      <c r="AD456" s="64">
        <f t="shared" si="110"/>
        <v>1.4142807864780919E-2</v>
      </c>
      <c r="AE456" s="71">
        <f>AB456</f>
        <v>1960</v>
      </c>
      <c r="AF456" s="64">
        <f t="shared" si="121"/>
        <v>5.6603773584905662E-2</v>
      </c>
      <c r="AG456" s="64">
        <f t="shared" si="111"/>
        <v>1.4142807864780919E-2</v>
      </c>
      <c r="AH456" s="67"/>
      <c r="AI456" s="47" t="s">
        <v>54</v>
      </c>
      <c r="AJ456" s="47">
        <v>691.07</v>
      </c>
      <c r="AK456" s="101" t="s">
        <v>65</v>
      </c>
      <c r="AL456" s="101" t="s">
        <v>65</v>
      </c>
      <c r="AM456" s="47" t="s">
        <v>1172</v>
      </c>
      <c r="AN456" s="50"/>
      <c r="AO456" s="211">
        <f t="shared" si="122"/>
        <v>-1</v>
      </c>
      <c r="AP456" s="47" t="s">
        <v>852</v>
      </c>
      <c r="AQ456" s="94" t="s">
        <v>898</v>
      </c>
      <c r="AR456" s="47" t="s">
        <v>1066</v>
      </c>
    </row>
    <row r="457" spans="1:44" hidden="1">
      <c r="A457" s="47" t="s">
        <v>44</v>
      </c>
      <c r="B457" s="47" t="str">
        <f t="shared" si="118"/>
        <v>July</v>
      </c>
      <c r="C457" s="59">
        <v>45498</v>
      </c>
      <c r="D457" s="47" t="s">
        <v>45</v>
      </c>
      <c r="E457" s="47" t="s">
        <v>973</v>
      </c>
      <c r="F457" s="47" t="s">
        <v>974</v>
      </c>
      <c r="G457" s="112" t="s">
        <v>1515</v>
      </c>
      <c r="H457" s="47" t="s">
        <v>1516</v>
      </c>
      <c r="I457" s="47" t="s">
        <v>50</v>
      </c>
      <c r="J457" s="47" t="s">
        <v>51</v>
      </c>
      <c r="K457" s="48">
        <v>45317</v>
      </c>
      <c r="L457" s="48">
        <v>45317</v>
      </c>
      <c r="M457" s="48">
        <v>45498</v>
      </c>
      <c r="N457" s="47" t="s">
        <v>52</v>
      </c>
      <c r="O457" s="55" t="s">
        <v>53</v>
      </c>
      <c r="P457" s="62">
        <v>23036</v>
      </c>
      <c r="Q457" s="62">
        <v>1919.6666666666667</v>
      </c>
      <c r="R457" s="96">
        <v>23972</v>
      </c>
      <c r="S457" s="62">
        <f t="shared" si="112"/>
        <v>1997.6666666666667</v>
      </c>
      <c r="T457" s="62">
        <v>22800</v>
      </c>
      <c r="U457" s="62">
        <f t="shared" si="113"/>
        <v>1900</v>
      </c>
      <c r="V457" s="69">
        <v>22800</v>
      </c>
      <c r="W457" s="71">
        <v>2045</v>
      </c>
      <c r="X457" s="105">
        <f t="shared" si="114"/>
        <v>2004.1</v>
      </c>
      <c r="Y457" s="171">
        <f t="shared" si="115"/>
        <v>5.4789473684210478E-2</v>
      </c>
      <c r="Z457" s="64">
        <f t="shared" si="119"/>
        <v>7.6315789473684212E-2</v>
      </c>
      <c r="AA457" s="64">
        <f t="shared" si="109"/>
        <v>2.3694310028366389E-2</v>
      </c>
      <c r="AB457" s="71">
        <f t="shared" si="116"/>
        <v>2045</v>
      </c>
      <c r="AC457" s="64">
        <f t="shared" si="120"/>
        <v>7.6315789473684212E-2</v>
      </c>
      <c r="AD457" s="64">
        <f t="shared" si="110"/>
        <v>2.3694310028366389E-2</v>
      </c>
      <c r="AE457" s="71">
        <v>2025</v>
      </c>
      <c r="AF457" s="64">
        <f t="shared" si="121"/>
        <v>6.5789473684210523E-2</v>
      </c>
      <c r="AG457" s="64">
        <f t="shared" si="111"/>
        <v>1.3682629734690433E-2</v>
      </c>
      <c r="AH457" s="67"/>
      <c r="AI457" s="47" t="s">
        <v>54</v>
      </c>
      <c r="AJ457" s="47">
        <v>740.39</v>
      </c>
      <c r="AK457" s="101" t="s">
        <v>65</v>
      </c>
      <c r="AL457" s="101" t="s">
        <v>65</v>
      </c>
      <c r="AM457" s="47" t="s">
        <v>1517</v>
      </c>
      <c r="AN457" s="50"/>
      <c r="AO457" s="211">
        <f t="shared" si="122"/>
        <v>-1</v>
      </c>
      <c r="AP457" s="47" t="s">
        <v>852</v>
      </c>
      <c r="AQ457" s="94" t="s">
        <v>898</v>
      </c>
      <c r="AR457" s="47" t="s">
        <v>1066</v>
      </c>
    </row>
    <row r="458" spans="1:44" hidden="1">
      <c r="A458" s="47" t="s">
        <v>44</v>
      </c>
      <c r="B458" s="47" t="str">
        <f t="shared" si="118"/>
        <v>July</v>
      </c>
      <c r="C458" s="59">
        <v>45501</v>
      </c>
      <c r="D458" s="47" t="s">
        <v>45</v>
      </c>
      <c r="E458" s="47" t="s">
        <v>973</v>
      </c>
      <c r="F458" s="47" t="s">
        <v>974</v>
      </c>
      <c r="G458" s="112" t="s">
        <v>1568</v>
      </c>
      <c r="H458" s="47" t="s">
        <v>1569</v>
      </c>
      <c r="I458" s="47" t="s">
        <v>50</v>
      </c>
      <c r="J458" s="47" t="s">
        <v>51</v>
      </c>
      <c r="K458" s="48">
        <v>45136</v>
      </c>
      <c r="L458" s="48">
        <v>45136</v>
      </c>
      <c r="M458" s="48">
        <v>45501</v>
      </c>
      <c r="N458" s="47" t="s">
        <v>52</v>
      </c>
      <c r="O458" s="55" t="s">
        <v>53</v>
      </c>
      <c r="P458" s="62">
        <v>22724</v>
      </c>
      <c r="Q458" s="62">
        <v>1893.6666666666667</v>
      </c>
      <c r="R458" s="96">
        <v>23660</v>
      </c>
      <c r="S458" s="62">
        <f t="shared" si="112"/>
        <v>1971.6666666666667</v>
      </c>
      <c r="T458" s="62">
        <v>22500</v>
      </c>
      <c r="U458" s="62">
        <f t="shared" si="113"/>
        <v>1875</v>
      </c>
      <c r="V458" s="69">
        <v>20400</v>
      </c>
      <c r="W458" s="71">
        <v>1970</v>
      </c>
      <c r="X458" s="105">
        <f t="shared" si="114"/>
        <v>1930.6</v>
      </c>
      <c r="Y458" s="171">
        <f t="shared" si="115"/>
        <v>2.9653333333333285E-2</v>
      </c>
      <c r="Z458" s="64">
        <f t="shared" si="119"/>
        <v>5.0666666666666665E-2</v>
      </c>
      <c r="AA458" s="64">
        <f t="shared" si="109"/>
        <v>-8.4530853761626836E-4</v>
      </c>
      <c r="AB458" s="71">
        <f t="shared" si="116"/>
        <v>1970</v>
      </c>
      <c r="AC458" s="64">
        <f t="shared" si="120"/>
        <v>5.0666666666666665E-2</v>
      </c>
      <c r="AD458" s="64">
        <f t="shared" si="110"/>
        <v>-8.4530853761626836E-4</v>
      </c>
      <c r="AE458" s="71">
        <f>AB458</f>
        <v>1970</v>
      </c>
      <c r="AF458" s="64">
        <f t="shared" si="121"/>
        <v>5.0666666666666665E-2</v>
      </c>
      <c r="AG458" s="64">
        <f t="shared" si="111"/>
        <v>-8.4530853761626836E-4</v>
      </c>
      <c r="AH458" s="67"/>
      <c r="AI458" s="47" t="s">
        <v>54</v>
      </c>
      <c r="AJ458" s="47">
        <v>606.96</v>
      </c>
      <c r="AK458" s="101" t="s">
        <v>65</v>
      </c>
      <c r="AL458" s="101" t="s">
        <v>65</v>
      </c>
      <c r="AM458" s="47" t="s">
        <v>977</v>
      </c>
      <c r="AN458" s="50"/>
      <c r="AO458" s="211">
        <f t="shared" si="122"/>
        <v>-1</v>
      </c>
      <c r="AP458" s="47" t="s">
        <v>852</v>
      </c>
      <c r="AQ458" s="94" t="s">
        <v>891</v>
      </c>
      <c r="AR458" s="47" t="s">
        <v>1570</v>
      </c>
    </row>
    <row r="459" spans="1:44" hidden="1">
      <c r="A459" s="47" t="s">
        <v>44</v>
      </c>
      <c r="B459" s="47" t="str">
        <f t="shared" si="118"/>
        <v>July</v>
      </c>
      <c r="C459" s="59">
        <v>45503</v>
      </c>
      <c r="D459" s="47" t="s">
        <v>45</v>
      </c>
      <c r="E459" s="47" t="s">
        <v>973</v>
      </c>
      <c r="F459" s="47" t="s">
        <v>974</v>
      </c>
      <c r="G459" s="47" t="s">
        <v>1618</v>
      </c>
      <c r="H459" s="47" t="s">
        <v>1619</v>
      </c>
      <c r="I459" s="47" t="s">
        <v>50</v>
      </c>
      <c r="J459" s="47" t="s">
        <v>51</v>
      </c>
      <c r="K459" s="48">
        <v>45138</v>
      </c>
      <c r="L459" s="48">
        <v>45138</v>
      </c>
      <c r="M459" s="48">
        <v>45503</v>
      </c>
      <c r="N459" s="47" t="s">
        <v>52</v>
      </c>
      <c r="O459" s="55" t="s">
        <v>53</v>
      </c>
      <c r="P459" s="62">
        <v>23036</v>
      </c>
      <c r="Q459" s="62">
        <v>1919.6666666666667</v>
      </c>
      <c r="R459" s="96">
        <v>23920</v>
      </c>
      <c r="S459" s="62">
        <f t="shared" si="112"/>
        <v>1993.3333333333333</v>
      </c>
      <c r="T459" s="62">
        <v>23760</v>
      </c>
      <c r="U459" s="62">
        <f t="shared" si="113"/>
        <v>1980</v>
      </c>
      <c r="V459" s="69">
        <v>19980</v>
      </c>
      <c r="W459" s="71">
        <v>2080</v>
      </c>
      <c r="X459" s="105">
        <f t="shared" si="114"/>
        <v>2038.4</v>
      </c>
      <c r="Y459" s="171">
        <f t="shared" si="115"/>
        <v>2.9494949494949539E-2</v>
      </c>
      <c r="Z459" s="64">
        <f t="shared" si="119"/>
        <v>5.0505050505050504E-2</v>
      </c>
      <c r="AA459" s="64">
        <f t="shared" si="109"/>
        <v>4.3478260869565258E-2</v>
      </c>
      <c r="AB459" s="71">
        <f t="shared" si="116"/>
        <v>2080</v>
      </c>
      <c r="AC459" s="64">
        <f t="shared" si="120"/>
        <v>5.0505050505050504E-2</v>
      </c>
      <c r="AD459" s="64">
        <f t="shared" si="110"/>
        <v>4.3478260869565258E-2</v>
      </c>
      <c r="AE459" s="71">
        <v>2060</v>
      </c>
      <c r="AF459" s="64">
        <f t="shared" si="121"/>
        <v>4.0404040404040407E-2</v>
      </c>
      <c r="AG459" s="64">
        <f t="shared" si="111"/>
        <v>3.3444816053511746E-2</v>
      </c>
      <c r="AH459" s="67"/>
      <c r="AI459" s="47" t="s">
        <v>54</v>
      </c>
      <c r="AJ459" s="47">
        <v>910.27</v>
      </c>
      <c r="AK459" s="101" t="s">
        <v>65</v>
      </c>
      <c r="AL459" s="101" t="s">
        <v>65</v>
      </c>
      <c r="AM459" s="47" t="s">
        <v>1620</v>
      </c>
      <c r="AN459" s="50">
        <v>2080</v>
      </c>
      <c r="AO459" s="211">
        <f t="shared" si="122"/>
        <v>5.0505050505050504E-2</v>
      </c>
      <c r="AP459" s="47" t="s">
        <v>852</v>
      </c>
      <c r="AQ459" s="111" t="s">
        <v>125</v>
      </c>
      <c r="AR459" s="47" t="s">
        <v>1621</v>
      </c>
    </row>
    <row r="460" spans="1:44">
      <c r="A460" s="47" t="s">
        <v>44</v>
      </c>
      <c r="B460" s="47" t="str">
        <f t="shared" si="118"/>
        <v>July</v>
      </c>
      <c r="C460" s="59">
        <v>45504</v>
      </c>
      <c r="D460" s="47" t="s">
        <v>45</v>
      </c>
      <c r="E460" s="47" t="s">
        <v>973</v>
      </c>
      <c r="F460" s="47" t="s">
        <v>974</v>
      </c>
      <c r="G460" s="112" t="s">
        <v>1671</v>
      </c>
      <c r="H460" s="47" t="s">
        <v>1672</v>
      </c>
      <c r="I460" s="47" t="s">
        <v>50</v>
      </c>
      <c r="J460" s="47" t="s">
        <v>51</v>
      </c>
      <c r="K460" s="48">
        <v>44774</v>
      </c>
      <c r="L460" s="48">
        <v>45139</v>
      </c>
      <c r="M460" s="48">
        <v>45504</v>
      </c>
      <c r="N460" s="47" t="s">
        <v>64</v>
      </c>
      <c r="O460" s="55" t="s">
        <v>53</v>
      </c>
      <c r="P460" s="62">
        <v>13260</v>
      </c>
      <c r="Q460" s="62">
        <v>1105</v>
      </c>
      <c r="R460" s="96">
        <v>14664</v>
      </c>
      <c r="S460" s="62">
        <f t="shared" si="112"/>
        <v>1222</v>
      </c>
      <c r="T460" s="62">
        <v>13380</v>
      </c>
      <c r="U460" s="62">
        <f t="shared" si="113"/>
        <v>1115</v>
      </c>
      <c r="V460" s="69">
        <v>12000</v>
      </c>
      <c r="W460" s="71">
        <v>1185</v>
      </c>
      <c r="X460" s="105">
        <f t="shared" si="114"/>
        <v>1161.3</v>
      </c>
      <c r="Y460" s="171">
        <f t="shared" si="115"/>
        <v>4.1524663677130001E-2</v>
      </c>
      <c r="Z460" s="64">
        <f t="shared" si="119"/>
        <v>6.2780269058295965E-2</v>
      </c>
      <c r="AA460" s="64">
        <f t="shared" si="109"/>
        <v>-3.0278232405891982E-2</v>
      </c>
      <c r="AB460" s="71">
        <f t="shared" si="116"/>
        <v>1185</v>
      </c>
      <c r="AC460" s="64">
        <f t="shared" si="120"/>
        <v>6.2780269058295965E-2</v>
      </c>
      <c r="AD460" s="64">
        <f t="shared" si="110"/>
        <v>-3.0278232405891982E-2</v>
      </c>
      <c r="AE460" s="71">
        <f>AB460</f>
        <v>1185</v>
      </c>
      <c r="AF460" s="64">
        <f t="shared" si="121"/>
        <v>6.2780269058295965E-2</v>
      </c>
      <c r="AG460" s="64">
        <f t="shared" si="111"/>
        <v>-3.0278232405891982E-2</v>
      </c>
      <c r="AH460" s="67"/>
      <c r="AI460" s="47" t="s">
        <v>54</v>
      </c>
      <c r="AJ460" s="47">
        <v>346.23</v>
      </c>
      <c r="AK460" s="101" t="s">
        <v>93</v>
      </c>
      <c r="AL460" s="101" t="s">
        <v>55</v>
      </c>
      <c r="AM460" s="47" t="s">
        <v>1673</v>
      </c>
      <c r="AN460" s="50"/>
      <c r="AO460" s="211">
        <f t="shared" si="122"/>
        <v>-1</v>
      </c>
      <c r="AP460" s="47" t="s">
        <v>852</v>
      </c>
      <c r="AQ460" s="94" t="s">
        <v>891</v>
      </c>
      <c r="AR460" s="47" t="s">
        <v>1674</v>
      </c>
    </row>
    <row r="461" spans="1:44">
      <c r="A461" s="47" t="s">
        <v>44</v>
      </c>
      <c r="B461" s="47" t="str">
        <f t="shared" si="118"/>
        <v>August</v>
      </c>
      <c r="C461" s="59">
        <v>45505</v>
      </c>
      <c r="D461" s="47" t="s">
        <v>45</v>
      </c>
      <c r="E461" s="47" t="s">
        <v>973</v>
      </c>
      <c r="F461" s="47" t="s">
        <v>974</v>
      </c>
      <c r="G461" s="47" t="s">
        <v>1686</v>
      </c>
      <c r="H461" s="47" t="s">
        <v>1687</v>
      </c>
      <c r="I461" s="47" t="s">
        <v>50</v>
      </c>
      <c r="J461" s="47" t="s">
        <v>51</v>
      </c>
      <c r="K461" s="48">
        <v>44410</v>
      </c>
      <c r="L461" s="48">
        <v>45140</v>
      </c>
      <c r="M461" s="48">
        <v>45505</v>
      </c>
      <c r="N461" s="47" t="s">
        <v>64</v>
      </c>
      <c r="O461" s="55" t="s">
        <v>53</v>
      </c>
      <c r="P461" s="62">
        <v>16900</v>
      </c>
      <c r="Q461" s="62">
        <v>1408.3333333333333</v>
      </c>
      <c r="R461" s="96">
        <v>18044</v>
      </c>
      <c r="S461" s="62">
        <f t="shared" ref="S461:S492" si="123">R461/12</f>
        <v>1503.6666666666667</v>
      </c>
      <c r="T461" s="62">
        <v>17160</v>
      </c>
      <c r="U461" s="62">
        <f t="shared" si="113"/>
        <v>1430</v>
      </c>
      <c r="V461" s="69">
        <v>15600</v>
      </c>
      <c r="W461" s="71">
        <v>1540</v>
      </c>
      <c r="X461" s="105">
        <f t="shared" si="114"/>
        <v>1509.2</v>
      </c>
      <c r="Y461" s="171">
        <f t="shared" si="115"/>
        <v>5.5384615384615414E-2</v>
      </c>
      <c r="Z461" s="64">
        <f t="shared" si="119"/>
        <v>7.6923076923076927E-2</v>
      </c>
      <c r="AA461" s="64">
        <f t="shared" si="109"/>
        <v>2.4163156727998174E-2</v>
      </c>
      <c r="AB461" s="71">
        <f t="shared" si="116"/>
        <v>1540</v>
      </c>
      <c r="AC461" s="64">
        <f t="shared" si="120"/>
        <v>7.6923076923076927E-2</v>
      </c>
      <c r="AD461" s="64">
        <f t="shared" si="110"/>
        <v>2.4163156727998174E-2</v>
      </c>
      <c r="AE461" s="71">
        <v>1525</v>
      </c>
      <c r="AF461" s="64">
        <f t="shared" si="121"/>
        <v>6.6433566433566432E-2</v>
      </c>
      <c r="AG461" s="64">
        <f t="shared" si="111"/>
        <v>1.4187541565063128E-2</v>
      </c>
      <c r="AH461" s="67"/>
      <c r="AI461" s="47" t="s">
        <v>54</v>
      </c>
      <c r="AJ461" s="47">
        <v>483.55</v>
      </c>
      <c r="AK461" s="47" t="s">
        <v>55</v>
      </c>
      <c r="AL461" s="47" t="s">
        <v>55</v>
      </c>
      <c r="AM461" s="47" t="s">
        <v>1316</v>
      </c>
      <c r="AN461" s="50"/>
      <c r="AO461" s="211">
        <f t="shared" si="122"/>
        <v>-1</v>
      </c>
      <c r="AP461" s="47" t="s">
        <v>852</v>
      </c>
      <c r="AQ461" s="94" t="s">
        <v>891</v>
      </c>
      <c r="AR461" s="47" t="s">
        <v>1066</v>
      </c>
    </row>
    <row r="462" spans="1:44" hidden="1">
      <c r="A462" s="47" t="s">
        <v>44</v>
      </c>
      <c r="B462" s="47" t="str">
        <f t="shared" si="118"/>
        <v>August</v>
      </c>
      <c r="C462" s="59">
        <v>45507</v>
      </c>
      <c r="D462" s="47" t="s">
        <v>45</v>
      </c>
      <c r="E462" s="47" t="s">
        <v>973</v>
      </c>
      <c r="F462" s="47" t="s">
        <v>974</v>
      </c>
      <c r="G462" s="47" t="s">
        <v>1696</v>
      </c>
      <c r="H462" s="47" t="s">
        <v>1697</v>
      </c>
      <c r="I462" s="47" t="s">
        <v>50</v>
      </c>
      <c r="J462" s="47" t="s">
        <v>51</v>
      </c>
      <c r="K462" s="48">
        <v>45142</v>
      </c>
      <c r="L462" s="48">
        <v>45142</v>
      </c>
      <c r="M462" s="48">
        <v>45507</v>
      </c>
      <c r="N462" s="47" t="s">
        <v>52</v>
      </c>
      <c r="O462" s="55" t="s">
        <v>53</v>
      </c>
      <c r="P462" s="62">
        <v>22308</v>
      </c>
      <c r="Q462" s="62">
        <v>1859</v>
      </c>
      <c r="R462" s="96">
        <v>23192</v>
      </c>
      <c r="S462" s="62">
        <f t="shared" si="123"/>
        <v>1932.6666666666667</v>
      </c>
      <c r="T462" s="62">
        <v>22740</v>
      </c>
      <c r="U462" s="62">
        <f t="shared" si="113"/>
        <v>1895</v>
      </c>
      <c r="V462" s="69">
        <v>21300</v>
      </c>
      <c r="W462" s="63">
        <v>1995</v>
      </c>
      <c r="X462" s="105">
        <f t="shared" si="114"/>
        <v>1955.1</v>
      </c>
      <c r="Y462" s="171">
        <f t="shared" si="115"/>
        <v>3.1715039577836363E-2</v>
      </c>
      <c r="Z462" s="64">
        <f t="shared" si="119"/>
        <v>5.2770448548812667E-2</v>
      </c>
      <c r="AA462" s="64">
        <f t="shared" si="109"/>
        <v>3.2252500862366293E-2</v>
      </c>
      <c r="AB462" s="71">
        <f t="shared" si="116"/>
        <v>1995</v>
      </c>
      <c r="AC462" s="64">
        <f t="shared" si="120"/>
        <v>5.2770448548812667E-2</v>
      </c>
      <c r="AD462" s="64">
        <f t="shared" si="110"/>
        <v>3.2252500862366293E-2</v>
      </c>
      <c r="AE462" s="63">
        <v>1990</v>
      </c>
      <c r="AF462" s="64">
        <f t="shared" si="121"/>
        <v>5.0131926121372031E-2</v>
      </c>
      <c r="AG462" s="64">
        <f t="shared" si="111"/>
        <v>2.966540186271124E-2</v>
      </c>
      <c r="AH462" s="67"/>
      <c r="AI462" s="47" t="s">
        <v>54</v>
      </c>
      <c r="AJ462" s="47">
        <v>698.07</v>
      </c>
      <c r="AK462" s="47" t="s">
        <v>65</v>
      </c>
      <c r="AL462" s="47" t="s">
        <v>65</v>
      </c>
      <c r="AM462" s="47" t="s">
        <v>977</v>
      </c>
      <c r="AN462" s="50"/>
      <c r="AO462" s="211">
        <f t="shared" si="122"/>
        <v>-1</v>
      </c>
      <c r="AP462" s="47" t="s">
        <v>852</v>
      </c>
      <c r="AQ462" s="94" t="s">
        <v>891</v>
      </c>
      <c r="AR462" s="47" t="s">
        <v>1698</v>
      </c>
    </row>
    <row r="463" spans="1:44" hidden="1">
      <c r="A463" s="47" t="s">
        <v>44</v>
      </c>
      <c r="B463" s="47" t="str">
        <f t="shared" si="118"/>
        <v>August</v>
      </c>
      <c r="C463" s="59">
        <v>45507</v>
      </c>
      <c r="D463" s="47" t="s">
        <v>45</v>
      </c>
      <c r="E463" s="47" t="s">
        <v>973</v>
      </c>
      <c r="F463" s="47" t="s">
        <v>974</v>
      </c>
      <c r="G463" s="47" t="s">
        <v>1701</v>
      </c>
      <c r="H463" s="47" t="s">
        <v>1702</v>
      </c>
      <c r="I463" s="47" t="s">
        <v>50</v>
      </c>
      <c r="J463" s="47" t="s">
        <v>51</v>
      </c>
      <c r="K463" s="48">
        <v>45142</v>
      </c>
      <c r="L463" s="48">
        <v>45142</v>
      </c>
      <c r="M463" s="48">
        <v>45507</v>
      </c>
      <c r="N463" s="47" t="s">
        <v>52</v>
      </c>
      <c r="O463" s="55" t="s">
        <v>53</v>
      </c>
      <c r="P463" s="62">
        <v>22984</v>
      </c>
      <c r="Q463" s="62">
        <v>1915.3333333333333</v>
      </c>
      <c r="R463" s="96">
        <v>23868</v>
      </c>
      <c r="S463" s="62">
        <f t="shared" si="123"/>
        <v>1989</v>
      </c>
      <c r="T463" s="62">
        <v>23100</v>
      </c>
      <c r="U463" s="62">
        <f t="shared" si="113"/>
        <v>1925</v>
      </c>
      <c r="V463" s="69">
        <v>20640</v>
      </c>
      <c r="W463" s="63">
        <v>2030</v>
      </c>
      <c r="X463" s="105">
        <f t="shared" si="114"/>
        <v>1989.4</v>
      </c>
      <c r="Y463" s="171">
        <f t="shared" si="115"/>
        <v>3.3454545454545501E-2</v>
      </c>
      <c r="Z463" s="64">
        <f t="shared" si="119"/>
        <v>5.4545454545454543E-2</v>
      </c>
      <c r="AA463" s="64">
        <f t="shared" si="109"/>
        <v>2.0613373554550025E-2</v>
      </c>
      <c r="AB463" s="71">
        <f t="shared" si="116"/>
        <v>2030</v>
      </c>
      <c r="AC463" s="64">
        <f t="shared" si="120"/>
        <v>5.4545454545454543E-2</v>
      </c>
      <c r="AD463" s="64">
        <f t="shared" si="110"/>
        <v>2.0613373554550025E-2</v>
      </c>
      <c r="AE463" s="63">
        <v>2005</v>
      </c>
      <c r="AF463" s="64">
        <f t="shared" si="121"/>
        <v>4.1558441558441558E-2</v>
      </c>
      <c r="AG463" s="64">
        <f t="shared" si="111"/>
        <v>8.0442433383609846E-3</v>
      </c>
      <c r="AH463" s="67"/>
      <c r="AI463" s="47" t="s">
        <v>54</v>
      </c>
      <c r="AJ463" s="47">
        <v>702.47</v>
      </c>
      <c r="AK463" s="47" t="s">
        <v>65</v>
      </c>
      <c r="AL463" s="47" t="s">
        <v>65</v>
      </c>
      <c r="AM463" s="47" t="s">
        <v>977</v>
      </c>
      <c r="AN463" s="50">
        <v>2030</v>
      </c>
      <c r="AO463" s="211">
        <f t="shared" si="122"/>
        <v>5.4545454545454543E-2</v>
      </c>
      <c r="AP463" s="47" t="s">
        <v>852</v>
      </c>
      <c r="AQ463" s="111" t="s">
        <v>125</v>
      </c>
      <c r="AR463" s="47" t="s">
        <v>1703</v>
      </c>
    </row>
    <row r="464" spans="1:44" hidden="1">
      <c r="A464" s="47" t="s">
        <v>44</v>
      </c>
      <c r="B464" s="47" t="str">
        <f t="shared" si="118"/>
        <v>August</v>
      </c>
      <c r="C464" s="221">
        <v>45507</v>
      </c>
      <c r="D464" s="47" t="s">
        <v>45</v>
      </c>
      <c r="E464" s="47" t="s">
        <v>973</v>
      </c>
      <c r="F464" s="47" t="s">
        <v>974</v>
      </c>
      <c r="G464" s="77" t="s">
        <v>1704</v>
      </c>
      <c r="H464" s="47" t="s">
        <v>1705</v>
      </c>
      <c r="I464" s="47" t="s">
        <v>50</v>
      </c>
      <c r="J464" s="47" t="s">
        <v>51</v>
      </c>
      <c r="K464" s="48">
        <v>45142</v>
      </c>
      <c r="L464" s="48">
        <v>45142</v>
      </c>
      <c r="M464" s="48">
        <v>45507</v>
      </c>
      <c r="N464" s="47" t="s">
        <v>52</v>
      </c>
      <c r="O464" s="55" t="s">
        <v>53</v>
      </c>
      <c r="P464" s="62">
        <v>17472</v>
      </c>
      <c r="Q464" s="62">
        <v>1456</v>
      </c>
      <c r="R464" s="96">
        <v>18616</v>
      </c>
      <c r="S464" s="62">
        <f t="shared" si="123"/>
        <v>1551.3333333333333</v>
      </c>
      <c r="T464" s="62">
        <v>17460</v>
      </c>
      <c r="U464" s="62">
        <f t="shared" si="113"/>
        <v>1455</v>
      </c>
      <c r="V464" s="69">
        <v>16260</v>
      </c>
      <c r="W464" s="63">
        <v>1550</v>
      </c>
      <c r="X464" s="105">
        <f t="shared" si="114"/>
        <v>1519</v>
      </c>
      <c r="Y464" s="171">
        <f t="shared" si="115"/>
        <v>4.3986254295532649E-2</v>
      </c>
      <c r="Z464" s="64">
        <f t="shared" si="119"/>
        <v>6.5292096219931275E-2</v>
      </c>
      <c r="AA464" s="64">
        <f t="shared" si="109"/>
        <v>-8.5947571981086657E-4</v>
      </c>
      <c r="AB464" s="71">
        <f t="shared" si="116"/>
        <v>1550</v>
      </c>
      <c r="AC464" s="64">
        <f t="shared" si="120"/>
        <v>6.5292096219931275E-2</v>
      </c>
      <c r="AD464" s="64">
        <f t="shared" si="110"/>
        <v>-8.5947571981086657E-4</v>
      </c>
      <c r="AE464" s="63">
        <f>AB464</f>
        <v>1550</v>
      </c>
      <c r="AF464" s="64">
        <f t="shared" si="121"/>
        <v>6.5292096219931275E-2</v>
      </c>
      <c r="AG464" s="64">
        <f t="shared" si="111"/>
        <v>-8.5947571981086657E-4</v>
      </c>
      <c r="AH464" s="67"/>
      <c r="AI464" s="47" t="s">
        <v>54</v>
      </c>
      <c r="AJ464" s="47">
        <v>504.96</v>
      </c>
      <c r="AK464" s="47" t="s">
        <v>55</v>
      </c>
      <c r="AL464" s="47" t="s">
        <v>55</v>
      </c>
      <c r="AM464" s="47" t="s">
        <v>1706</v>
      </c>
      <c r="AN464" s="50"/>
      <c r="AO464" s="211">
        <f t="shared" si="122"/>
        <v>-1</v>
      </c>
      <c r="AP464" s="47" t="s">
        <v>852</v>
      </c>
      <c r="AQ464" s="94" t="s">
        <v>1039</v>
      </c>
      <c r="AR464" s="47" t="s">
        <v>960</v>
      </c>
    </row>
    <row r="465" spans="1:44" hidden="1">
      <c r="A465" s="47" t="s">
        <v>74</v>
      </c>
      <c r="B465" s="47" t="str">
        <f t="shared" si="118"/>
        <v>August</v>
      </c>
      <c r="C465" s="59">
        <v>45508</v>
      </c>
      <c r="D465" s="47" t="s">
        <v>45</v>
      </c>
      <c r="E465" s="47" t="s">
        <v>973</v>
      </c>
      <c r="F465" s="47" t="s">
        <v>974</v>
      </c>
      <c r="G465" s="47" t="s">
        <v>1718</v>
      </c>
      <c r="H465" s="47" t="s">
        <v>1719</v>
      </c>
      <c r="I465" s="47" t="s">
        <v>50</v>
      </c>
      <c r="J465" s="47" t="s">
        <v>51</v>
      </c>
      <c r="K465" s="48">
        <v>45327</v>
      </c>
      <c r="L465" s="48">
        <v>45327</v>
      </c>
      <c r="M465" s="48">
        <v>45508</v>
      </c>
      <c r="N465" s="47" t="s">
        <v>52</v>
      </c>
      <c r="O465" s="55" t="s">
        <v>53</v>
      </c>
      <c r="P465" s="62">
        <v>22464</v>
      </c>
      <c r="Q465" s="62">
        <v>1872</v>
      </c>
      <c r="R465" s="96">
        <v>23348</v>
      </c>
      <c r="S465" s="62">
        <f t="shared" si="123"/>
        <v>1945.6666666666667</v>
      </c>
      <c r="T465" s="62">
        <v>23580</v>
      </c>
      <c r="U465" s="62">
        <f t="shared" ref="U465:U496" si="124">T465/12</f>
        <v>1965</v>
      </c>
      <c r="V465" s="69">
        <v>22860</v>
      </c>
      <c r="W465" s="71">
        <v>1995</v>
      </c>
      <c r="X465" s="172">
        <f t="shared" si="114"/>
        <v>1955.1</v>
      </c>
      <c r="Y465" s="173">
        <f t="shared" si="115"/>
        <v>-5.0381679389313438E-3</v>
      </c>
      <c r="Z465" s="64">
        <f t="shared" si="119"/>
        <v>1.5267175572519083E-2</v>
      </c>
      <c r="AA465" s="64">
        <f t="shared" si="109"/>
        <v>2.5355490834332667E-2</v>
      </c>
      <c r="AB465" s="71">
        <f t="shared" si="116"/>
        <v>1995</v>
      </c>
      <c r="AC465" s="64">
        <f t="shared" si="120"/>
        <v>1.5267175572519083E-2</v>
      </c>
      <c r="AD465" s="64">
        <f t="shared" si="110"/>
        <v>2.5355490834332667E-2</v>
      </c>
      <c r="AE465" s="71">
        <f>AB465</f>
        <v>1995</v>
      </c>
      <c r="AF465" s="64">
        <f t="shared" si="121"/>
        <v>1.5267175572519083E-2</v>
      </c>
      <c r="AG465" s="64">
        <f t="shared" si="111"/>
        <v>2.5355490834332667E-2</v>
      </c>
      <c r="AH465" s="67"/>
      <c r="AI465" s="47" t="s">
        <v>54</v>
      </c>
      <c r="AJ465" s="47">
        <v>771.16</v>
      </c>
      <c r="AK465" s="47" t="s">
        <v>65</v>
      </c>
      <c r="AL465" s="47" t="s">
        <v>65</v>
      </c>
      <c r="AM465" s="47" t="s">
        <v>977</v>
      </c>
      <c r="AN465" s="50">
        <v>1995</v>
      </c>
      <c r="AO465" s="211">
        <f t="shared" si="122"/>
        <v>1.5267175572519083E-2</v>
      </c>
      <c r="AP465" s="47" t="s">
        <v>852</v>
      </c>
      <c r="AQ465" s="111" t="s">
        <v>125</v>
      </c>
      <c r="AR465" s="47" t="s">
        <v>1720</v>
      </c>
    </row>
    <row r="466" spans="1:44" hidden="1">
      <c r="A466" s="47" t="s">
        <v>44</v>
      </c>
      <c r="B466" s="47" t="str">
        <f t="shared" si="118"/>
        <v>August</v>
      </c>
      <c r="C466" s="59">
        <v>45508</v>
      </c>
      <c r="D466" s="47" t="s">
        <v>45</v>
      </c>
      <c r="E466" s="47" t="s">
        <v>973</v>
      </c>
      <c r="F466" s="47" t="s">
        <v>974</v>
      </c>
      <c r="G466" s="47" t="s">
        <v>1726</v>
      </c>
      <c r="H466" s="47" t="s">
        <v>1727</v>
      </c>
      <c r="I466" s="47" t="s">
        <v>50</v>
      </c>
      <c r="J466" s="47" t="s">
        <v>51</v>
      </c>
      <c r="K466" s="48">
        <v>45143</v>
      </c>
      <c r="L466" s="48">
        <v>45143</v>
      </c>
      <c r="M466" s="48">
        <v>45508</v>
      </c>
      <c r="N466" s="47" t="s">
        <v>52</v>
      </c>
      <c r="O466" s="55" t="s">
        <v>53</v>
      </c>
      <c r="P466" s="62">
        <v>22672</v>
      </c>
      <c r="Q466" s="62">
        <v>1889.3333333333333</v>
      </c>
      <c r="R466" s="96">
        <v>23556</v>
      </c>
      <c r="S466" s="62">
        <f t="shared" si="123"/>
        <v>1963</v>
      </c>
      <c r="T466" s="62">
        <v>22500</v>
      </c>
      <c r="U466" s="62">
        <f t="shared" si="124"/>
        <v>1875</v>
      </c>
      <c r="V466" s="69">
        <v>20520</v>
      </c>
      <c r="W466" s="63">
        <v>1975</v>
      </c>
      <c r="X466" s="105">
        <f t="shared" si="114"/>
        <v>1935.5</v>
      </c>
      <c r="Y466" s="171">
        <f t="shared" si="115"/>
        <v>3.2266666666666666E-2</v>
      </c>
      <c r="Z466" s="64">
        <f t="shared" si="119"/>
        <v>5.3333333333333337E-2</v>
      </c>
      <c r="AA466" s="64">
        <f t="shared" si="109"/>
        <v>6.1130922058074376E-3</v>
      </c>
      <c r="AB466" s="63">
        <f t="shared" si="116"/>
        <v>1975</v>
      </c>
      <c r="AC466" s="64">
        <f t="shared" si="120"/>
        <v>5.3333333333333337E-2</v>
      </c>
      <c r="AD466" s="64">
        <f t="shared" si="110"/>
        <v>6.1130922058074376E-3</v>
      </c>
      <c r="AE466" s="63">
        <f>AB466</f>
        <v>1975</v>
      </c>
      <c r="AF466" s="64">
        <f t="shared" si="121"/>
        <v>5.3333333333333337E-2</v>
      </c>
      <c r="AG466" s="64">
        <f t="shared" si="111"/>
        <v>6.1130922058074376E-3</v>
      </c>
      <c r="AH466" s="67"/>
      <c r="AI466" s="47" t="s">
        <v>54</v>
      </c>
      <c r="AJ466" s="47">
        <v>841.14</v>
      </c>
      <c r="AK466" s="47" t="s">
        <v>65</v>
      </c>
      <c r="AL466" s="47" t="s">
        <v>65</v>
      </c>
      <c r="AM466" s="47" t="s">
        <v>1172</v>
      </c>
      <c r="AN466" s="50">
        <v>1975</v>
      </c>
      <c r="AO466" s="211">
        <f t="shared" si="122"/>
        <v>5.3333333333333337E-2</v>
      </c>
      <c r="AP466" s="47" t="s">
        <v>852</v>
      </c>
      <c r="AQ466" s="111" t="s">
        <v>125</v>
      </c>
      <c r="AR466" s="47" t="s">
        <v>1703</v>
      </c>
    </row>
    <row r="467" spans="1:44" hidden="1">
      <c r="A467" s="47" t="s">
        <v>44</v>
      </c>
      <c r="B467" s="47" t="str">
        <f t="shared" si="118"/>
        <v>August</v>
      </c>
      <c r="C467" s="59">
        <v>45508</v>
      </c>
      <c r="D467" s="47" t="s">
        <v>45</v>
      </c>
      <c r="E467" s="47" t="s">
        <v>973</v>
      </c>
      <c r="F467" s="47" t="s">
        <v>974</v>
      </c>
      <c r="G467" s="47" t="s">
        <v>1728</v>
      </c>
      <c r="H467" s="47" t="s">
        <v>1729</v>
      </c>
      <c r="I467" s="47" t="s">
        <v>50</v>
      </c>
      <c r="J467" s="47" t="s">
        <v>51</v>
      </c>
      <c r="K467" s="48">
        <v>45143</v>
      </c>
      <c r="L467" s="48">
        <v>45143</v>
      </c>
      <c r="M467" s="48">
        <v>45508</v>
      </c>
      <c r="N467" s="47" t="s">
        <v>52</v>
      </c>
      <c r="O467" s="55" t="s">
        <v>53</v>
      </c>
      <c r="P467" s="62">
        <v>22672</v>
      </c>
      <c r="Q467" s="62">
        <v>1889.3333333333333</v>
      </c>
      <c r="R467" s="96">
        <v>23556</v>
      </c>
      <c r="S467" s="62">
        <f t="shared" si="123"/>
        <v>1963</v>
      </c>
      <c r="T467" s="62">
        <v>23400</v>
      </c>
      <c r="U467" s="62">
        <f t="shared" si="124"/>
        <v>1950</v>
      </c>
      <c r="V467" s="69">
        <v>21600</v>
      </c>
      <c r="W467" s="71">
        <v>2055</v>
      </c>
      <c r="X467" s="105">
        <f t="shared" si="114"/>
        <v>2013.9</v>
      </c>
      <c r="Y467" s="171">
        <f t="shared" si="115"/>
        <v>3.2769230769230814E-2</v>
      </c>
      <c r="Z467" s="64">
        <f t="shared" si="119"/>
        <v>5.3846153846153849E-2</v>
      </c>
      <c r="AA467" s="64">
        <f t="shared" si="109"/>
        <v>4.6867040244523692E-2</v>
      </c>
      <c r="AB467" s="71">
        <f t="shared" si="116"/>
        <v>2055</v>
      </c>
      <c r="AC467" s="64">
        <f t="shared" si="120"/>
        <v>5.3846153846153849E-2</v>
      </c>
      <c r="AD467" s="64">
        <f t="shared" si="110"/>
        <v>4.6867040244523692E-2</v>
      </c>
      <c r="AE467" s="71">
        <v>2030</v>
      </c>
      <c r="AF467" s="64">
        <f t="shared" si="121"/>
        <v>4.1025641025641026E-2</v>
      </c>
      <c r="AG467" s="64">
        <f t="shared" si="111"/>
        <v>3.4131431482424861E-2</v>
      </c>
      <c r="AH467" s="67"/>
      <c r="AI467" s="47" t="s">
        <v>54</v>
      </c>
      <c r="AJ467" s="47">
        <v>840.59</v>
      </c>
      <c r="AK467" s="47" t="s">
        <v>65</v>
      </c>
      <c r="AL467" s="47" t="s">
        <v>65</v>
      </c>
      <c r="AM467" s="47" t="s">
        <v>1620</v>
      </c>
      <c r="AN467" s="50">
        <v>2055</v>
      </c>
      <c r="AO467" s="211">
        <f t="shared" si="122"/>
        <v>5.3846153846153849E-2</v>
      </c>
      <c r="AP467" s="47" t="s">
        <v>852</v>
      </c>
      <c r="AQ467" s="111" t="s">
        <v>125</v>
      </c>
      <c r="AR467" s="47" t="s">
        <v>1730</v>
      </c>
    </row>
    <row r="468" spans="1:44" hidden="1">
      <c r="A468" s="47" t="s">
        <v>44</v>
      </c>
      <c r="B468" s="47" t="str">
        <f t="shared" si="118"/>
        <v>August</v>
      </c>
      <c r="C468" s="59">
        <v>45508</v>
      </c>
      <c r="D468" s="47" t="s">
        <v>45</v>
      </c>
      <c r="E468" s="47" t="s">
        <v>973</v>
      </c>
      <c r="F468" s="47" t="s">
        <v>974</v>
      </c>
      <c r="G468" s="47" t="s">
        <v>1731</v>
      </c>
      <c r="H468" s="47" t="s">
        <v>1732</v>
      </c>
      <c r="I468" s="47" t="s">
        <v>50</v>
      </c>
      <c r="J468" s="47" t="s">
        <v>51</v>
      </c>
      <c r="K468" s="48">
        <v>45143</v>
      </c>
      <c r="L468" s="48">
        <v>45143</v>
      </c>
      <c r="M468" s="48">
        <v>45508</v>
      </c>
      <c r="N468" s="47" t="s">
        <v>52</v>
      </c>
      <c r="O468" s="55" t="s">
        <v>53</v>
      </c>
      <c r="P468" s="62">
        <v>17004</v>
      </c>
      <c r="Q468" s="62">
        <v>1417</v>
      </c>
      <c r="R468" s="96">
        <v>18148</v>
      </c>
      <c r="S468" s="62">
        <f t="shared" si="123"/>
        <v>1512.3333333333333</v>
      </c>
      <c r="T468" s="62">
        <v>16800</v>
      </c>
      <c r="U468" s="62">
        <f t="shared" si="124"/>
        <v>1400</v>
      </c>
      <c r="V468" s="69">
        <v>15060</v>
      </c>
      <c r="W468" s="71">
        <v>1485</v>
      </c>
      <c r="X468" s="105">
        <f t="shared" si="114"/>
        <v>1455.3</v>
      </c>
      <c r="Y468" s="171">
        <f t="shared" si="115"/>
        <v>3.9499999999999966E-2</v>
      </c>
      <c r="Z468" s="64">
        <f t="shared" si="119"/>
        <v>6.0714285714285714E-2</v>
      </c>
      <c r="AA468" s="64">
        <f t="shared" si="109"/>
        <v>-1.8073616927485072E-2</v>
      </c>
      <c r="AB468" s="71">
        <f t="shared" si="116"/>
        <v>1485</v>
      </c>
      <c r="AC468" s="64">
        <f t="shared" si="120"/>
        <v>6.0714285714285714E-2</v>
      </c>
      <c r="AD468" s="64">
        <f t="shared" si="110"/>
        <v>-1.8073616927485072E-2</v>
      </c>
      <c r="AE468" s="71">
        <f>AB468</f>
        <v>1485</v>
      </c>
      <c r="AF468" s="64">
        <f t="shared" si="121"/>
        <v>6.0714285714285714E-2</v>
      </c>
      <c r="AG468" s="64">
        <f t="shared" si="111"/>
        <v>-1.8073616927485072E-2</v>
      </c>
      <c r="AH468" s="67"/>
      <c r="AI468" s="47" t="s">
        <v>54</v>
      </c>
      <c r="AJ468" s="47">
        <v>509.33</v>
      </c>
      <c r="AK468" s="47" t="s">
        <v>55</v>
      </c>
      <c r="AL468" s="47" t="s">
        <v>55</v>
      </c>
      <c r="AM468" s="47" t="s">
        <v>1316</v>
      </c>
      <c r="AN468" s="50"/>
      <c r="AO468" s="211">
        <f t="shared" si="122"/>
        <v>-1</v>
      </c>
      <c r="AP468" s="47" t="s">
        <v>852</v>
      </c>
      <c r="AQ468" s="91" t="s">
        <v>1074</v>
      </c>
      <c r="AR468" s="47"/>
    </row>
    <row r="469" spans="1:44">
      <c r="A469" s="47" t="s">
        <v>44</v>
      </c>
      <c r="B469" s="47" t="str">
        <f t="shared" si="118"/>
        <v>August</v>
      </c>
      <c r="C469" s="59">
        <v>45509</v>
      </c>
      <c r="D469" s="47" t="s">
        <v>45</v>
      </c>
      <c r="E469" s="47" t="s">
        <v>973</v>
      </c>
      <c r="F469" s="47" t="s">
        <v>974</v>
      </c>
      <c r="G469" s="47" t="s">
        <v>1735</v>
      </c>
      <c r="H469" s="47" t="s">
        <v>1736</v>
      </c>
      <c r="I469" s="47" t="s">
        <v>50</v>
      </c>
      <c r="J469" s="47" t="s">
        <v>51</v>
      </c>
      <c r="K469" s="48">
        <v>43683</v>
      </c>
      <c r="L469" s="48">
        <v>44779</v>
      </c>
      <c r="M469" s="48">
        <v>45509</v>
      </c>
      <c r="N469" s="47" t="s">
        <v>64</v>
      </c>
      <c r="O469" s="55" t="s">
        <v>53</v>
      </c>
      <c r="P469" s="62">
        <v>17004</v>
      </c>
      <c r="Q469" s="62">
        <v>1417</v>
      </c>
      <c r="R469" s="96">
        <v>18148</v>
      </c>
      <c r="S469" s="62">
        <f t="shared" si="123"/>
        <v>1512.3333333333333</v>
      </c>
      <c r="T469" s="62">
        <v>15214.56</v>
      </c>
      <c r="U469" s="62">
        <f t="shared" si="124"/>
        <v>1267.8799999999999</v>
      </c>
      <c r="V469" s="69">
        <v>14700</v>
      </c>
      <c r="W469" s="71">
        <v>1535</v>
      </c>
      <c r="X469" s="105">
        <f t="shared" ref="X469:X496" si="125">W469-(W469*2%)</f>
        <v>1504.3</v>
      </c>
      <c r="Y469" s="171">
        <f t="shared" ref="Y469:Y496" si="126">(X469-U469)/U469</f>
        <v>0.1864687509858978</v>
      </c>
      <c r="Z469" s="64">
        <f t="shared" si="119"/>
        <v>0.21068239896520186</v>
      </c>
      <c r="AA469" s="64">
        <f t="shared" si="109"/>
        <v>1.4987877452060884E-2</v>
      </c>
      <c r="AB469" s="71">
        <f t="shared" ref="AB469:AB496" si="127">W469</f>
        <v>1535</v>
      </c>
      <c r="AC469" s="64">
        <f t="shared" si="120"/>
        <v>0.21068239896520186</v>
      </c>
      <c r="AD469" s="64">
        <f t="shared" si="110"/>
        <v>1.4987877452060884E-2</v>
      </c>
      <c r="AE469" s="71">
        <v>1515</v>
      </c>
      <c r="AF469" s="64">
        <f t="shared" si="121"/>
        <v>0.19490803546076926</v>
      </c>
      <c r="AG469" s="64">
        <f t="shared" si="111"/>
        <v>1.7632797002425011E-3</v>
      </c>
      <c r="AH469" s="67"/>
      <c r="AI469" s="47" t="s">
        <v>54</v>
      </c>
      <c r="AJ469" s="47">
        <v>515.98</v>
      </c>
      <c r="AK469" s="47" t="s">
        <v>55</v>
      </c>
      <c r="AL469" s="47" t="s">
        <v>55</v>
      </c>
      <c r="AM469" s="47" t="s">
        <v>1316</v>
      </c>
      <c r="AN469" s="50"/>
      <c r="AO469" s="211">
        <f t="shared" si="122"/>
        <v>-1</v>
      </c>
      <c r="AP469" s="47" t="s">
        <v>852</v>
      </c>
      <c r="AQ469" s="91" t="s">
        <v>1074</v>
      </c>
      <c r="AR469" s="77" t="s">
        <v>1737</v>
      </c>
    </row>
    <row r="470" spans="1:44" hidden="1">
      <c r="A470" s="47" t="s">
        <v>44</v>
      </c>
      <c r="B470" s="47" t="str">
        <f t="shared" si="118"/>
        <v>August</v>
      </c>
      <c r="C470" s="221">
        <v>45510</v>
      </c>
      <c r="D470" s="47" t="s">
        <v>45</v>
      </c>
      <c r="E470" s="47" t="s">
        <v>973</v>
      </c>
      <c r="F470" s="47" t="s">
        <v>974</v>
      </c>
      <c r="G470" s="77" t="s">
        <v>1738</v>
      </c>
      <c r="H470" s="47" t="s">
        <v>1739</v>
      </c>
      <c r="I470" s="47" t="s">
        <v>50</v>
      </c>
      <c r="J470" s="47" t="s">
        <v>51</v>
      </c>
      <c r="K470" s="48">
        <v>45145</v>
      </c>
      <c r="L470" s="48">
        <v>45145</v>
      </c>
      <c r="M470" s="48">
        <v>45510</v>
      </c>
      <c r="N470" s="47" t="s">
        <v>52</v>
      </c>
      <c r="O470" s="55" t="s">
        <v>53</v>
      </c>
      <c r="P470" s="62">
        <v>16900</v>
      </c>
      <c r="Q470" s="62">
        <v>1408.3333333333333</v>
      </c>
      <c r="R470" s="96">
        <v>18044</v>
      </c>
      <c r="S470" s="62">
        <f t="shared" si="123"/>
        <v>1503.6666666666667</v>
      </c>
      <c r="T470" s="62">
        <v>17460</v>
      </c>
      <c r="U470" s="62">
        <f t="shared" si="124"/>
        <v>1455</v>
      </c>
      <c r="V470" s="69">
        <v>16200</v>
      </c>
      <c r="W470" s="71">
        <v>1540</v>
      </c>
      <c r="X470" s="105">
        <f t="shared" si="125"/>
        <v>1509.2</v>
      </c>
      <c r="Y470" s="171">
        <f t="shared" si="126"/>
        <v>3.7250859106529241E-2</v>
      </c>
      <c r="Z470" s="64">
        <f t="shared" si="119"/>
        <v>5.8419243986254296E-2</v>
      </c>
      <c r="AA470" s="64">
        <f t="shared" si="109"/>
        <v>2.4163156727998174E-2</v>
      </c>
      <c r="AB470" s="71">
        <f t="shared" si="127"/>
        <v>1540</v>
      </c>
      <c r="AC470" s="64">
        <f t="shared" si="120"/>
        <v>5.8419243986254296E-2</v>
      </c>
      <c r="AD470" s="64">
        <f t="shared" si="110"/>
        <v>2.4163156727998174E-2</v>
      </c>
      <c r="AE470" s="71">
        <v>1535</v>
      </c>
      <c r="AF470" s="64">
        <f t="shared" si="121"/>
        <v>5.4982817869415807E-2</v>
      </c>
      <c r="AG470" s="64">
        <f t="shared" si="111"/>
        <v>2.0837951673686492E-2</v>
      </c>
      <c r="AH470" s="67"/>
      <c r="AI470" s="47" t="s">
        <v>250</v>
      </c>
      <c r="AJ470" s="47">
        <v>483.48</v>
      </c>
      <c r="AK470" s="47" t="s">
        <v>55</v>
      </c>
      <c r="AL470" s="47" t="s">
        <v>55</v>
      </c>
      <c r="AM470" s="47" t="s">
        <v>1740</v>
      </c>
      <c r="AN470" s="50"/>
      <c r="AO470" s="211">
        <f t="shared" si="122"/>
        <v>-1</v>
      </c>
      <c r="AP470" s="47" t="s">
        <v>852</v>
      </c>
      <c r="AQ470" s="94" t="s">
        <v>898</v>
      </c>
      <c r="AR470" s="47" t="s">
        <v>1066</v>
      </c>
    </row>
    <row r="471" spans="1:44" hidden="1">
      <c r="A471" s="47" t="s">
        <v>44</v>
      </c>
      <c r="B471" s="47" t="str">
        <f t="shared" si="118"/>
        <v>August</v>
      </c>
      <c r="C471" s="221">
        <v>45510</v>
      </c>
      <c r="D471" s="47" t="s">
        <v>45</v>
      </c>
      <c r="E471" s="47" t="s">
        <v>973</v>
      </c>
      <c r="F471" s="47" t="s">
        <v>974</v>
      </c>
      <c r="G471" s="47" t="s">
        <v>1744</v>
      </c>
      <c r="H471" s="47" t="s">
        <v>1745</v>
      </c>
      <c r="I471" s="47" t="s">
        <v>50</v>
      </c>
      <c r="J471" s="47" t="s">
        <v>51</v>
      </c>
      <c r="K471" s="48">
        <v>45145</v>
      </c>
      <c r="L471" s="48">
        <v>45145</v>
      </c>
      <c r="M471" s="48">
        <v>45510</v>
      </c>
      <c r="N471" s="47" t="s">
        <v>52</v>
      </c>
      <c r="O471" s="55" t="s">
        <v>53</v>
      </c>
      <c r="P471" s="62">
        <v>17004</v>
      </c>
      <c r="Q471" s="62">
        <v>1417</v>
      </c>
      <c r="R471" s="96">
        <v>18148</v>
      </c>
      <c r="S471" s="62">
        <f t="shared" si="123"/>
        <v>1512.3333333333333</v>
      </c>
      <c r="T471" s="62">
        <v>17400</v>
      </c>
      <c r="U471" s="62">
        <f t="shared" si="124"/>
        <v>1450</v>
      </c>
      <c r="V471" s="69">
        <v>15540</v>
      </c>
      <c r="W471" s="71">
        <v>1535</v>
      </c>
      <c r="X471" s="105">
        <f t="shared" si="125"/>
        <v>1504.3</v>
      </c>
      <c r="Y471" s="171">
        <f t="shared" si="126"/>
        <v>3.7448275862068933E-2</v>
      </c>
      <c r="Z471" s="64">
        <f t="shared" si="119"/>
        <v>5.8620689655172413E-2</v>
      </c>
      <c r="AA471" s="64">
        <f t="shared" si="109"/>
        <v>1.4987877452060884E-2</v>
      </c>
      <c r="AB471" s="71">
        <f t="shared" si="127"/>
        <v>1535</v>
      </c>
      <c r="AC471" s="64">
        <f t="shared" si="120"/>
        <v>5.8620689655172413E-2</v>
      </c>
      <c r="AD471" s="64">
        <f t="shared" si="110"/>
        <v>1.4987877452060884E-2</v>
      </c>
      <c r="AE471" s="71">
        <v>1530</v>
      </c>
      <c r="AF471" s="64">
        <f t="shared" si="121"/>
        <v>5.5172413793103448E-2</v>
      </c>
      <c r="AG471" s="64">
        <f t="shared" si="111"/>
        <v>1.1681728014106288E-2</v>
      </c>
      <c r="AH471" s="67"/>
      <c r="AI471" s="47" t="s">
        <v>54</v>
      </c>
      <c r="AJ471" s="47">
        <v>502.33</v>
      </c>
      <c r="AK471" s="47" t="s">
        <v>55</v>
      </c>
      <c r="AL471" s="47" t="s">
        <v>55</v>
      </c>
      <c r="AM471" s="47" t="s">
        <v>1746</v>
      </c>
      <c r="AN471" s="50">
        <v>1535</v>
      </c>
      <c r="AO471" s="211">
        <f t="shared" si="122"/>
        <v>5.8620689655172413E-2</v>
      </c>
      <c r="AP471" s="47" t="s">
        <v>852</v>
      </c>
      <c r="AQ471" s="111" t="s">
        <v>125</v>
      </c>
      <c r="AR471" s="47" t="s">
        <v>1747</v>
      </c>
    </row>
    <row r="472" spans="1:44" hidden="1">
      <c r="A472" s="47" t="s">
        <v>44</v>
      </c>
      <c r="B472" s="47" t="str">
        <f t="shared" si="118"/>
        <v>August</v>
      </c>
      <c r="C472" s="59">
        <v>45512</v>
      </c>
      <c r="D472" s="47" t="s">
        <v>45</v>
      </c>
      <c r="E472" s="47" t="s">
        <v>973</v>
      </c>
      <c r="F472" s="47" t="s">
        <v>974</v>
      </c>
      <c r="G472" s="47" t="s">
        <v>1890</v>
      </c>
      <c r="H472" s="47" t="s">
        <v>1891</v>
      </c>
      <c r="I472" s="47" t="s">
        <v>50</v>
      </c>
      <c r="J472" s="47" t="s">
        <v>51</v>
      </c>
      <c r="K472" s="48">
        <v>45147</v>
      </c>
      <c r="L472" s="48">
        <v>45147</v>
      </c>
      <c r="M472" s="48">
        <v>45512</v>
      </c>
      <c r="N472" s="47" t="s">
        <v>52</v>
      </c>
      <c r="O472" s="55" t="s">
        <v>53</v>
      </c>
      <c r="P472" s="62">
        <v>22464</v>
      </c>
      <c r="Q472" s="62">
        <v>1872</v>
      </c>
      <c r="R472" s="96">
        <v>23348</v>
      </c>
      <c r="S472" s="62">
        <f t="shared" si="123"/>
        <v>1945.6666666666667</v>
      </c>
      <c r="T472" s="62">
        <v>23100</v>
      </c>
      <c r="U472" s="62">
        <f t="shared" si="124"/>
        <v>1925</v>
      </c>
      <c r="V472" s="69">
        <v>21360</v>
      </c>
      <c r="W472" s="71">
        <v>2030</v>
      </c>
      <c r="X472" s="105">
        <f t="shared" si="125"/>
        <v>1989.4</v>
      </c>
      <c r="Y472" s="171">
        <f t="shared" si="126"/>
        <v>3.3454545454545501E-2</v>
      </c>
      <c r="Z472" s="64">
        <f t="shared" si="119"/>
        <v>5.4545454545454543E-2</v>
      </c>
      <c r="AA472" s="64">
        <f t="shared" si="109"/>
        <v>4.3344183655987627E-2</v>
      </c>
      <c r="AB472" s="71">
        <f t="shared" si="127"/>
        <v>2030</v>
      </c>
      <c r="AC472" s="64">
        <f t="shared" si="120"/>
        <v>5.4545454545454543E-2</v>
      </c>
      <c r="AD472" s="64">
        <f t="shared" si="110"/>
        <v>4.3344183655987627E-2</v>
      </c>
      <c r="AE472" s="71">
        <v>2010</v>
      </c>
      <c r="AF472" s="64">
        <f t="shared" si="121"/>
        <v>4.4155844155844157E-2</v>
      </c>
      <c r="AG472" s="64">
        <f t="shared" si="111"/>
        <v>3.3064930615041933E-2</v>
      </c>
      <c r="AH472" s="67"/>
      <c r="AI472" s="47" t="s">
        <v>54</v>
      </c>
      <c r="AJ472" s="47">
        <v>746.42</v>
      </c>
      <c r="AK472" s="47" t="s">
        <v>65</v>
      </c>
      <c r="AL472" s="47" t="s">
        <v>65</v>
      </c>
      <c r="AM472" s="47" t="s">
        <v>977</v>
      </c>
      <c r="AN472" s="50"/>
      <c r="AO472" s="211">
        <f t="shared" si="122"/>
        <v>-1</v>
      </c>
      <c r="AP472" s="47" t="s">
        <v>852</v>
      </c>
      <c r="AQ472" s="94" t="s">
        <v>891</v>
      </c>
      <c r="AR472" s="47" t="s">
        <v>1892</v>
      </c>
    </row>
    <row r="473" spans="1:44" hidden="1">
      <c r="A473" s="47" t="s">
        <v>44</v>
      </c>
      <c r="B473" s="47" t="str">
        <f t="shared" si="118"/>
        <v>August</v>
      </c>
      <c r="C473" s="59">
        <v>45513</v>
      </c>
      <c r="D473" s="47" t="s">
        <v>45</v>
      </c>
      <c r="E473" s="47" t="s">
        <v>973</v>
      </c>
      <c r="F473" s="47" t="s">
        <v>974</v>
      </c>
      <c r="G473" s="47" t="s">
        <v>1955</v>
      </c>
      <c r="H473" s="47" t="s">
        <v>1956</v>
      </c>
      <c r="I473" s="47" t="s">
        <v>50</v>
      </c>
      <c r="J473" s="47" t="s">
        <v>51</v>
      </c>
      <c r="K473" s="48">
        <v>45148</v>
      </c>
      <c r="L473" s="48">
        <v>45148</v>
      </c>
      <c r="M473" s="48">
        <v>45513</v>
      </c>
      <c r="N473" s="47" t="s">
        <v>52</v>
      </c>
      <c r="O473" s="55" t="s">
        <v>53</v>
      </c>
      <c r="P473" s="62">
        <v>22880</v>
      </c>
      <c r="Q473" s="62">
        <v>1906.6666666666667</v>
      </c>
      <c r="R473" s="96">
        <v>23764</v>
      </c>
      <c r="S473" s="62">
        <f t="shared" si="123"/>
        <v>1980.3333333333333</v>
      </c>
      <c r="T473" s="62">
        <v>22620</v>
      </c>
      <c r="U473" s="62">
        <f t="shared" si="124"/>
        <v>1885</v>
      </c>
      <c r="V473" s="69">
        <v>20160</v>
      </c>
      <c r="W473" s="63">
        <v>1985</v>
      </c>
      <c r="X473" s="105">
        <f t="shared" si="125"/>
        <v>1945.3</v>
      </c>
      <c r="Y473" s="171">
        <f t="shared" si="126"/>
        <v>3.1989389920424376E-2</v>
      </c>
      <c r="Z473" s="64">
        <f t="shared" si="119"/>
        <v>5.3050397877984087E-2</v>
      </c>
      <c r="AA473" s="64">
        <f t="shared" si="109"/>
        <v>2.3565056387813885E-3</v>
      </c>
      <c r="AB473" s="71">
        <f t="shared" si="127"/>
        <v>1985</v>
      </c>
      <c r="AC473" s="64">
        <f t="shared" si="120"/>
        <v>5.3050397877984087E-2</v>
      </c>
      <c r="AD473" s="64">
        <f t="shared" si="110"/>
        <v>2.3565056387813885E-3</v>
      </c>
      <c r="AE473" s="71">
        <f>AB473</f>
        <v>1985</v>
      </c>
      <c r="AF473" s="64">
        <f t="shared" si="121"/>
        <v>5.3050397877984087E-2</v>
      </c>
      <c r="AG473" s="64">
        <f t="shared" si="111"/>
        <v>2.3565056387813885E-3</v>
      </c>
      <c r="AH473" s="67"/>
      <c r="AI473" s="47" t="s">
        <v>54</v>
      </c>
      <c r="AJ473" s="47">
        <v>691.07</v>
      </c>
      <c r="AK473" s="47" t="s">
        <v>65</v>
      </c>
      <c r="AL473" s="47" t="s">
        <v>65</v>
      </c>
      <c r="AM473" s="47" t="s">
        <v>1172</v>
      </c>
      <c r="AN473" s="50"/>
      <c r="AO473" s="211">
        <f t="shared" si="122"/>
        <v>-1</v>
      </c>
      <c r="AP473" s="47" t="s">
        <v>852</v>
      </c>
      <c r="AQ473" s="94" t="s">
        <v>891</v>
      </c>
      <c r="AR473" s="47" t="s">
        <v>1580</v>
      </c>
    </row>
    <row r="474" spans="1:44">
      <c r="A474" s="47" t="s">
        <v>44</v>
      </c>
      <c r="B474" s="47" t="str">
        <f t="shared" si="118"/>
        <v>August</v>
      </c>
      <c r="C474" s="59">
        <v>45513</v>
      </c>
      <c r="D474" s="47" t="s">
        <v>45</v>
      </c>
      <c r="E474" s="47" t="s">
        <v>973</v>
      </c>
      <c r="F474" s="47" t="s">
        <v>974</v>
      </c>
      <c r="G474" s="47" t="s">
        <v>2022</v>
      </c>
      <c r="H474" s="47" t="s">
        <v>2023</v>
      </c>
      <c r="I474" s="47" t="s">
        <v>50</v>
      </c>
      <c r="J474" s="47" t="s">
        <v>51</v>
      </c>
      <c r="K474" s="48">
        <v>44783</v>
      </c>
      <c r="L474" s="48">
        <v>45148</v>
      </c>
      <c r="M474" s="48">
        <v>45513</v>
      </c>
      <c r="N474" s="47" t="s">
        <v>64</v>
      </c>
      <c r="O474" s="55" t="s">
        <v>53</v>
      </c>
      <c r="P474" s="62">
        <v>22308</v>
      </c>
      <c r="Q474" s="62">
        <v>1859</v>
      </c>
      <c r="R474" s="96">
        <v>23192</v>
      </c>
      <c r="S474" s="62">
        <f t="shared" si="123"/>
        <v>1932.6666666666667</v>
      </c>
      <c r="T474" s="62">
        <v>22380</v>
      </c>
      <c r="U474" s="62">
        <f t="shared" si="124"/>
        <v>1865</v>
      </c>
      <c r="V474" s="69">
        <v>19920</v>
      </c>
      <c r="W474" s="71">
        <v>1965</v>
      </c>
      <c r="X474" s="105">
        <f t="shared" si="125"/>
        <v>1925.7</v>
      </c>
      <c r="Y474" s="171">
        <f t="shared" si="126"/>
        <v>3.2546916890080456E-2</v>
      </c>
      <c r="Z474" s="64">
        <f t="shared" si="119"/>
        <v>5.3619302949061663E-2</v>
      </c>
      <c r="AA474" s="64">
        <f t="shared" si="109"/>
        <v>1.6729906864435973E-2</v>
      </c>
      <c r="AB474" s="71">
        <f t="shared" si="127"/>
        <v>1965</v>
      </c>
      <c r="AC474" s="64">
        <f t="shared" si="120"/>
        <v>5.3619302949061663E-2</v>
      </c>
      <c r="AD474" s="64">
        <f t="shared" si="110"/>
        <v>1.6729906864435973E-2</v>
      </c>
      <c r="AE474" s="71">
        <v>1955</v>
      </c>
      <c r="AF474" s="64">
        <f t="shared" si="121"/>
        <v>4.8257372654155493E-2</v>
      </c>
      <c r="AG474" s="64">
        <f t="shared" si="111"/>
        <v>1.1555708865125866E-2</v>
      </c>
      <c r="AH474" s="67"/>
      <c r="AI474" s="47" t="s">
        <v>54</v>
      </c>
      <c r="AJ474" s="47">
        <v>691.2</v>
      </c>
      <c r="AK474" s="47" t="s">
        <v>65</v>
      </c>
      <c r="AL474" s="47" t="s">
        <v>65</v>
      </c>
      <c r="AM474" s="47" t="s">
        <v>1172</v>
      </c>
      <c r="AN474" s="50"/>
      <c r="AO474" s="211">
        <f t="shared" si="122"/>
        <v>-1</v>
      </c>
      <c r="AP474" s="47" t="s">
        <v>852</v>
      </c>
      <c r="AQ474" s="94" t="s">
        <v>898</v>
      </c>
      <c r="AR474" s="47" t="s">
        <v>2024</v>
      </c>
    </row>
    <row r="475" spans="1:44" hidden="1">
      <c r="A475" s="47" t="s">
        <v>44</v>
      </c>
      <c r="B475" s="47" t="str">
        <f t="shared" si="118"/>
        <v>August</v>
      </c>
      <c r="C475" s="59">
        <v>45513</v>
      </c>
      <c r="D475" s="47" t="s">
        <v>45</v>
      </c>
      <c r="E475" s="47" t="s">
        <v>973</v>
      </c>
      <c r="F475" s="47" t="s">
        <v>974</v>
      </c>
      <c r="G475" s="47" t="s">
        <v>2025</v>
      </c>
      <c r="H475" s="47" t="s">
        <v>2026</v>
      </c>
      <c r="I475" s="47" t="s">
        <v>50</v>
      </c>
      <c r="J475" s="47" t="s">
        <v>51</v>
      </c>
      <c r="K475" s="48">
        <v>45148</v>
      </c>
      <c r="L475" s="48">
        <v>45148</v>
      </c>
      <c r="M475" s="48">
        <v>45513</v>
      </c>
      <c r="N475" s="47" t="s">
        <v>52</v>
      </c>
      <c r="O475" s="55" t="s">
        <v>53</v>
      </c>
      <c r="P475" s="62">
        <v>22204</v>
      </c>
      <c r="Q475" s="62">
        <v>1850.3333333333333</v>
      </c>
      <c r="R475" s="96">
        <v>23088</v>
      </c>
      <c r="S475" s="62">
        <f t="shared" si="123"/>
        <v>1924</v>
      </c>
      <c r="T475" s="62">
        <v>21840</v>
      </c>
      <c r="U475" s="62">
        <f t="shared" si="124"/>
        <v>1820</v>
      </c>
      <c r="V475" s="69">
        <v>20220</v>
      </c>
      <c r="W475" s="71">
        <v>1925</v>
      </c>
      <c r="X475" s="105">
        <f t="shared" si="125"/>
        <v>1886.5</v>
      </c>
      <c r="Y475" s="171">
        <f t="shared" si="126"/>
        <v>3.653846153846154E-2</v>
      </c>
      <c r="Z475" s="64">
        <f t="shared" si="119"/>
        <v>5.7692307692307696E-2</v>
      </c>
      <c r="AA475" s="64">
        <f t="shared" si="109"/>
        <v>5.1975051975051978E-4</v>
      </c>
      <c r="AB475" s="71">
        <f t="shared" si="127"/>
        <v>1925</v>
      </c>
      <c r="AC475" s="64">
        <f t="shared" si="120"/>
        <v>5.7692307692307696E-2</v>
      </c>
      <c r="AD475" s="64">
        <f t="shared" si="110"/>
        <v>5.1975051975051978E-4</v>
      </c>
      <c r="AE475" s="71">
        <f>AB475</f>
        <v>1925</v>
      </c>
      <c r="AF475" s="64">
        <f t="shared" si="121"/>
        <v>5.7692307692307696E-2</v>
      </c>
      <c r="AG475" s="64">
        <f t="shared" si="111"/>
        <v>5.1975051975051978E-4</v>
      </c>
      <c r="AH475" s="67"/>
      <c r="AI475" s="47" t="s">
        <v>54</v>
      </c>
      <c r="AJ475" s="47">
        <v>647</v>
      </c>
      <c r="AK475" s="47" t="s">
        <v>65</v>
      </c>
      <c r="AL475" s="47" t="s">
        <v>65</v>
      </c>
      <c r="AM475" s="47" t="s">
        <v>1172</v>
      </c>
      <c r="AN475" s="50">
        <v>1925</v>
      </c>
      <c r="AO475" s="211">
        <f t="shared" si="122"/>
        <v>5.7692307692307696E-2</v>
      </c>
      <c r="AP475" s="47" t="s">
        <v>852</v>
      </c>
      <c r="AQ475" s="111" t="s">
        <v>125</v>
      </c>
      <c r="AR475" s="47" t="s">
        <v>1703</v>
      </c>
    </row>
    <row r="476" spans="1:44">
      <c r="A476" s="47" t="s">
        <v>44</v>
      </c>
      <c r="B476" s="47" t="str">
        <f t="shared" si="118"/>
        <v>August</v>
      </c>
      <c r="C476" s="59">
        <v>45514</v>
      </c>
      <c r="D476" s="47" t="s">
        <v>45</v>
      </c>
      <c r="E476" s="47" t="s">
        <v>973</v>
      </c>
      <c r="F476" s="47" t="s">
        <v>974</v>
      </c>
      <c r="G476" s="47" t="s">
        <v>2111</v>
      </c>
      <c r="H476" s="47" t="s">
        <v>2112</v>
      </c>
      <c r="I476" s="47" t="s">
        <v>50</v>
      </c>
      <c r="J476" s="47" t="s">
        <v>51</v>
      </c>
      <c r="K476" s="48">
        <v>44784</v>
      </c>
      <c r="L476" s="48">
        <v>45149</v>
      </c>
      <c r="M476" s="48">
        <v>45514</v>
      </c>
      <c r="N476" s="47" t="s">
        <v>64</v>
      </c>
      <c r="O476" s="55" t="s">
        <v>53</v>
      </c>
      <c r="P476" s="62">
        <v>23036</v>
      </c>
      <c r="Q476" s="62">
        <v>1919.6666666666667</v>
      </c>
      <c r="R476" s="96">
        <v>23972</v>
      </c>
      <c r="S476" s="62">
        <f t="shared" si="123"/>
        <v>1997.6666666666667</v>
      </c>
      <c r="T476" s="62">
        <v>22920</v>
      </c>
      <c r="U476" s="62">
        <f t="shared" si="124"/>
        <v>1910</v>
      </c>
      <c r="V476" s="69">
        <v>20460</v>
      </c>
      <c r="W476" s="71">
        <v>2010</v>
      </c>
      <c r="X476" s="105">
        <f t="shared" si="125"/>
        <v>1969.8</v>
      </c>
      <c r="Y476" s="171">
        <f t="shared" si="126"/>
        <v>3.1308900523560189E-2</v>
      </c>
      <c r="Z476" s="64">
        <f t="shared" si="119"/>
        <v>5.2356020942408377E-2</v>
      </c>
      <c r="AA476" s="64">
        <f t="shared" si="109"/>
        <v>6.1738695144334674E-3</v>
      </c>
      <c r="AB476" s="71">
        <f t="shared" si="127"/>
        <v>2010</v>
      </c>
      <c r="AC476" s="64">
        <f t="shared" si="120"/>
        <v>5.2356020942408377E-2</v>
      </c>
      <c r="AD476" s="64">
        <f t="shared" si="110"/>
        <v>6.1738695144334674E-3</v>
      </c>
      <c r="AE476" s="71">
        <f>AB476</f>
        <v>2010</v>
      </c>
      <c r="AF476" s="64">
        <f t="shared" si="121"/>
        <v>5.2356020942408377E-2</v>
      </c>
      <c r="AG476" s="64">
        <f t="shared" si="111"/>
        <v>6.1738695144334674E-3</v>
      </c>
      <c r="AH476" s="67"/>
      <c r="AI476" s="47" t="s">
        <v>54</v>
      </c>
      <c r="AJ476" s="47">
        <v>750.31</v>
      </c>
      <c r="AK476" s="47" t="s">
        <v>65</v>
      </c>
      <c r="AL476" s="47" t="s">
        <v>65</v>
      </c>
      <c r="AM476" s="47" t="s">
        <v>977</v>
      </c>
      <c r="AN476" s="50"/>
      <c r="AO476" s="211">
        <f t="shared" si="122"/>
        <v>-1</v>
      </c>
      <c r="AP476" s="47" t="s">
        <v>852</v>
      </c>
      <c r="AQ476" s="91" t="s">
        <v>2113</v>
      </c>
      <c r="AR476" s="47" t="s">
        <v>2114</v>
      </c>
    </row>
    <row r="477" spans="1:44" hidden="1">
      <c r="A477" s="47" t="s">
        <v>44</v>
      </c>
      <c r="B477" s="47" t="str">
        <f t="shared" si="118"/>
        <v>August</v>
      </c>
      <c r="C477" s="59">
        <v>45515</v>
      </c>
      <c r="D477" s="47" t="s">
        <v>45</v>
      </c>
      <c r="E477" s="47" t="s">
        <v>973</v>
      </c>
      <c r="F477" s="47" t="s">
        <v>974</v>
      </c>
      <c r="G477" s="47" t="s">
        <v>2253</v>
      </c>
      <c r="H477" s="47" t="s">
        <v>2254</v>
      </c>
      <c r="I477" s="47" t="s">
        <v>50</v>
      </c>
      <c r="J477" s="47" t="s">
        <v>51</v>
      </c>
      <c r="K477" s="48">
        <v>45150</v>
      </c>
      <c r="L477" s="48">
        <v>45150</v>
      </c>
      <c r="M477" s="48">
        <v>45515</v>
      </c>
      <c r="N477" s="47" t="s">
        <v>52</v>
      </c>
      <c r="O477" s="55" t="s">
        <v>53</v>
      </c>
      <c r="P477" s="62">
        <v>22308</v>
      </c>
      <c r="Q477" s="62">
        <v>1859</v>
      </c>
      <c r="R477" s="96">
        <v>23192</v>
      </c>
      <c r="S477" s="62">
        <f t="shared" si="123"/>
        <v>1932.6666666666667</v>
      </c>
      <c r="T477" s="62">
        <v>22980</v>
      </c>
      <c r="U477" s="62">
        <f t="shared" si="124"/>
        <v>1915</v>
      </c>
      <c r="V477" s="69">
        <v>21000</v>
      </c>
      <c r="W477" s="71">
        <v>2020</v>
      </c>
      <c r="X477" s="105">
        <f t="shared" si="125"/>
        <v>1979.6</v>
      </c>
      <c r="Y477" s="171">
        <f t="shared" si="126"/>
        <v>3.3733681462140945E-2</v>
      </c>
      <c r="Z477" s="64">
        <f t="shared" si="119"/>
        <v>5.4830287206266322E-2</v>
      </c>
      <c r="AA477" s="64">
        <f t="shared" si="109"/>
        <v>4.518799586064156E-2</v>
      </c>
      <c r="AB477" s="71">
        <f t="shared" si="127"/>
        <v>2020</v>
      </c>
      <c r="AC477" s="64">
        <f t="shared" si="120"/>
        <v>5.4830287206266322E-2</v>
      </c>
      <c r="AD477" s="64">
        <f t="shared" si="110"/>
        <v>4.518799586064156E-2</v>
      </c>
      <c r="AE477" s="71">
        <v>1990</v>
      </c>
      <c r="AF477" s="64">
        <f t="shared" si="121"/>
        <v>3.91644908616188E-2</v>
      </c>
      <c r="AG477" s="64">
        <f t="shared" si="111"/>
        <v>2.966540186271124E-2</v>
      </c>
      <c r="AH477" s="67"/>
      <c r="AI477" s="47" t="s">
        <v>54</v>
      </c>
      <c r="AJ477" s="47">
        <v>682.58</v>
      </c>
      <c r="AK477" s="47" t="s">
        <v>65</v>
      </c>
      <c r="AL477" s="47" t="s">
        <v>65</v>
      </c>
      <c r="AM477" s="47" t="s">
        <v>1119</v>
      </c>
      <c r="AN477" s="50"/>
      <c r="AO477" s="211">
        <f t="shared" si="122"/>
        <v>-1</v>
      </c>
      <c r="AP477" s="47" t="s">
        <v>852</v>
      </c>
      <c r="AQ477" s="91" t="s">
        <v>1061</v>
      </c>
      <c r="AR477" s="47" t="s">
        <v>2255</v>
      </c>
    </row>
    <row r="478" spans="1:44" hidden="1">
      <c r="A478" s="47" t="s">
        <v>44</v>
      </c>
      <c r="B478" s="47" t="str">
        <f t="shared" si="118"/>
        <v>August</v>
      </c>
      <c r="C478" s="59">
        <v>45517</v>
      </c>
      <c r="D478" s="47" t="s">
        <v>45</v>
      </c>
      <c r="E478" s="47" t="s">
        <v>973</v>
      </c>
      <c r="F478" s="47" t="s">
        <v>974</v>
      </c>
      <c r="G478" s="47" t="s">
        <v>2364</v>
      </c>
      <c r="H478" s="47" t="s">
        <v>2365</v>
      </c>
      <c r="I478" s="47" t="s">
        <v>2366</v>
      </c>
      <c r="J478" s="47" t="s">
        <v>51</v>
      </c>
      <c r="K478" s="48">
        <v>45152</v>
      </c>
      <c r="L478" s="48">
        <v>45152</v>
      </c>
      <c r="M478" s="48">
        <v>45517</v>
      </c>
      <c r="N478" s="47" t="s">
        <v>52</v>
      </c>
      <c r="O478" s="55" t="s">
        <v>53</v>
      </c>
      <c r="P478" s="62">
        <v>17472</v>
      </c>
      <c r="Q478" s="62">
        <v>1456</v>
      </c>
      <c r="R478" s="96">
        <v>18616</v>
      </c>
      <c r="S478" s="62">
        <f t="shared" si="123"/>
        <v>1551.3333333333333</v>
      </c>
      <c r="T478" s="62">
        <v>18240</v>
      </c>
      <c r="U478" s="62">
        <f t="shared" si="124"/>
        <v>1520</v>
      </c>
      <c r="V478" s="69">
        <v>16580.759999999998</v>
      </c>
      <c r="W478" s="71">
        <v>1600</v>
      </c>
      <c r="X478" s="105">
        <f t="shared" si="125"/>
        <v>1568</v>
      </c>
      <c r="Y478" s="171">
        <f t="shared" si="126"/>
        <v>3.1578947368421054E-2</v>
      </c>
      <c r="Z478" s="64">
        <f t="shared" si="119"/>
        <v>5.2631578947368418E-2</v>
      </c>
      <c r="AA478" s="64">
        <f t="shared" si="109"/>
        <v>3.1370863773098459E-2</v>
      </c>
      <c r="AB478" s="71">
        <f t="shared" si="127"/>
        <v>1600</v>
      </c>
      <c r="AC478" s="64">
        <f t="shared" si="120"/>
        <v>5.2631578947368418E-2</v>
      </c>
      <c r="AD478" s="64">
        <f t="shared" si="110"/>
        <v>3.1370863773098459E-2</v>
      </c>
      <c r="AE478" s="71">
        <v>1585</v>
      </c>
      <c r="AF478" s="64">
        <f t="shared" si="121"/>
        <v>4.2763157894736843E-2</v>
      </c>
      <c r="AG478" s="64">
        <f t="shared" si="111"/>
        <v>2.1701761925225663E-2</v>
      </c>
      <c r="AH478" s="67"/>
      <c r="AI478" s="47" t="s">
        <v>54</v>
      </c>
      <c r="AJ478" s="47">
        <v>496.9</v>
      </c>
      <c r="AK478" s="47" t="s">
        <v>55</v>
      </c>
      <c r="AL478" s="47" t="s">
        <v>55</v>
      </c>
      <c r="AM478" s="47" t="s">
        <v>990</v>
      </c>
      <c r="AN478" s="50"/>
      <c r="AO478" s="211">
        <f t="shared" si="122"/>
        <v>-1</v>
      </c>
      <c r="AP478" s="47" t="s">
        <v>852</v>
      </c>
      <c r="AQ478" s="91" t="s">
        <v>1132</v>
      </c>
      <c r="AR478" s="47" t="s">
        <v>2367</v>
      </c>
    </row>
    <row r="479" spans="1:44">
      <c r="A479" s="47" t="s">
        <v>44</v>
      </c>
      <c r="B479" s="47" t="str">
        <f t="shared" si="118"/>
        <v>August</v>
      </c>
      <c r="C479" s="59">
        <v>45517</v>
      </c>
      <c r="D479" s="47" t="s">
        <v>45</v>
      </c>
      <c r="E479" s="47" t="s">
        <v>973</v>
      </c>
      <c r="F479" s="47" t="s">
        <v>974</v>
      </c>
      <c r="G479" s="47" t="s">
        <v>2368</v>
      </c>
      <c r="H479" s="47" t="s">
        <v>2369</v>
      </c>
      <c r="I479" s="47" t="s">
        <v>50</v>
      </c>
      <c r="J479" s="47" t="s">
        <v>51</v>
      </c>
      <c r="K479" s="48">
        <v>44057</v>
      </c>
      <c r="L479" s="48">
        <v>45152</v>
      </c>
      <c r="M479" s="48">
        <v>45517</v>
      </c>
      <c r="N479" s="47" t="s">
        <v>64</v>
      </c>
      <c r="O479" s="55" t="s">
        <v>53</v>
      </c>
      <c r="P479" s="62">
        <v>22724</v>
      </c>
      <c r="Q479" s="62">
        <v>1893.6666666666667</v>
      </c>
      <c r="R479" s="96">
        <v>23660</v>
      </c>
      <c r="S479" s="62">
        <f t="shared" si="123"/>
        <v>1971.6666666666667</v>
      </c>
      <c r="T479" s="62">
        <v>22080</v>
      </c>
      <c r="U479" s="62">
        <f t="shared" si="124"/>
        <v>1840</v>
      </c>
      <c r="V479" s="69">
        <v>19680</v>
      </c>
      <c r="W479" s="71">
        <v>1945</v>
      </c>
      <c r="X479" s="105">
        <f t="shared" si="125"/>
        <v>1906.1</v>
      </c>
      <c r="Y479" s="171">
        <f t="shared" si="126"/>
        <v>3.5923913043478209E-2</v>
      </c>
      <c r="Z479" s="64">
        <f t="shared" si="119"/>
        <v>5.7065217391304345E-2</v>
      </c>
      <c r="AA479" s="64">
        <f t="shared" si="109"/>
        <v>-1.3524936601859716E-2</v>
      </c>
      <c r="AB479" s="71">
        <f t="shared" si="127"/>
        <v>1945</v>
      </c>
      <c r="AC479" s="64">
        <f t="shared" si="120"/>
        <v>5.7065217391304345E-2</v>
      </c>
      <c r="AD479" s="64">
        <f t="shared" si="110"/>
        <v>-1.3524936601859716E-2</v>
      </c>
      <c r="AE479" s="71">
        <f>AB479</f>
        <v>1945</v>
      </c>
      <c r="AF479" s="64">
        <f t="shared" si="121"/>
        <v>5.7065217391304345E-2</v>
      </c>
      <c r="AG479" s="64">
        <f t="shared" si="111"/>
        <v>-1.3524936601859716E-2</v>
      </c>
      <c r="AH479" s="67"/>
      <c r="AI479" s="47" t="s">
        <v>54</v>
      </c>
      <c r="AJ479" s="47">
        <v>647</v>
      </c>
      <c r="AK479" s="47" t="s">
        <v>65</v>
      </c>
      <c r="AL479" s="47" t="s">
        <v>65</v>
      </c>
      <c r="AM479" s="47" t="s">
        <v>1172</v>
      </c>
      <c r="AN479" s="50">
        <v>1945</v>
      </c>
      <c r="AO479" s="211">
        <f t="shared" si="122"/>
        <v>5.7065217391304345E-2</v>
      </c>
      <c r="AP479" s="47" t="s">
        <v>852</v>
      </c>
      <c r="AQ479" s="111" t="s">
        <v>125</v>
      </c>
      <c r="AR479" s="47" t="s">
        <v>2370</v>
      </c>
    </row>
    <row r="480" spans="1:44" hidden="1">
      <c r="A480" s="47" t="s">
        <v>44</v>
      </c>
      <c r="B480" s="47" t="str">
        <f t="shared" si="118"/>
        <v>August</v>
      </c>
      <c r="C480" s="59">
        <v>45518</v>
      </c>
      <c r="D480" s="47" t="s">
        <v>45</v>
      </c>
      <c r="E480" s="47" t="s">
        <v>973</v>
      </c>
      <c r="F480" s="47" t="s">
        <v>974</v>
      </c>
      <c r="G480" s="47" t="s">
        <v>2393</v>
      </c>
      <c r="H480" s="47" t="s">
        <v>2394</v>
      </c>
      <c r="I480" s="47" t="s">
        <v>50</v>
      </c>
      <c r="J480" s="47" t="s">
        <v>51</v>
      </c>
      <c r="K480" s="48">
        <v>45153</v>
      </c>
      <c r="L480" s="48">
        <v>45153</v>
      </c>
      <c r="M480" s="48">
        <v>45518</v>
      </c>
      <c r="N480" s="47" t="s">
        <v>52</v>
      </c>
      <c r="O480" s="55" t="s">
        <v>53</v>
      </c>
      <c r="P480" s="62">
        <v>22464</v>
      </c>
      <c r="Q480" s="62">
        <v>1872</v>
      </c>
      <c r="R480" s="96">
        <v>23348</v>
      </c>
      <c r="S480" s="62">
        <f t="shared" si="123"/>
        <v>1945.6666666666667</v>
      </c>
      <c r="T480" s="62">
        <v>23040</v>
      </c>
      <c r="U480" s="62">
        <f t="shared" si="124"/>
        <v>1920</v>
      </c>
      <c r="V480" s="69">
        <v>21180</v>
      </c>
      <c r="W480" s="71">
        <v>2020</v>
      </c>
      <c r="X480" s="105">
        <f t="shared" si="125"/>
        <v>1979.6</v>
      </c>
      <c r="Y480" s="171">
        <f t="shared" si="126"/>
        <v>3.104166666666662E-2</v>
      </c>
      <c r="Z480" s="64">
        <f t="shared" si="119"/>
        <v>5.2083333333333336E-2</v>
      </c>
      <c r="AA480" s="64">
        <f t="shared" si="109"/>
        <v>3.820455713551478E-2</v>
      </c>
      <c r="AB480" s="71">
        <f t="shared" si="127"/>
        <v>2020</v>
      </c>
      <c r="AC480" s="64">
        <f t="shared" si="120"/>
        <v>5.2083333333333336E-2</v>
      </c>
      <c r="AD480" s="64">
        <f t="shared" si="110"/>
        <v>3.820455713551478E-2</v>
      </c>
      <c r="AE480" s="71">
        <v>2000</v>
      </c>
      <c r="AF480" s="64">
        <f t="shared" si="121"/>
        <v>4.1666666666666664E-2</v>
      </c>
      <c r="AG480" s="64">
        <f t="shared" si="111"/>
        <v>2.7925304094569087E-2</v>
      </c>
      <c r="AH480" s="67"/>
      <c r="AI480" s="47" t="s">
        <v>54</v>
      </c>
      <c r="AJ480" s="47">
        <v>746.42</v>
      </c>
      <c r="AK480" s="47" t="s">
        <v>65</v>
      </c>
      <c r="AL480" s="47" t="s">
        <v>65</v>
      </c>
      <c r="AM480" s="47" t="s">
        <v>977</v>
      </c>
      <c r="AN480" s="50"/>
      <c r="AO480" s="211">
        <f t="shared" si="122"/>
        <v>-1</v>
      </c>
      <c r="AP480" s="47" t="s">
        <v>852</v>
      </c>
      <c r="AQ480" s="91" t="s">
        <v>1132</v>
      </c>
      <c r="AR480" s="47" t="s">
        <v>2367</v>
      </c>
    </row>
    <row r="481" spans="1:44" hidden="1">
      <c r="A481" s="47" t="s">
        <v>44</v>
      </c>
      <c r="B481" s="47" t="str">
        <f t="shared" si="118"/>
        <v>August</v>
      </c>
      <c r="C481" s="59">
        <v>45518</v>
      </c>
      <c r="D481" s="47" t="s">
        <v>45</v>
      </c>
      <c r="E481" s="47" t="s">
        <v>973</v>
      </c>
      <c r="F481" s="47" t="s">
        <v>974</v>
      </c>
      <c r="G481" s="47" t="s">
        <v>2397</v>
      </c>
      <c r="H481" s="47" t="s">
        <v>2398</v>
      </c>
      <c r="I481" s="47" t="s">
        <v>50</v>
      </c>
      <c r="J481" s="47" t="s">
        <v>51</v>
      </c>
      <c r="K481" s="48">
        <v>45122</v>
      </c>
      <c r="L481" s="48">
        <v>45122</v>
      </c>
      <c r="M481" s="48">
        <v>45518</v>
      </c>
      <c r="N481" s="47" t="s">
        <v>52</v>
      </c>
      <c r="O481" s="55" t="s">
        <v>53</v>
      </c>
      <c r="P481" s="62">
        <v>16900</v>
      </c>
      <c r="Q481" s="62">
        <v>1408.3333333333333</v>
      </c>
      <c r="R481" s="96">
        <v>18044</v>
      </c>
      <c r="S481" s="62">
        <f t="shared" si="123"/>
        <v>1503.6666666666667</v>
      </c>
      <c r="T481" s="62">
        <v>17520</v>
      </c>
      <c r="U481" s="62">
        <f t="shared" si="124"/>
        <v>1460</v>
      </c>
      <c r="V481" s="69">
        <v>15240</v>
      </c>
      <c r="W481" s="71">
        <v>1550</v>
      </c>
      <c r="X481" s="105">
        <f t="shared" si="125"/>
        <v>1519</v>
      </c>
      <c r="Y481" s="171">
        <f t="shared" si="126"/>
        <v>4.041095890410959E-2</v>
      </c>
      <c r="Z481" s="64">
        <f t="shared" si="119"/>
        <v>6.1643835616438353E-2</v>
      </c>
      <c r="AA481" s="64">
        <f t="shared" si="109"/>
        <v>3.081356683662154E-2</v>
      </c>
      <c r="AB481" s="71">
        <f t="shared" si="127"/>
        <v>1550</v>
      </c>
      <c r="AC481" s="64">
        <f t="shared" si="120"/>
        <v>6.1643835616438353E-2</v>
      </c>
      <c r="AD481" s="64">
        <f t="shared" si="110"/>
        <v>3.081356683662154E-2</v>
      </c>
      <c r="AE481" s="71">
        <v>1530</v>
      </c>
      <c r="AF481" s="64">
        <f t="shared" si="121"/>
        <v>4.7945205479452052E-2</v>
      </c>
      <c r="AG481" s="64">
        <f t="shared" si="111"/>
        <v>1.7512746619374811E-2</v>
      </c>
      <c r="AH481" s="67"/>
      <c r="AI481" s="47" t="s">
        <v>54</v>
      </c>
      <c r="AJ481" s="47">
        <v>483.55</v>
      </c>
      <c r="AK481" s="47" t="s">
        <v>55</v>
      </c>
      <c r="AL481" s="47" t="s">
        <v>55</v>
      </c>
      <c r="AM481" s="47" t="s">
        <v>1316</v>
      </c>
      <c r="AN481" s="50"/>
      <c r="AO481" s="211">
        <f t="shared" si="122"/>
        <v>-1</v>
      </c>
      <c r="AP481" s="47" t="s">
        <v>852</v>
      </c>
      <c r="AQ481" s="94" t="s">
        <v>891</v>
      </c>
      <c r="AR481" s="47" t="s">
        <v>1698</v>
      </c>
    </row>
    <row r="482" spans="1:44">
      <c r="A482" s="47" t="s">
        <v>44</v>
      </c>
      <c r="B482" s="47" t="str">
        <f t="shared" si="118"/>
        <v>August</v>
      </c>
      <c r="C482" s="59">
        <v>45518</v>
      </c>
      <c r="D482" s="47" t="s">
        <v>45</v>
      </c>
      <c r="E482" s="47" t="s">
        <v>973</v>
      </c>
      <c r="F482" s="47" t="s">
        <v>974</v>
      </c>
      <c r="G482" s="47" t="s">
        <v>2406</v>
      </c>
      <c r="H482" s="47" t="s">
        <v>2407</v>
      </c>
      <c r="I482" s="47" t="s">
        <v>50</v>
      </c>
      <c r="J482" s="47" t="s">
        <v>51</v>
      </c>
      <c r="K482" s="48">
        <v>44788</v>
      </c>
      <c r="L482" s="48">
        <v>45153</v>
      </c>
      <c r="M482" s="48">
        <v>45518</v>
      </c>
      <c r="N482" s="47" t="s">
        <v>64</v>
      </c>
      <c r="O482" s="55" t="s">
        <v>53</v>
      </c>
      <c r="P482" s="62">
        <v>17004</v>
      </c>
      <c r="Q482" s="62">
        <v>1417</v>
      </c>
      <c r="R482" s="96">
        <v>18148</v>
      </c>
      <c r="S482" s="62">
        <f t="shared" si="123"/>
        <v>1512.3333333333333</v>
      </c>
      <c r="T482" s="62">
        <v>17220</v>
      </c>
      <c r="U482" s="62">
        <f t="shared" si="124"/>
        <v>1435</v>
      </c>
      <c r="V482" s="69">
        <v>15480</v>
      </c>
      <c r="W482" s="71">
        <v>1540</v>
      </c>
      <c r="X482" s="105">
        <f t="shared" si="125"/>
        <v>1509.2</v>
      </c>
      <c r="Y482" s="171">
        <f t="shared" si="126"/>
        <v>5.1707317073170764E-2</v>
      </c>
      <c r="Z482" s="64">
        <f t="shared" si="119"/>
        <v>7.3170731707317069E-2</v>
      </c>
      <c r="AA482" s="64">
        <f t="shared" si="109"/>
        <v>1.8294026890015479E-2</v>
      </c>
      <c r="AB482" s="71">
        <f t="shared" si="127"/>
        <v>1540</v>
      </c>
      <c r="AC482" s="64">
        <f t="shared" si="120"/>
        <v>7.3170731707317069E-2</v>
      </c>
      <c r="AD482" s="64">
        <f t="shared" si="110"/>
        <v>1.8294026890015479E-2</v>
      </c>
      <c r="AE482" s="71">
        <v>1530</v>
      </c>
      <c r="AF482" s="64">
        <f t="shared" si="121"/>
        <v>6.6202090592334492E-2</v>
      </c>
      <c r="AG482" s="64">
        <f t="shared" si="111"/>
        <v>1.1681728014106288E-2</v>
      </c>
      <c r="AH482" s="67"/>
      <c r="AI482" s="47" t="s">
        <v>54</v>
      </c>
      <c r="AJ482" s="47">
        <v>499</v>
      </c>
      <c r="AK482" s="47" t="s">
        <v>55</v>
      </c>
      <c r="AL482" s="47" t="s">
        <v>55</v>
      </c>
      <c r="AM482" s="47" t="s">
        <v>1316</v>
      </c>
      <c r="AN482" s="50">
        <v>1540</v>
      </c>
      <c r="AO482" s="211">
        <f t="shared" si="122"/>
        <v>7.3170731707317069E-2</v>
      </c>
      <c r="AP482" s="47" t="s">
        <v>852</v>
      </c>
      <c r="AQ482" s="111" t="s">
        <v>125</v>
      </c>
      <c r="AR482" s="47" t="s">
        <v>2408</v>
      </c>
    </row>
    <row r="483" spans="1:44">
      <c r="A483" s="47" t="s">
        <v>44</v>
      </c>
      <c r="B483" s="47" t="str">
        <f t="shared" si="118"/>
        <v>August</v>
      </c>
      <c r="C483" s="59">
        <v>45519</v>
      </c>
      <c r="D483" s="47" t="s">
        <v>45</v>
      </c>
      <c r="E483" s="47" t="s">
        <v>973</v>
      </c>
      <c r="F483" s="47" t="s">
        <v>974</v>
      </c>
      <c r="G483" s="47" t="s">
        <v>2426</v>
      </c>
      <c r="H483" s="47" t="s">
        <v>2427</v>
      </c>
      <c r="I483" s="47" t="s">
        <v>50</v>
      </c>
      <c r="J483" s="47" t="s">
        <v>51</v>
      </c>
      <c r="K483" s="48">
        <v>44424</v>
      </c>
      <c r="L483" s="48">
        <v>44789</v>
      </c>
      <c r="M483" s="48">
        <v>45519</v>
      </c>
      <c r="N483" s="47" t="s">
        <v>64</v>
      </c>
      <c r="O483" s="55" t="s">
        <v>53</v>
      </c>
      <c r="P483" s="62">
        <v>17316</v>
      </c>
      <c r="Q483" s="62">
        <v>1443</v>
      </c>
      <c r="R483" s="96">
        <v>18512</v>
      </c>
      <c r="S483" s="62">
        <f t="shared" si="123"/>
        <v>1542.6666666666667</v>
      </c>
      <c r="T483" s="62">
        <v>16456.439999999999</v>
      </c>
      <c r="U483" s="62">
        <f t="shared" si="124"/>
        <v>1371.37</v>
      </c>
      <c r="V483" s="69">
        <v>15900</v>
      </c>
      <c r="W483" s="71">
        <v>1560</v>
      </c>
      <c r="X483" s="105">
        <f t="shared" si="125"/>
        <v>1528.8</v>
      </c>
      <c r="Y483" s="171">
        <f t="shared" si="126"/>
        <v>0.11479761114797617</v>
      </c>
      <c r="Z483" s="64">
        <f t="shared" si="119"/>
        <v>0.13754858280405735</v>
      </c>
      <c r="AA483" s="64">
        <f t="shared" si="109"/>
        <v>1.1235955056179726E-2</v>
      </c>
      <c r="AB483" s="71">
        <f t="shared" si="127"/>
        <v>1560</v>
      </c>
      <c r="AC483" s="64">
        <f t="shared" si="120"/>
        <v>0.13754858280405735</v>
      </c>
      <c r="AD483" s="64">
        <f t="shared" si="110"/>
        <v>1.1235955056179726E-2</v>
      </c>
      <c r="AE483" s="71">
        <f>AB483</f>
        <v>1560</v>
      </c>
      <c r="AF483" s="64">
        <f t="shared" si="121"/>
        <v>0.13754858280405735</v>
      </c>
      <c r="AG483" s="64">
        <f t="shared" si="111"/>
        <v>1.1235955056179726E-2</v>
      </c>
      <c r="AH483" s="67"/>
      <c r="AI483" s="47" t="s">
        <v>54</v>
      </c>
      <c r="AJ483" s="47">
        <v>483.48</v>
      </c>
      <c r="AK483" s="47" t="s">
        <v>55</v>
      </c>
      <c r="AL483" s="47" t="s">
        <v>55</v>
      </c>
      <c r="AM483" s="47" t="s">
        <v>1740</v>
      </c>
      <c r="AN483" s="50"/>
      <c r="AO483" s="211">
        <f t="shared" si="122"/>
        <v>-1</v>
      </c>
      <c r="AP483" s="47" t="s">
        <v>852</v>
      </c>
      <c r="AQ483" s="94" t="s">
        <v>891</v>
      </c>
      <c r="AR483" s="47" t="s">
        <v>2428</v>
      </c>
    </row>
    <row r="484" spans="1:44" hidden="1">
      <c r="A484" s="47" t="s">
        <v>44</v>
      </c>
      <c r="B484" s="47" t="str">
        <f t="shared" si="118"/>
        <v>August</v>
      </c>
      <c r="C484" s="59">
        <v>45521</v>
      </c>
      <c r="D484" s="47" t="s">
        <v>45</v>
      </c>
      <c r="E484" s="47" t="s">
        <v>973</v>
      </c>
      <c r="F484" s="47" t="s">
        <v>974</v>
      </c>
      <c r="G484" s="47" t="s">
        <v>2437</v>
      </c>
      <c r="H484" s="47" t="s">
        <v>2438</v>
      </c>
      <c r="I484" s="47" t="s">
        <v>50</v>
      </c>
      <c r="J484" s="47" t="s">
        <v>51</v>
      </c>
      <c r="K484" s="48">
        <v>45156</v>
      </c>
      <c r="L484" s="48">
        <v>45156</v>
      </c>
      <c r="M484" s="48">
        <v>45521</v>
      </c>
      <c r="N484" s="47" t="s">
        <v>52</v>
      </c>
      <c r="O484" s="55" t="s">
        <v>53</v>
      </c>
      <c r="P484" s="62">
        <v>17004</v>
      </c>
      <c r="Q484" s="62">
        <v>1417</v>
      </c>
      <c r="R484" s="96">
        <v>18148</v>
      </c>
      <c r="S484" s="62">
        <f t="shared" si="123"/>
        <v>1512.3333333333333</v>
      </c>
      <c r="T484" s="62">
        <v>17340</v>
      </c>
      <c r="U484" s="62">
        <f t="shared" si="124"/>
        <v>1445</v>
      </c>
      <c r="V484" s="69">
        <v>14880</v>
      </c>
      <c r="W484" s="71">
        <v>1530</v>
      </c>
      <c r="X484" s="105">
        <f t="shared" si="125"/>
        <v>1499.4</v>
      </c>
      <c r="Y484" s="171">
        <f t="shared" si="126"/>
        <v>3.7647058823529478E-2</v>
      </c>
      <c r="Z484" s="64">
        <f t="shared" si="119"/>
        <v>5.8823529411764705E-2</v>
      </c>
      <c r="AA484" s="64">
        <f t="shared" si="109"/>
        <v>1.1681728014106288E-2</v>
      </c>
      <c r="AB484" s="71">
        <f t="shared" si="127"/>
        <v>1530</v>
      </c>
      <c r="AC484" s="64">
        <f t="shared" si="120"/>
        <v>5.8823529411764705E-2</v>
      </c>
      <c r="AD484" s="64">
        <f t="shared" si="110"/>
        <v>1.1681728014106288E-2</v>
      </c>
      <c r="AE484" s="71">
        <v>1515</v>
      </c>
      <c r="AF484" s="64">
        <f t="shared" si="121"/>
        <v>4.8442906574394463E-2</v>
      </c>
      <c r="AG484" s="64">
        <f t="shared" si="111"/>
        <v>1.7632797002425011E-3</v>
      </c>
      <c r="AH484" s="67"/>
      <c r="AI484" s="47" t="s">
        <v>54</v>
      </c>
      <c r="AJ484" s="47">
        <v>515.98</v>
      </c>
      <c r="AK484" s="47" t="s">
        <v>55</v>
      </c>
      <c r="AL484" s="47" t="s">
        <v>55</v>
      </c>
      <c r="AM484" s="47" t="s">
        <v>1316</v>
      </c>
      <c r="AN484" s="50">
        <v>1530</v>
      </c>
      <c r="AO484" s="211">
        <f t="shared" si="122"/>
        <v>5.8823529411764705E-2</v>
      </c>
      <c r="AP484" s="47" t="s">
        <v>852</v>
      </c>
      <c r="AQ484" s="111" t="s">
        <v>125</v>
      </c>
      <c r="AR484" s="47" t="s">
        <v>2439</v>
      </c>
    </row>
    <row r="485" spans="1:44" hidden="1">
      <c r="A485" s="47" t="s">
        <v>44</v>
      </c>
      <c r="B485" s="47" t="str">
        <f t="shared" si="118"/>
        <v>August</v>
      </c>
      <c r="C485" s="59">
        <v>45522</v>
      </c>
      <c r="D485" s="47" t="s">
        <v>45</v>
      </c>
      <c r="E485" s="47" t="s">
        <v>973</v>
      </c>
      <c r="F485" s="47" t="s">
        <v>974</v>
      </c>
      <c r="G485" s="47" t="s">
        <v>2531</v>
      </c>
      <c r="H485" s="47" t="s">
        <v>2532</v>
      </c>
      <c r="I485" s="47" t="s">
        <v>50</v>
      </c>
      <c r="J485" s="47" t="s">
        <v>51</v>
      </c>
      <c r="K485" s="48">
        <v>45157</v>
      </c>
      <c r="L485" s="48">
        <v>45157</v>
      </c>
      <c r="M485" s="48">
        <v>45522</v>
      </c>
      <c r="N485" s="47" t="s">
        <v>52</v>
      </c>
      <c r="O485" s="55" t="s">
        <v>53</v>
      </c>
      <c r="P485" s="62">
        <v>17472</v>
      </c>
      <c r="Q485" s="62">
        <v>1456</v>
      </c>
      <c r="R485" s="96">
        <v>18616</v>
      </c>
      <c r="S485" s="62">
        <f t="shared" si="123"/>
        <v>1551.3333333333333</v>
      </c>
      <c r="T485" s="62">
        <v>16980</v>
      </c>
      <c r="U485" s="62">
        <f t="shared" si="124"/>
        <v>1415</v>
      </c>
      <c r="V485" s="69">
        <v>15000</v>
      </c>
      <c r="W485" s="71">
        <v>1500</v>
      </c>
      <c r="X485" s="105">
        <f t="shared" si="125"/>
        <v>1470</v>
      </c>
      <c r="Y485" s="171">
        <f t="shared" si="126"/>
        <v>3.8869257950530034E-2</v>
      </c>
      <c r="Z485" s="64">
        <f t="shared" si="119"/>
        <v>6.0070671378091869E-2</v>
      </c>
      <c r="AA485" s="64">
        <f t="shared" ref="AA485:AA536" si="128">(W485-S485)/S485</f>
        <v>-3.308981521272019E-2</v>
      </c>
      <c r="AB485" s="71">
        <f t="shared" si="127"/>
        <v>1500</v>
      </c>
      <c r="AC485" s="64">
        <f t="shared" si="120"/>
        <v>6.0070671378091869E-2</v>
      </c>
      <c r="AD485" s="64">
        <f t="shared" ref="AD485:AD548" si="129">(AB485-S485)/S485</f>
        <v>-3.308981521272019E-2</v>
      </c>
      <c r="AE485" s="71">
        <f>AB485</f>
        <v>1500</v>
      </c>
      <c r="AF485" s="64">
        <f t="shared" si="121"/>
        <v>6.0070671378091869E-2</v>
      </c>
      <c r="AG485" s="64">
        <f t="shared" ref="AG485:AG548" si="130">(AE485-S485)/S485</f>
        <v>-3.308981521272019E-2</v>
      </c>
      <c r="AH485" s="67"/>
      <c r="AI485" s="47" t="s">
        <v>54</v>
      </c>
      <c r="AJ485" s="47">
        <v>509.33</v>
      </c>
      <c r="AK485" s="47" t="s">
        <v>55</v>
      </c>
      <c r="AL485" s="47" t="s">
        <v>55</v>
      </c>
      <c r="AM485" s="47" t="s">
        <v>1316</v>
      </c>
      <c r="AN485" s="50"/>
      <c r="AO485" s="211">
        <f t="shared" si="122"/>
        <v>-1</v>
      </c>
      <c r="AP485" s="142" t="s">
        <v>852</v>
      </c>
      <c r="AQ485" s="94" t="s">
        <v>898</v>
      </c>
      <c r="AR485" s="143" t="s">
        <v>1066</v>
      </c>
    </row>
    <row r="486" spans="1:44">
      <c r="A486" s="47" t="s">
        <v>44</v>
      </c>
      <c r="B486" s="47" t="str">
        <f t="shared" si="118"/>
        <v>August</v>
      </c>
      <c r="C486" s="59">
        <v>45523</v>
      </c>
      <c r="D486" s="47" t="s">
        <v>45</v>
      </c>
      <c r="E486" s="47" t="s">
        <v>973</v>
      </c>
      <c r="F486" s="47" t="s">
        <v>974</v>
      </c>
      <c r="G486" s="47" t="s">
        <v>2541</v>
      </c>
      <c r="H486" s="47" t="s">
        <v>2542</v>
      </c>
      <c r="I486" s="47" t="s">
        <v>50</v>
      </c>
      <c r="J486" s="47" t="s">
        <v>51</v>
      </c>
      <c r="K486" s="48">
        <v>44428</v>
      </c>
      <c r="L486" s="48">
        <v>45158</v>
      </c>
      <c r="M486" s="48">
        <v>45523</v>
      </c>
      <c r="N486" s="47" t="s">
        <v>64</v>
      </c>
      <c r="O486" s="55" t="s">
        <v>53</v>
      </c>
      <c r="P486" s="62">
        <v>17524</v>
      </c>
      <c r="Q486" s="62">
        <v>1460.3333333333333</v>
      </c>
      <c r="R486" s="96">
        <v>18668</v>
      </c>
      <c r="S486" s="62">
        <f t="shared" si="123"/>
        <v>1555.6666666666667</v>
      </c>
      <c r="T486" s="62">
        <v>18840</v>
      </c>
      <c r="U486" s="62">
        <f t="shared" si="124"/>
        <v>1570</v>
      </c>
      <c r="V486" s="69">
        <v>17040</v>
      </c>
      <c r="W486" s="71">
        <v>1650</v>
      </c>
      <c r="X486" s="105">
        <f t="shared" si="125"/>
        <v>1617</v>
      </c>
      <c r="Y486" s="171">
        <f t="shared" si="126"/>
        <v>2.9936305732484077E-2</v>
      </c>
      <c r="Z486" s="64">
        <f t="shared" si="119"/>
        <v>5.0955414012738856E-2</v>
      </c>
      <c r="AA486" s="64">
        <f t="shared" si="128"/>
        <v>6.0638525819584267E-2</v>
      </c>
      <c r="AB486" s="71">
        <f t="shared" si="127"/>
        <v>1650</v>
      </c>
      <c r="AC486" s="64">
        <f t="shared" si="120"/>
        <v>5.0955414012738856E-2</v>
      </c>
      <c r="AD486" s="64">
        <f t="shared" si="129"/>
        <v>6.0638525819584267E-2</v>
      </c>
      <c r="AE486" s="71">
        <v>1635</v>
      </c>
      <c r="AF486" s="64">
        <f t="shared" si="121"/>
        <v>4.1401273885350316E-2</v>
      </c>
      <c r="AG486" s="64">
        <f t="shared" si="130"/>
        <v>5.0996357403042591E-2</v>
      </c>
      <c r="AH486" s="67"/>
      <c r="AI486" s="47" t="s">
        <v>54</v>
      </c>
      <c r="AJ486" s="47">
        <v>542.52</v>
      </c>
      <c r="AK486" s="47" t="s">
        <v>55</v>
      </c>
      <c r="AL486" s="47" t="s">
        <v>55</v>
      </c>
      <c r="AM486" s="47" t="s">
        <v>990</v>
      </c>
      <c r="AN486" s="50"/>
      <c r="AO486" s="211">
        <f t="shared" si="122"/>
        <v>-1</v>
      </c>
      <c r="AP486" s="142" t="s">
        <v>852</v>
      </c>
      <c r="AQ486" s="145" t="s">
        <v>2543</v>
      </c>
      <c r="AR486" s="143" t="s">
        <v>2544</v>
      </c>
    </row>
    <row r="487" spans="1:44">
      <c r="A487" s="47" t="s">
        <v>44</v>
      </c>
      <c r="B487" s="47" t="str">
        <f t="shared" si="118"/>
        <v>August</v>
      </c>
      <c r="C487" s="59">
        <v>45525</v>
      </c>
      <c r="D487" s="47" t="s">
        <v>45</v>
      </c>
      <c r="E487" s="47" t="s">
        <v>973</v>
      </c>
      <c r="F487" s="47" t="s">
        <v>974</v>
      </c>
      <c r="G487" s="47" t="s">
        <v>2706</v>
      </c>
      <c r="H487" s="47" t="s">
        <v>2707</v>
      </c>
      <c r="I487" s="47" t="s">
        <v>50</v>
      </c>
      <c r="J487" s="47" t="s">
        <v>51</v>
      </c>
      <c r="K487" s="48">
        <v>44795</v>
      </c>
      <c r="L487" s="48">
        <v>45160</v>
      </c>
      <c r="M487" s="48">
        <v>45525</v>
      </c>
      <c r="N487" s="47" t="s">
        <v>64</v>
      </c>
      <c r="O487" s="55" t="s">
        <v>53</v>
      </c>
      <c r="P487" s="62">
        <v>22724</v>
      </c>
      <c r="Q487" s="62">
        <v>1893.6666666666667</v>
      </c>
      <c r="R487" s="96">
        <v>23660</v>
      </c>
      <c r="S487" s="62">
        <f t="shared" si="123"/>
        <v>1971.6666666666667</v>
      </c>
      <c r="T487" s="62">
        <v>22440</v>
      </c>
      <c r="U487" s="62">
        <f t="shared" si="124"/>
        <v>1870</v>
      </c>
      <c r="V487" s="69">
        <v>20940</v>
      </c>
      <c r="W487" s="71">
        <v>1970</v>
      </c>
      <c r="X487" s="105">
        <f t="shared" si="125"/>
        <v>1930.6</v>
      </c>
      <c r="Y487" s="171">
        <f t="shared" si="126"/>
        <v>3.240641711229942E-2</v>
      </c>
      <c r="Z487" s="64">
        <f t="shared" si="119"/>
        <v>5.3475935828877004E-2</v>
      </c>
      <c r="AA487" s="64">
        <f t="shared" si="128"/>
        <v>-8.4530853761626836E-4</v>
      </c>
      <c r="AB487" s="71">
        <f t="shared" si="127"/>
        <v>1970</v>
      </c>
      <c r="AC487" s="64">
        <f t="shared" si="120"/>
        <v>5.3475935828877004E-2</v>
      </c>
      <c r="AD487" s="64">
        <f t="shared" si="129"/>
        <v>-8.4530853761626836E-4</v>
      </c>
      <c r="AE487" s="71">
        <f>AB487</f>
        <v>1970</v>
      </c>
      <c r="AF487" s="64">
        <f t="shared" si="121"/>
        <v>5.3475935828877004E-2</v>
      </c>
      <c r="AG487" s="64">
        <f t="shared" si="130"/>
        <v>-8.4530853761626836E-4</v>
      </c>
      <c r="AH487" s="67"/>
      <c r="AI487" s="47" t="s">
        <v>395</v>
      </c>
      <c r="AJ487" s="47">
        <v>624.27</v>
      </c>
      <c r="AK487" s="47" t="s">
        <v>65</v>
      </c>
      <c r="AL487" s="47" t="s">
        <v>65</v>
      </c>
      <c r="AM487" s="47" t="s">
        <v>977</v>
      </c>
      <c r="AN487" s="50"/>
      <c r="AO487" s="211">
        <f t="shared" si="122"/>
        <v>-1</v>
      </c>
      <c r="AP487" s="142" t="s">
        <v>852</v>
      </c>
      <c r="AQ487" s="212" t="s">
        <v>891</v>
      </c>
      <c r="AR487" s="143" t="s">
        <v>1066</v>
      </c>
    </row>
    <row r="488" spans="1:44" hidden="1">
      <c r="A488" s="47" t="s">
        <v>44</v>
      </c>
      <c r="B488" s="47" t="str">
        <f t="shared" si="118"/>
        <v>August</v>
      </c>
      <c r="C488" s="59">
        <v>45527</v>
      </c>
      <c r="D488" s="47" t="s">
        <v>45</v>
      </c>
      <c r="E488" s="47" t="s">
        <v>973</v>
      </c>
      <c r="F488" s="47" t="s">
        <v>974</v>
      </c>
      <c r="G488" s="47" t="s">
        <v>2862</v>
      </c>
      <c r="H488" s="47" t="s">
        <v>2863</v>
      </c>
      <c r="I488" s="47" t="s">
        <v>50</v>
      </c>
      <c r="J488" s="47" t="s">
        <v>51</v>
      </c>
      <c r="K488" s="48">
        <v>45162</v>
      </c>
      <c r="L488" s="48">
        <v>45162</v>
      </c>
      <c r="M488" s="48">
        <v>45527</v>
      </c>
      <c r="N488" s="47" t="s">
        <v>52</v>
      </c>
      <c r="O488" s="55" t="s">
        <v>53</v>
      </c>
      <c r="P488" s="62">
        <v>22880</v>
      </c>
      <c r="Q488" s="62">
        <v>1906.6666666666667</v>
      </c>
      <c r="R488" s="96">
        <v>23764</v>
      </c>
      <c r="S488" s="62">
        <f t="shared" si="123"/>
        <v>1980.3333333333333</v>
      </c>
      <c r="T488" s="62">
        <v>22920</v>
      </c>
      <c r="U488" s="62">
        <f t="shared" si="124"/>
        <v>1910</v>
      </c>
      <c r="V488" s="69">
        <v>21240</v>
      </c>
      <c r="W488" s="71">
        <v>2010</v>
      </c>
      <c r="X488" s="105">
        <f t="shared" si="125"/>
        <v>1969.8</v>
      </c>
      <c r="Y488" s="171">
        <f t="shared" si="126"/>
        <v>3.1308900523560189E-2</v>
      </c>
      <c r="Z488" s="64">
        <f t="shared" si="119"/>
        <v>5.2356020942408377E-2</v>
      </c>
      <c r="AA488" s="64">
        <f t="shared" si="128"/>
        <v>1.4980642989395764E-2</v>
      </c>
      <c r="AB488" s="71">
        <f t="shared" si="127"/>
        <v>2010</v>
      </c>
      <c r="AC488" s="64">
        <f t="shared" si="120"/>
        <v>5.2356020942408377E-2</v>
      </c>
      <c r="AD488" s="64">
        <f t="shared" si="129"/>
        <v>1.4980642989395764E-2</v>
      </c>
      <c r="AE488" s="71">
        <v>2000</v>
      </c>
      <c r="AF488" s="64">
        <f t="shared" si="121"/>
        <v>4.712041884816754E-2</v>
      </c>
      <c r="AG488" s="64">
        <f t="shared" si="130"/>
        <v>9.9309880491500139E-3</v>
      </c>
      <c r="AH488" s="67"/>
      <c r="AI488" s="47" t="s">
        <v>54</v>
      </c>
      <c r="AJ488" s="47">
        <v>698.07</v>
      </c>
      <c r="AK488" s="47" t="s">
        <v>65</v>
      </c>
      <c r="AL488" s="47" t="s">
        <v>65</v>
      </c>
      <c r="AM488" s="47" t="s">
        <v>977</v>
      </c>
      <c r="AN488" s="50">
        <v>2010</v>
      </c>
      <c r="AO488" s="211">
        <f t="shared" si="122"/>
        <v>5.2356020942408377E-2</v>
      </c>
      <c r="AP488" s="142" t="s">
        <v>852</v>
      </c>
      <c r="AQ488" s="213" t="s">
        <v>125</v>
      </c>
      <c r="AR488" s="143" t="s">
        <v>1703</v>
      </c>
    </row>
    <row r="489" spans="1:44" hidden="1">
      <c r="A489" s="47" t="s">
        <v>44</v>
      </c>
      <c r="B489" s="47" t="str">
        <f t="shared" si="118"/>
        <v>August</v>
      </c>
      <c r="C489" s="221">
        <v>45529</v>
      </c>
      <c r="D489" s="47" t="s">
        <v>45</v>
      </c>
      <c r="E489" s="47" t="s">
        <v>973</v>
      </c>
      <c r="F489" s="47" t="s">
        <v>974</v>
      </c>
      <c r="G489" s="47" t="s">
        <v>2949</v>
      </c>
      <c r="H489" s="47" t="s">
        <v>2950</v>
      </c>
      <c r="I489" s="47" t="s">
        <v>50</v>
      </c>
      <c r="J489" s="47" t="s">
        <v>51</v>
      </c>
      <c r="K489" s="48">
        <v>45164</v>
      </c>
      <c r="L489" s="48">
        <v>45164</v>
      </c>
      <c r="M489" s="48">
        <v>45529</v>
      </c>
      <c r="N489" s="47" t="s">
        <v>52</v>
      </c>
      <c r="O489" s="55" t="s">
        <v>53</v>
      </c>
      <c r="P489" s="62">
        <v>16900</v>
      </c>
      <c r="Q489" s="62">
        <v>1408.3333333333333</v>
      </c>
      <c r="R489" s="96">
        <v>18044</v>
      </c>
      <c r="S489" s="62">
        <f t="shared" si="123"/>
        <v>1503.6666666666667</v>
      </c>
      <c r="T489" s="62">
        <v>17520</v>
      </c>
      <c r="U489" s="62">
        <f t="shared" si="124"/>
        <v>1460</v>
      </c>
      <c r="V489" s="69">
        <v>15120</v>
      </c>
      <c r="W489" s="71">
        <v>1540</v>
      </c>
      <c r="X489" s="105">
        <f t="shared" si="125"/>
        <v>1509.2</v>
      </c>
      <c r="Y489" s="171">
        <f t="shared" si="126"/>
        <v>3.3698630136986332E-2</v>
      </c>
      <c r="Z489" s="64">
        <f t="shared" si="119"/>
        <v>5.4794520547945202E-2</v>
      </c>
      <c r="AA489" s="64">
        <f t="shared" si="128"/>
        <v>2.4163156727998174E-2</v>
      </c>
      <c r="AB489" s="71">
        <f t="shared" si="127"/>
        <v>1540</v>
      </c>
      <c r="AC489" s="64">
        <f t="shared" si="120"/>
        <v>5.4794520547945202E-2</v>
      </c>
      <c r="AD489" s="64">
        <f t="shared" si="129"/>
        <v>2.4163156727998174E-2</v>
      </c>
      <c r="AE489" s="71">
        <v>1525</v>
      </c>
      <c r="AF489" s="64">
        <f t="shared" si="121"/>
        <v>4.4520547945205477E-2</v>
      </c>
      <c r="AG489" s="64">
        <f t="shared" si="130"/>
        <v>1.4187541565063128E-2</v>
      </c>
      <c r="AH489" s="67"/>
      <c r="AI489" s="47" t="s">
        <v>54</v>
      </c>
      <c r="AJ489" s="47">
        <v>483.55</v>
      </c>
      <c r="AK489" s="47" t="s">
        <v>55</v>
      </c>
      <c r="AL489" s="47" t="s">
        <v>55</v>
      </c>
      <c r="AM489" s="47" t="s">
        <v>1316</v>
      </c>
      <c r="AN489" s="50"/>
      <c r="AO489" s="211">
        <f t="shared" si="122"/>
        <v>-1</v>
      </c>
      <c r="AP489" s="142" t="s">
        <v>852</v>
      </c>
      <c r="AQ489" s="212" t="s">
        <v>898</v>
      </c>
      <c r="AR489" s="143" t="s">
        <v>1698</v>
      </c>
    </row>
    <row r="490" spans="1:44">
      <c r="A490" s="47" t="s">
        <v>44</v>
      </c>
      <c r="B490" s="47" t="str">
        <f t="shared" si="118"/>
        <v>August</v>
      </c>
      <c r="C490" s="59">
        <v>45529</v>
      </c>
      <c r="D490" s="47" t="s">
        <v>45</v>
      </c>
      <c r="E490" s="47" t="s">
        <v>973</v>
      </c>
      <c r="F490" s="47" t="s">
        <v>974</v>
      </c>
      <c r="G490" s="47" t="s">
        <v>3111</v>
      </c>
      <c r="H490" s="47" t="s">
        <v>3112</v>
      </c>
      <c r="I490" s="47" t="s">
        <v>50</v>
      </c>
      <c r="J490" s="47" t="s">
        <v>51</v>
      </c>
      <c r="K490" s="48">
        <v>44799</v>
      </c>
      <c r="L490" s="48">
        <v>45164</v>
      </c>
      <c r="M490" s="48">
        <v>45529</v>
      </c>
      <c r="N490" s="47" t="s">
        <v>64</v>
      </c>
      <c r="O490" s="55" t="s">
        <v>53</v>
      </c>
      <c r="P490" s="62">
        <v>23244</v>
      </c>
      <c r="Q490" s="62">
        <v>1937</v>
      </c>
      <c r="R490" s="96">
        <v>24128</v>
      </c>
      <c r="S490" s="62">
        <f t="shared" si="123"/>
        <v>2010.6666666666667</v>
      </c>
      <c r="T490" s="62">
        <v>23940</v>
      </c>
      <c r="U490" s="62">
        <f t="shared" si="124"/>
        <v>1995</v>
      </c>
      <c r="V490" s="69">
        <v>22380</v>
      </c>
      <c r="W490" s="71">
        <v>2095</v>
      </c>
      <c r="X490" s="105">
        <f t="shared" si="125"/>
        <v>2053.1</v>
      </c>
      <c r="Y490" s="171">
        <f t="shared" si="126"/>
        <v>2.9122807017543814E-2</v>
      </c>
      <c r="Z490" s="64">
        <f t="shared" si="119"/>
        <v>5.0125313283208017E-2</v>
      </c>
      <c r="AA490" s="64">
        <f t="shared" si="128"/>
        <v>4.1942970822281128E-2</v>
      </c>
      <c r="AB490" s="71">
        <f t="shared" si="127"/>
        <v>2095</v>
      </c>
      <c r="AC490" s="64">
        <f t="shared" si="120"/>
        <v>5.0125313283208017E-2</v>
      </c>
      <c r="AD490" s="64">
        <f t="shared" si="129"/>
        <v>4.1942970822281128E-2</v>
      </c>
      <c r="AE490" s="71">
        <v>2075</v>
      </c>
      <c r="AF490" s="64">
        <f t="shared" si="121"/>
        <v>4.0100250626566414E-2</v>
      </c>
      <c r="AG490" s="64">
        <f t="shared" si="130"/>
        <v>3.1996021220159113E-2</v>
      </c>
      <c r="AH490" s="67"/>
      <c r="AI490" s="47" t="s">
        <v>54</v>
      </c>
      <c r="AJ490" s="47">
        <v>872.63</v>
      </c>
      <c r="AK490" s="47" t="s">
        <v>65</v>
      </c>
      <c r="AL490" s="47" t="s">
        <v>65</v>
      </c>
      <c r="AM490" s="47" t="s">
        <v>1517</v>
      </c>
      <c r="AN490" s="50">
        <v>2095</v>
      </c>
      <c r="AO490" s="211">
        <f t="shared" si="122"/>
        <v>5.0125313283208017E-2</v>
      </c>
      <c r="AP490" s="142" t="s">
        <v>852</v>
      </c>
      <c r="AQ490" s="213" t="s">
        <v>125</v>
      </c>
      <c r="AR490" s="143" t="s">
        <v>3113</v>
      </c>
    </row>
    <row r="491" spans="1:44">
      <c r="A491" s="47" t="s">
        <v>44</v>
      </c>
      <c r="B491" s="47" t="str">
        <f t="shared" si="118"/>
        <v>August</v>
      </c>
      <c r="C491" s="59">
        <v>45530</v>
      </c>
      <c r="D491" s="47" t="s">
        <v>45</v>
      </c>
      <c r="E491" s="47" t="s">
        <v>973</v>
      </c>
      <c r="F491" s="47" t="s">
        <v>974</v>
      </c>
      <c r="G491" s="47" t="s">
        <v>3176</v>
      </c>
      <c r="H491" s="47" t="s">
        <v>3177</v>
      </c>
      <c r="I491" s="47" t="s">
        <v>50</v>
      </c>
      <c r="J491" s="47" t="s">
        <v>51</v>
      </c>
      <c r="K491" s="48">
        <v>44435</v>
      </c>
      <c r="L491" s="48">
        <v>45165</v>
      </c>
      <c r="M491" s="48">
        <v>45530</v>
      </c>
      <c r="N491" s="47" t="s">
        <v>64</v>
      </c>
      <c r="O491" s="55" t="s">
        <v>53</v>
      </c>
      <c r="P491" s="62">
        <v>16900</v>
      </c>
      <c r="Q491" s="62">
        <v>1408.3333333333333</v>
      </c>
      <c r="R491" s="96">
        <v>18044</v>
      </c>
      <c r="S491" s="62">
        <f t="shared" si="123"/>
        <v>1503.6666666666667</v>
      </c>
      <c r="T491" s="62">
        <v>17220</v>
      </c>
      <c r="U491" s="62">
        <f t="shared" si="124"/>
        <v>1435</v>
      </c>
      <c r="V491" s="69">
        <v>15420</v>
      </c>
      <c r="W491" s="71">
        <v>1545</v>
      </c>
      <c r="X491" s="105">
        <f t="shared" si="125"/>
        <v>1514.1</v>
      </c>
      <c r="Y491" s="171">
        <f t="shared" si="126"/>
        <v>5.5121951219512133E-2</v>
      </c>
      <c r="Z491" s="64">
        <f t="shared" si="119"/>
        <v>7.6655052264808357E-2</v>
      </c>
      <c r="AA491" s="64">
        <f t="shared" si="128"/>
        <v>2.7488361782309859E-2</v>
      </c>
      <c r="AB491" s="71">
        <f t="shared" si="127"/>
        <v>1545</v>
      </c>
      <c r="AC491" s="64">
        <f t="shared" si="120"/>
        <v>7.6655052264808357E-2</v>
      </c>
      <c r="AD491" s="64">
        <f t="shared" si="129"/>
        <v>2.7488361782309859E-2</v>
      </c>
      <c r="AE491" s="71">
        <v>1525</v>
      </c>
      <c r="AF491" s="64">
        <f t="shared" si="121"/>
        <v>6.2717770034843204E-2</v>
      </c>
      <c r="AG491" s="64">
        <f t="shared" si="130"/>
        <v>1.4187541565063128E-2</v>
      </c>
      <c r="AH491" s="67"/>
      <c r="AI491" s="47" t="s">
        <v>54</v>
      </c>
      <c r="AJ491" s="47">
        <v>483.48</v>
      </c>
      <c r="AK491" s="47" t="s">
        <v>55</v>
      </c>
      <c r="AL491" s="47" t="s">
        <v>55</v>
      </c>
      <c r="AM491" s="47" t="s">
        <v>1740</v>
      </c>
      <c r="AN491" s="50"/>
      <c r="AO491" s="211">
        <f t="shared" si="122"/>
        <v>-1</v>
      </c>
      <c r="AP491" s="142" t="s">
        <v>852</v>
      </c>
      <c r="AQ491" s="212" t="s">
        <v>891</v>
      </c>
      <c r="AR491" s="143" t="s">
        <v>3178</v>
      </c>
    </row>
    <row r="492" spans="1:44">
      <c r="A492" s="47" t="s">
        <v>44</v>
      </c>
      <c r="B492" s="47" t="str">
        <f t="shared" si="118"/>
        <v>August</v>
      </c>
      <c r="C492" s="59">
        <v>45531</v>
      </c>
      <c r="D492" s="47" t="s">
        <v>45</v>
      </c>
      <c r="E492" s="47" t="s">
        <v>973</v>
      </c>
      <c r="F492" s="47" t="s">
        <v>974</v>
      </c>
      <c r="G492" s="47" t="s">
        <v>3204</v>
      </c>
      <c r="H492" s="47" t="s">
        <v>3205</v>
      </c>
      <c r="I492" s="47" t="s">
        <v>50</v>
      </c>
      <c r="J492" s="47" t="s">
        <v>51</v>
      </c>
      <c r="K492" s="48">
        <v>44071</v>
      </c>
      <c r="L492" s="48">
        <v>45166</v>
      </c>
      <c r="M492" s="48">
        <v>45531</v>
      </c>
      <c r="N492" s="47" t="s">
        <v>64</v>
      </c>
      <c r="O492" s="55" t="s">
        <v>53</v>
      </c>
      <c r="P492" s="62">
        <v>17316</v>
      </c>
      <c r="Q492" s="62">
        <v>1443</v>
      </c>
      <c r="R492" s="96">
        <v>18512</v>
      </c>
      <c r="S492" s="62">
        <f t="shared" si="123"/>
        <v>1542.6666666666667</v>
      </c>
      <c r="T492" s="62">
        <v>16800</v>
      </c>
      <c r="U492" s="62">
        <f t="shared" si="124"/>
        <v>1400</v>
      </c>
      <c r="V492" s="69">
        <v>14880</v>
      </c>
      <c r="W492" s="71">
        <v>1495</v>
      </c>
      <c r="X492" s="105">
        <f t="shared" si="125"/>
        <v>1465.1</v>
      </c>
      <c r="Y492" s="171">
        <f t="shared" si="126"/>
        <v>4.6499999999999937E-2</v>
      </c>
      <c r="Z492" s="64">
        <f t="shared" si="119"/>
        <v>6.7857142857142852E-2</v>
      </c>
      <c r="AA492" s="64">
        <f t="shared" si="128"/>
        <v>-3.089887640449443E-2</v>
      </c>
      <c r="AB492" s="71">
        <f t="shared" si="127"/>
        <v>1495</v>
      </c>
      <c r="AC492" s="64">
        <f t="shared" si="120"/>
        <v>6.7857142857142852E-2</v>
      </c>
      <c r="AD492" s="64">
        <f t="shared" si="129"/>
        <v>-3.089887640449443E-2</v>
      </c>
      <c r="AE492" s="71">
        <f>AB492</f>
        <v>1495</v>
      </c>
      <c r="AF492" s="64">
        <f t="shared" si="121"/>
        <v>6.7857142857142852E-2</v>
      </c>
      <c r="AG492" s="64">
        <f t="shared" si="130"/>
        <v>-3.089887640449443E-2</v>
      </c>
      <c r="AH492" s="67"/>
      <c r="AI492" s="47" t="s">
        <v>54</v>
      </c>
      <c r="AJ492" s="47">
        <v>479.89</v>
      </c>
      <c r="AK492" s="47" t="s">
        <v>55</v>
      </c>
      <c r="AL492" s="47" t="s">
        <v>55</v>
      </c>
      <c r="AM492" s="47" t="s">
        <v>1746</v>
      </c>
      <c r="AN492" s="50">
        <v>1495</v>
      </c>
      <c r="AO492" s="211">
        <f t="shared" si="122"/>
        <v>6.7857142857142852E-2</v>
      </c>
      <c r="AP492" s="142" t="s">
        <v>852</v>
      </c>
      <c r="AQ492" s="111" t="s">
        <v>986</v>
      </c>
      <c r="AR492" s="143" t="s">
        <v>2340</v>
      </c>
    </row>
    <row r="493" spans="1:44">
      <c r="A493" s="47" t="s">
        <v>44</v>
      </c>
      <c r="B493" s="47" t="str">
        <f t="shared" si="118"/>
        <v>August</v>
      </c>
      <c r="C493" s="59">
        <v>45533</v>
      </c>
      <c r="D493" s="47" t="s">
        <v>45</v>
      </c>
      <c r="E493" s="47" t="s">
        <v>973</v>
      </c>
      <c r="F493" s="47" t="s">
        <v>974</v>
      </c>
      <c r="G493" s="47" t="s">
        <v>3429</v>
      </c>
      <c r="H493" s="47" t="s">
        <v>3430</v>
      </c>
      <c r="I493" s="47" t="s">
        <v>50</v>
      </c>
      <c r="J493" s="47" t="s">
        <v>51</v>
      </c>
      <c r="K493" s="48">
        <v>43707</v>
      </c>
      <c r="L493" s="48">
        <v>45168</v>
      </c>
      <c r="M493" s="48">
        <v>45533</v>
      </c>
      <c r="N493" s="47" t="s">
        <v>64</v>
      </c>
      <c r="O493" s="55" t="s">
        <v>53</v>
      </c>
      <c r="P493" s="62">
        <v>17004</v>
      </c>
      <c r="Q493" s="62">
        <v>1417</v>
      </c>
      <c r="R493" s="96">
        <v>18148</v>
      </c>
      <c r="S493" s="62">
        <f t="shared" ref="S493:S504" si="131">R493/12</f>
        <v>1512.3333333333333</v>
      </c>
      <c r="T493" s="62">
        <v>16800</v>
      </c>
      <c r="U493" s="62">
        <f t="shared" si="124"/>
        <v>1400</v>
      </c>
      <c r="V493" s="69">
        <v>14700</v>
      </c>
      <c r="W493" s="71">
        <v>1485</v>
      </c>
      <c r="X493" s="105">
        <f t="shared" si="125"/>
        <v>1455.3</v>
      </c>
      <c r="Y493" s="171">
        <f t="shared" si="126"/>
        <v>3.9499999999999966E-2</v>
      </c>
      <c r="Z493" s="64">
        <f t="shared" si="119"/>
        <v>6.0714285714285714E-2</v>
      </c>
      <c r="AA493" s="64">
        <f t="shared" si="128"/>
        <v>-1.8073616927485072E-2</v>
      </c>
      <c r="AB493" s="71">
        <f t="shared" si="127"/>
        <v>1485</v>
      </c>
      <c r="AC493" s="64">
        <f t="shared" si="120"/>
        <v>6.0714285714285714E-2</v>
      </c>
      <c r="AD493" s="64">
        <f t="shared" si="129"/>
        <v>-1.8073616927485072E-2</v>
      </c>
      <c r="AE493" s="71">
        <f>AB493</f>
        <v>1485</v>
      </c>
      <c r="AF493" s="64">
        <f t="shared" si="121"/>
        <v>6.0714285714285714E-2</v>
      </c>
      <c r="AG493" s="64">
        <f t="shared" si="130"/>
        <v>-1.8073616927485072E-2</v>
      </c>
      <c r="AH493" s="67"/>
      <c r="AI493" s="47" t="s">
        <v>54</v>
      </c>
      <c r="AJ493" s="47">
        <v>509.33</v>
      </c>
      <c r="AK493" s="47" t="s">
        <v>55</v>
      </c>
      <c r="AL493" s="47" t="s">
        <v>55</v>
      </c>
      <c r="AM493" s="47" t="s">
        <v>1316</v>
      </c>
      <c r="AN493" s="50">
        <v>1485</v>
      </c>
      <c r="AO493" s="211">
        <f t="shared" si="122"/>
        <v>6.0714285714285714E-2</v>
      </c>
      <c r="AP493" s="142" t="s">
        <v>852</v>
      </c>
      <c r="AQ493" s="111" t="s">
        <v>125</v>
      </c>
      <c r="AR493" s="143" t="s">
        <v>2340</v>
      </c>
    </row>
    <row r="494" spans="1:44" hidden="1">
      <c r="A494" s="47" t="s">
        <v>44</v>
      </c>
      <c r="B494" s="47" t="str">
        <f t="shared" si="118"/>
        <v>August</v>
      </c>
      <c r="C494" s="59">
        <v>45535</v>
      </c>
      <c r="D494" s="47" t="s">
        <v>45</v>
      </c>
      <c r="E494" s="47" t="s">
        <v>973</v>
      </c>
      <c r="F494" s="47" t="s">
        <v>974</v>
      </c>
      <c r="G494" s="47" t="s">
        <v>3685</v>
      </c>
      <c r="H494" s="47" t="s">
        <v>3686</v>
      </c>
      <c r="I494" s="47" t="s">
        <v>50</v>
      </c>
      <c r="J494" s="47" t="s">
        <v>51</v>
      </c>
      <c r="K494" s="48">
        <v>45170</v>
      </c>
      <c r="L494" s="48">
        <v>45170</v>
      </c>
      <c r="M494" s="48">
        <v>45535</v>
      </c>
      <c r="N494" s="47" t="s">
        <v>52</v>
      </c>
      <c r="O494" s="55" t="s">
        <v>53</v>
      </c>
      <c r="P494" s="62">
        <v>17316</v>
      </c>
      <c r="Q494" s="62">
        <v>1443</v>
      </c>
      <c r="R494" s="96">
        <v>18512</v>
      </c>
      <c r="S494" s="62">
        <f t="shared" si="131"/>
        <v>1542.6666666666667</v>
      </c>
      <c r="T494" s="62">
        <v>17640</v>
      </c>
      <c r="U494" s="62">
        <f t="shared" si="124"/>
        <v>1470</v>
      </c>
      <c r="V494" s="69">
        <v>15420</v>
      </c>
      <c r="W494" s="71">
        <v>1545</v>
      </c>
      <c r="X494" s="105">
        <f t="shared" si="125"/>
        <v>1514.1</v>
      </c>
      <c r="Y494" s="171">
        <f t="shared" si="126"/>
        <v>2.9999999999999936E-2</v>
      </c>
      <c r="Z494" s="64">
        <f t="shared" si="119"/>
        <v>5.1020408163265307E-2</v>
      </c>
      <c r="AA494" s="64">
        <f t="shared" si="128"/>
        <v>1.5125324114087667E-3</v>
      </c>
      <c r="AB494" s="71">
        <f t="shared" si="127"/>
        <v>1545</v>
      </c>
      <c r="AC494" s="64">
        <f t="shared" si="120"/>
        <v>5.1020408163265307E-2</v>
      </c>
      <c r="AD494" s="64">
        <f t="shared" si="129"/>
        <v>1.5125324114087667E-3</v>
      </c>
      <c r="AE494" s="71">
        <f>AB494</f>
        <v>1545</v>
      </c>
      <c r="AF494" s="64">
        <f t="shared" si="121"/>
        <v>5.1020408163265307E-2</v>
      </c>
      <c r="AG494" s="64">
        <f t="shared" si="130"/>
        <v>1.5125324114087667E-3</v>
      </c>
      <c r="AH494" s="67"/>
      <c r="AI494" s="47" t="s">
        <v>54</v>
      </c>
      <c r="AJ494" s="47">
        <v>479.89</v>
      </c>
      <c r="AK494" s="47" t="s">
        <v>55</v>
      </c>
      <c r="AL494" s="47" t="s">
        <v>55</v>
      </c>
      <c r="AM494" s="47" t="s">
        <v>1746</v>
      </c>
      <c r="AN494" s="50">
        <v>1545</v>
      </c>
      <c r="AO494" s="211">
        <f t="shared" si="122"/>
        <v>5.1020408163265307E-2</v>
      </c>
      <c r="AP494" s="142" t="s">
        <v>852</v>
      </c>
      <c r="AQ494" s="145" t="s">
        <v>2543</v>
      </c>
      <c r="AR494" s="143" t="s">
        <v>3687</v>
      </c>
    </row>
    <row r="495" spans="1:44" hidden="1">
      <c r="A495" s="47" t="s">
        <v>44</v>
      </c>
      <c r="B495" s="47" t="str">
        <f t="shared" si="118"/>
        <v>August</v>
      </c>
      <c r="C495" s="59">
        <v>45535</v>
      </c>
      <c r="D495" s="47" t="s">
        <v>45</v>
      </c>
      <c r="E495" s="47" t="s">
        <v>973</v>
      </c>
      <c r="F495" s="47" t="s">
        <v>974</v>
      </c>
      <c r="G495" s="47" t="s">
        <v>3694</v>
      </c>
      <c r="H495" s="47" t="s">
        <v>3695</v>
      </c>
      <c r="I495" s="47" t="s">
        <v>50</v>
      </c>
      <c r="J495" s="47" t="s">
        <v>51</v>
      </c>
      <c r="K495" s="48">
        <v>45170</v>
      </c>
      <c r="L495" s="48">
        <v>45170</v>
      </c>
      <c r="M495" s="48">
        <v>45535</v>
      </c>
      <c r="N495" s="47" t="s">
        <v>52</v>
      </c>
      <c r="O495" s="55" t="s">
        <v>53</v>
      </c>
      <c r="P495" s="62">
        <v>23036</v>
      </c>
      <c r="Q495" s="62">
        <v>1919.6666666666667</v>
      </c>
      <c r="R495" s="96">
        <v>23972</v>
      </c>
      <c r="S495" s="62">
        <f t="shared" si="131"/>
        <v>1997.6666666666667</v>
      </c>
      <c r="T495" s="62">
        <v>23340</v>
      </c>
      <c r="U495" s="62">
        <f t="shared" si="124"/>
        <v>1945</v>
      </c>
      <c r="V495" s="69">
        <v>22140</v>
      </c>
      <c r="W495" s="71">
        <v>2040</v>
      </c>
      <c r="X495" s="105">
        <f t="shared" si="125"/>
        <v>1999.2</v>
      </c>
      <c r="Y495" s="171">
        <f t="shared" si="126"/>
        <v>2.7866323907455037E-2</v>
      </c>
      <c r="Z495" s="64">
        <f t="shared" si="119"/>
        <v>4.8843187660668377E-2</v>
      </c>
      <c r="AA495" s="64">
        <f t="shared" si="128"/>
        <v>2.11913899549474E-2</v>
      </c>
      <c r="AB495" s="71">
        <f t="shared" si="127"/>
        <v>2040</v>
      </c>
      <c r="AC495" s="64">
        <f t="shared" si="120"/>
        <v>4.8843187660668377E-2</v>
      </c>
      <c r="AD495" s="64">
        <f t="shared" si="129"/>
        <v>2.11913899549474E-2</v>
      </c>
      <c r="AE495" s="71">
        <f>AB495</f>
        <v>2040</v>
      </c>
      <c r="AF495" s="64">
        <f t="shared" si="121"/>
        <v>4.8843187660668377E-2</v>
      </c>
      <c r="AG495" s="64">
        <f t="shared" si="130"/>
        <v>2.11913899549474E-2</v>
      </c>
      <c r="AH495" s="67"/>
      <c r="AI495" s="47" t="s">
        <v>54</v>
      </c>
      <c r="AJ495" s="47">
        <v>746.42</v>
      </c>
      <c r="AK495" s="47" t="s">
        <v>65</v>
      </c>
      <c r="AL495" s="47" t="s">
        <v>65</v>
      </c>
      <c r="AM495" s="47" t="s">
        <v>3696</v>
      </c>
      <c r="AN495" s="50">
        <v>2040</v>
      </c>
      <c r="AO495" s="211">
        <f t="shared" si="122"/>
        <v>4.8843187660668377E-2</v>
      </c>
      <c r="AP495" s="142" t="s">
        <v>852</v>
      </c>
      <c r="AQ495" s="145" t="s">
        <v>1132</v>
      </c>
      <c r="AR495" s="143"/>
    </row>
    <row r="496" spans="1:44" ht="48">
      <c r="A496" s="47" t="s">
        <v>44</v>
      </c>
      <c r="B496" s="47" t="str">
        <f t="shared" si="118"/>
        <v>August</v>
      </c>
      <c r="C496" s="59">
        <v>45535</v>
      </c>
      <c r="D496" s="47" t="s">
        <v>45</v>
      </c>
      <c r="E496" s="47" t="s">
        <v>973</v>
      </c>
      <c r="F496" s="47" t="s">
        <v>974</v>
      </c>
      <c r="G496" s="47" t="s">
        <v>3758</v>
      </c>
      <c r="H496" s="47" t="s">
        <v>3759</v>
      </c>
      <c r="I496" s="47" t="s">
        <v>50</v>
      </c>
      <c r="J496" s="47" t="s">
        <v>51</v>
      </c>
      <c r="K496" s="48">
        <v>44805</v>
      </c>
      <c r="L496" s="48">
        <v>45170</v>
      </c>
      <c r="M496" s="48">
        <v>45535</v>
      </c>
      <c r="N496" s="47" t="s">
        <v>64</v>
      </c>
      <c r="O496" s="55" t="s">
        <v>53</v>
      </c>
      <c r="P496" s="62">
        <v>17004</v>
      </c>
      <c r="Q496" s="62">
        <v>1417</v>
      </c>
      <c r="R496" s="96">
        <v>18148</v>
      </c>
      <c r="S496" s="62">
        <f t="shared" si="131"/>
        <v>1512.3333333333333</v>
      </c>
      <c r="T496" s="62">
        <v>17700</v>
      </c>
      <c r="U496" s="62">
        <f t="shared" si="124"/>
        <v>1475</v>
      </c>
      <c r="V496" s="69">
        <v>15900</v>
      </c>
      <c r="W496" s="71">
        <v>1555</v>
      </c>
      <c r="X496" s="105">
        <f t="shared" si="125"/>
        <v>1523.9</v>
      </c>
      <c r="Y496" s="171">
        <f t="shared" si="126"/>
        <v>3.315254237288142E-2</v>
      </c>
      <c r="Z496" s="64">
        <f t="shared" si="119"/>
        <v>5.4237288135593219E-2</v>
      </c>
      <c r="AA496" s="64">
        <f t="shared" si="128"/>
        <v>2.8212475203879268E-2</v>
      </c>
      <c r="AB496" s="71">
        <f t="shared" si="127"/>
        <v>1555</v>
      </c>
      <c r="AC496" s="64">
        <f t="shared" si="120"/>
        <v>5.4237288135593219E-2</v>
      </c>
      <c r="AD496" s="64">
        <f t="shared" si="129"/>
        <v>2.8212475203879268E-2</v>
      </c>
      <c r="AE496" s="71">
        <v>1535</v>
      </c>
      <c r="AF496" s="64">
        <f t="shared" si="121"/>
        <v>4.0677966101694912E-2</v>
      </c>
      <c r="AG496" s="64">
        <f t="shared" si="130"/>
        <v>1.4987877452060884E-2</v>
      </c>
      <c r="AH496" s="67"/>
      <c r="AI496" s="47" t="s">
        <v>54</v>
      </c>
      <c r="AJ496" s="47">
        <v>495.93</v>
      </c>
      <c r="AK496" s="47" t="s">
        <v>55</v>
      </c>
      <c r="AL496" s="47" t="s">
        <v>55</v>
      </c>
      <c r="AM496" s="47" t="s">
        <v>990</v>
      </c>
      <c r="AN496" s="50"/>
      <c r="AO496" s="211">
        <f t="shared" si="122"/>
        <v>-1</v>
      </c>
      <c r="AP496" s="47" t="s">
        <v>852</v>
      </c>
      <c r="AQ496" s="135" t="s">
        <v>1074</v>
      </c>
      <c r="AR496" s="54" t="s">
        <v>3760</v>
      </c>
    </row>
    <row r="497" spans="1:44">
      <c r="A497" s="47" t="s">
        <v>44</v>
      </c>
      <c r="B497" s="47" t="str">
        <f t="shared" si="118"/>
        <v>August</v>
      </c>
      <c r="C497" s="59">
        <v>45510</v>
      </c>
      <c r="D497" s="47" t="s">
        <v>83</v>
      </c>
      <c r="E497" s="47" t="s">
        <v>1217</v>
      </c>
      <c r="F497" s="47" t="s">
        <v>880</v>
      </c>
      <c r="G497" s="47" t="s">
        <v>1218</v>
      </c>
      <c r="H497" s="47" t="s">
        <v>1219</v>
      </c>
      <c r="I497" s="47" t="s">
        <v>50</v>
      </c>
      <c r="J497" s="47" t="s">
        <v>51</v>
      </c>
      <c r="K497" s="48">
        <v>44050</v>
      </c>
      <c r="L497" s="48">
        <v>45145</v>
      </c>
      <c r="M497" s="48">
        <v>45510</v>
      </c>
      <c r="N497" s="47" t="s">
        <v>64</v>
      </c>
      <c r="O497" s="55" t="s">
        <v>53</v>
      </c>
      <c r="P497" s="62">
        <v>24960</v>
      </c>
      <c r="Q497" s="62">
        <v>2080</v>
      </c>
      <c r="R497" s="103">
        <v>25320</v>
      </c>
      <c r="S497" s="62">
        <f t="shared" si="131"/>
        <v>2110</v>
      </c>
      <c r="T497" s="62">
        <v>25500</v>
      </c>
      <c r="U497" s="62">
        <f t="shared" ref="U497:U504" si="132">T497/12</f>
        <v>2125</v>
      </c>
      <c r="V497" s="69">
        <v>23700</v>
      </c>
      <c r="W497" s="71" t="s">
        <v>123</v>
      </c>
      <c r="X497" s="71"/>
      <c r="Y497" s="71"/>
      <c r="Z497" s="64" t="e">
        <f t="shared" si="119"/>
        <v>#VALUE!</v>
      </c>
      <c r="AA497" s="64" t="e">
        <f t="shared" si="128"/>
        <v>#VALUE!</v>
      </c>
      <c r="AB497" s="71">
        <v>2250</v>
      </c>
      <c r="AC497" s="64">
        <f t="shared" si="120"/>
        <v>5.8823529411764705E-2</v>
      </c>
      <c r="AD497" s="64">
        <f t="shared" si="129"/>
        <v>6.6350710900473939E-2</v>
      </c>
      <c r="AE497" s="71">
        <v>2200</v>
      </c>
      <c r="AF497" s="64">
        <f t="shared" si="121"/>
        <v>3.5294117647058823E-2</v>
      </c>
      <c r="AG497" s="64">
        <f t="shared" si="130"/>
        <v>4.2654028436018961E-2</v>
      </c>
      <c r="AH497" s="67"/>
      <c r="AI497" s="47" t="s">
        <v>54</v>
      </c>
      <c r="AJ497" s="47">
        <v>770</v>
      </c>
      <c r="AK497" s="47" t="s">
        <v>65</v>
      </c>
      <c r="AL497" s="47" t="s">
        <v>65</v>
      </c>
      <c r="AM497" s="47" t="s">
        <v>1220</v>
      </c>
      <c r="AN497" s="47"/>
      <c r="AO497" s="211">
        <f t="shared" si="122"/>
        <v>-1</v>
      </c>
      <c r="AP497" s="47" t="s">
        <v>90</v>
      </c>
      <c r="AQ497" s="91" t="s">
        <v>116</v>
      </c>
      <c r="AR497" s="47"/>
    </row>
    <row r="498" spans="1:44" hidden="1">
      <c r="A498" s="47" t="s">
        <v>44</v>
      </c>
      <c r="B498" s="47" t="str">
        <f t="shared" si="118"/>
        <v>August</v>
      </c>
      <c r="C498" s="59">
        <v>45513</v>
      </c>
      <c r="D498" s="47" t="s">
        <v>83</v>
      </c>
      <c r="E498" s="47" t="s">
        <v>1217</v>
      </c>
      <c r="F498" s="47" t="s">
        <v>880</v>
      </c>
      <c r="G498" s="47" t="s">
        <v>1444</v>
      </c>
      <c r="H498" s="47" t="s">
        <v>1445</v>
      </c>
      <c r="I498" s="47" t="s">
        <v>50</v>
      </c>
      <c r="J498" s="47" t="s">
        <v>51</v>
      </c>
      <c r="K498" s="48">
        <v>45148</v>
      </c>
      <c r="L498" s="48">
        <v>45148</v>
      </c>
      <c r="M498" s="48">
        <v>45513</v>
      </c>
      <c r="N498" s="47" t="s">
        <v>52</v>
      </c>
      <c r="O498" s="55" t="s">
        <v>53</v>
      </c>
      <c r="P498" s="62">
        <v>22204</v>
      </c>
      <c r="Q498" s="62">
        <v>1850.3333333333333</v>
      </c>
      <c r="R498" s="103">
        <v>22204</v>
      </c>
      <c r="S498" s="62">
        <f t="shared" si="131"/>
        <v>1850.3333333333333</v>
      </c>
      <c r="T498" s="62">
        <v>21000</v>
      </c>
      <c r="U498" s="62">
        <f t="shared" si="132"/>
        <v>1750</v>
      </c>
      <c r="V498" s="69">
        <v>18840</v>
      </c>
      <c r="W498" s="71" t="s">
        <v>123</v>
      </c>
      <c r="X498" s="71"/>
      <c r="Y498" s="71"/>
      <c r="Z498" s="64" t="e">
        <f t="shared" si="119"/>
        <v>#VALUE!</v>
      </c>
      <c r="AA498" s="64" t="e">
        <f t="shared" si="128"/>
        <v>#VALUE!</v>
      </c>
      <c r="AB498" s="71">
        <v>1875</v>
      </c>
      <c r="AC498" s="64">
        <f t="shared" si="120"/>
        <v>7.1428571428571425E-2</v>
      </c>
      <c r="AD498" s="64">
        <f t="shared" si="129"/>
        <v>1.3330931363718291E-2</v>
      </c>
      <c r="AE498" s="71">
        <v>1850</v>
      </c>
      <c r="AF498" s="64">
        <f t="shared" si="121"/>
        <v>5.7142857142857141E-2</v>
      </c>
      <c r="AG498" s="64">
        <f t="shared" si="130"/>
        <v>-1.8014772113128673E-4</v>
      </c>
      <c r="AH498" s="67"/>
      <c r="AI498" s="47" t="s">
        <v>54</v>
      </c>
      <c r="AJ498" s="47">
        <v>534</v>
      </c>
      <c r="AK498" s="47" t="s">
        <v>55</v>
      </c>
      <c r="AL498" s="47" t="s">
        <v>55</v>
      </c>
      <c r="AM498" s="47" t="s">
        <v>1446</v>
      </c>
      <c r="AN498" s="47">
        <v>1875</v>
      </c>
      <c r="AO498" s="211">
        <f t="shared" si="122"/>
        <v>7.1428571428571425E-2</v>
      </c>
      <c r="AP498" s="47" t="s">
        <v>90</v>
      </c>
      <c r="AQ498" s="91" t="s">
        <v>116</v>
      </c>
      <c r="AR498" s="47"/>
    </row>
    <row r="499" spans="1:44">
      <c r="A499" s="47" t="s">
        <v>44</v>
      </c>
      <c r="B499" s="47" t="str">
        <f t="shared" si="118"/>
        <v>August</v>
      </c>
      <c r="C499" s="59">
        <v>45523</v>
      </c>
      <c r="D499" s="47" t="s">
        <v>83</v>
      </c>
      <c r="E499" s="47" t="s">
        <v>1217</v>
      </c>
      <c r="F499" s="47" t="s">
        <v>880</v>
      </c>
      <c r="G499" s="47" t="s">
        <v>2321</v>
      </c>
      <c r="H499" s="47" t="s">
        <v>2322</v>
      </c>
      <c r="I499" s="47" t="s">
        <v>50</v>
      </c>
      <c r="J499" s="47" t="s">
        <v>51</v>
      </c>
      <c r="K499" s="48">
        <v>44793</v>
      </c>
      <c r="L499" s="48">
        <v>45158</v>
      </c>
      <c r="M499" s="48">
        <v>45523</v>
      </c>
      <c r="N499" s="47" t="s">
        <v>64</v>
      </c>
      <c r="O499" s="55" t="s">
        <v>53</v>
      </c>
      <c r="P499" s="62">
        <v>25792</v>
      </c>
      <c r="Q499" s="62">
        <v>2149.3333333333335</v>
      </c>
      <c r="R499" s="103">
        <v>25972</v>
      </c>
      <c r="S499" s="62">
        <f t="shared" si="131"/>
        <v>2164.3333333333335</v>
      </c>
      <c r="T499" s="62">
        <v>24600</v>
      </c>
      <c r="U499" s="62">
        <f t="shared" si="132"/>
        <v>2050</v>
      </c>
      <c r="V499" s="69">
        <v>22800</v>
      </c>
      <c r="W499" s="71" t="s">
        <v>123</v>
      </c>
      <c r="X499" s="71"/>
      <c r="Y499" s="71"/>
      <c r="Z499" s="64" t="e">
        <f t="shared" si="119"/>
        <v>#VALUE!</v>
      </c>
      <c r="AA499" s="64" t="e">
        <f t="shared" si="128"/>
        <v>#VALUE!</v>
      </c>
      <c r="AB499" s="71">
        <v>2250</v>
      </c>
      <c r="AC499" s="64">
        <f t="shared" si="120"/>
        <v>9.7560975609756101E-2</v>
      </c>
      <c r="AD499" s="64">
        <f t="shared" si="129"/>
        <v>3.9581087324811262E-2</v>
      </c>
      <c r="AE499" s="71">
        <v>2200</v>
      </c>
      <c r="AF499" s="64">
        <f t="shared" si="121"/>
        <v>7.3170731707317069E-2</v>
      </c>
      <c r="AG499" s="64">
        <f t="shared" si="130"/>
        <v>1.6479285384259901E-2</v>
      </c>
      <c r="AH499" s="67"/>
      <c r="AI499" s="47" t="s">
        <v>250</v>
      </c>
      <c r="AJ499" s="47">
        <v>750</v>
      </c>
      <c r="AK499" s="47" t="s">
        <v>65</v>
      </c>
      <c r="AL499" s="47" t="s">
        <v>55</v>
      </c>
      <c r="AM499" s="47" t="s">
        <v>2323</v>
      </c>
      <c r="AN499" s="47"/>
      <c r="AO499" s="211">
        <f t="shared" si="122"/>
        <v>-1</v>
      </c>
      <c r="AP499" s="47" t="s">
        <v>90</v>
      </c>
      <c r="AQ499" s="212" t="s">
        <v>891</v>
      </c>
      <c r="AR499" s="47"/>
    </row>
    <row r="500" spans="1:44">
      <c r="A500" s="47" t="s">
        <v>44</v>
      </c>
      <c r="B500" s="47" t="str">
        <f t="shared" si="118"/>
        <v>July</v>
      </c>
      <c r="C500" s="59">
        <v>45496</v>
      </c>
      <c r="D500" s="47" t="s">
        <v>83</v>
      </c>
      <c r="E500" s="47" t="s">
        <v>1217</v>
      </c>
      <c r="F500" s="47" t="s">
        <v>880</v>
      </c>
      <c r="G500" s="47" t="s">
        <v>2440</v>
      </c>
      <c r="H500" s="47" t="s">
        <v>2441</v>
      </c>
      <c r="I500" s="47" t="s">
        <v>50</v>
      </c>
      <c r="J500" s="47" t="s">
        <v>51</v>
      </c>
      <c r="K500" s="48">
        <v>44401</v>
      </c>
      <c r="L500" s="48">
        <v>45131</v>
      </c>
      <c r="M500" s="48">
        <v>45496</v>
      </c>
      <c r="N500" s="47" t="s">
        <v>64</v>
      </c>
      <c r="O500" s="55" t="s">
        <v>53</v>
      </c>
      <c r="P500" s="62">
        <v>25584</v>
      </c>
      <c r="Q500" s="62">
        <v>2132</v>
      </c>
      <c r="R500" s="103">
        <v>25944</v>
      </c>
      <c r="S500" s="62">
        <f t="shared" si="131"/>
        <v>2162</v>
      </c>
      <c r="T500" s="62">
        <v>25320</v>
      </c>
      <c r="U500" s="62">
        <f t="shared" si="132"/>
        <v>2110</v>
      </c>
      <c r="V500" s="69">
        <v>23220</v>
      </c>
      <c r="W500" s="71" t="s">
        <v>123</v>
      </c>
      <c r="X500" s="71"/>
      <c r="Y500" s="71"/>
      <c r="Z500" s="64" t="e">
        <f t="shared" si="119"/>
        <v>#VALUE!</v>
      </c>
      <c r="AA500" s="64" t="e">
        <f t="shared" si="128"/>
        <v>#VALUE!</v>
      </c>
      <c r="AB500" s="71">
        <v>2250</v>
      </c>
      <c r="AC500" s="64">
        <f t="shared" si="120"/>
        <v>6.6350710900473939E-2</v>
      </c>
      <c r="AD500" s="64">
        <f t="shared" si="129"/>
        <v>4.0703052728954671E-2</v>
      </c>
      <c r="AE500" s="71">
        <v>2225</v>
      </c>
      <c r="AF500" s="64">
        <f t="shared" si="121"/>
        <v>5.4502369668246446E-2</v>
      </c>
      <c r="AG500" s="64">
        <f t="shared" si="130"/>
        <v>2.9139685476410732E-2</v>
      </c>
      <c r="AH500" s="67"/>
      <c r="AI500" s="47" t="s">
        <v>54</v>
      </c>
      <c r="AJ500" s="47">
        <v>782</v>
      </c>
      <c r="AK500" s="101" t="s">
        <v>65</v>
      </c>
      <c r="AL500" s="101" t="s">
        <v>65</v>
      </c>
      <c r="AM500" s="47" t="s">
        <v>2442</v>
      </c>
      <c r="AN500" s="47">
        <v>2210</v>
      </c>
      <c r="AO500" s="211">
        <f t="shared" si="122"/>
        <v>4.7393364928909949E-2</v>
      </c>
      <c r="AP500" s="47" t="s">
        <v>90</v>
      </c>
      <c r="AQ500" s="91" t="s">
        <v>116</v>
      </c>
      <c r="AR500" s="47"/>
    </row>
    <row r="501" spans="1:44">
      <c r="A501" s="47" t="s">
        <v>44</v>
      </c>
      <c r="B501" s="47" t="str">
        <f t="shared" si="118"/>
        <v>July</v>
      </c>
      <c r="C501" s="59">
        <v>45492</v>
      </c>
      <c r="D501" s="47" t="s">
        <v>83</v>
      </c>
      <c r="E501" s="47" t="s">
        <v>1217</v>
      </c>
      <c r="F501" s="47" t="s">
        <v>880</v>
      </c>
      <c r="G501" s="47" t="s">
        <v>2443</v>
      </c>
      <c r="H501" s="47" t="s">
        <v>2444</v>
      </c>
      <c r="I501" s="47" t="s">
        <v>50</v>
      </c>
      <c r="J501" s="47" t="s">
        <v>51</v>
      </c>
      <c r="K501" s="48">
        <v>44763</v>
      </c>
      <c r="L501" s="48">
        <v>45127</v>
      </c>
      <c r="M501" s="48">
        <v>45492</v>
      </c>
      <c r="N501" s="47" t="s">
        <v>64</v>
      </c>
      <c r="O501" s="55" t="s">
        <v>53</v>
      </c>
      <c r="P501" s="62">
        <v>26156</v>
      </c>
      <c r="Q501" s="62">
        <v>2179.6666666666665</v>
      </c>
      <c r="R501" s="103">
        <v>26516</v>
      </c>
      <c r="S501" s="62">
        <f t="shared" si="131"/>
        <v>2209.6666666666665</v>
      </c>
      <c r="T501" s="62">
        <v>25200</v>
      </c>
      <c r="U501" s="62">
        <f t="shared" si="132"/>
        <v>2100</v>
      </c>
      <c r="V501" s="69">
        <v>24300</v>
      </c>
      <c r="W501" s="71" t="s">
        <v>123</v>
      </c>
      <c r="X501" s="71"/>
      <c r="Y501" s="71"/>
      <c r="Z501" s="64" t="e">
        <f t="shared" si="119"/>
        <v>#VALUE!</v>
      </c>
      <c r="AA501" s="64" t="e">
        <f t="shared" si="128"/>
        <v>#VALUE!</v>
      </c>
      <c r="AB501" s="71">
        <v>2250</v>
      </c>
      <c r="AC501" s="64">
        <f t="shared" si="120"/>
        <v>7.1428571428571425E-2</v>
      </c>
      <c r="AD501" s="64">
        <f t="shared" si="129"/>
        <v>1.825313018554842E-2</v>
      </c>
      <c r="AE501" s="71">
        <v>2225</v>
      </c>
      <c r="AF501" s="64">
        <f t="shared" si="121"/>
        <v>5.9523809523809521E-2</v>
      </c>
      <c r="AG501" s="64">
        <f t="shared" si="130"/>
        <v>6.9392065168201022E-3</v>
      </c>
      <c r="AH501" s="67"/>
      <c r="AI501" s="47" t="s">
        <v>54</v>
      </c>
      <c r="AJ501" s="47">
        <v>793</v>
      </c>
      <c r="AK501" s="101" t="s">
        <v>65</v>
      </c>
      <c r="AL501" s="101" t="s">
        <v>65</v>
      </c>
      <c r="AM501" s="47" t="s">
        <v>2445</v>
      </c>
      <c r="AN501" s="47"/>
      <c r="AO501" s="211">
        <f t="shared" si="122"/>
        <v>-1</v>
      </c>
      <c r="AP501" s="47" t="s">
        <v>90</v>
      </c>
      <c r="AQ501" s="91" t="s">
        <v>116</v>
      </c>
      <c r="AR501" s="47"/>
    </row>
    <row r="502" spans="1:44">
      <c r="A502" s="47" t="s">
        <v>44</v>
      </c>
      <c r="B502" s="47" t="str">
        <f t="shared" si="118"/>
        <v>July</v>
      </c>
      <c r="C502" s="59">
        <v>45494</v>
      </c>
      <c r="D502" s="47" t="s">
        <v>83</v>
      </c>
      <c r="E502" s="47" t="s">
        <v>1217</v>
      </c>
      <c r="F502" s="47" t="s">
        <v>880</v>
      </c>
      <c r="G502" s="47" t="s">
        <v>2446</v>
      </c>
      <c r="H502" s="47" t="s">
        <v>2447</v>
      </c>
      <c r="I502" s="47" t="s">
        <v>50</v>
      </c>
      <c r="J502" s="47" t="s">
        <v>51</v>
      </c>
      <c r="K502" s="48">
        <v>44765</v>
      </c>
      <c r="L502" s="48">
        <v>45129</v>
      </c>
      <c r="M502" s="48">
        <v>45494</v>
      </c>
      <c r="N502" s="47" t="s">
        <v>64</v>
      </c>
      <c r="O502" s="55" t="s">
        <v>53</v>
      </c>
      <c r="P502" s="62">
        <v>26468</v>
      </c>
      <c r="Q502" s="62">
        <v>2205.6666666666665</v>
      </c>
      <c r="R502" s="103">
        <v>26828</v>
      </c>
      <c r="S502" s="62">
        <f t="shared" si="131"/>
        <v>2235.6666666666665</v>
      </c>
      <c r="T502" s="62">
        <v>27000</v>
      </c>
      <c r="U502" s="62">
        <f t="shared" si="132"/>
        <v>2250</v>
      </c>
      <c r="V502" s="69">
        <v>25200</v>
      </c>
      <c r="W502" s="71" t="s">
        <v>123</v>
      </c>
      <c r="X502" s="71"/>
      <c r="Y502" s="71"/>
      <c r="Z502" s="64" t="e">
        <f t="shared" si="119"/>
        <v>#VALUE!</v>
      </c>
      <c r="AA502" s="64" t="e">
        <f t="shared" si="128"/>
        <v>#VALUE!</v>
      </c>
      <c r="AB502" s="71">
        <v>2315</v>
      </c>
      <c r="AC502" s="64">
        <f t="shared" si="120"/>
        <v>2.8888888888888888E-2</v>
      </c>
      <c r="AD502" s="64">
        <f t="shared" si="129"/>
        <v>3.5485313851200309E-2</v>
      </c>
      <c r="AE502" s="71">
        <v>2315</v>
      </c>
      <c r="AF502" s="64">
        <f t="shared" si="121"/>
        <v>2.8888888888888888E-2</v>
      </c>
      <c r="AG502" s="64">
        <f t="shared" si="130"/>
        <v>3.5485313851200309E-2</v>
      </c>
      <c r="AH502" s="67"/>
      <c r="AI502" s="47" t="s">
        <v>54</v>
      </c>
      <c r="AJ502" s="47">
        <v>809</v>
      </c>
      <c r="AK502" s="101" t="s">
        <v>65</v>
      </c>
      <c r="AL502" s="101" t="s">
        <v>65</v>
      </c>
      <c r="AM502" s="47" t="s">
        <v>2448</v>
      </c>
      <c r="AN502" s="47"/>
      <c r="AO502" s="211">
        <f t="shared" si="122"/>
        <v>-1</v>
      </c>
      <c r="AP502" s="47" t="s">
        <v>90</v>
      </c>
      <c r="AQ502" s="94" t="s">
        <v>891</v>
      </c>
      <c r="AR502" s="47"/>
    </row>
    <row r="503" spans="1:44">
      <c r="A503" s="47" t="s">
        <v>44</v>
      </c>
      <c r="B503" s="47" t="str">
        <f t="shared" si="118"/>
        <v>August</v>
      </c>
      <c r="C503" s="59">
        <v>45526</v>
      </c>
      <c r="D503" s="47" t="s">
        <v>83</v>
      </c>
      <c r="E503" s="47" t="s">
        <v>1217</v>
      </c>
      <c r="F503" s="47" t="s">
        <v>880</v>
      </c>
      <c r="G503" s="47" t="s">
        <v>2668</v>
      </c>
      <c r="H503" s="47" t="s">
        <v>2669</v>
      </c>
      <c r="I503" s="47" t="s">
        <v>50</v>
      </c>
      <c r="J503" s="47" t="s">
        <v>51</v>
      </c>
      <c r="K503" s="48">
        <v>44431</v>
      </c>
      <c r="L503" s="48">
        <v>45161</v>
      </c>
      <c r="M503" s="48">
        <v>45526</v>
      </c>
      <c r="N503" s="47" t="s">
        <v>64</v>
      </c>
      <c r="O503" s="55" t="s">
        <v>53</v>
      </c>
      <c r="P503" s="62">
        <v>20384</v>
      </c>
      <c r="Q503" s="62">
        <v>1698.6666666666667</v>
      </c>
      <c r="R503" s="103">
        <v>20384</v>
      </c>
      <c r="S503" s="62">
        <f t="shared" si="131"/>
        <v>1698.6666666666667</v>
      </c>
      <c r="T503" s="62">
        <v>21000</v>
      </c>
      <c r="U503" s="62">
        <f t="shared" si="132"/>
        <v>1750</v>
      </c>
      <c r="V503" s="69">
        <v>19560</v>
      </c>
      <c r="W503" s="71" t="s">
        <v>123</v>
      </c>
      <c r="X503" s="71"/>
      <c r="Y503" s="71"/>
      <c r="Z503" s="64" t="e">
        <f t="shared" si="119"/>
        <v>#VALUE!</v>
      </c>
      <c r="AA503" s="64" t="e">
        <f t="shared" si="128"/>
        <v>#VALUE!</v>
      </c>
      <c r="AB503" s="71">
        <v>1850</v>
      </c>
      <c r="AC503" s="64">
        <f t="shared" si="120"/>
        <v>5.7142857142857141E-2</v>
      </c>
      <c r="AD503" s="64">
        <f t="shared" si="129"/>
        <v>8.9089481946624749E-2</v>
      </c>
      <c r="AE503" s="71">
        <v>1825</v>
      </c>
      <c r="AF503" s="64">
        <f t="shared" si="121"/>
        <v>4.2857142857142858E-2</v>
      </c>
      <c r="AG503" s="64">
        <f t="shared" si="130"/>
        <v>7.4372056514913604E-2</v>
      </c>
      <c r="AH503" s="67"/>
      <c r="AI503" s="47" t="s">
        <v>54</v>
      </c>
      <c r="AJ503" s="47">
        <v>527</v>
      </c>
      <c r="AK503" s="47" t="s">
        <v>55</v>
      </c>
      <c r="AL503" s="47" t="s">
        <v>55</v>
      </c>
      <c r="AM503" s="47" t="s">
        <v>2670</v>
      </c>
      <c r="AN503" s="47">
        <v>1825</v>
      </c>
      <c r="AO503" s="211">
        <f t="shared" si="122"/>
        <v>4.2857142857142858E-2</v>
      </c>
      <c r="AP503" s="47" t="s">
        <v>90</v>
      </c>
      <c r="AQ503" s="91" t="s">
        <v>116</v>
      </c>
      <c r="AR503" s="47"/>
    </row>
    <row r="504" spans="1:44">
      <c r="A504" s="47" t="s">
        <v>44</v>
      </c>
      <c r="B504" s="47" t="str">
        <f t="shared" si="118"/>
        <v>August</v>
      </c>
      <c r="C504" s="59">
        <v>45531</v>
      </c>
      <c r="D504" s="47" t="s">
        <v>83</v>
      </c>
      <c r="E504" s="47" t="s">
        <v>1217</v>
      </c>
      <c r="F504" s="47" t="s">
        <v>880</v>
      </c>
      <c r="G504" s="47" t="s">
        <v>3211</v>
      </c>
      <c r="H504" s="47" t="s">
        <v>3212</v>
      </c>
      <c r="I504" s="47" t="s">
        <v>50</v>
      </c>
      <c r="J504" s="47" t="s">
        <v>51</v>
      </c>
      <c r="K504" s="48">
        <v>44436</v>
      </c>
      <c r="L504" s="48">
        <v>45166</v>
      </c>
      <c r="M504" s="48">
        <v>45531</v>
      </c>
      <c r="N504" s="47" t="s">
        <v>64</v>
      </c>
      <c r="O504" s="55" t="s">
        <v>53</v>
      </c>
      <c r="P504" s="62">
        <v>24596</v>
      </c>
      <c r="Q504" s="62">
        <v>2049.6666666666665</v>
      </c>
      <c r="R504" s="103">
        <v>24776</v>
      </c>
      <c r="S504" s="62">
        <f t="shared" si="131"/>
        <v>2064.6666666666665</v>
      </c>
      <c r="T504" s="62">
        <v>25200</v>
      </c>
      <c r="U504" s="62">
        <f t="shared" si="132"/>
        <v>2100</v>
      </c>
      <c r="V504" s="69">
        <v>23880</v>
      </c>
      <c r="W504" s="71" t="s">
        <v>123</v>
      </c>
      <c r="X504" s="71"/>
      <c r="Y504" s="71"/>
      <c r="Z504" s="64" t="e">
        <f t="shared" si="119"/>
        <v>#VALUE!</v>
      </c>
      <c r="AA504" s="64" t="e">
        <f t="shared" si="128"/>
        <v>#VALUE!</v>
      </c>
      <c r="AB504" s="71">
        <v>2250</v>
      </c>
      <c r="AC504" s="64">
        <f t="shared" si="120"/>
        <v>7.1428571428571425E-2</v>
      </c>
      <c r="AD504" s="64">
        <f t="shared" si="129"/>
        <v>8.9764288020665245E-2</v>
      </c>
      <c r="AE504" s="71">
        <v>2200</v>
      </c>
      <c r="AF504" s="64">
        <f t="shared" si="121"/>
        <v>4.7619047619047616E-2</v>
      </c>
      <c r="AG504" s="64">
        <f t="shared" si="130"/>
        <v>6.5547303842428239E-2</v>
      </c>
      <c r="AH504" s="67"/>
      <c r="AI504" s="47" t="s">
        <v>395</v>
      </c>
      <c r="AJ504" s="47">
        <v>690</v>
      </c>
      <c r="AK504" s="47" t="s">
        <v>65</v>
      </c>
      <c r="AL504" s="47" t="s">
        <v>55</v>
      </c>
      <c r="AM504" s="47" t="s">
        <v>3213</v>
      </c>
      <c r="AN504" s="47">
        <v>2250</v>
      </c>
      <c r="AO504" s="211">
        <f t="shared" si="122"/>
        <v>7.1428571428571425E-2</v>
      </c>
      <c r="AP504" s="47" t="s">
        <v>90</v>
      </c>
      <c r="AQ504" s="111" t="s">
        <v>125</v>
      </c>
      <c r="AR504" s="47"/>
    </row>
    <row r="505" spans="1:44" hidden="1">
      <c r="A505" s="47" t="s">
        <v>44</v>
      </c>
      <c r="B505" s="47" t="str">
        <f t="shared" si="118"/>
        <v>August</v>
      </c>
      <c r="C505" s="59">
        <v>45517</v>
      </c>
      <c r="D505" s="47" t="s">
        <v>83</v>
      </c>
      <c r="E505" s="47" t="s">
        <v>1779</v>
      </c>
      <c r="F505" s="47" t="s">
        <v>929</v>
      </c>
      <c r="G505" s="47" t="s">
        <v>1780</v>
      </c>
      <c r="H505" s="47" t="s">
        <v>1781</v>
      </c>
      <c r="I505" s="47" t="s">
        <v>1113</v>
      </c>
      <c r="J505" s="47" t="s">
        <v>51</v>
      </c>
      <c r="K505" s="48">
        <v>45152</v>
      </c>
      <c r="L505" s="48">
        <v>45152</v>
      </c>
      <c r="M505" s="48">
        <v>45517</v>
      </c>
      <c r="N505" s="47" t="s">
        <v>52</v>
      </c>
      <c r="O505" s="55" t="s">
        <v>53</v>
      </c>
      <c r="P505" s="62">
        <v>14456</v>
      </c>
      <c r="Q505" s="62">
        <v>1204.6666666666667</v>
      </c>
      <c r="R505" s="103">
        <v>14456</v>
      </c>
      <c r="S505" s="62"/>
      <c r="T505" s="62">
        <v>15780</v>
      </c>
      <c r="U505" s="62"/>
      <c r="V505" s="69">
        <v>14580</v>
      </c>
      <c r="W505" s="71" t="s">
        <v>123</v>
      </c>
      <c r="X505" s="71"/>
      <c r="Y505" s="71"/>
      <c r="Z505" s="64" t="e">
        <f t="shared" si="119"/>
        <v>#VALUE!</v>
      </c>
      <c r="AA505" s="64" t="e">
        <f t="shared" si="128"/>
        <v>#VALUE!</v>
      </c>
      <c r="AB505" s="71"/>
      <c r="AC505" s="64" t="e">
        <f t="shared" si="120"/>
        <v>#DIV/0!</v>
      </c>
      <c r="AD505" s="64" t="e">
        <f t="shared" si="129"/>
        <v>#DIV/0!</v>
      </c>
      <c r="AE505" s="71">
        <f t="shared" ref="AE505:AE513" si="133">AB505</f>
        <v>0</v>
      </c>
      <c r="AF505" s="64" t="e">
        <f t="shared" si="121"/>
        <v>#DIV/0!</v>
      </c>
      <c r="AG505" s="64" t="e">
        <f t="shared" si="130"/>
        <v>#DIV/0!</v>
      </c>
      <c r="AH505" s="67" t="s">
        <v>933</v>
      </c>
      <c r="AI505" s="47" t="s">
        <v>54</v>
      </c>
      <c r="AJ505" s="47">
        <v>125.29</v>
      </c>
      <c r="AK505" s="47" t="s">
        <v>55</v>
      </c>
      <c r="AL505" s="47" t="s">
        <v>55</v>
      </c>
      <c r="AM505" s="47" t="s">
        <v>1782</v>
      </c>
      <c r="AN505" s="47"/>
      <c r="AO505" s="211" t="e">
        <f t="shared" si="122"/>
        <v>#DIV/0!</v>
      </c>
      <c r="AP505" s="47" t="s">
        <v>90</v>
      </c>
      <c r="AQ505" s="144" t="s">
        <v>935</v>
      </c>
      <c r="AR505" s="47"/>
    </row>
    <row r="506" spans="1:44" hidden="1">
      <c r="A506" s="47" t="s">
        <v>44</v>
      </c>
      <c r="B506" s="47" t="str">
        <f t="shared" si="118"/>
        <v>July</v>
      </c>
      <c r="C506" s="59">
        <v>45499</v>
      </c>
      <c r="D506" s="47" t="s">
        <v>83</v>
      </c>
      <c r="E506" s="47" t="s">
        <v>1779</v>
      </c>
      <c r="F506" s="47" t="s">
        <v>929</v>
      </c>
      <c r="G506" s="47" t="s">
        <v>2449</v>
      </c>
      <c r="H506" s="47" t="s">
        <v>2450</v>
      </c>
      <c r="I506" s="47" t="s">
        <v>1113</v>
      </c>
      <c r="J506" s="47" t="s">
        <v>51</v>
      </c>
      <c r="K506" s="48">
        <v>45134</v>
      </c>
      <c r="L506" s="48">
        <v>45134</v>
      </c>
      <c r="M506" s="48">
        <v>45499</v>
      </c>
      <c r="N506" s="47" t="s">
        <v>52</v>
      </c>
      <c r="O506" s="55" t="s">
        <v>53</v>
      </c>
      <c r="P506" s="62">
        <v>13884</v>
      </c>
      <c r="Q506" s="62">
        <v>1157</v>
      </c>
      <c r="R506" s="103">
        <v>13884</v>
      </c>
      <c r="S506" s="62"/>
      <c r="T506" s="62">
        <v>15000</v>
      </c>
      <c r="U506" s="62"/>
      <c r="V506" s="69">
        <v>13500</v>
      </c>
      <c r="W506" s="71" t="s">
        <v>123</v>
      </c>
      <c r="X506" s="71"/>
      <c r="Y506" s="71"/>
      <c r="Z506" s="64" t="e">
        <f t="shared" si="119"/>
        <v>#VALUE!</v>
      </c>
      <c r="AA506" s="64" t="e">
        <f t="shared" si="128"/>
        <v>#VALUE!</v>
      </c>
      <c r="AB506" s="71"/>
      <c r="AC506" s="64" t="e">
        <f t="shared" si="120"/>
        <v>#DIV/0!</v>
      </c>
      <c r="AD506" s="64" t="e">
        <f t="shared" si="129"/>
        <v>#DIV/0!</v>
      </c>
      <c r="AE506" s="71">
        <f t="shared" si="133"/>
        <v>0</v>
      </c>
      <c r="AF506" s="64" t="e">
        <f t="shared" si="121"/>
        <v>#DIV/0!</v>
      </c>
      <c r="AG506" s="64" t="e">
        <f t="shared" si="130"/>
        <v>#DIV/0!</v>
      </c>
      <c r="AH506" s="67" t="s">
        <v>2034</v>
      </c>
      <c r="AI506" s="47" t="s">
        <v>54</v>
      </c>
      <c r="AJ506" s="47">
        <v>111.19</v>
      </c>
      <c r="AK506" s="101" t="s">
        <v>93</v>
      </c>
      <c r="AL506" s="101" t="s">
        <v>55</v>
      </c>
      <c r="AM506" s="47" t="s">
        <v>2451</v>
      </c>
      <c r="AN506" s="47"/>
      <c r="AO506" s="211" t="e">
        <f t="shared" si="122"/>
        <v>#DIV/0!</v>
      </c>
      <c r="AP506" s="47" t="s">
        <v>90</v>
      </c>
      <c r="AQ506" s="212" t="s">
        <v>891</v>
      </c>
      <c r="AR506" s="47"/>
    </row>
    <row r="507" spans="1:44">
      <c r="A507" s="47" t="s">
        <v>44</v>
      </c>
      <c r="B507" s="47" t="str">
        <f t="shared" si="118"/>
        <v>July</v>
      </c>
      <c r="C507" s="59">
        <v>45501</v>
      </c>
      <c r="D507" s="47" t="s">
        <v>83</v>
      </c>
      <c r="E507" s="47" t="s">
        <v>1779</v>
      </c>
      <c r="F507" s="47" t="s">
        <v>929</v>
      </c>
      <c r="G507" s="47" t="s">
        <v>2452</v>
      </c>
      <c r="H507" s="47" t="s">
        <v>2453</v>
      </c>
      <c r="I507" s="47" t="s">
        <v>1113</v>
      </c>
      <c r="J507" s="47" t="s">
        <v>51</v>
      </c>
      <c r="K507" s="48">
        <v>43676</v>
      </c>
      <c r="L507" s="48">
        <v>45136</v>
      </c>
      <c r="M507" s="48">
        <v>45501</v>
      </c>
      <c r="N507" s="47" t="s">
        <v>64</v>
      </c>
      <c r="O507" s="55" t="s">
        <v>53</v>
      </c>
      <c r="P507" s="62">
        <v>13884</v>
      </c>
      <c r="Q507" s="62">
        <v>1157</v>
      </c>
      <c r="R507" s="103">
        <v>13884</v>
      </c>
      <c r="S507" s="62"/>
      <c r="T507" s="62">
        <v>14520</v>
      </c>
      <c r="U507" s="62"/>
      <c r="V507" s="69">
        <v>13440</v>
      </c>
      <c r="W507" s="71" t="s">
        <v>123</v>
      </c>
      <c r="X507" s="71"/>
      <c r="Y507" s="71"/>
      <c r="Z507" s="64" t="e">
        <f t="shared" si="119"/>
        <v>#VALUE!</v>
      </c>
      <c r="AA507" s="64" t="e">
        <f t="shared" si="128"/>
        <v>#VALUE!</v>
      </c>
      <c r="AB507" s="71"/>
      <c r="AC507" s="64" t="e">
        <f t="shared" si="120"/>
        <v>#DIV/0!</v>
      </c>
      <c r="AD507" s="64" t="e">
        <f t="shared" si="129"/>
        <v>#DIV/0!</v>
      </c>
      <c r="AE507" s="71">
        <f t="shared" si="133"/>
        <v>0</v>
      </c>
      <c r="AF507" s="64" t="e">
        <f t="shared" si="121"/>
        <v>#DIV/0!</v>
      </c>
      <c r="AG507" s="64" t="e">
        <f t="shared" si="130"/>
        <v>#DIV/0!</v>
      </c>
      <c r="AH507" s="67" t="s">
        <v>2034</v>
      </c>
      <c r="AI507" s="47" t="s">
        <v>54</v>
      </c>
      <c r="AJ507" s="47">
        <v>113.23</v>
      </c>
      <c r="AK507" s="101" t="s">
        <v>55</v>
      </c>
      <c r="AL507" s="101" t="s">
        <v>55</v>
      </c>
      <c r="AM507" s="47" t="s">
        <v>2454</v>
      </c>
      <c r="AN507" s="47"/>
      <c r="AO507" s="211" t="e">
        <f t="shared" si="122"/>
        <v>#DIV/0!</v>
      </c>
      <c r="AP507" s="47" t="s">
        <v>90</v>
      </c>
      <c r="AQ507" s="144" t="s">
        <v>935</v>
      </c>
      <c r="AR507" s="47"/>
    </row>
    <row r="508" spans="1:44">
      <c r="A508" s="47" t="s">
        <v>44</v>
      </c>
      <c r="B508" s="47" t="str">
        <f t="shared" si="118"/>
        <v>July</v>
      </c>
      <c r="C508" s="59">
        <v>45501</v>
      </c>
      <c r="D508" s="47" t="s">
        <v>83</v>
      </c>
      <c r="E508" s="47" t="s">
        <v>1779</v>
      </c>
      <c r="F508" s="47" t="s">
        <v>929</v>
      </c>
      <c r="G508" s="47" t="s">
        <v>2455</v>
      </c>
      <c r="H508" s="47" t="s">
        <v>2456</v>
      </c>
      <c r="I508" s="47" t="s">
        <v>1113</v>
      </c>
      <c r="J508" s="47" t="s">
        <v>51</v>
      </c>
      <c r="K508" s="48">
        <v>44771</v>
      </c>
      <c r="L508" s="48">
        <v>45136</v>
      </c>
      <c r="M508" s="48">
        <v>45501</v>
      </c>
      <c r="N508" s="47" t="s">
        <v>64</v>
      </c>
      <c r="O508" s="55" t="s">
        <v>53</v>
      </c>
      <c r="P508" s="62">
        <v>15444</v>
      </c>
      <c r="Q508" s="62">
        <v>1287</v>
      </c>
      <c r="R508" s="103">
        <v>15444</v>
      </c>
      <c r="S508" s="62"/>
      <c r="T508" s="62">
        <v>15900</v>
      </c>
      <c r="U508" s="62"/>
      <c r="V508" s="69">
        <v>14700</v>
      </c>
      <c r="W508" s="71" t="s">
        <v>123</v>
      </c>
      <c r="X508" s="71"/>
      <c r="Y508" s="71"/>
      <c r="Z508" s="64" t="e">
        <f t="shared" si="119"/>
        <v>#VALUE!</v>
      </c>
      <c r="AA508" s="64" t="e">
        <f t="shared" si="128"/>
        <v>#VALUE!</v>
      </c>
      <c r="AB508" s="71"/>
      <c r="AC508" s="64" t="e">
        <f t="shared" si="120"/>
        <v>#DIV/0!</v>
      </c>
      <c r="AD508" s="64" t="e">
        <f t="shared" si="129"/>
        <v>#DIV/0!</v>
      </c>
      <c r="AE508" s="71">
        <f t="shared" si="133"/>
        <v>0</v>
      </c>
      <c r="AF508" s="64" t="e">
        <f t="shared" si="121"/>
        <v>#DIV/0!</v>
      </c>
      <c r="AG508" s="64" t="e">
        <f t="shared" si="130"/>
        <v>#DIV/0!</v>
      </c>
      <c r="AH508" s="67" t="s">
        <v>2034</v>
      </c>
      <c r="AI508" s="47" t="s">
        <v>54</v>
      </c>
      <c r="AJ508" s="47">
        <v>153.28</v>
      </c>
      <c r="AK508" s="101" t="s">
        <v>55</v>
      </c>
      <c r="AL508" s="101" t="s">
        <v>55</v>
      </c>
      <c r="AM508" s="47" t="s">
        <v>2457</v>
      </c>
      <c r="AN508" s="47"/>
      <c r="AO508" s="211" t="e">
        <f t="shared" si="122"/>
        <v>#DIV/0!</v>
      </c>
      <c r="AP508" s="47" t="s">
        <v>90</v>
      </c>
      <c r="AQ508" s="212" t="s">
        <v>891</v>
      </c>
      <c r="AR508" s="47"/>
    </row>
    <row r="509" spans="1:44">
      <c r="A509" s="47" t="s">
        <v>44</v>
      </c>
      <c r="B509" s="47" t="str">
        <f t="shared" si="118"/>
        <v>July</v>
      </c>
      <c r="C509" s="59">
        <v>45487</v>
      </c>
      <c r="D509" s="47" t="s">
        <v>83</v>
      </c>
      <c r="E509" s="47" t="s">
        <v>1779</v>
      </c>
      <c r="F509" s="47" t="s">
        <v>929</v>
      </c>
      <c r="G509" s="47" t="s">
        <v>2458</v>
      </c>
      <c r="H509" s="47" t="s">
        <v>2459</v>
      </c>
      <c r="I509" s="47" t="s">
        <v>2460</v>
      </c>
      <c r="J509" s="47" t="s">
        <v>51</v>
      </c>
      <c r="K509" s="48">
        <v>44393</v>
      </c>
      <c r="L509" s="48">
        <v>45122</v>
      </c>
      <c r="M509" s="48">
        <v>45487</v>
      </c>
      <c r="N509" s="47" t="s">
        <v>64</v>
      </c>
      <c r="O509" s="55" t="s">
        <v>53</v>
      </c>
      <c r="P509" s="62">
        <v>20488</v>
      </c>
      <c r="Q509" s="62">
        <v>1707.3333333333333</v>
      </c>
      <c r="R509" s="103">
        <v>20488</v>
      </c>
      <c r="S509" s="62"/>
      <c r="T509" s="62">
        <v>18360</v>
      </c>
      <c r="U509" s="62"/>
      <c r="V509" s="69">
        <v>16920</v>
      </c>
      <c r="W509" s="71" t="s">
        <v>123</v>
      </c>
      <c r="X509" s="71"/>
      <c r="Y509" s="71"/>
      <c r="Z509" s="64" t="e">
        <f t="shared" si="119"/>
        <v>#VALUE!</v>
      </c>
      <c r="AA509" s="64" t="e">
        <f t="shared" si="128"/>
        <v>#VALUE!</v>
      </c>
      <c r="AB509" s="71"/>
      <c r="AC509" s="64" t="e">
        <f t="shared" si="120"/>
        <v>#DIV/0!</v>
      </c>
      <c r="AD509" s="64" t="e">
        <f t="shared" si="129"/>
        <v>#DIV/0!</v>
      </c>
      <c r="AE509" s="71">
        <f t="shared" si="133"/>
        <v>0</v>
      </c>
      <c r="AF509" s="64" t="e">
        <f t="shared" si="121"/>
        <v>#DIV/0!</v>
      </c>
      <c r="AG509" s="64" t="e">
        <f t="shared" si="130"/>
        <v>#DIV/0!</v>
      </c>
      <c r="AH509" s="67" t="s">
        <v>2034</v>
      </c>
      <c r="AI509" s="47" t="s">
        <v>54</v>
      </c>
      <c r="AJ509" s="47">
        <v>262.32</v>
      </c>
      <c r="AK509" s="101" t="s">
        <v>55</v>
      </c>
      <c r="AL509" s="101" t="s">
        <v>55</v>
      </c>
      <c r="AM509" s="47" t="s">
        <v>2461</v>
      </c>
      <c r="AN509" s="47"/>
      <c r="AO509" s="211" t="e">
        <f t="shared" si="122"/>
        <v>#DIV/0!</v>
      </c>
      <c r="AP509" s="47" t="s">
        <v>90</v>
      </c>
      <c r="AQ509" s="144" t="s">
        <v>935</v>
      </c>
      <c r="AR509" s="47"/>
    </row>
    <row r="510" spans="1:44">
      <c r="A510" s="47" t="s">
        <v>44</v>
      </c>
      <c r="B510" s="47" t="str">
        <f t="shared" si="118"/>
        <v>July</v>
      </c>
      <c r="C510" s="59">
        <v>45480</v>
      </c>
      <c r="D510" s="47" t="s">
        <v>83</v>
      </c>
      <c r="E510" s="47" t="s">
        <v>1779</v>
      </c>
      <c r="F510" s="47" t="s">
        <v>929</v>
      </c>
      <c r="G510" s="47" t="s">
        <v>2462</v>
      </c>
      <c r="H510" s="47" t="s">
        <v>2463</v>
      </c>
      <c r="I510" s="47" t="s">
        <v>1113</v>
      </c>
      <c r="J510" s="47" t="s">
        <v>51</v>
      </c>
      <c r="K510" s="48">
        <v>44750</v>
      </c>
      <c r="L510" s="48">
        <v>45115</v>
      </c>
      <c r="M510" s="48">
        <v>45480</v>
      </c>
      <c r="N510" s="47" t="s">
        <v>64</v>
      </c>
      <c r="O510" s="55" t="s">
        <v>53</v>
      </c>
      <c r="P510" s="62">
        <v>20488</v>
      </c>
      <c r="Q510" s="62">
        <v>1707.3333333333333</v>
      </c>
      <c r="R510" s="103">
        <v>20488</v>
      </c>
      <c r="S510" s="62"/>
      <c r="T510" s="62">
        <v>19860</v>
      </c>
      <c r="U510" s="62"/>
      <c r="V510" s="69">
        <v>18816</v>
      </c>
      <c r="W510" s="71" t="s">
        <v>123</v>
      </c>
      <c r="X510" s="71"/>
      <c r="Y510" s="71"/>
      <c r="Z510" s="64" t="e">
        <f t="shared" si="119"/>
        <v>#VALUE!</v>
      </c>
      <c r="AA510" s="64" t="e">
        <f t="shared" si="128"/>
        <v>#VALUE!</v>
      </c>
      <c r="AB510" s="71"/>
      <c r="AC510" s="64" t="e">
        <f t="shared" si="120"/>
        <v>#DIV/0!</v>
      </c>
      <c r="AD510" s="64" t="e">
        <f t="shared" si="129"/>
        <v>#DIV/0!</v>
      </c>
      <c r="AE510" s="71">
        <f t="shared" si="133"/>
        <v>0</v>
      </c>
      <c r="AF510" s="64" t="e">
        <f t="shared" si="121"/>
        <v>#DIV/0!</v>
      </c>
      <c r="AG510" s="64" t="e">
        <f t="shared" si="130"/>
        <v>#DIV/0!</v>
      </c>
      <c r="AH510" s="67" t="s">
        <v>2034</v>
      </c>
      <c r="AI510" s="47" t="s">
        <v>54</v>
      </c>
      <c r="AJ510" s="47">
        <v>264.14999999999998</v>
      </c>
      <c r="AK510" s="101" t="s">
        <v>55</v>
      </c>
      <c r="AL510" s="101" t="s">
        <v>55</v>
      </c>
      <c r="AM510" s="47" t="s">
        <v>2464</v>
      </c>
      <c r="AN510" s="47"/>
      <c r="AO510" s="211" t="e">
        <f t="shared" si="122"/>
        <v>#DIV/0!</v>
      </c>
      <c r="AP510" s="47" t="s">
        <v>90</v>
      </c>
      <c r="AQ510" s="144" t="s">
        <v>935</v>
      </c>
      <c r="AR510" s="47"/>
    </row>
    <row r="511" spans="1:44" hidden="1">
      <c r="A511" s="47" t="s">
        <v>44</v>
      </c>
      <c r="B511" s="47" t="str">
        <f t="shared" si="118"/>
        <v>July</v>
      </c>
      <c r="C511" s="59">
        <v>45489</v>
      </c>
      <c r="D511" s="47" t="s">
        <v>83</v>
      </c>
      <c r="E511" s="47" t="s">
        <v>1779</v>
      </c>
      <c r="F511" s="47" t="s">
        <v>929</v>
      </c>
      <c r="G511" s="47" t="s">
        <v>2465</v>
      </c>
      <c r="H511" s="47" t="s">
        <v>2466</v>
      </c>
      <c r="I511" s="47" t="s">
        <v>1113</v>
      </c>
      <c r="J511" s="47" t="s">
        <v>51</v>
      </c>
      <c r="K511" s="48">
        <v>45124</v>
      </c>
      <c r="L511" s="48">
        <v>45124</v>
      </c>
      <c r="M511" s="48">
        <v>45489</v>
      </c>
      <c r="N511" s="47" t="s">
        <v>52</v>
      </c>
      <c r="O511" s="55" t="s">
        <v>53</v>
      </c>
      <c r="P511" s="62">
        <v>19916</v>
      </c>
      <c r="Q511" s="62">
        <v>1659.6666666666667</v>
      </c>
      <c r="R511" s="103">
        <v>19916</v>
      </c>
      <c r="S511" s="62"/>
      <c r="T511" s="62">
        <v>22380</v>
      </c>
      <c r="U511" s="62"/>
      <c r="V511" s="69">
        <v>20580</v>
      </c>
      <c r="W511" s="71" t="s">
        <v>123</v>
      </c>
      <c r="X511" s="71"/>
      <c r="Y511" s="71"/>
      <c r="Z511" s="64" t="e">
        <f t="shared" si="119"/>
        <v>#VALUE!</v>
      </c>
      <c r="AA511" s="64" t="e">
        <f t="shared" si="128"/>
        <v>#VALUE!</v>
      </c>
      <c r="AB511" s="71"/>
      <c r="AC511" s="64" t="e">
        <f t="shared" si="120"/>
        <v>#DIV/0!</v>
      </c>
      <c r="AD511" s="64" t="e">
        <f t="shared" si="129"/>
        <v>#DIV/0!</v>
      </c>
      <c r="AE511" s="71">
        <f t="shared" si="133"/>
        <v>0</v>
      </c>
      <c r="AF511" s="64" t="e">
        <f t="shared" si="121"/>
        <v>#DIV/0!</v>
      </c>
      <c r="AG511" s="64" t="e">
        <f t="shared" si="130"/>
        <v>#DIV/0!</v>
      </c>
      <c r="AH511" s="67" t="s">
        <v>2034</v>
      </c>
      <c r="AI511" s="47" t="s">
        <v>54</v>
      </c>
      <c r="AJ511" s="47">
        <v>369.31</v>
      </c>
      <c r="AK511" s="101" t="s">
        <v>55</v>
      </c>
      <c r="AL511" s="101" t="s">
        <v>55</v>
      </c>
      <c r="AM511" s="47" t="s">
        <v>2467</v>
      </c>
      <c r="AN511" s="47"/>
      <c r="AO511" s="211" t="e">
        <f t="shared" si="122"/>
        <v>#DIV/0!</v>
      </c>
      <c r="AP511" s="47" t="s">
        <v>90</v>
      </c>
      <c r="AQ511" s="47" t="s">
        <v>935</v>
      </c>
      <c r="AR511" s="47"/>
    </row>
    <row r="512" spans="1:44" hidden="1">
      <c r="A512" s="47" t="s">
        <v>44</v>
      </c>
      <c r="B512" s="47" t="str">
        <f t="shared" si="118"/>
        <v>August</v>
      </c>
      <c r="C512" s="59">
        <v>45528</v>
      </c>
      <c r="D512" s="47" t="s">
        <v>83</v>
      </c>
      <c r="E512" s="47" t="s">
        <v>1779</v>
      </c>
      <c r="F512" s="47" t="s">
        <v>929</v>
      </c>
      <c r="G512" s="47" t="s">
        <v>2885</v>
      </c>
      <c r="H512" s="47" t="s">
        <v>2886</v>
      </c>
      <c r="I512" s="47" t="s">
        <v>1113</v>
      </c>
      <c r="J512" s="47" t="s">
        <v>51</v>
      </c>
      <c r="K512" s="48">
        <v>45163</v>
      </c>
      <c r="L512" s="48">
        <v>45163</v>
      </c>
      <c r="M512" s="48">
        <v>45528</v>
      </c>
      <c r="N512" s="47" t="s">
        <v>52</v>
      </c>
      <c r="O512" s="55" t="s">
        <v>53</v>
      </c>
      <c r="P512" s="62">
        <v>13884</v>
      </c>
      <c r="Q512" s="62">
        <v>1157</v>
      </c>
      <c r="R512" s="103">
        <v>13884</v>
      </c>
      <c r="S512" s="62"/>
      <c r="T512" s="62">
        <v>14760</v>
      </c>
      <c r="U512" s="62"/>
      <c r="V512" s="69">
        <v>14100</v>
      </c>
      <c r="W512" s="71" t="s">
        <v>123</v>
      </c>
      <c r="X512" s="71"/>
      <c r="Y512" s="71"/>
      <c r="Z512" s="64" t="e">
        <f t="shared" si="119"/>
        <v>#VALUE!</v>
      </c>
      <c r="AA512" s="64" t="e">
        <f t="shared" si="128"/>
        <v>#VALUE!</v>
      </c>
      <c r="AB512" s="71"/>
      <c r="AC512" s="64" t="e">
        <f t="shared" si="120"/>
        <v>#DIV/0!</v>
      </c>
      <c r="AD512" s="64" t="e">
        <f t="shared" si="129"/>
        <v>#DIV/0!</v>
      </c>
      <c r="AE512" s="71">
        <f t="shared" si="133"/>
        <v>0</v>
      </c>
      <c r="AF512" s="64" t="e">
        <f t="shared" si="121"/>
        <v>#DIV/0!</v>
      </c>
      <c r="AG512" s="64" t="e">
        <f t="shared" si="130"/>
        <v>#DIV/0!</v>
      </c>
      <c r="AH512" s="67" t="s">
        <v>933</v>
      </c>
      <c r="AI512" s="47" t="s">
        <v>54</v>
      </c>
      <c r="AJ512" s="47">
        <v>111</v>
      </c>
      <c r="AK512" s="47" t="s">
        <v>93</v>
      </c>
      <c r="AL512" s="47" t="s">
        <v>55</v>
      </c>
      <c r="AM512" s="47" t="s">
        <v>2454</v>
      </c>
      <c r="AN512" s="47"/>
      <c r="AO512" s="211" t="e">
        <f t="shared" si="122"/>
        <v>#DIV/0!</v>
      </c>
      <c r="AP512" s="47" t="s">
        <v>90</v>
      </c>
      <c r="AQ512" s="47" t="s">
        <v>935</v>
      </c>
      <c r="AR512" s="47"/>
    </row>
    <row r="513" spans="1:44" hidden="1">
      <c r="A513" s="47" t="s">
        <v>44</v>
      </c>
      <c r="B513" s="47" t="str">
        <f t="shared" si="118"/>
        <v>August</v>
      </c>
      <c r="C513" s="59">
        <v>45528</v>
      </c>
      <c r="D513" s="47" t="s">
        <v>83</v>
      </c>
      <c r="E513" s="47" t="s">
        <v>1779</v>
      </c>
      <c r="F513" s="47" t="s">
        <v>929</v>
      </c>
      <c r="G513" s="47" t="s">
        <v>2887</v>
      </c>
      <c r="H513" s="47" t="s">
        <v>2888</v>
      </c>
      <c r="I513" s="47" t="s">
        <v>1113</v>
      </c>
      <c r="J513" s="47" t="s">
        <v>51</v>
      </c>
      <c r="K513" s="48">
        <v>45163</v>
      </c>
      <c r="L513" s="48">
        <v>45163</v>
      </c>
      <c r="M513" s="48">
        <v>45528</v>
      </c>
      <c r="N513" s="47" t="s">
        <v>52</v>
      </c>
      <c r="O513" s="55" t="s">
        <v>53</v>
      </c>
      <c r="P513" s="62">
        <v>14768</v>
      </c>
      <c r="Q513" s="62">
        <v>1230.6666666666667</v>
      </c>
      <c r="R513" s="103">
        <v>14768</v>
      </c>
      <c r="S513" s="62"/>
      <c r="T513" s="62">
        <v>16200</v>
      </c>
      <c r="U513" s="62"/>
      <c r="V513" s="69">
        <v>15000</v>
      </c>
      <c r="W513" s="71" t="s">
        <v>123</v>
      </c>
      <c r="X513" s="71"/>
      <c r="Y513" s="71"/>
      <c r="Z513" s="64" t="e">
        <f t="shared" si="119"/>
        <v>#VALUE!</v>
      </c>
      <c r="AA513" s="64" t="e">
        <f t="shared" si="128"/>
        <v>#VALUE!</v>
      </c>
      <c r="AB513" s="71"/>
      <c r="AC513" s="64" t="e">
        <f t="shared" si="120"/>
        <v>#DIV/0!</v>
      </c>
      <c r="AD513" s="64" t="e">
        <f t="shared" si="129"/>
        <v>#DIV/0!</v>
      </c>
      <c r="AE513" s="71">
        <f t="shared" si="133"/>
        <v>0</v>
      </c>
      <c r="AF513" s="64" t="e">
        <f t="shared" si="121"/>
        <v>#DIV/0!</v>
      </c>
      <c r="AG513" s="64" t="e">
        <f t="shared" si="130"/>
        <v>#DIV/0!</v>
      </c>
      <c r="AH513" s="67" t="s">
        <v>933</v>
      </c>
      <c r="AI513" s="47" t="s">
        <v>54</v>
      </c>
      <c r="AJ513" s="47">
        <v>146.61000000000001</v>
      </c>
      <c r="AK513" s="47" t="s">
        <v>55</v>
      </c>
      <c r="AL513" s="47" t="s">
        <v>55</v>
      </c>
      <c r="AM513" s="47" t="s">
        <v>1782</v>
      </c>
      <c r="AN513" s="47"/>
      <c r="AO513" s="211" t="e">
        <f t="shared" si="122"/>
        <v>#DIV/0!</v>
      </c>
      <c r="AP513" s="47" t="s">
        <v>90</v>
      </c>
      <c r="AQ513" s="47" t="s">
        <v>935</v>
      </c>
      <c r="AR513" s="47"/>
    </row>
    <row r="514" spans="1:44">
      <c r="A514" s="47" t="s">
        <v>44</v>
      </c>
      <c r="B514" s="47" t="str">
        <f t="shared" ref="B514:B577" si="134">TEXT(C514,"mmmm")</f>
        <v>August</v>
      </c>
      <c r="C514" s="59">
        <v>45506</v>
      </c>
      <c r="D514" s="47" t="s">
        <v>103</v>
      </c>
      <c r="E514" s="47" t="s">
        <v>156</v>
      </c>
      <c r="F514" s="47" t="s">
        <v>157</v>
      </c>
      <c r="G514" s="91" t="s">
        <v>158</v>
      </c>
      <c r="H514" s="47" t="s">
        <v>159</v>
      </c>
      <c r="I514" s="47" t="s">
        <v>50</v>
      </c>
      <c r="J514" s="47" t="s">
        <v>51</v>
      </c>
      <c r="K514" s="48">
        <v>44776</v>
      </c>
      <c r="L514" s="48">
        <v>45141</v>
      </c>
      <c r="M514" s="48">
        <v>45506</v>
      </c>
      <c r="N514" s="47" t="s">
        <v>64</v>
      </c>
      <c r="O514" s="101" t="s">
        <v>53</v>
      </c>
      <c r="P514" s="62">
        <v>8940</v>
      </c>
      <c r="Q514" s="62">
        <v>745</v>
      </c>
      <c r="R514" s="103">
        <v>8940</v>
      </c>
      <c r="S514" s="62">
        <f t="shared" ref="S514:S577" si="135">R514/12</f>
        <v>745</v>
      </c>
      <c r="T514" s="62">
        <v>8400</v>
      </c>
      <c r="U514" s="188">
        <f t="shared" ref="U514:U545" si="136">T514/12</f>
        <v>700</v>
      </c>
      <c r="V514" s="69">
        <v>7680</v>
      </c>
      <c r="W514" s="71">
        <v>767</v>
      </c>
      <c r="X514" s="71"/>
      <c r="Y514" s="71"/>
      <c r="Z514" s="64">
        <f t="shared" ref="Z514:Z577" si="137">(W514-U514)/U514</f>
        <v>9.571428571428571E-2</v>
      </c>
      <c r="AA514" s="64">
        <f t="shared" si="128"/>
        <v>2.9530201342281879E-2</v>
      </c>
      <c r="AB514" s="71">
        <v>800</v>
      </c>
      <c r="AC514" s="64">
        <f t="shared" ref="AC514:AC577" si="138">(AB514-U514)/U514</f>
        <v>0.14285714285714285</v>
      </c>
      <c r="AD514" s="64">
        <f t="shared" si="129"/>
        <v>7.3825503355704702E-2</v>
      </c>
      <c r="AE514" s="71">
        <v>800</v>
      </c>
      <c r="AF514" s="64">
        <f t="shared" ref="AF514:AF577" si="139">(AE514-U514)/U514</f>
        <v>0.14285714285714285</v>
      </c>
      <c r="AG514" s="64">
        <f t="shared" si="130"/>
        <v>7.3825503355704702E-2</v>
      </c>
      <c r="AH514" s="67" t="s">
        <v>160</v>
      </c>
      <c r="AI514" s="47" t="s">
        <v>54</v>
      </c>
      <c r="AJ514" s="47">
        <v>398.26</v>
      </c>
      <c r="AK514" s="55" t="s">
        <v>55</v>
      </c>
      <c r="AL514" s="55" t="s">
        <v>55</v>
      </c>
      <c r="AM514" s="47" t="s">
        <v>161</v>
      </c>
      <c r="AN514" s="47"/>
      <c r="AO514" s="211">
        <f t="shared" ref="AO514:AO577" si="140">SUM(AN514-U514)/U514</f>
        <v>-1</v>
      </c>
      <c r="AP514" s="47" t="s">
        <v>57</v>
      </c>
      <c r="AQ514" s="144" t="s">
        <v>58</v>
      </c>
      <c r="AR514" s="47"/>
    </row>
    <row r="515" spans="1:44" hidden="1">
      <c r="A515" s="47" t="s">
        <v>44</v>
      </c>
      <c r="B515" s="47" t="str">
        <f t="shared" si="134"/>
        <v>August</v>
      </c>
      <c r="C515" s="59">
        <v>45508</v>
      </c>
      <c r="D515" s="47" t="s">
        <v>103</v>
      </c>
      <c r="E515" s="47" t="s">
        <v>156</v>
      </c>
      <c r="F515" s="47" t="s">
        <v>157</v>
      </c>
      <c r="G515" s="91" t="s">
        <v>296</v>
      </c>
      <c r="H515" s="47" t="s">
        <v>297</v>
      </c>
      <c r="I515" s="47" t="s">
        <v>50</v>
      </c>
      <c r="J515" s="47" t="s">
        <v>51</v>
      </c>
      <c r="K515" s="48">
        <v>45143</v>
      </c>
      <c r="L515" s="48">
        <v>45143</v>
      </c>
      <c r="M515" s="48">
        <v>45508</v>
      </c>
      <c r="N515" s="47" t="s">
        <v>52</v>
      </c>
      <c r="O515" s="101" t="s">
        <v>53</v>
      </c>
      <c r="P515" s="62">
        <v>11520</v>
      </c>
      <c r="Q515" s="62">
        <v>960</v>
      </c>
      <c r="R515" s="103">
        <v>11520</v>
      </c>
      <c r="S515" s="62">
        <f t="shared" si="135"/>
        <v>960</v>
      </c>
      <c r="T515" s="62">
        <v>11460</v>
      </c>
      <c r="U515" s="62">
        <f t="shared" si="136"/>
        <v>955</v>
      </c>
      <c r="V515" s="69">
        <v>10020</v>
      </c>
      <c r="W515" s="71">
        <v>995</v>
      </c>
      <c r="X515" s="71"/>
      <c r="Y515" s="71"/>
      <c r="Z515" s="64">
        <f t="shared" si="137"/>
        <v>4.1884816753926704E-2</v>
      </c>
      <c r="AA515" s="64">
        <f t="shared" si="128"/>
        <v>3.6458333333333336E-2</v>
      </c>
      <c r="AB515" s="71">
        <f t="shared" ref="AB515:AB536" si="141">W515</f>
        <v>995</v>
      </c>
      <c r="AC515" s="64">
        <f t="shared" si="138"/>
        <v>4.1884816753926704E-2</v>
      </c>
      <c r="AD515" s="64">
        <f t="shared" si="129"/>
        <v>3.6458333333333336E-2</v>
      </c>
      <c r="AE515" s="71">
        <f t="shared" ref="AE515:AE550" si="142">AB515</f>
        <v>995</v>
      </c>
      <c r="AF515" s="64">
        <f t="shared" si="139"/>
        <v>4.1884816753926704E-2</v>
      </c>
      <c r="AG515" s="64">
        <f t="shared" si="130"/>
        <v>3.6458333333333336E-2</v>
      </c>
      <c r="AH515" s="67"/>
      <c r="AI515" s="47" t="s">
        <v>54</v>
      </c>
      <c r="AJ515" s="47">
        <v>645.83000000000004</v>
      </c>
      <c r="AK515" s="55" t="s">
        <v>65</v>
      </c>
      <c r="AL515" s="55" t="s">
        <v>55</v>
      </c>
      <c r="AM515" s="47" t="s">
        <v>298</v>
      </c>
      <c r="AN515" s="47"/>
      <c r="AO515" s="211">
        <f t="shared" si="140"/>
        <v>-1</v>
      </c>
      <c r="AP515" s="47" t="s">
        <v>57</v>
      </c>
      <c r="AQ515" s="144" t="s">
        <v>58</v>
      </c>
      <c r="AR515" s="47"/>
    </row>
    <row r="516" spans="1:44">
      <c r="A516" s="47" t="s">
        <v>44</v>
      </c>
      <c r="B516" s="47" t="str">
        <f t="shared" si="134"/>
        <v>August</v>
      </c>
      <c r="C516" s="59">
        <v>45509</v>
      </c>
      <c r="D516" s="47" t="s">
        <v>103</v>
      </c>
      <c r="E516" s="47" t="s">
        <v>156</v>
      </c>
      <c r="F516" s="47" t="s">
        <v>157</v>
      </c>
      <c r="G516" s="91" t="s">
        <v>351</v>
      </c>
      <c r="H516" s="47" t="s">
        <v>352</v>
      </c>
      <c r="I516" s="47" t="s">
        <v>50</v>
      </c>
      <c r="J516" s="47" t="s">
        <v>51</v>
      </c>
      <c r="K516" s="48">
        <v>44049</v>
      </c>
      <c r="L516" s="48">
        <v>45144</v>
      </c>
      <c r="M516" s="48">
        <v>45509</v>
      </c>
      <c r="N516" s="47" t="s">
        <v>64</v>
      </c>
      <c r="O516" s="101" t="s">
        <v>53</v>
      </c>
      <c r="P516" s="62">
        <v>11520</v>
      </c>
      <c r="Q516" s="62">
        <v>960</v>
      </c>
      <c r="R516" s="103">
        <v>11520</v>
      </c>
      <c r="S516" s="62">
        <f t="shared" si="135"/>
        <v>960</v>
      </c>
      <c r="T516" s="62">
        <v>11520</v>
      </c>
      <c r="U516" s="62">
        <f t="shared" si="136"/>
        <v>960</v>
      </c>
      <c r="V516" s="69">
        <v>10440</v>
      </c>
      <c r="W516" s="71">
        <v>1000</v>
      </c>
      <c r="X516" s="71"/>
      <c r="Y516" s="71"/>
      <c r="Z516" s="64">
        <f t="shared" si="137"/>
        <v>4.1666666666666664E-2</v>
      </c>
      <c r="AA516" s="64">
        <f t="shared" si="128"/>
        <v>4.1666666666666664E-2</v>
      </c>
      <c r="AB516" s="71">
        <f t="shared" si="141"/>
        <v>1000</v>
      </c>
      <c r="AC516" s="64">
        <f t="shared" si="138"/>
        <v>4.1666666666666664E-2</v>
      </c>
      <c r="AD516" s="64">
        <f t="shared" si="129"/>
        <v>4.1666666666666664E-2</v>
      </c>
      <c r="AE516" s="71">
        <f t="shared" si="142"/>
        <v>1000</v>
      </c>
      <c r="AF516" s="64">
        <f t="shared" si="139"/>
        <v>4.1666666666666664E-2</v>
      </c>
      <c r="AG516" s="64">
        <f t="shared" si="130"/>
        <v>4.1666666666666664E-2</v>
      </c>
      <c r="AH516" s="67"/>
      <c r="AI516" s="47" t="s">
        <v>54</v>
      </c>
      <c r="AJ516" s="47">
        <v>645.83000000000004</v>
      </c>
      <c r="AK516" s="55" t="s">
        <v>65</v>
      </c>
      <c r="AL516" s="55" t="s">
        <v>55</v>
      </c>
      <c r="AM516" s="47" t="s">
        <v>298</v>
      </c>
      <c r="AN516" s="47">
        <v>1000</v>
      </c>
      <c r="AO516" s="211">
        <f t="shared" si="140"/>
        <v>4.1666666666666664E-2</v>
      </c>
      <c r="AP516" s="47" t="s">
        <v>57</v>
      </c>
      <c r="AQ516" s="144" t="s">
        <v>58</v>
      </c>
      <c r="AR516" s="47"/>
    </row>
    <row r="517" spans="1:44" hidden="1">
      <c r="A517" s="47" t="s">
        <v>44</v>
      </c>
      <c r="B517" s="47" t="str">
        <f t="shared" si="134"/>
        <v>August</v>
      </c>
      <c r="C517" s="59">
        <v>45510</v>
      </c>
      <c r="D517" s="47" t="s">
        <v>103</v>
      </c>
      <c r="E517" s="47" t="s">
        <v>156</v>
      </c>
      <c r="F517" s="47" t="s">
        <v>157</v>
      </c>
      <c r="G517" s="91" t="s">
        <v>379</v>
      </c>
      <c r="H517" s="47" t="s">
        <v>380</v>
      </c>
      <c r="I517" s="47" t="s">
        <v>50</v>
      </c>
      <c r="J517" s="47" t="s">
        <v>51</v>
      </c>
      <c r="K517" s="48">
        <v>45145</v>
      </c>
      <c r="L517" s="48">
        <v>45145</v>
      </c>
      <c r="M517" s="48">
        <v>45510</v>
      </c>
      <c r="N517" s="47" t="s">
        <v>52</v>
      </c>
      <c r="O517" s="101" t="s">
        <v>53</v>
      </c>
      <c r="P517" s="62">
        <v>11280</v>
      </c>
      <c r="Q517" s="62">
        <v>940</v>
      </c>
      <c r="R517" s="103">
        <v>11280</v>
      </c>
      <c r="S517" s="62">
        <f t="shared" si="135"/>
        <v>940</v>
      </c>
      <c r="T517" s="62">
        <v>10980</v>
      </c>
      <c r="U517" s="62">
        <f t="shared" si="136"/>
        <v>915</v>
      </c>
      <c r="V517" s="69">
        <v>9840</v>
      </c>
      <c r="W517" s="71">
        <v>955</v>
      </c>
      <c r="X517" s="71"/>
      <c r="Y517" s="71"/>
      <c r="Z517" s="64">
        <f t="shared" si="137"/>
        <v>4.3715846994535519E-2</v>
      </c>
      <c r="AA517" s="64">
        <f t="shared" si="128"/>
        <v>1.5957446808510637E-2</v>
      </c>
      <c r="AB517" s="71">
        <f t="shared" si="141"/>
        <v>955</v>
      </c>
      <c r="AC517" s="64">
        <f t="shared" si="138"/>
        <v>4.3715846994535519E-2</v>
      </c>
      <c r="AD517" s="64">
        <f t="shared" si="129"/>
        <v>1.5957446808510637E-2</v>
      </c>
      <c r="AE517" s="71">
        <f t="shared" si="142"/>
        <v>955</v>
      </c>
      <c r="AF517" s="64">
        <f t="shared" si="139"/>
        <v>4.3715846994535519E-2</v>
      </c>
      <c r="AG517" s="64">
        <f t="shared" si="130"/>
        <v>1.5957446808510637E-2</v>
      </c>
      <c r="AH517" s="67"/>
      <c r="AI517" s="47" t="s">
        <v>54</v>
      </c>
      <c r="AJ517" s="47">
        <v>602.779</v>
      </c>
      <c r="AK517" s="55" t="s">
        <v>65</v>
      </c>
      <c r="AL517" s="55" t="s">
        <v>55</v>
      </c>
      <c r="AM517" s="47" t="s">
        <v>381</v>
      </c>
      <c r="AN517" s="47"/>
      <c r="AO517" s="211">
        <f t="shared" si="140"/>
        <v>-1</v>
      </c>
      <c r="AP517" s="47" t="s">
        <v>57</v>
      </c>
      <c r="AQ517" s="144" t="s">
        <v>58</v>
      </c>
      <c r="AR517" s="47"/>
    </row>
    <row r="518" spans="1:44" hidden="1">
      <c r="A518" s="47" t="s">
        <v>44</v>
      </c>
      <c r="B518" s="47" t="str">
        <f t="shared" si="134"/>
        <v>August</v>
      </c>
      <c r="C518" s="59">
        <v>45511</v>
      </c>
      <c r="D518" s="47" t="s">
        <v>103</v>
      </c>
      <c r="E518" s="47" t="s">
        <v>156</v>
      </c>
      <c r="F518" s="47" t="s">
        <v>157</v>
      </c>
      <c r="G518" s="91" t="s">
        <v>449</v>
      </c>
      <c r="H518" s="47" t="s">
        <v>450</v>
      </c>
      <c r="I518" s="47" t="s">
        <v>50</v>
      </c>
      <c r="J518" s="47" t="s">
        <v>51</v>
      </c>
      <c r="K518" s="48">
        <v>45146</v>
      </c>
      <c r="L518" s="48">
        <v>45146</v>
      </c>
      <c r="M518" s="48">
        <v>45511</v>
      </c>
      <c r="N518" s="47" t="s">
        <v>52</v>
      </c>
      <c r="O518" s="101" t="s">
        <v>53</v>
      </c>
      <c r="P518" s="62">
        <v>11280</v>
      </c>
      <c r="Q518" s="62">
        <v>940</v>
      </c>
      <c r="R518" s="103">
        <v>11280</v>
      </c>
      <c r="S518" s="62">
        <f t="shared" si="135"/>
        <v>940</v>
      </c>
      <c r="T518" s="62">
        <v>10260</v>
      </c>
      <c r="U518" s="62">
        <f t="shared" si="136"/>
        <v>855</v>
      </c>
      <c r="V518" s="69">
        <v>9949.7999999999993</v>
      </c>
      <c r="W518" s="71">
        <v>900</v>
      </c>
      <c r="X518" s="71"/>
      <c r="Y518" s="71"/>
      <c r="Z518" s="64">
        <f t="shared" si="137"/>
        <v>5.2631578947368418E-2</v>
      </c>
      <c r="AA518" s="64">
        <f t="shared" si="128"/>
        <v>-4.2553191489361701E-2</v>
      </c>
      <c r="AB518" s="71">
        <f t="shared" si="141"/>
        <v>900</v>
      </c>
      <c r="AC518" s="64">
        <f t="shared" si="138"/>
        <v>5.2631578947368418E-2</v>
      </c>
      <c r="AD518" s="64">
        <f t="shared" si="129"/>
        <v>-4.2553191489361701E-2</v>
      </c>
      <c r="AE518" s="71">
        <f t="shared" si="142"/>
        <v>900</v>
      </c>
      <c r="AF518" s="64">
        <f t="shared" si="139"/>
        <v>5.2631578947368418E-2</v>
      </c>
      <c r="AG518" s="64">
        <f t="shared" si="130"/>
        <v>-4.2553191489361701E-2</v>
      </c>
      <c r="AH518" s="67"/>
      <c r="AI518" s="47" t="s">
        <v>54</v>
      </c>
      <c r="AJ518" s="47">
        <v>592.01</v>
      </c>
      <c r="AK518" s="55" t="s">
        <v>65</v>
      </c>
      <c r="AL518" s="55" t="s">
        <v>55</v>
      </c>
      <c r="AM518" s="47" t="s">
        <v>298</v>
      </c>
      <c r="AN518" s="47"/>
      <c r="AO518" s="211">
        <f t="shared" si="140"/>
        <v>-1</v>
      </c>
      <c r="AP518" s="47" t="s">
        <v>57</v>
      </c>
      <c r="AQ518" s="47" t="s">
        <v>58</v>
      </c>
      <c r="AR518" s="47"/>
    </row>
    <row r="519" spans="1:44">
      <c r="A519" s="47" t="s">
        <v>44</v>
      </c>
      <c r="B519" s="47" t="str">
        <f t="shared" si="134"/>
        <v>July</v>
      </c>
      <c r="C519" s="59">
        <v>45488</v>
      </c>
      <c r="D519" s="47" t="s">
        <v>103</v>
      </c>
      <c r="E519" s="47" t="s">
        <v>156</v>
      </c>
      <c r="F519" s="47" t="s">
        <v>157</v>
      </c>
      <c r="G519" s="91" t="s">
        <v>602</v>
      </c>
      <c r="H519" s="47" t="s">
        <v>603</v>
      </c>
      <c r="I519" s="47" t="s">
        <v>50</v>
      </c>
      <c r="J519" s="47" t="s">
        <v>51</v>
      </c>
      <c r="K519" s="48">
        <v>44758</v>
      </c>
      <c r="L519" s="48">
        <v>45123</v>
      </c>
      <c r="M519" s="48">
        <v>45488</v>
      </c>
      <c r="N519" s="47" t="s">
        <v>64</v>
      </c>
      <c r="O519" s="101" t="s">
        <v>53</v>
      </c>
      <c r="P519" s="62">
        <v>8940</v>
      </c>
      <c r="Q519" s="62">
        <v>745</v>
      </c>
      <c r="R519" s="103">
        <v>8940</v>
      </c>
      <c r="S519" s="62">
        <f t="shared" si="135"/>
        <v>745</v>
      </c>
      <c r="T519" s="62">
        <v>9600</v>
      </c>
      <c r="U519" s="62">
        <f t="shared" si="136"/>
        <v>800</v>
      </c>
      <c r="V519" s="69">
        <v>8460</v>
      </c>
      <c r="W519" s="71">
        <v>870</v>
      </c>
      <c r="X519" s="71"/>
      <c r="Y519" s="71"/>
      <c r="Z519" s="64">
        <f t="shared" si="137"/>
        <v>8.7499999999999994E-2</v>
      </c>
      <c r="AA519" s="64">
        <f t="shared" si="128"/>
        <v>0.16778523489932887</v>
      </c>
      <c r="AB519" s="71">
        <f t="shared" si="141"/>
        <v>870</v>
      </c>
      <c r="AC519" s="64">
        <f t="shared" si="138"/>
        <v>8.7499999999999994E-2</v>
      </c>
      <c r="AD519" s="64">
        <f t="shared" si="129"/>
        <v>0.16778523489932887</v>
      </c>
      <c r="AE519" s="71">
        <f t="shared" si="142"/>
        <v>870</v>
      </c>
      <c r="AF519" s="64">
        <f t="shared" si="139"/>
        <v>8.7499999999999994E-2</v>
      </c>
      <c r="AG519" s="64">
        <f t="shared" si="130"/>
        <v>0.16778523489932887</v>
      </c>
      <c r="AH519" s="67"/>
      <c r="AI519" s="47" t="s">
        <v>54</v>
      </c>
      <c r="AJ519" s="47">
        <v>398.26499999999999</v>
      </c>
      <c r="AK519" s="101" t="s">
        <v>55</v>
      </c>
      <c r="AL519" s="101" t="s">
        <v>55</v>
      </c>
      <c r="AM519" s="47" t="s">
        <v>161</v>
      </c>
      <c r="AN519" s="47">
        <v>840</v>
      </c>
      <c r="AO519" s="211">
        <f t="shared" si="140"/>
        <v>0.05</v>
      </c>
      <c r="AP519" s="47" t="s">
        <v>57</v>
      </c>
      <c r="AQ519" s="47" t="s">
        <v>58</v>
      </c>
      <c r="AR519" s="47"/>
    </row>
    <row r="520" spans="1:44">
      <c r="A520" s="47" t="s">
        <v>44</v>
      </c>
      <c r="B520" s="47" t="str">
        <f t="shared" si="134"/>
        <v>July</v>
      </c>
      <c r="C520" s="59">
        <v>45494</v>
      </c>
      <c r="D520" s="47" t="s">
        <v>103</v>
      </c>
      <c r="E520" s="47" t="s">
        <v>156</v>
      </c>
      <c r="F520" s="47" t="s">
        <v>157</v>
      </c>
      <c r="G520" s="91" t="s">
        <v>604</v>
      </c>
      <c r="H520" s="47" t="s">
        <v>605</v>
      </c>
      <c r="I520" s="47" t="s">
        <v>50</v>
      </c>
      <c r="J520" s="47" t="s">
        <v>51</v>
      </c>
      <c r="K520" s="48">
        <v>44765</v>
      </c>
      <c r="L520" s="48">
        <v>45129</v>
      </c>
      <c r="M520" s="48">
        <v>45494</v>
      </c>
      <c r="N520" s="47" t="s">
        <v>64</v>
      </c>
      <c r="O520" s="101" t="s">
        <v>53</v>
      </c>
      <c r="P520" s="62">
        <v>17280</v>
      </c>
      <c r="Q520" s="62">
        <v>1440</v>
      </c>
      <c r="R520" s="103">
        <v>17280</v>
      </c>
      <c r="S520" s="62">
        <f t="shared" si="135"/>
        <v>1440</v>
      </c>
      <c r="T520" s="62">
        <v>17940</v>
      </c>
      <c r="U520" s="62">
        <f t="shared" si="136"/>
        <v>1495</v>
      </c>
      <c r="V520" s="69">
        <v>16620</v>
      </c>
      <c r="W520" s="71">
        <v>1565</v>
      </c>
      <c r="X520" s="71"/>
      <c r="Y520" s="71"/>
      <c r="Z520" s="64">
        <f t="shared" si="137"/>
        <v>4.6822742474916385E-2</v>
      </c>
      <c r="AA520" s="64">
        <f t="shared" si="128"/>
        <v>8.6805555555555552E-2</v>
      </c>
      <c r="AB520" s="71">
        <f t="shared" si="141"/>
        <v>1565</v>
      </c>
      <c r="AC520" s="64">
        <f t="shared" si="138"/>
        <v>4.6822742474916385E-2</v>
      </c>
      <c r="AD520" s="64">
        <f t="shared" si="129"/>
        <v>8.6805555555555552E-2</v>
      </c>
      <c r="AE520" s="71">
        <f t="shared" si="142"/>
        <v>1565</v>
      </c>
      <c r="AF520" s="64">
        <f t="shared" si="139"/>
        <v>4.6822742474916385E-2</v>
      </c>
      <c r="AG520" s="64">
        <f t="shared" si="130"/>
        <v>8.6805555555555552E-2</v>
      </c>
      <c r="AH520" s="67"/>
      <c r="AI520" s="47" t="s">
        <v>54</v>
      </c>
      <c r="AJ520" s="47">
        <v>785.76499999999999</v>
      </c>
      <c r="AK520" s="101" t="s">
        <v>140</v>
      </c>
      <c r="AL520" s="101" t="s">
        <v>55</v>
      </c>
      <c r="AM520" s="47" t="s">
        <v>606</v>
      </c>
      <c r="AN520" s="47"/>
      <c r="AO520" s="211">
        <f t="shared" si="140"/>
        <v>-1</v>
      </c>
      <c r="AP520" s="47" t="s">
        <v>57</v>
      </c>
      <c r="AQ520" s="47" t="s">
        <v>58</v>
      </c>
      <c r="AR520" s="47"/>
    </row>
    <row r="521" spans="1:44">
      <c r="A521" s="47" t="s">
        <v>44</v>
      </c>
      <c r="B521" s="47" t="str">
        <f t="shared" si="134"/>
        <v>July</v>
      </c>
      <c r="C521" s="59">
        <v>45489</v>
      </c>
      <c r="D521" s="47" t="s">
        <v>103</v>
      </c>
      <c r="E521" s="47" t="s">
        <v>156</v>
      </c>
      <c r="F521" s="47" t="s">
        <v>157</v>
      </c>
      <c r="G521" s="91" t="s">
        <v>607</v>
      </c>
      <c r="H521" s="47" t="s">
        <v>608</v>
      </c>
      <c r="I521" s="47" t="s">
        <v>50</v>
      </c>
      <c r="J521" s="47" t="s">
        <v>51</v>
      </c>
      <c r="K521" s="48">
        <v>44029</v>
      </c>
      <c r="L521" s="48">
        <v>45124</v>
      </c>
      <c r="M521" s="48">
        <v>45489</v>
      </c>
      <c r="N521" s="47" t="s">
        <v>64</v>
      </c>
      <c r="O521" s="101" t="s">
        <v>53</v>
      </c>
      <c r="P521" s="62">
        <v>8940</v>
      </c>
      <c r="Q521" s="62">
        <v>745</v>
      </c>
      <c r="R521" s="103">
        <v>8940</v>
      </c>
      <c r="S521" s="62">
        <f t="shared" si="135"/>
        <v>745</v>
      </c>
      <c r="T521" s="62">
        <v>8400</v>
      </c>
      <c r="U521" s="62">
        <f t="shared" si="136"/>
        <v>700</v>
      </c>
      <c r="V521" s="69">
        <v>7680</v>
      </c>
      <c r="W521" s="71">
        <v>765</v>
      </c>
      <c r="X521" s="71"/>
      <c r="Y521" s="71"/>
      <c r="Z521" s="64">
        <f t="shared" si="137"/>
        <v>9.285714285714286E-2</v>
      </c>
      <c r="AA521" s="64">
        <f t="shared" si="128"/>
        <v>2.6845637583892617E-2</v>
      </c>
      <c r="AB521" s="71">
        <f t="shared" si="141"/>
        <v>765</v>
      </c>
      <c r="AC521" s="64">
        <f t="shared" si="138"/>
        <v>9.285714285714286E-2</v>
      </c>
      <c r="AD521" s="64">
        <f t="shared" si="129"/>
        <v>2.6845637583892617E-2</v>
      </c>
      <c r="AE521" s="71">
        <f t="shared" si="142"/>
        <v>765</v>
      </c>
      <c r="AF521" s="64">
        <f t="shared" si="139"/>
        <v>9.285714285714286E-2</v>
      </c>
      <c r="AG521" s="64">
        <f t="shared" si="130"/>
        <v>2.6845637583892617E-2</v>
      </c>
      <c r="AH521" s="67"/>
      <c r="AI521" s="47" t="s">
        <v>54</v>
      </c>
      <c r="AJ521" s="47">
        <v>409.03</v>
      </c>
      <c r="AK521" s="101" t="s">
        <v>55</v>
      </c>
      <c r="AL521" s="101" t="s">
        <v>55</v>
      </c>
      <c r="AM521" s="47" t="s">
        <v>161</v>
      </c>
      <c r="AN521" s="47">
        <v>765</v>
      </c>
      <c r="AO521" s="211">
        <f t="shared" si="140"/>
        <v>9.285714285714286E-2</v>
      </c>
      <c r="AP521" s="47" t="s">
        <v>57</v>
      </c>
      <c r="AQ521" s="47" t="s">
        <v>58</v>
      </c>
      <c r="AR521" s="47"/>
    </row>
    <row r="522" spans="1:44">
      <c r="A522" s="47" t="s">
        <v>44</v>
      </c>
      <c r="B522" s="47" t="str">
        <f t="shared" si="134"/>
        <v>July</v>
      </c>
      <c r="C522" s="59">
        <v>45486</v>
      </c>
      <c r="D522" s="47" t="s">
        <v>103</v>
      </c>
      <c r="E522" s="47" t="s">
        <v>156</v>
      </c>
      <c r="F522" s="47" t="s">
        <v>157</v>
      </c>
      <c r="G522" s="91" t="s">
        <v>609</v>
      </c>
      <c r="H522" s="47" t="s">
        <v>610</v>
      </c>
      <c r="I522" s="47" t="s">
        <v>50</v>
      </c>
      <c r="J522" s="47" t="s">
        <v>51</v>
      </c>
      <c r="K522" s="48">
        <v>44757</v>
      </c>
      <c r="L522" s="48">
        <v>45121</v>
      </c>
      <c r="M522" s="48">
        <v>45486</v>
      </c>
      <c r="N522" s="47" t="s">
        <v>64</v>
      </c>
      <c r="O522" s="101" t="s">
        <v>53</v>
      </c>
      <c r="P522" s="62">
        <v>8940</v>
      </c>
      <c r="Q522" s="62">
        <v>745</v>
      </c>
      <c r="R522" s="103">
        <v>8940</v>
      </c>
      <c r="S522" s="62">
        <f t="shared" si="135"/>
        <v>745</v>
      </c>
      <c r="T522" s="62">
        <v>8460</v>
      </c>
      <c r="U522" s="62">
        <f t="shared" si="136"/>
        <v>705</v>
      </c>
      <c r="V522" s="69">
        <v>7560</v>
      </c>
      <c r="W522" s="71">
        <v>755</v>
      </c>
      <c r="X522" s="71"/>
      <c r="Y522" s="71"/>
      <c r="Z522" s="64">
        <f t="shared" si="137"/>
        <v>7.0921985815602842E-2</v>
      </c>
      <c r="AA522" s="64">
        <f t="shared" si="128"/>
        <v>1.3422818791946308E-2</v>
      </c>
      <c r="AB522" s="71">
        <f t="shared" si="141"/>
        <v>755</v>
      </c>
      <c r="AC522" s="64">
        <f t="shared" si="138"/>
        <v>7.0921985815602842E-2</v>
      </c>
      <c r="AD522" s="64">
        <f t="shared" si="129"/>
        <v>1.3422818791946308E-2</v>
      </c>
      <c r="AE522" s="71">
        <f t="shared" si="142"/>
        <v>755</v>
      </c>
      <c r="AF522" s="64">
        <f t="shared" si="139"/>
        <v>7.0921985815602842E-2</v>
      </c>
      <c r="AG522" s="64">
        <f t="shared" si="130"/>
        <v>1.3422818791946308E-2</v>
      </c>
      <c r="AH522" s="67" t="s">
        <v>611</v>
      </c>
      <c r="AI522" s="47" t="s">
        <v>250</v>
      </c>
      <c r="AJ522" s="47">
        <v>409.03</v>
      </c>
      <c r="AK522" s="101" t="s">
        <v>55</v>
      </c>
      <c r="AL522" s="101" t="s">
        <v>55</v>
      </c>
      <c r="AM522" s="47" t="s">
        <v>161</v>
      </c>
      <c r="AN522" s="47"/>
      <c r="AO522" s="211">
        <f t="shared" si="140"/>
        <v>-1</v>
      </c>
      <c r="AP522" s="47" t="s">
        <v>57</v>
      </c>
      <c r="AQ522" s="47" t="s">
        <v>58</v>
      </c>
      <c r="AR522" s="47"/>
    </row>
    <row r="523" spans="1:44" hidden="1">
      <c r="A523" s="47" t="s">
        <v>44</v>
      </c>
      <c r="B523" s="47" t="str">
        <f t="shared" si="134"/>
        <v>July</v>
      </c>
      <c r="C523" s="59">
        <v>45498</v>
      </c>
      <c r="D523" s="47" t="s">
        <v>103</v>
      </c>
      <c r="E523" s="47" t="s">
        <v>156</v>
      </c>
      <c r="F523" s="47" t="s">
        <v>157</v>
      </c>
      <c r="G523" s="91" t="s">
        <v>677</v>
      </c>
      <c r="H523" s="47" t="s">
        <v>678</v>
      </c>
      <c r="I523" s="47" t="s">
        <v>679</v>
      </c>
      <c r="J523" s="47" t="s">
        <v>51</v>
      </c>
      <c r="K523" s="48">
        <v>45133</v>
      </c>
      <c r="L523" s="48">
        <v>45133</v>
      </c>
      <c r="M523" s="48">
        <v>45498</v>
      </c>
      <c r="N523" s="47" t="s">
        <v>52</v>
      </c>
      <c r="O523" s="101" t="s">
        <v>53</v>
      </c>
      <c r="P523" s="62">
        <v>11280</v>
      </c>
      <c r="Q523" s="62">
        <v>940</v>
      </c>
      <c r="R523" s="103">
        <v>11280</v>
      </c>
      <c r="S523" s="62">
        <f t="shared" si="135"/>
        <v>940</v>
      </c>
      <c r="T523" s="62">
        <v>11520</v>
      </c>
      <c r="U523" s="62">
        <f t="shared" si="136"/>
        <v>960</v>
      </c>
      <c r="V523" s="69">
        <v>10020</v>
      </c>
      <c r="W523" s="71">
        <v>1005</v>
      </c>
      <c r="X523" s="71"/>
      <c r="Y523" s="71"/>
      <c r="Z523" s="64">
        <f t="shared" si="137"/>
        <v>4.6875E-2</v>
      </c>
      <c r="AA523" s="64">
        <f t="shared" si="128"/>
        <v>6.9148936170212769E-2</v>
      </c>
      <c r="AB523" s="71">
        <f t="shared" si="141"/>
        <v>1005</v>
      </c>
      <c r="AC523" s="64">
        <f t="shared" si="138"/>
        <v>4.6875E-2</v>
      </c>
      <c r="AD523" s="64">
        <f t="shared" si="129"/>
        <v>6.9148936170212769E-2</v>
      </c>
      <c r="AE523" s="71">
        <f t="shared" si="142"/>
        <v>1005</v>
      </c>
      <c r="AF523" s="64">
        <f t="shared" si="139"/>
        <v>4.6875E-2</v>
      </c>
      <c r="AG523" s="64">
        <f t="shared" si="130"/>
        <v>6.9148936170212769E-2</v>
      </c>
      <c r="AH523" s="67"/>
      <c r="AI523" s="47" t="s">
        <v>54</v>
      </c>
      <c r="AJ523" s="47">
        <v>592.01</v>
      </c>
      <c r="AK523" s="101" t="s">
        <v>65</v>
      </c>
      <c r="AL523" s="101" t="s">
        <v>55</v>
      </c>
      <c r="AM523" s="47" t="s">
        <v>298</v>
      </c>
      <c r="AN523" s="47">
        <v>1005</v>
      </c>
      <c r="AO523" s="211">
        <f t="shared" si="140"/>
        <v>4.6875E-2</v>
      </c>
      <c r="AP523" s="47" t="s">
        <v>57</v>
      </c>
      <c r="AQ523" s="47" t="s">
        <v>58</v>
      </c>
      <c r="AR523" s="47"/>
    </row>
    <row r="524" spans="1:44">
      <c r="A524" s="47" t="s">
        <v>44</v>
      </c>
      <c r="B524" s="47" t="str">
        <f t="shared" si="134"/>
        <v>July</v>
      </c>
      <c r="C524" s="59">
        <v>45498</v>
      </c>
      <c r="D524" s="47" t="s">
        <v>103</v>
      </c>
      <c r="E524" s="47" t="s">
        <v>156</v>
      </c>
      <c r="F524" s="47" t="s">
        <v>157</v>
      </c>
      <c r="G524" s="91" t="s">
        <v>680</v>
      </c>
      <c r="H524" s="47" t="s">
        <v>681</v>
      </c>
      <c r="I524" s="47" t="s">
        <v>50</v>
      </c>
      <c r="J524" s="47" t="s">
        <v>51</v>
      </c>
      <c r="K524" s="48">
        <v>43308</v>
      </c>
      <c r="L524" s="48">
        <v>45133</v>
      </c>
      <c r="M524" s="48">
        <v>45498</v>
      </c>
      <c r="N524" s="47" t="s">
        <v>64</v>
      </c>
      <c r="O524" s="101" t="s">
        <v>53</v>
      </c>
      <c r="P524" s="62">
        <v>11280</v>
      </c>
      <c r="Q524" s="62">
        <v>940</v>
      </c>
      <c r="R524" s="103">
        <v>11280</v>
      </c>
      <c r="S524" s="62">
        <f t="shared" si="135"/>
        <v>940</v>
      </c>
      <c r="T524" s="62">
        <v>11160</v>
      </c>
      <c r="U524" s="62">
        <f t="shared" si="136"/>
        <v>930</v>
      </c>
      <c r="V524" s="69">
        <v>10135.200000000001</v>
      </c>
      <c r="W524" s="71">
        <v>1050</v>
      </c>
      <c r="X524" s="71"/>
      <c r="Y524" s="71"/>
      <c r="Z524" s="64">
        <f t="shared" si="137"/>
        <v>0.12903225806451613</v>
      </c>
      <c r="AA524" s="64">
        <f t="shared" si="128"/>
        <v>0.11702127659574468</v>
      </c>
      <c r="AB524" s="71">
        <f t="shared" si="141"/>
        <v>1050</v>
      </c>
      <c r="AC524" s="64">
        <f t="shared" si="138"/>
        <v>0.12903225806451613</v>
      </c>
      <c r="AD524" s="64">
        <f t="shared" si="129"/>
        <v>0.11702127659574468</v>
      </c>
      <c r="AE524" s="71">
        <f t="shared" si="142"/>
        <v>1050</v>
      </c>
      <c r="AF524" s="64">
        <f t="shared" si="139"/>
        <v>0.12903225806451613</v>
      </c>
      <c r="AG524" s="64">
        <f t="shared" si="130"/>
        <v>0.11702127659574468</v>
      </c>
      <c r="AH524" s="67"/>
      <c r="AI524" s="47" t="s">
        <v>54</v>
      </c>
      <c r="AJ524" s="47">
        <v>602.779</v>
      </c>
      <c r="AK524" s="101" t="s">
        <v>65</v>
      </c>
      <c r="AL524" s="101" t="s">
        <v>55</v>
      </c>
      <c r="AM524" s="47" t="s">
        <v>298</v>
      </c>
      <c r="AN524" s="47">
        <v>960</v>
      </c>
      <c r="AO524" s="211">
        <f t="shared" si="140"/>
        <v>3.2258064516129031E-2</v>
      </c>
      <c r="AP524" s="47" t="s">
        <v>57</v>
      </c>
      <c r="AQ524" s="47" t="s">
        <v>58</v>
      </c>
      <c r="AR524" s="47"/>
    </row>
    <row r="525" spans="1:44">
      <c r="A525" s="47" t="s">
        <v>44</v>
      </c>
      <c r="B525" s="47" t="str">
        <f t="shared" si="134"/>
        <v>July</v>
      </c>
      <c r="C525" s="59">
        <v>45497</v>
      </c>
      <c r="D525" s="47" t="s">
        <v>103</v>
      </c>
      <c r="E525" s="47" t="s">
        <v>156</v>
      </c>
      <c r="F525" s="47" t="s">
        <v>157</v>
      </c>
      <c r="G525" s="91" t="s">
        <v>682</v>
      </c>
      <c r="H525" s="47" t="s">
        <v>683</v>
      </c>
      <c r="I525" s="47" t="s">
        <v>50</v>
      </c>
      <c r="J525" s="47" t="s">
        <v>51</v>
      </c>
      <c r="K525" s="48">
        <v>44768</v>
      </c>
      <c r="L525" s="48">
        <v>45132</v>
      </c>
      <c r="M525" s="48">
        <v>45497</v>
      </c>
      <c r="N525" s="47" t="s">
        <v>64</v>
      </c>
      <c r="O525" s="101" t="s">
        <v>53</v>
      </c>
      <c r="P525" s="62">
        <v>10920</v>
      </c>
      <c r="Q525" s="62">
        <v>910</v>
      </c>
      <c r="R525" s="103">
        <v>10920</v>
      </c>
      <c r="S525" s="62">
        <f t="shared" si="135"/>
        <v>910</v>
      </c>
      <c r="T525" s="62">
        <v>9060</v>
      </c>
      <c r="U525" s="62">
        <f t="shared" si="136"/>
        <v>755</v>
      </c>
      <c r="V525" s="69">
        <v>8160</v>
      </c>
      <c r="W525" s="71">
        <v>785</v>
      </c>
      <c r="X525" s="71"/>
      <c r="Y525" s="71"/>
      <c r="Z525" s="64">
        <f t="shared" si="137"/>
        <v>3.9735099337748346E-2</v>
      </c>
      <c r="AA525" s="64">
        <f t="shared" si="128"/>
        <v>-0.13736263736263737</v>
      </c>
      <c r="AB525" s="71">
        <f t="shared" si="141"/>
        <v>785</v>
      </c>
      <c r="AC525" s="64">
        <f t="shared" si="138"/>
        <v>3.9735099337748346E-2</v>
      </c>
      <c r="AD525" s="64">
        <f t="shared" si="129"/>
        <v>-0.13736263736263737</v>
      </c>
      <c r="AE525" s="71">
        <f t="shared" si="142"/>
        <v>785</v>
      </c>
      <c r="AF525" s="64">
        <f t="shared" si="139"/>
        <v>3.9735099337748346E-2</v>
      </c>
      <c r="AG525" s="64">
        <f t="shared" si="130"/>
        <v>-0.13736263736263737</v>
      </c>
      <c r="AH525" s="67"/>
      <c r="AI525" s="47" t="s">
        <v>54</v>
      </c>
      <c r="AJ525" s="47">
        <v>602.779</v>
      </c>
      <c r="AK525" s="101" t="s">
        <v>55</v>
      </c>
      <c r="AL525" s="101" t="s">
        <v>55</v>
      </c>
      <c r="AM525" s="47" t="s">
        <v>161</v>
      </c>
      <c r="AN525" s="47"/>
      <c r="AO525" s="211">
        <f t="shared" si="140"/>
        <v>-1</v>
      </c>
      <c r="AP525" s="47" t="s">
        <v>57</v>
      </c>
      <c r="AQ525" s="47" t="s">
        <v>58</v>
      </c>
      <c r="AR525" s="47"/>
    </row>
    <row r="526" spans="1:44" hidden="1">
      <c r="A526" s="47" t="s">
        <v>44</v>
      </c>
      <c r="B526" s="47" t="str">
        <f t="shared" si="134"/>
        <v>July</v>
      </c>
      <c r="C526" s="59">
        <v>45503</v>
      </c>
      <c r="D526" s="47" t="s">
        <v>103</v>
      </c>
      <c r="E526" s="47" t="s">
        <v>156</v>
      </c>
      <c r="F526" s="47" t="s">
        <v>157</v>
      </c>
      <c r="G526" s="91" t="s">
        <v>709</v>
      </c>
      <c r="H526" s="47" t="s">
        <v>710</v>
      </c>
      <c r="I526" s="47" t="s">
        <v>50</v>
      </c>
      <c r="J526" s="47" t="s">
        <v>51</v>
      </c>
      <c r="K526" s="48">
        <v>45138</v>
      </c>
      <c r="L526" s="48">
        <v>45138</v>
      </c>
      <c r="M526" s="48">
        <v>45503</v>
      </c>
      <c r="N526" s="47" t="s">
        <v>52</v>
      </c>
      <c r="O526" s="101" t="s">
        <v>53</v>
      </c>
      <c r="P526" s="62">
        <v>11280</v>
      </c>
      <c r="Q526" s="62">
        <v>940</v>
      </c>
      <c r="R526" s="103">
        <v>11280</v>
      </c>
      <c r="S526" s="62">
        <f t="shared" si="135"/>
        <v>940</v>
      </c>
      <c r="T526" s="62">
        <v>11520</v>
      </c>
      <c r="U526" s="62">
        <f t="shared" si="136"/>
        <v>960</v>
      </c>
      <c r="V526" s="69">
        <v>10320</v>
      </c>
      <c r="W526" s="71">
        <v>1005</v>
      </c>
      <c r="X526" s="71"/>
      <c r="Y526" s="71"/>
      <c r="Z526" s="64">
        <f t="shared" si="137"/>
        <v>4.6875E-2</v>
      </c>
      <c r="AA526" s="64">
        <f t="shared" si="128"/>
        <v>6.9148936170212769E-2</v>
      </c>
      <c r="AB526" s="71">
        <f t="shared" si="141"/>
        <v>1005</v>
      </c>
      <c r="AC526" s="64">
        <f t="shared" si="138"/>
        <v>4.6875E-2</v>
      </c>
      <c r="AD526" s="64">
        <f t="shared" si="129"/>
        <v>6.9148936170212769E-2</v>
      </c>
      <c r="AE526" s="71">
        <f t="shared" si="142"/>
        <v>1005</v>
      </c>
      <c r="AF526" s="64">
        <f t="shared" si="139"/>
        <v>4.6875E-2</v>
      </c>
      <c r="AG526" s="64">
        <f t="shared" si="130"/>
        <v>6.9148936170212769E-2</v>
      </c>
      <c r="AH526" s="67"/>
      <c r="AI526" s="47" t="s">
        <v>54</v>
      </c>
      <c r="AJ526" s="47">
        <v>602.78</v>
      </c>
      <c r="AK526" s="101" t="s">
        <v>65</v>
      </c>
      <c r="AL526" s="101" t="s">
        <v>55</v>
      </c>
      <c r="AM526" s="47" t="s">
        <v>381</v>
      </c>
      <c r="AN526" s="47"/>
      <c r="AO526" s="211">
        <f t="shared" si="140"/>
        <v>-1</v>
      </c>
      <c r="AP526" s="47" t="s">
        <v>57</v>
      </c>
      <c r="AQ526" s="47" t="s">
        <v>58</v>
      </c>
      <c r="AR526" s="47"/>
    </row>
    <row r="527" spans="1:44">
      <c r="A527" s="47" t="s">
        <v>44</v>
      </c>
      <c r="B527" s="47" t="str">
        <f t="shared" si="134"/>
        <v>July</v>
      </c>
      <c r="C527" s="59">
        <v>45503</v>
      </c>
      <c r="D527" s="47" t="s">
        <v>103</v>
      </c>
      <c r="E527" s="47" t="s">
        <v>156</v>
      </c>
      <c r="F527" s="47" t="s">
        <v>157</v>
      </c>
      <c r="G527" s="91" t="s">
        <v>711</v>
      </c>
      <c r="H527" s="47" t="s">
        <v>712</v>
      </c>
      <c r="I527" s="47" t="s">
        <v>50</v>
      </c>
      <c r="J527" s="47" t="s">
        <v>51</v>
      </c>
      <c r="K527" s="48">
        <v>43677</v>
      </c>
      <c r="L527" s="48">
        <v>44773</v>
      </c>
      <c r="M527" s="48">
        <v>45503</v>
      </c>
      <c r="N527" s="47" t="s">
        <v>64</v>
      </c>
      <c r="O527" s="101" t="s">
        <v>53</v>
      </c>
      <c r="P527" s="62">
        <v>11280</v>
      </c>
      <c r="Q527" s="62">
        <v>940</v>
      </c>
      <c r="R527" s="103">
        <v>11280</v>
      </c>
      <c r="S527" s="62">
        <f t="shared" si="135"/>
        <v>940</v>
      </c>
      <c r="T527" s="62">
        <v>10991.76</v>
      </c>
      <c r="U527" s="62">
        <f t="shared" si="136"/>
        <v>915.98</v>
      </c>
      <c r="V527" s="69">
        <v>10620</v>
      </c>
      <c r="W527" s="71">
        <v>1010</v>
      </c>
      <c r="X527" s="71"/>
      <c r="Y527" s="71"/>
      <c r="Z527" s="64">
        <f t="shared" si="137"/>
        <v>0.10264416253629989</v>
      </c>
      <c r="AA527" s="64">
        <f t="shared" si="128"/>
        <v>7.4468085106382975E-2</v>
      </c>
      <c r="AB527" s="71">
        <f t="shared" si="141"/>
        <v>1010</v>
      </c>
      <c r="AC527" s="64">
        <f t="shared" si="138"/>
        <v>0.10264416253629989</v>
      </c>
      <c r="AD527" s="64">
        <f t="shared" si="129"/>
        <v>7.4468085106382975E-2</v>
      </c>
      <c r="AE527" s="71">
        <f t="shared" si="142"/>
        <v>1010</v>
      </c>
      <c r="AF527" s="64">
        <f t="shared" si="139"/>
        <v>0.10264416253629989</v>
      </c>
      <c r="AG527" s="64">
        <f t="shared" si="130"/>
        <v>7.4468085106382975E-2</v>
      </c>
      <c r="AH527" s="67"/>
      <c r="AI527" s="47" t="s">
        <v>54</v>
      </c>
      <c r="AJ527" s="47">
        <v>602.779</v>
      </c>
      <c r="AK527" s="101" t="s">
        <v>65</v>
      </c>
      <c r="AL527" s="101" t="s">
        <v>55</v>
      </c>
      <c r="AM527" s="47" t="s">
        <v>298</v>
      </c>
      <c r="AN527" s="47">
        <v>1010</v>
      </c>
      <c r="AO527" s="211">
        <f t="shared" si="140"/>
        <v>0.10264416253629989</v>
      </c>
      <c r="AP527" s="47" t="s">
        <v>57</v>
      </c>
      <c r="AQ527" s="47" t="s">
        <v>58</v>
      </c>
      <c r="AR527" s="47"/>
    </row>
    <row r="528" spans="1:44" hidden="1">
      <c r="A528" s="47" t="s">
        <v>44</v>
      </c>
      <c r="B528" s="47" t="str">
        <f t="shared" si="134"/>
        <v>July</v>
      </c>
      <c r="C528" s="59">
        <v>45503</v>
      </c>
      <c r="D528" s="47" t="s">
        <v>103</v>
      </c>
      <c r="E528" s="47" t="s">
        <v>156</v>
      </c>
      <c r="F528" s="47" t="s">
        <v>157</v>
      </c>
      <c r="G528" s="91" t="s">
        <v>713</v>
      </c>
      <c r="H528" s="47" t="s">
        <v>714</v>
      </c>
      <c r="I528" s="47" t="s">
        <v>50</v>
      </c>
      <c r="J528" s="47" t="s">
        <v>51</v>
      </c>
      <c r="K528" s="48">
        <v>45138</v>
      </c>
      <c r="L528" s="48">
        <v>45138</v>
      </c>
      <c r="M528" s="48">
        <v>45503</v>
      </c>
      <c r="N528" s="47" t="s">
        <v>52</v>
      </c>
      <c r="O528" s="101" t="s">
        <v>53</v>
      </c>
      <c r="P528" s="62">
        <v>11280</v>
      </c>
      <c r="Q528" s="62">
        <v>940</v>
      </c>
      <c r="R528" s="103">
        <v>11280</v>
      </c>
      <c r="S528" s="62">
        <f t="shared" si="135"/>
        <v>940</v>
      </c>
      <c r="T528" s="62">
        <v>11460</v>
      </c>
      <c r="U528" s="62">
        <f t="shared" si="136"/>
        <v>955</v>
      </c>
      <c r="V528" s="69">
        <v>10740</v>
      </c>
      <c r="W528" s="71">
        <v>995</v>
      </c>
      <c r="X528" s="71"/>
      <c r="Y528" s="71"/>
      <c r="Z528" s="64">
        <f t="shared" si="137"/>
        <v>4.1884816753926704E-2</v>
      </c>
      <c r="AA528" s="64">
        <f t="shared" si="128"/>
        <v>5.8510638297872342E-2</v>
      </c>
      <c r="AB528" s="71">
        <f t="shared" si="141"/>
        <v>995</v>
      </c>
      <c r="AC528" s="64">
        <f t="shared" si="138"/>
        <v>4.1884816753926704E-2</v>
      </c>
      <c r="AD528" s="64">
        <f t="shared" si="129"/>
        <v>5.8510638297872342E-2</v>
      </c>
      <c r="AE528" s="71">
        <f t="shared" si="142"/>
        <v>995</v>
      </c>
      <c r="AF528" s="64">
        <f t="shared" si="139"/>
        <v>4.1884816753926704E-2</v>
      </c>
      <c r="AG528" s="64">
        <f t="shared" si="130"/>
        <v>5.8510638297872342E-2</v>
      </c>
      <c r="AH528" s="67"/>
      <c r="AI528" s="47" t="s">
        <v>54</v>
      </c>
      <c r="AJ528" s="47">
        <v>602.78</v>
      </c>
      <c r="AK528" s="101" t="s">
        <v>65</v>
      </c>
      <c r="AL528" s="101" t="s">
        <v>55</v>
      </c>
      <c r="AM528" s="47" t="s">
        <v>298</v>
      </c>
      <c r="AN528" s="47"/>
      <c r="AO528" s="211">
        <f t="shared" si="140"/>
        <v>-1</v>
      </c>
      <c r="AP528" s="47" t="s">
        <v>57</v>
      </c>
      <c r="AQ528" s="47" t="s">
        <v>58</v>
      </c>
      <c r="AR528" s="47"/>
    </row>
    <row r="529" spans="1:45" hidden="1">
      <c r="A529" s="47" t="s">
        <v>44</v>
      </c>
      <c r="B529" s="47" t="str">
        <f t="shared" si="134"/>
        <v>July</v>
      </c>
      <c r="C529" s="59">
        <v>45504</v>
      </c>
      <c r="D529" s="47" t="s">
        <v>103</v>
      </c>
      <c r="E529" s="47" t="s">
        <v>156</v>
      </c>
      <c r="F529" s="47" t="s">
        <v>157</v>
      </c>
      <c r="G529" s="91" t="s">
        <v>715</v>
      </c>
      <c r="H529" s="47" t="s">
        <v>716</v>
      </c>
      <c r="I529" s="47" t="s">
        <v>50</v>
      </c>
      <c r="J529" s="47" t="s">
        <v>51</v>
      </c>
      <c r="K529" s="48">
        <v>45139</v>
      </c>
      <c r="L529" s="48">
        <v>45139</v>
      </c>
      <c r="M529" s="48">
        <v>45504</v>
      </c>
      <c r="N529" s="47" t="s">
        <v>52</v>
      </c>
      <c r="O529" s="101" t="s">
        <v>53</v>
      </c>
      <c r="P529" s="62">
        <v>11280</v>
      </c>
      <c r="Q529" s="62">
        <v>940</v>
      </c>
      <c r="R529" s="103">
        <v>11280</v>
      </c>
      <c r="S529" s="62">
        <f t="shared" si="135"/>
        <v>940</v>
      </c>
      <c r="T529" s="62">
        <v>11520</v>
      </c>
      <c r="U529" s="62">
        <f t="shared" si="136"/>
        <v>960</v>
      </c>
      <c r="V529" s="69">
        <v>10260</v>
      </c>
      <c r="W529" s="71">
        <v>1000</v>
      </c>
      <c r="X529" s="71"/>
      <c r="Y529" s="71"/>
      <c r="Z529" s="64">
        <f t="shared" si="137"/>
        <v>4.1666666666666664E-2</v>
      </c>
      <c r="AA529" s="64">
        <f t="shared" si="128"/>
        <v>6.3829787234042548E-2</v>
      </c>
      <c r="AB529" s="71">
        <f t="shared" si="141"/>
        <v>1000</v>
      </c>
      <c r="AC529" s="64">
        <f t="shared" si="138"/>
        <v>4.1666666666666664E-2</v>
      </c>
      <c r="AD529" s="64">
        <f t="shared" si="129"/>
        <v>6.3829787234042548E-2</v>
      </c>
      <c r="AE529" s="71">
        <f t="shared" si="142"/>
        <v>1000</v>
      </c>
      <c r="AF529" s="64">
        <f t="shared" si="139"/>
        <v>4.1666666666666664E-2</v>
      </c>
      <c r="AG529" s="64">
        <f t="shared" si="130"/>
        <v>6.3829787234042548E-2</v>
      </c>
      <c r="AH529" s="67"/>
      <c r="AI529" s="47" t="s">
        <v>54</v>
      </c>
      <c r="AJ529" s="47">
        <v>602.78</v>
      </c>
      <c r="AK529" s="101" t="s">
        <v>65</v>
      </c>
      <c r="AL529" s="101" t="s">
        <v>55</v>
      </c>
      <c r="AM529" s="47" t="s">
        <v>298</v>
      </c>
      <c r="AN529" s="47">
        <v>1000</v>
      </c>
      <c r="AO529" s="211">
        <f t="shared" si="140"/>
        <v>4.1666666666666664E-2</v>
      </c>
      <c r="AP529" s="47" t="s">
        <v>57</v>
      </c>
      <c r="AQ529" s="47" t="s">
        <v>58</v>
      </c>
      <c r="AR529" s="47"/>
    </row>
    <row r="530" spans="1:45">
      <c r="A530" s="47" t="s">
        <v>44</v>
      </c>
      <c r="B530" s="47" t="str">
        <f t="shared" si="134"/>
        <v>July</v>
      </c>
      <c r="C530" s="59">
        <v>45480</v>
      </c>
      <c r="D530" s="47" t="s">
        <v>103</v>
      </c>
      <c r="E530" s="47" t="s">
        <v>156</v>
      </c>
      <c r="F530" s="47" t="s">
        <v>157</v>
      </c>
      <c r="G530" s="91" t="s">
        <v>750</v>
      </c>
      <c r="H530" s="47" t="s">
        <v>751</v>
      </c>
      <c r="I530" s="47" t="s">
        <v>50</v>
      </c>
      <c r="J530" s="47" t="s">
        <v>51</v>
      </c>
      <c r="K530" s="48">
        <v>44750</v>
      </c>
      <c r="L530" s="48">
        <v>45115</v>
      </c>
      <c r="M530" s="48">
        <v>45480</v>
      </c>
      <c r="N530" s="47" t="s">
        <v>64</v>
      </c>
      <c r="O530" s="101" t="s">
        <v>53</v>
      </c>
      <c r="P530" s="62">
        <v>8940</v>
      </c>
      <c r="Q530" s="62">
        <v>745</v>
      </c>
      <c r="R530" s="103">
        <v>8940</v>
      </c>
      <c r="S530" s="62">
        <f t="shared" si="135"/>
        <v>745</v>
      </c>
      <c r="T530" s="62">
        <v>8520</v>
      </c>
      <c r="U530" s="62">
        <f t="shared" si="136"/>
        <v>710</v>
      </c>
      <c r="V530" s="69">
        <v>7860</v>
      </c>
      <c r="W530" s="71">
        <v>770</v>
      </c>
      <c r="X530" s="71"/>
      <c r="Y530" s="71"/>
      <c r="Z530" s="64">
        <f t="shared" si="137"/>
        <v>8.4507042253521125E-2</v>
      </c>
      <c r="AA530" s="64">
        <f t="shared" si="128"/>
        <v>3.3557046979865772E-2</v>
      </c>
      <c r="AB530" s="71">
        <f t="shared" si="141"/>
        <v>770</v>
      </c>
      <c r="AC530" s="64">
        <f t="shared" si="138"/>
        <v>8.4507042253521125E-2</v>
      </c>
      <c r="AD530" s="64">
        <f t="shared" si="129"/>
        <v>3.3557046979865772E-2</v>
      </c>
      <c r="AE530" s="71">
        <f t="shared" si="142"/>
        <v>770</v>
      </c>
      <c r="AF530" s="64">
        <f t="shared" si="139"/>
        <v>8.4507042253521125E-2</v>
      </c>
      <c r="AG530" s="64">
        <f t="shared" si="130"/>
        <v>3.3557046979865772E-2</v>
      </c>
      <c r="AH530" s="67"/>
      <c r="AI530" s="47" t="s">
        <v>54</v>
      </c>
      <c r="AJ530" s="47">
        <v>398.26</v>
      </c>
      <c r="AK530" s="101" t="s">
        <v>55</v>
      </c>
      <c r="AL530" s="101" t="s">
        <v>55</v>
      </c>
      <c r="AM530" s="47" t="s">
        <v>161</v>
      </c>
      <c r="AN530" s="47">
        <v>770</v>
      </c>
      <c r="AO530" s="211">
        <f t="shared" si="140"/>
        <v>8.4507042253521125E-2</v>
      </c>
      <c r="AP530" s="47" t="s">
        <v>57</v>
      </c>
      <c r="AQ530" s="47" t="s">
        <v>58</v>
      </c>
      <c r="AR530" s="47"/>
    </row>
    <row r="531" spans="1:45" hidden="1">
      <c r="A531" s="47" t="s">
        <v>74</v>
      </c>
      <c r="B531" s="47" t="str">
        <f t="shared" si="134"/>
        <v>July</v>
      </c>
      <c r="C531" s="59">
        <v>45480</v>
      </c>
      <c r="D531" s="47" t="s">
        <v>103</v>
      </c>
      <c r="E531" s="47" t="s">
        <v>156</v>
      </c>
      <c r="F531" s="47" t="s">
        <v>157</v>
      </c>
      <c r="G531" s="91" t="s">
        <v>752</v>
      </c>
      <c r="H531" s="47" t="s">
        <v>753</v>
      </c>
      <c r="I531" s="47" t="s">
        <v>50</v>
      </c>
      <c r="J531" s="47" t="s">
        <v>51</v>
      </c>
      <c r="K531" s="48">
        <v>45115</v>
      </c>
      <c r="L531" s="48">
        <v>45115</v>
      </c>
      <c r="M531" s="48">
        <v>45480</v>
      </c>
      <c r="N531" s="47" t="s">
        <v>52</v>
      </c>
      <c r="O531" s="101" t="s">
        <v>53</v>
      </c>
      <c r="P531" s="62">
        <v>11280</v>
      </c>
      <c r="Q531" s="62">
        <v>940</v>
      </c>
      <c r="R531" s="103">
        <v>11280</v>
      </c>
      <c r="S531" s="62">
        <f t="shared" si="135"/>
        <v>940</v>
      </c>
      <c r="T531" s="62">
        <v>11640</v>
      </c>
      <c r="U531" s="62">
        <f t="shared" si="136"/>
        <v>970</v>
      </c>
      <c r="V531" s="69">
        <v>10320</v>
      </c>
      <c r="W531" s="71">
        <v>1015</v>
      </c>
      <c r="X531" s="71"/>
      <c r="Y531" s="71"/>
      <c r="Z531" s="64">
        <f t="shared" si="137"/>
        <v>4.6391752577319589E-2</v>
      </c>
      <c r="AA531" s="64">
        <f t="shared" si="128"/>
        <v>7.9787234042553196E-2</v>
      </c>
      <c r="AB531" s="71">
        <f t="shared" si="141"/>
        <v>1015</v>
      </c>
      <c r="AC531" s="64">
        <f t="shared" si="138"/>
        <v>4.6391752577319589E-2</v>
      </c>
      <c r="AD531" s="64">
        <f t="shared" si="129"/>
        <v>7.9787234042553196E-2</v>
      </c>
      <c r="AE531" s="71">
        <f t="shared" si="142"/>
        <v>1015</v>
      </c>
      <c r="AF531" s="64">
        <f t="shared" si="139"/>
        <v>4.6391752577319589E-2</v>
      </c>
      <c r="AG531" s="64">
        <f t="shared" si="130"/>
        <v>7.9787234042553196E-2</v>
      </c>
      <c r="AH531" s="67"/>
      <c r="AI531" s="47" t="s">
        <v>54</v>
      </c>
      <c r="AJ531" s="47">
        <v>602.779</v>
      </c>
      <c r="AK531" s="101" t="s">
        <v>65</v>
      </c>
      <c r="AL531" s="101" t="s">
        <v>55</v>
      </c>
      <c r="AM531" s="47" t="s">
        <v>298</v>
      </c>
      <c r="AN531" s="47"/>
      <c r="AO531" s="211">
        <f t="shared" si="140"/>
        <v>-1</v>
      </c>
      <c r="AP531" s="47" t="s">
        <v>57</v>
      </c>
      <c r="AQ531" s="47" t="s">
        <v>58</v>
      </c>
      <c r="AR531" s="47"/>
    </row>
    <row r="532" spans="1:45" hidden="1">
      <c r="A532" s="47" t="s">
        <v>44</v>
      </c>
      <c r="B532" s="47" t="str">
        <f t="shared" si="134"/>
        <v>July</v>
      </c>
      <c r="C532" s="59">
        <v>45479</v>
      </c>
      <c r="D532" s="47" t="s">
        <v>103</v>
      </c>
      <c r="E532" s="47" t="s">
        <v>156</v>
      </c>
      <c r="F532" s="47" t="s">
        <v>157</v>
      </c>
      <c r="G532" s="91" t="s">
        <v>754</v>
      </c>
      <c r="H532" s="47" t="s">
        <v>755</v>
      </c>
      <c r="I532" s="47" t="s">
        <v>50</v>
      </c>
      <c r="J532" s="47" t="s">
        <v>51</v>
      </c>
      <c r="K532" s="48">
        <v>45114</v>
      </c>
      <c r="L532" s="48">
        <v>45114</v>
      </c>
      <c r="M532" s="48">
        <v>45479</v>
      </c>
      <c r="N532" s="47" t="s">
        <v>52</v>
      </c>
      <c r="O532" s="101" t="s">
        <v>53</v>
      </c>
      <c r="P532" s="62">
        <v>16560</v>
      </c>
      <c r="Q532" s="62">
        <v>1380</v>
      </c>
      <c r="R532" s="103">
        <v>16560</v>
      </c>
      <c r="S532" s="62">
        <f t="shared" si="135"/>
        <v>1380</v>
      </c>
      <c r="T532" s="62">
        <v>17760</v>
      </c>
      <c r="U532" s="62">
        <f t="shared" si="136"/>
        <v>1480</v>
      </c>
      <c r="V532" s="69">
        <v>16560</v>
      </c>
      <c r="W532" s="71">
        <v>1560</v>
      </c>
      <c r="X532" s="71"/>
      <c r="Y532" s="71"/>
      <c r="Z532" s="64">
        <f t="shared" si="137"/>
        <v>5.4054054054054057E-2</v>
      </c>
      <c r="AA532" s="64">
        <f t="shared" si="128"/>
        <v>0.13043478260869565</v>
      </c>
      <c r="AB532" s="71">
        <f t="shared" si="141"/>
        <v>1560</v>
      </c>
      <c r="AC532" s="64">
        <f t="shared" si="138"/>
        <v>5.4054054054054057E-2</v>
      </c>
      <c r="AD532" s="64">
        <f t="shared" si="129"/>
        <v>0.13043478260869565</v>
      </c>
      <c r="AE532" s="71">
        <f t="shared" si="142"/>
        <v>1560</v>
      </c>
      <c r="AF532" s="64">
        <f t="shared" si="139"/>
        <v>5.4054054054054057E-2</v>
      </c>
      <c r="AG532" s="64">
        <f t="shared" si="130"/>
        <v>0.13043478260869565</v>
      </c>
      <c r="AH532" s="67"/>
      <c r="AI532" s="47" t="s">
        <v>54</v>
      </c>
      <c r="AJ532" s="47">
        <v>602.779</v>
      </c>
      <c r="AK532" s="101" t="s">
        <v>140</v>
      </c>
      <c r="AL532" s="101" t="s">
        <v>55</v>
      </c>
      <c r="AM532" s="47" t="s">
        <v>606</v>
      </c>
      <c r="AN532" s="47"/>
      <c r="AO532" s="211">
        <f t="shared" si="140"/>
        <v>-1</v>
      </c>
      <c r="AP532" s="47" t="s">
        <v>57</v>
      </c>
      <c r="AQ532" s="47" t="s">
        <v>58</v>
      </c>
      <c r="AR532" s="47"/>
    </row>
    <row r="533" spans="1:45" hidden="1">
      <c r="A533" s="47" t="s">
        <v>44</v>
      </c>
      <c r="B533" s="47" t="str">
        <f t="shared" si="134"/>
        <v>July</v>
      </c>
      <c r="C533" s="59">
        <v>45484</v>
      </c>
      <c r="D533" s="47" t="s">
        <v>103</v>
      </c>
      <c r="E533" s="47" t="s">
        <v>156</v>
      </c>
      <c r="F533" s="47" t="s">
        <v>157</v>
      </c>
      <c r="G533" s="91" t="s">
        <v>756</v>
      </c>
      <c r="H533" s="47" t="s">
        <v>757</v>
      </c>
      <c r="I533" s="47" t="s">
        <v>50</v>
      </c>
      <c r="J533" s="47" t="s">
        <v>51</v>
      </c>
      <c r="K533" s="48">
        <v>45119</v>
      </c>
      <c r="L533" s="48">
        <v>45119</v>
      </c>
      <c r="M533" s="48">
        <v>45484</v>
      </c>
      <c r="N533" s="47" t="s">
        <v>52</v>
      </c>
      <c r="O533" s="101" t="s">
        <v>53</v>
      </c>
      <c r="P533" s="62">
        <v>11760</v>
      </c>
      <c r="Q533" s="62">
        <v>980</v>
      </c>
      <c r="R533" s="103">
        <v>11760</v>
      </c>
      <c r="S533" s="62">
        <f t="shared" si="135"/>
        <v>980</v>
      </c>
      <c r="T533" s="62">
        <v>11640</v>
      </c>
      <c r="U533" s="62">
        <f t="shared" si="136"/>
        <v>970</v>
      </c>
      <c r="V533" s="69">
        <v>9960</v>
      </c>
      <c r="W533" s="71">
        <v>1015</v>
      </c>
      <c r="X533" s="71"/>
      <c r="Y533" s="71"/>
      <c r="Z533" s="64">
        <f t="shared" si="137"/>
        <v>4.6391752577319589E-2</v>
      </c>
      <c r="AA533" s="64">
        <f t="shared" si="128"/>
        <v>3.5714285714285712E-2</v>
      </c>
      <c r="AB533" s="71">
        <f t="shared" si="141"/>
        <v>1015</v>
      </c>
      <c r="AC533" s="64">
        <f t="shared" si="138"/>
        <v>4.6391752577319589E-2</v>
      </c>
      <c r="AD533" s="64">
        <f t="shared" si="129"/>
        <v>3.5714285714285712E-2</v>
      </c>
      <c r="AE533" s="71">
        <f t="shared" si="142"/>
        <v>1015</v>
      </c>
      <c r="AF533" s="64">
        <f t="shared" si="139"/>
        <v>4.6391752577319589E-2</v>
      </c>
      <c r="AG533" s="64">
        <f t="shared" si="130"/>
        <v>3.5714285714285712E-2</v>
      </c>
      <c r="AH533" s="67"/>
      <c r="AI533" s="47" t="s">
        <v>54</v>
      </c>
      <c r="AJ533" s="47">
        <v>710.42</v>
      </c>
      <c r="AK533" s="101" t="s">
        <v>65</v>
      </c>
      <c r="AL533" s="101" t="s">
        <v>55</v>
      </c>
      <c r="AM533" s="47" t="s">
        <v>298</v>
      </c>
      <c r="AN533" s="47">
        <v>1015</v>
      </c>
      <c r="AO533" s="211">
        <f t="shared" si="140"/>
        <v>4.6391752577319589E-2</v>
      </c>
      <c r="AP533" s="47" t="s">
        <v>57</v>
      </c>
      <c r="AQ533" s="47" t="s">
        <v>58</v>
      </c>
      <c r="AR533" s="47"/>
    </row>
    <row r="534" spans="1:45" hidden="1">
      <c r="A534" s="47" t="s">
        <v>44</v>
      </c>
      <c r="B534" s="47" t="str">
        <f t="shared" si="134"/>
        <v>July</v>
      </c>
      <c r="C534" s="59">
        <v>45485</v>
      </c>
      <c r="D534" s="47" t="s">
        <v>103</v>
      </c>
      <c r="E534" s="47" t="s">
        <v>156</v>
      </c>
      <c r="F534" s="47" t="s">
        <v>157</v>
      </c>
      <c r="G534" s="91" t="s">
        <v>758</v>
      </c>
      <c r="H534" s="47" t="s">
        <v>759</v>
      </c>
      <c r="I534" s="47" t="s">
        <v>50</v>
      </c>
      <c r="J534" s="47" t="s">
        <v>51</v>
      </c>
      <c r="K534" s="48">
        <v>45120</v>
      </c>
      <c r="L534" s="48">
        <v>45120</v>
      </c>
      <c r="M534" s="48">
        <v>45485</v>
      </c>
      <c r="N534" s="47" t="s">
        <v>52</v>
      </c>
      <c r="O534" s="101" t="s">
        <v>53</v>
      </c>
      <c r="P534" s="62">
        <v>11160</v>
      </c>
      <c r="Q534" s="62">
        <v>930</v>
      </c>
      <c r="R534" s="103">
        <v>11160</v>
      </c>
      <c r="S534" s="62">
        <f t="shared" si="135"/>
        <v>930</v>
      </c>
      <c r="T534" s="62">
        <v>10680</v>
      </c>
      <c r="U534" s="62">
        <f t="shared" si="136"/>
        <v>890</v>
      </c>
      <c r="V534" s="69">
        <v>9480</v>
      </c>
      <c r="W534" s="71">
        <v>930</v>
      </c>
      <c r="X534" s="71"/>
      <c r="Y534" s="71"/>
      <c r="Z534" s="64">
        <f t="shared" si="137"/>
        <v>4.49438202247191E-2</v>
      </c>
      <c r="AA534" s="64">
        <f t="shared" si="128"/>
        <v>0</v>
      </c>
      <c r="AB534" s="71">
        <f t="shared" si="141"/>
        <v>930</v>
      </c>
      <c r="AC534" s="64">
        <f t="shared" si="138"/>
        <v>4.49438202247191E-2</v>
      </c>
      <c r="AD534" s="64">
        <f t="shared" si="129"/>
        <v>0</v>
      </c>
      <c r="AE534" s="71">
        <f t="shared" si="142"/>
        <v>930</v>
      </c>
      <c r="AF534" s="64">
        <f t="shared" si="139"/>
        <v>4.49438202247191E-2</v>
      </c>
      <c r="AG534" s="64">
        <f t="shared" si="130"/>
        <v>0</v>
      </c>
      <c r="AH534" s="67"/>
      <c r="AI534" s="47" t="s">
        <v>54</v>
      </c>
      <c r="AJ534" s="47">
        <v>581.25</v>
      </c>
      <c r="AK534" s="101" t="s">
        <v>65</v>
      </c>
      <c r="AL534" s="101" t="s">
        <v>55</v>
      </c>
      <c r="AM534" s="47" t="s">
        <v>298</v>
      </c>
      <c r="AN534" s="47"/>
      <c r="AO534" s="211">
        <f t="shared" si="140"/>
        <v>-1</v>
      </c>
      <c r="AP534" s="47" t="s">
        <v>57</v>
      </c>
      <c r="AQ534" s="47" t="s">
        <v>58</v>
      </c>
      <c r="AR534" s="47"/>
    </row>
    <row r="535" spans="1:45">
      <c r="A535" s="47" t="s">
        <v>44</v>
      </c>
      <c r="B535" s="47" t="str">
        <f t="shared" si="134"/>
        <v>July</v>
      </c>
      <c r="C535" s="59">
        <v>45476</v>
      </c>
      <c r="D535" s="47" t="s">
        <v>103</v>
      </c>
      <c r="E535" s="47" t="s">
        <v>156</v>
      </c>
      <c r="F535" s="47" t="s">
        <v>157</v>
      </c>
      <c r="G535" s="91" t="s">
        <v>760</v>
      </c>
      <c r="H535" s="47" t="s">
        <v>761</v>
      </c>
      <c r="I535" s="47" t="s">
        <v>50</v>
      </c>
      <c r="J535" s="47" t="s">
        <v>51</v>
      </c>
      <c r="K535" s="48">
        <v>43651</v>
      </c>
      <c r="L535" s="48">
        <v>45111</v>
      </c>
      <c r="M535" s="48">
        <v>45476</v>
      </c>
      <c r="N535" s="47" t="s">
        <v>64</v>
      </c>
      <c r="O535" s="101" t="s">
        <v>53</v>
      </c>
      <c r="P535" s="62">
        <v>11760</v>
      </c>
      <c r="Q535" s="62">
        <v>980</v>
      </c>
      <c r="R535" s="103">
        <v>11760</v>
      </c>
      <c r="S535" s="62">
        <f t="shared" si="135"/>
        <v>980</v>
      </c>
      <c r="T535" s="62">
        <v>11940</v>
      </c>
      <c r="U535" s="62">
        <f t="shared" si="136"/>
        <v>995</v>
      </c>
      <c r="V535" s="69">
        <v>10920</v>
      </c>
      <c r="W535" s="71">
        <v>1035</v>
      </c>
      <c r="X535" s="71"/>
      <c r="Y535" s="71"/>
      <c r="Z535" s="64">
        <f t="shared" si="137"/>
        <v>4.0201005025125629E-2</v>
      </c>
      <c r="AA535" s="64">
        <f t="shared" si="128"/>
        <v>5.6122448979591837E-2</v>
      </c>
      <c r="AB535" s="71">
        <f t="shared" si="141"/>
        <v>1035</v>
      </c>
      <c r="AC535" s="64">
        <f t="shared" si="138"/>
        <v>4.0201005025125629E-2</v>
      </c>
      <c r="AD535" s="64">
        <f t="shared" si="129"/>
        <v>5.6122448979591837E-2</v>
      </c>
      <c r="AE535" s="71">
        <f t="shared" si="142"/>
        <v>1035</v>
      </c>
      <c r="AF535" s="64">
        <f t="shared" si="139"/>
        <v>4.0201005025125629E-2</v>
      </c>
      <c r="AG535" s="64">
        <f t="shared" si="130"/>
        <v>5.6122448979591837E-2</v>
      </c>
      <c r="AH535" s="67"/>
      <c r="AI535" s="47" t="s">
        <v>54</v>
      </c>
      <c r="AJ535" s="47">
        <v>710.42</v>
      </c>
      <c r="AK535" s="101" t="s">
        <v>65</v>
      </c>
      <c r="AL535" s="101" t="s">
        <v>55</v>
      </c>
      <c r="AM535" s="47" t="s">
        <v>298</v>
      </c>
      <c r="AN535" s="47"/>
      <c r="AO535" s="211">
        <f t="shared" si="140"/>
        <v>-1</v>
      </c>
      <c r="AP535" s="47" t="s">
        <v>57</v>
      </c>
      <c r="AQ535" s="47" t="s">
        <v>58</v>
      </c>
      <c r="AR535" s="47"/>
    </row>
    <row r="536" spans="1:45">
      <c r="A536" s="47" t="s">
        <v>44</v>
      </c>
      <c r="B536" s="47" t="str">
        <f t="shared" si="134"/>
        <v>August</v>
      </c>
      <c r="C536" s="59">
        <v>45512</v>
      </c>
      <c r="D536" s="47" t="s">
        <v>103</v>
      </c>
      <c r="E536" s="47" t="s">
        <v>156</v>
      </c>
      <c r="F536" s="47" t="s">
        <v>157</v>
      </c>
      <c r="G536" s="91" t="s">
        <v>1378</v>
      </c>
      <c r="H536" s="47" t="s">
        <v>1379</v>
      </c>
      <c r="I536" s="47" t="s">
        <v>50</v>
      </c>
      <c r="J536" s="47" t="s">
        <v>51</v>
      </c>
      <c r="K536" s="48">
        <v>44417</v>
      </c>
      <c r="L536" s="48">
        <v>45147</v>
      </c>
      <c r="M536" s="48">
        <v>45512</v>
      </c>
      <c r="N536" s="47" t="s">
        <v>64</v>
      </c>
      <c r="O536" s="101" t="s">
        <v>53</v>
      </c>
      <c r="P536" s="62">
        <v>8940</v>
      </c>
      <c r="Q536" s="62">
        <v>745</v>
      </c>
      <c r="R536" s="103">
        <v>8940</v>
      </c>
      <c r="S536" s="62">
        <f t="shared" si="135"/>
        <v>745</v>
      </c>
      <c r="T536" s="62">
        <v>8580</v>
      </c>
      <c r="U536" s="62">
        <f t="shared" si="136"/>
        <v>715</v>
      </c>
      <c r="V536" s="69">
        <v>7800</v>
      </c>
      <c r="W536" s="71">
        <v>775</v>
      </c>
      <c r="X536" s="71"/>
      <c r="Y536" s="71"/>
      <c r="Z536" s="64">
        <f t="shared" si="137"/>
        <v>8.3916083916083919E-2</v>
      </c>
      <c r="AA536" s="64">
        <f t="shared" si="128"/>
        <v>4.0268456375838924E-2</v>
      </c>
      <c r="AB536" s="71">
        <f t="shared" si="141"/>
        <v>775</v>
      </c>
      <c r="AC536" s="64">
        <f t="shared" si="138"/>
        <v>8.3916083916083919E-2</v>
      </c>
      <c r="AD536" s="64">
        <f t="shared" si="129"/>
        <v>4.0268456375838924E-2</v>
      </c>
      <c r="AE536" s="71">
        <f t="shared" si="142"/>
        <v>775</v>
      </c>
      <c r="AF536" s="64">
        <f t="shared" si="139"/>
        <v>8.3916083916083919E-2</v>
      </c>
      <c r="AG536" s="64">
        <f t="shared" si="130"/>
        <v>4.0268456375838924E-2</v>
      </c>
      <c r="AH536" s="67"/>
      <c r="AI536" s="47" t="s">
        <v>54</v>
      </c>
      <c r="AJ536" s="47">
        <v>409.03</v>
      </c>
      <c r="AK536" s="55" t="s">
        <v>55</v>
      </c>
      <c r="AL536" s="55" t="s">
        <v>55</v>
      </c>
      <c r="AM536" s="47" t="s">
        <v>161</v>
      </c>
      <c r="AN536" s="47">
        <v>775</v>
      </c>
      <c r="AO536" s="211">
        <f t="shared" si="140"/>
        <v>8.3916083916083919E-2</v>
      </c>
      <c r="AP536" s="112" t="s">
        <v>57</v>
      </c>
      <c r="AQ536" s="47" t="s">
        <v>1132</v>
      </c>
      <c r="AR536" s="47"/>
    </row>
    <row r="537" spans="1:45" ht="15" hidden="1">
      <c r="A537" s="47" t="s">
        <v>44</v>
      </c>
      <c r="B537" s="47" t="str">
        <f t="shared" si="134"/>
        <v>August</v>
      </c>
      <c r="C537" s="59">
        <v>45515</v>
      </c>
      <c r="D537" s="47" t="s">
        <v>103</v>
      </c>
      <c r="E537" s="47" t="s">
        <v>156</v>
      </c>
      <c r="F537" s="47" t="s">
        <v>157</v>
      </c>
      <c r="G537" s="93" t="s">
        <v>1611</v>
      </c>
      <c r="H537" s="47" t="s">
        <v>1612</v>
      </c>
      <c r="I537" s="47" t="s">
        <v>1613</v>
      </c>
      <c r="J537" s="47" t="s">
        <v>51</v>
      </c>
      <c r="K537" s="48">
        <v>45150</v>
      </c>
      <c r="L537" s="48">
        <v>45150</v>
      </c>
      <c r="M537" s="48">
        <v>45515</v>
      </c>
      <c r="N537" s="47" t="s">
        <v>52</v>
      </c>
      <c r="O537" s="101" t="s">
        <v>53</v>
      </c>
      <c r="P537" s="49">
        <v>11280</v>
      </c>
      <c r="Q537" s="49">
        <v>940</v>
      </c>
      <c r="R537" s="103">
        <v>11280</v>
      </c>
      <c r="S537" s="62">
        <f t="shared" si="135"/>
        <v>940</v>
      </c>
      <c r="T537" s="49">
        <v>11580</v>
      </c>
      <c r="U537" s="62">
        <f t="shared" si="136"/>
        <v>965</v>
      </c>
      <c r="V537" s="50">
        <v>10320</v>
      </c>
      <c r="W537" s="71">
        <v>1010</v>
      </c>
      <c r="X537" s="71"/>
      <c r="Y537" s="71"/>
      <c r="Z537" s="90">
        <f t="shared" si="137"/>
        <v>4.6632124352331605E-2</v>
      </c>
      <c r="AA537" s="90">
        <f>(Q537-U537)/U537</f>
        <v>-2.5906735751295335E-2</v>
      </c>
      <c r="AB537" s="71">
        <v>1010</v>
      </c>
      <c r="AC537" s="90">
        <f t="shared" si="138"/>
        <v>4.6632124352331605E-2</v>
      </c>
      <c r="AD537" s="90">
        <f t="shared" si="129"/>
        <v>7.4468085106382975E-2</v>
      </c>
      <c r="AE537" s="71">
        <f t="shared" si="142"/>
        <v>1010</v>
      </c>
      <c r="AF537" s="90">
        <f t="shared" si="139"/>
        <v>4.6632124352331605E-2</v>
      </c>
      <c r="AG537" s="90">
        <f t="shared" si="130"/>
        <v>7.4468085106382975E-2</v>
      </c>
      <c r="AH537" s="67"/>
      <c r="AI537" s="55" t="s">
        <v>250</v>
      </c>
      <c r="AJ537" s="55">
        <v>602.78</v>
      </c>
      <c r="AK537" s="55" t="s">
        <v>65</v>
      </c>
      <c r="AL537" s="55" t="s">
        <v>55</v>
      </c>
      <c r="AM537" s="47" t="s">
        <v>298</v>
      </c>
      <c r="AN537" s="47" t="s">
        <v>57</v>
      </c>
      <c r="AO537" s="211" t="e">
        <f t="shared" si="140"/>
        <v>#VALUE!</v>
      </c>
      <c r="AP537" s="47" t="s">
        <v>1614</v>
      </c>
      <c r="AQ537" s="47" t="s">
        <v>1132</v>
      </c>
      <c r="AR537" s="3"/>
      <c r="AS537"/>
    </row>
    <row r="538" spans="1:45">
      <c r="A538" s="47" t="s">
        <v>44</v>
      </c>
      <c r="B538" s="47" t="str">
        <f t="shared" si="134"/>
        <v>August</v>
      </c>
      <c r="C538" s="59">
        <v>45517</v>
      </c>
      <c r="D538" s="47" t="s">
        <v>103</v>
      </c>
      <c r="E538" s="47" t="s">
        <v>156</v>
      </c>
      <c r="F538" s="47" t="s">
        <v>157</v>
      </c>
      <c r="G538" s="91" t="s">
        <v>1807</v>
      </c>
      <c r="H538" s="47" t="s">
        <v>1808</v>
      </c>
      <c r="I538" s="47" t="s">
        <v>50</v>
      </c>
      <c r="J538" s="47" t="s">
        <v>51</v>
      </c>
      <c r="K538" s="48">
        <v>44057</v>
      </c>
      <c r="L538" s="48">
        <v>45152</v>
      </c>
      <c r="M538" s="48">
        <v>45517</v>
      </c>
      <c r="N538" s="47" t="s">
        <v>64</v>
      </c>
      <c r="O538" s="101" t="s">
        <v>53</v>
      </c>
      <c r="P538" s="62">
        <v>11520</v>
      </c>
      <c r="Q538" s="62">
        <v>960</v>
      </c>
      <c r="R538" s="103">
        <v>11520</v>
      </c>
      <c r="S538" s="62">
        <f t="shared" si="135"/>
        <v>960</v>
      </c>
      <c r="T538" s="62">
        <v>10860</v>
      </c>
      <c r="U538" s="62">
        <f t="shared" si="136"/>
        <v>905</v>
      </c>
      <c r="V538" s="69">
        <v>10020</v>
      </c>
      <c r="W538" s="71">
        <v>1010</v>
      </c>
      <c r="X538" s="71"/>
      <c r="Y538" s="71"/>
      <c r="Z538" s="64">
        <f t="shared" si="137"/>
        <v>0.11602209944751381</v>
      </c>
      <c r="AA538" s="64">
        <f t="shared" ref="AA538:AA601" si="143">(W538-S538)/S538</f>
        <v>5.2083333333333336E-2</v>
      </c>
      <c r="AB538" s="71">
        <f t="shared" ref="AB538:AB543" si="144">W538</f>
        <v>1010</v>
      </c>
      <c r="AC538" s="64">
        <f t="shared" si="138"/>
        <v>0.11602209944751381</v>
      </c>
      <c r="AD538" s="64">
        <f t="shared" si="129"/>
        <v>5.2083333333333336E-2</v>
      </c>
      <c r="AE538" s="71">
        <f t="shared" si="142"/>
        <v>1010</v>
      </c>
      <c r="AF538" s="64">
        <f t="shared" si="139"/>
        <v>0.11602209944751381</v>
      </c>
      <c r="AG538" s="64">
        <f t="shared" si="130"/>
        <v>5.2083333333333336E-2</v>
      </c>
      <c r="AH538" s="67"/>
      <c r="AI538" s="47" t="s">
        <v>54</v>
      </c>
      <c r="AJ538" s="47">
        <v>645.83000000000004</v>
      </c>
      <c r="AK538" s="55" t="s">
        <v>65</v>
      </c>
      <c r="AL538" s="55" t="s">
        <v>55</v>
      </c>
      <c r="AM538" s="47" t="s">
        <v>298</v>
      </c>
      <c r="AN538" s="47">
        <v>1010</v>
      </c>
      <c r="AO538" s="211">
        <f t="shared" si="140"/>
        <v>0.11602209944751381</v>
      </c>
      <c r="AP538" s="47" t="s">
        <v>57</v>
      </c>
      <c r="AQ538" s="47" t="s">
        <v>1132</v>
      </c>
      <c r="AR538" s="47"/>
    </row>
    <row r="539" spans="1:45" hidden="1">
      <c r="A539" s="47" t="s">
        <v>44</v>
      </c>
      <c r="B539" s="47" t="str">
        <f t="shared" si="134"/>
        <v>August</v>
      </c>
      <c r="C539" s="59">
        <v>45518</v>
      </c>
      <c r="D539" s="47" t="s">
        <v>103</v>
      </c>
      <c r="E539" s="47" t="s">
        <v>156</v>
      </c>
      <c r="F539" s="47" t="s">
        <v>157</v>
      </c>
      <c r="G539" s="94" t="s">
        <v>1908</v>
      </c>
      <c r="H539" s="47" t="s">
        <v>1909</v>
      </c>
      <c r="I539" s="47" t="s">
        <v>50</v>
      </c>
      <c r="J539" s="47" t="s">
        <v>51</v>
      </c>
      <c r="K539" s="48">
        <v>45153</v>
      </c>
      <c r="L539" s="48">
        <v>45153</v>
      </c>
      <c r="M539" s="48">
        <v>45518</v>
      </c>
      <c r="N539" s="47" t="s">
        <v>52</v>
      </c>
      <c r="O539" s="101" t="s">
        <v>53</v>
      </c>
      <c r="P539" s="62">
        <v>11280</v>
      </c>
      <c r="Q539" s="62">
        <v>940</v>
      </c>
      <c r="R539" s="103">
        <v>11280</v>
      </c>
      <c r="S539" s="62">
        <f t="shared" si="135"/>
        <v>940</v>
      </c>
      <c r="T539" s="62">
        <v>11640</v>
      </c>
      <c r="U539" s="62">
        <f t="shared" si="136"/>
        <v>970</v>
      </c>
      <c r="V539" s="69">
        <v>10740</v>
      </c>
      <c r="W539" s="71">
        <v>1015</v>
      </c>
      <c r="X539" s="71"/>
      <c r="Y539" s="71"/>
      <c r="Z539" s="64">
        <f t="shared" si="137"/>
        <v>4.6391752577319589E-2</v>
      </c>
      <c r="AA539" s="64">
        <f t="shared" si="143"/>
        <v>7.9787234042553196E-2</v>
      </c>
      <c r="AB539" s="71">
        <f t="shared" si="144"/>
        <v>1015</v>
      </c>
      <c r="AC539" s="64">
        <f t="shared" si="138"/>
        <v>4.6391752577319589E-2</v>
      </c>
      <c r="AD539" s="64">
        <f t="shared" si="129"/>
        <v>7.9787234042553196E-2</v>
      </c>
      <c r="AE539" s="71">
        <f t="shared" si="142"/>
        <v>1015</v>
      </c>
      <c r="AF539" s="64">
        <f t="shared" si="139"/>
        <v>4.6391752577319589E-2</v>
      </c>
      <c r="AG539" s="64">
        <f t="shared" si="130"/>
        <v>7.9787234042553196E-2</v>
      </c>
      <c r="AH539" s="67"/>
      <c r="AI539" s="47" t="s">
        <v>54</v>
      </c>
      <c r="AJ539" s="47">
        <v>602.779</v>
      </c>
      <c r="AK539" s="55" t="s">
        <v>65</v>
      </c>
      <c r="AL539" s="55" t="s">
        <v>55</v>
      </c>
      <c r="AM539" s="47" t="s">
        <v>298</v>
      </c>
      <c r="AN539" s="47"/>
      <c r="AO539" s="211">
        <f t="shared" si="140"/>
        <v>-1</v>
      </c>
      <c r="AP539" s="47" t="s">
        <v>57</v>
      </c>
      <c r="AQ539" s="47" t="s">
        <v>1132</v>
      </c>
      <c r="AR539" s="47"/>
    </row>
    <row r="540" spans="1:45">
      <c r="A540" s="47" t="s">
        <v>44</v>
      </c>
      <c r="B540" s="47" t="str">
        <f t="shared" si="134"/>
        <v>August</v>
      </c>
      <c r="C540" s="59">
        <v>45518</v>
      </c>
      <c r="D540" s="47" t="s">
        <v>103</v>
      </c>
      <c r="E540" s="47" t="s">
        <v>156</v>
      </c>
      <c r="F540" s="47" t="s">
        <v>157</v>
      </c>
      <c r="G540" s="91" t="s">
        <v>1910</v>
      </c>
      <c r="H540" s="47" t="s">
        <v>1911</v>
      </c>
      <c r="I540" s="47" t="s">
        <v>50</v>
      </c>
      <c r="J540" s="47" t="s">
        <v>51</v>
      </c>
      <c r="K540" s="48">
        <v>44788</v>
      </c>
      <c r="L540" s="48">
        <v>45153</v>
      </c>
      <c r="M540" s="48">
        <v>45518</v>
      </c>
      <c r="N540" s="47" t="s">
        <v>64</v>
      </c>
      <c r="O540" s="101" t="s">
        <v>53</v>
      </c>
      <c r="P540" s="62">
        <v>11760</v>
      </c>
      <c r="Q540" s="62">
        <v>980</v>
      </c>
      <c r="R540" s="103">
        <v>11760</v>
      </c>
      <c r="S540" s="62">
        <f t="shared" si="135"/>
        <v>980</v>
      </c>
      <c r="T540" s="62">
        <v>11760</v>
      </c>
      <c r="U540" s="62">
        <f t="shared" si="136"/>
        <v>980</v>
      </c>
      <c r="V540" s="69">
        <v>10800</v>
      </c>
      <c r="W540" s="71">
        <v>1030</v>
      </c>
      <c r="X540" s="71"/>
      <c r="Y540" s="71"/>
      <c r="Z540" s="64">
        <f t="shared" si="137"/>
        <v>5.1020408163265307E-2</v>
      </c>
      <c r="AA540" s="64">
        <f t="shared" si="143"/>
        <v>5.1020408163265307E-2</v>
      </c>
      <c r="AB540" s="71">
        <f t="shared" si="144"/>
        <v>1030</v>
      </c>
      <c r="AC540" s="64">
        <f t="shared" si="138"/>
        <v>5.1020408163265307E-2</v>
      </c>
      <c r="AD540" s="64">
        <f t="shared" si="129"/>
        <v>5.1020408163265307E-2</v>
      </c>
      <c r="AE540" s="71">
        <f t="shared" si="142"/>
        <v>1030</v>
      </c>
      <c r="AF540" s="64">
        <f t="shared" si="139"/>
        <v>5.1020408163265307E-2</v>
      </c>
      <c r="AG540" s="64">
        <f t="shared" si="130"/>
        <v>5.1020408163265307E-2</v>
      </c>
      <c r="AH540" s="67"/>
      <c r="AI540" s="47" t="s">
        <v>54</v>
      </c>
      <c r="AJ540" s="47">
        <v>710.42</v>
      </c>
      <c r="AK540" s="55" t="s">
        <v>65</v>
      </c>
      <c r="AL540" s="55" t="s">
        <v>55</v>
      </c>
      <c r="AM540" s="47" t="s">
        <v>298</v>
      </c>
      <c r="AN540" s="47"/>
      <c r="AO540" s="211">
        <f t="shared" si="140"/>
        <v>-1</v>
      </c>
      <c r="AP540" s="47" t="s">
        <v>57</v>
      </c>
      <c r="AQ540" s="47" t="s">
        <v>1132</v>
      </c>
      <c r="AR540" s="47"/>
    </row>
    <row r="541" spans="1:45">
      <c r="A541" s="47" t="s">
        <v>44</v>
      </c>
      <c r="B541" s="47" t="str">
        <f t="shared" si="134"/>
        <v>August</v>
      </c>
      <c r="C541" s="59">
        <v>45521</v>
      </c>
      <c r="D541" s="47" t="s">
        <v>103</v>
      </c>
      <c r="E541" s="47" t="s">
        <v>156</v>
      </c>
      <c r="F541" s="47" t="s">
        <v>157</v>
      </c>
      <c r="G541" s="91" t="s">
        <v>2159</v>
      </c>
      <c r="H541" s="47" t="s">
        <v>2160</v>
      </c>
      <c r="I541" s="47" t="s">
        <v>50</v>
      </c>
      <c r="J541" s="47" t="s">
        <v>51</v>
      </c>
      <c r="K541" s="48">
        <v>44790</v>
      </c>
      <c r="L541" s="48">
        <v>45156</v>
      </c>
      <c r="M541" s="48">
        <v>45521</v>
      </c>
      <c r="N541" s="47" t="s">
        <v>64</v>
      </c>
      <c r="O541" s="101" t="s">
        <v>53</v>
      </c>
      <c r="P541" s="62">
        <v>8640</v>
      </c>
      <c r="Q541" s="62">
        <v>720</v>
      </c>
      <c r="R541" s="103">
        <v>8640</v>
      </c>
      <c r="S541" s="62">
        <f t="shared" si="135"/>
        <v>720</v>
      </c>
      <c r="T541" s="62">
        <v>8940</v>
      </c>
      <c r="U541" s="62">
        <f t="shared" si="136"/>
        <v>745</v>
      </c>
      <c r="V541" s="69">
        <v>7800</v>
      </c>
      <c r="W541" s="71">
        <v>780</v>
      </c>
      <c r="X541" s="71"/>
      <c r="Y541" s="71"/>
      <c r="Z541" s="64">
        <f t="shared" si="137"/>
        <v>4.6979865771812082E-2</v>
      </c>
      <c r="AA541" s="64">
        <f t="shared" si="143"/>
        <v>8.3333333333333329E-2</v>
      </c>
      <c r="AB541" s="71">
        <f t="shared" si="144"/>
        <v>780</v>
      </c>
      <c r="AC541" s="64">
        <f t="shared" si="138"/>
        <v>4.6979865771812082E-2</v>
      </c>
      <c r="AD541" s="64">
        <f t="shared" si="129"/>
        <v>8.3333333333333329E-2</v>
      </c>
      <c r="AE541" s="71">
        <f t="shared" si="142"/>
        <v>780</v>
      </c>
      <c r="AF541" s="64">
        <f t="shared" si="139"/>
        <v>4.6979865771812082E-2</v>
      </c>
      <c r="AG541" s="64">
        <f t="shared" si="130"/>
        <v>8.3333333333333329E-2</v>
      </c>
      <c r="AH541" s="67"/>
      <c r="AI541" s="47" t="s">
        <v>54</v>
      </c>
      <c r="AJ541" s="47">
        <v>462.85</v>
      </c>
      <c r="AK541" s="55" t="s">
        <v>55</v>
      </c>
      <c r="AL541" s="55" t="s">
        <v>55</v>
      </c>
      <c r="AM541" s="47" t="s">
        <v>161</v>
      </c>
      <c r="AN541" s="47"/>
      <c r="AO541" s="211">
        <f t="shared" si="140"/>
        <v>-1</v>
      </c>
      <c r="AP541" s="47" t="s">
        <v>57</v>
      </c>
      <c r="AQ541" s="47" t="s">
        <v>1132</v>
      </c>
      <c r="AR541" s="47"/>
    </row>
    <row r="542" spans="1:45" hidden="1">
      <c r="A542" s="47" t="s">
        <v>44</v>
      </c>
      <c r="B542" s="47" t="str">
        <f t="shared" si="134"/>
        <v>August</v>
      </c>
      <c r="C542" s="59">
        <v>45521</v>
      </c>
      <c r="D542" s="47" t="s">
        <v>103</v>
      </c>
      <c r="E542" s="47" t="s">
        <v>156</v>
      </c>
      <c r="F542" s="47" t="s">
        <v>157</v>
      </c>
      <c r="G542" s="91" t="s">
        <v>2172</v>
      </c>
      <c r="H542" s="47" t="s">
        <v>2173</v>
      </c>
      <c r="I542" s="47" t="s">
        <v>50</v>
      </c>
      <c r="J542" s="47" t="s">
        <v>51</v>
      </c>
      <c r="K542" s="48">
        <v>45156</v>
      </c>
      <c r="L542" s="48">
        <v>45156</v>
      </c>
      <c r="M542" s="48">
        <v>45521</v>
      </c>
      <c r="N542" s="47" t="s">
        <v>52</v>
      </c>
      <c r="O542" s="101" t="s">
        <v>53</v>
      </c>
      <c r="P542" s="62">
        <v>8940</v>
      </c>
      <c r="Q542" s="62">
        <v>745</v>
      </c>
      <c r="R542" s="103">
        <v>8940</v>
      </c>
      <c r="S542" s="62">
        <f t="shared" si="135"/>
        <v>745</v>
      </c>
      <c r="T542" s="62">
        <v>8760</v>
      </c>
      <c r="U542" s="62">
        <f t="shared" si="136"/>
        <v>730</v>
      </c>
      <c r="V542" s="69">
        <v>7920</v>
      </c>
      <c r="W542" s="71">
        <v>765</v>
      </c>
      <c r="X542" s="71"/>
      <c r="Y542" s="71"/>
      <c r="Z542" s="64">
        <f t="shared" si="137"/>
        <v>4.7945205479452052E-2</v>
      </c>
      <c r="AA542" s="64">
        <f t="shared" si="143"/>
        <v>2.6845637583892617E-2</v>
      </c>
      <c r="AB542" s="71">
        <f t="shared" si="144"/>
        <v>765</v>
      </c>
      <c r="AC542" s="64">
        <f t="shared" si="138"/>
        <v>4.7945205479452052E-2</v>
      </c>
      <c r="AD542" s="64">
        <f t="shared" si="129"/>
        <v>2.6845637583892617E-2</v>
      </c>
      <c r="AE542" s="71">
        <f t="shared" si="142"/>
        <v>765</v>
      </c>
      <c r="AF542" s="64">
        <f t="shared" si="139"/>
        <v>4.7945205479452052E-2</v>
      </c>
      <c r="AG542" s="64">
        <f t="shared" si="130"/>
        <v>2.6845637583892617E-2</v>
      </c>
      <c r="AH542" s="67"/>
      <c r="AI542" s="47" t="s">
        <v>54</v>
      </c>
      <c r="AJ542" s="47">
        <v>398.26</v>
      </c>
      <c r="AK542" s="55" t="s">
        <v>55</v>
      </c>
      <c r="AL542" s="55" t="s">
        <v>55</v>
      </c>
      <c r="AM542" s="47" t="s">
        <v>161</v>
      </c>
      <c r="AN542" s="47"/>
      <c r="AO542" s="211">
        <f t="shared" si="140"/>
        <v>-1</v>
      </c>
      <c r="AP542" s="47" t="s">
        <v>57</v>
      </c>
      <c r="AQ542" s="47" t="s">
        <v>1132</v>
      </c>
      <c r="AR542" s="47"/>
    </row>
    <row r="543" spans="1:45" hidden="1">
      <c r="A543" s="47" t="s">
        <v>44</v>
      </c>
      <c r="B543" s="47" t="str">
        <f t="shared" si="134"/>
        <v>August</v>
      </c>
      <c r="C543" s="59">
        <v>45524</v>
      </c>
      <c r="D543" s="47" t="s">
        <v>103</v>
      </c>
      <c r="E543" s="47" t="s">
        <v>156</v>
      </c>
      <c r="F543" s="47" t="s">
        <v>157</v>
      </c>
      <c r="G543" s="91" t="s">
        <v>2418</v>
      </c>
      <c r="H543" s="47" t="s">
        <v>2419</v>
      </c>
      <c r="I543" s="47" t="s">
        <v>50</v>
      </c>
      <c r="J543" s="47" t="s">
        <v>51</v>
      </c>
      <c r="K543" s="48">
        <v>45159</v>
      </c>
      <c r="L543" s="48">
        <v>45159</v>
      </c>
      <c r="M543" s="48">
        <v>45524</v>
      </c>
      <c r="N543" s="47" t="s">
        <v>52</v>
      </c>
      <c r="O543" s="101" t="s">
        <v>53</v>
      </c>
      <c r="P543" s="62">
        <v>11520</v>
      </c>
      <c r="Q543" s="62">
        <v>960</v>
      </c>
      <c r="R543" s="103">
        <v>11520</v>
      </c>
      <c r="S543" s="62">
        <f t="shared" si="135"/>
        <v>960</v>
      </c>
      <c r="T543" s="62">
        <v>11580</v>
      </c>
      <c r="U543" s="62">
        <f t="shared" si="136"/>
        <v>965</v>
      </c>
      <c r="V543" s="69">
        <v>10020</v>
      </c>
      <c r="W543" s="71">
        <v>1010</v>
      </c>
      <c r="X543" s="71"/>
      <c r="Y543" s="71"/>
      <c r="Z543" s="64">
        <f t="shared" si="137"/>
        <v>4.6632124352331605E-2</v>
      </c>
      <c r="AA543" s="64">
        <f t="shared" si="143"/>
        <v>5.2083333333333336E-2</v>
      </c>
      <c r="AB543" s="71">
        <f t="shared" si="144"/>
        <v>1010</v>
      </c>
      <c r="AC543" s="64">
        <f t="shared" si="138"/>
        <v>4.6632124352331605E-2</v>
      </c>
      <c r="AD543" s="64">
        <f t="shared" si="129"/>
        <v>5.2083333333333336E-2</v>
      </c>
      <c r="AE543" s="71">
        <f t="shared" si="142"/>
        <v>1010</v>
      </c>
      <c r="AF543" s="64">
        <f t="shared" si="139"/>
        <v>4.6632124352331605E-2</v>
      </c>
      <c r="AG543" s="64">
        <f t="shared" si="130"/>
        <v>5.2083333333333336E-2</v>
      </c>
      <c r="AH543" s="67"/>
      <c r="AI543" s="47" t="s">
        <v>54</v>
      </c>
      <c r="AJ543" s="47">
        <v>635.07000000000005</v>
      </c>
      <c r="AK543" s="55" t="s">
        <v>65</v>
      </c>
      <c r="AL543" s="55" t="s">
        <v>55</v>
      </c>
      <c r="AM543" s="47" t="s">
        <v>298</v>
      </c>
      <c r="AN543" s="47">
        <v>1010</v>
      </c>
      <c r="AO543" s="211">
        <f t="shared" si="140"/>
        <v>4.6632124352331605E-2</v>
      </c>
      <c r="AP543" s="47" t="s">
        <v>57</v>
      </c>
      <c r="AQ543" s="47" t="s">
        <v>1132</v>
      </c>
      <c r="AR543" s="47"/>
    </row>
    <row r="544" spans="1:45" hidden="1">
      <c r="A544" s="47" t="s">
        <v>44</v>
      </c>
      <c r="B544" s="47" t="str">
        <f t="shared" si="134"/>
        <v>July</v>
      </c>
      <c r="C544" s="59">
        <v>45490</v>
      </c>
      <c r="D544" s="47" t="s">
        <v>103</v>
      </c>
      <c r="E544" s="47" t="s">
        <v>156</v>
      </c>
      <c r="F544" s="47" t="s">
        <v>157</v>
      </c>
      <c r="G544" s="94" t="s">
        <v>2716</v>
      </c>
      <c r="H544" s="47" t="s">
        <v>2717</v>
      </c>
      <c r="I544" s="47" t="s">
        <v>50</v>
      </c>
      <c r="J544" s="47" t="s">
        <v>51</v>
      </c>
      <c r="K544" s="48">
        <v>45330</v>
      </c>
      <c r="L544" s="48">
        <v>45330</v>
      </c>
      <c r="M544" s="48">
        <v>45695</v>
      </c>
      <c r="N544" s="47" t="s">
        <v>52</v>
      </c>
      <c r="O544" s="101" t="s">
        <v>53</v>
      </c>
      <c r="P544" s="62">
        <v>11280</v>
      </c>
      <c r="Q544" s="62">
        <v>940</v>
      </c>
      <c r="R544" s="103">
        <v>11280</v>
      </c>
      <c r="S544" s="62">
        <f t="shared" si="135"/>
        <v>940</v>
      </c>
      <c r="T544" s="62">
        <v>11820</v>
      </c>
      <c r="U544" s="62">
        <f t="shared" si="136"/>
        <v>985</v>
      </c>
      <c r="V544" s="69">
        <v>11400</v>
      </c>
      <c r="W544" s="71">
        <v>995</v>
      </c>
      <c r="X544" s="71"/>
      <c r="Y544" s="71"/>
      <c r="Z544" s="64">
        <f t="shared" si="137"/>
        <v>1.015228426395939E-2</v>
      </c>
      <c r="AA544" s="64">
        <f t="shared" si="143"/>
        <v>5.8510638297872342E-2</v>
      </c>
      <c r="AB544" s="71">
        <v>1000</v>
      </c>
      <c r="AC544" s="64">
        <f t="shared" si="138"/>
        <v>1.5228426395939087E-2</v>
      </c>
      <c r="AD544" s="64">
        <f t="shared" si="129"/>
        <v>6.3829787234042548E-2</v>
      </c>
      <c r="AE544" s="71">
        <f t="shared" si="142"/>
        <v>1000</v>
      </c>
      <c r="AF544" s="64">
        <f t="shared" si="139"/>
        <v>1.5228426395939087E-2</v>
      </c>
      <c r="AG544" s="64">
        <f t="shared" si="130"/>
        <v>6.3829787234042548E-2</v>
      </c>
      <c r="AH544" s="67"/>
      <c r="AI544" s="47" t="s">
        <v>54</v>
      </c>
      <c r="AJ544" s="47">
        <v>592.01</v>
      </c>
      <c r="AK544" s="101" t="s">
        <v>65</v>
      </c>
      <c r="AL544" s="101" t="s">
        <v>55</v>
      </c>
      <c r="AM544" s="47" t="s">
        <v>298</v>
      </c>
      <c r="AN544" s="47"/>
      <c r="AO544" s="211">
        <f t="shared" si="140"/>
        <v>-1</v>
      </c>
      <c r="AP544" s="47" t="s">
        <v>57</v>
      </c>
      <c r="AQ544" s="47" t="s">
        <v>2718</v>
      </c>
      <c r="AR544" s="47"/>
    </row>
    <row r="545" spans="1:44" hidden="1">
      <c r="A545" s="47" t="s">
        <v>44</v>
      </c>
      <c r="B545" s="47" t="str">
        <f t="shared" si="134"/>
        <v>August</v>
      </c>
      <c r="C545" s="59">
        <v>45529</v>
      </c>
      <c r="D545" s="47" t="s">
        <v>103</v>
      </c>
      <c r="E545" s="47" t="s">
        <v>156</v>
      </c>
      <c r="F545" s="47" t="s">
        <v>157</v>
      </c>
      <c r="G545" s="91" t="s">
        <v>3114</v>
      </c>
      <c r="H545" s="47" t="s">
        <v>3115</v>
      </c>
      <c r="I545" s="47" t="s">
        <v>50</v>
      </c>
      <c r="J545" s="47" t="s">
        <v>51</v>
      </c>
      <c r="K545" s="48">
        <v>45164</v>
      </c>
      <c r="L545" s="48">
        <v>45164</v>
      </c>
      <c r="M545" s="48">
        <v>45529</v>
      </c>
      <c r="N545" s="47" t="s">
        <v>52</v>
      </c>
      <c r="O545" s="101" t="s">
        <v>53</v>
      </c>
      <c r="P545" s="62">
        <v>10560</v>
      </c>
      <c r="Q545" s="62">
        <v>880</v>
      </c>
      <c r="R545" s="103">
        <v>10560</v>
      </c>
      <c r="S545" s="62">
        <f t="shared" si="135"/>
        <v>880</v>
      </c>
      <c r="T545" s="62">
        <v>11460</v>
      </c>
      <c r="U545" s="62">
        <f t="shared" si="136"/>
        <v>955</v>
      </c>
      <c r="V545" s="69">
        <v>9720</v>
      </c>
      <c r="W545" s="71">
        <v>955</v>
      </c>
      <c r="X545" s="71"/>
      <c r="Y545" s="71"/>
      <c r="Z545" s="64">
        <f t="shared" si="137"/>
        <v>0</v>
      </c>
      <c r="AA545" s="64">
        <f t="shared" si="143"/>
        <v>8.5227272727272721E-2</v>
      </c>
      <c r="AB545" s="71">
        <v>975</v>
      </c>
      <c r="AC545" s="64">
        <f t="shared" si="138"/>
        <v>2.0942408376963352E-2</v>
      </c>
      <c r="AD545" s="64">
        <f t="shared" si="129"/>
        <v>0.10795454545454546</v>
      </c>
      <c r="AE545" s="71">
        <f t="shared" si="142"/>
        <v>975</v>
      </c>
      <c r="AF545" s="64">
        <f t="shared" si="139"/>
        <v>2.0942408376963352E-2</v>
      </c>
      <c r="AG545" s="64">
        <f t="shared" si="130"/>
        <v>0.10795454545454546</v>
      </c>
      <c r="AH545" s="67"/>
      <c r="AI545" s="47" t="s">
        <v>54</v>
      </c>
      <c r="AJ545" s="47">
        <v>548.95899999999995</v>
      </c>
      <c r="AK545" s="55" t="s">
        <v>65</v>
      </c>
      <c r="AL545" s="55" t="s">
        <v>55</v>
      </c>
      <c r="AM545" s="47" t="s">
        <v>298</v>
      </c>
      <c r="AN545" s="47">
        <v>975</v>
      </c>
      <c r="AO545" s="211">
        <f t="shared" si="140"/>
        <v>2.0942408376963352E-2</v>
      </c>
      <c r="AP545" s="47" t="s">
        <v>1614</v>
      </c>
      <c r="AQ545" s="47" t="s">
        <v>116</v>
      </c>
      <c r="AR545" s="47"/>
    </row>
    <row r="546" spans="1:44" hidden="1">
      <c r="A546" s="47" t="s">
        <v>44</v>
      </c>
      <c r="B546" s="47" t="str">
        <f t="shared" si="134"/>
        <v>August</v>
      </c>
      <c r="C546" s="59">
        <v>45529</v>
      </c>
      <c r="D546" s="47" t="s">
        <v>103</v>
      </c>
      <c r="E546" s="47" t="s">
        <v>156</v>
      </c>
      <c r="F546" s="47" t="s">
        <v>157</v>
      </c>
      <c r="G546" s="91" t="s">
        <v>3116</v>
      </c>
      <c r="H546" s="47" t="s">
        <v>3117</v>
      </c>
      <c r="I546" s="47" t="s">
        <v>50</v>
      </c>
      <c r="J546" s="47" t="s">
        <v>51</v>
      </c>
      <c r="K546" s="48">
        <v>45164</v>
      </c>
      <c r="L546" s="48">
        <v>45164</v>
      </c>
      <c r="M546" s="48">
        <v>45529</v>
      </c>
      <c r="N546" s="47" t="s">
        <v>52</v>
      </c>
      <c r="O546" s="101" t="s">
        <v>53</v>
      </c>
      <c r="P546" s="62">
        <v>8940</v>
      </c>
      <c r="Q546" s="62">
        <v>745</v>
      </c>
      <c r="R546" s="103">
        <v>8940</v>
      </c>
      <c r="S546" s="62">
        <f t="shared" si="135"/>
        <v>745</v>
      </c>
      <c r="T546" s="62">
        <v>8820</v>
      </c>
      <c r="U546" s="62">
        <f t="shared" ref="U546:U577" si="145">T546/12</f>
        <v>735</v>
      </c>
      <c r="V546" s="69">
        <v>8040</v>
      </c>
      <c r="W546" s="71">
        <v>770</v>
      </c>
      <c r="X546" s="71"/>
      <c r="Y546" s="71"/>
      <c r="Z546" s="64">
        <f t="shared" si="137"/>
        <v>4.7619047619047616E-2</v>
      </c>
      <c r="AA546" s="64">
        <f t="shared" si="143"/>
        <v>3.3557046979865772E-2</v>
      </c>
      <c r="AB546" s="71">
        <f>W546</f>
        <v>770</v>
      </c>
      <c r="AC546" s="64">
        <f t="shared" si="138"/>
        <v>4.7619047619047616E-2</v>
      </c>
      <c r="AD546" s="64">
        <f t="shared" si="129"/>
        <v>3.3557046979865772E-2</v>
      </c>
      <c r="AE546" s="71">
        <f t="shared" si="142"/>
        <v>770</v>
      </c>
      <c r="AF546" s="64">
        <f t="shared" si="139"/>
        <v>4.7619047619047616E-2</v>
      </c>
      <c r="AG546" s="64">
        <f t="shared" si="130"/>
        <v>3.3557046979865772E-2</v>
      </c>
      <c r="AH546" s="67"/>
      <c r="AI546" s="47" t="s">
        <v>54</v>
      </c>
      <c r="AJ546" s="47">
        <v>398.26</v>
      </c>
      <c r="AK546" s="55" t="s">
        <v>55</v>
      </c>
      <c r="AL546" s="55" t="s">
        <v>55</v>
      </c>
      <c r="AM546" s="47" t="s">
        <v>161</v>
      </c>
      <c r="AN546" s="47"/>
      <c r="AO546" s="211">
        <f t="shared" si="140"/>
        <v>-1</v>
      </c>
      <c r="AP546" s="47" t="s">
        <v>57</v>
      </c>
      <c r="AQ546" s="47" t="s">
        <v>116</v>
      </c>
      <c r="AR546" s="47"/>
    </row>
    <row r="547" spans="1:44" hidden="1">
      <c r="A547" s="47" t="s">
        <v>44</v>
      </c>
      <c r="B547" s="47" t="str">
        <f t="shared" si="134"/>
        <v>July</v>
      </c>
      <c r="C547" s="59">
        <v>45483</v>
      </c>
      <c r="D547" s="47" t="s">
        <v>103</v>
      </c>
      <c r="E547" s="47" t="s">
        <v>156</v>
      </c>
      <c r="F547" s="47" t="s">
        <v>157</v>
      </c>
      <c r="G547" s="94" t="s">
        <v>3404</v>
      </c>
      <c r="H547" s="47" t="s">
        <v>3405</v>
      </c>
      <c r="I547" s="47" t="s">
        <v>50</v>
      </c>
      <c r="J547" s="47" t="s">
        <v>51</v>
      </c>
      <c r="K547" s="48">
        <v>45118</v>
      </c>
      <c r="L547" s="48">
        <v>45118</v>
      </c>
      <c r="M547" s="48">
        <v>45483</v>
      </c>
      <c r="N547" s="47" t="s">
        <v>52</v>
      </c>
      <c r="O547" s="101" t="s">
        <v>53</v>
      </c>
      <c r="P547" s="62">
        <v>11280</v>
      </c>
      <c r="Q547" s="62">
        <v>940</v>
      </c>
      <c r="R547" s="103">
        <v>11280</v>
      </c>
      <c r="S547" s="62">
        <f t="shared" si="135"/>
        <v>940</v>
      </c>
      <c r="T547" s="62">
        <v>11760</v>
      </c>
      <c r="U547" s="62">
        <f t="shared" si="145"/>
        <v>980</v>
      </c>
      <c r="V547" s="69">
        <v>10440</v>
      </c>
      <c r="W547" s="71">
        <v>1025</v>
      </c>
      <c r="X547" s="71"/>
      <c r="Y547" s="71"/>
      <c r="Z547" s="64">
        <f t="shared" si="137"/>
        <v>4.5918367346938778E-2</v>
      </c>
      <c r="AA547" s="64">
        <f t="shared" si="143"/>
        <v>9.0425531914893623E-2</v>
      </c>
      <c r="AB547" s="71">
        <f>W547</f>
        <v>1025</v>
      </c>
      <c r="AC547" s="64">
        <f t="shared" si="138"/>
        <v>4.5918367346938778E-2</v>
      </c>
      <c r="AD547" s="64">
        <f t="shared" si="129"/>
        <v>9.0425531914893623E-2</v>
      </c>
      <c r="AE547" s="71">
        <f t="shared" si="142"/>
        <v>1025</v>
      </c>
      <c r="AF547" s="64">
        <f t="shared" si="139"/>
        <v>4.5918367346938778E-2</v>
      </c>
      <c r="AG547" s="64">
        <f t="shared" si="130"/>
        <v>9.0425531914893623E-2</v>
      </c>
      <c r="AH547" s="67"/>
      <c r="AI547" s="47" t="s">
        <v>54</v>
      </c>
      <c r="AJ547" s="47">
        <v>602.779</v>
      </c>
      <c r="AK547" s="101" t="s">
        <v>65</v>
      </c>
      <c r="AL547" s="101" t="s">
        <v>55</v>
      </c>
      <c r="AM547" s="47" t="s">
        <v>298</v>
      </c>
      <c r="AN547" s="47"/>
      <c r="AO547" s="211">
        <f t="shared" si="140"/>
        <v>-1</v>
      </c>
      <c r="AP547" s="47" t="s">
        <v>57</v>
      </c>
      <c r="AQ547" s="47" t="s">
        <v>891</v>
      </c>
      <c r="AR547" s="47"/>
    </row>
    <row r="548" spans="1:44" hidden="1">
      <c r="A548" s="47" t="s">
        <v>44</v>
      </c>
      <c r="B548" s="47" t="str">
        <f t="shared" si="134"/>
        <v>July</v>
      </c>
      <c r="C548" s="59">
        <v>45479</v>
      </c>
      <c r="D548" s="47" t="s">
        <v>103</v>
      </c>
      <c r="E548" s="47" t="s">
        <v>156</v>
      </c>
      <c r="F548" s="47" t="s">
        <v>157</v>
      </c>
      <c r="G548" s="94" t="s">
        <v>3406</v>
      </c>
      <c r="H548" s="47" t="s">
        <v>3407</v>
      </c>
      <c r="I548" s="47" t="s">
        <v>50</v>
      </c>
      <c r="J548" s="47" t="s">
        <v>51</v>
      </c>
      <c r="K548" s="48">
        <v>45114</v>
      </c>
      <c r="L548" s="48">
        <v>45114</v>
      </c>
      <c r="M548" s="48">
        <v>45479</v>
      </c>
      <c r="N548" s="47" t="s">
        <v>52</v>
      </c>
      <c r="O548" s="101" t="s">
        <v>53</v>
      </c>
      <c r="P548" s="62">
        <v>8640</v>
      </c>
      <c r="Q548" s="62">
        <v>720</v>
      </c>
      <c r="R548" s="103">
        <v>8640</v>
      </c>
      <c r="S548" s="62">
        <f t="shared" si="135"/>
        <v>720</v>
      </c>
      <c r="T548" s="62">
        <v>8940</v>
      </c>
      <c r="U548" s="62">
        <f t="shared" si="145"/>
        <v>745</v>
      </c>
      <c r="V548" s="69">
        <v>8640</v>
      </c>
      <c r="W548" s="71">
        <v>780</v>
      </c>
      <c r="X548" s="71"/>
      <c r="Y548" s="71"/>
      <c r="Z548" s="64">
        <f t="shared" si="137"/>
        <v>4.6979865771812082E-2</v>
      </c>
      <c r="AA548" s="64">
        <f t="shared" si="143"/>
        <v>8.3333333333333329E-2</v>
      </c>
      <c r="AB548" s="71">
        <f>W548</f>
        <v>780</v>
      </c>
      <c r="AC548" s="64">
        <f t="shared" si="138"/>
        <v>4.6979865771812082E-2</v>
      </c>
      <c r="AD548" s="64">
        <f t="shared" si="129"/>
        <v>8.3333333333333329E-2</v>
      </c>
      <c r="AE548" s="71">
        <f t="shared" si="142"/>
        <v>780</v>
      </c>
      <c r="AF548" s="64">
        <f t="shared" si="139"/>
        <v>4.6979865771812082E-2</v>
      </c>
      <c r="AG548" s="64">
        <f t="shared" si="130"/>
        <v>8.3333333333333329E-2</v>
      </c>
      <c r="AH548" s="67"/>
      <c r="AI548" s="47" t="s">
        <v>54</v>
      </c>
      <c r="AJ548" s="47">
        <v>462.85</v>
      </c>
      <c r="AK548" s="101" t="s">
        <v>55</v>
      </c>
      <c r="AL548" s="101" t="s">
        <v>55</v>
      </c>
      <c r="AM548" s="47" t="s">
        <v>161</v>
      </c>
      <c r="AN548" s="47"/>
      <c r="AO548" s="211">
        <f t="shared" si="140"/>
        <v>-1</v>
      </c>
      <c r="AP548" s="47" t="s">
        <v>57</v>
      </c>
      <c r="AQ548" s="47" t="s">
        <v>891</v>
      </c>
      <c r="AR548" s="47"/>
    </row>
    <row r="549" spans="1:44" hidden="1">
      <c r="A549" s="47" t="s">
        <v>44</v>
      </c>
      <c r="B549" s="47" t="str">
        <f t="shared" si="134"/>
        <v>August</v>
      </c>
      <c r="C549" s="59">
        <v>45534</v>
      </c>
      <c r="D549" s="47" t="s">
        <v>103</v>
      </c>
      <c r="E549" s="47" t="s">
        <v>156</v>
      </c>
      <c r="F549" s="47" t="s">
        <v>157</v>
      </c>
      <c r="G549" s="91" t="s">
        <v>3581</v>
      </c>
      <c r="H549" s="47" t="s">
        <v>3582</v>
      </c>
      <c r="I549" s="47" t="s">
        <v>50</v>
      </c>
      <c r="J549" s="47" t="s">
        <v>51</v>
      </c>
      <c r="K549" s="48">
        <v>45169</v>
      </c>
      <c r="L549" s="48">
        <v>45169</v>
      </c>
      <c r="M549" s="48">
        <v>45534</v>
      </c>
      <c r="N549" s="47" t="s">
        <v>52</v>
      </c>
      <c r="O549" s="101" t="s">
        <v>53</v>
      </c>
      <c r="P549" s="62">
        <v>11520</v>
      </c>
      <c r="Q549" s="62">
        <v>960</v>
      </c>
      <c r="R549" s="103">
        <v>11520</v>
      </c>
      <c r="S549" s="62">
        <f t="shared" si="135"/>
        <v>960</v>
      </c>
      <c r="T549" s="62">
        <v>11640</v>
      </c>
      <c r="U549" s="62">
        <f t="shared" si="145"/>
        <v>970</v>
      </c>
      <c r="V549" s="69">
        <v>10740</v>
      </c>
      <c r="W549" s="71">
        <v>1015</v>
      </c>
      <c r="X549" s="71"/>
      <c r="Y549" s="71"/>
      <c r="Z549" s="64">
        <f t="shared" si="137"/>
        <v>4.6391752577319589E-2</v>
      </c>
      <c r="AA549" s="64">
        <f t="shared" si="143"/>
        <v>5.7291666666666664E-2</v>
      </c>
      <c r="AB549" s="71">
        <f>W549</f>
        <v>1015</v>
      </c>
      <c r="AC549" s="64">
        <f t="shared" si="138"/>
        <v>4.6391752577319589E-2</v>
      </c>
      <c r="AD549" s="64">
        <f t="shared" ref="AD549:AD612" si="146">(AB549-S549)/S549</f>
        <v>5.7291666666666664E-2</v>
      </c>
      <c r="AE549" s="71">
        <f t="shared" si="142"/>
        <v>1015</v>
      </c>
      <c r="AF549" s="64">
        <f t="shared" si="139"/>
        <v>4.6391752577319589E-2</v>
      </c>
      <c r="AG549" s="64">
        <f t="shared" ref="AG549:AG612" si="147">(AE549-S549)/S549</f>
        <v>5.7291666666666664E-2</v>
      </c>
      <c r="AH549" s="67"/>
      <c r="AI549" s="47" t="s">
        <v>54</v>
      </c>
      <c r="AJ549" s="47">
        <v>645.83000000000004</v>
      </c>
      <c r="AK549" s="55" t="s">
        <v>65</v>
      </c>
      <c r="AL549" s="55" t="s">
        <v>55</v>
      </c>
      <c r="AM549" s="47" t="s">
        <v>298</v>
      </c>
      <c r="AN549" s="47"/>
      <c r="AO549" s="211">
        <f t="shared" si="140"/>
        <v>-1</v>
      </c>
      <c r="AP549" s="47" t="s">
        <v>57</v>
      </c>
      <c r="AQ549" s="47" t="s">
        <v>131</v>
      </c>
      <c r="AR549" s="47"/>
    </row>
    <row r="550" spans="1:44" hidden="1">
      <c r="A550" s="47" t="s">
        <v>44</v>
      </c>
      <c r="B550" s="47" t="str">
        <f t="shared" si="134"/>
        <v>August</v>
      </c>
      <c r="C550" s="59">
        <v>45535</v>
      </c>
      <c r="D550" s="47" t="s">
        <v>103</v>
      </c>
      <c r="E550" s="47" t="s">
        <v>156</v>
      </c>
      <c r="F550" s="47" t="s">
        <v>157</v>
      </c>
      <c r="G550" s="91" t="s">
        <v>3792</v>
      </c>
      <c r="H550" s="47" t="s">
        <v>3793</v>
      </c>
      <c r="I550" s="47" t="s">
        <v>50</v>
      </c>
      <c r="J550" s="47" t="s">
        <v>51</v>
      </c>
      <c r="K550" s="48">
        <v>45170</v>
      </c>
      <c r="L550" s="48">
        <v>45170</v>
      </c>
      <c r="M550" s="48">
        <v>45535</v>
      </c>
      <c r="N550" s="47" t="s">
        <v>52</v>
      </c>
      <c r="O550" s="101" t="s">
        <v>53</v>
      </c>
      <c r="P550" s="62">
        <v>11280</v>
      </c>
      <c r="Q550" s="62">
        <v>940</v>
      </c>
      <c r="R550" s="103">
        <v>11280</v>
      </c>
      <c r="S550" s="62">
        <f t="shared" si="135"/>
        <v>940</v>
      </c>
      <c r="T550" s="62">
        <v>10440</v>
      </c>
      <c r="U550" s="62">
        <f t="shared" si="145"/>
        <v>870</v>
      </c>
      <c r="V550" s="69">
        <v>10200</v>
      </c>
      <c r="W550" s="71">
        <v>915</v>
      </c>
      <c r="X550" s="71"/>
      <c r="Y550" s="71"/>
      <c r="Z550" s="64">
        <f t="shared" si="137"/>
        <v>5.1724137931034482E-2</v>
      </c>
      <c r="AA550" s="64">
        <f t="shared" si="143"/>
        <v>-2.6595744680851064E-2</v>
      </c>
      <c r="AB550" s="71">
        <f>W550</f>
        <v>915</v>
      </c>
      <c r="AC550" s="64">
        <f t="shared" si="138"/>
        <v>5.1724137931034482E-2</v>
      </c>
      <c r="AD550" s="64">
        <f t="shared" si="146"/>
        <v>-2.6595744680851064E-2</v>
      </c>
      <c r="AE550" s="71">
        <f t="shared" si="142"/>
        <v>915</v>
      </c>
      <c r="AF550" s="64">
        <f t="shared" si="139"/>
        <v>5.1724137931034482E-2</v>
      </c>
      <c r="AG550" s="64">
        <f t="shared" si="147"/>
        <v>-2.6595744680851064E-2</v>
      </c>
      <c r="AH550" s="67"/>
      <c r="AI550" s="47" t="s">
        <v>54</v>
      </c>
      <c r="AJ550" s="47">
        <v>602.779</v>
      </c>
      <c r="AK550" s="55" t="s">
        <v>65</v>
      </c>
      <c r="AL550" s="55" t="s">
        <v>55</v>
      </c>
      <c r="AM550" s="47" t="s">
        <v>298</v>
      </c>
      <c r="AN550" s="47"/>
      <c r="AO550" s="211">
        <f t="shared" si="140"/>
        <v>-1</v>
      </c>
      <c r="AP550" s="47" t="s">
        <v>57</v>
      </c>
      <c r="AQ550" s="47" t="s">
        <v>131</v>
      </c>
      <c r="AR550" s="47"/>
    </row>
    <row r="551" spans="1:44">
      <c r="A551" s="47" t="s">
        <v>44</v>
      </c>
      <c r="B551" s="47" t="str">
        <f t="shared" si="134"/>
        <v>August</v>
      </c>
      <c r="C551" s="59">
        <v>45507</v>
      </c>
      <c r="D551" s="47" t="s">
        <v>209</v>
      </c>
      <c r="E551" s="47" t="s">
        <v>210</v>
      </c>
      <c r="F551" s="47" t="s">
        <v>211</v>
      </c>
      <c r="G551" s="47" t="s">
        <v>212</v>
      </c>
      <c r="H551" s="47" t="s">
        <v>213</v>
      </c>
      <c r="I551" s="47" t="s">
        <v>50</v>
      </c>
      <c r="J551" s="47" t="s">
        <v>51</v>
      </c>
      <c r="K551" s="48">
        <v>44412</v>
      </c>
      <c r="L551" s="48">
        <v>45142</v>
      </c>
      <c r="M551" s="48">
        <v>45507</v>
      </c>
      <c r="N551" s="47" t="s">
        <v>64</v>
      </c>
      <c r="O551" s="55" t="s">
        <v>53</v>
      </c>
      <c r="P551" s="62">
        <v>27144</v>
      </c>
      <c r="Q551" s="62">
        <v>2262</v>
      </c>
      <c r="R551" s="100"/>
      <c r="S551" s="62">
        <f t="shared" si="135"/>
        <v>0</v>
      </c>
      <c r="T551" s="62">
        <v>26700</v>
      </c>
      <c r="U551" s="62">
        <f t="shared" si="145"/>
        <v>2225</v>
      </c>
      <c r="V551" s="69">
        <v>25200</v>
      </c>
      <c r="W551" s="71">
        <v>2435</v>
      </c>
      <c r="X551" s="71"/>
      <c r="Y551" s="71"/>
      <c r="Z551" s="64">
        <f t="shared" si="137"/>
        <v>9.4382022471910118E-2</v>
      </c>
      <c r="AA551" s="64" t="e">
        <f t="shared" si="143"/>
        <v>#DIV/0!</v>
      </c>
      <c r="AB551" s="71">
        <v>2375</v>
      </c>
      <c r="AC551" s="64">
        <f t="shared" si="138"/>
        <v>6.741573033707865E-2</v>
      </c>
      <c r="AD551" s="64" t="e">
        <f t="shared" si="146"/>
        <v>#DIV/0!</v>
      </c>
      <c r="AE551" s="71">
        <v>2345</v>
      </c>
      <c r="AF551" s="64">
        <f t="shared" si="139"/>
        <v>5.3932584269662923E-2</v>
      </c>
      <c r="AG551" s="64" t="e">
        <f t="shared" si="147"/>
        <v>#DIV/0!</v>
      </c>
      <c r="AH551" s="67"/>
      <c r="AI551" s="47" t="s">
        <v>54</v>
      </c>
      <c r="AJ551" s="47">
        <v>829</v>
      </c>
      <c r="AK551" s="47" t="s">
        <v>65</v>
      </c>
      <c r="AL551" s="47" t="s">
        <v>65</v>
      </c>
      <c r="AM551" s="47" t="s">
        <v>214</v>
      </c>
      <c r="AN551" s="47">
        <v>2375</v>
      </c>
      <c r="AO551" s="211">
        <f t="shared" si="140"/>
        <v>6.741573033707865E-2</v>
      </c>
      <c r="AP551" s="47" t="s">
        <v>90</v>
      </c>
      <c r="AQ551" s="91" t="s">
        <v>58</v>
      </c>
      <c r="AR551" s="47"/>
    </row>
    <row r="552" spans="1:44">
      <c r="A552" s="47" t="s">
        <v>44</v>
      </c>
      <c r="B552" s="47" t="str">
        <f t="shared" si="134"/>
        <v>August</v>
      </c>
      <c r="C552" s="59">
        <v>45506</v>
      </c>
      <c r="D552" s="47" t="s">
        <v>209</v>
      </c>
      <c r="E552" s="47" t="s">
        <v>210</v>
      </c>
      <c r="F552" s="47" t="s">
        <v>211</v>
      </c>
      <c r="G552" s="47" t="s">
        <v>961</v>
      </c>
      <c r="H552" s="47" t="s">
        <v>962</v>
      </c>
      <c r="I552" s="47" t="s">
        <v>50</v>
      </c>
      <c r="J552" s="47" t="s">
        <v>51</v>
      </c>
      <c r="K552" s="48">
        <v>44776</v>
      </c>
      <c r="L552" s="48">
        <v>45141</v>
      </c>
      <c r="M552" s="48">
        <v>45506</v>
      </c>
      <c r="N552" s="47" t="s">
        <v>64</v>
      </c>
      <c r="O552" s="55" t="s">
        <v>53</v>
      </c>
      <c r="P552" s="62">
        <v>26832</v>
      </c>
      <c r="Q552" s="62">
        <v>2236</v>
      </c>
      <c r="R552" s="100"/>
      <c r="S552" s="62">
        <f t="shared" si="135"/>
        <v>0</v>
      </c>
      <c r="T552" s="62">
        <v>26340</v>
      </c>
      <c r="U552" s="62">
        <f t="shared" si="145"/>
        <v>2195</v>
      </c>
      <c r="V552" s="69">
        <v>24600</v>
      </c>
      <c r="W552" s="71">
        <v>2400</v>
      </c>
      <c r="X552" s="71"/>
      <c r="Y552" s="71"/>
      <c r="Z552" s="64">
        <f t="shared" si="137"/>
        <v>9.3394077448747156E-2</v>
      </c>
      <c r="AA552" s="64" t="e">
        <f t="shared" si="143"/>
        <v>#DIV/0!</v>
      </c>
      <c r="AB552" s="71">
        <v>2350</v>
      </c>
      <c r="AC552" s="64">
        <f t="shared" si="138"/>
        <v>7.0615034168564919E-2</v>
      </c>
      <c r="AD552" s="64" t="e">
        <f t="shared" si="146"/>
        <v>#DIV/0!</v>
      </c>
      <c r="AE552" s="71">
        <v>2335</v>
      </c>
      <c r="AF552" s="64">
        <f t="shared" si="139"/>
        <v>6.3781321184510256E-2</v>
      </c>
      <c r="AG552" s="64" t="e">
        <f t="shared" si="147"/>
        <v>#DIV/0!</v>
      </c>
      <c r="AH552" s="67"/>
      <c r="AI552" s="47" t="s">
        <v>54</v>
      </c>
      <c r="AJ552" s="47">
        <v>793</v>
      </c>
      <c r="AK552" s="47" t="s">
        <v>65</v>
      </c>
      <c r="AL552" s="47" t="s">
        <v>65</v>
      </c>
      <c r="AM552" s="47" t="s">
        <v>963</v>
      </c>
      <c r="AN552" s="47"/>
      <c r="AO552" s="211">
        <f t="shared" si="140"/>
        <v>-1</v>
      </c>
      <c r="AP552" s="47" t="s">
        <v>90</v>
      </c>
      <c r="AQ552" s="91" t="s">
        <v>116</v>
      </c>
      <c r="AR552" s="47"/>
    </row>
    <row r="553" spans="1:44" hidden="1">
      <c r="A553" s="47" t="s">
        <v>44</v>
      </c>
      <c r="B553" s="47" t="str">
        <f t="shared" si="134"/>
        <v>August</v>
      </c>
      <c r="C553" s="59">
        <v>45507</v>
      </c>
      <c r="D553" s="47" t="s">
        <v>209</v>
      </c>
      <c r="E553" s="47" t="s">
        <v>210</v>
      </c>
      <c r="F553" s="47" t="s">
        <v>211</v>
      </c>
      <c r="G553" s="47" t="s">
        <v>1030</v>
      </c>
      <c r="H553" s="47" t="s">
        <v>1031</v>
      </c>
      <c r="I553" s="47" t="s">
        <v>50</v>
      </c>
      <c r="J553" s="47" t="s">
        <v>51</v>
      </c>
      <c r="K553" s="48">
        <v>45142</v>
      </c>
      <c r="L553" s="48">
        <v>45142</v>
      </c>
      <c r="M553" s="48">
        <v>45507</v>
      </c>
      <c r="N553" s="47" t="s">
        <v>52</v>
      </c>
      <c r="O553" s="55" t="s">
        <v>53</v>
      </c>
      <c r="P553" s="62">
        <v>37856</v>
      </c>
      <c r="Q553" s="62">
        <v>3154.6666666666665</v>
      </c>
      <c r="R553" s="100"/>
      <c r="S553" s="62">
        <f t="shared" si="135"/>
        <v>0</v>
      </c>
      <c r="T553" s="62">
        <v>37620</v>
      </c>
      <c r="U553" s="62">
        <f t="shared" si="145"/>
        <v>3135</v>
      </c>
      <c r="V553" s="69">
        <v>36701.160000000003</v>
      </c>
      <c r="W553" s="71">
        <v>3385</v>
      </c>
      <c r="X553" s="71"/>
      <c r="Y553" s="71"/>
      <c r="Z553" s="64">
        <f t="shared" si="137"/>
        <v>7.9744816586921854E-2</v>
      </c>
      <c r="AA553" s="64" t="e">
        <f t="shared" si="143"/>
        <v>#DIV/0!</v>
      </c>
      <c r="AB553" s="71">
        <v>3250</v>
      </c>
      <c r="AC553" s="64">
        <f t="shared" si="138"/>
        <v>3.6682615629984053E-2</v>
      </c>
      <c r="AD553" s="64" t="e">
        <f t="shared" si="146"/>
        <v>#DIV/0!</v>
      </c>
      <c r="AE553" s="71">
        <v>3200</v>
      </c>
      <c r="AF553" s="64">
        <f t="shared" si="139"/>
        <v>2.0733652312599681E-2</v>
      </c>
      <c r="AG553" s="64" t="e">
        <f t="shared" si="147"/>
        <v>#DIV/0!</v>
      </c>
      <c r="AH553" s="67"/>
      <c r="AI553" s="47" t="s">
        <v>54</v>
      </c>
      <c r="AJ553" s="47">
        <v>1100</v>
      </c>
      <c r="AK553" s="47" t="s">
        <v>140</v>
      </c>
      <c r="AL553" s="47" t="s">
        <v>65</v>
      </c>
      <c r="AM553" s="47" t="s">
        <v>1032</v>
      </c>
      <c r="AN553" s="47"/>
      <c r="AO553" s="211">
        <f t="shared" si="140"/>
        <v>-1</v>
      </c>
      <c r="AP553" s="47" t="s">
        <v>90</v>
      </c>
      <c r="AQ553" s="91" t="s">
        <v>116</v>
      </c>
      <c r="AR553" s="47"/>
    </row>
    <row r="554" spans="1:44" hidden="1">
      <c r="A554" s="47" t="s">
        <v>44</v>
      </c>
      <c r="B554" s="47" t="str">
        <f t="shared" si="134"/>
        <v>August</v>
      </c>
      <c r="C554" s="59">
        <v>45510</v>
      </c>
      <c r="D554" s="47" t="s">
        <v>209</v>
      </c>
      <c r="E554" s="47" t="s">
        <v>210</v>
      </c>
      <c r="F554" s="47" t="s">
        <v>211</v>
      </c>
      <c r="G554" s="47" t="s">
        <v>1221</v>
      </c>
      <c r="H554" s="47" t="s">
        <v>1222</v>
      </c>
      <c r="I554" s="47" t="s">
        <v>50</v>
      </c>
      <c r="J554" s="47" t="s">
        <v>51</v>
      </c>
      <c r="K554" s="48">
        <v>45145</v>
      </c>
      <c r="L554" s="48">
        <v>45145</v>
      </c>
      <c r="M554" s="48">
        <v>45510</v>
      </c>
      <c r="N554" s="47" t="s">
        <v>52</v>
      </c>
      <c r="O554" s="55" t="s">
        <v>53</v>
      </c>
      <c r="P554" s="62">
        <v>26832</v>
      </c>
      <c r="Q554" s="62">
        <v>2236</v>
      </c>
      <c r="R554" s="100"/>
      <c r="S554" s="62">
        <f t="shared" si="135"/>
        <v>0</v>
      </c>
      <c r="T554" s="62">
        <v>26160</v>
      </c>
      <c r="U554" s="62">
        <f t="shared" si="145"/>
        <v>2180</v>
      </c>
      <c r="V554" s="69">
        <v>24000</v>
      </c>
      <c r="W554" s="71">
        <v>2350</v>
      </c>
      <c r="X554" s="71"/>
      <c r="Y554" s="71"/>
      <c r="Z554" s="64">
        <f t="shared" si="137"/>
        <v>7.7981651376146793E-2</v>
      </c>
      <c r="AA554" s="64" t="e">
        <f t="shared" si="143"/>
        <v>#DIV/0!</v>
      </c>
      <c r="AB554" s="71">
        <v>2350</v>
      </c>
      <c r="AC554" s="64">
        <f t="shared" si="138"/>
        <v>7.7981651376146793E-2</v>
      </c>
      <c r="AD554" s="64" t="e">
        <f t="shared" si="146"/>
        <v>#DIV/0!</v>
      </c>
      <c r="AE554" s="71">
        <v>2325</v>
      </c>
      <c r="AF554" s="64">
        <f t="shared" si="139"/>
        <v>6.6513761467889912E-2</v>
      </c>
      <c r="AG554" s="64" t="e">
        <f t="shared" si="147"/>
        <v>#DIV/0!</v>
      </c>
      <c r="AH554" s="67"/>
      <c r="AI554" s="47" t="s">
        <v>54</v>
      </c>
      <c r="AJ554" s="47">
        <v>793</v>
      </c>
      <c r="AK554" s="47" t="s">
        <v>65</v>
      </c>
      <c r="AL554" s="47" t="s">
        <v>65</v>
      </c>
      <c r="AM554" s="47" t="s">
        <v>1223</v>
      </c>
      <c r="AN554" s="47"/>
      <c r="AO554" s="211">
        <f t="shared" si="140"/>
        <v>-1</v>
      </c>
      <c r="AP554" s="47" t="s">
        <v>90</v>
      </c>
      <c r="AQ554" s="91" t="s">
        <v>116</v>
      </c>
      <c r="AR554" s="47"/>
    </row>
    <row r="555" spans="1:44" hidden="1">
      <c r="A555" s="47" t="s">
        <v>44</v>
      </c>
      <c r="B555" s="47" t="str">
        <f t="shared" si="134"/>
        <v>August</v>
      </c>
      <c r="C555" s="59">
        <v>45511</v>
      </c>
      <c r="D555" s="47" t="s">
        <v>209</v>
      </c>
      <c r="E555" s="47" t="s">
        <v>210</v>
      </c>
      <c r="F555" s="47" t="s">
        <v>211</v>
      </c>
      <c r="G555" s="47" t="s">
        <v>1320</v>
      </c>
      <c r="H555" s="47" t="s">
        <v>1321</v>
      </c>
      <c r="I555" s="47" t="s">
        <v>50</v>
      </c>
      <c r="J555" s="47" t="s">
        <v>51</v>
      </c>
      <c r="K555" s="48">
        <v>45146</v>
      </c>
      <c r="L555" s="48">
        <v>45146</v>
      </c>
      <c r="M555" s="48">
        <v>45511</v>
      </c>
      <c r="N555" s="47" t="s">
        <v>52</v>
      </c>
      <c r="O555" s="55" t="s">
        <v>53</v>
      </c>
      <c r="P555" s="62">
        <v>26832</v>
      </c>
      <c r="Q555" s="62">
        <v>2236</v>
      </c>
      <c r="R555" s="100"/>
      <c r="S555" s="62">
        <f t="shared" si="135"/>
        <v>0</v>
      </c>
      <c r="T555" s="62">
        <v>27600</v>
      </c>
      <c r="U555" s="62">
        <f t="shared" si="145"/>
        <v>2300</v>
      </c>
      <c r="V555" s="69">
        <v>25500</v>
      </c>
      <c r="W555" s="71">
        <v>2395</v>
      </c>
      <c r="X555" s="71"/>
      <c r="Y555" s="71"/>
      <c r="Z555" s="64">
        <f t="shared" si="137"/>
        <v>4.1304347826086954E-2</v>
      </c>
      <c r="AA555" s="64" t="e">
        <f t="shared" si="143"/>
        <v>#DIV/0!</v>
      </c>
      <c r="AB555" s="71">
        <v>2425</v>
      </c>
      <c r="AC555" s="64">
        <f t="shared" si="138"/>
        <v>5.434782608695652E-2</v>
      </c>
      <c r="AD555" s="64" t="e">
        <f t="shared" si="146"/>
        <v>#DIV/0!</v>
      </c>
      <c r="AE555" s="71">
        <v>2385</v>
      </c>
      <c r="AF555" s="64">
        <f t="shared" si="139"/>
        <v>3.6956521739130437E-2</v>
      </c>
      <c r="AG555" s="64" t="e">
        <f t="shared" si="147"/>
        <v>#DIV/0!</v>
      </c>
      <c r="AH555" s="67"/>
      <c r="AI555" s="47" t="s">
        <v>54</v>
      </c>
      <c r="AJ555" s="47">
        <v>776</v>
      </c>
      <c r="AK555" s="47" t="s">
        <v>65</v>
      </c>
      <c r="AL555" s="47" t="s">
        <v>65</v>
      </c>
      <c r="AM555" s="47" t="s">
        <v>1322</v>
      </c>
      <c r="AN555" s="47"/>
      <c r="AO555" s="211">
        <f t="shared" si="140"/>
        <v>-1</v>
      </c>
      <c r="AP555" s="47" t="s">
        <v>90</v>
      </c>
      <c r="AQ555" s="91" t="s">
        <v>116</v>
      </c>
      <c r="AR555" s="47"/>
    </row>
    <row r="556" spans="1:44" hidden="1">
      <c r="A556" s="47" t="s">
        <v>44</v>
      </c>
      <c r="B556" s="47" t="str">
        <f t="shared" si="134"/>
        <v>August</v>
      </c>
      <c r="C556" s="59">
        <v>45511</v>
      </c>
      <c r="D556" s="47" t="s">
        <v>209</v>
      </c>
      <c r="E556" s="47" t="s">
        <v>210</v>
      </c>
      <c r="F556" s="47" t="s">
        <v>211</v>
      </c>
      <c r="G556" s="47" t="s">
        <v>1323</v>
      </c>
      <c r="H556" s="47" t="s">
        <v>1324</v>
      </c>
      <c r="I556" s="47" t="s">
        <v>50</v>
      </c>
      <c r="J556" s="47" t="s">
        <v>51</v>
      </c>
      <c r="K556" s="48">
        <v>45146</v>
      </c>
      <c r="L556" s="48">
        <v>45146</v>
      </c>
      <c r="M556" s="48">
        <v>45511</v>
      </c>
      <c r="N556" s="47" t="s">
        <v>52</v>
      </c>
      <c r="O556" s="55" t="s">
        <v>53</v>
      </c>
      <c r="P556" s="62">
        <v>22724</v>
      </c>
      <c r="Q556" s="62">
        <v>1893.6666666666667</v>
      </c>
      <c r="R556" s="100"/>
      <c r="S556" s="62">
        <f t="shared" si="135"/>
        <v>0</v>
      </c>
      <c r="T556" s="62">
        <v>22920</v>
      </c>
      <c r="U556" s="62">
        <f t="shared" si="145"/>
        <v>1910</v>
      </c>
      <c r="V556" s="69">
        <v>20280</v>
      </c>
      <c r="W556" s="71">
        <v>2000</v>
      </c>
      <c r="X556" s="71"/>
      <c r="Y556" s="71"/>
      <c r="Z556" s="64">
        <f t="shared" si="137"/>
        <v>4.712041884816754E-2</v>
      </c>
      <c r="AA556" s="64" t="e">
        <f t="shared" si="143"/>
        <v>#DIV/0!</v>
      </c>
      <c r="AB556" s="71">
        <v>1950</v>
      </c>
      <c r="AC556" s="64">
        <f t="shared" si="138"/>
        <v>2.0942408376963352E-2</v>
      </c>
      <c r="AD556" s="64" t="e">
        <f t="shared" si="146"/>
        <v>#DIV/0!</v>
      </c>
      <c r="AE556" s="71">
        <v>1940</v>
      </c>
      <c r="AF556" s="64">
        <f t="shared" si="139"/>
        <v>1.5706806282722512E-2</v>
      </c>
      <c r="AG556" s="64" t="e">
        <f t="shared" si="147"/>
        <v>#DIV/0!</v>
      </c>
      <c r="AH556" s="67"/>
      <c r="AI556" s="47" t="s">
        <v>54</v>
      </c>
      <c r="AJ556" s="47">
        <v>546</v>
      </c>
      <c r="AK556" s="47" t="s">
        <v>55</v>
      </c>
      <c r="AL556" s="47" t="s">
        <v>55</v>
      </c>
      <c r="AM556" s="47" t="s">
        <v>1325</v>
      </c>
      <c r="AN556" s="47"/>
      <c r="AO556" s="211">
        <f t="shared" si="140"/>
        <v>-1</v>
      </c>
      <c r="AP556" s="47" t="s">
        <v>90</v>
      </c>
      <c r="AQ556" s="91" t="s">
        <v>116</v>
      </c>
      <c r="AR556" s="47"/>
    </row>
    <row r="557" spans="1:44" hidden="1">
      <c r="A557" s="47" t="s">
        <v>44</v>
      </c>
      <c r="B557" s="47" t="str">
        <f t="shared" si="134"/>
        <v>August</v>
      </c>
      <c r="C557" s="59">
        <v>45517</v>
      </c>
      <c r="D557" s="47" t="s">
        <v>209</v>
      </c>
      <c r="E557" s="47" t="s">
        <v>210</v>
      </c>
      <c r="F557" s="47" t="s">
        <v>211</v>
      </c>
      <c r="G557" s="47" t="s">
        <v>1801</v>
      </c>
      <c r="H557" s="47" t="s">
        <v>1802</v>
      </c>
      <c r="I557" s="47" t="s">
        <v>50</v>
      </c>
      <c r="J557" s="47" t="s">
        <v>51</v>
      </c>
      <c r="K557" s="48">
        <v>45152</v>
      </c>
      <c r="L557" s="48">
        <v>45152</v>
      </c>
      <c r="M557" s="48">
        <v>45517</v>
      </c>
      <c r="N557" s="47" t="s">
        <v>52</v>
      </c>
      <c r="O557" s="55" t="s">
        <v>53</v>
      </c>
      <c r="P557" s="62">
        <v>27144</v>
      </c>
      <c r="Q557" s="62">
        <v>2262</v>
      </c>
      <c r="R557" s="100"/>
      <c r="S557" s="62">
        <f t="shared" si="135"/>
        <v>0</v>
      </c>
      <c r="T557" s="62">
        <v>27120</v>
      </c>
      <c r="U557" s="62">
        <f t="shared" si="145"/>
        <v>2260</v>
      </c>
      <c r="V557" s="69">
        <v>25200</v>
      </c>
      <c r="W557" s="71">
        <v>2440</v>
      </c>
      <c r="X557" s="71"/>
      <c r="Y557" s="71"/>
      <c r="Z557" s="64">
        <f t="shared" si="137"/>
        <v>7.9646017699115043E-2</v>
      </c>
      <c r="AA557" s="64" t="e">
        <f t="shared" si="143"/>
        <v>#DIV/0!</v>
      </c>
      <c r="AB557" s="71">
        <v>2375</v>
      </c>
      <c r="AC557" s="64">
        <f t="shared" si="138"/>
        <v>5.0884955752212392E-2</v>
      </c>
      <c r="AD557" s="64" t="e">
        <f t="shared" si="146"/>
        <v>#DIV/0!</v>
      </c>
      <c r="AE557" s="71">
        <v>2350</v>
      </c>
      <c r="AF557" s="64">
        <f t="shared" si="139"/>
        <v>3.9823008849557522E-2</v>
      </c>
      <c r="AG557" s="64" t="e">
        <f t="shared" si="147"/>
        <v>#DIV/0!</v>
      </c>
      <c r="AH557" s="67"/>
      <c r="AI557" s="47" t="s">
        <v>54</v>
      </c>
      <c r="AJ557" s="47">
        <v>829</v>
      </c>
      <c r="AK557" s="47" t="s">
        <v>65</v>
      </c>
      <c r="AL557" s="47" t="s">
        <v>65</v>
      </c>
      <c r="AM557" s="47" t="s">
        <v>1803</v>
      </c>
      <c r="AN557" s="47"/>
      <c r="AO557" s="211">
        <f t="shared" si="140"/>
        <v>-1</v>
      </c>
      <c r="AP557" s="47" t="s">
        <v>90</v>
      </c>
      <c r="AQ557" s="91" t="s">
        <v>116</v>
      </c>
      <c r="AR557" s="47"/>
    </row>
    <row r="558" spans="1:44" hidden="1">
      <c r="A558" s="47" t="s">
        <v>44</v>
      </c>
      <c r="B558" s="47" t="str">
        <f t="shared" si="134"/>
        <v>August</v>
      </c>
      <c r="C558" s="59">
        <v>45517</v>
      </c>
      <c r="D558" s="47" t="s">
        <v>209</v>
      </c>
      <c r="E558" s="47" t="s">
        <v>210</v>
      </c>
      <c r="F558" s="47" t="s">
        <v>211</v>
      </c>
      <c r="G558" s="47" t="s">
        <v>1804</v>
      </c>
      <c r="H558" s="47" t="s">
        <v>1805</v>
      </c>
      <c r="I558" s="47" t="s">
        <v>50</v>
      </c>
      <c r="J558" s="47" t="s">
        <v>51</v>
      </c>
      <c r="K558" s="48">
        <v>45152</v>
      </c>
      <c r="L558" s="48">
        <v>45152</v>
      </c>
      <c r="M558" s="48">
        <v>45517</v>
      </c>
      <c r="N558" s="47" t="s">
        <v>52</v>
      </c>
      <c r="O558" s="55" t="s">
        <v>53</v>
      </c>
      <c r="P558" s="62">
        <v>22724</v>
      </c>
      <c r="Q558" s="62">
        <v>1893.6666666666667</v>
      </c>
      <c r="R558" s="100"/>
      <c r="S558" s="62">
        <f t="shared" si="135"/>
        <v>0</v>
      </c>
      <c r="T558" s="62">
        <v>22560</v>
      </c>
      <c r="U558" s="62">
        <f t="shared" si="145"/>
        <v>1880</v>
      </c>
      <c r="V558" s="69">
        <v>21300</v>
      </c>
      <c r="W558" s="71">
        <v>2030</v>
      </c>
      <c r="X558" s="71"/>
      <c r="Y558" s="71"/>
      <c r="Z558" s="64">
        <f t="shared" si="137"/>
        <v>7.9787234042553196E-2</v>
      </c>
      <c r="AA558" s="64" t="e">
        <f t="shared" si="143"/>
        <v>#DIV/0!</v>
      </c>
      <c r="AB558" s="71">
        <v>1950</v>
      </c>
      <c r="AC558" s="64">
        <f t="shared" si="138"/>
        <v>3.7234042553191488E-2</v>
      </c>
      <c r="AD558" s="64" t="e">
        <f t="shared" si="146"/>
        <v>#DIV/0!</v>
      </c>
      <c r="AE558" s="71">
        <v>1940</v>
      </c>
      <c r="AF558" s="64">
        <f t="shared" si="139"/>
        <v>3.1914893617021274E-2</v>
      </c>
      <c r="AG558" s="64" t="e">
        <f t="shared" si="147"/>
        <v>#DIV/0!</v>
      </c>
      <c r="AH558" s="67"/>
      <c r="AI558" s="47" t="s">
        <v>54</v>
      </c>
      <c r="AJ558" s="47">
        <v>545</v>
      </c>
      <c r="AK558" s="47" t="s">
        <v>55</v>
      </c>
      <c r="AL558" s="47" t="s">
        <v>55</v>
      </c>
      <c r="AM558" s="47" t="s">
        <v>1806</v>
      </c>
      <c r="AN558" s="47">
        <v>1930</v>
      </c>
      <c r="AO558" s="211">
        <f t="shared" si="140"/>
        <v>2.6595744680851064E-2</v>
      </c>
      <c r="AP558" s="47" t="s">
        <v>90</v>
      </c>
      <c r="AQ558" s="91" t="s">
        <v>116</v>
      </c>
      <c r="AR558" s="47"/>
    </row>
    <row r="559" spans="1:44" hidden="1">
      <c r="A559" s="47" t="s">
        <v>44</v>
      </c>
      <c r="B559" s="47" t="str">
        <f t="shared" si="134"/>
        <v>August</v>
      </c>
      <c r="C559" s="59">
        <v>45518</v>
      </c>
      <c r="D559" s="47" t="s">
        <v>209</v>
      </c>
      <c r="E559" s="47" t="s">
        <v>210</v>
      </c>
      <c r="F559" s="47" t="s">
        <v>211</v>
      </c>
      <c r="G559" s="47" t="s">
        <v>1905</v>
      </c>
      <c r="H559" s="47" t="s">
        <v>1906</v>
      </c>
      <c r="I559" s="47" t="s">
        <v>50</v>
      </c>
      <c r="J559" s="47" t="s">
        <v>51</v>
      </c>
      <c r="K559" s="48">
        <v>45153</v>
      </c>
      <c r="L559" s="48">
        <v>45153</v>
      </c>
      <c r="M559" s="48">
        <v>45518</v>
      </c>
      <c r="N559" s="47" t="s">
        <v>52</v>
      </c>
      <c r="O559" s="55" t="s">
        <v>53</v>
      </c>
      <c r="P559" s="62">
        <v>22724</v>
      </c>
      <c r="Q559" s="62">
        <v>1893.6666666666667</v>
      </c>
      <c r="R559" s="100"/>
      <c r="S559" s="62">
        <f t="shared" si="135"/>
        <v>0</v>
      </c>
      <c r="T559" s="62">
        <v>23340</v>
      </c>
      <c r="U559" s="62">
        <f t="shared" si="145"/>
        <v>1945</v>
      </c>
      <c r="V559" s="69">
        <v>21780</v>
      </c>
      <c r="W559" s="71">
        <v>2020</v>
      </c>
      <c r="X559" s="71"/>
      <c r="Y559" s="71"/>
      <c r="Z559" s="64">
        <f t="shared" si="137"/>
        <v>3.8560411311053984E-2</v>
      </c>
      <c r="AA559" s="64" t="e">
        <f t="shared" si="143"/>
        <v>#DIV/0!</v>
      </c>
      <c r="AB559" s="71">
        <v>1985</v>
      </c>
      <c r="AC559" s="64">
        <f t="shared" si="138"/>
        <v>2.056555269922879E-2</v>
      </c>
      <c r="AD559" s="64" t="e">
        <f t="shared" si="146"/>
        <v>#DIV/0!</v>
      </c>
      <c r="AE559" s="71">
        <v>1970</v>
      </c>
      <c r="AF559" s="64">
        <f t="shared" si="139"/>
        <v>1.2853470437017995E-2</v>
      </c>
      <c r="AG559" s="64" t="e">
        <f t="shared" si="147"/>
        <v>#DIV/0!</v>
      </c>
      <c r="AH559" s="67"/>
      <c r="AI559" s="47" t="s">
        <v>54</v>
      </c>
      <c r="AJ559" s="47">
        <v>546</v>
      </c>
      <c r="AK559" s="47" t="s">
        <v>55</v>
      </c>
      <c r="AL559" s="47" t="s">
        <v>55</v>
      </c>
      <c r="AM559" s="47" t="s">
        <v>1907</v>
      </c>
      <c r="AN559" s="47"/>
      <c r="AO559" s="211">
        <f t="shared" si="140"/>
        <v>-1</v>
      </c>
      <c r="AP559" s="47" t="s">
        <v>90</v>
      </c>
      <c r="AQ559" s="91" t="s">
        <v>116</v>
      </c>
      <c r="AR559" s="47"/>
    </row>
    <row r="560" spans="1:44">
      <c r="A560" s="47" t="s">
        <v>44</v>
      </c>
      <c r="B560" s="47" t="str">
        <f t="shared" si="134"/>
        <v>August</v>
      </c>
      <c r="C560" s="59">
        <v>45520</v>
      </c>
      <c r="D560" s="47" t="s">
        <v>209</v>
      </c>
      <c r="E560" s="47" t="s">
        <v>210</v>
      </c>
      <c r="F560" s="47" t="s">
        <v>211</v>
      </c>
      <c r="G560" s="47" t="s">
        <v>2064</v>
      </c>
      <c r="H560" s="47" t="s">
        <v>2065</v>
      </c>
      <c r="I560" s="47" t="s">
        <v>50</v>
      </c>
      <c r="J560" s="47" t="s">
        <v>51</v>
      </c>
      <c r="K560" s="48">
        <v>44790</v>
      </c>
      <c r="L560" s="48">
        <v>45155</v>
      </c>
      <c r="M560" s="48">
        <v>45520</v>
      </c>
      <c r="N560" s="47" t="s">
        <v>64</v>
      </c>
      <c r="O560" s="55" t="s">
        <v>53</v>
      </c>
      <c r="P560" s="62">
        <v>27144</v>
      </c>
      <c r="Q560" s="62">
        <v>2262</v>
      </c>
      <c r="R560" s="100"/>
      <c r="S560" s="62">
        <f t="shared" si="135"/>
        <v>0</v>
      </c>
      <c r="T560" s="62">
        <v>26700</v>
      </c>
      <c r="U560" s="62">
        <f t="shared" si="145"/>
        <v>2225</v>
      </c>
      <c r="V560" s="69">
        <v>25620</v>
      </c>
      <c r="W560" s="71">
        <v>2430</v>
      </c>
      <c r="X560" s="71"/>
      <c r="Y560" s="71"/>
      <c r="Z560" s="64">
        <f t="shared" si="137"/>
        <v>9.2134831460674152E-2</v>
      </c>
      <c r="AA560" s="64" t="e">
        <f t="shared" si="143"/>
        <v>#DIV/0!</v>
      </c>
      <c r="AB560" s="71">
        <v>2375</v>
      </c>
      <c r="AC560" s="64">
        <f t="shared" si="138"/>
        <v>6.741573033707865E-2</v>
      </c>
      <c r="AD560" s="64" t="e">
        <f t="shared" si="146"/>
        <v>#DIV/0!</v>
      </c>
      <c r="AE560" s="71">
        <v>2345</v>
      </c>
      <c r="AF560" s="64">
        <f t="shared" si="139"/>
        <v>5.3932584269662923E-2</v>
      </c>
      <c r="AG560" s="64" t="e">
        <f t="shared" si="147"/>
        <v>#DIV/0!</v>
      </c>
      <c r="AH560" s="67"/>
      <c r="AI560" s="47" t="s">
        <v>54</v>
      </c>
      <c r="AJ560" s="47">
        <v>829</v>
      </c>
      <c r="AK560" s="47" t="s">
        <v>65</v>
      </c>
      <c r="AL560" s="47" t="s">
        <v>65</v>
      </c>
      <c r="AM560" s="47" t="s">
        <v>2066</v>
      </c>
      <c r="AN560" s="47">
        <v>2345</v>
      </c>
      <c r="AO560" s="211">
        <f t="shared" si="140"/>
        <v>5.3932584269662923E-2</v>
      </c>
      <c r="AP560" s="47" t="s">
        <v>90</v>
      </c>
      <c r="AQ560" s="91" t="s">
        <v>116</v>
      </c>
      <c r="AR560" s="47"/>
    </row>
    <row r="561" spans="1:44">
      <c r="A561" s="47" t="s">
        <v>44</v>
      </c>
      <c r="B561" s="47" t="str">
        <f t="shared" si="134"/>
        <v>July</v>
      </c>
      <c r="C561" s="59">
        <v>45502</v>
      </c>
      <c r="D561" s="47" t="s">
        <v>209</v>
      </c>
      <c r="E561" s="47" t="s">
        <v>210</v>
      </c>
      <c r="F561" s="47" t="s">
        <v>211</v>
      </c>
      <c r="G561" s="47" t="s">
        <v>2554</v>
      </c>
      <c r="H561" s="47" t="s">
        <v>2555</v>
      </c>
      <c r="I561" s="47" t="s">
        <v>50</v>
      </c>
      <c r="J561" s="47" t="s">
        <v>51</v>
      </c>
      <c r="K561" s="48">
        <v>44408</v>
      </c>
      <c r="L561" s="48">
        <v>45137</v>
      </c>
      <c r="M561" s="48">
        <v>45502</v>
      </c>
      <c r="N561" s="47" t="s">
        <v>64</v>
      </c>
      <c r="O561" s="55" t="s">
        <v>53</v>
      </c>
      <c r="P561" s="62">
        <v>26832</v>
      </c>
      <c r="Q561" s="62">
        <v>2236</v>
      </c>
      <c r="R561" s="100"/>
      <c r="S561" s="62">
        <f t="shared" si="135"/>
        <v>0</v>
      </c>
      <c r="T561" s="62">
        <v>25140</v>
      </c>
      <c r="U561" s="62">
        <f t="shared" si="145"/>
        <v>2095</v>
      </c>
      <c r="V561" s="69">
        <v>23100</v>
      </c>
      <c r="W561" s="71">
        <v>2365</v>
      </c>
      <c r="X561" s="71"/>
      <c r="Y561" s="71"/>
      <c r="Z561" s="64">
        <f t="shared" si="137"/>
        <v>0.12887828162291171</v>
      </c>
      <c r="AA561" s="64" t="e">
        <f t="shared" si="143"/>
        <v>#DIV/0!</v>
      </c>
      <c r="AB561" s="71">
        <v>2325</v>
      </c>
      <c r="AC561" s="64">
        <f t="shared" si="138"/>
        <v>0.10978520286396182</v>
      </c>
      <c r="AD561" s="64" t="e">
        <f t="shared" si="146"/>
        <v>#DIV/0!</v>
      </c>
      <c r="AE561" s="71">
        <v>2295</v>
      </c>
      <c r="AF561" s="64">
        <f t="shared" si="139"/>
        <v>9.5465393794749401E-2</v>
      </c>
      <c r="AG561" s="64" t="e">
        <f t="shared" si="147"/>
        <v>#DIV/0!</v>
      </c>
      <c r="AH561" s="67"/>
      <c r="AI561" s="47" t="s">
        <v>54</v>
      </c>
      <c r="AJ561" s="47">
        <v>776</v>
      </c>
      <c r="AK561" s="101" t="s">
        <v>65</v>
      </c>
      <c r="AL561" s="101" t="s">
        <v>65</v>
      </c>
      <c r="AM561" s="47" t="s">
        <v>2556</v>
      </c>
      <c r="AN561" s="47">
        <v>2275</v>
      </c>
      <c r="AO561" s="211">
        <f t="shared" si="140"/>
        <v>8.5918854415274457E-2</v>
      </c>
      <c r="AP561" s="47" t="s">
        <v>90</v>
      </c>
      <c r="AQ561" s="91" t="s">
        <v>116</v>
      </c>
      <c r="AR561" s="47"/>
    </row>
    <row r="562" spans="1:44">
      <c r="A562" s="47" t="s">
        <v>44</v>
      </c>
      <c r="B562" s="47" t="str">
        <f t="shared" si="134"/>
        <v>July</v>
      </c>
      <c r="C562" s="59">
        <v>45491</v>
      </c>
      <c r="D562" s="47" t="s">
        <v>209</v>
      </c>
      <c r="E562" s="47" t="s">
        <v>210</v>
      </c>
      <c r="F562" s="47" t="s">
        <v>211</v>
      </c>
      <c r="G562" s="47" t="s">
        <v>2557</v>
      </c>
      <c r="H562" s="47" t="s">
        <v>2558</v>
      </c>
      <c r="I562" s="47" t="s">
        <v>50</v>
      </c>
      <c r="J562" s="47" t="s">
        <v>51</v>
      </c>
      <c r="K562" s="48">
        <v>44397</v>
      </c>
      <c r="L562" s="48">
        <v>45126</v>
      </c>
      <c r="M562" s="48">
        <v>45491</v>
      </c>
      <c r="N562" s="47" t="s">
        <v>64</v>
      </c>
      <c r="O562" s="55" t="s">
        <v>53</v>
      </c>
      <c r="P562" s="62">
        <v>26832</v>
      </c>
      <c r="Q562" s="62">
        <v>2236</v>
      </c>
      <c r="R562" s="100"/>
      <c r="S562" s="62">
        <f t="shared" si="135"/>
        <v>0</v>
      </c>
      <c r="T562" s="62">
        <v>25920</v>
      </c>
      <c r="U562" s="62">
        <f t="shared" si="145"/>
        <v>2160</v>
      </c>
      <c r="V562" s="69">
        <v>24780</v>
      </c>
      <c r="W562" s="71">
        <v>2370</v>
      </c>
      <c r="X562" s="71"/>
      <c r="Y562" s="71"/>
      <c r="Z562" s="64">
        <f t="shared" si="137"/>
        <v>9.7222222222222224E-2</v>
      </c>
      <c r="AA562" s="64" t="e">
        <f t="shared" si="143"/>
        <v>#DIV/0!</v>
      </c>
      <c r="AB562" s="71">
        <v>2350</v>
      </c>
      <c r="AC562" s="64">
        <f t="shared" si="138"/>
        <v>8.7962962962962965E-2</v>
      </c>
      <c r="AD562" s="64" t="e">
        <f t="shared" si="146"/>
        <v>#DIV/0!</v>
      </c>
      <c r="AE562" s="71">
        <v>2295</v>
      </c>
      <c r="AF562" s="64">
        <f t="shared" si="139"/>
        <v>6.25E-2</v>
      </c>
      <c r="AG562" s="64" t="e">
        <f t="shared" si="147"/>
        <v>#DIV/0!</v>
      </c>
      <c r="AH562" s="67"/>
      <c r="AI562" s="47" t="s">
        <v>250</v>
      </c>
      <c r="AJ562" s="47">
        <v>776</v>
      </c>
      <c r="AK562" s="101" t="s">
        <v>65</v>
      </c>
      <c r="AL562" s="101" t="s">
        <v>65</v>
      </c>
      <c r="AM562" s="47" t="s">
        <v>1223</v>
      </c>
      <c r="AN562" s="47">
        <v>2350</v>
      </c>
      <c r="AO562" s="211">
        <f t="shared" si="140"/>
        <v>8.7962962962962965E-2</v>
      </c>
      <c r="AP562" s="47" t="s">
        <v>90</v>
      </c>
      <c r="AQ562" s="91" t="s">
        <v>116</v>
      </c>
      <c r="AR562" s="47"/>
    </row>
    <row r="563" spans="1:44">
      <c r="A563" s="47" t="s">
        <v>44</v>
      </c>
      <c r="B563" s="47" t="str">
        <f t="shared" si="134"/>
        <v>July</v>
      </c>
      <c r="C563" s="59">
        <v>45491</v>
      </c>
      <c r="D563" s="47" t="s">
        <v>209</v>
      </c>
      <c r="E563" s="47" t="s">
        <v>210</v>
      </c>
      <c r="F563" s="47" t="s">
        <v>211</v>
      </c>
      <c r="G563" s="47" t="s">
        <v>2559</v>
      </c>
      <c r="H563" s="47" t="s">
        <v>2560</v>
      </c>
      <c r="I563" s="47" t="s">
        <v>50</v>
      </c>
      <c r="J563" s="47" t="s">
        <v>51</v>
      </c>
      <c r="K563" s="48">
        <v>44397</v>
      </c>
      <c r="L563" s="48">
        <v>45126</v>
      </c>
      <c r="M563" s="48">
        <v>45491</v>
      </c>
      <c r="N563" s="47" t="s">
        <v>64</v>
      </c>
      <c r="O563" s="55" t="s">
        <v>53</v>
      </c>
      <c r="P563" s="62">
        <v>27144</v>
      </c>
      <c r="Q563" s="62">
        <v>2262</v>
      </c>
      <c r="R563" s="100"/>
      <c r="S563" s="62">
        <f t="shared" si="135"/>
        <v>0</v>
      </c>
      <c r="T563" s="62">
        <v>27000</v>
      </c>
      <c r="U563" s="62">
        <f t="shared" si="145"/>
        <v>2250</v>
      </c>
      <c r="V563" s="69">
        <v>25020</v>
      </c>
      <c r="W563" s="71">
        <v>2435</v>
      </c>
      <c r="X563" s="71"/>
      <c r="Y563" s="71"/>
      <c r="Z563" s="64">
        <f t="shared" si="137"/>
        <v>8.2222222222222224E-2</v>
      </c>
      <c r="AA563" s="64" t="e">
        <f t="shared" si="143"/>
        <v>#DIV/0!</v>
      </c>
      <c r="AB563" s="71">
        <v>2375</v>
      </c>
      <c r="AC563" s="64">
        <f t="shared" si="138"/>
        <v>5.5555555555555552E-2</v>
      </c>
      <c r="AD563" s="64" t="e">
        <f t="shared" si="146"/>
        <v>#DIV/0!</v>
      </c>
      <c r="AE563" s="71">
        <v>2350</v>
      </c>
      <c r="AF563" s="64">
        <f t="shared" si="139"/>
        <v>4.4444444444444446E-2</v>
      </c>
      <c r="AG563" s="64" t="e">
        <f t="shared" si="147"/>
        <v>#DIV/0!</v>
      </c>
      <c r="AH563" s="67"/>
      <c r="AI563" s="47" t="s">
        <v>54</v>
      </c>
      <c r="AJ563" s="47">
        <v>829</v>
      </c>
      <c r="AK563" s="101" t="s">
        <v>65</v>
      </c>
      <c r="AL563" s="101" t="s">
        <v>65</v>
      </c>
      <c r="AM563" s="47" t="s">
        <v>2561</v>
      </c>
      <c r="AN563" s="47"/>
      <c r="AO563" s="211">
        <f t="shared" si="140"/>
        <v>-1</v>
      </c>
      <c r="AP563" s="47" t="s">
        <v>90</v>
      </c>
      <c r="AQ563" s="94" t="s">
        <v>891</v>
      </c>
      <c r="AR563" s="47"/>
    </row>
    <row r="564" spans="1:44">
      <c r="A564" s="47" t="s">
        <v>44</v>
      </c>
      <c r="B564" s="47" t="str">
        <f t="shared" si="134"/>
        <v>August</v>
      </c>
      <c r="C564" s="59">
        <v>45526</v>
      </c>
      <c r="D564" s="47" t="s">
        <v>209</v>
      </c>
      <c r="E564" s="47" t="s">
        <v>210</v>
      </c>
      <c r="F564" s="47" t="s">
        <v>211</v>
      </c>
      <c r="G564" s="47" t="s">
        <v>2674</v>
      </c>
      <c r="H564" s="47" t="s">
        <v>2675</v>
      </c>
      <c r="I564" s="47" t="s">
        <v>50</v>
      </c>
      <c r="J564" s="47" t="s">
        <v>51</v>
      </c>
      <c r="K564" s="48">
        <v>44431</v>
      </c>
      <c r="L564" s="48">
        <v>45161</v>
      </c>
      <c r="M564" s="48">
        <v>45526</v>
      </c>
      <c r="N564" s="47" t="s">
        <v>64</v>
      </c>
      <c r="O564" s="55" t="s">
        <v>53</v>
      </c>
      <c r="P564" s="62">
        <v>26832</v>
      </c>
      <c r="Q564" s="62">
        <v>2236</v>
      </c>
      <c r="R564" s="100"/>
      <c r="S564" s="62">
        <f t="shared" si="135"/>
        <v>0</v>
      </c>
      <c r="T564" s="62">
        <v>26460</v>
      </c>
      <c r="U564" s="62">
        <f t="shared" si="145"/>
        <v>2205</v>
      </c>
      <c r="V564" s="69">
        <v>24600</v>
      </c>
      <c r="W564" s="71">
        <v>2415</v>
      </c>
      <c r="X564" s="71"/>
      <c r="Y564" s="71"/>
      <c r="Z564" s="64">
        <f t="shared" si="137"/>
        <v>9.5238095238095233E-2</v>
      </c>
      <c r="AA564" s="64" t="e">
        <f t="shared" si="143"/>
        <v>#DIV/0!</v>
      </c>
      <c r="AB564" s="71">
        <v>2375</v>
      </c>
      <c r="AC564" s="64">
        <f t="shared" si="138"/>
        <v>7.7097505668934238E-2</v>
      </c>
      <c r="AD564" s="64" t="e">
        <f t="shared" si="146"/>
        <v>#DIV/0!</v>
      </c>
      <c r="AE564" s="71">
        <v>2345</v>
      </c>
      <c r="AF564" s="64">
        <f t="shared" si="139"/>
        <v>6.3492063492063489E-2</v>
      </c>
      <c r="AG564" s="64" t="e">
        <f t="shared" si="147"/>
        <v>#DIV/0!</v>
      </c>
      <c r="AH564" s="67"/>
      <c r="AI564" s="47" t="s">
        <v>54</v>
      </c>
      <c r="AJ564" s="47">
        <v>792</v>
      </c>
      <c r="AK564" s="47" t="s">
        <v>65</v>
      </c>
      <c r="AL564" s="47" t="s">
        <v>65</v>
      </c>
      <c r="AM564" s="47" t="s">
        <v>2676</v>
      </c>
      <c r="AN564" s="47"/>
      <c r="AO564" s="211">
        <f t="shared" si="140"/>
        <v>-1</v>
      </c>
      <c r="AP564" s="47" t="s">
        <v>90</v>
      </c>
      <c r="AQ564" s="91" t="s">
        <v>116</v>
      </c>
      <c r="AR564" s="47"/>
    </row>
    <row r="565" spans="1:44">
      <c r="A565" s="47" t="s">
        <v>44</v>
      </c>
      <c r="B565" s="47" t="str">
        <f t="shared" si="134"/>
        <v>July</v>
      </c>
      <c r="C565" s="59">
        <v>45501</v>
      </c>
      <c r="D565" s="47" t="s">
        <v>209</v>
      </c>
      <c r="E565" s="47" t="s">
        <v>210</v>
      </c>
      <c r="F565" s="47" t="s">
        <v>211</v>
      </c>
      <c r="G565" s="47" t="s">
        <v>2714</v>
      </c>
      <c r="H565" s="47" t="s">
        <v>2715</v>
      </c>
      <c r="I565" s="47" t="s">
        <v>50</v>
      </c>
      <c r="J565" s="47" t="s">
        <v>51</v>
      </c>
      <c r="K565" s="48">
        <v>44407</v>
      </c>
      <c r="L565" s="48">
        <v>45136</v>
      </c>
      <c r="M565" s="48">
        <v>45501</v>
      </c>
      <c r="N565" s="47" t="s">
        <v>64</v>
      </c>
      <c r="O565" s="55" t="s">
        <v>53</v>
      </c>
      <c r="P565" s="62">
        <v>26832</v>
      </c>
      <c r="Q565" s="62">
        <v>2236</v>
      </c>
      <c r="R565" s="100"/>
      <c r="S565" s="62">
        <f t="shared" si="135"/>
        <v>0</v>
      </c>
      <c r="T565" s="62">
        <v>26100</v>
      </c>
      <c r="U565" s="62">
        <f t="shared" si="145"/>
        <v>2175</v>
      </c>
      <c r="V565" s="69">
        <v>24180</v>
      </c>
      <c r="W565" s="71">
        <v>2390</v>
      </c>
      <c r="X565" s="71"/>
      <c r="Y565" s="71"/>
      <c r="Z565" s="64">
        <f t="shared" si="137"/>
        <v>9.8850574712643677E-2</v>
      </c>
      <c r="AA565" s="64" t="e">
        <f t="shared" si="143"/>
        <v>#DIV/0!</v>
      </c>
      <c r="AB565" s="71">
        <v>2350</v>
      </c>
      <c r="AC565" s="64">
        <f t="shared" si="138"/>
        <v>8.0459770114942528E-2</v>
      </c>
      <c r="AD565" s="64" t="e">
        <f t="shared" si="146"/>
        <v>#DIV/0!</v>
      </c>
      <c r="AE565" s="71">
        <v>2295</v>
      </c>
      <c r="AF565" s="64">
        <f t="shared" si="139"/>
        <v>5.5172413793103448E-2</v>
      </c>
      <c r="AG565" s="64" t="e">
        <f t="shared" si="147"/>
        <v>#DIV/0!</v>
      </c>
      <c r="AH565" s="67"/>
      <c r="AI565" s="47" t="s">
        <v>54</v>
      </c>
      <c r="AJ565" s="47">
        <v>793</v>
      </c>
      <c r="AK565" s="101" t="s">
        <v>65</v>
      </c>
      <c r="AL565" s="101" t="s">
        <v>65</v>
      </c>
      <c r="AM565" s="47" t="s">
        <v>1322</v>
      </c>
      <c r="AN565" s="47"/>
      <c r="AO565" s="211">
        <f t="shared" si="140"/>
        <v>-1</v>
      </c>
      <c r="AP565" s="47" t="s">
        <v>90</v>
      </c>
      <c r="AQ565" s="91" t="s">
        <v>116</v>
      </c>
      <c r="AR565" s="47"/>
    </row>
    <row r="566" spans="1:44" hidden="1">
      <c r="A566" s="47" t="s">
        <v>44</v>
      </c>
      <c r="B566" s="47" t="str">
        <f t="shared" si="134"/>
        <v>July</v>
      </c>
      <c r="C566" s="59">
        <v>45478</v>
      </c>
      <c r="D566" s="47" t="s">
        <v>209</v>
      </c>
      <c r="E566" s="47" t="s">
        <v>210</v>
      </c>
      <c r="F566" s="47" t="s">
        <v>211</v>
      </c>
      <c r="G566" s="47" t="s">
        <v>2719</v>
      </c>
      <c r="H566" s="47" t="s">
        <v>2720</v>
      </c>
      <c r="I566" s="47" t="s">
        <v>50</v>
      </c>
      <c r="J566" s="47" t="s">
        <v>51</v>
      </c>
      <c r="K566" s="48">
        <v>45113</v>
      </c>
      <c r="L566" s="48">
        <v>45113</v>
      </c>
      <c r="M566" s="48">
        <v>45478</v>
      </c>
      <c r="N566" s="47" t="s">
        <v>52</v>
      </c>
      <c r="O566" s="55" t="s">
        <v>53</v>
      </c>
      <c r="P566" s="62">
        <v>37700</v>
      </c>
      <c r="Q566" s="62">
        <v>3141.6666666666665</v>
      </c>
      <c r="R566" s="100"/>
      <c r="S566" s="62">
        <f t="shared" si="135"/>
        <v>0</v>
      </c>
      <c r="T566" s="62">
        <v>39000</v>
      </c>
      <c r="U566" s="62">
        <f t="shared" si="145"/>
        <v>3250</v>
      </c>
      <c r="V566" s="69">
        <v>34200</v>
      </c>
      <c r="W566" s="71">
        <v>3400</v>
      </c>
      <c r="X566" s="71"/>
      <c r="Y566" s="71"/>
      <c r="Z566" s="64">
        <f t="shared" si="137"/>
        <v>4.6153846153846156E-2</v>
      </c>
      <c r="AA566" s="64" t="e">
        <f t="shared" si="143"/>
        <v>#DIV/0!</v>
      </c>
      <c r="AB566" s="71">
        <v>3325</v>
      </c>
      <c r="AC566" s="64">
        <f t="shared" si="138"/>
        <v>2.3076923076923078E-2</v>
      </c>
      <c r="AD566" s="64" t="e">
        <f t="shared" si="146"/>
        <v>#DIV/0!</v>
      </c>
      <c r="AE566" s="71">
        <v>3275</v>
      </c>
      <c r="AF566" s="64">
        <f t="shared" si="139"/>
        <v>7.6923076923076927E-3</v>
      </c>
      <c r="AG566" s="64" t="e">
        <f t="shared" si="147"/>
        <v>#DIV/0!</v>
      </c>
      <c r="AH566" s="67"/>
      <c r="AI566" s="47" t="s">
        <v>54</v>
      </c>
      <c r="AJ566" s="47">
        <v>1046</v>
      </c>
      <c r="AK566" s="101" t="s">
        <v>140</v>
      </c>
      <c r="AL566" s="101" t="s">
        <v>65</v>
      </c>
      <c r="AM566" s="47" t="s">
        <v>2721</v>
      </c>
      <c r="AN566" s="47"/>
      <c r="AO566" s="211">
        <f t="shared" si="140"/>
        <v>-1</v>
      </c>
      <c r="AP566" s="47" t="s">
        <v>90</v>
      </c>
      <c r="AQ566" s="94" t="s">
        <v>891</v>
      </c>
      <c r="AR566" s="47"/>
    </row>
    <row r="567" spans="1:44">
      <c r="A567" s="47" t="s">
        <v>44</v>
      </c>
      <c r="B567" s="47" t="str">
        <f t="shared" si="134"/>
        <v>July</v>
      </c>
      <c r="C567" s="59">
        <v>45495</v>
      </c>
      <c r="D567" s="47" t="s">
        <v>209</v>
      </c>
      <c r="E567" s="47" t="s">
        <v>210</v>
      </c>
      <c r="F567" s="47" t="s">
        <v>211</v>
      </c>
      <c r="G567" s="47" t="s">
        <v>2722</v>
      </c>
      <c r="H567" s="47" t="s">
        <v>2723</v>
      </c>
      <c r="I567" s="47" t="s">
        <v>50</v>
      </c>
      <c r="J567" s="47" t="s">
        <v>51</v>
      </c>
      <c r="K567" s="48">
        <v>44036</v>
      </c>
      <c r="L567" s="48">
        <v>45130</v>
      </c>
      <c r="M567" s="48">
        <v>45495</v>
      </c>
      <c r="N567" s="47" t="s">
        <v>64</v>
      </c>
      <c r="O567" s="55" t="s">
        <v>53</v>
      </c>
      <c r="P567" s="62">
        <v>38688</v>
      </c>
      <c r="Q567" s="62">
        <v>3224</v>
      </c>
      <c r="R567" s="100"/>
      <c r="S567" s="62">
        <f t="shared" si="135"/>
        <v>0</v>
      </c>
      <c r="T567" s="62">
        <v>38820</v>
      </c>
      <c r="U567" s="62">
        <f t="shared" si="145"/>
        <v>3235</v>
      </c>
      <c r="V567" s="69">
        <v>36000</v>
      </c>
      <c r="W567" s="71">
        <v>3480</v>
      </c>
      <c r="X567" s="71"/>
      <c r="Y567" s="71"/>
      <c r="Z567" s="64">
        <f t="shared" si="137"/>
        <v>7.5734157650695522E-2</v>
      </c>
      <c r="AA567" s="64" t="e">
        <f t="shared" si="143"/>
        <v>#DIV/0!</v>
      </c>
      <c r="AB567" s="71">
        <v>3310</v>
      </c>
      <c r="AC567" s="64">
        <f t="shared" si="138"/>
        <v>2.3183925811437404E-2</v>
      </c>
      <c r="AD567" s="64" t="e">
        <f t="shared" si="146"/>
        <v>#DIV/0!</v>
      </c>
      <c r="AE567" s="71">
        <v>3250</v>
      </c>
      <c r="AF567" s="64">
        <f t="shared" si="139"/>
        <v>4.6367851622874804E-3</v>
      </c>
      <c r="AG567" s="64" t="e">
        <f t="shared" si="147"/>
        <v>#DIV/0!</v>
      </c>
      <c r="AH567" s="67"/>
      <c r="AI567" s="47" t="s">
        <v>250</v>
      </c>
      <c r="AJ567" s="47">
        <v>1251</v>
      </c>
      <c r="AK567" s="101" t="s">
        <v>140</v>
      </c>
      <c r="AL567" s="101" t="s">
        <v>65</v>
      </c>
      <c r="AM567" s="47" t="s">
        <v>2724</v>
      </c>
      <c r="AN567" s="47"/>
      <c r="AO567" s="211">
        <f t="shared" si="140"/>
        <v>-1</v>
      </c>
      <c r="AP567" s="47" t="s">
        <v>90</v>
      </c>
      <c r="AQ567" s="91" t="s">
        <v>116</v>
      </c>
      <c r="AR567" s="47"/>
    </row>
    <row r="568" spans="1:44" hidden="1">
      <c r="A568" s="47" t="s">
        <v>44</v>
      </c>
      <c r="B568" s="47" t="str">
        <f t="shared" si="134"/>
        <v>July</v>
      </c>
      <c r="C568" s="59">
        <v>45498</v>
      </c>
      <c r="D568" s="47" t="s">
        <v>209</v>
      </c>
      <c r="E568" s="47" t="s">
        <v>210</v>
      </c>
      <c r="F568" s="47" t="s">
        <v>211</v>
      </c>
      <c r="G568" s="47" t="s">
        <v>2725</v>
      </c>
      <c r="H568" s="47" t="s">
        <v>1049</v>
      </c>
      <c r="I568" s="47" t="s">
        <v>50</v>
      </c>
      <c r="J568" s="47" t="s">
        <v>51</v>
      </c>
      <c r="K568" s="48">
        <v>45133</v>
      </c>
      <c r="L568" s="48">
        <v>45133</v>
      </c>
      <c r="M568" s="48">
        <v>45498</v>
      </c>
      <c r="N568" s="47" t="s">
        <v>52</v>
      </c>
      <c r="O568" s="55" t="s">
        <v>889</v>
      </c>
      <c r="P568" s="62">
        <v>23088</v>
      </c>
      <c r="Q568" s="62">
        <v>1924</v>
      </c>
      <c r="R568" s="100"/>
      <c r="S568" s="62">
        <f t="shared" si="135"/>
        <v>0</v>
      </c>
      <c r="T568" s="62">
        <v>23100</v>
      </c>
      <c r="U568" s="62">
        <f t="shared" si="145"/>
        <v>1925</v>
      </c>
      <c r="V568" s="69">
        <v>22380</v>
      </c>
      <c r="W568" s="71">
        <v>2080</v>
      </c>
      <c r="X568" s="71"/>
      <c r="Y568" s="71"/>
      <c r="Z568" s="64">
        <f t="shared" si="137"/>
        <v>8.0519480519480519E-2</v>
      </c>
      <c r="AA568" s="64" t="e">
        <f t="shared" si="143"/>
        <v>#DIV/0!</v>
      </c>
      <c r="AB568" s="71">
        <v>1975</v>
      </c>
      <c r="AC568" s="64">
        <f t="shared" si="138"/>
        <v>2.5974025974025976E-2</v>
      </c>
      <c r="AD568" s="64" t="e">
        <f t="shared" si="146"/>
        <v>#DIV/0!</v>
      </c>
      <c r="AE568" s="71">
        <v>1940</v>
      </c>
      <c r="AF568" s="64">
        <f t="shared" si="139"/>
        <v>7.7922077922077922E-3</v>
      </c>
      <c r="AG568" s="64" t="e">
        <f t="shared" si="147"/>
        <v>#DIV/0!</v>
      </c>
      <c r="AH568" s="67"/>
      <c r="AI568" s="47" t="s">
        <v>54</v>
      </c>
      <c r="AJ568" s="47">
        <v>638</v>
      </c>
      <c r="AK568" s="101" t="s">
        <v>55</v>
      </c>
      <c r="AL568" s="101" t="s">
        <v>55</v>
      </c>
      <c r="AM568" s="47" t="s">
        <v>1806</v>
      </c>
      <c r="AN568" s="47">
        <v>2010</v>
      </c>
      <c r="AO568" s="211">
        <f t="shared" si="140"/>
        <v>4.4155844155844157E-2</v>
      </c>
      <c r="AP568" s="47" t="s">
        <v>852</v>
      </c>
      <c r="AQ568" s="168" t="s">
        <v>1050</v>
      </c>
      <c r="AR568" s="47" t="s">
        <v>1974</v>
      </c>
    </row>
    <row r="569" spans="1:44">
      <c r="A569" s="47" t="s">
        <v>44</v>
      </c>
      <c r="B569" s="47" t="str">
        <f t="shared" si="134"/>
        <v>July</v>
      </c>
      <c r="C569" s="59">
        <v>45486</v>
      </c>
      <c r="D569" s="47" t="s">
        <v>209</v>
      </c>
      <c r="E569" s="47" t="s">
        <v>210</v>
      </c>
      <c r="F569" s="47" t="s">
        <v>211</v>
      </c>
      <c r="G569" s="47" t="s">
        <v>2726</v>
      </c>
      <c r="H569" s="47" t="s">
        <v>2727</v>
      </c>
      <c r="I569" s="47" t="s">
        <v>50</v>
      </c>
      <c r="J569" s="47" t="s">
        <v>51</v>
      </c>
      <c r="K569" s="48">
        <v>44027</v>
      </c>
      <c r="L569" s="48">
        <v>45121</v>
      </c>
      <c r="M569" s="48">
        <v>45486</v>
      </c>
      <c r="N569" s="47" t="s">
        <v>64</v>
      </c>
      <c r="O569" s="55" t="s">
        <v>53</v>
      </c>
      <c r="P569" s="62">
        <v>26520</v>
      </c>
      <c r="Q569" s="62">
        <v>2210</v>
      </c>
      <c r="R569" s="100"/>
      <c r="S569" s="62">
        <f t="shared" si="135"/>
        <v>0</v>
      </c>
      <c r="T569" s="62">
        <v>26340</v>
      </c>
      <c r="U569" s="62">
        <f t="shared" si="145"/>
        <v>2195</v>
      </c>
      <c r="V569" s="69">
        <v>25709.4</v>
      </c>
      <c r="W569" s="71">
        <v>2400</v>
      </c>
      <c r="X569" s="71"/>
      <c r="Y569" s="71"/>
      <c r="Z569" s="64">
        <f t="shared" si="137"/>
        <v>9.3394077448747156E-2</v>
      </c>
      <c r="AA569" s="64" t="e">
        <f t="shared" si="143"/>
        <v>#DIV/0!</v>
      </c>
      <c r="AB569" s="71">
        <v>2350</v>
      </c>
      <c r="AC569" s="64">
        <f t="shared" si="138"/>
        <v>7.0615034168564919E-2</v>
      </c>
      <c r="AD569" s="64" t="e">
        <f t="shared" si="146"/>
        <v>#DIV/0!</v>
      </c>
      <c r="AE569" s="71">
        <v>2295</v>
      </c>
      <c r="AF569" s="64">
        <f t="shared" si="139"/>
        <v>4.5558086560364468E-2</v>
      </c>
      <c r="AG569" s="64" t="e">
        <f t="shared" si="147"/>
        <v>#DIV/0!</v>
      </c>
      <c r="AH569" s="67"/>
      <c r="AI569" s="47" t="s">
        <v>54</v>
      </c>
      <c r="AJ569" s="47">
        <v>766</v>
      </c>
      <c r="AK569" s="101" t="s">
        <v>65</v>
      </c>
      <c r="AL569" s="101" t="s">
        <v>65</v>
      </c>
      <c r="AM569" s="47" t="s">
        <v>2728</v>
      </c>
      <c r="AN569" s="47">
        <v>2300</v>
      </c>
      <c r="AO569" s="211">
        <f t="shared" si="140"/>
        <v>4.7835990888382689E-2</v>
      </c>
      <c r="AP569" s="47" t="s">
        <v>90</v>
      </c>
      <c r="AQ569" s="91" t="s">
        <v>116</v>
      </c>
      <c r="AR569" s="47"/>
    </row>
    <row r="570" spans="1:44">
      <c r="A570" s="47" t="s">
        <v>44</v>
      </c>
      <c r="B570" s="47" t="str">
        <f t="shared" si="134"/>
        <v>July</v>
      </c>
      <c r="C570" s="59">
        <v>45503</v>
      </c>
      <c r="D570" s="47" t="s">
        <v>209</v>
      </c>
      <c r="E570" s="47" t="s">
        <v>210</v>
      </c>
      <c r="F570" s="47" t="s">
        <v>211</v>
      </c>
      <c r="G570" s="47" t="s">
        <v>2729</v>
      </c>
      <c r="H570" s="47" t="s">
        <v>2730</v>
      </c>
      <c r="I570" s="47" t="s">
        <v>50</v>
      </c>
      <c r="J570" s="47" t="s">
        <v>51</v>
      </c>
      <c r="K570" s="48">
        <v>44774</v>
      </c>
      <c r="L570" s="48">
        <v>45138</v>
      </c>
      <c r="M570" s="48">
        <v>45503</v>
      </c>
      <c r="N570" s="47" t="s">
        <v>64</v>
      </c>
      <c r="O570" s="55" t="s">
        <v>53</v>
      </c>
      <c r="P570" s="62">
        <v>26520</v>
      </c>
      <c r="Q570" s="62">
        <v>2210</v>
      </c>
      <c r="R570" s="100"/>
      <c r="S570" s="62">
        <f t="shared" si="135"/>
        <v>0</v>
      </c>
      <c r="T570" s="62">
        <v>26400</v>
      </c>
      <c r="U570" s="62">
        <f t="shared" si="145"/>
        <v>2200</v>
      </c>
      <c r="V570" s="69">
        <v>25200</v>
      </c>
      <c r="W570" s="71">
        <v>2410</v>
      </c>
      <c r="X570" s="71"/>
      <c r="Y570" s="71"/>
      <c r="Z570" s="64">
        <f t="shared" si="137"/>
        <v>9.5454545454545459E-2</v>
      </c>
      <c r="AA570" s="64" t="e">
        <f t="shared" si="143"/>
        <v>#DIV/0!</v>
      </c>
      <c r="AB570" s="71">
        <v>2350</v>
      </c>
      <c r="AC570" s="64">
        <f t="shared" si="138"/>
        <v>6.8181818181818177E-2</v>
      </c>
      <c r="AD570" s="64" t="e">
        <f t="shared" si="146"/>
        <v>#DIV/0!</v>
      </c>
      <c r="AE570" s="71">
        <v>2295</v>
      </c>
      <c r="AF570" s="64">
        <f t="shared" si="139"/>
        <v>4.3181818181818182E-2</v>
      </c>
      <c r="AG570" s="64" t="e">
        <f t="shared" si="147"/>
        <v>#DIV/0!</v>
      </c>
      <c r="AH570" s="67"/>
      <c r="AI570" s="47" t="s">
        <v>54</v>
      </c>
      <c r="AJ570" s="47">
        <v>766</v>
      </c>
      <c r="AK570" s="101" t="s">
        <v>65</v>
      </c>
      <c r="AL570" s="101" t="s">
        <v>65</v>
      </c>
      <c r="AM570" s="47" t="s">
        <v>2731</v>
      </c>
      <c r="AN570" s="47">
        <v>2295</v>
      </c>
      <c r="AO570" s="211">
        <f t="shared" si="140"/>
        <v>4.3181818181818182E-2</v>
      </c>
      <c r="AP570" s="47" t="s">
        <v>90</v>
      </c>
      <c r="AQ570" s="91" t="s">
        <v>116</v>
      </c>
      <c r="AR570" s="47"/>
    </row>
    <row r="571" spans="1:44">
      <c r="A571" s="47" t="s">
        <v>44</v>
      </c>
      <c r="B571" s="47" t="str">
        <f t="shared" si="134"/>
        <v>July</v>
      </c>
      <c r="C571" s="59">
        <v>45489</v>
      </c>
      <c r="D571" s="47" t="s">
        <v>209</v>
      </c>
      <c r="E571" s="47" t="s">
        <v>210</v>
      </c>
      <c r="F571" s="47" t="s">
        <v>211</v>
      </c>
      <c r="G571" s="47" t="s">
        <v>2732</v>
      </c>
      <c r="H571" s="47" t="s">
        <v>2733</v>
      </c>
      <c r="I571" s="47" t="s">
        <v>50</v>
      </c>
      <c r="J571" s="47" t="s">
        <v>51</v>
      </c>
      <c r="K571" s="48">
        <v>44760</v>
      </c>
      <c r="L571" s="48">
        <v>45124</v>
      </c>
      <c r="M571" s="48">
        <v>45489</v>
      </c>
      <c r="N571" s="47" t="s">
        <v>64</v>
      </c>
      <c r="O571" s="55" t="s">
        <v>53</v>
      </c>
      <c r="P571" s="62">
        <v>26832</v>
      </c>
      <c r="Q571" s="62">
        <v>2236</v>
      </c>
      <c r="R571" s="100"/>
      <c r="S571" s="62">
        <f t="shared" si="135"/>
        <v>0</v>
      </c>
      <c r="T571" s="62">
        <v>25800</v>
      </c>
      <c r="U571" s="62">
        <f t="shared" si="145"/>
        <v>2150</v>
      </c>
      <c r="V571" s="69">
        <v>23820</v>
      </c>
      <c r="W571" s="71">
        <v>2360</v>
      </c>
      <c r="X571" s="71"/>
      <c r="Y571" s="71"/>
      <c r="Z571" s="64">
        <f t="shared" si="137"/>
        <v>9.7674418604651161E-2</v>
      </c>
      <c r="AA571" s="64" t="e">
        <f t="shared" si="143"/>
        <v>#DIV/0!</v>
      </c>
      <c r="AB571" s="71">
        <v>2350</v>
      </c>
      <c r="AC571" s="64">
        <f t="shared" si="138"/>
        <v>9.3023255813953487E-2</v>
      </c>
      <c r="AD571" s="64" t="e">
        <f t="shared" si="146"/>
        <v>#DIV/0!</v>
      </c>
      <c r="AE571" s="71">
        <v>2295</v>
      </c>
      <c r="AF571" s="64">
        <f t="shared" si="139"/>
        <v>6.7441860465116285E-2</v>
      </c>
      <c r="AG571" s="64" t="e">
        <f t="shared" si="147"/>
        <v>#DIV/0!</v>
      </c>
      <c r="AH571" s="67"/>
      <c r="AI571" s="47" t="s">
        <v>54</v>
      </c>
      <c r="AJ571" s="47">
        <v>776</v>
      </c>
      <c r="AK571" s="101" t="s">
        <v>65</v>
      </c>
      <c r="AL571" s="101" t="s">
        <v>65</v>
      </c>
      <c r="AM571" s="47" t="s">
        <v>2734</v>
      </c>
      <c r="AN571" s="47">
        <v>2265</v>
      </c>
      <c r="AO571" s="211">
        <f t="shared" si="140"/>
        <v>5.3488372093023255E-2</v>
      </c>
      <c r="AP571" s="47" t="s">
        <v>90</v>
      </c>
      <c r="AQ571" s="91" t="s">
        <v>116</v>
      </c>
      <c r="AR571" s="47"/>
    </row>
    <row r="572" spans="1:44" hidden="1">
      <c r="A572" s="47" t="s">
        <v>44</v>
      </c>
      <c r="B572" s="47" t="str">
        <f t="shared" si="134"/>
        <v>August</v>
      </c>
      <c r="C572" s="59">
        <v>45528</v>
      </c>
      <c r="D572" s="47" t="s">
        <v>209</v>
      </c>
      <c r="E572" s="47" t="s">
        <v>210</v>
      </c>
      <c r="F572" s="47" t="s">
        <v>211</v>
      </c>
      <c r="G572" s="47" t="s">
        <v>2889</v>
      </c>
      <c r="H572" s="47" t="s">
        <v>2890</v>
      </c>
      <c r="I572" s="47" t="s">
        <v>50</v>
      </c>
      <c r="J572" s="47" t="s">
        <v>51</v>
      </c>
      <c r="K572" s="48">
        <v>45163</v>
      </c>
      <c r="L572" s="48">
        <v>45163</v>
      </c>
      <c r="M572" s="48">
        <v>45528</v>
      </c>
      <c r="N572" s="47" t="s">
        <v>52</v>
      </c>
      <c r="O572" s="55" t="s">
        <v>53</v>
      </c>
      <c r="P572" s="62">
        <v>38688</v>
      </c>
      <c r="Q572" s="62">
        <v>3224</v>
      </c>
      <c r="R572" s="100"/>
      <c r="S572" s="62">
        <f t="shared" si="135"/>
        <v>0</v>
      </c>
      <c r="T572" s="62">
        <v>39180</v>
      </c>
      <c r="U572" s="62">
        <f t="shared" si="145"/>
        <v>3265</v>
      </c>
      <c r="V572" s="69">
        <v>36600</v>
      </c>
      <c r="W572" s="71">
        <v>3505</v>
      </c>
      <c r="X572" s="71"/>
      <c r="Y572" s="71"/>
      <c r="Z572" s="64">
        <f t="shared" si="137"/>
        <v>7.3506891271056668E-2</v>
      </c>
      <c r="AA572" s="64" t="e">
        <f t="shared" si="143"/>
        <v>#DIV/0!</v>
      </c>
      <c r="AB572" s="71">
        <v>3395</v>
      </c>
      <c r="AC572" s="64">
        <f t="shared" si="138"/>
        <v>3.9816232771822356E-2</v>
      </c>
      <c r="AD572" s="64" t="e">
        <f t="shared" si="146"/>
        <v>#DIV/0!</v>
      </c>
      <c r="AE572" s="71">
        <v>3350</v>
      </c>
      <c r="AF572" s="64">
        <f t="shared" si="139"/>
        <v>2.6033690658499236E-2</v>
      </c>
      <c r="AG572" s="64" t="e">
        <f t="shared" si="147"/>
        <v>#DIV/0!</v>
      </c>
      <c r="AH572" s="67"/>
      <c r="AI572" s="47" t="s">
        <v>54</v>
      </c>
      <c r="AJ572" s="47">
        <v>1251</v>
      </c>
      <c r="AK572" s="47" t="s">
        <v>140</v>
      </c>
      <c r="AL572" s="47" t="s">
        <v>65</v>
      </c>
      <c r="AM572" s="47" t="s">
        <v>2891</v>
      </c>
      <c r="AN572" s="47"/>
      <c r="AO572" s="211">
        <f t="shared" si="140"/>
        <v>-1</v>
      </c>
      <c r="AP572" s="47" t="s">
        <v>90</v>
      </c>
      <c r="AQ572" s="91" t="s">
        <v>116</v>
      </c>
      <c r="AR572" s="47"/>
    </row>
    <row r="573" spans="1:44">
      <c r="A573" s="47" t="s">
        <v>44</v>
      </c>
      <c r="B573" s="47" t="str">
        <f t="shared" si="134"/>
        <v>July</v>
      </c>
      <c r="C573" s="59">
        <v>45501</v>
      </c>
      <c r="D573" s="47" t="s">
        <v>209</v>
      </c>
      <c r="E573" s="47" t="s">
        <v>210</v>
      </c>
      <c r="F573" s="47" t="s">
        <v>211</v>
      </c>
      <c r="G573" s="47" t="s">
        <v>2988</v>
      </c>
      <c r="H573" s="47" t="s">
        <v>2989</v>
      </c>
      <c r="I573" s="57" t="s">
        <v>50</v>
      </c>
      <c r="J573" s="47" t="s">
        <v>51</v>
      </c>
      <c r="K573" s="48">
        <v>44772</v>
      </c>
      <c r="L573" s="48">
        <v>45136</v>
      </c>
      <c r="M573" s="48">
        <v>45501</v>
      </c>
      <c r="N573" s="47" t="s">
        <v>64</v>
      </c>
      <c r="O573" s="55" t="s">
        <v>53</v>
      </c>
      <c r="P573" s="62">
        <v>22724</v>
      </c>
      <c r="Q573" s="62">
        <v>1893.6666666666667</v>
      </c>
      <c r="R573" s="100"/>
      <c r="S573" s="62">
        <f t="shared" si="135"/>
        <v>0</v>
      </c>
      <c r="T573" s="62">
        <v>22080</v>
      </c>
      <c r="U573" s="62">
        <f t="shared" si="145"/>
        <v>1840</v>
      </c>
      <c r="V573" s="69">
        <v>20700</v>
      </c>
      <c r="W573" s="71">
        <v>1990</v>
      </c>
      <c r="X573" s="71"/>
      <c r="Y573" s="71"/>
      <c r="Z573" s="64">
        <f t="shared" si="137"/>
        <v>8.1521739130434784E-2</v>
      </c>
      <c r="AA573" s="64" t="e">
        <f t="shared" si="143"/>
        <v>#DIV/0!</v>
      </c>
      <c r="AB573" s="71">
        <v>1895</v>
      </c>
      <c r="AC573" s="64">
        <f t="shared" si="138"/>
        <v>2.9891304347826088E-2</v>
      </c>
      <c r="AD573" s="64" t="e">
        <f t="shared" si="146"/>
        <v>#DIV/0!</v>
      </c>
      <c r="AE573" s="71">
        <v>1850</v>
      </c>
      <c r="AF573" s="64">
        <f t="shared" si="139"/>
        <v>5.434782608695652E-3</v>
      </c>
      <c r="AG573" s="64" t="e">
        <f t="shared" si="147"/>
        <v>#DIV/0!</v>
      </c>
      <c r="AH573" s="67"/>
      <c r="AI573" s="47" t="s">
        <v>54</v>
      </c>
      <c r="AJ573" s="47">
        <v>546</v>
      </c>
      <c r="AK573" s="101" t="s">
        <v>55</v>
      </c>
      <c r="AL573" s="101" t="s">
        <v>55</v>
      </c>
      <c r="AM573" s="47" t="s">
        <v>2990</v>
      </c>
      <c r="AN573" s="47"/>
      <c r="AO573" s="211">
        <f t="shared" si="140"/>
        <v>-1</v>
      </c>
      <c r="AP573" s="47" t="s">
        <v>90</v>
      </c>
      <c r="AQ573" s="94" t="s">
        <v>1246</v>
      </c>
      <c r="AR573" s="47"/>
    </row>
    <row r="574" spans="1:44">
      <c r="A574" s="47" t="s">
        <v>44</v>
      </c>
      <c r="B574" s="47" t="str">
        <f t="shared" si="134"/>
        <v>August</v>
      </c>
      <c r="C574" s="59">
        <v>45529</v>
      </c>
      <c r="D574" s="47" t="s">
        <v>209</v>
      </c>
      <c r="E574" s="47" t="s">
        <v>210</v>
      </c>
      <c r="F574" s="47" t="s">
        <v>211</v>
      </c>
      <c r="G574" s="47" t="s">
        <v>3074</v>
      </c>
      <c r="H574" s="47" t="s">
        <v>3075</v>
      </c>
      <c r="I574" s="47" t="s">
        <v>50</v>
      </c>
      <c r="J574" s="47" t="s">
        <v>51</v>
      </c>
      <c r="K574" s="48">
        <v>44799</v>
      </c>
      <c r="L574" s="48">
        <v>45164</v>
      </c>
      <c r="M574" s="48">
        <v>45529</v>
      </c>
      <c r="N574" s="47" t="s">
        <v>64</v>
      </c>
      <c r="O574" s="55" t="s">
        <v>53</v>
      </c>
      <c r="P574" s="62">
        <v>26832</v>
      </c>
      <c r="Q574" s="62">
        <v>2236</v>
      </c>
      <c r="R574" s="100"/>
      <c r="S574" s="62">
        <f t="shared" si="135"/>
        <v>0</v>
      </c>
      <c r="T574" s="62">
        <v>27000</v>
      </c>
      <c r="U574" s="62">
        <f t="shared" si="145"/>
        <v>2250</v>
      </c>
      <c r="V574" s="69">
        <v>25440</v>
      </c>
      <c r="W574" s="71">
        <v>2420</v>
      </c>
      <c r="X574" s="71"/>
      <c r="Y574" s="71"/>
      <c r="Z574" s="64">
        <f t="shared" si="137"/>
        <v>7.5555555555555556E-2</v>
      </c>
      <c r="AA574" s="64" t="e">
        <f t="shared" si="143"/>
        <v>#DIV/0!</v>
      </c>
      <c r="AB574" s="71">
        <v>2375</v>
      </c>
      <c r="AC574" s="64">
        <f t="shared" si="138"/>
        <v>5.5555555555555552E-2</v>
      </c>
      <c r="AD574" s="64" t="e">
        <f t="shared" si="146"/>
        <v>#DIV/0!</v>
      </c>
      <c r="AE574" s="71">
        <v>2350</v>
      </c>
      <c r="AF574" s="64">
        <f t="shared" si="139"/>
        <v>4.4444444444444446E-2</v>
      </c>
      <c r="AG574" s="64" t="e">
        <f t="shared" si="147"/>
        <v>#DIV/0!</v>
      </c>
      <c r="AH574" s="67"/>
      <c r="AI574" s="47" t="s">
        <v>54</v>
      </c>
      <c r="AJ574" s="47">
        <v>775</v>
      </c>
      <c r="AK574" s="47" t="s">
        <v>65</v>
      </c>
      <c r="AL574" s="47" t="s">
        <v>65</v>
      </c>
      <c r="AM574" s="47" t="s">
        <v>2728</v>
      </c>
      <c r="AN574" s="47">
        <v>2350</v>
      </c>
      <c r="AO574" s="211">
        <f t="shared" si="140"/>
        <v>4.4444444444444446E-2</v>
      </c>
      <c r="AP574" s="47" t="s">
        <v>90</v>
      </c>
      <c r="AQ574" s="91" t="s">
        <v>116</v>
      </c>
      <c r="AR574" s="47"/>
    </row>
    <row r="575" spans="1:44">
      <c r="A575" s="47" t="s">
        <v>44</v>
      </c>
      <c r="B575" s="47" t="str">
        <f t="shared" si="134"/>
        <v>August</v>
      </c>
      <c r="C575" s="59">
        <v>45531</v>
      </c>
      <c r="D575" s="47" t="s">
        <v>209</v>
      </c>
      <c r="E575" s="47" t="s">
        <v>210</v>
      </c>
      <c r="F575" s="47" t="s">
        <v>211</v>
      </c>
      <c r="G575" s="47" t="s">
        <v>3214</v>
      </c>
      <c r="H575" s="47" t="s">
        <v>3215</v>
      </c>
      <c r="I575" s="47" t="s">
        <v>50</v>
      </c>
      <c r="J575" s="47" t="s">
        <v>51</v>
      </c>
      <c r="K575" s="48">
        <v>44436</v>
      </c>
      <c r="L575" s="48">
        <v>45166</v>
      </c>
      <c r="M575" s="48">
        <v>45531</v>
      </c>
      <c r="N575" s="47" t="s">
        <v>64</v>
      </c>
      <c r="O575" s="55" t="s">
        <v>53</v>
      </c>
      <c r="P575" s="62">
        <v>22724</v>
      </c>
      <c r="Q575" s="62">
        <v>1893.6666666666667</v>
      </c>
      <c r="R575" s="100"/>
      <c r="S575" s="62">
        <f t="shared" si="135"/>
        <v>0</v>
      </c>
      <c r="T575" s="62">
        <v>22380</v>
      </c>
      <c r="U575" s="62">
        <f t="shared" si="145"/>
        <v>1865</v>
      </c>
      <c r="V575" s="69">
        <v>21000</v>
      </c>
      <c r="W575" s="71">
        <v>2005</v>
      </c>
      <c r="X575" s="71"/>
      <c r="Y575" s="71"/>
      <c r="Z575" s="64">
        <f t="shared" si="137"/>
        <v>7.5067024128686322E-2</v>
      </c>
      <c r="AA575" s="64" t="e">
        <f t="shared" si="143"/>
        <v>#DIV/0!</v>
      </c>
      <c r="AB575" s="71">
        <v>1950</v>
      </c>
      <c r="AC575" s="64">
        <f t="shared" si="138"/>
        <v>4.5576407506702415E-2</v>
      </c>
      <c r="AD575" s="64" t="e">
        <f t="shared" si="146"/>
        <v>#DIV/0!</v>
      </c>
      <c r="AE575" s="71">
        <v>1925</v>
      </c>
      <c r="AF575" s="64">
        <f t="shared" si="139"/>
        <v>3.2171581769436998E-2</v>
      </c>
      <c r="AG575" s="64" t="e">
        <f t="shared" si="147"/>
        <v>#DIV/0!</v>
      </c>
      <c r="AH575" s="67"/>
      <c r="AI575" s="47" t="s">
        <v>54</v>
      </c>
      <c r="AJ575" s="47">
        <v>546</v>
      </c>
      <c r="AK575" s="47" t="s">
        <v>55</v>
      </c>
      <c r="AL575" s="47" t="s">
        <v>55</v>
      </c>
      <c r="AM575" s="47" t="s">
        <v>3216</v>
      </c>
      <c r="AN575" s="47"/>
      <c r="AO575" s="211">
        <f t="shared" si="140"/>
        <v>-1</v>
      </c>
      <c r="AP575" s="47" t="s">
        <v>90</v>
      </c>
      <c r="AQ575" s="94" t="s">
        <v>959</v>
      </c>
      <c r="AR575" s="47"/>
    </row>
    <row r="576" spans="1:44">
      <c r="A576" s="47" t="s">
        <v>44</v>
      </c>
      <c r="B576" s="47" t="str">
        <f t="shared" si="134"/>
        <v>August</v>
      </c>
      <c r="C576" s="59">
        <v>45534</v>
      </c>
      <c r="D576" s="47" t="s">
        <v>209</v>
      </c>
      <c r="E576" s="47" t="s">
        <v>210</v>
      </c>
      <c r="F576" s="47" t="s">
        <v>211</v>
      </c>
      <c r="G576" s="47" t="s">
        <v>3531</v>
      </c>
      <c r="H576" s="47" t="s">
        <v>3532</v>
      </c>
      <c r="I576" s="47" t="s">
        <v>50</v>
      </c>
      <c r="J576" s="47" t="s">
        <v>51</v>
      </c>
      <c r="K576" s="48">
        <v>44804</v>
      </c>
      <c r="L576" s="48">
        <v>45169</v>
      </c>
      <c r="M576" s="48">
        <v>45534</v>
      </c>
      <c r="N576" s="47" t="s">
        <v>64</v>
      </c>
      <c r="O576" s="55" t="s">
        <v>53</v>
      </c>
      <c r="P576" s="62">
        <v>37700</v>
      </c>
      <c r="Q576" s="62">
        <v>3141.6666666666665</v>
      </c>
      <c r="R576" s="100"/>
      <c r="S576" s="62">
        <f t="shared" si="135"/>
        <v>0</v>
      </c>
      <c r="T576" s="62">
        <v>36000</v>
      </c>
      <c r="U576" s="62">
        <f t="shared" si="145"/>
        <v>3000</v>
      </c>
      <c r="V576" s="69">
        <v>33900</v>
      </c>
      <c r="W576" s="71">
        <v>3400</v>
      </c>
      <c r="X576" s="71"/>
      <c r="Y576" s="71"/>
      <c r="Z576" s="64">
        <f t="shared" si="137"/>
        <v>0.13333333333333333</v>
      </c>
      <c r="AA576" s="64" t="e">
        <f t="shared" si="143"/>
        <v>#DIV/0!</v>
      </c>
      <c r="AB576" s="71">
        <v>3200</v>
      </c>
      <c r="AC576" s="64">
        <f t="shared" si="138"/>
        <v>6.6666666666666666E-2</v>
      </c>
      <c r="AD576" s="64" t="e">
        <f t="shared" si="146"/>
        <v>#DIV/0!</v>
      </c>
      <c r="AE576" s="71">
        <v>3150</v>
      </c>
      <c r="AF576" s="64">
        <f t="shared" si="139"/>
        <v>0.05</v>
      </c>
      <c r="AG576" s="64" t="e">
        <f t="shared" si="147"/>
        <v>#DIV/0!</v>
      </c>
      <c r="AH576" s="67"/>
      <c r="AI576" s="47" t="s">
        <v>54</v>
      </c>
      <c r="AJ576" s="47">
        <v>1046</v>
      </c>
      <c r="AK576" s="47" t="s">
        <v>140</v>
      </c>
      <c r="AL576" s="47" t="s">
        <v>65</v>
      </c>
      <c r="AM576" s="47" t="s">
        <v>3533</v>
      </c>
      <c r="AN576" s="47"/>
      <c r="AO576" s="211">
        <f t="shared" si="140"/>
        <v>-1</v>
      </c>
      <c r="AP576" s="47" t="s">
        <v>90</v>
      </c>
      <c r="AQ576" s="91" t="s">
        <v>116</v>
      </c>
      <c r="AR576" s="47"/>
    </row>
    <row r="577" spans="1:44" hidden="1">
      <c r="A577" s="47" t="s">
        <v>44</v>
      </c>
      <c r="B577" s="47" t="str">
        <f t="shared" si="134"/>
        <v>August</v>
      </c>
      <c r="C577" s="59">
        <v>45534</v>
      </c>
      <c r="D577" s="47" t="s">
        <v>209</v>
      </c>
      <c r="E577" s="47" t="s">
        <v>210</v>
      </c>
      <c r="F577" s="47" t="s">
        <v>211</v>
      </c>
      <c r="G577" s="47" t="s">
        <v>3534</v>
      </c>
      <c r="H577" s="47" t="s">
        <v>3535</v>
      </c>
      <c r="I577" s="47" t="s">
        <v>50</v>
      </c>
      <c r="J577" s="47" t="s">
        <v>51</v>
      </c>
      <c r="K577" s="48">
        <v>45169</v>
      </c>
      <c r="L577" s="48">
        <v>45169</v>
      </c>
      <c r="M577" s="48">
        <v>45534</v>
      </c>
      <c r="N577" s="47" t="s">
        <v>52</v>
      </c>
      <c r="O577" s="55" t="s">
        <v>53</v>
      </c>
      <c r="P577" s="62">
        <v>38688</v>
      </c>
      <c r="Q577" s="62">
        <v>3224</v>
      </c>
      <c r="R577" s="100"/>
      <c r="S577" s="62">
        <f t="shared" si="135"/>
        <v>0</v>
      </c>
      <c r="T577" s="62">
        <v>39000</v>
      </c>
      <c r="U577" s="62">
        <f t="shared" si="145"/>
        <v>3250</v>
      </c>
      <c r="V577" s="69">
        <v>35760</v>
      </c>
      <c r="W577" s="71">
        <v>3500</v>
      </c>
      <c r="X577" s="71"/>
      <c r="Y577" s="71"/>
      <c r="Z577" s="64">
        <f t="shared" si="137"/>
        <v>7.6923076923076927E-2</v>
      </c>
      <c r="AA577" s="64" t="e">
        <f t="shared" si="143"/>
        <v>#DIV/0!</v>
      </c>
      <c r="AB577" s="71">
        <v>3385</v>
      </c>
      <c r="AC577" s="64">
        <f t="shared" si="138"/>
        <v>4.1538461538461538E-2</v>
      </c>
      <c r="AD577" s="64" t="e">
        <f t="shared" si="146"/>
        <v>#DIV/0!</v>
      </c>
      <c r="AE577" s="71">
        <v>3350</v>
      </c>
      <c r="AF577" s="64">
        <f t="shared" si="139"/>
        <v>3.0769230769230771E-2</v>
      </c>
      <c r="AG577" s="64" t="e">
        <f t="shared" si="147"/>
        <v>#DIV/0!</v>
      </c>
      <c r="AH577" s="67"/>
      <c r="AI577" s="47" t="s">
        <v>54</v>
      </c>
      <c r="AJ577" s="47">
        <v>1251</v>
      </c>
      <c r="AK577" s="47" t="s">
        <v>140</v>
      </c>
      <c r="AL577" s="47" t="s">
        <v>65</v>
      </c>
      <c r="AM577" s="47" t="s">
        <v>3536</v>
      </c>
      <c r="AN577" s="47">
        <v>3275</v>
      </c>
      <c r="AO577" s="211">
        <f t="shared" si="140"/>
        <v>7.6923076923076927E-3</v>
      </c>
      <c r="AP577" s="47" t="s">
        <v>90</v>
      </c>
      <c r="AQ577" s="91" t="s">
        <v>116</v>
      </c>
      <c r="AR577" s="47"/>
    </row>
    <row r="578" spans="1:44" hidden="1">
      <c r="A578" s="47" t="s">
        <v>44</v>
      </c>
      <c r="B578" s="47" t="str">
        <f t="shared" ref="B578:B641" si="148">TEXT(C578,"mmmm")</f>
        <v>July</v>
      </c>
      <c r="C578" s="59">
        <v>45487</v>
      </c>
      <c r="D578" s="47" t="s">
        <v>109</v>
      </c>
      <c r="E578" s="47" t="s">
        <v>2521</v>
      </c>
      <c r="F578" s="47" t="s">
        <v>1080</v>
      </c>
      <c r="G578" s="47" t="s">
        <v>2522</v>
      </c>
      <c r="H578" s="47" t="s">
        <v>2523</v>
      </c>
      <c r="I578" s="47"/>
      <c r="J578" s="47" t="s">
        <v>51</v>
      </c>
      <c r="K578" s="48">
        <v>45306</v>
      </c>
      <c r="L578" s="48">
        <v>45306</v>
      </c>
      <c r="M578" s="48">
        <v>45487</v>
      </c>
      <c r="N578" s="47" t="s">
        <v>52</v>
      </c>
      <c r="O578" s="55" t="s">
        <v>53</v>
      </c>
      <c r="P578" s="62">
        <v>25584</v>
      </c>
      <c r="Q578" s="62">
        <v>2132</v>
      </c>
      <c r="R578" s="96">
        <v>25584</v>
      </c>
      <c r="S578" s="62">
        <f t="shared" ref="S578:S641" si="149">R578/12</f>
        <v>2132</v>
      </c>
      <c r="T578" s="62">
        <v>24960</v>
      </c>
      <c r="U578" s="62">
        <f t="shared" ref="U578:U587" si="150">T578/12</f>
        <v>2080</v>
      </c>
      <c r="V578" s="69">
        <v>25584</v>
      </c>
      <c r="W578" s="71">
        <v>2125</v>
      </c>
      <c r="X578" s="71"/>
      <c r="Y578" s="71"/>
      <c r="Z578" s="64">
        <f t="shared" ref="Z578:Z637" si="151">(W578-U578)/U578</f>
        <v>2.1634615384615384E-2</v>
      </c>
      <c r="AA578" s="64">
        <f t="shared" si="143"/>
        <v>-3.2833020637898689E-3</v>
      </c>
      <c r="AB578" s="71">
        <v>2150</v>
      </c>
      <c r="AC578" s="64">
        <f t="shared" ref="AC578:AC641" si="152">(AB578-U578)/U578</f>
        <v>3.3653846153846152E-2</v>
      </c>
      <c r="AD578" s="64">
        <f t="shared" si="146"/>
        <v>8.4427767354596627E-3</v>
      </c>
      <c r="AE578" s="71">
        <v>2135</v>
      </c>
      <c r="AF578" s="64">
        <f t="shared" ref="AF578:AF641" si="153">(AE578-U578)/U578</f>
        <v>2.6442307692307692E-2</v>
      </c>
      <c r="AG578" s="64">
        <f t="shared" si="147"/>
        <v>1.4071294559099437E-3</v>
      </c>
      <c r="AH578" s="67"/>
      <c r="AI578" s="47" t="s">
        <v>54</v>
      </c>
      <c r="AJ578" s="47">
        <v>595</v>
      </c>
      <c r="AK578" s="101" t="s">
        <v>55</v>
      </c>
      <c r="AL578" s="101" t="s">
        <v>55</v>
      </c>
      <c r="AM578" s="47" t="s">
        <v>2524</v>
      </c>
      <c r="AN578" s="47"/>
      <c r="AO578" s="211">
        <f t="shared" ref="AO578:AO641" si="154">SUM(AN578-U578)/U578</f>
        <v>-1</v>
      </c>
      <c r="AP578" s="47" t="s">
        <v>90</v>
      </c>
      <c r="AQ578" s="91" t="s">
        <v>116</v>
      </c>
      <c r="AR578" s="47"/>
    </row>
    <row r="579" spans="1:44">
      <c r="A579" s="47" t="s">
        <v>44</v>
      </c>
      <c r="B579" s="47" t="str">
        <f t="shared" si="148"/>
        <v>August</v>
      </c>
      <c r="C579" s="59">
        <v>45535</v>
      </c>
      <c r="D579" s="47" t="s">
        <v>3794</v>
      </c>
      <c r="E579" s="47" t="s">
        <v>3795</v>
      </c>
      <c r="F579" s="47" t="s">
        <v>3796</v>
      </c>
      <c r="G579" s="47" t="s">
        <v>3797</v>
      </c>
      <c r="H579" s="47" t="s">
        <v>3798</v>
      </c>
      <c r="I579" s="47" t="s">
        <v>3150</v>
      </c>
      <c r="J579" s="47" t="s">
        <v>51</v>
      </c>
      <c r="K579" s="48">
        <v>39615</v>
      </c>
      <c r="L579" s="48">
        <v>45170</v>
      </c>
      <c r="M579" s="48">
        <v>45535</v>
      </c>
      <c r="N579" s="47" t="s">
        <v>64</v>
      </c>
      <c r="O579" s="55" t="s">
        <v>53</v>
      </c>
      <c r="P579" s="62">
        <v>7200</v>
      </c>
      <c r="Q579" s="62">
        <v>600</v>
      </c>
      <c r="R579" s="103">
        <v>7200</v>
      </c>
      <c r="S579" s="62">
        <f t="shared" si="149"/>
        <v>600</v>
      </c>
      <c r="T579" s="62">
        <v>7200</v>
      </c>
      <c r="U579" s="62">
        <f t="shared" si="150"/>
        <v>600</v>
      </c>
      <c r="V579" s="69">
        <v>6600</v>
      </c>
      <c r="W579" s="71" t="s">
        <v>123</v>
      </c>
      <c r="X579" s="71"/>
      <c r="Y579" s="71"/>
      <c r="Z579" s="64" t="e">
        <f t="shared" si="151"/>
        <v>#VALUE!</v>
      </c>
      <c r="AA579" s="64" t="e">
        <f t="shared" si="143"/>
        <v>#VALUE!</v>
      </c>
      <c r="AB579" s="71"/>
      <c r="AC579" s="64">
        <f t="shared" si="152"/>
        <v>-1</v>
      </c>
      <c r="AD579" s="64">
        <f t="shared" si="146"/>
        <v>-1</v>
      </c>
      <c r="AE579" s="71">
        <f>AB579</f>
        <v>0</v>
      </c>
      <c r="AF579" s="64">
        <f t="shared" si="153"/>
        <v>-1</v>
      </c>
      <c r="AG579" s="64">
        <f t="shared" si="147"/>
        <v>-1</v>
      </c>
      <c r="AH579" s="67"/>
      <c r="AI579" s="47" t="s">
        <v>54</v>
      </c>
      <c r="AJ579" s="47">
        <v>656.6</v>
      </c>
      <c r="AK579" s="47" t="s">
        <v>65</v>
      </c>
      <c r="AL579" s="47" t="s">
        <v>55</v>
      </c>
      <c r="AM579" s="47" t="s">
        <v>3799</v>
      </c>
      <c r="AN579" s="47"/>
      <c r="AO579" s="211">
        <f t="shared" si="154"/>
        <v>-1</v>
      </c>
      <c r="AP579" s="47" t="s">
        <v>57</v>
      </c>
      <c r="AQ579" s="47" t="s">
        <v>131</v>
      </c>
      <c r="AR579" s="47"/>
    </row>
    <row r="580" spans="1:44">
      <c r="A580" s="47" t="s">
        <v>44</v>
      </c>
      <c r="B580" s="47" t="str">
        <f t="shared" si="148"/>
        <v>August</v>
      </c>
      <c r="C580" s="59">
        <v>45535</v>
      </c>
      <c r="D580" s="47" t="s">
        <v>3794</v>
      </c>
      <c r="E580" s="47" t="s">
        <v>3795</v>
      </c>
      <c r="F580" s="47" t="s">
        <v>3796</v>
      </c>
      <c r="G580" s="47" t="s">
        <v>3800</v>
      </c>
      <c r="H580" s="47" t="s">
        <v>3801</v>
      </c>
      <c r="I580" s="47" t="s">
        <v>3150</v>
      </c>
      <c r="J580" s="47" t="s">
        <v>51</v>
      </c>
      <c r="K580" s="48">
        <v>44805</v>
      </c>
      <c r="L580" s="48">
        <v>45170</v>
      </c>
      <c r="M580" s="48">
        <v>45535</v>
      </c>
      <c r="N580" s="47" t="s">
        <v>64</v>
      </c>
      <c r="O580" s="55" t="s">
        <v>53</v>
      </c>
      <c r="P580" s="62">
        <v>7200</v>
      </c>
      <c r="Q580" s="62">
        <v>600</v>
      </c>
      <c r="R580" s="103">
        <v>7200</v>
      </c>
      <c r="S580" s="62">
        <f t="shared" si="149"/>
        <v>600</v>
      </c>
      <c r="T580" s="62">
        <v>7200</v>
      </c>
      <c r="U580" s="62">
        <f t="shared" si="150"/>
        <v>600</v>
      </c>
      <c r="V580" s="69">
        <v>6900</v>
      </c>
      <c r="W580" s="71" t="s">
        <v>123</v>
      </c>
      <c r="X580" s="71"/>
      <c r="Y580" s="71"/>
      <c r="Z580" s="64" t="e">
        <f t="shared" si="151"/>
        <v>#VALUE!</v>
      </c>
      <c r="AA580" s="64" t="e">
        <f t="shared" si="143"/>
        <v>#VALUE!</v>
      </c>
      <c r="AB580" s="71"/>
      <c r="AC580" s="64">
        <f t="shared" si="152"/>
        <v>-1</v>
      </c>
      <c r="AD580" s="64">
        <f t="shared" si="146"/>
        <v>-1</v>
      </c>
      <c r="AE580" s="71">
        <f>AB580</f>
        <v>0</v>
      </c>
      <c r="AF580" s="64">
        <f t="shared" si="153"/>
        <v>-1</v>
      </c>
      <c r="AG580" s="64">
        <f t="shared" si="147"/>
        <v>-1</v>
      </c>
      <c r="AH580" s="67"/>
      <c r="AI580" s="47" t="s">
        <v>250</v>
      </c>
      <c r="AJ580" s="47">
        <v>592.01</v>
      </c>
      <c r="AK580" s="47" t="s">
        <v>55</v>
      </c>
      <c r="AL580" s="47" t="s">
        <v>55</v>
      </c>
      <c r="AM580" s="47" t="s">
        <v>3802</v>
      </c>
      <c r="AN580" s="47"/>
      <c r="AO580" s="211">
        <f t="shared" si="154"/>
        <v>-1</v>
      </c>
      <c r="AP580" s="47" t="s">
        <v>57</v>
      </c>
      <c r="AQ580" s="47" t="s">
        <v>131</v>
      </c>
      <c r="AR580" s="47"/>
    </row>
    <row r="581" spans="1:44" hidden="1">
      <c r="A581" s="47" t="s">
        <v>44</v>
      </c>
      <c r="B581" s="47" t="str">
        <f t="shared" si="148"/>
        <v>August</v>
      </c>
      <c r="C581" s="59">
        <v>45512</v>
      </c>
      <c r="D581" s="47" t="s">
        <v>1388</v>
      </c>
      <c r="E581" s="47" t="s">
        <v>1389</v>
      </c>
      <c r="F581" s="47" t="s">
        <v>1052</v>
      </c>
      <c r="G581" s="47" t="s">
        <v>1390</v>
      </c>
      <c r="H581" s="47" t="s">
        <v>1391</v>
      </c>
      <c r="I581" s="57" t="s">
        <v>1392</v>
      </c>
      <c r="J581" s="47" t="s">
        <v>51</v>
      </c>
      <c r="K581" s="48">
        <v>45147</v>
      </c>
      <c r="L581" s="48">
        <v>45147</v>
      </c>
      <c r="M581" s="48">
        <v>45512</v>
      </c>
      <c r="N581" s="47" t="s">
        <v>52</v>
      </c>
      <c r="O581" s="55" t="s">
        <v>53</v>
      </c>
      <c r="P581" s="62">
        <v>0</v>
      </c>
      <c r="Q581" s="62">
        <v>0</v>
      </c>
      <c r="R581" s="100"/>
      <c r="S581" s="62">
        <f t="shared" si="149"/>
        <v>0</v>
      </c>
      <c r="T581" s="62">
        <v>35364</v>
      </c>
      <c r="U581" s="62">
        <f t="shared" si="150"/>
        <v>2947</v>
      </c>
      <c r="V581" s="69">
        <v>29640</v>
      </c>
      <c r="W581" s="71" t="s">
        <v>123</v>
      </c>
      <c r="X581" s="71"/>
      <c r="Y581" s="71"/>
      <c r="Z581" s="64" t="e">
        <f t="shared" si="151"/>
        <v>#VALUE!</v>
      </c>
      <c r="AA581" s="64" t="e">
        <f t="shared" si="143"/>
        <v>#VALUE!</v>
      </c>
      <c r="AB581" s="71">
        <v>3100</v>
      </c>
      <c r="AC581" s="64">
        <f t="shared" si="152"/>
        <v>5.1917203936206309E-2</v>
      </c>
      <c r="AD581" s="64" t="e">
        <f t="shared" si="146"/>
        <v>#DIV/0!</v>
      </c>
      <c r="AE581" s="71">
        <v>3050</v>
      </c>
      <c r="AF581" s="64">
        <f t="shared" si="153"/>
        <v>3.4950797421106211E-2</v>
      </c>
      <c r="AG581" s="64" t="e">
        <f t="shared" si="147"/>
        <v>#DIV/0!</v>
      </c>
      <c r="AH581" s="67"/>
      <c r="AI581" s="47" t="s">
        <v>395</v>
      </c>
      <c r="AJ581" s="47">
        <v>678.13</v>
      </c>
      <c r="AK581" s="47" t="s">
        <v>140</v>
      </c>
      <c r="AL581" s="47" t="s">
        <v>55</v>
      </c>
      <c r="AM581" s="47" t="s">
        <v>131</v>
      </c>
      <c r="AN581" s="47"/>
      <c r="AO581" s="211">
        <f t="shared" si="154"/>
        <v>-1</v>
      </c>
      <c r="AP581" s="47" t="s">
        <v>90</v>
      </c>
      <c r="AQ581" s="91" t="s">
        <v>116</v>
      </c>
      <c r="AR581" s="47"/>
    </row>
    <row r="582" spans="1:44">
      <c r="A582" s="47" t="s">
        <v>44</v>
      </c>
      <c r="B582" s="47" t="str">
        <f t="shared" si="148"/>
        <v>August</v>
      </c>
      <c r="C582" s="59">
        <v>45512</v>
      </c>
      <c r="D582" s="47" t="s">
        <v>1388</v>
      </c>
      <c r="E582" s="47" t="s">
        <v>1389</v>
      </c>
      <c r="F582" s="47" t="s">
        <v>1052</v>
      </c>
      <c r="G582" s="47" t="s">
        <v>1393</v>
      </c>
      <c r="H582" s="47" t="s">
        <v>1394</v>
      </c>
      <c r="I582" s="57" t="s">
        <v>63</v>
      </c>
      <c r="J582" s="47" t="s">
        <v>51</v>
      </c>
      <c r="K582" s="48">
        <v>44781</v>
      </c>
      <c r="L582" s="48">
        <v>45147</v>
      </c>
      <c r="M582" s="48">
        <v>45512</v>
      </c>
      <c r="N582" s="47" t="s">
        <v>64</v>
      </c>
      <c r="O582" s="55" t="s">
        <v>53</v>
      </c>
      <c r="P582" s="62">
        <v>0</v>
      </c>
      <c r="Q582" s="62">
        <v>0</v>
      </c>
      <c r="R582" s="100"/>
      <c r="S582" s="62">
        <f t="shared" si="149"/>
        <v>0</v>
      </c>
      <c r="T582" s="62">
        <v>28800</v>
      </c>
      <c r="U582" s="137">
        <f t="shared" si="150"/>
        <v>2400</v>
      </c>
      <c r="V582" s="69">
        <v>28800</v>
      </c>
      <c r="W582" s="71" t="s">
        <v>123</v>
      </c>
      <c r="X582" s="71"/>
      <c r="Y582" s="71"/>
      <c r="Z582" s="64" t="e">
        <f t="shared" si="151"/>
        <v>#VALUE!</v>
      </c>
      <c r="AA582" s="64" t="e">
        <f t="shared" si="143"/>
        <v>#VALUE!</v>
      </c>
      <c r="AB582" s="71">
        <v>2700</v>
      </c>
      <c r="AC582" s="64">
        <f t="shared" si="152"/>
        <v>0.125</v>
      </c>
      <c r="AD582" s="64" t="e">
        <f t="shared" si="146"/>
        <v>#DIV/0!</v>
      </c>
      <c r="AE582" s="175">
        <v>2625</v>
      </c>
      <c r="AF582" s="64">
        <f t="shared" si="153"/>
        <v>9.375E-2</v>
      </c>
      <c r="AG582" s="64" t="e">
        <f t="shared" si="147"/>
        <v>#DIV/0!</v>
      </c>
      <c r="AH582" s="67" t="s">
        <v>1395</v>
      </c>
      <c r="AI582" s="47" t="s">
        <v>54</v>
      </c>
      <c r="AJ582" s="47">
        <v>721.18</v>
      </c>
      <c r="AK582" s="47" t="s">
        <v>140</v>
      </c>
      <c r="AL582" s="47" t="s">
        <v>55</v>
      </c>
      <c r="AM582" s="47" t="s">
        <v>131</v>
      </c>
      <c r="AN582" s="47">
        <v>2700</v>
      </c>
      <c r="AO582" s="211">
        <f t="shared" si="154"/>
        <v>0.125</v>
      </c>
      <c r="AP582" s="47" t="s">
        <v>90</v>
      </c>
      <c r="AQ582" s="91" t="s">
        <v>116</v>
      </c>
      <c r="AR582" s="47"/>
    </row>
    <row r="583" spans="1:44" hidden="1">
      <c r="A583" s="47" t="s">
        <v>44</v>
      </c>
      <c r="B583" s="47" t="str">
        <f t="shared" si="148"/>
        <v>August</v>
      </c>
      <c r="C583" s="59">
        <v>45514</v>
      </c>
      <c r="D583" s="47" t="s">
        <v>1388</v>
      </c>
      <c r="E583" s="47" t="s">
        <v>1389</v>
      </c>
      <c r="F583" s="47" t="s">
        <v>1052</v>
      </c>
      <c r="G583" s="47" t="s">
        <v>1544</v>
      </c>
      <c r="H583" s="47" t="s">
        <v>1545</v>
      </c>
      <c r="I583" s="57" t="s">
        <v>63</v>
      </c>
      <c r="J583" s="47" t="s">
        <v>51</v>
      </c>
      <c r="K583" s="48">
        <v>45149</v>
      </c>
      <c r="L583" s="48">
        <v>45149</v>
      </c>
      <c r="M583" s="48">
        <v>45514</v>
      </c>
      <c r="N583" s="47" t="s">
        <v>52</v>
      </c>
      <c r="O583" s="55" t="s">
        <v>53</v>
      </c>
      <c r="P583" s="62">
        <v>0</v>
      </c>
      <c r="Q583" s="62">
        <v>0</v>
      </c>
      <c r="R583" s="100"/>
      <c r="S583" s="62">
        <f t="shared" si="149"/>
        <v>0</v>
      </c>
      <c r="T583" s="62">
        <v>24600</v>
      </c>
      <c r="U583" s="62">
        <f t="shared" si="150"/>
        <v>2050</v>
      </c>
      <c r="V583" s="69">
        <v>19800</v>
      </c>
      <c r="W583" s="71" t="s">
        <v>123</v>
      </c>
      <c r="X583" s="71"/>
      <c r="Y583" s="71"/>
      <c r="Z583" s="64" t="e">
        <f t="shared" si="151"/>
        <v>#VALUE!</v>
      </c>
      <c r="AA583" s="64" t="e">
        <f t="shared" si="143"/>
        <v>#VALUE!</v>
      </c>
      <c r="AB583" s="71">
        <v>2150</v>
      </c>
      <c r="AC583" s="64">
        <f t="shared" si="152"/>
        <v>4.878048780487805E-2</v>
      </c>
      <c r="AD583" s="64" t="e">
        <f t="shared" si="146"/>
        <v>#DIV/0!</v>
      </c>
      <c r="AE583" s="71">
        <v>2125</v>
      </c>
      <c r="AF583" s="64">
        <f t="shared" si="153"/>
        <v>3.6585365853658534E-2</v>
      </c>
      <c r="AG583" s="64" t="e">
        <f t="shared" si="147"/>
        <v>#DIV/0!</v>
      </c>
      <c r="AH583" s="67"/>
      <c r="AI583" s="47" t="s">
        <v>54</v>
      </c>
      <c r="AJ583" s="47">
        <v>570.49</v>
      </c>
      <c r="AK583" s="47" t="s">
        <v>65</v>
      </c>
      <c r="AL583" s="47" t="s">
        <v>55</v>
      </c>
      <c r="AM583" s="47" t="s">
        <v>131</v>
      </c>
      <c r="AN583" s="47">
        <v>2150</v>
      </c>
      <c r="AO583" s="211">
        <f t="shared" si="154"/>
        <v>4.878048780487805E-2</v>
      </c>
      <c r="AP583" s="47" t="s">
        <v>90</v>
      </c>
      <c r="AQ583" s="91" t="s">
        <v>116</v>
      </c>
      <c r="AR583" s="47"/>
    </row>
    <row r="584" spans="1:44" hidden="1">
      <c r="A584" s="47" t="s">
        <v>44</v>
      </c>
      <c r="B584" s="47" t="str">
        <f t="shared" si="148"/>
        <v>July</v>
      </c>
      <c r="C584" s="59">
        <v>45494</v>
      </c>
      <c r="D584" s="47" t="s">
        <v>1388</v>
      </c>
      <c r="E584" s="47" t="s">
        <v>1389</v>
      </c>
      <c r="F584" s="47" t="s">
        <v>1052</v>
      </c>
      <c r="G584" s="47" t="s">
        <v>2525</v>
      </c>
      <c r="H584" s="47" t="s">
        <v>2526</v>
      </c>
      <c r="I584" s="47" t="s">
        <v>2527</v>
      </c>
      <c r="J584" s="47" t="s">
        <v>51</v>
      </c>
      <c r="K584" s="48">
        <v>45129</v>
      </c>
      <c r="L584" s="48">
        <v>45129</v>
      </c>
      <c r="M584" s="48">
        <v>45494</v>
      </c>
      <c r="N584" s="47" t="s">
        <v>52</v>
      </c>
      <c r="O584" s="55" t="s">
        <v>53</v>
      </c>
      <c r="P584" s="62">
        <v>0</v>
      </c>
      <c r="Q584" s="62">
        <v>0</v>
      </c>
      <c r="R584" s="100"/>
      <c r="S584" s="62">
        <f t="shared" si="149"/>
        <v>0</v>
      </c>
      <c r="T584" s="62">
        <v>17400</v>
      </c>
      <c r="U584" s="62">
        <f t="shared" si="150"/>
        <v>1450</v>
      </c>
      <c r="V584" s="69">
        <v>11675.88</v>
      </c>
      <c r="W584" s="71" t="s">
        <v>123</v>
      </c>
      <c r="X584" s="71"/>
      <c r="Y584" s="71"/>
      <c r="Z584" s="64" t="e">
        <f t="shared" si="151"/>
        <v>#VALUE!</v>
      </c>
      <c r="AA584" s="64" t="e">
        <f t="shared" si="143"/>
        <v>#VALUE!</v>
      </c>
      <c r="AB584" s="71">
        <v>1500</v>
      </c>
      <c r="AC584" s="64">
        <f t="shared" si="152"/>
        <v>3.4482758620689655E-2</v>
      </c>
      <c r="AD584" s="64" t="e">
        <f t="shared" si="146"/>
        <v>#DIV/0!</v>
      </c>
      <c r="AE584" s="71">
        <v>1475</v>
      </c>
      <c r="AF584" s="64">
        <f t="shared" si="153"/>
        <v>1.7241379310344827E-2</v>
      </c>
      <c r="AG584" s="64" t="e">
        <f t="shared" si="147"/>
        <v>#DIV/0!</v>
      </c>
      <c r="AH584" s="67"/>
      <c r="AI584" s="47" t="s">
        <v>54</v>
      </c>
      <c r="AJ584" s="47">
        <v>312</v>
      </c>
      <c r="AK584" s="101" t="s">
        <v>55</v>
      </c>
      <c r="AL584" s="101" t="s">
        <v>55</v>
      </c>
      <c r="AM584" s="47" t="s">
        <v>131</v>
      </c>
      <c r="AN584" s="47">
        <v>1475</v>
      </c>
      <c r="AO584" s="211">
        <f t="shared" si="154"/>
        <v>1.7241379310344827E-2</v>
      </c>
      <c r="AP584" s="47" t="s">
        <v>90</v>
      </c>
      <c r="AQ584" s="91" t="s">
        <v>116</v>
      </c>
      <c r="AR584" s="47"/>
    </row>
    <row r="585" spans="1:44">
      <c r="A585" s="47" t="s">
        <v>44</v>
      </c>
      <c r="B585" s="47" t="str">
        <f t="shared" si="148"/>
        <v>July</v>
      </c>
      <c r="C585" s="59">
        <v>45503</v>
      </c>
      <c r="D585" s="47" t="s">
        <v>1388</v>
      </c>
      <c r="E585" s="47" t="s">
        <v>1389</v>
      </c>
      <c r="F585" s="47" t="s">
        <v>1052</v>
      </c>
      <c r="G585" s="47" t="s">
        <v>2528</v>
      </c>
      <c r="H585" s="47" t="s">
        <v>2529</v>
      </c>
      <c r="I585" s="47" t="s">
        <v>2530</v>
      </c>
      <c r="J585" s="47" t="s">
        <v>51</v>
      </c>
      <c r="K585" s="48">
        <v>44408</v>
      </c>
      <c r="L585" s="48">
        <v>45138</v>
      </c>
      <c r="M585" s="48">
        <v>45503</v>
      </c>
      <c r="N585" s="47" t="s">
        <v>64</v>
      </c>
      <c r="O585" s="55" t="s">
        <v>725</v>
      </c>
      <c r="P585" s="62">
        <v>0</v>
      </c>
      <c r="Q585" s="62">
        <v>0</v>
      </c>
      <c r="R585" s="100"/>
      <c r="S585" s="62">
        <f t="shared" si="149"/>
        <v>0</v>
      </c>
      <c r="T585" s="62">
        <v>25272</v>
      </c>
      <c r="U585" s="62">
        <f t="shared" si="150"/>
        <v>2106</v>
      </c>
      <c r="V585" s="69">
        <v>28080</v>
      </c>
      <c r="W585" s="71" t="s">
        <v>123</v>
      </c>
      <c r="X585" s="71"/>
      <c r="Y585" s="71"/>
      <c r="Z585" s="64" t="e">
        <f t="shared" si="151"/>
        <v>#VALUE!</v>
      </c>
      <c r="AA585" s="64" t="e">
        <f t="shared" si="143"/>
        <v>#VALUE!</v>
      </c>
      <c r="AB585" s="71">
        <v>2300</v>
      </c>
      <c r="AC585" s="64">
        <f t="shared" si="152"/>
        <v>9.2117758784425449E-2</v>
      </c>
      <c r="AD585" s="64" t="e">
        <f t="shared" si="146"/>
        <v>#DIV/0!</v>
      </c>
      <c r="AE585" s="71">
        <v>2275</v>
      </c>
      <c r="AF585" s="64">
        <f t="shared" si="153"/>
        <v>8.0246913580246909E-2</v>
      </c>
      <c r="AG585" s="64" t="e">
        <f t="shared" si="147"/>
        <v>#DIV/0!</v>
      </c>
      <c r="AH585" s="67"/>
      <c r="AI585" s="47" t="s">
        <v>395</v>
      </c>
      <c r="AJ585" s="47">
        <v>731.95</v>
      </c>
      <c r="AK585" s="101" t="s">
        <v>140</v>
      </c>
      <c r="AL585" s="101" t="s">
        <v>55</v>
      </c>
      <c r="AM585" s="47" t="s">
        <v>131</v>
      </c>
      <c r="AN585" s="47">
        <v>2300</v>
      </c>
      <c r="AO585" s="211">
        <f t="shared" si="154"/>
        <v>9.2117758784425449E-2</v>
      </c>
      <c r="AP585" s="47" t="s">
        <v>90</v>
      </c>
      <c r="AQ585" s="91" t="s">
        <v>116</v>
      </c>
      <c r="AR585" s="47"/>
    </row>
    <row r="586" spans="1:44" hidden="1">
      <c r="A586" s="47" t="s">
        <v>44</v>
      </c>
      <c r="B586" s="47" t="str">
        <f t="shared" si="148"/>
        <v>August</v>
      </c>
      <c r="C586" s="59">
        <v>45528</v>
      </c>
      <c r="D586" s="47" t="s">
        <v>1388</v>
      </c>
      <c r="E586" s="47" t="s">
        <v>1389</v>
      </c>
      <c r="F586" s="47" t="s">
        <v>1052</v>
      </c>
      <c r="G586" s="47" t="s">
        <v>2892</v>
      </c>
      <c r="H586" s="47" t="s">
        <v>2893</v>
      </c>
      <c r="I586" s="47" t="s">
        <v>2894</v>
      </c>
      <c r="J586" s="47" t="s">
        <v>51</v>
      </c>
      <c r="K586" s="48">
        <v>45163</v>
      </c>
      <c r="L586" s="48">
        <v>45163</v>
      </c>
      <c r="M586" s="48">
        <v>45528</v>
      </c>
      <c r="N586" s="47" t="s">
        <v>52</v>
      </c>
      <c r="O586" s="55" t="s">
        <v>53</v>
      </c>
      <c r="P586" s="62">
        <v>0</v>
      </c>
      <c r="Q586" s="62">
        <v>0</v>
      </c>
      <c r="R586" s="100"/>
      <c r="S586" s="62">
        <f t="shared" si="149"/>
        <v>0</v>
      </c>
      <c r="T586" s="62">
        <v>34800</v>
      </c>
      <c r="U586" s="62">
        <f t="shared" si="150"/>
        <v>2900</v>
      </c>
      <c r="V586" s="69">
        <v>28599.96</v>
      </c>
      <c r="W586" s="71" t="s">
        <v>123</v>
      </c>
      <c r="X586" s="71"/>
      <c r="Y586" s="71"/>
      <c r="Z586" s="64" t="e">
        <f t="shared" si="151"/>
        <v>#VALUE!</v>
      </c>
      <c r="AA586" s="64" t="e">
        <f t="shared" si="143"/>
        <v>#VALUE!</v>
      </c>
      <c r="AB586" s="71">
        <v>3100</v>
      </c>
      <c r="AC586" s="64">
        <f t="shared" si="152"/>
        <v>6.8965517241379309E-2</v>
      </c>
      <c r="AD586" s="64" t="e">
        <f t="shared" si="146"/>
        <v>#DIV/0!</v>
      </c>
      <c r="AE586" s="71">
        <v>3050</v>
      </c>
      <c r="AF586" s="64">
        <f t="shared" si="153"/>
        <v>5.1724137931034482E-2</v>
      </c>
      <c r="AG586" s="64" t="e">
        <f t="shared" si="147"/>
        <v>#DIV/0!</v>
      </c>
      <c r="AH586" s="67"/>
      <c r="AI586" s="47" t="s">
        <v>54</v>
      </c>
      <c r="AJ586" s="47">
        <v>710</v>
      </c>
      <c r="AK586" s="47" t="s">
        <v>140</v>
      </c>
      <c r="AL586" s="47" t="s">
        <v>55</v>
      </c>
      <c r="AM586" s="47" t="s">
        <v>131</v>
      </c>
      <c r="AN586" s="47"/>
      <c r="AO586" s="211">
        <f t="shared" si="154"/>
        <v>-1</v>
      </c>
      <c r="AP586" s="47" t="s">
        <v>90</v>
      </c>
      <c r="AQ586" s="91" t="s">
        <v>116</v>
      </c>
      <c r="AR586" s="47"/>
    </row>
    <row r="587" spans="1:44" hidden="1">
      <c r="A587" s="47" t="s">
        <v>44</v>
      </c>
      <c r="B587" s="47" t="str">
        <f t="shared" si="148"/>
        <v>August</v>
      </c>
      <c r="C587" s="59">
        <v>45535</v>
      </c>
      <c r="D587" s="47" t="s">
        <v>1388</v>
      </c>
      <c r="E587" s="47" t="s">
        <v>1389</v>
      </c>
      <c r="F587" s="47" t="s">
        <v>1052</v>
      </c>
      <c r="G587" s="47" t="s">
        <v>3751</v>
      </c>
      <c r="H587" s="47" t="s">
        <v>3752</v>
      </c>
      <c r="I587" s="47" t="s">
        <v>63</v>
      </c>
      <c r="J587" s="47" t="s">
        <v>51</v>
      </c>
      <c r="K587" s="48">
        <v>45170</v>
      </c>
      <c r="L587" s="48">
        <v>45170</v>
      </c>
      <c r="M587" s="48">
        <v>45535</v>
      </c>
      <c r="N587" s="47" t="s">
        <v>52</v>
      </c>
      <c r="O587" s="55" t="s">
        <v>53</v>
      </c>
      <c r="P587" s="62">
        <v>0</v>
      </c>
      <c r="Q587" s="62">
        <v>0</v>
      </c>
      <c r="R587" s="100"/>
      <c r="S587" s="62">
        <f t="shared" si="149"/>
        <v>0</v>
      </c>
      <c r="T587" s="62">
        <v>18000</v>
      </c>
      <c r="U587" s="62">
        <f t="shared" si="150"/>
        <v>1500</v>
      </c>
      <c r="V587" s="69">
        <v>16560</v>
      </c>
      <c r="W587" s="71" t="s">
        <v>123</v>
      </c>
      <c r="X587" s="71"/>
      <c r="Y587" s="71"/>
      <c r="Z587" s="64" t="e">
        <f t="shared" si="151"/>
        <v>#VALUE!</v>
      </c>
      <c r="AA587" s="64" t="e">
        <f t="shared" si="143"/>
        <v>#VALUE!</v>
      </c>
      <c r="AB587" s="71">
        <v>1575</v>
      </c>
      <c r="AC587" s="64">
        <f t="shared" si="152"/>
        <v>0.05</v>
      </c>
      <c r="AD587" s="64" t="e">
        <f t="shared" si="146"/>
        <v>#DIV/0!</v>
      </c>
      <c r="AE587" s="175">
        <v>1565</v>
      </c>
      <c r="AF587" s="64">
        <f t="shared" si="153"/>
        <v>4.3333333333333335E-2</v>
      </c>
      <c r="AG587" s="64" t="e">
        <f t="shared" si="147"/>
        <v>#DIV/0!</v>
      </c>
      <c r="AH587" s="67"/>
      <c r="AI587" s="47" t="s">
        <v>250</v>
      </c>
      <c r="AJ587" s="47">
        <v>333.68</v>
      </c>
      <c r="AK587" s="47" t="s">
        <v>93</v>
      </c>
      <c r="AL587" s="47" t="s">
        <v>55</v>
      </c>
      <c r="AM587" s="47" t="s">
        <v>131</v>
      </c>
      <c r="AN587" s="47"/>
      <c r="AO587" s="211">
        <f t="shared" si="154"/>
        <v>-1</v>
      </c>
      <c r="AP587" s="47" t="s">
        <v>90</v>
      </c>
      <c r="AQ587" s="91" t="s">
        <v>116</v>
      </c>
      <c r="AR587" s="47"/>
    </row>
    <row r="588" spans="1:44">
      <c r="A588" s="47"/>
      <c r="B588" s="47" t="str">
        <f t="shared" si="148"/>
        <v>20/07/2024</v>
      </c>
      <c r="C588" s="59" t="s">
        <v>3825</v>
      </c>
      <c r="D588" s="47" t="s">
        <v>1388</v>
      </c>
      <c r="E588" s="47" t="s">
        <v>1389</v>
      </c>
      <c r="F588" s="47"/>
      <c r="G588" s="47" t="s">
        <v>3832</v>
      </c>
      <c r="H588" s="47"/>
      <c r="I588" s="47"/>
      <c r="J588" s="47"/>
      <c r="K588" s="47"/>
      <c r="L588" s="47"/>
      <c r="M588" s="47"/>
      <c r="N588" s="47"/>
      <c r="O588" s="55" t="s">
        <v>53</v>
      </c>
      <c r="P588" s="62" t="s">
        <v>3833</v>
      </c>
      <c r="Q588" s="62" t="s">
        <v>3833</v>
      </c>
      <c r="R588" s="103" t="s">
        <v>3833</v>
      </c>
      <c r="S588" s="62" t="e">
        <f t="shared" si="149"/>
        <v>#VALUE!</v>
      </c>
      <c r="T588" s="55"/>
      <c r="U588" s="62">
        <v>2242.5</v>
      </c>
      <c r="V588" s="69"/>
      <c r="W588" s="71" t="s">
        <v>123</v>
      </c>
      <c r="X588" s="71"/>
      <c r="Y588" s="71"/>
      <c r="Z588" s="90" t="e">
        <f t="shared" si="151"/>
        <v>#VALUE!</v>
      </c>
      <c r="AA588" s="90" t="e">
        <f t="shared" si="143"/>
        <v>#VALUE!</v>
      </c>
      <c r="AB588" s="71"/>
      <c r="AC588" s="90">
        <f t="shared" si="152"/>
        <v>-1</v>
      </c>
      <c r="AD588" s="90" t="e">
        <f t="shared" si="146"/>
        <v>#VALUE!</v>
      </c>
      <c r="AE588" s="71"/>
      <c r="AF588" s="90">
        <f t="shared" si="153"/>
        <v>-1</v>
      </c>
      <c r="AG588" s="90" t="e">
        <f t="shared" si="147"/>
        <v>#VALUE!</v>
      </c>
      <c r="AH588" s="67"/>
      <c r="AI588" s="47"/>
      <c r="AJ588" s="47" t="s">
        <v>3834</v>
      </c>
      <c r="AK588" s="47">
        <v>3</v>
      </c>
      <c r="AL588" s="47">
        <v>1</v>
      </c>
      <c r="AM588" s="47" t="s">
        <v>3835</v>
      </c>
      <c r="AN588" s="47"/>
      <c r="AO588" s="211">
        <f t="shared" si="154"/>
        <v>-1</v>
      </c>
      <c r="AP588" s="47" t="s">
        <v>90</v>
      </c>
      <c r="AQ588" s="91" t="s">
        <v>116</v>
      </c>
      <c r="AR588" s="47"/>
    </row>
    <row r="589" spans="1:44">
      <c r="A589" s="47" t="s">
        <v>44</v>
      </c>
      <c r="B589" s="47" t="str">
        <f t="shared" si="148"/>
        <v>August</v>
      </c>
      <c r="C589" s="59">
        <v>45530</v>
      </c>
      <c r="D589" s="47" t="s">
        <v>2086</v>
      </c>
      <c r="E589" s="47" t="s">
        <v>3146</v>
      </c>
      <c r="F589" s="47" t="s">
        <v>3147</v>
      </c>
      <c r="G589" s="47" t="s">
        <v>3148</v>
      </c>
      <c r="H589" s="47" t="s">
        <v>3149</v>
      </c>
      <c r="I589" s="47" t="s">
        <v>3150</v>
      </c>
      <c r="J589" s="47" t="s">
        <v>51</v>
      </c>
      <c r="K589" s="48">
        <v>43035</v>
      </c>
      <c r="L589" s="48">
        <v>45165</v>
      </c>
      <c r="M589" s="48">
        <v>45530</v>
      </c>
      <c r="N589" s="47" t="s">
        <v>64</v>
      </c>
      <c r="O589" s="55" t="s">
        <v>53</v>
      </c>
      <c r="P589" s="62">
        <v>7200</v>
      </c>
      <c r="Q589" s="62">
        <v>600</v>
      </c>
      <c r="R589" s="103">
        <v>7200</v>
      </c>
      <c r="S589" s="62">
        <f t="shared" si="149"/>
        <v>600</v>
      </c>
      <c r="T589" s="62">
        <v>7200</v>
      </c>
      <c r="U589" s="62">
        <f t="shared" ref="U589:U620" si="155">T589/12</f>
        <v>600</v>
      </c>
      <c r="V589" s="69">
        <v>6960</v>
      </c>
      <c r="W589" s="71" t="s">
        <v>123</v>
      </c>
      <c r="X589" s="71"/>
      <c r="Y589" s="71"/>
      <c r="Z589" s="64" t="e">
        <f t="shared" si="151"/>
        <v>#VALUE!</v>
      </c>
      <c r="AA589" s="64" t="e">
        <f t="shared" si="143"/>
        <v>#VALUE!</v>
      </c>
      <c r="AB589" s="71"/>
      <c r="AC589" s="64">
        <f t="shared" si="152"/>
        <v>-1</v>
      </c>
      <c r="AD589" s="64">
        <f t="shared" si="146"/>
        <v>-1</v>
      </c>
      <c r="AE589" s="71">
        <f t="shared" ref="AE589:AE594" si="156">AB589</f>
        <v>0</v>
      </c>
      <c r="AF589" s="64">
        <f t="shared" si="153"/>
        <v>-1</v>
      </c>
      <c r="AG589" s="64">
        <f t="shared" si="147"/>
        <v>-1</v>
      </c>
      <c r="AH589" s="67"/>
      <c r="AI589" s="47" t="s">
        <v>250</v>
      </c>
      <c r="AJ589" s="47">
        <v>667.36</v>
      </c>
      <c r="AK589" s="47" t="s">
        <v>65</v>
      </c>
      <c r="AL589" s="47" t="s">
        <v>55</v>
      </c>
      <c r="AM589" s="47" t="s">
        <v>3151</v>
      </c>
      <c r="AN589" s="47"/>
      <c r="AO589" s="211">
        <f t="shared" si="154"/>
        <v>-1</v>
      </c>
      <c r="AP589" s="47" t="s">
        <v>1614</v>
      </c>
      <c r="AQ589" s="47" t="s">
        <v>131</v>
      </c>
      <c r="AR589" s="47"/>
    </row>
    <row r="590" spans="1:44">
      <c r="A590" s="47" t="s">
        <v>44</v>
      </c>
      <c r="B590" s="47" t="str">
        <f t="shared" si="148"/>
        <v>August</v>
      </c>
      <c r="C590" s="59">
        <v>45535</v>
      </c>
      <c r="D590" s="47" t="s">
        <v>2086</v>
      </c>
      <c r="E590" s="47" t="s">
        <v>3146</v>
      </c>
      <c r="F590" s="47" t="s">
        <v>3147</v>
      </c>
      <c r="G590" s="47" t="s">
        <v>3753</v>
      </c>
      <c r="H590" s="47" t="s">
        <v>3754</v>
      </c>
      <c r="I590" s="47" t="s">
        <v>3150</v>
      </c>
      <c r="J590" s="47" t="s">
        <v>51</v>
      </c>
      <c r="K590" s="48">
        <v>41241</v>
      </c>
      <c r="L590" s="48">
        <v>45170</v>
      </c>
      <c r="M590" s="48">
        <v>45535</v>
      </c>
      <c r="N590" s="47" t="s">
        <v>64</v>
      </c>
      <c r="O590" s="55" t="s">
        <v>53</v>
      </c>
      <c r="P590" s="62">
        <v>7200</v>
      </c>
      <c r="Q590" s="62">
        <v>600</v>
      </c>
      <c r="R590" s="103">
        <v>7200</v>
      </c>
      <c r="S590" s="62">
        <f t="shared" si="149"/>
        <v>600</v>
      </c>
      <c r="T590" s="62">
        <v>7200</v>
      </c>
      <c r="U590" s="62">
        <f t="shared" si="155"/>
        <v>600</v>
      </c>
      <c r="V590" s="69">
        <v>6960</v>
      </c>
      <c r="W590" s="71" t="s">
        <v>123</v>
      </c>
      <c r="X590" s="71"/>
      <c r="Y590" s="71"/>
      <c r="Z590" s="64" t="e">
        <f t="shared" si="151"/>
        <v>#VALUE!</v>
      </c>
      <c r="AA590" s="64" t="e">
        <f t="shared" si="143"/>
        <v>#VALUE!</v>
      </c>
      <c r="AB590" s="71"/>
      <c r="AC590" s="64">
        <f t="shared" si="152"/>
        <v>-1</v>
      </c>
      <c r="AD590" s="64">
        <f t="shared" si="146"/>
        <v>-1</v>
      </c>
      <c r="AE590" s="71">
        <f t="shared" si="156"/>
        <v>0</v>
      </c>
      <c r="AF590" s="64">
        <f t="shared" si="153"/>
        <v>-1</v>
      </c>
      <c r="AG590" s="64">
        <f t="shared" si="147"/>
        <v>-1</v>
      </c>
      <c r="AH590" s="67"/>
      <c r="AI590" s="47" t="s">
        <v>54</v>
      </c>
      <c r="AJ590" s="47">
        <v>624.30999999999995</v>
      </c>
      <c r="AK590" s="47" t="s">
        <v>65</v>
      </c>
      <c r="AL590" s="47" t="s">
        <v>55</v>
      </c>
      <c r="AM590" s="47" t="s">
        <v>3151</v>
      </c>
      <c r="AN590" s="47"/>
      <c r="AO590" s="211">
        <f t="shared" si="154"/>
        <v>-1</v>
      </c>
      <c r="AP590" s="47" t="s">
        <v>1614</v>
      </c>
      <c r="AQ590" s="47" t="s">
        <v>131</v>
      </c>
      <c r="AR590" s="47"/>
    </row>
    <row r="591" spans="1:44" hidden="1">
      <c r="A591" s="47" t="s">
        <v>44</v>
      </c>
      <c r="B591" s="47" t="str">
        <f t="shared" si="148"/>
        <v>August</v>
      </c>
      <c r="C591" s="59">
        <v>45505</v>
      </c>
      <c r="D591" s="47" t="s">
        <v>45</v>
      </c>
      <c r="E591" s="47" t="s">
        <v>46</v>
      </c>
      <c r="F591" s="47" t="s">
        <v>47</v>
      </c>
      <c r="G591" s="91" t="s">
        <v>48</v>
      </c>
      <c r="H591" s="47" t="s">
        <v>49</v>
      </c>
      <c r="I591" s="57" t="s">
        <v>50</v>
      </c>
      <c r="J591" s="47" t="s">
        <v>51</v>
      </c>
      <c r="K591" s="48">
        <v>45140</v>
      </c>
      <c r="L591" s="48">
        <v>45140</v>
      </c>
      <c r="M591" s="48">
        <v>45505</v>
      </c>
      <c r="N591" s="47" t="s">
        <v>52</v>
      </c>
      <c r="O591" s="55" t="s">
        <v>53</v>
      </c>
      <c r="P591" s="62">
        <v>12240</v>
      </c>
      <c r="Q591" s="62">
        <v>1020</v>
      </c>
      <c r="R591" s="96">
        <v>12900</v>
      </c>
      <c r="S591" s="62">
        <f t="shared" si="149"/>
        <v>1075</v>
      </c>
      <c r="T591" s="62">
        <v>12240</v>
      </c>
      <c r="U591" s="62">
        <f t="shared" si="155"/>
        <v>1020</v>
      </c>
      <c r="V591" s="69">
        <v>11100</v>
      </c>
      <c r="W591" s="71">
        <v>1080</v>
      </c>
      <c r="X591" s="105">
        <f>W591-(W591*4%)</f>
        <v>1036.8</v>
      </c>
      <c r="Y591" s="176">
        <f t="shared" ref="Y591:Y637" si="157">(X591-U591)/U591</f>
        <v>1.6470588235294074E-2</v>
      </c>
      <c r="Z591" s="64">
        <f t="shared" si="151"/>
        <v>5.8823529411764705E-2</v>
      </c>
      <c r="AA591" s="64">
        <f t="shared" si="143"/>
        <v>4.6511627906976744E-3</v>
      </c>
      <c r="AB591" s="71">
        <f t="shared" ref="AB591:AB637" si="158">W591</f>
        <v>1080</v>
      </c>
      <c r="AC591" s="64">
        <f t="shared" si="152"/>
        <v>5.8823529411764705E-2</v>
      </c>
      <c r="AD591" s="64">
        <f t="shared" si="146"/>
        <v>4.6511627906976744E-3</v>
      </c>
      <c r="AE591" s="71">
        <f t="shared" si="156"/>
        <v>1080</v>
      </c>
      <c r="AF591" s="64">
        <f t="shared" si="153"/>
        <v>5.8823529411764705E-2</v>
      </c>
      <c r="AG591" s="64">
        <f t="shared" si="147"/>
        <v>4.6511627906976744E-3</v>
      </c>
      <c r="AH591" s="67"/>
      <c r="AI591" s="47" t="s">
        <v>54</v>
      </c>
      <c r="AJ591" s="47">
        <v>455</v>
      </c>
      <c r="AK591" s="47" t="s">
        <v>55</v>
      </c>
      <c r="AL591" s="47" t="s">
        <v>55</v>
      </c>
      <c r="AM591" s="47" t="s">
        <v>56</v>
      </c>
      <c r="AN591" s="50"/>
      <c r="AO591" s="211">
        <f t="shared" si="154"/>
        <v>-1</v>
      </c>
      <c r="AP591" s="47" t="s">
        <v>57</v>
      </c>
      <c r="AQ591" s="47" t="s">
        <v>58</v>
      </c>
      <c r="AR591" s="47"/>
    </row>
    <row r="592" spans="1:44">
      <c r="A592" s="47" t="s">
        <v>44</v>
      </c>
      <c r="B592" s="47" t="str">
        <f t="shared" si="148"/>
        <v>July</v>
      </c>
      <c r="C592" s="59">
        <v>45487</v>
      </c>
      <c r="D592" s="47" t="s">
        <v>45</v>
      </c>
      <c r="E592" s="47" t="s">
        <v>46</v>
      </c>
      <c r="F592" s="47" t="s">
        <v>47</v>
      </c>
      <c r="G592" s="91" t="s">
        <v>71</v>
      </c>
      <c r="H592" s="47" t="s">
        <v>72</v>
      </c>
      <c r="I592" s="47" t="s">
        <v>50</v>
      </c>
      <c r="J592" s="47" t="s">
        <v>51</v>
      </c>
      <c r="K592" s="48">
        <v>44757</v>
      </c>
      <c r="L592" s="48">
        <v>45122</v>
      </c>
      <c r="M592" s="48">
        <v>45487</v>
      </c>
      <c r="N592" s="47" t="s">
        <v>64</v>
      </c>
      <c r="O592" s="55" t="s">
        <v>53</v>
      </c>
      <c r="P592" s="62">
        <v>16560</v>
      </c>
      <c r="Q592" s="62">
        <v>1380</v>
      </c>
      <c r="R592" s="96">
        <v>17160</v>
      </c>
      <c r="S592" s="62">
        <f t="shared" si="149"/>
        <v>1430</v>
      </c>
      <c r="T592" s="62">
        <v>16560</v>
      </c>
      <c r="U592" s="62">
        <f t="shared" si="155"/>
        <v>1380</v>
      </c>
      <c r="V592" s="69">
        <v>15240</v>
      </c>
      <c r="W592" s="71">
        <v>1400</v>
      </c>
      <c r="X592" s="172">
        <f>W592-(W592*4%)</f>
        <v>1344</v>
      </c>
      <c r="Y592" s="173">
        <f t="shared" si="157"/>
        <v>-2.6086956521739129E-2</v>
      </c>
      <c r="Z592" s="64">
        <f t="shared" si="151"/>
        <v>1.4492753623188406E-2</v>
      </c>
      <c r="AA592" s="64">
        <f t="shared" si="143"/>
        <v>-2.097902097902098E-2</v>
      </c>
      <c r="AB592" s="71">
        <f t="shared" si="158"/>
        <v>1400</v>
      </c>
      <c r="AC592" s="64">
        <f t="shared" si="152"/>
        <v>1.4492753623188406E-2</v>
      </c>
      <c r="AD592" s="64">
        <f t="shared" si="146"/>
        <v>-2.097902097902098E-2</v>
      </c>
      <c r="AE592" s="71">
        <f t="shared" si="156"/>
        <v>1400</v>
      </c>
      <c r="AF592" s="64">
        <f t="shared" si="153"/>
        <v>1.4492753623188406E-2</v>
      </c>
      <c r="AG592" s="64">
        <f t="shared" si="147"/>
        <v>-2.097902097902098E-2</v>
      </c>
      <c r="AH592" s="67"/>
      <c r="AI592" s="47" t="s">
        <v>54</v>
      </c>
      <c r="AJ592" s="47">
        <v>753</v>
      </c>
      <c r="AK592" s="101" t="s">
        <v>65</v>
      </c>
      <c r="AL592" s="101" t="s">
        <v>65</v>
      </c>
      <c r="AM592" s="47" t="s">
        <v>73</v>
      </c>
      <c r="AN592" s="50"/>
      <c r="AO592" s="211">
        <f t="shared" si="154"/>
        <v>-1</v>
      </c>
      <c r="AP592" s="47" t="s">
        <v>57</v>
      </c>
      <c r="AQ592" s="47" t="s">
        <v>58</v>
      </c>
      <c r="AR592" s="47"/>
    </row>
    <row r="593" spans="1:44" hidden="1">
      <c r="A593" s="47" t="s">
        <v>44</v>
      </c>
      <c r="B593" s="47" t="str">
        <f t="shared" si="148"/>
        <v>July</v>
      </c>
      <c r="C593" s="59">
        <v>45487</v>
      </c>
      <c r="D593" s="47" t="s">
        <v>45</v>
      </c>
      <c r="E593" s="47" t="s">
        <v>46</v>
      </c>
      <c r="F593" s="47" t="s">
        <v>47</v>
      </c>
      <c r="G593" s="91" t="s">
        <v>138</v>
      </c>
      <c r="H593" s="47" t="s">
        <v>139</v>
      </c>
      <c r="I593" s="47" t="s">
        <v>50</v>
      </c>
      <c r="J593" s="47" t="s">
        <v>51</v>
      </c>
      <c r="K593" s="48">
        <v>45122</v>
      </c>
      <c r="L593" s="48">
        <v>45122</v>
      </c>
      <c r="M593" s="48">
        <v>45487</v>
      </c>
      <c r="N593" s="47" t="s">
        <v>52</v>
      </c>
      <c r="O593" s="55" t="s">
        <v>53</v>
      </c>
      <c r="P593" s="62">
        <v>22140</v>
      </c>
      <c r="Q593" s="62">
        <v>1845</v>
      </c>
      <c r="R593" s="96">
        <v>22800</v>
      </c>
      <c r="S593" s="62">
        <f t="shared" si="149"/>
        <v>1900</v>
      </c>
      <c r="T593" s="62">
        <v>22140</v>
      </c>
      <c r="U593" s="62">
        <f t="shared" si="155"/>
        <v>1845</v>
      </c>
      <c r="V593" s="69">
        <v>20400</v>
      </c>
      <c r="W593" s="71">
        <v>1910</v>
      </c>
      <c r="X593" s="172">
        <f>W593-(W593*4%)</f>
        <v>1833.6</v>
      </c>
      <c r="Y593" s="173">
        <f t="shared" si="157"/>
        <v>-6.1788617886179356E-3</v>
      </c>
      <c r="Z593" s="64">
        <f t="shared" si="151"/>
        <v>3.5230352303523033E-2</v>
      </c>
      <c r="AA593" s="64">
        <f t="shared" si="143"/>
        <v>5.263157894736842E-3</v>
      </c>
      <c r="AB593" s="71">
        <f t="shared" si="158"/>
        <v>1910</v>
      </c>
      <c r="AC593" s="64">
        <f t="shared" si="152"/>
        <v>3.5230352303523033E-2</v>
      </c>
      <c r="AD593" s="64">
        <f t="shared" si="146"/>
        <v>5.263157894736842E-3</v>
      </c>
      <c r="AE593" s="71">
        <f t="shared" si="156"/>
        <v>1910</v>
      </c>
      <c r="AF593" s="64">
        <f t="shared" si="153"/>
        <v>3.5230352303523033E-2</v>
      </c>
      <c r="AG593" s="64">
        <f t="shared" si="147"/>
        <v>5.263157894736842E-3</v>
      </c>
      <c r="AH593" s="67"/>
      <c r="AI593" s="47" t="s">
        <v>54</v>
      </c>
      <c r="AJ593" s="47">
        <v>926</v>
      </c>
      <c r="AK593" s="101" t="s">
        <v>140</v>
      </c>
      <c r="AL593" s="101" t="s">
        <v>65</v>
      </c>
      <c r="AM593" s="47" t="s">
        <v>141</v>
      </c>
      <c r="AN593" s="50"/>
      <c r="AO593" s="211">
        <f t="shared" si="154"/>
        <v>-1</v>
      </c>
      <c r="AP593" s="47" t="s">
        <v>57</v>
      </c>
      <c r="AQ593" s="47" t="s">
        <v>58</v>
      </c>
      <c r="AR593" s="47"/>
    </row>
    <row r="594" spans="1:44" hidden="1">
      <c r="A594" s="47" t="s">
        <v>44</v>
      </c>
      <c r="B594" s="47" t="str">
        <f t="shared" si="148"/>
        <v>August</v>
      </c>
      <c r="C594" s="59">
        <v>45506</v>
      </c>
      <c r="D594" s="47" t="s">
        <v>45</v>
      </c>
      <c r="E594" s="47" t="s">
        <v>46</v>
      </c>
      <c r="F594" s="47" t="s">
        <v>47</v>
      </c>
      <c r="G594" s="91" t="s">
        <v>147</v>
      </c>
      <c r="H594" s="47" t="s">
        <v>148</v>
      </c>
      <c r="I594" s="47" t="s">
        <v>50</v>
      </c>
      <c r="J594" s="47" t="s">
        <v>51</v>
      </c>
      <c r="K594" s="48">
        <v>45141</v>
      </c>
      <c r="L594" s="48">
        <v>45141</v>
      </c>
      <c r="M594" s="48">
        <v>45506</v>
      </c>
      <c r="N594" s="47" t="s">
        <v>52</v>
      </c>
      <c r="O594" s="55" t="s">
        <v>53</v>
      </c>
      <c r="P594" s="62">
        <v>12780</v>
      </c>
      <c r="Q594" s="62">
        <v>1065</v>
      </c>
      <c r="R594" s="96">
        <v>13500</v>
      </c>
      <c r="S594" s="62">
        <f t="shared" si="149"/>
        <v>1125</v>
      </c>
      <c r="T594" s="62">
        <v>12780</v>
      </c>
      <c r="U594" s="62">
        <f t="shared" si="155"/>
        <v>1065</v>
      </c>
      <c r="V594" s="69">
        <v>11580</v>
      </c>
      <c r="W594" s="71">
        <v>1120</v>
      </c>
      <c r="X594" s="105">
        <v>1075</v>
      </c>
      <c r="Y594" s="176">
        <f t="shared" si="157"/>
        <v>9.3896713615023476E-3</v>
      </c>
      <c r="Z594" s="64">
        <f t="shared" si="151"/>
        <v>5.1643192488262914E-2</v>
      </c>
      <c r="AA594" s="64">
        <f t="shared" si="143"/>
        <v>-4.4444444444444444E-3</v>
      </c>
      <c r="AB594" s="71">
        <f t="shared" si="158"/>
        <v>1120</v>
      </c>
      <c r="AC594" s="64">
        <f t="shared" si="152"/>
        <v>5.1643192488262914E-2</v>
      </c>
      <c r="AD594" s="64">
        <f t="shared" si="146"/>
        <v>-4.4444444444444444E-3</v>
      </c>
      <c r="AE594" s="71">
        <f t="shared" si="156"/>
        <v>1120</v>
      </c>
      <c r="AF594" s="64">
        <f t="shared" si="153"/>
        <v>5.1643192488262914E-2</v>
      </c>
      <c r="AG594" s="64">
        <f t="shared" si="147"/>
        <v>-4.4444444444444444E-3</v>
      </c>
      <c r="AH594" s="67"/>
      <c r="AI594" s="47" t="s">
        <v>54</v>
      </c>
      <c r="AJ594" s="47">
        <v>455</v>
      </c>
      <c r="AK594" s="47" t="s">
        <v>55</v>
      </c>
      <c r="AL594" s="47" t="s">
        <v>55</v>
      </c>
      <c r="AM594" s="47" t="s">
        <v>149</v>
      </c>
      <c r="AN594" s="50"/>
      <c r="AO594" s="211">
        <f t="shared" si="154"/>
        <v>-1</v>
      </c>
      <c r="AP594" s="47" t="s">
        <v>57</v>
      </c>
      <c r="AQ594" s="47" t="s">
        <v>58</v>
      </c>
      <c r="AR594" s="47"/>
    </row>
    <row r="595" spans="1:44" hidden="1">
      <c r="A595" s="47" t="s">
        <v>44</v>
      </c>
      <c r="B595" s="47" t="str">
        <f t="shared" si="148"/>
        <v>July</v>
      </c>
      <c r="C595" s="59">
        <v>45478</v>
      </c>
      <c r="D595" s="47" t="s">
        <v>45</v>
      </c>
      <c r="E595" s="47" t="s">
        <v>46</v>
      </c>
      <c r="F595" s="47" t="s">
        <v>47</v>
      </c>
      <c r="G595" s="91" t="s">
        <v>235</v>
      </c>
      <c r="H595" s="47" t="s">
        <v>236</v>
      </c>
      <c r="I595" s="47" t="s">
        <v>50</v>
      </c>
      <c r="J595" s="47" t="s">
        <v>51</v>
      </c>
      <c r="K595" s="48">
        <v>45113</v>
      </c>
      <c r="L595" s="48">
        <v>45113</v>
      </c>
      <c r="M595" s="48">
        <v>45478</v>
      </c>
      <c r="N595" s="47" t="s">
        <v>52</v>
      </c>
      <c r="O595" s="55" t="s">
        <v>53</v>
      </c>
      <c r="P595" s="62">
        <v>16320</v>
      </c>
      <c r="Q595" s="62">
        <v>1360</v>
      </c>
      <c r="R595" s="96">
        <v>16920</v>
      </c>
      <c r="S595" s="62">
        <f t="shared" si="149"/>
        <v>1410</v>
      </c>
      <c r="T595" s="62">
        <v>16320</v>
      </c>
      <c r="U595" s="62">
        <f t="shared" si="155"/>
        <v>1360</v>
      </c>
      <c r="V595" s="69">
        <v>14880</v>
      </c>
      <c r="W595" s="71">
        <v>1430</v>
      </c>
      <c r="X595" s="105">
        <f>W595-(W595*4%)</f>
        <v>1372.8</v>
      </c>
      <c r="Y595" s="176">
        <f t="shared" si="157"/>
        <v>9.4117647058823192E-3</v>
      </c>
      <c r="Z595" s="64">
        <f t="shared" si="151"/>
        <v>5.1470588235294115E-2</v>
      </c>
      <c r="AA595" s="64">
        <f t="shared" si="143"/>
        <v>1.4184397163120567E-2</v>
      </c>
      <c r="AB595" s="71">
        <f t="shared" si="158"/>
        <v>1430</v>
      </c>
      <c r="AC595" s="64">
        <f t="shared" si="152"/>
        <v>5.1470588235294115E-2</v>
      </c>
      <c r="AD595" s="64">
        <f t="shared" si="146"/>
        <v>1.4184397163120567E-2</v>
      </c>
      <c r="AE595" s="71">
        <v>1415</v>
      </c>
      <c r="AF595" s="64">
        <f t="shared" si="153"/>
        <v>4.0441176470588237E-2</v>
      </c>
      <c r="AG595" s="64">
        <f t="shared" si="147"/>
        <v>3.5460992907801418E-3</v>
      </c>
      <c r="AH595" s="67"/>
      <c r="AI595" s="47" t="s">
        <v>54</v>
      </c>
      <c r="AJ595" s="47">
        <v>760</v>
      </c>
      <c r="AK595" s="101" t="s">
        <v>65</v>
      </c>
      <c r="AL595" s="101" t="s">
        <v>65</v>
      </c>
      <c r="AM595" s="47" t="s">
        <v>237</v>
      </c>
      <c r="AN595" s="50">
        <v>1390</v>
      </c>
      <c r="AO595" s="211">
        <f t="shared" si="154"/>
        <v>2.2058823529411766E-2</v>
      </c>
      <c r="AP595" s="47" t="s">
        <v>57</v>
      </c>
      <c r="AQ595" s="47" t="s">
        <v>58</v>
      </c>
      <c r="AR595" s="47"/>
    </row>
    <row r="596" spans="1:44" hidden="1">
      <c r="A596" s="47" t="s">
        <v>44</v>
      </c>
      <c r="B596" s="47" t="str">
        <f t="shared" si="148"/>
        <v>July</v>
      </c>
      <c r="C596" s="59">
        <v>45480</v>
      </c>
      <c r="D596" s="47" t="s">
        <v>45</v>
      </c>
      <c r="E596" s="47" t="s">
        <v>46</v>
      </c>
      <c r="F596" s="47" t="s">
        <v>47</v>
      </c>
      <c r="G596" s="91" t="s">
        <v>243</v>
      </c>
      <c r="H596" s="47" t="s">
        <v>244</v>
      </c>
      <c r="I596" s="57" t="s">
        <v>50</v>
      </c>
      <c r="J596" s="47" t="s">
        <v>51</v>
      </c>
      <c r="K596" s="48">
        <v>45115</v>
      </c>
      <c r="L596" s="48">
        <v>45115</v>
      </c>
      <c r="M596" s="48">
        <v>45480</v>
      </c>
      <c r="N596" s="47" t="s">
        <v>52</v>
      </c>
      <c r="O596" s="55" t="s">
        <v>53</v>
      </c>
      <c r="P596" s="62">
        <v>22200</v>
      </c>
      <c r="Q596" s="62">
        <v>1850</v>
      </c>
      <c r="R596" s="96">
        <v>22860</v>
      </c>
      <c r="S596" s="62">
        <f t="shared" si="149"/>
        <v>1905</v>
      </c>
      <c r="T596" s="62">
        <v>21900</v>
      </c>
      <c r="U596" s="62">
        <f t="shared" si="155"/>
        <v>1825</v>
      </c>
      <c r="V596" s="69">
        <v>20640</v>
      </c>
      <c r="W596" s="115">
        <v>1920</v>
      </c>
      <c r="X596" s="105">
        <f>W596-(W596*4%)</f>
        <v>1843.2</v>
      </c>
      <c r="Y596" s="176">
        <f t="shared" si="157"/>
        <v>9.9726027397260518E-3</v>
      </c>
      <c r="Z596" s="64">
        <f t="shared" si="151"/>
        <v>5.2054794520547946E-2</v>
      </c>
      <c r="AA596" s="64">
        <f t="shared" si="143"/>
        <v>7.874015748031496E-3</v>
      </c>
      <c r="AB596" s="71">
        <f t="shared" si="158"/>
        <v>1920</v>
      </c>
      <c r="AC596" s="64">
        <f t="shared" si="152"/>
        <v>5.2054794520547946E-2</v>
      </c>
      <c r="AD596" s="64">
        <f t="shared" si="146"/>
        <v>7.874015748031496E-3</v>
      </c>
      <c r="AE596" s="71">
        <f>AB596</f>
        <v>1920</v>
      </c>
      <c r="AF596" s="64">
        <f t="shared" si="153"/>
        <v>5.2054794520547946E-2</v>
      </c>
      <c r="AG596" s="64">
        <f t="shared" si="147"/>
        <v>7.874015748031496E-3</v>
      </c>
      <c r="AH596" s="67"/>
      <c r="AI596" s="47" t="s">
        <v>54</v>
      </c>
      <c r="AJ596" s="47">
        <v>926</v>
      </c>
      <c r="AK596" s="101" t="s">
        <v>140</v>
      </c>
      <c r="AL596" s="101" t="s">
        <v>65</v>
      </c>
      <c r="AM596" s="47" t="s">
        <v>141</v>
      </c>
      <c r="AN596" s="50"/>
      <c r="AO596" s="211">
        <f t="shared" si="154"/>
        <v>-1</v>
      </c>
      <c r="AP596" s="47" t="s">
        <v>57</v>
      </c>
      <c r="AQ596" s="47" t="s">
        <v>58</v>
      </c>
      <c r="AR596" s="47"/>
    </row>
    <row r="597" spans="1:44" hidden="1">
      <c r="A597" s="47" t="s">
        <v>44</v>
      </c>
      <c r="B597" s="47" t="str">
        <f t="shared" si="148"/>
        <v>July</v>
      </c>
      <c r="C597" s="59">
        <v>45501</v>
      </c>
      <c r="D597" s="47" t="s">
        <v>45</v>
      </c>
      <c r="E597" s="47" t="s">
        <v>46</v>
      </c>
      <c r="F597" s="47" t="s">
        <v>47</v>
      </c>
      <c r="G597" s="91" t="s">
        <v>248</v>
      </c>
      <c r="H597" s="47" t="s">
        <v>249</v>
      </c>
      <c r="I597" s="47" t="s">
        <v>50</v>
      </c>
      <c r="J597" s="47" t="s">
        <v>51</v>
      </c>
      <c r="K597" s="48">
        <v>45136</v>
      </c>
      <c r="L597" s="48">
        <v>45136</v>
      </c>
      <c r="M597" s="48">
        <v>45501</v>
      </c>
      <c r="N597" s="47" t="s">
        <v>52</v>
      </c>
      <c r="O597" s="55" t="s">
        <v>53</v>
      </c>
      <c r="P597" s="62">
        <v>16080</v>
      </c>
      <c r="Q597" s="62">
        <v>1340</v>
      </c>
      <c r="R597" s="96">
        <v>16620</v>
      </c>
      <c r="S597" s="62">
        <f t="shared" si="149"/>
        <v>1385</v>
      </c>
      <c r="T597" s="62">
        <v>16080</v>
      </c>
      <c r="U597" s="62">
        <f t="shared" si="155"/>
        <v>1340</v>
      </c>
      <c r="V597" s="69">
        <v>15540</v>
      </c>
      <c r="W597" s="71">
        <v>1410</v>
      </c>
      <c r="X597" s="105">
        <v>1354</v>
      </c>
      <c r="Y597" s="176">
        <f t="shared" si="157"/>
        <v>1.0447761194029851E-2</v>
      </c>
      <c r="Z597" s="64">
        <f t="shared" si="151"/>
        <v>5.2238805970149252E-2</v>
      </c>
      <c r="AA597" s="64">
        <f t="shared" si="143"/>
        <v>1.8050541516245487E-2</v>
      </c>
      <c r="AB597" s="71">
        <f t="shared" si="158"/>
        <v>1410</v>
      </c>
      <c r="AC597" s="64">
        <f t="shared" si="152"/>
        <v>5.2238805970149252E-2</v>
      </c>
      <c r="AD597" s="64">
        <f t="shared" si="146"/>
        <v>1.8050541516245487E-2</v>
      </c>
      <c r="AE597" s="71">
        <v>1395</v>
      </c>
      <c r="AF597" s="64">
        <f t="shared" si="153"/>
        <v>4.1044776119402986E-2</v>
      </c>
      <c r="AG597" s="64">
        <f t="shared" si="147"/>
        <v>7.2202166064981952E-3</v>
      </c>
      <c r="AH597" s="67"/>
      <c r="AI597" s="47" t="s">
        <v>250</v>
      </c>
      <c r="AJ597" s="47">
        <v>760</v>
      </c>
      <c r="AK597" s="101" t="s">
        <v>65</v>
      </c>
      <c r="AL597" s="101" t="s">
        <v>65</v>
      </c>
      <c r="AM597" s="47" t="s">
        <v>237</v>
      </c>
      <c r="AN597" s="50">
        <v>1375</v>
      </c>
      <c r="AO597" s="211">
        <f t="shared" si="154"/>
        <v>2.6119402985074626E-2</v>
      </c>
      <c r="AP597" s="47" t="s">
        <v>57</v>
      </c>
      <c r="AQ597" s="47" t="s">
        <v>58</v>
      </c>
      <c r="AR597" s="47"/>
    </row>
    <row r="598" spans="1:44" hidden="1">
      <c r="A598" s="47" t="s">
        <v>44</v>
      </c>
      <c r="B598" s="47" t="str">
        <f t="shared" si="148"/>
        <v>July</v>
      </c>
      <c r="C598" s="59">
        <v>45483</v>
      </c>
      <c r="D598" s="47" t="s">
        <v>45</v>
      </c>
      <c r="E598" s="47" t="s">
        <v>46</v>
      </c>
      <c r="F598" s="47" t="s">
        <v>47</v>
      </c>
      <c r="G598" s="91" t="s">
        <v>251</v>
      </c>
      <c r="H598" s="47" t="s">
        <v>252</v>
      </c>
      <c r="I598" s="47" t="s">
        <v>50</v>
      </c>
      <c r="J598" s="47" t="s">
        <v>51</v>
      </c>
      <c r="K598" s="48">
        <v>45118</v>
      </c>
      <c r="L598" s="48">
        <v>45118</v>
      </c>
      <c r="M598" s="48">
        <v>45483</v>
      </c>
      <c r="N598" s="47" t="s">
        <v>52</v>
      </c>
      <c r="O598" s="55" t="s">
        <v>53</v>
      </c>
      <c r="P598" s="62">
        <v>15600</v>
      </c>
      <c r="Q598" s="62">
        <v>1300</v>
      </c>
      <c r="R598" s="96">
        <v>16140</v>
      </c>
      <c r="S598" s="62">
        <f t="shared" si="149"/>
        <v>1345</v>
      </c>
      <c r="T598" s="62">
        <v>15540</v>
      </c>
      <c r="U598" s="62">
        <f t="shared" si="155"/>
        <v>1295</v>
      </c>
      <c r="V598" s="69">
        <v>15060</v>
      </c>
      <c r="W598" s="71">
        <v>1365</v>
      </c>
      <c r="X598" s="105">
        <v>1310</v>
      </c>
      <c r="Y598" s="176">
        <f t="shared" si="157"/>
        <v>1.1583011583011582E-2</v>
      </c>
      <c r="Z598" s="64">
        <f t="shared" si="151"/>
        <v>5.4054054054054057E-2</v>
      </c>
      <c r="AA598" s="64">
        <f t="shared" si="143"/>
        <v>1.4869888475836431E-2</v>
      </c>
      <c r="AB598" s="71">
        <f t="shared" si="158"/>
        <v>1365</v>
      </c>
      <c r="AC598" s="64">
        <f t="shared" si="152"/>
        <v>5.4054054054054057E-2</v>
      </c>
      <c r="AD598" s="64">
        <f t="shared" si="146"/>
        <v>1.4869888475836431E-2</v>
      </c>
      <c r="AE598" s="71">
        <v>1355</v>
      </c>
      <c r="AF598" s="64">
        <f t="shared" si="153"/>
        <v>4.633204633204633E-2</v>
      </c>
      <c r="AG598" s="64">
        <f t="shared" si="147"/>
        <v>7.4349442379182153E-3</v>
      </c>
      <c r="AH598" s="67"/>
      <c r="AI598" s="47" t="s">
        <v>54</v>
      </c>
      <c r="AJ598" s="47">
        <v>753</v>
      </c>
      <c r="AK598" s="101" t="s">
        <v>65</v>
      </c>
      <c r="AL598" s="101" t="s">
        <v>65</v>
      </c>
      <c r="AM598" s="47" t="s">
        <v>73</v>
      </c>
      <c r="AN598" s="50">
        <v>1325</v>
      </c>
      <c r="AO598" s="211">
        <f t="shared" si="154"/>
        <v>2.3166023166023165E-2</v>
      </c>
      <c r="AP598" s="47" t="s">
        <v>57</v>
      </c>
      <c r="AQ598" s="47" t="s">
        <v>58</v>
      </c>
      <c r="AR598" s="47"/>
    </row>
    <row r="599" spans="1:44" hidden="1">
      <c r="A599" s="47" t="s">
        <v>44</v>
      </c>
      <c r="B599" s="47" t="str">
        <f t="shared" si="148"/>
        <v>July</v>
      </c>
      <c r="C599" s="59">
        <v>45483</v>
      </c>
      <c r="D599" s="47" t="s">
        <v>45</v>
      </c>
      <c r="E599" s="47" t="s">
        <v>46</v>
      </c>
      <c r="F599" s="47" t="s">
        <v>47</v>
      </c>
      <c r="G599" s="91" t="s">
        <v>258</v>
      </c>
      <c r="H599" s="47" t="s">
        <v>259</v>
      </c>
      <c r="I599" s="47" t="s">
        <v>50</v>
      </c>
      <c r="J599" s="47" t="s">
        <v>51</v>
      </c>
      <c r="K599" s="48">
        <v>45118</v>
      </c>
      <c r="L599" s="48">
        <v>45118</v>
      </c>
      <c r="M599" s="48">
        <v>45483</v>
      </c>
      <c r="N599" s="47" t="s">
        <v>52</v>
      </c>
      <c r="O599" s="55" t="s">
        <v>53</v>
      </c>
      <c r="P599" s="62">
        <v>13200</v>
      </c>
      <c r="Q599" s="62">
        <v>1100</v>
      </c>
      <c r="R599" s="96">
        <v>13920</v>
      </c>
      <c r="S599" s="62">
        <f t="shared" si="149"/>
        <v>1160</v>
      </c>
      <c r="T599" s="62">
        <v>13200</v>
      </c>
      <c r="U599" s="62">
        <f t="shared" si="155"/>
        <v>1100</v>
      </c>
      <c r="V599" s="69">
        <v>12120</v>
      </c>
      <c r="W599" s="71">
        <v>1160</v>
      </c>
      <c r="X599" s="105">
        <f t="shared" ref="X599:X606" si="159">W599-(W599*4%)</f>
        <v>1113.5999999999999</v>
      </c>
      <c r="Y599" s="176">
        <f t="shared" si="157"/>
        <v>1.2363636363636282E-2</v>
      </c>
      <c r="Z599" s="64">
        <f t="shared" si="151"/>
        <v>5.4545454545454543E-2</v>
      </c>
      <c r="AA599" s="64">
        <f t="shared" si="143"/>
        <v>0</v>
      </c>
      <c r="AB599" s="71">
        <f t="shared" si="158"/>
        <v>1160</v>
      </c>
      <c r="AC599" s="64">
        <f t="shared" si="152"/>
        <v>5.4545454545454543E-2</v>
      </c>
      <c r="AD599" s="64">
        <f t="shared" si="146"/>
        <v>0</v>
      </c>
      <c r="AE599" s="71">
        <f t="shared" ref="AE599:AE611" si="160">AB599</f>
        <v>1160</v>
      </c>
      <c r="AF599" s="64">
        <f t="shared" si="153"/>
        <v>5.4545454545454543E-2</v>
      </c>
      <c r="AG599" s="64">
        <f t="shared" si="147"/>
        <v>0</v>
      </c>
      <c r="AH599" s="67"/>
      <c r="AI599" s="47" t="s">
        <v>54</v>
      </c>
      <c r="AJ599" s="47">
        <v>479</v>
      </c>
      <c r="AK599" s="101" t="s">
        <v>55</v>
      </c>
      <c r="AL599" s="101" t="s">
        <v>55</v>
      </c>
      <c r="AM599" s="47" t="s">
        <v>260</v>
      </c>
      <c r="AN599" s="50">
        <v>1160</v>
      </c>
      <c r="AO599" s="211">
        <f t="shared" si="154"/>
        <v>5.4545454545454543E-2</v>
      </c>
      <c r="AP599" s="47" t="s">
        <v>57</v>
      </c>
      <c r="AQ599" s="47" t="s">
        <v>58</v>
      </c>
      <c r="AR599" s="47"/>
    </row>
    <row r="600" spans="1:44" hidden="1">
      <c r="A600" s="47" t="s">
        <v>44</v>
      </c>
      <c r="B600" s="47" t="str">
        <f t="shared" si="148"/>
        <v>July</v>
      </c>
      <c r="C600" s="59">
        <v>45504</v>
      </c>
      <c r="D600" s="47" t="s">
        <v>45</v>
      </c>
      <c r="E600" s="47" t="s">
        <v>46</v>
      </c>
      <c r="F600" s="47" t="s">
        <v>47</v>
      </c>
      <c r="G600" s="91" t="s">
        <v>261</v>
      </c>
      <c r="H600" s="47" t="s">
        <v>262</v>
      </c>
      <c r="I600" s="47" t="s">
        <v>50</v>
      </c>
      <c r="J600" s="47" t="s">
        <v>51</v>
      </c>
      <c r="K600" s="48">
        <v>45139</v>
      </c>
      <c r="L600" s="48">
        <v>45139</v>
      </c>
      <c r="M600" s="48">
        <v>45504</v>
      </c>
      <c r="N600" s="47" t="s">
        <v>52</v>
      </c>
      <c r="O600" s="55" t="s">
        <v>53</v>
      </c>
      <c r="P600" s="62">
        <v>12060</v>
      </c>
      <c r="Q600" s="62">
        <v>1005</v>
      </c>
      <c r="R600" s="96">
        <v>12720</v>
      </c>
      <c r="S600" s="62">
        <f t="shared" si="149"/>
        <v>1060</v>
      </c>
      <c r="T600" s="62">
        <v>12060</v>
      </c>
      <c r="U600" s="62">
        <f t="shared" si="155"/>
        <v>1005</v>
      </c>
      <c r="V600" s="69">
        <v>10920</v>
      </c>
      <c r="W600" s="71">
        <v>1060</v>
      </c>
      <c r="X600" s="105">
        <f t="shared" si="159"/>
        <v>1017.6</v>
      </c>
      <c r="Y600" s="176">
        <f t="shared" si="157"/>
        <v>1.2537313432835843E-2</v>
      </c>
      <c r="Z600" s="64">
        <f t="shared" si="151"/>
        <v>5.4726368159203981E-2</v>
      </c>
      <c r="AA600" s="64">
        <f t="shared" si="143"/>
        <v>0</v>
      </c>
      <c r="AB600" s="71">
        <f t="shared" si="158"/>
        <v>1060</v>
      </c>
      <c r="AC600" s="64">
        <f t="shared" si="152"/>
        <v>5.4726368159203981E-2</v>
      </c>
      <c r="AD600" s="64">
        <f t="shared" si="146"/>
        <v>0</v>
      </c>
      <c r="AE600" s="71">
        <f t="shared" si="160"/>
        <v>1060</v>
      </c>
      <c r="AF600" s="64">
        <f t="shared" si="153"/>
        <v>5.4726368159203981E-2</v>
      </c>
      <c r="AG600" s="64">
        <f t="shared" si="147"/>
        <v>0</v>
      </c>
      <c r="AH600" s="67"/>
      <c r="AI600" s="47" t="s">
        <v>54</v>
      </c>
      <c r="AJ600" s="47">
        <v>464</v>
      </c>
      <c r="AK600" s="101" t="s">
        <v>55</v>
      </c>
      <c r="AL600" s="101" t="s">
        <v>55</v>
      </c>
      <c r="AM600" s="47" t="s">
        <v>263</v>
      </c>
      <c r="AN600" s="50"/>
      <c r="AO600" s="211">
        <f t="shared" si="154"/>
        <v>-1</v>
      </c>
      <c r="AP600" s="47" t="s">
        <v>57</v>
      </c>
      <c r="AQ600" s="47" t="s">
        <v>58</v>
      </c>
      <c r="AR600" s="47"/>
    </row>
    <row r="601" spans="1:44" hidden="1">
      <c r="A601" s="47" t="s">
        <v>44</v>
      </c>
      <c r="B601" s="47" t="str">
        <f t="shared" si="148"/>
        <v>July</v>
      </c>
      <c r="C601" s="59">
        <v>45478</v>
      </c>
      <c r="D601" s="47" t="s">
        <v>45</v>
      </c>
      <c r="E601" s="47" t="s">
        <v>46</v>
      </c>
      <c r="F601" s="47" t="s">
        <v>47</v>
      </c>
      <c r="G601" s="91" t="s">
        <v>267</v>
      </c>
      <c r="H601" s="47" t="s">
        <v>268</v>
      </c>
      <c r="I601" s="47" t="s">
        <v>50</v>
      </c>
      <c r="J601" s="47" t="s">
        <v>51</v>
      </c>
      <c r="K601" s="48">
        <v>45113</v>
      </c>
      <c r="L601" s="48">
        <v>45113</v>
      </c>
      <c r="M601" s="48">
        <v>45478</v>
      </c>
      <c r="N601" s="47" t="s">
        <v>52</v>
      </c>
      <c r="O601" s="55" t="s">
        <v>53</v>
      </c>
      <c r="P601" s="62">
        <v>12960</v>
      </c>
      <c r="Q601" s="62">
        <v>1080</v>
      </c>
      <c r="R601" s="96">
        <v>13680</v>
      </c>
      <c r="S601" s="62">
        <f t="shared" si="149"/>
        <v>1140</v>
      </c>
      <c r="T601" s="62">
        <v>12960</v>
      </c>
      <c r="U601" s="62">
        <f t="shared" si="155"/>
        <v>1080</v>
      </c>
      <c r="V601" s="69">
        <v>11820</v>
      </c>
      <c r="W601" s="71">
        <v>1140</v>
      </c>
      <c r="X601" s="105">
        <f t="shared" si="159"/>
        <v>1094.4000000000001</v>
      </c>
      <c r="Y601" s="176">
        <f t="shared" si="157"/>
        <v>1.3333333333333417E-2</v>
      </c>
      <c r="Z601" s="64">
        <f t="shared" si="151"/>
        <v>5.5555555555555552E-2</v>
      </c>
      <c r="AA601" s="64">
        <f t="shared" si="143"/>
        <v>0</v>
      </c>
      <c r="AB601" s="71">
        <f t="shared" si="158"/>
        <v>1140</v>
      </c>
      <c r="AC601" s="64">
        <f t="shared" si="152"/>
        <v>5.5555555555555552E-2</v>
      </c>
      <c r="AD601" s="64">
        <f t="shared" si="146"/>
        <v>0</v>
      </c>
      <c r="AE601" s="71">
        <f t="shared" si="160"/>
        <v>1140</v>
      </c>
      <c r="AF601" s="64">
        <f t="shared" si="153"/>
        <v>5.5555555555555552E-2</v>
      </c>
      <c r="AG601" s="64">
        <f t="shared" si="147"/>
        <v>0</v>
      </c>
      <c r="AH601" s="67"/>
      <c r="AI601" s="47" t="s">
        <v>54</v>
      </c>
      <c r="AJ601" s="47">
        <v>464</v>
      </c>
      <c r="AK601" s="101" t="s">
        <v>55</v>
      </c>
      <c r="AL601" s="101" t="s">
        <v>55</v>
      </c>
      <c r="AM601" s="47" t="s">
        <v>263</v>
      </c>
      <c r="AN601" s="50">
        <v>1140</v>
      </c>
      <c r="AO601" s="211">
        <f t="shared" si="154"/>
        <v>5.5555555555555552E-2</v>
      </c>
      <c r="AP601" s="47" t="s">
        <v>57</v>
      </c>
      <c r="AQ601" s="47" t="s">
        <v>58</v>
      </c>
      <c r="AR601" s="47"/>
    </row>
    <row r="602" spans="1:44" hidden="1">
      <c r="A602" s="47" t="s">
        <v>44</v>
      </c>
      <c r="B602" s="47" t="str">
        <f t="shared" si="148"/>
        <v>July</v>
      </c>
      <c r="C602" s="59">
        <v>45478</v>
      </c>
      <c r="D602" s="47" t="s">
        <v>45</v>
      </c>
      <c r="E602" s="47" t="s">
        <v>46</v>
      </c>
      <c r="F602" s="47" t="s">
        <v>47</v>
      </c>
      <c r="G602" s="91" t="s">
        <v>272</v>
      </c>
      <c r="H602" s="47" t="s">
        <v>273</v>
      </c>
      <c r="I602" s="47" t="s">
        <v>50</v>
      </c>
      <c r="J602" s="47" t="s">
        <v>51</v>
      </c>
      <c r="K602" s="48">
        <v>45113</v>
      </c>
      <c r="L602" s="48">
        <v>45113</v>
      </c>
      <c r="M602" s="48">
        <v>45478</v>
      </c>
      <c r="N602" s="47" t="s">
        <v>52</v>
      </c>
      <c r="O602" s="55" t="s">
        <v>53</v>
      </c>
      <c r="P602" s="62">
        <v>17280</v>
      </c>
      <c r="Q602" s="62">
        <v>1440</v>
      </c>
      <c r="R602" s="96">
        <v>17880</v>
      </c>
      <c r="S602" s="62">
        <f t="shared" si="149"/>
        <v>1490</v>
      </c>
      <c r="T602" s="62">
        <v>16800</v>
      </c>
      <c r="U602" s="62">
        <f t="shared" si="155"/>
        <v>1400</v>
      </c>
      <c r="V602" s="69">
        <v>15480</v>
      </c>
      <c r="W602" s="71">
        <v>1480</v>
      </c>
      <c r="X602" s="105">
        <f t="shared" si="159"/>
        <v>1420.8</v>
      </c>
      <c r="Y602" s="176">
        <f t="shared" si="157"/>
        <v>1.4857142857142824E-2</v>
      </c>
      <c r="Z602" s="64">
        <f t="shared" si="151"/>
        <v>5.7142857142857141E-2</v>
      </c>
      <c r="AA602" s="64">
        <f t="shared" ref="AA602:AA665" si="161">(W602-S602)/S602</f>
        <v>-6.7114093959731542E-3</v>
      </c>
      <c r="AB602" s="71">
        <f t="shared" si="158"/>
        <v>1480</v>
      </c>
      <c r="AC602" s="64">
        <f t="shared" si="152"/>
        <v>5.7142857142857141E-2</v>
      </c>
      <c r="AD602" s="64">
        <f t="shared" si="146"/>
        <v>-6.7114093959731542E-3</v>
      </c>
      <c r="AE602" s="71">
        <f t="shared" si="160"/>
        <v>1480</v>
      </c>
      <c r="AF602" s="64">
        <f t="shared" si="153"/>
        <v>5.7142857142857141E-2</v>
      </c>
      <c r="AG602" s="64">
        <f t="shared" si="147"/>
        <v>-6.7114093959731542E-3</v>
      </c>
      <c r="AH602" s="67"/>
      <c r="AI602" s="47" t="s">
        <v>54</v>
      </c>
      <c r="AJ602" s="47">
        <v>753</v>
      </c>
      <c r="AK602" s="101" t="s">
        <v>65</v>
      </c>
      <c r="AL602" s="101" t="s">
        <v>65</v>
      </c>
      <c r="AM602" s="47" t="s">
        <v>73</v>
      </c>
      <c r="AN602" s="50"/>
      <c r="AO602" s="211">
        <f t="shared" si="154"/>
        <v>-1</v>
      </c>
      <c r="AP602" s="47" t="s">
        <v>57</v>
      </c>
      <c r="AQ602" s="47" t="s">
        <v>58</v>
      </c>
      <c r="AR602" s="47"/>
    </row>
    <row r="603" spans="1:44" ht="39" hidden="1" customHeight="1">
      <c r="A603" s="47" t="s">
        <v>44</v>
      </c>
      <c r="B603" s="47" t="str">
        <f t="shared" si="148"/>
        <v>July</v>
      </c>
      <c r="C603" s="59">
        <v>45479</v>
      </c>
      <c r="D603" s="47" t="s">
        <v>45</v>
      </c>
      <c r="E603" s="47" t="s">
        <v>46</v>
      </c>
      <c r="F603" s="47" t="s">
        <v>47</v>
      </c>
      <c r="G603" s="91" t="s">
        <v>286</v>
      </c>
      <c r="H603" s="47" t="s">
        <v>287</v>
      </c>
      <c r="I603" s="47" t="s">
        <v>50</v>
      </c>
      <c r="J603" s="47" t="s">
        <v>51</v>
      </c>
      <c r="K603" s="48">
        <v>45114</v>
      </c>
      <c r="L603" s="48">
        <v>45114</v>
      </c>
      <c r="M603" s="48">
        <v>45479</v>
      </c>
      <c r="N603" s="47" t="s">
        <v>52</v>
      </c>
      <c r="O603" s="55" t="s">
        <v>53</v>
      </c>
      <c r="P603" s="62">
        <v>12240</v>
      </c>
      <c r="Q603" s="62">
        <v>1020</v>
      </c>
      <c r="R603" s="96">
        <v>12900</v>
      </c>
      <c r="S603" s="62">
        <f t="shared" si="149"/>
        <v>1075</v>
      </c>
      <c r="T603" s="62">
        <v>12180</v>
      </c>
      <c r="U603" s="62">
        <f t="shared" si="155"/>
        <v>1015</v>
      </c>
      <c r="V603" s="69">
        <v>11100</v>
      </c>
      <c r="W603" s="71">
        <v>1075</v>
      </c>
      <c r="X603" s="105">
        <f t="shared" si="159"/>
        <v>1032</v>
      </c>
      <c r="Y603" s="176">
        <f t="shared" si="157"/>
        <v>1.6748768472906402E-2</v>
      </c>
      <c r="Z603" s="64">
        <f t="shared" si="151"/>
        <v>5.9113300492610835E-2</v>
      </c>
      <c r="AA603" s="64">
        <f t="shared" si="161"/>
        <v>0</v>
      </c>
      <c r="AB603" s="71">
        <f t="shared" si="158"/>
        <v>1075</v>
      </c>
      <c r="AC603" s="64">
        <f t="shared" si="152"/>
        <v>5.9113300492610835E-2</v>
      </c>
      <c r="AD603" s="64">
        <f t="shared" si="146"/>
        <v>0</v>
      </c>
      <c r="AE603" s="71">
        <f t="shared" si="160"/>
        <v>1075</v>
      </c>
      <c r="AF603" s="64">
        <f t="shared" si="153"/>
        <v>5.9113300492610835E-2</v>
      </c>
      <c r="AG603" s="64">
        <f t="shared" si="147"/>
        <v>0</v>
      </c>
      <c r="AH603" s="67"/>
      <c r="AI603" s="47" t="s">
        <v>250</v>
      </c>
      <c r="AJ603" s="47">
        <v>502</v>
      </c>
      <c r="AK603" s="101" t="s">
        <v>55</v>
      </c>
      <c r="AL603" s="101" t="s">
        <v>55</v>
      </c>
      <c r="AM603" s="47" t="s">
        <v>288</v>
      </c>
      <c r="AN603" s="50"/>
      <c r="AO603" s="211">
        <f t="shared" si="154"/>
        <v>-1</v>
      </c>
      <c r="AP603" s="47" t="s">
        <v>57</v>
      </c>
      <c r="AQ603" s="47" t="s">
        <v>58</v>
      </c>
      <c r="AR603" s="47"/>
    </row>
    <row r="604" spans="1:44" hidden="1">
      <c r="A604" s="47" t="s">
        <v>44</v>
      </c>
      <c r="B604" s="47" t="str">
        <f t="shared" si="148"/>
        <v>July</v>
      </c>
      <c r="C604" s="59">
        <v>45483</v>
      </c>
      <c r="D604" s="47" t="s">
        <v>45</v>
      </c>
      <c r="E604" s="47" t="s">
        <v>46</v>
      </c>
      <c r="F604" s="47" t="s">
        <v>47</v>
      </c>
      <c r="G604" s="91" t="s">
        <v>289</v>
      </c>
      <c r="H604" s="47" t="s">
        <v>290</v>
      </c>
      <c r="I604" s="47" t="s">
        <v>50</v>
      </c>
      <c r="J604" s="47" t="s">
        <v>51</v>
      </c>
      <c r="K604" s="48">
        <v>45118</v>
      </c>
      <c r="L604" s="48">
        <v>45118</v>
      </c>
      <c r="M604" s="48">
        <v>45483</v>
      </c>
      <c r="N604" s="47" t="s">
        <v>52</v>
      </c>
      <c r="O604" s="55" t="s">
        <v>53</v>
      </c>
      <c r="P604" s="62">
        <v>12120</v>
      </c>
      <c r="Q604" s="62">
        <v>1010</v>
      </c>
      <c r="R604" s="96">
        <v>12780</v>
      </c>
      <c r="S604" s="62">
        <f t="shared" si="149"/>
        <v>1065</v>
      </c>
      <c r="T604" s="62">
        <v>12120</v>
      </c>
      <c r="U604" s="62">
        <f t="shared" si="155"/>
        <v>1010</v>
      </c>
      <c r="V604" s="69">
        <v>11040</v>
      </c>
      <c r="W604" s="71">
        <v>1070</v>
      </c>
      <c r="X604" s="105">
        <f t="shared" si="159"/>
        <v>1027.2</v>
      </c>
      <c r="Y604" s="176">
        <f t="shared" si="157"/>
        <v>1.7029702970297076E-2</v>
      </c>
      <c r="Z604" s="64">
        <f t="shared" si="151"/>
        <v>5.9405940594059403E-2</v>
      </c>
      <c r="AA604" s="64">
        <f t="shared" si="161"/>
        <v>4.6948356807511738E-3</v>
      </c>
      <c r="AB604" s="71">
        <f t="shared" si="158"/>
        <v>1070</v>
      </c>
      <c r="AC604" s="64">
        <f t="shared" si="152"/>
        <v>5.9405940594059403E-2</v>
      </c>
      <c r="AD604" s="64">
        <f t="shared" si="146"/>
        <v>4.6948356807511738E-3</v>
      </c>
      <c r="AE604" s="71">
        <f t="shared" si="160"/>
        <v>1070</v>
      </c>
      <c r="AF604" s="64">
        <f t="shared" si="153"/>
        <v>5.9405940594059403E-2</v>
      </c>
      <c r="AG604" s="64">
        <f t="shared" si="147"/>
        <v>4.6948356807511738E-3</v>
      </c>
      <c r="AH604" s="67"/>
      <c r="AI604" s="47" t="s">
        <v>54</v>
      </c>
      <c r="AJ604" s="47">
        <v>464</v>
      </c>
      <c r="AK604" s="101" t="s">
        <v>55</v>
      </c>
      <c r="AL604" s="101" t="s">
        <v>55</v>
      </c>
      <c r="AM604" s="47" t="s">
        <v>263</v>
      </c>
      <c r="AN604" s="50">
        <v>1070</v>
      </c>
      <c r="AO604" s="211">
        <f t="shared" si="154"/>
        <v>5.9405940594059403E-2</v>
      </c>
      <c r="AP604" s="47" t="s">
        <v>57</v>
      </c>
      <c r="AQ604" s="47" t="s">
        <v>58</v>
      </c>
      <c r="AR604" s="47"/>
    </row>
    <row r="605" spans="1:44" hidden="1">
      <c r="A605" s="47" t="s">
        <v>44</v>
      </c>
      <c r="B605" s="47" t="str">
        <f t="shared" si="148"/>
        <v>July</v>
      </c>
      <c r="C605" s="59">
        <v>45489</v>
      </c>
      <c r="D605" s="47" t="s">
        <v>45</v>
      </c>
      <c r="E605" s="47" t="s">
        <v>46</v>
      </c>
      <c r="F605" s="47" t="s">
        <v>47</v>
      </c>
      <c r="G605" s="91" t="s">
        <v>291</v>
      </c>
      <c r="H605" s="47" t="s">
        <v>292</v>
      </c>
      <c r="I605" s="47" t="s">
        <v>50</v>
      </c>
      <c r="J605" s="47" t="s">
        <v>51</v>
      </c>
      <c r="K605" s="48">
        <v>45124</v>
      </c>
      <c r="L605" s="48">
        <v>45124</v>
      </c>
      <c r="M605" s="48">
        <v>45489</v>
      </c>
      <c r="N605" s="47" t="s">
        <v>52</v>
      </c>
      <c r="O605" s="55" t="s">
        <v>53</v>
      </c>
      <c r="P605" s="62">
        <v>12120</v>
      </c>
      <c r="Q605" s="62">
        <v>1010</v>
      </c>
      <c r="R605" s="96">
        <v>12780</v>
      </c>
      <c r="S605" s="62">
        <f t="shared" si="149"/>
        <v>1065</v>
      </c>
      <c r="T605" s="62">
        <v>12120</v>
      </c>
      <c r="U605" s="62">
        <f t="shared" si="155"/>
        <v>1010</v>
      </c>
      <c r="V605" s="69">
        <v>11100</v>
      </c>
      <c r="W605" s="71">
        <v>1070</v>
      </c>
      <c r="X605" s="105">
        <f t="shared" si="159"/>
        <v>1027.2</v>
      </c>
      <c r="Y605" s="176">
        <f t="shared" si="157"/>
        <v>1.7029702970297076E-2</v>
      </c>
      <c r="Z605" s="64">
        <f t="shared" si="151"/>
        <v>5.9405940594059403E-2</v>
      </c>
      <c r="AA605" s="64">
        <f t="shared" si="161"/>
        <v>4.6948356807511738E-3</v>
      </c>
      <c r="AB605" s="71">
        <f t="shared" si="158"/>
        <v>1070</v>
      </c>
      <c r="AC605" s="64">
        <f t="shared" si="152"/>
        <v>5.9405940594059403E-2</v>
      </c>
      <c r="AD605" s="64">
        <f t="shared" si="146"/>
        <v>4.6948356807511738E-3</v>
      </c>
      <c r="AE605" s="71">
        <f t="shared" si="160"/>
        <v>1070</v>
      </c>
      <c r="AF605" s="64">
        <f t="shared" si="153"/>
        <v>5.9405940594059403E-2</v>
      </c>
      <c r="AG605" s="64">
        <f t="shared" si="147"/>
        <v>4.6948356807511738E-3</v>
      </c>
      <c r="AH605" s="67"/>
      <c r="AI605" s="47" t="s">
        <v>54</v>
      </c>
      <c r="AJ605" s="47">
        <v>460</v>
      </c>
      <c r="AK605" s="101" t="s">
        <v>55</v>
      </c>
      <c r="AL605" s="101" t="s">
        <v>55</v>
      </c>
      <c r="AM605" s="47" t="s">
        <v>293</v>
      </c>
      <c r="AN605" s="50">
        <v>1070</v>
      </c>
      <c r="AO605" s="211">
        <f t="shared" si="154"/>
        <v>5.9405940594059403E-2</v>
      </c>
      <c r="AP605" s="47" t="s">
        <v>57</v>
      </c>
      <c r="AQ605" s="47" t="s">
        <v>58</v>
      </c>
      <c r="AR605" s="47"/>
    </row>
    <row r="606" spans="1:44" hidden="1">
      <c r="A606" s="47" t="s">
        <v>44</v>
      </c>
      <c r="B606" s="47" t="str">
        <f t="shared" si="148"/>
        <v>July</v>
      </c>
      <c r="C606" s="59">
        <v>45477</v>
      </c>
      <c r="D606" s="47" t="s">
        <v>45</v>
      </c>
      <c r="E606" s="47" t="s">
        <v>46</v>
      </c>
      <c r="F606" s="47" t="s">
        <v>47</v>
      </c>
      <c r="G606" s="91" t="s">
        <v>294</v>
      </c>
      <c r="H606" s="47" t="s">
        <v>295</v>
      </c>
      <c r="I606" s="47" t="s">
        <v>50</v>
      </c>
      <c r="J606" s="47" t="s">
        <v>51</v>
      </c>
      <c r="K606" s="48">
        <v>45112</v>
      </c>
      <c r="L606" s="48">
        <v>45112</v>
      </c>
      <c r="M606" s="48">
        <v>45477</v>
      </c>
      <c r="N606" s="47" t="s">
        <v>52</v>
      </c>
      <c r="O606" s="55" t="s">
        <v>53</v>
      </c>
      <c r="P606" s="62">
        <v>12060</v>
      </c>
      <c r="Q606" s="62">
        <v>1005</v>
      </c>
      <c r="R606" s="96">
        <v>12720</v>
      </c>
      <c r="S606" s="62">
        <f t="shared" si="149"/>
        <v>1060</v>
      </c>
      <c r="T606" s="62">
        <v>12060</v>
      </c>
      <c r="U606" s="62">
        <f t="shared" si="155"/>
        <v>1005</v>
      </c>
      <c r="V606" s="69">
        <v>10980</v>
      </c>
      <c r="W606" s="71">
        <v>1065</v>
      </c>
      <c r="X606" s="105">
        <f t="shared" si="159"/>
        <v>1022.4</v>
      </c>
      <c r="Y606" s="176">
        <f t="shared" si="157"/>
        <v>1.7313432835820874E-2</v>
      </c>
      <c r="Z606" s="64">
        <f t="shared" si="151"/>
        <v>5.9701492537313432E-2</v>
      </c>
      <c r="AA606" s="64">
        <f t="shared" si="161"/>
        <v>4.7169811320754715E-3</v>
      </c>
      <c r="AB606" s="71">
        <f t="shared" si="158"/>
        <v>1065</v>
      </c>
      <c r="AC606" s="64">
        <f t="shared" si="152"/>
        <v>5.9701492537313432E-2</v>
      </c>
      <c r="AD606" s="64">
        <f t="shared" si="146"/>
        <v>4.7169811320754715E-3</v>
      </c>
      <c r="AE606" s="71">
        <f t="shared" si="160"/>
        <v>1065</v>
      </c>
      <c r="AF606" s="64">
        <f t="shared" si="153"/>
        <v>5.9701492537313432E-2</v>
      </c>
      <c r="AG606" s="64">
        <f t="shared" si="147"/>
        <v>4.7169811320754715E-3</v>
      </c>
      <c r="AH606" s="67"/>
      <c r="AI606" s="47" t="s">
        <v>54</v>
      </c>
      <c r="AJ606" s="47">
        <v>460</v>
      </c>
      <c r="AK606" s="101" t="s">
        <v>55</v>
      </c>
      <c r="AL606" s="101" t="s">
        <v>55</v>
      </c>
      <c r="AM606" s="47" t="s">
        <v>293</v>
      </c>
      <c r="AN606" s="50">
        <v>1035</v>
      </c>
      <c r="AO606" s="211">
        <f t="shared" si="154"/>
        <v>2.9850746268656716E-2</v>
      </c>
      <c r="AP606" s="47" t="s">
        <v>57</v>
      </c>
      <c r="AQ606" s="47" t="s">
        <v>58</v>
      </c>
      <c r="AR606" s="47"/>
    </row>
    <row r="607" spans="1:44" hidden="1">
      <c r="A607" s="47" t="s">
        <v>44</v>
      </c>
      <c r="B607" s="47" t="str">
        <f t="shared" si="148"/>
        <v>July</v>
      </c>
      <c r="C607" s="59">
        <v>45500</v>
      </c>
      <c r="D607" s="47" t="s">
        <v>45</v>
      </c>
      <c r="E607" s="47" t="s">
        <v>46</v>
      </c>
      <c r="F607" s="47" t="s">
        <v>47</v>
      </c>
      <c r="G607" s="91" t="s">
        <v>307</v>
      </c>
      <c r="H607" s="47" t="s">
        <v>308</v>
      </c>
      <c r="I607" s="47" t="s">
        <v>50</v>
      </c>
      <c r="J607" s="47" t="s">
        <v>51</v>
      </c>
      <c r="K607" s="48">
        <v>45135</v>
      </c>
      <c r="L607" s="48">
        <v>45135</v>
      </c>
      <c r="M607" s="48">
        <v>45500</v>
      </c>
      <c r="N607" s="47" t="s">
        <v>52</v>
      </c>
      <c r="O607" s="55" t="s">
        <v>53</v>
      </c>
      <c r="P607" s="62">
        <v>11820</v>
      </c>
      <c r="Q607" s="62">
        <v>985</v>
      </c>
      <c r="R607" s="96">
        <v>12480</v>
      </c>
      <c r="S607" s="62">
        <f t="shared" si="149"/>
        <v>1040</v>
      </c>
      <c r="T607" s="62">
        <v>11760</v>
      </c>
      <c r="U607" s="62">
        <f t="shared" si="155"/>
        <v>980</v>
      </c>
      <c r="V607" s="69">
        <v>10860</v>
      </c>
      <c r="W607" s="71">
        <v>1040</v>
      </c>
      <c r="X607" s="105">
        <v>998</v>
      </c>
      <c r="Y607" s="176">
        <f t="shared" si="157"/>
        <v>1.8367346938775512E-2</v>
      </c>
      <c r="Z607" s="64">
        <f t="shared" si="151"/>
        <v>6.1224489795918366E-2</v>
      </c>
      <c r="AA607" s="64">
        <f t="shared" si="161"/>
        <v>0</v>
      </c>
      <c r="AB607" s="71">
        <f t="shared" si="158"/>
        <v>1040</v>
      </c>
      <c r="AC607" s="64">
        <f t="shared" si="152"/>
        <v>6.1224489795918366E-2</v>
      </c>
      <c r="AD607" s="64">
        <f t="shared" si="146"/>
        <v>0</v>
      </c>
      <c r="AE607" s="71">
        <f t="shared" si="160"/>
        <v>1040</v>
      </c>
      <c r="AF607" s="64">
        <f t="shared" si="153"/>
        <v>6.1224489795918366E-2</v>
      </c>
      <c r="AG607" s="64">
        <f t="shared" si="147"/>
        <v>0</v>
      </c>
      <c r="AH607" s="67"/>
      <c r="AI607" s="47" t="s">
        <v>54</v>
      </c>
      <c r="AJ607" s="47">
        <v>455</v>
      </c>
      <c r="AK607" s="101" t="s">
        <v>55</v>
      </c>
      <c r="AL607" s="101" t="s">
        <v>55</v>
      </c>
      <c r="AM607" s="47" t="s">
        <v>56</v>
      </c>
      <c r="AN607" s="50">
        <v>1005</v>
      </c>
      <c r="AO607" s="211">
        <f t="shared" si="154"/>
        <v>2.5510204081632654E-2</v>
      </c>
      <c r="AP607" s="47" t="s">
        <v>57</v>
      </c>
      <c r="AQ607" s="47" t="s">
        <v>58</v>
      </c>
      <c r="AR607" s="47"/>
    </row>
    <row r="608" spans="1:44" hidden="1">
      <c r="A608" s="47" t="s">
        <v>44</v>
      </c>
      <c r="B608" s="47" t="str">
        <f t="shared" si="148"/>
        <v>July</v>
      </c>
      <c r="C608" s="59">
        <v>45498</v>
      </c>
      <c r="D608" s="47" t="s">
        <v>45</v>
      </c>
      <c r="E608" s="47" t="s">
        <v>46</v>
      </c>
      <c r="F608" s="47" t="s">
        <v>47</v>
      </c>
      <c r="G608" s="91" t="s">
        <v>318</v>
      </c>
      <c r="H608" s="47" t="s">
        <v>319</v>
      </c>
      <c r="I608" s="47" t="s">
        <v>50</v>
      </c>
      <c r="J608" s="47" t="s">
        <v>51</v>
      </c>
      <c r="K608" s="48">
        <v>45133</v>
      </c>
      <c r="L608" s="48">
        <v>45133</v>
      </c>
      <c r="M608" s="48">
        <v>45498</v>
      </c>
      <c r="N608" s="47" t="s">
        <v>52</v>
      </c>
      <c r="O608" s="55" t="s">
        <v>53</v>
      </c>
      <c r="P608" s="62">
        <v>11820</v>
      </c>
      <c r="Q608" s="62">
        <v>985</v>
      </c>
      <c r="R608" s="96">
        <v>12480</v>
      </c>
      <c r="S608" s="62">
        <f t="shared" si="149"/>
        <v>1040</v>
      </c>
      <c r="T608" s="62">
        <v>11760</v>
      </c>
      <c r="U608" s="62">
        <f t="shared" si="155"/>
        <v>980</v>
      </c>
      <c r="V608" s="69">
        <v>10740</v>
      </c>
      <c r="W608" s="71">
        <v>1040</v>
      </c>
      <c r="X608" s="105">
        <f t="shared" ref="X608:X634" si="162">W608-(W608*4%)</f>
        <v>998.4</v>
      </c>
      <c r="Y608" s="176">
        <f t="shared" si="157"/>
        <v>1.8775510204081608E-2</v>
      </c>
      <c r="Z608" s="64">
        <f t="shared" si="151"/>
        <v>6.1224489795918366E-2</v>
      </c>
      <c r="AA608" s="64">
        <f t="shared" si="161"/>
        <v>0</v>
      </c>
      <c r="AB608" s="71">
        <f t="shared" si="158"/>
        <v>1040</v>
      </c>
      <c r="AC608" s="64">
        <f t="shared" si="152"/>
        <v>6.1224489795918366E-2</v>
      </c>
      <c r="AD608" s="64">
        <f t="shared" si="146"/>
        <v>0</v>
      </c>
      <c r="AE608" s="71">
        <f t="shared" si="160"/>
        <v>1040</v>
      </c>
      <c r="AF608" s="64">
        <f t="shared" si="153"/>
        <v>6.1224489795918366E-2</v>
      </c>
      <c r="AG608" s="64">
        <f t="shared" si="147"/>
        <v>0</v>
      </c>
      <c r="AH608" s="67"/>
      <c r="AI608" s="47" t="s">
        <v>54</v>
      </c>
      <c r="AJ608" s="47">
        <v>455</v>
      </c>
      <c r="AK608" s="101" t="s">
        <v>55</v>
      </c>
      <c r="AL608" s="101" t="s">
        <v>55</v>
      </c>
      <c r="AM608" s="47" t="s">
        <v>56</v>
      </c>
      <c r="AN608" s="50"/>
      <c r="AO608" s="211">
        <f t="shared" si="154"/>
        <v>-1</v>
      </c>
      <c r="AP608" s="47" t="s">
        <v>57</v>
      </c>
      <c r="AQ608" s="47" t="s">
        <v>58</v>
      </c>
      <c r="AR608" s="47"/>
    </row>
    <row r="609" spans="1:44" hidden="1">
      <c r="A609" s="47" t="s">
        <v>44</v>
      </c>
      <c r="B609" s="47" t="str">
        <f t="shared" si="148"/>
        <v>July</v>
      </c>
      <c r="C609" s="59">
        <v>45484</v>
      </c>
      <c r="D609" s="47" t="s">
        <v>45</v>
      </c>
      <c r="E609" s="47" t="s">
        <v>46</v>
      </c>
      <c r="F609" s="47" t="s">
        <v>47</v>
      </c>
      <c r="G609" s="91" t="s">
        <v>320</v>
      </c>
      <c r="H609" s="47" t="s">
        <v>321</v>
      </c>
      <c r="I609" s="47" t="s">
        <v>50</v>
      </c>
      <c r="J609" s="47" t="s">
        <v>51</v>
      </c>
      <c r="K609" s="48">
        <v>45119</v>
      </c>
      <c r="L609" s="48">
        <v>45119</v>
      </c>
      <c r="M609" s="48">
        <v>45484</v>
      </c>
      <c r="N609" s="47" t="s">
        <v>52</v>
      </c>
      <c r="O609" s="55" t="s">
        <v>53</v>
      </c>
      <c r="P609" s="62">
        <v>11820</v>
      </c>
      <c r="Q609" s="62">
        <v>985</v>
      </c>
      <c r="R609" s="96">
        <v>12480</v>
      </c>
      <c r="S609" s="62">
        <f t="shared" si="149"/>
        <v>1040</v>
      </c>
      <c r="T609" s="62">
        <v>11760</v>
      </c>
      <c r="U609" s="62">
        <f t="shared" si="155"/>
        <v>980</v>
      </c>
      <c r="V609" s="69">
        <v>10740</v>
      </c>
      <c r="W609" s="71">
        <v>1040</v>
      </c>
      <c r="X609" s="105">
        <f t="shared" si="162"/>
        <v>998.4</v>
      </c>
      <c r="Y609" s="176">
        <f t="shared" si="157"/>
        <v>1.8775510204081608E-2</v>
      </c>
      <c r="Z609" s="64">
        <f t="shared" si="151"/>
        <v>6.1224489795918366E-2</v>
      </c>
      <c r="AA609" s="64">
        <f t="shared" si="161"/>
        <v>0</v>
      </c>
      <c r="AB609" s="71">
        <f t="shared" si="158"/>
        <v>1040</v>
      </c>
      <c r="AC609" s="64">
        <f t="shared" si="152"/>
        <v>6.1224489795918366E-2</v>
      </c>
      <c r="AD609" s="64">
        <f t="shared" si="146"/>
        <v>0</v>
      </c>
      <c r="AE609" s="71">
        <f t="shared" si="160"/>
        <v>1040</v>
      </c>
      <c r="AF609" s="64">
        <f t="shared" si="153"/>
        <v>6.1224489795918366E-2</v>
      </c>
      <c r="AG609" s="64">
        <f t="shared" si="147"/>
        <v>0</v>
      </c>
      <c r="AH609" s="67"/>
      <c r="AI609" s="47" t="s">
        <v>54</v>
      </c>
      <c r="AJ609" s="47">
        <v>455</v>
      </c>
      <c r="AK609" s="101" t="s">
        <v>55</v>
      </c>
      <c r="AL609" s="101" t="s">
        <v>55</v>
      </c>
      <c r="AM609" s="47" t="s">
        <v>56</v>
      </c>
      <c r="AN609" s="50"/>
      <c r="AO609" s="211">
        <f t="shared" si="154"/>
        <v>-1</v>
      </c>
      <c r="AP609" s="47" t="s">
        <v>57</v>
      </c>
      <c r="AQ609" s="47" t="s">
        <v>58</v>
      </c>
      <c r="AR609" s="47"/>
    </row>
    <row r="610" spans="1:44" hidden="1">
      <c r="A610" s="47" t="s">
        <v>44</v>
      </c>
      <c r="B610" s="47" t="str">
        <f t="shared" si="148"/>
        <v>July</v>
      </c>
      <c r="C610" s="59">
        <v>45487</v>
      </c>
      <c r="D610" s="47" t="s">
        <v>45</v>
      </c>
      <c r="E610" s="47" t="s">
        <v>46</v>
      </c>
      <c r="F610" s="47" t="s">
        <v>47</v>
      </c>
      <c r="G610" s="91" t="s">
        <v>333</v>
      </c>
      <c r="H610" s="47" t="s">
        <v>334</v>
      </c>
      <c r="I610" s="47" t="s">
        <v>50</v>
      </c>
      <c r="J610" s="47" t="s">
        <v>51</v>
      </c>
      <c r="K610" s="48">
        <v>45122</v>
      </c>
      <c r="L610" s="48">
        <v>45122</v>
      </c>
      <c r="M610" s="48">
        <v>45487</v>
      </c>
      <c r="N610" s="47" t="s">
        <v>52</v>
      </c>
      <c r="O610" s="55" t="s">
        <v>53</v>
      </c>
      <c r="P610" s="62">
        <v>12420</v>
      </c>
      <c r="Q610" s="62">
        <v>1035</v>
      </c>
      <c r="R610" s="96">
        <v>13080</v>
      </c>
      <c r="S610" s="62">
        <f t="shared" si="149"/>
        <v>1090</v>
      </c>
      <c r="T610" s="62">
        <v>12420</v>
      </c>
      <c r="U610" s="62">
        <f t="shared" si="155"/>
        <v>1035</v>
      </c>
      <c r="V610" s="69">
        <v>11340</v>
      </c>
      <c r="W610" s="71">
        <v>1100</v>
      </c>
      <c r="X610" s="105">
        <f t="shared" si="162"/>
        <v>1056</v>
      </c>
      <c r="Y610" s="171">
        <f t="shared" si="157"/>
        <v>2.0289855072463767E-2</v>
      </c>
      <c r="Z610" s="64">
        <f t="shared" si="151"/>
        <v>6.280193236714976E-2</v>
      </c>
      <c r="AA610" s="64">
        <f t="shared" si="161"/>
        <v>9.1743119266055051E-3</v>
      </c>
      <c r="AB610" s="71">
        <f t="shared" si="158"/>
        <v>1100</v>
      </c>
      <c r="AC610" s="64">
        <f t="shared" si="152"/>
        <v>6.280193236714976E-2</v>
      </c>
      <c r="AD610" s="64">
        <f t="shared" si="146"/>
        <v>9.1743119266055051E-3</v>
      </c>
      <c r="AE610" s="71">
        <f t="shared" si="160"/>
        <v>1100</v>
      </c>
      <c r="AF610" s="64">
        <f t="shared" si="153"/>
        <v>6.280193236714976E-2</v>
      </c>
      <c r="AG610" s="64">
        <f t="shared" si="147"/>
        <v>9.1743119266055051E-3</v>
      </c>
      <c r="AH610" s="67"/>
      <c r="AI610" s="47" t="s">
        <v>54</v>
      </c>
      <c r="AJ610" s="47">
        <v>464</v>
      </c>
      <c r="AK610" s="101" t="s">
        <v>55</v>
      </c>
      <c r="AL610" s="101" t="s">
        <v>55</v>
      </c>
      <c r="AM610" s="47" t="s">
        <v>263</v>
      </c>
      <c r="AN610" s="50">
        <v>1060</v>
      </c>
      <c r="AO610" s="211">
        <f t="shared" si="154"/>
        <v>2.4154589371980676E-2</v>
      </c>
      <c r="AP610" s="47" t="s">
        <v>57</v>
      </c>
      <c r="AQ610" s="47" t="s">
        <v>58</v>
      </c>
      <c r="AR610" s="47"/>
    </row>
    <row r="611" spans="1:44" hidden="1">
      <c r="A611" s="47" t="s">
        <v>44</v>
      </c>
      <c r="B611" s="47" t="str">
        <f t="shared" si="148"/>
        <v>July</v>
      </c>
      <c r="C611" s="59">
        <v>45501</v>
      </c>
      <c r="D611" s="47" t="s">
        <v>45</v>
      </c>
      <c r="E611" s="47" t="s">
        <v>46</v>
      </c>
      <c r="F611" s="47" t="s">
        <v>47</v>
      </c>
      <c r="G611" s="91" t="s">
        <v>335</v>
      </c>
      <c r="H611" s="47" t="s">
        <v>336</v>
      </c>
      <c r="I611" s="47" t="s">
        <v>50</v>
      </c>
      <c r="J611" s="47" t="s">
        <v>51</v>
      </c>
      <c r="K611" s="48">
        <v>45136</v>
      </c>
      <c r="L611" s="48">
        <v>45136</v>
      </c>
      <c r="M611" s="48">
        <v>45501</v>
      </c>
      <c r="N611" s="47" t="s">
        <v>52</v>
      </c>
      <c r="O611" s="55" t="s">
        <v>53</v>
      </c>
      <c r="P611" s="62">
        <v>12300</v>
      </c>
      <c r="Q611" s="62">
        <v>1025</v>
      </c>
      <c r="R611" s="96">
        <v>12960</v>
      </c>
      <c r="S611" s="62">
        <f t="shared" si="149"/>
        <v>1080</v>
      </c>
      <c r="T611" s="62">
        <v>12300</v>
      </c>
      <c r="U611" s="62">
        <f t="shared" si="155"/>
        <v>1025</v>
      </c>
      <c r="V611" s="69">
        <v>11220</v>
      </c>
      <c r="W611" s="71">
        <v>1090</v>
      </c>
      <c r="X611" s="105">
        <f t="shared" si="162"/>
        <v>1046.4000000000001</v>
      </c>
      <c r="Y611" s="171">
        <f t="shared" si="157"/>
        <v>2.0878048780487893E-2</v>
      </c>
      <c r="Z611" s="64">
        <f t="shared" si="151"/>
        <v>6.3414634146341464E-2</v>
      </c>
      <c r="AA611" s="64">
        <f t="shared" si="161"/>
        <v>9.2592592592592587E-3</v>
      </c>
      <c r="AB611" s="71">
        <f t="shared" si="158"/>
        <v>1090</v>
      </c>
      <c r="AC611" s="64">
        <f t="shared" si="152"/>
        <v>6.3414634146341464E-2</v>
      </c>
      <c r="AD611" s="64">
        <f t="shared" si="146"/>
        <v>9.2592592592592587E-3</v>
      </c>
      <c r="AE611" s="71">
        <f t="shared" si="160"/>
        <v>1090</v>
      </c>
      <c r="AF611" s="64">
        <f t="shared" si="153"/>
        <v>6.3414634146341464E-2</v>
      </c>
      <c r="AG611" s="64">
        <f t="shared" si="147"/>
        <v>9.2592592592592587E-3</v>
      </c>
      <c r="AH611" s="67"/>
      <c r="AI611" s="47" t="s">
        <v>54</v>
      </c>
      <c r="AJ611" s="47">
        <v>479</v>
      </c>
      <c r="AK611" s="101" t="s">
        <v>55</v>
      </c>
      <c r="AL611" s="101" t="s">
        <v>55</v>
      </c>
      <c r="AM611" s="47" t="s">
        <v>260</v>
      </c>
      <c r="AN611" s="50">
        <v>1045</v>
      </c>
      <c r="AO611" s="211">
        <f t="shared" si="154"/>
        <v>1.9512195121951219E-2</v>
      </c>
      <c r="AP611" s="47" t="s">
        <v>57</v>
      </c>
      <c r="AQ611" s="47" t="s">
        <v>58</v>
      </c>
      <c r="AR611" s="47"/>
    </row>
    <row r="612" spans="1:44">
      <c r="A612" s="47" t="s">
        <v>44</v>
      </c>
      <c r="B612" s="47" t="str">
        <f t="shared" si="148"/>
        <v>July</v>
      </c>
      <c r="C612" s="59">
        <v>45504</v>
      </c>
      <c r="D612" s="47" t="s">
        <v>45</v>
      </c>
      <c r="E612" s="47" t="s">
        <v>46</v>
      </c>
      <c r="F612" s="47" t="s">
        <v>47</v>
      </c>
      <c r="G612" s="91" t="s">
        <v>368</v>
      </c>
      <c r="H612" s="47" t="s">
        <v>369</v>
      </c>
      <c r="I612" s="112" t="s">
        <v>50</v>
      </c>
      <c r="J612" s="47" t="s">
        <v>51</v>
      </c>
      <c r="K612" s="48">
        <v>44774</v>
      </c>
      <c r="L612" s="48">
        <v>45139</v>
      </c>
      <c r="M612" s="48">
        <v>45504</v>
      </c>
      <c r="N612" s="47" t="s">
        <v>64</v>
      </c>
      <c r="O612" s="55" t="s">
        <v>53</v>
      </c>
      <c r="P612" s="62">
        <v>11820</v>
      </c>
      <c r="Q612" s="62">
        <v>985</v>
      </c>
      <c r="R612" s="96">
        <v>12480</v>
      </c>
      <c r="S612" s="62">
        <f t="shared" si="149"/>
        <v>1040</v>
      </c>
      <c r="T612" s="62">
        <v>11820</v>
      </c>
      <c r="U612" s="62">
        <f t="shared" si="155"/>
        <v>985</v>
      </c>
      <c r="V612" s="69">
        <v>10920</v>
      </c>
      <c r="W612" s="71">
        <v>1055</v>
      </c>
      <c r="X612" s="105">
        <f t="shared" si="162"/>
        <v>1012.8</v>
      </c>
      <c r="Y612" s="171">
        <f t="shared" si="157"/>
        <v>2.822335025380706E-2</v>
      </c>
      <c r="Z612" s="64">
        <f t="shared" si="151"/>
        <v>7.1065989847715741E-2</v>
      </c>
      <c r="AA612" s="64">
        <f t="shared" si="161"/>
        <v>1.4423076923076924E-2</v>
      </c>
      <c r="AB612" s="71">
        <f t="shared" si="158"/>
        <v>1055</v>
      </c>
      <c r="AC612" s="64">
        <f t="shared" si="152"/>
        <v>7.1065989847715741E-2</v>
      </c>
      <c r="AD612" s="64">
        <f t="shared" si="146"/>
        <v>1.4423076923076924E-2</v>
      </c>
      <c r="AE612" s="71">
        <v>1045</v>
      </c>
      <c r="AF612" s="64">
        <f t="shared" si="153"/>
        <v>6.0913705583756347E-2</v>
      </c>
      <c r="AG612" s="64">
        <f t="shared" si="147"/>
        <v>4.807692307692308E-3</v>
      </c>
      <c r="AH612" s="67"/>
      <c r="AI612" s="47" t="s">
        <v>54</v>
      </c>
      <c r="AJ612" s="47">
        <v>460</v>
      </c>
      <c r="AK612" s="101" t="s">
        <v>55</v>
      </c>
      <c r="AL612" s="101" t="s">
        <v>55</v>
      </c>
      <c r="AM612" s="47" t="s">
        <v>293</v>
      </c>
      <c r="AN612" s="50"/>
      <c r="AO612" s="211">
        <f t="shared" si="154"/>
        <v>-1</v>
      </c>
      <c r="AP612" s="47" t="s">
        <v>57</v>
      </c>
      <c r="AQ612" s="47" t="s">
        <v>58</v>
      </c>
      <c r="AR612" s="47"/>
    </row>
    <row r="613" spans="1:44" hidden="1">
      <c r="A613" s="47" t="s">
        <v>44</v>
      </c>
      <c r="B613" s="47" t="str">
        <f t="shared" si="148"/>
        <v>July</v>
      </c>
      <c r="C613" s="59">
        <v>45478</v>
      </c>
      <c r="D613" s="47" t="s">
        <v>45</v>
      </c>
      <c r="E613" s="47" t="s">
        <v>46</v>
      </c>
      <c r="F613" s="47" t="s">
        <v>47</v>
      </c>
      <c r="G613" s="91" t="s">
        <v>370</v>
      </c>
      <c r="H613" s="47" t="s">
        <v>371</v>
      </c>
      <c r="I613" s="47" t="s">
        <v>50</v>
      </c>
      <c r="J613" s="47" t="s">
        <v>51</v>
      </c>
      <c r="K613" s="48">
        <v>45113</v>
      </c>
      <c r="L613" s="48">
        <v>45113</v>
      </c>
      <c r="M613" s="48">
        <v>45478</v>
      </c>
      <c r="N613" s="47" t="s">
        <v>52</v>
      </c>
      <c r="O613" s="55" t="s">
        <v>53</v>
      </c>
      <c r="P613" s="62">
        <v>11640</v>
      </c>
      <c r="Q613" s="62">
        <v>970</v>
      </c>
      <c r="R613" s="96">
        <v>12300</v>
      </c>
      <c r="S613" s="62">
        <f t="shared" si="149"/>
        <v>1025</v>
      </c>
      <c r="T613" s="62">
        <v>10920</v>
      </c>
      <c r="U613" s="62">
        <f t="shared" si="155"/>
        <v>910</v>
      </c>
      <c r="V613" s="69">
        <v>10980</v>
      </c>
      <c r="W613" s="71">
        <v>975</v>
      </c>
      <c r="X613" s="105">
        <f t="shared" si="162"/>
        <v>936</v>
      </c>
      <c r="Y613" s="171">
        <f t="shared" si="157"/>
        <v>2.8571428571428571E-2</v>
      </c>
      <c r="Z613" s="64">
        <f t="shared" si="151"/>
        <v>7.1428571428571425E-2</v>
      </c>
      <c r="AA613" s="64">
        <f t="shared" si="161"/>
        <v>-4.878048780487805E-2</v>
      </c>
      <c r="AB613" s="71">
        <f t="shared" si="158"/>
        <v>975</v>
      </c>
      <c r="AC613" s="64">
        <f t="shared" si="152"/>
        <v>7.1428571428571425E-2</v>
      </c>
      <c r="AD613" s="64">
        <f t="shared" ref="AD613:AD676" si="163">(AB613-S613)/S613</f>
        <v>-4.878048780487805E-2</v>
      </c>
      <c r="AE613" s="71">
        <f>AB613</f>
        <v>975</v>
      </c>
      <c r="AF613" s="64">
        <f t="shared" si="153"/>
        <v>7.1428571428571425E-2</v>
      </c>
      <c r="AG613" s="64">
        <f t="shared" ref="AG613:AG676" si="164">(AE613-S613)/S613</f>
        <v>-4.878048780487805E-2</v>
      </c>
      <c r="AH613" s="67"/>
      <c r="AI613" s="47" t="s">
        <v>54</v>
      </c>
      <c r="AJ613" s="47">
        <v>455</v>
      </c>
      <c r="AK613" s="101" t="s">
        <v>55</v>
      </c>
      <c r="AL613" s="101" t="s">
        <v>55</v>
      </c>
      <c r="AM613" s="47" t="s">
        <v>56</v>
      </c>
      <c r="AN613" s="50">
        <v>975</v>
      </c>
      <c r="AO613" s="211">
        <f t="shared" si="154"/>
        <v>7.1428571428571425E-2</v>
      </c>
      <c r="AP613" s="47" t="s">
        <v>57</v>
      </c>
      <c r="AQ613" s="47" t="s">
        <v>58</v>
      </c>
      <c r="AR613" s="47"/>
    </row>
    <row r="614" spans="1:44">
      <c r="A614" s="47" t="s">
        <v>44</v>
      </c>
      <c r="B614" s="47" t="str">
        <f t="shared" si="148"/>
        <v>July</v>
      </c>
      <c r="C614" s="59">
        <v>45490</v>
      </c>
      <c r="D614" s="47" t="s">
        <v>45</v>
      </c>
      <c r="E614" s="47" t="s">
        <v>46</v>
      </c>
      <c r="F614" s="47" t="s">
        <v>47</v>
      </c>
      <c r="G614" s="91" t="s">
        <v>393</v>
      </c>
      <c r="H614" s="47" t="s">
        <v>394</v>
      </c>
      <c r="I614" s="47" t="s">
        <v>50</v>
      </c>
      <c r="J614" s="47" t="s">
        <v>51</v>
      </c>
      <c r="K614" s="48">
        <v>44760</v>
      </c>
      <c r="L614" s="48">
        <v>45125</v>
      </c>
      <c r="M614" s="48">
        <v>45490</v>
      </c>
      <c r="N614" s="47" t="s">
        <v>64</v>
      </c>
      <c r="O614" s="55" t="s">
        <v>53</v>
      </c>
      <c r="P614" s="62">
        <v>12240</v>
      </c>
      <c r="Q614" s="62">
        <v>1020</v>
      </c>
      <c r="R614" s="96">
        <v>12900</v>
      </c>
      <c r="S614" s="62">
        <f t="shared" si="149"/>
        <v>1075</v>
      </c>
      <c r="T614" s="62">
        <v>12000</v>
      </c>
      <c r="U614" s="62">
        <f t="shared" si="155"/>
        <v>1000</v>
      </c>
      <c r="V614" s="69">
        <v>11100</v>
      </c>
      <c r="W614" s="71">
        <v>1075</v>
      </c>
      <c r="X614" s="105">
        <f t="shared" si="162"/>
        <v>1032</v>
      </c>
      <c r="Y614" s="171">
        <f t="shared" si="157"/>
        <v>3.2000000000000001E-2</v>
      </c>
      <c r="Z614" s="64">
        <f t="shared" si="151"/>
        <v>7.4999999999999997E-2</v>
      </c>
      <c r="AA614" s="64">
        <f t="shared" si="161"/>
        <v>0</v>
      </c>
      <c r="AB614" s="71">
        <f t="shared" si="158"/>
        <v>1075</v>
      </c>
      <c r="AC614" s="64">
        <f t="shared" si="152"/>
        <v>7.4999999999999997E-2</v>
      </c>
      <c r="AD614" s="64">
        <f t="shared" si="163"/>
        <v>0</v>
      </c>
      <c r="AE614" s="71">
        <f>AB614</f>
        <v>1075</v>
      </c>
      <c r="AF614" s="64">
        <f t="shared" si="153"/>
        <v>7.4999999999999997E-2</v>
      </c>
      <c r="AG614" s="64">
        <f t="shared" si="164"/>
        <v>0</v>
      </c>
      <c r="AH614" s="67"/>
      <c r="AI614" s="47" t="s">
        <v>395</v>
      </c>
      <c r="AJ614" s="47">
        <v>455</v>
      </c>
      <c r="AK614" s="101" t="s">
        <v>55</v>
      </c>
      <c r="AL614" s="101" t="s">
        <v>55</v>
      </c>
      <c r="AM614" s="47" t="s">
        <v>56</v>
      </c>
      <c r="AN614" s="50"/>
      <c r="AO614" s="211">
        <f t="shared" si="154"/>
        <v>-1</v>
      </c>
      <c r="AP614" s="47" t="s">
        <v>57</v>
      </c>
      <c r="AQ614" s="47" t="s">
        <v>58</v>
      </c>
      <c r="AR614" s="47"/>
    </row>
    <row r="615" spans="1:44">
      <c r="A615" s="47" t="s">
        <v>44</v>
      </c>
      <c r="B615" s="47" t="str">
        <f t="shared" si="148"/>
        <v>July</v>
      </c>
      <c r="C615" s="59">
        <v>45493</v>
      </c>
      <c r="D615" s="47" t="s">
        <v>45</v>
      </c>
      <c r="E615" s="47" t="s">
        <v>46</v>
      </c>
      <c r="F615" s="47" t="s">
        <v>47</v>
      </c>
      <c r="G615" s="91" t="s">
        <v>396</v>
      </c>
      <c r="H615" s="47" t="s">
        <v>397</v>
      </c>
      <c r="I615" s="47" t="s">
        <v>50</v>
      </c>
      <c r="J615" s="47" t="s">
        <v>51</v>
      </c>
      <c r="K615" s="48">
        <v>44763</v>
      </c>
      <c r="L615" s="48">
        <v>45128</v>
      </c>
      <c r="M615" s="48">
        <v>45493</v>
      </c>
      <c r="N615" s="47" t="s">
        <v>64</v>
      </c>
      <c r="O615" s="55" t="s">
        <v>53</v>
      </c>
      <c r="P615" s="62">
        <v>12240</v>
      </c>
      <c r="Q615" s="62">
        <v>1020</v>
      </c>
      <c r="R615" s="96">
        <v>12900</v>
      </c>
      <c r="S615" s="62">
        <f t="shared" si="149"/>
        <v>1075</v>
      </c>
      <c r="T615" s="62">
        <v>12000</v>
      </c>
      <c r="U615" s="62">
        <f t="shared" si="155"/>
        <v>1000</v>
      </c>
      <c r="V615" s="69">
        <v>11100</v>
      </c>
      <c r="W615" s="71">
        <v>1075</v>
      </c>
      <c r="X615" s="105">
        <f t="shared" si="162"/>
        <v>1032</v>
      </c>
      <c r="Y615" s="171">
        <f t="shared" si="157"/>
        <v>3.2000000000000001E-2</v>
      </c>
      <c r="Z615" s="64">
        <f t="shared" si="151"/>
        <v>7.4999999999999997E-2</v>
      </c>
      <c r="AA615" s="64">
        <f t="shared" si="161"/>
        <v>0</v>
      </c>
      <c r="AB615" s="71">
        <f t="shared" si="158"/>
        <v>1075</v>
      </c>
      <c r="AC615" s="64">
        <f t="shared" si="152"/>
        <v>7.4999999999999997E-2</v>
      </c>
      <c r="AD615" s="64">
        <f t="shared" si="163"/>
        <v>0</v>
      </c>
      <c r="AE615" s="71">
        <f>AB615</f>
        <v>1075</v>
      </c>
      <c r="AF615" s="64">
        <f t="shared" si="153"/>
        <v>7.4999999999999997E-2</v>
      </c>
      <c r="AG615" s="64">
        <f t="shared" si="164"/>
        <v>0</v>
      </c>
      <c r="AH615" s="67"/>
      <c r="AI615" s="47" t="s">
        <v>54</v>
      </c>
      <c r="AJ615" s="47">
        <v>455</v>
      </c>
      <c r="AK615" s="101" t="s">
        <v>55</v>
      </c>
      <c r="AL615" s="101" t="s">
        <v>55</v>
      </c>
      <c r="AM615" s="47" t="s">
        <v>56</v>
      </c>
      <c r="AN615" s="50"/>
      <c r="AO615" s="211">
        <f t="shared" si="154"/>
        <v>-1</v>
      </c>
      <c r="AP615" s="47" t="s">
        <v>57</v>
      </c>
      <c r="AQ615" s="47" t="s">
        <v>58</v>
      </c>
      <c r="AR615" s="47"/>
    </row>
    <row r="616" spans="1:44" hidden="1">
      <c r="A616" s="47" t="s">
        <v>44</v>
      </c>
      <c r="B616" s="47" t="str">
        <f t="shared" si="148"/>
        <v>July</v>
      </c>
      <c r="C616" s="59">
        <v>45496</v>
      </c>
      <c r="D616" s="47" t="s">
        <v>45</v>
      </c>
      <c r="E616" s="47" t="s">
        <v>46</v>
      </c>
      <c r="F616" s="47" t="s">
        <v>47</v>
      </c>
      <c r="G616" s="91" t="s">
        <v>420</v>
      </c>
      <c r="H616" s="47" t="s">
        <v>421</v>
      </c>
      <c r="I616" s="47" t="s">
        <v>50</v>
      </c>
      <c r="J616" s="47" t="s">
        <v>51</v>
      </c>
      <c r="K616" s="48">
        <v>45131</v>
      </c>
      <c r="L616" s="48">
        <v>45131</v>
      </c>
      <c r="M616" s="48">
        <v>45496</v>
      </c>
      <c r="N616" s="47" t="s">
        <v>52</v>
      </c>
      <c r="O616" s="55" t="s">
        <v>53</v>
      </c>
      <c r="P616" s="62">
        <v>11880</v>
      </c>
      <c r="Q616" s="62">
        <v>990</v>
      </c>
      <c r="R616" s="96">
        <v>12540</v>
      </c>
      <c r="S616" s="62">
        <f t="shared" si="149"/>
        <v>1045</v>
      </c>
      <c r="T616" s="62">
        <v>11640</v>
      </c>
      <c r="U616" s="62">
        <f t="shared" si="155"/>
        <v>970</v>
      </c>
      <c r="V616" s="69">
        <v>10800</v>
      </c>
      <c r="W616" s="71">
        <v>1045</v>
      </c>
      <c r="X616" s="105">
        <f t="shared" si="162"/>
        <v>1003.2</v>
      </c>
      <c r="Y616" s="171">
        <f t="shared" si="157"/>
        <v>3.4226804123711388E-2</v>
      </c>
      <c r="Z616" s="64">
        <f t="shared" si="151"/>
        <v>7.7319587628865982E-2</v>
      </c>
      <c r="AA616" s="64">
        <f t="shared" si="161"/>
        <v>0</v>
      </c>
      <c r="AB616" s="71">
        <f t="shared" si="158"/>
        <v>1045</v>
      </c>
      <c r="AC616" s="64">
        <f t="shared" si="152"/>
        <v>7.7319587628865982E-2</v>
      </c>
      <c r="AD616" s="64">
        <f t="shared" si="163"/>
        <v>0</v>
      </c>
      <c r="AE616" s="71">
        <f>AB616</f>
        <v>1045</v>
      </c>
      <c r="AF616" s="64">
        <f t="shared" si="153"/>
        <v>7.7319587628865982E-2</v>
      </c>
      <c r="AG616" s="64">
        <f t="shared" si="164"/>
        <v>0</v>
      </c>
      <c r="AH616" s="67"/>
      <c r="AI616" s="47" t="s">
        <v>54</v>
      </c>
      <c r="AJ616" s="47">
        <v>455</v>
      </c>
      <c r="AK616" s="101" t="s">
        <v>55</v>
      </c>
      <c r="AL616" s="101" t="s">
        <v>55</v>
      </c>
      <c r="AM616" s="47" t="s">
        <v>56</v>
      </c>
      <c r="AN616" s="50">
        <v>1045</v>
      </c>
      <c r="AO616" s="211">
        <f t="shared" si="154"/>
        <v>7.7319587628865982E-2</v>
      </c>
      <c r="AP616" s="47" t="s">
        <v>57</v>
      </c>
      <c r="AQ616" s="47" t="s">
        <v>58</v>
      </c>
      <c r="AR616" s="47"/>
    </row>
    <row r="617" spans="1:44">
      <c r="A617" s="47" t="s">
        <v>44</v>
      </c>
      <c r="B617" s="47" t="str">
        <f t="shared" si="148"/>
        <v>August</v>
      </c>
      <c r="C617" s="59">
        <v>45511</v>
      </c>
      <c r="D617" s="47" t="s">
        <v>45</v>
      </c>
      <c r="E617" s="47" t="s">
        <v>46</v>
      </c>
      <c r="F617" s="47" t="s">
        <v>47</v>
      </c>
      <c r="G617" s="91" t="s">
        <v>422</v>
      </c>
      <c r="H617" s="47" t="s">
        <v>423</v>
      </c>
      <c r="I617" s="47" t="s">
        <v>50</v>
      </c>
      <c r="J617" s="47" t="s">
        <v>51</v>
      </c>
      <c r="K617" s="48">
        <v>44659</v>
      </c>
      <c r="L617" s="48">
        <v>45146</v>
      </c>
      <c r="M617" s="48">
        <v>45511</v>
      </c>
      <c r="N617" s="47" t="s">
        <v>64</v>
      </c>
      <c r="O617" s="55" t="s">
        <v>53</v>
      </c>
      <c r="P617" s="62">
        <v>20880</v>
      </c>
      <c r="Q617" s="62">
        <v>1740</v>
      </c>
      <c r="R617" s="96">
        <v>21480</v>
      </c>
      <c r="S617" s="62">
        <f t="shared" si="149"/>
        <v>1790</v>
      </c>
      <c r="T617" s="62">
        <v>20940</v>
      </c>
      <c r="U617" s="62">
        <f t="shared" si="155"/>
        <v>1745</v>
      </c>
      <c r="V617" s="69">
        <v>18900</v>
      </c>
      <c r="W617" s="71">
        <v>1830</v>
      </c>
      <c r="X617" s="174">
        <f t="shared" si="162"/>
        <v>1756.8</v>
      </c>
      <c r="Y617" s="176">
        <f t="shared" si="157"/>
        <v>6.7621776504297737E-3</v>
      </c>
      <c r="Z617" s="64">
        <f t="shared" si="151"/>
        <v>4.8710601719197708E-2</v>
      </c>
      <c r="AA617" s="64">
        <f t="shared" si="161"/>
        <v>2.23463687150838E-2</v>
      </c>
      <c r="AB617" s="71">
        <f t="shared" si="158"/>
        <v>1830</v>
      </c>
      <c r="AC617" s="64">
        <f t="shared" si="152"/>
        <v>4.8710601719197708E-2</v>
      </c>
      <c r="AD617" s="64">
        <f t="shared" si="163"/>
        <v>2.23463687150838E-2</v>
      </c>
      <c r="AE617" s="71">
        <f>AB617</f>
        <v>1830</v>
      </c>
      <c r="AF617" s="64">
        <f t="shared" si="153"/>
        <v>4.8710601719197708E-2</v>
      </c>
      <c r="AG617" s="64">
        <f t="shared" si="164"/>
        <v>2.23463687150838E-2</v>
      </c>
      <c r="AH617" s="67"/>
      <c r="AI617" s="47" t="s">
        <v>54</v>
      </c>
      <c r="AJ617" s="47">
        <v>967</v>
      </c>
      <c r="AK617" s="47" t="s">
        <v>140</v>
      </c>
      <c r="AL617" s="47" t="s">
        <v>65</v>
      </c>
      <c r="AM617" s="47" t="s">
        <v>424</v>
      </c>
      <c r="AN617" s="50"/>
      <c r="AO617" s="211">
        <f t="shared" si="154"/>
        <v>-1</v>
      </c>
      <c r="AP617" s="47" t="s">
        <v>57</v>
      </c>
      <c r="AQ617" s="47" t="s">
        <v>58</v>
      </c>
      <c r="AR617" s="47"/>
    </row>
    <row r="618" spans="1:44">
      <c r="A618" s="47" t="s">
        <v>44</v>
      </c>
      <c r="B618" s="47" t="str">
        <f t="shared" si="148"/>
        <v>July</v>
      </c>
      <c r="C618" s="59">
        <v>45501</v>
      </c>
      <c r="D618" s="47" t="s">
        <v>45</v>
      </c>
      <c r="E618" s="47" t="s">
        <v>46</v>
      </c>
      <c r="F618" s="47" t="s">
        <v>47</v>
      </c>
      <c r="G618" s="91" t="s">
        <v>434</v>
      </c>
      <c r="H618" s="47" t="s">
        <v>435</v>
      </c>
      <c r="I618" s="47" t="s">
        <v>50</v>
      </c>
      <c r="J618" s="47" t="s">
        <v>51</v>
      </c>
      <c r="K618" s="48">
        <v>44772</v>
      </c>
      <c r="L618" s="48">
        <v>45136</v>
      </c>
      <c r="M618" s="48">
        <v>45501</v>
      </c>
      <c r="N618" s="47" t="s">
        <v>64</v>
      </c>
      <c r="O618" s="55" t="s">
        <v>53</v>
      </c>
      <c r="P618" s="62">
        <v>12240</v>
      </c>
      <c r="Q618" s="62">
        <v>1020</v>
      </c>
      <c r="R618" s="96">
        <v>12900</v>
      </c>
      <c r="S618" s="62">
        <f t="shared" si="149"/>
        <v>1075</v>
      </c>
      <c r="T618" s="62">
        <v>12120</v>
      </c>
      <c r="U618" s="62">
        <f t="shared" si="155"/>
        <v>1010</v>
      </c>
      <c r="V618" s="69">
        <v>11220</v>
      </c>
      <c r="W618" s="71">
        <v>1090</v>
      </c>
      <c r="X618" s="105">
        <f t="shared" si="162"/>
        <v>1046.4000000000001</v>
      </c>
      <c r="Y618" s="171">
        <f t="shared" si="157"/>
        <v>3.6039603960396127E-2</v>
      </c>
      <c r="Z618" s="64">
        <f t="shared" si="151"/>
        <v>7.9207920792079209E-2</v>
      </c>
      <c r="AA618" s="64">
        <f t="shared" si="161"/>
        <v>1.3953488372093023E-2</v>
      </c>
      <c r="AB618" s="71">
        <f t="shared" si="158"/>
        <v>1090</v>
      </c>
      <c r="AC618" s="64">
        <f t="shared" si="152"/>
        <v>7.9207920792079209E-2</v>
      </c>
      <c r="AD618" s="64">
        <f t="shared" si="163"/>
        <v>1.3953488372093023E-2</v>
      </c>
      <c r="AE618" s="71">
        <v>1075</v>
      </c>
      <c r="AF618" s="64">
        <f t="shared" si="153"/>
        <v>6.4356435643564358E-2</v>
      </c>
      <c r="AG618" s="64">
        <f t="shared" si="164"/>
        <v>0</v>
      </c>
      <c r="AH618" s="67"/>
      <c r="AI618" s="47" t="s">
        <v>54</v>
      </c>
      <c r="AJ618" s="47">
        <v>455</v>
      </c>
      <c r="AK618" s="101" t="s">
        <v>55</v>
      </c>
      <c r="AL618" s="101" t="s">
        <v>55</v>
      </c>
      <c r="AM618" s="47" t="s">
        <v>149</v>
      </c>
      <c r="AN618" s="50"/>
      <c r="AO618" s="211">
        <f t="shared" si="154"/>
        <v>-1</v>
      </c>
      <c r="AP618" s="47" t="s">
        <v>57</v>
      </c>
      <c r="AQ618" s="144" t="s">
        <v>58</v>
      </c>
      <c r="AR618" s="47"/>
    </row>
    <row r="619" spans="1:44">
      <c r="A619" s="47" t="s">
        <v>44</v>
      </c>
      <c r="B619" s="47" t="str">
        <f t="shared" si="148"/>
        <v>July</v>
      </c>
      <c r="C619" s="59">
        <v>45501</v>
      </c>
      <c r="D619" s="47" t="s">
        <v>45</v>
      </c>
      <c r="E619" s="47" t="s">
        <v>46</v>
      </c>
      <c r="F619" s="47" t="s">
        <v>47</v>
      </c>
      <c r="G619" s="91" t="s">
        <v>465</v>
      </c>
      <c r="H619" s="47" t="s">
        <v>466</v>
      </c>
      <c r="I619" s="47" t="s">
        <v>50</v>
      </c>
      <c r="J619" s="47" t="s">
        <v>51</v>
      </c>
      <c r="K619" s="48">
        <v>44649</v>
      </c>
      <c r="L619" s="48">
        <v>45136</v>
      </c>
      <c r="M619" s="48">
        <v>45501</v>
      </c>
      <c r="N619" s="47" t="s">
        <v>64</v>
      </c>
      <c r="O619" s="55" t="s">
        <v>53</v>
      </c>
      <c r="P619" s="62">
        <v>11940</v>
      </c>
      <c r="Q619" s="62">
        <v>995</v>
      </c>
      <c r="R619" s="96">
        <v>12600</v>
      </c>
      <c r="S619" s="62">
        <f t="shared" si="149"/>
        <v>1050</v>
      </c>
      <c r="T619" s="62">
        <v>11760</v>
      </c>
      <c r="U619" s="62">
        <f t="shared" si="155"/>
        <v>980</v>
      </c>
      <c r="V619" s="69">
        <v>10980</v>
      </c>
      <c r="W619" s="71">
        <v>1060</v>
      </c>
      <c r="X619" s="105">
        <f t="shared" si="162"/>
        <v>1017.6</v>
      </c>
      <c r="Y619" s="171">
        <f t="shared" si="157"/>
        <v>3.8367346938775533E-2</v>
      </c>
      <c r="Z619" s="64">
        <f t="shared" si="151"/>
        <v>8.1632653061224483E-2</v>
      </c>
      <c r="AA619" s="64">
        <f t="shared" si="161"/>
        <v>9.5238095238095247E-3</v>
      </c>
      <c r="AB619" s="71">
        <f t="shared" si="158"/>
        <v>1060</v>
      </c>
      <c r="AC619" s="64">
        <f t="shared" si="152"/>
        <v>8.1632653061224483E-2</v>
      </c>
      <c r="AD619" s="64">
        <f t="shared" si="163"/>
        <v>9.5238095238095247E-3</v>
      </c>
      <c r="AE619" s="71">
        <v>1055</v>
      </c>
      <c r="AF619" s="64">
        <f t="shared" si="153"/>
        <v>7.6530612244897961E-2</v>
      </c>
      <c r="AG619" s="64">
        <f t="shared" si="164"/>
        <v>4.7619047619047623E-3</v>
      </c>
      <c r="AH619" s="67"/>
      <c r="AI619" s="47" t="s">
        <v>54</v>
      </c>
      <c r="AJ619" s="47">
        <v>455</v>
      </c>
      <c r="AK619" s="101" t="s">
        <v>55</v>
      </c>
      <c r="AL619" s="101" t="s">
        <v>55</v>
      </c>
      <c r="AM619" s="47" t="s">
        <v>149</v>
      </c>
      <c r="AN619" s="50">
        <v>1030</v>
      </c>
      <c r="AO619" s="211">
        <f t="shared" si="154"/>
        <v>5.1020408163265307E-2</v>
      </c>
      <c r="AP619" s="47" t="s">
        <v>57</v>
      </c>
      <c r="AQ619" s="47" t="s">
        <v>58</v>
      </c>
      <c r="AR619" s="47"/>
    </row>
    <row r="620" spans="1:44" hidden="1">
      <c r="A620" s="47" t="s">
        <v>44</v>
      </c>
      <c r="B620" s="47" t="str">
        <f t="shared" si="148"/>
        <v>July</v>
      </c>
      <c r="C620" s="59">
        <v>45478</v>
      </c>
      <c r="D620" s="47" t="s">
        <v>45</v>
      </c>
      <c r="E620" s="47" t="s">
        <v>46</v>
      </c>
      <c r="F620" s="47" t="s">
        <v>47</v>
      </c>
      <c r="G620" s="91" t="s">
        <v>471</v>
      </c>
      <c r="H620" s="47" t="s">
        <v>472</v>
      </c>
      <c r="I620" s="47" t="s">
        <v>50</v>
      </c>
      <c r="J620" s="47" t="s">
        <v>51</v>
      </c>
      <c r="K620" s="48">
        <v>45113</v>
      </c>
      <c r="L620" s="48">
        <v>45113</v>
      </c>
      <c r="M620" s="48">
        <v>45478</v>
      </c>
      <c r="N620" s="47" t="s">
        <v>52</v>
      </c>
      <c r="O620" s="55" t="s">
        <v>53</v>
      </c>
      <c r="P620" s="62">
        <v>11820</v>
      </c>
      <c r="Q620" s="62">
        <v>985</v>
      </c>
      <c r="R620" s="96">
        <v>12480</v>
      </c>
      <c r="S620" s="62">
        <f t="shared" si="149"/>
        <v>1040</v>
      </c>
      <c r="T620" s="62">
        <v>11700</v>
      </c>
      <c r="U620" s="62">
        <f t="shared" si="155"/>
        <v>975</v>
      </c>
      <c r="V620" s="69">
        <v>10860</v>
      </c>
      <c r="W620" s="71">
        <v>1055</v>
      </c>
      <c r="X620" s="105">
        <f t="shared" si="162"/>
        <v>1012.8</v>
      </c>
      <c r="Y620" s="171">
        <f t="shared" si="157"/>
        <v>3.8769230769230723E-2</v>
      </c>
      <c r="Z620" s="64">
        <f t="shared" si="151"/>
        <v>8.2051282051282051E-2</v>
      </c>
      <c r="AA620" s="64">
        <f t="shared" si="161"/>
        <v>1.4423076923076924E-2</v>
      </c>
      <c r="AB620" s="71">
        <f t="shared" si="158"/>
        <v>1055</v>
      </c>
      <c r="AC620" s="64">
        <f t="shared" si="152"/>
        <v>8.2051282051282051E-2</v>
      </c>
      <c r="AD620" s="64">
        <f t="shared" si="163"/>
        <v>1.4423076923076924E-2</v>
      </c>
      <c r="AE620" s="71">
        <v>1040</v>
      </c>
      <c r="AF620" s="64">
        <f t="shared" si="153"/>
        <v>6.6666666666666666E-2</v>
      </c>
      <c r="AG620" s="64">
        <f t="shared" si="164"/>
        <v>0</v>
      </c>
      <c r="AH620" s="67"/>
      <c r="AI620" s="47" t="s">
        <v>54</v>
      </c>
      <c r="AJ620" s="47">
        <v>455</v>
      </c>
      <c r="AK620" s="101" t="s">
        <v>55</v>
      </c>
      <c r="AL620" s="101" t="s">
        <v>55</v>
      </c>
      <c r="AM620" s="47" t="s">
        <v>149</v>
      </c>
      <c r="AN620" s="50"/>
      <c r="AO620" s="211">
        <f t="shared" si="154"/>
        <v>-1</v>
      </c>
      <c r="AP620" s="47" t="s">
        <v>57</v>
      </c>
      <c r="AQ620" s="47" t="s">
        <v>58</v>
      </c>
      <c r="AR620" s="47"/>
    </row>
    <row r="621" spans="1:44">
      <c r="A621" s="47" t="s">
        <v>44</v>
      </c>
      <c r="B621" s="47" t="str">
        <f t="shared" si="148"/>
        <v>July</v>
      </c>
      <c r="C621" s="59">
        <v>45478</v>
      </c>
      <c r="D621" s="47" t="s">
        <v>45</v>
      </c>
      <c r="E621" s="47" t="s">
        <v>46</v>
      </c>
      <c r="F621" s="47" t="s">
        <v>47</v>
      </c>
      <c r="G621" s="94" t="s">
        <v>1236</v>
      </c>
      <c r="H621" s="47" t="s">
        <v>1237</v>
      </c>
      <c r="I621" s="47" t="s">
        <v>50</v>
      </c>
      <c r="J621" s="47" t="s">
        <v>51</v>
      </c>
      <c r="K621" s="48">
        <v>44748</v>
      </c>
      <c r="L621" s="48">
        <v>45113</v>
      </c>
      <c r="M621" s="48">
        <v>45478</v>
      </c>
      <c r="N621" s="47" t="s">
        <v>64</v>
      </c>
      <c r="O621" s="55" t="s">
        <v>53</v>
      </c>
      <c r="P621" s="62">
        <v>11760</v>
      </c>
      <c r="Q621" s="62">
        <v>980</v>
      </c>
      <c r="R621" s="96">
        <v>12420</v>
      </c>
      <c r="S621" s="62">
        <f t="shared" si="149"/>
        <v>1035</v>
      </c>
      <c r="T621" s="62">
        <v>11760</v>
      </c>
      <c r="U621" s="62">
        <f t="shared" ref="U621:U652" si="165">T621/12</f>
        <v>980</v>
      </c>
      <c r="V621" s="69">
        <v>10860</v>
      </c>
      <c r="W621" s="71">
        <v>1055</v>
      </c>
      <c r="X621" s="105">
        <f t="shared" si="162"/>
        <v>1012.8</v>
      </c>
      <c r="Y621" s="171">
        <f t="shared" si="157"/>
        <v>3.3469387755101991E-2</v>
      </c>
      <c r="Z621" s="64">
        <f t="shared" si="151"/>
        <v>7.6530612244897961E-2</v>
      </c>
      <c r="AA621" s="64">
        <f t="shared" si="161"/>
        <v>1.932367149758454E-2</v>
      </c>
      <c r="AB621" s="71">
        <f t="shared" si="158"/>
        <v>1055</v>
      </c>
      <c r="AC621" s="64">
        <f t="shared" si="152"/>
        <v>7.6530612244897961E-2</v>
      </c>
      <c r="AD621" s="64">
        <f t="shared" si="163"/>
        <v>1.932367149758454E-2</v>
      </c>
      <c r="AE621" s="71">
        <v>1040</v>
      </c>
      <c r="AF621" s="64">
        <f t="shared" si="153"/>
        <v>6.1224489795918366E-2</v>
      </c>
      <c r="AG621" s="64">
        <f t="shared" si="164"/>
        <v>4.830917874396135E-3</v>
      </c>
      <c r="AH621" s="67"/>
      <c r="AI621" s="47" t="s">
        <v>54</v>
      </c>
      <c r="AJ621" s="47">
        <v>464</v>
      </c>
      <c r="AK621" s="101" t="s">
        <v>55</v>
      </c>
      <c r="AL621" s="101" t="s">
        <v>55</v>
      </c>
      <c r="AM621" s="47" t="s">
        <v>263</v>
      </c>
      <c r="AN621" s="50"/>
      <c r="AO621" s="211">
        <f t="shared" si="154"/>
        <v>-1</v>
      </c>
      <c r="AP621" s="47" t="s">
        <v>57</v>
      </c>
      <c r="AQ621" s="47" t="s">
        <v>891</v>
      </c>
      <c r="AR621" s="47"/>
    </row>
    <row r="622" spans="1:44">
      <c r="A622" s="47" t="s">
        <v>44</v>
      </c>
      <c r="B622" s="47" t="str">
        <f t="shared" si="148"/>
        <v>July</v>
      </c>
      <c r="C622" s="59">
        <v>45504</v>
      </c>
      <c r="D622" s="47" t="s">
        <v>45</v>
      </c>
      <c r="E622" s="47" t="s">
        <v>46</v>
      </c>
      <c r="F622" s="47" t="s">
        <v>47</v>
      </c>
      <c r="G622" s="94" t="s">
        <v>1258</v>
      </c>
      <c r="H622" s="47" t="s">
        <v>1259</v>
      </c>
      <c r="I622" s="47" t="s">
        <v>50</v>
      </c>
      <c r="J622" s="47" t="s">
        <v>51</v>
      </c>
      <c r="K622" s="48">
        <v>44774</v>
      </c>
      <c r="L622" s="48">
        <v>45139</v>
      </c>
      <c r="M622" s="48">
        <v>45504</v>
      </c>
      <c r="N622" s="47" t="s">
        <v>64</v>
      </c>
      <c r="O622" s="55" t="s">
        <v>53</v>
      </c>
      <c r="P622" s="62">
        <v>11940</v>
      </c>
      <c r="Q622" s="62">
        <v>995</v>
      </c>
      <c r="R622" s="96">
        <v>12600</v>
      </c>
      <c r="S622" s="62">
        <f t="shared" si="149"/>
        <v>1050</v>
      </c>
      <c r="T622" s="62">
        <v>11520</v>
      </c>
      <c r="U622" s="62">
        <f t="shared" si="165"/>
        <v>960</v>
      </c>
      <c r="V622" s="69">
        <v>10680</v>
      </c>
      <c r="W622" s="71">
        <v>1035</v>
      </c>
      <c r="X622" s="105">
        <f t="shared" si="162"/>
        <v>993.6</v>
      </c>
      <c r="Y622" s="171">
        <f t="shared" si="157"/>
        <v>3.5000000000000024E-2</v>
      </c>
      <c r="Z622" s="64">
        <f t="shared" si="151"/>
        <v>7.8125E-2</v>
      </c>
      <c r="AA622" s="64">
        <f t="shared" si="161"/>
        <v>-1.4285714285714285E-2</v>
      </c>
      <c r="AB622" s="71">
        <f t="shared" si="158"/>
        <v>1035</v>
      </c>
      <c r="AC622" s="64">
        <f t="shared" si="152"/>
        <v>7.8125E-2</v>
      </c>
      <c r="AD622" s="64">
        <f t="shared" si="163"/>
        <v>-1.4285714285714285E-2</v>
      </c>
      <c r="AE622" s="71">
        <f>AB622</f>
        <v>1035</v>
      </c>
      <c r="AF622" s="64">
        <f t="shared" si="153"/>
        <v>7.8125E-2</v>
      </c>
      <c r="AG622" s="64">
        <f t="shared" si="164"/>
        <v>-1.4285714285714285E-2</v>
      </c>
      <c r="AH622" s="67"/>
      <c r="AI622" s="47" t="s">
        <v>54</v>
      </c>
      <c r="AJ622" s="47">
        <v>502</v>
      </c>
      <c r="AK622" s="101" t="s">
        <v>55</v>
      </c>
      <c r="AL622" s="101" t="s">
        <v>55</v>
      </c>
      <c r="AM622" s="47" t="s">
        <v>288</v>
      </c>
      <c r="AN622" s="50"/>
      <c r="AO622" s="211">
        <f t="shared" si="154"/>
        <v>-1</v>
      </c>
      <c r="AP622" s="47" t="s">
        <v>57</v>
      </c>
      <c r="AQ622" s="47" t="s">
        <v>1132</v>
      </c>
      <c r="AR622" s="47"/>
    </row>
    <row r="623" spans="1:44" hidden="1">
      <c r="A623" s="47" t="s">
        <v>44</v>
      </c>
      <c r="B623" s="47" t="str">
        <f t="shared" si="148"/>
        <v>August</v>
      </c>
      <c r="C623" s="59">
        <v>45514</v>
      </c>
      <c r="D623" s="47" t="s">
        <v>45</v>
      </c>
      <c r="E623" s="47" t="s">
        <v>46</v>
      </c>
      <c r="F623" s="47" t="s">
        <v>47</v>
      </c>
      <c r="G623" s="91" t="s">
        <v>1494</v>
      </c>
      <c r="H623" s="47" t="s">
        <v>1495</v>
      </c>
      <c r="I623" s="47" t="s">
        <v>50</v>
      </c>
      <c r="J623" s="47" t="s">
        <v>51</v>
      </c>
      <c r="K623" s="48">
        <v>45149</v>
      </c>
      <c r="L623" s="48">
        <v>45149</v>
      </c>
      <c r="M623" s="48">
        <v>45514</v>
      </c>
      <c r="N623" s="47" t="s">
        <v>52</v>
      </c>
      <c r="O623" s="55" t="s">
        <v>53</v>
      </c>
      <c r="P623" s="62">
        <v>16260</v>
      </c>
      <c r="Q623" s="62">
        <v>1355</v>
      </c>
      <c r="R623" s="96">
        <v>16800</v>
      </c>
      <c r="S623" s="62">
        <f t="shared" si="149"/>
        <v>1400</v>
      </c>
      <c r="T623" s="62">
        <v>16080</v>
      </c>
      <c r="U623" s="62">
        <f t="shared" si="165"/>
        <v>1340</v>
      </c>
      <c r="V623" s="69">
        <v>14640</v>
      </c>
      <c r="W623" s="71">
        <v>1410</v>
      </c>
      <c r="X623" s="105">
        <f t="shared" si="162"/>
        <v>1353.6</v>
      </c>
      <c r="Y623" s="176">
        <f t="shared" si="157"/>
        <v>1.0149253731343216E-2</v>
      </c>
      <c r="Z623" s="64">
        <f t="shared" si="151"/>
        <v>5.2238805970149252E-2</v>
      </c>
      <c r="AA623" s="64">
        <f t="shared" si="161"/>
        <v>7.1428571428571426E-3</v>
      </c>
      <c r="AB623" s="71">
        <f t="shared" si="158"/>
        <v>1410</v>
      </c>
      <c r="AC623" s="64">
        <f t="shared" si="152"/>
        <v>5.2238805970149252E-2</v>
      </c>
      <c r="AD623" s="64">
        <f t="shared" si="163"/>
        <v>7.1428571428571426E-3</v>
      </c>
      <c r="AE623" s="71">
        <f>AB623</f>
        <v>1410</v>
      </c>
      <c r="AF623" s="64">
        <f t="shared" si="153"/>
        <v>5.2238805970149252E-2</v>
      </c>
      <c r="AG623" s="64">
        <f t="shared" si="164"/>
        <v>7.1428571428571426E-3</v>
      </c>
      <c r="AH623" s="67"/>
      <c r="AI623" s="47" t="s">
        <v>54</v>
      </c>
      <c r="AJ623" s="47">
        <v>753</v>
      </c>
      <c r="AK623" s="47" t="s">
        <v>65</v>
      </c>
      <c r="AL623" s="47" t="s">
        <v>65</v>
      </c>
      <c r="AM623" s="47" t="s">
        <v>73</v>
      </c>
      <c r="AN623" s="50"/>
      <c r="AO623" s="211">
        <f t="shared" si="154"/>
        <v>-1</v>
      </c>
      <c r="AP623" s="47" t="s">
        <v>57</v>
      </c>
      <c r="AQ623" s="47" t="s">
        <v>1132</v>
      </c>
      <c r="AR623" s="47"/>
    </row>
    <row r="624" spans="1:44" hidden="1">
      <c r="A624" s="47" t="s">
        <v>44</v>
      </c>
      <c r="B624" s="47" t="str">
        <f t="shared" si="148"/>
        <v>August</v>
      </c>
      <c r="C624" s="59">
        <v>45514</v>
      </c>
      <c r="D624" s="47" t="s">
        <v>45</v>
      </c>
      <c r="E624" s="47" t="s">
        <v>46</v>
      </c>
      <c r="F624" s="47" t="s">
        <v>47</v>
      </c>
      <c r="G624" s="91" t="s">
        <v>1496</v>
      </c>
      <c r="H624" s="47" t="s">
        <v>1497</v>
      </c>
      <c r="I624" s="47" t="s">
        <v>50</v>
      </c>
      <c r="J624" s="47" t="s">
        <v>51</v>
      </c>
      <c r="K624" s="48">
        <v>45149</v>
      </c>
      <c r="L624" s="48">
        <v>45149</v>
      </c>
      <c r="M624" s="48">
        <v>45514</v>
      </c>
      <c r="N624" s="47" t="s">
        <v>52</v>
      </c>
      <c r="O624" s="55" t="s">
        <v>53</v>
      </c>
      <c r="P624" s="62">
        <v>16140</v>
      </c>
      <c r="Q624" s="62">
        <v>1345</v>
      </c>
      <c r="R624" s="96">
        <v>16680</v>
      </c>
      <c r="S624" s="62">
        <f t="shared" si="149"/>
        <v>1390</v>
      </c>
      <c r="T624" s="62">
        <v>16140</v>
      </c>
      <c r="U624" s="62">
        <f t="shared" si="165"/>
        <v>1345</v>
      </c>
      <c r="V624" s="69">
        <v>14340</v>
      </c>
      <c r="W624" s="71">
        <v>1420</v>
      </c>
      <c r="X624" s="105">
        <f t="shared" si="162"/>
        <v>1363.2</v>
      </c>
      <c r="Y624" s="176">
        <f t="shared" si="157"/>
        <v>1.3531598513011186E-2</v>
      </c>
      <c r="Z624" s="64">
        <f t="shared" si="151"/>
        <v>5.5762081784386616E-2</v>
      </c>
      <c r="AA624" s="64">
        <f t="shared" si="161"/>
        <v>2.1582733812949641E-2</v>
      </c>
      <c r="AB624" s="71">
        <f t="shared" si="158"/>
        <v>1420</v>
      </c>
      <c r="AC624" s="64">
        <f t="shared" si="152"/>
        <v>5.5762081784386616E-2</v>
      </c>
      <c r="AD624" s="64">
        <f t="shared" si="163"/>
        <v>2.1582733812949641E-2</v>
      </c>
      <c r="AE624" s="71">
        <v>1400</v>
      </c>
      <c r="AF624" s="64">
        <f t="shared" si="153"/>
        <v>4.0892193308550186E-2</v>
      </c>
      <c r="AG624" s="64">
        <f t="shared" si="164"/>
        <v>7.1942446043165471E-3</v>
      </c>
      <c r="AH624" s="67"/>
      <c r="AI624" s="47" t="s">
        <v>54</v>
      </c>
      <c r="AJ624" s="47">
        <v>760</v>
      </c>
      <c r="AK624" s="47" t="s">
        <v>65</v>
      </c>
      <c r="AL624" s="47" t="s">
        <v>65</v>
      </c>
      <c r="AM624" s="47" t="s">
        <v>237</v>
      </c>
      <c r="AN624" s="50">
        <v>1400</v>
      </c>
      <c r="AO624" s="211">
        <f t="shared" si="154"/>
        <v>4.0892193308550186E-2</v>
      </c>
      <c r="AP624" s="47" t="s">
        <v>57</v>
      </c>
      <c r="AQ624" s="47" t="s">
        <v>1132</v>
      </c>
      <c r="AR624" s="47"/>
    </row>
    <row r="625" spans="1:44" hidden="1">
      <c r="A625" s="47" t="s">
        <v>44</v>
      </c>
      <c r="B625" s="47" t="str">
        <f t="shared" si="148"/>
        <v>August</v>
      </c>
      <c r="C625" s="59">
        <v>45515</v>
      </c>
      <c r="D625" s="47" t="s">
        <v>45</v>
      </c>
      <c r="E625" s="47" t="s">
        <v>46</v>
      </c>
      <c r="F625" s="47" t="s">
        <v>47</v>
      </c>
      <c r="G625" s="91" t="s">
        <v>1573</v>
      </c>
      <c r="H625" s="47" t="s">
        <v>1574</v>
      </c>
      <c r="I625" s="47" t="s">
        <v>50</v>
      </c>
      <c r="J625" s="47" t="s">
        <v>51</v>
      </c>
      <c r="K625" s="48">
        <v>45150</v>
      </c>
      <c r="L625" s="48">
        <v>45150</v>
      </c>
      <c r="M625" s="48">
        <v>45515</v>
      </c>
      <c r="N625" s="47" t="s">
        <v>52</v>
      </c>
      <c r="O625" s="55" t="s">
        <v>53</v>
      </c>
      <c r="P625" s="62">
        <v>12060</v>
      </c>
      <c r="Q625" s="62">
        <v>1005</v>
      </c>
      <c r="R625" s="96">
        <v>12720</v>
      </c>
      <c r="S625" s="62">
        <f t="shared" si="149"/>
        <v>1060</v>
      </c>
      <c r="T625" s="62">
        <v>12060</v>
      </c>
      <c r="U625" s="62">
        <f t="shared" si="165"/>
        <v>1005</v>
      </c>
      <c r="V625" s="69">
        <v>10980</v>
      </c>
      <c r="W625" s="71">
        <v>1065</v>
      </c>
      <c r="X625" s="105">
        <f t="shared" si="162"/>
        <v>1022.4</v>
      </c>
      <c r="Y625" s="176">
        <f t="shared" si="157"/>
        <v>1.7313432835820874E-2</v>
      </c>
      <c r="Z625" s="64">
        <f t="shared" si="151"/>
        <v>5.9701492537313432E-2</v>
      </c>
      <c r="AA625" s="64">
        <f t="shared" si="161"/>
        <v>4.7169811320754715E-3</v>
      </c>
      <c r="AB625" s="71">
        <f t="shared" si="158"/>
        <v>1065</v>
      </c>
      <c r="AC625" s="64">
        <f t="shared" si="152"/>
        <v>5.9701492537313432E-2</v>
      </c>
      <c r="AD625" s="64">
        <f t="shared" si="163"/>
        <v>4.7169811320754715E-3</v>
      </c>
      <c r="AE625" s="71">
        <f>AB625</f>
        <v>1065</v>
      </c>
      <c r="AF625" s="64">
        <f t="shared" si="153"/>
        <v>5.9701492537313432E-2</v>
      </c>
      <c r="AG625" s="64">
        <f t="shared" si="164"/>
        <v>4.7169811320754715E-3</v>
      </c>
      <c r="AH625" s="67"/>
      <c r="AI625" s="47" t="s">
        <v>54</v>
      </c>
      <c r="AJ625" s="47">
        <v>464</v>
      </c>
      <c r="AK625" s="47" t="s">
        <v>55</v>
      </c>
      <c r="AL625" s="47" t="s">
        <v>55</v>
      </c>
      <c r="AM625" s="47" t="s">
        <v>263</v>
      </c>
      <c r="AN625" s="50"/>
      <c r="AO625" s="211">
        <f t="shared" si="154"/>
        <v>-1</v>
      </c>
      <c r="AP625" s="47" t="s">
        <v>57</v>
      </c>
      <c r="AQ625" s="47" t="s">
        <v>1132</v>
      </c>
      <c r="AR625" s="47"/>
    </row>
    <row r="626" spans="1:44" hidden="1">
      <c r="A626" s="47" t="s">
        <v>44</v>
      </c>
      <c r="B626" s="47" t="str">
        <f t="shared" si="148"/>
        <v>August</v>
      </c>
      <c r="C626" s="59">
        <v>45519</v>
      </c>
      <c r="D626" s="47" t="s">
        <v>45</v>
      </c>
      <c r="E626" s="47" t="s">
        <v>46</v>
      </c>
      <c r="F626" s="47" t="s">
        <v>47</v>
      </c>
      <c r="G626" s="91" t="s">
        <v>1946</v>
      </c>
      <c r="H626" s="47" t="s">
        <v>1947</v>
      </c>
      <c r="I626" s="47" t="s">
        <v>50</v>
      </c>
      <c r="J626" s="47" t="s">
        <v>51</v>
      </c>
      <c r="K626" s="48">
        <v>45154</v>
      </c>
      <c r="L626" s="48">
        <v>45154</v>
      </c>
      <c r="M626" s="48">
        <v>45519</v>
      </c>
      <c r="N626" s="47" t="s">
        <v>52</v>
      </c>
      <c r="O626" s="55" t="s">
        <v>53</v>
      </c>
      <c r="P626" s="62">
        <v>14820</v>
      </c>
      <c r="Q626" s="62">
        <v>1235</v>
      </c>
      <c r="R626" s="96">
        <v>15360</v>
      </c>
      <c r="S626" s="62">
        <f t="shared" si="149"/>
        <v>1280</v>
      </c>
      <c r="T626" s="62">
        <v>14820</v>
      </c>
      <c r="U626" s="62">
        <f t="shared" si="165"/>
        <v>1235</v>
      </c>
      <c r="V626" s="69">
        <v>13380</v>
      </c>
      <c r="W626" s="71">
        <v>1310</v>
      </c>
      <c r="X626" s="105">
        <f t="shared" si="162"/>
        <v>1257.5999999999999</v>
      </c>
      <c r="Y626" s="176">
        <f t="shared" si="157"/>
        <v>1.829959514170033E-2</v>
      </c>
      <c r="Z626" s="64">
        <f t="shared" si="151"/>
        <v>6.0728744939271252E-2</v>
      </c>
      <c r="AA626" s="64">
        <f t="shared" si="161"/>
        <v>2.34375E-2</v>
      </c>
      <c r="AB626" s="71">
        <f t="shared" si="158"/>
        <v>1310</v>
      </c>
      <c r="AC626" s="64">
        <f t="shared" si="152"/>
        <v>6.0728744939271252E-2</v>
      </c>
      <c r="AD626" s="64">
        <f t="shared" si="163"/>
        <v>2.34375E-2</v>
      </c>
      <c r="AE626" s="71">
        <v>1295</v>
      </c>
      <c r="AF626" s="64">
        <f t="shared" si="153"/>
        <v>4.8582995951417005E-2</v>
      </c>
      <c r="AG626" s="64">
        <f t="shared" si="164"/>
        <v>1.171875E-2</v>
      </c>
      <c r="AH626" s="67"/>
      <c r="AI626" s="47" t="s">
        <v>54</v>
      </c>
      <c r="AJ626" s="47">
        <v>753</v>
      </c>
      <c r="AK626" s="47" t="s">
        <v>65</v>
      </c>
      <c r="AL626" s="47" t="s">
        <v>65</v>
      </c>
      <c r="AM626" s="47" t="s">
        <v>1948</v>
      </c>
      <c r="AN626" s="50">
        <v>1310</v>
      </c>
      <c r="AO626" s="211">
        <f t="shared" si="154"/>
        <v>6.0728744939271252E-2</v>
      </c>
      <c r="AP626" s="47" t="s">
        <v>57</v>
      </c>
      <c r="AQ626" s="47" t="s">
        <v>1132</v>
      </c>
      <c r="AR626" s="47"/>
    </row>
    <row r="627" spans="1:44" hidden="1">
      <c r="A627" s="47" t="s">
        <v>44</v>
      </c>
      <c r="B627" s="47" t="str">
        <f t="shared" si="148"/>
        <v>August</v>
      </c>
      <c r="C627" s="59">
        <v>45520</v>
      </c>
      <c r="D627" s="47" t="s">
        <v>45</v>
      </c>
      <c r="E627" s="47" t="s">
        <v>46</v>
      </c>
      <c r="F627" s="47" t="s">
        <v>47</v>
      </c>
      <c r="G627" s="91" t="s">
        <v>2002</v>
      </c>
      <c r="H627" s="47" t="s">
        <v>2003</v>
      </c>
      <c r="I627" s="47" t="s">
        <v>50</v>
      </c>
      <c r="J627" s="47" t="s">
        <v>51</v>
      </c>
      <c r="K627" s="48">
        <v>45155</v>
      </c>
      <c r="L627" s="48">
        <v>45155</v>
      </c>
      <c r="M627" s="48">
        <v>45520</v>
      </c>
      <c r="N627" s="47" t="s">
        <v>52</v>
      </c>
      <c r="O627" s="55" t="s">
        <v>53</v>
      </c>
      <c r="P627" s="62">
        <v>11820</v>
      </c>
      <c r="Q627" s="62">
        <v>985</v>
      </c>
      <c r="R627" s="96">
        <v>12480</v>
      </c>
      <c r="S627" s="62">
        <f t="shared" si="149"/>
        <v>1040</v>
      </c>
      <c r="T627" s="62">
        <v>11820</v>
      </c>
      <c r="U627" s="62">
        <f t="shared" si="165"/>
        <v>985</v>
      </c>
      <c r="V627" s="69">
        <v>10680</v>
      </c>
      <c r="W627" s="71">
        <v>1045</v>
      </c>
      <c r="X627" s="105">
        <f t="shared" si="162"/>
        <v>1003.2</v>
      </c>
      <c r="Y627" s="176">
        <f t="shared" si="157"/>
        <v>1.8477157360406136E-2</v>
      </c>
      <c r="Z627" s="64">
        <f t="shared" si="151"/>
        <v>6.0913705583756347E-2</v>
      </c>
      <c r="AA627" s="64">
        <f t="shared" si="161"/>
        <v>4.807692307692308E-3</v>
      </c>
      <c r="AB627" s="71">
        <f t="shared" si="158"/>
        <v>1045</v>
      </c>
      <c r="AC627" s="64">
        <f t="shared" si="152"/>
        <v>6.0913705583756347E-2</v>
      </c>
      <c r="AD627" s="64">
        <f t="shared" si="163"/>
        <v>4.807692307692308E-3</v>
      </c>
      <c r="AE627" s="71">
        <f>AB627</f>
        <v>1045</v>
      </c>
      <c r="AF627" s="64">
        <f t="shared" si="153"/>
        <v>6.0913705583756347E-2</v>
      </c>
      <c r="AG627" s="64">
        <f t="shared" si="164"/>
        <v>4.807692307692308E-3</v>
      </c>
      <c r="AH627" s="67"/>
      <c r="AI627" s="47" t="s">
        <v>54</v>
      </c>
      <c r="AJ627" s="47">
        <v>455</v>
      </c>
      <c r="AK627" s="47" t="s">
        <v>55</v>
      </c>
      <c r="AL627" s="47" t="s">
        <v>55</v>
      </c>
      <c r="AM627" s="47" t="s">
        <v>56</v>
      </c>
      <c r="AN627" s="50">
        <v>1045</v>
      </c>
      <c r="AO627" s="211">
        <f t="shared" si="154"/>
        <v>6.0913705583756347E-2</v>
      </c>
      <c r="AP627" s="47" t="s">
        <v>57</v>
      </c>
      <c r="AQ627" s="47" t="s">
        <v>1132</v>
      </c>
      <c r="AR627" s="47"/>
    </row>
    <row r="628" spans="1:44" hidden="1">
      <c r="A628" s="47" t="s">
        <v>44</v>
      </c>
      <c r="B628" s="47" t="str">
        <f t="shared" si="148"/>
        <v>August</v>
      </c>
      <c r="C628" s="59">
        <v>45521</v>
      </c>
      <c r="D628" s="47" t="s">
        <v>45</v>
      </c>
      <c r="E628" s="47" t="s">
        <v>46</v>
      </c>
      <c r="F628" s="47" t="s">
        <v>47</v>
      </c>
      <c r="G628" s="91" t="s">
        <v>2100</v>
      </c>
      <c r="H628" s="47" t="s">
        <v>2101</v>
      </c>
      <c r="I628" s="47" t="s">
        <v>50</v>
      </c>
      <c r="J628" s="47" t="s">
        <v>51</v>
      </c>
      <c r="K628" s="48">
        <v>45156</v>
      </c>
      <c r="L628" s="48">
        <v>45156</v>
      </c>
      <c r="M628" s="48">
        <v>45521</v>
      </c>
      <c r="N628" s="47" t="s">
        <v>52</v>
      </c>
      <c r="O628" s="55" t="s">
        <v>53</v>
      </c>
      <c r="P628" s="62">
        <v>12480</v>
      </c>
      <c r="Q628" s="62">
        <v>1040</v>
      </c>
      <c r="R628" s="96">
        <v>13140</v>
      </c>
      <c r="S628" s="62">
        <f t="shared" si="149"/>
        <v>1095</v>
      </c>
      <c r="T628" s="62">
        <v>12480</v>
      </c>
      <c r="U628" s="62">
        <f t="shared" si="165"/>
        <v>1040</v>
      </c>
      <c r="V628" s="69">
        <v>11340</v>
      </c>
      <c r="W628" s="71">
        <v>1100</v>
      </c>
      <c r="X628" s="105">
        <f t="shared" si="162"/>
        <v>1056</v>
      </c>
      <c r="Y628" s="176">
        <f t="shared" si="157"/>
        <v>1.5384615384615385E-2</v>
      </c>
      <c r="Z628" s="64">
        <f t="shared" si="151"/>
        <v>5.7692307692307696E-2</v>
      </c>
      <c r="AA628" s="64">
        <f t="shared" si="161"/>
        <v>4.5662100456621002E-3</v>
      </c>
      <c r="AB628" s="71">
        <f t="shared" si="158"/>
        <v>1100</v>
      </c>
      <c r="AC628" s="64">
        <f t="shared" si="152"/>
        <v>5.7692307692307696E-2</v>
      </c>
      <c r="AD628" s="64">
        <f t="shared" si="163"/>
        <v>4.5662100456621002E-3</v>
      </c>
      <c r="AE628" s="71">
        <f>AB628</f>
        <v>1100</v>
      </c>
      <c r="AF628" s="64">
        <f t="shared" si="153"/>
        <v>5.7692307692307696E-2</v>
      </c>
      <c r="AG628" s="64">
        <f t="shared" si="164"/>
        <v>4.5662100456621002E-3</v>
      </c>
      <c r="AH628" s="67"/>
      <c r="AI628" s="47" t="s">
        <v>54</v>
      </c>
      <c r="AJ628" s="47">
        <v>464</v>
      </c>
      <c r="AK628" s="47" t="s">
        <v>55</v>
      </c>
      <c r="AL628" s="47" t="s">
        <v>55</v>
      </c>
      <c r="AM628" s="47" t="s">
        <v>263</v>
      </c>
      <c r="AN628" s="50"/>
      <c r="AO628" s="211">
        <f t="shared" si="154"/>
        <v>-1</v>
      </c>
      <c r="AP628" s="47" t="s">
        <v>57</v>
      </c>
      <c r="AQ628" s="47" t="s">
        <v>1132</v>
      </c>
      <c r="AR628" s="47"/>
    </row>
    <row r="629" spans="1:44" hidden="1">
      <c r="A629" s="47" t="s">
        <v>44</v>
      </c>
      <c r="B629" s="47" t="str">
        <f t="shared" si="148"/>
        <v>August</v>
      </c>
      <c r="C629" s="59">
        <v>45521</v>
      </c>
      <c r="D629" s="47" t="s">
        <v>45</v>
      </c>
      <c r="E629" s="47" t="s">
        <v>46</v>
      </c>
      <c r="F629" s="47" t="s">
        <v>47</v>
      </c>
      <c r="G629" s="91" t="s">
        <v>2102</v>
      </c>
      <c r="H629" s="47" t="s">
        <v>2103</v>
      </c>
      <c r="I629" s="47" t="s">
        <v>50</v>
      </c>
      <c r="J629" s="47" t="s">
        <v>51</v>
      </c>
      <c r="K629" s="48">
        <v>45156</v>
      </c>
      <c r="L629" s="48">
        <v>44786</v>
      </c>
      <c r="M629" s="48">
        <v>45150</v>
      </c>
      <c r="N629" s="47" t="s">
        <v>52</v>
      </c>
      <c r="O629" s="55" t="s">
        <v>53</v>
      </c>
      <c r="P629" s="62">
        <v>12000</v>
      </c>
      <c r="Q629" s="62">
        <v>1000</v>
      </c>
      <c r="R629" s="96">
        <v>12660</v>
      </c>
      <c r="S629" s="62">
        <f t="shared" si="149"/>
        <v>1055</v>
      </c>
      <c r="T629" s="62">
        <v>12000</v>
      </c>
      <c r="U629" s="62">
        <f t="shared" si="165"/>
        <v>1000</v>
      </c>
      <c r="V629" s="69">
        <v>10920</v>
      </c>
      <c r="W629" s="71">
        <v>1060</v>
      </c>
      <c r="X629" s="105">
        <f t="shared" si="162"/>
        <v>1017.6</v>
      </c>
      <c r="Y629" s="176">
        <f t="shared" si="157"/>
        <v>1.7600000000000022E-2</v>
      </c>
      <c r="Z629" s="64">
        <f t="shared" si="151"/>
        <v>0.06</v>
      </c>
      <c r="AA629" s="64">
        <f t="shared" si="161"/>
        <v>4.7393364928909956E-3</v>
      </c>
      <c r="AB629" s="71">
        <f t="shared" si="158"/>
        <v>1060</v>
      </c>
      <c r="AC629" s="64">
        <f t="shared" si="152"/>
        <v>0.06</v>
      </c>
      <c r="AD629" s="64">
        <f t="shared" si="163"/>
        <v>4.7393364928909956E-3</v>
      </c>
      <c r="AE629" s="71">
        <f>AB629</f>
        <v>1060</v>
      </c>
      <c r="AF629" s="64">
        <f t="shared" si="153"/>
        <v>0.06</v>
      </c>
      <c r="AG629" s="64">
        <f t="shared" si="164"/>
        <v>4.7393364928909956E-3</v>
      </c>
      <c r="AH629" s="67"/>
      <c r="AI629" s="47" t="s">
        <v>54</v>
      </c>
      <c r="AJ629" s="47">
        <v>464</v>
      </c>
      <c r="AK629" s="47" t="s">
        <v>55</v>
      </c>
      <c r="AL629" s="47" t="s">
        <v>55</v>
      </c>
      <c r="AM629" s="47" t="s">
        <v>263</v>
      </c>
      <c r="AN629" s="50">
        <v>1060</v>
      </c>
      <c r="AO629" s="211">
        <f t="shared" si="154"/>
        <v>0.06</v>
      </c>
      <c r="AP629" s="47" t="s">
        <v>57</v>
      </c>
      <c r="AQ629" s="47" t="s">
        <v>1132</v>
      </c>
      <c r="AR629" s="47"/>
    </row>
    <row r="630" spans="1:44" hidden="1">
      <c r="A630" s="47" t="s">
        <v>44</v>
      </c>
      <c r="B630" s="47" t="str">
        <f t="shared" si="148"/>
        <v>August</v>
      </c>
      <c r="C630" s="59">
        <v>45522</v>
      </c>
      <c r="D630" s="47" t="s">
        <v>45</v>
      </c>
      <c r="E630" s="47" t="s">
        <v>46</v>
      </c>
      <c r="F630" s="47" t="s">
        <v>47</v>
      </c>
      <c r="G630" s="91" t="s">
        <v>2234</v>
      </c>
      <c r="H630" s="47" t="s">
        <v>2235</v>
      </c>
      <c r="I630" s="47" t="s">
        <v>50</v>
      </c>
      <c r="J630" s="47" t="s">
        <v>51</v>
      </c>
      <c r="K630" s="48">
        <v>45157</v>
      </c>
      <c r="L630" s="48">
        <v>45157</v>
      </c>
      <c r="M630" s="48">
        <v>45522</v>
      </c>
      <c r="N630" s="47" t="s">
        <v>52</v>
      </c>
      <c r="O630" s="55" t="s">
        <v>53</v>
      </c>
      <c r="P630" s="62">
        <v>15480</v>
      </c>
      <c r="Q630" s="62">
        <v>1290</v>
      </c>
      <c r="R630" s="96">
        <v>16020</v>
      </c>
      <c r="S630" s="62">
        <f t="shared" si="149"/>
        <v>1335</v>
      </c>
      <c r="T630" s="62">
        <v>15480</v>
      </c>
      <c r="U630" s="62">
        <f t="shared" si="165"/>
        <v>1290</v>
      </c>
      <c r="V630" s="69">
        <v>15360</v>
      </c>
      <c r="W630" s="71">
        <v>1360</v>
      </c>
      <c r="X630" s="105">
        <f t="shared" si="162"/>
        <v>1305.5999999999999</v>
      </c>
      <c r="Y630" s="176">
        <f t="shared" si="157"/>
        <v>1.2093023255813884E-2</v>
      </c>
      <c r="Z630" s="64">
        <f t="shared" si="151"/>
        <v>5.4263565891472867E-2</v>
      </c>
      <c r="AA630" s="64">
        <f t="shared" si="161"/>
        <v>1.8726591760299626E-2</v>
      </c>
      <c r="AB630" s="71">
        <f t="shared" si="158"/>
        <v>1360</v>
      </c>
      <c r="AC630" s="64">
        <f t="shared" si="152"/>
        <v>5.4263565891472867E-2</v>
      </c>
      <c r="AD630" s="64">
        <f t="shared" si="163"/>
        <v>1.8726591760299626E-2</v>
      </c>
      <c r="AE630" s="71">
        <v>1350</v>
      </c>
      <c r="AF630" s="64">
        <f t="shared" si="153"/>
        <v>4.6511627906976744E-2</v>
      </c>
      <c r="AG630" s="64">
        <f t="shared" si="164"/>
        <v>1.1235955056179775E-2</v>
      </c>
      <c r="AH630" s="67"/>
      <c r="AI630" s="47" t="s">
        <v>54</v>
      </c>
      <c r="AJ630" s="47">
        <v>753</v>
      </c>
      <c r="AK630" s="47" t="s">
        <v>65</v>
      </c>
      <c r="AL630" s="47" t="s">
        <v>65</v>
      </c>
      <c r="AM630" s="47" t="s">
        <v>73</v>
      </c>
      <c r="AN630" s="50"/>
      <c r="AO630" s="211">
        <f t="shared" si="154"/>
        <v>-1</v>
      </c>
      <c r="AP630" s="47" t="s">
        <v>57</v>
      </c>
      <c r="AQ630" s="47" t="s">
        <v>1132</v>
      </c>
      <c r="AR630" s="47"/>
    </row>
    <row r="631" spans="1:44" hidden="1">
      <c r="A631" s="47" t="s">
        <v>44</v>
      </c>
      <c r="B631" s="47" t="str">
        <f t="shared" si="148"/>
        <v>August</v>
      </c>
      <c r="C631" s="59">
        <v>45522</v>
      </c>
      <c r="D631" s="47" t="s">
        <v>45</v>
      </c>
      <c r="E631" s="47" t="s">
        <v>46</v>
      </c>
      <c r="F631" s="47" t="s">
        <v>47</v>
      </c>
      <c r="G631" s="91" t="s">
        <v>2241</v>
      </c>
      <c r="H631" s="47" t="s">
        <v>2242</v>
      </c>
      <c r="I631" s="47" t="s">
        <v>50</v>
      </c>
      <c r="J631" s="47" t="s">
        <v>51</v>
      </c>
      <c r="K631" s="48">
        <v>45157</v>
      </c>
      <c r="L631" s="48">
        <v>45157</v>
      </c>
      <c r="M631" s="48">
        <v>45522</v>
      </c>
      <c r="N631" s="47" t="s">
        <v>52</v>
      </c>
      <c r="O631" s="55" t="s">
        <v>53</v>
      </c>
      <c r="P631" s="62">
        <v>11760</v>
      </c>
      <c r="Q631" s="62">
        <v>980</v>
      </c>
      <c r="R631" s="96">
        <v>12420</v>
      </c>
      <c r="S631" s="62">
        <f t="shared" si="149"/>
        <v>1035</v>
      </c>
      <c r="T631" s="62">
        <v>11760</v>
      </c>
      <c r="U631" s="62">
        <f t="shared" si="165"/>
        <v>980</v>
      </c>
      <c r="V631" s="69">
        <v>10680</v>
      </c>
      <c r="W631" s="71">
        <v>1040</v>
      </c>
      <c r="X631" s="105">
        <f t="shared" si="162"/>
        <v>998.4</v>
      </c>
      <c r="Y631" s="176">
        <f t="shared" si="157"/>
        <v>1.8775510204081608E-2</v>
      </c>
      <c r="Z631" s="64">
        <f t="shared" si="151"/>
        <v>6.1224489795918366E-2</v>
      </c>
      <c r="AA631" s="64">
        <f t="shared" si="161"/>
        <v>4.830917874396135E-3</v>
      </c>
      <c r="AB631" s="71">
        <f t="shared" si="158"/>
        <v>1040</v>
      </c>
      <c r="AC631" s="64">
        <f t="shared" si="152"/>
        <v>6.1224489795918366E-2</v>
      </c>
      <c r="AD631" s="64">
        <f t="shared" si="163"/>
        <v>4.830917874396135E-3</v>
      </c>
      <c r="AE631" s="71">
        <f>AB631</f>
        <v>1040</v>
      </c>
      <c r="AF631" s="64">
        <f t="shared" si="153"/>
        <v>6.1224489795918366E-2</v>
      </c>
      <c r="AG631" s="64">
        <f t="shared" si="164"/>
        <v>4.830917874396135E-3</v>
      </c>
      <c r="AH631" s="67"/>
      <c r="AI631" s="47" t="s">
        <v>54</v>
      </c>
      <c r="AJ631" s="47">
        <v>455</v>
      </c>
      <c r="AK631" s="47" t="s">
        <v>55</v>
      </c>
      <c r="AL631" s="47" t="s">
        <v>55</v>
      </c>
      <c r="AM631" s="47" t="s">
        <v>56</v>
      </c>
      <c r="AN631" s="50"/>
      <c r="AO631" s="211">
        <f t="shared" si="154"/>
        <v>-1</v>
      </c>
      <c r="AP631" s="47" t="s">
        <v>57</v>
      </c>
      <c r="AQ631" s="47" t="s">
        <v>1132</v>
      </c>
      <c r="AR631" s="47"/>
    </row>
    <row r="632" spans="1:44" hidden="1">
      <c r="A632" s="47" t="s">
        <v>44</v>
      </c>
      <c r="B632" s="47" t="str">
        <f t="shared" si="148"/>
        <v>August</v>
      </c>
      <c r="C632" s="59">
        <v>45526</v>
      </c>
      <c r="D632" s="47" t="s">
        <v>45</v>
      </c>
      <c r="E632" s="47" t="s">
        <v>46</v>
      </c>
      <c r="F632" s="47" t="s">
        <v>47</v>
      </c>
      <c r="G632" s="91" t="s">
        <v>2656</v>
      </c>
      <c r="H632" s="47" t="s">
        <v>2657</v>
      </c>
      <c r="I632" s="47" t="s">
        <v>50</v>
      </c>
      <c r="J632" s="47" t="s">
        <v>51</v>
      </c>
      <c r="K632" s="48">
        <v>45161</v>
      </c>
      <c r="L632" s="48">
        <v>45161</v>
      </c>
      <c r="M632" s="48">
        <v>45526</v>
      </c>
      <c r="N632" s="47" t="s">
        <v>52</v>
      </c>
      <c r="O632" s="55" t="s">
        <v>53</v>
      </c>
      <c r="P632" s="62">
        <v>11880</v>
      </c>
      <c r="Q632" s="62">
        <v>990</v>
      </c>
      <c r="R632" s="96">
        <v>12540</v>
      </c>
      <c r="S632" s="62">
        <f t="shared" si="149"/>
        <v>1045</v>
      </c>
      <c r="T632" s="62">
        <v>11460</v>
      </c>
      <c r="U632" s="62">
        <f t="shared" si="165"/>
        <v>955</v>
      </c>
      <c r="V632" s="69">
        <v>10800</v>
      </c>
      <c r="W632" s="71">
        <v>1050</v>
      </c>
      <c r="X632" s="105">
        <f t="shared" si="162"/>
        <v>1008</v>
      </c>
      <c r="Y632" s="171">
        <f t="shared" si="157"/>
        <v>5.549738219895288E-2</v>
      </c>
      <c r="Z632" s="64">
        <f t="shared" si="151"/>
        <v>9.947643979057591E-2</v>
      </c>
      <c r="AA632" s="64">
        <f t="shared" si="161"/>
        <v>4.7846889952153108E-3</v>
      </c>
      <c r="AB632" s="71">
        <f t="shared" si="158"/>
        <v>1050</v>
      </c>
      <c r="AC632" s="64">
        <f t="shared" si="152"/>
        <v>9.947643979057591E-2</v>
      </c>
      <c r="AD632" s="64">
        <f t="shared" si="163"/>
        <v>4.7846889952153108E-3</v>
      </c>
      <c r="AE632" s="71">
        <f>AB632</f>
        <v>1050</v>
      </c>
      <c r="AF632" s="64">
        <f t="shared" si="153"/>
        <v>9.947643979057591E-2</v>
      </c>
      <c r="AG632" s="64">
        <f t="shared" si="164"/>
        <v>4.7846889952153108E-3</v>
      </c>
      <c r="AH632" s="67"/>
      <c r="AI632" s="47" t="s">
        <v>54</v>
      </c>
      <c r="AJ632" s="47">
        <v>455</v>
      </c>
      <c r="AK632" s="47" t="s">
        <v>55</v>
      </c>
      <c r="AL632" s="47" t="s">
        <v>55</v>
      </c>
      <c r="AM632" s="47" t="s">
        <v>56</v>
      </c>
      <c r="AN632" s="50"/>
      <c r="AO632" s="211">
        <f t="shared" si="154"/>
        <v>-1</v>
      </c>
      <c r="AP632" s="47" t="s">
        <v>57</v>
      </c>
      <c r="AQ632" s="47" t="s">
        <v>1132</v>
      </c>
      <c r="AR632" s="47"/>
    </row>
    <row r="633" spans="1:44">
      <c r="A633" s="47" t="s">
        <v>44</v>
      </c>
      <c r="B633" s="47" t="str">
        <f t="shared" si="148"/>
        <v>August</v>
      </c>
      <c r="C633" s="59">
        <v>45527</v>
      </c>
      <c r="D633" s="47" t="s">
        <v>45</v>
      </c>
      <c r="E633" s="47" t="s">
        <v>46</v>
      </c>
      <c r="F633" s="47" t="s">
        <v>47</v>
      </c>
      <c r="G633" s="91" t="s">
        <v>2751</v>
      </c>
      <c r="H633" s="47" t="s">
        <v>2752</v>
      </c>
      <c r="I633" s="47" t="s">
        <v>50</v>
      </c>
      <c r="J633" s="47" t="s">
        <v>51</v>
      </c>
      <c r="K633" s="48">
        <v>45101</v>
      </c>
      <c r="L633" s="48">
        <v>45101</v>
      </c>
      <c r="M633" s="48">
        <v>45527</v>
      </c>
      <c r="N633" s="47" t="s">
        <v>64</v>
      </c>
      <c r="O633" s="55" t="s">
        <v>53</v>
      </c>
      <c r="P633" s="62">
        <v>11820</v>
      </c>
      <c r="Q633" s="62">
        <v>985</v>
      </c>
      <c r="R633" s="96">
        <v>12480</v>
      </c>
      <c r="S633" s="62">
        <f t="shared" si="149"/>
        <v>1040</v>
      </c>
      <c r="T633" s="62">
        <v>11760</v>
      </c>
      <c r="U633" s="62">
        <f t="shared" si="165"/>
        <v>980</v>
      </c>
      <c r="V633" s="69">
        <v>10920</v>
      </c>
      <c r="W633" s="71">
        <v>1065</v>
      </c>
      <c r="X633" s="105">
        <f t="shared" si="162"/>
        <v>1022.4</v>
      </c>
      <c r="Y633" s="171">
        <f t="shared" si="157"/>
        <v>4.3265306122448957E-2</v>
      </c>
      <c r="Z633" s="64">
        <f t="shared" si="151"/>
        <v>8.673469387755102E-2</v>
      </c>
      <c r="AA633" s="64">
        <f t="shared" si="161"/>
        <v>2.403846153846154E-2</v>
      </c>
      <c r="AB633" s="71">
        <f t="shared" si="158"/>
        <v>1065</v>
      </c>
      <c r="AC633" s="64">
        <f t="shared" si="152"/>
        <v>8.673469387755102E-2</v>
      </c>
      <c r="AD633" s="64">
        <f t="shared" si="163"/>
        <v>2.403846153846154E-2</v>
      </c>
      <c r="AE633" s="71">
        <v>1045</v>
      </c>
      <c r="AF633" s="64">
        <f t="shared" si="153"/>
        <v>6.6326530612244902E-2</v>
      </c>
      <c r="AG633" s="64">
        <f t="shared" si="164"/>
        <v>4.807692307692308E-3</v>
      </c>
      <c r="AH633" s="67"/>
      <c r="AI633" s="47" t="s">
        <v>54</v>
      </c>
      <c r="AJ633" s="47">
        <v>460</v>
      </c>
      <c r="AK633" s="47" t="s">
        <v>55</v>
      </c>
      <c r="AL633" s="47" t="s">
        <v>55</v>
      </c>
      <c r="AM633" s="47" t="s">
        <v>293</v>
      </c>
      <c r="AN633" s="50"/>
      <c r="AO633" s="211">
        <f t="shared" si="154"/>
        <v>-1</v>
      </c>
      <c r="AP633" s="47" t="s">
        <v>57</v>
      </c>
      <c r="AQ633" s="47" t="s">
        <v>1132</v>
      </c>
      <c r="AR633" s="47"/>
    </row>
    <row r="634" spans="1:44">
      <c r="A634" s="47" t="s">
        <v>44</v>
      </c>
      <c r="B634" s="47" t="str">
        <f t="shared" si="148"/>
        <v>August</v>
      </c>
      <c r="C634" s="59">
        <v>45532</v>
      </c>
      <c r="D634" s="47" t="s">
        <v>45</v>
      </c>
      <c r="E634" s="47" t="s">
        <v>46</v>
      </c>
      <c r="F634" s="47" t="s">
        <v>47</v>
      </c>
      <c r="G634" s="91" t="s">
        <v>3334</v>
      </c>
      <c r="H634" s="47" t="s">
        <v>3335</v>
      </c>
      <c r="I634" s="47" t="s">
        <v>50</v>
      </c>
      <c r="J634" s="47" t="s">
        <v>51</v>
      </c>
      <c r="K634" s="48">
        <v>44680</v>
      </c>
      <c r="L634" s="48">
        <v>45167</v>
      </c>
      <c r="M634" s="48">
        <v>45532</v>
      </c>
      <c r="N634" s="47" t="s">
        <v>64</v>
      </c>
      <c r="O634" s="55" t="s">
        <v>53</v>
      </c>
      <c r="P634" s="62">
        <v>14700</v>
      </c>
      <c r="Q634" s="62">
        <v>1225</v>
      </c>
      <c r="R634" s="96">
        <v>15240</v>
      </c>
      <c r="S634" s="62">
        <f t="shared" si="149"/>
        <v>1270</v>
      </c>
      <c r="T634" s="62">
        <v>15240</v>
      </c>
      <c r="U634" s="62">
        <f t="shared" si="165"/>
        <v>1270</v>
      </c>
      <c r="V634" s="69">
        <v>13740</v>
      </c>
      <c r="W634" s="71">
        <v>1340</v>
      </c>
      <c r="X634" s="105">
        <f t="shared" si="162"/>
        <v>1286.4000000000001</v>
      </c>
      <c r="Y634" s="176">
        <f t="shared" si="157"/>
        <v>1.2913385826771725E-2</v>
      </c>
      <c r="Z634" s="64">
        <f t="shared" si="151"/>
        <v>5.5118110236220472E-2</v>
      </c>
      <c r="AA634" s="64">
        <f t="shared" si="161"/>
        <v>5.5118110236220472E-2</v>
      </c>
      <c r="AB634" s="71">
        <f t="shared" si="158"/>
        <v>1340</v>
      </c>
      <c r="AC634" s="64">
        <f t="shared" si="152"/>
        <v>5.5118110236220472E-2</v>
      </c>
      <c r="AD634" s="64">
        <f t="shared" si="163"/>
        <v>5.5118110236220472E-2</v>
      </c>
      <c r="AE634" s="71">
        <v>1315</v>
      </c>
      <c r="AF634" s="64">
        <f t="shared" si="153"/>
        <v>3.5433070866141732E-2</v>
      </c>
      <c r="AG634" s="64">
        <f t="shared" si="164"/>
        <v>3.5433070866141732E-2</v>
      </c>
      <c r="AH634" s="67"/>
      <c r="AI634" s="47" t="s">
        <v>54</v>
      </c>
      <c r="AJ634" s="47">
        <v>760</v>
      </c>
      <c r="AK634" s="47" t="s">
        <v>65</v>
      </c>
      <c r="AL634" s="47" t="s">
        <v>65</v>
      </c>
      <c r="AM634" s="47" t="s">
        <v>3336</v>
      </c>
      <c r="AN634" s="50">
        <v>1340</v>
      </c>
      <c r="AO634" s="211">
        <f t="shared" si="154"/>
        <v>5.5118110236220472E-2</v>
      </c>
      <c r="AP634" s="47" t="s">
        <v>57</v>
      </c>
      <c r="AQ634" s="47" t="s">
        <v>131</v>
      </c>
      <c r="AR634" s="47"/>
    </row>
    <row r="635" spans="1:44">
      <c r="A635" s="47" t="s">
        <v>44</v>
      </c>
      <c r="B635" s="47" t="str">
        <f t="shared" si="148"/>
        <v>August</v>
      </c>
      <c r="C635" s="59">
        <v>45533</v>
      </c>
      <c r="D635" s="47" t="s">
        <v>45</v>
      </c>
      <c r="E635" s="47" t="s">
        <v>46</v>
      </c>
      <c r="F635" s="47" t="s">
        <v>47</v>
      </c>
      <c r="G635" s="91" t="s">
        <v>3414</v>
      </c>
      <c r="H635" s="47" t="s">
        <v>3415</v>
      </c>
      <c r="I635" s="47" t="s">
        <v>50</v>
      </c>
      <c r="J635" s="47" t="s">
        <v>51</v>
      </c>
      <c r="K635" s="48">
        <v>44681</v>
      </c>
      <c r="L635" s="48">
        <v>45168</v>
      </c>
      <c r="M635" s="48">
        <v>45533</v>
      </c>
      <c r="N635" s="47" t="s">
        <v>64</v>
      </c>
      <c r="O635" s="55" t="s">
        <v>53</v>
      </c>
      <c r="P635" s="62">
        <v>11640</v>
      </c>
      <c r="Q635" s="62">
        <v>970</v>
      </c>
      <c r="R635" s="96">
        <v>12300</v>
      </c>
      <c r="S635" s="62">
        <f t="shared" si="149"/>
        <v>1025</v>
      </c>
      <c r="T635" s="62">
        <v>11700</v>
      </c>
      <c r="U635" s="62">
        <f t="shared" si="165"/>
        <v>975</v>
      </c>
      <c r="V635" s="69">
        <v>10620</v>
      </c>
      <c r="W635" s="71">
        <v>1035</v>
      </c>
      <c r="X635" s="105">
        <v>994</v>
      </c>
      <c r="Y635" s="176">
        <f t="shared" si="157"/>
        <v>1.9487179487179488E-2</v>
      </c>
      <c r="Z635" s="64">
        <f t="shared" si="151"/>
        <v>6.1538461538461542E-2</v>
      </c>
      <c r="AA635" s="64">
        <f t="shared" si="161"/>
        <v>9.7560975609756097E-3</v>
      </c>
      <c r="AB635" s="71">
        <f t="shared" si="158"/>
        <v>1035</v>
      </c>
      <c r="AC635" s="64">
        <f t="shared" si="152"/>
        <v>6.1538461538461542E-2</v>
      </c>
      <c r="AD635" s="64">
        <f t="shared" si="163"/>
        <v>9.7560975609756097E-3</v>
      </c>
      <c r="AE635" s="71">
        <v>1030</v>
      </c>
      <c r="AF635" s="64">
        <f t="shared" si="153"/>
        <v>5.6410256410256411E-2</v>
      </c>
      <c r="AG635" s="64">
        <f t="shared" si="164"/>
        <v>4.8780487804878049E-3</v>
      </c>
      <c r="AH635" s="67"/>
      <c r="AI635" s="47" t="s">
        <v>54</v>
      </c>
      <c r="AJ635" s="47">
        <v>455</v>
      </c>
      <c r="AK635" s="47" t="s">
        <v>55</v>
      </c>
      <c r="AL635" s="47" t="s">
        <v>55</v>
      </c>
      <c r="AM635" s="47" t="s">
        <v>149</v>
      </c>
      <c r="AN635" s="50"/>
      <c r="AO635" s="211">
        <f t="shared" si="154"/>
        <v>-1</v>
      </c>
      <c r="AP635" s="47" t="s">
        <v>57</v>
      </c>
      <c r="AQ635" s="47" t="s">
        <v>131</v>
      </c>
      <c r="AR635" s="47"/>
    </row>
    <row r="636" spans="1:44">
      <c r="A636" s="47" t="s">
        <v>44</v>
      </c>
      <c r="B636" s="47" t="str">
        <f t="shared" si="148"/>
        <v>August</v>
      </c>
      <c r="C636" s="59">
        <v>45533</v>
      </c>
      <c r="D636" s="47" t="s">
        <v>45</v>
      </c>
      <c r="E636" s="47" t="s">
        <v>46</v>
      </c>
      <c r="F636" s="47" t="s">
        <v>47</v>
      </c>
      <c r="G636" s="91" t="s">
        <v>3416</v>
      </c>
      <c r="H636" s="47" t="s">
        <v>3417</v>
      </c>
      <c r="I636" s="47" t="s">
        <v>50</v>
      </c>
      <c r="J636" s="47" t="s">
        <v>51</v>
      </c>
      <c r="K636" s="48">
        <v>44711</v>
      </c>
      <c r="L636" s="48">
        <v>45168</v>
      </c>
      <c r="M636" s="48">
        <v>45533</v>
      </c>
      <c r="N636" s="47" t="s">
        <v>64</v>
      </c>
      <c r="O636" s="55" t="s">
        <v>53</v>
      </c>
      <c r="P636" s="62">
        <v>11640</v>
      </c>
      <c r="Q636" s="62">
        <v>970</v>
      </c>
      <c r="R636" s="96">
        <v>12300</v>
      </c>
      <c r="S636" s="62">
        <f t="shared" si="149"/>
        <v>1025</v>
      </c>
      <c r="T636" s="62">
        <v>11400</v>
      </c>
      <c r="U636" s="62">
        <f t="shared" si="165"/>
        <v>950</v>
      </c>
      <c r="V636" s="69">
        <v>10500</v>
      </c>
      <c r="W636" s="71">
        <v>1025</v>
      </c>
      <c r="X636" s="105">
        <f>W636-(W636*4%)</f>
        <v>984</v>
      </c>
      <c r="Y636" s="171">
        <f t="shared" si="157"/>
        <v>3.5789473684210524E-2</v>
      </c>
      <c r="Z636" s="64">
        <f t="shared" si="151"/>
        <v>7.8947368421052627E-2</v>
      </c>
      <c r="AA636" s="64">
        <f t="shared" si="161"/>
        <v>0</v>
      </c>
      <c r="AB636" s="71">
        <f t="shared" si="158"/>
        <v>1025</v>
      </c>
      <c r="AC636" s="64">
        <f t="shared" si="152"/>
        <v>7.8947368421052627E-2</v>
      </c>
      <c r="AD636" s="64">
        <f t="shared" si="163"/>
        <v>0</v>
      </c>
      <c r="AE636" s="71">
        <f>AB636</f>
        <v>1025</v>
      </c>
      <c r="AF636" s="64">
        <f t="shared" si="153"/>
        <v>7.8947368421052627E-2</v>
      </c>
      <c r="AG636" s="64">
        <f t="shared" si="164"/>
        <v>0</v>
      </c>
      <c r="AH636" s="67"/>
      <c r="AI636" s="47" t="s">
        <v>54</v>
      </c>
      <c r="AJ636" s="47">
        <v>464</v>
      </c>
      <c r="AK636" s="47" t="s">
        <v>55</v>
      </c>
      <c r="AL636" s="47" t="s">
        <v>55</v>
      </c>
      <c r="AM636" s="47" t="s">
        <v>263</v>
      </c>
      <c r="AN636" s="50"/>
      <c r="AO636" s="211">
        <f t="shared" si="154"/>
        <v>-1</v>
      </c>
      <c r="AP636" s="47" t="s">
        <v>57</v>
      </c>
      <c r="AQ636" s="47" t="s">
        <v>131</v>
      </c>
      <c r="AR636" s="47"/>
    </row>
    <row r="637" spans="1:44">
      <c r="A637" s="47" t="s">
        <v>44</v>
      </c>
      <c r="B637" s="47" t="str">
        <f t="shared" si="148"/>
        <v>August</v>
      </c>
      <c r="C637" s="59">
        <v>45533</v>
      </c>
      <c r="D637" s="47" t="s">
        <v>45</v>
      </c>
      <c r="E637" s="47" t="s">
        <v>46</v>
      </c>
      <c r="F637" s="47" t="s">
        <v>47</v>
      </c>
      <c r="G637" s="91" t="s">
        <v>3427</v>
      </c>
      <c r="H637" s="47" t="s">
        <v>3428</v>
      </c>
      <c r="I637" s="47" t="s">
        <v>50</v>
      </c>
      <c r="J637" s="47" t="s">
        <v>51</v>
      </c>
      <c r="K637" s="48">
        <v>44681</v>
      </c>
      <c r="L637" s="48">
        <v>45168</v>
      </c>
      <c r="M637" s="48">
        <v>45533</v>
      </c>
      <c r="N637" s="47" t="s">
        <v>64</v>
      </c>
      <c r="O637" s="55" t="s">
        <v>53</v>
      </c>
      <c r="P637" s="62">
        <v>11640</v>
      </c>
      <c r="Q637" s="62">
        <v>970</v>
      </c>
      <c r="R637" s="96">
        <v>12300</v>
      </c>
      <c r="S637" s="62">
        <f t="shared" si="149"/>
        <v>1025</v>
      </c>
      <c r="T637" s="62">
        <v>11400</v>
      </c>
      <c r="U637" s="62">
        <f t="shared" si="165"/>
        <v>950</v>
      </c>
      <c r="V637" s="69">
        <v>10620</v>
      </c>
      <c r="W637" s="71">
        <v>1030</v>
      </c>
      <c r="X637" s="105">
        <f>W637-(W637*4%)</f>
        <v>988.8</v>
      </c>
      <c r="Y637" s="171">
        <f t="shared" si="157"/>
        <v>4.0842105263157846E-2</v>
      </c>
      <c r="Z637" s="64">
        <f t="shared" si="151"/>
        <v>8.4210526315789472E-2</v>
      </c>
      <c r="AA637" s="64">
        <f t="shared" si="161"/>
        <v>4.8780487804878049E-3</v>
      </c>
      <c r="AB637" s="71">
        <f t="shared" si="158"/>
        <v>1030</v>
      </c>
      <c r="AC637" s="64">
        <f t="shared" si="152"/>
        <v>8.4210526315789472E-2</v>
      </c>
      <c r="AD637" s="64">
        <f t="shared" si="163"/>
        <v>4.8780487804878049E-3</v>
      </c>
      <c r="AE637" s="71">
        <v>1000</v>
      </c>
      <c r="AF637" s="64">
        <f t="shared" si="153"/>
        <v>5.2631578947368418E-2</v>
      </c>
      <c r="AG637" s="64">
        <f t="shared" si="164"/>
        <v>-2.4390243902439025E-2</v>
      </c>
      <c r="AH637" s="67"/>
      <c r="AI637" s="47" t="s">
        <v>54</v>
      </c>
      <c r="AJ637" s="47">
        <v>460</v>
      </c>
      <c r="AK637" s="47" t="s">
        <v>55</v>
      </c>
      <c r="AL637" s="47" t="s">
        <v>55</v>
      </c>
      <c r="AM637" s="47" t="s">
        <v>293</v>
      </c>
      <c r="AN637" s="50"/>
      <c r="AO637" s="211">
        <f t="shared" si="154"/>
        <v>-1</v>
      </c>
      <c r="AP637" s="47" t="s">
        <v>57</v>
      </c>
      <c r="AQ637" s="47" t="s">
        <v>131</v>
      </c>
      <c r="AR637" s="47"/>
    </row>
    <row r="638" spans="1:44" hidden="1">
      <c r="A638" s="47" t="s">
        <v>44</v>
      </c>
      <c r="B638" s="47" t="str">
        <f t="shared" si="148"/>
        <v>July</v>
      </c>
      <c r="C638" s="59">
        <v>45497</v>
      </c>
      <c r="D638" s="47" t="s">
        <v>103</v>
      </c>
      <c r="E638" s="47" t="s">
        <v>684</v>
      </c>
      <c r="F638" s="47" t="s">
        <v>383</v>
      </c>
      <c r="G638" s="91" t="s">
        <v>685</v>
      </c>
      <c r="H638" s="47" t="s">
        <v>686</v>
      </c>
      <c r="I638" s="47" t="s">
        <v>50</v>
      </c>
      <c r="J638" s="47" t="s">
        <v>51</v>
      </c>
      <c r="K638" s="48">
        <v>45132</v>
      </c>
      <c r="L638" s="48">
        <v>45132</v>
      </c>
      <c r="M638" s="48">
        <v>45497</v>
      </c>
      <c r="N638" s="47" t="s">
        <v>52</v>
      </c>
      <c r="O638" s="55" t="s">
        <v>53</v>
      </c>
      <c r="P638" s="62">
        <v>9300</v>
      </c>
      <c r="Q638" s="62">
        <v>775</v>
      </c>
      <c r="R638" s="103">
        <v>9300</v>
      </c>
      <c r="S638" s="62">
        <f t="shared" si="149"/>
        <v>775</v>
      </c>
      <c r="T638" s="62">
        <v>9600</v>
      </c>
      <c r="U638" s="62">
        <f t="shared" si="165"/>
        <v>800</v>
      </c>
      <c r="V638" s="69">
        <v>8100</v>
      </c>
      <c r="W638" s="71" t="s">
        <v>123</v>
      </c>
      <c r="X638" s="71"/>
      <c r="Y638" s="71"/>
      <c r="Z638" s="64"/>
      <c r="AA638" s="64" t="e">
        <f t="shared" si="161"/>
        <v>#VALUE!</v>
      </c>
      <c r="AB638" s="71">
        <v>850</v>
      </c>
      <c r="AC638" s="64">
        <f t="shared" si="152"/>
        <v>6.25E-2</v>
      </c>
      <c r="AD638" s="64">
        <f t="shared" si="163"/>
        <v>9.6774193548387094E-2</v>
      </c>
      <c r="AE638" s="71">
        <f t="shared" ref="AE638:AE661" si="166">AB638</f>
        <v>850</v>
      </c>
      <c r="AF638" s="64">
        <f t="shared" si="153"/>
        <v>6.25E-2</v>
      </c>
      <c r="AG638" s="64">
        <f t="shared" si="164"/>
        <v>9.6774193548387094E-2</v>
      </c>
      <c r="AH638" s="67" t="s">
        <v>687</v>
      </c>
      <c r="AI638" s="47" t="s">
        <v>54</v>
      </c>
      <c r="AJ638" s="47">
        <v>753.47</v>
      </c>
      <c r="AK638" s="101" t="s">
        <v>55</v>
      </c>
      <c r="AL638" s="101" t="s">
        <v>55</v>
      </c>
      <c r="AM638" s="47" t="s">
        <v>688</v>
      </c>
      <c r="AN638" s="47">
        <v>850</v>
      </c>
      <c r="AO638" s="211">
        <f t="shared" si="154"/>
        <v>6.25E-2</v>
      </c>
      <c r="AP638" s="47" t="s">
        <v>57</v>
      </c>
      <c r="AQ638" s="47" t="s">
        <v>58</v>
      </c>
      <c r="AR638" s="47"/>
    </row>
    <row r="639" spans="1:44" hidden="1">
      <c r="A639" s="47" t="s">
        <v>74</v>
      </c>
      <c r="B639" s="47" t="str">
        <f t="shared" si="148"/>
        <v>July</v>
      </c>
      <c r="C639" s="59">
        <v>45497</v>
      </c>
      <c r="D639" s="47" t="s">
        <v>103</v>
      </c>
      <c r="E639" s="47" t="s">
        <v>684</v>
      </c>
      <c r="F639" s="47" t="s">
        <v>383</v>
      </c>
      <c r="G639" s="91" t="s">
        <v>689</v>
      </c>
      <c r="H639" s="47" t="s">
        <v>690</v>
      </c>
      <c r="I639" s="47" t="s">
        <v>50</v>
      </c>
      <c r="J639" s="47" t="s">
        <v>51</v>
      </c>
      <c r="K639" s="48">
        <v>45132</v>
      </c>
      <c r="L639" s="48">
        <v>45132</v>
      </c>
      <c r="M639" s="48">
        <v>45497</v>
      </c>
      <c r="N639" s="47" t="s">
        <v>52</v>
      </c>
      <c r="O639" s="55" t="s">
        <v>53</v>
      </c>
      <c r="P639" s="62">
        <v>9300</v>
      </c>
      <c r="Q639" s="62">
        <v>775</v>
      </c>
      <c r="R639" s="103">
        <v>9300</v>
      </c>
      <c r="S639" s="62">
        <f t="shared" si="149"/>
        <v>775</v>
      </c>
      <c r="T639" s="62">
        <v>9600</v>
      </c>
      <c r="U639" s="62">
        <f t="shared" si="165"/>
        <v>800</v>
      </c>
      <c r="V639" s="69">
        <v>8340</v>
      </c>
      <c r="W639" s="71" t="s">
        <v>123</v>
      </c>
      <c r="X639" s="71"/>
      <c r="Y639" s="71"/>
      <c r="Z639" s="64"/>
      <c r="AA639" s="64" t="e">
        <f t="shared" si="161"/>
        <v>#VALUE!</v>
      </c>
      <c r="AB639" s="71">
        <v>850</v>
      </c>
      <c r="AC639" s="64">
        <f t="shared" si="152"/>
        <v>6.25E-2</v>
      </c>
      <c r="AD639" s="64">
        <f t="shared" si="163"/>
        <v>9.6774193548387094E-2</v>
      </c>
      <c r="AE639" s="71">
        <f t="shared" si="166"/>
        <v>850</v>
      </c>
      <c r="AF639" s="64">
        <f t="shared" si="153"/>
        <v>6.25E-2</v>
      </c>
      <c r="AG639" s="64">
        <f t="shared" si="164"/>
        <v>9.6774193548387094E-2</v>
      </c>
      <c r="AH639" s="67" t="s">
        <v>687</v>
      </c>
      <c r="AI639" s="47" t="s">
        <v>54</v>
      </c>
      <c r="AJ639" s="47">
        <v>828.82</v>
      </c>
      <c r="AK639" s="101" t="s">
        <v>55</v>
      </c>
      <c r="AL639" s="101" t="s">
        <v>55</v>
      </c>
      <c r="AM639" s="47" t="s">
        <v>691</v>
      </c>
      <c r="AN639" s="47">
        <v>850</v>
      </c>
      <c r="AO639" s="211">
        <f t="shared" si="154"/>
        <v>6.25E-2</v>
      </c>
      <c r="AP639" s="47" t="s">
        <v>57</v>
      </c>
      <c r="AQ639" s="47" t="s">
        <v>58</v>
      </c>
      <c r="AR639" s="47"/>
    </row>
    <row r="640" spans="1:44" hidden="1">
      <c r="A640" s="47" t="s">
        <v>44</v>
      </c>
      <c r="B640" s="47" t="str">
        <f t="shared" si="148"/>
        <v>July</v>
      </c>
      <c r="C640" s="59">
        <v>45479</v>
      </c>
      <c r="D640" s="47" t="s">
        <v>103</v>
      </c>
      <c r="E640" s="47" t="s">
        <v>684</v>
      </c>
      <c r="F640" s="47" t="s">
        <v>383</v>
      </c>
      <c r="G640" s="91" t="s">
        <v>762</v>
      </c>
      <c r="H640" s="47" t="s">
        <v>763</v>
      </c>
      <c r="I640" s="47" t="s">
        <v>50</v>
      </c>
      <c r="J640" s="47" t="s">
        <v>51</v>
      </c>
      <c r="K640" s="48">
        <v>45114</v>
      </c>
      <c r="L640" s="48">
        <v>45114</v>
      </c>
      <c r="M640" s="48">
        <v>45479</v>
      </c>
      <c r="N640" s="47" t="s">
        <v>52</v>
      </c>
      <c r="O640" s="55" t="s">
        <v>53</v>
      </c>
      <c r="P640" s="62">
        <v>9300</v>
      </c>
      <c r="Q640" s="62">
        <v>775</v>
      </c>
      <c r="R640" s="103">
        <v>9300</v>
      </c>
      <c r="S640" s="62">
        <f t="shared" si="149"/>
        <v>775</v>
      </c>
      <c r="T640" s="62">
        <v>9000</v>
      </c>
      <c r="U640" s="62">
        <f t="shared" si="165"/>
        <v>750</v>
      </c>
      <c r="V640" s="69">
        <v>8400</v>
      </c>
      <c r="W640" s="71" t="s">
        <v>123</v>
      </c>
      <c r="X640" s="71"/>
      <c r="Y640" s="71"/>
      <c r="Z640" s="64"/>
      <c r="AA640" s="64" t="e">
        <f t="shared" si="161"/>
        <v>#VALUE!</v>
      </c>
      <c r="AB640" s="71">
        <v>800</v>
      </c>
      <c r="AC640" s="64">
        <f t="shared" si="152"/>
        <v>6.6666666666666666E-2</v>
      </c>
      <c r="AD640" s="64">
        <f t="shared" si="163"/>
        <v>3.2258064516129031E-2</v>
      </c>
      <c r="AE640" s="71">
        <f t="shared" si="166"/>
        <v>800</v>
      </c>
      <c r="AF640" s="64">
        <f t="shared" si="153"/>
        <v>6.6666666666666666E-2</v>
      </c>
      <c r="AG640" s="64">
        <f t="shared" si="164"/>
        <v>3.2258064516129031E-2</v>
      </c>
      <c r="AH640" s="67" t="s">
        <v>687</v>
      </c>
      <c r="AI640" s="47" t="s">
        <v>54</v>
      </c>
      <c r="AJ640" s="47">
        <v>419.79</v>
      </c>
      <c r="AK640" s="101" t="s">
        <v>55</v>
      </c>
      <c r="AL640" s="101" t="s">
        <v>55</v>
      </c>
      <c r="AM640" s="47" t="s">
        <v>764</v>
      </c>
      <c r="AN640" s="47">
        <v>800</v>
      </c>
      <c r="AO640" s="211">
        <f t="shared" si="154"/>
        <v>6.6666666666666666E-2</v>
      </c>
      <c r="AP640" s="47" t="s">
        <v>57</v>
      </c>
      <c r="AQ640" s="47" t="s">
        <v>58</v>
      </c>
      <c r="AR640" s="47"/>
    </row>
    <row r="641" spans="1:44">
      <c r="A641" s="47" t="s">
        <v>44</v>
      </c>
      <c r="B641" s="47" t="str">
        <f t="shared" si="148"/>
        <v>August</v>
      </c>
      <c r="C641" s="59">
        <v>45534</v>
      </c>
      <c r="D641" s="47" t="s">
        <v>103</v>
      </c>
      <c r="E641" s="47" t="s">
        <v>684</v>
      </c>
      <c r="F641" s="47" t="s">
        <v>383</v>
      </c>
      <c r="G641" s="94" t="s">
        <v>3583</v>
      </c>
      <c r="H641" s="47" t="s">
        <v>3584</v>
      </c>
      <c r="I641" s="47" t="s">
        <v>50</v>
      </c>
      <c r="J641" s="47" t="s">
        <v>51</v>
      </c>
      <c r="K641" s="48">
        <v>44804</v>
      </c>
      <c r="L641" s="48">
        <v>45169</v>
      </c>
      <c r="M641" s="48">
        <v>45534</v>
      </c>
      <c r="N641" s="47" t="s">
        <v>64</v>
      </c>
      <c r="O641" s="55" t="s">
        <v>53</v>
      </c>
      <c r="P641" s="62">
        <v>12300</v>
      </c>
      <c r="Q641" s="62">
        <v>1025</v>
      </c>
      <c r="R641" s="103">
        <v>12300</v>
      </c>
      <c r="S641" s="62">
        <f t="shared" si="149"/>
        <v>1025</v>
      </c>
      <c r="T641" s="62">
        <v>12960</v>
      </c>
      <c r="U641" s="62">
        <f t="shared" si="165"/>
        <v>1080</v>
      </c>
      <c r="V641" s="69">
        <v>12000</v>
      </c>
      <c r="W641" s="71" t="s">
        <v>123</v>
      </c>
      <c r="X641" s="71"/>
      <c r="Y641" s="71"/>
      <c r="Z641" s="64"/>
      <c r="AA641" s="64" t="e">
        <f t="shared" si="161"/>
        <v>#VALUE!</v>
      </c>
      <c r="AB641" s="71">
        <v>1125</v>
      </c>
      <c r="AC641" s="64">
        <f t="shared" si="152"/>
        <v>4.1666666666666664E-2</v>
      </c>
      <c r="AD641" s="64">
        <f t="shared" si="163"/>
        <v>9.7560975609756101E-2</v>
      </c>
      <c r="AE641" s="71">
        <f t="shared" si="166"/>
        <v>1125</v>
      </c>
      <c r="AF641" s="64">
        <f t="shared" si="153"/>
        <v>4.1666666666666664E-2</v>
      </c>
      <c r="AG641" s="64">
        <f t="shared" si="164"/>
        <v>9.7560975609756101E-2</v>
      </c>
      <c r="AH641" s="67" t="s">
        <v>687</v>
      </c>
      <c r="AI641" s="47" t="s">
        <v>54</v>
      </c>
      <c r="AJ641" s="47">
        <v>796.53</v>
      </c>
      <c r="AK641" s="55" t="s">
        <v>65</v>
      </c>
      <c r="AL641" s="55" t="s">
        <v>55</v>
      </c>
      <c r="AM641" s="47" t="s">
        <v>3585</v>
      </c>
      <c r="AN641" s="47"/>
      <c r="AO641" s="211">
        <f t="shared" si="154"/>
        <v>-1</v>
      </c>
      <c r="AP641" s="47" t="s">
        <v>57</v>
      </c>
      <c r="AQ641" s="47" t="s">
        <v>131</v>
      </c>
      <c r="AR641" s="47"/>
    </row>
    <row r="642" spans="1:44">
      <c r="A642" s="47" t="s">
        <v>44</v>
      </c>
      <c r="B642" s="47" t="str">
        <f t="shared" ref="B642:B705" si="167">TEXT(C642,"mmmm")</f>
        <v>August</v>
      </c>
      <c r="C642" s="59">
        <v>45510</v>
      </c>
      <c r="D642" s="47" t="s">
        <v>103</v>
      </c>
      <c r="E642" s="47" t="s">
        <v>382</v>
      </c>
      <c r="F642" s="47" t="s">
        <v>383</v>
      </c>
      <c r="G642" s="91" t="s">
        <v>384</v>
      </c>
      <c r="H642" s="47" t="s">
        <v>385</v>
      </c>
      <c r="I642" s="47" t="s">
        <v>50</v>
      </c>
      <c r="J642" s="47" t="s">
        <v>51</v>
      </c>
      <c r="K642" s="48">
        <v>44415</v>
      </c>
      <c r="L642" s="48">
        <v>45145</v>
      </c>
      <c r="M642" s="48">
        <v>45510</v>
      </c>
      <c r="N642" s="47" t="s">
        <v>64</v>
      </c>
      <c r="O642" s="55" t="s">
        <v>53</v>
      </c>
      <c r="P642" s="62">
        <v>15900</v>
      </c>
      <c r="Q642" s="62">
        <v>1325</v>
      </c>
      <c r="R642" s="103">
        <v>15900</v>
      </c>
      <c r="S642" s="62">
        <f t="shared" ref="S642:S705" si="168">R642/12</f>
        <v>1325</v>
      </c>
      <c r="T642" s="62">
        <v>15960</v>
      </c>
      <c r="U642" s="62">
        <f t="shared" si="165"/>
        <v>1330</v>
      </c>
      <c r="V642" s="69">
        <v>14400</v>
      </c>
      <c r="W642" s="71">
        <v>1390</v>
      </c>
      <c r="X642" s="71"/>
      <c r="Y642" s="71"/>
      <c r="Z642" s="64">
        <f t="shared" ref="Z642:Z705" si="169">(W642-U642)/U642</f>
        <v>4.5112781954887216E-2</v>
      </c>
      <c r="AA642" s="64">
        <f t="shared" si="161"/>
        <v>4.9056603773584909E-2</v>
      </c>
      <c r="AB642" s="71">
        <v>1425</v>
      </c>
      <c r="AC642" s="64">
        <f t="shared" ref="AC642:AC705" si="170">(AB642-U642)/U642</f>
        <v>7.1428571428571425E-2</v>
      </c>
      <c r="AD642" s="64">
        <f t="shared" si="163"/>
        <v>7.5471698113207544E-2</v>
      </c>
      <c r="AE642" s="71">
        <f t="shared" si="166"/>
        <v>1425</v>
      </c>
      <c r="AF642" s="64">
        <f t="shared" ref="AF642:AF705" si="171">(AE642-U642)/U642</f>
        <v>7.1428571428571425E-2</v>
      </c>
      <c r="AG642" s="64">
        <f t="shared" si="164"/>
        <v>7.5471698113207544E-2</v>
      </c>
      <c r="AH642" s="67"/>
      <c r="AI642" s="47" t="s">
        <v>54</v>
      </c>
      <c r="AJ642" s="47">
        <v>968.75</v>
      </c>
      <c r="AK642" s="55" t="s">
        <v>140</v>
      </c>
      <c r="AL642" s="55" t="s">
        <v>65</v>
      </c>
      <c r="AM642" s="47" t="s">
        <v>386</v>
      </c>
      <c r="AN642" s="47"/>
      <c r="AO642" s="211">
        <f t="shared" ref="AO642:AO705" si="172">SUM(AN642-U642)/U642</f>
        <v>-1</v>
      </c>
      <c r="AP642" s="47" t="s">
        <v>57</v>
      </c>
      <c r="AQ642" s="47" t="s">
        <v>58</v>
      </c>
      <c r="AR642" s="47"/>
    </row>
    <row r="643" spans="1:44">
      <c r="A643" s="47" t="s">
        <v>44</v>
      </c>
      <c r="B643" s="47" t="str">
        <f t="shared" si="167"/>
        <v>August</v>
      </c>
      <c r="C643" s="59">
        <v>45510</v>
      </c>
      <c r="D643" s="47" t="s">
        <v>103</v>
      </c>
      <c r="E643" s="47" t="s">
        <v>382</v>
      </c>
      <c r="F643" s="47" t="s">
        <v>383</v>
      </c>
      <c r="G643" s="91" t="s">
        <v>387</v>
      </c>
      <c r="H643" s="47" t="s">
        <v>388</v>
      </c>
      <c r="I643" s="47" t="s">
        <v>50</v>
      </c>
      <c r="J643" s="47" t="s">
        <v>51</v>
      </c>
      <c r="K643" s="48">
        <v>44599</v>
      </c>
      <c r="L643" s="48">
        <v>44780</v>
      </c>
      <c r="M643" s="48">
        <v>45510</v>
      </c>
      <c r="N643" s="47" t="s">
        <v>64</v>
      </c>
      <c r="O643" s="55" t="s">
        <v>53</v>
      </c>
      <c r="P643" s="62">
        <v>15900</v>
      </c>
      <c r="Q643" s="62">
        <v>1325</v>
      </c>
      <c r="R643" s="103">
        <v>15900</v>
      </c>
      <c r="S643" s="62">
        <f t="shared" si="168"/>
        <v>1325</v>
      </c>
      <c r="T643" s="62">
        <v>14904</v>
      </c>
      <c r="U643" s="62">
        <f t="shared" si="165"/>
        <v>1242</v>
      </c>
      <c r="V643" s="69">
        <v>14400</v>
      </c>
      <c r="W643" s="71">
        <v>1390</v>
      </c>
      <c r="X643" s="71"/>
      <c r="Y643" s="71"/>
      <c r="Z643" s="64">
        <f t="shared" si="169"/>
        <v>0.11916264090177134</v>
      </c>
      <c r="AA643" s="64">
        <f t="shared" si="161"/>
        <v>4.9056603773584909E-2</v>
      </c>
      <c r="AB643" s="71">
        <v>1425</v>
      </c>
      <c r="AC643" s="64">
        <f t="shared" si="170"/>
        <v>0.14734299516908211</v>
      </c>
      <c r="AD643" s="64">
        <f t="shared" si="163"/>
        <v>7.5471698113207544E-2</v>
      </c>
      <c r="AE643" s="71">
        <f t="shared" si="166"/>
        <v>1425</v>
      </c>
      <c r="AF643" s="64">
        <f t="shared" si="171"/>
        <v>0.14734299516908211</v>
      </c>
      <c r="AG643" s="64">
        <f t="shared" si="164"/>
        <v>7.5471698113207544E-2</v>
      </c>
      <c r="AH643" s="67"/>
      <c r="AI643" s="47" t="s">
        <v>54</v>
      </c>
      <c r="AJ643" s="47">
        <v>968.75</v>
      </c>
      <c r="AK643" s="55" t="s">
        <v>140</v>
      </c>
      <c r="AL643" s="55" t="s">
        <v>65</v>
      </c>
      <c r="AM643" s="47" t="s">
        <v>389</v>
      </c>
      <c r="AN643" s="47">
        <v>1425</v>
      </c>
      <c r="AO643" s="211">
        <f t="shared" si="172"/>
        <v>0.14734299516908211</v>
      </c>
      <c r="AP643" s="47" t="s">
        <v>57</v>
      </c>
      <c r="AQ643" s="47" t="s">
        <v>58</v>
      </c>
      <c r="AR643" s="47"/>
    </row>
    <row r="644" spans="1:44">
      <c r="A644" s="47" t="s">
        <v>44</v>
      </c>
      <c r="B644" s="47" t="str">
        <f t="shared" si="167"/>
        <v>August</v>
      </c>
      <c r="C644" s="59">
        <v>45510</v>
      </c>
      <c r="D644" s="47" t="s">
        <v>103</v>
      </c>
      <c r="E644" s="47" t="s">
        <v>382</v>
      </c>
      <c r="F644" s="47" t="s">
        <v>383</v>
      </c>
      <c r="G644" s="91" t="s">
        <v>390</v>
      </c>
      <c r="H644" s="47" t="s">
        <v>391</v>
      </c>
      <c r="I644" s="47" t="s">
        <v>50</v>
      </c>
      <c r="J644" s="47" t="s">
        <v>51</v>
      </c>
      <c r="K644" s="48">
        <v>42954</v>
      </c>
      <c r="L644" s="48">
        <v>45145</v>
      </c>
      <c r="M644" s="48">
        <v>45510</v>
      </c>
      <c r="N644" s="47" t="s">
        <v>64</v>
      </c>
      <c r="O644" s="55" t="s">
        <v>53</v>
      </c>
      <c r="P644" s="62">
        <v>11400</v>
      </c>
      <c r="Q644" s="62">
        <v>950</v>
      </c>
      <c r="R644" s="103">
        <v>11400</v>
      </c>
      <c r="S644" s="62">
        <f t="shared" si="168"/>
        <v>950</v>
      </c>
      <c r="T644" s="62">
        <v>10980</v>
      </c>
      <c r="U644" s="62">
        <f t="shared" si="165"/>
        <v>915</v>
      </c>
      <c r="V644" s="69">
        <v>9420</v>
      </c>
      <c r="W644" s="71">
        <v>980</v>
      </c>
      <c r="X644" s="71"/>
      <c r="Y644" s="71"/>
      <c r="Z644" s="64">
        <f t="shared" si="169"/>
        <v>7.1038251366120214E-2</v>
      </c>
      <c r="AA644" s="64">
        <f t="shared" si="161"/>
        <v>3.1578947368421054E-2</v>
      </c>
      <c r="AB644" s="71">
        <v>1015</v>
      </c>
      <c r="AC644" s="64">
        <f t="shared" si="170"/>
        <v>0.10928961748633879</v>
      </c>
      <c r="AD644" s="64">
        <f t="shared" si="163"/>
        <v>6.8421052631578952E-2</v>
      </c>
      <c r="AE644" s="71">
        <f t="shared" si="166"/>
        <v>1015</v>
      </c>
      <c r="AF644" s="64">
        <f t="shared" si="171"/>
        <v>0.10928961748633879</v>
      </c>
      <c r="AG644" s="64">
        <f t="shared" si="164"/>
        <v>6.8421052631578952E-2</v>
      </c>
      <c r="AH644" s="67"/>
      <c r="AI644" s="47" t="s">
        <v>54</v>
      </c>
      <c r="AJ644" s="47">
        <v>645.83000000000004</v>
      </c>
      <c r="AK644" s="55" t="s">
        <v>65</v>
      </c>
      <c r="AL644" s="55" t="s">
        <v>55</v>
      </c>
      <c r="AM644" s="47" t="s">
        <v>392</v>
      </c>
      <c r="AN644" s="47">
        <v>1000</v>
      </c>
      <c r="AO644" s="211">
        <f t="shared" si="172"/>
        <v>9.2896174863387984E-2</v>
      </c>
      <c r="AP644" s="47" t="s">
        <v>57</v>
      </c>
      <c r="AQ644" s="47" t="s">
        <v>58</v>
      </c>
      <c r="AR644" s="47"/>
    </row>
    <row r="645" spans="1:44">
      <c r="A645" s="47" t="s">
        <v>44</v>
      </c>
      <c r="B645" s="47" t="str">
        <f t="shared" si="167"/>
        <v>August</v>
      </c>
      <c r="C645" s="59">
        <v>45511</v>
      </c>
      <c r="D645" s="47" t="s">
        <v>103</v>
      </c>
      <c r="E645" s="47" t="s">
        <v>382</v>
      </c>
      <c r="F645" s="47" t="s">
        <v>383</v>
      </c>
      <c r="G645" s="91" t="s">
        <v>454</v>
      </c>
      <c r="H645" s="47" t="s">
        <v>455</v>
      </c>
      <c r="I645" s="47" t="s">
        <v>50</v>
      </c>
      <c r="J645" s="47" t="s">
        <v>51</v>
      </c>
      <c r="K645" s="48">
        <v>42590</v>
      </c>
      <c r="L645" s="48">
        <v>45146</v>
      </c>
      <c r="M645" s="48">
        <v>45511</v>
      </c>
      <c r="N645" s="47" t="s">
        <v>64</v>
      </c>
      <c r="O645" s="55" t="s">
        <v>53</v>
      </c>
      <c r="P645" s="62">
        <v>16500</v>
      </c>
      <c r="Q645" s="62">
        <v>1375</v>
      </c>
      <c r="R645" s="103">
        <v>16500</v>
      </c>
      <c r="S645" s="62">
        <f t="shared" si="168"/>
        <v>1375</v>
      </c>
      <c r="T645" s="62">
        <v>16620</v>
      </c>
      <c r="U645" s="62">
        <f t="shared" si="165"/>
        <v>1385</v>
      </c>
      <c r="V645" s="69">
        <v>13800</v>
      </c>
      <c r="W645" s="71">
        <v>1435</v>
      </c>
      <c r="X645" s="71"/>
      <c r="Y645" s="71"/>
      <c r="Z645" s="64">
        <f t="shared" si="169"/>
        <v>3.6101083032490974E-2</v>
      </c>
      <c r="AA645" s="64">
        <f t="shared" si="161"/>
        <v>4.363636363636364E-2</v>
      </c>
      <c r="AB645" s="71">
        <v>1450</v>
      </c>
      <c r="AC645" s="64">
        <f t="shared" si="170"/>
        <v>4.6931407942238268E-2</v>
      </c>
      <c r="AD645" s="64">
        <f t="shared" si="163"/>
        <v>5.4545454545454543E-2</v>
      </c>
      <c r="AE645" s="71">
        <f t="shared" si="166"/>
        <v>1450</v>
      </c>
      <c r="AF645" s="64">
        <f t="shared" si="171"/>
        <v>4.6931407942238268E-2</v>
      </c>
      <c r="AG645" s="64">
        <f t="shared" si="164"/>
        <v>5.4545454545454543E-2</v>
      </c>
      <c r="AH645" s="67"/>
      <c r="AI645" s="47" t="s">
        <v>54</v>
      </c>
      <c r="AJ645" s="47">
        <v>1001.04</v>
      </c>
      <c r="AK645" s="55" t="s">
        <v>140</v>
      </c>
      <c r="AL645" s="55" t="s">
        <v>55</v>
      </c>
      <c r="AM645" s="47" t="s">
        <v>456</v>
      </c>
      <c r="AN645" s="47"/>
      <c r="AO645" s="211">
        <f t="shared" si="172"/>
        <v>-1</v>
      </c>
      <c r="AP645" s="47" t="s">
        <v>57</v>
      </c>
      <c r="AQ645" s="47" t="s">
        <v>58</v>
      </c>
      <c r="AR645" s="47"/>
    </row>
    <row r="646" spans="1:44" hidden="1">
      <c r="A646" s="47" t="s">
        <v>44</v>
      </c>
      <c r="B646" s="47" t="str">
        <f t="shared" si="167"/>
        <v>August</v>
      </c>
      <c r="C646" s="59">
        <v>45511</v>
      </c>
      <c r="D646" s="47" t="s">
        <v>103</v>
      </c>
      <c r="E646" s="47" t="s">
        <v>382</v>
      </c>
      <c r="F646" s="47" t="s">
        <v>383</v>
      </c>
      <c r="G646" s="91" t="s">
        <v>457</v>
      </c>
      <c r="H646" s="47" t="s">
        <v>458</v>
      </c>
      <c r="I646" s="47" t="s">
        <v>50</v>
      </c>
      <c r="J646" s="47" t="s">
        <v>51</v>
      </c>
      <c r="K646" s="48">
        <v>45146</v>
      </c>
      <c r="L646" s="48">
        <v>45146</v>
      </c>
      <c r="M646" s="48">
        <v>45511</v>
      </c>
      <c r="N646" s="47" t="s">
        <v>52</v>
      </c>
      <c r="O646" s="55" t="s">
        <v>53</v>
      </c>
      <c r="P646" s="62">
        <v>11400</v>
      </c>
      <c r="Q646" s="62">
        <v>950</v>
      </c>
      <c r="R646" s="103">
        <v>11400</v>
      </c>
      <c r="S646" s="62">
        <f t="shared" si="168"/>
        <v>950</v>
      </c>
      <c r="T646" s="62">
        <v>11280</v>
      </c>
      <c r="U646" s="62">
        <f t="shared" si="165"/>
        <v>940</v>
      </c>
      <c r="V646" s="69">
        <v>10200</v>
      </c>
      <c r="W646" s="71">
        <v>980</v>
      </c>
      <c r="X646" s="71"/>
      <c r="Y646" s="71"/>
      <c r="Z646" s="64">
        <f t="shared" si="169"/>
        <v>4.2553191489361701E-2</v>
      </c>
      <c r="AA646" s="64">
        <f t="shared" si="161"/>
        <v>3.1578947368421054E-2</v>
      </c>
      <c r="AB646" s="71">
        <v>1015</v>
      </c>
      <c r="AC646" s="64">
        <f t="shared" si="170"/>
        <v>7.9787234042553196E-2</v>
      </c>
      <c r="AD646" s="64">
        <f t="shared" si="163"/>
        <v>6.8421052631578952E-2</v>
      </c>
      <c r="AE646" s="71">
        <f t="shared" si="166"/>
        <v>1015</v>
      </c>
      <c r="AF646" s="64">
        <f t="shared" si="171"/>
        <v>7.9787234042553196E-2</v>
      </c>
      <c r="AG646" s="64">
        <f t="shared" si="164"/>
        <v>6.8421052631578952E-2</v>
      </c>
      <c r="AH646" s="67"/>
      <c r="AI646" s="47" t="s">
        <v>54</v>
      </c>
      <c r="AJ646" s="47">
        <v>645.83000000000004</v>
      </c>
      <c r="AK646" s="55" t="s">
        <v>65</v>
      </c>
      <c r="AL646" s="55" t="s">
        <v>55</v>
      </c>
      <c r="AM646" s="47" t="s">
        <v>459</v>
      </c>
      <c r="AN646" s="47">
        <v>1015</v>
      </c>
      <c r="AO646" s="211">
        <f t="shared" si="172"/>
        <v>7.9787234042553196E-2</v>
      </c>
      <c r="AP646" s="47" t="s">
        <v>57</v>
      </c>
      <c r="AQ646" s="47" t="s">
        <v>58</v>
      </c>
      <c r="AR646" s="47"/>
    </row>
    <row r="647" spans="1:44" hidden="1">
      <c r="A647" s="47" t="s">
        <v>44</v>
      </c>
      <c r="B647" s="47" t="str">
        <f t="shared" si="167"/>
        <v>July</v>
      </c>
      <c r="C647" s="59">
        <v>45496</v>
      </c>
      <c r="D647" s="47" t="s">
        <v>103</v>
      </c>
      <c r="E647" s="47" t="s">
        <v>382</v>
      </c>
      <c r="F647" s="47" t="s">
        <v>383</v>
      </c>
      <c r="G647" s="91" t="s">
        <v>612</v>
      </c>
      <c r="H647" s="47" t="s">
        <v>613</v>
      </c>
      <c r="I647" s="47" t="s">
        <v>50</v>
      </c>
      <c r="J647" s="47" t="s">
        <v>51</v>
      </c>
      <c r="K647" s="48">
        <v>45131</v>
      </c>
      <c r="L647" s="48">
        <v>45131</v>
      </c>
      <c r="M647" s="48">
        <v>45496</v>
      </c>
      <c r="N647" s="47" t="s">
        <v>52</v>
      </c>
      <c r="O647" s="55" t="s">
        <v>53</v>
      </c>
      <c r="P647" s="62">
        <v>16500</v>
      </c>
      <c r="Q647" s="62">
        <v>1375</v>
      </c>
      <c r="R647" s="103">
        <v>16500</v>
      </c>
      <c r="S647" s="62">
        <f t="shared" si="168"/>
        <v>1375</v>
      </c>
      <c r="T647" s="62">
        <v>16500</v>
      </c>
      <c r="U647" s="62">
        <f t="shared" si="165"/>
        <v>1375</v>
      </c>
      <c r="V647" s="69">
        <v>15000</v>
      </c>
      <c r="W647" s="71">
        <v>1435</v>
      </c>
      <c r="X647" s="71"/>
      <c r="Y647" s="71"/>
      <c r="Z647" s="64">
        <f t="shared" si="169"/>
        <v>4.363636363636364E-2</v>
      </c>
      <c r="AA647" s="64">
        <f t="shared" si="161"/>
        <v>4.363636363636364E-2</v>
      </c>
      <c r="AB647" s="71">
        <v>1450</v>
      </c>
      <c r="AC647" s="64">
        <f t="shared" si="170"/>
        <v>5.4545454545454543E-2</v>
      </c>
      <c r="AD647" s="64">
        <f t="shared" si="163"/>
        <v>5.4545454545454543E-2</v>
      </c>
      <c r="AE647" s="71">
        <f t="shared" si="166"/>
        <v>1450</v>
      </c>
      <c r="AF647" s="64">
        <f t="shared" si="171"/>
        <v>5.4545454545454543E-2</v>
      </c>
      <c r="AG647" s="64">
        <f t="shared" si="164"/>
        <v>5.4545454545454543E-2</v>
      </c>
      <c r="AH647" s="67"/>
      <c r="AI647" s="47" t="s">
        <v>54</v>
      </c>
      <c r="AJ647" s="47">
        <v>1001.04</v>
      </c>
      <c r="AK647" s="101" t="s">
        <v>140</v>
      </c>
      <c r="AL647" s="101" t="s">
        <v>55</v>
      </c>
      <c r="AM647" s="47" t="s">
        <v>614</v>
      </c>
      <c r="AN647" s="47">
        <v>1450</v>
      </c>
      <c r="AO647" s="211">
        <f t="shared" si="172"/>
        <v>5.4545454545454543E-2</v>
      </c>
      <c r="AP647" s="47" t="s">
        <v>57</v>
      </c>
      <c r="AQ647" s="47" t="s">
        <v>58</v>
      </c>
      <c r="AR647" s="47"/>
    </row>
    <row r="648" spans="1:44">
      <c r="A648" s="47" t="s">
        <v>44</v>
      </c>
      <c r="B648" s="47" t="str">
        <f t="shared" si="167"/>
        <v>July</v>
      </c>
      <c r="C648" s="59">
        <v>45488</v>
      </c>
      <c r="D648" s="47" t="s">
        <v>103</v>
      </c>
      <c r="E648" s="47" t="s">
        <v>382</v>
      </c>
      <c r="F648" s="47" t="s">
        <v>383</v>
      </c>
      <c r="G648" s="91" t="s">
        <v>615</v>
      </c>
      <c r="H648" s="47" t="s">
        <v>616</v>
      </c>
      <c r="I648" s="47" t="s">
        <v>50</v>
      </c>
      <c r="J648" s="47" t="s">
        <v>51</v>
      </c>
      <c r="K648" s="48">
        <v>44758</v>
      </c>
      <c r="L648" s="48">
        <v>45123</v>
      </c>
      <c r="M648" s="48">
        <v>45488</v>
      </c>
      <c r="N648" s="47" t="s">
        <v>64</v>
      </c>
      <c r="O648" s="55" t="s">
        <v>53</v>
      </c>
      <c r="P648" s="62">
        <v>11400</v>
      </c>
      <c r="Q648" s="62">
        <v>950</v>
      </c>
      <c r="R648" s="103">
        <v>11400</v>
      </c>
      <c r="S648" s="62">
        <f t="shared" si="168"/>
        <v>950</v>
      </c>
      <c r="T648" s="62">
        <v>10980</v>
      </c>
      <c r="U648" s="62">
        <f t="shared" si="165"/>
        <v>915</v>
      </c>
      <c r="V648" s="69">
        <v>10260</v>
      </c>
      <c r="W648" s="71">
        <v>980</v>
      </c>
      <c r="X648" s="71"/>
      <c r="Y648" s="71"/>
      <c r="Z648" s="64">
        <f t="shared" si="169"/>
        <v>7.1038251366120214E-2</v>
      </c>
      <c r="AA648" s="64">
        <f t="shared" si="161"/>
        <v>3.1578947368421054E-2</v>
      </c>
      <c r="AB648" s="71">
        <v>1015</v>
      </c>
      <c r="AC648" s="64">
        <f t="shared" si="170"/>
        <v>0.10928961748633879</v>
      </c>
      <c r="AD648" s="64">
        <f t="shared" si="163"/>
        <v>6.8421052631578952E-2</v>
      </c>
      <c r="AE648" s="71">
        <f t="shared" si="166"/>
        <v>1015</v>
      </c>
      <c r="AF648" s="64">
        <f t="shared" si="171"/>
        <v>0.10928961748633879</v>
      </c>
      <c r="AG648" s="64">
        <f t="shared" si="164"/>
        <v>6.8421052631578952E-2</v>
      </c>
      <c r="AH648" s="67"/>
      <c r="AI648" s="47" t="s">
        <v>54</v>
      </c>
      <c r="AJ648" s="47">
        <v>645.83000000000004</v>
      </c>
      <c r="AK648" s="101" t="s">
        <v>65</v>
      </c>
      <c r="AL648" s="101" t="s">
        <v>55</v>
      </c>
      <c r="AM648" s="47" t="s">
        <v>617</v>
      </c>
      <c r="AN648" s="47"/>
      <c r="AO648" s="211">
        <f t="shared" si="172"/>
        <v>-1</v>
      </c>
      <c r="AP648" s="47" t="s">
        <v>57</v>
      </c>
      <c r="AQ648" s="47" t="s">
        <v>58</v>
      </c>
      <c r="AR648" s="47"/>
    </row>
    <row r="649" spans="1:44" hidden="1">
      <c r="A649" s="47" t="s">
        <v>74</v>
      </c>
      <c r="B649" s="47" t="str">
        <f t="shared" si="167"/>
        <v>July</v>
      </c>
      <c r="C649" s="59">
        <v>45499</v>
      </c>
      <c r="D649" s="47" t="s">
        <v>103</v>
      </c>
      <c r="E649" s="47" t="s">
        <v>382</v>
      </c>
      <c r="F649" s="47" t="s">
        <v>383</v>
      </c>
      <c r="G649" s="91" t="s">
        <v>692</v>
      </c>
      <c r="H649" s="47" t="s">
        <v>693</v>
      </c>
      <c r="I649" s="47" t="s">
        <v>50</v>
      </c>
      <c r="J649" s="47" t="s">
        <v>51</v>
      </c>
      <c r="K649" s="48">
        <v>45134</v>
      </c>
      <c r="L649" s="48">
        <v>45134</v>
      </c>
      <c r="M649" s="48">
        <v>45499</v>
      </c>
      <c r="N649" s="47" t="s">
        <v>52</v>
      </c>
      <c r="O649" s="55" t="s">
        <v>53</v>
      </c>
      <c r="P649" s="62">
        <v>11400</v>
      </c>
      <c r="Q649" s="62">
        <v>950</v>
      </c>
      <c r="R649" s="103">
        <v>11400</v>
      </c>
      <c r="S649" s="62">
        <f t="shared" si="168"/>
        <v>950</v>
      </c>
      <c r="T649" s="62">
        <v>11220</v>
      </c>
      <c r="U649" s="62">
        <f t="shared" si="165"/>
        <v>935</v>
      </c>
      <c r="V649" s="69">
        <v>10260</v>
      </c>
      <c r="W649" s="71">
        <v>975</v>
      </c>
      <c r="X649" s="71"/>
      <c r="Y649" s="71"/>
      <c r="Z649" s="64">
        <f t="shared" si="169"/>
        <v>4.2780748663101602E-2</v>
      </c>
      <c r="AA649" s="64">
        <f t="shared" si="161"/>
        <v>2.6315789473684209E-2</v>
      </c>
      <c r="AB649" s="71">
        <v>1015</v>
      </c>
      <c r="AC649" s="64">
        <f t="shared" si="170"/>
        <v>8.5561497326203204E-2</v>
      </c>
      <c r="AD649" s="64">
        <f t="shared" si="163"/>
        <v>6.8421052631578952E-2</v>
      </c>
      <c r="AE649" s="71">
        <f t="shared" si="166"/>
        <v>1015</v>
      </c>
      <c r="AF649" s="64">
        <f t="shared" si="171"/>
        <v>8.5561497326203204E-2</v>
      </c>
      <c r="AG649" s="64">
        <f t="shared" si="164"/>
        <v>6.8421052631578952E-2</v>
      </c>
      <c r="AH649" s="67"/>
      <c r="AI649" s="47" t="s">
        <v>54</v>
      </c>
      <c r="AJ649" s="47">
        <v>645.83000000000004</v>
      </c>
      <c r="AK649" s="101" t="s">
        <v>65</v>
      </c>
      <c r="AL649" s="101" t="s">
        <v>55</v>
      </c>
      <c r="AM649" s="47" t="s">
        <v>694</v>
      </c>
      <c r="AN649" s="47"/>
      <c r="AO649" s="211">
        <f t="shared" si="172"/>
        <v>-1</v>
      </c>
      <c r="AP649" s="47" t="s">
        <v>57</v>
      </c>
      <c r="AQ649" s="47" t="s">
        <v>58</v>
      </c>
      <c r="AR649" s="47"/>
    </row>
    <row r="650" spans="1:44" hidden="1">
      <c r="A650" s="47" t="s">
        <v>44</v>
      </c>
      <c r="B650" s="47" t="str">
        <f t="shared" si="167"/>
        <v>July</v>
      </c>
      <c r="C650" s="59">
        <v>45479</v>
      </c>
      <c r="D650" s="47" t="s">
        <v>103</v>
      </c>
      <c r="E650" s="47" t="s">
        <v>382</v>
      </c>
      <c r="F650" s="47" t="s">
        <v>383</v>
      </c>
      <c r="G650" s="91" t="s">
        <v>765</v>
      </c>
      <c r="H650" s="47" t="s">
        <v>766</v>
      </c>
      <c r="I650" s="47" t="s">
        <v>50</v>
      </c>
      <c r="J650" s="47" t="s">
        <v>51</v>
      </c>
      <c r="K650" s="48">
        <v>45114</v>
      </c>
      <c r="L650" s="48">
        <v>45114</v>
      </c>
      <c r="M650" s="48">
        <v>45479</v>
      </c>
      <c r="N650" s="47" t="s">
        <v>52</v>
      </c>
      <c r="O650" s="55" t="s">
        <v>53</v>
      </c>
      <c r="P650" s="62">
        <v>16500</v>
      </c>
      <c r="Q650" s="62">
        <v>1375</v>
      </c>
      <c r="R650" s="103">
        <v>16500</v>
      </c>
      <c r="S650" s="62">
        <f t="shared" si="168"/>
        <v>1375</v>
      </c>
      <c r="T650" s="62">
        <v>16500</v>
      </c>
      <c r="U650" s="62">
        <f t="shared" si="165"/>
        <v>1375</v>
      </c>
      <c r="V650" s="69">
        <v>14400</v>
      </c>
      <c r="W650" s="71">
        <v>1435</v>
      </c>
      <c r="X650" s="71"/>
      <c r="Y650" s="71"/>
      <c r="Z650" s="64">
        <f t="shared" si="169"/>
        <v>4.363636363636364E-2</v>
      </c>
      <c r="AA650" s="64">
        <f t="shared" si="161"/>
        <v>4.363636363636364E-2</v>
      </c>
      <c r="AB650" s="71">
        <v>1450</v>
      </c>
      <c r="AC650" s="64">
        <f t="shared" si="170"/>
        <v>5.4545454545454543E-2</v>
      </c>
      <c r="AD650" s="64">
        <f t="shared" si="163"/>
        <v>5.4545454545454543E-2</v>
      </c>
      <c r="AE650" s="71">
        <f t="shared" si="166"/>
        <v>1450</v>
      </c>
      <c r="AF650" s="64">
        <f t="shared" si="171"/>
        <v>5.4545454545454543E-2</v>
      </c>
      <c r="AG650" s="64">
        <f t="shared" si="164"/>
        <v>5.4545454545454543E-2</v>
      </c>
      <c r="AH650" s="67" t="s">
        <v>611</v>
      </c>
      <c r="AI650" s="47" t="s">
        <v>250</v>
      </c>
      <c r="AJ650" s="47">
        <v>1001.04</v>
      </c>
      <c r="AK650" s="101" t="s">
        <v>140</v>
      </c>
      <c r="AL650" s="101" t="s">
        <v>55</v>
      </c>
      <c r="AM650" s="47" t="s">
        <v>767</v>
      </c>
      <c r="AN650" s="47"/>
      <c r="AO650" s="211">
        <f t="shared" si="172"/>
        <v>-1</v>
      </c>
      <c r="AP650" s="47" t="s">
        <v>57</v>
      </c>
      <c r="AQ650" s="47" t="s">
        <v>58</v>
      </c>
      <c r="AR650" s="47"/>
    </row>
    <row r="651" spans="1:44" hidden="1">
      <c r="A651" s="47" t="s">
        <v>44</v>
      </c>
      <c r="B651" s="47" t="str">
        <f t="shared" si="167"/>
        <v>July</v>
      </c>
      <c r="C651" s="59">
        <v>45484</v>
      </c>
      <c r="D651" s="47" t="s">
        <v>103</v>
      </c>
      <c r="E651" s="47" t="s">
        <v>382</v>
      </c>
      <c r="F651" s="47" t="s">
        <v>383</v>
      </c>
      <c r="G651" s="91" t="s">
        <v>768</v>
      </c>
      <c r="H651" s="47" t="s">
        <v>769</v>
      </c>
      <c r="I651" s="47" t="s">
        <v>50</v>
      </c>
      <c r="J651" s="47" t="s">
        <v>51</v>
      </c>
      <c r="K651" s="48">
        <v>45303</v>
      </c>
      <c r="L651" s="48">
        <v>45303</v>
      </c>
      <c r="M651" s="48">
        <v>45484</v>
      </c>
      <c r="N651" s="47" t="s">
        <v>52</v>
      </c>
      <c r="O651" s="55" t="s">
        <v>53</v>
      </c>
      <c r="P651" s="62">
        <v>11400</v>
      </c>
      <c r="Q651" s="62">
        <v>950</v>
      </c>
      <c r="R651" s="103">
        <v>11400</v>
      </c>
      <c r="S651" s="62">
        <f t="shared" si="168"/>
        <v>950</v>
      </c>
      <c r="T651" s="62">
        <v>11940</v>
      </c>
      <c r="U651" s="62">
        <f t="shared" si="165"/>
        <v>995</v>
      </c>
      <c r="V651" s="69">
        <v>11220</v>
      </c>
      <c r="W651" s="71">
        <v>975</v>
      </c>
      <c r="X651" s="71"/>
      <c r="Y651" s="71"/>
      <c r="Z651" s="64">
        <f t="shared" si="169"/>
        <v>-2.0100502512562814E-2</v>
      </c>
      <c r="AA651" s="64">
        <f t="shared" si="161"/>
        <v>2.6315789473684209E-2</v>
      </c>
      <c r="AB651" s="71">
        <v>1015</v>
      </c>
      <c r="AC651" s="64">
        <f t="shared" si="170"/>
        <v>2.0100502512562814E-2</v>
      </c>
      <c r="AD651" s="64">
        <f t="shared" si="163"/>
        <v>6.8421052631578952E-2</v>
      </c>
      <c r="AE651" s="71">
        <f t="shared" si="166"/>
        <v>1015</v>
      </c>
      <c r="AF651" s="64">
        <f t="shared" si="171"/>
        <v>2.0100502512562814E-2</v>
      </c>
      <c r="AG651" s="64">
        <f t="shared" si="164"/>
        <v>6.8421052631578952E-2</v>
      </c>
      <c r="AH651" s="67"/>
      <c r="AI651" s="47" t="s">
        <v>54</v>
      </c>
      <c r="AJ651" s="47">
        <v>645.83000000000004</v>
      </c>
      <c r="AK651" s="101" t="s">
        <v>65</v>
      </c>
      <c r="AL651" s="101" t="s">
        <v>55</v>
      </c>
      <c r="AM651" s="47" t="s">
        <v>770</v>
      </c>
      <c r="AN651" s="47">
        <v>1015</v>
      </c>
      <c r="AO651" s="211">
        <f t="shared" si="172"/>
        <v>2.0100502512562814E-2</v>
      </c>
      <c r="AP651" s="47" t="s">
        <v>57</v>
      </c>
      <c r="AQ651" s="47" t="s">
        <v>58</v>
      </c>
      <c r="AR651" s="47"/>
    </row>
    <row r="652" spans="1:44" hidden="1">
      <c r="A652" s="47" t="s">
        <v>44</v>
      </c>
      <c r="B652" s="47" t="str">
        <f t="shared" si="167"/>
        <v>July</v>
      </c>
      <c r="C652" s="59">
        <v>45483</v>
      </c>
      <c r="D652" s="47" t="s">
        <v>103</v>
      </c>
      <c r="E652" s="47" t="s">
        <v>382</v>
      </c>
      <c r="F652" s="47" t="s">
        <v>383</v>
      </c>
      <c r="G652" s="91" t="s">
        <v>771</v>
      </c>
      <c r="H652" s="47" t="s">
        <v>772</v>
      </c>
      <c r="I652" s="47" t="s">
        <v>50</v>
      </c>
      <c r="J652" s="47" t="s">
        <v>51</v>
      </c>
      <c r="K652" s="48">
        <v>45118</v>
      </c>
      <c r="L652" s="48">
        <v>45118</v>
      </c>
      <c r="M652" s="48">
        <v>45483</v>
      </c>
      <c r="N652" s="47" t="s">
        <v>52</v>
      </c>
      <c r="O652" s="55" t="s">
        <v>53</v>
      </c>
      <c r="P652" s="62">
        <v>11400</v>
      </c>
      <c r="Q652" s="62">
        <v>950</v>
      </c>
      <c r="R652" s="103">
        <v>11400</v>
      </c>
      <c r="S652" s="62">
        <f t="shared" si="168"/>
        <v>950</v>
      </c>
      <c r="T652" s="62">
        <v>11220</v>
      </c>
      <c r="U652" s="62">
        <f t="shared" si="165"/>
        <v>935</v>
      </c>
      <c r="V652" s="69">
        <v>9360</v>
      </c>
      <c r="W652" s="71">
        <v>975</v>
      </c>
      <c r="X652" s="71"/>
      <c r="Y652" s="71"/>
      <c r="Z652" s="64">
        <f t="shared" si="169"/>
        <v>4.2780748663101602E-2</v>
      </c>
      <c r="AA652" s="64">
        <f t="shared" si="161"/>
        <v>2.6315789473684209E-2</v>
      </c>
      <c r="AB652" s="71">
        <v>1015</v>
      </c>
      <c r="AC652" s="64">
        <f t="shared" si="170"/>
        <v>8.5561497326203204E-2</v>
      </c>
      <c r="AD652" s="64">
        <f t="shared" si="163"/>
        <v>6.8421052631578952E-2</v>
      </c>
      <c r="AE652" s="71">
        <f t="shared" si="166"/>
        <v>1015</v>
      </c>
      <c r="AF652" s="64">
        <f t="shared" si="171"/>
        <v>8.5561497326203204E-2</v>
      </c>
      <c r="AG652" s="64">
        <f t="shared" si="164"/>
        <v>6.8421052631578952E-2</v>
      </c>
      <c r="AH652" s="67"/>
      <c r="AI652" s="47" t="s">
        <v>54</v>
      </c>
      <c r="AJ652" s="47">
        <v>645.83000000000004</v>
      </c>
      <c r="AK652" s="101" t="s">
        <v>65</v>
      </c>
      <c r="AL652" s="101" t="s">
        <v>55</v>
      </c>
      <c r="AM652" s="47" t="s">
        <v>773</v>
      </c>
      <c r="AN652" s="47"/>
      <c r="AO652" s="211">
        <f t="shared" si="172"/>
        <v>-1</v>
      </c>
      <c r="AP652" s="47" t="s">
        <v>57</v>
      </c>
      <c r="AQ652" s="47" t="s">
        <v>58</v>
      </c>
      <c r="AR652" s="47"/>
    </row>
    <row r="653" spans="1:44">
      <c r="A653" s="47" t="s">
        <v>44</v>
      </c>
      <c r="B653" s="47" t="str">
        <f t="shared" si="167"/>
        <v>August</v>
      </c>
      <c r="C653" s="59">
        <v>45506</v>
      </c>
      <c r="D653" s="47" t="s">
        <v>103</v>
      </c>
      <c r="E653" s="47" t="s">
        <v>382</v>
      </c>
      <c r="F653" s="47" t="s">
        <v>383</v>
      </c>
      <c r="G653" s="94" t="s">
        <v>951</v>
      </c>
      <c r="H653" s="47" t="s">
        <v>952</v>
      </c>
      <c r="I653" s="47" t="s">
        <v>50</v>
      </c>
      <c r="J653" s="47" t="s">
        <v>51</v>
      </c>
      <c r="K653" s="48">
        <v>44046</v>
      </c>
      <c r="L653" s="48">
        <v>44776</v>
      </c>
      <c r="M653" s="48">
        <v>45506</v>
      </c>
      <c r="N653" s="47" t="s">
        <v>64</v>
      </c>
      <c r="O653" s="55" t="s">
        <v>53</v>
      </c>
      <c r="P653" s="62">
        <v>11400</v>
      </c>
      <c r="Q653" s="62">
        <v>950</v>
      </c>
      <c r="R653" s="103">
        <v>11400</v>
      </c>
      <c r="S653" s="62">
        <f t="shared" si="168"/>
        <v>950</v>
      </c>
      <c r="T653" s="62">
        <v>10246.56</v>
      </c>
      <c r="U653" s="62">
        <f t="shared" ref="U653:U684" si="173">T653/12</f>
        <v>853.88</v>
      </c>
      <c r="V653" s="69">
        <v>9900</v>
      </c>
      <c r="W653" s="71">
        <v>980</v>
      </c>
      <c r="X653" s="71"/>
      <c r="Y653" s="71"/>
      <c r="Z653" s="64">
        <f t="shared" si="169"/>
        <v>0.14770225324401556</v>
      </c>
      <c r="AA653" s="64">
        <f t="shared" si="161"/>
        <v>3.1578947368421054E-2</v>
      </c>
      <c r="AB653" s="71">
        <v>1015</v>
      </c>
      <c r="AC653" s="64">
        <f t="shared" si="170"/>
        <v>0.18869161943130183</v>
      </c>
      <c r="AD653" s="64">
        <f t="shared" si="163"/>
        <v>6.8421052631578952E-2</v>
      </c>
      <c r="AE653" s="71">
        <f t="shared" si="166"/>
        <v>1015</v>
      </c>
      <c r="AF653" s="64">
        <f t="shared" si="171"/>
        <v>0.18869161943130183</v>
      </c>
      <c r="AG653" s="64">
        <f t="shared" si="164"/>
        <v>6.8421052631578952E-2</v>
      </c>
      <c r="AH653" s="67"/>
      <c r="AI653" s="47" t="s">
        <v>54</v>
      </c>
      <c r="AJ653" s="47">
        <v>645.83000000000004</v>
      </c>
      <c r="AK653" s="55" t="s">
        <v>65</v>
      </c>
      <c r="AL653" s="55" t="s">
        <v>55</v>
      </c>
      <c r="AM653" s="47" t="s">
        <v>392</v>
      </c>
      <c r="AN653" s="47"/>
      <c r="AO653" s="211">
        <f t="shared" si="172"/>
        <v>-1</v>
      </c>
      <c r="AP653" s="47" t="s">
        <v>57</v>
      </c>
      <c r="AQ653" s="47" t="s">
        <v>58</v>
      </c>
      <c r="AR653" s="47"/>
    </row>
    <row r="654" spans="1:44">
      <c r="A654" s="47" t="s">
        <v>44</v>
      </c>
      <c r="B654" s="47" t="str">
        <f t="shared" si="167"/>
        <v>August</v>
      </c>
      <c r="C654" s="59">
        <v>45514</v>
      </c>
      <c r="D654" s="47" t="s">
        <v>103</v>
      </c>
      <c r="E654" s="47" t="s">
        <v>382</v>
      </c>
      <c r="F654" s="47" t="s">
        <v>383</v>
      </c>
      <c r="G654" s="91" t="s">
        <v>1531</v>
      </c>
      <c r="H654" s="47" t="s">
        <v>1532</v>
      </c>
      <c r="I654" s="47" t="s">
        <v>50</v>
      </c>
      <c r="J654" s="47" t="s">
        <v>51</v>
      </c>
      <c r="K654" s="48">
        <v>44413</v>
      </c>
      <c r="L654" s="48">
        <v>45149</v>
      </c>
      <c r="M654" s="48">
        <v>45514</v>
      </c>
      <c r="N654" s="47" t="s">
        <v>64</v>
      </c>
      <c r="O654" s="55" t="s">
        <v>53</v>
      </c>
      <c r="P654" s="62">
        <v>9600</v>
      </c>
      <c r="Q654" s="62">
        <v>800</v>
      </c>
      <c r="R654" s="103">
        <v>9600</v>
      </c>
      <c r="S654" s="62">
        <f t="shared" si="168"/>
        <v>800</v>
      </c>
      <c r="T654" s="62">
        <v>9060</v>
      </c>
      <c r="U654" s="62">
        <f t="shared" si="173"/>
        <v>755</v>
      </c>
      <c r="V654" s="69">
        <v>8400</v>
      </c>
      <c r="W654" s="71">
        <v>790</v>
      </c>
      <c r="X654" s="71"/>
      <c r="Y654" s="71"/>
      <c r="Z654" s="64">
        <f t="shared" si="169"/>
        <v>4.6357615894039736E-2</v>
      </c>
      <c r="AA654" s="64">
        <f t="shared" si="161"/>
        <v>-1.2500000000000001E-2</v>
      </c>
      <c r="AB654" s="71">
        <v>800</v>
      </c>
      <c r="AC654" s="64">
        <f t="shared" si="170"/>
        <v>5.9602649006622516E-2</v>
      </c>
      <c r="AD654" s="64">
        <f t="shared" si="163"/>
        <v>0</v>
      </c>
      <c r="AE654" s="71">
        <f t="shared" si="166"/>
        <v>800</v>
      </c>
      <c r="AF654" s="64">
        <f t="shared" si="171"/>
        <v>5.9602649006622516E-2</v>
      </c>
      <c r="AG654" s="64">
        <f t="shared" si="164"/>
        <v>0</v>
      </c>
      <c r="AH654" s="67"/>
      <c r="AI654" s="47" t="s">
        <v>54</v>
      </c>
      <c r="AJ654" s="47">
        <v>505.9</v>
      </c>
      <c r="AK654" s="55" t="s">
        <v>55</v>
      </c>
      <c r="AL654" s="55" t="s">
        <v>55</v>
      </c>
      <c r="AM654" s="47" t="s">
        <v>1533</v>
      </c>
      <c r="AN654" s="47"/>
      <c r="AO654" s="211">
        <f t="shared" si="172"/>
        <v>-1</v>
      </c>
      <c r="AP654" s="47" t="s">
        <v>57</v>
      </c>
      <c r="AQ654" s="47" t="s">
        <v>1132</v>
      </c>
      <c r="AR654" s="47"/>
    </row>
    <row r="655" spans="1:44">
      <c r="A655" s="47" t="s">
        <v>44</v>
      </c>
      <c r="B655" s="47" t="str">
        <f t="shared" si="167"/>
        <v>August</v>
      </c>
      <c r="C655" s="205">
        <v>45516</v>
      </c>
      <c r="D655" s="47" t="s">
        <v>103</v>
      </c>
      <c r="E655" s="47" t="s">
        <v>382</v>
      </c>
      <c r="F655" s="47" t="s">
        <v>383</v>
      </c>
      <c r="G655" s="91" t="s">
        <v>1675</v>
      </c>
      <c r="H655" s="47" t="s">
        <v>1676</v>
      </c>
      <c r="I655" s="47" t="s">
        <v>50</v>
      </c>
      <c r="J655" s="47" t="s">
        <v>51</v>
      </c>
      <c r="K655" s="48">
        <v>43509</v>
      </c>
      <c r="L655" s="48">
        <v>45151</v>
      </c>
      <c r="M655" s="48">
        <v>45516</v>
      </c>
      <c r="N655" s="47" t="s">
        <v>64</v>
      </c>
      <c r="O655" s="55" t="s">
        <v>53</v>
      </c>
      <c r="P655" s="62">
        <v>11400</v>
      </c>
      <c r="Q655" s="62">
        <v>950</v>
      </c>
      <c r="R655" s="103">
        <v>11400</v>
      </c>
      <c r="S655" s="62">
        <f t="shared" si="168"/>
        <v>950</v>
      </c>
      <c r="T655" s="62">
        <v>11280</v>
      </c>
      <c r="U655" s="62">
        <f t="shared" si="173"/>
        <v>940</v>
      </c>
      <c r="V655" s="69">
        <v>9300</v>
      </c>
      <c r="W655" s="71">
        <v>980</v>
      </c>
      <c r="X655" s="71"/>
      <c r="Y655" s="71"/>
      <c r="Z655" s="64">
        <f t="shared" si="169"/>
        <v>4.2553191489361701E-2</v>
      </c>
      <c r="AA655" s="64">
        <f t="shared" si="161"/>
        <v>3.1578947368421054E-2</v>
      </c>
      <c r="AB655" s="71">
        <v>1015</v>
      </c>
      <c r="AC655" s="64">
        <f t="shared" si="170"/>
        <v>7.9787234042553196E-2</v>
      </c>
      <c r="AD655" s="64">
        <f t="shared" si="163"/>
        <v>6.8421052631578952E-2</v>
      </c>
      <c r="AE655" s="71">
        <f t="shared" si="166"/>
        <v>1015</v>
      </c>
      <c r="AF655" s="64">
        <f t="shared" si="171"/>
        <v>7.9787234042553196E-2</v>
      </c>
      <c r="AG655" s="64">
        <f t="shared" si="164"/>
        <v>6.8421052631578952E-2</v>
      </c>
      <c r="AH655" s="67"/>
      <c r="AI655" s="47" t="s">
        <v>54</v>
      </c>
      <c r="AJ655" s="47">
        <v>645.83000000000004</v>
      </c>
      <c r="AK655" s="55" t="s">
        <v>65</v>
      </c>
      <c r="AL655" s="55" t="s">
        <v>55</v>
      </c>
      <c r="AM655" s="47" t="s">
        <v>1677</v>
      </c>
      <c r="AN655" s="47">
        <v>1000</v>
      </c>
      <c r="AO655" s="211">
        <f t="shared" si="172"/>
        <v>6.3829787234042548E-2</v>
      </c>
      <c r="AP655" s="47" t="s">
        <v>57</v>
      </c>
      <c r="AQ655" s="47" t="s">
        <v>1132</v>
      </c>
      <c r="AR655" s="47"/>
    </row>
    <row r="656" spans="1:44" hidden="1">
      <c r="A656" s="47" t="s">
        <v>44</v>
      </c>
      <c r="B656" s="47" t="str">
        <f t="shared" si="167"/>
        <v>August</v>
      </c>
      <c r="C656" s="59">
        <v>45522</v>
      </c>
      <c r="D656" s="47" t="s">
        <v>103</v>
      </c>
      <c r="E656" s="47" t="s">
        <v>382</v>
      </c>
      <c r="F656" s="47" t="s">
        <v>383</v>
      </c>
      <c r="G656" s="91" t="s">
        <v>2279</v>
      </c>
      <c r="H656" s="47" t="s">
        <v>2280</v>
      </c>
      <c r="I656" s="47" t="s">
        <v>50</v>
      </c>
      <c r="J656" s="47" t="s">
        <v>51</v>
      </c>
      <c r="K656" s="48">
        <v>45157</v>
      </c>
      <c r="L656" s="48">
        <v>45157</v>
      </c>
      <c r="M656" s="48">
        <v>45522</v>
      </c>
      <c r="N656" s="47" t="s">
        <v>52</v>
      </c>
      <c r="O656" s="55" t="s">
        <v>53</v>
      </c>
      <c r="P656" s="62">
        <v>9600</v>
      </c>
      <c r="Q656" s="62">
        <v>800</v>
      </c>
      <c r="R656" s="103">
        <v>9600</v>
      </c>
      <c r="S656" s="62">
        <f t="shared" si="168"/>
        <v>800</v>
      </c>
      <c r="T656" s="62">
        <v>9060</v>
      </c>
      <c r="U656" s="62">
        <f t="shared" si="173"/>
        <v>755</v>
      </c>
      <c r="V656" s="69">
        <v>8280</v>
      </c>
      <c r="W656" s="71">
        <v>790</v>
      </c>
      <c r="X656" s="71"/>
      <c r="Y656" s="71"/>
      <c r="Z656" s="64">
        <f t="shared" si="169"/>
        <v>4.6357615894039736E-2</v>
      </c>
      <c r="AA656" s="64">
        <f t="shared" si="161"/>
        <v>-1.2500000000000001E-2</v>
      </c>
      <c r="AB656" s="71">
        <v>800</v>
      </c>
      <c r="AC656" s="64">
        <f t="shared" si="170"/>
        <v>5.9602649006622516E-2</v>
      </c>
      <c r="AD656" s="64">
        <f t="shared" si="163"/>
        <v>0</v>
      </c>
      <c r="AE656" s="71">
        <f t="shared" si="166"/>
        <v>800</v>
      </c>
      <c r="AF656" s="64">
        <f t="shared" si="171"/>
        <v>5.9602649006622516E-2</v>
      </c>
      <c r="AG656" s="64">
        <f t="shared" si="164"/>
        <v>0</v>
      </c>
      <c r="AH656" s="67"/>
      <c r="AI656" s="47" t="s">
        <v>54</v>
      </c>
      <c r="AJ656" s="47">
        <v>505.9</v>
      </c>
      <c r="AK656" s="55" t="s">
        <v>55</v>
      </c>
      <c r="AL656" s="55" t="s">
        <v>55</v>
      </c>
      <c r="AM656" s="47" t="s">
        <v>2281</v>
      </c>
      <c r="AN656" s="47"/>
      <c r="AO656" s="211">
        <f t="shared" si="172"/>
        <v>-1</v>
      </c>
      <c r="AP656" s="47" t="s">
        <v>57</v>
      </c>
      <c r="AQ656" s="47" t="s">
        <v>1132</v>
      </c>
      <c r="AR656" s="47"/>
    </row>
    <row r="657" spans="1:44">
      <c r="A657" s="47" t="s">
        <v>44</v>
      </c>
      <c r="B657" s="47" t="str">
        <f t="shared" si="167"/>
        <v>August</v>
      </c>
      <c r="C657" s="59">
        <v>45525</v>
      </c>
      <c r="D657" s="47" t="s">
        <v>103</v>
      </c>
      <c r="E657" s="47" t="s">
        <v>382</v>
      </c>
      <c r="F657" s="47" t="s">
        <v>383</v>
      </c>
      <c r="G657" s="91" t="s">
        <v>2579</v>
      </c>
      <c r="H657" s="47" t="s">
        <v>2580</v>
      </c>
      <c r="I657" s="47" t="s">
        <v>50</v>
      </c>
      <c r="J657" s="47" t="s">
        <v>51</v>
      </c>
      <c r="K657" s="48">
        <v>44795</v>
      </c>
      <c r="L657" s="48">
        <v>45160</v>
      </c>
      <c r="M657" s="48">
        <v>45525</v>
      </c>
      <c r="N657" s="47" t="s">
        <v>64</v>
      </c>
      <c r="O657" s="55" t="s">
        <v>53</v>
      </c>
      <c r="P657" s="62">
        <v>15900</v>
      </c>
      <c r="Q657" s="62">
        <v>1325</v>
      </c>
      <c r="R657" s="103">
        <v>15900</v>
      </c>
      <c r="S657" s="62">
        <f t="shared" si="168"/>
        <v>1325</v>
      </c>
      <c r="T657" s="62">
        <v>15960</v>
      </c>
      <c r="U657" s="62">
        <f t="shared" si="173"/>
        <v>1330</v>
      </c>
      <c r="V657" s="69">
        <v>14520</v>
      </c>
      <c r="W657" s="71">
        <v>1390</v>
      </c>
      <c r="X657" s="71"/>
      <c r="Y657" s="71"/>
      <c r="Z657" s="64">
        <f t="shared" si="169"/>
        <v>4.5112781954887216E-2</v>
      </c>
      <c r="AA657" s="64">
        <f t="shared" si="161"/>
        <v>4.9056603773584909E-2</v>
      </c>
      <c r="AB657" s="71">
        <v>1450</v>
      </c>
      <c r="AC657" s="64">
        <f t="shared" si="170"/>
        <v>9.0225563909774431E-2</v>
      </c>
      <c r="AD657" s="64">
        <f t="shared" si="163"/>
        <v>9.4339622641509441E-2</v>
      </c>
      <c r="AE657" s="71">
        <f t="shared" si="166"/>
        <v>1450</v>
      </c>
      <c r="AF657" s="64">
        <f t="shared" si="171"/>
        <v>9.0225563909774431E-2</v>
      </c>
      <c r="AG657" s="64">
        <f t="shared" si="164"/>
        <v>9.4339622641509441E-2</v>
      </c>
      <c r="AH657" s="67"/>
      <c r="AI657" s="47" t="s">
        <v>54</v>
      </c>
      <c r="AJ657" s="47">
        <v>968.75</v>
      </c>
      <c r="AK657" s="55" t="s">
        <v>140</v>
      </c>
      <c r="AL657" s="55" t="s">
        <v>65</v>
      </c>
      <c r="AM657" s="47" t="s">
        <v>2581</v>
      </c>
      <c r="AN657" s="47">
        <v>1450</v>
      </c>
      <c r="AO657" s="211">
        <f t="shared" si="172"/>
        <v>9.0225563909774431E-2</v>
      </c>
      <c r="AP657" s="47" t="s">
        <v>57</v>
      </c>
      <c r="AQ657" s="47" t="s">
        <v>1132</v>
      </c>
      <c r="AR657" s="47"/>
    </row>
    <row r="658" spans="1:44" hidden="1">
      <c r="A658" s="47" t="s">
        <v>44</v>
      </c>
      <c r="B658" s="47" t="str">
        <f t="shared" si="167"/>
        <v>August</v>
      </c>
      <c r="C658" s="59">
        <v>45528</v>
      </c>
      <c r="D658" s="47" t="s">
        <v>103</v>
      </c>
      <c r="E658" s="47" t="s">
        <v>382</v>
      </c>
      <c r="F658" s="47" t="s">
        <v>383</v>
      </c>
      <c r="G658" s="91" t="s">
        <v>2956</v>
      </c>
      <c r="H658" s="47" t="s">
        <v>2957</v>
      </c>
      <c r="I658" s="47" t="s">
        <v>50</v>
      </c>
      <c r="J658" s="47" t="s">
        <v>51</v>
      </c>
      <c r="K658" s="48">
        <v>45162</v>
      </c>
      <c r="L658" s="48">
        <v>45163</v>
      </c>
      <c r="M658" s="48">
        <v>45528</v>
      </c>
      <c r="N658" s="47" t="s">
        <v>52</v>
      </c>
      <c r="O658" s="55" t="s">
        <v>53</v>
      </c>
      <c r="P658" s="62">
        <v>16500</v>
      </c>
      <c r="Q658" s="62">
        <v>1375</v>
      </c>
      <c r="R658" s="103">
        <v>16500</v>
      </c>
      <c r="S658" s="62">
        <f t="shared" si="168"/>
        <v>1375</v>
      </c>
      <c r="T658" s="62">
        <v>16560</v>
      </c>
      <c r="U658" s="62">
        <f t="shared" si="173"/>
        <v>1380</v>
      </c>
      <c r="V658" s="69">
        <v>15120</v>
      </c>
      <c r="W658" s="71">
        <v>1440</v>
      </c>
      <c r="X658" s="71"/>
      <c r="Y658" s="71"/>
      <c r="Z658" s="64">
        <f t="shared" si="169"/>
        <v>4.3478260869565216E-2</v>
      </c>
      <c r="AA658" s="64">
        <f t="shared" si="161"/>
        <v>4.7272727272727272E-2</v>
      </c>
      <c r="AB658" s="71">
        <v>1450</v>
      </c>
      <c r="AC658" s="64">
        <f t="shared" si="170"/>
        <v>5.0724637681159424E-2</v>
      </c>
      <c r="AD658" s="64">
        <f t="shared" si="163"/>
        <v>5.4545454545454543E-2</v>
      </c>
      <c r="AE658" s="71">
        <f t="shared" si="166"/>
        <v>1450</v>
      </c>
      <c r="AF658" s="64">
        <f t="shared" si="171"/>
        <v>5.0724637681159424E-2</v>
      </c>
      <c r="AG658" s="64">
        <f t="shared" si="164"/>
        <v>5.4545454545454543E-2</v>
      </c>
      <c r="AH658" s="67"/>
      <c r="AI658" s="47" t="s">
        <v>54</v>
      </c>
      <c r="AJ658" s="47">
        <v>1001.04</v>
      </c>
      <c r="AK658" s="55" t="s">
        <v>140</v>
      </c>
      <c r="AL658" s="55" t="s">
        <v>55</v>
      </c>
      <c r="AM658" s="47" t="s">
        <v>2958</v>
      </c>
      <c r="AN658" s="47"/>
      <c r="AO658" s="211">
        <f t="shared" si="172"/>
        <v>-1</v>
      </c>
      <c r="AP658" s="47" t="s">
        <v>57</v>
      </c>
      <c r="AQ658" s="47" t="s">
        <v>1132</v>
      </c>
      <c r="AR658" s="47"/>
    </row>
    <row r="659" spans="1:44">
      <c r="A659" s="47" t="s">
        <v>44</v>
      </c>
      <c r="B659" s="47" t="str">
        <f t="shared" si="167"/>
        <v>August</v>
      </c>
      <c r="C659" s="59">
        <v>45529</v>
      </c>
      <c r="D659" s="47" t="s">
        <v>103</v>
      </c>
      <c r="E659" s="47" t="s">
        <v>382</v>
      </c>
      <c r="F659" s="47" t="s">
        <v>383</v>
      </c>
      <c r="G659" s="91" t="s">
        <v>3118</v>
      </c>
      <c r="H659" s="47" t="s">
        <v>3119</v>
      </c>
      <c r="I659" s="47" t="s">
        <v>50</v>
      </c>
      <c r="J659" s="47" t="s">
        <v>51</v>
      </c>
      <c r="K659" s="48">
        <v>44434</v>
      </c>
      <c r="L659" s="48">
        <v>45164</v>
      </c>
      <c r="M659" s="48">
        <v>45529</v>
      </c>
      <c r="N659" s="47" t="s">
        <v>64</v>
      </c>
      <c r="O659" s="55" t="s">
        <v>53</v>
      </c>
      <c r="P659" s="62">
        <v>11400</v>
      </c>
      <c r="Q659" s="62">
        <v>950</v>
      </c>
      <c r="R659" s="103">
        <v>11400</v>
      </c>
      <c r="S659" s="62">
        <f t="shared" si="168"/>
        <v>950</v>
      </c>
      <c r="T659" s="62">
        <v>11280</v>
      </c>
      <c r="U659" s="62">
        <f t="shared" si="173"/>
        <v>940</v>
      </c>
      <c r="V659" s="69">
        <v>10200</v>
      </c>
      <c r="W659" s="71">
        <v>980</v>
      </c>
      <c r="X659" s="71"/>
      <c r="Y659" s="71"/>
      <c r="Z659" s="64">
        <f t="shared" si="169"/>
        <v>4.2553191489361701E-2</v>
      </c>
      <c r="AA659" s="64">
        <f t="shared" si="161"/>
        <v>3.1578947368421054E-2</v>
      </c>
      <c r="AB659" s="71">
        <v>1015</v>
      </c>
      <c r="AC659" s="64">
        <f t="shared" si="170"/>
        <v>7.9787234042553196E-2</v>
      </c>
      <c r="AD659" s="64">
        <f t="shared" si="163"/>
        <v>6.8421052631578952E-2</v>
      </c>
      <c r="AE659" s="71">
        <f t="shared" si="166"/>
        <v>1015</v>
      </c>
      <c r="AF659" s="64">
        <f t="shared" si="171"/>
        <v>7.9787234042553196E-2</v>
      </c>
      <c r="AG659" s="64">
        <f t="shared" si="164"/>
        <v>6.8421052631578952E-2</v>
      </c>
      <c r="AH659" s="67"/>
      <c r="AI659" s="47" t="s">
        <v>54</v>
      </c>
      <c r="AJ659" s="47">
        <v>640.45000000000005</v>
      </c>
      <c r="AK659" s="55" t="s">
        <v>65</v>
      </c>
      <c r="AL659" s="55" t="s">
        <v>55</v>
      </c>
      <c r="AM659" s="47" t="s">
        <v>3120</v>
      </c>
      <c r="AN659" s="47">
        <v>1015</v>
      </c>
      <c r="AO659" s="211">
        <f t="shared" si="172"/>
        <v>7.9787234042553196E-2</v>
      </c>
      <c r="AP659" s="47" t="s">
        <v>57</v>
      </c>
      <c r="AQ659" s="47" t="s">
        <v>116</v>
      </c>
      <c r="AR659" s="47"/>
    </row>
    <row r="660" spans="1:44" hidden="1">
      <c r="A660" s="47" t="s">
        <v>44</v>
      </c>
      <c r="B660" s="47" t="str">
        <f t="shared" si="167"/>
        <v>August</v>
      </c>
      <c r="C660" s="59">
        <v>45533</v>
      </c>
      <c r="D660" s="47" t="s">
        <v>103</v>
      </c>
      <c r="E660" s="47" t="s">
        <v>382</v>
      </c>
      <c r="F660" s="47" t="s">
        <v>383</v>
      </c>
      <c r="G660" s="91" t="s">
        <v>3464</v>
      </c>
      <c r="H660" s="47" t="s">
        <v>3465</v>
      </c>
      <c r="I660" s="47" t="s">
        <v>50</v>
      </c>
      <c r="J660" s="47" t="s">
        <v>51</v>
      </c>
      <c r="K660" s="48">
        <v>45168</v>
      </c>
      <c r="L660" s="48">
        <v>45168</v>
      </c>
      <c r="M660" s="48">
        <v>45533</v>
      </c>
      <c r="N660" s="47" t="s">
        <v>52</v>
      </c>
      <c r="O660" s="55" t="s">
        <v>53</v>
      </c>
      <c r="P660" s="62">
        <v>9600</v>
      </c>
      <c r="Q660" s="62">
        <v>800</v>
      </c>
      <c r="R660" s="103">
        <v>9600</v>
      </c>
      <c r="S660" s="62">
        <f t="shared" si="168"/>
        <v>800</v>
      </c>
      <c r="T660" s="62">
        <v>9180</v>
      </c>
      <c r="U660" s="62">
        <f t="shared" si="173"/>
        <v>765</v>
      </c>
      <c r="V660" s="69">
        <v>8400</v>
      </c>
      <c r="W660" s="71">
        <v>800</v>
      </c>
      <c r="X660" s="71"/>
      <c r="Y660" s="71"/>
      <c r="Z660" s="64">
        <f t="shared" si="169"/>
        <v>4.5751633986928102E-2</v>
      </c>
      <c r="AA660" s="64">
        <f t="shared" si="161"/>
        <v>0</v>
      </c>
      <c r="AB660" s="71">
        <f>W660</f>
        <v>800</v>
      </c>
      <c r="AC660" s="64">
        <f t="shared" si="170"/>
        <v>4.5751633986928102E-2</v>
      </c>
      <c r="AD660" s="64">
        <f t="shared" si="163"/>
        <v>0</v>
      </c>
      <c r="AE660" s="71">
        <f t="shared" si="166"/>
        <v>800</v>
      </c>
      <c r="AF660" s="64">
        <f t="shared" si="171"/>
        <v>4.5751633986928102E-2</v>
      </c>
      <c r="AG660" s="64">
        <f t="shared" si="164"/>
        <v>0</v>
      </c>
      <c r="AH660" s="67"/>
      <c r="AI660" s="47" t="s">
        <v>54</v>
      </c>
      <c r="AJ660" s="47">
        <v>484.38</v>
      </c>
      <c r="AK660" s="55" t="s">
        <v>55</v>
      </c>
      <c r="AL660" s="55" t="s">
        <v>55</v>
      </c>
      <c r="AM660" s="47" t="s">
        <v>3466</v>
      </c>
      <c r="AN660" s="47">
        <v>800</v>
      </c>
      <c r="AO660" s="211">
        <f t="shared" si="172"/>
        <v>4.5751633986928102E-2</v>
      </c>
      <c r="AP660" s="47" t="s">
        <v>57</v>
      </c>
      <c r="AQ660" s="47" t="s">
        <v>131</v>
      </c>
      <c r="AR660" s="47"/>
    </row>
    <row r="661" spans="1:44" hidden="1">
      <c r="A661" s="47" t="s">
        <v>44</v>
      </c>
      <c r="B661" s="47" t="str">
        <f t="shared" si="167"/>
        <v>August</v>
      </c>
      <c r="C661" s="59">
        <v>45533</v>
      </c>
      <c r="D661" s="47" t="s">
        <v>103</v>
      </c>
      <c r="E661" s="47" t="s">
        <v>382</v>
      </c>
      <c r="F661" s="47" t="s">
        <v>383</v>
      </c>
      <c r="G661" s="91" t="s">
        <v>3467</v>
      </c>
      <c r="H661" s="47" t="s">
        <v>3468</v>
      </c>
      <c r="I661" s="47" t="s">
        <v>50</v>
      </c>
      <c r="J661" s="47" t="s">
        <v>51</v>
      </c>
      <c r="K661" s="48">
        <v>45168</v>
      </c>
      <c r="L661" s="48">
        <v>45168</v>
      </c>
      <c r="M661" s="48">
        <v>45533</v>
      </c>
      <c r="N661" s="47" t="s">
        <v>52</v>
      </c>
      <c r="O661" s="55" t="s">
        <v>53</v>
      </c>
      <c r="P661" s="62">
        <v>11400</v>
      </c>
      <c r="Q661" s="62">
        <v>950</v>
      </c>
      <c r="R661" s="103">
        <v>11400</v>
      </c>
      <c r="S661" s="62">
        <f t="shared" si="168"/>
        <v>950</v>
      </c>
      <c r="T661" s="62">
        <v>11280</v>
      </c>
      <c r="U661" s="62">
        <f t="shared" si="173"/>
        <v>940</v>
      </c>
      <c r="V661" s="69">
        <v>10680</v>
      </c>
      <c r="W661" s="71">
        <v>980</v>
      </c>
      <c r="X661" s="71"/>
      <c r="Y661" s="71"/>
      <c r="Z661" s="64">
        <f t="shared" si="169"/>
        <v>4.2553191489361701E-2</v>
      </c>
      <c r="AA661" s="64">
        <f t="shared" si="161"/>
        <v>3.1578947368421054E-2</v>
      </c>
      <c r="AB661" s="71">
        <v>1015</v>
      </c>
      <c r="AC661" s="64">
        <f t="shared" si="170"/>
        <v>7.9787234042553196E-2</v>
      </c>
      <c r="AD661" s="64">
        <f t="shared" si="163"/>
        <v>6.8421052631578952E-2</v>
      </c>
      <c r="AE661" s="71">
        <f t="shared" si="166"/>
        <v>1015</v>
      </c>
      <c r="AF661" s="64">
        <f t="shared" si="171"/>
        <v>7.9787234042553196E-2</v>
      </c>
      <c r="AG661" s="64">
        <f t="shared" si="164"/>
        <v>6.8421052631578952E-2</v>
      </c>
      <c r="AH661" s="67"/>
      <c r="AI661" s="47" t="s">
        <v>54</v>
      </c>
      <c r="AJ661" s="47">
        <v>645.83000000000004</v>
      </c>
      <c r="AK661" s="55" t="s">
        <v>65</v>
      </c>
      <c r="AL661" s="55" t="s">
        <v>55</v>
      </c>
      <c r="AM661" s="47" t="s">
        <v>3469</v>
      </c>
      <c r="AN661" s="47"/>
      <c r="AO661" s="211">
        <f t="shared" si="172"/>
        <v>-1</v>
      </c>
      <c r="AP661" s="47" t="s">
        <v>57</v>
      </c>
      <c r="AQ661" s="47" t="s">
        <v>131</v>
      </c>
      <c r="AR661" s="47"/>
    </row>
    <row r="662" spans="1:44" hidden="1">
      <c r="A662" s="47" t="s">
        <v>44</v>
      </c>
      <c r="B662" s="47" t="str">
        <f t="shared" si="167"/>
        <v>August</v>
      </c>
      <c r="C662" s="59">
        <v>45521</v>
      </c>
      <c r="D662" s="47" t="s">
        <v>83</v>
      </c>
      <c r="E662" s="47" t="s">
        <v>2154</v>
      </c>
      <c r="F662" s="47" t="s">
        <v>929</v>
      </c>
      <c r="G662" s="47" t="s">
        <v>2155</v>
      </c>
      <c r="H662" s="47" t="s">
        <v>2156</v>
      </c>
      <c r="I662" s="47" t="s">
        <v>2157</v>
      </c>
      <c r="J662" s="47" t="s">
        <v>51</v>
      </c>
      <c r="K662" s="48">
        <v>45156</v>
      </c>
      <c r="L662" s="48">
        <v>45156</v>
      </c>
      <c r="M662" s="48">
        <v>45521</v>
      </c>
      <c r="N662" s="47" t="s">
        <v>52</v>
      </c>
      <c r="O662" s="55" t="s">
        <v>53</v>
      </c>
      <c r="P662" s="62">
        <v>21480</v>
      </c>
      <c r="Q662" s="62">
        <v>1790</v>
      </c>
      <c r="R662" s="103">
        <v>22200</v>
      </c>
      <c r="S662" s="62">
        <f t="shared" si="168"/>
        <v>1850</v>
      </c>
      <c r="T662" s="62">
        <v>21900</v>
      </c>
      <c r="U662" s="62">
        <f t="shared" si="173"/>
        <v>1825</v>
      </c>
      <c r="V662" s="69">
        <v>20100</v>
      </c>
      <c r="W662" s="71" t="s">
        <v>123</v>
      </c>
      <c r="X662" s="71"/>
      <c r="Y662" s="71"/>
      <c r="Z662" s="64" t="e">
        <f t="shared" si="169"/>
        <v>#VALUE!</v>
      </c>
      <c r="AA662" s="64" t="e">
        <f t="shared" si="161"/>
        <v>#VALUE!</v>
      </c>
      <c r="AB662" s="71">
        <v>1925</v>
      </c>
      <c r="AC662" s="64">
        <f t="shared" si="170"/>
        <v>5.4794520547945202E-2</v>
      </c>
      <c r="AD662" s="64">
        <f t="shared" si="163"/>
        <v>4.0540540540540543E-2</v>
      </c>
      <c r="AE662" s="71">
        <v>1915</v>
      </c>
      <c r="AF662" s="64">
        <f t="shared" si="171"/>
        <v>4.9315068493150684E-2</v>
      </c>
      <c r="AG662" s="64">
        <f t="shared" si="164"/>
        <v>3.5135135135135137E-2</v>
      </c>
      <c r="AH662" s="67"/>
      <c r="AI662" s="47" t="s">
        <v>54</v>
      </c>
      <c r="AJ662" s="47">
        <v>468.65</v>
      </c>
      <c r="AK662" s="47" t="s">
        <v>55</v>
      </c>
      <c r="AL662" s="47" t="s">
        <v>55</v>
      </c>
      <c r="AM662" s="47" t="s">
        <v>2158</v>
      </c>
      <c r="AN662" s="47">
        <v>1900</v>
      </c>
      <c r="AO662" s="211">
        <f t="shared" si="172"/>
        <v>4.1095890410958902E-2</v>
      </c>
      <c r="AP662" s="47" t="s">
        <v>90</v>
      </c>
      <c r="AQ662" s="91" t="s">
        <v>116</v>
      </c>
      <c r="AR662" s="47"/>
    </row>
    <row r="663" spans="1:44" hidden="1">
      <c r="A663" s="47" t="s">
        <v>44</v>
      </c>
      <c r="B663" s="47" t="str">
        <f t="shared" si="167"/>
        <v>July</v>
      </c>
      <c r="C663" s="59">
        <v>45479</v>
      </c>
      <c r="D663" s="47" t="s">
        <v>83</v>
      </c>
      <c r="E663" s="47" t="s">
        <v>2154</v>
      </c>
      <c r="F663" s="47" t="s">
        <v>929</v>
      </c>
      <c r="G663" s="47" t="s">
        <v>2562</v>
      </c>
      <c r="H663" s="47" t="s">
        <v>2563</v>
      </c>
      <c r="I663" s="47" t="s">
        <v>2564</v>
      </c>
      <c r="J663" s="47" t="s">
        <v>51</v>
      </c>
      <c r="K663" s="48">
        <v>45114</v>
      </c>
      <c r="L663" s="48">
        <v>45114</v>
      </c>
      <c r="M663" s="48">
        <v>45479</v>
      </c>
      <c r="N663" s="47" t="s">
        <v>52</v>
      </c>
      <c r="O663" s="55" t="s">
        <v>53</v>
      </c>
      <c r="P663" s="62">
        <v>11700</v>
      </c>
      <c r="Q663" s="62">
        <v>975</v>
      </c>
      <c r="R663" s="103">
        <v>11880</v>
      </c>
      <c r="S663" s="62">
        <f t="shared" si="168"/>
        <v>990</v>
      </c>
      <c r="T663" s="62">
        <v>11700</v>
      </c>
      <c r="U663" s="62">
        <f t="shared" si="173"/>
        <v>975</v>
      </c>
      <c r="V663" s="69">
        <v>10920</v>
      </c>
      <c r="W663" s="71" t="s">
        <v>123</v>
      </c>
      <c r="X663" s="71"/>
      <c r="Y663" s="71"/>
      <c r="Z663" s="64" t="e">
        <f t="shared" si="169"/>
        <v>#VALUE!</v>
      </c>
      <c r="AA663" s="64" t="e">
        <f t="shared" si="161"/>
        <v>#VALUE!</v>
      </c>
      <c r="AB663" s="71">
        <v>1050</v>
      </c>
      <c r="AC663" s="64">
        <f t="shared" si="170"/>
        <v>7.6923076923076927E-2</v>
      </c>
      <c r="AD663" s="64">
        <f t="shared" si="163"/>
        <v>6.0606060606060608E-2</v>
      </c>
      <c r="AE663" s="71">
        <v>1035</v>
      </c>
      <c r="AF663" s="64">
        <f t="shared" si="171"/>
        <v>6.1538461538461542E-2</v>
      </c>
      <c r="AG663" s="64">
        <f t="shared" si="164"/>
        <v>4.5454545454545456E-2</v>
      </c>
      <c r="AH663" s="67"/>
      <c r="AI663" s="47" t="s">
        <v>54</v>
      </c>
      <c r="AJ663" s="47">
        <v>158.22</v>
      </c>
      <c r="AK663" s="101" t="s">
        <v>55</v>
      </c>
      <c r="AL663" s="101" t="s">
        <v>55</v>
      </c>
      <c r="AM663" s="47" t="s">
        <v>2565</v>
      </c>
      <c r="AN663" s="47">
        <v>1030</v>
      </c>
      <c r="AO663" s="211">
        <f t="shared" si="172"/>
        <v>5.6410256410256411E-2</v>
      </c>
      <c r="AP663" s="47" t="s">
        <v>90</v>
      </c>
      <c r="AQ663" s="91" t="s">
        <v>116</v>
      </c>
      <c r="AR663" s="47"/>
    </row>
    <row r="664" spans="1:44">
      <c r="A664" s="47" t="s">
        <v>44</v>
      </c>
      <c r="B664" s="47" t="str">
        <f t="shared" si="167"/>
        <v>July</v>
      </c>
      <c r="C664" s="59">
        <v>45491</v>
      </c>
      <c r="D664" s="47" t="s">
        <v>83</v>
      </c>
      <c r="E664" s="47" t="s">
        <v>2154</v>
      </c>
      <c r="F664" s="47" t="s">
        <v>929</v>
      </c>
      <c r="G664" s="47" t="s">
        <v>2566</v>
      </c>
      <c r="H664" s="47" t="s">
        <v>2567</v>
      </c>
      <c r="I664" s="47" t="s">
        <v>50</v>
      </c>
      <c r="J664" s="47" t="s">
        <v>51</v>
      </c>
      <c r="K664" s="48">
        <v>44396</v>
      </c>
      <c r="L664" s="48">
        <v>45126</v>
      </c>
      <c r="M664" s="48">
        <v>45491</v>
      </c>
      <c r="N664" s="47" t="s">
        <v>64</v>
      </c>
      <c r="O664" s="55" t="s">
        <v>53</v>
      </c>
      <c r="P664" s="62">
        <v>24048</v>
      </c>
      <c r="Q664" s="62">
        <v>2004</v>
      </c>
      <c r="R664" s="103">
        <v>26400</v>
      </c>
      <c r="S664" s="62">
        <f t="shared" si="168"/>
        <v>2200</v>
      </c>
      <c r="T664" s="62">
        <v>25620</v>
      </c>
      <c r="U664" s="62">
        <f t="shared" si="173"/>
        <v>2135</v>
      </c>
      <c r="V664" s="69">
        <v>23568</v>
      </c>
      <c r="W664" s="71" t="s">
        <v>123</v>
      </c>
      <c r="X664" s="71"/>
      <c r="Y664" s="71"/>
      <c r="Z664" s="64" t="e">
        <f t="shared" si="169"/>
        <v>#VALUE!</v>
      </c>
      <c r="AA664" s="64" t="e">
        <f t="shared" si="161"/>
        <v>#VALUE!</v>
      </c>
      <c r="AB664" s="71">
        <v>2300</v>
      </c>
      <c r="AC664" s="64">
        <f t="shared" si="170"/>
        <v>7.7283372365339581E-2</v>
      </c>
      <c r="AD664" s="64">
        <f t="shared" si="163"/>
        <v>4.5454545454545456E-2</v>
      </c>
      <c r="AE664" s="71">
        <v>2275</v>
      </c>
      <c r="AF664" s="64">
        <f t="shared" si="171"/>
        <v>6.5573770491803282E-2</v>
      </c>
      <c r="AG664" s="64">
        <f t="shared" si="164"/>
        <v>3.4090909090909088E-2</v>
      </c>
      <c r="AH664" s="67"/>
      <c r="AI664" s="47" t="s">
        <v>54</v>
      </c>
      <c r="AJ664" s="47">
        <v>954.43</v>
      </c>
      <c r="AK664" s="101" t="s">
        <v>65</v>
      </c>
      <c r="AL664" s="101" t="s">
        <v>55</v>
      </c>
      <c r="AM664" s="47" t="s">
        <v>2568</v>
      </c>
      <c r="AN664" s="47">
        <v>2300</v>
      </c>
      <c r="AO664" s="211">
        <f t="shared" si="172"/>
        <v>7.7283372365339581E-2</v>
      </c>
      <c r="AP664" s="47" t="s">
        <v>90</v>
      </c>
      <c r="AQ664" s="91" t="s">
        <v>116</v>
      </c>
      <c r="AR664" s="47"/>
    </row>
    <row r="665" spans="1:44" hidden="1">
      <c r="A665" s="47" t="s">
        <v>44</v>
      </c>
      <c r="B665" s="47" t="str">
        <f t="shared" si="167"/>
        <v>August</v>
      </c>
      <c r="C665" s="59">
        <v>45531</v>
      </c>
      <c r="D665" s="47" t="s">
        <v>83</v>
      </c>
      <c r="E665" s="47" t="s">
        <v>2154</v>
      </c>
      <c r="F665" s="47" t="s">
        <v>929</v>
      </c>
      <c r="G665" s="47" t="s">
        <v>3217</v>
      </c>
      <c r="H665" s="47" t="s">
        <v>3218</v>
      </c>
      <c r="I665" s="47" t="s">
        <v>50</v>
      </c>
      <c r="J665" s="47" t="s">
        <v>51</v>
      </c>
      <c r="K665" s="48">
        <v>45166</v>
      </c>
      <c r="L665" s="48">
        <v>45166</v>
      </c>
      <c r="M665" s="48">
        <v>45531</v>
      </c>
      <c r="N665" s="47" t="s">
        <v>52</v>
      </c>
      <c r="O665" s="55" t="s">
        <v>53</v>
      </c>
      <c r="P665" s="62">
        <v>20640</v>
      </c>
      <c r="Q665" s="62">
        <v>1720</v>
      </c>
      <c r="R665" s="103">
        <v>14400</v>
      </c>
      <c r="S665" s="62">
        <f t="shared" si="168"/>
        <v>1200</v>
      </c>
      <c r="T665" s="62">
        <v>13440</v>
      </c>
      <c r="U665" s="62">
        <f t="shared" si="173"/>
        <v>1120</v>
      </c>
      <c r="V665" s="69">
        <v>12420</v>
      </c>
      <c r="W665" s="71" t="s">
        <v>123</v>
      </c>
      <c r="X665" s="71"/>
      <c r="Y665" s="71"/>
      <c r="Z665" s="64" t="e">
        <f t="shared" si="169"/>
        <v>#VALUE!</v>
      </c>
      <c r="AA665" s="64" t="e">
        <f t="shared" si="161"/>
        <v>#VALUE!</v>
      </c>
      <c r="AB665" s="71">
        <v>1225</v>
      </c>
      <c r="AC665" s="64">
        <f t="shared" si="170"/>
        <v>9.375E-2</v>
      </c>
      <c r="AD665" s="64">
        <f t="shared" si="163"/>
        <v>2.0833333333333332E-2</v>
      </c>
      <c r="AE665" s="71">
        <v>1200</v>
      </c>
      <c r="AF665" s="64">
        <f t="shared" si="171"/>
        <v>7.1428571428571425E-2</v>
      </c>
      <c r="AG665" s="64">
        <f t="shared" si="164"/>
        <v>0</v>
      </c>
      <c r="AH665" s="67"/>
      <c r="AI665" s="47" t="s">
        <v>54</v>
      </c>
      <c r="AJ665" s="47">
        <v>148.99</v>
      </c>
      <c r="AK665" s="47" t="s">
        <v>55</v>
      </c>
      <c r="AL665" s="47" t="s">
        <v>55</v>
      </c>
      <c r="AM665" s="47" t="s">
        <v>3219</v>
      </c>
      <c r="AN665" s="47">
        <v>1200</v>
      </c>
      <c r="AO665" s="211">
        <f t="shared" si="172"/>
        <v>7.1428571428571425E-2</v>
      </c>
      <c r="AP665" s="47" t="s">
        <v>90</v>
      </c>
      <c r="AQ665" s="91" t="s">
        <v>116</v>
      </c>
      <c r="AR665" s="47" t="s">
        <v>1766</v>
      </c>
    </row>
    <row r="666" spans="1:44" hidden="1">
      <c r="A666" s="47" t="s">
        <v>44</v>
      </c>
      <c r="B666" s="47" t="str">
        <f t="shared" si="167"/>
        <v>July</v>
      </c>
      <c r="C666" s="59">
        <v>45475</v>
      </c>
      <c r="D666" s="47" t="s">
        <v>45</v>
      </c>
      <c r="E666" s="47" t="s">
        <v>900</v>
      </c>
      <c r="F666" s="47" t="s">
        <v>848</v>
      </c>
      <c r="G666" s="47" t="s">
        <v>901</v>
      </c>
      <c r="H666" s="47" t="s">
        <v>902</v>
      </c>
      <c r="I666" s="47" t="s">
        <v>50</v>
      </c>
      <c r="J666" s="47" t="s">
        <v>51</v>
      </c>
      <c r="K666" s="48">
        <v>45110</v>
      </c>
      <c r="L666" s="48">
        <v>45110</v>
      </c>
      <c r="M666" s="48">
        <v>45475</v>
      </c>
      <c r="N666" s="47" t="s">
        <v>52</v>
      </c>
      <c r="O666" s="55" t="s">
        <v>53</v>
      </c>
      <c r="P666" s="62">
        <v>18928</v>
      </c>
      <c r="Q666" s="62">
        <v>1577.3333333333333</v>
      </c>
      <c r="R666" s="96">
        <v>19500</v>
      </c>
      <c r="S666" s="62">
        <f t="shared" si="168"/>
        <v>1625</v>
      </c>
      <c r="T666" s="62">
        <v>19320</v>
      </c>
      <c r="U666" s="62">
        <f t="shared" si="173"/>
        <v>1610</v>
      </c>
      <c r="V666" s="69">
        <v>17940</v>
      </c>
      <c r="W666" s="71">
        <v>1735</v>
      </c>
      <c r="X666" s="71"/>
      <c r="Y666" s="71"/>
      <c r="Z666" s="64">
        <f t="shared" si="169"/>
        <v>7.7639751552795025E-2</v>
      </c>
      <c r="AA666" s="64">
        <f t="shared" ref="AA666:AA729" si="174">(W666-S666)/S666</f>
        <v>6.7692307692307691E-2</v>
      </c>
      <c r="AB666" s="71">
        <f t="shared" ref="AB666:AB695" si="175">W666</f>
        <v>1735</v>
      </c>
      <c r="AC666" s="64">
        <f t="shared" si="170"/>
        <v>7.7639751552795025E-2</v>
      </c>
      <c r="AD666" s="64">
        <f t="shared" si="163"/>
        <v>6.7692307692307691E-2</v>
      </c>
      <c r="AE666" s="71">
        <v>1700</v>
      </c>
      <c r="AF666" s="64">
        <f t="shared" si="171"/>
        <v>5.5900621118012424E-2</v>
      </c>
      <c r="AG666" s="64">
        <f t="shared" si="164"/>
        <v>4.6153846153846156E-2</v>
      </c>
      <c r="AH666" s="67"/>
      <c r="AI666" s="47" t="s">
        <v>54</v>
      </c>
      <c r="AJ666" s="47">
        <v>690</v>
      </c>
      <c r="AK666" s="47" t="s">
        <v>65</v>
      </c>
      <c r="AL666" s="47" t="s">
        <v>65</v>
      </c>
      <c r="AM666" s="47" t="s">
        <v>903</v>
      </c>
      <c r="AN666" s="50">
        <v>1700</v>
      </c>
      <c r="AO666" s="211">
        <f t="shared" si="172"/>
        <v>5.5900621118012424E-2</v>
      </c>
      <c r="AP666" s="47" t="s">
        <v>852</v>
      </c>
      <c r="AQ666" s="285" t="s">
        <v>125</v>
      </c>
      <c r="AR666" s="47" t="s">
        <v>904</v>
      </c>
    </row>
    <row r="667" spans="1:44" hidden="1">
      <c r="A667" s="47" t="s">
        <v>44</v>
      </c>
      <c r="B667" s="47" t="str">
        <f t="shared" si="167"/>
        <v>July</v>
      </c>
      <c r="C667" s="59">
        <v>45482</v>
      </c>
      <c r="D667" s="47" t="s">
        <v>45</v>
      </c>
      <c r="E667" s="47" t="s">
        <v>900</v>
      </c>
      <c r="F667" s="47" t="s">
        <v>848</v>
      </c>
      <c r="G667" s="47" t="s">
        <v>992</v>
      </c>
      <c r="H667" s="47" t="s">
        <v>993</v>
      </c>
      <c r="I667" s="47" t="s">
        <v>50</v>
      </c>
      <c r="J667" s="47" t="s">
        <v>51</v>
      </c>
      <c r="K667" s="48">
        <v>45300</v>
      </c>
      <c r="L667" s="48">
        <v>45300</v>
      </c>
      <c r="M667" s="48">
        <v>45481</v>
      </c>
      <c r="N667" s="47" t="s">
        <v>52</v>
      </c>
      <c r="O667" s="55" t="s">
        <v>53</v>
      </c>
      <c r="P667" s="62">
        <v>15600</v>
      </c>
      <c r="Q667" s="62">
        <v>1300</v>
      </c>
      <c r="R667" s="96">
        <v>16328</v>
      </c>
      <c r="S667" s="62">
        <f t="shared" si="168"/>
        <v>1360.6666666666667</v>
      </c>
      <c r="T667" s="62">
        <v>16200</v>
      </c>
      <c r="U667" s="62">
        <f t="shared" si="173"/>
        <v>1350</v>
      </c>
      <c r="V667" s="69">
        <v>14640</v>
      </c>
      <c r="W667" s="71">
        <v>1400</v>
      </c>
      <c r="X667" s="172">
        <f>W667-50</f>
        <v>1350</v>
      </c>
      <c r="Y667" s="176">
        <f>(X667-U667)/U667</f>
        <v>0</v>
      </c>
      <c r="Z667" s="64">
        <f t="shared" si="169"/>
        <v>3.7037037037037035E-2</v>
      </c>
      <c r="AA667" s="64">
        <f t="shared" si="174"/>
        <v>2.8907398334149868E-2</v>
      </c>
      <c r="AB667" s="71">
        <f t="shared" si="175"/>
        <v>1400</v>
      </c>
      <c r="AC667" s="64">
        <f t="shared" si="170"/>
        <v>3.7037037037037035E-2</v>
      </c>
      <c r="AD667" s="64">
        <f t="shared" si="163"/>
        <v>2.8907398334149868E-2</v>
      </c>
      <c r="AE667" s="71">
        <f>AB667</f>
        <v>1400</v>
      </c>
      <c r="AF667" s="64">
        <f t="shared" si="171"/>
        <v>3.7037037037037035E-2</v>
      </c>
      <c r="AG667" s="64">
        <f t="shared" si="164"/>
        <v>2.8907398334149868E-2</v>
      </c>
      <c r="AH667" s="67"/>
      <c r="AI667" s="47" t="s">
        <v>54</v>
      </c>
      <c r="AJ667" s="47">
        <v>468</v>
      </c>
      <c r="AK667" s="101" t="s">
        <v>55</v>
      </c>
      <c r="AL667" s="101" t="s">
        <v>55</v>
      </c>
      <c r="AM667" s="47" t="s">
        <v>994</v>
      </c>
      <c r="AN667" s="50"/>
      <c r="AO667" s="211">
        <f t="shared" si="172"/>
        <v>-1</v>
      </c>
      <c r="AP667" s="47" t="s">
        <v>852</v>
      </c>
      <c r="AQ667" s="94" t="s">
        <v>898</v>
      </c>
      <c r="AR667" s="47" t="s">
        <v>995</v>
      </c>
    </row>
    <row r="668" spans="1:44">
      <c r="A668" s="47" t="s">
        <v>44</v>
      </c>
      <c r="B668" s="47" t="str">
        <f t="shared" si="167"/>
        <v>July</v>
      </c>
      <c r="C668" s="59">
        <v>45483</v>
      </c>
      <c r="D668" s="47" t="s">
        <v>45</v>
      </c>
      <c r="E668" s="47" t="s">
        <v>900</v>
      </c>
      <c r="F668" s="47" t="s">
        <v>848</v>
      </c>
      <c r="G668" s="47" t="s">
        <v>1023</v>
      </c>
      <c r="H668" s="47" t="s">
        <v>1024</v>
      </c>
      <c r="I668" s="47" t="s">
        <v>50</v>
      </c>
      <c r="J668" s="47" t="s">
        <v>51</v>
      </c>
      <c r="K668" s="48">
        <v>44692</v>
      </c>
      <c r="L668" s="48">
        <v>45118</v>
      </c>
      <c r="M668" s="48">
        <v>45483</v>
      </c>
      <c r="N668" s="47" t="s">
        <v>64</v>
      </c>
      <c r="O668" s="55" t="s">
        <v>53</v>
      </c>
      <c r="P668" s="62">
        <v>19136</v>
      </c>
      <c r="Q668" s="62">
        <v>1594.6666666666667</v>
      </c>
      <c r="R668" s="96">
        <v>19656</v>
      </c>
      <c r="S668" s="62">
        <f t="shared" si="168"/>
        <v>1638</v>
      </c>
      <c r="T668" s="62">
        <v>18600</v>
      </c>
      <c r="U668" s="62">
        <f t="shared" si="173"/>
        <v>1550</v>
      </c>
      <c r="V668" s="69">
        <v>18480</v>
      </c>
      <c r="W668" s="71">
        <v>1720</v>
      </c>
      <c r="X668" s="71"/>
      <c r="Y668" s="71"/>
      <c r="Z668" s="64">
        <f t="shared" si="169"/>
        <v>0.10967741935483871</v>
      </c>
      <c r="AA668" s="64">
        <f t="shared" si="174"/>
        <v>5.0061050061050064E-2</v>
      </c>
      <c r="AB668" s="71">
        <f t="shared" si="175"/>
        <v>1720</v>
      </c>
      <c r="AC668" s="64">
        <f t="shared" si="170"/>
        <v>0.10967741935483871</v>
      </c>
      <c r="AD668" s="64">
        <f t="shared" si="163"/>
        <v>5.0061050061050064E-2</v>
      </c>
      <c r="AE668" s="71">
        <v>1700</v>
      </c>
      <c r="AF668" s="64">
        <f t="shared" si="171"/>
        <v>9.6774193548387094E-2</v>
      </c>
      <c r="AG668" s="64">
        <f t="shared" si="164"/>
        <v>3.7851037851037848E-2</v>
      </c>
      <c r="AH668" s="67"/>
      <c r="AI668" s="47" t="s">
        <v>54</v>
      </c>
      <c r="AJ668" s="47">
        <v>700</v>
      </c>
      <c r="AK668" s="101" t="s">
        <v>65</v>
      </c>
      <c r="AL668" s="101" t="s">
        <v>65</v>
      </c>
      <c r="AM668" s="47" t="s">
        <v>1025</v>
      </c>
      <c r="AN668" s="50"/>
      <c r="AO668" s="211">
        <f t="shared" si="172"/>
        <v>-1</v>
      </c>
      <c r="AP668" s="47" t="s">
        <v>852</v>
      </c>
      <c r="AQ668" s="94" t="s">
        <v>891</v>
      </c>
      <c r="AR668" s="47" t="s">
        <v>1026</v>
      </c>
    </row>
    <row r="669" spans="1:44">
      <c r="A669" s="47" t="s">
        <v>44</v>
      </c>
      <c r="B669" s="47" t="str">
        <f t="shared" si="167"/>
        <v>July</v>
      </c>
      <c r="C669" s="59">
        <v>45491</v>
      </c>
      <c r="D669" s="47" t="s">
        <v>45</v>
      </c>
      <c r="E669" s="47" t="s">
        <v>900</v>
      </c>
      <c r="F669" s="47" t="s">
        <v>848</v>
      </c>
      <c r="G669" s="47" t="s">
        <v>1176</v>
      </c>
      <c r="H669" s="47" t="s">
        <v>1177</v>
      </c>
      <c r="I669" s="47" t="s">
        <v>50</v>
      </c>
      <c r="J669" s="47" t="s">
        <v>51</v>
      </c>
      <c r="K669" s="48">
        <v>44761</v>
      </c>
      <c r="L669" s="48">
        <v>45126</v>
      </c>
      <c r="M669" s="48">
        <v>45491</v>
      </c>
      <c r="N669" s="47" t="s">
        <v>64</v>
      </c>
      <c r="O669" s="55" t="s">
        <v>53</v>
      </c>
      <c r="P669" s="62">
        <v>15600</v>
      </c>
      <c r="Q669" s="62">
        <v>1300</v>
      </c>
      <c r="R669" s="96">
        <v>16328</v>
      </c>
      <c r="S669" s="62">
        <f t="shared" si="168"/>
        <v>1360.6666666666667</v>
      </c>
      <c r="T669" s="62">
        <v>15000</v>
      </c>
      <c r="U669" s="62">
        <f t="shared" si="173"/>
        <v>1250</v>
      </c>
      <c r="V669" s="69">
        <v>14040</v>
      </c>
      <c r="W669" s="71">
        <v>1405</v>
      </c>
      <c r="X669" s="105">
        <f>W669-50</f>
        <v>1355</v>
      </c>
      <c r="Y669" s="171">
        <f>(X669-U669)/U669</f>
        <v>8.4000000000000005E-2</v>
      </c>
      <c r="Z669" s="64">
        <f t="shared" si="169"/>
        <v>0.124</v>
      </c>
      <c r="AA669" s="64">
        <f t="shared" si="174"/>
        <v>3.2582067613914689E-2</v>
      </c>
      <c r="AB669" s="71">
        <f t="shared" si="175"/>
        <v>1405</v>
      </c>
      <c r="AC669" s="64">
        <f t="shared" si="170"/>
        <v>0.124</v>
      </c>
      <c r="AD669" s="64">
        <f t="shared" si="163"/>
        <v>3.2582067613914689E-2</v>
      </c>
      <c r="AE669" s="71">
        <v>1385</v>
      </c>
      <c r="AF669" s="64">
        <f t="shared" si="171"/>
        <v>0.108</v>
      </c>
      <c r="AG669" s="64">
        <f t="shared" si="164"/>
        <v>1.7883390494855406E-2</v>
      </c>
      <c r="AH669" s="67"/>
      <c r="AI669" s="47" t="s">
        <v>54</v>
      </c>
      <c r="AJ669" s="47">
        <v>463</v>
      </c>
      <c r="AK669" s="101" t="s">
        <v>55</v>
      </c>
      <c r="AL669" s="101" t="s">
        <v>55</v>
      </c>
      <c r="AM669" s="47" t="s">
        <v>1178</v>
      </c>
      <c r="AN669" s="50">
        <v>1385</v>
      </c>
      <c r="AO669" s="211">
        <f t="shared" si="172"/>
        <v>0.108</v>
      </c>
      <c r="AP669" s="47" t="s">
        <v>852</v>
      </c>
      <c r="AQ669" s="111" t="s">
        <v>125</v>
      </c>
      <c r="AR669" s="47" t="s">
        <v>1179</v>
      </c>
    </row>
    <row r="670" spans="1:44" hidden="1">
      <c r="A670" s="47" t="s">
        <v>44</v>
      </c>
      <c r="B670" s="47" t="str">
        <f t="shared" si="167"/>
        <v>July</v>
      </c>
      <c r="C670" s="59">
        <v>45493</v>
      </c>
      <c r="D670" s="47" t="s">
        <v>45</v>
      </c>
      <c r="E670" s="47" t="s">
        <v>900</v>
      </c>
      <c r="F670" s="47" t="s">
        <v>848</v>
      </c>
      <c r="G670" s="93" t="s">
        <v>1196</v>
      </c>
      <c r="H670" s="47" t="s">
        <v>1197</v>
      </c>
      <c r="I670" s="47" t="s">
        <v>50</v>
      </c>
      <c r="J670" s="47" t="s">
        <v>51</v>
      </c>
      <c r="K670" s="48">
        <v>45128</v>
      </c>
      <c r="L670" s="48">
        <v>45128</v>
      </c>
      <c r="M670" s="48">
        <v>45493</v>
      </c>
      <c r="N670" s="47" t="s">
        <v>52</v>
      </c>
      <c r="O670" s="55" t="s">
        <v>53</v>
      </c>
      <c r="P670" s="62">
        <v>15600</v>
      </c>
      <c r="Q670" s="62">
        <v>1300</v>
      </c>
      <c r="R670" s="96">
        <v>16328</v>
      </c>
      <c r="S670" s="62">
        <f t="shared" si="168"/>
        <v>1360.6666666666667</v>
      </c>
      <c r="T670" s="62">
        <v>14940</v>
      </c>
      <c r="U670" s="62">
        <f t="shared" si="173"/>
        <v>1245</v>
      </c>
      <c r="V670" s="69">
        <v>13740</v>
      </c>
      <c r="W670" s="71">
        <v>1395</v>
      </c>
      <c r="X670" s="105">
        <f>W670-50</f>
        <v>1345</v>
      </c>
      <c r="Y670" s="171">
        <f>(X670-U670)/U670</f>
        <v>8.0321285140562249E-2</v>
      </c>
      <c r="Z670" s="64">
        <f t="shared" si="169"/>
        <v>0.12048192771084337</v>
      </c>
      <c r="AA670" s="64">
        <f t="shared" si="174"/>
        <v>2.5232729054385047E-2</v>
      </c>
      <c r="AB670" s="71">
        <f t="shared" si="175"/>
        <v>1395</v>
      </c>
      <c r="AC670" s="64">
        <f t="shared" si="170"/>
        <v>0.12048192771084337</v>
      </c>
      <c r="AD670" s="64">
        <f t="shared" si="163"/>
        <v>2.5232729054385047E-2</v>
      </c>
      <c r="AE670" s="71">
        <f>AB670</f>
        <v>1395</v>
      </c>
      <c r="AF670" s="64">
        <f t="shared" si="171"/>
        <v>0.12048192771084337</v>
      </c>
      <c r="AG670" s="64">
        <f t="shared" si="164"/>
        <v>2.5232729054385047E-2</v>
      </c>
      <c r="AH670" s="67"/>
      <c r="AI670" s="47" t="s">
        <v>54</v>
      </c>
      <c r="AJ670" s="47">
        <v>468</v>
      </c>
      <c r="AK670" s="101" t="s">
        <v>55</v>
      </c>
      <c r="AL670" s="101" t="s">
        <v>55</v>
      </c>
      <c r="AM670" s="47" t="s">
        <v>1198</v>
      </c>
      <c r="AN670" s="50">
        <v>1395</v>
      </c>
      <c r="AO670" s="211">
        <f t="shared" si="172"/>
        <v>0.12048192771084337</v>
      </c>
      <c r="AP670" s="47" t="s">
        <v>852</v>
      </c>
      <c r="AQ670" s="111" t="s">
        <v>125</v>
      </c>
      <c r="AR670" s="47" t="s">
        <v>1199</v>
      </c>
    </row>
    <row r="671" spans="1:44">
      <c r="A671" s="47" t="s">
        <v>44</v>
      </c>
      <c r="B671" s="47" t="str">
        <f t="shared" si="167"/>
        <v>July</v>
      </c>
      <c r="C671" s="59">
        <v>45497</v>
      </c>
      <c r="D671" s="47" t="s">
        <v>45</v>
      </c>
      <c r="E671" s="47" t="s">
        <v>900</v>
      </c>
      <c r="F671" s="47" t="s">
        <v>848</v>
      </c>
      <c r="G671" s="47" t="s">
        <v>1409</v>
      </c>
      <c r="H671" s="47" t="s">
        <v>1410</v>
      </c>
      <c r="I671" s="47" t="s">
        <v>1411</v>
      </c>
      <c r="J671" s="47" t="s">
        <v>51</v>
      </c>
      <c r="K671" s="48">
        <v>44037</v>
      </c>
      <c r="L671" s="48">
        <v>45132</v>
      </c>
      <c r="M671" s="48">
        <v>45497</v>
      </c>
      <c r="N671" s="47" t="s">
        <v>64</v>
      </c>
      <c r="O671" s="55" t="s">
        <v>53</v>
      </c>
      <c r="P671" s="62">
        <v>19136</v>
      </c>
      <c r="Q671" s="62">
        <v>1594.6666666666667</v>
      </c>
      <c r="R671" s="96">
        <v>19656</v>
      </c>
      <c r="S671" s="62">
        <f t="shared" si="168"/>
        <v>1638</v>
      </c>
      <c r="T671" s="62">
        <v>18480</v>
      </c>
      <c r="U671" s="62">
        <f t="shared" si="173"/>
        <v>1540</v>
      </c>
      <c r="V671" s="69">
        <v>17700</v>
      </c>
      <c r="W671" s="71">
        <v>1675</v>
      </c>
      <c r="X671" s="71"/>
      <c r="Y671" s="71"/>
      <c r="Z671" s="64">
        <f t="shared" si="169"/>
        <v>8.7662337662337664E-2</v>
      </c>
      <c r="AA671" s="64">
        <f t="shared" si="174"/>
        <v>2.2588522588522588E-2</v>
      </c>
      <c r="AB671" s="71">
        <f t="shared" si="175"/>
        <v>1675</v>
      </c>
      <c r="AC671" s="64">
        <f t="shared" si="170"/>
        <v>8.7662337662337664E-2</v>
      </c>
      <c r="AD671" s="64">
        <f t="shared" si="163"/>
        <v>2.2588522588522588E-2</v>
      </c>
      <c r="AE671" s="71">
        <v>1655</v>
      </c>
      <c r="AF671" s="64">
        <f t="shared" si="171"/>
        <v>7.4675324675324672E-2</v>
      </c>
      <c r="AG671" s="64">
        <f t="shared" si="164"/>
        <v>1.0378510378510378E-2</v>
      </c>
      <c r="AH671" s="67"/>
      <c r="AI671" s="47" t="s">
        <v>250</v>
      </c>
      <c r="AJ671" s="47">
        <v>702</v>
      </c>
      <c r="AK671" s="101" t="s">
        <v>65</v>
      </c>
      <c r="AL671" s="101" t="s">
        <v>65</v>
      </c>
      <c r="AM671" s="47" t="s">
        <v>1412</v>
      </c>
      <c r="AN671" s="50">
        <v>1640</v>
      </c>
      <c r="AO671" s="211">
        <f t="shared" si="172"/>
        <v>6.4935064935064929E-2</v>
      </c>
      <c r="AP671" s="47" t="s">
        <v>852</v>
      </c>
      <c r="AQ671" s="111" t="s">
        <v>125</v>
      </c>
      <c r="AR671" s="47" t="s">
        <v>871</v>
      </c>
    </row>
    <row r="672" spans="1:44">
      <c r="A672" s="47" t="s">
        <v>44</v>
      </c>
      <c r="B672" s="47" t="str">
        <f t="shared" si="167"/>
        <v>July</v>
      </c>
      <c r="C672" s="59">
        <v>45477</v>
      </c>
      <c r="D672" s="47" t="s">
        <v>45</v>
      </c>
      <c r="E672" s="47" t="s">
        <v>900</v>
      </c>
      <c r="F672" s="47" t="s">
        <v>848</v>
      </c>
      <c r="G672" s="47" t="s">
        <v>1487</v>
      </c>
      <c r="H672" s="47" t="s">
        <v>1488</v>
      </c>
      <c r="I672" s="47" t="s">
        <v>1489</v>
      </c>
      <c r="J672" s="47" t="s">
        <v>51</v>
      </c>
      <c r="K672" s="48">
        <v>44747</v>
      </c>
      <c r="L672" s="48">
        <v>45112</v>
      </c>
      <c r="M672" s="48">
        <v>45477</v>
      </c>
      <c r="N672" s="47" t="s">
        <v>64</v>
      </c>
      <c r="O672" s="55" t="s">
        <v>53</v>
      </c>
      <c r="P672" s="62">
        <v>15600</v>
      </c>
      <c r="Q672" s="62">
        <v>1300</v>
      </c>
      <c r="R672" s="96">
        <v>16328</v>
      </c>
      <c r="S672" s="62">
        <f t="shared" si="168"/>
        <v>1360.6666666666667</v>
      </c>
      <c r="T672" s="62">
        <v>15300</v>
      </c>
      <c r="U672" s="62">
        <f t="shared" si="173"/>
        <v>1275</v>
      </c>
      <c r="V672" s="69">
        <v>14340</v>
      </c>
      <c r="W672" s="71">
        <v>1390</v>
      </c>
      <c r="X672" s="105">
        <f>W672-50</f>
        <v>1340</v>
      </c>
      <c r="Y672" s="171">
        <f>(X672-U672)/U672</f>
        <v>5.0980392156862744E-2</v>
      </c>
      <c r="Z672" s="64">
        <f t="shared" si="169"/>
        <v>9.0196078431372548E-2</v>
      </c>
      <c r="AA672" s="64">
        <f t="shared" si="174"/>
        <v>2.1558059774620227E-2</v>
      </c>
      <c r="AB672" s="71">
        <f t="shared" si="175"/>
        <v>1390</v>
      </c>
      <c r="AC672" s="64">
        <f t="shared" si="170"/>
        <v>9.0196078431372548E-2</v>
      </c>
      <c r="AD672" s="64">
        <f t="shared" si="163"/>
        <v>2.1558059774620227E-2</v>
      </c>
      <c r="AE672" s="71">
        <v>1385</v>
      </c>
      <c r="AF672" s="64">
        <f t="shared" si="171"/>
        <v>8.6274509803921567E-2</v>
      </c>
      <c r="AG672" s="64">
        <f t="shared" si="164"/>
        <v>1.7883390494855406E-2</v>
      </c>
      <c r="AH672" s="67"/>
      <c r="AI672" s="47" t="s">
        <v>250</v>
      </c>
      <c r="AJ672" s="47">
        <v>451</v>
      </c>
      <c r="AK672" s="47" t="s">
        <v>55</v>
      </c>
      <c r="AL672" s="47" t="s">
        <v>55</v>
      </c>
      <c r="AM672" s="47" t="s">
        <v>1490</v>
      </c>
      <c r="AN672" s="50">
        <v>1390</v>
      </c>
      <c r="AO672" s="211">
        <f t="shared" si="172"/>
        <v>9.0196078431372548E-2</v>
      </c>
      <c r="AP672" s="47" t="s">
        <v>852</v>
      </c>
      <c r="AQ672" s="111" t="s">
        <v>125</v>
      </c>
      <c r="AR672" s="47"/>
    </row>
    <row r="673" spans="1:44">
      <c r="A673" s="47" t="s">
        <v>44</v>
      </c>
      <c r="B673" s="47" t="str">
        <f t="shared" si="167"/>
        <v>July</v>
      </c>
      <c r="C673" s="59">
        <v>45504</v>
      </c>
      <c r="D673" s="47" t="s">
        <v>45</v>
      </c>
      <c r="E673" s="47" t="s">
        <v>900</v>
      </c>
      <c r="F673" s="47" t="s">
        <v>848</v>
      </c>
      <c r="G673" s="47" t="s">
        <v>1603</v>
      </c>
      <c r="H673" s="47" t="s">
        <v>1604</v>
      </c>
      <c r="I673" s="47" t="s">
        <v>50</v>
      </c>
      <c r="J673" s="47" t="s">
        <v>51</v>
      </c>
      <c r="K673" s="48">
        <v>44044</v>
      </c>
      <c r="L673" s="48">
        <v>45139</v>
      </c>
      <c r="M673" s="48">
        <v>45504</v>
      </c>
      <c r="N673" s="47" t="s">
        <v>64</v>
      </c>
      <c r="O673" s="55" t="s">
        <v>53</v>
      </c>
      <c r="P673" s="62">
        <v>15548</v>
      </c>
      <c r="Q673" s="62">
        <v>1295.6666666666667</v>
      </c>
      <c r="R673" s="96">
        <v>16276</v>
      </c>
      <c r="S673" s="62">
        <f t="shared" si="168"/>
        <v>1356.3333333333333</v>
      </c>
      <c r="T673" s="62">
        <v>14760</v>
      </c>
      <c r="U673" s="62">
        <f t="shared" si="173"/>
        <v>1230</v>
      </c>
      <c r="V673" s="69">
        <v>13680</v>
      </c>
      <c r="W673" s="71">
        <v>1360</v>
      </c>
      <c r="X673" s="105">
        <f>W673-50</f>
        <v>1310</v>
      </c>
      <c r="Y673" s="171">
        <f>(X673-U673)/U673</f>
        <v>6.5040650406504072E-2</v>
      </c>
      <c r="Z673" s="64">
        <f t="shared" si="169"/>
        <v>0.10569105691056911</v>
      </c>
      <c r="AA673" s="64">
        <f t="shared" si="174"/>
        <v>2.7033669206193729E-3</v>
      </c>
      <c r="AB673" s="71">
        <f t="shared" si="175"/>
        <v>1360</v>
      </c>
      <c r="AC673" s="64">
        <f t="shared" si="170"/>
        <v>0.10569105691056911</v>
      </c>
      <c r="AD673" s="64">
        <f t="shared" si="163"/>
        <v>2.7033669206193729E-3</v>
      </c>
      <c r="AE673" s="71">
        <f>AB673</f>
        <v>1360</v>
      </c>
      <c r="AF673" s="64">
        <f t="shared" si="171"/>
        <v>0.10569105691056911</v>
      </c>
      <c r="AG673" s="64">
        <f t="shared" si="164"/>
        <v>2.7033669206193729E-3</v>
      </c>
      <c r="AH673" s="67"/>
      <c r="AI673" s="47" t="s">
        <v>54</v>
      </c>
      <c r="AJ673" s="47">
        <v>446</v>
      </c>
      <c r="AK673" s="101" t="s">
        <v>55</v>
      </c>
      <c r="AL673" s="101" t="s">
        <v>55</v>
      </c>
      <c r="AM673" s="47" t="s">
        <v>1605</v>
      </c>
      <c r="AN673" s="50">
        <v>1360</v>
      </c>
      <c r="AO673" s="211">
        <f t="shared" si="172"/>
        <v>0.10569105691056911</v>
      </c>
      <c r="AP673" s="47" t="s">
        <v>852</v>
      </c>
      <c r="AQ673" s="111" t="s">
        <v>125</v>
      </c>
      <c r="AR673" s="47" t="s">
        <v>1606</v>
      </c>
    </row>
    <row r="674" spans="1:44" hidden="1">
      <c r="A674" s="47" t="s">
        <v>44</v>
      </c>
      <c r="B674" s="47" t="str">
        <f t="shared" si="167"/>
        <v>July</v>
      </c>
      <c r="C674" s="59">
        <v>45503</v>
      </c>
      <c r="D674" s="47" t="s">
        <v>45</v>
      </c>
      <c r="E674" s="47" t="s">
        <v>900</v>
      </c>
      <c r="F674" s="47" t="s">
        <v>848</v>
      </c>
      <c r="G674" s="47" t="s">
        <v>1661</v>
      </c>
      <c r="H674" s="47" t="s">
        <v>1662</v>
      </c>
      <c r="I674" s="47" t="s">
        <v>50</v>
      </c>
      <c r="J674" s="47" t="s">
        <v>51</v>
      </c>
      <c r="K674" s="48">
        <v>45138</v>
      </c>
      <c r="L674" s="48">
        <v>45138</v>
      </c>
      <c r="M674" s="48">
        <v>45503</v>
      </c>
      <c r="N674" s="47" t="s">
        <v>52</v>
      </c>
      <c r="O674" s="55" t="s">
        <v>53</v>
      </c>
      <c r="P674" s="62">
        <v>19396</v>
      </c>
      <c r="Q674" s="62">
        <v>1616.3333333333333</v>
      </c>
      <c r="R674" s="96">
        <v>19916</v>
      </c>
      <c r="S674" s="62">
        <f t="shared" si="168"/>
        <v>1659.6666666666667</v>
      </c>
      <c r="T674" s="62">
        <v>19200</v>
      </c>
      <c r="U674" s="62">
        <f t="shared" si="173"/>
        <v>1600</v>
      </c>
      <c r="V674" s="69">
        <v>18240</v>
      </c>
      <c r="W674" s="71">
        <v>1780</v>
      </c>
      <c r="X674" s="71"/>
      <c r="Y674" s="71"/>
      <c r="Z674" s="64">
        <f t="shared" si="169"/>
        <v>0.1125</v>
      </c>
      <c r="AA674" s="64">
        <f t="shared" si="174"/>
        <v>7.2504518979714758E-2</v>
      </c>
      <c r="AB674" s="71">
        <f t="shared" si="175"/>
        <v>1780</v>
      </c>
      <c r="AC674" s="64">
        <f t="shared" si="170"/>
        <v>0.1125</v>
      </c>
      <c r="AD674" s="64">
        <f t="shared" si="163"/>
        <v>7.2504518979714758E-2</v>
      </c>
      <c r="AE674" s="71">
        <v>1750</v>
      </c>
      <c r="AF674" s="64">
        <f t="shared" si="171"/>
        <v>9.375E-2</v>
      </c>
      <c r="AG674" s="64">
        <f t="shared" si="164"/>
        <v>5.4428600120506078E-2</v>
      </c>
      <c r="AH674" s="67"/>
      <c r="AI674" s="47" t="s">
        <v>54</v>
      </c>
      <c r="AJ674" s="47">
        <v>763</v>
      </c>
      <c r="AK674" s="101" t="s">
        <v>65</v>
      </c>
      <c r="AL674" s="101" t="s">
        <v>65</v>
      </c>
      <c r="AM674" s="47" t="s">
        <v>1663</v>
      </c>
      <c r="AN674" s="50"/>
      <c r="AO674" s="211">
        <f t="shared" si="172"/>
        <v>-1</v>
      </c>
      <c r="AP674" s="47" t="s">
        <v>852</v>
      </c>
      <c r="AQ674" s="94" t="s">
        <v>891</v>
      </c>
      <c r="AR674" s="47" t="s">
        <v>1664</v>
      </c>
    </row>
    <row r="675" spans="1:44">
      <c r="A675" s="47" t="s">
        <v>44</v>
      </c>
      <c r="B675" s="47" t="str">
        <f t="shared" si="167"/>
        <v>August</v>
      </c>
      <c r="C675" s="59">
        <v>45506</v>
      </c>
      <c r="D675" s="47" t="s">
        <v>45</v>
      </c>
      <c r="E675" s="47" t="s">
        <v>900</v>
      </c>
      <c r="F675" s="47" t="s">
        <v>848</v>
      </c>
      <c r="G675" s="47" t="s">
        <v>1688</v>
      </c>
      <c r="H675" s="47" t="s">
        <v>1689</v>
      </c>
      <c r="I675" s="47" t="s">
        <v>1690</v>
      </c>
      <c r="J675" s="47" t="s">
        <v>51</v>
      </c>
      <c r="K675" s="48">
        <v>44411</v>
      </c>
      <c r="L675" s="48">
        <v>45141</v>
      </c>
      <c r="M675" s="48">
        <v>45506</v>
      </c>
      <c r="N675" s="47" t="s">
        <v>64</v>
      </c>
      <c r="O675" s="55" t="s">
        <v>889</v>
      </c>
      <c r="P675" s="62">
        <v>19552</v>
      </c>
      <c r="Q675" s="62">
        <v>1629.3333333333333</v>
      </c>
      <c r="R675" s="96">
        <v>20124</v>
      </c>
      <c r="S675" s="62">
        <f t="shared" si="168"/>
        <v>1677</v>
      </c>
      <c r="T675" s="62">
        <v>21000</v>
      </c>
      <c r="U675" s="62">
        <f t="shared" si="173"/>
        <v>1750</v>
      </c>
      <c r="V675" s="69">
        <v>20340</v>
      </c>
      <c r="W675" s="71">
        <v>1785</v>
      </c>
      <c r="X675" s="71"/>
      <c r="Y675" s="71"/>
      <c r="Z675" s="64">
        <f t="shared" si="169"/>
        <v>0.02</v>
      </c>
      <c r="AA675" s="64">
        <f t="shared" si="174"/>
        <v>6.4400715563506267E-2</v>
      </c>
      <c r="AB675" s="71">
        <f t="shared" si="175"/>
        <v>1785</v>
      </c>
      <c r="AC675" s="64">
        <f t="shared" si="170"/>
        <v>0.02</v>
      </c>
      <c r="AD675" s="64">
        <f t="shared" si="163"/>
        <v>6.4400715563506267E-2</v>
      </c>
      <c r="AE675" s="71">
        <f>AB675</f>
        <v>1785</v>
      </c>
      <c r="AF675" s="64">
        <f t="shared" si="171"/>
        <v>0.02</v>
      </c>
      <c r="AG675" s="64">
        <f t="shared" si="164"/>
        <v>6.4400715563506267E-2</v>
      </c>
      <c r="AH675" s="67"/>
      <c r="AI675" s="47" t="s">
        <v>54</v>
      </c>
      <c r="AJ675" s="47">
        <v>769</v>
      </c>
      <c r="AK675" s="47" t="s">
        <v>65</v>
      </c>
      <c r="AL675" s="47" t="s">
        <v>65</v>
      </c>
      <c r="AM675" s="47" t="s">
        <v>1691</v>
      </c>
      <c r="AN675" s="50">
        <v>1785</v>
      </c>
      <c r="AO675" s="211">
        <f t="shared" si="172"/>
        <v>0.02</v>
      </c>
      <c r="AP675" s="47" t="s">
        <v>852</v>
      </c>
      <c r="AQ675" s="111" t="s">
        <v>125</v>
      </c>
      <c r="AR675" s="47" t="s">
        <v>1692</v>
      </c>
    </row>
    <row r="676" spans="1:44">
      <c r="A676" s="47" t="s">
        <v>44</v>
      </c>
      <c r="B676" s="47" t="str">
        <f t="shared" si="167"/>
        <v>August</v>
      </c>
      <c r="C676" s="59">
        <v>45508</v>
      </c>
      <c r="D676" s="47" t="s">
        <v>45</v>
      </c>
      <c r="E676" s="47" t="s">
        <v>900</v>
      </c>
      <c r="F676" s="47" t="s">
        <v>848</v>
      </c>
      <c r="G676" s="47" t="s">
        <v>1723</v>
      </c>
      <c r="H676" s="47" t="s">
        <v>1724</v>
      </c>
      <c r="I676" s="47" t="s">
        <v>50</v>
      </c>
      <c r="J676" s="47" t="s">
        <v>51</v>
      </c>
      <c r="K676" s="48">
        <v>44778</v>
      </c>
      <c r="L676" s="48">
        <v>45143</v>
      </c>
      <c r="M676" s="48">
        <v>45508</v>
      </c>
      <c r="N676" s="47" t="s">
        <v>64</v>
      </c>
      <c r="O676" s="55" t="s">
        <v>53</v>
      </c>
      <c r="P676" s="62">
        <v>15548</v>
      </c>
      <c r="Q676" s="62">
        <v>1295.6666666666667</v>
      </c>
      <c r="R676" s="96">
        <v>16276</v>
      </c>
      <c r="S676" s="62">
        <f t="shared" si="168"/>
        <v>1356.3333333333333</v>
      </c>
      <c r="T676" s="62">
        <v>15480</v>
      </c>
      <c r="U676" s="62">
        <f t="shared" si="173"/>
        <v>1290</v>
      </c>
      <c r="V676" s="69">
        <v>14100</v>
      </c>
      <c r="W676" s="71">
        <v>1355</v>
      </c>
      <c r="X676" s="105">
        <f>W676-50</f>
        <v>1305</v>
      </c>
      <c r="Y676" s="176">
        <f>(X676-U676)/U676</f>
        <v>1.1627906976744186E-2</v>
      </c>
      <c r="Z676" s="64">
        <f t="shared" si="169"/>
        <v>5.0387596899224806E-2</v>
      </c>
      <c r="AA676" s="64">
        <f t="shared" si="174"/>
        <v>-9.8304251658878667E-4</v>
      </c>
      <c r="AB676" s="71">
        <f t="shared" si="175"/>
        <v>1355</v>
      </c>
      <c r="AC676" s="64">
        <f t="shared" si="170"/>
        <v>5.0387596899224806E-2</v>
      </c>
      <c r="AD676" s="64">
        <f t="shared" si="163"/>
        <v>-9.8304251658878667E-4</v>
      </c>
      <c r="AE676" s="71">
        <f>AB676</f>
        <v>1355</v>
      </c>
      <c r="AF676" s="64">
        <f t="shared" si="171"/>
        <v>5.0387596899224806E-2</v>
      </c>
      <c r="AG676" s="64">
        <f t="shared" si="164"/>
        <v>-9.8304251658878667E-4</v>
      </c>
      <c r="AH676" s="67"/>
      <c r="AI676" s="47" t="s">
        <v>54</v>
      </c>
      <c r="AJ676" s="47">
        <v>446</v>
      </c>
      <c r="AK676" s="47" t="s">
        <v>55</v>
      </c>
      <c r="AL676" s="47" t="s">
        <v>55</v>
      </c>
      <c r="AM676" s="47" t="s">
        <v>1605</v>
      </c>
      <c r="AN676" s="50">
        <v>1355</v>
      </c>
      <c r="AO676" s="211">
        <f t="shared" si="172"/>
        <v>5.0387596899224806E-2</v>
      </c>
      <c r="AP676" s="47" t="s">
        <v>852</v>
      </c>
      <c r="AQ676" s="111" t="s">
        <v>986</v>
      </c>
      <c r="AR676" s="47" t="s">
        <v>1725</v>
      </c>
    </row>
    <row r="677" spans="1:44">
      <c r="A677" s="47" t="s">
        <v>44</v>
      </c>
      <c r="B677" s="47" t="str">
        <f t="shared" si="167"/>
        <v>July</v>
      </c>
      <c r="C677" s="59">
        <v>45484</v>
      </c>
      <c r="D677" s="47" t="s">
        <v>45</v>
      </c>
      <c r="E677" s="47" t="s">
        <v>900</v>
      </c>
      <c r="F677" s="47" t="s">
        <v>848</v>
      </c>
      <c r="G677" s="47" t="s">
        <v>1741</v>
      </c>
      <c r="H677" s="47" t="s">
        <v>1742</v>
      </c>
      <c r="I677" s="47" t="s">
        <v>50</v>
      </c>
      <c r="J677" s="47" t="s">
        <v>51</v>
      </c>
      <c r="K677" s="48">
        <v>45028</v>
      </c>
      <c r="L677" s="48">
        <v>45028</v>
      </c>
      <c r="M677" s="48">
        <v>45484</v>
      </c>
      <c r="N677" s="47" t="s">
        <v>64</v>
      </c>
      <c r="O677" s="55" t="s">
        <v>53</v>
      </c>
      <c r="P677" s="62">
        <v>15600</v>
      </c>
      <c r="Q677" s="62">
        <v>1300</v>
      </c>
      <c r="R677" s="96">
        <v>16328</v>
      </c>
      <c r="S677" s="62">
        <f t="shared" si="168"/>
        <v>1360.6666666666667</v>
      </c>
      <c r="T677" s="62">
        <v>14880</v>
      </c>
      <c r="U677" s="62">
        <f t="shared" si="173"/>
        <v>1240</v>
      </c>
      <c r="V677" s="69">
        <v>13380</v>
      </c>
      <c r="W677" s="71">
        <v>1410</v>
      </c>
      <c r="X677" s="105">
        <f>W677-50</f>
        <v>1360</v>
      </c>
      <c r="Y677" s="171">
        <f>(X677-U677)/U677</f>
        <v>9.6774193548387094E-2</v>
      </c>
      <c r="Z677" s="64">
        <f t="shared" si="169"/>
        <v>0.13709677419354838</v>
      </c>
      <c r="AA677" s="64">
        <f t="shared" si="174"/>
        <v>3.625673689367951E-2</v>
      </c>
      <c r="AB677" s="71">
        <f t="shared" si="175"/>
        <v>1410</v>
      </c>
      <c r="AC677" s="64">
        <f t="shared" si="170"/>
        <v>0.13709677419354838</v>
      </c>
      <c r="AD677" s="64">
        <f t="shared" ref="AD677:AD740" si="176">(AB677-S677)/S677</f>
        <v>3.625673689367951E-2</v>
      </c>
      <c r="AE677" s="71">
        <v>1395</v>
      </c>
      <c r="AF677" s="64">
        <f t="shared" si="171"/>
        <v>0.125</v>
      </c>
      <c r="AG677" s="64">
        <f t="shared" ref="AG677:AG740" si="177">(AE677-S677)/S677</f>
        <v>2.5232729054385047E-2</v>
      </c>
      <c r="AH677" s="67"/>
      <c r="AI677" s="47" t="s">
        <v>54</v>
      </c>
      <c r="AJ677" s="47">
        <v>468</v>
      </c>
      <c r="AK677" s="101" t="s">
        <v>55</v>
      </c>
      <c r="AL677" s="101" t="s">
        <v>55</v>
      </c>
      <c r="AM677" s="47" t="s">
        <v>1743</v>
      </c>
      <c r="AN677" s="50"/>
      <c r="AO677" s="211">
        <f t="shared" si="172"/>
        <v>-1</v>
      </c>
      <c r="AP677" s="47" t="s">
        <v>852</v>
      </c>
      <c r="AQ677" s="94" t="s">
        <v>1039</v>
      </c>
      <c r="AR677" s="47"/>
    </row>
    <row r="678" spans="1:44" hidden="1">
      <c r="A678" s="47" t="s">
        <v>44</v>
      </c>
      <c r="B678" s="47" t="str">
        <f t="shared" si="167"/>
        <v>August</v>
      </c>
      <c r="C678" s="59">
        <v>45510</v>
      </c>
      <c r="D678" s="47" t="s">
        <v>45</v>
      </c>
      <c r="E678" s="47" t="s">
        <v>900</v>
      </c>
      <c r="F678" s="47" t="s">
        <v>848</v>
      </c>
      <c r="G678" s="47" t="s">
        <v>1824</v>
      </c>
      <c r="H678" s="47" t="s">
        <v>1825</v>
      </c>
      <c r="I678" s="47" t="s">
        <v>50</v>
      </c>
      <c r="J678" s="47" t="s">
        <v>51</v>
      </c>
      <c r="K678" s="48">
        <v>45145</v>
      </c>
      <c r="L678" s="48">
        <v>45145</v>
      </c>
      <c r="M678" s="48">
        <v>45510</v>
      </c>
      <c r="N678" s="47" t="s">
        <v>52</v>
      </c>
      <c r="O678" s="55" t="s">
        <v>53</v>
      </c>
      <c r="P678" s="62">
        <v>19136</v>
      </c>
      <c r="Q678" s="62">
        <v>1594.6666666666667</v>
      </c>
      <c r="R678" s="96">
        <v>19656</v>
      </c>
      <c r="S678" s="62">
        <f t="shared" si="168"/>
        <v>1638</v>
      </c>
      <c r="T678" s="62">
        <v>19440</v>
      </c>
      <c r="U678" s="62">
        <f t="shared" si="173"/>
        <v>1620</v>
      </c>
      <c r="V678" s="69">
        <v>18000</v>
      </c>
      <c r="W678" s="71">
        <v>1710</v>
      </c>
      <c r="X678" s="71"/>
      <c r="Y678" s="71"/>
      <c r="Z678" s="64">
        <f t="shared" si="169"/>
        <v>5.5555555555555552E-2</v>
      </c>
      <c r="AA678" s="64">
        <f t="shared" si="174"/>
        <v>4.3956043956043959E-2</v>
      </c>
      <c r="AB678" s="71">
        <f t="shared" si="175"/>
        <v>1710</v>
      </c>
      <c r="AC678" s="64">
        <f t="shared" si="170"/>
        <v>5.5555555555555552E-2</v>
      </c>
      <c r="AD678" s="64">
        <f t="shared" si="176"/>
        <v>4.3956043956043959E-2</v>
      </c>
      <c r="AE678" s="71">
        <v>1700</v>
      </c>
      <c r="AF678" s="64">
        <f t="shared" si="171"/>
        <v>4.9382716049382713E-2</v>
      </c>
      <c r="AG678" s="64">
        <f t="shared" si="177"/>
        <v>3.7851037851037848E-2</v>
      </c>
      <c r="AH678" s="67"/>
      <c r="AI678" s="47" t="s">
        <v>54</v>
      </c>
      <c r="AJ678" s="47">
        <v>700</v>
      </c>
      <c r="AK678" s="47" t="s">
        <v>65</v>
      </c>
      <c r="AL678" s="47" t="s">
        <v>65</v>
      </c>
      <c r="AM678" s="47" t="s">
        <v>1826</v>
      </c>
      <c r="AN678" s="50">
        <v>1685</v>
      </c>
      <c r="AO678" s="211">
        <f t="shared" si="172"/>
        <v>4.0123456790123455E-2</v>
      </c>
      <c r="AP678" s="47" t="s">
        <v>852</v>
      </c>
      <c r="AQ678" s="111" t="s">
        <v>125</v>
      </c>
      <c r="AR678" s="47" t="s">
        <v>1827</v>
      </c>
    </row>
    <row r="679" spans="1:44" hidden="1">
      <c r="A679" s="47" t="s">
        <v>44</v>
      </c>
      <c r="B679" s="47" t="str">
        <f t="shared" si="167"/>
        <v>August</v>
      </c>
      <c r="C679" s="59">
        <v>45514</v>
      </c>
      <c r="D679" s="47" t="s">
        <v>45</v>
      </c>
      <c r="E679" s="47" t="s">
        <v>900</v>
      </c>
      <c r="F679" s="47" t="s">
        <v>848</v>
      </c>
      <c r="G679" s="47" t="s">
        <v>2108</v>
      </c>
      <c r="H679" s="47" t="s">
        <v>2109</v>
      </c>
      <c r="I679" s="47" t="s">
        <v>50</v>
      </c>
      <c r="J679" s="47" t="s">
        <v>51</v>
      </c>
      <c r="K679" s="48">
        <v>45149</v>
      </c>
      <c r="L679" s="48">
        <v>45149</v>
      </c>
      <c r="M679" s="48">
        <v>45514</v>
      </c>
      <c r="N679" s="47" t="s">
        <v>52</v>
      </c>
      <c r="O679" s="55" t="s">
        <v>53</v>
      </c>
      <c r="P679" s="62">
        <v>15652</v>
      </c>
      <c r="Q679" s="62">
        <v>1304.3333333333333</v>
      </c>
      <c r="R679" s="96">
        <v>16380</v>
      </c>
      <c r="S679" s="62">
        <f t="shared" si="168"/>
        <v>1365</v>
      </c>
      <c r="T679" s="62">
        <v>16200</v>
      </c>
      <c r="U679" s="62">
        <f t="shared" si="173"/>
        <v>1350</v>
      </c>
      <c r="V679" s="69">
        <v>15425.64</v>
      </c>
      <c r="W679" s="71">
        <v>1425</v>
      </c>
      <c r="X679" s="105">
        <f>W679-50</f>
        <v>1375</v>
      </c>
      <c r="Y679" s="176">
        <f>(X679-U679)/U679</f>
        <v>1.8518518518518517E-2</v>
      </c>
      <c r="Z679" s="64">
        <f t="shared" si="169"/>
        <v>5.5555555555555552E-2</v>
      </c>
      <c r="AA679" s="64">
        <f t="shared" si="174"/>
        <v>4.3956043956043959E-2</v>
      </c>
      <c r="AB679" s="71">
        <f t="shared" si="175"/>
        <v>1425</v>
      </c>
      <c r="AC679" s="64">
        <f t="shared" si="170"/>
        <v>5.5555555555555552E-2</v>
      </c>
      <c r="AD679" s="64">
        <f t="shared" si="176"/>
        <v>4.3956043956043959E-2</v>
      </c>
      <c r="AE679" s="71">
        <v>1415</v>
      </c>
      <c r="AF679" s="64">
        <f t="shared" si="171"/>
        <v>4.8148148148148148E-2</v>
      </c>
      <c r="AG679" s="64">
        <f t="shared" si="177"/>
        <v>3.6630036630036632E-2</v>
      </c>
      <c r="AH679" s="67"/>
      <c r="AI679" s="47" t="s">
        <v>54</v>
      </c>
      <c r="AJ679" s="47">
        <v>470</v>
      </c>
      <c r="AK679" s="47" t="s">
        <v>55</v>
      </c>
      <c r="AL679" s="47" t="s">
        <v>55</v>
      </c>
      <c r="AM679" s="47" t="s">
        <v>2110</v>
      </c>
      <c r="AN679" s="50">
        <v>1425</v>
      </c>
      <c r="AO679" s="211">
        <f t="shared" si="172"/>
        <v>5.5555555555555552E-2</v>
      </c>
      <c r="AP679" s="47" t="s">
        <v>852</v>
      </c>
      <c r="AQ679" s="111" t="s">
        <v>986</v>
      </c>
      <c r="AR679" s="47" t="s">
        <v>987</v>
      </c>
    </row>
    <row r="680" spans="1:44">
      <c r="A680" s="47" t="s">
        <v>44</v>
      </c>
      <c r="B680" s="47" t="str">
        <f t="shared" si="167"/>
        <v>August</v>
      </c>
      <c r="C680" s="59">
        <v>45515</v>
      </c>
      <c r="D680" s="47" t="s">
        <v>45</v>
      </c>
      <c r="E680" s="47" t="s">
        <v>900</v>
      </c>
      <c r="F680" s="47" t="s">
        <v>848</v>
      </c>
      <c r="G680" s="77" t="s">
        <v>2249</v>
      </c>
      <c r="H680" s="47" t="s">
        <v>2250</v>
      </c>
      <c r="I680" s="47" t="s">
        <v>50</v>
      </c>
      <c r="J680" s="47" t="s">
        <v>51</v>
      </c>
      <c r="K680" s="48">
        <v>44785</v>
      </c>
      <c r="L680" s="48">
        <v>45150</v>
      </c>
      <c r="M680" s="48">
        <v>45515</v>
      </c>
      <c r="N680" s="47" t="s">
        <v>64</v>
      </c>
      <c r="O680" s="55" t="s">
        <v>970</v>
      </c>
      <c r="P680" s="62">
        <v>13247</v>
      </c>
      <c r="Q680" s="62">
        <v>1103.9166666666667</v>
      </c>
      <c r="R680" s="96">
        <v>16276</v>
      </c>
      <c r="S680" s="62">
        <f t="shared" si="168"/>
        <v>1356.3333333333333</v>
      </c>
      <c r="T680" s="62">
        <v>11460</v>
      </c>
      <c r="U680" s="62">
        <f t="shared" si="173"/>
        <v>955</v>
      </c>
      <c r="V680" s="69">
        <v>11220</v>
      </c>
      <c r="W680" s="71">
        <v>1005</v>
      </c>
      <c r="X680" s="172">
        <f>W680-50</f>
        <v>955</v>
      </c>
      <c r="Y680" s="176">
        <f>(X680-U680)/U680</f>
        <v>0</v>
      </c>
      <c r="Z680" s="64">
        <f t="shared" si="169"/>
        <v>5.2356020942408377E-2</v>
      </c>
      <c r="AA680" s="64">
        <f t="shared" si="174"/>
        <v>-0.25903170312115997</v>
      </c>
      <c r="AB680" s="71">
        <f t="shared" si="175"/>
        <v>1005</v>
      </c>
      <c r="AC680" s="64">
        <f t="shared" si="170"/>
        <v>5.2356020942408377E-2</v>
      </c>
      <c r="AD680" s="64">
        <f t="shared" si="176"/>
        <v>-0.25903170312115997</v>
      </c>
      <c r="AE680" s="71">
        <f>AB680</f>
        <v>1005</v>
      </c>
      <c r="AF680" s="64">
        <f t="shared" si="171"/>
        <v>5.2356020942408377E-2</v>
      </c>
      <c r="AG680" s="64">
        <f t="shared" si="177"/>
        <v>-0.25903170312115997</v>
      </c>
      <c r="AH680" s="67"/>
      <c r="AI680" s="47" t="s">
        <v>54</v>
      </c>
      <c r="AJ680" s="47">
        <v>446</v>
      </c>
      <c r="AK680" s="47" t="s">
        <v>55</v>
      </c>
      <c r="AL680" s="47" t="s">
        <v>93</v>
      </c>
      <c r="AM680" s="47" t="s">
        <v>2251</v>
      </c>
      <c r="AN680" s="50"/>
      <c r="AO680" s="211">
        <f t="shared" si="172"/>
        <v>-1</v>
      </c>
      <c r="AP680" s="47" t="s">
        <v>852</v>
      </c>
      <c r="AQ680" s="47" t="s">
        <v>2252</v>
      </c>
      <c r="AR680" s="47"/>
    </row>
    <row r="681" spans="1:44">
      <c r="A681" s="47" t="s">
        <v>44</v>
      </c>
      <c r="B681" s="47" t="str">
        <f t="shared" si="167"/>
        <v>August</v>
      </c>
      <c r="C681" s="221">
        <v>45515</v>
      </c>
      <c r="D681" s="47" t="s">
        <v>45</v>
      </c>
      <c r="E681" s="47" t="s">
        <v>900</v>
      </c>
      <c r="F681" s="47" t="s">
        <v>848</v>
      </c>
      <c r="G681" s="77" t="s">
        <v>2308</v>
      </c>
      <c r="H681" s="47" t="s">
        <v>2309</v>
      </c>
      <c r="I681" s="47" t="s">
        <v>50</v>
      </c>
      <c r="J681" s="47" t="s">
        <v>51</v>
      </c>
      <c r="K681" s="48">
        <v>44785</v>
      </c>
      <c r="L681" s="48">
        <v>45150</v>
      </c>
      <c r="M681" s="48">
        <v>45515</v>
      </c>
      <c r="N681" s="47" t="s">
        <v>64</v>
      </c>
      <c r="O681" s="55" t="s">
        <v>53</v>
      </c>
      <c r="P681" s="62">
        <v>19032</v>
      </c>
      <c r="Q681" s="62">
        <v>1586</v>
      </c>
      <c r="R681" s="96">
        <v>19604</v>
      </c>
      <c r="S681" s="62">
        <f t="shared" si="168"/>
        <v>1633.6666666666667</v>
      </c>
      <c r="T681" s="62">
        <v>18840</v>
      </c>
      <c r="U681" s="62">
        <f t="shared" si="173"/>
        <v>1570</v>
      </c>
      <c r="V681" s="69">
        <v>17940</v>
      </c>
      <c r="W681" s="71">
        <v>1740</v>
      </c>
      <c r="X681" s="71"/>
      <c r="Y681" s="71"/>
      <c r="Z681" s="64">
        <f t="shared" si="169"/>
        <v>0.10828025477707007</v>
      </c>
      <c r="AA681" s="64">
        <f t="shared" si="174"/>
        <v>6.5088757396449648E-2</v>
      </c>
      <c r="AB681" s="71">
        <f t="shared" si="175"/>
        <v>1740</v>
      </c>
      <c r="AC681" s="64">
        <f t="shared" si="170"/>
        <v>0.10828025477707007</v>
      </c>
      <c r="AD681" s="64">
        <f t="shared" si="176"/>
        <v>6.5088757396449648E-2</v>
      </c>
      <c r="AE681" s="71">
        <v>1700</v>
      </c>
      <c r="AF681" s="64">
        <f t="shared" si="171"/>
        <v>8.2802547770700632E-2</v>
      </c>
      <c r="AG681" s="64">
        <f t="shared" si="177"/>
        <v>4.0603958375841617E-2</v>
      </c>
      <c r="AH681" s="67"/>
      <c r="AI681" s="47" t="s">
        <v>54</v>
      </c>
      <c r="AJ681" s="47">
        <v>695</v>
      </c>
      <c r="AK681" s="47" t="s">
        <v>65</v>
      </c>
      <c r="AL681" s="47" t="s">
        <v>65</v>
      </c>
      <c r="AM681" s="47" t="s">
        <v>2310</v>
      </c>
      <c r="AN681" s="50"/>
      <c r="AO681" s="211">
        <f t="shared" si="172"/>
        <v>-1</v>
      </c>
      <c r="AP681" s="47" t="s">
        <v>852</v>
      </c>
      <c r="AQ681" s="94" t="s">
        <v>898</v>
      </c>
      <c r="AR681" s="47" t="s">
        <v>2311</v>
      </c>
    </row>
    <row r="682" spans="1:44">
      <c r="A682" s="47" t="s">
        <v>44</v>
      </c>
      <c r="B682" s="47" t="str">
        <f t="shared" si="167"/>
        <v>August</v>
      </c>
      <c r="C682" s="59">
        <v>45515</v>
      </c>
      <c r="D682" s="47" t="s">
        <v>45</v>
      </c>
      <c r="E682" s="47" t="s">
        <v>900</v>
      </c>
      <c r="F682" s="47" t="s">
        <v>848</v>
      </c>
      <c r="G682" s="47" t="s">
        <v>2312</v>
      </c>
      <c r="H682" s="47" t="s">
        <v>2313</v>
      </c>
      <c r="I682" s="47" t="s">
        <v>50</v>
      </c>
      <c r="J682" s="47" t="s">
        <v>51</v>
      </c>
      <c r="K682" s="48">
        <v>44239</v>
      </c>
      <c r="L682" s="48">
        <v>45150</v>
      </c>
      <c r="M682" s="48">
        <v>45515</v>
      </c>
      <c r="N682" s="47" t="s">
        <v>64</v>
      </c>
      <c r="O682" s="55" t="s">
        <v>53</v>
      </c>
      <c r="P682" s="62">
        <v>19136</v>
      </c>
      <c r="Q682" s="62">
        <v>1594.6666666666667</v>
      </c>
      <c r="R682" s="96">
        <v>19656</v>
      </c>
      <c r="S682" s="62">
        <f t="shared" si="168"/>
        <v>1638</v>
      </c>
      <c r="T682" s="62">
        <v>19200</v>
      </c>
      <c r="U682" s="62">
        <f t="shared" si="173"/>
        <v>1600</v>
      </c>
      <c r="V682" s="69">
        <v>18240</v>
      </c>
      <c r="W682" s="71">
        <v>1720</v>
      </c>
      <c r="X682" s="71"/>
      <c r="Y682" s="71"/>
      <c r="Z682" s="64">
        <f t="shared" si="169"/>
        <v>7.4999999999999997E-2</v>
      </c>
      <c r="AA682" s="64">
        <f t="shared" si="174"/>
        <v>5.0061050061050064E-2</v>
      </c>
      <c r="AB682" s="71">
        <f t="shared" si="175"/>
        <v>1720</v>
      </c>
      <c r="AC682" s="64">
        <f t="shared" si="170"/>
        <v>7.4999999999999997E-2</v>
      </c>
      <c r="AD682" s="64">
        <f t="shared" si="176"/>
        <v>5.0061050061050064E-2</v>
      </c>
      <c r="AE682" s="71">
        <v>1700</v>
      </c>
      <c r="AF682" s="64">
        <f t="shared" si="171"/>
        <v>6.25E-2</v>
      </c>
      <c r="AG682" s="64">
        <f t="shared" si="177"/>
        <v>3.7851037851037848E-2</v>
      </c>
      <c r="AH682" s="67"/>
      <c r="AI682" s="47" t="s">
        <v>54</v>
      </c>
      <c r="AJ682" s="47">
        <v>700</v>
      </c>
      <c r="AK682" s="47" t="s">
        <v>65</v>
      </c>
      <c r="AL682" s="47" t="s">
        <v>65</v>
      </c>
      <c r="AM682" s="47" t="s">
        <v>2314</v>
      </c>
      <c r="AN682" s="50"/>
      <c r="AO682" s="211">
        <f t="shared" si="172"/>
        <v>-1</v>
      </c>
      <c r="AP682" s="47" t="s">
        <v>852</v>
      </c>
      <c r="AQ682" s="94" t="s">
        <v>891</v>
      </c>
      <c r="AR682" s="47"/>
    </row>
    <row r="683" spans="1:44" hidden="1">
      <c r="A683" s="47" t="s">
        <v>44</v>
      </c>
      <c r="B683" s="47" t="str">
        <f t="shared" si="167"/>
        <v>August</v>
      </c>
      <c r="C683" s="59">
        <v>45521</v>
      </c>
      <c r="D683" s="47" t="s">
        <v>45</v>
      </c>
      <c r="E683" s="47" t="s">
        <v>900</v>
      </c>
      <c r="F683" s="47" t="s">
        <v>848</v>
      </c>
      <c r="G683" s="47" t="s">
        <v>2482</v>
      </c>
      <c r="H683" s="47" t="s">
        <v>2483</v>
      </c>
      <c r="I683" s="47" t="s">
        <v>50</v>
      </c>
      <c r="J683" s="47" t="s">
        <v>51</v>
      </c>
      <c r="K683" s="48">
        <v>45156</v>
      </c>
      <c r="L683" s="48">
        <v>45156</v>
      </c>
      <c r="M683" s="48">
        <v>45521</v>
      </c>
      <c r="N683" s="47" t="s">
        <v>52</v>
      </c>
      <c r="O683" s="55" t="s">
        <v>53</v>
      </c>
      <c r="P683" s="62">
        <v>15600</v>
      </c>
      <c r="Q683" s="62">
        <v>1300</v>
      </c>
      <c r="R683" s="96">
        <v>16328</v>
      </c>
      <c r="S683" s="62">
        <f t="shared" si="168"/>
        <v>1360.6666666666667</v>
      </c>
      <c r="T683" s="62">
        <v>15660</v>
      </c>
      <c r="U683" s="62">
        <f t="shared" si="173"/>
        <v>1305</v>
      </c>
      <c r="V683" s="69">
        <v>13800</v>
      </c>
      <c r="W683" s="71">
        <v>1405</v>
      </c>
      <c r="X683" s="105">
        <f>W683-50</f>
        <v>1355</v>
      </c>
      <c r="Y683" s="171">
        <f>(X683-U683)/U683</f>
        <v>3.8314176245210725E-2</v>
      </c>
      <c r="Z683" s="64">
        <f t="shared" si="169"/>
        <v>7.662835249042145E-2</v>
      </c>
      <c r="AA683" s="64">
        <f t="shared" si="174"/>
        <v>3.2582067613914689E-2</v>
      </c>
      <c r="AB683" s="71">
        <f t="shared" si="175"/>
        <v>1405</v>
      </c>
      <c r="AC683" s="64">
        <f t="shared" si="170"/>
        <v>7.662835249042145E-2</v>
      </c>
      <c r="AD683" s="64">
        <f t="shared" si="176"/>
        <v>3.2582067613914689E-2</v>
      </c>
      <c r="AE683" s="71">
        <v>1400</v>
      </c>
      <c r="AF683" s="64">
        <f t="shared" si="171"/>
        <v>7.2796934865900387E-2</v>
      </c>
      <c r="AG683" s="64">
        <f t="shared" si="177"/>
        <v>2.8907398334149868E-2</v>
      </c>
      <c r="AH683" s="67"/>
      <c r="AI683" s="47" t="s">
        <v>54</v>
      </c>
      <c r="AJ683" s="47">
        <v>468</v>
      </c>
      <c r="AK683" s="47" t="s">
        <v>55</v>
      </c>
      <c r="AL683" s="47" t="s">
        <v>55</v>
      </c>
      <c r="AM683" s="47" t="s">
        <v>994</v>
      </c>
      <c r="AN683" s="50"/>
      <c r="AO683" s="211">
        <f t="shared" si="172"/>
        <v>-1</v>
      </c>
      <c r="AP683" s="47" t="s">
        <v>852</v>
      </c>
      <c r="AQ683" s="91" t="s">
        <v>1074</v>
      </c>
      <c r="AR683" s="47" t="s">
        <v>2484</v>
      </c>
    </row>
    <row r="684" spans="1:44">
      <c r="A684" s="47" t="s">
        <v>44</v>
      </c>
      <c r="B684" s="47" t="str">
        <f t="shared" si="167"/>
        <v>August</v>
      </c>
      <c r="C684" s="59">
        <v>45523</v>
      </c>
      <c r="D684" s="47" t="s">
        <v>45</v>
      </c>
      <c r="E684" s="47" t="s">
        <v>900</v>
      </c>
      <c r="F684" s="47" t="s">
        <v>848</v>
      </c>
      <c r="G684" s="47" t="s">
        <v>2545</v>
      </c>
      <c r="H684" s="47" t="s">
        <v>2546</v>
      </c>
      <c r="I684" s="47" t="s">
        <v>50</v>
      </c>
      <c r="J684" s="47" t="s">
        <v>51</v>
      </c>
      <c r="K684" s="48">
        <v>44793</v>
      </c>
      <c r="L684" s="48">
        <v>45158</v>
      </c>
      <c r="M684" s="48">
        <v>45523</v>
      </c>
      <c r="N684" s="47" t="s">
        <v>64</v>
      </c>
      <c r="O684" s="55" t="s">
        <v>53</v>
      </c>
      <c r="P684" s="62">
        <v>15600</v>
      </c>
      <c r="Q684" s="62">
        <v>1300</v>
      </c>
      <c r="R684" s="96">
        <v>16328</v>
      </c>
      <c r="S684" s="62">
        <f t="shared" si="168"/>
        <v>1360.6666666666667</v>
      </c>
      <c r="T684" s="62">
        <v>15420</v>
      </c>
      <c r="U684" s="62">
        <f t="shared" si="173"/>
        <v>1285</v>
      </c>
      <c r="V684" s="69">
        <v>14400</v>
      </c>
      <c r="W684" s="71">
        <v>1410</v>
      </c>
      <c r="X684" s="105">
        <f>W684-50</f>
        <v>1360</v>
      </c>
      <c r="Y684" s="171">
        <f>(X684-U684)/U684</f>
        <v>5.8365758754863814E-2</v>
      </c>
      <c r="Z684" s="64">
        <f t="shared" si="169"/>
        <v>9.727626459143969E-2</v>
      </c>
      <c r="AA684" s="64">
        <f t="shared" si="174"/>
        <v>3.625673689367951E-2</v>
      </c>
      <c r="AB684" s="71">
        <f t="shared" si="175"/>
        <v>1410</v>
      </c>
      <c r="AC684" s="64">
        <f t="shared" si="170"/>
        <v>9.727626459143969E-2</v>
      </c>
      <c r="AD684" s="64">
        <f t="shared" si="176"/>
        <v>3.625673689367951E-2</v>
      </c>
      <c r="AE684" s="71">
        <v>1395</v>
      </c>
      <c r="AF684" s="64">
        <f t="shared" si="171"/>
        <v>8.5603112840466927E-2</v>
      </c>
      <c r="AG684" s="64">
        <f t="shared" si="177"/>
        <v>2.5232729054385047E-2</v>
      </c>
      <c r="AH684" s="67"/>
      <c r="AI684" s="47" t="s">
        <v>54</v>
      </c>
      <c r="AJ684" s="47">
        <v>468</v>
      </c>
      <c r="AK684" s="47" t="s">
        <v>55</v>
      </c>
      <c r="AL684" s="47" t="s">
        <v>55</v>
      </c>
      <c r="AM684" s="47" t="s">
        <v>2547</v>
      </c>
      <c r="AN684" s="50"/>
      <c r="AO684" s="211">
        <f t="shared" si="172"/>
        <v>-1</v>
      </c>
      <c r="AP684" s="47" t="s">
        <v>852</v>
      </c>
      <c r="AQ684" s="91" t="s">
        <v>1074</v>
      </c>
      <c r="AR684" s="47" t="s">
        <v>2548</v>
      </c>
    </row>
    <row r="685" spans="1:44" hidden="1">
      <c r="A685" s="47" t="s">
        <v>44</v>
      </c>
      <c r="B685" s="47" t="str">
        <f t="shared" si="167"/>
        <v>August</v>
      </c>
      <c r="C685" s="59">
        <v>45524</v>
      </c>
      <c r="D685" s="47" t="s">
        <v>45</v>
      </c>
      <c r="E685" s="47" t="s">
        <v>900</v>
      </c>
      <c r="F685" s="47" t="s">
        <v>848</v>
      </c>
      <c r="G685" s="47" t="s">
        <v>2582</v>
      </c>
      <c r="H685" s="47" t="s">
        <v>2583</v>
      </c>
      <c r="I685" s="47" t="s">
        <v>50</v>
      </c>
      <c r="J685" s="47" t="s">
        <v>51</v>
      </c>
      <c r="K685" s="48">
        <v>45159</v>
      </c>
      <c r="L685" s="48">
        <v>45159</v>
      </c>
      <c r="M685" s="48">
        <v>45524</v>
      </c>
      <c r="N685" s="47" t="s">
        <v>52</v>
      </c>
      <c r="O685" s="55" t="s">
        <v>53</v>
      </c>
      <c r="P685" s="62">
        <v>15548</v>
      </c>
      <c r="Q685" s="62">
        <v>1295.6666666666667</v>
      </c>
      <c r="R685" s="96">
        <v>16276</v>
      </c>
      <c r="S685" s="62">
        <f t="shared" si="168"/>
        <v>1356.3333333333333</v>
      </c>
      <c r="T685" s="62">
        <v>15900</v>
      </c>
      <c r="U685" s="62">
        <f t="shared" ref="U685:U695" si="178">T685/12</f>
        <v>1325</v>
      </c>
      <c r="V685" s="69">
        <v>14520</v>
      </c>
      <c r="W685" s="71">
        <v>1395</v>
      </c>
      <c r="X685" s="105">
        <f>W685-50</f>
        <v>1345</v>
      </c>
      <c r="Y685" s="176">
        <f>(X685-U685)/U685</f>
        <v>1.509433962264151E-2</v>
      </c>
      <c r="Z685" s="64">
        <f t="shared" si="169"/>
        <v>5.2830188679245285E-2</v>
      </c>
      <c r="AA685" s="64">
        <f t="shared" si="174"/>
        <v>2.8508232981076489E-2</v>
      </c>
      <c r="AB685" s="71">
        <f t="shared" si="175"/>
        <v>1395</v>
      </c>
      <c r="AC685" s="64">
        <f t="shared" si="170"/>
        <v>5.2830188679245285E-2</v>
      </c>
      <c r="AD685" s="64">
        <f t="shared" si="176"/>
        <v>2.8508232981076489E-2</v>
      </c>
      <c r="AE685" s="71">
        <v>1385</v>
      </c>
      <c r="AF685" s="64">
        <f t="shared" si="171"/>
        <v>4.5283018867924525E-2</v>
      </c>
      <c r="AG685" s="64">
        <f t="shared" si="177"/>
        <v>2.1135414106660168E-2</v>
      </c>
      <c r="AH685" s="67"/>
      <c r="AI685" s="47" t="s">
        <v>54</v>
      </c>
      <c r="AJ685" s="47">
        <v>450</v>
      </c>
      <c r="AK685" s="47" t="s">
        <v>55</v>
      </c>
      <c r="AL685" s="47" t="s">
        <v>55</v>
      </c>
      <c r="AM685" s="47" t="s">
        <v>2584</v>
      </c>
      <c r="AN685" s="50">
        <v>1385</v>
      </c>
      <c r="AO685" s="211">
        <f t="shared" si="172"/>
        <v>4.5283018867924525E-2</v>
      </c>
      <c r="AP685" s="47" t="s">
        <v>852</v>
      </c>
      <c r="AQ685" s="111" t="s">
        <v>125</v>
      </c>
      <c r="AR685" s="47" t="s">
        <v>2585</v>
      </c>
    </row>
    <row r="686" spans="1:44" hidden="1">
      <c r="A686" s="47" t="s">
        <v>44</v>
      </c>
      <c r="B686" s="47" t="str">
        <f t="shared" si="167"/>
        <v>August</v>
      </c>
      <c r="C686" s="59">
        <v>45524</v>
      </c>
      <c r="D686" s="47" t="s">
        <v>45</v>
      </c>
      <c r="E686" s="47" t="s">
        <v>900</v>
      </c>
      <c r="F686" s="47" t="s">
        <v>848</v>
      </c>
      <c r="G686" s="47" t="s">
        <v>2586</v>
      </c>
      <c r="H686" s="47" t="s">
        <v>2587</v>
      </c>
      <c r="I686" s="47" t="s">
        <v>2588</v>
      </c>
      <c r="J686" s="47" t="s">
        <v>51</v>
      </c>
      <c r="K686" s="48">
        <v>45159</v>
      </c>
      <c r="L686" s="48">
        <v>45159</v>
      </c>
      <c r="M686" s="48">
        <v>45524</v>
      </c>
      <c r="N686" s="47" t="s">
        <v>52</v>
      </c>
      <c r="O686" s="55" t="s">
        <v>53</v>
      </c>
      <c r="P686" s="62">
        <v>15600</v>
      </c>
      <c r="Q686" s="62">
        <v>1300</v>
      </c>
      <c r="R686" s="96">
        <v>16328</v>
      </c>
      <c r="S686" s="62">
        <f t="shared" si="168"/>
        <v>1360.6666666666667</v>
      </c>
      <c r="T686" s="62">
        <v>15840</v>
      </c>
      <c r="U686" s="62">
        <f t="shared" si="178"/>
        <v>1320</v>
      </c>
      <c r="V686" s="69">
        <v>14388</v>
      </c>
      <c r="W686" s="71">
        <v>1415</v>
      </c>
      <c r="X686" s="105">
        <f>W686-50</f>
        <v>1365</v>
      </c>
      <c r="Y686" s="171">
        <f>(X686-U686)/U686</f>
        <v>3.4090909090909088E-2</v>
      </c>
      <c r="Z686" s="64">
        <f t="shared" si="169"/>
        <v>7.1969696969696975E-2</v>
      </c>
      <c r="AA686" s="64">
        <f t="shared" si="174"/>
        <v>3.9931406173444331E-2</v>
      </c>
      <c r="AB686" s="71">
        <f t="shared" si="175"/>
        <v>1415</v>
      </c>
      <c r="AC686" s="64">
        <f t="shared" si="170"/>
        <v>7.1969696969696975E-2</v>
      </c>
      <c r="AD686" s="64">
        <f t="shared" si="176"/>
        <v>3.9931406173444331E-2</v>
      </c>
      <c r="AE686" s="71">
        <v>1400</v>
      </c>
      <c r="AF686" s="64">
        <f t="shared" si="171"/>
        <v>6.0606060606060608E-2</v>
      </c>
      <c r="AG686" s="64">
        <f t="shared" si="177"/>
        <v>2.8907398334149868E-2</v>
      </c>
      <c r="AH686" s="67"/>
      <c r="AI686" s="47" t="s">
        <v>54</v>
      </c>
      <c r="AJ686" s="47">
        <v>468</v>
      </c>
      <c r="AK686" s="47" t="s">
        <v>55</v>
      </c>
      <c r="AL686" s="47" t="s">
        <v>55</v>
      </c>
      <c r="AM686" s="47" t="s">
        <v>2589</v>
      </c>
      <c r="AN686" s="50"/>
      <c r="AO686" s="211">
        <f t="shared" si="172"/>
        <v>-1</v>
      </c>
      <c r="AP686" s="47" t="s">
        <v>852</v>
      </c>
      <c r="AQ686" s="94" t="s">
        <v>891</v>
      </c>
      <c r="AR686" s="47" t="s">
        <v>1698</v>
      </c>
    </row>
    <row r="687" spans="1:44">
      <c r="A687" s="47" t="s">
        <v>44</v>
      </c>
      <c r="B687" s="47" t="str">
        <f t="shared" si="167"/>
        <v>August</v>
      </c>
      <c r="C687" s="59">
        <v>45526</v>
      </c>
      <c r="D687" s="47" t="s">
        <v>45</v>
      </c>
      <c r="E687" s="47" t="s">
        <v>900</v>
      </c>
      <c r="F687" s="47" t="s">
        <v>848</v>
      </c>
      <c r="G687" s="47" t="s">
        <v>2782</v>
      </c>
      <c r="H687" s="47" t="s">
        <v>2783</v>
      </c>
      <c r="I687" s="47" t="s">
        <v>2588</v>
      </c>
      <c r="J687" s="47" t="s">
        <v>51</v>
      </c>
      <c r="K687" s="48">
        <v>44431</v>
      </c>
      <c r="L687" s="48">
        <v>45161</v>
      </c>
      <c r="M687" s="48">
        <v>45526</v>
      </c>
      <c r="N687" s="47" t="s">
        <v>64</v>
      </c>
      <c r="O687" s="55" t="s">
        <v>970</v>
      </c>
      <c r="P687" s="62">
        <v>13247</v>
      </c>
      <c r="Q687" s="62">
        <v>1103.9166666666667</v>
      </c>
      <c r="R687" s="96">
        <v>16328</v>
      </c>
      <c r="S687" s="62">
        <f t="shared" si="168"/>
        <v>1360.6666666666667</v>
      </c>
      <c r="T687" s="62">
        <v>11580</v>
      </c>
      <c r="U687" s="62">
        <f t="shared" si="178"/>
        <v>965</v>
      </c>
      <c r="V687" s="69">
        <v>11400</v>
      </c>
      <c r="W687" s="105">
        <v>1020</v>
      </c>
      <c r="X687" s="105">
        <f>W687-50</f>
        <v>970</v>
      </c>
      <c r="Y687" s="176">
        <f>(X687-U687)/U687</f>
        <v>5.1813471502590676E-3</v>
      </c>
      <c r="Z687" s="64">
        <f t="shared" si="169"/>
        <v>5.6994818652849742E-2</v>
      </c>
      <c r="AA687" s="64">
        <f t="shared" si="174"/>
        <v>-0.25036746692797651</v>
      </c>
      <c r="AB687" s="71">
        <f t="shared" si="175"/>
        <v>1020</v>
      </c>
      <c r="AC687" s="64">
        <f t="shared" si="170"/>
        <v>5.6994818652849742E-2</v>
      </c>
      <c r="AD687" s="64">
        <f t="shared" si="176"/>
        <v>-0.25036746692797651</v>
      </c>
      <c r="AE687" s="71">
        <f>AB687</f>
        <v>1020</v>
      </c>
      <c r="AF687" s="64">
        <f t="shared" si="171"/>
        <v>5.6994818652849742E-2</v>
      </c>
      <c r="AG687" s="64">
        <f t="shared" si="177"/>
        <v>-0.25036746692797651</v>
      </c>
      <c r="AH687" s="67"/>
      <c r="AI687" s="47" t="s">
        <v>54</v>
      </c>
      <c r="AJ687" s="47">
        <v>451</v>
      </c>
      <c r="AK687" s="47" t="s">
        <v>55</v>
      </c>
      <c r="AL687" s="47" t="s">
        <v>55</v>
      </c>
      <c r="AM687" s="47" t="s">
        <v>2784</v>
      </c>
      <c r="AN687" s="50"/>
      <c r="AO687" s="211">
        <f t="shared" si="172"/>
        <v>-1</v>
      </c>
      <c r="AP687" s="47" t="s">
        <v>852</v>
      </c>
      <c r="AQ687" s="91" t="s">
        <v>1132</v>
      </c>
      <c r="AR687" s="47" t="s">
        <v>2785</v>
      </c>
    </row>
    <row r="688" spans="1:44" hidden="1">
      <c r="A688" s="47" t="s">
        <v>44</v>
      </c>
      <c r="B688" s="47" t="str">
        <f t="shared" si="167"/>
        <v>July</v>
      </c>
      <c r="C688" s="59">
        <v>45493</v>
      </c>
      <c r="D688" s="47" t="s">
        <v>45</v>
      </c>
      <c r="E688" s="47" t="s">
        <v>900</v>
      </c>
      <c r="F688" s="47" t="s">
        <v>848</v>
      </c>
      <c r="G688" s="47" t="s">
        <v>2789</v>
      </c>
      <c r="H688" s="47" t="s">
        <v>2790</v>
      </c>
      <c r="I688" s="47" t="s">
        <v>50</v>
      </c>
      <c r="J688" s="47" t="s">
        <v>51</v>
      </c>
      <c r="K688" s="48">
        <v>45128</v>
      </c>
      <c r="L688" s="48">
        <v>45128</v>
      </c>
      <c r="M688" s="48">
        <v>45493</v>
      </c>
      <c r="N688" s="47" t="s">
        <v>52</v>
      </c>
      <c r="O688" s="55" t="s">
        <v>53</v>
      </c>
      <c r="P688" s="62">
        <v>19032</v>
      </c>
      <c r="Q688" s="62">
        <v>1586</v>
      </c>
      <c r="R688" s="96">
        <v>19604</v>
      </c>
      <c r="S688" s="62">
        <f t="shared" si="168"/>
        <v>1633.6666666666667</v>
      </c>
      <c r="T688" s="62">
        <v>19320</v>
      </c>
      <c r="U688" s="62">
        <f t="shared" si="178"/>
        <v>1610</v>
      </c>
      <c r="V688" s="69">
        <v>17940</v>
      </c>
      <c r="W688" s="71">
        <v>1730</v>
      </c>
      <c r="X688" s="71"/>
      <c r="Y688" s="71"/>
      <c r="Z688" s="64">
        <f t="shared" si="169"/>
        <v>7.4534161490683232E-2</v>
      </c>
      <c r="AA688" s="64">
        <f t="shared" si="174"/>
        <v>5.8967557641297644E-2</v>
      </c>
      <c r="AB688" s="71">
        <f t="shared" si="175"/>
        <v>1730</v>
      </c>
      <c r="AC688" s="64">
        <f t="shared" si="170"/>
        <v>7.4534161490683232E-2</v>
      </c>
      <c r="AD688" s="64">
        <f t="shared" si="176"/>
        <v>5.8967557641297644E-2</v>
      </c>
      <c r="AE688" s="71">
        <v>1710</v>
      </c>
      <c r="AF688" s="64">
        <f t="shared" si="171"/>
        <v>6.2111801242236024E-2</v>
      </c>
      <c r="AG688" s="64">
        <f t="shared" si="177"/>
        <v>4.6725158130993628E-2</v>
      </c>
      <c r="AH688" s="67"/>
      <c r="AI688" s="47" t="s">
        <v>54</v>
      </c>
      <c r="AJ688" s="47">
        <v>695</v>
      </c>
      <c r="AK688" s="101" t="s">
        <v>65</v>
      </c>
      <c r="AL688" s="101" t="s">
        <v>65</v>
      </c>
      <c r="AM688" s="47" t="s">
        <v>2791</v>
      </c>
      <c r="AN688" s="50"/>
      <c r="AO688" s="211">
        <f t="shared" si="172"/>
        <v>-1</v>
      </c>
      <c r="AP688" s="47" t="s">
        <v>852</v>
      </c>
      <c r="AQ688" s="94" t="s">
        <v>898</v>
      </c>
      <c r="AR688" s="47" t="s">
        <v>2311</v>
      </c>
    </row>
    <row r="689" spans="1:44" hidden="1">
      <c r="A689" s="47" t="s">
        <v>44</v>
      </c>
      <c r="B689" s="47" t="str">
        <f t="shared" si="167"/>
        <v>August</v>
      </c>
      <c r="C689" s="59">
        <v>45526</v>
      </c>
      <c r="D689" s="47" t="s">
        <v>45</v>
      </c>
      <c r="E689" s="47" t="s">
        <v>900</v>
      </c>
      <c r="F689" s="47" t="s">
        <v>848</v>
      </c>
      <c r="G689" s="47" t="s">
        <v>2792</v>
      </c>
      <c r="H689" s="47" t="s">
        <v>2793</v>
      </c>
      <c r="I689" s="47" t="s">
        <v>2794</v>
      </c>
      <c r="J689" s="47" t="s">
        <v>51</v>
      </c>
      <c r="K689" s="48">
        <v>45161</v>
      </c>
      <c r="L689" s="48">
        <v>45161</v>
      </c>
      <c r="M689" s="48">
        <v>45526</v>
      </c>
      <c r="N689" s="47" t="s">
        <v>52</v>
      </c>
      <c r="O689" s="55" t="s">
        <v>53</v>
      </c>
      <c r="P689" s="62">
        <v>19136</v>
      </c>
      <c r="Q689" s="62">
        <v>1594.6666666666667</v>
      </c>
      <c r="R689" s="96">
        <v>19656</v>
      </c>
      <c r="S689" s="62">
        <f t="shared" si="168"/>
        <v>1638</v>
      </c>
      <c r="T689" s="62">
        <v>19500</v>
      </c>
      <c r="U689" s="62">
        <f t="shared" si="178"/>
        <v>1625</v>
      </c>
      <c r="V689" s="69">
        <v>17527.560000000001</v>
      </c>
      <c r="W689" s="71">
        <v>1710</v>
      </c>
      <c r="X689" s="71"/>
      <c r="Y689" s="71"/>
      <c r="Z689" s="64">
        <f t="shared" si="169"/>
        <v>5.2307692307692305E-2</v>
      </c>
      <c r="AA689" s="64">
        <f t="shared" si="174"/>
        <v>4.3956043956043959E-2</v>
      </c>
      <c r="AB689" s="71">
        <f t="shared" si="175"/>
        <v>1710</v>
      </c>
      <c r="AC689" s="64">
        <f t="shared" si="170"/>
        <v>5.2307692307692305E-2</v>
      </c>
      <c r="AD689" s="64">
        <f t="shared" si="176"/>
        <v>4.3956043956043959E-2</v>
      </c>
      <c r="AE689" s="71">
        <v>1700</v>
      </c>
      <c r="AF689" s="64">
        <f t="shared" si="171"/>
        <v>4.6153846153846156E-2</v>
      </c>
      <c r="AG689" s="64">
        <f t="shared" si="177"/>
        <v>3.7851037851037848E-2</v>
      </c>
      <c r="AH689" s="67"/>
      <c r="AI689" s="47" t="s">
        <v>54</v>
      </c>
      <c r="AJ689" s="47">
        <v>702</v>
      </c>
      <c r="AK689" s="47" t="s">
        <v>65</v>
      </c>
      <c r="AL689" s="47" t="s">
        <v>65</v>
      </c>
      <c r="AM689" s="47" t="s">
        <v>2795</v>
      </c>
      <c r="AN689" s="50"/>
      <c r="AO689" s="211">
        <f t="shared" si="172"/>
        <v>-1</v>
      </c>
      <c r="AP689" s="47" t="s">
        <v>852</v>
      </c>
      <c r="AQ689" s="91" t="s">
        <v>1132</v>
      </c>
      <c r="AR689" s="47" t="s">
        <v>2796</v>
      </c>
    </row>
    <row r="690" spans="1:44" hidden="1">
      <c r="A690" s="47" t="s">
        <v>44</v>
      </c>
      <c r="B690" s="47" t="str">
        <f t="shared" si="167"/>
        <v>August</v>
      </c>
      <c r="C690" s="59">
        <v>45527</v>
      </c>
      <c r="D690" s="47" t="s">
        <v>45</v>
      </c>
      <c r="E690" s="47" t="s">
        <v>900</v>
      </c>
      <c r="F690" s="47" t="s">
        <v>848</v>
      </c>
      <c r="G690" s="47" t="s">
        <v>2847</v>
      </c>
      <c r="H690" s="47" t="s">
        <v>2848</v>
      </c>
      <c r="I690" s="47" t="s">
        <v>50</v>
      </c>
      <c r="J690" s="47" t="s">
        <v>51</v>
      </c>
      <c r="K690" s="48">
        <v>45162</v>
      </c>
      <c r="L690" s="48">
        <v>45162</v>
      </c>
      <c r="M690" s="48">
        <v>45527</v>
      </c>
      <c r="N690" s="47" t="s">
        <v>52</v>
      </c>
      <c r="O690" s="55" t="s">
        <v>53</v>
      </c>
      <c r="P690" s="62">
        <v>19396</v>
      </c>
      <c r="Q690" s="62">
        <v>1616.3333333333333</v>
      </c>
      <c r="R690" s="96">
        <v>19916</v>
      </c>
      <c r="S690" s="62">
        <f t="shared" si="168"/>
        <v>1659.6666666666667</v>
      </c>
      <c r="T690" s="62">
        <v>20160</v>
      </c>
      <c r="U690" s="62">
        <f t="shared" si="178"/>
        <v>1680</v>
      </c>
      <c r="V690" s="69">
        <v>19020</v>
      </c>
      <c r="W690" s="71">
        <v>1785</v>
      </c>
      <c r="X690" s="71"/>
      <c r="Y690" s="71"/>
      <c r="Z690" s="64">
        <f t="shared" si="169"/>
        <v>6.25E-2</v>
      </c>
      <c r="AA690" s="64">
        <f t="shared" si="174"/>
        <v>7.5517172122916199E-2</v>
      </c>
      <c r="AB690" s="71">
        <f t="shared" si="175"/>
        <v>1785</v>
      </c>
      <c r="AC690" s="64">
        <f t="shared" si="170"/>
        <v>6.25E-2</v>
      </c>
      <c r="AD690" s="64">
        <f t="shared" si="176"/>
        <v>7.5517172122916199E-2</v>
      </c>
      <c r="AE690" s="71">
        <v>1750</v>
      </c>
      <c r="AF690" s="64">
        <f t="shared" si="171"/>
        <v>4.1666666666666664E-2</v>
      </c>
      <c r="AG690" s="64">
        <f t="shared" si="177"/>
        <v>5.4428600120506078E-2</v>
      </c>
      <c r="AH690" s="67"/>
      <c r="AI690" s="47" t="s">
        <v>54</v>
      </c>
      <c r="AJ690" s="47">
        <v>763</v>
      </c>
      <c r="AK690" s="47" t="s">
        <v>65</v>
      </c>
      <c r="AL690" s="47" t="s">
        <v>65</v>
      </c>
      <c r="AM690" s="47" t="s">
        <v>2849</v>
      </c>
      <c r="AN690" s="50"/>
      <c r="AO690" s="211">
        <f t="shared" si="172"/>
        <v>-1</v>
      </c>
      <c r="AP690" s="47" t="s">
        <v>852</v>
      </c>
      <c r="AQ690" s="91" t="s">
        <v>1132</v>
      </c>
      <c r="AR690" s="47"/>
    </row>
    <row r="691" spans="1:44" hidden="1">
      <c r="A691" s="47" t="s">
        <v>44</v>
      </c>
      <c r="B691" s="47" t="str">
        <f t="shared" si="167"/>
        <v>August</v>
      </c>
      <c r="C691" s="59">
        <v>45531</v>
      </c>
      <c r="D691" s="47" t="s">
        <v>45</v>
      </c>
      <c r="E691" s="47" t="s">
        <v>900</v>
      </c>
      <c r="F691" s="47" t="s">
        <v>848</v>
      </c>
      <c r="G691" s="47" t="s">
        <v>3186</v>
      </c>
      <c r="H691" s="47" t="s">
        <v>3187</v>
      </c>
      <c r="I691" s="47" t="s">
        <v>50</v>
      </c>
      <c r="J691" s="47" t="s">
        <v>51</v>
      </c>
      <c r="K691" s="48">
        <v>45166</v>
      </c>
      <c r="L691" s="48">
        <v>45166</v>
      </c>
      <c r="M691" s="48">
        <v>45531</v>
      </c>
      <c r="N691" s="47" t="s">
        <v>52</v>
      </c>
      <c r="O691" s="55" t="s">
        <v>53</v>
      </c>
      <c r="P691" s="62">
        <v>15600</v>
      </c>
      <c r="Q691" s="62">
        <v>1300</v>
      </c>
      <c r="R691" s="96">
        <v>16328</v>
      </c>
      <c r="S691" s="62">
        <f t="shared" si="168"/>
        <v>1360.6666666666667</v>
      </c>
      <c r="T691" s="62">
        <v>15720</v>
      </c>
      <c r="U691" s="62">
        <f t="shared" si="178"/>
        <v>1310</v>
      </c>
      <c r="V691" s="69">
        <v>14220</v>
      </c>
      <c r="W691" s="71">
        <v>1405</v>
      </c>
      <c r="X691" s="105">
        <f>W691-50</f>
        <v>1355</v>
      </c>
      <c r="Y691" s="171">
        <f>(X691-U691)/U691</f>
        <v>3.4351145038167941E-2</v>
      </c>
      <c r="Z691" s="64">
        <f t="shared" si="169"/>
        <v>7.2519083969465645E-2</v>
      </c>
      <c r="AA691" s="64">
        <f t="shared" si="174"/>
        <v>3.2582067613914689E-2</v>
      </c>
      <c r="AB691" s="71">
        <f t="shared" si="175"/>
        <v>1405</v>
      </c>
      <c r="AC691" s="64">
        <f t="shared" si="170"/>
        <v>7.2519083969465645E-2</v>
      </c>
      <c r="AD691" s="64">
        <f t="shared" si="176"/>
        <v>3.2582067613914689E-2</v>
      </c>
      <c r="AE691" s="71">
        <v>1400</v>
      </c>
      <c r="AF691" s="64">
        <f t="shared" si="171"/>
        <v>6.8702290076335881E-2</v>
      </c>
      <c r="AG691" s="64">
        <f t="shared" si="177"/>
        <v>2.8907398334149868E-2</v>
      </c>
      <c r="AH691" s="67">
        <v>1380</v>
      </c>
      <c r="AI691" s="47" t="s">
        <v>54</v>
      </c>
      <c r="AJ691" s="47">
        <v>463</v>
      </c>
      <c r="AK691" s="47" t="s">
        <v>55</v>
      </c>
      <c r="AL691" s="47" t="s">
        <v>55</v>
      </c>
      <c r="AM691" s="47" t="s">
        <v>3188</v>
      </c>
      <c r="AN691" s="50">
        <v>1380</v>
      </c>
      <c r="AO691" s="211">
        <f t="shared" si="172"/>
        <v>5.3435114503816793E-2</v>
      </c>
      <c r="AP691" s="47" t="s">
        <v>852</v>
      </c>
      <c r="AQ691" s="223" t="s">
        <v>125</v>
      </c>
      <c r="AR691" s="47" t="s">
        <v>3189</v>
      </c>
    </row>
    <row r="692" spans="1:44">
      <c r="A692" s="47" t="s">
        <v>44</v>
      </c>
      <c r="B692" s="47" t="str">
        <f t="shared" si="167"/>
        <v>August</v>
      </c>
      <c r="C692" s="59">
        <v>45531</v>
      </c>
      <c r="D692" s="47" t="s">
        <v>45</v>
      </c>
      <c r="E692" s="47" t="s">
        <v>900</v>
      </c>
      <c r="F692" s="47" t="s">
        <v>848</v>
      </c>
      <c r="G692" s="47" t="s">
        <v>3206</v>
      </c>
      <c r="H692" s="47" t="s">
        <v>3207</v>
      </c>
      <c r="I692" s="47" t="s">
        <v>50</v>
      </c>
      <c r="J692" s="47" t="s">
        <v>51</v>
      </c>
      <c r="K692" s="48">
        <v>44436</v>
      </c>
      <c r="L692" s="48">
        <v>45166</v>
      </c>
      <c r="M692" s="48">
        <v>45531</v>
      </c>
      <c r="N692" s="47" t="s">
        <v>64</v>
      </c>
      <c r="O692" s="55" t="s">
        <v>53</v>
      </c>
      <c r="P692" s="62">
        <v>15548</v>
      </c>
      <c r="Q692" s="62">
        <v>1295.6666666666667</v>
      </c>
      <c r="R692" s="96">
        <v>16276</v>
      </c>
      <c r="S692" s="62">
        <f t="shared" si="168"/>
        <v>1356.3333333333333</v>
      </c>
      <c r="T692" s="62">
        <v>15240</v>
      </c>
      <c r="U692" s="62">
        <f t="shared" si="178"/>
        <v>1270</v>
      </c>
      <c r="V692" s="69">
        <v>14220</v>
      </c>
      <c r="W692" s="71">
        <v>1405</v>
      </c>
      <c r="X692" s="105">
        <f>W692-50</f>
        <v>1355</v>
      </c>
      <c r="Y692" s="171">
        <f>(X692-U692)/U692</f>
        <v>6.6929133858267723E-2</v>
      </c>
      <c r="Z692" s="64">
        <f t="shared" si="169"/>
        <v>0.1062992125984252</v>
      </c>
      <c r="AA692" s="64">
        <f t="shared" si="174"/>
        <v>3.5881051855492806E-2</v>
      </c>
      <c r="AB692" s="71">
        <f t="shared" si="175"/>
        <v>1405</v>
      </c>
      <c r="AC692" s="64">
        <f t="shared" si="170"/>
        <v>0.1062992125984252</v>
      </c>
      <c r="AD692" s="64">
        <f t="shared" si="176"/>
        <v>3.5881051855492806E-2</v>
      </c>
      <c r="AE692" s="71">
        <v>1385</v>
      </c>
      <c r="AF692" s="64">
        <f t="shared" si="171"/>
        <v>9.055118110236221E-2</v>
      </c>
      <c r="AG692" s="64">
        <f t="shared" si="177"/>
        <v>2.1135414106660168E-2</v>
      </c>
      <c r="AH692" s="67"/>
      <c r="AI692" s="47" t="s">
        <v>54</v>
      </c>
      <c r="AJ692" s="47">
        <v>440</v>
      </c>
      <c r="AK692" s="47" t="s">
        <v>55</v>
      </c>
      <c r="AL692" s="47" t="s">
        <v>55</v>
      </c>
      <c r="AM692" s="47" t="s">
        <v>3208</v>
      </c>
      <c r="AN692" s="50"/>
      <c r="AO692" s="211">
        <f t="shared" si="172"/>
        <v>-1</v>
      </c>
      <c r="AP692" s="47" t="s">
        <v>852</v>
      </c>
      <c r="AQ692" s="91" t="s">
        <v>1074</v>
      </c>
      <c r="AR692" s="47" t="s">
        <v>1757</v>
      </c>
    </row>
    <row r="693" spans="1:44">
      <c r="A693" s="47" t="s">
        <v>44</v>
      </c>
      <c r="B693" s="47" t="str">
        <f t="shared" si="167"/>
        <v>August</v>
      </c>
      <c r="C693" s="59">
        <v>45531</v>
      </c>
      <c r="D693" s="47" t="s">
        <v>45</v>
      </c>
      <c r="E693" s="47" t="s">
        <v>900</v>
      </c>
      <c r="F693" s="47" t="s">
        <v>848</v>
      </c>
      <c r="G693" s="47" t="s">
        <v>3243</v>
      </c>
      <c r="H693" s="47" t="s">
        <v>3244</v>
      </c>
      <c r="I693" s="47" t="s">
        <v>50</v>
      </c>
      <c r="J693" s="47" t="s">
        <v>51</v>
      </c>
      <c r="K693" s="48">
        <v>44344</v>
      </c>
      <c r="L693" s="48">
        <v>45166</v>
      </c>
      <c r="M693" s="48">
        <v>45531</v>
      </c>
      <c r="N693" s="47" t="s">
        <v>64</v>
      </c>
      <c r="O693" s="55" t="s">
        <v>53</v>
      </c>
      <c r="P693" s="62">
        <v>19136</v>
      </c>
      <c r="Q693" s="62">
        <v>1594.6666666666667</v>
      </c>
      <c r="R693" s="96">
        <v>19656</v>
      </c>
      <c r="S693" s="62">
        <f t="shared" si="168"/>
        <v>1638</v>
      </c>
      <c r="T693" s="62">
        <v>18300</v>
      </c>
      <c r="U693" s="62">
        <f t="shared" si="178"/>
        <v>1525</v>
      </c>
      <c r="V693" s="69">
        <v>17512.2</v>
      </c>
      <c r="W693" s="71">
        <v>1715</v>
      </c>
      <c r="X693" s="71"/>
      <c r="Y693" s="71"/>
      <c r="Z693" s="64">
        <f t="shared" si="169"/>
        <v>0.12459016393442623</v>
      </c>
      <c r="AA693" s="64">
        <f t="shared" si="174"/>
        <v>4.7008547008547008E-2</v>
      </c>
      <c r="AB693" s="71">
        <f t="shared" si="175"/>
        <v>1715</v>
      </c>
      <c r="AC693" s="64">
        <f t="shared" si="170"/>
        <v>0.12459016393442623</v>
      </c>
      <c r="AD693" s="64">
        <f t="shared" si="176"/>
        <v>4.7008547008547008E-2</v>
      </c>
      <c r="AE693" s="71">
        <v>1695</v>
      </c>
      <c r="AF693" s="64">
        <f t="shared" si="171"/>
        <v>0.11147540983606558</v>
      </c>
      <c r="AG693" s="64">
        <f t="shared" si="177"/>
        <v>3.47985347985348E-2</v>
      </c>
      <c r="AH693" s="67"/>
      <c r="AI693" s="47" t="s">
        <v>54</v>
      </c>
      <c r="AJ693" s="47">
        <v>700</v>
      </c>
      <c r="AK693" s="47" t="s">
        <v>65</v>
      </c>
      <c r="AL693" s="47" t="s">
        <v>65</v>
      </c>
      <c r="AM693" s="47" t="s">
        <v>3245</v>
      </c>
      <c r="AN693" s="50"/>
      <c r="AO693" s="211">
        <f t="shared" si="172"/>
        <v>-1</v>
      </c>
      <c r="AP693" s="47" t="s">
        <v>852</v>
      </c>
      <c r="AQ693" s="56" t="s">
        <v>1039</v>
      </c>
      <c r="AR693" s="47" t="s">
        <v>960</v>
      </c>
    </row>
    <row r="694" spans="1:44">
      <c r="A694" s="47" t="s">
        <v>44</v>
      </c>
      <c r="B694" s="47" t="str">
        <f t="shared" si="167"/>
        <v>August</v>
      </c>
      <c r="C694" s="59">
        <v>45535</v>
      </c>
      <c r="D694" s="47" t="s">
        <v>45</v>
      </c>
      <c r="E694" s="47" t="s">
        <v>900</v>
      </c>
      <c r="F694" s="47" t="s">
        <v>848</v>
      </c>
      <c r="G694" s="47" t="s">
        <v>3761</v>
      </c>
      <c r="H694" s="47" t="s">
        <v>3762</v>
      </c>
      <c r="I694" s="47" t="s">
        <v>50</v>
      </c>
      <c r="J694" s="47" t="s">
        <v>51</v>
      </c>
      <c r="K694" s="48">
        <v>44805</v>
      </c>
      <c r="L694" s="48">
        <v>45170</v>
      </c>
      <c r="M694" s="48">
        <v>45535</v>
      </c>
      <c r="N694" s="47" t="s">
        <v>64</v>
      </c>
      <c r="O694" s="55" t="s">
        <v>53</v>
      </c>
      <c r="P694" s="62">
        <v>19136</v>
      </c>
      <c r="Q694" s="62">
        <v>1594.6666666666667</v>
      </c>
      <c r="R694" s="96">
        <v>19656</v>
      </c>
      <c r="S694" s="62">
        <f t="shared" si="168"/>
        <v>1638</v>
      </c>
      <c r="T694" s="62">
        <v>18660</v>
      </c>
      <c r="U694" s="62">
        <f t="shared" si="178"/>
        <v>1555</v>
      </c>
      <c r="V694" s="69">
        <v>17940</v>
      </c>
      <c r="W694" s="71">
        <v>1715</v>
      </c>
      <c r="X694" s="71"/>
      <c r="Y694" s="71"/>
      <c r="Z694" s="64">
        <f t="shared" si="169"/>
        <v>0.10289389067524116</v>
      </c>
      <c r="AA694" s="64">
        <f t="shared" si="174"/>
        <v>4.7008547008547008E-2</v>
      </c>
      <c r="AB694" s="71">
        <f t="shared" si="175"/>
        <v>1715</v>
      </c>
      <c r="AC694" s="64">
        <f t="shared" si="170"/>
        <v>0.10289389067524116</v>
      </c>
      <c r="AD694" s="64">
        <f t="shared" si="176"/>
        <v>4.7008547008547008E-2</v>
      </c>
      <c r="AE694" s="71">
        <v>1695</v>
      </c>
      <c r="AF694" s="64">
        <f t="shared" si="171"/>
        <v>9.0032154340836015E-2</v>
      </c>
      <c r="AG694" s="64">
        <f t="shared" si="177"/>
        <v>3.47985347985348E-2</v>
      </c>
      <c r="AH694" s="67"/>
      <c r="AI694" s="47" t="s">
        <v>54</v>
      </c>
      <c r="AJ694" s="47">
        <v>700</v>
      </c>
      <c r="AK694" s="47" t="s">
        <v>65</v>
      </c>
      <c r="AL694" s="47" t="s">
        <v>65</v>
      </c>
      <c r="AM694" s="47" t="s">
        <v>3245</v>
      </c>
      <c r="AN694" s="50"/>
      <c r="AO694" s="211">
        <f t="shared" si="172"/>
        <v>-1</v>
      </c>
      <c r="AP694" s="47" t="s">
        <v>852</v>
      </c>
      <c r="AQ694" s="94" t="s">
        <v>1039</v>
      </c>
      <c r="AR694" s="47" t="s">
        <v>960</v>
      </c>
    </row>
    <row r="695" spans="1:44">
      <c r="A695" s="47" t="s">
        <v>44</v>
      </c>
      <c r="B695" s="47" t="str">
        <f t="shared" si="167"/>
        <v>August</v>
      </c>
      <c r="C695" s="59">
        <v>45535</v>
      </c>
      <c r="D695" s="47" t="s">
        <v>45</v>
      </c>
      <c r="E695" s="47" t="s">
        <v>900</v>
      </c>
      <c r="F695" s="47" t="s">
        <v>848</v>
      </c>
      <c r="G695" s="47" t="s">
        <v>3767</v>
      </c>
      <c r="H695" s="47" t="s">
        <v>3768</v>
      </c>
      <c r="I695" s="47" t="s">
        <v>50</v>
      </c>
      <c r="J695" s="47" t="s">
        <v>51</v>
      </c>
      <c r="K695" s="48">
        <v>44805</v>
      </c>
      <c r="L695" s="48">
        <v>45170</v>
      </c>
      <c r="M695" s="48">
        <v>45535</v>
      </c>
      <c r="N695" s="47" t="s">
        <v>64</v>
      </c>
      <c r="O695" s="55" t="s">
        <v>53</v>
      </c>
      <c r="P695" s="62">
        <v>19136</v>
      </c>
      <c r="Q695" s="62">
        <v>1594.6666666666667</v>
      </c>
      <c r="R695" s="96">
        <v>19656</v>
      </c>
      <c r="S695" s="62">
        <f t="shared" si="168"/>
        <v>1638</v>
      </c>
      <c r="T695" s="62">
        <v>18900</v>
      </c>
      <c r="U695" s="62">
        <f t="shared" si="178"/>
        <v>1575</v>
      </c>
      <c r="V695" s="69">
        <v>17820</v>
      </c>
      <c r="W695" s="71">
        <v>1735</v>
      </c>
      <c r="X695" s="71"/>
      <c r="Y695" s="71"/>
      <c r="Z695" s="64">
        <f t="shared" si="169"/>
        <v>0.10158730158730159</v>
      </c>
      <c r="AA695" s="64">
        <f t="shared" si="174"/>
        <v>5.9218559218559216E-2</v>
      </c>
      <c r="AB695" s="71">
        <f t="shared" si="175"/>
        <v>1735</v>
      </c>
      <c r="AC695" s="64">
        <f t="shared" si="170"/>
        <v>0.10158730158730159</v>
      </c>
      <c r="AD695" s="64">
        <f t="shared" si="176"/>
        <v>5.9218559218559216E-2</v>
      </c>
      <c r="AE695" s="71" t="e">
        <f>+AA718</f>
        <v>#VALUE!</v>
      </c>
      <c r="AF695" s="64" t="e">
        <f t="shared" si="171"/>
        <v>#VALUE!</v>
      </c>
      <c r="AG695" s="64" t="e">
        <f t="shared" si="177"/>
        <v>#VALUE!</v>
      </c>
      <c r="AH695" s="67"/>
      <c r="AI695" s="47" t="s">
        <v>54</v>
      </c>
      <c r="AJ695" s="47">
        <v>700</v>
      </c>
      <c r="AK695" s="47" t="s">
        <v>65</v>
      </c>
      <c r="AL695" s="47" t="s">
        <v>65</v>
      </c>
      <c r="AM695" s="47" t="s">
        <v>3769</v>
      </c>
      <c r="AN695" s="50"/>
      <c r="AO695" s="211">
        <f t="shared" si="172"/>
        <v>-1</v>
      </c>
      <c r="AP695" s="47" t="s">
        <v>852</v>
      </c>
      <c r="AQ695" s="91" t="s">
        <v>1132</v>
      </c>
      <c r="AR695" s="47"/>
    </row>
    <row r="696" spans="1:44">
      <c r="A696" s="47"/>
      <c r="B696" s="47" t="str">
        <f t="shared" si="167"/>
        <v>19/07/2024</v>
      </c>
      <c r="C696" s="59" t="s">
        <v>3820</v>
      </c>
      <c r="D696" s="53" t="s">
        <v>45</v>
      </c>
      <c r="E696" s="47" t="s">
        <v>900</v>
      </c>
      <c r="F696" s="47"/>
      <c r="G696" s="47" t="s">
        <v>3821</v>
      </c>
      <c r="H696" s="47"/>
      <c r="I696" s="47" t="s">
        <v>3822</v>
      </c>
      <c r="J696" s="47"/>
      <c r="K696" s="47"/>
      <c r="L696" s="47"/>
      <c r="M696" s="47"/>
      <c r="N696" s="47"/>
      <c r="O696" s="55" t="s">
        <v>53</v>
      </c>
      <c r="P696" s="62">
        <v>19396</v>
      </c>
      <c r="Q696" s="62">
        <v>1616</v>
      </c>
      <c r="R696" s="103">
        <v>19920</v>
      </c>
      <c r="S696" s="62">
        <f t="shared" si="168"/>
        <v>1660</v>
      </c>
      <c r="T696" s="55"/>
      <c r="U696" s="62">
        <v>1590</v>
      </c>
      <c r="V696" s="69"/>
      <c r="W696" s="71">
        <v>1770</v>
      </c>
      <c r="X696" s="71"/>
      <c r="Y696" s="71"/>
      <c r="Z696" s="90">
        <f t="shared" si="169"/>
        <v>0.11320754716981132</v>
      </c>
      <c r="AA696" s="90">
        <f t="shared" si="174"/>
        <v>6.6265060240963861E-2</v>
      </c>
      <c r="AB696" s="71">
        <v>1770</v>
      </c>
      <c r="AC696" s="90">
        <f t="shared" si="170"/>
        <v>0.11320754716981132</v>
      </c>
      <c r="AD696" s="90">
        <f t="shared" si="176"/>
        <v>6.6265060240963861E-2</v>
      </c>
      <c r="AE696" s="71">
        <v>1700</v>
      </c>
      <c r="AF696" s="90">
        <f t="shared" si="171"/>
        <v>6.9182389937106917E-2</v>
      </c>
      <c r="AG696" s="90">
        <f t="shared" si="177"/>
        <v>2.4096385542168676E-2</v>
      </c>
      <c r="AH696" s="67"/>
      <c r="AI696" s="47"/>
      <c r="AJ696" s="47" t="s">
        <v>3823</v>
      </c>
      <c r="AK696" s="47">
        <v>2</v>
      </c>
      <c r="AL696" s="47">
        <v>2</v>
      </c>
      <c r="AM696" s="47" t="s">
        <v>3824</v>
      </c>
      <c r="AN696" s="47">
        <v>1700</v>
      </c>
      <c r="AO696" s="211">
        <f t="shared" si="172"/>
        <v>6.9182389937106917E-2</v>
      </c>
      <c r="AP696" s="47" t="s">
        <v>852</v>
      </c>
      <c r="AQ696" s="111" t="s">
        <v>125</v>
      </c>
      <c r="AR696" s="47" t="s">
        <v>3113</v>
      </c>
    </row>
    <row r="697" spans="1:44">
      <c r="A697" s="47" t="s">
        <v>44</v>
      </c>
      <c r="B697" s="47" t="str">
        <f t="shared" si="167"/>
        <v>August</v>
      </c>
      <c r="C697" s="59">
        <v>45509</v>
      </c>
      <c r="D697" s="47" t="s">
        <v>83</v>
      </c>
      <c r="E697" s="47" t="s">
        <v>1140</v>
      </c>
      <c r="F697" s="47" t="s">
        <v>880</v>
      </c>
      <c r="G697" s="47" t="s">
        <v>1141</v>
      </c>
      <c r="H697" s="47" t="s">
        <v>1142</v>
      </c>
      <c r="I697" s="47" t="s">
        <v>50</v>
      </c>
      <c r="J697" s="47" t="s">
        <v>51</v>
      </c>
      <c r="K697" s="48">
        <v>44049</v>
      </c>
      <c r="L697" s="48">
        <v>45144</v>
      </c>
      <c r="M697" s="48">
        <v>45509</v>
      </c>
      <c r="N697" s="47" t="s">
        <v>64</v>
      </c>
      <c r="O697" s="55" t="s">
        <v>327</v>
      </c>
      <c r="P697" s="62">
        <v>23764</v>
      </c>
      <c r="Q697" s="62">
        <v>1980.3333333333333</v>
      </c>
      <c r="R697" s="103">
        <v>24700</v>
      </c>
      <c r="S697" s="62">
        <f t="shared" si="168"/>
        <v>2058.3333333333335</v>
      </c>
      <c r="T697" s="62">
        <v>22200</v>
      </c>
      <c r="U697" s="137">
        <f t="shared" ref="U697:U708" si="179">T697/12</f>
        <v>1850</v>
      </c>
      <c r="V697" s="69">
        <v>20640</v>
      </c>
      <c r="W697" s="71" t="s">
        <v>123</v>
      </c>
      <c r="X697" s="71"/>
      <c r="Y697" s="71"/>
      <c r="Z697" s="64" t="e">
        <f t="shared" si="169"/>
        <v>#VALUE!</v>
      </c>
      <c r="AA697" s="64" t="e">
        <f t="shared" si="174"/>
        <v>#VALUE!</v>
      </c>
      <c r="AB697" s="71">
        <v>2085</v>
      </c>
      <c r="AC697" s="64">
        <f t="shared" si="170"/>
        <v>0.12702702702702703</v>
      </c>
      <c r="AD697" s="64">
        <f t="shared" si="176"/>
        <v>1.2955465587044459E-2</v>
      </c>
      <c r="AE697" s="175">
        <v>2015</v>
      </c>
      <c r="AF697" s="64">
        <f t="shared" si="171"/>
        <v>8.9189189189189194E-2</v>
      </c>
      <c r="AG697" s="64">
        <f t="shared" si="177"/>
        <v>-2.1052631578947441E-2</v>
      </c>
      <c r="AH697" s="67" t="s">
        <v>1143</v>
      </c>
      <c r="AI697" s="47" t="s">
        <v>54</v>
      </c>
      <c r="AJ697" s="47">
        <v>810.57</v>
      </c>
      <c r="AK697" s="47" t="s">
        <v>55</v>
      </c>
      <c r="AL697" s="47" t="s">
        <v>55</v>
      </c>
      <c r="AM697" s="47" t="s">
        <v>1144</v>
      </c>
      <c r="AN697" s="47">
        <v>2085</v>
      </c>
      <c r="AO697" s="211">
        <f t="shared" si="172"/>
        <v>0.12702702702702703</v>
      </c>
      <c r="AP697" s="47" t="s">
        <v>90</v>
      </c>
      <c r="AQ697" s="91" t="s">
        <v>116</v>
      </c>
      <c r="AR697" s="47"/>
    </row>
    <row r="698" spans="1:44" hidden="1">
      <c r="A698" s="47" t="s">
        <v>44</v>
      </c>
      <c r="B698" s="47" t="str">
        <f t="shared" si="167"/>
        <v>August</v>
      </c>
      <c r="C698" s="59">
        <v>45511</v>
      </c>
      <c r="D698" s="47" t="s">
        <v>83</v>
      </c>
      <c r="E698" s="47" t="s">
        <v>1140</v>
      </c>
      <c r="F698" s="47" t="s">
        <v>880</v>
      </c>
      <c r="G698" s="47" t="s">
        <v>1326</v>
      </c>
      <c r="H698" s="47" t="s">
        <v>1327</v>
      </c>
      <c r="I698" s="47" t="s">
        <v>50</v>
      </c>
      <c r="J698" s="47" t="s">
        <v>51</v>
      </c>
      <c r="K698" s="48">
        <v>45146</v>
      </c>
      <c r="L698" s="48">
        <v>45146</v>
      </c>
      <c r="M698" s="48">
        <v>45511</v>
      </c>
      <c r="N698" s="47" t="s">
        <v>52</v>
      </c>
      <c r="O698" s="55" t="s">
        <v>53</v>
      </c>
      <c r="P698" s="62">
        <v>39676</v>
      </c>
      <c r="Q698" s="62">
        <v>3306.3333333333335</v>
      </c>
      <c r="R698" s="103">
        <v>40144</v>
      </c>
      <c r="S698" s="62">
        <f t="shared" si="168"/>
        <v>3345.3333333333335</v>
      </c>
      <c r="T698" s="62">
        <v>39000</v>
      </c>
      <c r="U698" s="62">
        <f t="shared" si="179"/>
        <v>3250</v>
      </c>
      <c r="V698" s="69">
        <v>35820</v>
      </c>
      <c r="W698" s="71" t="s">
        <v>123</v>
      </c>
      <c r="X698" s="71"/>
      <c r="Y698" s="71"/>
      <c r="Z698" s="64" t="e">
        <f t="shared" si="169"/>
        <v>#VALUE!</v>
      </c>
      <c r="AA698" s="64" t="e">
        <f t="shared" si="174"/>
        <v>#VALUE!</v>
      </c>
      <c r="AB698" s="71">
        <v>3500</v>
      </c>
      <c r="AC698" s="64">
        <f t="shared" si="170"/>
        <v>7.6923076923076927E-2</v>
      </c>
      <c r="AD698" s="64">
        <f t="shared" si="176"/>
        <v>4.6233559186927016E-2</v>
      </c>
      <c r="AE698" s="71">
        <v>3400</v>
      </c>
      <c r="AF698" s="64">
        <f t="shared" si="171"/>
        <v>4.6153846153846156E-2</v>
      </c>
      <c r="AG698" s="64">
        <f t="shared" si="177"/>
        <v>1.6341171781586242E-2</v>
      </c>
      <c r="AH698" s="67"/>
      <c r="AI698" s="47" t="s">
        <v>54</v>
      </c>
      <c r="AJ698" s="47">
        <v>1110</v>
      </c>
      <c r="AK698" s="47" t="s">
        <v>140</v>
      </c>
      <c r="AL698" s="47" t="s">
        <v>65</v>
      </c>
      <c r="AM698" s="47" t="s">
        <v>1328</v>
      </c>
      <c r="AN698" s="47"/>
      <c r="AO698" s="211">
        <f t="shared" si="172"/>
        <v>-1</v>
      </c>
      <c r="AP698" s="47" t="s">
        <v>90</v>
      </c>
      <c r="AQ698" s="94" t="s">
        <v>891</v>
      </c>
      <c r="AR698" s="47"/>
    </row>
    <row r="699" spans="1:44">
      <c r="A699" s="47" t="s">
        <v>44</v>
      </c>
      <c r="B699" s="47" t="str">
        <f t="shared" si="167"/>
        <v>August</v>
      </c>
      <c r="C699" s="59">
        <v>45518</v>
      </c>
      <c r="D699" s="47" t="s">
        <v>83</v>
      </c>
      <c r="E699" s="47" t="s">
        <v>1140</v>
      </c>
      <c r="F699" s="47" t="s">
        <v>880</v>
      </c>
      <c r="G699" s="47" t="s">
        <v>1933</v>
      </c>
      <c r="H699" s="47" t="s">
        <v>1934</v>
      </c>
      <c r="I699" s="47" t="s">
        <v>50</v>
      </c>
      <c r="J699" s="47" t="s">
        <v>51</v>
      </c>
      <c r="K699" s="48">
        <v>42887</v>
      </c>
      <c r="L699" s="48">
        <v>45153</v>
      </c>
      <c r="M699" s="48">
        <v>45518</v>
      </c>
      <c r="N699" s="47" t="s">
        <v>64</v>
      </c>
      <c r="O699" s="55" t="s">
        <v>327</v>
      </c>
      <c r="P699" s="62">
        <v>23764</v>
      </c>
      <c r="Q699" s="62">
        <v>1980.3333333333333</v>
      </c>
      <c r="R699" s="103">
        <v>24960</v>
      </c>
      <c r="S699" s="62">
        <f t="shared" si="168"/>
        <v>2080</v>
      </c>
      <c r="T699" s="62">
        <v>22800</v>
      </c>
      <c r="U699" s="62">
        <f t="shared" si="179"/>
        <v>1900</v>
      </c>
      <c r="V699" s="69">
        <v>21240</v>
      </c>
      <c r="W699" s="71" t="s">
        <v>123</v>
      </c>
      <c r="X699" s="71"/>
      <c r="Y699" s="71"/>
      <c r="Z699" s="64" t="e">
        <f t="shared" si="169"/>
        <v>#VALUE!</v>
      </c>
      <c r="AA699" s="64" t="e">
        <f t="shared" si="174"/>
        <v>#VALUE!</v>
      </c>
      <c r="AB699" s="71">
        <v>2100</v>
      </c>
      <c r="AC699" s="64">
        <f t="shared" si="170"/>
        <v>0.10526315789473684</v>
      </c>
      <c r="AD699" s="64">
        <f t="shared" si="176"/>
        <v>9.6153846153846159E-3</v>
      </c>
      <c r="AE699" s="71">
        <v>2085</v>
      </c>
      <c r="AF699" s="64">
        <f t="shared" si="171"/>
        <v>9.7368421052631576E-2</v>
      </c>
      <c r="AG699" s="64">
        <f t="shared" si="177"/>
        <v>2.403846153846154E-3</v>
      </c>
      <c r="AH699" s="67"/>
      <c r="AI699" s="47" t="s">
        <v>54</v>
      </c>
      <c r="AJ699" s="47">
        <v>691.39</v>
      </c>
      <c r="AK699" s="47" t="s">
        <v>55</v>
      </c>
      <c r="AL699" s="47" t="s">
        <v>55</v>
      </c>
      <c r="AM699" s="47" t="s">
        <v>416</v>
      </c>
      <c r="AN699" s="47"/>
      <c r="AO699" s="211">
        <f t="shared" si="172"/>
        <v>-1</v>
      </c>
      <c r="AP699" s="47" t="s">
        <v>90</v>
      </c>
      <c r="AQ699" s="91" t="s">
        <v>116</v>
      </c>
      <c r="AR699" s="47"/>
    </row>
    <row r="700" spans="1:44" hidden="1">
      <c r="A700" s="47" t="s">
        <v>44</v>
      </c>
      <c r="B700" s="47" t="str">
        <f t="shared" si="167"/>
        <v>August</v>
      </c>
      <c r="C700" s="59">
        <v>45521</v>
      </c>
      <c r="D700" s="47" t="s">
        <v>83</v>
      </c>
      <c r="E700" s="47" t="s">
        <v>1140</v>
      </c>
      <c r="F700" s="47" t="s">
        <v>880</v>
      </c>
      <c r="G700" s="47" t="s">
        <v>2161</v>
      </c>
      <c r="H700" s="47" t="s">
        <v>2162</v>
      </c>
      <c r="I700" s="47" t="s">
        <v>50</v>
      </c>
      <c r="J700" s="47" t="s">
        <v>51</v>
      </c>
      <c r="K700" s="48">
        <v>45156</v>
      </c>
      <c r="L700" s="48">
        <v>45156</v>
      </c>
      <c r="M700" s="48">
        <v>45521</v>
      </c>
      <c r="N700" s="47" t="s">
        <v>52</v>
      </c>
      <c r="O700" s="55" t="s">
        <v>53</v>
      </c>
      <c r="P700" s="62">
        <v>40872</v>
      </c>
      <c r="Q700" s="62">
        <v>3406</v>
      </c>
      <c r="R700" s="103">
        <v>41340</v>
      </c>
      <c r="S700" s="62">
        <f t="shared" si="168"/>
        <v>3445</v>
      </c>
      <c r="T700" s="62">
        <v>43800</v>
      </c>
      <c r="U700" s="62">
        <f t="shared" si="179"/>
        <v>3650</v>
      </c>
      <c r="V700" s="69">
        <v>36600</v>
      </c>
      <c r="W700" s="71" t="s">
        <v>123</v>
      </c>
      <c r="X700" s="71"/>
      <c r="Y700" s="71"/>
      <c r="Z700" s="64" t="e">
        <f t="shared" si="169"/>
        <v>#VALUE!</v>
      </c>
      <c r="AA700" s="64" t="e">
        <f t="shared" si="174"/>
        <v>#VALUE!</v>
      </c>
      <c r="AB700" s="71">
        <v>3850</v>
      </c>
      <c r="AC700" s="64">
        <f t="shared" si="170"/>
        <v>5.4794520547945202E-2</v>
      </c>
      <c r="AD700" s="64">
        <f t="shared" si="176"/>
        <v>0.11756168359941944</v>
      </c>
      <c r="AE700" s="175">
        <v>3775</v>
      </c>
      <c r="AF700" s="64">
        <f t="shared" si="171"/>
        <v>3.4246575342465752E-2</v>
      </c>
      <c r="AG700" s="64">
        <f t="shared" si="177"/>
        <v>9.579100145137881E-2</v>
      </c>
      <c r="AH700" s="67"/>
      <c r="AI700" s="47" t="s">
        <v>54</v>
      </c>
      <c r="AJ700" s="47">
        <v>1261.57</v>
      </c>
      <c r="AK700" s="47" t="s">
        <v>140</v>
      </c>
      <c r="AL700" s="47" t="s">
        <v>65</v>
      </c>
      <c r="AM700" s="47" t="s">
        <v>1328</v>
      </c>
      <c r="AN700" s="47"/>
      <c r="AO700" s="211">
        <f t="shared" si="172"/>
        <v>-1</v>
      </c>
      <c r="AP700" s="47" t="s">
        <v>90</v>
      </c>
      <c r="AQ700" s="91" t="s">
        <v>116</v>
      </c>
      <c r="AR700" s="47"/>
    </row>
    <row r="701" spans="1:44">
      <c r="A701" s="47" t="s">
        <v>44</v>
      </c>
      <c r="B701" s="47" t="str">
        <f t="shared" si="167"/>
        <v>July</v>
      </c>
      <c r="C701" s="59">
        <v>45497</v>
      </c>
      <c r="D701" s="47" t="s">
        <v>83</v>
      </c>
      <c r="E701" s="47" t="s">
        <v>1140</v>
      </c>
      <c r="F701" s="47" t="s">
        <v>880</v>
      </c>
      <c r="G701" s="47" t="s">
        <v>2597</v>
      </c>
      <c r="H701" s="47" t="s">
        <v>2598</v>
      </c>
      <c r="I701" s="47" t="s">
        <v>50</v>
      </c>
      <c r="J701" s="47" t="s">
        <v>51</v>
      </c>
      <c r="K701" s="48">
        <v>41480</v>
      </c>
      <c r="L701" s="48">
        <v>45132</v>
      </c>
      <c r="M701" s="48">
        <v>45497</v>
      </c>
      <c r="N701" s="47" t="s">
        <v>64</v>
      </c>
      <c r="O701" s="55" t="s">
        <v>327</v>
      </c>
      <c r="P701" s="62">
        <v>20124</v>
      </c>
      <c r="Q701" s="62">
        <v>1677</v>
      </c>
      <c r="R701" s="103">
        <v>21008</v>
      </c>
      <c r="S701" s="62">
        <f t="shared" si="168"/>
        <v>1750.6666666666667</v>
      </c>
      <c r="T701" s="62">
        <v>18240</v>
      </c>
      <c r="U701" s="62">
        <f t="shared" si="179"/>
        <v>1520</v>
      </c>
      <c r="V701" s="69">
        <v>16680</v>
      </c>
      <c r="W701" s="71" t="s">
        <v>123</v>
      </c>
      <c r="X701" s="71"/>
      <c r="Y701" s="71"/>
      <c r="Z701" s="64" t="e">
        <f t="shared" si="169"/>
        <v>#VALUE!</v>
      </c>
      <c r="AA701" s="64" t="e">
        <f t="shared" si="174"/>
        <v>#VALUE!</v>
      </c>
      <c r="AB701" s="71">
        <v>1775</v>
      </c>
      <c r="AC701" s="64">
        <f t="shared" si="170"/>
        <v>0.16776315789473684</v>
      </c>
      <c r="AD701" s="64">
        <f t="shared" si="176"/>
        <v>1.3899466869763856E-2</v>
      </c>
      <c r="AE701" s="71">
        <v>1700</v>
      </c>
      <c r="AF701" s="64">
        <f t="shared" si="171"/>
        <v>0.11842105263157894</v>
      </c>
      <c r="AG701" s="64">
        <f t="shared" si="177"/>
        <v>-2.8941355674028984E-2</v>
      </c>
      <c r="AH701" s="67" t="s">
        <v>2599</v>
      </c>
      <c r="AI701" s="47" t="s">
        <v>54</v>
      </c>
      <c r="AJ701" s="47">
        <v>472.88</v>
      </c>
      <c r="AK701" s="101" t="s">
        <v>55</v>
      </c>
      <c r="AL701" s="101" t="s">
        <v>55</v>
      </c>
      <c r="AM701" s="47" t="s">
        <v>2600</v>
      </c>
      <c r="AN701" s="47">
        <v>1700</v>
      </c>
      <c r="AO701" s="211">
        <f t="shared" si="172"/>
        <v>0.11842105263157894</v>
      </c>
      <c r="AP701" s="47" t="s">
        <v>90</v>
      </c>
      <c r="AQ701" s="91" t="s">
        <v>116</v>
      </c>
      <c r="AR701" s="47"/>
    </row>
    <row r="702" spans="1:44">
      <c r="A702" s="47" t="s">
        <v>44</v>
      </c>
      <c r="B702" s="47" t="str">
        <f t="shared" si="167"/>
        <v>July</v>
      </c>
      <c r="C702" s="59">
        <v>45474</v>
      </c>
      <c r="D702" s="47" t="s">
        <v>83</v>
      </c>
      <c r="E702" s="47" t="s">
        <v>1140</v>
      </c>
      <c r="F702" s="47" t="s">
        <v>880</v>
      </c>
      <c r="G702" s="47" t="s">
        <v>2601</v>
      </c>
      <c r="H702" s="47" t="s">
        <v>2602</v>
      </c>
      <c r="I702" s="47" t="s">
        <v>50</v>
      </c>
      <c r="J702" s="47" t="s">
        <v>51</v>
      </c>
      <c r="K702" s="48">
        <v>44436</v>
      </c>
      <c r="L702" s="48">
        <v>45109</v>
      </c>
      <c r="M702" s="48">
        <v>45474</v>
      </c>
      <c r="N702" s="47" t="s">
        <v>64</v>
      </c>
      <c r="O702" s="55" t="s">
        <v>327</v>
      </c>
      <c r="P702" s="62">
        <v>31980</v>
      </c>
      <c r="Q702" s="62">
        <v>2665</v>
      </c>
      <c r="R702" s="103">
        <v>33228</v>
      </c>
      <c r="S702" s="62">
        <f t="shared" si="168"/>
        <v>2769</v>
      </c>
      <c r="T702" s="62">
        <v>32220</v>
      </c>
      <c r="U702" s="62">
        <f t="shared" si="179"/>
        <v>2685</v>
      </c>
      <c r="V702" s="69">
        <v>30180</v>
      </c>
      <c r="W702" s="71" t="s">
        <v>123</v>
      </c>
      <c r="X702" s="71"/>
      <c r="Y702" s="71"/>
      <c r="Z702" s="64" t="e">
        <f t="shared" si="169"/>
        <v>#VALUE!</v>
      </c>
      <c r="AA702" s="64" t="e">
        <f t="shared" si="174"/>
        <v>#VALUE!</v>
      </c>
      <c r="AB702" s="71">
        <v>2830</v>
      </c>
      <c r="AC702" s="64">
        <f t="shared" si="170"/>
        <v>5.4003724394785846E-2</v>
      </c>
      <c r="AD702" s="64">
        <f t="shared" si="176"/>
        <v>2.2029613578909354E-2</v>
      </c>
      <c r="AE702" s="71">
        <v>2820</v>
      </c>
      <c r="AF702" s="64">
        <f t="shared" si="171"/>
        <v>5.027932960893855E-2</v>
      </c>
      <c r="AG702" s="64">
        <f t="shared" si="177"/>
        <v>1.8418201516793065E-2</v>
      </c>
      <c r="AH702" s="67"/>
      <c r="AI702" s="47" t="s">
        <v>54</v>
      </c>
      <c r="AJ702" s="47">
        <v>918</v>
      </c>
      <c r="AK702" s="101" t="s">
        <v>65</v>
      </c>
      <c r="AL702" s="101" t="s">
        <v>55</v>
      </c>
      <c r="AM702" s="47" t="s">
        <v>2603</v>
      </c>
      <c r="AN702" s="47"/>
      <c r="AO702" s="211">
        <f t="shared" si="172"/>
        <v>-1</v>
      </c>
      <c r="AP702" s="47" t="s">
        <v>90</v>
      </c>
      <c r="AQ702" s="91" t="s">
        <v>116</v>
      </c>
      <c r="AR702" s="47"/>
    </row>
    <row r="703" spans="1:44">
      <c r="A703" s="47" t="s">
        <v>44</v>
      </c>
      <c r="B703" s="47" t="str">
        <f t="shared" si="167"/>
        <v>July</v>
      </c>
      <c r="C703" s="59">
        <v>45480</v>
      </c>
      <c r="D703" s="47" t="s">
        <v>83</v>
      </c>
      <c r="E703" s="47" t="s">
        <v>1140</v>
      </c>
      <c r="F703" s="47" t="s">
        <v>880</v>
      </c>
      <c r="G703" s="47" t="s">
        <v>2604</v>
      </c>
      <c r="H703" s="47" t="s">
        <v>2605</v>
      </c>
      <c r="I703" s="47" t="s">
        <v>50</v>
      </c>
      <c r="J703" s="47" t="s">
        <v>51</v>
      </c>
      <c r="K703" s="48">
        <v>44750</v>
      </c>
      <c r="L703" s="48">
        <v>45115</v>
      </c>
      <c r="M703" s="48">
        <v>45480</v>
      </c>
      <c r="N703" s="47" t="s">
        <v>64</v>
      </c>
      <c r="O703" s="55" t="s">
        <v>327</v>
      </c>
      <c r="P703" s="62">
        <v>32500</v>
      </c>
      <c r="Q703" s="62">
        <v>2708.3333333333335</v>
      </c>
      <c r="R703" s="103">
        <v>33800</v>
      </c>
      <c r="S703" s="62">
        <f t="shared" si="168"/>
        <v>2816.6666666666665</v>
      </c>
      <c r="T703" s="62">
        <v>31980</v>
      </c>
      <c r="U703" s="62">
        <f t="shared" si="179"/>
        <v>2665</v>
      </c>
      <c r="V703" s="69">
        <v>29520</v>
      </c>
      <c r="W703" s="71" t="s">
        <v>123</v>
      </c>
      <c r="X703" s="71"/>
      <c r="Y703" s="71"/>
      <c r="Z703" s="64" t="e">
        <f t="shared" si="169"/>
        <v>#VALUE!</v>
      </c>
      <c r="AA703" s="64" t="e">
        <f t="shared" si="174"/>
        <v>#VALUE!</v>
      </c>
      <c r="AB703" s="71">
        <v>2900</v>
      </c>
      <c r="AC703" s="64">
        <f t="shared" si="170"/>
        <v>8.8180112570356475E-2</v>
      </c>
      <c r="AD703" s="64">
        <f t="shared" si="176"/>
        <v>2.9585798816568101E-2</v>
      </c>
      <c r="AE703" s="71">
        <v>2850</v>
      </c>
      <c r="AF703" s="64">
        <f t="shared" si="171"/>
        <v>6.9418386491557224E-2</v>
      </c>
      <c r="AG703" s="64">
        <f t="shared" si="177"/>
        <v>1.1834319526627274E-2</v>
      </c>
      <c r="AH703" s="67"/>
      <c r="AI703" s="47" t="s">
        <v>54</v>
      </c>
      <c r="AJ703" s="47">
        <v>987</v>
      </c>
      <c r="AK703" s="101" t="s">
        <v>65</v>
      </c>
      <c r="AL703" s="101" t="s">
        <v>55</v>
      </c>
      <c r="AM703" s="47" t="s">
        <v>2606</v>
      </c>
      <c r="AN703" s="47"/>
      <c r="AO703" s="211">
        <f t="shared" si="172"/>
        <v>-1</v>
      </c>
      <c r="AP703" s="47" t="s">
        <v>90</v>
      </c>
      <c r="AQ703" s="91" t="s">
        <v>116</v>
      </c>
      <c r="AR703" s="47"/>
    </row>
    <row r="704" spans="1:44">
      <c r="A704" s="47" t="s">
        <v>44</v>
      </c>
      <c r="B704" s="47" t="str">
        <f t="shared" si="167"/>
        <v>July</v>
      </c>
      <c r="C704" s="59">
        <v>45482</v>
      </c>
      <c r="D704" s="47" t="s">
        <v>83</v>
      </c>
      <c r="E704" s="47" t="s">
        <v>1140</v>
      </c>
      <c r="F704" s="47" t="s">
        <v>880</v>
      </c>
      <c r="G704" s="47" t="s">
        <v>2607</v>
      </c>
      <c r="H704" s="47" t="s">
        <v>2608</v>
      </c>
      <c r="I704" s="47" t="s">
        <v>50</v>
      </c>
      <c r="J704" s="47" t="s">
        <v>51</v>
      </c>
      <c r="K704" s="48">
        <v>44022</v>
      </c>
      <c r="L704" s="48">
        <v>45117</v>
      </c>
      <c r="M704" s="48">
        <v>45482</v>
      </c>
      <c r="N704" s="47" t="s">
        <v>64</v>
      </c>
      <c r="O704" s="55" t="s">
        <v>327</v>
      </c>
      <c r="P704" s="62">
        <v>38740</v>
      </c>
      <c r="Q704" s="62">
        <v>3228.3333333333335</v>
      </c>
      <c r="R704" s="103">
        <v>39260</v>
      </c>
      <c r="S704" s="62">
        <f t="shared" si="168"/>
        <v>3271.6666666666665</v>
      </c>
      <c r="T704" s="62">
        <v>37440</v>
      </c>
      <c r="U704" s="62">
        <f t="shared" si="179"/>
        <v>3120</v>
      </c>
      <c r="V704" s="69">
        <v>34680</v>
      </c>
      <c r="W704" s="71" t="s">
        <v>123</v>
      </c>
      <c r="X704" s="71"/>
      <c r="Y704" s="71"/>
      <c r="Z704" s="64" t="e">
        <f t="shared" si="169"/>
        <v>#VALUE!</v>
      </c>
      <c r="AA704" s="64" t="e">
        <f t="shared" si="174"/>
        <v>#VALUE!</v>
      </c>
      <c r="AB704" s="71">
        <v>3300</v>
      </c>
      <c r="AC704" s="64">
        <f t="shared" si="170"/>
        <v>5.7692307692307696E-2</v>
      </c>
      <c r="AD704" s="64">
        <f t="shared" si="176"/>
        <v>8.6602139582272492E-3</v>
      </c>
      <c r="AE704" s="71">
        <v>3285</v>
      </c>
      <c r="AF704" s="64">
        <f t="shared" si="171"/>
        <v>5.2884615384615384E-2</v>
      </c>
      <c r="AG704" s="64">
        <f t="shared" si="177"/>
        <v>4.0753948038716719E-3</v>
      </c>
      <c r="AH704" s="67"/>
      <c r="AI704" s="47" t="s">
        <v>250</v>
      </c>
      <c r="AJ704" s="47">
        <v>1051.82</v>
      </c>
      <c r="AK704" s="101" t="s">
        <v>140</v>
      </c>
      <c r="AL704" s="101" t="s">
        <v>55</v>
      </c>
      <c r="AM704" s="47" t="s">
        <v>2609</v>
      </c>
      <c r="AN704" s="47"/>
      <c r="AO704" s="211">
        <f t="shared" si="172"/>
        <v>-1</v>
      </c>
      <c r="AP704" s="47" t="s">
        <v>90</v>
      </c>
      <c r="AQ704" s="91" t="s">
        <v>116</v>
      </c>
      <c r="AR704" s="47"/>
    </row>
    <row r="705" spans="1:44" hidden="1">
      <c r="A705" s="47" t="s">
        <v>44</v>
      </c>
      <c r="B705" s="47" t="str">
        <f t="shared" si="167"/>
        <v>July</v>
      </c>
      <c r="C705" s="59">
        <v>45477</v>
      </c>
      <c r="D705" s="47" t="s">
        <v>83</v>
      </c>
      <c r="E705" s="47" t="s">
        <v>1140</v>
      </c>
      <c r="F705" s="47" t="s">
        <v>880</v>
      </c>
      <c r="G705" s="47" t="s">
        <v>2610</v>
      </c>
      <c r="H705" s="47" t="s">
        <v>2611</v>
      </c>
      <c r="I705" s="47" t="s">
        <v>50</v>
      </c>
      <c r="J705" s="47" t="s">
        <v>51</v>
      </c>
      <c r="K705" s="48">
        <v>45112</v>
      </c>
      <c r="L705" s="48">
        <v>45112</v>
      </c>
      <c r="M705" s="48">
        <v>45477</v>
      </c>
      <c r="N705" s="47" t="s">
        <v>52</v>
      </c>
      <c r="O705" s="55" t="s">
        <v>327</v>
      </c>
      <c r="P705" s="62">
        <v>39052</v>
      </c>
      <c r="Q705" s="62">
        <v>3254.3333333333335</v>
      </c>
      <c r="R705" s="103">
        <v>39520</v>
      </c>
      <c r="S705" s="62">
        <f t="shared" si="168"/>
        <v>3293.3333333333335</v>
      </c>
      <c r="T705" s="62">
        <v>42000</v>
      </c>
      <c r="U705" s="62">
        <f t="shared" si="179"/>
        <v>3500</v>
      </c>
      <c r="V705" s="69">
        <v>37680</v>
      </c>
      <c r="W705" s="71" t="s">
        <v>123</v>
      </c>
      <c r="X705" s="71"/>
      <c r="Y705" s="71"/>
      <c r="Z705" s="64" t="e">
        <f t="shared" si="169"/>
        <v>#VALUE!</v>
      </c>
      <c r="AA705" s="64" t="e">
        <f t="shared" si="174"/>
        <v>#VALUE!</v>
      </c>
      <c r="AB705" s="71">
        <v>3700</v>
      </c>
      <c r="AC705" s="64">
        <f t="shared" si="170"/>
        <v>5.7142857142857141E-2</v>
      </c>
      <c r="AD705" s="64">
        <f t="shared" si="176"/>
        <v>0.12348178137651816</v>
      </c>
      <c r="AE705" s="71">
        <v>3675</v>
      </c>
      <c r="AF705" s="64">
        <f t="shared" si="171"/>
        <v>0.05</v>
      </c>
      <c r="AG705" s="64">
        <f t="shared" si="177"/>
        <v>0.11589068825910925</v>
      </c>
      <c r="AH705" s="67" t="s">
        <v>2612</v>
      </c>
      <c r="AI705" s="47" t="s">
        <v>54</v>
      </c>
      <c r="AJ705" s="47">
        <v>1093.7</v>
      </c>
      <c r="AK705" s="101" t="s">
        <v>140</v>
      </c>
      <c r="AL705" s="101" t="s">
        <v>65</v>
      </c>
      <c r="AM705" s="47" t="s">
        <v>2613</v>
      </c>
      <c r="AN705" s="47">
        <v>3700</v>
      </c>
      <c r="AO705" s="211">
        <f t="shared" si="172"/>
        <v>5.7142857142857141E-2</v>
      </c>
      <c r="AP705" s="47" t="s">
        <v>90</v>
      </c>
      <c r="AQ705" s="91" t="s">
        <v>116</v>
      </c>
      <c r="AR705" s="47"/>
    </row>
    <row r="706" spans="1:44">
      <c r="A706" s="47" t="s">
        <v>44</v>
      </c>
      <c r="B706" s="47" t="str">
        <f t="shared" ref="B706:B769" si="180">TEXT(C706,"mmmm")</f>
        <v>August</v>
      </c>
      <c r="C706" s="59">
        <v>45528</v>
      </c>
      <c r="D706" s="47" t="s">
        <v>83</v>
      </c>
      <c r="E706" s="47" t="s">
        <v>1140</v>
      </c>
      <c r="F706" s="47" t="s">
        <v>880</v>
      </c>
      <c r="G706" s="47" t="s">
        <v>2895</v>
      </c>
      <c r="H706" s="47" t="s">
        <v>2896</v>
      </c>
      <c r="I706" s="47" t="s">
        <v>50</v>
      </c>
      <c r="J706" s="47" t="s">
        <v>51</v>
      </c>
      <c r="K706" s="48">
        <v>44798</v>
      </c>
      <c r="L706" s="48">
        <v>44798</v>
      </c>
      <c r="M706" s="48">
        <v>45528</v>
      </c>
      <c r="N706" s="47" t="s">
        <v>64</v>
      </c>
      <c r="O706" s="55" t="s">
        <v>327</v>
      </c>
      <c r="P706" s="62">
        <v>23712</v>
      </c>
      <c r="Q706" s="62">
        <v>1976</v>
      </c>
      <c r="R706" s="103">
        <v>24908</v>
      </c>
      <c r="S706" s="62">
        <f t="shared" ref="S706:S769" si="181">R706/12</f>
        <v>2075.6666666666665</v>
      </c>
      <c r="T706" s="62">
        <v>22920</v>
      </c>
      <c r="U706" s="62">
        <f t="shared" si="179"/>
        <v>1910</v>
      </c>
      <c r="V706" s="69">
        <v>22920</v>
      </c>
      <c r="W706" s="71" t="s">
        <v>123</v>
      </c>
      <c r="X706" s="71"/>
      <c r="Y706" s="71"/>
      <c r="Z706" s="64" t="e">
        <f t="shared" ref="Z706:Z769" si="182">(W706-U706)/U706</f>
        <v>#VALUE!</v>
      </c>
      <c r="AA706" s="64" t="e">
        <f t="shared" si="174"/>
        <v>#VALUE!</v>
      </c>
      <c r="AB706" s="71">
        <v>2095</v>
      </c>
      <c r="AC706" s="64">
        <f t="shared" ref="AC706:AC769" si="183">(AB706-U706)/U706</f>
        <v>9.6858638743455502E-2</v>
      </c>
      <c r="AD706" s="64">
        <f t="shared" si="176"/>
        <v>9.314276537658657E-3</v>
      </c>
      <c r="AE706" s="71">
        <v>2080</v>
      </c>
      <c r="AF706" s="64">
        <f t="shared" ref="AF706:AF769" si="184">(AE706-U706)/U706</f>
        <v>8.9005235602094238E-2</v>
      </c>
      <c r="AG706" s="64">
        <f t="shared" si="177"/>
        <v>2.0876826722338935E-3</v>
      </c>
      <c r="AH706" s="67"/>
      <c r="AI706" s="47" t="s">
        <v>250</v>
      </c>
      <c r="AJ706" s="47">
        <v>691</v>
      </c>
      <c r="AK706" s="47" t="s">
        <v>55</v>
      </c>
      <c r="AL706" s="47" t="s">
        <v>55</v>
      </c>
      <c r="AM706" s="47" t="s">
        <v>2897</v>
      </c>
      <c r="AN706" s="47"/>
      <c r="AO706" s="211">
        <f t="shared" ref="AO706:AO769" si="185">SUM(AN706-U706)/U706</f>
        <v>-1</v>
      </c>
      <c r="AP706" s="47" t="s">
        <v>90</v>
      </c>
      <c r="AQ706" s="91" t="s">
        <v>116</v>
      </c>
      <c r="AR706" s="47"/>
    </row>
    <row r="707" spans="1:44" hidden="1">
      <c r="A707" s="47" t="s">
        <v>44</v>
      </c>
      <c r="B707" s="47" t="str">
        <f t="shared" si="180"/>
        <v>August</v>
      </c>
      <c r="C707" s="59">
        <v>45533</v>
      </c>
      <c r="D707" s="47" t="s">
        <v>83</v>
      </c>
      <c r="E707" s="47" t="s">
        <v>1140</v>
      </c>
      <c r="F707" s="47" t="s">
        <v>880</v>
      </c>
      <c r="G707" s="47" t="s">
        <v>3446</v>
      </c>
      <c r="H707" s="47" t="s">
        <v>3447</v>
      </c>
      <c r="I707" s="47" t="s">
        <v>50</v>
      </c>
      <c r="J707" s="47" t="s">
        <v>51</v>
      </c>
      <c r="K707" s="48">
        <v>45168</v>
      </c>
      <c r="L707" s="48">
        <v>45168</v>
      </c>
      <c r="M707" s="48">
        <v>45533</v>
      </c>
      <c r="N707" s="47" t="s">
        <v>52</v>
      </c>
      <c r="O707" s="55" t="s">
        <v>327</v>
      </c>
      <c r="P707" s="62">
        <v>30264</v>
      </c>
      <c r="Q707" s="62">
        <v>2522</v>
      </c>
      <c r="R707" s="103">
        <v>32084</v>
      </c>
      <c r="S707" s="62">
        <f t="shared" si="181"/>
        <v>2673.6666666666665</v>
      </c>
      <c r="T707" s="62">
        <v>31200</v>
      </c>
      <c r="U707" s="62">
        <f t="shared" si="179"/>
        <v>2600</v>
      </c>
      <c r="V707" s="69">
        <v>27540</v>
      </c>
      <c r="W707" s="71" t="s">
        <v>123</v>
      </c>
      <c r="X707" s="71"/>
      <c r="Y707" s="71"/>
      <c r="Z707" s="64" t="e">
        <f t="shared" si="182"/>
        <v>#VALUE!</v>
      </c>
      <c r="AA707" s="64" t="e">
        <f t="shared" si="174"/>
        <v>#VALUE!</v>
      </c>
      <c r="AB707" s="71">
        <v>2775</v>
      </c>
      <c r="AC707" s="64">
        <f t="shared" si="183"/>
        <v>6.7307692307692304E-2</v>
      </c>
      <c r="AD707" s="64">
        <f t="shared" si="176"/>
        <v>3.7900511158209756E-2</v>
      </c>
      <c r="AE707" s="71">
        <v>2750</v>
      </c>
      <c r="AF707" s="64">
        <f t="shared" si="184"/>
        <v>5.7692307692307696E-2</v>
      </c>
      <c r="AG707" s="64">
        <f t="shared" si="177"/>
        <v>2.8550056102730391E-2</v>
      </c>
      <c r="AH707" s="67"/>
      <c r="AI707" s="47" t="s">
        <v>54</v>
      </c>
      <c r="AJ707" s="47">
        <v>825.25</v>
      </c>
      <c r="AK707" s="47" t="s">
        <v>65</v>
      </c>
      <c r="AL707" s="47" t="s">
        <v>55</v>
      </c>
      <c r="AM707" s="47" t="s">
        <v>3448</v>
      </c>
      <c r="AN707" s="47"/>
      <c r="AO707" s="211">
        <f t="shared" si="185"/>
        <v>-1</v>
      </c>
      <c r="AP707" s="47" t="s">
        <v>90</v>
      </c>
      <c r="AQ707" s="91" t="s">
        <v>116</v>
      </c>
      <c r="AR707" s="47" t="s">
        <v>1766</v>
      </c>
    </row>
    <row r="708" spans="1:44">
      <c r="A708" s="47" t="s">
        <v>44</v>
      </c>
      <c r="B708" s="47" t="str">
        <f t="shared" si="180"/>
        <v>August</v>
      </c>
      <c r="C708" s="59">
        <v>45534</v>
      </c>
      <c r="D708" s="47" t="s">
        <v>83</v>
      </c>
      <c r="E708" s="47" t="s">
        <v>1140</v>
      </c>
      <c r="F708" s="47" t="s">
        <v>880</v>
      </c>
      <c r="G708" s="47" t="s">
        <v>3537</v>
      </c>
      <c r="H708" s="47" t="s">
        <v>3538</v>
      </c>
      <c r="I708" s="47" t="s">
        <v>50</v>
      </c>
      <c r="J708" s="47" t="s">
        <v>51</v>
      </c>
      <c r="K708" s="48">
        <v>43322</v>
      </c>
      <c r="L708" s="48">
        <v>45169</v>
      </c>
      <c r="M708" s="48">
        <v>45534</v>
      </c>
      <c r="N708" s="47" t="s">
        <v>64</v>
      </c>
      <c r="O708" s="55" t="s">
        <v>327</v>
      </c>
      <c r="P708" s="62">
        <v>39364</v>
      </c>
      <c r="Q708" s="62">
        <v>3280.3333333333335</v>
      </c>
      <c r="R708" s="103">
        <v>39832</v>
      </c>
      <c r="S708" s="62">
        <f t="shared" si="181"/>
        <v>3319.3333333333335</v>
      </c>
      <c r="T708" s="62">
        <v>40020</v>
      </c>
      <c r="U708" s="62">
        <f t="shared" si="179"/>
        <v>3335</v>
      </c>
      <c r="V708" s="69">
        <v>36780</v>
      </c>
      <c r="W708" s="71" t="s">
        <v>123</v>
      </c>
      <c r="X708" s="71"/>
      <c r="Y708" s="71"/>
      <c r="Z708" s="64" t="e">
        <f t="shared" si="182"/>
        <v>#VALUE!</v>
      </c>
      <c r="AA708" s="64" t="e">
        <f t="shared" si="174"/>
        <v>#VALUE!</v>
      </c>
      <c r="AB708" s="71">
        <v>3550</v>
      </c>
      <c r="AC708" s="64">
        <f t="shared" si="183"/>
        <v>6.4467766116941536E-2</v>
      </c>
      <c r="AD708" s="64">
        <f t="shared" si="176"/>
        <v>6.9491865836513303E-2</v>
      </c>
      <c r="AE708" s="71">
        <v>3500</v>
      </c>
      <c r="AF708" s="64">
        <f t="shared" si="184"/>
        <v>4.9475262368815595E-2</v>
      </c>
      <c r="AG708" s="64">
        <f t="shared" si="177"/>
        <v>5.4428600120506078E-2</v>
      </c>
      <c r="AH708" s="67"/>
      <c r="AI708" s="47" t="s">
        <v>54</v>
      </c>
      <c r="AJ708" s="47">
        <v>1099.97</v>
      </c>
      <c r="AK708" s="47" t="s">
        <v>140</v>
      </c>
      <c r="AL708" s="47" t="s">
        <v>55</v>
      </c>
      <c r="AM708" s="47" t="s">
        <v>3539</v>
      </c>
      <c r="AN708" s="47"/>
      <c r="AO708" s="211">
        <f t="shared" si="185"/>
        <v>-1</v>
      </c>
      <c r="AP708" s="47" t="s">
        <v>90</v>
      </c>
      <c r="AQ708" s="91" t="s">
        <v>116</v>
      </c>
      <c r="AR708" s="47" t="s">
        <v>1766</v>
      </c>
    </row>
    <row r="709" spans="1:44">
      <c r="A709" s="47"/>
      <c r="B709" s="47" t="str">
        <f t="shared" si="180"/>
        <v>29/07/2024</v>
      </c>
      <c r="C709" s="59" t="s">
        <v>3840</v>
      </c>
      <c r="D709" s="47" t="s">
        <v>83</v>
      </c>
      <c r="E709" s="47" t="s">
        <v>1140</v>
      </c>
      <c r="F709" s="47"/>
      <c r="G709" s="47" t="s">
        <v>3841</v>
      </c>
      <c r="H709" s="47"/>
      <c r="I709" s="47"/>
      <c r="J709" s="47"/>
      <c r="K709" s="47"/>
      <c r="L709" s="47"/>
      <c r="M709" s="47"/>
      <c r="N709" s="47"/>
      <c r="O709" s="55" t="s">
        <v>3842</v>
      </c>
      <c r="P709" s="62">
        <v>25376</v>
      </c>
      <c r="Q709" s="62">
        <v>2114</v>
      </c>
      <c r="R709" s="103">
        <v>26580</v>
      </c>
      <c r="S709" s="62">
        <f t="shared" si="181"/>
        <v>2215</v>
      </c>
      <c r="T709" s="47"/>
      <c r="U709" s="62">
        <v>3125</v>
      </c>
      <c r="V709" s="47"/>
      <c r="W709" s="71" t="s">
        <v>123</v>
      </c>
      <c r="X709" s="71"/>
      <c r="Y709" s="71"/>
      <c r="Z709" s="90" t="e">
        <f t="shared" si="182"/>
        <v>#VALUE!</v>
      </c>
      <c r="AA709" s="90" t="e">
        <f t="shared" si="174"/>
        <v>#VALUE!</v>
      </c>
      <c r="AB709" s="71">
        <v>3350</v>
      </c>
      <c r="AC709" s="90">
        <f t="shared" si="183"/>
        <v>7.1999999999999995E-2</v>
      </c>
      <c r="AD709" s="90">
        <f t="shared" si="176"/>
        <v>0.51241534988713322</v>
      </c>
      <c r="AE709" s="71">
        <v>3275</v>
      </c>
      <c r="AF709" s="90">
        <f t="shared" si="184"/>
        <v>4.8000000000000001E-2</v>
      </c>
      <c r="AG709" s="90">
        <f t="shared" si="177"/>
        <v>0.47855530474040631</v>
      </c>
      <c r="AH709" s="67"/>
      <c r="AI709" s="47"/>
      <c r="AJ709" s="47" t="s">
        <v>3843</v>
      </c>
      <c r="AK709" s="47">
        <v>3</v>
      </c>
      <c r="AL709" s="47">
        <v>2</v>
      </c>
      <c r="AM709" s="47" t="s">
        <v>3844</v>
      </c>
      <c r="AN709" s="47"/>
      <c r="AO709" s="211">
        <f t="shared" si="185"/>
        <v>-1</v>
      </c>
      <c r="AP709" s="47" t="s">
        <v>90</v>
      </c>
      <c r="AQ709" s="91" t="s">
        <v>116</v>
      </c>
      <c r="AR709" s="47"/>
    </row>
    <row r="710" spans="1:44">
      <c r="A710" s="47" t="s">
        <v>44</v>
      </c>
      <c r="B710" s="47" t="str">
        <f t="shared" si="180"/>
        <v>August</v>
      </c>
      <c r="C710" s="59">
        <v>45508</v>
      </c>
      <c r="D710" s="47" t="s">
        <v>83</v>
      </c>
      <c r="E710" s="47" t="s">
        <v>1086</v>
      </c>
      <c r="F710" s="47" t="s">
        <v>85</v>
      </c>
      <c r="G710" s="94" t="s">
        <v>1087</v>
      </c>
      <c r="H710" s="47" t="s">
        <v>1088</v>
      </c>
      <c r="I710" s="47" t="s">
        <v>63</v>
      </c>
      <c r="J710" s="47" t="s">
        <v>51</v>
      </c>
      <c r="K710" s="48">
        <v>44778</v>
      </c>
      <c r="L710" s="48">
        <v>45143</v>
      </c>
      <c r="M710" s="48">
        <v>45508</v>
      </c>
      <c r="N710" s="47" t="s">
        <v>64</v>
      </c>
      <c r="O710" s="55" t="s">
        <v>53</v>
      </c>
      <c r="P710" s="62">
        <v>10660</v>
      </c>
      <c r="Q710" s="62">
        <v>888.33333333333337</v>
      </c>
      <c r="R710" s="103">
        <v>10920</v>
      </c>
      <c r="S710" s="62">
        <f t="shared" si="181"/>
        <v>910</v>
      </c>
      <c r="T710" s="62">
        <v>11700</v>
      </c>
      <c r="U710" s="62">
        <f t="shared" ref="U710:U773" si="186">T710/12</f>
        <v>975</v>
      </c>
      <c r="V710" s="69">
        <v>10800</v>
      </c>
      <c r="W710" s="71" t="s">
        <v>123</v>
      </c>
      <c r="X710" s="71"/>
      <c r="Y710" s="71"/>
      <c r="Z710" s="64" t="e">
        <f t="shared" si="182"/>
        <v>#VALUE!</v>
      </c>
      <c r="AA710" s="64" t="e">
        <f t="shared" si="174"/>
        <v>#VALUE!</v>
      </c>
      <c r="AB710" s="71">
        <v>1085</v>
      </c>
      <c r="AC710" s="64">
        <f t="shared" si="183"/>
        <v>0.11282051282051282</v>
      </c>
      <c r="AD710" s="64">
        <f t="shared" si="176"/>
        <v>0.19230769230769232</v>
      </c>
      <c r="AE710" s="71">
        <v>1075</v>
      </c>
      <c r="AF710" s="64">
        <f t="shared" si="184"/>
        <v>0.10256410256410256</v>
      </c>
      <c r="AG710" s="64">
        <f t="shared" si="177"/>
        <v>0.18131868131868131</v>
      </c>
      <c r="AH710" s="67"/>
      <c r="AI710" s="47" t="s">
        <v>54</v>
      </c>
      <c r="AJ710" s="47">
        <v>241</v>
      </c>
      <c r="AK710" s="47" t="s">
        <v>93</v>
      </c>
      <c r="AL710" s="47" t="s">
        <v>55</v>
      </c>
      <c r="AM710" s="47" t="s">
        <v>1089</v>
      </c>
      <c r="AN710" s="47"/>
      <c r="AO710" s="211">
        <f t="shared" si="185"/>
        <v>-1</v>
      </c>
      <c r="AP710" s="47" t="s">
        <v>90</v>
      </c>
      <c r="AQ710" s="94" t="s">
        <v>891</v>
      </c>
      <c r="AR710" s="47"/>
    </row>
    <row r="711" spans="1:44" hidden="1">
      <c r="A711" s="47" t="s">
        <v>44</v>
      </c>
      <c r="B711" s="47" t="str">
        <f t="shared" si="180"/>
        <v>August</v>
      </c>
      <c r="C711" s="59">
        <v>45510</v>
      </c>
      <c r="D711" s="47" t="s">
        <v>83</v>
      </c>
      <c r="E711" s="47" t="s">
        <v>1086</v>
      </c>
      <c r="F711" s="47" t="s">
        <v>85</v>
      </c>
      <c r="G711" s="47" t="s">
        <v>1224</v>
      </c>
      <c r="H711" s="47" t="s">
        <v>1225</v>
      </c>
      <c r="I711" s="47" t="s">
        <v>63</v>
      </c>
      <c r="J711" s="47" t="s">
        <v>51</v>
      </c>
      <c r="K711" s="48">
        <v>45145</v>
      </c>
      <c r="L711" s="48">
        <v>45145</v>
      </c>
      <c r="M711" s="48">
        <v>45510</v>
      </c>
      <c r="N711" s="47" t="s">
        <v>52</v>
      </c>
      <c r="O711" s="55" t="s">
        <v>53</v>
      </c>
      <c r="P711" s="62">
        <v>13260</v>
      </c>
      <c r="Q711" s="62">
        <v>1105</v>
      </c>
      <c r="R711" s="103">
        <v>13520</v>
      </c>
      <c r="S711" s="62">
        <f t="shared" si="181"/>
        <v>1126.6666666666667</v>
      </c>
      <c r="T711" s="62">
        <v>12000</v>
      </c>
      <c r="U711" s="62">
        <f t="shared" si="186"/>
        <v>1000</v>
      </c>
      <c r="V711" s="69">
        <v>10080</v>
      </c>
      <c r="W711" s="71" t="s">
        <v>123</v>
      </c>
      <c r="X711" s="71"/>
      <c r="Y711" s="71"/>
      <c r="Z711" s="64" t="e">
        <f t="shared" si="182"/>
        <v>#VALUE!</v>
      </c>
      <c r="AA711" s="64" t="e">
        <f t="shared" si="174"/>
        <v>#VALUE!</v>
      </c>
      <c r="AB711" s="71">
        <v>1100</v>
      </c>
      <c r="AC711" s="64">
        <f t="shared" si="183"/>
        <v>0.1</v>
      </c>
      <c r="AD711" s="64">
        <f t="shared" si="176"/>
        <v>-2.3668639053254503E-2</v>
      </c>
      <c r="AE711" s="175">
        <v>1050</v>
      </c>
      <c r="AF711" s="64">
        <f t="shared" si="184"/>
        <v>0.05</v>
      </c>
      <c r="AG711" s="64">
        <f t="shared" si="177"/>
        <v>-6.8047337278106565E-2</v>
      </c>
      <c r="AH711" s="67"/>
      <c r="AI711" s="47" t="s">
        <v>54</v>
      </c>
      <c r="AJ711" s="47">
        <v>242</v>
      </c>
      <c r="AK711" s="47" t="s">
        <v>93</v>
      </c>
      <c r="AL711" s="47" t="s">
        <v>55</v>
      </c>
      <c r="AM711" s="47" t="s">
        <v>1226</v>
      </c>
      <c r="AN711" s="47"/>
      <c r="AO711" s="211">
        <f t="shared" si="185"/>
        <v>-1</v>
      </c>
      <c r="AP711" s="47" t="s">
        <v>90</v>
      </c>
      <c r="AQ711" s="91" t="s">
        <v>116</v>
      </c>
      <c r="AR711" s="47" t="s">
        <v>117</v>
      </c>
    </row>
    <row r="712" spans="1:44" hidden="1">
      <c r="A712" s="47" t="s">
        <v>44</v>
      </c>
      <c r="B712" s="47" t="str">
        <f t="shared" si="180"/>
        <v>August</v>
      </c>
      <c r="C712" s="59">
        <v>45517</v>
      </c>
      <c r="D712" s="47" t="s">
        <v>83</v>
      </c>
      <c r="E712" s="47" t="s">
        <v>1086</v>
      </c>
      <c r="F712" s="47" t="s">
        <v>85</v>
      </c>
      <c r="G712" s="47" t="s">
        <v>1812</v>
      </c>
      <c r="H712" s="47" t="s">
        <v>1813</v>
      </c>
      <c r="I712" s="47" t="s">
        <v>63</v>
      </c>
      <c r="J712" s="47" t="s">
        <v>51</v>
      </c>
      <c r="K712" s="48">
        <v>45152</v>
      </c>
      <c r="L712" s="48">
        <v>45152</v>
      </c>
      <c r="M712" s="48">
        <v>45517</v>
      </c>
      <c r="N712" s="47" t="s">
        <v>52</v>
      </c>
      <c r="O712" s="55" t="s">
        <v>53</v>
      </c>
      <c r="P712" s="62">
        <v>13000</v>
      </c>
      <c r="Q712" s="62">
        <v>1083.3333333333333</v>
      </c>
      <c r="R712" s="103">
        <v>13208</v>
      </c>
      <c r="S712" s="62">
        <f t="shared" si="181"/>
        <v>1100.6666666666667</v>
      </c>
      <c r="T712" s="62">
        <v>12000</v>
      </c>
      <c r="U712" s="62">
        <f t="shared" si="186"/>
        <v>1000</v>
      </c>
      <c r="V712" s="69">
        <v>10380</v>
      </c>
      <c r="W712" s="71" t="s">
        <v>123</v>
      </c>
      <c r="X712" s="71"/>
      <c r="Y712" s="71"/>
      <c r="Z712" s="64" t="e">
        <f t="shared" si="182"/>
        <v>#VALUE!</v>
      </c>
      <c r="AA712" s="64" t="e">
        <f t="shared" si="174"/>
        <v>#VALUE!</v>
      </c>
      <c r="AB712" s="71">
        <v>1085</v>
      </c>
      <c r="AC712" s="64">
        <f t="shared" si="183"/>
        <v>8.5000000000000006E-2</v>
      </c>
      <c r="AD712" s="64">
        <f t="shared" si="176"/>
        <v>-1.4233797698364695E-2</v>
      </c>
      <c r="AE712" s="175">
        <v>1050</v>
      </c>
      <c r="AF712" s="64">
        <f t="shared" si="184"/>
        <v>0.05</v>
      </c>
      <c r="AG712" s="64">
        <f t="shared" si="177"/>
        <v>-4.6032707450030352E-2</v>
      </c>
      <c r="AH712" s="67"/>
      <c r="AI712" s="47" t="s">
        <v>54</v>
      </c>
      <c r="AJ712" s="47">
        <v>222</v>
      </c>
      <c r="AK712" s="47" t="s">
        <v>93</v>
      </c>
      <c r="AL712" s="47" t="s">
        <v>55</v>
      </c>
      <c r="AM712" s="47" t="s">
        <v>1814</v>
      </c>
      <c r="AN712" s="47"/>
      <c r="AO712" s="211">
        <f t="shared" si="185"/>
        <v>-1</v>
      </c>
      <c r="AP712" s="47" t="s">
        <v>90</v>
      </c>
      <c r="AQ712" s="94" t="s">
        <v>891</v>
      </c>
      <c r="AR712" s="47"/>
    </row>
    <row r="713" spans="1:44" hidden="1">
      <c r="A713" s="47" t="s">
        <v>44</v>
      </c>
      <c r="B713" s="47" t="str">
        <f t="shared" si="180"/>
        <v>August</v>
      </c>
      <c r="C713" s="59">
        <v>45518</v>
      </c>
      <c r="D713" s="47" t="s">
        <v>83</v>
      </c>
      <c r="E713" s="47" t="s">
        <v>1086</v>
      </c>
      <c r="F713" s="47" t="s">
        <v>85</v>
      </c>
      <c r="G713" s="47" t="s">
        <v>1935</v>
      </c>
      <c r="H713" s="47" t="s">
        <v>1936</v>
      </c>
      <c r="I713" s="47" t="s">
        <v>63</v>
      </c>
      <c r="J713" s="47" t="s">
        <v>51</v>
      </c>
      <c r="K713" s="48">
        <v>45153</v>
      </c>
      <c r="L713" s="48">
        <v>45153</v>
      </c>
      <c r="M713" s="48">
        <v>45518</v>
      </c>
      <c r="N713" s="47" t="s">
        <v>52</v>
      </c>
      <c r="O713" s="55" t="s">
        <v>53</v>
      </c>
      <c r="P713" s="62">
        <v>11284</v>
      </c>
      <c r="Q713" s="62">
        <v>940.33333333333337</v>
      </c>
      <c r="R713" s="103">
        <v>11544</v>
      </c>
      <c r="S713" s="62">
        <f t="shared" si="181"/>
        <v>962</v>
      </c>
      <c r="T713" s="62">
        <v>15000</v>
      </c>
      <c r="U713" s="62">
        <f t="shared" si="186"/>
        <v>1250</v>
      </c>
      <c r="V713" s="69">
        <v>14400</v>
      </c>
      <c r="W713" s="71" t="s">
        <v>123</v>
      </c>
      <c r="X713" s="71"/>
      <c r="Y713" s="71"/>
      <c r="Z713" s="64" t="e">
        <f t="shared" si="182"/>
        <v>#VALUE!</v>
      </c>
      <c r="AA713" s="64" t="e">
        <f t="shared" si="174"/>
        <v>#VALUE!</v>
      </c>
      <c r="AB713" s="71">
        <v>1275</v>
      </c>
      <c r="AC713" s="64">
        <f t="shared" si="183"/>
        <v>0.02</v>
      </c>
      <c r="AD713" s="64">
        <f t="shared" si="176"/>
        <v>0.32536382536382535</v>
      </c>
      <c r="AE713" s="175">
        <v>1255</v>
      </c>
      <c r="AF713" s="64">
        <f t="shared" si="184"/>
        <v>4.0000000000000001E-3</v>
      </c>
      <c r="AG713" s="64">
        <f t="shared" si="177"/>
        <v>0.30457380457380456</v>
      </c>
      <c r="AH713" s="67"/>
      <c r="AI713" s="47" t="s">
        <v>54</v>
      </c>
      <c r="AJ713" s="47">
        <v>277</v>
      </c>
      <c r="AK713" s="47" t="s">
        <v>93</v>
      </c>
      <c r="AL713" s="47" t="s">
        <v>55</v>
      </c>
      <c r="AM713" s="47" t="s">
        <v>1937</v>
      </c>
      <c r="AN713" s="47"/>
      <c r="AO713" s="211">
        <f t="shared" si="185"/>
        <v>-1</v>
      </c>
      <c r="AP713" s="47" t="s">
        <v>90</v>
      </c>
      <c r="AQ713" s="91" t="s">
        <v>116</v>
      </c>
      <c r="AR713" s="47"/>
    </row>
    <row r="714" spans="1:44" hidden="1">
      <c r="A714" s="47" t="s">
        <v>44</v>
      </c>
      <c r="B714" s="47" t="str">
        <f t="shared" si="180"/>
        <v>August</v>
      </c>
      <c r="C714" s="59">
        <v>45519</v>
      </c>
      <c r="D714" s="47" t="s">
        <v>83</v>
      </c>
      <c r="E714" s="47" t="s">
        <v>1086</v>
      </c>
      <c r="F714" s="47" t="s">
        <v>85</v>
      </c>
      <c r="G714" s="47" t="s">
        <v>1999</v>
      </c>
      <c r="H714" s="47" t="s">
        <v>2000</v>
      </c>
      <c r="I714" s="47" t="s">
        <v>63</v>
      </c>
      <c r="J714" s="47" t="s">
        <v>51</v>
      </c>
      <c r="K714" s="48">
        <v>45154</v>
      </c>
      <c r="L714" s="48">
        <v>45154</v>
      </c>
      <c r="M714" s="48">
        <v>45519</v>
      </c>
      <c r="N714" s="47" t="s">
        <v>52</v>
      </c>
      <c r="O714" s="55" t="s">
        <v>53</v>
      </c>
      <c r="P714" s="62">
        <v>11180</v>
      </c>
      <c r="Q714" s="62">
        <v>931.66666666666663</v>
      </c>
      <c r="R714" s="103">
        <v>11440</v>
      </c>
      <c r="S714" s="62">
        <f t="shared" si="181"/>
        <v>953.33333333333337</v>
      </c>
      <c r="T714" s="62">
        <v>12480</v>
      </c>
      <c r="U714" s="62">
        <f t="shared" si="186"/>
        <v>1040</v>
      </c>
      <c r="V714" s="69">
        <v>10320</v>
      </c>
      <c r="W714" s="71" t="s">
        <v>123</v>
      </c>
      <c r="X714" s="71"/>
      <c r="Y714" s="71"/>
      <c r="Z714" s="64" t="e">
        <f t="shared" si="182"/>
        <v>#VALUE!</v>
      </c>
      <c r="AA714" s="64" t="e">
        <f t="shared" si="174"/>
        <v>#VALUE!</v>
      </c>
      <c r="AB714" s="71">
        <v>1100</v>
      </c>
      <c r="AC714" s="64">
        <f t="shared" si="183"/>
        <v>5.7692307692307696E-2</v>
      </c>
      <c r="AD714" s="64">
        <f t="shared" si="176"/>
        <v>0.1538461538461538</v>
      </c>
      <c r="AE714" s="71">
        <v>1085</v>
      </c>
      <c r="AF714" s="64">
        <f t="shared" si="184"/>
        <v>4.3269230769230768E-2</v>
      </c>
      <c r="AG714" s="64">
        <f t="shared" si="177"/>
        <v>0.13811188811188807</v>
      </c>
      <c r="AH714" s="67"/>
      <c r="AI714" s="47" t="s">
        <v>54</v>
      </c>
      <c r="AJ714" s="47">
        <v>242</v>
      </c>
      <c r="AK714" s="47" t="s">
        <v>93</v>
      </c>
      <c r="AL714" s="47" t="s">
        <v>55</v>
      </c>
      <c r="AM714" s="47" t="s">
        <v>2001</v>
      </c>
      <c r="AN714" s="47"/>
      <c r="AO714" s="211">
        <f t="shared" si="185"/>
        <v>-1</v>
      </c>
      <c r="AP714" s="47" t="s">
        <v>90</v>
      </c>
      <c r="AQ714" s="91" t="s">
        <v>116</v>
      </c>
      <c r="AR714" s="47"/>
    </row>
    <row r="715" spans="1:44" hidden="1">
      <c r="A715" s="47" t="s">
        <v>44</v>
      </c>
      <c r="B715" s="47" t="str">
        <f t="shared" si="180"/>
        <v>August</v>
      </c>
      <c r="C715" s="59">
        <v>45521</v>
      </c>
      <c r="D715" s="47" t="s">
        <v>83</v>
      </c>
      <c r="E715" s="47" t="s">
        <v>1086</v>
      </c>
      <c r="F715" s="47" t="s">
        <v>85</v>
      </c>
      <c r="G715" s="47" t="s">
        <v>2163</v>
      </c>
      <c r="H715" s="47" t="s">
        <v>2164</v>
      </c>
      <c r="I715" s="47" t="s">
        <v>63</v>
      </c>
      <c r="J715" s="47" t="s">
        <v>51</v>
      </c>
      <c r="K715" s="48">
        <v>45156</v>
      </c>
      <c r="L715" s="48">
        <v>45156</v>
      </c>
      <c r="M715" s="48">
        <v>45521</v>
      </c>
      <c r="N715" s="47" t="s">
        <v>52</v>
      </c>
      <c r="O715" s="55" t="s">
        <v>53</v>
      </c>
      <c r="P715" s="62">
        <v>11388</v>
      </c>
      <c r="Q715" s="62">
        <v>949</v>
      </c>
      <c r="R715" s="103">
        <v>11596</v>
      </c>
      <c r="S715" s="62">
        <f t="shared" si="181"/>
        <v>966.33333333333337</v>
      </c>
      <c r="T715" s="62">
        <v>12300</v>
      </c>
      <c r="U715" s="62">
        <f t="shared" si="186"/>
        <v>1025</v>
      </c>
      <c r="V715" s="69">
        <v>11100</v>
      </c>
      <c r="W715" s="71" t="s">
        <v>123</v>
      </c>
      <c r="X715" s="71"/>
      <c r="Y715" s="71"/>
      <c r="Z715" s="64" t="e">
        <f t="shared" si="182"/>
        <v>#VALUE!</v>
      </c>
      <c r="AA715" s="64" t="e">
        <f t="shared" si="174"/>
        <v>#VALUE!</v>
      </c>
      <c r="AB715" s="71">
        <v>1085</v>
      </c>
      <c r="AC715" s="64">
        <f t="shared" si="183"/>
        <v>5.8536585365853662E-2</v>
      </c>
      <c r="AD715" s="64">
        <f t="shared" si="176"/>
        <v>0.12280096585029317</v>
      </c>
      <c r="AE715" s="175">
        <v>1060</v>
      </c>
      <c r="AF715" s="64">
        <f t="shared" si="184"/>
        <v>3.4146341463414637E-2</v>
      </c>
      <c r="AG715" s="64">
        <f t="shared" si="177"/>
        <v>9.6929975853742634E-2</v>
      </c>
      <c r="AH715" s="67"/>
      <c r="AI715" s="47" t="s">
        <v>54</v>
      </c>
      <c r="AJ715" s="47">
        <v>216</v>
      </c>
      <c r="AK715" s="47" t="s">
        <v>93</v>
      </c>
      <c r="AL715" s="47" t="s">
        <v>55</v>
      </c>
      <c r="AM715" s="47" t="s">
        <v>2165</v>
      </c>
      <c r="AN715" s="47"/>
      <c r="AO715" s="211">
        <f t="shared" si="185"/>
        <v>-1</v>
      </c>
      <c r="AP715" s="47" t="s">
        <v>90</v>
      </c>
      <c r="AQ715" s="94" t="s">
        <v>891</v>
      </c>
      <c r="AR715" s="47"/>
    </row>
    <row r="716" spans="1:44" hidden="1">
      <c r="A716" s="47" t="s">
        <v>44</v>
      </c>
      <c r="B716" s="47" t="str">
        <f t="shared" si="180"/>
        <v>August</v>
      </c>
      <c r="C716" s="59">
        <v>45521</v>
      </c>
      <c r="D716" s="47" t="s">
        <v>83</v>
      </c>
      <c r="E716" s="47" t="s">
        <v>1086</v>
      </c>
      <c r="F716" s="47" t="s">
        <v>85</v>
      </c>
      <c r="G716" s="47" t="s">
        <v>2166</v>
      </c>
      <c r="H716" s="47" t="s">
        <v>2167</v>
      </c>
      <c r="I716" s="47" t="s">
        <v>63</v>
      </c>
      <c r="J716" s="47" t="s">
        <v>51</v>
      </c>
      <c r="K716" s="48">
        <v>45156</v>
      </c>
      <c r="L716" s="48">
        <v>45156</v>
      </c>
      <c r="M716" s="48">
        <v>45521</v>
      </c>
      <c r="N716" s="47" t="s">
        <v>52</v>
      </c>
      <c r="O716" s="55" t="s">
        <v>53</v>
      </c>
      <c r="P716" s="62">
        <v>10400</v>
      </c>
      <c r="Q716" s="62">
        <v>866.66666666666663</v>
      </c>
      <c r="R716" s="103">
        <v>10608</v>
      </c>
      <c r="S716" s="62">
        <f t="shared" si="181"/>
        <v>884</v>
      </c>
      <c r="T716" s="62">
        <v>12000</v>
      </c>
      <c r="U716" s="62">
        <f t="shared" si="186"/>
        <v>1000</v>
      </c>
      <c r="V716" s="69">
        <v>11400</v>
      </c>
      <c r="W716" s="71" t="s">
        <v>123</v>
      </c>
      <c r="X716" s="71"/>
      <c r="Y716" s="71"/>
      <c r="Z716" s="64" t="e">
        <f t="shared" si="182"/>
        <v>#VALUE!</v>
      </c>
      <c r="AA716" s="64" t="e">
        <f t="shared" si="174"/>
        <v>#VALUE!</v>
      </c>
      <c r="AB716" s="71">
        <v>1085</v>
      </c>
      <c r="AC716" s="64">
        <f t="shared" si="183"/>
        <v>8.5000000000000006E-2</v>
      </c>
      <c r="AD716" s="64">
        <f t="shared" si="176"/>
        <v>0.22737556561085973</v>
      </c>
      <c r="AE716" s="175">
        <v>1065</v>
      </c>
      <c r="AF716" s="64">
        <f t="shared" si="184"/>
        <v>6.5000000000000002E-2</v>
      </c>
      <c r="AG716" s="64">
        <f t="shared" si="177"/>
        <v>0.20475113122171945</v>
      </c>
      <c r="AH716" s="67"/>
      <c r="AI716" s="47" t="s">
        <v>54</v>
      </c>
      <c r="AJ716" s="47">
        <v>239</v>
      </c>
      <c r="AK716" s="47" t="s">
        <v>93</v>
      </c>
      <c r="AL716" s="47" t="s">
        <v>55</v>
      </c>
      <c r="AM716" s="47" t="s">
        <v>2168</v>
      </c>
      <c r="AN716" s="47"/>
      <c r="AO716" s="211">
        <f t="shared" si="185"/>
        <v>-1</v>
      </c>
      <c r="AP716" s="47" t="s">
        <v>90</v>
      </c>
      <c r="AQ716" s="91" t="s">
        <v>116</v>
      </c>
      <c r="AR716" s="47"/>
    </row>
    <row r="717" spans="1:44">
      <c r="A717" s="47" t="s">
        <v>44</v>
      </c>
      <c r="B717" s="47" t="str">
        <f t="shared" si="180"/>
        <v>August</v>
      </c>
      <c r="C717" s="59">
        <v>45523</v>
      </c>
      <c r="D717" s="47" t="s">
        <v>83</v>
      </c>
      <c r="E717" s="47" t="s">
        <v>1086</v>
      </c>
      <c r="F717" s="47" t="s">
        <v>85</v>
      </c>
      <c r="G717" s="47" t="s">
        <v>2324</v>
      </c>
      <c r="H717" s="47" t="s">
        <v>2325</v>
      </c>
      <c r="I717" s="47" t="s">
        <v>63</v>
      </c>
      <c r="J717" s="47" t="s">
        <v>51</v>
      </c>
      <c r="K717" s="48">
        <v>43697</v>
      </c>
      <c r="L717" s="48">
        <v>45158</v>
      </c>
      <c r="M717" s="48">
        <v>45523</v>
      </c>
      <c r="N717" s="47" t="s">
        <v>64</v>
      </c>
      <c r="O717" s="55" t="s">
        <v>53</v>
      </c>
      <c r="P717" s="62">
        <v>12272</v>
      </c>
      <c r="Q717" s="62">
        <v>1022.6666666666666</v>
      </c>
      <c r="R717" s="103">
        <v>12532</v>
      </c>
      <c r="S717" s="62">
        <f t="shared" si="181"/>
        <v>1044.3333333333333</v>
      </c>
      <c r="T717" s="62">
        <v>10200</v>
      </c>
      <c r="U717" s="137">
        <f t="shared" si="186"/>
        <v>850</v>
      </c>
      <c r="V717" s="69">
        <v>9409.44</v>
      </c>
      <c r="W717" s="71" t="s">
        <v>123</v>
      </c>
      <c r="X717" s="71"/>
      <c r="Y717" s="71"/>
      <c r="Z717" s="64" t="e">
        <f t="shared" si="182"/>
        <v>#VALUE!</v>
      </c>
      <c r="AA717" s="64" t="e">
        <f t="shared" si="174"/>
        <v>#VALUE!</v>
      </c>
      <c r="AB717" s="71">
        <v>950</v>
      </c>
      <c r="AC717" s="64">
        <f t="shared" si="183"/>
        <v>0.11764705882352941</v>
      </c>
      <c r="AD717" s="64">
        <f t="shared" si="176"/>
        <v>-9.0328758378550839E-2</v>
      </c>
      <c r="AE717" s="175">
        <v>925</v>
      </c>
      <c r="AF717" s="64">
        <f t="shared" si="184"/>
        <v>8.8235294117647065E-2</v>
      </c>
      <c r="AG717" s="64">
        <f t="shared" si="177"/>
        <v>-0.11426747526332583</v>
      </c>
      <c r="AH717" s="67" t="s">
        <v>2326</v>
      </c>
      <c r="AI717" s="47" t="s">
        <v>54</v>
      </c>
      <c r="AJ717" s="47">
        <v>252</v>
      </c>
      <c r="AK717" s="47" t="s">
        <v>93</v>
      </c>
      <c r="AL717" s="47" t="s">
        <v>55</v>
      </c>
      <c r="AM717" s="47" t="s">
        <v>2327</v>
      </c>
      <c r="AN717" s="47"/>
      <c r="AO717" s="211">
        <f t="shared" si="185"/>
        <v>-1</v>
      </c>
      <c r="AP717" s="47" t="s">
        <v>90</v>
      </c>
      <c r="AQ717" s="91" t="s">
        <v>116</v>
      </c>
      <c r="AR717" s="47"/>
    </row>
    <row r="718" spans="1:44">
      <c r="A718" s="47" t="s">
        <v>44</v>
      </c>
      <c r="B718" s="47" t="str">
        <f t="shared" si="180"/>
        <v>August</v>
      </c>
      <c r="C718" s="59">
        <v>45525</v>
      </c>
      <c r="D718" s="47" t="s">
        <v>83</v>
      </c>
      <c r="E718" s="47" t="s">
        <v>1086</v>
      </c>
      <c r="F718" s="47" t="s">
        <v>85</v>
      </c>
      <c r="G718" s="47" t="s">
        <v>2576</v>
      </c>
      <c r="H718" s="47" t="s">
        <v>2577</v>
      </c>
      <c r="I718" s="47" t="s">
        <v>63</v>
      </c>
      <c r="J718" s="47" t="s">
        <v>51</v>
      </c>
      <c r="K718" s="48">
        <v>44795</v>
      </c>
      <c r="L718" s="48">
        <v>45160</v>
      </c>
      <c r="M718" s="48">
        <v>45525</v>
      </c>
      <c r="N718" s="47" t="s">
        <v>64</v>
      </c>
      <c r="O718" s="55" t="s">
        <v>53</v>
      </c>
      <c r="P718" s="62">
        <v>12480</v>
      </c>
      <c r="Q718" s="62">
        <v>1040</v>
      </c>
      <c r="R718" s="103">
        <v>12740</v>
      </c>
      <c r="S718" s="62">
        <f t="shared" si="181"/>
        <v>1061.6666666666667</v>
      </c>
      <c r="T718" s="62">
        <v>11940</v>
      </c>
      <c r="U718" s="62">
        <f t="shared" si="186"/>
        <v>995</v>
      </c>
      <c r="V718" s="69">
        <v>11100</v>
      </c>
      <c r="W718" s="71" t="s">
        <v>123</v>
      </c>
      <c r="X718" s="71"/>
      <c r="Y718" s="71"/>
      <c r="Z718" s="64" t="e">
        <f t="shared" si="182"/>
        <v>#VALUE!</v>
      </c>
      <c r="AA718" s="64" t="e">
        <f t="shared" si="174"/>
        <v>#VALUE!</v>
      </c>
      <c r="AB718" s="71">
        <v>1075</v>
      </c>
      <c r="AC718" s="64">
        <f t="shared" si="183"/>
        <v>8.0402010050251257E-2</v>
      </c>
      <c r="AD718" s="64">
        <f t="shared" si="176"/>
        <v>1.2558869701726772E-2</v>
      </c>
      <c r="AE718" s="175">
        <v>1060</v>
      </c>
      <c r="AF718" s="64">
        <f t="shared" si="184"/>
        <v>6.5326633165829151E-2</v>
      </c>
      <c r="AG718" s="64">
        <f t="shared" si="177"/>
        <v>-1.5698587127159268E-3</v>
      </c>
      <c r="AH718" s="67"/>
      <c r="AI718" s="47" t="s">
        <v>54</v>
      </c>
      <c r="AJ718" s="47">
        <v>311</v>
      </c>
      <c r="AK718" s="47" t="s">
        <v>93</v>
      </c>
      <c r="AL718" s="47" t="s">
        <v>55</v>
      </c>
      <c r="AM718" s="47" t="s">
        <v>2578</v>
      </c>
      <c r="AN718" s="47">
        <v>1060</v>
      </c>
      <c r="AO718" s="211">
        <f t="shared" si="185"/>
        <v>6.5326633165829151E-2</v>
      </c>
      <c r="AP718" s="47" t="s">
        <v>90</v>
      </c>
      <c r="AQ718" s="91" t="s">
        <v>116</v>
      </c>
      <c r="AR718" s="47"/>
    </row>
    <row r="719" spans="1:44">
      <c r="A719" s="47" t="s">
        <v>44</v>
      </c>
      <c r="B719" s="47" t="str">
        <f t="shared" si="180"/>
        <v>July</v>
      </c>
      <c r="C719" s="59">
        <v>45497</v>
      </c>
      <c r="D719" s="47" t="s">
        <v>83</v>
      </c>
      <c r="E719" s="47" t="s">
        <v>1086</v>
      </c>
      <c r="F719" s="47" t="s">
        <v>85</v>
      </c>
      <c r="G719" s="47" t="s">
        <v>2614</v>
      </c>
      <c r="H719" s="47" t="s">
        <v>2615</v>
      </c>
      <c r="I719" s="47" t="s">
        <v>63</v>
      </c>
      <c r="J719" s="47" t="s">
        <v>51</v>
      </c>
      <c r="K719" s="48">
        <v>44037</v>
      </c>
      <c r="L719" s="48">
        <v>45132</v>
      </c>
      <c r="M719" s="48">
        <v>45497</v>
      </c>
      <c r="N719" s="47" t="s">
        <v>64</v>
      </c>
      <c r="O719" s="55" t="s">
        <v>53</v>
      </c>
      <c r="P719" s="62">
        <v>11960</v>
      </c>
      <c r="Q719" s="62">
        <v>996.66666666666663</v>
      </c>
      <c r="R719" s="103">
        <v>12220</v>
      </c>
      <c r="S719" s="62">
        <f t="shared" si="181"/>
        <v>1018.3333333333334</v>
      </c>
      <c r="T719" s="62">
        <v>11460</v>
      </c>
      <c r="U719" s="62">
        <f t="shared" si="186"/>
        <v>955</v>
      </c>
      <c r="V719" s="69">
        <v>10560</v>
      </c>
      <c r="W719" s="71" t="s">
        <v>123</v>
      </c>
      <c r="X719" s="71"/>
      <c r="Y719" s="71"/>
      <c r="Z719" s="64" t="e">
        <f t="shared" si="182"/>
        <v>#VALUE!</v>
      </c>
      <c r="AA719" s="64" t="e">
        <f t="shared" si="174"/>
        <v>#VALUE!</v>
      </c>
      <c r="AB719" s="71">
        <v>1020</v>
      </c>
      <c r="AC719" s="64">
        <f t="shared" si="183"/>
        <v>6.8062827225130892E-2</v>
      </c>
      <c r="AD719" s="64">
        <f t="shared" si="176"/>
        <v>1.636661211129259E-3</v>
      </c>
      <c r="AE719" s="71">
        <v>1000</v>
      </c>
      <c r="AF719" s="64">
        <f t="shared" si="184"/>
        <v>4.712041884816754E-2</v>
      </c>
      <c r="AG719" s="64">
        <f t="shared" si="177"/>
        <v>-1.8003273322422294E-2</v>
      </c>
      <c r="AH719" s="67"/>
      <c r="AI719" s="47" t="s">
        <v>54</v>
      </c>
      <c r="AJ719" s="47">
        <v>240</v>
      </c>
      <c r="AK719" s="101" t="s">
        <v>93</v>
      </c>
      <c r="AL719" s="101" t="s">
        <v>55</v>
      </c>
      <c r="AM719" s="47" t="s">
        <v>2616</v>
      </c>
      <c r="AN719" s="47">
        <v>1000</v>
      </c>
      <c r="AO719" s="211">
        <f t="shared" si="185"/>
        <v>4.712041884816754E-2</v>
      </c>
      <c r="AP719" s="47" t="s">
        <v>90</v>
      </c>
      <c r="AQ719" s="91" t="s">
        <v>116</v>
      </c>
      <c r="AR719" s="47"/>
    </row>
    <row r="720" spans="1:44" hidden="1">
      <c r="A720" s="47" t="s">
        <v>44</v>
      </c>
      <c r="B720" s="47" t="str">
        <f t="shared" si="180"/>
        <v>July</v>
      </c>
      <c r="C720" s="59">
        <v>45476</v>
      </c>
      <c r="D720" s="47" t="s">
        <v>83</v>
      </c>
      <c r="E720" s="47" t="s">
        <v>1086</v>
      </c>
      <c r="F720" s="47" t="s">
        <v>85</v>
      </c>
      <c r="G720" s="47" t="s">
        <v>2617</v>
      </c>
      <c r="H720" s="47" t="s">
        <v>2618</v>
      </c>
      <c r="I720" s="47" t="s">
        <v>63</v>
      </c>
      <c r="J720" s="47" t="s">
        <v>51</v>
      </c>
      <c r="K720" s="48">
        <v>45111</v>
      </c>
      <c r="L720" s="48">
        <v>45111</v>
      </c>
      <c r="M720" s="48">
        <v>45476</v>
      </c>
      <c r="N720" s="47" t="s">
        <v>52</v>
      </c>
      <c r="O720" s="55" t="s">
        <v>53</v>
      </c>
      <c r="P720" s="62">
        <v>10972</v>
      </c>
      <c r="Q720" s="62">
        <v>914.33333333333337</v>
      </c>
      <c r="R720" s="103">
        <v>11232</v>
      </c>
      <c r="S720" s="62">
        <f t="shared" si="181"/>
        <v>936</v>
      </c>
      <c r="T720" s="62">
        <v>11820</v>
      </c>
      <c r="U720" s="62">
        <f t="shared" si="186"/>
        <v>985</v>
      </c>
      <c r="V720" s="69">
        <v>11400</v>
      </c>
      <c r="W720" s="71" t="s">
        <v>123</v>
      </c>
      <c r="X720" s="71"/>
      <c r="Y720" s="71"/>
      <c r="Z720" s="64" t="e">
        <f t="shared" si="182"/>
        <v>#VALUE!</v>
      </c>
      <c r="AA720" s="64" t="e">
        <f t="shared" si="174"/>
        <v>#VALUE!</v>
      </c>
      <c r="AB720" s="71">
        <v>1020</v>
      </c>
      <c r="AC720" s="64">
        <f t="shared" si="183"/>
        <v>3.553299492385787E-2</v>
      </c>
      <c r="AD720" s="64">
        <f t="shared" si="176"/>
        <v>8.9743589743589744E-2</v>
      </c>
      <c r="AE720" s="71">
        <v>1010</v>
      </c>
      <c r="AF720" s="64">
        <f t="shared" si="184"/>
        <v>2.5380710659898477E-2</v>
      </c>
      <c r="AG720" s="64">
        <f t="shared" si="177"/>
        <v>7.9059829059829057E-2</v>
      </c>
      <c r="AH720" s="67"/>
      <c r="AI720" s="47" t="s">
        <v>54</v>
      </c>
      <c r="AJ720" s="47">
        <v>244</v>
      </c>
      <c r="AK720" s="101" t="s">
        <v>93</v>
      </c>
      <c r="AL720" s="101" t="s">
        <v>55</v>
      </c>
      <c r="AM720" s="47" t="s">
        <v>2619</v>
      </c>
      <c r="AN720" s="47"/>
      <c r="AO720" s="211">
        <f t="shared" si="185"/>
        <v>-1</v>
      </c>
      <c r="AP720" s="47" t="s">
        <v>90</v>
      </c>
      <c r="AQ720" s="91" t="s">
        <v>116</v>
      </c>
      <c r="AR720" s="47"/>
    </row>
    <row r="721" spans="1:44">
      <c r="A721" s="47" t="s">
        <v>44</v>
      </c>
      <c r="B721" s="47" t="str">
        <f t="shared" si="180"/>
        <v>July</v>
      </c>
      <c r="C721" s="59">
        <v>45498</v>
      </c>
      <c r="D721" s="47" t="s">
        <v>83</v>
      </c>
      <c r="E721" s="47" t="s">
        <v>1086</v>
      </c>
      <c r="F721" s="47" t="s">
        <v>85</v>
      </c>
      <c r="G721" s="47" t="s">
        <v>2620</v>
      </c>
      <c r="H721" s="47" t="s">
        <v>2621</v>
      </c>
      <c r="I721" s="47" t="s">
        <v>63</v>
      </c>
      <c r="J721" s="47" t="s">
        <v>51</v>
      </c>
      <c r="K721" s="48">
        <v>43307</v>
      </c>
      <c r="L721" s="48">
        <v>45133</v>
      </c>
      <c r="M721" s="48">
        <v>45498</v>
      </c>
      <c r="N721" s="47" t="s">
        <v>64</v>
      </c>
      <c r="O721" s="55" t="s">
        <v>53</v>
      </c>
      <c r="P721" s="62">
        <v>11492</v>
      </c>
      <c r="Q721" s="62">
        <v>957.66666666666663</v>
      </c>
      <c r="R721" s="103">
        <v>11752</v>
      </c>
      <c r="S721" s="62">
        <f t="shared" si="181"/>
        <v>979.33333333333337</v>
      </c>
      <c r="T721" s="62">
        <v>10800</v>
      </c>
      <c r="U721" s="62">
        <f t="shared" si="186"/>
        <v>900</v>
      </c>
      <c r="V721" s="69">
        <v>9840</v>
      </c>
      <c r="W721" s="71" t="s">
        <v>123</v>
      </c>
      <c r="X721" s="71"/>
      <c r="Y721" s="71"/>
      <c r="Z721" s="64" t="e">
        <f t="shared" si="182"/>
        <v>#VALUE!</v>
      </c>
      <c r="AA721" s="64" t="e">
        <f t="shared" si="174"/>
        <v>#VALUE!</v>
      </c>
      <c r="AB721" s="71">
        <v>1000</v>
      </c>
      <c r="AC721" s="64">
        <f t="shared" si="183"/>
        <v>0.1111111111111111</v>
      </c>
      <c r="AD721" s="64">
        <f t="shared" si="176"/>
        <v>2.1102791014295401E-2</v>
      </c>
      <c r="AE721" s="71">
        <v>985</v>
      </c>
      <c r="AF721" s="64">
        <f t="shared" si="184"/>
        <v>9.4444444444444442E-2</v>
      </c>
      <c r="AG721" s="64">
        <f t="shared" si="177"/>
        <v>5.7862491490809683E-3</v>
      </c>
      <c r="AH721" s="67"/>
      <c r="AI721" s="47" t="s">
        <v>54</v>
      </c>
      <c r="AJ721" s="47">
        <v>251</v>
      </c>
      <c r="AK721" s="101" t="s">
        <v>93</v>
      </c>
      <c r="AL721" s="101" t="s">
        <v>55</v>
      </c>
      <c r="AM721" s="47" t="s">
        <v>2001</v>
      </c>
      <c r="AN721" s="47"/>
      <c r="AO721" s="211">
        <f t="shared" si="185"/>
        <v>-1</v>
      </c>
      <c r="AP721" s="47" t="s">
        <v>90</v>
      </c>
      <c r="AQ721" s="91" t="s">
        <v>116</v>
      </c>
      <c r="AR721" s="47"/>
    </row>
    <row r="722" spans="1:44" hidden="1">
      <c r="A722" s="47" t="s">
        <v>44</v>
      </c>
      <c r="B722" s="47" t="str">
        <f t="shared" si="180"/>
        <v>July</v>
      </c>
      <c r="C722" s="59">
        <v>45501</v>
      </c>
      <c r="D722" s="47" t="s">
        <v>83</v>
      </c>
      <c r="E722" s="47" t="s">
        <v>1086</v>
      </c>
      <c r="F722" s="47" t="s">
        <v>85</v>
      </c>
      <c r="G722" s="47" t="s">
        <v>2622</v>
      </c>
      <c r="H722" s="47" t="s">
        <v>2623</v>
      </c>
      <c r="I722" s="47" t="s">
        <v>63</v>
      </c>
      <c r="J722" s="47" t="s">
        <v>51</v>
      </c>
      <c r="K722" s="48">
        <v>45136</v>
      </c>
      <c r="L722" s="48">
        <v>45136</v>
      </c>
      <c r="M722" s="48">
        <v>45501</v>
      </c>
      <c r="N722" s="47" t="s">
        <v>52</v>
      </c>
      <c r="O722" s="55" t="s">
        <v>53</v>
      </c>
      <c r="P722" s="62">
        <v>11804</v>
      </c>
      <c r="Q722" s="62">
        <v>983.66666666666663</v>
      </c>
      <c r="R722" s="103">
        <v>12064</v>
      </c>
      <c r="S722" s="62">
        <f t="shared" si="181"/>
        <v>1005.3333333333334</v>
      </c>
      <c r="T722" s="62">
        <v>12300</v>
      </c>
      <c r="U722" s="62">
        <f t="shared" si="186"/>
        <v>1025</v>
      </c>
      <c r="V722" s="69">
        <v>11580</v>
      </c>
      <c r="W722" s="71" t="s">
        <v>123</v>
      </c>
      <c r="X722" s="71"/>
      <c r="Y722" s="71"/>
      <c r="Z722" s="64" t="e">
        <f t="shared" si="182"/>
        <v>#VALUE!</v>
      </c>
      <c r="AA722" s="64" t="e">
        <f t="shared" si="174"/>
        <v>#VALUE!</v>
      </c>
      <c r="AB722" s="71">
        <v>1055</v>
      </c>
      <c r="AC722" s="64">
        <f t="shared" si="183"/>
        <v>2.9268292682926831E-2</v>
      </c>
      <c r="AD722" s="64">
        <f t="shared" si="176"/>
        <v>4.9403183023872636E-2</v>
      </c>
      <c r="AE722" s="71">
        <v>1045</v>
      </c>
      <c r="AF722" s="64">
        <f t="shared" si="184"/>
        <v>1.9512195121951219E-2</v>
      </c>
      <c r="AG722" s="64">
        <f t="shared" si="177"/>
        <v>3.9456233421750621E-2</v>
      </c>
      <c r="AH722" s="67" t="s">
        <v>2624</v>
      </c>
      <c r="AI722" s="47" t="s">
        <v>54</v>
      </c>
      <c r="AJ722" s="47">
        <v>276</v>
      </c>
      <c r="AK722" s="101" t="s">
        <v>93</v>
      </c>
      <c r="AL722" s="101" t="s">
        <v>55</v>
      </c>
      <c r="AM722" s="47" t="s">
        <v>2625</v>
      </c>
      <c r="AN722" s="47">
        <v>1055</v>
      </c>
      <c r="AO722" s="211">
        <f t="shared" si="185"/>
        <v>2.9268292682926831E-2</v>
      </c>
      <c r="AP722" s="47" t="s">
        <v>90</v>
      </c>
      <c r="AQ722" s="91" t="s">
        <v>116</v>
      </c>
      <c r="AR722" s="47"/>
    </row>
    <row r="723" spans="1:44" hidden="1">
      <c r="A723" s="47" t="s">
        <v>44</v>
      </c>
      <c r="B723" s="47" t="str">
        <f t="shared" si="180"/>
        <v>July</v>
      </c>
      <c r="C723" s="59">
        <v>45484</v>
      </c>
      <c r="D723" s="47" t="s">
        <v>83</v>
      </c>
      <c r="E723" s="47" t="s">
        <v>1086</v>
      </c>
      <c r="F723" s="47" t="s">
        <v>85</v>
      </c>
      <c r="G723" s="47" t="s">
        <v>2626</v>
      </c>
      <c r="H723" s="47" t="s">
        <v>2627</v>
      </c>
      <c r="I723" s="47" t="s">
        <v>63</v>
      </c>
      <c r="J723" s="47" t="s">
        <v>51</v>
      </c>
      <c r="K723" s="48">
        <v>45119</v>
      </c>
      <c r="L723" s="48">
        <v>45119</v>
      </c>
      <c r="M723" s="48">
        <v>45484</v>
      </c>
      <c r="N723" s="47" t="s">
        <v>52</v>
      </c>
      <c r="O723" s="55" t="s">
        <v>53</v>
      </c>
      <c r="P723" s="62">
        <v>11544</v>
      </c>
      <c r="Q723" s="62">
        <v>962</v>
      </c>
      <c r="R723" s="103">
        <v>11804</v>
      </c>
      <c r="S723" s="62">
        <f t="shared" si="181"/>
        <v>983.66666666666663</v>
      </c>
      <c r="T723" s="62">
        <v>12000</v>
      </c>
      <c r="U723" s="62">
        <f t="shared" si="186"/>
        <v>1000</v>
      </c>
      <c r="V723" s="69">
        <v>10800</v>
      </c>
      <c r="W723" s="71" t="s">
        <v>123</v>
      </c>
      <c r="X723" s="71"/>
      <c r="Y723" s="71"/>
      <c r="Z723" s="64" t="e">
        <f t="shared" si="182"/>
        <v>#VALUE!</v>
      </c>
      <c r="AA723" s="64" t="e">
        <f t="shared" si="174"/>
        <v>#VALUE!</v>
      </c>
      <c r="AB723" s="71">
        <v>1035</v>
      </c>
      <c r="AC723" s="64">
        <f t="shared" si="183"/>
        <v>3.5000000000000003E-2</v>
      </c>
      <c r="AD723" s="64">
        <f t="shared" si="176"/>
        <v>5.2185699762792317E-2</v>
      </c>
      <c r="AE723" s="71">
        <f>AB723</f>
        <v>1035</v>
      </c>
      <c r="AF723" s="64">
        <f t="shared" si="184"/>
        <v>3.5000000000000003E-2</v>
      </c>
      <c r="AG723" s="64">
        <f t="shared" si="177"/>
        <v>5.2185699762792317E-2</v>
      </c>
      <c r="AH723" s="67"/>
      <c r="AI723" s="47" t="s">
        <v>54</v>
      </c>
      <c r="AJ723" s="47">
        <v>277</v>
      </c>
      <c r="AK723" s="101" t="s">
        <v>93</v>
      </c>
      <c r="AL723" s="101" t="s">
        <v>55</v>
      </c>
      <c r="AM723" s="47" t="s">
        <v>2628</v>
      </c>
      <c r="AN723" s="47">
        <v>1035</v>
      </c>
      <c r="AO723" s="211">
        <f t="shared" si="185"/>
        <v>3.5000000000000003E-2</v>
      </c>
      <c r="AP723" s="47" t="s">
        <v>90</v>
      </c>
      <c r="AQ723" s="91" t="s">
        <v>116</v>
      </c>
      <c r="AR723" s="47"/>
    </row>
    <row r="724" spans="1:44">
      <c r="A724" s="47" t="s">
        <v>44</v>
      </c>
      <c r="B724" s="47" t="str">
        <f t="shared" si="180"/>
        <v>July</v>
      </c>
      <c r="C724" s="59">
        <v>45494</v>
      </c>
      <c r="D724" s="47" t="s">
        <v>83</v>
      </c>
      <c r="E724" s="47" t="s">
        <v>1086</v>
      </c>
      <c r="F724" s="47" t="s">
        <v>85</v>
      </c>
      <c r="G724" s="47" t="s">
        <v>2629</v>
      </c>
      <c r="H724" s="47" t="s">
        <v>2630</v>
      </c>
      <c r="I724" s="47" t="s">
        <v>63</v>
      </c>
      <c r="J724" s="47" t="s">
        <v>51</v>
      </c>
      <c r="K724" s="48">
        <v>44399</v>
      </c>
      <c r="L724" s="48">
        <v>45129</v>
      </c>
      <c r="M724" s="48">
        <v>45494</v>
      </c>
      <c r="N724" s="47" t="s">
        <v>64</v>
      </c>
      <c r="O724" s="55" t="s">
        <v>53</v>
      </c>
      <c r="P724" s="62">
        <v>12116</v>
      </c>
      <c r="Q724" s="62">
        <v>1009.6666666666666</v>
      </c>
      <c r="R724" s="103">
        <v>12376</v>
      </c>
      <c r="S724" s="62">
        <f t="shared" si="181"/>
        <v>1031.3333333333333</v>
      </c>
      <c r="T724" s="62">
        <v>12300</v>
      </c>
      <c r="U724" s="62">
        <f t="shared" si="186"/>
        <v>1025</v>
      </c>
      <c r="V724" s="69">
        <v>10620</v>
      </c>
      <c r="W724" s="71" t="s">
        <v>123</v>
      </c>
      <c r="X724" s="71"/>
      <c r="Y724" s="71"/>
      <c r="Z724" s="64" t="e">
        <f t="shared" si="182"/>
        <v>#VALUE!</v>
      </c>
      <c r="AA724" s="64" t="e">
        <f t="shared" si="174"/>
        <v>#VALUE!</v>
      </c>
      <c r="AB724" s="71">
        <v>1055</v>
      </c>
      <c r="AC724" s="64">
        <f t="shared" si="183"/>
        <v>2.9268292682926831E-2</v>
      </c>
      <c r="AD724" s="64">
        <f t="shared" si="176"/>
        <v>2.2947640594699493E-2</v>
      </c>
      <c r="AE724" s="71">
        <v>1045</v>
      </c>
      <c r="AF724" s="64">
        <f t="shared" si="184"/>
        <v>1.9512195121951219E-2</v>
      </c>
      <c r="AG724" s="64">
        <f t="shared" si="177"/>
        <v>1.3251454427925091E-2</v>
      </c>
      <c r="AH724" s="67"/>
      <c r="AI724" s="47" t="s">
        <v>54</v>
      </c>
      <c r="AJ724" s="47">
        <v>281</v>
      </c>
      <c r="AK724" s="101" t="s">
        <v>93</v>
      </c>
      <c r="AL724" s="101" t="s">
        <v>55</v>
      </c>
      <c r="AM724" s="47" t="s">
        <v>2631</v>
      </c>
      <c r="AN724" s="47">
        <v>1055</v>
      </c>
      <c r="AO724" s="211">
        <f t="shared" si="185"/>
        <v>2.9268292682926831E-2</v>
      </c>
      <c r="AP724" s="47" t="s">
        <v>90</v>
      </c>
      <c r="AQ724" s="91" t="s">
        <v>116</v>
      </c>
      <c r="AR724" s="47"/>
    </row>
    <row r="725" spans="1:44">
      <c r="A725" s="47" t="s">
        <v>74</v>
      </c>
      <c r="B725" s="47" t="str">
        <f t="shared" si="180"/>
        <v>July</v>
      </c>
      <c r="C725" s="59">
        <v>45486</v>
      </c>
      <c r="D725" s="47" t="s">
        <v>83</v>
      </c>
      <c r="E725" s="47" t="s">
        <v>1086</v>
      </c>
      <c r="F725" s="47" t="s">
        <v>85</v>
      </c>
      <c r="G725" s="47" t="s">
        <v>2671</v>
      </c>
      <c r="H725" s="47" t="s">
        <v>2672</v>
      </c>
      <c r="I725" s="47" t="s">
        <v>63</v>
      </c>
      <c r="J725" s="47" t="s">
        <v>51</v>
      </c>
      <c r="K725" s="48">
        <v>44755</v>
      </c>
      <c r="L725" s="48">
        <v>45121</v>
      </c>
      <c r="M725" s="48">
        <v>45486</v>
      </c>
      <c r="N725" s="47" t="s">
        <v>64</v>
      </c>
      <c r="O725" s="55" t="s">
        <v>53</v>
      </c>
      <c r="P725" s="62">
        <v>12168</v>
      </c>
      <c r="Q725" s="62">
        <v>1014</v>
      </c>
      <c r="R725" s="103">
        <v>12428</v>
      </c>
      <c r="S725" s="62">
        <f t="shared" si="181"/>
        <v>1035.6666666666667</v>
      </c>
      <c r="T725" s="62">
        <v>11940</v>
      </c>
      <c r="U725" s="62">
        <f t="shared" si="186"/>
        <v>995</v>
      </c>
      <c r="V725" s="69">
        <v>11100</v>
      </c>
      <c r="W725" s="71" t="s">
        <v>123</v>
      </c>
      <c r="X725" s="71"/>
      <c r="Y725" s="71"/>
      <c r="Z725" s="64" t="e">
        <f t="shared" si="182"/>
        <v>#VALUE!</v>
      </c>
      <c r="AA725" s="64" t="e">
        <f t="shared" si="174"/>
        <v>#VALUE!</v>
      </c>
      <c r="AB725" s="71">
        <v>1050</v>
      </c>
      <c r="AC725" s="64">
        <f t="shared" si="183"/>
        <v>5.5276381909547742E-2</v>
      </c>
      <c r="AD725" s="64">
        <f t="shared" si="176"/>
        <v>1.3839716768586988E-2</v>
      </c>
      <c r="AE725" s="71">
        <v>1045</v>
      </c>
      <c r="AF725" s="64">
        <f t="shared" si="184"/>
        <v>5.0251256281407038E-2</v>
      </c>
      <c r="AG725" s="64">
        <f t="shared" si="177"/>
        <v>9.0119085934984786E-3</v>
      </c>
      <c r="AH725" s="67"/>
      <c r="AI725" s="47" t="s">
        <v>54</v>
      </c>
      <c r="AJ725" s="47">
        <v>302</v>
      </c>
      <c r="AK725" s="101" t="s">
        <v>93</v>
      </c>
      <c r="AL725" s="101" t="s">
        <v>55</v>
      </c>
      <c r="AM725" s="47" t="s">
        <v>2673</v>
      </c>
      <c r="AN725" s="47"/>
      <c r="AO725" s="211">
        <f t="shared" si="185"/>
        <v>-1</v>
      </c>
      <c r="AP725" s="47" t="s">
        <v>90</v>
      </c>
      <c r="AQ725" s="91" t="s">
        <v>116</v>
      </c>
      <c r="AR725" s="47"/>
    </row>
    <row r="726" spans="1:44" hidden="1">
      <c r="A726" s="47" t="s">
        <v>44</v>
      </c>
      <c r="B726" s="47" t="str">
        <f t="shared" si="180"/>
        <v>July</v>
      </c>
      <c r="C726" s="59">
        <v>45492</v>
      </c>
      <c r="D726" s="47" t="s">
        <v>83</v>
      </c>
      <c r="E726" s="47" t="s">
        <v>1086</v>
      </c>
      <c r="F726" s="47" t="s">
        <v>85</v>
      </c>
      <c r="G726" s="47" t="s">
        <v>2677</v>
      </c>
      <c r="H726" s="47" t="s">
        <v>2678</v>
      </c>
      <c r="I726" s="47" t="s">
        <v>63</v>
      </c>
      <c r="J726" s="47" t="s">
        <v>51</v>
      </c>
      <c r="K726" s="48">
        <v>45127</v>
      </c>
      <c r="L726" s="48">
        <v>45127</v>
      </c>
      <c r="M726" s="48">
        <v>45492</v>
      </c>
      <c r="N726" s="47" t="s">
        <v>52</v>
      </c>
      <c r="O726" s="55" t="s">
        <v>53</v>
      </c>
      <c r="P726" s="62">
        <v>12428</v>
      </c>
      <c r="Q726" s="62">
        <v>1035.6666666666667</v>
      </c>
      <c r="R726" s="103">
        <v>12688</v>
      </c>
      <c r="S726" s="62">
        <f t="shared" si="181"/>
        <v>1057.3333333333333</v>
      </c>
      <c r="T726" s="62">
        <v>12300</v>
      </c>
      <c r="U726" s="62">
        <f t="shared" si="186"/>
        <v>1025</v>
      </c>
      <c r="V726" s="69">
        <v>11400</v>
      </c>
      <c r="W726" s="71" t="s">
        <v>123</v>
      </c>
      <c r="X726" s="71"/>
      <c r="Y726" s="71"/>
      <c r="Z726" s="64" t="e">
        <f t="shared" si="182"/>
        <v>#VALUE!</v>
      </c>
      <c r="AA726" s="64" t="e">
        <f t="shared" si="174"/>
        <v>#VALUE!</v>
      </c>
      <c r="AB726" s="71">
        <v>1070</v>
      </c>
      <c r="AC726" s="64">
        <f t="shared" si="183"/>
        <v>4.3902439024390241E-2</v>
      </c>
      <c r="AD726" s="64">
        <f t="shared" si="176"/>
        <v>1.1979823455233364E-2</v>
      </c>
      <c r="AE726" s="71">
        <f>AB726</f>
        <v>1070</v>
      </c>
      <c r="AF726" s="64">
        <f t="shared" si="184"/>
        <v>4.3902439024390241E-2</v>
      </c>
      <c r="AG726" s="64">
        <f t="shared" si="177"/>
        <v>1.1979823455233364E-2</v>
      </c>
      <c r="AH726" s="67"/>
      <c r="AI726" s="47" t="s">
        <v>54</v>
      </c>
      <c r="AJ726" s="47">
        <v>302</v>
      </c>
      <c r="AK726" s="101" t="s">
        <v>93</v>
      </c>
      <c r="AL726" s="101" t="s">
        <v>55</v>
      </c>
      <c r="AM726" s="47" t="s">
        <v>2679</v>
      </c>
      <c r="AN726" s="47"/>
      <c r="AO726" s="211">
        <f t="shared" si="185"/>
        <v>-1</v>
      </c>
      <c r="AP726" s="47" t="s">
        <v>90</v>
      </c>
      <c r="AQ726" s="91" t="s">
        <v>116</v>
      </c>
      <c r="AR726" s="47"/>
    </row>
    <row r="727" spans="1:44">
      <c r="A727" s="47" t="s">
        <v>44</v>
      </c>
      <c r="B727" s="47" t="str">
        <f t="shared" si="180"/>
        <v>August</v>
      </c>
      <c r="C727" s="59">
        <v>45514</v>
      </c>
      <c r="D727" s="47" t="s">
        <v>83</v>
      </c>
      <c r="E727" s="47" t="s">
        <v>1546</v>
      </c>
      <c r="F727" s="47" t="s">
        <v>929</v>
      </c>
      <c r="G727" s="47" t="s">
        <v>1547</v>
      </c>
      <c r="H727" s="47" t="s">
        <v>1548</v>
      </c>
      <c r="I727" s="47" t="s">
        <v>50</v>
      </c>
      <c r="J727" s="47" t="s">
        <v>51</v>
      </c>
      <c r="K727" s="48">
        <v>42958</v>
      </c>
      <c r="L727" s="48">
        <v>45149</v>
      </c>
      <c r="M727" s="48">
        <v>45514</v>
      </c>
      <c r="N727" s="47" t="s">
        <v>64</v>
      </c>
      <c r="O727" s="55" t="s">
        <v>53</v>
      </c>
      <c r="P727" s="62">
        <v>22800</v>
      </c>
      <c r="Q727" s="62">
        <v>1900</v>
      </c>
      <c r="R727" s="103">
        <v>21960</v>
      </c>
      <c r="S727" s="62">
        <f t="shared" si="181"/>
        <v>1830</v>
      </c>
      <c r="T727" s="62">
        <v>21960</v>
      </c>
      <c r="U727" s="62">
        <f t="shared" si="186"/>
        <v>1830</v>
      </c>
      <c r="V727" s="69">
        <v>20713.8</v>
      </c>
      <c r="W727" s="71" t="s">
        <v>123</v>
      </c>
      <c r="X727" s="71"/>
      <c r="Y727" s="71"/>
      <c r="Z727" s="64" t="e">
        <f t="shared" si="182"/>
        <v>#VALUE!</v>
      </c>
      <c r="AA727" s="64" t="e">
        <f t="shared" si="174"/>
        <v>#VALUE!</v>
      </c>
      <c r="AB727" s="71">
        <v>1895</v>
      </c>
      <c r="AC727" s="64">
        <f t="shared" si="183"/>
        <v>3.5519125683060107E-2</v>
      </c>
      <c r="AD727" s="64">
        <f t="shared" si="176"/>
        <v>3.5519125683060107E-2</v>
      </c>
      <c r="AE727" s="71">
        <f>AB727</f>
        <v>1895</v>
      </c>
      <c r="AF727" s="64">
        <f t="shared" si="184"/>
        <v>3.5519125683060107E-2</v>
      </c>
      <c r="AG727" s="64">
        <f t="shared" si="177"/>
        <v>3.5519125683060107E-2</v>
      </c>
      <c r="AH727" s="67"/>
      <c r="AI727" s="47" t="s">
        <v>54</v>
      </c>
      <c r="AJ727" s="47">
        <v>868.47</v>
      </c>
      <c r="AK727" s="47" t="s">
        <v>140</v>
      </c>
      <c r="AL727" s="47" t="s">
        <v>55</v>
      </c>
      <c r="AM727" s="47" t="s">
        <v>1549</v>
      </c>
      <c r="AN727" s="47">
        <v>1895</v>
      </c>
      <c r="AO727" s="211">
        <f t="shared" si="185"/>
        <v>3.5519125683060107E-2</v>
      </c>
      <c r="AP727" s="47" t="s">
        <v>90</v>
      </c>
      <c r="AQ727" s="91" t="s">
        <v>116</v>
      </c>
      <c r="AR727" s="47"/>
    </row>
    <row r="728" spans="1:44" hidden="1">
      <c r="A728" s="47" t="s">
        <v>44</v>
      </c>
      <c r="B728" s="47" t="str">
        <f t="shared" si="180"/>
        <v>August</v>
      </c>
      <c r="C728" s="59">
        <v>45521</v>
      </c>
      <c r="D728" s="47" t="s">
        <v>83</v>
      </c>
      <c r="E728" s="47" t="s">
        <v>1546</v>
      </c>
      <c r="F728" s="47" t="s">
        <v>929</v>
      </c>
      <c r="G728" s="47" t="s">
        <v>2169</v>
      </c>
      <c r="H728" s="47" t="s">
        <v>2170</v>
      </c>
      <c r="I728" s="47" t="s">
        <v>50</v>
      </c>
      <c r="J728" s="47" t="s">
        <v>51</v>
      </c>
      <c r="K728" s="48">
        <v>45156</v>
      </c>
      <c r="L728" s="48">
        <v>45156</v>
      </c>
      <c r="M728" s="48">
        <v>45521</v>
      </c>
      <c r="N728" s="47" t="s">
        <v>52</v>
      </c>
      <c r="O728" s="55" t="s">
        <v>53</v>
      </c>
      <c r="P728" s="62">
        <v>22800</v>
      </c>
      <c r="Q728" s="62">
        <v>1900</v>
      </c>
      <c r="R728" s="103">
        <v>26400</v>
      </c>
      <c r="S728" s="62">
        <f t="shared" si="181"/>
        <v>2200</v>
      </c>
      <c r="T728" s="62">
        <v>26400</v>
      </c>
      <c r="U728" s="62">
        <f t="shared" si="186"/>
        <v>2200</v>
      </c>
      <c r="V728" s="69">
        <v>22380</v>
      </c>
      <c r="W728" s="71" t="s">
        <v>123</v>
      </c>
      <c r="X728" s="71"/>
      <c r="Y728" s="71"/>
      <c r="Z728" s="64" t="e">
        <f t="shared" si="182"/>
        <v>#VALUE!</v>
      </c>
      <c r="AA728" s="64" t="e">
        <f t="shared" si="174"/>
        <v>#VALUE!</v>
      </c>
      <c r="AB728" s="71">
        <v>2275</v>
      </c>
      <c r="AC728" s="64">
        <f t="shared" si="183"/>
        <v>3.4090909090909088E-2</v>
      </c>
      <c r="AD728" s="64">
        <f t="shared" si="176"/>
        <v>3.4090909090909088E-2</v>
      </c>
      <c r="AE728" s="175">
        <v>2250</v>
      </c>
      <c r="AF728" s="64">
        <f t="shared" si="184"/>
        <v>2.2727272727272728E-2</v>
      </c>
      <c r="AG728" s="64">
        <f t="shared" si="177"/>
        <v>2.2727272727272728E-2</v>
      </c>
      <c r="AH728" s="67">
        <v>2275</v>
      </c>
      <c r="AI728" s="47" t="s">
        <v>54</v>
      </c>
      <c r="AJ728" s="47">
        <v>868.47</v>
      </c>
      <c r="AK728" s="47" t="s">
        <v>140</v>
      </c>
      <c r="AL728" s="47" t="s">
        <v>55</v>
      </c>
      <c r="AM728" s="47" t="s">
        <v>2171</v>
      </c>
      <c r="AN728" s="47">
        <v>2250</v>
      </c>
      <c r="AO728" s="211">
        <f t="shared" si="185"/>
        <v>2.2727272727272728E-2</v>
      </c>
      <c r="AP728" s="47" t="s">
        <v>90</v>
      </c>
      <c r="AQ728" s="91" t="s">
        <v>116</v>
      </c>
      <c r="AR728" s="47"/>
    </row>
    <row r="729" spans="1:44">
      <c r="A729" s="47" t="s">
        <v>44</v>
      </c>
      <c r="B729" s="47" t="str">
        <f t="shared" si="180"/>
        <v>July</v>
      </c>
      <c r="C729" s="59">
        <v>45478</v>
      </c>
      <c r="D729" s="47" t="s">
        <v>83</v>
      </c>
      <c r="E729" s="47" t="s">
        <v>1546</v>
      </c>
      <c r="F729" s="47" t="s">
        <v>929</v>
      </c>
      <c r="G729" s="47" t="s">
        <v>2680</v>
      </c>
      <c r="H729" s="47" t="s">
        <v>2681</v>
      </c>
      <c r="I729" s="47" t="s">
        <v>50</v>
      </c>
      <c r="J729" s="47" t="s">
        <v>51</v>
      </c>
      <c r="K729" s="48">
        <v>42161</v>
      </c>
      <c r="L729" s="48">
        <v>45113</v>
      </c>
      <c r="M729" s="48">
        <v>45478</v>
      </c>
      <c r="N729" s="47" t="s">
        <v>64</v>
      </c>
      <c r="O729" s="55" t="s">
        <v>53</v>
      </c>
      <c r="P729" s="62">
        <v>20400</v>
      </c>
      <c r="Q729" s="62">
        <v>1700</v>
      </c>
      <c r="R729" s="103">
        <v>19560</v>
      </c>
      <c r="S729" s="62">
        <f t="shared" si="181"/>
        <v>1630</v>
      </c>
      <c r="T729" s="62">
        <v>19560</v>
      </c>
      <c r="U729" s="62">
        <f t="shared" si="186"/>
        <v>1630</v>
      </c>
      <c r="V729" s="69">
        <v>18120</v>
      </c>
      <c r="W729" s="71" t="s">
        <v>123</v>
      </c>
      <c r="X729" s="71"/>
      <c r="Y729" s="71"/>
      <c r="Z729" s="64" t="e">
        <f t="shared" si="182"/>
        <v>#VALUE!</v>
      </c>
      <c r="AA729" s="64" t="e">
        <f t="shared" si="174"/>
        <v>#VALUE!</v>
      </c>
      <c r="AB729" s="71">
        <v>1750</v>
      </c>
      <c r="AC729" s="64">
        <f t="shared" si="183"/>
        <v>7.3619631901840496E-2</v>
      </c>
      <c r="AD729" s="64">
        <f t="shared" si="176"/>
        <v>7.3619631901840496E-2</v>
      </c>
      <c r="AE729" s="71">
        <v>1700</v>
      </c>
      <c r="AF729" s="64">
        <f t="shared" si="184"/>
        <v>4.2944785276073622E-2</v>
      </c>
      <c r="AG729" s="64">
        <f t="shared" si="177"/>
        <v>4.2944785276073622E-2</v>
      </c>
      <c r="AH729" s="67"/>
      <c r="AI729" s="47" t="s">
        <v>54</v>
      </c>
      <c r="AJ729" s="47">
        <v>795.02</v>
      </c>
      <c r="AK729" s="101" t="s">
        <v>65</v>
      </c>
      <c r="AL729" s="101" t="s">
        <v>55</v>
      </c>
      <c r="AM729" s="47" t="s">
        <v>2682</v>
      </c>
      <c r="AN729" s="47">
        <v>1750</v>
      </c>
      <c r="AO729" s="211">
        <f t="shared" si="185"/>
        <v>7.3619631901840496E-2</v>
      </c>
      <c r="AP729" s="47" t="s">
        <v>90</v>
      </c>
      <c r="AQ729" s="91" t="s">
        <v>116</v>
      </c>
      <c r="AR729" s="47"/>
    </row>
    <row r="730" spans="1:44">
      <c r="A730" s="47" t="s">
        <v>44</v>
      </c>
      <c r="B730" s="47" t="str">
        <f t="shared" si="180"/>
        <v>July</v>
      </c>
      <c r="C730" s="59">
        <v>45487</v>
      </c>
      <c r="D730" s="47" t="s">
        <v>83</v>
      </c>
      <c r="E730" s="47" t="s">
        <v>1546</v>
      </c>
      <c r="F730" s="47" t="s">
        <v>929</v>
      </c>
      <c r="G730" s="47" t="s">
        <v>2708</v>
      </c>
      <c r="H730" s="47" t="s">
        <v>2709</v>
      </c>
      <c r="I730" s="47" t="s">
        <v>50</v>
      </c>
      <c r="J730" s="47" t="s">
        <v>51</v>
      </c>
      <c r="K730" s="48">
        <v>42385</v>
      </c>
      <c r="L730" s="48">
        <v>45122</v>
      </c>
      <c r="M730" s="48">
        <v>45487</v>
      </c>
      <c r="N730" s="47" t="s">
        <v>64</v>
      </c>
      <c r="O730" s="55" t="s">
        <v>53</v>
      </c>
      <c r="P730" s="62">
        <v>22500</v>
      </c>
      <c r="Q730" s="62">
        <v>1875</v>
      </c>
      <c r="R730" s="103">
        <v>23220</v>
      </c>
      <c r="S730" s="62">
        <f t="shared" si="181"/>
        <v>1935</v>
      </c>
      <c r="T730" s="62">
        <v>23220</v>
      </c>
      <c r="U730" s="62">
        <f t="shared" si="186"/>
        <v>1935</v>
      </c>
      <c r="V730" s="69">
        <v>21420</v>
      </c>
      <c r="W730" s="71" t="s">
        <v>123</v>
      </c>
      <c r="X730" s="71"/>
      <c r="Y730" s="71"/>
      <c r="Z730" s="64" t="e">
        <f t="shared" si="182"/>
        <v>#VALUE!</v>
      </c>
      <c r="AA730" s="64" t="e">
        <f t="shared" ref="AA730:AA793" si="187">(W730-S730)/S730</f>
        <v>#VALUE!</v>
      </c>
      <c r="AB730" s="71">
        <v>2050</v>
      </c>
      <c r="AC730" s="64">
        <f t="shared" si="183"/>
        <v>5.9431524547803614E-2</v>
      </c>
      <c r="AD730" s="64">
        <f t="shared" si="176"/>
        <v>5.9431524547803614E-2</v>
      </c>
      <c r="AE730" s="71">
        <v>2025</v>
      </c>
      <c r="AF730" s="64">
        <f t="shared" si="184"/>
        <v>4.6511627906976744E-2</v>
      </c>
      <c r="AG730" s="64">
        <f t="shared" si="177"/>
        <v>4.6511627906976744E-2</v>
      </c>
      <c r="AH730" s="67"/>
      <c r="AI730" s="47" t="s">
        <v>54</v>
      </c>
      <c r="AJ730" s="47">
        <v>822.46</v>
      </c>
      <c r="AK730" s="101" t="s">
        <v>65</v>
      </c>
      <c r="AL730" s="101" t="s">
        <v>55</v>
      </c>
      <c r="AM730" s="47" t="s">
        <v>2710</v>
      </c>
      <c r="AN730" s="47">
        <v>2050</v>
      </c>
      <c r="AO730" s="211">
        <f t="shared" si="185"/>
        <v>5.9431524547803614E-2</v>
      </c>
      <c r="AP730" s="47" t="s">
        <v>90</v>
      </c>
      <c r="AQ730" s="91" t="s">
        <v>116</v>
      </c>
      <c r="AR730" s="47"/>
    </row>
    <row r="731" spans="1:44">
      <c r="A731" s="47" t="s">
        <v>44</v>
      </c>
      <c r="B731" s="47" t="str">
        <f t="shared" si="180"/>
        <v>August</v>
      </c>
      <c r="C731" s="59">
        <v>45535</v>
      </c>
      <c r="D731" s="47" t="s">
        <v>83</v>
      </c>
      <c r="E731" s="47" t="s">
        <v>1546</v>
      </c>
      <c r="F731" s="47" t="s">
        <v>929</v>
      </c>
      <c r="G731" s="47" t="s">
        <v>3755</v>
      </c>
      <c r="H731" s="47" t="s">
        <v>3756</v>
      </c>
      <c r="I731" s="47" t="s">
        <v>50</v>
      </c>
      <c r="J731" s="47" t="s">
        <v>51</v>
      </c>
      <c r="K731" s="48">
        <v>39928</v>
      </c>
      <c r="L731" s="48">
        <v>45170</v>
      </c>
      <c r="M731" s="48">
        <v>45535</v>
      </c>
      <c r="N731" s="47" t="s">
        <v>64</v>
      </c>
      <c r="O731" s="55" t="s">
        <v>53</v>
      </c>
      <c r="P731" s="62">
        <v>22500</v>
      </c>
      <c r="Q731" s="62">
        <v>1875</v>
      </c>
      <c r="R731" s="103">
        <v>20400</v>
      </c>
      <c r="S731" s="62">
        <f t="shared" si="181"/>
        <v>1700</v>
      </c>
      <c r="T731" s="62">
        <v>20400</v>
      </c>
      <c r="U731" s="62">
        <f t="shared" si="186"/>
        <v>1700</v>
      </c>
      <c r="V731" s="69">
        <v>19800</v>
      </c>
      <c r="W731" s="71" t="s">
        <v>123</v>
      </c>
      <c r="X731" s="71"/>
      <c r="Y731" s="71"/>
      <c r="Z731" s="64" t="e">
        <f t="shared" si="182"/>
        <v>#VALUE!</v>
      </c>
      <c r="AA731" s="64" t="e">
        <f t="shared" si="187"/>
        <v>#VALUE!</v>
      </c>
      <c r="AB731" s="71">
        <v>1850</v>
      </c>
      <c r="AC731" s="64">
        <f t="shared" si="183"/>
        <v>8.8235294117647065E-2</v>
      </c>
      <c r="AD731" s="64">
        <f t="shared" si="176"/>
        <v>8.8235294117647065E-2</v>
      </c>
      <c r="AE731" s="175">
        <v>1815</v>
      </c>
      <c r="AF731" s="64">
        <f t="shared" si="184"/>
        <v>6.7647058823529407E-2</v>
      </c>
      <c r="AG731" s="64">
        <f t="shared" si="177"/>
        <v>6.7647058823529407E-2</v>
      </c>
      <c r="AH731" s="67"/>
      <c r="AI731" s="47" t="s">
        <v>54</v>
      </c>
      <c r="AJ731" s="47">
        <v>819.46</v>
      </c>
      <c r="AK731" s="47" t="s">
        <v>65</v>
      </c>
      <c r="AL731" s="47" t="s">
        <v>55</v>
      </c>
      <c r="AM731" s="47" t="s">
        <v>3757</v>
      </c>
      <c r="AN731" s="47"/>
      <c r="AO731" s="211">
        <f t="shared" si="185"/>
        <v>-1</v>
      </c>
      <c r="AP731" s="47" t="s">
        <v>90</v>
      </c>
      <c r="AQ731" s="91" t="s">
        <v>116</v>
      </c>
      <c r="AR731" s="47"/>
    </row>
    <row r="732" spans="1:44">
      <c r="A732" s="47" t="s">
        <v>44</v>
      </c>
      <c r="B732" s="47" t="str">
        <f t="shared" si="180"/>
        <v>August</v>
      </c>
      <c r="C732" s="59">
        <v>45509</v>
      </c>
      <c r="D732" s="47" t="s">
        <v>83</v>
      </c>
      <c r="E732" s="47" t="s">
        <v>1145</v>
      </c>
      <c r="F732" s="47" t="s">
        <v>323</v>
      </c>
      <c r="G732" s="47" t="s">
        <v>1146</v>
      </c>
      <c r="H732" s="47" t="s">
        <v>1147</v>
      </c>
      <c r="I732" s="47" t="s">
        <v>50</v>
      </c>
      <c r="J732" s="47" t="s">
        <v>51</v>
      </c>
      <c r="K732" s="48">
        <v>44414</v>
      </c>
      <c r="L732" s="48">
        <v>45144</v>
      </c>
      <c r="M732" s="48">
        <v>45509</v>
      </c>
      <c r="N732" s="47" t="s">
        <v>64</v>
      </c>
      <c r="O732" s="55" t="s">
        <v>53</v>
      </c>
      <c r="P732" s="62">
        <v>35400</v>
      </c>
      <c r="Q732" s="62">
        <v>2950</v>
      </c>
      <c r="R732" s="103">
        <v>38520</v>
      </c>
      <c r="S732" s="62">
        <f t="shared" si="181"/>
        <v>3210</v>
      </c>
      <c r="T732" s="62">
        <v>38220</v>
      </c>
      <c r="U732" s="62">
        <f t="shared" si="186"/>
        <v>3185</v>
      </c>
      <c r="V732" s="69">
        <v>35400</v>
      </c>
      <c r="W732" s="71" t="s">
        <v>123</v>
      </c>
      <c r="X732" s="71"/>
      <c r="Y732" s="71"/>
      <c r="Z732" s="64" t="e">
        <f t="shared" si="182"/>
        <v>#VALUE!</v>
      </c>
      <c r="AA732" s="64" t="e">
        <f t="shared" si="187"/>
        <v>#VALUE!</v>
      </c>
      <c r="AB732" s="71">
        <v>3350</v>
      </c>
      <c r="AC732" s="64">
        <f t="shared" si="183"/>
        <v>5.1805337519623233E-2</v>
      </c>
      <c r="AD732" s="64">
        <f t="shared" si="176"/>
        <v>4.3613707165109032E-2</v>
      </c>
      <c r="AE732" s="71">
        <v>3325</v>
      </c>
      <c r="AF732" s="64">
        <f t="shared" si="184"/>
        <v>4.3956043956043959E-2</v>
      </c>
      <c r="AG732" s="64">
        <f t="shared" si="177"/>
        <v>3.5825545171339561E-2</v>
      </c>
      <c r="AH732" s="287" t="s">
        <v>1148</v>
      </c>
      <c r="AI732" s="47" t="s">
        <v>54</v>
      </c>
      <c r="AJ732" s="47">
        <v>957</v>
      </c>
      <c r="AK732" s="47" t="s">
        <v>65</v>
      </c>
      <c r="AL732" s="47" t="s">
        <v>55</v>
      </c>
      <c r="AM732" s="47" t="s">
        <v>1149</v>
      </c>
      <c r="AN732" s="47"/>
      <c r="AO732" s="211">
        <f t="shared" si="185"/>
        <v>-1</v>
      </c>
      <c r="AP732" s="47" t="s">
        <v>90</v>
      </c>
      <c r="AQ732" s="91" t="s">
        <v>116</v>
      </c>
      <c r="AR732" s="47"/>
    </row>
    <row r="733" spans="1:44" hidden="1">
      <c r="A733" s="47" t="s">
        <v>44</v>
      </c>
      <c r="B733" s="47" t="str">
        <f t="shared" si="180"/>
        <v>August</v>
      </c>
      <c r="C733" s="59">
        <v>45518</v>
      </c>
      <c r="D733" s="47" t="s">
        <v>83</v>
      </c>
      <c r="E733" s="47" t="s">
        <v>1145</v>
      </c>
      <c r="F733" s="47" t="s">
        <v>323</v>
      </c>
      <c r="G733" s="47" t="s">
        <v>1938</v>
      </c>
      <c r="H733" s="47" t="s">
        <v>1939</v>
      </c>
      <c r="I733" s="47" t="s">
        <v>50</v>
      </c>
      <c r="J733" s="47" t="s">
        <v>51</v>
      </c>
      <c r="K733" s="48">
        <v>45153</v>
      </c>
      <c r="L733" s="48">
        <v>45153</v>
      </c>
      <c r="M733" s="48">
        <v>45518</v>
      </c>
      <c r="N733" s="47" t="s">
        <v>52</v>
      </c>
      <c r="O733" s="55" t="s">
        <v>53</v>
      </c>
      <c r="P733" s="62">
        <v>40455</v>
      </c>
      <c r="Q733" s="62">
        <v>3371.25</v>
      </c>
      <c r="R733" s="103">
        <v>41103</v>
      </c>
      <c r="S733" s="62">
        <f t="shared" si="181"/>
        <v>3425.25</v>
      </c>
      <c r="T733" s="62">
        <v>39600</v>
      </c>
      <c r="U733" s="62">
        <f t="shared" si="186"/>
        <v>3300</v>
      </c>
      <c r="V733" s="69">
        <v>37200</v>
      </c>
      <c r="W733" s="71" t="s">
        <v>123</v>
      </c>
      <c r="X733" s="71"/>
      <c r="Y733" s="71"/>
      <c r="Z733" s="64" t="e">
        <f t="shared" si="182"/>
        <v>#VALUE!</v>
      </c>
      <c r="AA733" s="64" t="e">
        <f t="shared" si="187"/>
        <v>#VALUE!</v>
      </c>
      <c r="AB733" s="71">
        <v>3500</v>
      </c>
      <c r="AC733" s="64">
        <f t="shared" si="183"/>
        <v>6.0606060606060608E-2</v>
      </c>
      <c r="AD733" s="64">
        <f t="shared" si="176"/>
        <v>2.1823224582147287E-2</v>
      </c>
      <c r="AE733" s="71">
        <v>3475</v>
      </c>
      <c r="AF733" s="64">
        <f t="shared" si="184"/>
        <v>5.3030303030303032E-2</v>
      </c>
      <c r="AG733" s="64">
        <f t="shared" si="177"/>
        <v>1.4524487263703379E-2</v>
      </c>
      <c r="AH733" s="287" t="s">
        <v>1148</v>
      </c>
      <c r="AI733" s="47" t="s">
        <v>54</v>
      </c>
      <c r="AJ733" s="47">
        <v>1116</v>
      </c>
      <c r="AK733" s="47" t="s">
        <v>65</v>
      </c>
      <c r="AL733" s="47" t="s">
        <v>55</v>
      </c>
      <c r="AM733" s="47" t="s">
        <v>1940</v>
      </c>
      <c r="AN733" s="47"/>
      <c r="AO733" s="211">
        <f t="shared" si="185"/>
        <v>-1</v>
      </c>
      <c r="AP733" s="47" t="s">
        <v>90</v>
      </c>
      <c r="AQ733" s="91" t="s">
        <v>116</v>
      </c>
      <c r="AR733" s="47"/>
    </row>
    <row r="734" spans="1:44" hidden="1">
      <c r="A734" s="47" t="s">
        <v>44</v>
      </c>
      <c r="B734" s="47" t="str">
        <f t="shared" si="180"/>
        <v>August</v>
      </c>
      <c r="C734" s="59">
        <v>45524</v>
      </c>
      <c r="D734" s="47" t="s">
        <v>83</v>
      </c>
      <c r="E734" s="47" t="s">
        <v>1145</v>
      </c>
      <c r="F734" s="47" t="s">
        <v>323</v>
      </c>
      <c r="G734" s="47" t="s">
        <v>2415</v>
      </c>
      <c r="H734" s="47" t="s">
        <v>2416</v>
      </c>
      <c r="I734" s="47" t="s">
        <v>50</v>
      </c>
      <c r="J734" s="47" t="s">
        <v>51</v>
      </c>
      <c r="K734" s="48">
        <v>45159</v>
      </c>
      <c r="L734" s="48">
        <v>45159</v>
      </c>
      <c r="M734" s="48">
        <v>45524</v>
      </c>
      <c r="N734" s="47" t="s">
        <v>52</v>
      </c>
      <c r="O734" s="55" t="s">
        <v>53</v>
      </c>
      <c r="P734" s="62">
        <v>38655</v>
      </c>
      <c r="Q734" s="62">
        <v>3221.25</v>
      </c>
      <c r="R734" s="103">
        <v>39531</v>
      </c>
      <c r="S734" s="62">
        <f t="shared" si="181"/>
        <v>3294.25</v>
      </c>
      <c r="T734" s="62">
        <v>37800</v>
      </c>
      <c r="U734" s="62">
        <f t="shared" si="186"/>
        <v>3150</v>
      </c>
      <c r="V734" s="69">
        <v>34920</v>
      </c>
      <c r="W734" s="71" t="s">
        <v>123</v>
      </c>
      <c r="X734" s="71"/>
      <c r="Y734" s="71"/>
      <c r="Z734" s="64" t="e">
        <f t="shared" si="182"/>
        <v>#VALUE!</v>
      </c>
      <c r="AA734" s="64" t="e">
        <f t="shared" si="187"/>
        <v>#VALUE!</v>
      </c>
      <c r="AB734" s="71">
        <v>3300</v>
      </c>
      <c r="AC734" s="64">
        <f t="shared" si="183"/>
        <v>4.7619047619047616E-2</v>
      </c>
      <c r="AD734" s="64">
        <f t="shared" si="176"/>
        <v>1.7454655839720726E-3</v>
      </c>
      <c r="AE734" s="71">
        <v>3275</v>
      </c>
      <c r="AF734" s="64">
        <f t="shared" si="184"/>
        <v>3.968253968253968E-2</v>
      </c>
      <c r="AG734" s="64">
        <f t="shared" si="177"/>
        <v>-5.8435152159065041E-3</v>
      </c>
      <c r="AH734" s="287" t="s">
        <v>1148</v>
      </c>
      <c r="AI734" s="47" t="s">
        <v>54</v>
      </c>
      <c r="AJ734" s="47">
        <v>931</v>
      </c>
      <c r="AK734" s="47" t="s">
        <v>65</v>
      </c>
      <c r="AL734" s="47" t="s">
        <v>55</v>
      </c>
      <c r="AM734" s="47" t="s">
        <v>2417</v>
      </c>
      <c r="AN734" s="47"/>
      <c r="AO734" s="211">
        <f t="shared" si="185"/>
        <v>-1</v>
      </c>
      <c r="AP734" s="47" t="s">
        <v>90</v>
      </c>
      <c r="AQ734" s="91" t="s">
        <v>116</v>
      </c>
      <c r="AR734" s="47"/>
    </row>
    <row r="735" spans="1:44">
      <c r="A735" s="47" t="s">
        <v>44</v>
      </c>
      <c r="B735" s="47" t="str">
        <f t="shared" si="180"/>
        <v>August</v>
      </c>
      <c r="C735" s="59">
        <v>45529</v>
      </c>
      <c r="D735" s="47" t="s">
        <v>83</v>
      </c>
      <c r="E735" s="47" t="s">
        <v>1145</v>
      </c>
      <c r="F735" s="47" t="s">
        <v>323</v>
      </c>
      <c r="G735" s="47" t="s">
        <v>3076</v>
      </c>
      <c r="H735" s="47" t="s">
        <v>3077</v>
      </c>
      <c r="I735" s="47" t="s">
        <v>3078</v>
      </c>
      <c r="J735" s="47" t="s">
        <v>51</v>
      </c>
      <c r="K735" s="48">
        <v>44799</v>
      </c>
      <c r="L735" s="48">
        <v>45164</v>
      </c>
      <c r="M735" s="48">
        <v>45529</v>
      </c>
      <c r="N735" s="47" t="s">
        <v>64</v>
      </c>
      <c r="O735" s="55" t="s">
        <v>53</v>
      </c>
      <c r="P735" s="62">
        <v>23100</v>
      </c>
      <c r="Q735" s="62">
        <v>1925</v>
      </c>
      <c r="R735" s="103">
        <v>25500</v>
      </c>
      <c r="S735" s="62">
        <f t="shared" si="181"/>
        <v>2125</v>
      </c>
      <c r="T735" s="62">
        <v>24540</v>
      </c>
      <c r="U735" s="62">
        <f t="shared" si="186"/>
        <v>2045</v>
      </c>
      <c r="V735" s="69">
        <v>22680</v>
      </c>
      <c r="W735" s="71" t="s">
        <v>123</v>
      </c>
      <c r="X735" s="71"/>
      <c r="Y735" s="71"/>
      <c r="Z735" s="64" t="e">
        <f t="shared" si="182"/>
        <v>#VALUE!</v>
      </c>
      <c r="AA735" s="64" t="e">
        <f t="shared" si="187"/>
        <v>#VALUE!</v>
      </c>
      <c r="AB735" s="71">
        <v>2175</v>
      </c>
      <c r="AC735" s="64">
        <f t="shared" si="183"/>
        <v>6.3569682151589244E-2</v>
      </c>
      <c r="AD735" s="64">
        <f t="shared" si="176"/>
        <v>2.3529411764705882E-2</v>
      </c>
      <c r="AE735" s="71">
        <v>2150</v>
      </c>
      <c r="AF735" s="64">
        <f t="shared" si="184"/>
        <v>5.1344743276283619E-2</v>
      </c>
      <c r="AG735" s="64">
        <f t="shared" si="177"/>
        <v>1.1764705882352941E-2</v>
      </c>
      <c r="AH735" s="67"/>
      <c r="AI735" s="47" t="s">
        <v>54</v>
      </c>
      <c r="AJ735" s="47">
        <v>575</v>
      </c>
      <c r="AK735" s="47" t="s">
        <v>55</v>
      </c>
      <c r="AL735" s="47" t="s">
        <v>55</v>
      </c>
      <c r="AM735" s="47" t="s">
        <v>3079</v>
      </c>
      <c r="AN735" s="47">
        <v>2175</v>
      </c>
      <c r="AO735" s="211">
        <f t="shared" si="185"/>
        <v>6.3569682151589244E-2</v>
      </c>
      <c r="AP735" s="47" t="s">
        <v>90</v>
      </c>
      <c r="AQ735" s="91" t="s">
        <v>116</v>
      </c>
      <c r="AR735" s="47"/>
    </row>
    <row r="736" spans="1:44" hidden="1">
      <c r="A736" s="47" t="s">
        <v>74</v>
      </c>
      <c r="B736" s="47" t="str">
        <f t="shared" si="180"/>
        <v>August</v>
      </c>
      <c r="C736" s="59">
        <v>45505</v>
      </c>
      <c r="D736" s="47" t="s">
        <v>45</v>
      </c>
      <c r="E736" s="47" t="s">
        <v>75</v>
      </c>
      <c r="F736" s="47" t="s">
        <v>76</v>
      </c>
      <c r="G736" s="91" t="s">
        <v>77</v>
      </c>
      <c r="H736" s="47" t="s">
        <v>78</v>
      </c>
      <c r="I736" s="47" t="s">
        <v>50</v>
      </c>
      <c r="J736" s="47" t="s">
        <v>51</v>
      </c>
      <c r="K736" s="48">
        <v>45324</v>
      </c>
      <c r="L736" s="48">
        <v>45324</v>
      </c>
      <c r="M736" s="48">
        <v>45505</v>
      </c>
      <c r="N736" s="47" t="s">
        <v>52</v>
      </c>
      <c r="O736" s="55" t="s">
        <v>53</v>
      </c>
      <c r="P736" s="62">
        <v>15060</v>
      </c>
      <c r="Q736" s="62">
        <v>1255</v>
      </c>
      <c r="R736" s="96">
        <v>15060</v>
      </c>
      <c r="S736" s="62">
        <f t="shared" si="181"/>
        <v>1255</v>
      </c>
      <c r="T736" s="62">
        <v>15060</v>
      </c>
      <c r="U736" s="62">
        <f t="shared" si="186"/>
        <v>1255</v>
      </c>
      <c r="V736" s="69">
        <v>15060</v>
      </c>
      <c r="W736" s="71">
        <v>1280</v>
      </c>
      <c r="X736" s="71"/>
      <c r="Y736" s="71"/>
      <c r="Z736" s="64">
        <f t="shared" si="182"/>
        <v>1.9920318725099601E-2</v>
      </c>
      <c r="AA736" s="64">
        <f t="shared" si="187"/>
        <v>1.9920318725099601E-2</v>
      </c>
      <c r="AB736" s="71">
        <v>1280</v>
      </c>
      <c r="AC736" s="64">
        <f t="shared" si="183"/>
        <v>1.9920318725099601E-2</v>
      </c>
      <c r="AD736" s="64">
        <f t="shared" si="176"/>
        <v>1.9920318725099601E-2</v>
      </c>
      <c r="AE736" s="71">
        <f t="shared" ref="AE736:AE767" si="188">AB736</f>
        <v>1280</v>
      </c>
      <c r="AF736" s="64">
        <f t="shared" si="184"/>
        <v>1.9920318725099601E-2</v>
      </c>
      <c r="AG736" s="64">
        <f t="shared" si="177"/>
        <v>1.9920318725099601E-2</v>
      </c>
      <c r="AH736" s="67"/>
      <c r="AI736" s="47" t="s">
        <v>54</v>
      </c>
      <c r="AJ736" s="47">
        <v>640</v>
      </c>
      <c r="AK736" s="47" t="s">
        <v>65</v>
      </c>
      <c r="AL736" s="47" t="s">
        <v>65</v>
      </c>
      <c r="AM736" s="47" t="s">
        <v>79</v>
      </c>
      <c r="AN736" s="50"/>
      <c r="AO736" s="211">
        <f t="shared" si="185"/>
        <v>-1</v>
      </c>
      <c r="AP736" s="47" t="s">
        <v>57</v>
      </c>
      <c r="AQ736" s="47" t="s">
        <v>58</v>
      </c>
      <c r="AR736" s="47"/>
    </row>
    <row r="737" spans="1:44 16374:16384" hidden="1">
      <c r="A737" s="47" t="s">
        <v>74</v>
      </c>
      <c r="B737" s="47" t="str">
        <f t="shared" si="180"/>
        <v>August</v>
      </c>
      <c r="C737" s="59">
        <v>45505</v>
      </c>
      <c r="D737" s="47" t="s">
        <v>45</v>
      </c>
      <c r="E737" s="47" t="s">
        <v>75</v>
      </c>
      <c r="F737" s="47" t="s">
        <v>76</v>
      </c>
      <c r="G737" s="91" t="s">
        <v>80</v>
      </c>
      <c r="H737" s="47" t="s">
        <v>81</v>
      </c>
      <c r="I737" s="47" t="s">
        <v>50</v>
      </c>
      <c r="J737" s="47" t="s">
        <v>51</v>
      </c>
      <c r="K737" s="48">
        <v>45323</v>
      </c>
      <c r="L737" s="48">
        <v>45323</v>
      </c>
      <c r="M737" s="48">
        <v>45504</v>
      </c>
      <c r="N737" s="47" t="s">
        <v>52</v>
      </c>
      <c r="O737" s="55" t="s">
        <v>53</v>
      </c>
      <c r="P737" s="62">
        <v>12000</v>
      </c>
      <c r="Q737" s="62">
        <v>1000</v>
      </c>
      <c r="R737" s="96">
        <v>12660</v>
      </c>
      <c r="S737" s="62">
        <f t="shared" si="181"/>
        <v>1055</v>
      </c>
      <c r="T737" s="62">
        <v>12660</v>
      </c>
      <c r="U737" s="62">
        <f t="shared" si="186"/>
        <v>1055</v>
      </c>
      <c r="V737" s="69">
        <v>12000</v>
      </c>
      <c r="W737" s="71">
        <v>1080</v>
      </c>
      <c r="X737" s="71"/>
      <c r="Y737" s="71"/>
      <c r="Z737" s="64">
        <f t="shared" si="182"/>
        <v>2.3696682464454975E-2</v>
      </c>
      <c r="AA737" s="64">
        <f t="shared" si="187"/>
        <v>2.3696682464454975E-2</v>
      </c>
      <c r="AB737" s="71">
        <v>1080</v>
      </c>
      <c r="AC737" s="64">
        <f t="shared" si="183"/>
        <v>2.3696682464454975E-2</v>
      </c>
      <c r="AD737" s="64">
        <f t="shared" si="176"/>
        <v>2.3696682464454975E-2</v>
      </c>
      <c r="AE737" s="71">
        <f t="shared" si="188"/>
        <v>1080</v>
      </c>
      <c r="AF737" s="64">
        <f t="shared" si="184"/>
        <v>2.3696682464454975E-2</v>
      </c>
      <c r="AG737" s="64">
        <f t="shared" si="177"/>
        <v>2.3696682464454975E-2</v>
      </c>
      <c r="AH737" s="67"/>
      <c r="AI737" s="47" t="s">
        <v>54</v>
      </c>
      <c r="AJ737" s="47">
        <v>450</v>
      </c>
      <c r="AK737" s="47" t="s">
        <v>55</v>
      </c>
      <c r="AL737" s="47" t="s">
        <v>55</v>
      </c>
      <c r="AM737" s="47" t="s">
        <v>82</v>
      </c>
      <c r="AN737" s="50">
        <v>1080</v>
      </c>
      <c r="AO737" s="211">
        <f t="shared" si="185"/>
        <v>2.3696682464454975E-2</v>
      </c>
      <c r="AP737" s="47" t="s">
        <v>57</v>
      </c>
      <c r="AQ737" s="47" t="s">
        <v>58</v>
      </c>
      <c r="AR737" s="47"/>
      <c r="XET737" s="208"/>
      <c r="XEU737" s="208"/>
      <c r="XEV737" s="208"/>
      <c r="XEW737" s="208"/>
      <c r="XEX737" s="208"/>
      <c r="XEY737" s="208"/>
      <c r="XEZ737" s="208"/>
      <c r="XFA737" s="208"/>
      <c r="XFB737" s="208"/>
      <c r="XFC737" s="208"/>
      <c r="XFD737" s="208"/>
    </row>
    <row r="738" spans="1:44 16374:16384" hidden="1">
      <c r="A738" s="47" t="s">
        <v>74</v>
      </c>
      <c r="B738" s="47" t="str">
        <f t="shared" si="180"/>
        <v>August</v>
      </c>
      <c r="C738" s="59">
        <v>45505</v>
      </c>
      <c r="D738" s="47" t="s">
        <v>45</v>
      </c>
      <c r="E738" s="47" t="s">
        <v>75</v>
      </c>
      <c r="F738" s="47" t="s">
        <v>76</v>
      </c>
      <c r="G738" s="91" t="s">
        <v>91</v>
      </c>
      <c r="H738" s="47" t="s">
        <v>92</v>
      </c>
      <c r="I738" s="47" t="s">
        <v>50</v>
      </c>
      <c r="J738" s="47" t="s">
        <v>51</v>
      </c>
      <c r="K738" s="48">
        <v>45324</v>
      </c>
      <c r="L738" s="48">
        <v>45324</v>
      </c>
      <c r="M738" s="48">
        <v>45505</v>
      </c>
      <c r="N738" s="47" t="s">
        <v>52</v>
      </c>
      <c r="O738" s="55" t="s">
        <v>53</v>
      </c>
      <c r="P738" s="62">
        <v>10740</v>
      </c>
      <c r="Q738" s="62">
        <v>895</v>
      </c>
      <c r="R738" s="96">
        <v>11760</v>
      </c>
      <c r="S738" s="62">
        <f t="shared" si="181"/>
        <v>980</v>
      </c>
      <c r="T738" s="62">
        <v>11760</v>
      </c>
      <c r="U738" s="62">
        <f t="shared" si="186"/>
        <v>980</v>
      </c>
      <c r="V738" s="69">
        <v>10740</v>
      </c>
      <c r="W738" s="71">
        <v>995</v>
      </c>
      <c r="X738" s="71"/>
      <c r="Y738" s="71"/>
      <c r="Z738" s="64">
        <f t="shared" si="182"/>
        <v>1.5306122448979591E-2</v>
      </c>
      <c r="AA738" s="64">
        <f t="shared" si="187"/>
        <v>1.5306122448979591E-2</v>
      </c>
      <c r="AB738" s="71">
        <v>995</v>
      </c>
      <c r="AC738" s="64">
        <f t="shared" si="183"/>
        <v>1.5306122448979591E-2</v>
      </c>
      <c r="AD738" s="64">
        <f t="shared" si="176"/>
        <v>1.5306122448979591E-2</v>
      </c>
      <c r="AE738" s="71">
        <f t="shared" si="188"/>
        <v>995</v>
      </c>
      <c r="AF738" s="64">
        <f t="shared" si="184"/>
        <v>1.5306122448979591E-2</v>
      </c>
      <c r="AG738" s="64">
        <f t="shared" si="177"/>
        <v>1.5306122448979591E-2</v>
      </c>
      <c r="AH738" s="67"/>
      <c r="AI738" s="47" t="s">
        <v>54</v>
      </c>
      <c r="AJ738" s="47">
        <v>398</v>
      </c>
      <c r="AK738" s="47" t="s">
        <v>93</v>
      </c>
      <c r="AL738" s="47" t="s">
        <v>55</v>
      </c>
      <c r="AM738" s="47" t="s">
        <v>94</v>
      </c>
      <c r="AN738" s="50">
        <v>995</v>
      </c>
      <c r="AO738" s="211">
        <f t="shared" si="185"/>
        <v>1.5306122448979591E-2</v>
      </c>
      <c r="AP738" s="47" t="s">
        <v>57</v>
      </c>
      <c r="AQ738" s="47" t="s">
        <v>58</v>
      </c>
      <c r="AR738" s="47"/>
    </row>
    <row r="739" spans="1:44 16374:16384" hidden="1">
      <c r="A739" s="47" t="s">
        <v>44</v>
      </c>
      <c r="B739" s="47" t="str">
        <f t="shared" si="180"/>
        <v>August</v>
      </c>
      <c r="C739" s="59">
        <v>45505</v>
      </c>
      <c r="D739" s="47" t="s">
        <v>45</v>
      </c>
      <c r="E739" s="47" t="s">
        <v>75</v>
      </c>
      <c r="F739" s="47" t="s">
        <v>76</v>
      </c>
      <c r="G739" s="91" t="s">
        <v>95</v>
      </c>
      <c r="H739" s="47" t="s">
        <v>96</v>
      </c>
      <c r="I739" s="47" t="s">
        <v>50</v>
      </c>
      <c r="J739" s="47" t="s">
        <v>51</v>
      </c>
      <c r="K739" s="48">
        <v>45262</v>
      </c>
      <c r="L739" s="48">
        <v>45262</v>
      </c>
      <c r="M739" s="48">
        <v>45505</v>
      </c>
      <c r="N739" s="47" t="s">
        <v>52</v>
      </c>
      <c r="O739" s="55" t="s">
        <v>53</v>
      </c>
      <c r="P739" s="62">
        <v>11700</v>
      </c>
      <c r="Q739" s="62">
        <v>975</v>
      </c>
      <c r="R739" s="96">
        <v>11880</v>
      </c>
      <c r="S739" s="62">
        <f t="shared" si="181"/>
        <v>990</v>
      </c>
      <c r="T739" s="62">
        <v>11580</v>
      </c>
      <c r="U739" s="62">
        <f t="shared" si="186"/>
        <v>965</v>
      </c>
      <c r="V739" s="69">
        <v>11700</v>
      </c>
      <c r="W739" s="71">
        <v>940</v>
      </c>
      <c r="X739" s="71"/>
      <c r="Y739" s="71"/>
      <c r="Z739" s="64">
        <f t="shared" si="182"/>
        <v>-2.5906735751295335E-2</v>
      </c>
      <c r="AA739" s="64">
        <f t="shared" si="187"/>
        <v>-5.0505050505050504E-2</v>
      </c>
      <c r="AB739" s="71">
        <v>965</v>
      </c>
      <c r="AC739" s="64">
        <f t="shared" si="183"/>
        <v>0</v>
      </c>
      <c r="AD739" s="64">
        <f t="shared" si="176"/>
        <v>-2.5252525252525252E-2</v>
      </c>
      <c r="AE739" s="71">
        <f t="shared" si="188"/>
        <v>965</v>
      </c>
      <c r="AF739" s="64">
        <f t="shared" si="184"/>
        <v>0</v>
      </c>
      <c r="AG739" s="64">
        <f t="shared" si="177"/>
        <v>-2.5252525252525252E-2</v>
      </c>
      <c r="AH739" s="67"/>
      <c r="AI739" s="47" t="s">
        <v>54</v>
      </c>
      <c r="AJ739" s="47">
        <v>438</v>
      </c>
      <c r="AK739" s="47" t="s">
        <v>55</v>
      </c>
      <c r="AL739" s="47" t="s">
        <v>55</v>
      </c>
      <c r="AM739" s="47" t="s">
        <v>97</v>
      </c>
      <c r="AN739" s="50">
        <v>980</v>
      </c>
      <c r="AO739" s="211">
        <f t="shared" si="185"/>
        <v>1.5544041450777202E-2</v>
      </c>
      <c r="AP739" s="47" t="s">
        <v>57</v>
      </c>
      <c r="AQ739" s="47" t="s">
        <v>58</v>
      </c>
      <c r="AR739" s="47"/>
    </row>
    <row r="740" spans="1:44 16374:16384" hidden="1">
      <c r="A740" s="47" t="s">
        <v>44</v>
      </c>
      <c r="B740" s="47" t="str">
        <f t="shared" si="180"/>
        <v>August</v>
      </c>
      <c r="C740" s="59">
        <v>45507</v>
      </c>
      <c r="D740" s="47" t="s">
        <v>45</v>
      </c>
      <c r="E740" s="47" t="s">
        <v>75</v>
      </c>
      <c r="F740" s="47" t="s">
        <v>76</v>
      </c>
      <c r="G740" s="91" t="s">
        <v>192</v>
      </c>
      <c r="H740" s="47" t="s">
        <v>193</v>
      </c>
      <c r="I740" s="47" t="s">
        <v>50</v>
      </c>
      <c r="J740" s="47" t="s">
        <v>51</v>
      </c>
      <c r="K740" s="48">
        <v>45264</v>
      </c>
      <c r="L740" s="48">
        <v>45264</v>
      </c>
      <c r="M740" s="48">
        <v>45507</v>
      </c>
      <c r="N740" s="47" t="s">
        <v>52</v>
      </c>
      <c r="O740" s="55" t="s">
        <v>53</v>
      </c>
      <c r="P740" s="62">
        <v>12000</v>
      </c>
      <c r="Q740" s="62">
        <v>1000</v>
      </c>
      <c r="R740" s="96">
        <v>12780</v>
      </c>
      <c r="S740" s="62">
        <f t="shared" si="181"/>
        <v>1065</v>
      </c>
      <c r="T740" s="62">
        <v>12780</v>
      </c>
      <c r="U740" s="62">
        <f t="shared" si="186"/>
        <v>1065</v>
      </c>
      <c r="V740" s="69">
        <v>12000</v>
      </c>
      <c r="W740" s="71">
        <v>1090</v>
      </c>
      <c r="X740" s="71"/>
      <c r="Y740" s="71"/>
      <c r="Z740" s="64">
        <f t="shared" si="182"/>
        <v>2.3474178403755867E-2</v>
      </c>
      <c r="AA740" s="64">
        <f t="shared" si="187"/>
        <v>2.3474178403755867E-2</v>
      </c>
      <c r="AB740" s="71">
        <v>1090</v>
      </c>
      <c r="AC740" s="64">
        <f t="shared" si="183"/>
        <v>2.3474178403755867E-2</v>
      </c>
      <c r="AD740" s="64">
        <f t="shared" si="176"/>
        <v>2.3474178403755867E-2</v>
      </c>
      <c r="AE740" s="71">
        <f t="shared" si="188"/>
        <v>1090</v>
      </c>
      <c r="AF740" s="64">
        <f t="shared" si="184"/>
        <v>2.3474178403755867E-2</v>
      </c>
      <c r="AG740" s="64">
        <f t="shared" si="177"/>
        <v>2.3474178403755867E-2</v>
      </c>
      <c r="AH740" s="67"/>
      <c r="AI740" s="47" t="s">
        <v>54</v>
      </c>
      <c r="AJ740" s="47">
        <v>450</v>
      </c>
      <c r="AK740" s="47" t="s">
        <v>55</v>
      </c>
      <c r="AL740" s="47" t="s">
        <v>55</v>
      </c>
      <c r="AM740" s="47" t="s">
        <v>194</v>
      </c>
      <c r="AN740" s="50">
        <v>1090</v>
      </c>
      <c r="AO740" s="211">
        <f t="shared" si="185"/>
        <v>2.3474178403755867E-2</v>
      </c>
      <c r="AP740" s="47" t="s">
        <v>57</v>
      </c>
      <c r="AQ740" s="47" t="s">
        <v>58</v>
      </c>
      <c r="AR740" s="47"/>
    </row>
    <row r="741" spans="1:44 16374:16384" hidden="1">
      <c r="A741" s="47" t="s">
        <v>44</v>
      </c>
      <c r="B741" s="47" t="str">
        <f t="shared" si="180"/>
        <v>August</v>
      </c>
      <c r="C741" s="59">
        <v>45507</v>
      </c>
      <c r="D741" s="47" t="s">
        <v>45</v>
      </c>
      <c r="E741" s="47" t="s">
        <v>75</v>
      </c>
      <c r="F741" s="47" t="s">
        <v>76</v>
      </c>
      <c r="G741" s="91" t="s">
        <v>195</v>
      </c>
      <c r="H741" s="47" t="s">
        <v>196</v>
      </c>
      <c r="I741" s="47" t="s">
        <v>50</v>
      </c>
      <c r="J741" s="47" t="s">
        <v>51</v>
      </c>
      <c r="K741" s="48">
        <v>45264</v>
      </c>
      <c r="L741" s="48">
        <v>45264</v>
      </c>
      <c r="M741" s="48">
        <v>45507</v>
      </c>
      <c r="N741" s="47" t="s">
        <v>52</v>
      </c>
      <c r="O741" s="55" t="s">
        <v>53</v>
      </c>
      <c r="P741" s="62">
        <v>12000</v>
      </c>
      <c r="Q741" s="62">
        <v>1000</v>
      </c>
      <c r="R741" s="96">
        <v>12780</v>
      </c>
      <c r="S741" s="62">
        <f t="shared" si="181"/>
        <v>1065</v>
      </c>
      <c r="T741" s="62">
        <v>12780</v>
      </c>
      <c r="U741" s="62">
        <f t="shared" si="186"/>
        <v>1065</v>
      </c>
      <c r="V741" s="69">
        <v>12000</v>
      </c>
      <c r="W741" s="71">
        <v>1090</v>
      </c>
      <c r="X741" s="71"/>
      <c r="Y741" s="71"/>
      <c r="Z741" s="64">
        <f t="shared" si="182"/>
        <v>2.3474178403755867E-2</v>
      </c>
      <c r="AA741" s="64">
        <f t="shared" si="187"/>
        <v>2.3474178403755867E-2</v>
      </c>
      <c r="AB741" s="71">
        <v>1090</v>
      </c>
      <c r="AC741" s="64">
        <f t="shared" si="183"/>
        <v>2.3474178403755867E-2</v>
      </c>
      <c r="AD741" s="64">
        <f t="shared" ref="AD741:AD804" si="189">(AB741-S741)/S741</f>
        <v>2.3474178403755867E-2</v>
      </c>
      <c r="AE741" s="71">
        <f t="shared" si="188"/>
        <v>1090</v>
      </c>
      <c r="AF741" s="64">
        <f t="shared" si="184"/>
        <v>2.3474178403755867E-2</v>
      </c>
      <c r="AG741" s="64">
        <f t="shared" ref="AG741:AG804" si="190">(AE741-S741)/S741</f>
        <v>2.3474178403755867E-2</v>
      </c>
      <c r="AH741" s="67"/>
      <c r="AI741" s="47" t="s">
        <v>54</v>
      </c>
      <c r="AJ741" s="47">
        <v>450</v>
      </c>
      <c r="AK741" s="47" t="s">
        <v>55</v>
      </c>
      <c r="AL741" s="47" t="s">
        <v>55</v>
      </c>
      <c r="AM741" s="47" t="s">
        <v>194</v>
      </c>
      <c r="AN741" s="50">
        <v>1090</v>
      </c>
      <c r="AO741" s="211">
        <f t="shared" si="185"/>
        <v>2.3474178403755867E-2</v>
      </c>
      <c r="AP741" s="47" t="s">
        <v>57</v>
      </c>
      <c r="AQ741" s="47" t="s">
        <v>58</v>
      </c>
      <c r="AR741" s="47"/>
    </row>
    <row r="742" spans="1:44 16374:16384" hidden="1">
      <c r="A742" s="47" t="s">
        <v>44</v>
      </c>
      <c r="B742" s="47" t="str">
        <f t="shared" si="180"/>
        <v>August</v>
      </c>
      <c r="C742" s="59">
        <v>45508</v>
      </c>
      <c r="D742" s="47" t="s">
        <v>45</v>
      </c>
      <c r="E742" s="47" t="s">
        <v>75</v>
      </c>
      <c r="F742" s="47" t="s">
        <v>76</v>
      </c>
      <c r="G742" s="91" t="s">
        <v>299</v>
      </c>
      <c r="H742" s="47" t="s">
        <v>300</v>
      </c>
      <c r="I742" s="47" t="s">
        <v>50</v>
      </c>
      <c r="J742" s="47" t="s">
        <v>51</v>
      </c>
      <c r="K742" s="48">
        <v>45265</v>
      </c>
      <c r="L742" s="48">
        <v>45265</v>
      </c>
      <c r="M742" s="48">
        <v>45508</v>
      </c>
      <c r="N742" s="47" t="s">
        <v>52</v>
      </c>
      <c r="O742" s="55" t="s">
        <v>53</v>
      </c>
      <c r="P742" s="62">
        <v>12360</v>
      </c>
      <c r="Q742" s="62">
        <v>1030</v>
      </c>
      <c r="R742" s="96">
        <v>11640</v>
      </c>
      <c r="S742" s="62">
        <f t="shared" si="181"/>
        <v>970</v>
      </c>
      <c r="T742" s="62">
        <v>11640</v>
      </c>
      <c r="U742" s="62">
        <f t="shared" si="186"/>
        <v>970</v>
      </c>
      <c r="V742" s="69">
        <v>12360</v>
      </c>
      <c r="W742" s="71">
        <v>1005</v>
      </c>
      <c r="X742" s="71"/>
      <c r="Y742" s="71"/>
      <c r="Z742" s="64">
        <f t="shared" si="182"/>
        <v>3.608247422680412E-2</v>
      </c>
      <c r="AA742" s="64">
        <f t="shared" si="187"/>
        <v>3.608247422680412E-2</v>
      </c>
      <c r="AB742" s="71">
        <v>1005</v>
      </c>
      <c r="AC742" s="64">
        <f t="shared" si="183"/>
        <v>3.608247422680412E-2</v>
      </c>
      <c r="AD742" s="64">
        <f t="shared" si="189"/>
        <v>3.608247422680412E-2</v>
      </c>
      <c r="AE742" s="71">
        <f t="shared" si="188"/>
        <v>1005</v>
      </c>
      <c r="AF742" s="64">
        <f t="shared" si="184"/>
        <v>3.608247422680412E-2</v>
      </c>
      <c r="AG742" s="64">
        <f t="shared" si="190"/>
        <v>3.608247422680412E-2</v>
      </c>
      <c r="AH742" s="67"/>
      <c r="AI742" s="47" t="s">
        <v>54</v>
      </c>
      <c r="AJ742" s="47">
        <v>496</v>
      </c>
      <c r="AK742" s="47" t="s">
        <v>55</v>
      </c>
      <c r="AL742" s="47" t="s">
        <v>55</v>
      </c>
      <c r="AM742" s="47" t="s">
        <v>301</v>
      </c>
      <c r="AN742" s="50"/>
      <c r="AO742" s="211">
        <f t="shared" si="185"/>
        <v>-1</v>
      </c>
      <c r="AP742" s="47" t="s">
        <v>57</v>
      </c>
      <c r="AQ742" s="47" t="s">
        <v>58</v>
      </c>
      <c r="AR742" s="47"/>
    </row>
    <row r="743" spans="1:44 16374:16384" hidden="1">
      <c r="A743" s="47" t="s">
        <v>44</v>
      </c>
      <c r="B743" s="47" t="str">
        <f t="shared" si="180"/>
        <v>August</v>
      </c>
      <c r="C743" s="59">
        <v>45508</v>
      </c>
      <c r="D743" s="47" t="s">
        <v>45</v>
      </c>
      <c r="E743" s="47" t="s">
        <v>75</v>
      </c>
      <c r="F743" s="47" t="s">
        <v>76</v>
      </c>
      <c r="G743" s="91" t="s">
        <v>302</v>
      </c>
      <c r="H743" s="47" t="s">
        <v>303</v>
      </c>
      <c r="I743" s="47" t="s">
        <v>50</v>
      </c>
      <c r="J743" s="47" t="s">
        <v>51</v>
      </c>
      <c r="K743" s="48">
        <v>45265</v>
      </c>
      <c r="L743" s="48">
        <v>45265</v>
      </c>
      <c r="M743" s="48">
        <v>45508</v>
      </c>
      <c r="N743" s="47" t="s">
        <v>52</v>
      </c>
      <c r="O743" s="55" t="s">
        <v>53</v>
      </c>
      <c r="P743" s="62">
        <v>15540</v>
      </c>
      <c r="Q743" s="62">
        <v>1295</v>
      </c>
      <c r="R743" s="96">
        <v>16800</v>
      </c>
      <c r="S743" s="62">
        <f t="shared" si="181"/>
        <v>1400</v>
      </c>
      <c r="T743" s="62">
        <v>16560</v>
      </c>
      <c r="U743" s="62">
        <f t="shared" si="186"/>
        <v>1380</v>
      </c>
      <c r="V743" s="69">
        <v>15540</v>
      </c>
      <c r="W743" s="71">
        <v>1410</v>
      </c>
      <c r="X743" s="71"/>
      <c r="Y743" s="71"/>
      <c r="Z743" s="64">
        <f t="shared" si="182"/>
        <v>2.1739130434782608E-2</v>
      </c>
      <c r="AA743" s="64">
        <f t="shared" si="187"/>
        <v>7.1428571428571426E-3</v>
      </c>
      <c r="AB743" s="71">
        <v>1410</v>
      </c>
      <c r="AC743" s="64">
        <f t="shared" si="183"/>
        <v>2.1739130434782608E-2</v>
      </c>
      <c r="AD743" s="64">
        <f t="shared" si="189"/>
        <v>7.1428571428571426E-3</v>
      </c>
      <c r="AE743" s="71">
        <f t="shared" si="188"/>
        <v>1410</v>
      </c>
      <c r="AF743" s="64">
        <f t="shared" si="184"/>
        <v>2.1739130434782608E-2</v>
      </c>
      <c r="AG743" s="64">
        <f t="shared" si="190"/>
        <v>7.1428571428571426E-3</v>
      </c>
      <c r="AH743" s="67"/>
      <c r="AI743" s="47" t="s">
        <v>54</v>
      </c>
      <c r="AJ743" s="47">
        <v>662</v>
      </c>
      <c r="AK743" s="47" t="s">
        <v>65</v>
      </c>
      <c r="AL743" s="47" t="s">
        <v>65</v>
      </c>
      <c r="AM743" s="47" t="s">
        <v>304</v>
      </c>
      <c r="AN743" s="50"/>
      <c r="AO743" s="211">
        <f t="shared" si="185"/>
        <v>-1</v>
      </c>
      <c r="AP743" s="47" t="s">
        <v>57</v>
      </c>
      <c r="AQ743" s="47" t="s">
        <v>58</v>
      </c>
      <c r="AR743" s="47"/>
    </row>
    <row r="744" spans="1:44 16374:16384" hidden="1">
      <c r="A744" s="47" t="s">
        <v>44</v>
      </c>
      <c r="B744" s="47" t="str">
        <f t="shared" si="180"/>
        <v>August</v>
      </c>
      <c r="C744" s="59">
        <v>45508</v>
      </c>
      <c r="D744" s="47" t="s">
        <v>45</v>
      </c>
      <c r="E744" s="47" t="s">
        <v>75</v>
      </c>
      <c r="F744" s="47" t="s">
        <v>76</v>
      </c>
      <c r="G744" s="91" t="s">
        <v>305</v>
      </c>
      <c r="H744" s="47" t="s">
        <v>306</v>
      </c>
      <c r="I744" s="47" t="s">
        <v>50</v>
      </c>
      <c r="J744" s="47" t="s">
        <v>51</v>
      </c>
      <c r="K744" s="48">
        <v>45265</v>
      </c>
      <c r="L744" s="48">
        <v>45265</v>
      </c>
      <c r="M744" s="48">
        <v>45508</v>
      </c>
      <c r="N744" s="47" t="s">
        <v>52</v>
      </c>
      <c r="O744" s="55" t="s">
        <v>53</v>
      </c>
      <c r="P744" s="62">
        <v>10620</v>
      </c>
      <c r="Q744" s="62">
        <v>885</v>
      </c>
      <c r="R744" s="96">
        <v>11580</v>
      </c>
      <c r="S744" s="62">
        <f t="shared" si="181"/>
        <v>965</v>
      </c>
      <c r="T744" s="62">
        <v>11580</v>
      </c>
      <c r="U744" s="62">
        <f t="shared" si="186"/>
        <v>965</v>
      </c>
      <c r="V744" s="69">
        <v>10620</v>
      </c>
      <c r="W744" s="71">
        <v>985</v>
      </c>
      <c r="X744" s="71"/>
      <c r="Y744" s="71"/>
      <c r="Z744" s="64">
        <f t="shared" si="182"/>
        <v>2.072538860103627E-2</v>
      </c>
      <c r="AA744" s="64">
        <f t="shared" si="187"/>
        <v>2.072538860103627E-2</v>
      </c>
      <c r="AB744" s="71">
        <v>985</v>
      </c>
      <c r="AC744" s="64">
        <f t="shared" si="183"/>
        <v>2.072538860103627E-2</v>
      </c>
      <c r="AD744" s="64">
        <f t="shared" si="189"/>
        <v>2.072538860103627E-2</v>
      </c>
      <c r="AE744" s="71">
        <f t="shared" si="188"/>
        <v>985</v>
      </c>
      <c r="AF744" s="64">
        <f t="shared" si="184"/>
        <v>2.072538860103627E-2</v>
      </c>
      <c r="AG744" s="64">
        <f t="shared" si="190"/>
        <v>2.072538860103627E-2</v>
      </c>
      <c r="AH744" s="67"/>
      <c r="AI744" s="47" t="s">
        <v>54</v>
      </c>
      <c r="AJ744" s="47">
        <v>398</v>
      </c>
      <c r="AK744" s="47" t="s">
        <v>93</v>
      </c>
      <c r="AL744" s="47" t="s">
        <v>55</v>
      </c>
      <c r="AM744" s="47" t="s">
        <v>94</v>
      </c>
      <c r="AN744" s="50"/>
      <c r="AO744" s="211">
        <f t="shared" si="185"/>
        <v>-1</v>
      </c>
      <c r="AP744" s="47" t="s">
        <v>57</v>
      </c>
      <c r="AQ744" s="47" t="s">
        <v>58</v>
      </c>
      <c r="AR744" s="47"/>
    </row>
    <row r="745" spans="1:44 16374:16384" hidden="1">
      <c r="A745" s="47" t="s">
        <v>44</v>
      </c>
      <c r="B745" s="47" t="str">
        <f t="shared" si="180"/>
        <v>August</v>
      </c>
      <c r="C745" s="59">
        <v>45511</v>
      </c>
      <c r="D745" s="47" t="s">
        <v>45</v>
      </c>
      <c r="E745" s="47" t="s">
        <v>75</v>
      </c>
      <c r="F745" s="47" t="s">
        <v>76</v>
      </c>
      <c r="G745" s="91" t="s">
        <v>460</v>
      </c>
      <c r="H745" s="47" t="s">
        <v>461</v>
      </c>
      <c r="I745" s="47" t="s">
        <v>50</v>
      </c>
      <c r="J745" s="47" t="s">
        <v>51</v>
      </c>
      <c r="K745" s="48">
        <v>45268</v>
      </c>
      <c r="L745" s="48">
        <v>45268</v>
      </c>
      <c r="M745" s="48">
        <v>45511</v>
      </c>
      <c r="N745" s="47" t="s">
        <v>52</v>
      </c>
      <c r="O745" s="55" t="s">
        <v>53</v>
      </c>
      <c r="P745" s="62">
        <v>12000</v>
      </c>
      <c r="Q745" s="62">
        <v>1000</v>
      </c>
      <c r="R745" s="96">
        <v>12660</v>
      </c>
      <c r="S745" s="62">
        <f t="shared" si="181"/>
        <v>1055</v>
      </c>
      <c r="T745" s="62">
        <v>12660</v>
      </c>
      <c r="U745" s="62">
        <f t="shared" si="186"/>
        <v>1055</v>
      </c>
      <c r="V745" s="69">
        <v>12000</v>
      </c>
      <c r="W745" s="71">
        <v>1090</v>
      </c>
      <c r="X745" s="71"/>
      <c r="Y745" s="71"/>
      <c r="Z745" s="64">
        <f t="shared" si="182"/>
        <v>3.3175355450236969E-2</v>
      </c>
      <c r="AA745" s="64">
        <f t="shared" si="187"/>
        <v>3.3175355450236969E-2</v>
      </c>
      <c r="AB745" s="71">
        <v>1090</v>
      </c>
      <c r="AC745" s="64">
        <f t="shared" si="183"/>
        <v>3.3175355450236969E-2</v>
      </c>
      <c r="AD745" s="64">
        <f t="shared" si="189"/>
        <v>3.3175355450236969E-2</v>
      </c>
      <c r="AE745" s="71">
        <f t="shared" si="188"/>
        <v>1090</v>
      </c>
      <c r="AF745" s="64">
        <f t="shared" si="184"/>
        <v>3.3175355450236969E-2</v>
      </c>
      <c r="AG745" s="64">
        <f t="shared" si="190"/>
        <v>3.3175355450236969E-2</v>
      </c>
      <c r="AH745" s="67"/>
      <c r="AI745" s="47" t="s">
        <v>54</v>
      </c>
      <c r="AJ745" s="47">
        <v>450</v>
      </c>
      <c r="AK745" s="47" t="s">
        <v>55</v>
      </c>
      <c r="AL745" s="47" t="s">
        <v>55</v>
      </c>
      <c r="AM745" s="47" t="s">
        <v>194</v>
      </c>
      <c r="AN745" s="50">
        <v>1090</v>
      </c>
      <c r="AO745" s="211">
        <f t="shared" si="185"/>
        <v>3.3175355450236969E-2</v>
      </c>
      <c r="AP745" s="47" t="s">
        <v>57</v>
      </c>
      <c r="AQ745" s="47" t="s">
        <v>58</v>
      </c>
      <c r="AR745" s="47"/>
    </row>
    <row r="746" spans="1:44 16374:16384" hidden="1">
      <c r="A746" s="47" t="s">
        <v>44</v>
      </c>
      <c r="B746" s="47" t="str">
        <f t="shared" si="180"/>
        <v>July</v>
      </c>
      <c r="C746" s="59">
        <v>45492</v>
      </c>
      <c r="D746" s="47" t="s">
        <v>45</v>
      </c>
      <c r="E746" s="47" t="s">
        <v>75</v>
      </c>
      <c r="F746" s="47" t="s">
        <v>76</v>
      </c>
      <c r="G746" s="91" t="s">
        <v>774</v>
      </c>
      <c r="H746" s="47" t="s">
        <v>775</v>
      </c>
      <c r="I746" s="47" t="s">
        <v>50</v>
      </c>
      <c r="J746" s="47" t="s">
        <v>51</v>
      </c>
      <c r="K746" s="48">
        <v>45250</v>
      </c>
      <c r="L746" s="48">
        <v>45250</v>
      </c>
      <c r="M746" s="48">
        <v>45492</v>
      </c>
      <c r="N746" s="47" t="s">
        <v>52</v>
      </c>
      <c r="O746" s="55" t="s">
        <v>53</v>
      </c>
      <c r="P746" s="62">
        <v>16800</v>
      </c>
      <c r="Q746" s="62">
        <v>1400</v>
      </c>
      <c r="R746" s="96">
        <v>15720</v>
      </c>
      <c r="S746" s="62">
        <f t="shared" si="181"/>
        <v>1310</v>
      </c>
      <c r="T746" s="62">
        <v>15180</v>
      </c>
      <c r="U746" s="62">
        <f t="shared" si="186"/>
        <v>1265</v>
      </c>
      <c r="V746" s="69">
        <v>16800</v>
      </c>
      <c r="W746" s="71">
        <v>1290</v>
      </c>
      <c r="X746" s="71"/>
      <c r="Y746" s="71"/>
      <c r="Z746" s="64">
        <f t="shared" si="182"/>
        <v>1.9762845849802372E-2</v>
      </c>
      <c r="AA746" s="64">
        <f t="shared" si="187"/>
        <v>-1.5267175572519083E-2</v>
      </c>
      <c r="AB746" s="71">
        <v>1290</v>
      </c>
      <c r="AC746" s="64">
        <f t="shared" si="183"/>
        <v>1.9762845849802372E-2</v>
      </c>
      <c r="AD746" s="64">
        <f t="shared" si="189"/>
        <v>-1.5267175572519083E-2</v>
      </c>
      <c r="AE746" s="71">
        <f t="shared" si="188"/>
        <v>1290</v>
      </c>
      <c r="AF746" s="64">
        <f t="shared" si="184"/>
        <v>1.9762845849802372E-2</v>
      </c>
      <c r="AG746" s="64">
        <f t="shared" si="190"/>
        <v>-1.5267175572519083E-2</v>
      </c>
      <c r="AH746" s="67"/>
      <c r="AI746" s="47" t="s">
        <v>54</v>
      </c>
      <c r="AJ746" s="47">
        <v>801</v>
      </c>
      <c r="AK746" s="47" t="s">
        <v>65</v>
      </c>
      <c r="AL746" s="47" t="s">
        <v>65</v>
      </c>
      <c r="AM746" s="47" t="s">
        <v>776</v>
      </c>
      <c r="AN746" s="50">
        <v>1290</v>
      </c>
      <c r="AO746" s="211">
        <f t="shared" si="185"/>
        <v>1.9762845849802372E-2</v>
      </c>
      <c r="AP746" s="47" t="s">
        <v>57</v>
      </c>
      <c r="AQ746" s="47" t="s">
        <v>58</v>
      </c>
      <c r="AR746" s="47"/>
    </row>
    <row r="747" spans="1:44 16374:16384" hidden="1">
      <c r="A747" s="47" t="s">
        <v>74</v>
      </c>
      <c r="B747" s="47" t="str">
        <f t="shared" si="180"/>
        <v>August</v>
      </c>
      <c r="C747" s="59">
        <v>45512</v>
      </c>
      <c r="D747" s="47" t="s">
        <v>45</v>
      </c>
      <c r="E747" s="47" t="s">
        <v>75</v>
      </c>
      <c r="F747" s="47" t="s">
        <v>76</v>
      </c>
      <c r="G747" s="91" t="s">
        <v>1380</v>
      </c>
      <c r="H747" s="47" t="s">
        <v>1381</v>
      </c>
      <c r="I747" s="47" t="s">
        <v>50</v>
      </c>
      <c r="J747" s="47" t="s">
        <v>51</v>
      </c>
      <c r="K747" s="48">
        <v>45331</v>
      </c>
      <c r="L747" s="48">
        <v>45331</v>
      </c>
      <c r="M747" s="48">
        <v>45512</v>
      </c>
      <c r="N747" s="47" t="s">
        <v>52</v>
      </c>
      <c r="O747" s="55" t="s">
        <v>53</v>
      </c>
      <c r="P747" s="62">
        <v>11820</v>
      </c>
      <c r="Q747" s="62">
        <v>985</v>
      </c>
      <c r="R747" s="96">
        <v>12060</v>
      </c>
      <c r="S747" s="62">
        <f t="shared" si="181"/>
        <v>1005</v>
      </c>
      <c r="T747" s="62">
        <v>12060</v>
      </c>
      <c r="U747" s="62">
        <f t="shared" si="186"/>
        <v>1005</v>
      </c>
      <c r="V747" s="69">
        <v>11820</v>
      </c>
      <c r="W747" s="71">
        <v>1025</v>
      </c>
      <c r="X747" s="71"/>
      <c r="Y747" s="71"/>
      <c r="Z747" s="64">
        <f t="shared" si="182"/>
        <v>1.9900497512437811E-2</v>
      </c>
      <c r="AA747" s="64">
        <f t="shared" si="187"/>
        <v>1.9900497512437811E-2</v>
      </c>
      <c r="AB747" s="71">
        <v>1025</v>
      </c>
      <c r="AC747" s="64">
        <f t="shared" si="183"/>
        <v>1.9900497512437811E-2</v>
      </c>
      <c r="AD747" s="64">
        <f t="shared" si="189"/>
        <v>1.9900497512437811E-2</v>
      </c>
      <c r="AE747" s="71">
        <f t="shared" si="188"/>
        <v>1025</v>
      </c>
      <c r="AF747" s="64">
        <f t="shared" si="184"/>
        <v>1.9900497512437811E-2</v>
      </c>
      <c r="AG747" s="64">
        <f t="shared" si="190"/>
        <v>1.9900497512437811E-2</v>
      </c>
      <c r="AH747" s="67"/>
      <c r="AI747" s="47" t="s">
        <v>54</v>
      </c>
      <c r="AJ747" s="47">
        <v>439</v>
      </c>
      <c r="AK747" s="47" t="s">
        <v>55</v>
      </c>
      <c r="AL747" s="47" t="s">
        <v>55</v>
      </c>
      <c r="AM747" s="47" t="s">
        <v>1382</v>
      </c>
      <c r="AN747" s="50">
        <v>1025</v>
      </c>
      <c r="AO747" s="211">
        <f t="shared" si="185"/>
        <v>1.9900497512437811E-2</v>
      </c>
      <c r="AP747" s="47" t="s">
        <v>57</v>
      </c>
      <c r="AQ747" s="47" t="s">
        <v>1132</v>
      </c>
      <c r="AR747" s="47"/>
    </row>
    <row r="748" spans="1:44 16374:16384" hidden="1">
      <c r="A748" s="47" t="s">
        <v>74</v>
      </c>
      <c r="B748" s="47" t="str">
        <f t="shared" si="180"/>
        <v>August</v>
      </c>
      <c r="C748" s="59">
        <v>45512</v>
      </c>
      <c r="D748" s="47" t="s">
        <v>45</v>
      </c>
      <c r="E748" s="112" t="s">
        <v>75</v>
      </c>
      <c r="F748" s="47" t="s">
        <v>76</v>
      </c>
      <c r="G748" s="91" t="s">
        <v>1383</v>
      </c>
      <c r="H748" s="47" t="s">
        <v>1384</v>
      </c>
      <c r="I748" s="47" t="s">
        <v>50</v>
      </c>
      <c r="J748" s="47" t="s">
        <v>51</v>
      </c>
      <c r="K748" s="48">
        <v>45331</v>
      </c>
      <c r="L748" s="48">
        <v>45331</v>
      </c>
      <c r="M748" s="48">
        <v>45512</v>
      </c>
      <c r="N748" s="47" t="s">
        <v>52</v>
      </c>
      <c r="O748" s="55" t="s">
        <v>53</v>
      </c>
      <c r="P748" s="62">
        <v>11940</v>
      </c>
      <c r="Q748" s="62">
        <v>995</v>
      </c>
      <c r="R748" s="96">
        <v>13020</v>
      </c>
      <c r="S748" s="62">
        <f t="shared" si="181"/>
        <v>1085</v>
      </c>
      <c r="T748" s="62">
        <v>13020</v>
      </c>
      <c r="U748" s="62">
        <f t="shared" si="186"/>
        <v>1085</v>
      </c>
      <c r="V748" s="69">
        <v>11940</v>
      </c>
      <c r="W748" s="71">
        <v>1065</v>
      </c>
      <c r="X748" s="71"/>
      <c r="Y748" s="71"/>
      <c r="Z748" s="64">
        <f t="shared" si="182"/>
        <v>-1.8433179723502304E-2</v>
      </c>
      <c r="AA748" s="64">
        <f t="shared" si="187"/>
        <v>-1.8433179723502304E-2</v>
      </c>
      <c r="AB748" s="71">
        <v>1085</v>
      </c>
      <c r="AC748" s="64">
        <f t="shared" si="183"/>
        <v>0</v>
      </c>
      <c r="AD748" s="64">
        <f t="shared" si="189"/>
        <v>0</v>
      </c>
      <c r="AE748" s="71">
        <f t="shared" si="188"/>
        <v>1085</v>
      </c>
      <c r="AF748" s="64">
        <f t="shared" si="184"/>
        <v>0</v>
      </c>
      <c r="AG748" s="64">
        <f t="shared" si="190"/>
        <v>0</v>
      </c>
      <c r="AH748" s="67"/>
      <c r="AI748" s="47" t="s">
        <v>54</v>
      </c>
      <c r="AJ748" s="47">
        <v>450</v>
      </c>
      <c r="AK748" s="47" t="s">
        <v>55</v>
      </c>
      <c r="AL748" s="47" t="s">
        <v>55</v>
      </c>
      <c r="AM748" s="47" t="s">
        <v>1385</v>
      </c>
      <c r="AN748" s="50">
        <v>1095</v>
      </c>
      <c r="AO748" s="211">
        <f t="shared" si="185"/>
        <v>9.2165898617511521E-3</v>
      </c>
      <c r="AP748" s="47" t="s">
        <v>57</v>
      </c>
      <c r="AQ748" s="47" t="s">
        <v>1132</v>
      </c>
      <c r="AR748" s="47"/>
    </row>
    <row r="749" spans="1:44 16374:16384" hidden="1">
      <c r="A749" s="47" t="s">
        <v>74</v>
      </c>
      <c r="B749" s="47" t="str">
        <f t="shared" si="180"/>
        <v>August</v>
      </c>
      <c r="C749" s="59">
        <v>45513</v>
      </c>
      <c r="D749" s="47" t="s">
        <v>45</v>
      </c>
      <c r="E749" s="47" t="s">
        <v>75</v>
      </c>
      <c r="F749" s="47" t="s">
        <v>76</v>
      </c>
      <c r="G749" s="91" t="s">
        <v>1447</v>
      </c>
      <c r="H749" s="47" t="s">
        <v>1448</v>
      </c>
      <c r="I749" s="47" t="s">
        <v>50</v>
      </c>
      <c r="J749" s="47" t="s">
        <v>51</v>
      </c>
      <c r="K749" s="48">
        <v>45301</v>
      </c>
      <c r="L749" s="48">
        <v>45301</v>
      </c>
      <c r="M749" s="48">
        <v>45513</v>
      </c>
      <c r="N749" s="47" t="s">
        <v>52</v>
      </c>
      <c r="O749" s="55" t="s">
        <v>53</v>
      </c>
      <c r="P749" s="62">
        <v>11820</v>
      </c>
      <c r="Q749" s="62">
        <v>985</v>
      </c>
      <c r="R749" s="96">
        <v>12060</v>
      </c>
      <c r="S749" s="62">
        <f t="shared" si="181"/>
        <v>1005</v>
      </c>
      <c r="T749" s="62">
        <v>12060</v>
      </c>
      <c r="U749" s="62">
        <f t="shared" si="186"/>
        <v>1005</v>
      </c>
      <c r="V749" s="69">
        <v>11820</v>
      </c>
      <c r="W749" s="71">
        <v>1025</v>
      </c>
      <c r="X749" s="71"/>
      <c r="Y749" s="71"/>
      <c r="Z749" s="64">
        <f t="shared" si="182"/>
        <v>1.9900497512437811E-2</v>
      </c>
      <c r="AA749" s="64">
        <f t="shared" si="187"/>
        <v>1.9900497512437811E-2</v>
      </c>
      <c r="AB749" s="71">
        <v>1025</v>
      </c>
      <c r="AC749" s="64">
        <f t="shared" si="183"/>
        <v>1.9900497512437811E-2</v>
      </c>
      <c r="AD749" s="64">
        <f t="shared" si="189"/>
        <v>1.9900497512437811E-2</v>
      </c>
      <c r="AE749" s="71">
        <f t="shared" si="188"/>
        <v>1025</v>
      </c>
      <c r="AF749" s="64">
        <f t="shared" si="184"/>
        <v>1.9900497512437811E-2</v>
      </c>
      <c r="AG749" s="64">
        <f t="shared" si="190"/>
        <v>1.9900497512437811E-2</v>
      </c>
      <c r="AH749" s="67"/>
      <c r="AI749" s="47" t="s">
        <v>54</v>
      </c>
      <c r="AJ749" s="47">
        <v>439</v>
      </c>
      <c r="AK749" s="47" t="s">
        <v>55</v>
      </c>
      <c r="AL749" s="47" t="s">
        <v>55</v>
      </c>
      <c r="AM749" s="47" t="s">
        <v>1382</v>
      </c>
      <c r="AN749" s="50"/>
      <c r="AO749" s="211">
        <f t="shared" si="185"/>
        <v>-1</v>
      </c>
      <c r="AP749" s="47" t="s">
        <v>57</v>
      </c>
      <c r="AQ749" s="47" t="s">
        <v>1132</v>
      </c>
      <c r="AR749" s="47"/>
    </row>
    <row r="750" spans="1:44 16374:16384" hidden="1">
      <c r="A750" s="47" t="s">
        <v>74</v>
      </c>
      <c r="B750" s="47" t="str">
        <f t="shared" si="180"/>
        <v>August</v>
      </c>
      <c r="C750" s="59">
        <v>45513</v>
      </c>
      <c r="D750" s="47" t="s">
        <v>45</v>
      </c>
      <c r="E750" s="47" t="s">
        <v>75</v>
      </c>
      <c r="F750" s="47" t="s">
        <v>76</v>
      </c>
      <c r="G750" s="91" t="s">
        <v>1449</v>
      </c>
      <c r="H750" s="47" t="s">
        <v>1450</v>
      </c>
      <c r="I750" s="47" t="s">
        <v>50</v>
      </c>
      <c r="J750" s="47" t="s">
        <v>51</v>
      </c>
      <c r="K750" s="48">
        <v>45332</v>
      </c>
      <c r="L750" s="48">
        <v>45332</v>
      </c>
      <c r="M750" s="48">
        <v>45513</v>
      </c>
      <c r="N750" s="47" t="s">
        <v>52</v>
      </c>
      <c r="O750" s="55" t="s">
        <v>53</v>
      </c>
      <c r="P750" s="62">
        <v>16260</v>
      </c>
      <c r="Q750" s="62">
        <v>1355</v>
      </c>
      <c r="R750" s="96">
        <v>15900</v>
      </c>
      <c r="S750" s="62">
        <f t="shared" si="181"/>
        <v>1325</v>
      </c>
      <c r="T750" s="62">
        <v>15600</v>
      </c>
      <c r="U750" s="62">
        <f t="shared" si="186"/>
        <v>1300</v>
      </c>
      <c r="V750" s="69">
        <v>16260</v>
      </c>
      <c r="W750" s="71">
        <v>1320</v>
      </c>
      <c r="X750" s="71"/>
      <c r="Y750" s="71"/>
      <c r="Z750" s="64">
        <f t="shared" si="182"/>
        <v>1.5384615384615385E-2</v>
      </c>
      <c r="AA750" s="64">
        <f t="shared" si="187"/>
        <v>-3.7735849056603774E-3</v>
      </c>
      <c r="AB750" s="71">
        <v>1320</v>
      </c>
      <c r="AC750" s="64">
        <f t="shared" si="183"/>
        <v>1.5384615384615385E-2</v>
      </c>
      <c r="AD750" s="64">
        <f t="shared" si="189"/>
        <v>-3.7735849056603774E-3</v>
      </c>
      <c r="AE750" s="71">
        <f t="shared" si="188"/>
        <v>1320</v>
      </c>
      <c r="AF750" s="64">
        <f t="shared" si="184"/>
        <v>1.5384615384615385E-2</v>
      </c>
      <c r="AG750" s="64">
        <f t="shared" si="190"/>
        <v>-3.7735849056603774E-3</v>
      </c>
      <c r="AH750" s="67"/>
      <c r="AI750" s="47" t="s">
        <v>54</v>
      </c>
      <c r="AJ750" s="47">
        <v>801</v>
      </c>
      <c r="AK750" s="47" t="s">
        <v>65</v>
      </c>
      <c r="AL750" s="47" t="s">
        <v>65</v>
      </c>
      <c r="AM750" s="47" t="s">
        <v>776</v>
      </c>
      <c r="AN750" s="50">
        <v>1320</v>
      </c>
      <c r="AO750" s="211">
        <f t="shared" si="185"/>
        <v>1.5384615384615385E-2</v>
      </c>
      <c r="AP750" s="47" t="s">
        <v>57</v>
      </c>
      <c r="AQ750" s="47" t="s">
        <v>1132</v>
      </c>
      <c r="AR750" s="47"/>
    </row>
    <row r="751" spans="1:44 16374:16384" hidden="1">
      <c r="A751" s="47" t="s">
        <v>74</v>
      </c>
      <c r="B751" s="47" t="str">
        <f t="shared" si="180"/>
        <v>August</v>
      </c>
      <c r="C751" s="59">
        <v>45513</v>
      </c>
      <c r="D751" s="47" t="s">
        <v>45</v>
      </c>
      <c r="E751" s="47" t="s">
        <v>75</v>
      </c>
      <c r="F751" s="47" t="s">
        <v>76</v>
      </c>
      <c r="G751" s="91" t="s">
        <v>1451</v>
      </c>
      <c r="H751" s="47" t="s">
        <v>1452</v>
      </c>
      <c r="I751" s="47" t="s">
        <v>50</v>
      </c>
      <c r="J751" s="47" t="s">
        <v>51</v>
      </c>
      <c r="K751" s="48">
        <v>45332</v>
      </c>
      <c r="L751" s="48">
        <v>45332</v>
      </c>
      <c r="M751" s="48">
        <v>45513</v>
      </c>
      <c r="N751" s="47" t="s">
        <v>52</v>
      </c>
      <c r="O751" s="55" t="s">
        <v>53</v>
      </c>
      <c r="P751" s="62">
        <v>11940</v>
      </c>
      <c r="Q751" s="62">
        <v>995</v>
      </c>
      <c r="R751" s="96">
        <v>12480</v>
      </c>
      <c r="S751" s="62">
        <f t="shared" si="181"/>
        <v>1040</v>
      </c>
      <c r="T751" s="62">
        <v>12480</v>
      </c>
      <c r="U751" s="62">
        <f t="shared" si="186"/>
        <v>1040</v>
      </c>
      <c r="V751" s="69">
        <v>11940</v>
      </c>
      <c r="W751" s="71">
        <v>1060</v>
      </c>
      <c r="X751" s="71"/>
      <c r="Y751" s="71"/>
      <c r="Z751" s="64">
        <f t="shared" si="182"/>
        <v>1.9230769230769232E-2</v>
      </c>
      <c r="AA751" s="64">
        <f t="shared" si="187"/>
        <v>1.9230769230769232E-2</v>
      </c>
      <c r="AB751" s="71">
        <v>1060</v>
      </c>
      <c r="AC751" s="64">
        <f t="shared" si="183"/>
        <v>1.9230769230769232E-2</v>
      </c>
      <c r="AD751" s="64">
        <f t="shared" si="189"/>
        <v>1.9230769230769232E-2</v>
      </c>
      <c r="AE751" s="71">
        <f t="shared" si="188"/>
        <v>1060</v>
      </c>
      <c r="AF751" s="64">
        <f t="shared" si="184"/>
        <v>1.9230769230769232E-2</v>
      </c>
      <c r="AG751" s="64">
        <f t="shared" si="190"/>
        <v>1.9230769230769232E-2</v>
      </c>
      <c r="AH751" s="67"/>
      <c r="AI751" s="47" t="s">
        <v>54</v>
      </c>
      <c r="AJ751" s="47">
        <v>450</v>
      </c>
      <c r="AK751" s="47" t="s">
        <v>55</v>
      </c>
      <c r="AL751" s="47" t="s">
        <v>55</v>
      </c>
      <c r="AM751" s="47" t="s">
        <v>194</v>
      </c>
      <c r="AN751" s="50"/>
      <c r="AO751" s="211">
        <f t="shared" si="185"/>
        <v>-1</v>
      </c>
      <c r="AP751" s="47" t="s">
        <v>57</v>
      </c>
      <c r="AQ751" s="47" t="s">
        <v>1132</v>
      </c>
      <c r="AR751" s="47"/>
    </row>
    <row r="752" spans="1:44 16374:16384" hidden="1">
      <c r="A752" s="47" t="s">
        <v>44</v>
      </c>
      <c r="B752" s="47" t="str">
        <f t="shared" si="180"/>
        <v>August</v>
      </c>
      <c r="C752" s="59">
        <v>45514</v>
      </c>
      <c r="D752" s="47" t="s">
        <v>45</v>
      </c>
      <c r="E752" s="47" t="s">
        <v>75</v>
      </c>
      <c r="F752" s="47" t="s">
        <v>76</v>
      </c>
      <c r="G752" s="91" t="s">
        <v>1534</v>
      </c>
      <c r="H752" s="47" t="s">
        <v>1535</v>
      </c>
      <c r="I752" s="47" t="s">
        <v>50</v>
      </c>
      <c r="J752" s="47" t="s">
        <v>51</v>
      </c>
      <c r="K752" s="48">
        <v>45271</v>
      </c>
      <c r="L752" s="48">
        <v>45271</v>
      </c>
      <c r="M752" s="48">
        <v>45514</v>
      </c>
      <c r="N752" s="47" t="s">
        <v>52</v>
      </c>
      <c r="O752" s="55" t="s">
        <v>53</v>
      </c>
      <c r="P752" s="62">
        <v>12360</v>
      </c>
      <c r="Q752" s="62">
        <v>1030</v>
      </c>
      <c r="R752" s="96">
        <v>12240</v>
      </c>
      <c r="S752" s="62">
        <f t="shared" si="181"/>
        <v>1020</v>
      </c>
      <c r="T752" s="62">
        <v>12240</v>
      </c>
      <c r="U752" s="62">
        <f t="shared" si="186"/>
        <v>1020</v>
      </c>
      <c r="V752" s="69">
        <v>12360</v>
      </c>
      <c r="W752" s="71">
        <v>1040</v>
      </c>
      <c r="X752" s="71"/>
      <c r="Y752" s="71"/>
      <c r="Z752" s="64">
        <f t="shared" si="182"/>
        <v>1.9607843137254902E-2</v>
      </c>
      <c r="AA752" s="64">
        <f t="shared" si="187"/>
        <v>1.9607843137254902E-2</v>
      </c>
      <c r="AB752" s="71">
        <v>1040</v>
      </c>
      <c r="AC752" s="64">
        <f t="shared" si="183"/>
        <v>1.9607843137254902E-2</v>
      </c>
      <c r="AD752" s="64">
        <f t="shared" si="189"/>
        <v>1.9607843137254902E-2</v>
      </c>
      <c r="AE752" s="71">
        <f t="shared" si="188"/>
        <v>1040</v>
      </c>
      <c r="AF752" s="64">
        <f t="shared" si="184"/>
        <v>1.9607843137254902E-2</v>
      </c>
      <c r="AG752" s="64">
        <f t="shared" si="190"/>
        <v>1.9607843137254902E-2</v>
      </c>
      <c r="AH752" s="67"/>
      <c r="AI752" s="47" t="s">
        <v>54</v>
      </c>
      <c r="AJ752" s="47">
        <v>496</v>
      </c>
      <c r="AK752" s="47" t="s">
        <v>55</v>
      </c>
      <c r="AL752" s="47" t="s">
        <v>55</v>
      </c>
      <c r="AM752" s="47" t="s">
        <v>301</v>
      </c>
      <c r="AN752" s="50">
        <v>1040</v>
      </c>
      <c r="AO752" s="211">
        <f t="shared" si="185"/>
        <v>1.9607843137254902E-2</v>
      </c>
      <c r="AP752" s="47" t="s">
        <v>57</v>
      </c>
      <c r="AQ752" s="47" t="s">
        <v>1132</v>
      </c>
      <c r="AR752" s="47"/>
    </row>
    <row r="753" spans="1:44" hidden="1">
      <c r="A753" s="47" t="s">
        <v>74</v>
      </c>
      <c r="B753" s="47" t="str">
        <f t="shared" si="180"/>
        <v>August</v>
      </c>
      <c r="C753" s="59">
        <v>45518</v>
      </c>
      <c r="D753" s="47" t="s">
        <v>45</v>
      </c>
      <c r="E753" s="47" t="s">
        <v>75</v>
      </c>
      <c r="F753" s="47" t="s">
        <v>76</v>
      </c>
      <c r="G753" s="94" t="s">
        <v>1912</v>
      </c>
      <c r="H753" s="47" t="s">
        <v>1913</v>
      </c>
      <c r="I753" s="47" t="s">
        <v>50</v>
      </c>
      <c r="J753" s="47" t="s">
        <v>51</v>
      </c>
      <c r="K753" s="48">
        <v>45337</v>
      </c>
      <c r="L753" s="48">
        <v>45337</v>
      </c>
      <c r="M753" s="48">
        <v>45518</v>
      </c>
      <c r="N753" s="47" t="s">
        <v>52</v>
      </c>
      <c r="O753" s="55" t="s">
        <v>53</v>
      </c>
      <c r="P753" s="62">
        <v>10500</v>
      </c>
      <c r="Q753" s="62">
        <v>875</v>
      </c>
      <c r="R753" s="96">
        <v>11340</v>
      </c>
      <c r="S753" s="62">
        <f t="shared" si="181"/>
        <v>945</v>
      </c>
      <c r="T753" s="62">
        <v>11340</v>
      </c>
      <c r="U753" s="62">
        <f t="shared" si="186"/>
        <v>945</v>
      </c>
      <c r="V753" s="69">
        <v>10500</v>
      </c>
      <c r="W753" s="71">
        <v>960</v>
      </c>
      <c r="X753" s="71"/>
      <c r="Y753" s="71"/>
      <c r="Z753" s="64">
        <f t="shared" si="182"/>
        <v>1.5873015873015872E-2</v>
      </c>
      <c r="AA753" s="64">
        <f t="shared" si="187"/>
        <v>1.5873015873015872E-2</v>
      </c>
      <c r="AB753" s="71">
        <v>960</v>
      </c>
      <c r="AC753" s="64">
        <f t="shared" si="183"/>
        <v>1.5873015873015872E-2</v>
      </c>
      <c r="AD753" s="64">
        <f t="shared" si="189"/>
        <v>1.5873015873015872E-2</v>
      </c>
      <c r="AE753" s="71">
        <f t="shared" si="188"/>
        <v>960</v>
      </c>
      <c r="AF753" s="64">
        <f t="shared" si="184"/>
        <v>1.5873015873015872E-2</v>
      </c>
      <c r="AG753" s="64">
        <f t="shared" si="190"/>
        <v>1.5873015873015872E-2</v>
      </c>
      <c r="AH753" s="67"/>
      <c r="AI753" s="47" t="s">
        <v>54</v>
      </c>
      <c r="AJ753" s="47">
        <v>398</v>
      </c>
      <c r="AK753" s="47" t="s">
        <v>93</v>
      </c>
      <c r="AL753" s="47" t="s">
        <v>55</v>
      </c>
      <c r="AM753" s="47" t="s">
        <v>94</v>
      </c>
      <c r="AN753" s="50"/>
      <c r="AO753" s="211">
        <f t="shared" si="185"/>
        <v>-1</v>
      </c>
      <c r="AP753" s="47" t="s">
        <v>57</v>
      </c>
      <c r="AQ753" s="47" t="s">
        <v>1132</v>
      </c>
      <c r="AR753" s="47"/>
    </row>
    <row r="754" spans="1:44" hidden="1">
      <c r="A754" s="47" t="s">
        <v>74</v>
      </c>
      <c r="B754" s="47" t="str">
        <f t="shared" si="180"/>
        <v>August</v>
      </c>
      <c r="C754" s="59">
        <v>45518</v>
      </c>
      <c r="D754" s="47" t="s">
        <v>45</v>
      </c>
      <c r="E754" s="47" t="s">
        <v>75</v>
      </c>
      <c r="F754" s="47" t="s">
        <v>76</v>
      </c>
      <c r="G754" s="91" t="s">
        <v>1914</v>
      </c>
      <c r="H754" s="47" t="s">
        <v>1915</v>
      </c>
      <c r="I754" s="47" t="s">
        <v>50</v>
      </c>
      <c r="J754" s="47" t="s">
        <v>51</v>
      </c>
      <c r="K754" s="48">
        <v>45337</v>
      </c>
      <c r="L754" s="48">
        <v>45337</v>
      </c>
      <c r="M754" s="48">
        <v>45518</v>
      </c>
      <c r="N754" s="47" t="s">
        <v>52</v>
      </c>
      <c r="O754" s="55" t="s">
        <v>53</v>
      </c>
      <c r="P754" s="62">
        <v>12000</v>
      </c>
      <c r="Q754" s="62">
        <v>1000</v>
      </c>
      <c r="R754" s="96">
        <v>12960</v>
      </c>
      <c r="S754" s="62">
        <f t="shared" si="181"/>
        <v>1080</v>
      </c>
      <c r="T754" s="62">
        <v>12960</v>
      </c>
      <c r="U754" s="62">
        <f t="shared" si="186"/>
        <v>1080</v>
      </c>
      <c r="V754" s="69">
        <v>12000</v>
      </c>
      <c r="W754" s="71">
        <v>1090</v>
      </c>
      <c r="X754" s="71"/>
      <c r="Y754" s="71"/>
      <c r="Z754" s="64">
        <f t="shared" si="182"/>
        <v>9.2592592592592587E-3</v>
      </c>
      <c r="AA754" s="64">
        <f t="shared" si="187"/>
        <v>9.2592592592592587E-3</v>
      </c>
      <c r="AB754" s="71">
        <v>1090</v>
      </c>
      <c r="AC754" s="64">
        <f t="shared" si="183"/>
        <v>9.2592592592592587E-3</v>
      </c>
      <c r="AD754" s="64">
        <f t="shared" si="189"/>
        <v>9.2592592592592587E-3</v>
      </c>
      <c r="AE754" s="71">
        <f t="shared" si="188"/>
        <v>1090</v>
      </c>
      <c r="AF754" s="64">
        <f t="shared" si="184"/>
        <v>9.2592592592592587E-3</v>
      </c>
      <c r="AG754" s="64">
        <f t="shared" si="190"/>
        <v>9.2592592592592587E-3</v>
      </c>
      <c r="AH754" s="67"/>
      <c r="AI754" s="47" t="s">
        <v>54</v>
      </c>
      <c r="AJ754" s="47">
        <v>450</v>
      </c>
      <c r="AK754" s="47" t="s">
        <v>55</v>
      </c>
      <c r="AL754" s="47" t="s">
        <v>55</v>
      </c>
      <c r="AM754" s="47" t="s">
        <v>1385</v>
      </c>
      <c r="AN754" s="50"/>
      <c r="AO754" s="211">
        <f t="shared" si="185"/>
        <v>-1</v>
      </c>
      <c r="AP754" s="47" t="s">
        <v>57</v>
      </c>
      <c r="AQ754" s="47" t="s">
        <v>1132</v>
      </c>
      <c r="AR754" s="47"/>
    </row>
    <row r="755" spans="1:44" hidden="1">
      <c r="A755" s="47" t="s">
        <v>74</v>
      </c>
      <c r="B755" s="47" t="str">
        <f t="shared" si="180"/>
        <v>August</v>
      </c>
      <c r="C755" s="59">
        <v>45519</v>
      </c>
      <c r="D755" s="47" t="s">
        <v>45</v>
      </c>
      <c r="E755" s="47" t="s">
        <v>75</v>
      </c>
      <c r="F755" s="47" t="s">
        <v>76</v>
      </c>
      <c r="G755" s="91" t="s">
        <v>1963</v>
      </c>
      <c r="H755" s="47" t="s">
        <v>1964</v>
      </c>
      <c r="I755" s="47" t="s">
        <v>50</v>
      </c>
      <c r="J755" s="47" t="s">
        <v>51</v>
      </c>
      <c r="K755" s="48">
        <v>45276</v>
      </c>
      <c r="L755" s="48">
        <v>45276</v>
      </c>
      <c r="M755" s="48">
        <v>45519</v>
      </c>
      <c r="N755" s="47" t="s">
        <v>52</v>
      </c>
      <c r="O755" s="55" t="s">
        <v>53</v>
      </c>
      <c r="P755" s="62">
        <v>12180</v>
      </c>
      <c r="Q755" s="62">
        <v>1015</v>
      </c>
      <c r="R755" s="96">
        <v>11820</v>
      </c>
      <c r="S755" s="62">
        <f t="shared" si="181"/>
        <v>985</v>
      </c>
      <c r="T755" s="62">
        <v>11820</v>
      </c>
      <c r="U755" s="62">
        <f t="shared" si="186"/>
        <v>985</v>
      </c>
      <c r="V755" s="69">
        <v>12180</v>
      </c>
      <c r="W755" s="71">
        <v>1005</v>
      </c>
      <c r="X755" s="71"/>
      <c r="Y755" s="71"/>
      <c r="Z755" s="64">
        <f t="shared" si="182"/>
        <v>2.030456852791878E-2</v>
      </c>
      <c r="AA755" s="64">
        <f t="shared" si="187"/>
        <v>2.030456852791878E-2</v>
      </c>
      <c r="AB755" s="71">
        <v>1005</v>
      </c>
      <c r="AC755" s="64">
        <f t="shared" si="183"/>
        <v>2.030456852791878E-2</v>
      </c>
      <c r="AD755" s="64">
        <f t="shared" si="189"/>
        <v>2.030456852791878E-2</v>
      </c>
      <c r="AE755" s="71">
        <f t="shared" si="188"/>
        <v>1005</v>
      </c>
      <c r="AF755" s="64">
        <f t="shared" si="184"/>
        <v>2.030456852791878E-2</v>
      </c>
      <c r="AG755" s="64">
        <f t="shared" si="190"/>
        <v>2.030456852791878E-2</v>
      </c>
      <c r="AH755" s="67"/>
      <c r="AI755" s="47" t="s">
        <v>54</v>
      </c>
      <c r="AJ755" s="47">
        <v>468</v>
      </c>
      <c r="AK755" s="47" t="s">
        <v>55</v>
      </c>
      <c r="AL755" s="47" t="s">
        <v>55</v>
      </c>
      <c r="AM755" s="47" t="s">
        <v>1965</v>
      </c>
      <c r="AN755" s="50"/>
      <c r="AO755" s="211">
        <f t="shared" si="185"/>
        <v>-1</v>
      </c>
      <c r="AP755" s="47" t="s">
        <v>57</v>
      </c>
      <c r="AQ755" s="47" t="s">
        <v>1132</v>
      </c>
      <c r="AR755" s="47"/>
    </row>
    <row r="756" spans="1:44" hidden="1">
      <c r="A756" s="47" t="s">
        <v>74</v>
      </c>
      <c r="B756" s="47" t="str">
        <f t="shared" si="180"/>
        <v>August</v>
      </c>
      <c r="C756" s="59">
        <v>45521</v>
      </c>
      <c r="D756" s="47" t="s">
        <v>45</v>
      </c>
      <c r="E756" s="47" t="s">
        <v>75</v>
      </c>
      <c r="F756" s="47" t="s">
        <v>76</v>
      </c>
      <c r="G756" s="91" t="s">
        <v>2174</v>
      </c>
      <c r="H756" s="47" t="s">
        <v>2175</v>
      </c>
      <c r="I756" s="47" t="s">
        <v>50</v>
      </c>
      <c r="J756" s="47" t="s">
        <v>51</v>
      </c>
      <c r="K756" s="48">
        <v>45278</v>
      </c>
      <c r="L756" s="48">
        <v>45278</v>
      </c>
      <c r="M756" s="48">
        <v>45521</v>
      </c>
      <c r="N756" s="47" t="s">
        <v>52</v>
      </c>
      <c r="O756" s="55" t="s">
        <v>53</v>
      </c>
      <c r="P756" s="62">
        <v>10320</v>
      </c>
      <c r="Q756" s="62">
        <v>860</v>
      </c>
      <c r="R756" s="96">
        <v>11040</v>
      </c>
      <c r="S756" s="62">
        <f t="shared" si="181"/>
        <v>920</v>
      </c>
      <c r="T756" s="62">
        <v>10860</v>
      </c>
      <c r="U756" s="62">
        <f t="shared" si="186"/>
        <v>905</v>
      </c>
      <c r="V756" s="69">
        <v>10320</v>
      </c>
      <c r="W756" s="71">
        <v>940</v>
      </c>
      <c r="X756" s="71"/>
      <c r="Y756" s="71"/>
      <c r="Z756" s="64">
        <f t="shared" si="182"/>
        <v>3.8674033149171269E-2</v>
      </c>
      <c r="AA756" s="64">
        <f t="shared" si="187"/>
        <v>2.1739130434782608E-2</v>
      </c>
      <c r="AB756" s="71">
        <v>940</v>
      </c>
      <c r="AC756" s="64">
        <f t="shared" si="183"/>
        <v>3.8674033149171269E-2</v>
      </c>
      <c r="AD756" s="64">
        <f t="shared" si="189"/>
        <v>2.1739130434782608E-2</v>
      </c>
      <c r="AE756" s="71">
        <f t="shared" si="188"/>
        <v>940</v>
      </c>
      <c r="AF756" s="64">
        <f t="shared" si="184"/>
        <v>3.8674033149171269E-2</v>
      </c>
      <c r="AG756" s="64">
        <f t="shared" si="190"/>
        <v>2.1739130434782608E-2</v>
      </c>
      <c r="AH756" s="67"/>
      <c r="AI756" s="47" t="s">
        <v>54</v>
      </c>
      <c r="AJ756" s="47">
        <v>398</v>
      </c>
      <c r="AK756" s="47" t="s">
        <v>93</v>
      </c>
      <c r="AL756" s="47" t="s">
        <v>55</v>
      </c>
      <c r="AM756" s="47" t="s">
        <v>94</v>
      </c>
      <c r="AN756" s="50"/>
      <c r="AO756" s="211">
        <f t="shared" si="185"/>
        <v>-1</v>
      </c>
      <c r="AP756" s="47" t="s">
        <v>57</v>
      </c>
      <c r="AQ756" s="47" t="s">
        <v>1132</v>
      </c>
      <c r="AR756" s="47"/>
    </row>
    <row r="757" spans="1:44" hidden="1">
      <c r="A757" s="47" t="s">
        <v>44</v>
      </c>
      <c r="B757" s="47" t="str">
        <f t="shared" si="180"/>
        <v>August</v>
      </c>
      <c r="C757" s="59">
        <v>45521</v>
      </c>
      <c r="D757" s="47" t="s">
        <v>45</v>
      </c>
      <c r="E757" s="47" t="s">
        <v>75</v>
      </c>
      <c r="F757" s="47" t="s">
        <v>76</v>
      </c>
      <c r="G757" s="91" t="s">
        <v>2176</v>
      </c>
      <c r="H757" s="47" t="s">
        <v>2177</v>
      </c>
      <c r="I757" s="47" t="s">
        <v>50</v>
      </c>
      <c r="J757" s="47" t="s">
        <v>51</v>
      </c>
      <c r="K757" s="48">
        <v>45248</v>
      </c>
      <c r="L757" s="48">
        <v>45248</v>
      </c>
      <c r="M757" s="48">
        <v>45521</v>
      </c>
      <c r="N757" s="47" t="s">
        <v>52</v>
      </c>
      <c r="O757" s="55" t="s">
        <v>53</v>
      </c>
      <c r="P757" s="62">
        <v>11940</v>
      </c>
      <c r="Q757" s="62">
        <v>995</v>
      </c>
      <c r="R757" s="96">
        <v>12720</v>
      </c>
      <c r="S757" s="62">
        <f t="shared" si="181"/>
        <v>1060</v>
      </c>
      <c r="T757" s="62">
        <v>12720</v>
      </c>
      <c r="U757" s="62">
        <f t="shared" si="186"/>
        <v>1060</v>
      </c>
      <c r="V757" s="69">
        <v>11940</v>
      </c>
      <c r="W757" s="71">
        <v>1040</v>
      </c>
      <c r="X757" s="71"/>
      <c r="Y757" s="71"/>
      <c r="Z757" s="64">
        <f t="shared" si="182"/>
        <v>-1.8867924528301886E-2</v>
      </c>
      <c r="AA757" s="64">
        <f t="shared" si="187"/>
        <v>-1.8867924528301886E-2</v>
      </c>
      <c r="AB757" s="71">
        <v>1060</v>
      </c>
      <c r="AC757" s="64">
        <f t="shared" si="183"/>
        <v>0</v>
      </c>
      <c r="AD757" s="64">
        <f t="shared" si="189"/>
        <v>0</v>
      </c>
      <c r="AE757" s="71">
        <f t="shared" si="188"/>
        <v>1060</v>
      </c>
      <c r="AF757" s="64">
        <f t="shared" si="184"/>
        <v>0</v>
      </c>
      <c r="AG757" s="64">
        <f t="shared" si="190"/>
        <v>0</v>
      </c>
      <c r="AH757" s="67"/>
      <c r="AI757" s="47" t="s">
        <v>54</v>
      </c>
      <c r="AJ757" s="47">
        <v>450</v>
      </c>
      <c r="AK757" s="47" t="s">
        <v>55</v>
      </c>
      <c r="AL757" s="47" t="s">
        <v>55</v>
      </c>
      <c r="AM757" s="47" t="s">
        <v>2178</v>
      </c>
      <c r="AN757" s="50"/>
      <c r="AO757" s="211">
        <f t="shared" si="185"/>
        <v>-1</v>
      </c>
      <c r="AP757" s="47" t="s">
        <v>57</v>
      </c>
      <c r="AQ757" s="47" t="s">
        <v>1132</v>
      </c>
      <c r="AR757" s="47"/>
    </row>
    <row r="758" spans="1:44" hidden="1">
      <c r="A758" s="47" t="s">
        <v>74</v>
      </c>
      <c r="B758" s="47" t="str">
        <f t="shared" si="180"/>
        <v>August</v>
      </c>
      <c r="C758" s="59">
        <v>45524</v>
      </c>
      <c r="D758" s="47" t="s">
        <v>45</v>
      </c>
      <c r="E758" s="47" t="s">
        <v>75</v>
      </c>
      <c r="F758" s="47" t="s">
        <v>76</v>
      </c>
      <c r="G758" s="91" t="s">
        <v>2420</v>
      </c>
      <c r="H758" s="47" t="s">
        <v>2421</v>
      </c>
      <c r="I758" s="47" t="s">
        <v>50</v>
      </c>
      <c r="J758" s="47" t="s">
        <v>51</v>
      </c>
      <c r="K758" s="48">
        <v>45342</v>
      </c>
      <c r="L758" s="48">
        <v>45342</v>
      </c>
      <c r="M758" s="48">
        <v>45523</v>
      </c>
      <c r="N758" s="47" t="s">
        <v>52</v>
      </c>
      <c r="O758" s="55" t="s">
        <v>53</v>
      </c>
      <c r="P758" s="62">
        <v>12180</v>
      </c>
      <c r="Q758" s="62">
        <v>1015</v>
      </c>
      <c r="R758" s="96">
        <v>12360</v>
      </c>
      <c r="S758" s="62">
        <f t="shared" si="181"/>
        <v>1030</v>
      </c>
      <c r="T758" s="62">
        <v>12360</v>
      </c>
      <c r="U758" s="62">
        <f t="shared" si="186"/>
        <v>1030</v>
      </c>
      <c r="V758" s="69">
        <v>12180</v>
      </c>
      <c r="W758" s="71">
        <v>1050</v>
      </c>
      <c r="X758" s="71"/>
      <c r="Y758" s="71"/>
      <c r="Z758" s="64">
        <f t="shared" si="182"/>
        <v>1.9417475728155338E-2</v>
      </c>
      <c r="AA758" s="64">
        <f t="shared" si="187"/>
        <v>1.9417475728155338E-2</v>
      </c>
      <c r="AB758" s="71">
        <v>1050</v>
      </c>
      <c r="AC758" s="64">
        <f t="shared" si="183"/>
        <v>1.9417475728155338E-2</v>
      </c>
      <c r="AD758" s="64">
        <f t="shared" si="189"/>
        <v>1.9417475728155338E-2</v>
      </c>
      <c r="AE758" s="71">
        <f t="shared" si="188"/>
        <v>1050</v>
      </c>
      <c r="AF758" s="64">
        <f t="shared" si="184"/>
        <v>1.9417475728155338E-2</v>
      </c>
      <c r="AG758" s="64">
        <f t="shared" si="190"/>
        <v>1.9417475728155338E-2</v>
      </c>
      <c r="AH758" s="67"/>
      <c r="AI758" s="47" t="s">
        <v>54</v>
      </c>
      <c r="AJ758" s="47">
        <v>465</v>
      </c>
      <c r="AK758" s="47" t="s">
        <v>55</v>
      </c>
      <c r="AL758" s="47" t="s">
        <v>55</v>
      </c>
      <c r="AM758" s="47" t="s">
        <v>2422</v>
      </c>
      <c r="AN758" s="50"/>
      <c r="AO758" s="211">
        <f t="shared" si="185"/>
        <v>-1</v>
      </c>
      <c r="AP758" s="47" t="s">
        <v>57</v>
      </c>
      <c r="AQ758" s="47" t="s">
        <v>1132</v>
      </c>
      <c r="AR758" s="47"/>
    </row>
    <row r="759" spans="1:44" hidden="1">
      <c r="A759" s="47" t="s">
        <v>74</v>
      </c>
      <c r="B759" s="47" t="str">
        <f t="shared" si="180"/>
        <v>August</v>
      </c>
      <c r="C759" s="59">
        <v>45526</v>
      </c>
      <c r="D759" s="47" t="s">
        <v>45</v>
      </c>
      <c r="E759" s="47" t="s">
        <v>75</v>
      </c>
      <c r="F759" s="47" t="s">
        <v>76</v>
      </c>
      <c r="G759" s="91" t="s">
        <v>2696</v>
      </c>
      <c r="H759" s="47" t="s">
        <v>2697</v>
      </c>
      <c r="I759" s="47" t="s">
        <v>50</v>
      </c>
      <c r="J759" s="47" t="s">
        <v>51</v>
      </c>
      <c r="K759" s="48">
        <v>45282</v>
      </c>
      <c r="L759" s="48">
        <v>45282</v>
      </c>
      <c r="M759" s="48">
        <v>45525</v>
      </c>
      <c r="N759" s="47" t="s">
        <v>52</v>
      </c>
      <c r="O759" s="55" t="s">
        <v>53</v>
      </c>
      <c r="P759" s="62">
        <v>12000</v>
      </c>
      <c r="Q759" s="62">
        <v>1000</v>
      </c>
      <c r="R759" s="96">
        <v>12780</v>
      </c>
      <c r="S759" s="62">
        <f t="shared" si="181"/>
        <v>1065</v>
      </c>
      <c r="T759" s="62">
        <v>12780</v>
      </c>
      <c r="U759" s="62">
        <f t="shared" si="186"/>
        <v>1065</v>
      </c>
      <c r="V759" s="69">
        <v>12000</v>
      </c>
      <c r="W759" s="71">
        <v>1090</v>
      </c>
      <c r="X759" s="71"/>
      <c r="Y759" s="71"/>
      <c r="Z759" s="64">
        <f t="shared" si="182"/>
        <v>2.3474178403755867E-2</v>
      </c>
      <c r="AA759" s="64">
        <f t="shared" si="187"/>
        <v>2.3474178403755867E-2</v>
      </c>
      <c r="AB759" s="71">
        <v>1090</v>
      </c>
      <c r="AC759" s="64">
        <f t="shared" si="183"/>
        <v>2.3474178403755867E-2</v>
      </c>
      <c r="AD759" s="64">
        <f t="shared" si="189"/>
        <v>2.3474178403755867E-2</v>
      </c>
      <c r="AE759" s="71">
        <f t="shared" si="188"/>
        <v>1090</v>
      </c>
      <c r="AF759" s="64">
        <f t="shared" si="184"/>
        <v>2.3474178403755867E-2</v>
      </c>
      <c r="AG759" s="64">
        <f t="shared" si="190"/>
        <v>2.3474178403755867E-2</v>
      </c>
      <c r="AH759" s="67"/>
      <c r="AI759" s="47" t="s">
        <v>54</v>
      </c>
      <c r="AJ759" s="47">
        <v>450</v>
      </c>
      <c r="AK759" s="47" t="s">
        <v>55</v>
      </c>
      <c r="AL759" s="47" t="s">
        <v>55</v>
      </c>
      <c r="AM759" s="47" t="s">
        <v>194</v>
      </c>
      <c r="AN759" s="50"/>
      <c r="AO759" s="211">
        <f t="shared" si="185"/>
        <v>-1</v>
      </c>
      <c r="AP759" s="47" t="s">
        <v>57</v>
      </c>
      <c r="AQ759" s="47" t="s">
        <v>1132</v>
      </c>
      <c r="AR759" s="47"/>
    </row>
    <row r="760" spans="1:44" hidden="1">
      <c r="A760" s="47" t="s">
        <v>74</v>
      </c>
      <c r="B760" s="47" t="str">
        <f t="shared" si="180"/>
        <v>August</v>
      </c>
      <c r="C760" s="59">
        <v>45531</v>
      </c>
      <c r="D760" s="47" t="s">
        <v>45</v>
      </c>
      <c r="E760" s="47" t="s">
        <v>75</v>
      </c>
      <c r="F760" s="47" t="s">
        <v>76</v>
      </c>
      <c r="G760" s="91" t="s">
        <v>3319</v>
      </c>
      <c r="H760" s="47" t="s">
        <v>3320</v>
      </c>
      <c r="I760" s="47" t="s">
        <v>50</v>
      </c>
      <c r="J760" s="47" t="s">
        <v>51</v>
      </c>
      <c r="K760" s="48">
        <v>45350</v>
      </c>
      <c r="L760" s="48">
        <v>45350</v>
      </c>
      <c r="M760" s="48">
        <v>45531</v>
      </c>
      <c r="N760" s="47" t="s">
        <v>52</v>
      </c>
      <c r="O760" s="55" t="s">
        <v>53</v>
      </c>
      <c r="P760" s="62">
        <v>12660</v>
      </c>
      <c r="Q760" s="62">
        <v>1055</v>
      </c>
      <c r="R760" s="96">
        <v>12600</v>
      </c>
      <c r="S760" s="62">
        <f t="shared" si="181"/>
        <v>1050</v>
      </c>
      <c r="T760" s="62">
        <v>12600</v>
      </c>
      <c r="U760" s="62">
        <f t="shared" si="186"/>
        <v>1050</v>
      </c>
      <c r="V760" s="69">
        <v>12660</v>
      </c>
      <c r="W760" s="71">
        <v>1060</v>
      </c>
      <c r="X760" s="71"/>
      <c r="Y760" s="71"/>
      <c r="Z760" s="64">
        <f t="shared" si="182"/>
        <v>9.5238095238095247E-3</v>
      </c>
      <c r="AA760" s="64">
        <f t="shared" si="187"/>
        <v>9.5238095238095247E-3</v>
      </c>
      <c r="AB760" s="71">
        <v>1060</v>
      </c>
      <c r="AC760" s="64">
        <f t="shared" si="183"/>
        <v>9.5238095238095247E-3</v>
      </c>
      <c r="AD760" s="64">
        <f t="shared" si="189"/>
        <v>9.5238095238095247E-3</v>
      </c>
      <c r="AE760" s="71">
        <f t="shared" si="188"/>
        <v>1060</v>
      </c>
      <c r="AF760" s="64">
        <f t="shared" si="184"/>
        <v>9.5238095238095247E-3</v>
      </c>
      <c r="AG760" s="64">
        <f t="shared" si="190"/>
        <v>9.5238095238095247E-3</v>
      </c>
      <c r="AH760" s="67"/>
      <c r="AI760" s="47" t="s">
        <v>54</v>
      </c>
      <c r="AJ760" s="47">
        <v>608</v>
      </c>
      <c r="AK760" s="47" t="s">
        <v>55</v>
      </c>
      <c r="AL760" s="47" t="s">
        <v>55</v>
      </c>
      <c r="AM760" s="47" t="s">
        <v>3321</v>
      </c>
      <c r="AN760" s="50"/>
      <c r="AO760" s="211">
        <f t="shared" si="185"/>
        <v>-1</v>
      </c>
      <c r="AP760" s="47" t="s">
        <v>57</v>
      </c>
      <c r="AQ760" s="47" t="s">
        <v>131</v>
      </c>
      <c r="AR760" s="47"/>
    </row>
    <row r="761" spans="1:44" hidden="1">
      <c r="A761" s="47" t="s">
        <v>74</v>
      </c>
      <c r="B761" s="47" t="str">
        <f t="shared" si="180"/>
        <v>August</v>
      </c>
      <c r="C761" s="59">
        <v>45532</v>
      </c>
      <c r="D761" s="47" t="s">
        <v>45</v>
      </c>
      <c r="E761" s="47" t="s">
        <v>75</v>
      </c>
      <c r="F761" s="47" t="s">
        <v>76</v>
      </c>
      <c r="G761" s="91" t="s">
        <v>3396</v>
      </c>
      <c r="H761" s="47" t="s">
        <v>3397</v>
      </c>
      <c r="I761" s="47" t="s">
        <v>50</v>
      </c>
      <c r="J761" s="47" t="s">
        <v>51</v>
      </c>
      <c r="K761" s="48">
        <v>45350</v>
      </c>
      <c r="L761" s="48">
        <v>45350</v>
      </c>
      <c r="M761" s="48">
        <v>45531</v>
      </c>
      <c r="N761" s="47" t="s">
        <v>52</v>
      </c>
      <c r="O761" s="55" t="s">
        <v>53</v>
      </c>
      <c r="P761" s="62">
        <v>15360</v>
      </c>
      <c r="Q761" s="62">
        <v>1280</v>
      </c>
      <c r="R761" s="96">
        <v>16200</v>
      </c>
      <c r="S761" s="62">
        <f t="shared" si="181"/>
        <v>1350</v>
      </c>
      <c r="T761" s="62">
        <v>16620</v>
      </c>
      <c r="U761" s="62">
        <f t="shared" si="186"/>
        <v>1385</v>
      </c>
      <c r="V761" s="69">
        <v>15360</v>
      </c>
      <c r="W761" s="71">
        <v>1405</v>
      </c>
      <c r="X761" s="71"/>
      <c r="Y761" s="71"/>
      <c r="Z761" s="64">
        <f t="shared" si="182"/>
        <v>1.444043321299639E-2</v>
      </c>
      <c r="AA761" s="64">
        <f t="shared" si="187"/>
        <v>4.0740740740740744E-2</v>
      </c>
      <c r="AB761" s="71">
        <v>1405</v>
      </c>
      <c r="AC761" s="64">
        <f t="shared" si="183"/>
        <v>1.444043321299639E-2</v>
      </c>
      <c r="AD761" s="64">
        <f t="shared" si="189"/>
        <v>4.0740740740740744E-2</v>
      </c>
      <c r="AE761" s="71">
        <f t="shared" si="188"/>
        <v>1405</v>
      </c>
      <c r="AF761" s="64">
        <f t="shared" si="184"/>
        <v>1.444043321299639E-2</v>
      </c>
      <c r="AG761" s="64">
        <f t="shared" si="190"/>
        <v>4.0740740740740744E-2</v>
      </c>
      <c r="AH761" s="67"/>
      <c r="AI761" s="47" t="s">
        <v>54</v>
      </c>
      <c r="AJ761" s="47">
        <v>662</v>
      </c>
      <c r="AK761" s="47" t="s">
        <v>65</v>
      </c>
      <c r="AL761" s="47" t="s">
        <v>65</v>
      </c>
      <c r="AM761" s="47" t="s">
        <v>304</v>
      </c>
      <c r="AN761" s="50"/>
      <c r="AO761" s="211">
        <f t="shared" si="185"/>
        <v>-1</v>
      </c>
      <c r="AP761" s="47" t="s">
        <v>57</v>
      </c>
      <c r="AQ761" s="47" t="s">
        <v>131</v>
      </c>
      <c r="AR761" s="47"/>
    </row>
    <row r="762" spans="1:44" hidden="1">
      <c r="A762" s="47" t="s">
        <v>44</v>
      </c>
      <c r="B762" s="47" t="str">
        <f t="shared" si="180"/>
        <v>July</v>
      </c>
      <c r="C762" s="59">
        <v>45474</v>
      </c>
      <c r="D762" s="47" t="s">
        <v>45</v>
      </c>
      <c r="E762" s="47" t="s">
        <v>75</v>
      </c>
      <c r="F762" s="47" t="s">
        <v>76</v>
      </c>
      <c r="G762" s="112" t="s">
        <v>3573</v>
      </c>
      <c r="H762" s="47" t="s">
        <v>3574</v>
      </c>
      <c r="I762" s="47" t="s">
        <v>50</v>
      </c>
      <c r="J762" s="47" t="s">
        <v>51</v>
      </c>
      <c r="K762" s="48">
        <v>45293</v>
      </c>
      <c r="L762" s="48">
        <v>45293</v>
      </c>
      <c r="M762" s="48">
        <v>45474</v>
      </c>
      <c r="N762" s="47" t="s">
        <v>52</v>
      </c>
      <c r="O762" s="55" t="s">
        <v>53</v>
      </c>
      <c r="P762" s="62">
        <v>10320</v>
      </c>
      <c r="Q762" s="62">
        <v>860</v>
      </c>
      <c r="R762" s="96">
        <v>11040</v>
      </c>
      <c r="S762" s="62">
        <f t="shared" si="181"/>
        <v>920</v>
      </c>
      <c r="T762" s="62">
        <v>11040</v>
      </c>
      <c r="U762" s="62">
        <f t="shared" si="186"/>
        <v>920</v>
      </c>
      <c r="V762" s="69">
        <v>10320</v>
      </c>
      <c r="W762" s="71">
        <v>935</v>
      </c>
      <c r="X762" s="71"/>
      <c r="Y762" s="71"/>
      <c r="Z762" s="64">
        <f t="shared" si="182"/>
        <v>1.6304347826086956E-2</v>
      </c>
      <c r="AA762" s="64">
        <f t="shared" si="187"/>
        <v>1.6304347826086956E-2</v>
      </c>
      <c r="AB762" s="71">
        <v>935</v>
      </c>
      <c r="AC762" s="64">
        <f t="shared" si="183"/>
        <v>1.6304347826086956E-2</v>
      </c>
      <c r="AD762" s="64">
        <f t="shared" si="189"/>
        <v>1.6304347826086956E-2</v>
      </c>
      <c r="AE762" s="71">
        <f t="shared" si="188"/>
        <v>935</v>
      </c>
      <c r="AF762" s="64">
        <f t="shared" si="184"/>
        <v>1.6304347826086956E-2</v>
      </c>
      <c r="AG762" s="64">
        <f t="shared" si="190"/>
        <v>1.6304347826086956E-2</v>
      </c>
      <c r="AH762" s="67"/>
      <c r="AI762" s="47" t="s">
        <v>54</v>
      </c>
      <c r="AJ762" s="47">
        <v>398</v>
      </c>
      <c r="AK762" s="47" t="s">
        <v>93</v>
      </c>
      <c r="AL762" s="47" t="s">
        <v>55</v>
      </c>
      <c r="AM762" s="47" t="s">
        <v>94</v>
      </c>
      <c r="AN762" s="50">
        <v>935</v>
      </c>
      <c r="AO762" s="211">
        <f t="shared" si="185"/>
        <v>1.6304347826086956E-2</v>
      </c>
      <c r="AP762" s="47" t="s">
        <v>57</v>
      </c>
      <c r="AQ762" s="47" t="s">
        <v>3575</v>
      </c>
      <c r="AR762" s="47"/>
    </row>
    <row r="763" spans="1:44" hidden="1">
      <c r="A763" s="47" t="s">
        <v>44</v>
      </c>
      <c r="B763" s="47" t="str">
        <f t="shared" si="180"/>
        <v>July</v>
      </c>
      <c r="C763" s="59">
        <v>45490</v>
      </c>
      <c r="D763" s="47" t="s">
        <v>45</v>
      </c>
      <c r="E763" s="47" t="s">
        <v>75</v>
      </c>
      <c r="F763" s="47" t="s">
        <v>76</v>
      </c>
      <c r="G763" s="112" t="s">
        <v>3576</v>
      </c>
      <c r="H763" s="47" t="s">
        <v>3577</v>
      </c>
      <c r="I763" s="47" t="s">
        <v>50</v>
      </c>
      <c r="J763" s="47" t="s">
        <v>51</v>
      </c>
      <c r="K763" s="48">
        <v>45308</v>
      </c>
      <c r="L763" s="48">
        <v>45308</v>
      </c>
      <c r="M763" s="48">
        <v>45490</v>
      </c>
      <c r="N763" s="47" t="s">
        <v>52</v>
      </c>
      <c r="O763" s="55" t="s">
        <v>53</v>
      </c>
      <c r="P763" s="62">
        <v>11820</v>
      </c>
      <c r="Q763" s="62">
        <v>985</v>
      </c>
      <c r="R763" s="96">
        <v>12120</v>
      </c>
      <c r="S763" s="62">
        <f t="shared" si="181"/>
        <v>1010</v>
      </c>
      <c r="T763" s="62">
        <v>12120</v>
      </c>
      <c r="U763" s="62">
        <f t="shared" si="186"/>
        <v>1010</v>
      </c>
      <c r="V763" s="69">
        <v>11820</v>
      </c>
      <c r="W763" s="71">
        <v>1030</v>
      </c>
      <c r="X763" s="71"/>
      <c r="Y763" s="71"/>
      <c r="Z763" s="64">
        <f t="shared" si="182"/>
        <v>1.9801980198019802E-2</v>
      </c>
      <c r="AA763" s="64">
        <f t="shared" si="187"/>
        <v>1.9801980198019802E-2</v>
      </c>
      <c r="AB763" s="71">
        <v>1030</v>
      </c>
      <c r="AC763" s="64">
        <f t="shared" si="183"/>
        <v>1.9801980198019802E-2</v>
      </c>
      <c r="AD763" s="64">
        <f t="shared" si="189"/>
        <v>1.9801980198019802E-2</v>
      </c>
      <c r="AE763" s="71">
        <f t="shared" si="188"/>
        <v>1030</v>
      </c>
      <c r="AF763" s="64">
        <f t="shared" si="184"/>
        <v>1.9801980198019802E-2</v>
      </c>
      <c r="AG763" s="64">
        <f t="shared" si="190"/>
        <v>1.9801980198019802E-2</v>
      </c>
      <c r="AH763" s="67"/>
      <c r="AI763" s="47" t="s">
        <v>54</v>
      </c>
      <c r="AJ763" s="47">
        <v>439</v>
      </c>
      <c r="AK763" s="47" t="s">
        <v>55</v>
      </c>
      <c r="AL763" s="47" t="s">
        <v>55</v>
      </c>
      <c r="AM763" s="47" t="s">
        <v>3578</v>
      </c>
      <c r="AN763" s="50"/>
      <c r="AO763" s="211">
        <f t="shared" si="185"/>
        <v>-1</v>
      </c>
      <c r="AP763" s="47" t="s">
        <v>57</v>
      </c>
      <c r="AQ763" s="47" t="s">
        <v>3575</v>
      </c>
      <c r="AR763" s="47"/>
    </row>
    <row r="764" spans="1:44" hidden="1">
      <c r="A764" s="47" t="s">
        <v>74</v>
      </c>
      <c r="B764" s="47" t="str">
        <f t="shared" si="180"/>
        <v>July</v>
      </c>
      <c r="C764" s="59">
        <v>45496</v>
      </c>
      <c r="D764" s="47" t="s">
        <v>45</v>
      </c>
      <c r="E764" s="47" t="s">
        <v>75</v>
      </c>
      <c r="F764" s="47" t="s">
        <v>76</v>
      </c>
      <c r="G764" s="168" t="s">
        <v>3579</v>
      </c>
      <c r="H764" s="47" t="s">
        <v>3580</v>
      </c>
      <c r="I764" s="47" t="s">
        <v>50</v>
      </c>
      <c r="J764" s="47" t="s">
        <v>51</v>
      </c>
      <c r="K764" s="48">
        <v>45254</v>
      </c>
      <c r="L764" s="48">
        <v>45254</v>
      </c>
      <c r="M764" s="48">
        <v>45496</v>
      </c>
      <c r="N764" s="47" t="s">
        <v>52</v>
      </c>
      <c r="O764" s="55" t="s">
        <v>53</v>
      </c>
      <c r="P764" s="62">
        <v>15240</v>
      </c>
      <c r="Q764" s="62">
        <v>1270</v>
      </c>
      <c r="R764" s="96">
        <v>16380</v>
      </c>
      <c r="S764" s="62">
        <f t="shared" si="181"/>
        <v>1365</v>
      </c>
      <c r="T764" s="62">
        <v>15900</v>
      </c>
      <c r="U764" s="62">
        <f t="shared" si="186"/>
        <v>1325</v>
      </c>
      <c r="V764" s="69">
        <v>15240</v>
      </c>
      <c r="W764" s="71">
        <v>1370</v>
      </c>
      <c r="X764" s="71"/>
      <c r="Y764" s="71"/>
      <c r="Z764" s="64">
        <f t="shared" si="182"/>
        <v>3.3962264150943396E-2</v>
      </c>
      <c r="AA764" s="64">
        <f t="shared" si="187"/>
        <v>3.663003663003663E-3</v>
      </c>
      <c r="AB764" s="71">
        <v>1370</v>
      </c>
      <c r="AC764" s="64">
        <f t="shared" si="183"/>
        <v>3.3962264150943396E-2</v>
      </c>
      <c r="AD764" s="64">
        <f t="shared" si="189"/>
        <v>3.663003663003663E-3</v>
      </c>
      <c r="AE764" s="71">
        <f t="shared" si="188"/>
        <v>1370</v>
      </c>
      <c r="AF764" s="64">
        <f t="shared" si="184"/>
        <v>3.3962264150943396E-2</v>
      </c>
      <c r="AG764" s="64">
        <f t="shared" si="190"/>
        <v>3.663003663003663E-3</v>
      </c>
      <c r="AH764" s="67"/>
      <c r="AI764" s="47" t="s">
        <v>54</v>
      </c>
      <c r="AJ764" s="47">
        <v>662</v>
      </c>
      <c r="AK764" s="47" t="s">
        <v>65</v>
      </c>
      <c r="AL764" s="47" t="s">
        <v>65</v>
      </c>
      <c r="AM764" s="47" t="s">
        <v>304</v>
      </c>
      <c r="AN764" s="50">
        <v>1370</v>
      </c>
      <c r="AO764" s="211">
        <f t="shared" si="185"/>
        <v>3.3962264150943396E-2</v>
      </c>
      <c r="AP764" s="47" t="s">
        <v>57</v>
      </c>
      <c r="AQ764" s="47" t="s">
        <v>1132</v>
      </c>
      <c r="AR764" s="47"/>
    </row>
    <row r="765" spans="1:44" hidden="1">
      <c r="A765" s="47" t="s">
        <v>74</v>
      </c>
      <c r="B765" s="47" t="str">
        <f t="shared" si="180"/>
        <v>July</v>
      </c>
      <c r="C765" s="59">
        <v>45494</v>
      </c>
      <c r="D765" s="47" t="s">
        <v>45</v>
      </c>
      <c r="E765" s="47" t="s">
        <v>75</v>
      </c>
      <c r="F765" s="47" t="s">
        <v>76</v>
      </c>
      <c r="G765" s="112" t="s">
        <v>3615</v>
      </c>
      <c r="H765" s="47" t="s">
        <v>3616</v>
      </c>
      <c r="I765" s="47" t="s">
        <v>50</v>
      </c>
      <c r="J765" s="47" t="s">
        <v>51</v>
      </c>
      <c r="K765" s="48">
        <v>45252</v>
      </c>
      <c r="L765" s="48">
        <v>45252</v>
      </c>
      <c r="M765" s="48">
        <v>45494</v>
      </c>
      <c r="N765" s="47" t="s">
        <v>52</v>
      </c>
      <c r="O765" s="55" t="s">
        <v>53</v>
      </c>
      <c r="P765" s="62">
        <v>11940</v>
      </c>
      <c r="Q765" s="62">
        <v>995</v>
      </c>
      <c r="R765" s="96">
        <v>12180</v>
      </c>
      <c r="S765" s="62">
        <f t="shared" si="181"/>
        <v>1015</v>
      </c>
      <c r="T765" s="62">
        <v>12180</v>
      </c>
      <c r="U765" s="62">
        <f t="shared" si="186"/>
        <v>1015</v>
      </c>
      <c r="V765" s="69">
        <v>11940</v>
      </c>
      <c r="W765" s="71">
        <v>1050</v>
      </c>
      <c r="X765" s="71"/>
      <c r="Y765" s="71"/>
      <c r="Z765" s="64">
        <f t="shared" si="182"/>
        <v>3.4482758620689655E-2</v>
      </c>
      <c r="AA765" s="64">
        <f t="shared" si="187"/>
        <v>3.4482758620689655E-2</v>
      </c>
      <c r="AB765" s="71">
        <v>1050</v>
      </c>
      <c r="AC765" s="64">
        <f t="shared" si="183"/>
        <v>3.4482758620689655E-2</v>
      </c>
      <c r="AD765" s="64">
        <f t="shared" si="189"/>
        <v>3.4482758620689655E-2</v>
      </c>
      <c r="AE765" s="71">
        <f t="shared" si="188"/>
        <v>1050</v>
      </c>
      <c r="AF765" s="64">
        <f t="shared" si="184"/>
        <v>3.4482758620689655E-2</v>
      </c>
      <c r="AG765" s="64">
        <f t="shared" si="190"/>
        <v>3.4482758620689655E-2</v>
      </c>
      <c r="AH765" s="67"/>
      <c r="AI765" s="47" t="s">
        <v>250</v>
      </c>
      <c r="AJ765" s="47">
        <v>450</v>
      </c>
      <c r="AK765" s="47" t="s">
        <v>55</v>
      </c>
      <c r="AL765" s="47" t="s">
        <v>55</v>
      </c>
      <c r="AM765" s="47" t="s">
        <v>194</v>
      </c>
      <c r="AN765" s="50"/>
      <c r="AO765" s="211">
        <f t="shared" si="185"/>
        <v>-1</v>
      </c>
      <c r="AP765" s="47" t="s">
        <v>57</v>
      </c>
      <c r="AQ765" s="47" t="s">
        <v>3575</v>
      </c>
      <c r="AR765" s="47"/>
    </row>
    <row r="766" spans="1:44" hidden="1">
      <c r="A766" s="47" t="s">
        <v>74</v>
      </c>
      <c r="B766" s="47" t="str">
        <f t="shared" si="180"/>
        <v>July</v>
      </c>
      <c r="C766" s="59">
        <v>45495</v>
      </c>
      <c r="D766" s="47" t="s">
        <v>45</v>
      </c>
      <c r="E766" s="47" t="s">
        <v>75</v>
      </c>
      <c r="F766" s="47" t="s">
        <v>76</v>
      </c>
      <c r="G766" s="168" t="s">
        <v>3617</v>
      </c>
      <c r="H766" s="47" t="s">
        <v>3618</v>
      </c>
      <c r="I766" s="47" t="s">
        <v>50</v>
      </c>
      <c r="J766" s="47" t="s">
        <v>51</v>
      </c>
      <c r="K766" s="48">
        <v>45253</v>
      </c>
      <c r="L766" s="48">
        <v>45253</v>
      </c>
      <c r="M766" s="48">
        <v>45495</v>
      </c>
      <c r="N766" s="47" t="s">
        <v>52</v>
      </c>
      <c r="O766" s="55" t="s">
        <v>53</v>
      </c>
      <c r="P766" s="62">
        <v>11940</v>
      </c>
      <c r="Q766" s="62">
        <v>995</v>
      </c>
      <c r="R766" s="96">
        <v>12780</v>
      </c>
      <c r="S766" s="62">
        <f t="shared" si="181"/>
        <v>1065</v>
      </c>
      <c r="T766" s="62">
        <v>12780</v>
      </c>
      <c r="U766" s="62">
        <f t="shared" si="186"/>
        <v>1065</v>
      </c>
      <c r="V766" s="69">
        <v>11940</v>
      </c>
      <c r="W766" s="71">
        <v>1040</v>
      </c>
      <c r="X766" s="71"/>
      <c r="Y766" s="71"/>
      <c r="Z766" s="64">
        <f t="shared" si="182"/>
        <v>-2.3474178403755867E-2</v>
      </c>
      <c r="AA766" s="64">
        <f t="shared" si="187"/>
        <v>-2.3474178403755867E-2</v>
      </c>
      <c r="AB766" s="71">
        <v>1065</v>
      </c>
      <c r="AC766" s="64">
        <f t="shared" si="183"/>
        <v>0</v>
      </c>
      <c r="AD766" s="64">
        <f t="shared" si="189"/>
        <v>0</v>
      </c>
      <c r="AE766" s="71">
        <f t="shared" si="188"/>
        <v>1065</v>
      </c>
      <c r="AF766" s="64">
        <f t="shared" si="184"/>
        <v>0</v>
      </c>
      <c r="AG766" s="64">
        <f t="shared" si="190"/>
        <v>0</v>
      </c>
      <c r="AH766" s="67"/>
      <c r="AI766" s="47" t="s">
        <v>54</v>
      </c>
      <c r="AJ766" s="47">
        <v>450</v>
      </c>
      <c r="AK766" s="47" t="s">
        <v>55</v>
      </c>
      <c r="AL766" s="47" t="s">
        <v>55</v>
      </c>
      <c r="AM766" s="47" t="s">
        <v>82</v>
      </c>
      <c r="AN766" s="50">
        <v>1065</v>
      </c>
      <c r="AO766" s="211">
        <f t="shared" si="185"/>
        <v>0</v>
      </c>
      <c r="AP766" s="47" t="s">
        <v>57</v>
      </c>
      <c r="AQ766" s="47" t="s">
        <v>1132</v>
      </c>
      <c r="AR766" s="47"/>
    </row>
    <row r="767" spans="1:44" hidden="1">
      <c r="A767" s="47" t="s">
        <v>74</v>
      </c>
      <c r="B767" s="47" t="str">
        <f t="shared" si="180"/>
        <v>July</v>
      </c>
      <c r="C767" s="59">
        <v>45475</v>
      </c>
      <c r="D767" s="47" t="s">
        <v>45</v>
      </c>
      <c r="E767" s="47" t="s">
        <v>75</v>
      </c>
      <c r="F767" s="47" t="s">
        <v>76</v>
      </c>
      <c r="G767" s="112" t="s">
        <v>3619</v>
      </c>
      <c r="H767" s="47" t="s">
        <v>3620</v>
      </c>
      <c r="I767" s="47" t="s">
        <v>50</v>
      </c>
      <c r="J767" s="47" t="s">
        <v>51</v>
      </c>
      <c r="K767" s="48">
        <v>45294</v>
      </c>
      <c r="L767" s="48">
        <v>45294</v>
      </c>
      <c r="M767" s="48">
        <v>45475</v>
      </c>
      <c r="N767" s="47" t="s">
        <v>52</v>
      </c>
      <c r="O767" s="55" t="s">
        <v>53</v>
      </c>
      <c r="P767" s="62">
        <v>11940</v>
      </c>
      <c r="Q767" s="62">
        <v>995</v>
      </c>
      <c r="R767" s="96">
        <v>12120</v>
      </c>
      <c r="S767" s="62">
        <f t="shared" si="181"/>
        <v>1010</v>
      </c>
      <c r="T767" s="62">
        <v>12120</v>
      </c>
      <c r="U767" s="62">
        <f t="shared" si="186"/>
        <v>1010</v>
      </c>
      <c r="V767" s="69">
        <v>11940</v>
      </c>
      <c r="W767" s="71">
        <v>1025</v>
      </c>
      <c r="X767" s="71"/>
      <c r="Y767" s="71"/>
      <c r="Z767" s="64">
        <f t="shared" si="182"/>
        <v>1.4851485148514851E-2</v>
      </c>
      <c r="AA767" s="64">
        <f t="shared" si="187"/>
        <v>1.4851485148514851E-2</v>
      </c>
      <c r="AB767" s="71">
        <v>1025</v>
      </c>
      <c r="AC767" s="64">
        <f t="shared" si="183"/>
        <v>1.4851485148514851E-2</v>
      </c>
      <c r="AD767" s="64">
        <f t="shared" si="189"/>
        <v>1.4851485148514851E-2</v>
      </c>
      <c r="AE767" s="71">
        <f t="shared" si="188"/>
        <v>1025</v>
      </c>
      <c r="AF767" s="64">
        <f t="shared" si="184"/>
        <v>1.4851485148514851E-2</v>
      </c>
      <c r="AG767" s="64">
        <f t="shared" si="190"/>
        <v>1.4851485148514851E-2</v>
      </c>
      <c r="AH767" s="67"/>
      <c r="AI767" s="47" t="s">
        <v>54</v>
      </c>
      <c r="AJ767" s="47">
        <v>450</v>
      </c>
      <c r="AK767" s="47" t="s">
        <v>55</v>
      </c>
      <c r="AL767" s="47" t="s">
        <v>55</v>
      </c>
      <c r="AM767" s="47" t="s">
        <v>3621</v>
      </c>
      <c r="AN767" s="50">
        <v>1025</v>
      </c>
      <c r="AO767" s="211">
        <f t="shared" si="185"/>
        <v>1.4851485148514851E-2</v>
      </c>
      <c r="AP767" s="47" t="s">
        <v>57</v>
      </c>
      <c r="AQ767" s="47" t="s">
        <v>3575</v>
      </c>
      <c r="AR767" s="47"/>
    </row>
    <row r="768" spans="1:44" hidden="1">
      <c r="A768" s="47" t="s">
        <v>74</v>
      </c>
      <c r="B768" s="47" t="str">
        <f t="shared" si="180"/>
        <v>July</v>
      </c>
      <c r="C768" s="59">
        <v>45482</v>
      </c>
      <c r="D768" s="47" t="s">
        <v>45</v>
      </c>
      <c r="E768" s="47" t="s">
        <v>75</v>
      </c>
      <c r="F768" s="47" t="s">
        <v>76</v>
      </c>
      <c r="G768" s="112" t="s">
        <v>3622</v>
      </c>
      <c r="H768" s="47" t="s">
        <v>3623</v>
      </c>
      <c r="I768" s="47" t="s">
        <v>50</v>
      </c>
      <c r="J768" s="47" t="s">
        <v>51</v>
      </c>
      <c r="K768" s="48">
        <v>45300</v>
      </c>
      <c r="L768" s="48">
        <v>45300</v>
      </c>
      <c r="M768" s="48">
        <v>45481</v>
      </c>
      <c r="N768" s="47" t="s">
        <v>52</v>
      </c>
      <c r="O768" s="55" t="s">
        <v>53</v>
      </c>
      <c r="P768" s="62">
        <v>11940</v>
      </c>
      <c r="Q768" s="62">
        <v>995</v>
      </c>
      <c r="R768" s="96">
        <v>12480</v>
      </c>
      <c r="S768" s="62">
        <f t="shared" si="181"/>
        <v>1040</v>
      </c>
      <c r="T768" s="62">
        <v>12480</v>
      </c>
      <c r="U768" s="62">
        <f t="shared" si="186"/>
        <v>1040</v>
      </c>
      <c r="V768" s="69">
        <v>11940</v>
      </c>
      <c r="W768" s="71">
        <v>1055</v>
      </c>
      <c r="X768" s="71"/>
      <c r="Y768" s="71"/>
      <c r="Z768" s="64">
        <f t="shared" si="182"/>
        <v>1.4423076923076924E-2</v>
      </c>
      <c r="AA768" s="64">
        <f t="shared" si="187"/>
        <v>1.4423076923076924E-2</v>
      </c>
      <c r="AB768" s="71">
        <v>1055</v>
      </c>
      <c r="AC768" s="64">
        <f t="shared" si="183"/>
        <v>1.4423076923076924E-2</v>
      </c>
      <c r="AD768" s="64">
        <f t="shared" si="189"/>
        <v>1.4423076923076924E-2</v>
      </c>
      <c r="AE768" s="71">
        <f t="shared" ref="AE768:AE799" si="191">AB768</f>
        <v>1055</v>
      </c>
      <c r="AF768" s="64">
        <f t="shared" si="184"/>
        <v>1.4423076923076924E-2</v>
      </c>
      <c r="AG768" s="64">
        <f t="shared" si="190"/>
        <v>1.4423076923076924E-2</v>
      </c>
      <c r="AH768" s="67"/>
      <c r="AI768" s="47" t="s">
        <v>54</v>
      </c>
      <c r="AJ768" s="47">
        <v>450</v>
      </c>
      <c r="AK768" s="47" t="s">
        <v>55</v>
      </c>
      <c r="AL768" s="47" t="s">
        <v>55</v>
      </c>
      <c r="AM768" s="47" t="s">
        <v>194</v>
      </c>
      <c r="AN768" s="50"/>
      <c r="AO768" s="211">
        <f t="shared" si="185"/>
        <v>-1</v>
      </c>
      <c r="AP768" s="47" t="s">
        <v>57</v>
      </c>
      <c r="AQ768" s="47" t="s">
        <v>3575</v>
      </c>
      <c r="AR768" s="47"/>
    </row>
    <row r="769" spans="1:44" hidden="1">
      <c r="A769" s="47" t="s">
        <v>44</v>
      </c>
      <c r="B769" s="47" t="str">
        <f t="shared" si="180"/>
        <v>July</v>
      </c>
      <c r="C769" s="59">
        <v>45494</v>
      </c>
      <c r="D769" s="47" t="s">
        <v>45</v>
      </c>
      <c r="E769" s="47" t="s">
        <v>75</v>
      </c>
      <c r="F769" s="47" t="s">
        <v>76</v>
      </c>
      <c r="G769" s="112" t="s">
        <v>3624</v>
      </c>
      <c r="H769" s="47" t="s">
        <v>3625</v>
      </c>
      <c r="I769" s="47" t="s">
        <v>50</v>
      </c>
      <c r="J769" s="47" t="s">
        <v>51</v>
      </c>
      <c r="K769" s="48">
        <v>45313</v>
      </c>
      <c r="L769" s="48">
        <v>45313</v>
      </c>
      <c r="M769" s="48">
        <v>45494</v>
      </c>
      <c r="N769" s="47" t="s">
        <v>52</v>
      </c>
      <c r="O769" s="55" t="s">
        <v>53</v>
      </c>
      <c r="P769" s="62">
        <v>11940</v>
      </c>
      <c r="Q769" s="62">
        <v>995</v>
      </c>
      <c r="R769" s="96">
        <v>12480</v>
      </c>
      <c r="S769" s="62">
        <f t="shared" si="181"/>
        <v>1040</v>
      </c>
      <c r="T769" s="62">
        <v>12480</v>
      </c>
      <c r="U769" s="62">
        <f t="shared" si="186"/>
        <v>1040</v>
      </c>
      <c r="V769" s="69">
        <v>11940</v>
      </c>
      <c r="W769" s="71">
        <v>1055</v>
      </c>
      <c r="X769" s="71"/>
      <c r="Y769" s="71"/>
      <c r="Z769" s="64">
        <f t="shared" si="182"/>
        <v>1.4423076923076924E-2</v>
      </c>
      <c r="AA769" s="64">
        <f t="shared" si="187"/>
        <v>1.4423076923076924E-2</v>
      </c>
      <c r="AB769" s="71">
        <v>1055</v>
      </c>
      <c r="AC769" s="64">
        <f t="shared" si="183"/>
        <v>1.4423076923076924E-2</v>
      </c>
      <c r="AD769" s="64">
        <f t="shared" si="189"/>
        <v>1.4423076923076924E-2</v>
      </c>
      <c r="AE769" s="71">
        <f t="shared" si="191"/>
        <v>1055</v>
      </c>
      <c r="AF769" s="64">
        <f t="shared" si="184"/>
        <v>1.4423076923076924E-2</v>
      </c>
      <c r="AG769" s="64">
        <f t="shared" si="190"/>
        <v>1.4423076923076924E-2</v>
      </c>
      <c r="AH769" s="67"/>
      <c r="AI769" s="47" t="s">
        <v>54</v>
      </c>
      <c r="AJ769" s="47">
        <v>450</v>
      </c>
      <c r="AK769" s="47" t="s">
        <v>55</v>
      </c>
      <c r="AL769" s="47" t="s">
        <v>55</v>
      </c>
      <c r="AM769" s="47" t="s">
        <v>194</v>
      </c>
      <c r="AN769" s="50">
        <v>1055</v>
      </c>
      <c r="AO769" s="211">
        <f t="shared" si="185"/>
        <v>1.4423076923076924E-2</v>
      </c>
      <c r="AP769" s="47" t="s">
        <v>57</v>
      </c>
      <c r="AQ769" s="47" t="s">
        <v>3575</v>
      </c>
      <c r="AR769" s="47"/>
    </row>
    <row r="770" spans="1:44" hidden="1">
      <c r="A770" s="47" t="s">
        <v>44</v>
      </c>
      <c r="B770" s="47" t="str">
        <f t="shared" ref="B770:B833" si="192">TEXT(C770,"mmmm")</f>
        <v>July</v>
      </c>
      <c r="C770" s="59">
        <v>45474</v>
      </c>
      <c r="D770" s="47" t="s">
        <v>45</v>
      </c>
      <c r="E770" s="47" t="s">
        <v>75</v>
      </c>
      <c r="F770" s="47" t="s">
        <v>76</v>
      </c>
      <c r="G770" s="168" t="s">
        <v>3626</v>
      </c>
      <c r="H770" s="47" t="s">
        <v>3627</v>
      </c>
      <c r="I770" s="47" t="s">
        <v>50</v>
      </c>
      <c r="J770" s="47" t="s">
        <v>51</v>
      </c>
      <c r="K770" s="48">
        <v>45293</v>
      </c>
      <c r="L770" s="48">
        <v>45293</v>
      </c>
      <c r="M770" s="48">
        <v>45474</v>
      </c>
      <c r="N770" s="47" t="s">
        <v>52</v>
      </c>
      <c r="O770" s="55" t="s">
        <v>53</v>
      </c>
      <c r="P770" s="62">
        <v>10500</v>
      </c>
      <c r="Q770" s="62">
        <v>875</v>
      </c>
      <c r="R770" s="96">
        <v>11280</v>
      </c>
      <c r="S770" s="62">
        <f t="shared" ref="S770:S833" si="193">R770/12</f>
        <v>940</v>
      </c>
      <c r="T770" s="62">
        <v>11280</v>
      </c>
      <c r="U770" s="62">
        <f t="shared" si="186"/>
        <v>940</v>
      </c>
      <c r="V770" s="69">
        <v>10500</v>
      </c>
      <c r="W770" s="71">
        <v>950</v>
      </c>
      <c r="X770" s="71"/>
      <c r="Y770" s="71"/>
      <c r="Z770" s="64">
        <f t="shared" ref="Z770:Z833" si="194">(W770-U770)/U770</f>
        <v>1.0638297872340425E-2</v>
      </c>
      <c r="AA770" s="64">
        <f t="shared" si="187"/>
        <v>1.0638297872340425E-2</v>
      </c>
      <c r="AB770" s="71">
        <v>950</v>
      </c>
      <c r="AC770" s="64">
        <f t="shared" ref="AC770:AC833" si="195">(AB770-U770)/U770</f>
        <v>1.0638297872340425E-2</v>
      </c>
      <c r="AD770" s="64">
        <f t="shared" si="189"/>
        <v>1.0638297872340425E-2</v>
      </c>
      <c r="AE770" s="71">
        <f t="shared" si="191"/>
        <v>950</v>
      </c>
      <c r="AF770" s="64">
        <f t="shared" ref="AF770:AF833" si="196">(AE770-U770)/U770</f>
        <v>1.0638297872340425E-2</v>
      </c>
      <c r="AG770" s="64">
        <f t="shared" si="190"/>
        <v>1.0638297872340425E-2</v>
      </c>
      <c r="AH770" s="67"/>
      <c r="AI770" s="47" t="s">
        <v>54</v>
      </c>
      <c r="AJ770" s="47">
        <v>398</v>
      </c>
      <c r="AK770" s="47" t="s">
        <v>93</v>
      </c>
      <c r="AL770" s="47" t="s">
        <v>55</v>
      </c>
      <c r="AM770" s="47" t="s">
        <v>94</v>
      </c>
      <c r="AN770" s="50">
        <v>950</v>
      </c>
      <c r="AO770" s="211">
        <f t="shared" ref="AO770:AO833" si="197">SUM(AN770-U770)/U770</f>
        <v>1.0638297872340425E-2</v>
      </c>
      <c r="AP770" s="47" t="s">
        <v>57</v>
      </c>
      <c r="AQ770" s="47" t="s">
        <v>1132</v>
      </c>
      <c r="AR770" s="47"/>
    </row>
    <row r="771" spans="1:44" hidden="1">
      <c r="A771" s="47" t="s">
        <v>44</v>
      </c>
      <c r="B771" s="47" t="str">
        <f t="shared" si="192"/>
        <v>July</v>
      </c>
      <c r="C771" s="59">
        <v>45484</v>
      </c>
      <c r="D771" s="47" t="s">
        <v>45</v>
      </c>
      <c r="E771" s="47" t="s">
        <v>75</v>
      </c>
      <c r="F771" s="47" t="s">
        <v>76</v>
      </c>
      <c r="G771" s="112" t="s">
        <v>3628</v>
      </c>
      <c r="H771" s="47" t="s">
        <v>3629</v>
      </c>
      <c r="I771" s="47" t="s">
        <v>50</v>
      </c>
      <c r="J771" s="47" t="s">
        <v>51</v>
      </c>
      <c r="K771" s="48">
        <v>45302</v>
      </c>
      <c r="L771" s="48">
        <v>45302</v>
      </c>
      <c r="M771" s="48">
        <v>45483</v>
      </c>
      <c r="N771" s="47" t="s">
        <v>52</v>
      </c>
      <c r="O771" s="55" t="s">
        <v>53</v>
      </c>
      <c r="P771" s="62">
        <v>15660</v>
      </c>
      <c r="Q771" s="62">
        <v>1305</v>
      </c>
      <c r="R771" s="96">
        <v>16140</v>
      </c>
      <c r="S771" s="62">
        <f t="shared" si="193"/>
        <v>1345</v>
      </c>
      <c r="T771" s="62">
        <v>16140</v>
      </c>
      <c r="U771" s="62">
        <f t="shared" si="186"/>
        <v>1345</v>
      </c>
      <c r="V771" s="69">
        <v>15660</v>
      </c>
      <c r="W771" s="71">
        <v>1365</v>
      </c>
      <c r="X771" s="71"/>
      <c r="Y771" s="71"/>
      <c r="Z771" s="64">
        <f t="shared" si="194"/>
        <v>1.4869888475836431E-2</v>
      </c>
      <c r="AA771" s="64">
        <f t="shared" si="187"/>
        <v>1.4869888475836431E-2</v>
      </c>
      <c r="AB771" s="71">
        <v>1365</v>
      </c>
      <c r="AC771" s="64">
        <f t="shared" si="195"/>
        <v>1.4869888475836431E-2</v>
      </c>
      <c r="AD771" s="64">
        <f t="shared" si="189"/>
        <v>1.4869888475836431E-2</v>
      </c>
      <c r="AE771" s="71">
        <f t="shared" si="191"/>
        <v>1365</v>
      </c>
      <c r="AF771" s="64">
        <f t="shared" si="196"/>
        <v>1.4869888475836431E-2</v>
      </c>
      <c r="AG771" s="64">
        <f t="shared" si="190"/>
        <v>1.4869888475836431E-2</v>
      </c>
      <c r="AH771" s="67"/>
      <c r="AI771" s="47" t="s">
        <v>54</v>
      </c>
      <c r="AJ771" s="47">
        <v>685</v>
      </c>
      <c r="AK771" s="47" t="s">
        <v>65</v>
      </c>
      <c r="AL771" s="47" t="s">
        <v>65</v>
      </c>
      <c r="AM771" s="47" t="s">
        <v>3630</v>
      </c>
      <c r="AN771" s="50"/>
      <c r="AO771" s="211">
        <f t="shared" si="197"/>
        <v>-1</v>
      </c>
      <c r="AP771" s="47" t="s">
        <v>57</v>
      </c>
      <c r="AQ771" s="47" t="s">
        <v>1132</v>
      </c>
      <c r="AR771" s="47"/>
    </row>
    <row r="772" spans="1:44" hidden="1">
      <c r="A772" s="47" t="s">
        <v>44</v>
      </c>
      <c r="B772" s="47" t="str">
        <f t="shared" si="192"/>
        <v>July</v>
      </c>
      <c r="C772" s="59">
        <v>45484</v>
      </c>
      <c r="D772" s="47" t="s">
        <v>45</v>
      </c>
      <c r="E772" s="47" t="s">
        <v>75</v>
      </c>
      <c r="F772" s="47" t="s">
        <v>76</v>
      </c>
      <c r="G772" s="94" t="s">
        <v>3631</v>
      </c>
      <c r="H772" s="47" t="s">
        <v>3632</v>
      </c>
      <c r="I772" s="47" t="s">
        <v>50</v>
      </c>
      <c r="J772" s="47" t="s">
        <v>51</v>
      </c>
      <c r="K772" s="48">
        <v>45303</v>
      </c>
      <c r="L772" s="48">
        <v>45303</v>
      </c>
      <c r="M772" s="48">
        <v>45484</v>
      </c>
      <c r="N772" s="47" t="s">
        <v>52</v>
      </c>
      <c r="O772" s="55" t="s">
        <v>53</v>
      </c>
      <c r="P772" s="62">
        <v>10500</v>
      </c>
      <c r="Q772" s="62">
        <v>875</v>
      </c>
      <c r="R772" s="96">
        <v>11280</v>
      </c>
      <c r="S772" s="62">
        <f t="shared" si="193"/>
        <v>940</v>
      </c>
      <c r="T772" s="62">
        <v>11280</v>
      </c>
      <c r="U772" s="62">
        <f t="shared" si="186"/>
        <v>940</v>
      </c>
      <c r="V772" s="69">
        <v>10500</v>
      </c>
      <c r="W772" s="71">
        <v>950</v>
      </c>
      <c r="X772" s="71"/>
      <c r="Y772" s="71"/>
      <c r="Z772" s="64">
        <f t="shared" si="194"/>
        <v>1.0638297872340425E-2</v>
      </c>
      <c r="AA772" s="64">
        <f t="shared" si="187"/>
        <v>1.0638297872340425E-2</v>
      </c>
      <c r="AB772" s="71">
        <v>950</v>
      </c>
      <c r="AC772" s="64">
        <f t="shared" si="195"/>
        <v>1.0638297872340425E-2</v>
      </c>
      <c r="AD772" s="64">
        <f t="shared" si="189"/>
        <v>1.0638297872340425E-2</v>
      </c>
      <c r="AE772" s="71">
        <f t="shared" si="191"/>
        <v>950</v>
      </c>
      <c r="AF772" s="64">
        <f t="shared" si="196"/>
        <v>1.0638297872340425E-2</v>
      </c>
      <c r="AG772" s="64">
        <f t="shared" si="190"/>
        <v>1.0638297872340425E-2</v>
      </c>
      <c r="AH772" s="67"/>
      <c r="AI772" s="47" t="s">
        <v>54</v>
      </c>
      <c r="AJ772" s="47">
        <v>398</v>
      </c>
      <c r="AK772" s="47" t="s">
        <v>93</v>
      </c>
      <c r="AL772" s="47" t="s">
        <v>55</v>
      </c>
      <c r="AM772" s="47" t="s">
        <v>94</v>
      </c>
      <c r="AN772" s="50"/>
      <c r="AO772" s="211">
        <f t="shared" si="197"/>
        <v>-1</v>
      </c>
      <c r="AP772" s="47" t="s">
        <v>57</v>
      </c>
      <c r="AQ772" s="47" t="s">
        <v>1132</v>
      </c>
      <c r="AR772" s="47"/>
    </row>
    <row r="773" spans="1:44" hidden="1">
      <c r="A773" s="47" t="s">
        <v>44</v>
      </c>
      <c r="B773" s="47" t="str">
        <f t="shared" si="192"/>
        <v>July</v>
      </c>
      <c r="C773" s="59">
        <v>45482</v>
      </c>
      <c r="D773" s="47" t="s">
        <v>45</v>
      </c>
      <c r="E773" s="47" t="s">
        <v>75</v>
      </c>
      <c r="F773" s="47" t="s">
        <v>76</v>
      </c>
      <c r="G773" s="168" t="s">
        <v>3633</v>
      </c>
      <c r="H773" s="47" t="s">
        <v>3634</v>
      </c>
      <c r="I773" s="47" t="s">
        <v>50</v>
      </c>
      <c r="J773" s="47" t="s">
        <v>51</v>
      </c>
      <c r="K773" s="48">
        <v>45300</v>
      </c>
      <c r="L773" s="48">
        <v>45300</v>
      </c>
      <c r="M773" s="48">
        <v>45481</v>
      </c>
      <c r="N773" s="47" t="s">
        <v>52</v>
      </c>
      <c r="O773" s="55" t="s">
        <v>53</v>
      </c>
      <c r="P773" s="62">
        <v>12180</v>
      </c>
      <c r="Q773" s="62">
        <v>1015</v>
      </c>
      <c r="R773" s="96">
        <v>12060</v>
      </c>
      <c r="S773" s="62">
        <f t="shared" si="193"/>
        <v>1005</v>
      </c>
      <c r="T773" s="62">
        <v>12060</v>
      </c>
      <c r="U773" s="62">
        <f t="shared" si="186"/>
        <v>1005</v>
      </c>
      <c r="V773" s="69">
        <v>12180</v>
      </c>
      <c r="W773" s="71">
        <v>1020</v>
      </c>
      <c r="X773" s="71"/>
      <c r="Y773" s="71"/>
      <c r="Z773" s="64">
        <f t="shared" si="194"/>
        <v>1.4925373134328358E-2</v>
      </c>
      <c r="AA773" s="64">
        <f t="shared" si="187"/>
        <v>1.4925373134328358E-2</v>
      </c>
      <c r="AB773" s="71">
        <v>1020</v>
      </c>
      <c r="AC773" s="64">
        <f t="shared" si="195"/>
        <v>1.4925373134328358E-2</v>
      </c>
      <c r="AD773" s="64">
        <f t="shared" si="189"/>
        <v>1.4925373134328358E-2</v>
      </c>
      <c r="AE773" s="71">
        <f t="shared" si="191"/>
        <v>1020</v>
      </c>
      <c r="AF773" s="64">
        <f t="shared" si="196"/>
        <v>1.4925373134328358E-2</v>
      </c>
      <c r="AG773" s="64">
        <f t="shared" si="190"/>
        <v>1.4925373134328358E-2</v>
      </c>
      <c r="AH773" s="67"/>
      <c r="AI773" s="47" t="s">
        <v>54</v>
      </c>
      <c r="AJ773" s="47">
        <v>465</v>
      </c>
      <c r="AK773" s="47" t="s">
        <v>55</v>
      </c>
      <c r="AL773" s="47" t="s">
        <v>55</v>
      </c>
      <c r="AM773" s="47" t="s">
        <v>2422</v>
      </c>
      <c r="AN773" s="50">
        <v>1020</v>
      </c>
      <c r="AO773" s="211">
        <f t="shared" si="197"/>
        <v>1.4925373134328358E-2</v>
      </c>
      <c r="AP773" s="47" t="s">
        <v>57</v>
      </c>
      <c r="AQ773" s="47" t="s">
        <v>1132</v>
      </c>
      <c r="AR773" s="47"/>
    </row>
    <row r="774" spans="1:44" hidden="1">
      <c r="A774" s="47" t="s">
        <v>44</v>
      </c>
      <c r="B774" s="47" t="str">
        <f t="shared" si="192"/>
        <v>July</v>
      </c>
      <c r="C774" s="59">
        <v>45502</v>
      </c>
      <c r="D774" s="47" t="s">
        <v>45</v>
      </c>
      <c r="E774" s="47" t="s">
        <v>75</v>
      </c>
      <c r="F774" s="47" t="s">
        <v>76</v>
      </c>
      <c r="G774" s="112" t="s">
        <v>3635</v>
      </c>
      <c r="H774" s="47" t="s">
        <v>3636</v>
      </c>
      <c r="I774" s="47" t="s">
        <v>50</v>
      </c>
      <c r="J774" s="47" t="s">
        <v>51</v>
      </c>
      <c r="K774" s="48">
        <v>45321</v>
      </c>
      <c r="L774" s="48">
        <v>45321</v>
      </c>
      <c r="M774" s="48">
        <v>45502</v>
      </c>
      <c r="N774" s="47" t="s">
        <v>52</v>
      </c>
      <c r="O774" s="55" t="s">
        <v>53</v>
      </c>
      <c r="P774" s="62">
        <v>15240</v>
      </c>
      <c r="Q774" s="62">
        <v>1270</v>
      </c>
      <c r="R774" s="96">
        <v>16620</v>
      </c>
      <c r="S774" s="62">
        <f t="shared" si="193"/>
        <v>1385</v>
      </c>
      <c r="T774" s="62">
        <v>16620</v>
      </c>
      <c r="U774" s="62">
        <f t="shared" ref="U774:U837" si="198">T774/12</f>
        <v>1385</v>
      </c>
      <c r="V774" s="69">
        <v>15240</v>
      </c>
      <c r="W774" s="71">
        <v>1400</v>
      </c>
      <c r="X774" s="71"/>
      <c r="Y774" s="71"/>
      <c r="Z774" s="64">
        <f t="shared" si="194"/>
        <v>1.0830324909747292E-2</v>
      </c>
      <c r="AA774" s="64">
        <f t="shared" si="187"/>
        <v>1.0830324909747292E-2</v>
      </c>
      <c r="AB774" s="71">
        <v>1400</v>
      </c>
      <c r="AC774" s="64">
        <f t="shared" si="195"/>
        <v>1.0830324909747292E-2</v>
      </c>
      <c r="AD774" s="64">
        <f t="shared" si="189"/>
        <v>1.0830324909747292E-2</v>
      </c>
      <c r="AE774" s="71">
        <f t="shared" si="191"/>
        <v>1400</v>
      </c>
      <c r="AF774" s="64">
        <f t="shared" si="196"/>
        <v>1.0830324909747292E-2</v>
      </c>
      <c r="AG774" s="64">
        <f t="shared" si="190"/>
        <v>1.0830324909747292E-2</v>
      </c>
      <c r="AH774" s="67"/>
      <c r="AI774" s="47" t="s">
        <v>54</v>
      </c>
      <c r="AJ774" s="47">
        <v>661</v>
      </c>
      <c r="AK774" s="47" t="s">
        <v>65</v>
      </c>
      <c r="AL774" s="47" t="s">
        <v>65</v>
      </c>
      <c r="AM774" s="47" t="s">
        <v>3637</v>
      </c>
      <c r="AN774" s="50"/>
      <c r="AO774" s="211">
        <f t="shared" si="197"/>
        <v>-1</v>
      </c>
      <c r="AP774" s="47" t="s">
        <v>57</v>
      </c>
      <c r="AQ774" s="47" t="s">
        <v>1132</v>
      </c>
      <c r="AR774" s="47"/>
    </row>
    <row r="775" spans="1:44" hidden="1">
      <c r="A775" s="47" t="s">
        <v>44</v>
      </c>
      <c r="B775" s="47" t="str">
        <f t="shared" si="192"/>
        <v>July</v>
      </c>
      <c r="C775" s="59">
        <v>45492</v>
      </c>
      <c r="D775" s="47" t="s">
        <v>45</v>
      </c>
      <c r="E775" s="47" t="s">
        <v>75</v>
      </c>
      <c r="F775" s="47" t="s">
        <v>76</v>
      </c>
      <c r="G775" s="112" t="s">
        <v>3638</v>
      </c>
      <c r="H775" s="47" t="s">
        <v>3639</v>
      </c>
      <c r="I775" s="47" t="s">
        <v>50</v>
      </c>
      <c r="J775" s="47" t="s">
        <v>51</v>
      </c>
      <c r="K775" s="48">
        <v>45311</v>
      </c>
      <c r="L775" s="48">
        <v>45311</v>
      </c>
      <c r="M775" s="48">
        <v>45492</v>
      </c>
      <c r="N775" s="47" t="s">
        <v>52</v>
      </c>
      <c r="O775" s="55" t="s">
        <v>53</v>
      </c>
      <c r="P775" s="62">
        <v>15600</v>
      </c>
      <c r="Q775" s="62">
        <v>1300</v>
      </c>
      <c r="R775" s="96">
        <v>17040</v>
      </c>
      <c r="S775" s="62">
        <f t="shared" si="193"/>
        <v>1420</v>
      </c>
      <c r="T775" s="62">
        <v>17040</v>
      </c>
      <c r="U775" s="62">
        <f t="shared" si="198"/>
        <v>1420</v>
      </c>
      <c r="V775" s="69">
        <v>15600</v>
      </c>
      <c r="W775" s="71">
        <v>1435</v>
      </c>
      <c r="X775" s="71"/>
      <c r="Y775" s="71"/>
      <c r="Z775" s="64">
        <f t="shared" si="194"/>
        <v>1.0563380281690141E-2</v>
      </c>
      <c r="AA775" s="64">
        <f t="shared" si="187"/>
        <v>1.0563380281690141E-2</v>
      </c>
      <c r="AB775" s="71">
        <v>1435</v>
      </c>
      <c r="AC775" s="64">
        <f t="shared" si="195"/>
        <v>1.0563380281690141E-2</v>
      </c>
      <c r="AD775" s="64">
        <f t="shared" si="189"/>
        <v>1.0563380281690141E-2</v>
      </c>
      <c r="AE775" s="71">
        <f t="shared" si="191"/>
        <v>1435</v>
      </c>
      <c r="AF775" s="64">
        <f t="shared" si="196"/>
        <v>1.0563380281690141E-2</v>
      </c>
      <c r="AG775" s="64">
        <f t="shared" si="190"/>
        <v>1.0563380281690141E-2</v>
      </c>
      <c r="AH775" s="67"/>
      <c r="AI775" s="47" t="s">
        <v>54</v>
      </c>
      <c r="AJ775" s="47">
        <v>671</v>
      </c>
      <c r="AK775" s="47" t="s">
        <v>65</v>
      </c>
      <c r="AL775" s="47" t="s">
        <v>65</v>
      </c>
      <c r="AM775" s="47" t="s">
        <v>3640</v>
      </c>
      <c r="AN775" s="50"/>
      <c r="AO775" s="211">
        <f t="shared" si="197"/>
        <v>-1</v>
      </c>
      <c r="AP775" s="47" t="s">
        <v>57</v>
      </c>
      <c r="AQ775" s="47" t="s">
        <v>1132</v>
      </c>
      <c r="AR775" s="47"/>
    </row>
    <row r="776" spans="1:44" hidden="1">
      <c r="A776" s="47" t="s">
        <v>44</v>
      </c>
      <c r="B776" s="47" t="str">
        <f t="shared" si="192"/>
        <v>July</v>
      </c>
      <c r="C776" s="59">
        <v>45477</v>
      </c>
      <c r="D776" s="47" t="s">
        <v>45</v>
      </c>
      <c r="E776" s="47" t="s">
        <v>75</v>
      </c>
      <c r="F776" s="47" t="s">
        <v>76</v>
      </c>
      <c r="G776" s="112" t="s">
        <v>3641</v>
      </c>
      <c r="H776" s="47" t="s">
        <v>3642</v>
      </c>
      <c r="I776" s="47" t="s">
        <v>50</v>
      </c>
      <c r="J776" s="47" t="s">
        <v>51</v>
      </c>
      <c r="K776" s="48">
        <v>45296</v>
      </c>
      <c r="L776" s="48">
        <v>45296</v>
      </c>
      <c r="M776" s="48">
        <v>45477</v>
      </c>
      <c r="N776" s="47" t="s">
        <v>52</v>
      </c>
      <c r="O776" s="55" t="s">
        <v>53</v>
      </c>
      <c r="P776" s="62">
        <v>12180</v>
      </c>
      <c r="Q776" s="62">
        <v>1015</v>
      </c>
      <c r="R776" s="96">
        <v>12360</v>
      </c>
      <c r="S776" s="62">
        <f t="shared" si="193"/>
        <v>1030</v>
      </c>
      <c r="T776" s="62">
        <v>12360</v>
      </c>
      <c r="U776" s="62">
        <f t="shared" si="198"/>
        <v>1030</v>
      </c>
      <c r="V776" s="69">
        <v>12180</v>
      </c>
      <c r="W776" s="71">
        <v>1050</v>
      </c>
      <c r="X776" s="71"/>
      <c r="Y776" s="71"/>
      <c r="Z776" s="64">
        <f t="shared" si="194"/>
        <v>1.9417475728155338E-2</v>
      </c>
      <c r="AA776" s="64">
        <f t="shared" si="187"/>
        <v>1.9417475728155338E-2</v>
      </c>
      <c r="AB776" s="71">
        <v>1050</v>
      </c>
      <c r="AC776" s="64">
        <f t="shared" si="195"/>
        <v>1.9417475728155338E-2</v>
      </c>
      <c r="AD776" s="64">
        <f t="shared" si="189"/>
        <v>1.9417475728155338E-2</v>
      </c>
      <c r="AE776" s="71">
        <f t="shared" si="191"/>
        <v>1050</v>
      </c>
      <c r="AF776" s="64">
        <f t="shared" si="196"/>
        <v>1.9417475728155338E-2</v>
      </c>
      <c r="AG776" s="64">
        <f t="shared" si="190"/>
        <v>1.9417475728155338E-2</v>
      </c>
      <c r="AH776" s="67"/>
      <c r="AI776" s="47" t="s">
        <v>54</v>
      </c>
      <c r="AJ776" s="47">
        <v>474</v>
      </c>
      <c r="AK776" s="47" t="s">
        <v>55</v>
      </c>
      <c r="AL776" s="47" t="s">
        <v>55</v>
      </c>
      <c r="AM776" s="47" t="s">
        <v>3643</v>
      </c>
      <c r="AN776" s="50">
        <v>1050</v>
      </c>
      <c r="AO776" s="211">
        <f t="shared" si="197"/>
        <v>1.9417475728155338E-2</v>
      </c>
      <c r="AP776" s="47" t="s">
        <v>57</v>
      </c>
      <c r="AQ776" s="47" t="s">
        <v>1132</v>
      </c>
      <c r="AR776" s="47"/>
    </row>
    <row r="777" spans="1:44" hidden="1">
      <c r="A777" s="47" t="s">
        <v>44</v>
      </c>
      <c r="B777" s="47" t="str">
        <f t="shared" si="192"/>
        <v>July</v>
      </c>
      <c r="C777" s="59">
        <v>45501</v>
      </c>
      <c r="D777" s="47" t="s">
        <v>45</v>
      </c>
      <c r="E777" s="47" t="s">
        <v>75</v>
      </c>
      <c r="F777" s="47" t="s">
        <v>76</v>
      </c>
      <c r="G777" s="168" t="s">
        <v>3644</v>
      </c>
      <c r="H777" s="47" t="s">
        <v>3645</v>
      </c>
      <c r="I777" s="47" t="s">
        <v>50</v>
      </c>
      <c r="J777" s="47" t="s">
        <v>51</v>
      </c>
      <c r="K777" s="48">
        <v>45320</v>
      </c>
      <c r="L777" s="48">
        <v>45320</v>
      </c>
      <c r="M777" s="48">
        <v>45501</v>
      </c>
      <c r="N777" s="47" t="s">
        <v>52</v>
      </c>
      <c r="O777" s="55" t="s">
        <v>53</v>
      </c>
      <c r="P777" s="62">
        <v>15660</v>
      </c>
      <c r="Q777" s="62">
        <v>1305</v>
      </c>
      <c r="R777" s="96">
        <v>17880</v>
      </c>
      <c r="S777" s="62">
        <f t="shared" si="193"/>
        <v>1490</v>
      </c>
      <c r="T777" s="62">
        <v>17820</v>
      </c>
      <c r="U777" s="62">
        <f t="shared" si="198"/>
        <v>1485</v>
      </c>
      <c r="V777" s="69">
        <v>15660</v>
      </c>
      <c r="W777" s="71">
        <v>1490</v>
      </c>
      <c r="X777" s="71"/>
      <c r="Y777" s="71"/>
      <c r="Z777" s="64">
        <f t="shared" si="194"/>
        <v>3.3670033670033669E-3</v>
      </c>
      <c r="AA777" s="64">
        <f t="shared" si="187"/>
        <v>0</v>
      </c>
      <c r="AB777" s="71">
        <v>1490</v>
      </c>
      <c r="AC777" s="64">
        <f t="shared" si="195"/>
        <v>3.3670033670033669E-3</v>
      </c>
      <c r="AD777" s="64">
        <f t="shared" si="189"/>
        <v>0</v>
      </c>
      <c r="AE777" s="71">
        <f t="shared" si="191"/>
        <v>1490</v>
      </c>
      <c r="AF777" s="64">
        <f t="shared" si="196"/>
        <v>3.3670033670033669E-3</v>
      </c>
      <c r="AG777" s="64">
        <f t="shared" si="190"/>
        <v>0</v>
      </c>
      <c r="AH777" s="67"/>
      <c r="AI777" s="47" t="s">
        <v>54</v>
      </c>
      <c r="AJ777" s="47">
        <v>684</v>
      </c>
      <c r="AK777" s="47" t="s">
        <v>65</v>
      </c>
      <c r="AL777" s="47" t="s">
        <v>65</v>
      </c>
      <c r="AM777" s="47" t="s">
        <v>3646</v>
      </c>
      <c r="AN777" s="50">
        <v>1490</v>
      </c>
      <c r="AO777" s="211">
        <f t="shared" si="197"/>
        <v>3.3670033670033669E-3</v>
      </c>
      <c r="AP777" s="47" t="s">
        <v>57</v>
      </c>
      <c r="AQ777" s="47" t="s">
        <v>1132</v>
      </c>
      <c r="AR777" s="47"/>
    </row>
    <row r="778" spans="1:44" hidden="1">
      <c r="A778" s="47" t="s">
        <v>44</v>
      </c>
      <c r="B778" s="47" t="str">
        <f t="shared" si="192"/>
        <v>July</v>
      </c>
      <c r="C778" s="59">
        <v>45500</v>
      </c>
      <c r="D778" s="47" t="s">
        <v>45</v>
      </c>
      <c r="E778" s="47" t="s">
        <v>75</v>
      </c>
      <c r="F778" s="47" t="s">
        <v>76</v>
      </c>
      <c r="G778" s="112" t="s">
        <v>3647</v>
      </c>
      <c r="H778" s="47" t="s">
        <v>3648</v>
      </c>
      <c r="I778" s="47" t="s">
        <v>50</v>
      </c>
      <c r="J778" s="47" t="s">
        <v>51</v>
      </c>
      <c r="K778" s="48">
        <v>45318</v>
      </c>
      <c r="L778" s="48">
        <v>45318</v>
      </c>
      <c r="M778" s="48">
        <v>45499</v>
      </c>
      <c r="N778" s="47" t="s">
        <v>52</v>
      </c>
      <c r="O778" s="55" t="s">
        <v>53</v>
      </c>
      <c r="P778" s="62">
        <v>15960</v>
      </c>
      <c r="Q778" s="62">
        <v>1330</v>
      </c>
      <c r="R778" s="96">
        <v>18180</v>
      </c>
      <c r="S778" s="62">
        <f t="shared" si="193"/>
        <v>1515</v>
      </c>
      <c r="T778" s="62">
        <v>18180</v>
      </c>
      <c r="U778" s="62">
        <f t="shared" si="198"/>
        <v>1515</v>
      </c>
      <c r="V778" s="69">
        <v>15960</v>
      </c>
      <c r="W778" s="71">
        <v>1520</v>
      </c>
      <c r="X778" s="71"/>
      <c r="Y778" s="71"/>
      <c r="Z778" s="64">
        <f t="shared" si="194"/>
        <v>3.3003300330033004E-3</v>
      </c>
      <c r="AA778" s="64">
        <f t="shared" si="187"/>
        <v>3.3003300330033004E-3</v>
      </c>
      <c r="AB778" s="71">
        <v>1520</v>
      </c>
      <c r="AC778" s="64">
        <f t="shared" si="195"/>
        <v>3.3003300330033004E-3</v>
      </c>
      <c r="AD778" s="64">
        <f t="shared" si="189"/>
        <v>3.3003300330033004E-3</v>
      </c>
      <c r="AE778" s="71">
        <f t="shared" si="191"/>
        <v>1520</v>
      </c>
      <c r="AF778" s="64">
        <f t="shared" si="196"/>
        <v>3.3003300330033004E-3</v>
      </c>
      <c r="AG778" s="64">
        <f t="shared" si="190"/>
        <v>3.3003300330033004E-3</v>
      </c>
      <c r="AH778" s="67"/>
      <c r="AI778" s="47" t="s">
        <v>54</v>
      </c>
      <c r="AJ778" s="47">
        <v>777</v>
      </c>
      <c r="AK778" s="47" t="s">
        <v>65</v>
      </c>
      <c r="AL778" s="47" t="s">
        <v>65</v>
      </c>
      <c r="AM778" s="47" t="s">
        <v>3649</v>
      </c>
      <c r="AN778" s="50"/>
      <c r="AO778" s="211">
        <f t="shared" si="197"/>
        <v>-1</v>
      </c>
      <c r="AP778" s="47" t="s">
        <v>57</v>
      </c>
      <c r="AQ778" s="47" t="s">
        <v>1132</v>
      </c>
      <c r="AR778" s="47"/>
    </row>
    <row r="779" spans="1:44" hidden="1">
      <c r="A779" s="47" t="s">
        <v>44</v>
      </c>
      <c r="B779" s="47" t="str">
        <f t="shared" si="192"/>
        <v>July</v>
      </c>
      <c r="C779" s="59">
        <v>45490</v>
      </c>
      <c r="D779" s="47" t="s">
        <v>45</v>
      </c>
      <c r="E779" s="47" t="s">
        <v>75</v>
      </c>
      <c r="F779" s="47" t="s">
        <v>76</v>
      </c>
      <c r="G779" s="168" t="s">
        <v>3650</v>
      </c>
      <c r="H779" s="47" t="s">
        <v>3651</v>
      </c>
      <c r="I779" s="47" t="s">
        <v>50</v>
      </c>
      <c r="J779" s="47" t="s">
        <v>51</v>
      </c>
      <c r="K779" s="48">
        <v>45308</v>
      </c>
      <c r="L779" s="48">
        <v>45308</v>
      </c>
      <c r="M779" s="48">
        <v>45490</v>
      </c>
      <c r="N779" s="47" t="s">
        <v>52</v>
      </c>
      <c r="O779" s="55" t="s">
        <v>53</v>
      </c>
      <c r="P779" s="62">
        <v>12480</v>
      </c>
      <c r="Q779" s="62">
        <v>1040</v>
      </c>
      <c r="R779" s="96">
        <v>14520</v>
      </c>
      <c r="S779" s="62">
        <f t="shared" si="193"/>
        <v>1210</v>
      </c>
      <c r="T779" s="62">
        <v>14520</v>
      </c>
      <c r="U779" s="62">
        <f t="shared" si="198"/>
        <v>1210</v>
      </c>
      <c r="V779" s="69">
        <v>12480</v>
      </c>
      <c r="W779" s="71">
        <v>1215</v>
      </c>
      <c r="X779" s="71"/>
      <c r="Y779" s="71"/>
      <c r="Z779" s="64">
        <f t="shared" si="194"/>
        <v>4.1322314049586778E-3</v>
      </c>
      <c r="AA779" s="64">
        <f t="shared" si="187"/>
        <v>4.1322314049586778E-3</v>
      </c>
      <c r="AB779" s="71">
        <v>1215</v>
      </c>
      <c r="AC779" s="64">
        <f t="shared" si="195"/>
        <v>4.1322314049586778E-3</v>
      </c>
      <c r="AD779" s="64">
        <f t="shared" si="189"/>
        <v>4.1322314049586778E-3</v>
      </c>
      <c r="AE779" s="71">
        <f t="shared" si="191"/>
        <v>1215</v>
      </c>
      <c r="AF779" s="64">
        <f t="shared" si="196"/>
        <v>4.1322314049586778E-3</v>
      </c>
      <c r="AG779" s="64">
        <f t="shared" si="190"/>
        <v>4.1322314049586778E-3</v>
      </c>
      <c r="AH779" s="67"/>
      <c r="AI779" s="47" t="s">
        <v>54</v>
      </c>
      <c r="AJ779" s="47">
        <v>570</v>
      </c>
      <c r="AK779" s="47" t="s">
        <v>55</v>
      </c>
      <c r="AL779" s="47" t="s">
        <v>55</v>
      </c>
      <c r="AM779" s="47" t="s">
        <v>3652</v>
      </c>
      <c r="AN779" s="50">
        <v>1215</v>
      </c>
      <c r="AO779" s="211">
        <f t="shared" si="197"/>
        <v>4.1322314049586778E-3</v>
      </c>
      <c r="AP779" s="47" t="s">
        <v>57</v>
      </c>
      <c r="AQ779" s="47" t="s">
        <v>1132</v>
      </c>
      <c r="AR779" s="47"/>
    </row>
    <row r="780" spans="1:44" hidden="1">
      <c r="A780" s="47" t="s">
        <v>44</v>
      </c>
      <c r="B780" s="47" t="str">
        <f t="shared" si="192"/>
        <v>July</v>
      </c>
      <c r="C780" s="59">
        <v>45486</v>
      </c>
      <c r="D780" s="47" t="s">
        <v>45</v>
      </c>
      <c r="E780" s="47" t="s">
        <v>75</v>
      </c>
      <c r="F780" s="47" t="s">
        <v>76</v>
      </c>
      <c r="G780" s="168" t="s">
        <v>3653</v>
      </c>
      <c r="H780" s="47" t="s">
        <v>3654</v>
      </c>
      <c r="I780" s="47" t="s">
        <v>50</v>
      </c>
      <c r="J780" s="47" t="s">
        <v>51</v>
      </c>
      <c r="K780" s="48">
        <v>45244</v>
      </c>
      <c r="L780" s="48">
        <v>45244</v>
      </c>
      <c r="M780" s="48">
        <v>45486</v>
      </c>
      <c r="N780" s="47" t="s">
        <v>52</v>
      </c>
      <c r="O780" s="55" t="s">
        <v>53</v>
      </c>
      <c r="P780" s="62">
        <v>12240</v>
      </c>
      <c r="Q780" s="62">
        <v>1020</v>
      </c>
      <c r="R780" s="96">
        <v>13380</v>
      </c>
      <c r="S780" s="62">
        <f t="shared" si="193"/>
        <v>1115</v>
      </c>
      <c r="T780" s="62">
        <v>13380</v>
      </c>
      <c r="U780" s="62">
        <f t="shared" si="198"/>
        <v>1115</v>
      </c>
      <c r="V780" s="69">
        <v>12240</v>
      </c>
      <c r="W780" s="71">
        <v>1140</v>
      </c>
      <c r="X780" s="71"/>
      <c r="Y780" s="71"/>
      <c r="Z780" s="64">
        <f t="shared" si="194"/>
        <v>2.2421524663677129E-2</v>
      </c>
      <c r="AA780" s="64">
        <f t="shared" si="187"/>
        <v>2.2421524663677129E-2</v>
      </c>
      <c r="AB780" s="71">
        <v>1140</v>
      </c>
      <c r="AC780" s="64">
        <f t="shared" si="195"/>
        <v>2.2421524663677129E-2</v>
      </c>
      <c r="AD780" s="64">
        <f t="shared" si="189"/>
        <v>2.2421524663677129E-2</v>
      </c>
      <c r="AE780" s="71">
        <f t="shared" si="191"/>
        <v>1140</v>
      </c>
      <c r="AF780" s="64">
        <f t="shared" si="196"/>
        <v>2.2421524663677129E-2</v>
      </c>
      <c r="AG780" s="64">
        <f t="shared" si="190"/>
        <v>2.2421524663677129E-2</v>
      </c>
      <c r="AH780" s="67"/>
      <c r="AI780" s="47" t="s">
        <v>54</v>
      </c>
      <c r="AJ780" s="47">
        <v>476</v>
      </c>
      <c r="AK780" s="47" t="s">
        <v>55</v>
      </c>
      <c r="AL780" s="47" t="s">
        <v>55</v>
      </c>
      <c r="AM780" s="47" t="s">
        <v>3655</v>
      </c>
      <c r="AN780" s="50">
        <v>1140</v>
      </c>
      <c r="AO780" s="211">
        <f t="shared" si="197"/>
        <v>2.2421524663677129E-2</v>
      </c>
      <c r="AP780" s="47" t="s">
        <v>57</v>
      </c>
      <c r="AQ780" s="47" t="s">
        <v>1132</v>
      </c>
      <c r="AR780" s="47"/>
    </row>
    <row r="781" spans="1:44" hidden="1">
      <c r="A781" s="47" t="s">
        <v>44</v>
      </c>
      <c r="B781" s="47" t="str">
        <f t="shared" si="192"/>
        <v>July</v>
      </c>
      <c r="C781" s="59">
        <v>45502</v>
      </c>
      <c r="D781" s="47" t="s">
        <v>45</v>
      </c>
      <c r="E781" s="47" t="s">
        <v>75</v>
      </c>
      <c r="F781" s="47" t="s">
        <v>76</v>
      </c>
      <c r="G781" s="112" t="s">
        <v>3656</v>
      </c>
      <c r="H781" s="47" t="s">
        <v>3657</v>
      </c>
      <c r="I781" s="47" t="s">
        <v>50</v>
      </c>
      <c r="J781" s="47" t="s">
        <v>51</v>
      </c>
      <c r="K781" s="48">
        <v>45260</v>
      </c>
      <c r="L781" s="48">
        <v>45260</v>
      </c>
      <c r="M781" s="48">
        <v>45502</v>
      </c>
      <c r="N781" s="47" t="s">
        <v>52</v>
      </c>
      <c r="O781" s="55" t="s">
        <v>53</v>
      </c>
      <c r="P781" s="62">
        <v>16800</v>
      </c>
      <c r="Q781" s="62">
        <v>1400</v>
      </c>
      <c r="R781" s="96">
        <v>17520</v>
      </c>
      <c r="S781" s="62">
        <f t="shared" si="193"/>
        <v>1460</v>
      </c>
      <c r="T781" s="62">
        <v>17520</v>
      </c>
      <c r="U781" s="62">
        <f t="shared" si="198"/>
        <v>1460</v>
      </c>
      <c r="V781" s="69">
        <v>16800</v>
      </c>
      <c r="W781" s="71">
        <v>1495</v>
      </c>
      <c r="X781" s="71"/>
      <c r="Y781" s="71"/>
      <c r="Z781" s="64">
        <f t="shared" si="194"/>
        <v>2.3972602739726026E-2</v>
      </c>
      <c r="AA781" s="64">
        <f t="shared" si="187"/>
        <v>2.3972602739726026E-2</v>
      </c>
      <c r="AB781" s="71">
        <v>1495</v>
      </c>
      <c r="AC781" s="64">
        <f t="shared" si="195"/>
        <v>2.3972602739726026E-2</v>
      </c>
      <c r="AD781" s="64">
        <f t="shared" si="189"/>
        <v>2.3972602739726026E-2</v>
      </c>
      <c r="AE781" s="71">
        <f t="shared" si="191"/>
        <v>1495</v>
      </c>
      <c r="AF781" s="64">
        <f t="shared" si="196"/>
        <v>2.3972602739726026E-2</v>
      </c>
      <c r="AG781" s="64">
        <f t="shared" si="190"/>
        <v>2.3972602739726026E-2</v>
      </c>
      <c r="AH781" s="67"/>
      <c r="AI781" s="47" t="s">
        <v>54</v>
      </c>
      <c r="AJ781" s="47">
        <v>808</v>
      </c>
      <c r="AK781" s="47" t="s">
        <v>65</v>
      </c>
      <c r="AL781" s="47" t="s">
        <v>65</v>
      </c>
      <c r="AM781" s="47" t="s">
        <v>3658</v>
      </c>
      <c r="AN781" s="50">
        <v>1495</v>
      </c>
      <c r="AO781" s="211">
        <f t="shared" si="197"/>
        <v>2.3972602739726026E-2</v>
      </c>
      <c r="AP781" s="47" t="s">
        <v>57</v>
      </c>
      <c r="AQ781" s="47" t="s">
        <v>1132</v>
      </c>
      <c r="AR781" s="47"/>
    </row>
    <row r="782" spans="1:44" hidden="1">
      <c r="A782" s="47" t="s">
        <v>44</v>
      </c>
      <c r="B782" s="47" t="str">
        <f t="shared" si="192"/>
        <v>July</v>
      </c>
      <c r="C782" s="59">
        <v>45479</v>
      </c>
      <c r="D782" s="47" t="s">
        <v>45</v>
      </c>
      <c r="E782" s="47" t="s">
        <v>75</v>
      </c>
      <c r="F782" s="47" t="s">
        <v>76</v>
      </c>
      <c r="G782" s="112" t="s">
        <v>3659</v>
      </c>
      <c r="H782" s="47" t="s">
        <v>3660</v>
      </c>
      <c r="I782" s="47" t="s">
        <v>50</v>
      </c>
      <c r="J782" s="47" t="s">
        <v>51</v>
      </c>
      <c r="K782" s="48">
        <v>45237</v>
      </c>
      <c r="L782" s="48">
        <v>45237</v>
      </c>
      <c r="M782" s="48">
        <v>45479</v>
      </c>
      <c r="N782" s="47" t="s">
        <v>52</v>
      </c>
      <c r="O782" s="55" t="s">
        <v>53</v>
      </c>
      <c r="P782" s="62">
        <v>12000</v>
      </c>
      <c r="Q782" s="62">
        <v>1000</v>
      </c>
      <c r="R782" s="96">
        <v>12840</v>
      </c>
      <c r="S782" s="62">
        <f t="shared" si="193"/>
        <v>1070</v>
      </c>
      <c r="T782" s="62">
        <v>12840</v>
      </c>
      <c r="U782" s="62">
        <f t="shared" si="198"/>
        <v>1070</v>
      </c>
      <c r="V782" s="69">
        <v>12000</v>
      </c>
      <c r="W782" s="71">
        <v>1095</v>
      </c>
      <c r="X782" s="71"/>
      <c r="Y782" s="71"/>
      <c r="Z782" s="64">
        <f t="shared" si="194"/>
        <v>2.336448598130841E-2</v>
      </c>
      <c r="AA782" s="64">
        <f t="shared" si="187"/>
        <v>2.336448598130841E-2</v>
      </c>
      <c r="AB782" s="71">
        <v>1095</v>
      </c>
      <c r="AC782" s="64">
        <f t="shared" si="195"/>
        <v>2.336448598130841E-2</v>
      </c>
      <c r="AD782" s="64">
        <f t="shared" si="189"/>
        <v>2.336448598130841E-2</v>
      </c>
      <c r="AE782" s="71">
        <f t="shared" si="191"/>
        <v>1095</v>
      </c>
      <c r="AF782" s="64">
        <f t="shared" si="196"/>
        <v>2.336448598130841E-2</v>
      </c>
      <c r="AG782" s="64">
        <f t="shared" si="190"/>
        <v>2.336448598130841E-2</v>
      </c>
      <c r="AH782" s="67"/>
      <c r="AI782" s="47" t="s">
        <v>54</v>
      </c>
      <c r="AJ782" s="47">
        <v>450</v>
      </c>
      <c r="AK782" s="47" t="s">
        <v>55</v>
      </c>
      <c r="AL782" s="47" t="s">
        <v>55</v>
      </c>
      <c r="AM782" s="47" t="s">
        <v>82</v>
      </c>
      <c r="AN782" s="50">
        <v>1095</v>
      </c>
      <c r="AO782" s="211">
        <f t="shared" si="197"/>
        <v>2.336448598130841E-2</v>
      </c>
      <c r="AP782" s="47" t="s">
        <v>57</v>
      </c>
      <c r="AQ782" s="47" t="s">
        <v>1132</v>
      </c>
      <c r="AR782" s="47"/>
    </row>
    <row r="783" spans="1:44" hidden="1">
      <c r="A783" s="47" t="s">
        <v>44</v>
      </c>
      <c r="B783" s="47" t="str">
        <f t="shared" si="192"/>
        <v>July</v>
      </c>
      <c r="C783" s="59">
        <v>45504</v>
      </c>
      <c r="D783" s="47" t="s">
        <v>45</v>
      </c>
      <c r="E783" s="47" t="s">
        <v>75</v>
      </c>
      <c r="F783" s="47" t="s">
        <v>76</v>
      </c>
      <c r="G783" s="112" t="s">
        <v>3661</v>
      </c>
      <c r="H783" s="47" t="s">
        <v>3662</v>
      </c>
      <c r="I783" s="47" t="s">
        <v>50</v>
      </c>
      <c r="J783" s="47" t="s">
        <v>51</v>
      </c>
      <c r="K783" s="48">
        <v>45322</v>
      </c>
      <c r="L783" s="48">
        <v>45322</v>
      </c>
      <c r="M783" s="48">
        <v>45503</v>
      </c>
      <c r="N783" s="47" t="s">
        <v>52</v>
      </c>
      <c r="O783" s="55" t="s">
        <v>53</v>
      </c>
      <c r="P783" s="62">
        <v>20040</v>
      </c>
      <c r="Q783" s="62">
        <v>1670</v>
      </c>
      <c r="R783" s="96">
        <v>22680</v>
      </c>
      <c r="S783" s="62">
        <f t="shared" si="193"/>
        <v>1890</v>
      </c>
      <c r="T783" s="62">
        <v>22680</v>
      </c>
      <c r="U783" s="62">
        <f t="shared" si="198"/>
        <v>1890</v>
      </c>
      <c r="V783" s="69">
        <v>20040</v>
      </c>
      <c r="W783" s="71">
        <v>1930</v>
      </c>
      <c r="X783" s="71"/>
      <c r="Y783" s="71"/>
      <c r="Z783" s="64">
        <f t="shared" si="194"/>
        <v>2.1164021164021163E-2</v>
      </c>
      <c r="AA783" s="64">
        <f t="shared" si="187"/>
        <v>2.1164021164021163E-2</v>
      </c>
      <c r="AB783" s="71">
        <v>1930</v>
      </c>
      <c r="AC783" s="64">
        <f t="shared" si="195"/>
        <v>2.1164021164021163E-2</v>
      </c>
      <c r="AD783" s="64">
        <f t="shared" si="189"/>
        <v>2.1164021164021163E-2</v>
      </c>
      <c r="AE783" s="71">
        <f t="shared" si="191"/>
        <v>1930</v>
      </c>
      <c r="AF783" s="64">
        <f t="shared" si="196"/>
        <v>2.1164021164021163E-2</v>
      </c>
      <c r="AG783" s="64">
        <f t="shared" si="190"/>
        <v>2.1164021164021163E-2</v>
      </c>
      <c r="AH783" s="67"/>
      <c r="AI783" s="47" t="s">
        <v>54</v>
      </c>
      <c r="AJ783" s="47">
        <v>889</v>
      </c>
      <c r="AK783" s="47" t="s">
        <v>140</v>
      </c>
      <c r="AL783" s="47" t="s">
        <v>65</v>
      </c>
      <c r="AM783" s="47" t="s">
        <v>3663</v>
      </c>
      <c r="AN783" s="50">
        <v>1930</v>
      </c>
      <c r="AO783" s="211">
        <f t="shared" si="197"/>
        <v>2.1164021164021163E-2</v>
      </c>
      <c r="AP783" s="47" t="s">
        <v>57</v>
      </c>
      <c r="AQ783" s="47" t="s">
        <v>1132</v>
      </c>
      <c r="AR783" s="47"/>
    </row>
    <row r="784" spans="1:44" hidden="1">
      <c r="A784" s="47" t="s">
        <v>44</v>
      </c>
      <c r="B784" s="47" t="str">
        <f t="shared" si="192"/>
        <v>July</v>
      </c>
      <c r="C784" s="59">
        <v>45493</v>
      </c>
      <c r="D784" s="47" t="s">
        <v>45</v>
      </c>
      <c r="E784" s="47" t="s">
        <v>75</v>
      </c>
      <c r="F784" s="47" t="s">
        <v>76</v>
      </c>
      <c r="G784" s="112" t="s">
        <v>3664</v>
      </c>
      <c r="H784" s="47" t="s">
        <v>3665</v>
      </c>
      <c r="I784" s="47" t="s">
        <v>50</v>
      </c>
      <c r="J784" s="47" t="s">
        <v>51</v>
      </c>
      <c r="K784" s="48">
        <v>45251</v>
      </c>
      <c r="L784" s="48">
        <v>45251</v>
      </c>
      <c r="M784" s="48">
        <v>45493</v>
      </c>
      <c r="N784" s="47" t="s">
        <v>52</v>
      </c>
      <c r="O784" s="55" t="s">
        <v>53</v>
      </c>
      <c r="P784" s="62">
        <v>15060</v>
      </c>
      <c r="Q784" s="62">
        <v>1255</v>
      </c>
      <c r="R784" s="96">
        <v>15540</v>
      </c>
      <c r="S784" s="62">
        <f t="shared" si="193"/>
        <v>1295</v>
      </c>
      <c r="T784" s="62">
        <v>14220</v>
      </c>
      <c r="U784" s="62">
        <f t="shared" si="198"/>
        <v>1185</v>
      </c>
      <c r="V784" s="69">
        <v>15060</v>
      </c>
      <c r="W784" s="71">
        <v>1215</v>
      </c>
      <c r="X784" s="71"/>
      <c r="Y784" s="71"/>
      <c r="Z784" s="64">
        <f t="shared" si="194"/>
        <v>2.5316455696202531E-2</v>
      </c>
      <c r="AA784" s="64">
        <f t="shared" si="187"/>
        <v>-6.1776061776061778E-2</v>
      </c>
      <c r="AB784" s="71">
        <v>1215</v>
      </c>
      <c r="AC784" s="64">
        <f t="shared" si="195"/>
        <v>2.5316455696202531E-2</v>
      </c>
      <c r="AD784" s="64">
        <f t="shared" si="189"/>
        <v>-6.1776061776061778E-2</v>
      </c>
      <c r="AE784" s="71">
        <f t="shared" si="191"/>
        <v>1215</v>
      </c>
      <c r="AF784" s="64">
        <f t="shared" si="196"/>
        <v>2.5316455696202531E-2</v>
      </c>
      <c r="AG784" s="64">
        <f t="shared" si="190"/>
        <v>-6.1776061776061778E-2</v>
      </c>
      <c r="AH784" s="67"/>
      <c r="AI784" s="47" t="s">
        <v>54</v>
      </c>
      <c r="AJ784" s="47">
        <v>640</v>
      </c>
      <c r="AK784" s="47" t="s">
        <v>65</v>
      </c>
      <c r="AL784" s="47" t="s">
        <v>65</v>
      </c>
      <c r="AM784" s="47" t="s">
        <v>79</v>
      </c>
      <c r="AN784" s="50">
        <v>1215</v>
      </c>
      <c r="AO784" s="211">
        <f t="shared" si="197"/>
        <v>2.5316455696202531E-2</v>
      </c>
      <c r="AP784" s="47" t="s">
        <v>57</v>
      </c>
      <c r="AQ784" s="47" t="s">
        <v>1132</v>
      </c>
      <c r="AR784" s="47"/>
    </row>
    <row r="785" spans="1:44" hidden="1">
      <c r="A785" s="47" t="s">
        <v>44</v>
      </c>
      <c r="B785" s="47" t="str">
        <f t="shared" si="192"/>
        <v>July</v>
      </c>
      <c r="C785" s="59">
        <v>45502</v>
      </c>
      <c r="D785" s="47" t="s">
        <v>45</v>
      </c>
      <c r="E785" s="47" t="s">
        <v>75</v>
      </c>
      <c r="F785" s="47" t="s">
        <v>76</v>
      </c>
      <c r="G785" s="112" t="s">
        <v>3666</v>
      </c>
      <c r="H785" s="47" t="s">
        <v>3667</v>
      </c>
      <c r="I785" s="47" t="s">
        <v>50</v>
      </c>
      <c r="J785" s="47" t="s">
        <v>51</v>
      </c>
      <c r="K785" s="48">
        <v>45260</v>
      </c>
      <c r="L785" s="48">
        <v>45260</v>
      </c>
      <c r="M785" s="48">
        <v>45502</v>
      </c>
      <c r="N785" s="47" t="s">
        <v>52</v>
      </c>
      <c r="O785" s="55" t="s">
        <v>53</v>
      </c>
      <c r="P785" s="62">
        <v>11700</v>
      </c>
      <c r="Q785" s="62">
        <v>975</v>
      </c>
      <c r="R785" s="96">
        <v>12660</v>
      </c>
      <c r="S785" s="62">
        <f t="shared" si="193"/>
        <v>1055</v>
      </c>
      <c r="T785" s="62">
        <v>12660</v>
      </c>
      <c r="U785" s="62">
        <f t="shared" si="198"/>
        <v>1055</v>
      </c>
      <c r="V785" s="69">
        <v>11700</v>
      </c>
      <c r="W785" s="71">
        <v>1030</v>
      </c>
      <c r="X785" s="71"/>
      <c r="Y785" s="71"/>
      <c r="Z785" s="64">
        <f t="shared" si="194"/>
        <v>-2.3696682464454975E-2</v>
      </c>
      <c r="AA785" s="64">
        <f t="shared" si="187"/>
        <v>-2.3696682464454975E-2</v>
      </c>
      <c r="AB785" s="71">
        <v>1055</v>
      </c>
      <c r="AC785" s="64">
        <f t="shared" si="195"/>
        <v>0</v>
      </c>
      <c r="AD785" s="64">
        <f t="shared" si="189"/>
        <v>0</v>
      </c>
      <c r="AE785" s="71">
        <f t="shared" si="191"/>
        <v>1055</v>
      </c>
      <c r="AF785" s="64">
        <f t="shared" si="196"/>
        <v>0</v>
      </c>
      <c r="AG785" s="64">
        <f t="shared" si="190"/>
        <v>0</v>
      </c>
      <c r="AH785" s="67"/>
      <c r="AI785" s="47" t="s">
        <v>54</v>
      </c>
      <c r="AJ785" s="47">
        <v>438</v>
      </c>
      <c r="AK785" s="47" t="s">
        <v>55</v>
      </c>
      <c r="AL785" s="47" t="s">
        <v>55</v>
      </c>
      <c r="AM785" s="47" t="s">
        <v>3668</v>
      </c>
      <c r="AN785" s="50">
        <v>1060</v>
      </c>
      <c r="AO785" s="211">
        <f t="shared" si="197"/>
        <v>4.7393364928909956E-3</v>
      </c>
      <c r="AP785" s="47" t="s">
        <v>57</v>
      </c>
      <c r="AQ785" s="47" t="s">
        <v>1132</v>
      </c>
      <c r="AR785" s="47"/>
    </row>
    <row r="786" spans="1:44" hidden="1">
      <c r="A786" s="47" t="s">
        <v>44</v>
      </c>
      <c r="B786" s="47" t="str">
        <f t="shared" si="192"/>
        <v>July</v>
      </c>
      <c r="C786" s="59">
        <v>45498</v>
      </c>
      <c r="D786" s="47" t="s">
        <v>45</v>
      </c>
      <c r="E786" s="47" t="s">
        <v>75</v>
      </c>
      <c r="F786" s="47" t="s">
        <v>76</v>
      </c>
      <c r="G786" s="94" t="s">
        <v>3669</v>
      </c>
      <c r="H786" s="47" t="s">
        <v>3670</v>
      </c>
      <c r="I786" s="47" t="s">
        <v>50</v>
      </c>
      <c r="J786" s="47" t="s">
        <v>51</v>
      </c>
      <c r="K786" s="48">
        <v>45317</v>
      </c>
      <c r="L786" s="48">
        <v>45317</v>
      </c>
      <c r="M786" s="48">
        <v>45498</v>
      </c>
      <c r="N786" s="47" t="s">
        <v>52</v>
      </c>
      <c r="O786" s="55" t="s">
        <v>53</v>
      </c>
      <c r="P786" s="62">
        <v>15540</v>
      </c>
      <c r="Q786" s="62">
        <v>1295</v>
      </c>
      <c r="R786" s="96">
        <v>15720</v>
      </c>
      <c r="S786" s="62">
        <f t="shared" si="193"/>
        <v>1310</v>
      </c>
      <c r="T786" s="62">
        <v>15720</v>
      </c>
      <c r="U786" s="62">
        <f t="shared" si="198"/>
        <v>1310</v>
      </c>
      <c r="V786" s="69">
        <v>15540</v>
      </c>
      <c r="W786" s="71">
        <v>1340</v>
      </c>
      <c r="X786" s="71"/>
      <c r="Y786" s="71"/>
      <c r="Z786" s="64">
        <f t="shared" si="194"/>
        <v>2.2900763358778626E-2</v>
      </c>
      <c r="AA786" s="64">
        <f t="shared" si="187"/>
        <v>2.2900763358778626E-2</v>
      </c>
      <c r="AB786" s="71">
        <v>1340</v>
      </c>
      <c r="AC786" s="64">
        <f t="shared" si="195"/>
        <v>2.2900763358778626E-2</v>
      </c>
      <c r="AD786" s="64">
        <f t="shared" si="189"/>
        <v>2.2900763358778626E-2</v>
      </c>
      <c r="AE786" s="71">
        <f t="shared" si="191"/>
        <v>1340</v>
      </c>
      <c r="AF786" s="64">
        <f t="shared" si="196"/>
        <v>2.2900763358778626E-2</v>
      </c>
      <c r="AG786" s="64">
        <f t="shared" si="190"/>
        <v>2.2900763358778626E-2</v>
      </c>
      <c r="AH786" s="67"/>
      <c r="AI786" s="47" t="s">
        <v>54</v>
      </c>
      <c r="AJ786" s="47">
        <v>668</v>
      </c>
      <c r="AK786" s="47" t="s">
        <v>65</v>
      </c>
      <c r="AL786" s="47" t="s">
        <v>65</v>
      </c>
      <c r="AM786" s="47" t="s">
        <v>3671</v>
      </c>
      <c r="AN786" s="50"/>
      <c r="AO786" s="211">
        <f t="shared" si="197"/>
        <v>-1</v>
      </c>
      <c r="AP786" s="47" t="s">
        <v>57</v>
      </c>
      <c r="AQ786" s="47" t="s">
        <v>1132</v>
      </c>
      <c r="AR786" s="47"/>
    </row>
    <row r="787" spans="1:44" hidden="1">
      <c r="A787" s="47" t="s">
        <v>74</v>
      </c>
      <c r="B787" s="47" t="str">
        <f t="shared" si="192"/>
        <v>August</v>
      </c>
      <c r="C787" s="59">
        <v>45535</v>
      </c>
      <c r="D787" s="47" t="s">
        <v>45</v>
      </c>
      <c r="E787" s="47" t="s">
        <v>75</v>
      </c>
      <c r="F787" s="47" t="s">
        <v>76</v>
      </c>
      <c r="G787" s="91" t="s">
        <v>3803</v>
      </c>
      <c r="H787" s="47" t="s">
        <v>3804</v>
      </c>
      <c r="I787" s="47" t="s">
        <v>50</v>
      </c>
      <c r="J787" s="47" t="s">
        <v>51</v>
      </c>
      <c r="K787" s="48">
        <v>45352</v>
      </c>
      <c r="L787" s="48">
        <v>45352</v>
      </c>
      <c r="M787" s="48">
        <v>45535</v>
      </c>
      <c r="N787" s="47" t="s">
        <v>52</v>
      </c>
      <c r="O787" s="55" t="s">
        <v>53</v>
      </c>
      <c r="P787" s="62">
        <v>11700</v>
      </c>
      <c r="Q787" s="62">
        <v>975</v>
      </c>
      <c r="R787" s="96">
        <v>12120</v>
      </c>
      <c r="S787" s="62">
        <f t="shared" si="193"/>
        <v>1010</v>
      </c>
      <c r="T787" s="62">
        <v>12240</v>
      </c>
      <c r="U787" s="62">
        <f t="shared" si="198"/>
        <v>1020</v>
      </c>
      <c r="V787" s="69">
        <v>11700</v>
      </c>
      <c r="W787" s="71">
        <v>1040</v>
      </c>
      <c r="X787" s="71"/>
      <c r="Y787" s="71"/>
      <c r="Z787" s="64">
        <f t="shared" si="194"/>
        <v>1.9607843137254902E-2</v>
      </c>
      <c r="AA787" s="64">
        <f t="shared" si="187"/>
        <v>2.9702970297029702E-2</v>
      </c>
      <c r="AB787" s="71">
        <v>1040</v>
      </c>
      <c r="AC787" s="64">
        <f t="shared" si="195"/>
        <v>1.9607843137254902E-2</v>
      </c>
      <c r="AD787" s="64">
        <f t="shared" si="189"/>
        <v>2.9702970297029702E-2</v>
      </c>
      <c r="AE787" s="71">
        <f t="shared" si="191"/>
        <v>1040</v>
      </c>
      <c r="AF787" s="64">
        <f t="shared" si="196"/>
        <v>1.9607843137254902E-2</v>
      </c>
      <c r="AG787" s="64">
        <f t="shared" si="190"/>
        <v>2.9702970297029702E-2</v>
      </c>
      <c r="AH787" s="67"/>
      <c r="AI787" s="47" t="s">
        <v>54</v>
      </c>
      <c r="AJ787" s="47">
        <v>438</v>
      </c>
      <c r="AK787" s="47" t="s">
        <v>55</v>
      </c>
      <c r="AL787" s="47" t="s">
        <v>55</v>
      </c>
      <c r="AM787" s="47" t="s">
        <v>3668</v>
      </c>
      <c r="AN787" s="50"/>
      <c r="AO787" s="211">
        <f t="shared" si="197"/>
        <v>-1</v>
      </c>
      <c r="AP787" s="47" t="s">
        <v>57</v>
      </c>
      <c r="AQ787" s="47" t="s">
        <v>131</v>
      </c>
      <c r="AR787" s="47"/>
    </row>
    <row r="788" spans="1:44" hidden="1">
      <c r="A788" s="47" t="s">
        <v>44</v>
      </c>
      <c r="B788" s="47" t="str">
        <f t="shared" si="192"/>
        <v>July</v>
      </c>
      <c r="C788" s="59">
        <v>45492</v>
      </c>
      <c r="D788" s="47" t="s">
        <v>45</v>
      </c>
      <c r="E788" s="47" t="s">
        <v>1183</v>
      </c>
      <c r="F788" s="47" t="s">
        <v>1184</v>
      </c>
      <c r="G788" s="47" t="s">
        <v>1185</v>
      </c>
      <c r="H788" s="47" t="s">
        <v>1186</v>
      </c>
      <c r="I788" s="47" t="s">
        <v>63</v>
      </c>
      <c r="J788" s="47" t="s">
        <v>51</v>
      </c>
      <c r="K788" s="48">
        <v>45311</v>
      </c>
      <c r="L788" s="48">
        <v>45311</v>
      </c>
      <c r="M788" s="48">
        <v>45492</v>
      </c>
      <c r="N788" s="47" t="s">
        <v>52</v>
      </c>
      <c r="O788" s="55" t="s">
        <v>53</v>
      </c>
      <c r="P788" s="62">
        <v>10800</v>
      </c>
      <c r="Q788" s="62">
        <v>900</v>
      </c>
      <c r="R788" s="96">
        <v>10620</v>
      </c>
      <c r="S788" s="62">
        <f t="shared" si="193"/>
        <v>885</v>
      </c>
      <c r="T788" s="62">
        <v>10620</v>
      </c>
      <c r="U788" s="62">
        <f t="shared" si="198"/>
        <v>885</v>
      </c>
      <c r="V788" s="69">
        <v>10800</v>
      </c>
      <c r="W788" s="71">
        <v>915</v>
      </c>
      <c r="X788" s="71"/>
      <c r="Y788" s="71"/>
      <c r="Z788" s="64">
        <f t="shared" si="194"/>
        <v>3.3898305084745763E-2</v>
      </c>
      <c r="AA788" s="64">
        <f t="shared" si="187"/>
        <v>3.3898305084745763E-2</v>
      </c>
      <c r="AB788" s="71">
        <v>915</v>
      </c>
      <c r="AC788" s="64">
        <f t="shared" si="195"/>
        <v>3.3898305084745763E-2</v>
      </c>
      <c r="AD788" s="64">
        <f t="shared" si="189"/>
        <v>3.3898305084745763E-2</v>
      </c>
      <c r="AE788" s="71">
        <f t="shared" si="191"/>
        <v>915</v>
      </c>
      <c r="AF788" s="64">
        <f t="shared" si="196"/>
        <v>3.3898305084745763E-2</v>
      </c>
      <c r="AG788" s="64">
        <f t="shared" si="190"/>
        <v>3.3898305084745763E-2</v>
      </c>
      <c r="AH788" s="67"/>
      <c r="AI788" s="47" t="s">
        <v>54</v>
      </c>
      <c r="AJ788" s="47">
        <v>461</v>
      </c>
      <c r="AK788" s="47" t="s">
        <v>55</v>
      </c>
      <c r="AL788" s="47" t="s">
        <v>55</v>
      </c>
      <c r="AM788" s="47" t="s">
        <v>1187</v>
      </c>
      <c r="AN788" s="50">
        <v>915</v>
      </c>
      <c r="AO788" s="211">
        <f t="shared" si="197"/>
        <v>3.3898305084745763E-2</v>
      </c>
      <c r="AP788" s="47" t="s">
        <v>852</v>
      </c>
      <c r="AQ788" s="111" t="s">
        <v>125</v>
      </c>
      <c r="AR788" s="47" t="s">
        <v>1188</v>
      </c>
    </row>
    <row r="789" spans="1:44" hidden="1">
      <c r="A789" s="47" t="s">
        <v>44</v>
      </c>
      <c r="B789" s="47" t="str">
        <f t="shared" si="192"/>
        <v>July</v>
      </c>
      <c r="C789" s="59">
        <v>45497</v>
      </c>
      <c r="D789" s="47" t="s">
        <v>45</v>
      </c>
      <c r="E789" s="47" t="s">
        <v>1183</v>
      </c>
      <c r="F789" s="47" t="s">
        <v>1184</v>
      </c>
      <c r="G789" s="47" t="s">
        <v>1413</v>
      </c>
      <c r="H789" s="47" t="s">
        <v>1414</v>
      </c>
      <c r="I789" s="47" t="s">
        <v>63</v>
      </c>
      <c r="J789" s="47" t="s">
        <v>51</v>
      </c>
      <c r="K789" s="48">
        <v>45255</v>
      </c>
      <c r="L789" s="48">
        <v>45255</v>
      </c>
      <c r="M789" s="48">
        <v>45497</v>
      </c>
      <c r="N789" s="47" t="s">
        <v>52</v>
      </c>
      <c r="O789" s="55" t="s">
        <v>53</v>
      </c>
      <c r="P789" s="62">
        <v>11100</v>
      </c>
      <c r="Q789" s="62">
        <v>925</v>
      </c>
      <c r="R789" s="96">
        <v>10920</v>
      </c>
      <c r="S789" s="62">
        <f t="shared" si="193"/>
        <v>910</v>
      </c>
      <c r="T789" s="62">
        <v>10920</v>
      </c>
      <c r="U789" s="62">
        <f t="shared" si="198"/>
        <v>910</v>
      </c>
      <c r="V789" s="69">
        <v>11100</v>
      </c>
      <c r="W789" s="71">
        <v>925</v>
      </c>
      <c r="X789" s="71"/>
      <c r="Y789" s="71"/>
      <c r="Z789" s="64">
        <f t="shared" si="194"/>
        <v>1.6483516483516484E-2</v>
      </c>
      <c r="AA789" s="64">
        <f t="shared" si="187"/>
        <v>1.6483516483516484E-2</v>
      </c>
      <c r="AB789" s="71">
        <v>925</v>
      </c>
      <c r="AC789" s="64">
        <f t="shared" si="195"/>
        <v>1.6483516483516484E-2</v>
      </c>
      <c r="AD789" s="64">
        <f t="shared" si="189"/>
        <v>1.6483516483516484E-2</v>
      </c>
      <c r="AE789" s="71">
        <f t="shared" si="191"/>
        <v>925</v>
      </c>
      <c r="AF789" s="64">
        <f t="shared" si="196"/>
        <v>1.6483516483516484E-2</v>
      </c>
      <c r="AG789" s="64">
        <f t="shared" si="190"/>
        <v>1.6483516483516484E-2</v>
      </c>
      <c r="AH789" s="67"/>
      <c r="AI789" s="47" t="s">
        <v>54</v>
      </c>
      <c r="AJ789" s="47">
        <v>446</v>
      </c>
      <c r="AK789" s="47" t="s">
        <v>55</v>
      </c>
      <c r="AL789" s="47" t="s">
        <v>55</v>
      </c>
      <c r="AM789" s="47" t="s">
        <v>1415</v>
      </c>
      <c r="AN789" s="50"/>
      <c r="AO789" s="211">
        <f t="shared" si="197"/>
        <v>-1</v>
      </c>
      <c r="AP789" s="47" t="s">
        <v>852</v>
      </c>
      <c r="AQ789" s="94" t="s">
        <v>898</v>
      </c>
      <c r="AR789" s="47" t="s">
        <v>1066</v>
      </c>
    </row>
    <row r="790" spans="1:44" hidden="1">
      <c r="A790" s="47" t="s">
        <v>44</v>
      </c>
      <c r="B790" s="47" t="str">
        <f t="shared" si="192"/>
        <v>August</v>
      </c>
      <c r="C790" s="221">
        <v>45510</v>
      </c>
      <c r="D790" s="47" t="s">
        <v>45</v>
      </c>
      <c r="E790" s="47" t="s">
        <v>1183</v>
      </c>
      <c r="F790" s="47" t="s">
        <v>1184</v>
      </c>
      <c r="G790" s="47" t="s">
        <v>1871</v>
      </c>
      <c r="H790" s="47" t="s">
        <v>1872</v>
      </c>
      <c r="I790" s="47" t="s">
        <v>63</v>
      </c>
      <c r="J790" s="47" t="s">
        <v>51</v>
      </c>
      <c r="K790" s="48">
        <v>45267</v>
      </c>
      <c r="L790" s="48">
        <v>45267</v>
      </c>
      <c r="M790" s="48">
        <v>45510</v>
      </c>
      <c r="N790" s="47" t="s">
        <v>52</v>
      </c>
      <c r="O790" s="55" t="s">
        <v>53</v>
      </c>
      <c r="P790" s="62">
        <v>9000</v>
      </c>
      <c r="Q790" s="62">
        <v>750</v>
      </c>
      <c r="R790" s="96">
        <v>9600</v>
      </c>
      <c r="S790" s="62">
        <f t="shared" si="193"/>
        <v>800</v>
      </c>
      <c r="T790" s="62">
        <v>9600</v>
      </c>
      <c r="U790" s="62">
        <f t="shared" si="198"/>
        <v>800</v>
      </c>
      <c r="V790" s="69">
        <v>9000</v>
      </c>
      <c r="W790" s="71">
        <v>820</v>
      </c>
      <c r="X790" s="71"/>
      <c r="Y790" s="71"/>
      <c r="Z790" s="64">
        <f t="shared" si="194"/>
        <v>2.5000000000000001E-2</v>
      </c>
      <c r="AA790" s="64">
        <f t="shared" si="187"/>
        <v>2.5000000000000001E-2</v>
      </c>
      <c r="AB790" s="71">
        <v>820</v>
      </c>
      <c r="AC790" s="64">
        <f t="shared" si="195"/>
        <v>2.5000000000000001E-2</v>
      </c>
      <c r="AD790" s="64">
        <f t="shared" si="189"/>
        <v>2.5000000000000001E-2</v>
      </c>
      <c r="AE790" s="71">
        <f t="shared" si="191"/>
        <v>820</v>
      </c>
      <c r="AF790" s="64">
        <f t="shared" si="196"/>
        <v>2.5000000000000001E-2</v>
      </c>
      <c r="AG790" s="64">
        <f t="shared" si="190"/>
        <v>2.5000000000000001E-2</v>
      </c>
      <c r="AH790" s="67"/>
      <c r="AI790" s="47" t="s">
        <v>54</v>
      </c>
      <c r="AJ790" s="47">
        <v>390</v>
      </c>
      <c r="AK790" s="47" t="s">
        <v>93</v>
      </c>
      <c r="AL790" s="47" t="s">
        <v>55</v>
      </c>
      <c r="AM790" s="47" t="s">
        <v>1873</v>
      </c>
      <c r="AN790" s="50"/>
      <c r="AO790" s="211">
        <f t="shared" si="197"/>
        <v>-1</v>
      </c>
      <c r="AP790" s="47" t="s">
        <v>852</v>
      </c>
      <c r="AQ790" s="91" t="s">
        <v>1074</v>
      </c>
      <c r="AR790" s="47" t="s">
        <v>1874</v>
      </c>
    </row>
    <row r="791" spans="1:44" hidden="1">
      <c r="A791" s="47" t="s">
        <v>44</v>
      </c>
      <c r="B791" s="47" t="str">
        <f t="shared" si="192"/>
        <v>August</v>
      </c>
      <c r="C791" s="59">
        <v>45516</v>
      </c>
      <c r="D791" s="47" t="s">
        <v>45</v>
      </c>
      <c r="E791" s="47" t="s">
        <v>1183</v>
      </c>
      <c r="F791" s="47" t="s">
        <v>1184</v>
      </c>
      <c r="G791" s="47" t="s">
        <v>2344</v>
      </c>
      <c r="H791" s="47" t="s">
        <v>2345</v>
      </c>
      <c r="I791" s="47" t="s">
        <v>63</v>
      </c>
      <c r="J791" s="47" t="s">
        <v>51</v>
      </c>
      <c r="K791" s="48">
        <v>45273</v>
      </c>
      <c r="L791" s="48">
        <v>45273</v>
      </c>
      <c r="M791" s="48">
        <v>45516</v>
      </c>
      <c r="N791" s="47" t="s">
        <v>52</v>
      </c>
      <c r="O791" s="55" t="s">
        <v>53</v>
      </c>
      <c r="P791" s="62">
        <v>10800</v>
      </c>
      <c r="Q791" s="62">
        <v>900</v>
      </c>
      <c r="R791" s="96">
        <v>11280</v>
      </c>
      <c r="S791" s="62">
        <f t="shared" si="193"/>
        <v>940</v>
      </c>
      <c r="T791" s="62">
        <v>11280</v>
      </c>
      <c r="U791" s="62">
        <f t="shared" si="198"/>
        <v>940</v>
      </c>
      <c r="V791" s="69">
        <v>10800</v>
      </c>
      <c r="W791" s="71">
        <v>950</v>
      </c>
      <c r="X791" s="71"/>
      <c r="Y791" s="71"/>
      <c r="Z791" s="64">
        <f t="shared" si="194"/>
        <v>1.0638297872340425E-2</v>
      </c>
      <c r="AA791" s="64">
        <f t="shared" si="187"/>
        <v>1.0638297872340425E-2</v>
      </c>
      <c r="AB791" s="71">
        <v>950</v>
      </c>
      <c r="AC791" s="64">
        <f t="shared" si="195"/>
        <v>1.0638297872340425E-2</v>
      </c>
      <c r="AD791" s="64">
        <f t="shared" si="189"/>
        <v>1.0638297872340425E-2</v>
      </c>
      <c r="AE791" s="71">
        <f t="shared" si="191"/>
        <v>950</v>
      </c>
      <c r="AF791" s="64">
        <f t="shared" si="196"/>
        <v>1.0638297872340425E-2</v>
      </c>
      <c r="AG791" s="64">
        <f t="shared" si="190"/>
        <v>1.0638297872340425E-2</v>
      </c>
      <c r="AH791" s="67"/>
      <c r="AI791" s="47" t="s">
        <v>54</v>
      </c>
      <c r="AJ791" s="47">
        <v>460</v>
      </c>
      <c r="AK791" s="47" t="s">
        <v>55</v>
      </c>
      <c r="AL791" s="47" t="s">
        <v>55</v>
      </c>
      <c r="AM791" s="47" t="s">
        <v>2346</v>
      </c>
      <c r="AN791" s="50"/>
      <c r="AO791" s="211">
        <f t="shared" si="197"/>
        <v>-1</v>
      </c>
      <c r="AP791" s="47" t="s">
        <v>852</v>
      </c>
      <c r="AQ791" s="94" t="s">
        <v>891</v>
      </c>
      <c r="AR791" s="47" t="s">
        <v>899</v>
      </c>
    </row>
    <row r="792" spans="1:44" hidden="1">
      <c r="A792" s="47" t="s">
        <v>74</v>
      </c>
      <c r="B792" s="47" t="str">
        <f t="shared" si="192"/>
        <v>August</v>
      </c>
      <c r="C792" s="59">
        <v>45520</v>
      </c>
      <c r="D792" s="47" t="s">
        <v>45</v>
      </c>
      <c r="E792" s="47" t="s">
        <v>1183</v>
      </c>
      <c r="F792" s="47" t="s">
        <v>1184</v>
      </c>
      <c r="G792" s="47" t="s">
        <v>2429</v>
      </c>
      <c r="H792" s="47" t="s">
        <v>2430</v>
      </c>
      <c r="I792" s="47" t="s">
        <v>63</v>
      </c>
      <c r="J792" s="47" t="s">
        <v>51</v>
      </c>
      <c r="K792" s="48">
        <v>45338</v>
      </c>
      <c r="L792" s="48">
        <v>45338</v>
      </c>
      <c r="M792" s="48">
        <v>45519</v>
      </c>
      <c r="N792" s="47" t="s">
        <v>52</v>
      </c>
      <c r="O792" s="55" t="s">
        <v>53</v>
      </c>
      <c r="P792" s="62">
        <v>10740</v>
      </c>
      <c r="Q792" s="62">
        <v>895</v>
      </c>
      <c r="R792" s="96">
        <v>10920</v>
      </c>
      <c r="S792" s="62">
        <f t="shared" si="193"/>
        <v>910</v>
      </c>
      <c r="T792" s="62">
        <v>10920</v>
      </c>
      <c r="U792" s="62">
        <f t="shared" si="198"/>
        <v>910</v>
      </c>
      <c r="V792" s="69">
        <v>10740</v>
      </c>
      <c r="W792" s="71">
        <v>925</v>
      </c>
      <c r="X792" s="71"/>
      <c r="Y792" s="71"/>
      <c r="Z792" s="64">
        <f t="shared" si="194"/>
        <v>1.6483516483516484E-2</v>
      </c>
      <c r="AA792" s="64">
        <f t="shared" si="187"/>
        <v>1.6483516483516484E-2</v>
      </c>
      <c r="AB792" s="71">
        <v>925</v>
      </c>
      <c r="AC792" s="64">
        <f t="shared" si="195"/>
        <v>1.6483516483516484E-2</v>
      </c>
      <c r="AD792" s="64">
        <f t="shared" si="189"/>
        <v>1.6483516483516484E-2</v>
      </c>
      <c r="AE792" s="71">
        <f t="shared" si="191"/>
        <v>925</v>
      </c>
      <c r="AF792" s="64">
        <f t="shared" si="196"/>
        <v>1.6483516483516484E-2</v>
      </c>
      <c r="AG792" s="64">
        <f t="shared" si="190"/>
        <v>1.6483516483516484E-2</v>
      </c>
      <c r="AH792" s="67"/>
      <c r="AI792" s="47" t="s">
        <v>54</v>
      </c>
      <c r="AJ792" s="47">
        <v>459</v>
      </c>
      <c r="AK792" s="47" t="s">
        <v>55</v>
      </c>
      <c r="AL792" s="47" t="s">
        <v>55</v>
      </c>
      <c r="AM792" s="47" t="s">
        <v>2346</v>
      </c>
      <c r="AN792" s="50"/>
      <c r="AO792" s="211">
        <f t="shared" si="197"/>
        <v>-1</v>
      </c>
      <c r="AP792" s="47" t="s">
        <v>852</v>
      </c>
      <c r="AQ792" s="94" t="s">
        <v>891</v>
      </c>
      <c r="AR792" s="47" t="s">
        <v>1698</v>
      </c>
    </row>
    <row r="793" spans="1:44" hidden="1">
      <c r="A793" s="47" t="s">
        <v>74</v>
      </c>
      <c r="B793" s="47" t="str">
        <f t="shared" si="192"/>
        <v>August</v>
      </c>
      <c r="C793" s="59">
        <v>45520</v>
      </c>
      <c r="D793" s="47" t="s">
        <v>45</v>
      </c>
      <c r="E793" s="47" t="s">
        <v>1183</v>
      </c>
      <c r="F793" s="47" t="s">
        <v>1184</v>
      </c>
      <c r="G793" s="47" t="s">
        <v>2431</v>
      </c>
      <c r="H793" s="47" t="s">
        <v>2432</v>
      </c>
      <c r="I793" s="47" t="s">
        <v>63</v>
      </c>
      <c r="J793" s="47" t="s">
        <v>51</v>
      </c>
      <c r="K793" s="48">
        <v>45339</v>
      </c>
      <c r="L793" s="48">
        <v>45339</v>
      </c>
      <c r="M793" s="48">
        <v>45520</v>
      </c>
      <c r="N793" s="47" t="s">
        <v>52</v>
      </c>
      <c r="O793" s="55" t="s">
        <v>53</v>
      </c>
      <c r="P793" s="62">
        <v>10740</v>
      </c>
      <c r="Q793" s="62">
        <v>895</v>
      </c>
      <c r="R793" s="96">
        <v>10920</v>
      </c>
      <c r="S793" s="62">
        <f t="shared" si="193"/>
        <v>910</v>
      </c>
      <c r="T793" s="62">
        <v>10920</v>
      </c>
      <c r="U793" s="62">
        <f t="shared" si="198"/>
        <v>910</v>
      </c>
      <c r="V793" s="69">
        <v>10740</v>
      </c>
      <c r="W793" s="71">
        <v>925</v>
      </c>
      <c r="X793" s="71"/>
      <c r="Y793" s="71"/>
      <c r="Z793" s="64">
        <f t="shared" si="194"/>
        <v>1.6483516483516484E-2</v>
      </c>
      <c r="AA793" s="64">
        <f t="shared" si="187"/>
        <v>1.6483516483516484E-2</v>
      </c>
      <c r="AB793" s="71">
        <v>925</v>
      </c>
      <c r="AC793" s="64">
        <f t="shared" si="195"/>
        <v>1.6483516483516484E-2</v>
      </c>
      <c r="AD793" s="64">
        <f t="shared" si="189"/>
        <v>1.6483516483516484E-2</v>
      </c>
      <c r="AE793" s="71">
        <f t="shared" si="191"/>
        <v>925</v>
      </c>
      <c r="AF793" s="64">
        <f t="shared" si="196"/>
        <v>1.6483516483516484E-2</v>
      </c>
      <c r="AG793" s="64">
        <f t="shared" si="190"/>
        <v>1.6483516483516484E-2</v>
      </c>
      <c r="AH793" s="67"/>
      <c r="AI793" s="47" t="s">
        <v>54</v>
      </c>
      <c r="AJ793" s="47">
        <v>460</v>
      </c>
      <c r="AK793" s="47" t="s">
        <v>55</v>
      </c>
      <c r="AL793" s="47" t="s">
        <v>55</v>
      </c>
      <c r="AM793" s="47" t="s">
        <v>2433</v>
      </c>
      <c r="AN793" s="50">
        <v>925</v>
      </c>
      <c r="AO793" s="211">
        <f t="shared" si="197"/>
        <v>1.6483516483516484E-2</v>
      </c>
      <c r="AP793" s="47" t="s">
        <v>852</v>
      </c>
      <c r="AQ793" s="111" t="s">
        <v>986</v>
      </c>
      <c r="AR793" s="47" t="s">
        <v>2434</v>
      </c>
    </row>
    <row r="794" spans="1:44" hidden="1">
      <c r="A794" s="47" t="s">
        <v>74</v>
      </c>
      <c r="B794" s="47" t="str">
        <f t="shared" si="192"/>
        <v>August</v>
      </c>
      <c r="C794" s="59">
        <v>45520</v>
      </c>
      <c r="D794" s="47" t="s">
        <v>45</v>
      </c>
      <c r="E794" s="47" t="s">
        <v>1183</v>
      </c>
      <c r="F794" s="47" t="s">
        <v>1184</v>
      </c>
      <c r="G794" s="47" t="s">
        <v>2435</v>
      </c>
      <c r="H794" s="47" t="s">
        <v>2436</v>
      </c>
      <c r="I794" s="47" t="s">
        <v>63</v>
      </c>
      <c r="J794" s="47" t="s">
        <v>51</v>
      </c>
      <c r="K794" s="48">
        <v>45339</v>
      </c>
      <c r="L794" s="48">
        <v>45339</v>
      </c>
      <c r="M794" s="48">
        <v>45520</v>
      </c>
      <c r="N794" s="47" t="s">
        <v>52</v>
      </c>
      <c r="O794" s="55" t="s">
        <v>53</v>
      </c>
      <c r="P794" s="62">
        <v>10800</v>
      </c>
      <c r="Q794" s="62">
        <v>900</v>
      </c>
      <c r="R794" s="96">
        <v>11040</v>
      </c>
      <c r="S794" s="62">
        <f t="shared" si="193"/>
        <v>920</v>
      </c>
      <c r="T794" s="62">
        <v>11040</v>
      </c>
      <c r="U794" s="62">
        <f t="shared" si="198"/>
        <v>920</v>
      </c>
      <c r="V794" s="69">
        <v>10800</v>
      </c>
      <c r="W794" s="71">
        <v>935</v>
      </c>
      <c r="X794" s="71"/>
      <c r="Y794" s="71"/>
      <c r="Z794" s="64">
        <f t="shared" si="194"/>
        <v>1.6304347826086956E-2</v>
      </c>
      <c r="AA794" s="64">
        <f t="shared" ref="AA794:AA857" si="199">(W794-S794)/S794</f>
        <v>1.6304347826086956E-2</v>
      </c>
      <c r="AB794" s="71">
        <v>935</v>
      </c>
      <c r="AC794" s="64">
        <f t="shared" si="195"/>
        <v>1.6304347826086956E-2</v>
      </c>
      <c r="AD794" s="64">
        <f t="shared" si="189"/>
        <v>1.6304347826086956E-2</v>
      </c>
      <c r="AE794" s="71">
        <f t="shared" si="191"/>
        <v>935</v>
      </c>
      <c r="AF794" s="64">
        <f t="shared" si="196"/>
        <v>1.6304347826086956E-2</v>
      </c>
      <c r="AG794" s="64">
        <f t="shared" si="190"/>
        <v>1.6304347826086956E-2</v>
      </c>
      <c r="AH794" s="67"/>
      <c r="AI794" s="47" t="s">
        <v>395</v>
      </c>
      <c r="AJ794" s="47">
        <v>461</v>
      </c>
      <c r="AK794" s="47" t="s">
        <v>55</v>
      </c>
      <c r="AL794" s="47" t="s">
        <v>55</v>
      </c>
      <c r="AM794" s="47" t="s">
        <v>1187</v>
      </c>
      <c r="AN794" s="50">
        <v>935</v>
      </c>
      <c r="AO794" s="211">
        <f t="shared" si="197"/>
        <v>1.6304347826086956E-2</v>
      </c>
      <c r="AP794" s="47" t="s">
        <v>852</v>
      </c>
      <c r="AQ794" s="111" t="s">
        <v>125</v>
      </c>
      <c r="AR794" s="47" t="s">
        <v>987</v>
      </c>
    </row>
    <row r="795" spans="1:44" hidden="1">
      <c r="A795" s="47" t="s">
        <v>44</v>
      </c>
      <c r="B795" s="47" t="str">
        <f t="shared" si="192"/>
        <v>August</v>
      </c>
      <c r="C795" s="59">
        <v>45524</v>
      </c>
      <c r="D795" s="47" t="s">
        <v>45</v>
      </c>
      <c r="E795" s="47" t="s">
        <v>1183</v>
      </c>
      <c r="F795" s="47" t="s">
        <v>1184</v>
      </c>
      <c r="G795" s="47" t="s">
        <v>2593</v>
      </c>
      <c r="H795" s="47" t="s">
        <v>2594</v>
      </c>
      <c r="I795" s="47" t="s">
        <v>63</v>
      </c>
      <c r="J795" s="47" t="s">
        <v>51</v>
      </c>
      <c r="K795" s="48">
        <v>45159</v>
      </c>
      <c r="L795" s="48">
        <v>45159</v>
      </c>
      <c r="M795" s="48">
        <v>45524</v>
      </c>
      <c r="N795" s="47" t="s">
        <v>52</v>
      </c>
      <c r="O795" s="55" t="s">
        <v>53</v>
      </c>
      <c r="P795" s="62">
        <v>14160</v>
      </c>
      <c r="Q795" s="62">
        <v>1180</v>
      </c>
      <c r="R795" s="96">
        <v>14400</v>
      </c>
      <c r="S795" s="62">
        <f t="shared" si="193"/>
        <v>1200</v>
      </c>
      <c r="T795" s="62">
        <v>14160</v>
      </c>
      <c r="U795" s="62">
        <f t="shared" si="198"/>
        <v>1180</v>
      </c>
      <c r="V795" s="69">
        <v>14160</v>
      </c>
      <c r="W795" s="71">
        <v>1255</v>
      </c>
      <c r="X795" s="71"/>
      <c r="Y795" s="71"/>
      <c r="Z795" s="64">
        <f t="shared" si="194"/>
        <v>6.3559322033898302E-2</v>
      </c>
      <c r="AA795" s="64">
        <f t="shared" si="199"/>
        <v>4.583333333333333E-2</v>
      </c>
      <c r="AB795" s="71">
        <v>1255</v>
      </c>
      <c r="AC795" s="64">
        <f t="shared" si="195"/>
        <v>6.3559322033898302E-2</v>
      </c>
      <c r="AD795" s="64">
        <f t="shared" si="189"/>
        <v>4.583333333333333E-2</v>
      </c>
      <c r="AE795" s="71">
        <f t="shared" si="191"/>
        <v>1255</v>
      </c>
      <c r="AF795" s="64">
        <f t="shared" si="196"/>
        <v>6.3559322033898302E-2</v>
      </c>
      <c r="AG795" s="64">
        <f t="shared" si="190"/>
        <v>4.583333333333333E-2</v>
      </c>
      <c r="AH795" s="67"/>
      <c r="AI795" s="47" t="s">
        <v>54</v>
      </c>
      <c r="AJ795" s="47">
        <v>686</v>
      </c>
      <c r="AK795" s="47" t="s">
        <v>65</v>
      </c>
      <c r="AL795" s="47" t="s">
        <v>55</v>
      </c>
      <c r="AM795" s="47" t="s">
        <v>2595</v>
      </c>
      <c r="AN795" s="50"/>
      <c r="AO795" s="211">
        <f t="shared" si="197"/>
        <v>-1</v>
      </c>
      <c r="AP795" s="47" t="s">
        <v>852</v>
      </c>
      <c r="AQ795" s="91" t="s">
        <v>1074</v>
      </c>
      <c r="AR795" s="47" t="s">
        <v>2596</v>
      </c>
    </row>
    <row r="796" spans="1:44" hidden="1">
      <c r="A796" s="47" t="s">
        <v>44</v>
      </c>
      <c r="B796" s="47" t="str">
        <f t="shared" si="192"/>
        <v>August</v>
      </c>
      <c r="C796" s="59">
        <v>45524</v>
      </c>
      <c r="D796" s="47" t="s">
        <v>45</v>
      </c>
      <c r="E796" s="47" t="s">
        <v>1183</v>
      </c>
      <c r="F796" s="47" t="s">
        <v>1184</v>
      </c>
      <c r="G796" s="47" t="s">
        <v>2644</v>
      </c>
      <c r="H796" s="47" t="s">
        <v>2645</v>
      </c>
      <c r="I796" s="47" t="s">
        <v>63</v>
      </c>
      <c r="J796" s="47" t="s">
        <v>51</v>
      </c>
      <c r="K796" s="48">
        <v>45159</v>
      </c>
      <c r="L796" s="48">
        <v>45159</v>
      </c>
      <c r="M796" s="48">
        <v>45524</v>
      </c>
      <c r="N796" s="47" t="s">
        <v>52</v>
      </c>
      <c r="O796" s="55" t="s">
        <v>53</v>
      </c>
      <c r="P796" s="62">
        <v>11400</v>
      </c>
      <c r="Q796" s="62">
        <v>950</v>
      </c>
      <c r="R796" s="96">
        <v>11400</v>
      </c>
      <c r="S796" s="62">
        <f t="shared" si="193"/>
        <v>950</v>
      </c>
      <c r="T796" s="62">
        <v>11400</v>
      </c>
      <c r="U796" s="62">
        <f t="shared" si="198"/>
        <v>950</v>
      </c>
      <c r="V796" s="69">
        <v>11400</v>
      </c>
      <c r="W796" s="71">
        <v>960</v>
      </c>
      <c r="X796" s="71"/>
      <c r="Y796" s="71"/>
      <c r="Z796" s="64">
        <f t="shared" si="194"/>
        <v>1.0526315789473684E-2</v>
      </c>
      <c r="AA796" s="64">
        <f t="shared" si="199"/>
        <v>1.0526315789473684E-2</v>
      </c>
      <c r="AB796" s="71">
        <v>960</v>
      </c>
      <c r="AC796" s="64">
        <f t="shared" si="195"/>
        <v>1.0526315789473684E-2</v>
      </c>
      <c r="AD796" s="64">
        <f t="shared" si="189"/>
        <v>1.0526315789473684E-2</v>
      </c>
      <c r="AE796" s="71">
        <f t="shared" si="191"/>
        <v>960</v>
      </c>
      <c r="AF796" s="64">
        <f t="shared" si="196"/>
        <v>1.0526315789473684E-2</v>
      </c>
      <c r="AG796" s="64">
        <f t="shared" si="190"/>
        <v>1.0526315789473684E-2</v>
      </c>
      <c r="AH796" s="67"/>
      <c r="AI796" s="47" t="s">
        <v>54</v>
      </c>
      <c r="AJ796" s="47">
        <v>461</v>
      </c>
      <c r="AK796" s="47" t="s">
        <v>55</v>
      </c>
      <c r="AL796" s="47" t="s">
        <v>65</v>
      </c>
      <c r="AM796" s="47" t="s">
        <v>2433</v>
      </c>
      <c r="AN796" s="50"/>
      <c r="AO796" s="211">
        <f t="shared" si="197"/>
        <v>-1</v>
      </c>
      <c r="AP796" s="47" t="s">
        <v>852</v>
      </c>
      <c r="AQ796" s="94" t="s">
        <v>959</v>
      </c>
      <c r="AR796" s="47" t="s">
        <v>960</v>
      </c>
    </row>
    <row r="797" spans="1:44" hidden="1">
      <c r="A797" s="47" t="s">
        <v>74</v>
      </c>
      <c r="B797" s="47" t="str">
        <f t="shared" si="192"/>
        <v>August</v>
      </c>
      <c r="C797" s="59">
        <v>45524</v>
      </c>
      <c r="D797" s="47" t="s">
        <v>45</v>
      </c>
      <c r="E797" s="47" t="s">
        <v>1183</v>
      </c>
      <c r="F797" s="47" t="s">
        <v>1184</v>
      </c>
      <c r="G797" s="47" t="s">
        <v>2664</v>
      </c>
      <c r="H797" s="47" t="s">
        <v>2665</v>
      </c>
      <c r="I797" s="47" t="s">
        <v>63</v>
      </c>
      <c r="J797" s="47" t="s">
        <v>51</v>
      </c>
      <c r="K797" s="48">
        <v>45342</v>
      </c>
      <c r="L797" s="48">
        <v>45342</v>
      </c>
      <c r="M797" s="48">
        <v>45523</v>
      </c>
      <c r="N797" s="47" t="s">
        <v>52</v>
      </c>
      <c r="O797" s="55" t="s">
        <v>53</v>
      </c>
      <c r="P797" s="62">
        <v>10680</v>
      </c>
      <c r="Q797" s="62">
        <v>890</v>
      </c>
      <c r="R797" s="96">
        <v>10800</v>
      </c>
      <c r="S797" s="62">
        <f t="shared" si="193"/>
        <v>900</v>
      </c>
      <c r="T797" s="62">
        <v>10800</v>
      </c>
      <c r="U797" s="62">
        <f t="shared" si="198"/>
        <v>900</v>
      </c>
      <c r="V797" s="69">
        <v>10680</v>
      </c>
      <c r="W797" s="71">
        <v>915</v>
      </c>
      <c r="X797" s="71"/>
      <c r="Y797" s="71"/>
      <c r="Z797" s="64">
        <f t="shared" si="194"/>
        <v>1.6666666666666666E-2</v>
      </c>
      <c r="AA797" s="64">
        <f t="shared" si="199"/>
        <v>1.6666666666666666E-2</v>
      </c>
      <c r="AB797" s="71">
        <v>915</v>
      </c>
      <c r="AC797" s="64">
        <f t="shared" si="195"/>
        <v>1.6666666666666666E-2</v>
      </c>
      <c r="AD797" s="64">
        <f t="shared" si="189"/>
        <v>1.6666666666666666E-2</v>
      </c>
      <c r="AE797" s="71">
        <f t="shared" si="191"/>
        <v>915</v>
      </c>
      <c r="AF797" s="64">
        <f t="shared" si="196"/>
        <v>1.6666666666666666E-2</v>
      </c>
      <c r="AG797" s="64">
        <f t="shared" si="190"/>
        <v>1.6666666666666666E-2</v>
      </c>
      <c r="AH797" s="67"/>
      <c r="AI797" s="47" t="s">
        <v>54</v>
      </c>
      <c r="AJ797" s="47">
        <v>452</v>
      </c>
      <c r="AK797" s="47" t="s">
        <v>55</v>
      </c>
      <c r="AL797" s="47" t="s">
        <v>55</v>
      </c>
      <c r="AM797" s="47" t="s">
        <v>2666</v>
      </c>
      <c r="AN797" s="50"/>
      <c r="AO797" s="211">
        <f t="shared" si="197"/>
        <v>-1</v>
      </c>
      <c r="AP797" s="47" t="s">
        <v>852</v>
      </c>
      <c r="AQ797" s="94" t="s">
        <v>898</v>
      </c>
      <c r="AR797" s="47" t="s">
        <v>2667</v>
      </c>
    </row>
    <row r="798" spans="1:44" hidden="1">
      <c r="A798" s="47" t="s">
        <v>44</v>
      </c>
      <c r="B798" s="47" t="str">
        <f t="shared" si="192"/>
        <v>August</v>
      </c>
      <c r="C798" s="59">
        <v>45524</v>
      </c>
      <c r="D798" s="47" t="s">
        <v>45</v>
      </c>
      <c r="E798" s="47" t="s">
        <v>1183</v>
      </c>
      <c r="F798" s="47" t="s">
        <v>1184</v>
      </c>
      <c r="G798" s="47" t="s">
        <v>2683</v>
      </c>
      <c r="H798" s="47" t="s">
        <v>2684</v>
      </c>
      <c r="I798" s="47" t="s">
        <v>63</v>
      </c>
      <c r="J798" s="47" t="s">
        <v>51</v>
      </c>
      <c r="K798" s="48">
        <v>45159</v>
      </c>
      <c r="L798" s="48">
        <v>45159</v>
      </c>
      <c r="M798" s="48">
        <v>45524</v>
      </c>
      <c r="N798" s="47" t="s">
        <v>52</v>
      </c>
      <c r="O798" s="55" t="s">
        <v>53</v>
      </c>
      <c r="P798" s="62">
        <v>13500</v>
      </c>
      <c r="Q798" s="62">
        <v>1125</v>
      </c>
      <c r="R798" s="96">
        <v>13680</v>
      </c>
      <c r="S798" s="62">
        <f t="shared" si="193"/>
        <v>1140</v>
      </c>
      <c r="T798" s="62">
        <v>13260</v>
      </c>
      <c r="U798" s="62">
        <f t="shared" si="198"/>
        <v>1105</v>
      </c>
      <c r="V798" s="69">
        <v>13500</v>
      </c>
      <c r="W798" s="71">
        <v>1175</v>
      </c>
      <c r="X798" s="71"/>
      <c r="Y798" s="71"/>
      <c r="Z798" s="64">
        <f t="shared" si="194"/>
        <v>6.3348416289592757E-2</v>
      </c>
      <c r="AA798" s="64">
        <f t="shared" si="199"/>
        <v>3.0701754385964911E-2</v>
      </c>
      <c r="AB798" s="71">
        <v>1175</v>
      </c>
      <c r="AC798" s="64">
        <f t="shared" si="195"/>
        <v>6.3348416289592757E-2</v>
      </c>
      <c r="AD798" s="64">
        <f t="shared" si="189"/>
        <v>3.0701754385964911E-2</v>
      </c>
      <c r="AE798" s="71">
        <f t="shared" si="191"/>
        <v>1175</v>
      </c>
      <c r="AF798" s="64">
        <f t="shared" si="196"/>
        <v>6.3348416289592757E-2</v>
      </c>
      <c r="AG798" s="64">
        <f t="shared" si="190"/>
        <v>3.0701754385964911E-2</v>
      </c>
      <c r="AH798" s="67"/>
      <c r="AI798" s="47" t="s">
        <v>54</v>
      </c>
      <c r="AJ798" s="47">
        <v>688</v>
      </c>
      <c r="AK798" s="47" t="s">
        <v>65</v>
      </c>
      <c r="AL798" s="47" t="s">
        <v>65</v>
      </c>
      <c r="AM798" s="47" t="s">
        <v>2685</v>
      </c>
      <c r="AN798" s="50"/>
      <c r="AO798" s="211">
        <f t="shared" si="197"/>
        <v>-1</v>
      </c>
      <c r="AP798" s="47" t="s">
        <v>852</v>
      </c>
      <c r="AQ798" s="135" t="s">
        <v>891</v>
      </c>
      <c r="AR798" s="47" t="s">
        <v>1066</v>
      </c>
    </row>
    <row r="799" spans="1:44" hidden="1">
      <c r="A799" s="47" t="s">
        <v>44</v>
      </c>
      <c r="B799" s="47" t="str">
        <f t="shared" si="192"/>
        <v>August</v>
      </c>
      <c r="C799" s="59">
        <v>45524</v>
      </c>
      <c r="D799" s="47" t="s">
        <v>45</v>
      </c>
      <c r="E799" s="47" t="s">
        <v>1183</v>
      </c>
      <c r="F799" s="47" t="s">
        <v>1184</v>
      </c>
      <c r="G799" s="47" t="s">
        <v>2686</v>
      </c>
      <c r="H799" s="47" t="s">
        <v>2687</v>
      </c>
      <c r="I799" s="47" t="s">
        <v>63</v>
      </c>
      <c r="J799" s="47" t="s">
        <v>51</v>
      </c>
      <c r="K799" s="48">
        <v>45159</v>
      </c>
      <c r="L799" s="48">
        <v>45159</v>
      </c>
      <c r="M799" s="48">
        <v>45524</v>
      </c>
      <c r="N799" s="47" t="s">
        <v>52</v>
      </c>
      <c r="O799" s="55" t="s">
        <v>53</v>
      </c>
      <c r="P799" s="62">
        <v>10740</v>
      </c>
      <c r="Q799" s="62">
        <v>895</v>
      </c>
      <c r="R799" s="96">
        <v>10740</v>
      </c>
      <c r="S799" s="62">
        <f t="shared" si="193"/>
        <v>895</v>
      </c>
      <c r="T799" s="62">
        <v>10740</v>
      </c>
      <c r="U799" s="62">
        <f t="shared" si="198"/>
        <v>895</v>
      </c>
      <c r="V799" s="69">
        <v>10740</v>
      </c>
      <c r="W799" s="71">
        <v>905</v>
      </c>
      <c r="X799" s="71"/>
      <c r="Y799" s="71"/>
      <c r="Z799" s="64">
        <f t="shared" si="194"/>
        <v>1.11731843575419E-2</v>
      </c>
      <c r="AA799" s="64">
        <f t="shared" si="199"/>
        <v>1.11731843575419E-2</v>
      </c>
      <c r="AB799" s="71">
        <v>905</v>
      </c>
      <c r="AC799" s="64">
        <f t="shared" si="195"/>
        <v>1.11731843575419E-2</v>
      </c>
      <c r="AD799" s="64">
        <f t="shared" si="189"/>
        <v>1.11731843575419E-2</v>
      </c>
      <c r="AE799" s="71">
        <f t="shared" si="191"/>
        <v>905</v>
      </c>
      <c r="AF799" s="64">
        <f t="shared" si="196"/>
        <v>1.11731843575419E-2</v>
      </c>
      <c r="AG799" s="64">
        <f t="shared" si="190"/>
        <v>1.11731843575419E-2</v>
      </c>
      <c r="AH799" s="67"/>
      <c r="AI799" s="47" t="s">
        <v>54</v>
      </c>
      <c r="AJ799" s="47">
        <v>454</v>
      </c>
      <c r="AK799" s="47" t="s">
        <v>55</v>
      </c>
      <c r="AL799" s="47" t="s">
        <v>55</v>
      </c>
      <c r="AM799" s="47" t="s">
        <v>2688</v>
      </c>
      <c r="AN799" s="50">
        <v>905</v>
      </c>
      <c r="AO799" s="211">
        <f t="shared" si="197"/>
        <v>1.11731843575419E-2</v>
      </c>
      <c r="AP799" s="47" t="s">
        <v>852</v>
      </c>
      <c r="AQ799" s="111" t="s">
        <v>125</v>
      </c>
      <c r="AR799" s="47" t="s">
        <v>1199</v>
      </c>
    </row>
    <row r="800" spans="1:44" hidden="1">
      <c r="A800" s="47" t="s">
        <v>44</v>
      </c>
      <c r="B800" s="47" t="str">
        <f t="shared" si="192"/>
        <v>August</v>
      </c>
      <c r="C800" s="59">
        <v>45524</v>
      </c>
      <c r="D800" s="47" t="s">
        <v>45</v>
      </c>
      <c r="E800" s="47" t="s">
        <v>1183</v>
      </c>
      <c r="F800" s="47" t="s">
        <v>1184</v>
      </c>
      <c r="G800" s="47" t="s">
        <v>2689</v>
      </c>
      <c r="H800" s="47" t="s">
        <v>2690</v>
      </c>
      <c r="I800" s="47" t="s">
        <v>2691</v>
      </c>
      <c r="J800" s="47" t="s">
        <v>51</v>
      </c>
      <c r="K800" s="48">
        <v>45159</v>
      </c>
      <c r="L800" s="48">
        <v>45159</v>
      </c>
      <c r="M800" s="48">
        <v>45524</v>
      </c>
      <c r="N800" s="47" t="s">
        <v>52</v>
      </c>
      <c r="O800" s="55" t="s">
        <v>53</v>
      </c>
      <c r="P800" s="62">
        <v>10500</v>
      </c>
      <c r="Q800" s="62">
        <v>875</v>
      </c>
      <c r="R800" s="96">
        <v>10500</v>
      </c>
      <c r="S800" s="62">
        <f t="shared" si="193"/>
        <v>875</v>
      </c>
      <c r="T800" s="62">
        <v>10500</v>
      </c>
      <c r="U800" s="62">
        <f t="shared" si="198"/>
        <v>875</v>
      </c>
      <c r="V800" s="69">
        <v>10500</v>
      </c>
      <c r="W800" s="71">
        <v>885</v>
      </c>
      <c r="X800" s="71"/>
      <c r="Y800" s="71"/>
      <c r="Z800" s="64">
        <f t="shared" si="194"/>
        <v>1.1428571428571429E-2</v>
      </c>
      <c r="AA800" s="64">
        <f t="shared" si="199"/>
        <v>1.1428571428571429E-2</v>
      </c>
      <c r="AB800" s="71">
        <v>885</v>
      </c>
      <c r="AC800" s="64">
        <f t="shared" si="195"/>
        <v>1.1428571428571429E-2</v>
      </c>
      <c r="AD800" s="64">
        <f t="shared" si="189"/>
        <v>1.1428571428571429E-2</v>
      </c>
      <c r="AE800" s="71">
        <f t="shared" ref="AE800:AE831" si="200">AB800</f>
        <v>885</v>
      </c>
      <c r="AF800" s="64">
        <f t="shared" si="196"/>
        <v>1.1428571428571429E-2</v>
      </c>
      <c r="AG800" s="64">
        <f t="shared" si="190"/>
        <v>1.1428571428571429E-2</v>
      </c>
      <c r="AH800" s="67"/>
      <c r="AI800" s="47" t="s">
        <v>54</v>
      </c>
      <c r="AJ800" s="47">
        <v>447</v>
      </c>
      <c r="AK800" s="47" t="s">
        <v>55</v>
      </c>
      <c r="AL800" s="47" t="s">
        <v>55</v>
      </c>
      <c r="AM800" s="47" t="s">
        <v>2692</v>
      </c>
      <c r="AN800" s="50"/>
      <c r="AO800" s="211">
        <f t="shared" si="197"/>
        <v>-1</v>
      </c>
      <c r="AP800" s="47" t="s">
        <v>852</v>
      </c>
      <c r="AQ800" s="91" t="s">
        <v>1074</v>
      </c>
      <c r="AR800" s="47" t="s">
        <v>2693</v>
      </c>
    </row>
    <row r="801" spans="1:44" hidden="1">
      <c r="A801" s="47" t="s">
        <v>44</v>
      </c>
      <c r="B801" s="47" t="str">
        <f t="shared" si="192"/>
        <v>August</v>
      </c>
      <c r="C801" s="221">
        <v>45525</v>
      </c>
      <c r="D801" s="47" t="s">
        <v>45</v>
      </c>
      <c r="E801" s="47" t="s">
        <v>1183</v>
      </c>
      <c r="F801" s="47" t="s">
        <v>1184</v>
      </c>
      <c r="G801" s="77" t="s">
        <v>2742</v>
      </c>
      <c r="H801" s="47" t="s">
        <v>2743</v>
      </c>
      <c r="I801" s="47" t="s">
        <v>63</v>
      </c>
      <c r="J801" s="47" t="s">
        <v>51</v>
      </c>
      <c r="K801" s="48">
        <v>45160</v>
      </c>
      <c r="L801" s="48">
        <v>45160</v>
      </c>
      <c r="M801" s="48">
        <v>45525</v>
      </c>
      <c r="N801" s="47" t="s">
        <v>52</v>
      </c>
      <c r="O801" s="55" t="s">
        <v>53</v>
      </c>
      <c r="P801" s="62">
        <v>10740</v>
      </c>
      <c r="Q801" s="62">
        <v>895</v>
      </c>
      <c r="R801" s="96">
        <v>10740</v>
      </c>
      <c r="S801" s="62">
        <f t="shared" si="193"/>
        <v>895</v>
      </c>
      <c r="T801" s="62">
        <v>10740</v>
      </c>
      <c r="U801" s="62">
        <f t="shared" si="198"/>
        <v>895</v>
      </c>
      <c r="V801" s="69">
        <v>10740</v>
      </c>
      <c r="W801" s="71">
        <v>905</v>
      </c>
      <c r="X801" s="71"/>
      <c r="Y801" s="71"/>
      <c r="Z801" s="64">
        <f t="shared" si="194"/>
        <v>1.11731843575419E-2</v>
      </c>
      <c r="AA801" s="64">
        <f t="shared" si="199"/>
        <v>1.11731843575419E-2</v>
      </c>
      <c r="AB801" s="71">
        <v>905</v>
      </c>
      <c r="AC801" s="64">
        <f t="shared" si="195"/>
        <v>1.11731843575419E-2</v>
      </c>
      <c r="AD801" s="64">
        <f t="shared" si="189"/>
        <v>1.11731843575419E-2</v>
      </c>
      <c r="AE801" s="71">
        <f t="shared" si="200"/>
        <v>905</v>
      </c>
      <c r="AF801" s="64">
        <f t="shared" si="196"/>
        <v>1.11731843575419E-2</v>
      </c>
      <c r="AG801" s="64">
        <f t="shared" si="190"/>
        <v>1.11731843575419E-2</v>
      </c>
      <c r="AH801" s="67"/>
      <c r="AI801" s="47" t="s">
        <v>54</v>
      </c>
      <c r="AJ801" s="47">
        <v>460</v>
      </c>
      <c r="AK801" s="47" t="s">
        <v>55</v>
      </c>
      <c r="AL801" s="47" t="s">
        <v>55</v>
      </c>
      <c r="AM801" s="47" t="s">
        <v>2744</v>
      </c>
      <c r="AN801" s="50"/>
      <c r="AO801" s="211">
        <f t="shared" si="197"/>
        <v>-1</v>
      </c>
      <c r="AP801" s="47" t="s">
        <v>852</v>
      </c>
      <c r="AQ801" s="91" t="s">
        <v>1132</v>
      </c>
      <c r="AR801" s="47"/>
    </row>
    <row r="802" spans="1:44" hidden="1">
      <c r="A802" s="47" t="s">
        <v>44</v>
      </c>
      <c r="B802" s="47" t="str">
        <f t="shared" si="192"/>
        <v>August</v>
      </c>
      <c r="C802" s="59">
        <v>45525</v>
      </c>
      <c r="D802" s="47" t="s">
        <v>45</v>
      </c>
      <c r="E802" s="47" t="s">
        <v>1183</v>
      </c>
      <c r="F802" s="47" t="s">
        <v>1184</v>
      </c>
      <c r="G802" s="47" t="s">
        <v>2777</v>
      </c>
      <c r="H802" s="47" t="s">
        <v>2778</v>
      </c>
      <c r="I802" s="47" t="s">
        <v>63</v>
      </c>
      <c r="J802" s="47" t="s">
        <v>51</v>
      </c>
      <c r="K802" s="48">
        <v>45160</v>
      </c>
      <c r="L802" s="48">
        <v>45160</v>
      </c>
      <c r="M802" s="48">
        <v>45525</v>
      </c>
      <c r="N802" s="47" t="s">
        <v>52</v>
      </c>
      <c r="O802" s="55" t="s">
        <v>53</v>
      </c>
      <c r="P802" s="62">
        <v>11400</v>
      </c>
      <c r="Q802" s="62">
        <v>950</v>
      </c>
      <c r="R802" s="96">
        <v>11400</v>
      </c>
      <c r="S802" s="62">
        <f t="shared" si="193"/>
        <v>950</v>
      </c>
      <c r="T802" s="62">
        <v>11400</v>
      </c>
      <c r="U802" s="62">
        <f t="shared" si="198"/>
        <v>950</v>
      </c>
      <c r="V802" s="69">
        <v>11400</v>
      </c>
      <c r="W802" s="71">
        <v>960</v>
      </c>
      <c r="X802" s="71"/>
      <c r="Y802" s="71"/>
      <c r="Z802" s="64">
        <f t="shared" si="194"/>
        <v>1.0526315789473684E-2</v>
      </c>
      <c r="AA802" s="64">
        <f t="shared" si="199"/>
        <v>1.0526315789473684E-2</v>
      </c>
      <c r="AB802" s="71">
        <v>960</v>
      </c>
      <c r="AC802" s="64">
        <f t="shared" si="195"/>
        <v>1.0526315789473684E-2</v>
      </c>
      <c r="AD802" s="64">
        <f t="shared" si="189"/>
        <v>1.0526315789473684E-2</v>
      </c>
      <c r="AE802" s="71">
        <f t="shared" si="200"/>
        <v>960</v>
      </c>
      <c r="AF802" s="64">
        <f t="shared" si="196"/>
        <v>1.0526315789473684E-2</v>
      </c>
      <c r="AG802" s="64">
        <f t="shared" si="190"/>
        <v>1.0526315789473684E-2</v>
      </c>
      <c r="AH802" s="67"/>
      <c r="AI802" s="47" t="s">
        <v>54</v>
      </c>
      <c r="AJ802" s="47">
        <v>451</v>
      </c>
      <c r="AK802" s="47" t="s">
        <v>55</v>
      </c>
      <c r="AL802" s="47" t="s">
        <v>55</v>
      </c>
      <c r="AM802" s="47" t="s">
        <v>2666</v>
      </c>
      <c r="AN802" s="50">
        <v>960</v>
      </c>
      <c r="AO802" s="211">
        <f t="shared" si="197"/>
        <v>1.0526315789473684E-2</v>
      </c>
      <c r="AP802" s="47" t="s">
        <v>852</v>
      </c>
      <c r="AQ802" s="111" t="s">
        <v>125</v>
      </c>
      <c r="AR802" s="47" t="s">
        <v>1974</v>
      </c>
    </row>
    <row r="803" spans="1:44" hidden="1">
      <c r="A803" s="47" t="s">
        <v>44</v>
      </c>
      <c r="B803" s="47" t="str">
        <f t="shared" si="192"/>
        <v>August</v>
      </c>
      <c r="C803" s="59">
        <v>45525</v>
      </c>
      <c r="D803" s="47" t="s">
        <v>45</v>
      </c>
      <c r="E803" s="47" t="s">
        <v>1183</v>
      </c>
      <c r="F803" s="47" t="s">
        <v>1184</v>
      </c>
      <c r="G803" s="47" t="s">
        <v>2779</v>
      </c>
      <c r="H803" s="47" t="s">
        <v>2780</v>
      </c>
      <c r="I803" s="47" t="s">
        <v>63</v>
      </c>
      <c r="J803" s="47" t="s">
        <v>51</v>
      </c>
      <c r="K803" s="48">
        <v>45160</v>
      </c>
      <c r="L803" s="48">
        <v>45160</v>
      </c>
      <c r="M803" s="48">
        <v>45525</v>
      </c>
      <c r="N803" s="47" t="s">
        <v>52</v>
      </c>
      <c r="O803" s="55" t="s">
        <v>53</v>
      </c>
      <c r="P803" s="62">
        <v>13680</v>
      </c>
      <c r="Q803" s="62">
        <v>1140</v>
      </c>
      <c r="R803" s="96">
        <v>13800</v>
      </c>
      <c r="S803" s="62">
        <f t="shared" si="193"/>
        <v>1150</v>
      </c>
      <c r="T803" s="62">
        <v>13500</v>
      </c>
      <c r="U803" s="62">
        <f t="shared" si="198"/>
        <v>1125</v>
      </c>
      <c r="V803" s="69">
        <v>13680</v>
      </c>
      <c r="W803" s="71">
        <v>1195</v>
      </c>
      <c r="X803" s="71"/>
      <c r="Y803" s="71"/>
      <c r="Z803" s="64">
        <f t="shared" si="194"/>
        <v>6.222222222222222E-2</v>
      </c>
      <c r="AA803" s="64">
        <f t="shared" si="199"/>
        <v>3.9130434782608699E-2</v>
      </c>
      <c r="AB803" s="71">
        <v>1195</v>
      </c>
      <c r="AC803" s="64">
        <f t="shared" si="195"/>
        <v>6.222222222222222E-2</v>
      </c>
      <c r="AD803" s="64">
        <f t="shared" si="189"/>
        <v>3.9130434782608699E-2</v>
      </c>
      <c r="AE803" s="71">
        <f t="shared" si="200"/>
        <v>1195</v>
      </c>
      <c r="AF803" s="64">
        <f t="shared" si="196"/>
        <v>6.222222222222222E-2</v>
      </c>
      <c r="AG803" s="64">
        <f t="shared" si="190"/>
        <v>3.9130434782608699E-2</v>
      </c>
      <c r="AH803" s="67"/>
      <c r="AI803" s="47" t="s">
        <v>54</v>
      </c>
      <c r="AJ803" s="47">
        <v>679</v>
      </c>
      <c r="AK803" s="47" t="s">
        <v>65</v>
      </c>
      <c r="AL803" s="47" t="s">
        <v>65</v>
      </c>
      <c r="AM803" s="47" t="s">
        <v>2781</v>
      </c>
      <c r="AN803" s="50"/>
      <c r="AO803" s="211">
        <f t="shared" si="197"/>
        <v>-1</v>
      </c>
      <c r="AP803" s="47" t="s">
        <v>852</v>
      </c>
      <c r="AQ803" s="94" t="s">
        <v>1039</v>
      </c>
      <c r="AR803" s="47" t="s">
        <v>960</v>
      </c>
    </row>
    <row r="804" spans="1:44" hidden="1">
      <c r="A804" s="47" t="s">
        <v>44</v>
      </c>
      <c r="B804" s="47" t="str">
        <f t="shared" si="192"/>
        <v>August</v>
      </c>
      <c r="C804" s="59">
        <v>45525</v>
      </c>
      <c r="D804" s="47" t="s">
        <v>45</v>
      </c>
      <c r="E804" s="47" t="s">
        <v>1183</v>
      </c>
      <c r="F804" s="47" t="s">
        <v>1184</v>
      </c>
      <c r="G804" s="47" t="s">
        <v>2786</v>
      </c>
      <c r="H804" s="47" t="s">
        <v>2787</v>
      </c>
      <c r="I804" s="47" t="s">
        <v>63</v>
      </c>
      <c r="J804" s="47" t="s">
        <v>51</v>
      </c>
      <c r="K804" s="48">
        <v>45160</v>
      </c>
      <c r="L804" s="48">
        <v>45160</v>
      </c>
      <c r="M804" s="48">
        <v>45525</v>
      </c>
      <c r="N804" s="47" t="s">
        <v>52</v>
      </c>
      <c r="O804" s="55" t="s">
        <v>53</v>
      </c>
      <c r="P804" s="62">
        <v>13800</v>
      </c>
      <c r="Q804" s="62">
        <v>1150</v>
      </c>
      <c r="R804" s="96">
        <v>13920</v>
      </c>
      <c r="S804" s="62">
        <f t="shared" si="193"/>
        <v>1160</v>
      </c>
      <c r="T804" s="62">
        <v>13800</v>
      </c>
      <c r="U804" s="62">
        <f t="shared" si="198"/>
        <v>1150</v>
      </c>
      <c r="V804" s="69">
        <v>13800</v>
      </c>
      <c r="W804" s="71">
        <v>1220</v>
      </c>
      <c r="X804" s="71"/>
      <c r="Y804" s="71"/>
      <c r="Z804" s="64">
        <f t="shared" si="194"/>
        <v>6.0869565217391307E-2</v>
      </c>
      <c r="AA804" s="64">
        <f t="shared" si="199"/>
        <v>5.1724137931034482E-2</v>
      </c>
      <c r="AB804" s="71">
        <v>1220</v>
      </c>
      <c r="AC804" s="64">
        <f t="shared" si="195"/>
        <v>6.0869565217391307E-2</v>
      </c>
      <c r="AD804" s="64">
        <f t="shared" si="189"/>
        <v>5.1724137931034482E-2</v>
      </c>
      <c r="AE804" s="71">
        <f t="shared" si="200"/>
        <v>1220</v>
      </c>
      <c r="AF804" s="64">
        <f t="shared" si="196"/>
        <v>6.0869565217391307E-2</v>
      </c>
      <c r="AG804" s="64">
        <f t="shared" si="190"/>
        <v>5.1724137931034482E-2</v>
      </c>
      <c r="AH804" s="67"/>
      <c r="AI804" s="47" t="s">
        <v>54</v>
      </c>
      <c r="AJ804" s="47">
        <v>689</v>
      </c>
      <c r="AK804" s="47" t="s">
        <v>65</v>
      </c>
      <c r="AL804" s="47" t="s">
        <v>65</v>
      </c>
      <c r="AM804" s="47" t="s">
        <v>2595</v>
      </c>
      <c r="AN804" s="50"/>
      <c r="AO804" s="211">
        <f t="shared" si="197"/>
        <v>-1</v>
      </c>
      <c r="AP804" s="47" t="s">
        <v>852</v>
      </c>
      <c r="AQ804" s="111" t="s">
        <v>125</v>
      </c>
      <c r="AR804" s="47" t="s">
        <v>2788</v>
      </c>
    </row>
    <row r="805" spans="1:44" hidden="1">
      <c r="A805" s="47" t="s">
        <v>44</v>
      </c>
      <c r="B805" s="47" t="str">
        <f t="shared" si="192"/>
        <v>July</v>
      </c>
      <c r="C805" s="59">
        <v>45499</v>
      </c>
      <c r="D805" s="47" t="s">
        <v>45</v>
      </c>
      <c r="E805" s="47" t="s">
        <v>1183</v>
      </c>
      <c r="F805" s="47" t="s">
        <v>1184</v>
      </c>
      <c r="G805" s="47" t="s">
        <v>2797</v>
      </c>
      <c r="H805" s="47" t="s">
        <v>2798</v>
      </c>
      <c r="I805" s="47" t="s">
        <v>63</v>
      </c>
      <c r="J805" s="47" t="s">
        <v>51</v>
      </c>
      <c r="K805" s="48">
        <v>45318</v>
      </c>
      <c r="L805" s="48">
        <v>45318</v>
      </c>
      <c r="M805" s="48">
        <v>45499</v>
      </c>
      <c r="N805" s="47" t="s">
        <v>52</v>
      </c>
      <c r="O805" s="55" t="s">
        <v>53</v>
      </c>
      <c r="P805" s="62">
        <v>10680</v>
      </c>
      <c r="Q805" s="62">
        <v>890</v>
      </c>
      <c r="R805" s="96">
        <v>10800</v>
      </c>
      <c r="S805" s="62">
        <f t="shared" si="193"/>
        <v>900</v>
      </c>
      <c r="T805" s="62">
        <v>10800</v>
      </c>
      <c r="U805" s="62">
        <f t="shared" si="198"/>
        <v>900</v>
      </c>
      <c r="V805" s="69">
        <v>10680</v>
      </c>
      <c r="W805" s="71">
        <v>900</v>
      </c>
      <c r="X805" s="71"/>
      <c r="Y805" s="71"/>
      <c r="Z805" s="64">
        <f t="shared" si="194"/>
        <v>0</v>
      </c>
      <c r="AA805" s="64">
        <f t="shared" si="199"/>
        <v>0</v>
      </c>
      <c r="AB805" s="71">
        <v>900</v>
      </c>
      <c r="AC805" s="64">
        <f t="shared" si="195"/>
        <v>0</v>
      </c>
      <c r="AD805" s="64">
        <f t="shared" ref="AD805:AD868" si="201">(AB805-S805)/S805</f>
        <v>0</v>
      </c>
      <c r="AE805" s="71">
        <f t="shared" si="200"/>
        <v>900</v>
      </c>
      <c r="AF805" s="64">
        <f t="shared" si="196"/>
        <v>0</v>
      </c>
      <c r="AG805" s="64">
        <f t="shared" ref="AG805:AG868" si="202">(AE805-S805)/S805</f>
        <v>0</v>
      </c>
      <c r="AH805" s="67"/>
      <c r="AI805" s="47" t="s">
        <v>54</v>
      </c>
      <c r="AJ805" s="47">
        <v>461</v>
      </c>
      <c r="AK805" s="47" t="s">
        <v>55</v>
      </c>
      <c r="AL805" s="47" t="s">
        <v>55</v>
      </c>
      <c r="AM805" s="47" t="s">
        <v>1187</v>
      </c>
      <c r="AN805" s="50">
        <v>900</v>
      </c>
      <c r="AO805" s="211">
        <f t="shared" si="197"/>
        <v>0</v>
      </c>
      <c r="AP805" s="47" t="s">
        <v>852</v>
      </c>
      <c r="AQ805" s="111" t="s">
        <v>125</v>
      </c>
      <c r="AR805" s="47"/>
    </row>
    <row r="806" spans="1:44" hidden="1">
      <c r="A806" s="47" t="s">
        <v>44</v>
      </c>
      <c r="B806" s="47" t="str">
        <f t="shared" si="192"/>
        <v>July</v>
      </c>
      <c r="C806" s="59">
        <v>45474</v>
      </c>
      <c r="D806" s="47" t="s">
        <v>45</v>
      </c>
      <c r="E806" s="47" t="s">
        <v>1183</v>
      </c>
      <c r="F806" s="47" t="s">
        <v>1184</v>
      </c>
      <c r="G806" s="47" t="s">
        <v>2799</v>
      </c>
      <c r="H806" s="47" t="s">
        <v>2800</v>
      </c>
      <c r="I806" s="47" t="s">
        <v>63</v>
      </c>
      <c r="J806" s="47" t="s">
        <v>51</v>
      </c>
      <c r="K806" s="48">
        <v>45293</v>
      </c>
      <c r="L806" s="48">
        <v>45293</v>
      </c>
      <c r="M806" s="48">
        <v>45474</v>
      </c>
      <c r="N806" s="47" t="s">
        <v>52</v>
      </c>
      <c r="O806" s="55" t="s">
        <v>53</v>
      </c>
      <c r="P806" s="62">
        <v>13200</v>
      </c>
      <c r="Q806" s="62">
        <v>1100</v>
      </c>
      <c r="R806" s="96">
        <v>13800</v>
      </c>
      <c r="S806" s="62">
        <f t="shared" si="193"/>
        <v>1150</v>
      </c>
      <c r="T806" s="62">
        <v>13800</v>
      </c>
      <c r="U806" s="62">
        <f t="shared" si="198"/>
        <v>1150</v>
      </c>
      <c r="V806" s="69">
        <v>13200</v>
      </c>
      <c r="W806" s="71">
        <v>1190</v>
      </c>
      <c r="X806" s="71"/>
      <c r="Y806" s="71"/>
      <c r="Z806" s="64">
        <f t="shared" si="194"/>
        <v>3.4782608695652174E-2</v>
      </c>
      <c r="AA806" s="64">
        <f t="shared" si="199"/>
        <v>3.4782608695652174E-2</v>
      </c>
      <c r="AB806" s="71">
        <v>1190</v>
      </c>
      <c r="AC806" s="64">
        <f t="shared" si="195"/>
        <v>3.4782608695652174E-2</v>
      </c>
      <c r="AD806" s="64">
        <f t="shared" si="201"/>
        <v>3.4782608695652174E-2</v>
      </c>
      <c r="AE806" s="71">
        <f t="shared" si="200"/>
        <v>1190</v>
      </c>
      <c r="AF806" s="64">
        <f t="shared" si="196"/>
        <v>3.4782608695652174E-2</v>
      </c>
      <c r="AG806" s="64">
        <f t="shared" si="202"/>
        <v>3.4782608695652174E-2</v>
      </c>
      <c r="AH806" s="67"/>
      <c r="AI806" s="47" t="s">
        <v>250</v>
      </c>
      <c r="AJ806" s="47">
        <v>679</v>
      </c>
      <c r="AK806" s="47" t="s">
        <v>65</v>
      </c>
      <c r="AL806" s="47" t="s">
        <v>65</v>
      </c>
      <c r="AM806" s="47" t="s">
        <v>2781</v>
      </c>
      <c r="AN806" s="50">
        <v>1190</v>
      </c>
      <c r="AO806" s="211">
        <f t="shared" si="197"/>
        <v>3.4782608695652174E-2</v>
      </c>
      <c r="AP806" s="47" t="s">
        <v>852</v>
      </c>
      <c r="AQ806" s="111" t="s">
        <v>125</v>
      </c>
      <c r="AR806" s="47" t="s">
        <v>2801</v>
      </c>
    </row>
    <row r="807" spans="1:44" hidden="1">
      <c r="A807" s="47" t="s">
        <v>44</v>
      </c>
      <c r="B807" s="47" t="str">
        <f t="shared" si="192"/>
        <v>July</v>
      </c>
      <c r="C807" s="59">
        <v>45497</v>
      </c>
      <c r="D807" s="47" t="s">
        <v>45</v>
      </c>
      <c r="E807" s="47" t="s">
        <v>1183</v>
      </c>
      <c r="F807" s="47" t="s">
        <v>1184</v>
      </c>
      <c r="G807" s="47" t="s">
        <v>2802</v>
      </c>
      <c r="H807" s="47" t="s">
        <v>2803</v>
      </c>
      <c r="I807" s="47" t="s">
        <v>63</v>
      </c>
      <c r="J807" s="47" t="s">
        <v>51</v>
      </c>
      <c r="K807" s="48">
        <v>45316</v>
      </c>
      <c r="L807" s="48">
        <v>45316</v>
      </c>
      <c r="M807" s="48">
        <v>45497</v>
      </c>
      <c r="N807" s="47" t="s">
        <v>52</v>
      </c>
      <c r="O807" s="55" t="s">
        <v>53</v>
      </c>
      <c r="P807" s="62">
        <v>13680</v>
      </c>
      <c r="Q807" s="62">
        <v>1140</v>
      </c>
      <c r="R807" s="96">
        <v>14100</v>
      </c>
      <c r="S807" s="62">
        <f t="shared" si="193"/>
        <v>1175</v>
      </c>
      <c r="T807" s="62">
        <v>14100</v>
      </c>
      <c r="U807" s="62">
        <f t="shared" si="198"/>
        <v>1175</v>
      </c>
      <c r="V807" s="69">
        <v>13680</v>
      </c>
      <c r="W807" s="71">
        <v>1190</v>
      </c>
      <c r="X807" s="71"/>
      <c r="Y807" s="71"/>
      <c r="Z807" s="64">
        <f t="shared" si="194"/>
        <v>1.276595744680851E-2</v>
      </c>
      <c r="AA807" s="64">
        <f t="shared" si="199"/>
        <v>1.276595744680851E-2</v>
      </c>
      <c r="AB807" s="71">
        <v>1190</v>
      </c>
      <c r="AC807" s="64">
        <f t="shared" si="195"/>
        <v>1.276595744680851E-2</v>
      </c>
      <c r="AD807" s="64">
        <f t="shared" si="201"/>
        <v>1.276595744680851E-2</v>
      </c>
      <c r="AE807" s="71">
        <f t="shared" si="200"/>
        <v>1190</v>
      </c>
      <c r="AF807" s="64">
        <f t="shared" si="196"/>
        <v>1.276595744680851E-2</v>
      </c>
      <c r="AG807" s="64">
        <f t="shared" si="202"/>
        <v>1.276595744680851E-2</v>
      </c>
      <c r="AH807" s="67"/>
      <c r="AI807" s="47" t="s">
        <v>54</v>
      </c>
      <c r="AJ807" s="47">
        <v>680</v>
      </c>
      <c r="AK807" s="47" t="s">
        <v>65</v>
      </c>
      <c r="AL807" s="47" t="s">
        <v>65</v>
      </c>
      <c r="AM807" s="47" t="s">
        <v>2781</v>
      </c>
      <c r="AN807" s="50">
        <v>1190</v>
      </c>
      <c r="AO807" s="211">
        <f t="shared" si="197"/>
        <v>1.276595744680851E-2</v>
      </c>
      <c r="AP807" s="47" t="s">
        <v>852</v>
      </c>
      <c r="AQ807" s="111" t="s">
        <v>125</v>
      </c>
      <c r="AR807" s="47" t="s">
        <v>2804</v>
      </c>
    </row>
    <row r="808" spans="1:44" hidden="1">
      <c r="A808" s="47" t="s">
        <v>44</v>
      </c>
      <c r="B808" s="47" t="str">
        <f t="shared" si="192"/>
        <v>July</v>
      </c>
      <c r="C808" s="59">
        <v>45484</v>
      </c>
      <c r="D808" s="47" t="s">
        <v>45</v>
      </c>
      <c r="E808" s="47" t="s">
        <v>1183</v>
      </c>
      <c r="F808" s="47" t="s">
        <v>1184</v>
      </c>
      <c r="G808" s="47" t="s">
        <v>2805</v>
      </c>
      <c r="H808" s="47" t="s">
        <v>2806</v>
      </c>
      <c r="I808" s="47" t="s">
        <v>63</v>
      </c>
      <c r="J808" s="47" t="s">
        <v>51</v>
      </c>
      <c r="K808" s="48">
        <v>45303</v>
      </c>
      <c r="L808" s="48">
        <v>45303</v>
      </c>
      <c r="M808" s="48">
        <v>45484</v>
      </c>
      <c r="N808" s="47" t="s">
        <v>52</v>
      </c>
      <c r="O808" s="55" t="s">
        <v>53</v>
      </c>
      <c r="P808" s="62">
        <v>10740</v>
      </c>
      <c r="Q808" s="62">
        <v>895</v>
      </c>
      <c r="R808" s="96">
        <v>10740</v>
      </c>
      <c r="S808" s="62">
        <f t="shared" si="193"/>
        <v>895</v>
      </c>
      <c r="T808" s="62">
        <v>10740</v>
      </c>
      <c r="U808" s="62">
        <f t="shared" si="198"/>
        <v>895</v>
      </c>
      <c r="V808" s="69">
        <v>10740</v>
      </c>
      <c r="W808" s="71">
        <v>910</v>
      </c>
      <c r="X808" s="71"/>
      <c r="Y808" s="71"/>
      <c r="Z808" s="64">
        <f t="shared" si="194"/>
        <v>1.6759776536312849E-2</v>
      </c>
      <c r="AA808" s="64">
        <f t="shared" si="199"/>
        <v>1.6759776536312849E-2</v>
      </c>
      <c r="AB808" s="71">
        <v>910</v>
      </c>
      <c r="AC808" s="64">
        <f t="shared" si="195"/>
        <v>1.6759776536312849E-2</v>
      </c>
      <c r="AD808" s="64">
        <f t="shared" si="201"/>
        <v>1.6759776536312849E-2</v>
      </c>
      <c r="AE808" s="71">
        <f t="shared" si="200"/>
        <v>910</v>
      </c>
      <c r="AF808" s="64">
        <f t="shared" si="196"/>
        <v>1.6759776536312849E-2</v>
      </c>
      <c r="AG808" s="64">
        <f t="shared" si="202"/>
        <v>1.6759776536312849E-2</v>
      </c>
      <c r="AH808" s="67"/>
      <c r="AI808" s="47" t="s">
        <v>54</v>
      </c>
      <c r="AJ808" s="47">
        <v>460</v>
      </c>
      <c r="AK808" s="47" t="s">
        <v>55</v>
      </c>
      <c r="AL808" s="47" t="s">
        <v>55</v>
      </c>
      <c r="AM808" s="47" t="s">
        <v>1187</v>
      </c>
      <c r="AN808" s="50">
        <v>910</v>
      </c>
      <c r="AO808" s="211">
        <f t="shared" si="197"/>
        <v>1.6759776536312849E-2</v>
      </c>
      <c r="AP808" s="47" t="s">
        <v>852</v>
      </c>
      <c r="AQ808" s="111" t="s">
        <v>125</v>
      </c>
      <c r="AR808" s="47"/>
    </row>
    <row r="809" spans="1:44" hidden="1">
      <c r="A809" s="47" t="s">
        <v>44</v>
      </c>
      <c r="B809" s="47" t="str">
        <f t="shared" si="192"/>
        <v>July</v>
      </c>
      <c r="C809" s="59">
        <v>45482</v>
      </c>
      <c r="D809" s="47" t="s">
        <v>45</v>
      </c>
      <c r="E809" s="47" t="s">
        <v>1183</v>
      </c>
      <c r="F809" s="47" t="s">
        <v>1184</v>
      </c>
      <c r="G809" s="47" t="s">
        <v>2807</v>
      </c>
      <c r="H809" s="47" t="s">
        <v>2808</v>
      </c>
      <c r="I809" s="47" t="s">
        <v>63</v>
      </c>
      <c r="J809" s="47" t="s">
        <v>51</v>
      </c>
      <c r="K809" s="48">
        <v>45301</v>
      </c>
      <c r="L809" s="48">
        <v>45301</v>
      </c>
      <c r="M809" s="48">
        <v>45482</v>
      </c>
      <c r="N809" s="47" t="s">
        <v>52</v>
      </c>
      <c r="O809" s="55" t="s">
        <v>53</v>
      </c>
      <c r="P809" s="62">
        <v>13920</v>
      </c>
      <c r="Q809" s="62">
        <v>1160</v>
      </c>
      <c r="R809" s="96">
        <v>14440</v>
      </c>
      <c r="S809" s="62">
        <f t="shared" si="193"/>
        <v>1203.3333333333333</v>
      </c>
      <c r="T809" s="62">
        <v>14400</v>
      </c>
      <c r="U809" s="62">
        <f t="shared" si="198"/>
        <v>1200</v>
      </c>
      <c r="V809" s="69">
        <v>13920</v>
      </c>
      <c r="W809" s="71">
        <v>1215</v>
      </c>
      <c r="X809" s="71"/>
      <c r="Y809" s="71"/>
      <c r="Z809" s="64">
        <f t="shared" si="194"/>
        <v>1.2500000000000001E-2</v>
      </c>
      <c r="AA809" s="64">
        <f t="shared" si="199"/>
        <v>9.6952908587258253E-3</v>
      </c>
      <c r="AB809" s="71">
        <v>1215</v>
      </c>
      <c r="AC809" s="64">
        <f t="shared" si="195"/>
        <v>1.2500000000000001E-2</v>
      </c>
      <c r="AD809" s="64">
        <f t="shared" si="201"/>
        <v>9.6952908587258253E-3</v>
      </c>
      <c r="AE809" s="71">
        <f t="shared" si="200"/>
        <v>1215</v>
      </c>
      <c r="AF809" s="64">
        <f t="shared" si="196"/>
        <v>1.2500000000000001E-2</v>
      </c>
      <c r="AG809" s="64">
        <f t="shared" si="202"/>
        <v>9.6952908587258253E-3</v>
      </c>
      <c r="AH809" s="67"/>
      <c r="AI809" s="47" t="s">
        <v>54</v>
      </c>
      <c r="AJ809" s="47">
        <v>684</v>
      </c>
      <c r="AK809" s="47" t="s">
        <v>65</v>
      </c>
      <c r="AL809" s="47" t="s">
        <v>65</v>
      </c>
      <c r="AM809" s="47" t="s">
        <v>2595</v>
      </c>
      <c r="AN809" s="50">
        <v>1215</v>
      </c>
      <c r="AO809" s="211">
        <f t="shared" si="197"/>
        <v>1.2500000000000001E-2</v>
      </c>
      <c r="AP809" s="47" t="s">
        <v>852</v>
      </c>
      <c r="AQ809" s="91" t="s">
        <v>1074</v>
      </c>
      <c r="AR809" s="47" t="s">
        <v>2809</v>
      </c>
    </row>
    <row r="810" spans="1:44" hidden="1">
      <c r="A810" s="47" t="s">
        <v>44</v>
      </c>
      <c r="B810" s="47" t="str">
        <f t="shared" si="192"/>
        <v>July</v>
      </c>
      <c r="C810" s="59">
        <v>45487</v>
      </c>
      <c r="D810" s="47" t="s">
        <v>45</v>
      </c>
      <c r="E810" s="47" t="s">
        <v>1183</v>
      </c>
      <c r="F810" s="47" t="s">
        <v>1184</v>
      </c>
      <c r="G810" s="47" t="s">
        <v>2810</v>
      </c>
      <c r="H810" s="47" t="s">
        <v>2811</v>
      </c>
      <c r="I810" s="47" t="s">
        <v>63</v>
      </c>
      <c r="J810" s="47" t="s">
        <v>51</v>
      </c>
      <c r="K810" s="48">
        <v>45306</v>
      </c>
      <c r="L810" s="48">
        <v>45306</v>
      </c>
      <c r="M810" s="48">
        <v>45487</v>
      </c>
      <c r="N810" s="47" t="s">
        <v>52</v>
      </c>
      <c r="O810" s="55" t="s">
        <v>53</v>
      </c>
      <c r="P810" s="62">
        <v>13680</v>
      </c>
      <c r="Q810" s="62">
        <v>1140</v>
      </c>
      <c r="R810" s="96">
        <v>14400</v>
      </c>
      <c r="S810" s="62">
        <f t="shared" si="193"/>
        <v>1200</v>
      </c>
      <c r="T810" s="62">
        <v>14400</v>
      </c>
      <c r="U810" s="62">
        <f t="shared" si="198"/>
        <v>1200</v>
      </c>
      <c r="V810" s="69">
        <v>13680</v>
      </c>
      <c r="W810" s="71">
        <v>1215</v>
      </c>
      <c r="X810" s="71"/>
      <c r="Y810" s="71"/>
      <c r="Z810" s="64">
        <f t="shared" si="194"/>
        <v>1.2500000000000001E-2</v>
      </c>
      <c r="AA810" s="64">
        <f t="shared" si="199"/>
        <v>1.2500000000000001E-2</v>
      </c>
      <c r="AB810" s="71">
        <v>1215</v>
      </c>
      <c r="AC810" s="64">
        <f t="shared" si="195"/>
        <v>1.2500000000000001E-2</v>
      </c>
      <c r="AD810" s="64">
        <f t="shared" si="201"/>
        <v>1.2500000000000001E-2</v>
      </c>
      <c r="AE810" s="71">
        <f t="shared" si="200"/>
        <v>1215</v>
      </c>
      <c r="AF810" s="64">
        <f t="shared" si="196"/>
        <v>1.2500000000000001E-2</v>
      </c>
      <c r="AG810" s="64">
        <f t="shared" si="202"/>
        <v>1.2500000000000001E-2</v>
      </c>
      <c r="AH810" s="67"/>
      <c r="AI810" s="47" t="s">
        <v>54</v>
      </c>
      <c r="AJ810" s="47">
        <v>680</v>
      </c>
      <c r="AK810" s="47" t="s">
        <v>65</v>
      </c>
      <c r="AL810" s="47" t="s">
        <v>65</v>
      </c>
      <c r="AM810" s="47" t="s">
        <v>2812</v>
      </c>
      <c r="AN810" s="50"/>
      <c r="AO810" s="211">
        <f t="shared" si="197"/>
        <v>-1</v>
      </c>
      <c r="AP810" s="47" t="s">
        <v>852</v>
      </c>
      <c r="AQ810" s="94" t="s">
        <v>898</v>
      </c>
      <c r="AR810" s="47"/>
    </row>
    <row r="811" spans="1:44" hidden="1">
      <c r="A811" s="47" t="s">
        <v>44</v>
      </c>
      <c r="B811" s="47" t="str">
        <f t="shared" si="192"/>
        <v>August</v>
      </c>
      <c r="C811" s="59">
        <v>45526</v>
      </c>
      <c r="D811" s="47" t="s">
        <v>45</v>
      </c>
      <c r="E811" s="47" t="s">
        <v>1183</v>
      </c>
      <c r="F811" s="47" t="s">
        <v>1184</v>
      </c>
      <c r="G811" s="47" t="s">
        <v>2815</v>
      </c>
      <c r="H811" s="47" t="s">
        <v>2816</v>
      </c>
      <c r="I811" s="47" t="s">
        <v>63</v>
      </c>
      <c r="J811" s="47" t="s">
        <v>51</v>
      </c>
      <c r="K811" s="48">
        <v>45161</v>
      </c>
      <c r="L811" s="48">
        <v>45161</v>
      </c>
      <c r="M811" s="48">
        <v>45526</v>
      </c>
      <c r="N811" s="47" t="s">
        <v>52</v>
      </c>
      <c r="O811" s="55" t="s">
        <v>53</v>
      </c>
      <c r="P811" s="62">
        <v>13500</v>
      </c>
      <c r="Q811" s="62">
        <v>1125</v>
      </c>
      <c r="R811" s="96">
        <v>13500</v>
      </c>
      <c r="S811" s="62">
        <f t="shared" si="193"/>
        <v>1125</v>
      </c>
      <c r="T811" s="62">
        <v>13200</v>
      </c>
      <c r="U811" s="62">
        <f t="shared" si="198"/>
        <v>1100</v>
      </c>
      <c r="V811" s="69">
        <v>13500</v>
      </c>
      <c r="W811" s="71">
        <v>1170</v>
      </c>
      <c r="X811" s="71"/>
      <c r="Y811" s="71"/>
      <c r="Z811" s="64">
        <f t="shared" si="194"/>
        <v>6.363636363636363E-2</v>
      </c>
      <c r="AA811" s="64">
        <f t="shared" si="199"/>
        <v>0.04</v>
      </c>
      <c r="AB811" s="71">
        <v>1170</v>
      </c>
      <c r="AC811" s="64">
        <f t="shared" si="195"/>
        <v>6.363636363636363E-2</v>
      </c>
      <c r="AD811" s="64">
        <f t="shared" si="201"/>
        <v>0.04</v>
      </c>
      <c r="AE811" s="71">
        <f t="shared" si="200"/>
        <v>1170</v>
      </c>
      <c r="AF811" s="64">
        <f t="shared" si="196"/>
        <v>6.363636363636363E-2</v>
      </c>
      <c r="AG811" s="64">
        <f t="shared" si="202"/>
        <v>0.04</v>
      </c>
      <c r="AH811" s="67"/>
      <c r="AI811" s="47" t="s">
        <v>54</v>
      </c>
      <c r="AJ811" s="47">
        <v>687</v>
      </c>
      <c r="AK811" s="47" t="s">
        <v>65</v>
      </c>
      <c r="AL811" s="47" t="s">
        <v>65</v>
      </c>
      <c r="AM811" s="47" t="s">
        <v>2685</v>
      </c>
      <c r="AN811" s="50">
        <v>1170</v>
      </c>
      <c r="AO811" s="211">
        <f t="shared" si="197"/>
        <v>6.363636363636363E-2</v>
      </c>
      <c r="AP811" s="47" t="s">
        <v>852</v>
      </c>
      <c r="AQ811" s="111" t="s">
        <v>125</v>
      </c>
      <c r="AR811" s="47" t="s">
        <v>1199</v>
      </c>
    </row>
    <row r="812" spans="1:44" hidden="1">
      <c r="A812" s="47" t="s">
        <v>44</v>
      </c>
      <c r="B812" s="47" t="str">
        <f t="shared" si="192"/>
        <v>August</v>
      </c>
      <c r="C812" s="59">
        <v>45526</v>
      </c>
      <c r="D812" s="47" t="s">
        <v>45</v>
      </c>
      <c r="E812" s="47" t="s">
        <v>1183</v>
      </c>
      <c r="F812" s="47" t="s">
        <v>1184</v>
      </c>
      <c r="G812" s="47" t="s">
        <v>2842</v>
      </c>
      <c r="H812" s="47" t="s">
        <v>2843</v>
      </c>
      <c r="I812" s="47" t="s">
        <v>63</v>
      </c>
      <c r="J812" s="47" t="s">
        <v>51</v>
      </c>
      <c r="K812" s="48">
        <v>45161</v>
      </c>
      <c r="L812" s="48">
        <v>45161</v>
      </c>
      <c r="M812" s="48">
        <v>45526</v>
      </c>
      <c r="N812" s="47" t="s">
        <v>52</v>
      </c>
      <c r="O812" s="55" t="s">
        <v>53</v>
      </c>
      <c r="P812" s="62">
        <v>10740</v>
      </c>
      <c r="Q812" s="62">
        <v>895</v>
      </c>
      <c r="R812" s="96">
        <v>10740</v>
      </c>
      <c r="S812" s="62">
        <f t="shared" si="193"/>
        <v>895</v>
      </c>
      <c r="T812" s="62">
        <v>10740</v>
      </c>
      <c r="U812" s="62">
        <f t="shared" si="198"/>
        <v>895</v>
      </c>
      <c r="V812" s="69">
        <v>10740</v>
      </c>
      <c r="W812" s="71">
        <v>905</v>
      </c>
      <c r="X812" s="71"/>
      <c r="Y812" s="71"/>
      <c r="Z812" s="64">
        <f t="shared" si="194"/>
        <v>1.11731843575419E-2</v>
      </c>
      <c r="AA812" s="64">
        <f t="shared" si="199"/>
        <v>1.11731843575419E-2</v>
      </c>
      <c r="AB812" s="71">
        <v>905</v>
      </c>
      <c r="AC812" s="64">
        <f t="shared" si="195"/>
        <v>1.11731843575419E-2</v>
      </c>
      <c r="AD812" s="64">
        <f t="shared" si="201"/>
        <v>1.11731843575419E-2</v>
      </c>
      <c r="AE812" s="71">
        <f t="shared" si="200"/>
        <v>905</v>
      </c>
      <c r="AF812" s="64">
        <f t="shared" si="196"/>
        <v>1.11731843575419E-2</v>
      </c>
      <c r="AG812" s="64">
        <f t="shared" si="202"/>
        <v>1.11731843575419E-2</v>
      </c>
      <c r="AH812" s="67"/>
      <c r="AI812" s="47" t="s">
        <v>54</v>
      </c>
      <c r="AJ812" s="47">
        <v>460</v>
      </c>
      <c r="AK812" s="47" t="s">
        <v>55</v>
      </c>
      <c r="AL812" s="47" t="s">
        <v>55</v>
      </c>
      <c r="AM812" s="47" t="s">
        <v>1187</v>
      </c>
      <c r="AN812" s="50"/>
      <c r="AO812" s="211">
        <f t="shared" si="197"/>
        <v>-1</v>
      </c>
      <c r="AP812" s="47" t="s">
        <v>852</v>
      </c>
      <c r="AQ812" s="91" t="s">
        <v>1074</v>
      </c>
      <c r="AR812" s="47" t="s">
        <v>2844</v>
      </c>
    </row>
    <row r="813" spans="1:44" hidden="1">
      <c r="A813" s="47" t="s">
        <v>44</v>
      </c>
      <c r="B813" s="47" t="str">
        <f t="shared" si="192"/>
        <v>August</v>
      </c>
      <c r="C813" s="59">
        <v>45526</v>
      </c>
      <c r="D813" s="47" t="s">
        <v>45</v>
      </c>
      <c r="E813" s="47" t="s">
        <v>1183</v>
      </c>
      <c r="F813" s="47" t="s">
        <v>1184</v>
      </c>
      <c r="G813" s="47" t="s">
        <v>2845</v>
      </c>
      <c r="H813" s="47" t="s">
        <v>2846</v>
      </c>
      <c r="I813" s="47" t="s">
        <v>63</v>
      </c>
      <c r="J813" s="47" t="s">
        <v>51</v>
      </c>
      <c r="K813" s="48">
        <v>45161</v>
      </c>
      <c r="L813" s="48">
        <v>45161</v>
      </c>
      <c r="M813" s="48">
        <v>45526</v>
      </c>
      <c r="N813" s="47" t="s">
        <v>52</v>
      </c>
      <c r="O813" s="55" t="s">
        <v>53</v>
      </c>
      <c r="P813" s="62">
        <v>10680</v>
      </c>
      <c r="Q813" s="62">
        <v>890</v>
      </c>
      <c r="R813" s="96">
        <v>10680</v>
      </c>
      <c r="S813" s="62">
        <f t="shared" si="193"/>
        <v>890</v>
      </c>
      <c r="T813" s="62">
        <v>10680</v>
      </c>
      <c r="U813" s="62">
        <f t="shared" si="198"/>
        <v>890</v>
      </c>
      <c r="V813" s="69">
        <v>10680</v>
      </c>
      <c r="W813" s="71">
        <v>900</v>
      </c>
      <c r="X813" s="71"/>
      <c r="Y813" s="71"/>
      <c r="Z813" s="64">
        <f t="shared" si="194"/>
        <v>1.1235955056179775E-2</v>
      </c>
      <c r="AA813" s="64">
        <f t="shared" si="199"/>
        <v>1.1235955056179775E-2</v>
      </c>
      <c r="AB813" s="71">
        <v>900</v>
      </c>
      <c r="AC813" s="64">
        <f t="shared" si="195"/>
        <v>1.1235955056179775E-2</v>
      </c>
      <c r="AD813" s="64">
        <f t="shared" si="201"/>
        <v>1.1235955056179775E-2</v>
      </c>
      <c r="AE813" s="71">
        <f t="shared" si="200"/>
        <v>900</v>
      </c>
      <c r="AF813" s="64">
        <f t="shared" si="196"/>
        <v>1.1235955056179775E-2</v>
      </c>
      <c r="AG813" s="64">
        <f t="shared" si="202"/>
        <v>1.1235955056179775E-2</v>
      </c>
      <c r="AH813" s="67"/>
      <c r="AI813" s="47" t="s">
        <v>54</v>
      </c>
      <c r="AJ813" s="47">
        <v>460</v>
      </c>
      <c r="AK813" s="47" t="s">
        <v>55</v>
      </c>
      <c r="AL813" s="47" t="s">
        <v>55</v>
      </c>
      <c r="AM813" s="47" t="s">
        <v>1187</v>
      </c>
      <c r="AN813" s="50"/>
      <c r="AO813" s="211">
        <f t="shared" si="197"/>
        <v>-1</v>
      </c>
      <c r="AP813" s="47" t="s">
        <v>852</v>
      </c>
      <c r="AQ813" s="91" t="s">
        <v>898</v>
      </c>
      <c r="AR813" s="47" t="s">
        <v>1066</v>
      </c>
    </row>
    <row r="814" spans="1:44" hidden="1">
      <c r="A814" s="47" t="s">
        <v>44</v>
      </c>
      <c r="B814" s="47" t="str">
        <f t="shared" si="192"/>
        <v>August</v>
      </c>
      <c r="C814" s="59">
        <v>45527</v>
      </c>
      <c r="D814" s="47" t="s">
        <v>45</v>
      </c>
      <c r="E814" s="47" t="s">
        <v>1183</v>
      </c>
      <c r="F814" s="47" t="s">
        <v>1184</v>
      </c>
      <c r="G814" s="47" t="s">
        <v>2883</v>
      </c>
      <c r="H814" s="47" t="s">
        <v>2884</v>
      </c>
      <c r="I814" s="47" t="s">
        <v>63</v>
      </c>
      <c r="J814" s="47" t="s">
        <v>51</v>
      </c>
      <c r="K814" s="48">
        <v>45162</v>
      </c>
      <c r="L814" s="48">
        <v>45162</v>
      </c>
      <c r="M814" s="48">
        <v>45527</v>
      </c>
      <c r="N814" s="47" t="s">
        <v>52</v>
      </c>
      <c r="O814" s="55" t="s">
        <v>53</v>
      </c>
      <c r="P814" s="62">
        <v>10740</v>
      </c>
      <c r="Q814" s="62">
        <v>895</v>
      </c>
      <c r="R814" s="96">
        <v>10920</v>
      </c>
      <c r="S814" s="62">
        <f t="shared" si="193"/>
        <v>910</v>
      </c>
      <c r="T814" s="62">
        <v>10920</v>
      </c>
      <c r="U814" s="62">
        <f t="shared" si="198"/>
        <v>910</v>
      </c>
      <c r="V814" s="69">
        <v>10740</v>
      </c>
      <c r="W814" s="71">
        <v>920</v>
      </c>
      <c r="X814" s="71"/>
      <c r="Y814" s="71"/>
      <c r="Z814" s="64">
        <f t="shared" si="194"/>
        <v>1.098901098901099E-2</v>
      </c>
      <c r="AA814" s="64">
        <f t="shared" si="199"/>
        <v>1.098901098901099E-2</v>
      </c>
      <c r="AB814" s="71">
        <v>920</v>
      </c>
      <c r="AC814" s="64">
        <f t="shared" si="195"/>
        <v>1.098901098901099E-2</v>
      </c>
      <c r="AD814" s="64">
        <f t="shared" si="201"/>
        <v>1.098901098901099E-2</v>
      </c>
      <c r="AE814" s="71">
        <f t="shared" si="200"/>
        <v>920</v>
      </c>
      <c r="AF814" s="64">
        <f t="shared" si="196"/>
        <v>1.098901098901099E-2</v>
      </c>
      <c r="AG814" s="64">
        <f t="shared" si="202"/>
        <v>1.098901098901099E-2</v>
      </c>
      <c r="AH814" s="67"/>
      <c r="AI814" s="47" t="s">
        <v>54</v>
      </c>
      <c r="AJ814" s="47">
        <v>460</v>
      </c>
      <c r="AK814" s="47" t="s">
        <v>55</v>
      </c>
      <c r="AL814" s="47" t="s">
        <v>55</v>
      </c>
      <c r="AM814" s="47" t="s">
        <v>2346</v>
      </c>
      <c r="AN814" s="50"/>
      <c r="AO814" s="211">
        <f t="shared" si="197"/>
        <v>-1</v>
      </c>
      <c r="AP814" s="47" t="s">
        <v>852</v>
      </c>
      <c r="AQ814" s="94" t="s">
        <v>1039</v>
      </c>
      <c r="AR814" s="47" t="s">
        <v>960</v>
      </c>
    </row>
    <row r="815" spans="1:44" hidden="1">
      <c r="A815" s="47" t="s">
        <v>44</v>
      </c>
      <c r="B815" s="47" t="str">
        <f t="shared" si="192"/>
        <v>August</v>
      </c>
      <c r="C815" s="59">
        <v>45528</v>
      </c>
      <c r="D815" s="47" t="s">
        <v>45</v>
      </c>
      <c r="E815" s="47" t="s">
        <v>1183</v>
      </c>
      <c r="F815" s="47" t="s">
        <v>1184</v>
      </c>
      <c r="G815" s="47" t="s">
        <v>3053</v>
      </c>
      <c r="H815" s="47" t="s">
        <v>3054</v>
      </c>
      <c r="I815" s="47" t="s">
        <v>63</v>
      </c>
      <c r="J815" s="47" t="s">
        <v>51</v>
      </c>
      <c r="K815" s="48">
        <v>45163</v>
      </c>
      <c r="L815" s="48">
        <v>45163</v>
      </c>
      <c r="M815" s="48">
        <v>45528</v>
      </c>
      <c r="N815" s="47" t="s">
        <v>52</v>
      </c>
      <c r="O815" s="55" t="s">
        <v>53</v>
      </c>
      <c r="P815" s="62">
        <v>13680</v>
      </c>
      <c r="Q815" s="62">
        <v>1140</v>
      </c>
      <c r="R815" s="96">
        <v>13680</v>
      </c>
      <c r="S815" s="62">
        <f t="shared" si="193"/>
        <v>1140</v>
      </c>
      <c r="T815" s="62">
        <v>13680</v>
      </c>
      <c r="U815" s="62">
        <f t="shared" si="198"/>
        <v>1140</v>
      </c>
      <c r="V815" s="69">
        <v>13680</v>
      </c>
      <c r="W815" s="71">
        <v>1210</v>
      </c>
      <c r="X815" s="71"/>
      <c r="Y815" s="71"/>
      <c r="Z815" s="64">
        <f t="shared" si="194"/>
        <v>6.1403508771929821E-2</v>
      </c>
      <c r="AA815" s="64">
        <f t="shared" si="199"/>
        <v>6.1403508771929821E-2</v>
      </c>
      <c r="AB815" s="71">
        <v>1210</v>
      </c>
      <c r="AC815" s="64">
        <f t="shared" si="195"/>
        <v>6.1403508771929821E-2</v>
      </c>
      <c r="AD815" s="64">
        <f t="shared" si="201"/>
        <v>6.1403508771929821E-2</v>
      </c>
      <c r="AE815" s="71">
        <f t="shared" si="200"/>
        <v>1210</v>
      </c>
      <c r="AF815" s="64">
        <f t="shared" si="196"/>
        <v>6.1403508771929821E-2</v>
      </c>
      <c r="AG815" s="64">
        <f t="shared" si="202"/>
        <v>6.1403508771929821E-2</v>
      </c>
      <c r="AH815" s="67"/>
      <c r="AI815" s="47" t="s">
        <v>54</v>
      </c>
      <c r="AJ815" s="47">
        <v>681</v>
      </c>
      <c r="AK815" s="47" t="s">
        <v>65</v>
      </c>
      <c r="AL815" s="47" t="s">
        <v>65</v>
      </c>
      <c r="AM815" s="47" t="s">
        <v>2812</v>
      </c>
      <c r="AN815" s="50"/>
      <c r="AO815" s="211">
        <f t="shared" si="197"/>
        <v>-1</v>
      </c>
      <c r="AP815" s="47" t="s">
        <v>852</v>
      </c>
      <c r="AQ815" s="94" t="s">
        <v>891</v>
      </c>
      <c r="AR815" s="47" t="s">
        <v>1653</v>
      </c>
    </row>
    <row r="816" spans="1:44" hidden="1">
      <c r="A816" s="47" t="s">
        <v>44</v>
      </c>
      <c r="B816" s="47" t="str">
        <f t="shared" si="192"/>
        <v>August</v>
      </c>
      <c r="C816" s="59">
        <v>45528</v>
      </c>
      <c r="D816" s="47" t="s">
        <v>45</v>
      </c>
      <c r="E816" s="47" t="s">
        <v>1183</v>
      </c>
      <c r="F816" s="47" t="s">
        <v>1184</v>
      </c>
      <c r="G816" s="47" t="s">
        <v>3080</v>
      </c>
      <c r="H816" s="47" t="s">
        <v>3081</v>
      </c>
      <c r="I816" s="47" t="s">
        <v>63</v>
      </c>
      <c r="J816" s="47" t="s">
        <v>51</v>
      </c>
      <c r="K816" s="48">
        <v>45163</v>
      </c>
      <c r="L816" s="48">
        <v>45163</v>
      </c>
      <c r="M816" s="48">
        <v>45528</v>
      </c>
      <c r="N816" s="47" t="s">
        <v>52</v>
      </c>
      <c r="O816" s="55" t="s">
        <v>53</v>
      </c>
      <c r="P816" s="62">
        <v>10860</v>
      </c>
      <c r="Q816" s="62">
        <v>905</v>
      </c>
      <c r="R816" s="96">
        <v>10860</v>
      </c>
      <c r="S816" s="62">
        <f t="shared" si="193"/>
        <v>905</v>
      </c>
      <c r="T816" s="62">
        <v>10860</v>
      </c>
      <c r="U816" s="62">
        <f t="shared" si="198"/>
        <v>905</v>
      </c>
      <c r="V816" s="69">
        <v>10860</v>
      </c>
      <c r="W816" s="71">
        <v>915</v>
      </c>
      <c r="X816" s="71"/>
      <c r="Y816" s="71"/>
      <c r="Z816" s="64">
        <f t="shared" si="194"/>
        <v>1.1049723756906077E-2</v>
      </c>
      <c r="AA816" s="64">
        <f t="shared" si="199"/>
        <v>1.1049723756906077E-2</v>
      </c>
      <c r="AB816" s="71">
        <v>915</v>
      </c>
      <c r="AC816" s="64">
        <f t="shared" si="195"/>
        <v>1.1049723756906077E-2</v>
      </c>
      <c r="AD816" s="64">
        <f t="shared" si="201"/>
        <v>1.1049723756906077E-2</v>
      </c>
      <c r="AE816" s="71">
        <f t="shared" si="200"/>
        <v>915</v>
      </c>
      <c r="AF816" s="64">
        <f t="shared" si="196"/>
        <v>1.1049723756906077E-2</v>
      </c>
      <c r="AG816" s="64">
        <f t="shared" si="202"/>
        <v>1.1049723756906077E-2</v>
      </c>
      <c r="AH816" s="67"/>
      <c r="AI816" s="47" t="s">
        <v>54</v>
      </c>
      <c r="AJ816" s="47">
        <v>460</v>
      </c>
      <c r="AK816" s="47" t="s">
        <v>55</v>
      </c>
      <c r="AL816" s="47" t="s">
        <v>55</v>
      </c>
      <c r="AM816" s="47" t="s">
        <v>1187</v>
      </c>
      <c r="AN816" s="50">
        <v>915</v>
      </c>
      <c r="AO816" s="211">
        <f t="shared" si="197"/>
        <v>1.1049723756906077E-2</v>
      </c>
      <c r="AP816" s="47" t="s">
        <v>852</v>
      </c>
      <c r="AQ816" s="111" t="s">
        <v>125</v>
      </c>
      <c r="AR816" s="47" t="s">
        <v>1720</v>
      </c>
    </row>
    <row r="817" spans="1:44" hidden="1">
      <c r="A817" s="47" t="s">
        <v>44</v>
      </c>
      <c r="B817" s="47" t="str">
        <f t="shared" si="192"/>
        <v>August</v>
      </c>
      <c r="C817" s="221">
        <v>45529</v>
      </c>
      <c r="D817" s="47" t="s">
        <v>45</v>
      </c>
      <c r="E817" s="47" t="s">
        <v>1183</v>
      </c>
      <c r="F817" s="47" t="s">
        <v>1184</v>
      </c>
      <c r="G817" s="47" t="s">
        <v>3132</v>
      </c>
      <c r="H817" s="47" t="s">
        <v>3133</v>
      </c>
      <c r="I817" s="47" t="s">
        <v>63</v>
      </c>
      <c r="J817" s="47" t="s">
        <v>51</v>
      </c>
      <c r="K817" s="48">
        <v>45164</v>
      </c>
      <c r="L817" s="48">
        <v>45164</v>
      </c>
      <c r="M817" s="48">
        <v>45529</v>
      </c>
      <c r="N817" s="47" t="s">
        <v>52</v>
      </c>
      <c r="O817" s="55" t="s">
        <v>53</v>
      </c>
      <c r="P817" s="62">
        <v>13560</v>
      </c>
      <c r="Q817" s="62">
        <v>1130</v>
      </c>
      <c r="R817" s="96">
        <v>13980</v>
      </c>
      <c r="S817" s="62">
        <f t="shared" si="193"/>
        <v>1165</v>
      </c>
      <c r="T817" s="62">
        <v>13980</v>
      </c>
      <c r="U817" s="62">
        <f t="shared" si="198"/>
        <v>1165</v>
      </c>
      <c r="V817" s="69">
        <v>13560</v>
      </c>
      <c r="W817" s="71">
        <v>1210</v>
      </c>
      <c r="X817" s="71"/>
      <c r="Y817" s="71"/>
      <c r="Z817" s="64">
        <f t="shared" si="194"/>
        <v>3.8626609442060089E-2</v>
      </c>
      <c r="AA817" s="64">
        <f t="shared" si="199"/>
        <v>3.8626609442060089E-2</v>
      </c>
      <c r="AB817" s="71">
        <v>1210</v>
      </c>
      <c r="AC817" s="64">
        <f t="shared" si="195"/>
        <v>3.8626609442060089E-2</v>
      </c>
      <c r="AD817" s="64">
        <f t="shared" si="201"/>
        <v>3.8626609442060089E-2</v>
      </c>
      <c r="AE817" s="71">
        <f t="shared" si="200"/>
        <v>1210</v>
      </c>
      <c r="AF817" s="64">
        <f t="shared" si="196"/>
        <v>3.8626609442060089E-2</v>
      </c>
      <c r="AG817" s="64">
        <f t="shared" si="202"/>
        <v>3.8626609442060089E-2</v>
      </c>
      <c r="AH817" s="67"/>
      <c r="AI817" s="47" t="s">
        <v>54</v>
      </c>
      <c r="AJ817" s="47">
        <v>688</v>
      </c>
      <c r="AK817" s="47" t="s">
        <v>65</v>
      </c>
      <c r="AL817" s="47" t="s">
        <v>65</v>
      </c>
      <c r="AM817" s="47" t="s">
        <v>3134</v>
      </c>
      <c r="AN817" s="50"/>
      <c r="AO817" s="211">
        <f t="shared" si="197"/>
        <v>-1</v>
      </c>
      <c r="AP817" s="47" t="s">
        <v>852</v>
      </c>
      <c r="AQ817" s="94" t="s">
        <v>898</v>
      </c>
      <c r="AR817" s="47" t="s">
        <v>3135</v>
      </c>
    </row>
    <row r="818" spans="1:44" hidden="1">
      <c r="A818" s="47" t="s">
        <v>44</v>
      </c>
      <c r="B818" s="47" t="str">
        <f t="shared" si="192"/>
        <v>August</v>
      </c>
      <c r="C818" s="59">
        <v>45529</v>
      </c>
      <c r="D818" s="47" t="s">
        <v>45</v>
      </c>
      <c r="E818" s="47" t="s">
        <v>1183</v>
      </c>
      <c r="F818" s="47" t="s">
        <v>1184</v>
      </c>
      <c r="G818" s="47" t="s">
        <v>3182</v>
      </c>
      <c r="H818" s="47" t="s">
        <v>3183</v>
      </c>
      <c r="I818" s="47" t="s">
        <v>63</v>
      </c>
      <c r="J818" s="47" t="s">
        <v>51</v>
      </c>
      <c r="K818" s="48">
        <v>45164</v>
      </c>
      <c r="L818" s="48">
        <v>45164</v>
      </c>
      <c r="M818" s="48">
        <v>45529</v>
      </c>
      <c r="N818" s="47" t="s">
        <v>52</v>
      </c>
      <c r="O818" s="55" t="s">
        <v>53</v>
      </c>
      <c r="P818" s="62">
        <v>9420</v>
      </c>
      <c r="Q818" s="62">
        <v>785</v>
      </c>
      <c r="R818" s="96">
        <v>9900</v>
      </c>
      <c r="S818" s="62">
        <f t="shared" si="193"/>
        <v>825</v>
      </c>
      <c r="T818" s="62">
        <v>9420</v>
      </c>
      <c r="U818" s="62">
        <f t="shared" si="198"/>
        <v>785</v>
      </c>
      <c r="V818" s="69">
        <v>9420</v>
      </c>
      <c r="W818" s="71">
        <v>840</v>
      </c>
      <c r="X818" s="71"/>
      <c r="Y818" s="71"/>
      <c r="Z818" s="64">
        <f t="shared" si="194"/>
        <v>7.0063694267515922E-2</v>
      </c>
      <c r="AA818" s="64">
        <f t="shared" si="199"/>
        <v>1.8181818181818181E-2</v>
      </c>
      <c r="AB818" s="71">
        <v>840</v>
      </c>
      <c r="AC818" s="64">
        <f t="shared" si="195"/>
        <v>7.0063694267515922E-2</v>
      </c>
      <c r="AD818" s="64">
        <f t="shared" si="201"/>
        <v>1.8181818181818181E-2</v>
      </c>
      <c r="AE818" s="71">
        <f t="shared" si="200"/>
        <v>840</v>
      </c>
      <c r="AF818" s="64">
        <f t="shared" si="196"/>
        <v>7.0063694267515922E-2</v>
      </c>
      <c r="AG818" s="64">
        <f t="shared" si="202"/>
        <v>1.8181818181818181E-2</v>
      </c>
      <c r="AH818" s="67"/>
      <c r="AI818" s="47" t="s">
        <v>54</v>
      </c>
      <c r="AJ818" s="47">
        <v>374</v>
      </c>
      <c r="AK818" s="47" t="s">
        <v>93</v>
      </c>
      <c r="AL818" s="47" t="s">
        <v>55</v>
      </c>
      <c r="AM818" s="47" t="s">
        <v>3184</v>
      </c>
      <c r="AN818" s="50"/>
      <c r="AO818" s="211">
        <f t="shared" si="197"/>
        <v>-1</v>
      </c>
      <c r="AP818" s="47" t="s">
        <v>852</v>
      </c>
      <c r="AQ818" s="91" t="s">
        <v>1074</v>
      </c>
      <c r="AR818" s="77" t="s">
        <v>3185</v>
      </c>
    </row>
    <row r="819" spans="1:44" hidden="1">
      <c r="A819" s="47" t="s">
        <v>44</v>
      </c>
      <c r="B819" s="47" t="str">
        <f t="shared" si="192"/>
        <v>August</v>
      </c>
      <c r="C819" s="59">
        <v>45531</v>
      </c>
      <c r="D819" s="47" t="s">
        <v>45</v>
      </c>
      <c r="E819" s="47" t="s">
        <v>1183</v>
      </c>
      <c r="F819" s="47" t="s">
        <v>1184</v>
      </c>
      <c r="G819" s="47" t="s">
        <v>3202</v>
      </c>
      <c r="H819" s="47" t="s">
        <v>3203</v>
      </c>
      <c r="I819" s="47" t="s">
        <v>63</v>
      </c>
      <c r="J819" s="47" t="s">
        <v>51</v>
      </c>
      <c r="K819" s="48">
        <v>45166</v>
      </c>
      <c r="L819" s="48">
        <v>45166</v>
      </c>
      <c r="M819" s="48">
        <v>45531</v>
      </c>
      <c r="N819" s="47" t="s">
        <v>52</v>
      </c>
      <c r="O819" s="55" t="s">
        <v>53</v>
      </c>
      <c r="P819" s="62">
        <v>13500</v>
      </c>
      <c r="Q819" s="62">
        <v>1125</v>
      </c>
      <c r="R819" s="96">
        <v>13500</v>
      </c>
      <c r="S819" s="62">
        <f t="shared" si="193"/>
        <v>1125</v>
      </c>
      <c r="T819" s="62">
        <v>13200</v>
      </c>
      <c r="U819" s="62">
        <f t="shared" si="198"/>
        <v>1100</v>
      </c>
      <c r="V819" s="69">
        <v>13500</v>
      </c>
      <c r="W819" s="71">
        <v>1170</v>
      </c>
      <c r="X819" s="71"/>
      <c r="Y819" s="71"/>
      <c r="Z819" s="64">
        <f t="shared" si="194"/>
        <v>6.363636363636363E-2</v>
      </c>
      <c r="AA819" s="64">
        <f t="shared" si="199"/>
        <v>0.04</v>
      </c>
      <c r="AB819" s="71">
        <v>1170</v>
      </c>
      <c r="AC819" s="64">
        <f t="shared" si="195"/>
        <v>6.363636363636363E-2</v>
      </c>
      <c r="AD819" s="64">
        <f t="shared" si="201"/>
        <v>0.04</v>
      </c>
      <c r="AE819" s="71">
        <f t="shared" si="200"/>
        <v>1170</v>
      </c>
      <c r="AF819" s="64">
        <f t="shared" si="196"/>
        <v>6.363636363636363E-2</v>
      </c>
      <c r="AG819" s="64">
        <f t="shared" si="202"/>
        <v>0.04</v>
      </c>
      <c r="AH819" s="67"/>
      <c r="AI819" s="47" t="s">
        <v>54</v>
      </c>
      <c r="AJ819" s="47">
        <v>690</v>
      </c>
      <c r="AK819" s="47" t="s">
        <v>65</v>
      </c>
      <c r="AL819" s="47" t="s">
        <v>65</v>
      </c>
      <c r="AM819" s="47" t="s">
        <v>2685</v>
      </c>
      <c r="AN819" s="50"/>
      <c r="AO819" s="211">
        <f t="shared" si="197"/>
        <v>-1</v>
      </c>
      <c r="AP819" s="47" t="s">
        <v>852</v>
      </c>
      <c r="AQ819" s="91" t="s">
        <v>1132</v>
      </c>
      <c r="AR819" s="47"/>
    </row>
    <row r="820" spans="1:44" hidden="1">
      <c r="A820" s="47" t="s">
        <v>44</v>
      </c>
      <c r="B820" s="47" t="str">
        <f t="shared" si="192"/>
        <v>August</v>
      </c>
      <c r="C820" s="59">
        <v>45531</v>
      </c>
      <c r="D820" s="47" t="s">
        <v>45</v>
      </c>
      <c r="E820" s="47" t="s">
        <v>1183</v>
      </c>
      <c r="F820" s="47" t="s">
        <v>1184</v>
      </c>
      <c r="G820" s="47" t="s">
        <v>3246</v>
      </c>
      <c r="H820" s="47" t="s">
        <v>3247</v>
      </c>
      <c r="I820" s="47" t="s">
        <v>63</v>
      </c>
      <c r="J820" s="47" t="s">
        <v>51</v>
      </c>
      <c r="K820" s="48">
        <v>45166</v>
      </c>
      <c r="L820" s="48">
        <v>45166</v>
      </c>
      <c r="M820" s="48">
        <v>45531</v>
      </c>
      <c r="N820" s="47" t="s">
        <v>52</v>
      </c>
      <c r="O820" s="55" t="s">
        <v>53</v>
      </c>
      <c r="P820" s="62">
        <v>13500</v>
      </c>
      <c r="Q820" s="62">
        <v>1125</v>
      </c>
      <c r="R820" s="96">
        <v>13500</v>
      </c>
      <c r="S820" s="62">
        <f t="shared" si="193"/>
        <v>1125</v>
      </c>
      <c r="T820" s="62">
        <v>13500</v>
      </c>
      <c r="U820" s="62">
        <f t="shared" si="198"/>
        <v>1125</v>
      </c>
      <c r="V820" s="69">
        <v>13500</v>
      </c>
      <c r="W820" s="71">
        <v>1170</v>
      </c>
      <c r="X820" s="71"/>
      <c r="Y820" s="71"/>
      <c r="Z820" s="64">
        <f t="shared" si="194"/>
        <v>0.04</v>
      </c>
      <c r="AA820" s="64">
        <f t="shared" si="199"/>
        <v>0.04</v>
      </c>
      <c r="AB820" s="71">
        <v>1170</v>
      </c>
      <c r="AC820" s="64">
        <f t="shared" si="195"/>
        <v>0.04</v>
      </c>
      <c r="AD820" s="64">
        <f t="shared" si="201"/>
        <v>0.04</v>
      </c>
      <c r="AE820" s="71">
        <f t="shared" si="200"/>
        <v>1170</v>
      </c>
      <c r="AF820" s="64">
        <f t="shared" si="196"/>
        <v>0.04</v>
      </c>
      <c r="AG820" s="64">
        <f t="shared" si="202"/>
        <v>0.04</v>
      </c>
      <c r="AH820" s="67"/>
      <c r="AI820" s="47" t="s">
        <v>54</v>
      </c>
      <c r="AJ820" s="47">
        <v>689</v>
      </c>
      <c r="AK820" s="47" t="s">
        <v>65</v>
      </c>
      <c r="AL820" s="47" t="s">
        <v>65</v>
      </c>
      <c r="AM820" s="47" t="s">
        <v>2685</v>
      </c>
      <c r="AN820" s="50"/>
      <c r="AO820" s="211">
        <f t="shared" si="197"/>
        <v>-1</v>
      </c>
      <c r="AP820" s="47" t="s">
        <v>852</v>
      </c>
      <c r="AQ820" s="94" t="s">
        <v>1039</v>
      </c>
      <c r="AR820" s="47" t="s">
        <v>960</v>
      </c>
    </row>
    <row r="821" spans="1:44" hidden="1">
      <c r="A821" s="47" t="s">
        <v>44</v>
      </c>
      <c r="B821" s="47" t="str">
        <f t="shared" si="192"/>
        <v>August</v>
      </c>
      <c r="C821" s="59">
        <v>45531</v>
      </c>
      <c r="D821" s="47" t="s">
        <v>45</v>
      </c>
      <c r="E821" s="47" t="s">
        <v>1183</v>
      </c>
      <c r="F821" s="47" t="s">
        <v>1184</v>
      </c>
      <c r="G821" s="47" t="s">
        <v>3337</v>
      </c>
      <c r="H821" s="47" t="s">
        <v>3338</v>
      </c>
      <c r="I821" s="47" t="s">
        <v>63</v>
      </c>
      <c r="J821" s="47" t="s">
        <v>51</v>
      </c>
      <c r="K821" s="48">
        <v>45166</v>
      </c>
      <c r="L821" s="48">
        <v>45166</v>
      </c>
      <c r="M821" s="48">
        <v>45531</v>
      </c>
      <c r="N821" s="47" t="s">
        <v>52</v>
      </c>
      <c r="O821" s="55" t="s">
        <v>53</v>
      </c>
      <c r="P821" s="62">
        <v>13560</v>
      </c>
      <c r="Q821" s="62">
        <v>1130</v>
      </c>
      <c r="R821" s="96">
        <v>13680</v>
      </c>
      <c r="S821" s="62">
        <f t="shared" si="193"/>
        <v>1140</v>
      </c>
      <c r="T821" s="62">
        <v>13560</v>
      </c>
      <c r="U821" s="62">
        <f t="shared" si="198"/>
        <v>1130</v>
      </c>
      <c r="V821" s="69">
        <v>13560</v>
      </c>
      <c r="W821" s="71">
        <v>1175</v>
      </c>
      <c r="X821" s="71"/>
      <c r="Y821" s="71"/>
      <c r="Z821" s="64">
        <f t="shared" si="194"/>
        <v>3.9823008849557522E-2</v>
      </c>
      <c r="AA821" s="64">
        <f t="shared" si="199"/>
        <v>3.0701754385964911E-2</v>
      </c>
      <c r="AB821" s="71">
        <v>1175</v>
      </c>
      <c r="AC821" s="64">
        <f t="shared" si="195"/>
        <v>3.9823008849557522E-2</v>
      </c>
      <c r="AD821" s="64">
        <f t="shared" si="201"/>
        <v>3.0701754385964911E-2</v>
      </c>
      <c r="AE821" s="71">
        <f t="shared" si="200"/>
        <v>1175</v>
      </c>
      <c r="AF821" s="64">
        <f t="shared" si="196"/>
        <v>3.9823008849557522E-2</v>
      </c>
      <c r="AG821" s="64">
        <f t="shared" si="202"/>
        <v>3.0701754385964911E-2</v>
      </c>
      <c r="AH821" s="67"/>
      <c r="AI821" s="47" t="s">
        <v>54</v>
      </c>
      <c r="AJ821" s="47">
        <v>689</v>
      </c>
      <c r="AK821" s="47" t="s">
        <v>65</v>
      </c>
      <c r="AL821" s="47" t="s">
        <v>65</v>
      </c>
      <c r="AM821" s="47" t="s">
        <v>2685</v>
      </c>
      <c r="AN821" s="50">
        <v>1175</v>
      </c>
      <c r="AO821" s="211">
        <f t="shared" si="197"/>
        <v>3.9823008849557522E-2</v>
      </c>
      <c r="AP821" s="47" t="s">
        <v>852</v>
      </c>
      <c r="AQ821" s="111" t="s">
        <v>125</v>
      </c>
      <c r="AR821" s="47" t="s">
        <v>987</v>
      </c>
    </row>
    <row r="822" spans="1:44" hidden="1">
      <c r="A822" s="47" t="s">
        <v>74</v>
      </c>
      <c r="B822" s="47" t="str">
        <f t="shared" si="192"/>
        <v>August</v>
      </c>
      <c r="C822" s="59">
        <v>45531</v>
      </c>
      <c r="D822" s="47" t="s">
        <v>45</v>
      </c>
      <c r="E822" s="47" t="s">
        <v>1183</v>
      </c>
      <c r="F822" s="47" t="s">
        <v>1184</v>
      </c>
      <c r="G822" s="47" t="s">
        <v>3348</v>
      </c>
      <c r="H822" s="47" t="s">
        <v>3349</v>
      </c>
      <c r="I822" s="47" t="s">
        <v>63</v>
      </c>
      <c r="J822" s="47" t="s">
        <v>51</v>
      </c>
      <c r="K822" s="48">
        <v>45350</v>
      </c>
      <c r="L822" s="48">
        <v>45350</v>
      </c>
      <c r="M822" s="48">
        <v>45531</v>
      </c>
      <c r="N822" s="47" t="s">
        <v>52</v>
      </c>
      <c r="O822" s="55" t="s">
        <v>53</v>
      </c>
      <c r="P822" s="62">
        <v>10500</v>
      </c>
      <c r="Q822" s="62">
        <v>875</v>
      </c>
      <c r="R822" s="96">
        <v>10620</v>
      </c>
      <c r="S822" s="62">
        <f t="shared" si="193"/>
        <v>885</v>
      </c>
      <c r="T822" s="62">
        <v>10620</v>
      </c>
      <c r="U822" s="62">
        <f t="shared" si="198"/>
        <v>885</v>
      </c>
      <c r="V822" s="69">
        <v>10500</v>
      </c>
      <c r="W822" s="71">
        <v>900</v>
      </c>
      <c r="X822" s="71"/>
      <c r="Y822" s="71"/>
      <c r="Z822" s="64">
        <f t="shared" si="194"/>
        <v>1.6949152542372881E-2</v>
      </c>
      <c r="AA822" s="64">
        <f t="shared" si="199"/>
        <v>1.6949152542372881E-2</v>
      </c>
      <c r="AB822" s="71">
        <v>900</v>
      </c>
      <c r="AC822" s="64">
        <f t="shared" si="195"/>
        <v>1.6949152542372881E-2</v>
      </c>
      <c r="AD822" s="64">
        <f t="shared" si="201"/>
        <v>1.6949152542372881E-2</v>
      </c>
      <c r="AE822" s="71">
        <f t="shared" si="200"/>
        <v>900</v>
      </c>
      <c r="AF822" s="64">
        <f t="shared" si="196"/>
        <v>1.6949152542372881E-2</v>
      </c>
      <c r="AG822" s="64">
        <f t="shared" si="202"/>
        <v>1.6949152542372881E-2</v>
      </c>
      <c r="AH822" s="67"/>
      <c r="AI822" s="47" t="s">
        <v>54</v>
      </c>
      <c r="AJ822" s="47">
        <v>447</v>
      </c>
      <c r="AK822" s="47" t="s">
        <v>55</v>
      </c>
      <c r="AL822" s="47" t="s">
        <v>55</v>
      </c>
      <c r="AM822" s="47" t="s">
        <v>1415</v>
      </c>
      <c r="AN822" s="50"/>
      <c r="AO822" s="211">
        <f t="shared" si="197"/>
        <v>-1</v>
      </c>
      <c r="AP822" s="47" t="s">
        <v>852</v>
      </c>
      <c r="AQ822" s="91" t="s">
        <v>1074</v>
      </c>
      <c r="AR822" s="47" t="s">
        <v>3350</v>
      </c>
    </row>
    <row r="823" spans="1:44" hidden="1">
      <c r="A823" s="47" t="s">
        <v>44</v>
      </c>
      <c r="B823" s="47" t="str">
        <f t="shared" si="192"/>
        <v>August</v>
      </c>
      <c r="C823" s="59">
        <v>45532</v>
      </c>
      <c r="D823" s="47" t="s">
        <v>45</v>
      </c>
      <c r="E823" s="47" t="s">
        <v>1183</v>
      </c>
      <c r="F823" s="47" t="s">
        <v>1184</v>
      </c>
      <c r="G823" s="47" t="s">
        <v>3408</v>
      </c>
      <c r="H823" s="47" t="s">
        <v>3409</v>
      </c>
      <c r="I823" s="47" t="s">
        <v>3410</v>
      </c>
      <c r="J823" s="47" t="s">
        <v>51</v>
      </c>
      <c r="K823" s="48">
        <v>45167</v>
      </c>
      <c r="L823" s="48">
        <v>45167</v>
      </c>
      <c r="M823" s="48">
        <v>45532</v>
      </c>
      <c r="N823" s="47" t="s">
        <v>52</v>
      </c>
      <c r="O823" s="55" t="s">
        <v>53</v>
      </c>
      <c r="P823" s="62">
        <v>10200</v>
      </c>
      <c r="Q823" s="62">
        <v>850</v>
      </c>
      <c r="R823" s="96">
        <v>10320</v>
      </c>
      <c r="S823" s="62">
        <f t="shared" si="193"/>
        <v>860</v>
      </c>
      <c r="T823" s="62">
        <v>10200</v>
      </c>
      <c r="U823" s="62">
        <f t="shared" si="198"/>
        <v>850</v>
      </c>
      <c r="V823" s="69">
        <v>10200</v>
      </c>
      <c r="W823" s="71">
        <v>885</v>
      </c>
      <c r="X823" s="71"/>
      <c r="Y823" s="71"/>
      <c r="Z823" s="64">
        <f t="shared" si="194"/>
        <v>4.1176470588235294E-2</v>
      </c>
      <c r="AA823" s="64">
        <f t="shared" si="199"/>
        <v>2.9069767441860465E-2</v>
      </c>
      <c r="AB823" s="71">
        <v>885</v>
      </c>
      <c r="AC823" s="64">
        <f t="shared" si="195"/>
        <v>4.1176470588235294E-2</v>
      </c>
      <c r="AD823" s="64">
        <f t="shared" si="201"/>
        <v>2.9069767441860465E-2</v>
      </c>
      <c r="AE823" s="71">
        <f t="shared" si="200"/>
        <v>885</v>
      </c>
      <c r="AF823" s="64">
        <f t="shared" si="196"/>
        <v>4.1176470588235294E-2</v>
      </c>
      <c r="AG823" s="64">
        <f t="shared" si="202"/>
        <v>2.9069767441860465E-2</v>
      </c>
      <c r="AH823" s="67"/>
      <c r="AI823" s="47" t="s">
        <v>54</v>
      </c>
      <c r="AJ823" s="47">
        <v>468</v>
      </c>
      <c r="AK823" s="47" t="s">
        <v>93</v>
      </c>
      <c r="AL823" s="47" t="s">
        <v>55</v>
      </c>
      <c r="AM823" s="47" t="s">
        <v>3411</v>
      </c>
      <c r="AN823" s="50"/>
      <c r="AO823" s="211">
        <f t="shared" si="197"/>
        <v>-1</v>
      </c>
      <c r="AP823" s="47" t="s">
        <v>852</v>
      </c>
      <c r="AQ823" s="94" t="s">
        <v>3412</v>
      </c>
      <c r="AR823" s="53" t="s">
        <v>3413</v>
      </c>
    </row>
    <row r="824" spans="1:44" hidden="1">
      <c r="A824" s="47" t="s">
        <v>44</v>
      </c>
      <c r="B824" s="47" t="str">
        <f t="shared" si="192"/>
        <v>August</v>
      </c>
      <c r="C824" s="59">
        <v>45533</v>
      </c>
      <c r="D824" s="47" t="s">
        <v>45</v>
      </c>
      <c r="E824" s="47" t="s">
        <v>1183</v>
      </c>
      <c r="F824" s="47" t="s">
        <v>1184</v>
      </c>
      <c r="G824" s="47" t="s">
        <v>3453</v>
      </c>
      <c r="H824" s="47" t="s">
        <v>3454</v>
      </c>
      <c r="I824" s="47" t="s">
        <v>63</v>
      </c>
      <c r="J824" s="47" t="s">
        <v>51</v>
      </c>
      <c r="K824" s="48">
        <v>45168</v>
      </c>
      <c r="L824" s="48">
        <v>45168</v>
      </c>
      <c r="M824" s="48">
        <v>45533</v>
      </c>
      <c r="N824" s="47" t="s">
        <v>52</v>
      </c>
      <c r="O824" s="55" t="s">
        <v>53</v>
      </c>
      <c r="P824" s="62">
        <v>10440</v>
      </c>
      <c r="Q824" s="62">
        <v>870</v>
      </c>
      <c r="R824" s="96">
        <v>10440</v>
      </c>
      <c r="S824" s="62">
        <f t="shared" si="193"/>
        <v>870</v>
      </c>
      <c r="T824" s="62">
        <v>10440</v>
      </c>
      <c r="U824" s="62">
        <f t="shared" si="198"/>
        <v>870</v>
      </c>
      <c r="V824" s="69">
        <v>10440</v>
      </c>
      <c r="W824" s="71">
        <v>880</v>
      </c>
      <c r="X824" s="71"/>
      <c r="Y824" s="71"/>
      <c r="Z824" s="64">
        <f t="shared" si="194"/>
        <v>1.1494252873563218E-2</v>
      </c>
      <c r="AA824" s="64">
        <f t="shared" si="199"/>
        <v>1.1494252873563218E-2</v>
      </c>
      <c r="AB824" s="71">
        <v>880</v>
      </c>
      <c r="AC824" s="64">
        <f t="shared" si="195"/>
        <v>1.1494252873563218E-2</v>
      </c>
      <c r="AD824" s="64">
        <f t="shared" si="201"/>
        <v>1.1494252873563218E-2</v>
      </c>
      <c r="AE824" s="71">
        <f t="shared" si="200"/>
        <v>880</v>
      </c>
      <c r="AF824" s="64">
        <f t="shared" si="196"/>
        <v>1.1494252873563218E-2</v>
      </c>
      <c r="AG824" s="64">
        <f t="shared" si="202"/>
        <v>1.1494252873563218E-2</v>
      </c>
      <c r="AH824" s="67"/>
      <c r="AI824" s="47" t="s">
        <v>54</v>
      </c>
      <c r="AJ824" s="47">
        <v>447</v>
      </c>
      <c r="AK824" s="47" t="s">
        <v>55</v>
      </c>
      <c r="AL824" s="47" t="s">
        <v>55</v>
      </c>
      <c r="AM824" s="47" t="s">
        <v>2692</v>
      </c>
      <c r="AN824" s="50"/>
      <c r="AO824" s="211">
        <f t="shared" si="197"/>
        <v>-1</v>
      </c>
      <c r="AP824" s="47" t="s">
        <v>852</v>
      </c>
      <c r="AQ824" s="91" t="s">
        <v>1132</v>
      </c>
      <c r="AR824" s="47"/>
    </row>
    <row r="825" spans="1:44" hidden="1">
      <c r="A825" s="47" t="s">
        <v>44</v>
      </c>
      <c r="B825" s="47" t="str">
        <f t="shared" si="192"/>
        <v>August</v>
      </c>
      <c r="C825" s="59">
        <v>45533</v>
      </c>
      <c r="D825" s="47" t="s">
        <v>45</v>
      </c>
      <c r="E825" s="47" t="s">
        <v>1183</v>
      </c>
      <c r="F825" s="47" t="s">
        <v>1184</v>
      </c>
      <c r="G825" s="47" t="s">
        <v>3455</v>
      </c>
      <c r="H825" s="47" t="s">
        <v>3456</v>
      </c>
      <c r="I825" s="47" t="s">
        <v>63</v>
      </c>
      <c r="J825" s="47" t="s">
        <v>51</v>
      </c>
      <c r="K825" s="48">
        <v>45168</v>
      </c>
      <c r="L825" s="48">
        <v>45168</v>
      </c>
      <c r="M825" s="48">
        <v>45533</v>
      </c>
      <c r="N825" s="47" t="s">
        <v>52</v>
      </c>
      <c r="O825" s="55" t="s">
        <v>53</v>
      </c>
      <c r="P825" s="62">
        <v>13500</v>
      </c>
      <c r="Q825" s="62">
        <v>1125</v>
      </c>
      <c r="R825" s="96">
        <v>13500</v>
      </c>
      <c r="S825" s="62">
        <f t="shared" si="193"/>
        <v>1125</v>
      </c>
      <c r="T825" s="62">
        <v>13500</v>
      </c>
      <c r="U825" s="62">
        <f t="shared" si="198"/>
        <v>1125</v>
      </c>
      <c r="V825" s="69">
        <v>13500</v>
      </c>
      <c r="W825" s="71">
        <v>1170</v>
      </c>
      <c r="X825" s="71"/>
      <c r="Y825" s="71"/>
      <c r="Z825" s="64">
        <f t="shared" si="194"/>
        <v>0.04</v>
      </c>
      <c r="AA825" s="64">
        <f t="shared" si="199"/>
        <v>0.04</v>
      </c>
      <c r="AB825" s="71">
        <v>1170</v>
      </c>
      <c r="AC825" s="64">
        <f t="shared" si="195"/>
        <v>0.04</v>
      </c>
      <c r="AD825" s="64">
        <f t="shared" si="201"/>
        <v>0.04</v>
      </c>
      <c r="AE825" s="71">
        <f t="shared" si="200"/>
        <v>1170</v>
      </c>
      <c r="AF825" s="64">
        <f t="shared" si="196"/>
        <v>0.04</v>
      </c>
      <c r="AG825" s="64">
        <f t="shared" si="202"/>
        <v>0.04</v>
      </c>
      <c r="AH825" s="67"/>
      <c r="AI825" s="47" t="s">
        <v>54</v>
      </c>
      <c r="AJ825" s="47">
        <v>687</v>
      </c>
      <c r="AK825" s="47" t="s">
        <v>65</v>
      </c>
      <c r="AL825" s="47" t="s">
        <v>65</v>
      </c>
      <c r="AM825" s="47" t="s">
        <v>2685</v>
      </c>
      <c r="AN825" s="50">
        <v>1170</v>
      </c>
      <c r="AO825" s="211">
        <f t="shared" si="197"/>
        <v>0.04</v>
      </c>
      <c r="AP825" s="47" t="s">
        <v>852</v>
      </c>
      <c r="AQ825" s="111" t="s">
        <v>125</v>
      </c>
      <c r="AR825" s="47" t="s">
        <v>1199</v>
      </c>
    </row>
    <row r="826" spans="1:44" hidden="1">
      <c r="A826" s="47" t="s">
        <v>44</v>
      </c>
      <c r="B826" s="47" t="str">
        <f t="shared" si="192"/>
        <v>August</v>
      </c>
      <c r="C826" s="59">
        <v>45533</v>
      </c>
      <c r="D826" s="47" t="s">
        <v>45</v>
      </c>
      <c r="E826" s="47" t="s">
        <v>1183</v>
      </c>
      <c r="F826" s="47" t="s">
        <v>1184</v>
      </c>
      <c r="G826" s="47" t="s">
        <v>3457</v>
      </c>
      <c r="H826" s="47" t="s">
        <v>3458</v>
      </c>
      <c r="I826" s="47" t="s">
        <v>63</v>
      </c>
      <c r="J826" s="47" t="s">
        <v>51</v>
      </c>
      <c r="K826" s="48">
        <v>45168</v>
      </c>
      <c r="L826" s="48">
        <v>45168</v>
      </c>
      <c r="M826" s="48">
        <v>45533</v>
      </c>
      <c r="N826" s="47" t="s">
        <v>52</v>
      </c>
      <c r="O826" s="55" t="s">
        <v>53</v>
      </c>
      <c r="P826" s="62">
        <v>10680</v>
      </c>
      <c r="Q826" s="62">
        <v>890</v>
      </c>
      <c r="R826" s="96">
        <v>10380</v>
      </c>
      <c r="S826" s="62">
        <f t="shared" si="193"/>
        <v>865</v>
      </c>
      <c r="T826" s="62">
        <v>10380</v>
      </c>
      <c r="U826" s="62">
        <f t="shared" si="198"/>
        <v>865</v>
      </c>
      <c r="V826" s="69">
        <v>10680</v>
      </c>
      <c r="W826" s="71">
        <v>900</v>
      </c>
      <c r="X826" s="71"/>
      <c r="Y826" s="71"/>
      <c r="Z826" s="64">
        <f t="shared" si="194"/>
        <v>4.046242774566474E-2</v>
      </c>
      <c r="AA826" s="64">
        <f t="shared" si="199"/>
        <v>4.046242774566474E-2</v>
      </c>
      <c r="AB826" s="71">
        <v>900</v>
      </c>
      <c r="AC826" s="64">
        <f t="shared" si="195"/>
        <v>4.046242774566474E-2</v>
      </c>
      <c r="AD826" s="64">
        <f t="shared" si="201"/>
        <v>4.046242774566474E-2</v>
      </c>
      <c r="AE826" s="71">
        <f t="shared" si="200"/>
        <v>900</v>
      </c>
      <c r="AF826" s="64">
        <f t="shared" si="196"/>
        <v>4.046242774566474E-2</v>
      </c>
      <c r="AG826" s="64">
        <f t="shared" si="202"/>
        <v>4.046242774566474E-2</v>
      </c>
      <c r="AH826" s="67"/>
      <c r="AI826" s="47" t="s">
        <v>54</v>
      </c>
      <c r="AJ826" s="47">
        <v>461</v>
      </c>
      <c r="AK826" s="47" t="s">
        <v>55</v>
      </c>
      <c r="AL826" s="47" t="s">
        <v>55</v>
      </c>
      <c r="AM826" s="47" t="s">
        <v>2744</v>
      </c>
      <c r="AN826" s="50"/>
      <c r="AO826" s="211">
        <f t="shared" si="197"/>
        <v>-1</v>
      </c>
      <c r="AP826" s="47" t="s">
        <v>852</v>
      </c>
      <c r="AQ826" s="91" t="s">
        <v>1132</v>
      </c>
      <c r="AR826" s="47"/>
    </row>
    <row r="827" spans="1:44" hidden="1">
      <c r="A827" s="47" t="s">
        <v>44</v>
      </c>
      <c r="B827" s="47" t="str">
        <f t="shared" si="192"/>
        <v>August</v>
      </c>
      <c r="C827" s="59">
        <v>45533</v>
      </c>
      <c r="D827" s="47" t="s">
        <v>45</v>
      </c>
      <c r="E827" s="47" t="s">
        <v>1183</v>
      </c>
      <c r="F827" s="47" t="s">
        <v>1184</v>
      </c>
      <c r="G827" s="47" t="s">
        <v>3481</v>
      </c>
      <c r="H827" s="47" t="s">
        <v>3482</v>
      </c>
      <c r="I827" s="47" t="s">
        <v>63</v>
      </c>
      <c r="J827" s="47" t="s">
        <v>51</v>
      </c>
      <c r="K827" s="48">
        <v>45168</v>
      </c>
      <c r="L827" s="48">
        <v>45168</v>
      </c>
      <c r="M827" s="48">
        <v>45533</v>
      </c>
      <c r="N827" s="47" t="s">
        <v>52</v>
      </c>
      <c r="O827" s="55" t="s">
        <v>53</v>
      </c>
      <c r="P827" s="62">
        <v>10800</v>
      </c>
      <c r="Q827" s="62">
        <v>900</v>
      </c>
      <c r="R827" s="96">
        <v>10740</v>
      </c>
      <c r="S827" s="62">
        <f t="shared" si="193"/>
        <v>895</v>
      </c>
      <c r="T827" s="62">
        <v>10740</v>
      </c>
      <c r="U827" s="62">
        <f t="shared" si="198"/>
        <v>895</v>
      </c>
      <c r="V827" s="69">
        <v>10800</v>
      </c>
      <c r="W827" s="71">
        <v>930</v>
      </c>
      <c r="X827" s="71"/>
      <c r="Y827" s="71"/>
      <c r="Z827" s="64">
        <f t="shared" si="194"/>
        <v>3.9106145251396648E-2</v>
      </c>
      <c r="AA827" s="64">
        <f t="shared" si="199"/>
        <v>3.9106145251396648E-2</v>
      </c>
      <c r="AB827" s="71">
        <v>930</v>
      </c>
      <c r="AC827" s="64">
        <f t="shared" si="195"/>
        <v>3.9106145251396648E-2</v>
      </c>
      <c r="AD827" s="64">
        <f t="shared" si="201"/>
        <v>3.9106145251396648E-2</v>
      </c>
      <c r="AE827" s="71">
        <f t="shared" si="200"/>
        <v>930</v>
      </c>
      <c r="AF827" s="64">
        <f t="shared" si="196"/>
        <v>3.9106145251396648E-2</v>
      </c>
      <c r="AG827" s="64">
        <f t="shared" si="202"/>
        <v>3.9106145251396648E-2</v>
      </c>
      <c r="AH827" s="67"/>
      <c r="AI827" s="47" t="s">
        <v>54</v>
      </c>
      <c r="AJ827" s="47">
        <v>460</v>
      </c>
      <c r="AK827" s="47" t="s">
        <v>55</v>
      </c>
      <c r="AL827" s="47" t="s">
        <v>55</v>
      </c>
      <c r="AM827" s="47" t="s">
        <v>2433</v>
      </c>
      <c r="AN827" s="50">
        <v>930</v>
      </c>
      <c r="AO827" s="211">
        <f t="shared" si="197"/>
        <v>3.9106145251396648E-2</v>
      </c>
      <c r="AP827" s="47" t="s">
        <v>852</v>
      </c>
      <c r="AQ827" s="91" t="s">
        <v>1074</v>
      </c>
      <c r="AR827" s="47" t="s">
        <v>3483</v>
      </c>
    </row>
    <row r="828" spans="1:44" hidden="1">
      <c r="A828" s="47" t="s">
        <v>44</v>
      </c>
      <c r="B828" s="47" t="str">
        <f t="shared" si="192"/>
        <v>August</v>
      </c>
      <c r="C828" s="59">
        <v>45534</v>
      </c>
      <c r="D828" s="47" t="s">
        <v>45</v>
      </c>
      <c r="E828" s="47" t="s">
        <v>1183</v>
      </c>
      <c r="F828" s="47" t="s">
        <v>1184</v>
      </c>
      <c r="G828" s="47" t="s">
        <v>3544</v>
      </c>
      <c r="H828" s="47" t="s">
        <v>3545</v>
      </c>
      <c r="I828" s="47" t="s">
        <v>63</v>
      </c>
      <c r="J828" s="47" t="s">
        <v>51</v>
      </c>
      <c r="K828" s="48">
        <v>45169</v>
      </c>
      <c r="L828" s="48">
        <v>45169</v>
      </c>
      <c r="M828" s="48">
        <v>45534</v>
      </c>
      <c r="N828" s="47" t="s">
        <v>52</v>
      </c>
      <c r="O828" s="55" t="s">
        <v>53</v>
      </c>
      <c r="P828" s="62">
        <v>10680</v>
      </c>
      <c r="Q828" s="62">
        <v>890</v>
      </c>
      <c r="R828" s="96">
        <v>10680</v>
      </c>
      <c r="S828" s="62">
        <f t="shared" si="193"/>
        <v>890</v>
      </c>
      <c r="T828" s="62">
        <v>10680</v>
      </c>
      <c r="U828" s="62">
        <f t="shared" si="198"/>
        <v>890</v>
      </c>
      <c r="V828" s="69">
        <v>10680</v>
      </c>
      <c r="W828" s="71">
        <v>900</v>
      </c>
      <c r="X828" s="71"/>
      <c r="Y828" s="71"/>
      <c r="Z828" s="64">
        <f t="shared" si="194"/>
        <v>1.1235955056179775E-2</v>
      </c>
      <c r="AA828" s="64">
        <f t="shared" si="199"/>
        <v>1.1235955056179775E-2</v>
      </c>
      <c r="AB828" s="71">
        <v>900</v>
      </c>
      <c r="AC828" s="64">
        <f t="shared" si="195"/>
        <v>1.1235955056179775E-2</v>
      </c>
      <c r="AD828" s="64">
        <f t="shared" si="201"/>
        <v>1.1235955056179775E-2</v>
      </c>
      <c r="AE828" s="71">
        <f t="shared" si="200"/>
        <v>900</v>
      </c>
      <c r="AF828" s="64">
        <f t="shared" si="196"/>
        <v>1.1235955056179775E-2</v>
      </c>
      <c r="AG828" s="64">
        <f t="shared" si="202"/>
        <v>1.1235955056179775E-2</v>
      </c>
      <c r="AH828" s="67"/>
      <c r="AI828" s="47" t="s">
        <v>54</v>
      </c>
      <c r="AJ828" s="47">
        <v>453</v>
      </c>
      <c r="AK828" s="47" t="s">
        <v>55</v>
      </c>
      <c r="AL828" s="47" t="s">
        <v>55</v>
      </c>
      <c r="AM828" s="47" t="s">
        <v>2688</v>
      </c>
      <c r="AN828" s="50"/>
      <c r="AO828" s="211">
        <f t="shared" si="197"/>
        <v>-1</v>
      </c>
      <c r="AP828" s="47" t="s">
        <v>852</v>
      </c>
      <c r="AQ828" s="94" t="s">
        <v>891</v>
      </c>
      <c r="AR828" s="47" t="s">
        <v>1653</v>
      </c>
    </row>
    <row r="829" spans="1:44" hidden="1">
      <c r="A829" s="47" t="s">
        <v>44</v>
      </c>
      <c r="B829" s="47" t="str">
        <f t="shared" si="192"/>
        <v>August</v>
      </c>
      <c r="C829" s="59">
        <v>45534</v>
      </c>
      <c r="D829" s="47" t="s">
        <v>45</v>
      </c>
      <c r="E829" s="47" t="s">
        <v>1183</v>
      </c>
      <c r="F829" s="47" t="s">
        <v>1184</v>
      </c>
      <c r="G829" s="47" t="s">
        <v>3546</v>
      </c>
      <c r="H829" s="47" t="s">
        <v>3547</v>
      </c>
      <c r="I829" s="47" t="s">
        <v>63</v>
      </c>
      <c r="J829" s="47" t="s">
        <v>51</v>
      </c>
      <c r="K829" s="48">
        <v>45169</v>
      </c>
      <c r="L829" s="48">
        <v>45169</v>
      </c>
      <c r="M829" s="48">
        <v>45534</v>
      </c>
      <c r="N829" s="47" t="s">
        <v>52</v>
      </c>
      <c r="O829" s="55" t="s">
        <v>53</v>
      </c>
      <c r="P829" s="62">
        <v>10440</v>
      </c>
      <c r="Q829" s="62">
        <v>870</v>
      </c>
      <c r="R829" s="96">
        <v>10440</v>
      </c>
      <c r="S829" s="62">
        <f t="shared" si="193"/>
        <v>870</v>
      </c>
      <c r="T829" s="62">
        <v>10440</v>
      </c>
      <c r="U829" s="62">
        <f t="shared" si="198"/>
        <v>870</v>
      </c>
      <c r="V829" s="69">
        <v>10440</v>
      </c>
      <c r="W829" s="71">
        <v>880</v>
      </c>
      <c r="X829" s="71"/>
      <c r="Y829" s="71"/>
      <c r="Z829" s="64">
        <f t="shared" si="194"/>
        <v>1.1494252873563218E-2</v>
      </c>
      <c r="AA829" s="64">
        <f t="shared" si="199"/>
        <v>1.1494252873563218E-2</v>
      </c>
      <c r="AB829" s="71">
        <v>880</v>
      </c>
      <c r="AC829" s="64">
        <f t="shared" si="195"/>
        <v>1.1494252873563218E-2</v>
      </c>
      <c r="AD829" s="64">
        <f t="shared" si="201"/>
        <v>1.1494252873563218E-2</v>
      </c>
      <c r="AE829" s="71">
        <f t="shared" si="200"/>
        <v>880</v>
      </c>
      <c r="AF829" s="64">
        <f t="shared" si="196"/>
        <v>1.1494252873563218E-2</v>
      </c>
      <c r="AG829" s="64">
        <f t="shared" si="202"/>
        <v>1.1494252873563218E-2</v>
      </c>
      <c r="AH829" s="67"/>
      <c r="AI829" s="47" t="s">
        <v>54</v>
      </c>
      <c r="AJ829" s="47">
        <v>445</v>
      </c>
      <c r="AK829" s="47" t="s">
        <v>55</v>
      </c>
      <c r="AL829" s="47" t="s">
        <v>55</v>
      </c>
      <c r="AM829" s="47" t="s">
        <v>2692</v>
      </c>
      <c r="AN829" s="50">
        <v>880</v>
      </c>
      <c r="AO829" s="211">
        <f t="shared" si="197"/>
        <v>1.1494252873563218E-2</v>
      </c>
      <c r="AP829" s="47" t="s">
        <v>852</v>
      </c>
      <c r="AQ829" s="91" t="s">
        <v>1132</v>
      </c>
      <c r="AR829" s="47"/>
    </row>
    <row r="830" spans="1:44" hidden="1">
      <c r="A830" s="47" t="s">
        <v>44</v>
      </c>
      <c r="B830" s="47" t="str">
        <f t="shared" si="192"/>
        <v>August</v>
      </c>
      <c r="C830" s="59">
        <v>45534</v>
      </c>
      <c r="D830" s="47" t="s">
        <v>45</v>
      </c>
      <c r="E830" s="47" t="s">
        <v>1183</v>
      </c>
      <c r="F830" s="47" t="s">
        <v>1184</v>
      </c>
      <c r="G830" s="47" t="s">
        <v>3548</v>
      </c>
      <c r="H830" s="47" t="s">
        <v>3549</v>
      </c>
      <c r="I830" s="47" t="s">
        <v>63</v>
      </c>
      <c r="J830" s="47" t="s">
        <v>51</v>
      </c>
      <c r="K830" s="48">
        <v>45169</v>
      </c>
      <c r="L830" s="48">
        <v>45169</v>
      </c>
      <c r="M830" s="48">
        <v>45534</v>
      </c>
      <c r="N830" s="47" t="s">
        <v>52</v>
      </c>
      <c r="O830" s="55" t="s">
        <v>53</v>
      </c>
      <c r="P830" s="62">
        <v>13680</v>
      </c>
      <c r="Q830" s="62">
        <v>1140</v>
      </c>
      <c r="R830" s="96">
        <v>13740</v>
      </c>
      <c r="S830" s="62">
        <f t="shared" si="193"/>
        <v>1145</v>
      </c>
      <c r="T830" s="62">
        <v>13680</v>
      </c>
      <c r="U830" s="62">
        <f t="shared" si="198"/>
        <v>1140</v>
      </c>
      <c r="V830" s="69">
        <v>13680</v>
      </c>
      <c r="W830" s="71">
        <v>1210</v>
      </c>
      <c r="X830" s="71"/>
      <c r="Y830" s="71"/>
      <c r="Z830" s="64">
        <f t="shared" si="194"/>
        <v>6.1403508771929821E-2</v>
      </c>
      <c r="AA830" s="64">
        <f t="shared" si="199"/>
        <v>5.6768558951965066E-2</v>
      </c>
      <c r="AB830" s="71">
        <v>1210</v>
      </c>
      <c r="AC830" s="64">
        <f t="shared" si="195"/>
        <v>6.1403508771929821E-2</v>
      </c>
      <c r="AD830" s="64">
        <f t="shared" si="201"/>
        <v>5.6768558951965066E-2</v>
      </c>
      <c r="AE830" s="71">
        <f t="shared" si="200"/>
        <v>1210</v>
      </c>
      <c r="AF830" s="64">
        <f t="shared" si="196"/>
        <v>6.1403508771929821E-2</v>
      </c>
      <c r="AG830" s="64">
        <f t="shared" si="202"/>
        <v>5.6768558951965066E-2</v>
      </c>
      <c r="AH830" s="67"/>
      <c r="AI830" s="47" t="s">
        <v>54</v>
      </c>
      <c r="AJ830" s="47">
        <v>678</v>
      </c>
      <c r="AK830" s="47" t="s">
        <v>65</v>
      </c>
      <c r="AL830" s="47" t="s">
        <v>65</v>
      </c>
      <c r="AM830" s="47" t="s">
        <v>2595</v>
      </c>
      <c r="AN830" s="50"/>
      <c r="AO830" s="211">
        <f t="shared" si="197"/>
        <v>-1</v>
      </c>
      <c r="AP830" s="47" t="s">
        <v>852</v>
      </c>
      <c r="AQ830" s="94" t="s">
        <v>898</v>
      </c>
      <c r="AR830" s="47" t="s">
        <v>1653</v>
      </c>
    </row>
    <row r="831" spans="1:44" hidden="1">
      <c r="A831" s="47" t="s">
        <v>44</v>
      </c>
      <c r="B831" s="47" t="str">
        <f t="shared" si="192"/>
        <v>August</v>
      </c>
      <c r="C831" s="59">
        <v>45534</v>
      </c>
      <c r="D831" s="47" t="s">
        <v>45</v>
      </c>
      <c r="E831" s="47" t="s">
        <v>1183</v>
      </c>
      <c r="F831" s="47" t="s">
        <v>1184</v>
      </c>
      <c r="G831" s="47" t="s">
        <v>3550</v>
      </c>
      <c r="H831" s="47" t="s">
        <v>3551</v>
      </c>
      <c r="I831" s="47" t="s">
        <v>63</v>
      </c>
      <c r="J831" s="47" t="s">
        <v>51</v>
      </c>
      <c r="K831" s="48">
        <v>45169</v>
      </c>
      <c r="L831" s="48">
        <v>45169</v>
      </c>
      <c r="M831" s="48">
        <v>45534</v>
      </c>
      <c r="N831" s="47" t="s">
        <v>52</v>
      </c>
      <c r="O831" s="55" t="s">
        <v>53</v>
      </c>
      <c r="P831" s="62">
        <v>10860</v>
      </c>
      <c r="Q831" s="62">
        <v>905</v>
      </c>
      <c r="R831" s="96">
        <v>10860</v>
      </c>
      <c r="S831" s="62">
        <f t="shared" si="193"/>
        <v>905</v>
      </c>
      <c r="T831" s="62">
        <v>10860</v>
      </c>
      <c r="U831" s="62">
        <f t="shared" si="198"/>
        <v>905</v>
      </c>
      <c r="V831" s="69">
        <v>10860</v>
      </c>
      <c r="W831" s="71">
        <v>915</v>
      </c>
      <c r="X831" s="71"/>
      <c r="Y831" s="71"/>
      <c r="Z831" s="64">
        <f t="shared" si="194"/>
        <v>1.1049723756906077E-2</v>
      </c>
      <c r="AA831" s="64">
        <f t="shared" si="199"/>
        <v>1.1049723756906077E-2</v>
      </c>
      <c r="AB831" s="71">
        <v>915</v>
      </c>
      <c r="AC831" s="64">
        <f t="shared" si="195"/>
        <v>1.1049723756906077E-2</v>
      </c>
      <c r="AD831" s="64">
        <f t="shared" si="201"/>
        <v>1.1049723756906077E-2</v>
      </c>
      <c r="AE831" s="71">
        <f t="shared" si="200"/>
        <v>915</v>
      </c>
      <c r="AF831" s="64">
        <f t="shared" si="196"/>
        <v>1.1049723756906077E-2</v>
      </c>
      <c r="AG831" s="64">
        <f t="shared" si="202"/>
        <v>1.1049723756906077E-2</v>
      </c>
      <c r="AH831" s="67"/>
      <c r="AI831" s="47" t="s">
        <v>54</v>
      </c>
      <c r="AJ831" s="47">
        <v>460</v>
      </c>
      <c r="AK831" s="47" t="s">
        <v>55</v>
      </c>
      <c r="AL831" s="47" t="s">
        <v>55</v>
      </c>
      <c r="AM831" s="47" t="s">
        <v>1187</v>
      </c>
      <c r="AN831" s="50"/>
      <c r="AO831" s="211">
        <f t="shared" si="197"/>
        <v>-1</v>
      </c>
      <c r="AP831" s="47" t="s">
        <v>852</v>
      </c>
      <c r="AQ831" s="94" t="s">
        <v>1713</v>
      </c>
      <c r="AR831" s="47" t="s">
        <v>960</v>
      </c>
    </row>
    <row r="832" spans="1:44" hidden="1">
      <c r="A832" s="47" t="s">
        <v>44</v>
      </c>
      <c r="B832" s="47" t="str">
        <f t="shared" si="192"/>
        <v>August</v>
      </c>
      <c r="C832" s="59">
        <v>45534</v>
      </c>
      <c r="D832" s="47" t="s">
        <v>45</v>
      </c>
      <c r="E832" s="47" t="s">
        <v>1183</v>
      </c>
      <c r="F832" s="47" t="s">
        <v>1184</v>
      </c>
      <c r="G832" s="47" t="s">
        <v>3566</v>
      </c>
      <c r="H832" s="47" t="s">
        <v>3567</v>
      </c>
      <c r="I832" s="47" t="s">
        <v>63</v>
      </c>
      <c r="J832" s="47" t="s">
        <v>51</v>
      </c>
      <c r="K832" s="48">
        <v>45169</v>
      </c>
      <c r="L832" s="48">
        <v>45169</v>
      </c>
      <c r="M832" s="48">
        <v>45534</v>
      </c>
      <c r="N832" s="47" t="s">
        <v>52</v>
      </c>
      <c r="O832" s="55" t="s">
        <v>53</v>
      </c>
      <c r="P832" s="62">
        <v>13920</v>
      </c>
      <c r="Q832" s="62">
        <v>1160</v>
      </c>
      <c r="R832" s="96">
        <v>13920</v>
      </c>
      <c r="S832" s="62">
        <f t="shared" si="193"/>
        <v>1160</v>
      </c>
      <c r="T832" s="62">
        <v>13920</v>
      </c>
      <c r="U832" s="62">
        <f t="shared" si="198"/>
        <v>1160</v>
      </c>
      <c r="V832" s="69">
        <v>13920</v>
      </c>
      <c r="W832" s="71">
        <v>1205</v>
      </c>
      <c r="X832" s="71"/>
      <c r="Y832" s="71"/>
      <c r="Z832" s="64">
        <f t="shared" si="194"/>
        <v>3.8793103448275863E-2</v>
      </c>
      <c r="AA832" s="64">
        <f t="shared" si="199"/>
        <v>3.8793103448275863E-2</v>
      </c>
      <c r="AB832" s="71">
        <v>1205</v>
      </c>
      <c r="AC832" s="64">
        <f t="shared" si="195"/>
        <v>3.8793103448275863E-2</v>
      </c>
      <c r="AD832" s="64">
        <f t="shared" si="201"/>
        <v>3.8793103448275863E-2</v>
      </c>
      <c r="AE832" s="71">
        <f t="shared" ref="AE832:AE841" si="203">AB832</f>
        <v>1205</v>
      </c>
      <c r="AF832" s="64">
        <f t="shared" si="196"/>
        <v>3.8793103448275863E-2</v>
      </c>
      <c r="AG832" s="64">
        <f t="shared" si="202"/>
        <v>3.8793103448275863E-2</v>
      </c>
      <c r="AH832" s="67"/>
      <c r="AI832" s="47" t="s">
        <v>54</v>
      </c>
      <c r="AJ832" s="47">
        <v>687</v>
      </c>
      <c r="AK832" s="47" t="s">
        <v>65</v>
      </c>
      <c r="AL832" s="47" t="s">
        <v>65</v>
      </c>
      <c r="AM832" s="47" t="s">
        <v>3568</v>
      </c>
      <c r="AN832" s="50"/>
      <c r="AO832" s="211">
        <f t="shared" si="197"/>
        <v>-1</v>
      </c>
      <c r="AP832" s="47" t="s">
        <v>852</v>
      </c>
      <c r="AQ832" s="91" t="s">
        <v>1074</v>
      </c>
      <c r="AR832" s="47" t="s">
        <v>3569</v>
      </c>
    </row>
    <row r="833" spans="1:44" hidden="1">
      <c r="A833" s="47" t="s">
        <v>44</v>
      </c>
      <c r="B833" s="47" t="str">
        <f t="shared" si="192"/>
        <v>July</v>
      </c>
      <c r="C833" s="59">
        <v>45493</v>
      </c>
      <c r="D833" s="47" t="s">
        <v>45</v>
      </c>
      <c r="E833" s="47" t="s">
        <v>1183</v>
      </c>
      <c r="F833" s="47" t="s">
        <v>1184</v>
      </c>
      <c r="G833" s="93" t="s">
        <v>3672</v>
      </c>
      <c r="H833" s="47" t="s">
        <v>3673</v>
      </c>
      <c r="I833" s="47" t="s">
        <v>63</v>
      </c>
      <c r="J833" s="47" t="s">
        <v>51</v>
      </c>
      <c r="K833" s="48">
        <v>45251</v>
      </c>
      <c r="L833" s="48">
        <v>45251</v>
      </c>
      <c r="M833" s="48">
        <v>45493</v>
      </c>
      <c r="N833" s="47" t="s">
        <v>52</v>
      </c>
      <c r="O833" s="55" t="s">
        <v>53</v>
      </c>
      <c r="P833" s="62">
        <v>10680</v>
      </c>
      <c r="Q833" s="62">
        <v>890</v>
      </c>
      <c r="R833" s="96">
        <v>10680</v>
      </c>
      <c r="S833" s="62">
        <f t="shared" si="193"/>
        <v>890</v>
      </c>
      <c r="T833" s="62">
        <v>10680</v>
      </c>
      <c r="U833" s="62">
        <f t="shared" si="198"/>
        <v>890</v>
      </c>
      <c r="V833" s="69">
        <v>10680</v>
      </c>
      <c r="W833" s="71">
        <v>915</v>
      </c>
      <c r="X833" s="71"/>
      <c r="Y833" s="71"/>
      <c r="Z833" s="64">
        <f t="shared" si="194"/>
        <v>2.8089887640449437E-2</v>
      </c>
      <c r="AA833" s="64">
        <f t="shared" si="199"/>
        <v>2.8089887640449437E-2</v>
      </c>
      <c r="AB833" s="71">
        <v>915</v>
      </c>
      <c r="AC833" s="64">
        <f t="shared" si="195"/>
        <v>2.8089887640449437E-2</v>
      </c>
      <c r="AD833" s="64">
        <f t="shared" si="201"/>
        <v>2.8089887640449437E-2</v>
      </c>
      <c r="AE833" s="71">
        <f t="shared" si="203"/>
        <v>915</v>
      </c>
      <c r="AF833" s="64">
        <f t="shared" si="196"/>
        <v>2.8089887640449437E-2</v>
      </c>
      <c r="AG833" s="64">
        <f t="shared" si="202"/>
        <v>2.8089887640449437E-2</v>
      </c>
      <c r="AH833" s="67"/>
      <c r="AI833" s="47" t="s">
        <v>54</v>
      </c>
      <c r="AJ833" s="47">
        <v>457</v>
      </c>
      <c r="AK833" s="101" t="s">
        <v>55</v>
      </c>
      <c r="AL833" s="101" t="s">
        <v>55</v>
      </c>
      <c r="AM833" s="47" t="s">
        <v>2346</v>
      </c>
      <c r="AN833" s="50"/>
      <c r="AO833" s="211">
        <f t="shared" si="197"/>
        <v>-1</v>
      </c>
      <c r="AP833" s="47" t="s">
        <v>852</v>
      </c>
      <c r="AQ833" s="94" t="s">
        <v>1039</v>
      </c>
      <c r="AR833" s="47"/>
    </row>
    <row r="834" spans="1:44" hidden="1">
      <c r="A834" s="47" t="s">
        <v>44</v>
      </c>
      <c r="B834" s="47" t="str">
        <f t="shared" ref="B834:B897" si="204">TEXT(C834,"mmmm")</f>
        <v>August</v>
      </c>
      <c r="C834" s="59">
        <v>45535</v>
      </c>
      <c r="D834" s="47" t="s">
        <v>45</v>
      </c>
      <c r="E834" s="47" t="s">
        <v>1183</v>
      </c>
      <c r="F834" s="47" t="s">
        <v>1184</v>
      </c>
      <c r="G834" s="47" t="s">
        <v>3763</v>
      </c>
      <c r="H834" s="47" t="s">
        <v>3764</v>
      </c>
      <c r="I834" s="47" t="s">
        <v>63</v>
      </c>
      <c r="J834" s="47" t="s">
        <v>51</v>
      </c>
      <c r="K834" s="48">
        <v>45170</v>
      </c>
      <c r="L834" s="48">
        <v>45170</v>
      </c>
      <c r="M834" s="48">
        <v>45535</v>
      </c>
      <c r="N834" s="47" t="s">
        <v>52</v>
      </c>
      <c r="O834" s="55" t="s">
        <v>53</v>
      </c>
      <c r="P834" s="62">
        <v>14160</v>
      </c>
      <c r="Q834" s="62">
        <v>1180</v>
      </c>
      <c r="R834" s="96">
        <v>14400</v>
      </c>
      <c r="S834" s="62">
        <f t="shared" ref="S834:S897" si="205">R834/12</f>
        <v>1200</v>
      </c>
      <c r="T834" s="62">
        <v>14160</v>
      </c>
      <c r="U834" s="62">
        <f t="shared" si="198"/>
        <v>1180</v>
      </c>
      <c r="V834" s="69">
        <v>14160</v>
      </c>
      <c r="W834" s="71">
        <v>1255</v>
      </c>
      <c r="X834" s="71"/>
      <c r="Y834" s="71"/>
      <c r="Z834" s="64">
        <f t="shared" ref="Z834:Z897" si="206">(W834-U834)/U834</f>
        <v>6.3559322033898302E-2</v>
      </c>
      <c r="AA834" s="64">
        <f t="shared" si="199"/>
        <v>4.583333333333333E-2</v>
      </c>
      <c r="AB834" s="71">
        <v>1255</v>
      </c>
      <c r="AC834" s="64">
        <f t="shared" ref="AC834:AC897" si="207">(AB834-U834)/U834</f>
        <v>6.3559322033898302E-2</v>
      </c>
      <c r="AD834" s="64">
        <f t="shared" si="201"/>
        <v>4.583333333333333E-2</v>
      </c>
      <c r="AE834" s="71">
        <f t="shared" si="203"/>
        <v>1255</v>
      </c>
      <c r="AF834" s="64">
        <f t="shared" ref="AF834:AF897" si="208">(AE834-U834)/U834</f>
        <v>6.3559322033898302E-2</v>
      </c>
      <c r="AG834" s="64">
        <f t="shared" si="202"/>
        <v>4.583333333333333E-2</v>
      </c>
      <c r="AH834" s="67"/>
      <c r="AI834" s="47" t="s">
        <v>54</v>
      </c>
      <c r="AJ834" s="47">
        <v>690</v>
      </c>
      <c r="AK834" s="47" t="s">
        <v>65</v>
      </c>
      <c r="AL834" s="47" t="s">
        <v>55</v>
      </c>
      <c r="AM834" s="47" t="s">
        <v>3765</v>
      </c>
      <c r="AN834" s="50"/>
      <c r="AO834" s="211">
        <f t="shared" ref="AO834:AO897" si="209">SUM(AN834-U834)/U834</f>
        <v>-1</v>
      </c>
      <c r="AP834" s="47" t="s">
        <v>852</v>
      </c>
      <c r="AQ834" s="91" t="s">
        <v>1074</v>
      </c>
      <c r="AR834" s="47" t="s">
        <v>3766</v>
      </c>
    </row>
    <row r="835" spans="1:44" hidden="1">
      <c r="A835" s="47" t="s">
        <v>44</v>
      </c>
      <c r="B835" s="47" t="str">
        <f t="shared" si="204"/>
        <v>August</v>
      </c>
      <c r="C835" s="59">
        <v>45535</v>
      </c>
      <c r="D835" s="47" t="s">
        <v>45</v>
      </c>
      <c r="E835" s="47" t="s">
        <v>1183</v>
      </c>
      <c r="F835" s="47" t="s">
        <v>1184</v>
      </c>
      <c r="G835" s="47" t="s">
        <v>3770</v>
      </c>
      <c r="H835" s="47" t="s">
        <v>3771</v>
      </c>
      <c r="I835" s="47" t="s">
        <v>63</v>
      </c>
      <c r="J835" s="47" t="s">
        <v>51</v>
      </c>
      <c r="K835" s="48">
        <v>45170</v>
      </c>
      <c r="L835" s="48">
        <v>45170</v>
      </c>
      <c r="M835" s="48">
        <v>45535</v>
      </c>
      <c r="N835" s="47" t="s">
        <v>52</v>
      </c>
      <c r="O835" s="55" t="s">
        <v>53</v>
      </c>
      <c r="P835" s="62">
        <v>10740</v>
      </c>
      <c r="Q835" s="62">
        <v>895</v>
      </c>
      <c r="R835" s="96">
        <v>10620</v>
      </c>
      <c r="S835" s="62">
        <f t="shared" si="205"/>
        <v>885</v>
      </c>
      <c r="T835" s="62">
        <v>10440</v>
      </c>
      <c r="U835" s="62">
        <f t="shared" si="198"/>
        <v>870</v>
      </c>
      <c r="V835" s="69">
        <v>10740</v>
      </c>
      <c r="W835" s="71">
        <v>905</v>
      </c>
      <c r="X835" s="71"/>
      <c r="Y835" s="71"/>
      <c r="Z835" s="64">
        <f t="shared" si="206"/>
        <v>4.0229885057471264E-2</v>
      </c>
      <c r="AA835" s="64">
        <f t="shared" si="199"/>
        <v>2.2598870056497175E-2</v>
      </c>
      <c r="AB835" s="71">
        <v>905</v>
      </c>
      <c r="AC835" s="64">
        <f t="shared" si="207"/>
        <v>4.0229885057471264E-2</v>
      </c>
      <c r="AD835" s="64">
        <f t="shared" si="201"/>
        <v>2.2598870056497175E-2</v>
      </c>
      <c r="AE835" s="71">
        <f t="shared" si="203"/>
        <v>905</v>
      </c>
      <c r="AF835" s="64">
        <f t="shared" si="208"/>
        <v>4.0229885057471264E-2</v>
      </c>
      <c r="AG835" s="64">
        <f t="shared" si="202"/>
        <v>2.2598870056497175E-2</v>
      </c>
      <c r="AH835" s="67"/>
      <c r="AI835" s="47" t="s">
        <v>54</v>
      </c>
      <c r="AJ835" s="47">
        <v>460</v>
      </c>
      <c r="AK835" s="47" t="s">
        <v>55</v>
      </c>
      <c r="AL835" s="47" t="s">
        <v>55</v>
      </c>
      <c r="AM835" s="47" t="s">
        <v>1187</v>
      </c>
      <c r="AN835" s="50"/>
      <c r="AO835" s="211">
        <f t="shared" si="209"/>
        <v>-1</v>
      </c>
      <c r="AP835" s="47" t="s">
        <v>852</v>
      </c>
      <c r="AQ835" s="94" t="s">
        <v>1039</v>
      </c>
      <c r="AR835" s="47" t="s">
        <v>960</v>
      </c>
    </row>
    <row r="836" spans="1:44" hidden="1">
      <c r="A836" s="47" t="s">
        <v>44</v>
      </c>
      <c r="B836" s="47" t="str">
        <f t="shared" si="204"/>
        <v>August</v>
      </c>
      <c r="C836" s="59">
        <v>45535</v>
      </c>
      <c r="D836" s="47" t="s">
        <v>45</v>
      </c>
      <c r="E836" s="47" t="s">
        <v>1183</v>
      </c>
      <c r="F836" s="47" t="s">
        <v>1184</v>
      </c>
      <c r="G836" s="47" t="s">
        <v>3772</v>
      </c>
      <c r="H836" s="47" t="s">
        <v>3773</v>
      </c>
      <c r="I836" s="47" t="s">
        <v>63</v>
      </c>
      <c r="J836" s="47" t="s">
        <v>51</v>
      </c>
      <c r="K836" s="48">
        <v>45170</v>
      </c>
      <c r="L836" s="48">
        <v>45170</v>
      </c>
      <c r="M836" s="48">
        <v>45535</v>
      </c>
      <c r="N836" s="47" t="s">
        <v>52</v>
      </c>
      <c r="O836" s="55" t="s">
        <v>53</v>
      </c>
      <c r="P836" s="62">
        <v>10500</v>
      </c>
      <c r="Q836" s="62">
        <v>875</v>
      </c>
      <c r="R836" s="96">
        <v>10500</v>
      </c>
      <c r="S836" s="62">
        <f t="shared" si="205"/>
        <v>875</v>
      </c>
      <c r="T836" s="62">
        <v>10500</v>
      </c>
      <c r="U836" s="62">
        <f t="shared" si="198"/>
        <v>875</v>
      </c>
      <c r="V836" s="69">
        <v>10500</v>
      </c>
      <c r="W836" s="71">
        <v>885</v>
      </c>
      <c r="X836" s="71"/>
      <c r="Y836" s="71"/>
      <c r="Z836" s="64">
        <f t="shared" si="206"/>
        <v>1.1428571428571429E-2</v>
      </c>
      <c r="AA836" s="64">
        <f t="shared" si="199"/>
        <v>1.1428571428571429E-2</v>
      </c>
      <c r="AB836" s="71">
        <v>885</v>
      </c>
      <c r="AC836" s="64">
        <f t="shared" si="207"/>
        <v>1.1428571428571429E-2</v>
      </c>
      <c r="AD836" s="64">
        <f t="shared" si="201"/>
        <v>1.1428571428571429E-2</v>
      </c>
      <c r="AE836" s="71">
        <f t="shared" si="203"/>
        <v>885</v>
      </c>
      <c r="AF836" s="64">
        <f t="shared" si="208"/>
        <v>1.1428571428571429E-2</v>
      </c>
      <c r="AG836" s="64">
        <f t="shared" si="202"/>
        <v>1.1428571428571429E-2</v>
      </c>
      <c r="AH836" s="67"/>
      <c r="AI836" s="47" t="s">
        <v>54</v>
      </c>
      <c r="AJ836" s="47">
        <v>447</v>
      </c>
      <c r="AK836" s="47" t="s">
        <v>55</v>
      </c>
      <c r="AL836" s="47" t="s">
        <v>55</v>
      </c>
      <c r="AM836" s="47" t="s">
        <v>2692</v>
      </c>
      <c r="AN836" s="50">
        <v>885</v>
      </c>
      <c r="AO836" s="211">
        <f t="shared" si="209"/>
        <v>1.1428571428571429E-2</v>
      </c>
      <c r="AP836" s="47" t="s">
        <v>852</v>
      </c>
      <c r="AQ836" s="111" t="s">
        <v>125</v>
      </c>
      <c r="AR836" s="47" t="s">
        <v>1199</v>
      </c>
    </row>
    <row r="837" spans="1:44" hidden="1">
      <c r="A837" s="47" t="s">
        <v>44</v>
      </c>
      <c r="B837" s="47" t="str">
        <f t="shared" si="204"/>
        <v>August</v>
      </c>
      <c r="C837" s="59">
        <v>45535</v>
      </c>
      <c r="D837" s="47" t="s">
        <v>45</v>
      </c>
      <c r="E837" s="47" t="s">
        <v>1183</v>
      </c>
      <c r="F837" s="47" t="s">
        <v>1184</v>
      </c>
      <c r="G837" s="47" t="s">
        <v>3774</v>
      </c>
      <c r="H837" s="47" t="s">
        <v>3775</v>
      </c>
      <c r="I837" s="47" t="s">
        <v>3776</v>
      </c>
      <c r="J837" s="47" t="s">
        <v>51</v>
      </c>
      <c r="K837" s="48">
        <v>45170</v>
      </c>
      <c r="L837" s="48">
        <v>45170</v>
      </c>
      <c r="M837" s="48">
        <v>45535</v>
      </c>
      <c r="N837" s="47" t="s">
        <v>52</v>
      </c>
      <c r="O837" s="55" t="s">
        <v>53</v>
      </c>
      <c r="P837" s="62">
        <v>10740</v>
      </c>
      <c r="Q837" s="62">
        <v>895</v>
      </c>
      <c r="R837" s="96">
        <v>10620</v>
      </c>
      <c r="S837" s="62">
        <f t="shared" si="205"/>
        <v>885</v>
      </c>
      <c r="T837" s="62">
        <v>10620</v>
      </c>
      <c r="U837" s="62">
        <f t="shared" si="198"/>
        <v>885</v>
      </c>
      <c r="V837" s="69">
        <v>10740</v>
      </c>
      <c r="W837" s="71">
        <v>920</v>
      </c>
      <c r="X837" s="71"/>
      <c r="Y837" s="71"/>
      <c r="Z837" s="64">
        <f t="shared" si="206"/>
        <v>3.954802259887006E-2</v>
      </c>
      <c r="AA837" s="64">
        <f t="shared" si="199"/>
        <v>3.954802259887006E-2</v>
      </c>
      <c r="AB837" s="71">
        <v>920</v>
      </c>
      <c r="AC837" s="64">
        <f t="shared" si="207"/>
        <v>3.954802259887006E-2</v>
      </c>
      <c r="AD837" s="64">
        <f t="shared" si="201"/>
        <v>3.954802259887006E-2</v>
      </c>
      <c r="AE837" s="71">
        <f t="shared" si="203"/>
        <v>920</v>
      </c>
      <c r="AF837" s="64">
        <f t="shared" si="208"/>
        <v>3.954802259887006E-2</v>
      </c>
      <c r="AG837" s="64">
        <f t="shared" si="202"/>
        <v>3.954802259887006E-2</v>
      </c>
      <c r="AH837" s="67"/>
      <c r="AI837" s="47" t="s">
        <v>54</v>
      </c>
      <c r="AJ837" s="47">
        <v>460</v>
      </c>
      <c r="AK837" s="47" t="s">
        <v>55</v>
      </c>
      <c r="AL837" s="47" t="s">
        <v>55</v>
      </c>
      <c r="AM837" s="47" t="s">
        <v>2433</v>
      </c>
      <c r="AN837" s="50"/>
      <c r="AO837" s="211">
        <f t="shared" si="209"/>
        <v>-1</v>
      </c>
      <c r="AP837" s="47" t="s">
        <v>852</v>
      </c>
      <c r="AQ837" s="94" t="s">
        <v>1039</v>
      </c>
      <c r="AR837" s="47" t="s">
        <v>960</v>
      </c>
    </row>
    <row r="838" spans="1:44" hidden="1">
      <c r="A838" s="47" t="s">
        <v>44</v>
      </c>
      <c r="B838" s="47" t="str">
        <f t="shared" si="204"/>
        <v>August</v>
      </c>
      <c r="C838" s="59">
        <v>45535</v>
      </c>
      <c r="D838" s="47" t="s">
        <v>45</v>
      </c>
      <c r="E838" s="47" t="s">
        <v>1183</v>
      </c>
      <c r="F838" s="47" t="s">
        <v>1184</v>
      </c>
      <c r="G838" s="47" t="s">
        <v>3777</v>
      </c>
      <c r="H838" s="47" t="s">
        <v>3778</v>
      </c>
      <c r="I838" s="47" t="s">
        <v>63</v>
      </c>
      <c r="J838" s="47" t="s">
        <v>51</v>
      </c>
      <c r="K838" s="48">
        <v>45261</v>
      </c>
      <c r="L838" s="48">
        <v>45261</v>
      </c>
      <c r="M838" s="48">
        <v>45535</v>
      </c>
      <c r="N838" s="47" t="s">
        <v>52</v>
      </c>
      <c r="O838" s="55" t="s">
        <v>53</v>
      </c>
      <c r="P838" s="62">
        <v>13800</v>
      </c>
      <c r="Q838" s="62">
        <v>1150</v>
      </c>
      <c r="R838" s="96">
        <v>13920</v>
      </c>
      <c r="S838" s="62">
        <f t="shared" si="205"/>
        <v>1160</v>
      </c>
      <c r="T838" s="62">
        <v>13800</v>
      </c>
      <c r="U838" s="62">
        <f t="shared" ref="U838:U901" si="210">T838/12</f>
        <v>1150</v>
      </c>
      <c r="V838" s="69">
        <v>13800</v>
      </c>
      <c r="W838" s="71">
        <v>1220</v>
      </c>
      <c r="X838" s="71"/>
      <c r="Y838" s="71"/>
      <c r="Z838" s="64">
        <f t="shared" si="206"/>
        <v>6.0869565217391307E-2</v>
      </c>
      <c r="AA838" s="64">
        <f t="shared" si="199"/>
        <v>5.1724137931034482E-2</v>
      </c>
      <c r="AB838" s="71">
        <v>1220</v>
      </c>
      <c r="AC838" s="64">
        <f t="shared" si="207"/>
        <v>6.0869565217391307E-2</v>
      </c>
      <c r="AD838" s="64">
        <f t="shared" si="201"/>
        <v>5.1724137931034482E-2</v>
      </c>
      <c r="AE838" s="71">
        <f t="shared" si="203"/>
        <v>1220</v>
      </c>
      <c r="AF838" s="64">
        <f t="shared" si="208"/>
        <v>6.0869565217391307E-2</v>
      </c>
      <c r="AG838" s="64">
        <f t="shared" si="202"/>
        <v>5.1724137931034482E-2</v>
      </c>
      <c r="AH838" s="67"/>
      <c r="AI838" s="47" t="s">
        <v>54</v>
      </c>
      <c r="AJ838" s="47">
        <v>687</v>
      </c>
      <c r="AK838" s="47" t="s">
        <v>65</v>
      </c>
      <c r="AL838" s="47" t="s">
        <v>65</v>
      </c>
      <c r="AM838" s="47" t="s">
        <v>3779</v>
      </c>
      <c r="AN838" s="50"/>
      <c r="AO838" s="211">
        <f t="shared" si="209"/>
        <v>-1</v>
      </c>
      <c r="AP838" s="47" t="s">
        <v>852</v>
      </c>
      <c r="AQ838" s="94" t="s">
        <v>1039</v>
      </c>
      <c r="AR838" s="47" t="s">
        <v>960</v>
      </c>
    </row>
    <row r="839" spans="1:44" hidden="1">
      <c r="A839" s="47" t="s">
        <v>44</v>
      </c>
      <c r="B839" s="47" t="str">
        <f t="shared" si="204"/>
        <v>August</v>
      </c>
      <c r="C839" s="59">
        <v>45535</v>
      </c>
      <c r="D839" s="47" t="s">
        <v>45</v>
      </c>
      <c r="E839" s="47" t="s">
        <v>1183</v>
      </c>
      <c r="F839" s="47" t="s">
        <v>1184</v>
      </c>
      <c r="G839" s="47" t="s">
        <v>3805</v>
      </c>
      <c r="H839" s="47" t="s">
        <v>3806</v>
      </c>
      <c r="I839" s="47" t="s">
        <v>63</v>
      </c>
      <c r="J839" s="47" t="s">
        <v>51</v>
      </c>
      <c r="K839" s="48">
        <v>45170</v>
      </c>
      <c r="L839" s="48">
        <v>45170</v>
      </c>
      <c r="M839" s="48">
        <v>45535</v>
      </c>
      <c r="N839" s="47" t="s">
        <v>52</v>
      </c>
      <c r="O839" s="55" t="s">
        <v>53</v>
      </c>
      <c r="P839" s="62">
        <v>13200</v>
      </c>
      <c r="Q839" s="62">
        <v>1100</v>
      </c>
      <c r="R839" s="96">
        <v>13920</v>
      </c>
      <c r="S839" s="62">
        <f t="shared" si="205"/>
        <v>1160</v>
      </c>
      <c r="T839" s="62">
        <v>13920</v>
      </c>
      <c r="U839" s="62">
        <f t="shared" si="210"/>
        <v>1160</v>
      </c>
      <c r="V839" s="69">
        <v>13200</v>
      </c>
      <c r="W839" s="71">
        <v>1205</v>
      </c>
      <c r="X839" s="71"/>
      <c r="Y839" s="71"/>
      <c r="Z839" s="64">
        <f t="shared" si="206"/>
        <v>3.8793103448275863E-2</v>
      </c>
      <c r="AA839" s="64">
        <f t="shared" si="199"/>
        <v>3.8793103448275863E-2</v>
      </c>
      <c r="AB839" s="71">
        <v>1205</v>
      </c>
      <c r="AC839" s="64">
        <f t="shared" si="207"/>
        <v>3.8793103448275863E-2</v>
      </c>
      <c r="AD839" s="64">
        <f t="shared" si="201"/>
        <v>3.8793103448275863E-2</v>
      </c>
      <c r="AE839" s="71">
        <f t="shared" si="203"/>
        <v>1205</v>
      </c>
      <c r="AF839" s="64">
        <f t="shared" si="208"/>
        <v>3.8793103448275863E-2</v>
      </c>
      <c r="AG839" s="64">
        <f t="shared" si="202"/>
        <v>3.8793103448275863E-2</v>
      </c>
      <c r="AH839" s="67"/>
      <c r="AI839" s="47" t="s">
        <v>54</v>
      </c>
      <c r="AJ839" s="47">
        <v>685</v>
      </c>
      <c r="AK839" s="47" t="s">
        <v>65</v>
      </c>
      <c r="AL839" s="47" t="s">
        <v>65</v>
      </c>
      <c r="AM839" s="47" t="s">
        <v>2812</v>
      </c>
      <c r="AN839" s="50"/>
      <c r="AO839" s="211">
        <f t="shared" si="209"/>
        <v>-1</v>
      </c>
      <c r="AP839" s="47" t="s">
        <v>852</v>
      </c>
      <c r="AQ839" s="91" t="s">
        <v>1074</v>
      </c>
      <c r="AR839" s="47" t="s">
        <v>3807</v>
      </c>
    </row>
    <row r="840" spans="1:44" hidden="1">
      <c r="A840" s="47" t="s">
        <v>74</v>
      </c>
      <c r="B840" s="47" t="str">
        <f t="shared" si="204"/>
        <v>August</v>
      </c>
      <c r="C840" s="59">
        <v>45530</v>
      </c>
      <c r="D840" s="47" t="s">
        <v>45</v>
      </c>
      <c r="E840" s="47" t="s">
        <v>3152</v>
      </c>
      <c r="F840" s="47" t="s">
        <v>3153</v>
      </c>
      <c r="G840" s="91" t="s">
        <v>3154</v>
      </c>
      <c r="H840" s="47" t="s">
        <v>3155</v>
      </c>
      <c r="I840" s="47"/>
      <c r="J840" s="47" t="s">
        <v>51</v>
      </c>
      <c r="K840" s="48">
        <v>45348</v>
      </c>
      <c r="L840" s="48">
        <v>45348</v>
      </c>
      <c r="M840" s="48">
        <v>45530</v>
      </c>
      <c r="N840" s="47" t="s">
        <v>52</v>
      </c>
      <c r="O840" s="55" t="s">
        <v>3156</v>
      </c>
      <c r="P840" s="62">
        <v>13572</v>
      </c>
      <c r="Q840" s="62">
        <v>1131</v>
      </c>
      <c r="R840" s="96">
        <v>13884</v>
      </c>
      <c r="S840" s="62">
        <f t="shared" si="205"/>
        <v>1157</v>
      </c>
      <c r="T840" s="62">
        <v>12720</v>
      </c>
      <c r="U840" s="62">
        <f t="shared" si="210"/>
        <v>1060</v>
      </c>
      <c r="V840" s="69">
        <v>13572</v>
      </c>
      <c r="W840" s="71">
        <v>1100</v>
      </c>
      <c r="X840" s="71"/>
      <c r="Y840" s="71"/>
      <c r="Z840" s="64">
        <f t="shared" si="206"/>
        <v>3.7735849056603772E-2</v>
      </c>
      <c r="AA840" s="64">
        <f t="shared" si="199"/>
        <v>-4.9265341400172864E-2</v>
      </c>
      <c r="AB840" s="71">
        <v>1100</v>
      </c>
      <c r="AC840" s="64">
        <f t="shared" si="207"/>
        <v>3.7735849056603772E-2</v>
      </c>
      <c r="AD840" s="64">
        <f t="shared" si="201"/>
        <v>-4.9265341400172864E-2</v>
      </c>
      <c r="AE840" s="71">
        <f t="shared" si="203"/>
        <v>1100</v>
      </c>
      <c r="AF840" s="64">
        <f t="shared" si="208"/>
        <v>3.7735849056603772E-2</v>
      </c>
      <c r="AG840" s="64">
        <f t="shared" si="202"/>
        <v>-4.9265341400172864E-2</v>
      </c>
      <c r="AH840" s="67"/>
      <c r="AI840" s="47" t="s">
        <v>54</v>
      </c>
      <c r="AJ840" s="47">
        <v>495</v>
      </c>
      <c r="AK840" s="47" t="s">
        <v>55</v>
      </c>
      <c r="AL840" s="47" t="s">
        <v>55</v>
      </c>
      <c r="AM840" s="47" t="s">
        <v>3157</v>
      </c>
      <c r="AN840" s="50">
        <v>1100</v>
      </c>
      <c r="AO840" s="211">
        <f t="shared" si="209"/>
        <v>3.7735849056603772E-2</v>
      </c>
      <c r="AP840" s="47" t="s">
        <v>57</v>
      </c>
      <c r="AQ840" s="47" t="s">
        <v>131</v>
      </c>
      <c r="AR840" s="47"/>
    </row>
    <row r="841" spans="1:44" hidden="1">
      <c r="A841" s="47" t="s">
        <v>74</v>
      </c>
      <c r="B841" s="47" t="str">
        <f t="shared" si="204"/>
        <v>August</v>
      </c>
      <c r="C841" s="59">
        <v>45530</v>
      </c>
      <c r="D841" s="47" t="s">
        <v>45</v>
      </c>
      <c r="E841" s="47" t="s">
        <v>3152</v>
      </c>
      <c r="F841" s="47" t="s">
        <v>3153</v>
      </c>
      <c r="G841" s="91" t="s">
        <v>3158</v>
      </c>
      <c r="H841" s="47" t="s">
        <v>3159</v>
      </c>
      <c r="I841" s="47"/>
      <c r="J841" s="47" t="s">
        <v>51</v>
      </c>
      <c r="K841" s="48">
        <v>45348</v>
      </c>
      <c r="L841" s="48">
        <v>45348</v>
      </c>
      <c r="M841" s="48">
        <v>45529</v>
      </c>
      <c r="N841" s="47" t="s">
        <v>52</v>
      </c>
      <c r="O841" s="55" t="s">
        <v>3156</v>
      </c>
      <c r="P841" s="62">
        <v>11700</v>
      </c>
      <c r="Q841" s="62">
        <v>975</v>
      </c>
      <c r="R841" s="96">
        <v>12116</v>
      </c>
      <c r="S841" s="62">
        <f t="shared" si="205"/>
        <v>1009.6666666666666</v>
      </c>
      <c r="T841" s="62">
        <v>12360</v>
      </c>
      <c r="U841" s="62">
        <f t="shared" si="210"/>
        <v>1030</v>
      </c>
      <c r="V841" s="69">
        <v>11700</v>
      </c>
      <c r="W841" s="71">
        <v>1055</v>
      </c>
      <c r="X841" s="71"/>
      <c r="Y841" s="71"/>
      <c r="Z841" s="64">
        <f t="shared" si="206"/>
        <v>2.4271844660194174E-2</v>
      </c>
      <c r="AA841" s="64">
        <f t="shared" si="199"/>
        <v>4.4899306701881851E-2</v>
      </c>
      <c r="AB841" s="71">
        <v>1060</v>
      </c>
      <c r="AC841" s="64">
        <f t="shared" si="207"/>
        <v>2.9126213592233011E-2</v>
      </c>
      <c r="AD841" s="64">
        <f t="shared" si="201"/>
        <v>4.9851436117530575E-2</v>
      </c>
      <c r="AE841" s="71">
        <f t="shared" si="203"/>
        <v>1060</v>
      </c>
      <c r="AF841" s="64">
        <f t="shared" si="208"/>
        <v>2.9126213592233011E-2</v>
      </c>
      <c r="AG841" s="64">
        <f t="shared" si="202"/>
        <v>4.9851436117530575E-2</v>
      </c>
      <c r="AH841" s="67"/>
      <c r="AI841" s="47" t="s">
        <v>54</v>
      </c>
      <c r="AJ841" s="47">
        <v>451</v>
      </c>
      <c r="AK841" s="47" t="s">
        <v>93</v>
      </c>
      <c r="AL841" s="47" t="s">
        <v>55</v>
      </c>
      <c r="AM841" s="47" t="s">
        <v>3157</v>
      </c>
      <c r="AN841" s="50"/>
      <c r="AO841" s="211">
        <f t="shared" si="209"/>
        <v>-1</v>
      </c>
      <c r="AP841" s="47" t="s">
        <v>57</v>
      </c>
      <c r="AQ841" s="47" t="s">
        <v>131</v>
      </c>
      <c r="AR841" s="47"/>
    </row>
    <row r="842" spans="1:44">
      <c r="A842" s="47" t="s">
        <v>44</v>
      </c>
      <c r="B842" s="47" t="str">
        <f t="shared" si="204"/>
        <v>August</v>
      </c>
      <c r="C842" s="59">
        <v>45505</v>
      </c>
      <c r="D842" s="47" t="s">
        <v>45</v>
      </c>
      <c r="E842" s="47" t="s">
        <v>98</v>
      </c>
      <c r="F842" s="47" t="s">
        <v>99</v>
      </c>
      <c r="G842" s="91" t="s">
        <v>100</v>
      </c>
      <c r="H842" s="47" t="s">
        <v>101</v>
      </c>
      <c r="I842" s="47" t="s">
        <v>50</v>
      </c>
      <c r="J842" s="47" t="s">
        <v>51</v>
      </c>
      <c r="K842" s="48">
        <v>44410</v>
      </c>
      <c r="L842" s="48">
        <v>45140</v>
      </c>
      <c r="M842" s="48">
        <v>45505</v>
      </c>
      <c r="N842" s="47" t="s">
        <v>64</v>
      </c>
      <c r="O842" s="55" t="s">
        <v>53</v>
      </c>
      <c r="P842" s="62">
        <v>13080</v>
      </c>
      <c r="Q842" s="62">
        <v>1090</v>
      </c>
      <c r="R842" s="96">
        <v>14400</v>
      </c>
      <c r="S842" s="62">
        <f t="shared" si="205"/>
        <v>1200</v>
      </c>
      <c r="T842" s="62">
        <v>14400</v>
      </c>
      <c r="U842" s="62">
        <f t="shared" si="210"/>
        <v>1200</v>
      </c>
      <c r="V842" s="69">
        <v>11880</v>
      </c>
      <c r="W842" s="71">
        <v>1290</v>
      </c>
      <c r="X842" s="71"/>
      <c r="Y842" s="71"/>
      <c r="Z842" s="64">
        <f t="shared" si="206"/>
        <v>7.4999999999999997E-2</v>
      </c>
      <c r="AA842" s="64">
        <f t="shared" si="199"/>
        <v>7.4999999999999997E-2</v>
      </c>
      <c r="AB842" s="71">
        <f t="shared" ref="AB842:AB873" si="211">W842</f>
        <v>1290</v>
      </c>
      <c r="AC842" s="64">
        <f t="shared" si="207"/>
        <v>7.4999999999999997E-2</v>
      </c>
      <c r="AD842" s="64">
        <f t="shared" si="201"/>
        <v>7.4999999999999997E-2</v>
      </c>
      <c r="AE842" s="71">
        <v>1250</v>
      </c>
      <c r="AF842" s="64">
        <f t="shared" si="208"/>
        <v>4.1666666666666664E-2</v>
      </c>
      <c r="AG842" s="64">
        <f t="shared" si="202"/>
        <v>4.1666666666666664E-2</v>
      </c>
      <c r="AH842" s="67"/>
      <c r="AI842" s="47" t="s">
        <v>54</v>
      </c>
      <c r="AJ842" s="47">
        <v>459</v>
      </c>
      <c r="AK842" s="47" t="s">
        <v>55</v>
      </c>
      <c r="AL842" s="47" t="s">
        <v>55</v>
      </c>
      <c r="AM842" s="47" t="s">
        <v>102</v>
      </c>
      <c r="AN842" s="50">
        <v>1260</v>
      </c>
      <c r="AO842" s="211">
        <f t="shared" si="209"/>
        <v>0.05</v>
      </c>
      <c r="AP842" s="47" t="s">
        <v>57</v>
      </c>
      <c r="AQ842" s="47" t="s">
        <v>58</v>
      </c>
      <c r="AR842" s="47"/>
    </row>
    <row r="843" spans="1:44" hidden="1">
      <c r="A843" s="47" t="s">
        <v>44</v>
      </c>
      <c r="B843" s="47" t="str">
        <f t="shared" si="204"/>
        <v>August</v>
      </c>
      <c r="C843" s="59">
        <v>45506</v>
      </c>
      <c r="D843" s="47" t="s">
        <v>45</v>
      </c>
      <c r="E843" s="47" t="s">
        <v>98</v>
      </c>
      <c r="F843" s="47" t="s">
        <v>99</v>
      </c>
      <c r="G843" s="91" t="s">
        <v>150</v>
      </c>
      <c r="H843" s="47" t="s">
        <v>151</v>
      </c>
      <c r="I843" s="47" t="s">
        <v>50</v>
      </c>
      <c r="J843" s="47" t="s">
        <v>51</v>
      </c>
      <c r="K843" s="48">
        <v>45141</v>
      </c>
      <c r="L843" s="48">
        <v>45141</v>
      </c>
      <c r="M843" s="48">
        <v>45506</v>
      </c>
      <c r="N843" s="47" t="s">
        <v>52</v>
      </c>
      <c r="O843" s="55" t="s">
        <v>53</v>
      </c>
      <c r="P843" s="62">
        <v>17940</v>
      </c>
      <c r="Q843" s="62">
        <v>1495</v>
      </c>
      <c r="R843" s="96">
        <v>18480</v>
      </c>
      <c r="S843" s="62">
        <f t="shared" si="205"/>
        <v>1540</v>
      </c>
      <c r="T843" s="62">
        <v>17700</v>
      </c>
      <c r="U843" s="62">
        <f t="shared" si="210"/>
        <v>1475</v>
      </c>
      <c r="V843" s="69">
        <v>16456.560000000001</v>
      </c>
      <c r="W843" s="71">
        <v>1600</v>
      </c>
      <c r="X843" s="105">
        <f>W843-25</f>
        <v>1575</v>
      </c>
      <c r="Y843" s="171">
        <f>(X843-U843)/U843</f>
        <v>6.7796610169491525E-2</v>
      </c>
      <c r="Z843" s="64">
        <f t="shared" si="206"/>
        <v>8.4745762711864403E-2</v>
      </c>
      <c r="AA843" s="64">
        <f t="shared" si="199"/>
        <v>3.896103896103896E-2</v>
      </c>
      <c r="AB843" s="71">
        <f t="shared" si="211"/>
        <v>1600</v>
      </c>
      <c r="AC843" s="64">
        <f t="shared" si="207"/>
        <v>8.4745762711864403E-2</v>
      </c>
      <c r="AD843" s="64">
        <f t="shared" si="201"/>
        <v>3.896103896103896E-2</v>
      </c>
      <c r="AE843" s="71">
        <v>1560</v>
      </c>
      <c r="AF843" s="64">
        <f t="shared" si="208"/>
        <v>5.7627118644067797E-2</v>
      </c>
      <c r="AG843" s="64">
        <f t="shared" si="202"/>
        <v>1.2987012987012988E-2</v>
      </c>
      <c r="AH843" s="67"/>
      <c r="AI843" s="47" t="s">
        <v>54</v>
      </c>
      <c r="AJ843" s="47">
        <v>650</v>
      </c>
      <c r="AK843" s="47" t="s">
        <v>65</v>
      </c>
      <c r="AL843" s="47" t="s">
        <v>65</v>
      </c>
      <c r="AM843" s="47" t="s">
        <v>152</v>
      </c>
      <c r="AN843" s="50">
        <v>1545</v>
      </c>
      <c r="AO843" s="211">
        <f t="shared" si="209"/>
        <v>4.7457627118644069E-2</v>
      </c>
      <c r="AP843" s="47" t="s">
        <v>57</v>
      </c>
      <c r="AQ843" s="47" t="s">
        <v>58</v>
      </c>
      <c r="AR843" s="47"/>
    </row>
    <row r="844" spans="1:44" hidden="1">
      <c r="A844" s="47" t="s">
        <v>74</v>
      </c>
      <c r="B844" s="47" t="str">
        <f t="shared" si="204"/>
        <v>July</v>
      </c>
      <c r="C844" s="59">
        <v>45504</v>
      </c>
      <c r="D844" s="47" t="s">
        <v>45</v>
      </c>
      <c r="E844" s="47" t="s">
        <v>98</v>
      </c>
      <c r="F844" s="47" t="s">
        <v>99</v>
      </c>
      <c r="G844" s="91" t="s">
        <v>153</v>
      </c>
      <c r="H844" s="47" t="s">
        <v>154</v>
      </c>
      <c r="I844" s="47" t="s">
        <v>50</v>
      </c>
      <c r="J844" s="47" t="s">
        <v>51</v>
      </c>
      <c r="K844" s="48">
        <v>45323</v>
      </c>
      <c r="L844" s="48">
        <v>45323</v>
      </c>
      <c r="M844" s="48">
        <v>45504</v>
      </c>
      <c r="N844" s="47" t="s">
        <v>52</v>
      </c>
      <c r="O844" s="55" t="s">
        <v>53</v>
      </c>
      <c r="P844" s="62">
        <v>18840</v>
      </c>
      <c r="Q844" s="62">
        <v>1570</v>
      </c>
      <c r="R844" s="96">
        <v>19380</v>
      </c>
      <c r="S844" s="62">
        <f t="shared" si="205"/>
        <v>1615</v>
      </c>
      <c r="T844" s="62">
        <v>18780</v>
      </c>
      <c r="U844" s="62">
        <f t="shared" si="210"/>
        <v>1565</v>
      </c>
      <c r="V844" s="69">
        <v>19080</v>
      </c>
      <c r="W844" s="71">
        <v>1585</v>
      </c>
      <c r="X844" s="172">
        <f>W844-25</f>
        <v>1560</v>
      </c>
      <c r="Y844" s="173">
        <f>(X844-U844)/U844</f>
        <v>-3.1948881789137379E-3</v>
      </c>
      <c r="Z844" s="64">
        <f t="shared" si="206"/>
        <v>1.2779552715654952E-2</v>
      </c>
      <c r="AA844" s="64">
        <f t="shared" si="199"/>
        <v>-1.8575851393188854E-2</v>
      </c>
      <c r="AB844" s="71">
        <f t="shared" si="211"/>
        <v>1585</v>
      </c>
      <c r="AC844" s="64">
        <f t="shared" si="207"/>
        <v>1.2779552715654952E-2</v>
      </c>
      <c r="AD844" s="64">
        <f t="shared" si="201"/>
        <v>-1.8575851393188854E-2</v>
      </c>
      <c r="AE844" s="71">
        <v>1575</v>
      </c>
      <c r="AF844" s="64">
        <f t="shared" si="208"/>
        <v>6.3897763578274758E-3</v>
      </c>
      <c r="AG844" s="64">
        <f t="shared" si="202"/>
        <v>-2.4767801857585141E-2</v>
      </c>
      <c r="AH844" s="67"/>
      <c r="AI844" s="47" t="s">
        <v>54</v>
      </c>
      <c r="AJ844" s="47">
        <v>673</v>
      </c>
      <c r="AK844" s="101" t="s">
        <v>65</v>
      </c>
      <c r="AL844" s="101" t="s">
        <v>65</v>
      </c>
      <c r="AM844" s="47" t="s">
        <v>155</v>
      </c>
      <c r="AN844" s="50">
        <v>1585</v>
      </c>
      <c r="AO844" s="211">
        <f t="shared" si="209"/>
        <v>1.2779552715654952E-2</v>
      </c>
      <c r="AP844" s="47" t="s">
        <v>57</v>
      </c>
      <c r="AQ844" s="47" t="s">
        <v>58</v>
      </c>
      <c r="AR844" s="47"/>
    </row>
    <row r="845" spans="1:44" hidden="1">
      <c r="A845" s="47" t="s">
        <v>74</v>
      </c>
      <c r="B845" s="47" t="str">
        <f t="shared" si="204"/>
        <v>August</v>
      </c>
      <c r="C845" s="59">
        <v>45506</v>
      </c>
      <c r="D845" s="47" t="s">
        <v>45</v>
      </c>
      <c r="E845" s="47" t="s">
        <v>98</v>
      </c>
      <c r="F845" s="47" t="s">
        <v>99</v>
      </c>
      <c r="G845" s="91" t="s">
        <v>162</v>
      </c>
      <c r="H845" s="47" t="s">
        <v>163</v>
      </c>
      <c r="I845" s="47" t="s">
        <v>164</v>
      </c>
      <c r="J845" s="47" t="s">
        <v>51</v>
      </c>
      <c r="K845" s="48">
        <v>45325</v>
      </c>
      <c r="L845" s="48">
        <v>45325</v>
      </c>
      <c r="M845" s="48">
        <v>45324</v>
      </c>
      <c r="N845" s="47" t="s">
        <v>52</v>
      </c>
      <c r="O845" s="55" t="s">
        <v>53</v>
      </c>
      <c r="P845" s="62">
        <v>13680</v>
      </c>
      <c r="Q845" s="62">
        <v>1140</v>
      </c>
      <c r="R845" s="96">
        <v>15300</v>
      </c>
      <c r="S845" s="62">
        <f t="shared" si="205"/>
        <v>1275</v>
      </c>
      <c r="T845" s="62">
        <v>15300</v>
      </c>
      <c r="U845" s="62">
        <f t="shared" si="210"/>
        <v>1275</v>
      </c>
      <c r="V845" s="69">
        <v>14700</v>
      </c>
      <c r="W845" s="71">
        <v>1290</v>
      </c>
      <c r="X845" s="71"/>
      <c r="Y845" s="71"/>
      <c r="Z845" s="64">
        <f t="shared" si="206"/>
        <v>1.1764705882352941E-2</v>
      </c>
      <c r="AA845" s="64">
        <f t="shared" si="199"/>
        <v>1.1764705882352941E-2</v>
      </c>
      <c r="AB845" s="71">
        <f t="shared" si="211"/>
        <v>1290</v>
      </c>
      <c r="AC845" s="64">
        <f t="shared" si="207"/>
        <v>1.1764705882352941E-2</v>
      </c>
      <c r="AD845" s="64">
        <f t="shared" si="201"/>
        <v>1.1764705882352941E-2</v>
      </c>
      <c r="AE845" s="71">
        <v>1285</v>
      </c>
      <c r="AF845" s="64">
        <f t="shared" si="208"/>
        <v>7.8431372549019607E-3</v>
      </c>
      <c r="AG845" s="64">
        <f t="shared" si="202"/>
        <v>7.8431372549019607E-3</v>
      </c>
      <c r="AH845" s="67"/>
      <c r="AI845" s="47" t="s">
        <v>54</v>
      </c>
      <c r="AJ845" s="47">
        <v>476</v>
      </c>
      <c r="AK845" s="47" t="s">
        <v>55</v>
      </c>
      <c r="AL845" s="47" t="s">
        <v>55</v>
      </c>
      <c r="AM845" s="47" t="s">
        <v>165</v>
      </c>
      <c r="AN845" s="50"/>
      <c r="AO845" s="211">
        <f t="shared" si="209"/>
        <v>-1</v>
      </c>
      <c r="AP845" s="47" t="s">
        <v>57</v>
      </c>
      <c r="AQ845" s="47" t="s">
        <v>58</v>
      </c>
      <c r="AR845" s="47"/>
    </row>
    <row r="846" spans="1:44" hidden="1">
      <c r="A846" s="47" t="s">
        <v>44</v>
      </c>
      <c r="B846" s="47" t="str">
        <f t="shared" si="204"/>
        <v>August</v>
      </c>
      <c r="C846" s="59">
        <v>45507</v>
      </c>
      <c r="D846" s="47" t="s">
        <v>45</v>
      </c>
      <c r="E846" s="47" t="s">
        <v>98</v>
      </c>
      <c r="F846" s="47" t="s">
        <v>99</v>
      </c>
      <c r="G846" s="91" t="s">
        <v>189</v>
      </c>
      <c r="H846" s="47" t="s">
        <v>190</v>
      </c>
      <c r="I846" s="47" t="s">
        <v>50</v>
      </c>
      <c r="J846" s="47" t="s">
        <v>51</v>
      </c>
      <c r="K846" s="48">
        <v>45142</v>
      </c>
      <c r="L846" s="48">
        <v>45142</v>
      </c>
      <c r="M846" s="48">
        <v>45507</v>
      </c>
      <c r="N846" s="47" t="s">
        <v>52</v>
      </c>
      <c r="O846" s="55" t="s">
        <v>53</v>
      </c>
      <c r="P846" s="62">
        <v>17040</v>
      </c>
      <c r="Q846" s="62">
        <v>1420</v>
      </c>
      <c r="R846" s="96">
        <v>17580</v>
      </c>
      <c r="S846" s="62">
        <f t="shared" si="205"/>
        <v>1465</v>
      </c>
      <c r="T846" s="62">
        <v>16800</v>
      </c>
      <c r="U846" s="62">
        <f t="shared" si="210"/>
        <v>1400</v>
      </c>
      <c r="V846" s="69">
        <v>14820</v>
      </c>
      <c r="W846" s="71">
        <v>1505</v>
      </c>
      <c r="X846" s="105">
        <f>W846-25</f>
        <v>1480</v>
      </c>
      <c r="Y846" s="171">
        <f t="shared" ref="Y846:Y872" si="212">(X846-U846)/U846</f>
        <v>5.7142857142857141E-2</v>
      </c>
      <c r="Z846" s="64">
        <f t="shared" si="206"/>
        <v>7.4999999999999997E-2</v>
      </c>
      <c r="AA846" s="64">
        <f t="shared" si="199"/>
        <v>2.7303754266211604E-2</v>
      </c>
      <c r="AB846" s="71">
        <f t="shared" si="211"/>
        <v>1505</v>
      </c>
      <c r="AC846" s="64">
        <f t="shared" si="207"/>
        <v>7.4999999999999997E-2</v>
      </c>
      <c r="AD846" s="64">
        <f t="shared" si="201"/>
        <v>2.7303754266211604E-2</v>
      </c>
      <c r="AE846" s="71">
        <v>1470</v>
      </c>
      <c r="AF846" s="64">
        <f t="shared" si="208"/>
        <v>0.05</v>
      </c>
      <c r="AG846" s="64">
        <f t="shared" si="202"/>
        <v>3.4129692832764505E-3</v>
      </c>
      <c r="AH846" s="67"/>
      <c r="AI846" s="47" t="s">
        <v>54</v>
      </c>
      <c r="AJ846" s="47">
        <v>650</v>
      </c>
      <c r="AK846" s="47" t="s">
        <v>65</v>
      </c>
      <c r="AL846" s="47" t="s">
        <v>65</v>
      </c>
      <c r="AM846" s="47" t="s">
        <v>191</v>
      </c>
      <c r="AN846" s="50"/>
      <c r="AO846" s="211">
        <f t="shared" si="209"/>
        <v>-1</v>
      </c>
      <c r="AP846" s="47" t="s">
        <v>57</v>
      </c>
      <c r="AQ846" s="47" t="s">
        <v>58</v>
      </c>
      <c r="AR846" s="47"/>
    </row>
    <row r="847" spans="1:44" hidden="1">
      <c r="A847" s="47" t="s">
        <v>74</v>
      </c>
      <c r="B847" s="47" t="str">
        <f t="shared" si="204"/>
        <v>July</v>
      </c>
      <c r="C847" s="59">
        <v>45503</v>
      </c>
      <c r="D847" s="47" t="s">
        <v>45</v>
      </c>
      <c r="E847" s="47" t="s">
        <v>98</v>
      </c>
      <c r="F847" s="47" t="s">
        <v>99</v>
      </c>
      <c r="G847" s="91" t="s">
        <v>277</v>
      </c>
      <c r="H847" s="47" t="s">
        <v>278</v>
      </c>
      <c r="I847" s="47" t="s">
        <v>50</v>
      </c>
      <c r="J847" s="47" t="s">
        <v>51</v>
      </c>
      <c r="K847" s="48">
        <v>45322</v>
      </c>
      <c r="L847" s="48">
        <v>45322</v>
      </c>
      <c r="M847" s="48">
        <v>45503</v>
      </c>
      <c r="N847" s="47" t="s">
        <v>52</v>
      </c>
      <c r="O847" s="55" t="s">
        <v>53</v>
      </c>
      <c r="P847" s="62">
        <v>18540</v>
      </c>
      <c r="Q847" s="62">
        <v>1545</v>
      </c>
      <c r="R847" s="96">
        <v>19320</v>
      </c>
      <c r="S847" s="62">
        <f t="shared" si="205"/>
        <v>1610</v>
      </c>
      <c r="T847" s="62">
        <v>19320</v>
      </c>
      <c r="U847" s="62">
        <f t="shared" si="210"/>
        <v>1610</v>
      </c>
      <c r="V847" s="69">
        <v>17880</v>
      </c>
      <c r="W847" s="71">
        <v>1660</v>
      </c>
      <c r="X847" s="105">
        <f>W847-25</f>
        <v>1635</v>
      </c>
      <c r="Y847" s="176">
        <f t="shared" si="212"/>
        <v>1.5527950310559006E-2</v>
      </c>
      <c r="Z847" s="64">
        <f t="shared" si="206"/>
        <v>3.1055900621118012E-2</v>
      </c>
      <c r="AA847" s="64">
        <f t="shared" si="199"/>
        <v>3.1055900621118012E-2</v>
      </c>
      <c r="AB847" s="71">
        <f t="shared" si="211"/>
        <v>1660</v>
      </c>
      <c r="AC847" s="64">
        <f t="shared" si="207"/>
        <v>3.1055900621118012E-2</v>
      </c>
      <c r="AD847" s="64">
        <f t="shared" si="201"/>
        <v>3.1055900621118012E-2</v>
      </c>
      <c r="AE847" s="71">
        <f t="shared" ref="AE847:AE861" si="213">AB847-20</f>
        <v>1640</v>
      </c>
      <c r="AF847" s="64">
        <f t="shared" si="208"/>
        <v>1.8633540372670808E-2</v>
      </c>
      <c r="AG847" s="64">
        <f t="shared" si="202"/>
        <v>1.8633540372670808E-2</v>
      </c>
      <c r="AH847" s="67"/>
      <c r="AI847" s="47" t="s">
        <v>54</v>
      </c>
      <c r="AJ847" s="47">
        <v>673</v>
      </c>
      <c r="AK847" s="101" t="s">
        <v>65</v>
      </c>
      <c r="AL847" s="101" t="s">
        <v>65</v>
      </c>
      <c r="AM847" s="47" t="s">
        <v>279</v>
      </c>
      <c r="AN847" s="50">
        <v>1640</v>
      </c>
      <c r="AO847" s="211">
        <f t="shared" si="209"/>
        <v>1.8633540372670808E-2</v>
      </c>
      <c r="AP847" s="47" t="s">
        <v>57</v>
      </c>
      <c r="AQ847" s="47" t="s">
        <v>58</v>
      </c>
      <c r="AR847" s="47"/>
    </row>
    <row r="848" spans="1:44" hidden="1">
      <c r="A848" s="47" t="s">
        <v>44</v>
      </c>
      <c r="B848" s="47" t="str">
        <f t="shared" si="204"/>
        <v>July</v>
      </c>
      <c r="C848" s="59">
        <v>45489</v>
      </c>
      <c r="D848" s="47" t="s">
        <v>45</v>
      </c>
      <c r="E848" s="47" t="s">
        <v>98</v>
      </c>
      <c r="F848" s="112" t="s">
        <v>99</v>
      </c>
      <c r="G848" s="91" t="s">
        <v>337</v>
      </c>
      <c r="H848" s="47" t="s">
        <v>338</v>
      </c>
      <c r="I848" s="47" t="s">
        <v>50</v>
      </c>
      <c r="J848" s="47" t="s">
        <v>51</v>
      </c>
      <c r="K848" s="48">
        <v>45124</v>
      </c>
      <c r="L848" s="48">
        <v>45124</v>
      </c>
      <c r="M848" s="48">
        <v>45489</v>
      </c>
      <c r="N848" s="47" t="s">
        <v>52</v>
      </c>
      <c r="O848" s="55" t="s">
        <v>53</v>
      </c>
      <c r="P848" s="62">
        <v>19380</v>
      </c>
      <c r="Q848" s="62">
        <v>1615</v>
      </c>
      <c r="R848" s="96">
        <v>19980</v>
      </c>
      <c r="S848" s="62">
        <f t="shared" si="205"/>
        <v>1665</v>
      </c>
      <c r="T848" s="62">
        <v>19140</v>
      </c>
      <c r="U848" s="62">
        <f t="shared" si="210"/>
        <v>1595</v>
      </c>
      <c r="V848" s="69">
        <v>17220</v>
      </c>
      <c r="W848" s="71">
        <v>1655</v>
      </c>
      <c r="X848" s="105">
        <f>W848-25</f>
        <v>1630</v>
      </c>
      <c r="Y848" s="171">
        <f t="shared" si="212"/>
        <v>2.1943573667711599E-2</v>
      </c>
      <c r="Z848" s="64">
        <f t="shared" si="206"/>
        <v>3.7617554858934171E-2</v>
      </c>
      <c r="AA848" s="64">
        <f t="shared" si="199"/>
        <v>-6.006006006006006E-3</v>
      </c>
      <c r="AB848" s="71">
        <f t="shared" si="211"/>
        <v>1655</v>
      </c>
      <c r="AC848" s="64">
        <f t="shared" si="207"/>
        <v>3.7617554858934171E-2</v>
      </c>
      <c r="AD848" s="64">
        <f t="shared" si="201"/>
        <v>-6.006006006006006E-3</v>
      </c>
      <c r="AE848" s="71">
        <f t="shared" si="213"/>
        <v>1635</v>
      </c>
      <c r="AF848" s="64">
        <f t="shared" si="208"/>
        <v>2.5078369905956112E-2</v>
      </c>
      <c r="AG848" s="64">
        <f t="shared" si="202"/>
        <v>-1.8018018018018018E-2</v>
      </c>
      <c r="AH848" s="67"/>
      <c r="AI848" s="47" t="s">
        <v>54</v>
      </c>
      <c r="AJ848" s="47">
        <v>673</v>
      </c>
      <c r="AK848" s="101" t="s">
        <v>65</v>
      </c>
      <c r="AL848" s="101" t="s">
        <v>65</v>
      </c>
      <c r="AM848" s="47" t="s">
        <v>339</v>
      </c>
      <c r="AN848" s="50">
        <v>1655</v>
      </c>
      <c r="AO848" s="211">
        <f t="shared" si="209"/>
        <v>3.7617554858934171E-2</v>
      </c>
      <c r="AP848" s="47" t="s">
        <v>57</v>
      </c>
      <c r="AQ848" s="47" t="s">
        <v>58</v>
      </c>
      <c r="AR848" s="47"/>
    </row>
    <row r="849" spans="1:44" hidden="1">
      <c r="A849" s="47" t="s">
        <v>74</v>
      </c>
      <c r="B849" s="47" t="str">
        <f t="shared" si="204"/>
        <v>July</v>
      </c>
      <c r="C849" s="59">
        <v>45503</v>
      </c>
      <c r="D849" s="47" t="s">
        <v>45</v>
      </c>
      <c r="E849" s="47" t="s">
        <v>98</v>
      </c>
      <c r="F849" s="47" t="s">
        <v>99</v>
      </c>
      <c r="G849" s="91" t="s">
        <v>372</v>
      </c>
      <c r="H849" s="47" t="s">
        <v>373</v>
      </c>
      <c r="I849" s="112" t="s">
        <v>374</v>
      </c>
      <c r="J849" s="47" t="s">
        <v>51</v>
      </c>
      <c r="K849" s="48">
        <v>45138</v>
      </c>
      <c r="L849" s="48">
        <v>45138</v>
      </c>
      <c r="M849" s="48">
        <v>45503</v>
      </c>
      <c r="N849" s="47" t="s">
        <v>52</v>
      </c>
      <c r="O849" s="55" t="s">
        <v>53</v>
      </c>
      <c r="P849" s="62">
        <v>16560</v>
      </c>
      <c r="Q849" s="62">
        <v>1380</v>
      </c>
      <c r="R849" s="96">
        <v>17700</v>
      </c>
      <c r="S849" s="62">
        <f t="shared" si="205"/>
        <v>1475</v>
      </c>
      <c r="T849" s="62">
        <v>16320</v>
      </c>
      <c r="U849" s="62">
        <f t="shared" si="210"/>
        <v>1360</v>
      </c>
      <c r="V849" s="69">
        <v>14460</v>
      </c>
      <c r="W849" s="71">
        <v>1425</v>
      </c>
      <c r="X849" s="105">
        <f>W849-25</f>
        <v>1400</v>
      </c>
      <c r="Y849" s="171">
        <f t="shared" si="212"/>
        <v>2.9411764705882353E-2</v>
      </c>
      <c r="Z849" s="64">
        <f t="shared" si="206"/>
        <v>4.779411764705882E-2</v>
      </c>
      <c r="AA849" s="64">
        <f t="shared" si="199"/>
        <v>-3.3898305084745763E-2</v>
      </c>
      <c r="AB849" s="71">
        <f t="shared" si="211"/>
        <v>1425</v>
      </c>
      <c r="AC849" s="64">
        <f t="shared" si="207"/>
        <v>4.779411764705882E-2</v>
      </c>
      <c r="AD849" s="64">
        <f t="shared" si="201"/>
        <v>-3.3898305084745763E-2</v>
      </c>
      <c r="AE849" s="71">
        <f t="shared" si="213"/>
        <v>1405</v>
      </c>
      <c r="AF849" s="64">
        <f t="shared" si="208"/>
        <v>3.3088235294117647E-2</v>
      </c>
      <c r="AG849" s="64">
        <f t="shared" si="202"/>
        <v>-4.7457627118644069E-2</v>
      </c>
      <c r="AH849" s="67"/>
      <c r="AI849" s="47" t="s">
        <v>54</v>
      </c>
      <c r="AJ849" s="47">
        <v>731</v>
      </c>
      <c r="AK849" s="101" t="s">
        <v>65</v>
      </c>
      <c r="AL849" s="101" t="s">
        <v>55</v>
      </c>
      <c r="AM849" s="47" t="s">
        <v>375</v>
      </c>
      <c r="AN849" s="50"/>
      <c r="AO849" s="211">
        <f t="shared" si="209"/>
        <v>-1</v>
      </c>
      <c r="AP849" s="47" t="s">
        <v>57</v>
      </c>
      <c r="AQ849" s="47" t="s">
        <v>58</v>
      </c>
      <c r="AR849" s="47"/>
    </row>
    <row r="850" spans="1:44" hidden="1">
      <c r="A850" s="47" t="s">
        <v>44</v>
      </c>
      <c r="B850" s="47" t="str">
        <f t="shared" si="204"/>
        <v>July</v>
      </c>
      <c r="C850" s="59">
        <v>45479</v>
      </c>
      <c r="D850" s="47" t="s">
        <v>45</v>
      </c>
      <c r="E850" s="47" t="s">
        <v>98</v>
      </c>
      <c r="F850" s="47" t="s">
        <v>99</v>
      </c>
      <c r="G850" s="91" t="s">
        <v>376</v>
      </c>
      <c r="H850" s="47" t="s">
        <v>377</v>
      </c>
      <c r="I850" s="47" t="s">
        <v>50</v>
      </c>
      <c r="J850" s="47" t="s">
        <v>51</v>
      </c>
      <c r="K850" s="48">
        <v>45114</v>
      </c>
      <c r="L850" s="48">
        <v>45114</v>
      </c>
      <c r="M850" s="48">
        <v>45479</v>
      </c>
      <c r="N850" s="47" t="s">
        <v>52</v>
      </c>
      <c r="O850" s="55" t="s">
        <v>53</v>
      </c>
      <c r="P850" s="62">
        <v>17700</v>
      </c>
      <c r="Q850" s="62">
        <v>1475</v>
      </c>
      <c r="R850" s="96">
        <v>18240</v>
      </c>
      <c r="S850" s="62">
        <f t="shared" si="205"/>
        <v>1520</v>
      </c>
      <c r="T850" s="62">
        <v>17460</v>
      </c>
      <c r="U850" s="62">
        <f t="shared" si="210"/>
        <v>1455</v>
      </c>
      <c r="V850" s="69">
        <v>15720</v>
      </c>
      <c r="W850" s="71">
        <v>1525</v>
      </c>
      <c r="X850" s="105">
        <f>W850-25</f>
        <v>1500</v>
      </c>
      <c r="Y850" s="171">
        <f t="shared" si="212"/>
        <v>3.0927835051546393E-2</v>
      </c>
      <c r="Z850" s="64">
        <f t="shared" si="206"/>
        <v>4.8109965635738834E-2</v>
      </c>
      <c r="AA850" s="64">
        <f t="shared" si="199"/>
        <v>3.2894736842105261E-3</v>
      </c>
      <c r="AB850" s="71">
        <f t="shared" si="211"/>
        <v>1525</v>
      </c>
      <c r="AC850" s="64">
        <f t="shared" si="207"/>
        <v>4.8109965635738834E-2</v>
      </c>
      <c r="AD850" s="64">
        <f t="shared" si="201"/>
        <v>3.2894736842105261E-3</v>
      </c>
      <c r="AE850" s="71">
        <f t="shared" si="213"/>
        <v>1505</v>
      </c>
      <c r="AF850" s="64">
        <f t="shared" si="208"/>
        <v>3.4364261168384883E-2</v>
      </c>
      <c r="AG850" s="64">
        <f t="shared" si="202"/>
        <v>-9.8684210526315784E-3</v>
      </c>
      <c r="AH850" s="67"/>
      <c r="AI850" s="47" t="s">
        <v>54</v>
      </c>
      <c r="AJ850" s="47">
        <v>650</v>
      </c>
      <c r="AK850" s="101" t="s">
        <v>65</v>
      </c>
      <c r="AL850" s="101" t="s">
        <v>65</v>
      </c>
      <c r="AM850" s="47" t="s">
        <v>378</v>
      </c>
      <c r="AN850" s="50">
        <v>1525</v>
      </c>
      <c r="AO850" s="211">
        <f t="shared" si="209"/>
        <v>4.8109965635738834E-2</v>
      </c>
      <c r="AP850" s="47" t="s">
        <v>57</v>
      </c>
      <c r="AQ850" s="47" t="s">
        <v>58</v>
      </c>
      <c r="AR850" s="47"/>
    </row>
    <row r="851" spans="1:44">
      <c r="A851" s="47" t="s">
        <v>74</v>
      </c>
      <c r="B851" s="47" t="str">
        <f t="shared" si="204"/>
        <v>July</v>
      </c>
      <c r="C851" s="59">
        <v>45500</v>
      </c>
      <c r="D851" s="47" t="s">
        <v>45</v>
      </c>
      <c r="E851" s="47" t="s">
        <v>98</v>
      </c>
      <c r="F851" s="47" t="s">
        <v>99</v>
      </c>
      <c r="G851" s="91" t="s">
        <v>425</v>
      </c>
      <c r="H851" s="47" t="s">
        <v>426</v>
      </c>
      <c r="I851" s="47" t="s">
        <v>50</v>
      </c>
      <c r="J851" s="47" t="s">
        <v>51</v>
      </c>
      <c r="K851" s="48">
        <v>44405</v>
      </c>
      <c r="L851" s="48">
        <v>45135</v>
      </c>
      <c r="M851" s="48">
        <v>45500</v>
      </c>
      <c r="N851" s="47" t="s">
        <v>64</v>
      </c>
      <c r="O851" s="55" t="s">
        <v>53</v>
      </c>
      <c r="P851" s="62">
        <v>24600</v>
      </c>
      <c r="Q851" s="62">
        <v>2050</v>
      </c>
      <c r="R851" s="96">
        <v>25200</v>
      </c>
      <c r="S851" s="62">
        <f t="shared" si="205"/>
        <v>2100</v>
      </c>
      <c r="T851" s="62">
        <v>23940</v>
      </c>
      <c r="U851" s="62">
        <f t="shared" si="210"/>
        <v>1995</v>
      </c>
      <c r="V851" s="69">
        <v>22200</v>
      </c>
      <c r="W851" s="71">
        <v>2070</v>
      </c>
      <c r="X851" s="105">
        <f>W851-5</f>
        <v>2065</v>
      </c>
      <c r="Y851" s="171">
        <f t="shared" si="212"/>
        <v>3.5087719298245612E-2</v>
      </c>
      <c r="Z851" s="64">
        <f t="shared" si="206"/>
        <v>3.7593984962406013E-2</v>
      </c>
      <c r="AA851" s="64">
        <f t="shared" si="199"/>
        <v>-1.4285714285714285E-2</v>
      </c>
      <c r="AB851" s="71">
        <f t="shared" si="211"/>
        <v>2070</v>
      </c>
      <c r="AC851" s="64">
        <f t="shared" si="207"/>
        <v>3.7593984962406013E-2</v>
      </c>
      <c r="AD851" s="64">
        <f t="shared" si="201"/>
        <v>-1.4285714285714285E-2</v>
      </c>
      <c r="AE851" s="71">
        <f t="shared" si="213"/>
        <v>2050</v>
      </c>
      <c r="AF851" s="64">
        <f t="shared" si="208"/>
        <v>2.7568922305764409E-2</v>
      </c>
      <c r="AG851" s="64">
        <f t="shared" si="202"/>
        <v>-2.3809523809523808E-2</v>
      </c>
      <c r="AH851" s="67"/>
      <c r="AI851" s="47" t="s">
        <v>54</v>
      </c>
      <c r="AJ851" s="47">
        <v>873</v>
      </c>
      <c r="AK851" s="101" t="s">
        <v>140</v>
      </c>
      <c r="AL851" s="101" t="s">
        <v>65</v>
      </c>
      <c r="AM851" s="47" t="s">
        <v>427</v>
      </c>
      <c r="AN851" s="50"/>
      <c r="AO851" s="211">
        <f t="shared" si="209"/>
        <v>-1</v>
      </c>
      <c r="AP851" s="47" t="s">
        <v>57</v>
      </c>
      <c r="AQ851" s="47" t="s">
        <v>58</v>
      </c>
      <c r="AR851" s="47"/>
    </row>
    <row r="852" spans="1:44" hidden="1">
      <c r="A852" s="47" t="s">
        <v>44</v>
      </c>
      <c r="B852" s="47" t="str">
        <f t="shared" si="204"/>
        <v>July</v>
      </c>
      <c r="C852" s="59">
        <v>45482</v>
      </c>
      <c r="D852" s="47" t="s">
        <v>45</v>
      </c>
      <c r="E852" s="47" t="s">
        <v>98</v>
      </c>
      <c r="F852" s="47" t="s">
        <v>99</v>
      </c>
      <c r="G852" s="91" t="s">
        <v>436</v>
      </c>
      <c r="H852" s="47" t="s">
        <v>437</v>
      </c>
      <c r="I852" s="47" t="s">
        <v>50</v>
      </c>
      <c r="J852" s="47" t="s">
        <v>51</v>
      </c>
      <c r="K852" s="48">
        <v>45117</v>
      </c>
      <c r="L852" s="48">
        <v>45117</v>
      </c>
      <c r="M852" s="48">
        <v>45482</v>
      </c>
      <c r="N852" s="47" t="s">
        <v>52</v>
      </c>
      <c r="O852" s="55" t="s">
        <v>53</v>
      </c>
      <c r="P852" s="62">
        <v>18480</v>
      </c>
      <c r="Q852" s="62">
        <v>1540</v>
      </c>
      <c r="R852" s="96">
        <v>19020</v>
      </c>
      <c r="S852" s="62">
        <f t="shared" si="205"/>
        <v>1585</v>
      </c>
      <c r="T852" s="62">
        <v>18240</v>
      </c>
      <c r="U852" s="62">
        <f t="shared" si="210"/>
        <v>1520</v>
      </c>
      <c r="V852" s="69">
        <v>16320</v>
      </c>
      <c r="W852" s="71">
        <v>1600</v>
      </c>
      <c r="X852" s="105">
        <f t="shared" ref="X852:X857" si="214">W852-25</f>
        <v>1575</v>
      </c>
      <c r="Y852" s="171">
        <f t="shared" si="212"/>
        <v>3.6184210526315791E-2</v>
      </c>
      <c r="Z852" s="64">
        <f t="shared" si="206"/>
        <v>5.2631578947368418E-2</v>
      </c>
      <c r="AA852" s="64">
        <f t="shared" si="199"/>
        <v>9.4637223974763408E-3</v>
      </c>
      <c r="AB852" s="71">
        <f t="shared" si="211"/>
        <v>1600</v>
      </c>
      <c r="AC852" s="64">
        <f t="shared" si="207"/>
        <v>5.2631578947368418E-2</v>
      </c>
      <c r="AD852" s="64">
        <f t="shared" si="201"/>
        <v>9.4637223974763408E-3</v>
      </c>
      <c r="AE852" s="71">
        <f t="shared" si="213"/>
        <v>1580</v>
      </c>
      <c r="AF852" s="64">
        <f t="shared" si="208"/>
        <v>3.9473684210526314E-2</v>
      </c>
      <c r="AG852" s="64">
        <f t="shared" si="202"/>
        <v>-3.1545741324921135E-3</v>
      </c>
      <c r="AH852" s="67"/>
      <c r="AI852" s="47" t="s">
        <v>54</v>
      </c>
      <c r="AJ852" s="47">
        <v>670</v>
      </c>
      <c r="AK852" s="101" t="s">
        <v>65</v>
      </c>
      <c r="AL852" s="101" t="s">
        <v>65</v>
      </c>
      <c r="AM852" s="47" t="s">
        <v>438</v>
      </c>
      <c r="AN852" s="50">
        <v>1580</v>
      </c>
      <c r="AO852" s="211">
        <f t="shared" si="209"/>
        <v>3.9473684210526314E-2</v>
      </c>
      <c r="AP852" s="47" t="s">
        <v>57</v>
      </c>
      <c r="AQ852" s="47" t="s">
        <v>58</v>
      </c>
      <c r="AR852" s="47"/>
    </row>
    <row r="853" spans="1:44" hidden="1">
      <c r="A853" s="47" t="s">
        <v>44</v>
      </c>
      <c r="B853" s="47" t="str">
        <f t="shared" si="204"/>
        <v>July</v>
      </c>
      <c r="C853" s="59">
        <v>45478</v>
      </c>
      <c r="D853" s="47" t="s">
        <v>45</v>
      </c>
      <c r="E853" s="47" t="s">
        <v>98</v>
      </c>
      <c r="F853" s="47" t="s">
        <v>99</v>
      </c>
      <c r="G853" s="91" t="s">
        <v>442</v>
      </c>
      <c r="H853" s="47" t="s">
        <v>443</v>
      </c>
      <c r="I853" s="47" t="s">
        <v>444</v>
      </c>
      <c r="J853" s="47" t="s">
        <v>51</v>
      </c>
      <c r="K853" s="48">
        <v>45113</v>
      </c>
      <c r="L853" s="48">
        <v>45113</v>
      </c>
      <c r="M853" s="48">
        <v>45478</v>
      </c>
      <c r="N853" s="47" t="s">
        <v>52</v>
      </c>
      <c r="O853" s="55" t="s">
        <v>53</v>
      </c>
      <c r="P853" s="62">
        <v>18120</v>
      </c>
      <c r="Q853" s="62">
        <v>1510</v>
      </c>
      <c r="R853" s="96">
        <v>18660</v>
      </c>
      <c r="S853" s="62">
        <f t="shared" si="205"/>
        <v>1555</v>
      </c>
      <c r="T853" s="62">
        <v>17880</v>
      </c>
      <c r="U853" s="62">
        <f t="shared" si="210"/>
        <v>1490</v>
      </c>
      <c r="V853" s="69">
        <v>15996</v>
      </c>
      <c r="W853" s="71">
        <v>1570</v>
      </c>
      <c r="X853" s="105">
        <f t="shared" si="214"/>
        <v>1545</v>
      </c>
      <c r="Y853" s="171">
        <f t="shared" si="212"/>
        <v>3.6912751677852351E-2</v>
      </c>
      <c r="Z853" s="64">
        <f t="shared" si="206"/>
        <v>5.3691275167785234E-2</v>
      </c>
      <c r="AA853" s="64">
        <f t="shared" si="199"/>
        <v>9.6463022508038593E-3</v>
      </c>
      <c r="AB853" s="71">
        <f t="shared" si="211"/>
        <v>1570</v>
      </c>
      <c r="AC853" s="64">
        <f t="shared" si="207"/>
        <v>5.3691275167785234E-2</v>
      </c>
      <c r="AD853" s="64">
        <f t="shared" si="201"/>
        <v>9.6463022508038593E-3</v>
      </c>
      <c r="AE853" s="71">
        <f t="shared" si="213"/>
        <v>1550</v>
      </c>
      <c r="AF853" s="64">
        <f t="shared" si="208"/>
        <v>4.0268456375838924E-2</v>
      </c>
      <c r="AG853" s="64">
        <f t="shared" si="202"/>
        <v>-3.2154340836012861E-3</v>
      </c>
      <c r="AH853" s="67"/>
      <c r="AI853" s="47" t="s">
        <v>54</v>
      </c>
      <c r="AJ853" s="47">
        <v>670</v>
      </c>
      <c r="AK853" s="101" t="s">
        <v>65</v>
      </c>
      <c r="AL853" s="101" t="s">
        <v>65</v>
      </c>
      <c r="AM853" s="47" t="s">
        <v>438</v>
      </c>
      <c r="AN853" s="50"/>
      <c r="AO853" s="211">
        <f t="shared" si="209"/>
        <v>-1</v>
      </c>
      <c r="AP853" s="47" t="s">
        <v>57</v>
      </c>
      <c r="AQ853" s="47" t="s">
        <v>58</v>
      </c>
      <c r="AR853" s="47"/>
    </row>
    <row r="854" spans="1:44" hidden="1">
      <c r="A854" s="47" t="s">
        <v>44</v>
      </c>
      <c r="B854" s="47" t="str">
        <f t="shared" si="204"/>
        <v>July</v>
      </c>
      <c r="C854" s="59">
        <v>45483</v>
      </c>
      <c r="D854" s="47" t="s">
        <v>45</v>
      </c>
      <c r="E854" s="47" t="s">
        <v>98</v>
      </c>
      <c r="F854" s="47" t="s">
        <v>99</v>
      </c>
      <c r="G854" s="91" t="s">
        <v>445</v>
      </c>
      <c r="H854" s="47" t="s">
        <v>446</v>
      </c>
      <c r="I854" s="112" t="s">
        <v>447</v>
      </c>
      <c r="J854" s="47" t="s">
        <v>51</v>
      </c>
      <c r="K854" s="48">
        <v>45118</v>
      </c>
      <c r="L854" s="48">
        <v>45118</v>
      </c>
      <c r="M854" s="48">
        <v>45483</v>
      </c>
      <c r="N854" s="47" t="s">
        <v>52</v>
      </c>
      <c r="O854" s="55" t="s">
        <v>53</v>
      </c>
      <c r="P854" s="62">
        <v>18120</v>
      </c>
      <c r="Q854" s="62">
        <v>1510</v>
      </c>
      <c r="R854" s="96">
        <v>18660</v>
      </c>
      <c r="S854" s="62">
        <f t="shared" si="205"/>
        <v>1555</v>
      </c>
      <c r="T854" s="62">
        <v>17880</v>
      </c>
      <c r="U854" s="62">
        <f t="shared" si="210"/>
        <v>1490</v>
      </c>
      <c r="V854" s="69">
        <v>16800</v>
      </c>
      <c r="W854" s="71">
        <v>1570</v>
      </c>
      <c r="X854" s="105">
        <f t="shared" si="214"/>
        <v>1545</v>
      </c>
      <c r="Y854" s="171">
        <f t="shared" si="212"/>
        <v>3.6912751677852351E-2</v>
      </c>
      <c r="Z854" s="64">
        <f t="shared" si="206"/>
        <v>5.3691275167785234E-2</v>
      </c>
      <c r="AA854" s="64">
        <f t="shared" si="199"/>
        <v>9.6463022508038593E-3</v>
      </c>
      <c r="AB854" s="71">
        <f t="shared" si="211"/>
        <v>1570</v>
      </c>
      <c r="AC854" s="64">
        <f t="shared" si="207"/>
        <v>5.3691275167785234E-2</v>
      </c>
      <c r="AD854" s="64">
        <f t="shared" si="201"/>
        <v>9.6463022508038593E-3</v>
      </c>
      <c r="AE854" s="71">
        <f t="shared" si="213"/>
        <v>1550</v>
      </c>
      <c r="AF854" s="64">
        <f t="shared" si="208"/>
        <v>4.0268456375838924E-2</v>
      </c>
      <c r="AG854" s="64">
        <f t="shared" si="202"/>
        <v>-3.2154340836012861E-3</v>
      </c>
      <c r="AH854" s="67"/>
      <c r="AI854" s="47" t="s">
        <v>54</v>
      </c>
      <c r="AJ854" s="47">
        <v>673</v>
      </c>
      <c r="AK854" s="101" t="s">
        <v>65</v>
      </c>
      <c r="AL854" s="101" t="s">
        <v>65</v>
      </c>
      <c r="AM854" s="47" t="s">
        <v>448</v>
      </c>
      <c r="AN854" s="50">
        <v>1540</v>
      </c>
      <c r="AO854" s="211">
        <f t="shared" si="209"/>
        <v>3.3557046979865772E-2</v>
      </c>
      <c r="AP854" s="47" t="s">
        <v>57</v>
      </c>
      <c r="AQ854" s="47" t="s">
        <v>58</v>
      </c>
      <c r="AR854" s="47"/>
    </row>
    <row r="855" spans="1:44">
      <c r="A855" s="47" t="s">
        <v>44</v>
      </c>
      <c r="B855" s="47" t="str">
        <f t="shared" si="204"/>
        <v>July</v>
      </c>
      <c r="C855" s="59">
        <v>45476</v>
      </c>
      <c r="D855" s="47" t="s">
        <v>45</v>
      </c>
      <c r="E855" s="47" t="s">
        <v>98</v>
      </c>
      <c r="F855" s="47" t="s">
        <v>99</v>
      </c>
      <c r="G855" s="91" t="s">
        <v>510</v>
      </c>
      <c r="H855" s="47" t="s">
        <v>511</v>
      </c>
      <c r="I855" s="47" t="s">
        <v>50</v>
      </c>
      <c r="J855" s="47" t="s">
        <v>51</v>
      </c>
      <c r="K855" s="48">
        <v>44473</v>
      </c>
      <c r="L855" s="48">
        <v>45111</v>
      </c>
      <c r="M855" s="48">
        <v>45476</v>
      </c>
      <c r="N855" s="47" t="s">
        <v>64</v>
      </c>
      <c r="O855" s="55" t="s">
        <v>53</v>
      </c>
      <c r="P855" s="62">
        <v>17640</v>
      </c>
      <c r="Q855" s="62">
        <v>1470</v>
      </c>
      <c r="R855" s="96">
        <v>18180</v>
      </c>
      <c r="S855" s="62">
        <f t="shared" si="205"/>
        <v>1515</v>
      </c>
      <c r="T855" s="62">
        <v>17400</v>
      </c>
      <c r="U855" s="62">
        <f t="shared" si="210"/>
        <v>1450</v>
      </c>
      <c r="V855" s="69">
        <v>15780</v>
      </c>
      <c r="W855" s="71">
        <v>1540</v>
      </c>
      <c r="X855" s="105">
        <f t="shared" si="214"/>
        <v>1515</v>
      </c>
      <c r="Y855" s="171">
        <f t="shared" si="212"/>
        <v>4.4827586206896551E-2</v>
      </c>
      <c r="Z855" s="114">
        <f t="shared" si="206"/>
        <v>6.2068965517241378E-2</v>
      </c>
      <c r="AA855" s="64">
        <f t="shared" si="199"/>
        <v>1.65016501650165E-2</v>
      </c>
      <c r="AB855" s="71">
        <f t="shared" si="211"/>
        <v>1540</v>
      </c>
      <c r="AC855" s="64">
        <f t="shared" si="207"/>
        <v>6.2068965517241378E-2</v>
      </c>
      <c r="AD855" s="64">
        <f t="shared" si="201"/>
        <v>1.65016501650165E-2</v>
      </c>
      <c r="AE855" s="71">
        <f t="shared" si="213"/>
        <v>1520</v>
      </c>
      <c r="AF855" s="64">
        <f t="shared" si="208"/>
        <v>4.8275862068965517E-2</v>
      </c>
      <c r="AG855" s="64">
        <f t="shared" si="202"/>
        <v>3.3003300330033004E-3</v>
      </c>
      <c r="AH855" s="67"/>
      <c r="AI855" s="47" t="s">
        <v>54</v>
      </c>
      <c r="AJ855" s="47">
        <v>673</v>
      </c>
      <c r="AK855" s="101" t="s">
        <v>65</v>
      </c>
      <c r="AL855" s="101" t="s">
        <v>65</v>
      </c>
      <c r="AM855" s="47" t="s">
        <v>512</v>
      </c>
      <c r="AN855" s="50">
        <v>1520</v>
      </c>
      <c r="AO855" s="211">
        <f t="shared" si="209"/>
        <v>4.8275862068965517E-2</v>
      </c>
      <c r="AP855" s="47" t="s">
        <v>57</v>
      </c>
      <c r="AQ855" s="47" t="s">
        <v>58</v>
      </c>
      <c r="AR855" s="47"/>
    </row>
    <row r="856" spans="1:44">
      <c r="A856" s="47" t="s">
        <v>44</v>
      </c>
      <c r="B856" s="47" t="str">
        <f t="shared" si="204"/>
        <v>July</v>
      </c>
      <c r="C856" s="59">
        <v>45491</v>
      </c>
      <c r="D856" s="47" t="s">
        <v>45</v>
      </c>
      <c r="E856" s="47" t="s">
        <v>98</v>
      </c>
      <c r="F856" s="47" t="s">
        <v>99</v>
      </c>
      <c r="G856" s="91" t="s">
        <v>522</v>
      </c>
      <c r="H856" s="47" t="s">
        <v>523</v>
      </c>
      <c r="I856" s="47" t="s">
        <v>524</v>
      </c>
      <c r="J856" s="47" t="s">
        <v>51</v>
      </c>
      <c r="K856" s="48">
        <v>44396</v>
      </c>
      <c r="L856" s="48">
        <v>45126</v>
      </c>
      <c r="M856" s="48">
        <v>45491</v>
      </c>
      <c r="N856" s="47" t="s">
        <v>64</v>
      </c>
      <c r="O856" s="55" t="s">
        <v>53</v>
      </c>
      <c r="P856" s="62">
        <v>16980</v>
      </c>
      <c r="Q856" s="62">
        <v>1415</v>
      </c>
      <c r="R856" s="96">
        <v>17460</v>
      </c>
      <c r="S856" s="62">
        <f t="shared" si="205"/>
        <v>1455</v>
      </c>
      <c r="T856" s="62">
        <v>16740</v>
      </c>
      <c r="U856" s="62">
        <f t="shared" si="210"/>
        <v>1395</v>
      </c>
      <c r="V856" s="69">
        <v>15120</v>
      </c>
      <c r="W856" s="71">
        <v>1485</v>
      </c>
      <c r="X856" s="105">
        <f t="shared" si="214"/>
        <v>1460</v>
      </c>
      <c r="Y856" s="171">
        <f t="shared" si="212"/>
        <v>4.6594982078853049E-2</v>
      </c>
      <c r="Z856" s="64">
        <f t="shared" si="206"/>
        <v>6.4516129032258063E-2</v>
      </c>
      <c r="AA856" s="64">
        <f t="shared" si="199"/>
        <v>2.0618556701030927E-2</v>
      </c>
      <c r="AB856" s="71">
        <f t="shared" si="211"/>
        <v>1485</v>
      </c>
      <c r="AC856" s="64">
        <f t="shared" si="207"/>
        <v>6.4516129032258063E-2</v>
      </c>
      <c r="AD856" s="64">
        <f t="shared" si="201"/>
        <v>2.0618556701030927E-2</v>
      </c>
      <c r="AE856" s="71">
        <f t="shared" si="213"/>
        <v>1465</v>
      </c>
      <c r="AF856" s="64">
        <f t="shared" si="208"/>
        <v>5.0179211469534052E-2</v>
      </c>
      <c r="AG856" s="64">
        <f t="shared" si="202"/>
        <v>6.8728522336769758E-3</v>
      </c>
      <c r="AH856" s="67"/>
      <c r="AI856" s="47" t="s">
        <v>54</v>
      </c>
      <c r="AJ856" s="47">
        <v>650</v>
      </c>
      <c r="AK856" s="101" t="s">
        <v>65</v>
      </c>
      <c r="AL856" s="101" t="s">
        <v>65</v>
      </c>
      <c r="AM856" s="47" t="s">
        <v>525</v>
      </c>
      <c r="AN856" s="50">
        <v>1455</v>
      </c>
      <c r="AO856" s="211">
        <f t="shared" si="209"/>
        <v>4.3010752688172046E-2</v>
      </c>
      <c r="AP856" s="47" t="s">
        <v>57</v>
      </c>
      <c r="AQ856" s="47" t="s">
        <v>58</v>
      </c>
      <c r="AR856" s="47"/>
    </row>
    <row r="857" spans="1:44">
      <c r="A857" s="47" t="s">
        <v>44</v>
      </c>
      <c r="B857" s="47" t="str">
        <f t="shared" si="204"/>
        <v>July</v>
      </c>
      <c r="C857" s="59">
        <v>45495</v>
      </c>
      <c r="D857" s="47" t="s">
        <v>45</v>
      </c>
      <c r="E857" s="47" t="s">
        <v>98</v>
      </c>
      <c r="F857" s="47" t="s">
        <v>99</v>
      </c>
      <c r="G857" s="91" t="s">
        <v>532</v>
      </c>
      <c r="H857" s="47" t="s">
        <v>533</v>
      </c>
      <c r="I857" s="47" t="s">
        <v>50</v>
      </c>
      <c r="J857" s="47" t="s">
        <v>51</v>
      </c>
      <c r="K857" s="48">
        <v>44765</v>
      </c>
      <c r="L857" s="48">
        <v>45130</v>
      </c>
      <c r="M857" s="48">
        <v>45495</v>
      </c>
      <c r="N857" s="47" t="s">
        <v>64</v>
      </c>
      <c r="O857" s="55" t="s">
        <v>53</v>
      </c>
      <c r="P857" s="62">
        <v>18060</v>
      </c>
      <c r="Q857" s="62">
        <v>1505</v>
      </c>
      <c r="R857" s="96">
        <v>18600</v>
      </c>
      <c r="S857" s="62">
        <f t="shared" si="205"/>
        <v>1550</v>
      </c>
      <c r="T857" s="62">
        <v>17820</v>
      </c>
      <c r="U857" s="62">
        <f t="shared" si="210"/>
        <v>1485</v>
      </c>
      <c r="V857" s="69">
        <v>16080</v>
      </c>
      <c r="W857" s="71">
        <v>1580</v>
      </c>
      <c r="X857" s="105">
        <f t="shared" si="214"/>
        <v>1555</v>
      </c>
      <c r="Y857" s="171">
        <f t="shared" si="212"/>
        <v>4.7138047138047139E-2</v>
      </c>
      <c r="Z857" s="64">
        <f t="shared" si="206"/>
        <v>6.3973063973063973E-2</v>
      </c>
      <c r="AA857" s="64">
        <f t="shared" si="199"/>
        <v>1.935483870967742E-2</v>
      </c>
      <c r="AB857" s="71">
        <f t="shared" si="211"/>
        <v>1580</v>
      </c>
      <c r="AC857" s="64">
        <f t="shared" si="207"/>
        <v>6.3973063973063973E-2</v>
      </c>
      <c r="AD857" s="64">
        <f t="shared" si="201"/>
        <v>1.935483870967742E-2</v>
      </c>
      <c r="AE857" s="71">
        <f t="shared" si="213"/>
        <v>1560</v>
      </c>
      <c r="AF857" s="64">
        <f t="shared" si="208"/>
        <v>5.0505050505050504E-2</v>
      </c>
      <c r="AG857" s="64">
        <f t="shared" si="202"/>
        <v>6.4516129032258064E-3</v>
      </c>
      <c r="AH857" s="67"/>
      <c r="AI857" s="47" t="s">
        <v>54</v>
      </c>
      <c r="AJ857" s="47">
        <v>670</v>
      </c>
      <c r="AK857" s="101" t="s">
        <v>65</v>
      </c>
      <c r="AL857" s="101" t="s">
        <v>65</v>
      </c>
      <c r="AM857" s="47" t="s">
        <v>438</v>
      </c>
      <c r="AN857" s="50">
        <v>1580</v>
      </c>
      <c r="AO857" s="211">
        <f t="shared" si="209"/>
        <v>6.3973063973063973E-2</v>
      </c>
      <c r="AP857" s="47" t="s">
        <v>57</v>
      </c>
      <c r="AQ857" s="47" t="s">
        <v>58</v>
      </c>
      <c r="AR857" s="47"/>
    </row>
    <row r="858" spans="1:44" hidden="1">
      <c r="A858" s="47" t="s">
        <v>74</v>
      </c>
      <c r="B858" s="47" t="str">
        <f t="shared" si="204"/>
        <v>July</v>
      </c>
      <c r="C858" s="59">
        <v>45500</v>
      </c>
      <c r="D858" s="47" t="s">
        <v>45</v>
      </c>
      <c r="E858" s="47" t="s">
        <v>98</v>
      </c>
      <c r="F858" s="47" t="s">
        <v>99</v>
      </c>
      <c r="G858" s="91" t="s">
        <v>534</v>
      </c>
      <c r="H858" s="47" t="s">
        <v>535</v>
      </c>
      <c r="I858" s="47" t="s">
        <v>50</v>
      </c>
      <c r="J858" s="47" t="s">
        <v>51</v>
      </c>
      <c r="K858" s="48">
        <v>45135</v>
      </c>
      <c r="L858" s="48">
        <v>45135</v>
      </c>
      <c r="M858" s="48">
        <v>45500</v>
      </c>
      <c r="N858" s="47" t="s">
        <v>52</v>
      </c>
      <c r="O858" s="55" t="s">
        <v>53</v>
      </c>
      <c r="P858" s="62">
        <v>25140</v>
      </c>
      <c r="Q858" s="62">
        <v>2095</v>
      </c>
      <c r="R858" s="96">
        <v>25740</v>
      </c>
      <c r="S858" s="62">
        <f t="shared" si="205"/>
        <v>2145</v>
      </c>
      <c r="T858" s="62">
        <v>25140</v>
      </c>
      <c r="U858" s="62">
        <f t="shared" si="210"/>
        <v>2095</v>
      </c>
      <c r="V858" s="69">
        <v>22200</v>
      </c>
      <c r="W858" s="71">
        <v>2205</v>
      </c>
      <c r="X858" s="105">
        <f>W858-5</f>
        <v>2200</v>
      </c>
      <c r="Y858" s="171">
        <f t="shared" si="212"/>
        <v>5.0119331742243436E-2</v>
      </c>
      <c r="Z858" s="64">
        <f t="shared" si="206"/>
        <v>5.2505966587112173E-2</v>
      </c>
      <c r="AA858" s="64">
        <f t="shared" ref="AA858:AA921" si="215">(W858-S858)/S858</f>
        <v>2.7972027972027972E-2</v>
      </c>
      <c r="AB858" s="71">
        <f t="shared" si="211"/>
        <v>2205</v>
      </c>
      <c r="AC858" s="64">
        <f t="shared" si="207"/>
        <v>5.2505966587112173E-2</v>
      </c>
      <c r="AD858" s="64">
        <f t="shared" si="201"/>
        <v>2.7972027972027972E-2</v>
      </c>
      <c r="AE858" s="71">
        <f t="shared" si="213"/>
        <v>2185</v>
      </c>
      <c r="AF858" s="64">
        <f t="shared" si="208"/>
        <v>4.2959427207637228E-2</v>
      </c>
      <c r="AG858" s="64">
        <f t="shared" si="202"/>
        <v>1.8648018648018648E-2</v>
      </c>
      <c r="AH858" s="67"/>
      <c r="AI858" s="47" t="s">
        <v>54</v>
      </c>
      <c r="AJ858" s="47">
        <v>874</v>
      </c>
      <c r="AK858" s="101" t="s">
        <v>140</v>
      </c>
      <c r="AL858" s="101" t="s">
        <v>65</v>
      </c>
      <c r="AM858" s="47" t="s">
        <v>536</v>
      </c>
      <c r="AN858" s="50">
        <v>2150</v>
      </c>
      <c r="AO858" s="211">
        <f t="shared" si="209"/>
        <v>2.6252983293556086E-2</v>
      </c>
      <c r="AP858" s="47" t="s">
        <v>57</v>
      </c>
      <c r="AQ858" s="47" t="s">
        <v>58</v>
      </c>
      <c r="AR858" s="47"/>
    </row>
    <row r="859" spans="1:44">
      <c r="A859" s="47" t="s">
        <v>44</v>
      </c>
      <c r="B859" s="47" t="str">
        <f t="shared" si="204"/>
        <v>July</v>
      </c>
      <c r="C859" s="59">
        <v>45493</v>
      </c>
      <c r="D859" s="47" t="s">
        <v>45</v>
      </c>
      <c r="E859" s="47" t="s">
        <v>98</v>
      </c>
      <c r="F859" s="47" t="s">
        <v>99</v>
      </c>
      <c r="G859" s="91" t="s">
        <v>537</v>
      </c>
      <c r="H859" s="47" t="s">
        <v>538</v>
      </c>
      <c r="I859" s="47" t="s">
        <v>444</v>
      </c>
      <c r="J859" s="47" t="s">
        <v>51</v>
      </c>
      <c r="K859" s="48">
        <v>44398</v>
      </c>
      <c r="L859" s="48">
        <v>45128</v>
      </c>
      <c r="M859" s="48">
        <v>45493</v>
      </c>
      <c r="N859" s="47" t="s">
        <v>64</v>
      </c>
      <c r="O859" s="55" t="s">
        <v>53</v>
      </c>
      <c r="P859" s="62">
        <v>16980</v>
      </c>
      <c r="Q859" s="62">
        <v>1415</v>
      </c>
      <c r="R859" s="96">
        <v>17460</v>
      </c>
      <c r="S859" s="62">
        <f t="shared" si="205"/>
        <v>1455</v>
      </c>
      <c r="T859" s="62">
        <v>16740</v>
      </c>
      <c r="U859" s="62">
        <f t="shared" si="210"/>
        <v>1395</v>
      </c>
      <c r="V859" s="69">
        <v>14880</v>
      </c>
      <c r="W859" s="71">
        <v>1490</v>
      </c>
      <c r="X859" s="105">
        <f>W859-25</f>
        <v>1465</v>
      </c>
      <c r="Y859" s="171">
        <f t="shared" si="212"/>
        <v>5.0179211469534052E-2</v>
      </c>
      <c r="Z859" s="64">
        <f t="shared" si="206"/>
        <v>6.8100358422939072E-2</v>
      </c>
      <c r="AA859" s="64">
        <f t="shared" si="215"/>
        <v>2.4054982817869417E-2</v>
      </c>
      <c r="AB859" s="71">
        <f t="shared" si="211"/>
        <v>1490</v>
      </c>
      <c r="AC859" s="64">
        <f t="shared" si="207"/>
        <v>6.8100358422939072E-2</v>
      </c>
      <c r="AD859" s="64">
        <f t="shared" si="201"/>
        <v>2.4054982817869417E-2</v>
      </c>
      <c r="AE859" s="71">
        <f t="shared" si="213"/>
        <v>1470</v>
      </c>
      <c r="AF859" s="64">
        <f t="shared" si="208"/>
        <v>5.3763440860215055E-2</v>
      </c>
      <c r="AG859" s="64">
        <f t="shared" si="202"/>
        <v>1.0309278350515464E-2</v>
      </c>
      <c r="AH859" s="67"/>
      <c r="AI859" s="47" t="s">
        <v>54</v>
      </c>
      <c r="AJ859" s="47">
        <v>673</v>
      </c>
      <c r="AK859" s="101" t="s">
        <v>65</v>
      </c>
      <c r="AL859" s="101" t="s">
        <v>65</v>
      </c>
      <c r="AM859" s="47" t="s">
        <v>448</v>
      </c>
      <c r="AN859" s="50">
        <v>1490</v>
      </c>
      <c r="AO859" s="211">
        <f t="shared" si="209"/>
        <v>6.8100358422939072E-2</v>
      </c>
      <c r="AP859" s="47" t="s">
        <v>57</v>
      </c>
      <c r="AQ859" s="47" t="s">
        <v>58</v>
      </c>
      <c r="AR859" s="47"/>
    </row>
    <row r="860" spans="1:44">
      <c r="A860" s="47" t="s">
        <v>44</v>
      </c>
      <c r="B860" s="47" t="str">
        <f t="shared" si="204"/>
        <v>July</v>
      </c>
      <c r="C860" s="59">
        <v>45493</v>
      </c>
      <c r="D860" s="47" t="s">
        <v>45</v>
      </c>
      <c r="E860" s="47" t="s">
        <v>98</v>
      </c>
      <c r="F860" s="47" t="s">
        <v>99</v>
      </c>
      <c r="G860" s="91" t="s">
        <v>539</v>
      </c>
      <c r="H860" s="47" t="s">
        <v>540</v>
      </c>
      <c r="I860" s="47" t="s">
        <v>444</v>
      </c>
      <c r="J860" s="47" t="s">
        <v>51</v>
      </c>
      <c r="K860" s="48">
        <v>44763</v>
      </c>
      <c r="L860" s="48">
        <v>45128</v>
      </c>
      <c r="M860" s="48">
        <v>45493</v>
      </c>
      <c r="N860" s="47" t="s">
        <v>64</v>
      </c>
      <c r="O860" s="55" t="s">
        <v>53</v>
      </c>
      <c r="P860" s="62">
        <v>25380</v>
      </c>
      <c r="Q860" s="62">
        <v>2115</v>
      </c>
      <c r="R860" s="96">
        <v>26040</v>
      </c>
      <c r="S860" s="62">
        <f t="shared" si="205"/>
        <v>2170</v>
      </c>
      <c r="T860" s="62">
        <v>25380</v>
      </c>
      <c r="U860" s="62">
        <f t="shared" si="210"/>
        <v>2115</v>
      </c>
      <c r="V860" s="69">
        <v>22980</v>
      </c>
      <c r="W860" s="71">
        <v>2230</v>
      </c>
      <c r="X860" s="105">
        <f>W860-5</f>
        <v>2225</v>
      </c>
      <c r="Y860" s="171">
        <f t="shared" si="212"/>
        <v>5.2009456264775412E-2</v>
      </c>
      <c r="Z860" s="64">
        <f t="shared" si="206"/>
        <v>5.4373522458628844E-2</v>
      </c>
      <c r="AA860" s="64">
        <f t="shared" si="215"/>
        <v>2.7649769585253458E-2</v>
      </c>
      <c r="AB860" s="71">
        <f t="shared" si="211"/>
        <v>2230</v>
      </c>
      <c r="AC860" s="64">
        <f t="shared" si="207"/>
        <v>5.4373522458628844E-2</v>
      </c>
      <c r="AD860" s="64">
        <f t="shared" si="201"/>
        <v>2.7649769585253458E-2</v>
      </c>
      <c r="AE860" s="71">
        <f t="shared" si="213"/>
        <v>2210</v>
      </c>
      <c r="AF860" s="64">
        <f t="shared" si="208"/>
        <v>4.4917257683215132E-2</v>
      </c>
      <c r="AG860" s="64">
        <f t="shared" si="202"/>
        <v>1.8433179723502304E-2</v>
      </c>
      <c r="AH860" s="67"/>
      <c r="AI860" s="47" t="s">
        <v>395</v>
      </c>
      <c r="AJ860" s="47">
        <v>873</v>
      </c>
      <c r="AK860" s="101" t="s">
        <v>140</v>
      </c>
      <c r="AL860" s="101" t="s">
        <v>65</v>
      </c>
      <c r="AM860" s="47" t="s">
        <v>427</v>
      </c>
      <c r="AN860" s="50">
        <v>2230</v>
      </c>
      <c r="AO860" s="211">
        <f t="shared" si="209"/>
        <v>5.4373522458628844E-2</v>
      </c>
      <c r="AP860" s="47" t="s">
        <v>57</v>
      </c>
      <c r="AQ860" s="47" t="s">
        <v>58</v>
      </c>
      <c r="AR860" s="47"/>
    </row>
    <row r="861" spans="1:44">
      <c r="A861" s="47" t="s">
        <v>74</v>
      </c>
      <c r="B861" s="47" t="str">
        <f t="shared" si="204"/>
        <v>July</v>
      </c>
      <c r="C861" s="59">
        <v>45504</v>
      </c>
      <c r="D861" s="47" t="s">
        <v>45</v>
      </c>
      <c r="E861" s="47" t="s">
        <v>98</v>
      </c>
      <c r="F861" s="47" t="s">
        <v>99</v>
      </c>
      <c r="G861" s="91" t="s">
        <v>541</v>
      </c>
      <c r="H861" s="47" t="s">
        <v>542</v>
      </c>
      <c r="I861" s="47" t="s">
        <v>444</v>
      </c>
      <c r="J861" s="47" t="s">
        <v>51</v>
      </c>
      <c r="K861" s="48">
        <v>44774</v>
      </c>
      <c r="L861" s="48">
        <v>45139</v>
      </c>
      <c r="M861" s="48">
        <v>45504</v>
      </c>
      <c r="N861" s="47" t="s">
        <v>64</v>
      </c>
      <c r="O861" s="55" t="s">
        <v>53</v>
      </c>
      <c r="P861" s="62">
        <v>17640</v>
      </c>
      <c r="Q861" s="62">
        <v>1470</v>
      </c>
      <c r="R861" s="96">
        <v>18180</v>
      </c>
      <c r="S861" s="62">
        <f t="shared" si="205"/>
        <v>1515</v>
      </c>
      <c r="T861" s="62">
        <v>16920</v>
      </c>
      <c r="U861" s="62">
        <f t="shared" si="210"/>
        <v>1410</v>
      </c>
      <c r="V861" s="69">
        <v>15240</v>
      </c>
      <c r="W861" s="71">
        <v>1510</v>
      </c>
      <c r="X861" s="105">
        <f>W861-25</f>
        <v>1485</v>
      </c>
      <c r="Y861" s="171">
        <f t="shared" si="212"/>
        <v>5.3191489361702128E-2</v>
      </c>
      <c r="Z861" s="64">
        <f t="shared" si="206"/>
        <v>7.0921985815602842E-2</v>
      </c>
      <c r="AA861" s="64">
        <f t="shared" si="215"/>
        <v>-3.3003300330033004E-3</v>
      </c>
      <c r="AB861" s="71">
        <f t="shared" si="211"/>
        <v>1510</v>
      </c>
      <c r="AC861" s="64">
        <f t="shared" si="207"/>
        <v>7.0921985815602842E-2</v>
      </c>
      <c r="AD861" s="64">
        <f t="shared" si="201"/>
        <v>-3.3003300330033004E-3</v>
      </c>
      <c r="AE861" s="71">
        <f t="shared" si="213"/>
        <v>1490</v>
      </c>
      <c r="AF861" s="64">
        <f t="shared" si="208"/>
        <v>5.6737588652482268E-2</v>
      </c>
      <c r="AG861" s="64">
        <f t="shared" si="202"/>
        <v>-1.65016501650165E-2</v>
      </c>
      <c r="AH861" s="67"/>
      <c r="AI861" s="47" t="s">
        <v>54</v>
      </c>
      <c r="AJ861" s="47">
        <v>673</v>
      </c>
      <c r="AK861" s="101" t="s">
        <v>65</v>
      </c>
      <c r="AL861" s="101" t="s">
        <v>65</v>
      </c>
      <c r="AM861" s="47" t="s">
        <v>543</v>
      </c>
      <c r="AN861" s="50"/>
      <c r="AO861" s="211">
        <f t="shared" si="209"/>
        <v>-1</v>
      </c>
      <c r="AP861" s="47" t="s">
        <v>57</v>
      </c>
      <c r="AQ861" s="47" t="s">
        <v>58</v>
      </c>
      <c r="AR861" s="47"/>
    </row>
    <row r="862" spans="1:44" hidden="1">
      <c r="A862" s="47" t="s">
        <v>44</v>
      </c>
      <c r="B862" s="47" t="str">
        <f t="shared" si="204"/>
        <v>July</v>
      </c>
      <c r="C862" s="59">
        <v>45485</v>
      </c>
      <c r="D862" s="47" t="s">
        <v>45</v>
      </c>
      <c r="E862" s="47" t="s">
        <v>98</v>
      </c>
      <c r="F862" s="47" t="s">
        <v>99</v>
      </c>
      <c r="G862" s="91" t="s">
        <v>564</v>
      </c>
      <c r="H862" s="47" t="s">
        <v>565</v>
      </c>
      <c r="I862" s="47" t="s">
        <v>444</v>
      </c>
      <c r="J862" s="47" t="s">
        <v>51</v>
      </c>
      <c r="K862" s="48">
        <v>45120</v>
      </c>
      <c r="L862" s="48">
        <v>45120</v>
      </c>
      <c r="M862" s="48">
        <v>45485</v>
      </c>
      <c r="N862" s="47" t="s">
        <v>52</v>
      </c>
      <c r="O862" s="55" t="s">
        <v>53</v>
      </c>
      <c r="P862" s="62">
        <v>24600</v>
      </c>
      <c r="Q862" s="62">
        <v>2050</v>
      </c>
      <c r="R862" s="96">
        <v>25200</v>
      </c>
      <c r="S862" s="62">
        <f t="shared" si="205"/>
        <v>2100</v>
      </c>
      <c r="T862" s="62">
        <v>24300</v>
      </c>
      <c r="U862" s="62">
        <f t="shared" si="210"/>
        <v>2025</v>
      </c>
      <c r="V862" s="69">
        <v>21300</v>
      </c>
      <c r="W862" s="71">
        <v>2170</v>
      </c>
      <c r="X862" s="105">
        <f>W862-5</f>
        <v>2165</v>
      </c>
      <c r="Y862" s="171">
        <f t="shared" si="212"/>
        <v>6.9135802469135796E-2</v>
      </c>
      <c r="Z862" s="64">
        <f t="shared" si="206"/>
        <v>7.160493827160494E-2</v>
      </c>
      <c r="AA862" s="64">
        <f t="shared" si="215"/>
        <v>3.3333333333333333E-2</v>
      </c>
      <c r="AB862" s="71">
        <f t="shared" si="211"/>
        <v>2170</v>
      </c>
      <c r="AC862" s="64">
        <f t="shared" si="207"/>
        <v>7.160493827160494E-2</v>
      </c>
      <c r="AD862" s="64">
        <f t="shared" si="201"/>
        <v>3.3333333333333333E-2</v>
      </c>
      <c r="AE862" s="71">
        <v>2135</v>
      </c>
      <c r="AF862" s="64">
        <f t="shared" si="208"/>
        <v>5.4320987654320987E-2</v>
      </c>
      <c r="AG862" s="64">
        <f t="shared" si="202"/>
        <v>1.6666666666666666E-2</v>
      </c>
      <c r="AH862" s="67"/>
      <c r="AI862" s="47" t="s">
        <v>54</v>
      </c>
      <c r="AJ862" s="47">
        <v>874</v>
      </c>
      <c r="AK862" s="101" t="s">
        <v>140</v>
      </c>
      <c r="AL862" s="101" t="s">
        <v>65</v>
      </c>
      <c r="AM862" s="47" t="s">
        <v>536</v>
      </c>
      <c r="AN862" s="50"/>
      <c r="AO862" s="211">
        <f t="shared" si="209"/>
        <v>-1</v>
      </c>
      <c r="AP862" s="47" t="s">
        <v>57</v>
      </c>
      <c r="AQ862" s="47" t="s">
        <v>58</v>
      </c>
      <c r="AR862" s="47"/>
    </row>
    <row r="863" spans="1:44">
      <c r="A863" s="47" t="s">
        <v>74</v>
      </c>
      <c r="B863" s="47" t="str">
        <f t="shared" si="204"/>
        <v>July</v>
      </c>
      <c r="C863" s="59">
        <v>45475</v>
      </c>
      <c r="D863" s="47" t="s">
        <v>45</v>
      </c>
      <c r="E863" s="47" t="s">
        <v>98</v>
      </c>
      <c r="F863" s="47" t="s">
        <v>99</v>
      </c>
      <c r="G863" s="91" t="s">
        <v>568</v>
      </c>
      <c r="H863" s="47" t="s">
        <v>569</v>
      </c>
      <c r="I863" s="47" t="s">
        <v>50</v>
      </c>
      <c r="J863" s="47" t="s">
        <v>51</v>
      </c>
      <c r="K863" s="48">
        <v>44564</v>
      </c>
      <c r="L863" s="48">
        <v>45110</v>
      </c>
      <c r="M863" s="48">
        <v>45475</v>
      </c>
      <c r="N863" s="47" t="s">
        <v>64</v>
      </c>
      <c r="O863" s="55" t="s">
        <v>53</v>
      </c>
      <c r="P863" s="62">
        <v>17340</v>
      </c>
      <c r="Q863" s="62">
        <v>1445</v>
      </c>
      <c r="R863" s="96">
        <v>17880</v>
      </c>
      <c r="S863" s="62">
        <f t="shared" si="205"/>
        <v>1490</v>
      </c>
      <c r="T863" s="62">
        <v>17100</v>
      </c>
      <c r="U863" s="62">
        <f t="shared" si="210"/>
        <v>1425</v>
      </c>
      <c r="V863" s="69">
        <v>15480</v>
      </c>
      <c r="W863" s="71">
        <v>1550</v>
      </c>
      <c r="X863" s="105">
        <f>W863-25</f>
        <v>1525</v>
      </c>
      <c r="Y863" s="171">
        <f t="shared" si="212"/>
        <v>7.0175438596491224E-2</v>
      </c>
      <c r="Z863" s="64">
        <f t="shared" si="206"/>
        <v>8.771929824561403E-2</v>
      </c>
      <c r="AA863" s="64">
        <f t="shared" si="215"/>
        <v>4.0268456375838924E-2</v>
      </c>
      <c r="AB863" s="71">
        <f t="shared" si="211"/>
        <v>1550</v>
      </c>
      <c r="AC863" s="64">
        <f t="shared" si="207"/>
        <v>8.771929824561403E-2</v>
      </c>
      <c r="AD863" s="64">
        <f t="shared" si="201"/>
        <v>4.0268456375838924E-2</v>
      </c>
      <c r="AE863" s="71">
        <v>1515</v>
      </c>
      <c r="AF863" s="64">
        <f t="shared" si="208"/>
        <v>6.3157894736842107E-2</v>
      </c>
      <c r="AG863" s="64">
        <f t="shared" si="202"/>
        <v>1.6778523489932886E-2</v>
      </c>
      <c r="AH863" s="67"/>
      <c r="AI863" s="47" t="s">
        <v>395</v>
      </c>
      <c r="AJ863" s="47">
        <v>670</v>
      </c>
      <c r="AK863" s="101" t="s">
        <v>65</v>
      </c>
      <c r="AL863" s="101" t="s">
        <v>65</v>
      </c>
      <c r="AM863" s="47" t="s">
        <v>570</v>
      </c>
      <c r="AN863" s="50">
        <v>1515</v>
      </c>
      <c r="AO863" s="211">
        <f t="shared" si="209"/>
        <v>6.3157894736842107E-2</v>
      </c>
      <c r="AP863" s="47" t="s">
        <v>57</v>
      </c>
      <c r="AQ863" s="47" t="s">
        <v>58</v>
      </c>
      <c r="AR863" s="47"/>
    </row>
    <row r="864" spans="1:44" hidden="1">
      <c r="A864" s="47" t="s">
        <v>44</v>
      </c>
      <c r="B864" s="47" t="str">
        <f t="shared" si="204"/>
        <v>July</v>
      </c>
      <c r="C864" s="59">
        <v>45494</v>
      </c>
      <c r="D864" s="47" t="s">
        <v>45</v>
      </c>
      <c r="E864" s="47" t="s">
        <v>98</v>
      </c>
      <c r="F864" s="47" t="s">
        <v>99</v>
      </c>
      <c r="G864" s="91" t="s">
        <v>571</v>
      </c>
      <c r="H864" s="47" t="s">
        <v>572</v>
      </c>
      <c r="I864" s="47" t="s">
        <v>50</v>
      </c>
      <c r="J864" s="47" t="s">
        <v>51</v>
      </c>
      <c r="K864" s="48">
        <v>45129</v>
      </c>
      <c r="L864" s="48">
        <v>45129</v>
      </c>
      <c r="M864" s="48">
        <v>45494</v>
      </c>
      <c r="N864" s="47" t="s">
        <v>52</v>
      </c>
      <c r="O864" s="55" t="s">
        <v>53</v>
      </c>
      <c r="P864" s="62">
        <v>17220</v>
      </c>
      <c r="Q864" s="62">
        <v>1435</v>
      </c>
      <c r="R864" s="96">
        <v>17760</v>
      </c>
      <c r="S864" s="62">
        <f t="shared" si="205"/>
        <v>1480</v>
      </c>
      <c r="T864" s="62">
        <v>16980</v>
      </c>
      <c r="U864" s="62">
        <f t="shared" si="210"/>
        <v>1415</v>
      </c>
      <c r="V864" s="69">
        <v>15180</v>
      </c>
      <c r="W864" s="71">
        <v>1540</v>
      </c>
      <c r="X864" s="105">
        <f>W864-25</f>
        <v>1515</v>
      </c>
      <c r="Y864" s="171">
        <f t="shared" si="212"/>
        <v>7.0671378091872794E-2</v>
      </c>
      <c r="Z864" s="64">
        <f t="shared" si="206"/>
        <v>8.8339222614840993E-2</v>
      </c>
      <c r="AA864" s="64">
        <f t="shared" si="215"/>
        <v>4.0540540540540543E-2</v>
      </c>
      <c r="AB864" s="71">
        <f t="shared" si="211"/>
        <v>1540</v>
      </c>
      <c r="AC864" s="64">
        <f t="shared" si="207"/>
        <v>8.8339222614840993E-2</v>
      </c>
      <c r="AD864" s="64">
        <f t="shared" si="201"/>
        <v>4.0540540540540543E-2</v>
      </c>
      <c r="AE864" s="71">
        <v>1515</v>
      </c>
      <c r="AF864" s="64">
        <f t="shared" si="208"/>
        <v>7.0671378091872794E-2</v>
      </c>
      <c r="AG864" s="64">
        <f t="shared" si="202"/>
        <v>2.364864864864865E-2</v>
      </c>
      <c r="AH864" s="67"/>
      <c r="AI864" s="47" t="s">
        <v>54</v>
      </c>
      <c r="AJ864" s="47">
        <v>673</v>
      </c>
      <c r="AK864" s="101" t="s">
        <v>65</v>
      </c>
      <c r="AL864" s="101" t="s">
        <v>65</v>
      </c>
      <c r="AM864" s="47" t="s">
        <v>448</v>
      </c>
      <c r="AN864" s="50">
        <v>1540</v>
      </c>
      <c r="AO864" s="211">
        <f t="shared" si="209"/>
        <v>8.8339222614840993E-2</v>
      </c>
      <c r="AP864" s="47" t="s">
        <v>57</v>
      </c>
      <c r="AQ864" s="47" t="s">
        <v>58</v>
      </c>
      <c r="AR864" s="47"/>
    </row>
    <row r="865" spans="1:44">
      <c r="A865" s="47" t="s">
        <v>74</v>
      </c>
      <c r="B865" s="47" t="str">
        <f t="shared" si="204"/>
        <v>July</v>
      </c>
      <c r="C865" s="59">
        <v>45498</v>
      </c>
      <c r="D865" s="47" t="s">
        <v>45</v>
      </c>
      <c r="E865" s="47" t="s">
        <v>98</v>
      </c>
      <c r="F865" s="47" t="s">
        <v>99</v>
      </c>
      <c r="G865" s="91" t="s">
        <v>573</v>
      </c>
      <c r="H865" s="47" t="s">
        <v>574</v>
      </c>
      <c r="I865" s="47" t="s">
        <v>50</v>
      </c>
      <c r="J865" s="47" t="s">
        <v>51</v>
      </c>
      <c r="K865" s="48">
        <v>44768</v>
      </c>
      <c r="L865" s="48">
        <v>45133</v>
      </c>
      <c r="M865" s="48">
        <v>45498</v>
      </c>
      <c r="N865" s="47" t="s">
        <v>64</v>
      </c>
      <c r="O865" s="55" t="s">
        <v>53</v>
      </c>
      <c r="P865" s="62">
        <v>23400</v>
      </c>
      <c r="Q865" s="62">
        <v>1950</v>
      </c>
      <c r="R865" s="96">
        <v>24000</v>
      </c>
      <c r="S865" s="62">
        <f t="shared" si="205"/>
        <v>2000</v>
      </c>
      <c r="T865" s="62">
        <v>22740</v>
      </c>
      <c r="U865" s="62">
        <f t="shared" si="210"/>
        <v>1895</v>
      </c>
      <c r="V865" s="69">
        <v>20640</v>
      </c>
      <c r="W865" s="71">
        <v>2035</v>
      </c>
      <c r="X865" s="105">
        <f>W865-5</f>
        <v>2030</v>
      </c>
      <c r="Y865" s="171">
        <f t="shared" si="212"/>
        <v>7.1240105540897103E-2</v>
      </c>
      <c r="Z865" s="64">
        <f t="shared" si="206"/>
        <v>7.3878627968337732E-2</v>
      </c>
      <c r="AA865" s="64">
        <f t="shared" si="215"/>
        <v>1.7500000000000002E-2</v>
      </c>
      <c r="AB865" s="71">
        <f t="shared" si="211"/>
        <v>2035</v>
      </c>
      <c r="AC865" s="64">
        <f t="shared" si="207"/>
        <v>7.3878627968337732E-2</v>
      </c>
      <c r="AD865" s="64">
        <f t="shared" si="201"/>
        <v>1.7500000000000002E-2</v>
      </c>
      <c r="AE865" s="71">
        <f>AB865-20</f>
        <v>2015</v>
      </c>
      <c r="AF865" s="64">
        <f t="shared" si="208"/>
        <v>6.3324538258575203E-2</v>
      </c>
      <c r="AG865" s="64">
        <f t="shared" si="202"/>
        <v>7.4999999999999997E-3</v>
      </c>
      <c r="AH865" s="67"/>
      <c r="AI865" s="47" t="s">
        <v>54</v>
      </c>
      <c r="AJ865" s="47">
        <v>949</v>
      </c>
      <c r="AK865" s="101" t="s">
        <v>140</v>
      </c>
      <c r="AL865" s="101" t="s">
        <v>65</v>
      </c>
      <c r="AM865" s="47" t="s">
        <v>575</v>
      </c>
      <c r="AN865" s="50"/>
      <c r="AO865" s="211">
        <f t="shared" si="209"/>
        <v>-1</v>
      </c>
      <c r="AP865" s="47" t="s">
        <v>57</v>
      </c>
      <c r="AQ865" s="47" t="s">
        <v>58</v>
      </c>
      <c r="AR865" s="47"/>
    </row>
    <row r="866" spans="1:44" hidden="1">
      <c r="A866" s="47" t="s">
        <v>44</v>
      </c>
      <c r="B866" s="47" t="str">
        <f t="shared" si="204"/>
        <v>July</v>
      </c>
      <c r="C866" s="59">
        <v>45475</v>
      </c>
      <c r="D866" s="47" t="s">
        <v>45</v>
      </c>
      <c r="E866" s="47" t="s">
        <v>98</v>
      </c>
      <c r="F866" s="47" t="s">
        <v>99</v>
      </c>
      <c r="G866" s="91" t="s">
        <v>576</v>
      </c>
      <c r="H866" s="47" t="s">
        <v>577</v>
      </c>
      <c r="I866" s="77" t="s">
        <v>578</v>
      </c>
      <c r="J866" s="47" t="s">
        <v>51</v>
      </c>
      <c r="K866" s="48">
        <v>45110</v>
      </c>
      <c r="L866" s="48">
        <v>45110</v>
      </c>
      <c r="M866" s="48">
        <v>45475</v>
      </c>
      <c r="N866" s="47" t="s">
        <v>52</v>
      </c>
      <c r="O866" s="55" t="s">
        <v>53</v>
      </c>
      <c r="P866" s="62">
        <v>17640</v>
      </c>
      <c r="Q866" s="62">
        <v>1470</v>
      </c>
      <c r="R866" s="96">
        <v>18180</v>
      </c>
      <c r="S866" s="62">
        <f t="shared" si="205"/>
        <v>1515</v>
      </c>
      <c r="T866" s="62">
        <v>17400</v>
      </c>
      <c r="U866" s="62">
        <f t="shared" si="210"/>
        <v>1450</v>
      </c>
      <c r="V866" s="69">
        <v>15660</v>
      </c>
      <c r="W866" s="71">
        <v>1580</v>
      </c>
      <c r="X866" s="105">
        <f>W866-25</f>
        <v>1555</v>
      </c>
      <c r="Y866" s="171">
        <f t="shared" si="212"/>
        <v>7.2413793103448282E-2</v>
      </c>
      <c r="Z866" s="64">
        <f t="shared" si="206"/>
        <v>8.9655172413793102E-2</v>
      </c>
      <c r="AA866" s="64">
        <f t="shared" si="215"/>
        <v>4.2904290429042903E-2</v>
      </c>
      <c r="AB866" s="71">
        <f t="shared" si="211"/>
        <v>1580</v>
      </c>
      <c r="AC866" s="64">
        <f t="shared" si="207"/>
        <v>8.9655172413793102E-2</v>
      </c>
      <c r="AD866" s="64">
        <f t="shared" si="201"/>
        <v>4.2904290429042903E-2</v>
      </c>
      <c r="AE866" s="71">
        <v>1555</v>
      </c>
      <c r="AF866" s="64">
        <f t="shared" si="208"/>
        <v>7.2413793103448282E-2</v>
      </c>
      <c r="AG866" s="64">
        <f t="shared" si="202"/>
        <v>2.6402640264026403E-2</v>
      </c>
      <c r="AH866" s="67"/>
      <c r="AI866" s="47" t="s">
        <v>250</v>
      </c>
      <c r="AJ866" s="47">
        <v>667</v>
      </c>
      <c r="AK866" s="101" t="s">
        <v>65</v>
      </c>
      <c r="AL866" s="101" t="s">
        <v>65</v>
      </c>
      <c r="AM866" s="47" t="s">
        <v>579</v>
      </c>
      <c r="AN866" s="50"/>
      <c r="AO866" s="211">
        <f t="shared" si="209"/>
        <v>-1</v>
      </c>
      <c r="AP866" s="47" t="s">
        <v>57</v>
      </c>
      <c r="AQ866" s="47" t="s">
        <v>58</v>
      </c>
      <c r="AR866" s="47"/>
    </row>
    <row r="867" spans="1:44">
      <c r="A867" s="47" t="s">
        <v>44</v>
      </c>
      <c r="B867" s="47" t="str">
        <f t="shared" si="204"/>
        <v>August</v>
      </c>
      <c r="C867" s="59">
        <v>45516</v>
      </c>
      <c r="D867" s="47" t="s">
        <v>45</v>
      </c>
      <c r="E867" s="47" t="s">
        <v>98</v>
      </c>
      <c r="F867" s="47" t="s">
        <v>99</v>
      </c>
      <c r="G867" s="91" t="s">
        <v>580</v>
      </c>
      <c r="H867" s="47" t="s">
        <v>581</v>
      </c>
      <c r="I867" s="47" t="s">
        <v>444</v>
      </c>
      <c r="J867" s="47" t="s">
        <v>51</v>
      </c>
      <c r="K867" s="48">
        <v>44421</v>
      </c>
      <c r="L867" s="48">
        <v>45151</v>
      </c>
      <c r="M867" s="48">
        <v>45516</v>
      </c>
      <c r="N867" s="47" t="s">
        <v>64</v>
      </c>
      <c r="O867" s="55" t="s">
        <v>53</v>
      </c>
      <c r="P867" s="62">
        <v>23400</v>
      </c>
      <c r="Q867" s="62">
        <v>1950</v>
      </c>
      <c r="R867" s="96">
        <v>24000</v>
      </c>
      <c r="S867" s="62">
        <f t="shared" si="205"/>
        <v>2000</v>
      </c>
      <c r="T867" s="62">
        <v>23460</v>
      </c>
      <c r="U867" s="62">
        <f t="shared" si="210"/>
        <v>1955</v>
      </c>
      <c r="V867" s="69">
        <v>21420</v>
      </c>
      <c r="W867" s="71">
        <v>2070</v>
      </c>
      <c r="X867" s="105">
        <f>W867-5</f>
        <v>2065</v>
      </c>
      <c r="Y867" s="171">
        <f t="shared" si="212"/>
        <v>5.6265984654731455E-2</v>
      </c>
      <c r="Z867" s="64">
        <f t="shared" si="206"/>
        <v>5.8823529411764705E-2</v>
      </c>
      <c r="AA867" s="64">
        <f t="shared" si="215"/>
        <v>3.5000000000000003E-2</v>
      </c>
      <c r="AB867" s="71">
        <f t="shared" si="211"/>
        <v>2070</v>
      </c>
      <c r="AC867" s="64">
        <f t="shared" si="207"/>
        <v>5.8823529411764705E-2</v>
      </c>
      <c r="AD867" s="64">
        <f t="shared" si="201"/>
        <v>3.5000000000000003E-2</v>
      </c>
      <c r="AE867" s="71">
        <f>AB867-20</f>
        <v>2050</v>
      </c>
      <c r="AF867" s="64">
        <f t="shared" si="208"/>
        <v>4.859335038363171E-2</v>
      </c>
      <c r="AG867" s="64">
        <f t="shared" si="202"/>
        <v>2.5000000000000001E-2</v>
      </c>
      <c r="AH867" s="67"/>
      <c r="AI867" s="47" t="s">
        <v>54</v>
      </c>
      <c r="AJ867" s="47">
        <v>889</v>
      </c>
      <c r="AK867" s="47" t="s">
        <v>140</v>
      </c>
      <c r="AL867" s="47" t="s">
        <v>65</v>
      </c>
      <c r="AM867" s="47" t="s">
        <v>582</v>
      </c>
      <c r="AN867" s="50"/>
      <c r="AO867" s="211">
        <f t="shared" si="209"/>
        <v>-1</v>
      </c>
      <c r="AP867" s="47" t="s">
        <v>57</v>
      </c>
      <c r="AQ867" s="47" t="s">
        <v>58</v>
      </c>
      <c r="AR867" s="47"/>
    </row>
    <row r="868" spans="1:44">
      <c r="A868" s="47" t="s">
        <v>44</v>
      </c>
      <c r="B868" s="47" t="str">
        <f t="shared" si="204"/>
        <v>July</v>
      </c>
      <c r="C868" s="59">
        <v>45474</v>
      </c>
      <c r="D868" s="47" t="s">
        <v>45</v>
      </c>
      <c r="E868" s="47" t="s">
        <v>98</v>
      </c>
      <c r="F868" s="47" t="s">
        <v>99</v>
      </c>
      <c r="G868" s="91" t="s">
        <v>585</v>
      </c>
      <c r="H868" s="47" t="s">
        <v>586</v>
      </c>
      <c r="I868" s="47" t="s">
        <v>50</v>
      </c>
      <c r="J868" s="47" t="s">
        <v>51</v>
      </c>
      <c r="K868" s="48">
        <v>44744</v>
      </c>
      <c r="L868" s="48">
        <v>45109</v>
      </c>
      <c r="M868" s="48">
        <v>45474</v>
      </c>
      <c r="N868" s="47" t="s">
        <v>64</v>
      </c>
      <c r="O868" s="55" t="s">
        <v>53</v>
      </c>
      <c r="P868" s="62">
        <v>24000</v>
      </c>
      <c r="Q868" s="62">
        <v>2000</v>
      </c>
      <c r="R868" s="96">
        <v>24600</v>
      </c>
      <c r="S868" s="62">
        <f t="shared" si="205"/>
        <v>2050</v>
      </c>
      <c r="T868" s="62">
        <v>23160</v>
      </c>
      <c r="U868" s="62">
        <f t="shared" si="210"/>
        <v>1930</v>
      </c>
      <c r="V868" s="69">
        <v>21060</v>
      </c>
      <c r="W868" s="71">
        <v>2090</v>
      </c>
      <c r="X868" s="105">
        <f>W868-5</f>
        <v>2085</v>
      </c>
      <c r="Y868" s="171">
        <f t="shared" si="212"/>
        <v>8.0310880829015538E-2</v>
      </c>
      <c r="Z868" s="64">
        <f t="shared" si="206"/>
        <v>8.2901554404145081E-2</v>
      </c>
      <c r="AA868" s="64">
        <f t="shared" si="215"/>
        <v>1.9512195121951219E-2</v>
      </c>
      <c r="AB868" s="71">
        <f t="shared" si="211"/>
        <v>2090</v>
      </c>
      <c r="AC868" s="64">
        <f t="shared" si="207"/>
        <v>8.2901554404145081E-2</v>
      </c>
      <c r="AD868" s="64">
        <f t="shared" si="201"/>
        <v>1.9512195121951219E-2</v>
      </c>
      <c r="AE868" s="71">
        <f>AB868-20</f>
        <v>2070</v>
      </c>
      <c r="AF868" s="64">
        <f t="shared" si="208"/>
        <v>7.2538860103626937E-2</v>
      </c>
      <c r="AG868" s="64">
        <f t="shared" si="202"/>
        <v>9.7560975609756097E-3</v>
      </c>
      <c r="AH868" s="67"/>
      <c r="AI868" s="47" t="s">
        <v>54</v>
      </c>
      <c r="AJ868" s="47">
        <v>939</v>
      </c>
      <c r="AK868" s="101" t="s">
        <v>140</v>
      </c>
      <c r="AL868" s="101" t="s">
        <v>65</v>
      </c>
      <c r="AM868" s="47" t="s">
        <v>587</v>
      </c>
      <c r="AN868" s="50">
        <v>2050</v>
      </c>
      <c r="AO868" s="211">
        <f t="shared" si="209"/>
        <v>6.2176165803108807E-2</v>
      </c>
      <c r="AP868" s="47" t="s">
        <v>57</v>
      </c>
      <c r="AQ868" s="47" t="s">
        <v>58</v>
      </c>
      <c r="AR868" s="47"/>
    </row>
    <row r="869" spans="1:44">
      <c r="A869" s="47" t="s">
        <v>44</v>
      </c>
      <c r="B869" s="47" t="str">
        <f t="shared" si="204"/>
        <v>July</v>
      </c>
      <c r="C869" s="59">
        <v>45487</v>
      </c>
      <c r="D869" s="47" t="s">
        <v>45</v>
      </c>
      <c r="E869" s="47" t="s">
        <v>98</v>
      </c>
      <c r="F869" s="47" t="s">
        <v>99</v>
      </c>
      <c r="G869" s="91" t="s">
        <v>588</v>
      </c>
      <c r="H869" s="47" t="s">
        <v>589</v>
      </c>
      <c r="I869" s="47" t="s">
        <v>50</v>
      </c>
      <c r="J869" s="47" t="s">
        <v>51</v>
      </c>
      <c r="K869" s="48">
        <v>44757</v>
      </c>
      <c r="L869" s="48">
        <v>45122</v>
      </c>
      <c r="M869" s="48">
        <v>45487</v>
      </c>
      <c r="N869" s="47" t="s">
        <v>64</v>
      </c>
      <c r="O869" s="55" t="s">
        <v>53</v>
      </c>
      <c r="P869" s="62">
        <v>23400</v>
      </c>
      <c r="Q869" s="62">
        <v>1950</v>
      </c>
      <c r="R869" s="96">
        <v>24000</v>
      </c>
      <c r="S869" s="62">
        <f t="shared" si="205"/>
        <v>2000</v>
      </c>
      <c r="T869" s="62">
        <v>22800</v>
      </c>
      <c r="U869" s="62">
        <f t="shared" si="210"/>
        <v>1900</v>
      </c>
      <c r="V869" s="69">
        <v>21000</v>
      </c>
      <c r="W869" s="71">
        <v>2060</v>
      </c>
      <c r="X869" s="105">
        <f>W869-5</f>
        <v>2055</v>
      </c>
      <c r="Y869" s="171">
        <f t="shared" si="212"/>
        <v>8.1578947368421056E-2</v>
      </c>
      <c r="Z869" s="64">
        <f t="shared" si="206"/>
        <v>8.4210526315789472E-2</v>
      </c>
      <c r="AA869" s="64">
        <f t="shared" si="215"/>
        <v>0.03</v>
      </c>
      <c r="AB869" s="71">
        <f t="shared" si="211"/>
        <v>2060</v>
      </c>
      <c r="AC869" s="64">
        <f t="shared" si="207"/>
        <v>8.4210526315789472E-2</v>
      </c>
      <c r="AD869" s="64">
        <f t="shared" ref="AD869:AD932" si="216">(AB869-S869)/S869</f>
        <v>0.03</v>
      </c>
      <c r="AE869" s="71">
        <v>2030</v>
      </c>
      <c r="AF869" s="64">
        <f t="shared" si="208"/>
        <v>6.8421052631578952E-2</v>
      </c>
      <c r="AG869" s="64">
        <f t="shared" ref="AG869:AG932" si="217">(AE869-S869)/S869</f>
        <v>1.4999999999999999E-2</v>
      </c>
      <c r="AH869" s="67"/>
      <c r="AI869" s="47" t="s">
        <v>54</v>
      </c>
      <c r="AJ869" s="47">
        <v>949</v>
      </c>
      <c r="AK869" s="101" t="s">
        <v>140</v>
      </c>
      <c r="AL869" s="101" t="s">
        <v>65</v>
      </c>
      <c r="AM869" s="47" t="s">
        <v>590</v>
      </c>
      <c r="AN869" s="50"/>
      <c r="AO869" s="211">
        <f t="shared" si="209"/>
        <v>-1</v>
      </c>
      <c r="AP869" s="47" t="s">
        <v>57</v>
      </c>
      <c r="AQ869" s="47" t="s">
        <v>58</v>
      </c>
      <c r="AR869" s="47"/>
    </row>
    <row r="870" spans="1:44">
      <c r="A870" s="47" t="s">
        <v>44</v>
      </c>
      <c r="B870" s="47" t="str">
        <f t="shared" si="204"/>
        <v>July</v>
      </c>
      <c r="C870" s="59">
        <v>45477</v>
      </c>
      <c r="D870" s="47" t="s">
        <v>45</v>
      </c>
      <c r="E870" s="47" t="s">
        <v>98</v>
      </c>
      <c r="F870" s="47" t="s">
        <v>99</v>
      </c>
      <c r="G870" s="91" t="s">
        <v>591</v>
      </c>
      <c r="H870" s="47" t="s">
        <v>592</v>
      </c>
      <c r="I870" s="47" t="s">
        <v>50</v>
      </c>
      <c r="J870" s="47" t="s">
        <v>51</v>
      </c>
      <c r="K870" s="48">
        <v>44747</v>
      </c>
      <c r="L870" s="48">
        <v>45112</v>
      </c>
      <c r="M870" s="48">
        <v>45477</v>
      </c>
      <c r="N870" s="47" t="s">
        <v>64</v>
      </c>
      <c r="O870" s="55" t="s">
        <v>53</v>
      </c>
      <c r="P870" s="62">
        <v>24000</v>
      </c>
      <c r="Q870" s="62">
        <v>2000</v>
      </c>
      <c r="R870" s="96">
        <v>24600</v>
      </c>
      <c r="S870" s="62">
        <f t="shared" si="205"/>
        <v>2050</v>
      </c>
      <c r="T870" s="62">
        <v>23220</v>
      </c>
      <c r="U870" s="62">
        <f t="shared" si="210"/>
        <v>1935</v>
      </c>
      <c r="V870" s="69">
        <v>21060</v>
      </c>
      <c r="W870" s="71">
        <v>2100</v>
      </c>
      <c r="X870" s="105">
        <f>W870-5</f>
        <v>2095</v>
      </c>
      <c r="Y870" s="171">
        <f t="shared" si="212"/>
        <v>8.2687338501291993E-2</v>
      </c>
      <c r="Z870" s="64">
        <f t="shared" si="206"/>
        <v>8.5271317829457363E-2</v>
      </c>
      <c r="AA870" s="64">
        <f t="shared" si="215"/>
        <v>2.4390243902439025E-2</v>
      </c>
      <c r="AB870" s="71">
        <f t="shared" si="211"/>
        <v>2100</v>
      </c>
      <c r="AC870" s="64">
        <f t="shared" si="207"/>
        <v>8.5271317829457363E-2</v>
      </c>
      <c r="AD870" s="64">
        <f t="shared" si="216"/>
        <v>2.4390243902439025E-2</v>
      </c>
      <c r="AE870" s="71">
        <f>AB870-20</f>
        <v>2080</v>
      </c>
      <c r="AF870" s="64">
        <f t="shared" si="208"/>
        <v>7.4935400516795869E-2</v>
      </c>
      <c r="AG870" s="64">
        <f t="shared" si="217"/>
        <v>1.4634146341463415E-2</v>
      </c>
      <c r="AH870" s="67"/>
      <c r="AI870" s="47" t="s">
        <v>54</v>
      </c>
      <c r="AJ870" s="47">
        <v>939</v>
      </c>
      <c r="AK870" s="101" t="s">
        <v>140</v>
      </c>
      <c r="AL870" s="101" t="s">
        <v>65</v>
      </c>
      <c r="AM870" s="47" t="s">
        <v>587</v>
      </c>
      <c r="AN870" s="50">
        <v>2050</v>
      </c>
      <c r="AO870" s="211">
        <f t="shared" si="209"/>
        <v>5.9431524547803614E-2</v>
      </c>
      <c r="AP870" s="47" t="s">
        <v>57</v>
      </c>
      <c r="AQ870" s="47" t="s">
        <v>58</v>
      </c>
      <c r="AR870" s="47"/>
    </row>
    <row r="871" spans="1:44">
      <c r="A871" s="47" t="s">
        <v>44</v>
      </c>
      <c r="B871" s="47" t="str">
        <f t="shared" si="204"/>
        <v>July</v>
      </c>
      <c r="C871" s="59">
        <v>45497</v>
      </c>
      <c r="D871" s="47" t="s">
        <v>45</v>
      </c>
      <c r="E871" s="47" t="s">
        <v>98</v>
      </c>
      <c r="F871" s="47" t="s">
        <v>99</v>
      </c>
      <c r="G871" s="91" t="s">
        <v>593</v>
      </c>
      <c r="H871" s="47" t="s">
        <v>594</v>
      </c>
      <c r="I871" s="47" t="s">
        <v>50</v>
      </c>
      <c r="J871" s="47" t="s">
        <v>51</v>
      </c>
      <c r="K871" s="48">
        <v>44645</v>
      </c>
      <c r="L871" s="48">
        <v>45132</v>
      </c>
      <c r="M871" s="48">
        <v>45497</v>
      </c>
      <c r="N871" s="47" t="s">
        <v>64</v>
      </c>
      <c r="O871" s="55" t="s">
        <v>53</v>
      </c>
      <c r="P871" s="62">
        <v>17280</v>
      </c>
      <c r="Q871" s="62">
        <v>1440</v>
      </c>
      <c r="R871" s="96">
        <v>17820</v>
      </c>
      <c r="S871" s="62">
        <f t="shared" si="205"/>
        <v>1485</v>
      </c>
      <c r="T871" s="62">
        <v>17040</v>
      </c>
      <c r="U871" s="62">
        <f t="shared" si="210"/>
        <v>1420</v>
      </c>
      <c r="V871" s="69">
        <v>16740</v>
      </c>
      <c r="W871" s="71">
        <v>1565</v>
      </c>
      <c r="X871" s="105">
        <f>W871-25</f>
        <v>1540</v>
      </c>
      <c r="Y871" s="171">
        <f t="shared" si="212"/>
        <v>8.4507042253521125E-2</v>
      </c>
      <c r="Z871" s="64">
        <f t="shared" si="206"/>
        <v>0.10211267605633803</v>
      </c>
      <c r="AA871" s="64">
        <f t="shared" si="215"/>
        <v>5.387205387205387E-2</v>
      </c>
      <c r="AB871" s="71">
        <f t="shared" si="211"/>
        <v>1565</v>
      </c>
      <c r="AC871" s="64">
        <f t="shared" si="207"/>
        <v>0.10211267605633803</v>
      </c>
      <c r="AD871" s="64">
        <f t="shared" si="216"/>
        <v>5.387205387205387E-2</v>
      </c>
      <c r="AE871" s="71">
        <v>1525</v>
      </c>
      <c r="AF871" s="64">
        <f t="shared" si="208"/>
        <v>7.3943661971830985E-2</v>
      </c>
      <c r="AG871" s="64">
        <f t="shared" si="217"/>
        <v>2.6936026936026935E-2</v>
      </c>
      <c r="AH871" s="67"/>
      <c r="AI871" s="47" t="s">
        <v>54</v>
      </c>
      <c r="AJ871" s="47">
        <v>673</v>
      </c>
      <c r="AK871" s="101" t="s">
        <v>65</v>
      </c>
      <c r="AL871" s="101" t="s">
        <v>65</v>
      </c>
      <c r="AM871" s="47" t="s">
        <v>279</v>
      </c>
      <c r="AN871" s="50">
        <v>1500</v>
      </c>
      <c r="AO871" s="211">
        <f t="shared" si="209"/>
        <v>5.6338028169014086E-2</v>
      </c>
      <c r="AP871" s="47" t="s">
        <v>57</v>
      </c>
      <c r="AQ871" s="47" t="s">
        <v>58</v>
      </c>
      <c r="AR871" s="47"/>
    </row>
    <row r="872" spans="1:44">
      <c r="A872" s="47" t="s">
        <v>44</v>
      </c>
      <c r="B872" s="47" t="str">
        <f t="shared" si="204"/>
        <v>July</v>
      </c>
      <c r="C872" s="59">
        <v>45477</v>
      </c>
      <c r="D872" s="47" t="s">
        <v>45</v>
      </c>
      <c r="E872" s="47" t="s">
        <v>98</v>
      </c>
      <c r="F872" s="47" t="s">
        <v>99</v>
      </c>
      <c r="G872" s="91" t="s">
        <v>595</v>
      </c>
      <c r="H872" s="47" t="s">
        <v>596</v>
      </c>
      <c r="I872" s="47" t="s">
        <v>597</v>
      </c>
      <c r="J872" s="47" t="s">
        <v>51</v>
      </c>
      <c r="K872" s="48">
        <v>44747</v>
      </c>
      <c r="L872" s="48">
        <v>45112</v>
      </c>
      <c r="M872" s="48">
        <v>45477</v>
      </c>
      <c r="N872" s="47" t="s">
        <v>64</v>
      </c>
      <c r="O872" s="55" t="s">
        <v>53</v>
      </c>
      <c r="P872" s="62">
        <v>16260</v>
      </c>
      <c r="Q872" s="62">
        <v>1355</v>
      </c>
      <c r="R872" s="96">
        <v>16740</v>
      </c>
      <c r="S872" s="62">
        <f t="shared" si="205"/>
        <v>1395</v>
      </c>
      <c r="T872" s="62">
        <v>16020</v>
      </c>
      <c r="U872" s="62">
        <f t="shared" si="210"/>
        <v>1335</v>
      </c>
      <c r="V872" s="69">
        <v>14700</v>
      </c>
      <c r="W872" s="71">
        <v>1485</v>
      </c>
      <c r="X872" s="105">
        <f>W872-25</f>
        <v>1460</v>
      </c>
      <c r="Y872" s="171">
        <f t="shared" si="212"/>
        <v>9.3632958801498134E-2</v>
      </c>
      <c r="Z872" s="64">
        <f t="shared" si="206"/>
        <v>0.11235955056179775</v>
      </c>
      <c r="AA872" s="114">
        <f t="shared" si="215"/>
        <v>6.4516129032258063E-2</v>
      </c>
      <c r="AB872" s="71">
        <f t="shared" si="211"/>
        <v>1485</v>
      </c>
      <c r="AC872" s="64">
        <f t="shared" si="207"/>
        <v>0.11235955056179775</v>
      </c>
      <c r="AD872" s="64">
        <f t="shared" si="216"/>
        <v>6.4516129032258063E-2</v>
      </c>
      <c r="AE872" s="71">
        <v>1430</v>
      </c>
      <c r="AF872" s="64">
        <f t="shared" si="208"/>
        <v>7.116104868913857E-2</v>
      </c>
      <c r="AG872" s="64">
        <f t="shared" si="217"/>
        <v>2.5089605734767026E-2</v>
      </c>
      <c r="AH872" s="67"/>
      <c r="AI872" s="47" t="s">
        <v>54</v>
      </c>
      <c r="AJ872" s="47">
        <v>673</v>
      </c>
      <c r="AK872" s="101" t="s">
        <v>65</v>
      </c>
      <c r="AL872" s="101" t="s">
        <v>65</v>
      </c>
      <c r="AM872" s="47" t="s">
        <v>598</v>
      </c>
      <c r="AN872" s="50">
        <v>1420</v>
      </c>
      <c r="AO872" s="211">
        <f t="shared" si="209"/>
        <v>6.3670411985018729E-2</v>
      </c>
      <c r="AP872" s="47" t="s">
        <v>57</v>
      </c>
      <c r="AQ872" s="47" t="s">
        <v>58</v>
      </c>
      <c r="AR872" s="47"/>
    </row>
    <row r="873" spans="1:44" hidden="1">
      <c r="A873" s="47" t="s">
        <v>74</v>
      </c>
      <c r="B873" s="47" t="str">
        <f t="shared" si="204"/>
        <v>July</v>
      </c>
      <c r="C873" s="59">
        <v>45502</v>
      </c>
      <c r="D873" s="47" t="s">
        <v>45</v>
      </c>
      <c r="E873" s="47" t="s">
        <v>98</v>
      </c>
      <c r="F873" s="47" t="s">
        <v>99</v>
      </c>
      <c r="G873" s="91" t="s">
        <v>738</v>
      </c>
      <c r="H873" s="47" t="s">
        <v>739</v>
      </c>
      <c r="I873" s="47" t="s">
        <v>740</v>
      </c>
      <c r="J873" s="47" t="s">
        <v>51</v>
      </c>
      <c r="K873" s="48">
        <v>45321</v>
      </c>
      <c r="L873" s="48">
        <v>45321</v>
      </c>
      <c r="M873" s="48">
        <v>45502</v>
      </c>
      <c r="N873" s="47" t="s">
        <v>52</v>
      </c>
      <c r="O873" s="55" t="s">
        <v>53</v>
      </c>
      <c r="P873" s="62">
        <v>15300</v>
      </c>
      <c r="Q873" s="62">
        <v>1275</v>
      </c>
      <c r="R873" s="96">
        <v>16080</v>
      </c>
      <c r="S873" s="62">
        <f t="shared" si="205"/>
        <v>1340</v>
      </c>
      <c r="T873" s="62">
        <v>16080</v>
      </c>
      <c r="U873" s="62">
        <f t="shared" si="210"/>
        <v>1340</v>
      </c>
      <c r="V873" s="69">
        <v>14700</v>
      </c>
      <c r="W873" s="71">
        <v>1360</v>
      </c>
      <c r="X873" s="71"/>
      <c r="Y873" s="71"/>
      <c r="Z873" s="64">
        <f t="shared" si="206"/>
        <v>1.4925373134328358E-2</v>
      </c>
      <c r="AA873" s="64">
        <f t="shared" si="215"/>
        <v>1.4925373134328358E-2</v>
      </c>
      <c r="AB873" s="71">
        <f t="shared" si="211"/>
        <v>1360</v>
      </c>
      <c r="AC873" s="64">
        <f t="shared" si="207"/>
        <v>1.4925373134328358E-2</v>
      </c>
      <c r="AD873" s="64">
        <f t="shared" si="216"/>
        <v>1.4925373134328358E-2</v>
      </c>
      <c r="AE873" s="71">
        <v>1345</v>
      </c>
      <c r="AF873" s="64">
        <f t="shared" si="208"/>
        <v>3.7313432835820895E-3</v>
      </c>
      <c r="AG873" s="64">
        <f t="shared" si="217"/>
        <v>3.7313432835820895E-3</v>
      </c>
      <c r="AH873" s="67"/>
      <c r="AI873" s="47" t="s">
        <v>54</v>
      </c>
      <c r="AJ873" s="47">
        <v>455</v>
      </c>
      <c r="AK873" s="101" t="s">
        <v>55</v>
      </c>
      <c r="AL873" s="101" t="s">
        <v>55</v>
      </c>
      <c r="AM873" s="47" t="s">
        <v>741</v>
      </c>
      <c r="AN873" s="50"/>
      <c r="AO873" s="211">
        <f t="shared" si="209"/>
        <v>-1</v>
      </c>
      <c r="AP873" s="47" t="s">
        <v>57</v>
      </c>
      <c r="AQ873" s="47" t="s">
        <v>58</v>
      </c>
      <c r="AR873" s="47"/>
    </row>
    <row r="874" spans="1:44">
      <c r="A874" s="47" t="s">
        <v>74</v>
      </c>
      <c r="B874" s="47" t="str">
        <f t="shared" si="204"/>
        <v>July</v>
      </c>
      <c r="C874" s="59">
        <v>45504</v>
      </c>
      <c r="D874" s="47" t="s">
        <v>45</v>
      </c>
      <c r="E874" s="47" t="s">
        <v>98</v>
      </c>
      <c r="F874" s="47" t="s">
        <v>99</v>
      </c>
      <c r="G874" s="91" t="s">
        <v>742</v>
      </c>
      <c r="H874" s="47" t="s">
        <v>743</v>
      </c>
      <c r="I874" s="47" t="s">
        <v>444</v>
      </c>
      <c r="J874" s="47" t="s">
        <v>51</v>
      </c>
      <c r="K874" s="48">
        <v>44774</v>
      </c>
      <c r="L874" s="48">
        <v>45139</v>
      </c>
      <c r="M874" s="48">
        <v>45504</v>
      </c>
      <c r="N874" s="47" t="s">
        <v>64</v>
      </c>
      <c r="O874" s="55" t="s">
        <v>53</v>
      </c>
      <c r="P874" s="62">
        <v>13860</v>
      </c>
      <c r="Q874" s="62">
        <v>1155</v>
      </c>
      <c r="R874" s="96">
        <v>14280</v>
      </c>
      <c r="S874" s="62">
        <f t="shared" si="205"/>
        <v>1190</v>
      </c>
      <c r="T874" s="62">
        <v>13380</v>
      </c>
      <c r="U874" s="62">
        <f t="shared" si="210"/>
        <v>1115</v>
      </c>
      <c r="V874" s="69">
        <v>11880</v>
      </c>
      <c r="W874" s="71">
        <v>1235</v>
      </c>
      <c r="X874" s="71"/>
      <c r="Y874" s="71"/>
      <c r="Z874" s="64">
        <f t="shared" si="206"/>
        <v>0.10762331838565023</v>
      </c>
      <c r="AA874" s="64">
        <f t="shared" si="215"/>
        <v>3.7815126050420166E-2</v>
      </c>
      <c r="AB874" s="71">
        <f t="shared" ref="AB874:AB905" si="218">W874</f>
        <v>1235</v>
      </c>
      <c r="AC874" s="64">
        <f t="shared" si="207"/>
        <v>0.10762331838565023</v>
      </c>
      <c r="AD874" s="64">
        <f t="shared" si="216"/>
        <v>3.7815126050420166E-2</v>
      </c>
      <c r="AE874" s="71">
        <v>1200</v>
      </c>
      <c r="AF874" s="64">
        <f t="shared" si="208"/>
        <v>7.623318385650224E-2</v>
      </c>
      <c r="AG874" s="64">
        <f t="shared" si="217"/>
        <v>8.4033613445378148E-3</v>
      </c>
      <c r="AH874" s="67"/>
      <c r="AI874" s="47" t="s">
        <v>54</v>
      </c>
      <c r="AJ874" s="47">
        <v>459</v>
      </c>
      <c r="AK874" s="101" t="s">
        <v>55</v>
      </c>
      <c r="AL874" s="101" t="s">
        <v>55</v>
      </c>
      <c r="AM874" s="47" t="s">
        <v>102</v>
      </c>
      <c r="AN874" s="50"/>
      <c r="AO874" s="211">
        <f t="shared" si="209"/>
        <v>-1</v>
      </c>
      <c r="AP874" s="47" t="s">
        <v>57</v>
      </c>
      <c r="AQ874" s="47" t="s">
        <v>58</v>
      </c>
      <c r="AR874" s="47"/>
    </row>
    <row r="875" spans="1:44">
      <c r="A875" s="47" t="s">
        <v>44</v>
      </c>
      <c r="B875" s="47" t="str">
        <f t="shared" si="204"/>
        <v>July</v>
      </c>
      <c r="C875" s="59">
        <v>45501</v>
      </c>
      <c r="D875" s="47" t="s">
        <v>45</v>
      </c>
      <c r="E875" s="47" t="s">
        <v>98</v>
      </c>
      <c r="F875" s="47" t="s">
        <v>99</v>
      </c>
      <c r="G875" s="91" t="s">
        <v>744</v>
      </c>
      <c r="H875" s="47" t="s">
        <v>745</v>
      </c>
      <c r="I875" s="47" t="s">
        <v>444</v>
      </c>
      <c r="J875" s="47" t="s">
        <v>51</v>
      </c>
      <c r="K875" s="48">
        <v>44771</v>
      </c>
      <c r="L875" s="48">
        <v>45136</v>
      </c>
      <c r="M875" s="48">
        <v>45501</v>
      </c>
      <c r="N875" s="47" t="s">
        <v>64</v>
      </c>
      <c r="O875" s="55" t="s">
        <v>53</v>
      </c>
      <c r="P875" s="62">
        <v>13380</v>
      </c>
      <c r="Q875" s="62">
        <v>1115</v>
      </c>
      <c r="R875" s="96">
        <v>13800</v>
      </c>
      <c r="S875" s="62">
        <f t="shared" si="205"/>
        <v>1150</v>
      </c>
      <c r="T875" s="62">
        <v>12900</v>
      </c>
      <c r="U875" s="62">
        <f t="shared" si="210"/>
        <v>1075</v>
      </c>
      <c r="V875" s="69">
        <v>11580</v>
      </c>
      <c r="W875" s="71">
        <v>1240</v>
      </c>
      <c r="X875" s="71"/>
      <c r="Y875" s="71"/>
      <c r="Z875" s="64">
        <f t="shared" si="206"/>
        <v>0.15348837209302327</v>
      </c>
      <c r="AA875" s="64">
        <f t="shared" si="215"/>
        <v>7.8260869565217397E-2</v>
      </c>
      <c r="AB875" s="71">
        <f t="shared" si="218"/>
        <v>1240</v>
      </c>
      <c r="AC875" s="64">
        <f t="shared" si="207"/>
        <v>0.15348837209302327</v>
      </c>
      <c r="AD875" s="64">
        <f t="shared" si="216"/>
        <v>7.8260869565217397E-2</v>
      </c>
      <c r="AE875" s="71">
        <v>1200</v>
      </c>
      <c r="AF875" s="64">
        <f t="shared" si="208"/>
        <v>0.11627906976744186</v>
      </c>
      <c r="AG875" s="64">
        <f t="shared" si="217"/>
        <v>4.3478260869565216E-2</v>
      </c>
      <c r="AH875" s="67"/>
      <c r="AI875" s="47" t="s">
        <v>54</v>
      </c>
      <c r="AJ875" s="47">
        <v>540</v>
      </c>
      <c r="AK875" s="101" t="s">
        <v>55</v>
      </c>
      <c r="AL875" s="101" t="s">
        <v>55</v>
      </c>
      <c r="AM875" s="47" t="s">
        <v>746</v>
      </c>
      <c r="AN875" s="50">
        <v>1200</v>
      </c>
      <c r="AO875" s="211">
        <f t="shared" si="209"/>
        <v>0.11627906976744186</v>
      </c>
      <c r="AP875" s="47" t="s">
        <v>57</v>
      </c>
      <c r="AQ875" s="47" t="s">
        <v>58</v>
      </c>
      <c r="AR875" s="47"/>
    </row>
    <row r="876" spans="1:44" hidden="1">
      <c r="A876" s="47" t="s">
        <v>44</v>
      </c>
      <c r="B876" s="47" t="str">
        <f t="shared" si="204"/>
        <v>July</v>
      </c>
      <c r="C876" s="59">
        <v>45485</v>
      </c>
      <c r="D876" s="47" t="s">
        <v>45</v>
      </c>
      <c r="E876" s="47" t="s">
        <v>98</v>
      </c>
      <c r="F876" s="47" t="s">
        <v>99</v>
      </c>
      <c r="G876" s="91" t="s">
        <v>777</v>
      </c>
      <c r="H876" s="47" t="s">
        <v>778</v>
      </c>
      <c r="I876" s="47" t="s">
        <v>444</v>
      </c>
      <c r="J876" s="47" t="s">
        <v>51</v>
      </c>
      <c r="K876" s="48">
        <v>45120</v>
      </c>
      <c r="L876" s="48">
        <v>45120</v>
      </c>
      <c r="M876" s="48">
        <v>45485</v>
      </c>
      <c r="N876" s="47" t="s">
        <v>52</v>
      </c>
      <c r="O876" s="55" t="s">
        <v>53</v>
      </c>
      <c r="P876" s="62">
        <v>16020</v>
      </c>
      <c r="Q876" s="62">
        <v>1335</v>
      </c>
      <c r="R876" s="96">
        <v>16500</v>
      </c>
      <c r="S876" s="62">
        <f t="shared" si="205"/>
        <v>1375</v>
      </c>
      <c r="T876" s="62">
        <v>15540</v>
      </c>
      <c r="U876" s="62">
        <f t="shared" si="210"/>
        <v>1295</v>
      </c>
      <c r="V876" s="69">
        <v>13800</v>
      </c>
      <c r="W876" s="71">
        <v>1410</v>
      </c>
      <c r="X876" s="71"/>
      <c r="Y876" s="71"/>
      <c r="Z876" s="64">
        <f t="shared" si="206"/>
        <v>8.8803088803088806E-2</v>
      </c>
      <c r="AA876" s="64">
        <f t="shared" si="215"/>
        <v>2.5454545454545455E-2</v>
      </c>
      <c r="AB876" s="71">
        <f t="shared" si="218"/>
        <v>1410</v>
      </c>
      <c r="AC876" s="64">
        <f t="shared" si="207"/>
        <v>8.8803088803088806E-2</v>
      </c>
      <c r="AD876" s="64">
        <f t="shared" si="216"/>
        <v>2.5454545454545455E-2</v>
      </c>
      <c r="AE876" s="71">
        <v>1380</v>
      </c>
      <c r="AF876" s="64">
        <f t="shared" si="208"/>
        <v>6.5637065637065631E-2</v>
      </c>
      <c r="AG876" s="64">
        <f t="shared" si="217"/>
        <v>3.6363636363636364E-3</v>
      </c>
      <c r="AH876" s="67"/>
      <c r="AI876" s="47" t="s">
        <v>54</v>
      </c>
      <c r="AJ876" s="47">
        <v>562</v>
      </c>
      <c r="AK876" s="101" t="s">
        <v>55</v>
      </c>
      <c r="AL876" s="101" t="s">
        <v>55</v>
      </c>
      <c r="AM876" s="47" t="s">
        <v>779</v>
      </c>
      <c r="AN876" s="50">
        <v>1380</v>
      </c>
      <c r="AO876" s="211">
        <f t="shared" si="209"/>
        <v>6.5637065637065631E-2</v>
      </c>
      <c r="AP876" s="47" t="s">
        <v>57</v>
      </c>
      <c r="AQ876" s="47" t="s">
        <v>58</v>
      </c>
      <c r="AR876" s="47"/>
    </row>
    <row r="877" spans="1:44" hidden="1">
      <c r="A877" s="47" t="s">
        <v>44</v>
      </c>
      <c r="B877" s="47" t="str">
        <f t="shared" si="204"/>
        <v>July</v>
      </c>
      <c r="C877" s="59">
        <v>45484</v>
      </c>
      <c r="D877" s="47" t="s">
        <v>45</v>
      </c>
      <c r="E877" s="47" t="s">
        <v>98</v>
      </c>
      <c r="F877" s="47" t="s">
        <v>99</v>
      </c>
      <c r="G877" s="91" t="s">
        <v>780</v>
      </c>
      <c r="H877" s="47" t="s">
        <v>781</v>
      </c>
      <c r="I877" s="47" t="s">
        <v>50</v>
      </c>
      <c r="J877" s="47" t="s">
        <v>51</v>
      </c>
      <c r="K877" s="48">
        <v>45119</v>
      </c>
      <c r="L877" s="48">
        <v>45119</v>
      </c>
      <c r="M877" s="48">
        <v>45484</v>
      </c>
      <c r="N877" s="47" t="s">
        <v>52</v>
      </c>
      <c r="O877" s="55" t="s">
        <v>53</v>
      </c>
      <c r="P877" s="62">
        <v>15420</v>
      </c>
      <c r="Q877" s="62">
        <v>1285</v>
      </c>
      <c r="R877" s="96">
        <v>15900</v>
      </c>
      <c r="S877" s="62">
        <f t="shared" si="205"/>
        <v>1325</v>
      </c>
      <c r="T877" s="62">
        <v>14940</v>
      </c>
      <c r="U877" s="62">
        <f t="shared" si="210"/>
        <v>1245</v>
      </c>
      <c r="V877" s="69">
        <v>13200</v>
      </c>
      <c r="W877" s="71">
        <v>1350</v>
      </c>
      <c r="X877" s="71"/>
      <c r="Y877" s="71"/>
      <c r="Z877" s="64">
        <f t="shared" si="206"/>
        <v>8.4337349397590355E-2</v>
      </c>
      <c r="AA877" s="64">
        <f t="shared" si="215"/>
        <v>1.8867924528301886E-2</v>
      </c>
      <c r="AB877" s="71">
        <f t="shared" si="218"/>
        <v>1350</v>
      </c>
      <c r="AC877" s="64">
        <f t="shared" si="207"/>
        <v>8.4337349397590355E-2</v>
      </c>
      <c r="AD877" s="64">
        <f t="shared" si="216"/>
        <v>1.8867924528301886E-2</v>
      </c>
      <c r="AE877" s="71">
        <f>AB877-20</f>
        <v>1330</v>
      </c>
      <c r="AF877" s="64">
        <f t="shared" si="208"/>
        <v>6.8273092369477914E-2</v>
      </c>
      <c r="AG877" s="64">
        <f t="shared" si="217"/>
        <v>3.7735849056603774E-3</v>
      </c>
      <c r="AH877" s="67"/>
      <c r="AI877" s="47" t="s">
        <v>54</v>
      </c>
      <c r="AJ877" s="47">
        <v>476</v>
      </c>
      <c r="AK877" s="101" t="s">
        <v>55</v>
      </c>
      <c r="AL877" s="101" t="s">
        <v>55</v>
      </c>
      <c r="AM877" s="47" t="s">
        <v>165</v>
      </c>
      <c r="AN877" s="50"/>
      <c r="AO877" s="211">
        <f t="shared" si="209"/>
        <v>-1</v>
      </c>
      <c r="AP877" s="47" t="s">
        <v>57</v>
      </c>
      <c r="AQ877" s="47" t="s">
        <v>58</v>
      </c>
      <c r="AR877" s="47"/>
    </row>
    <row r="878" spans="1:44" hidden="1">
      <c r="A878" s="47" t="s">
        <v>44</v>
      </c>
      <c r="B878" s="47" t="str">
        <f t="shared" si="204"/>
        <v>July</v>
      </c>
      <c r="C878" s="59">
        <v>45482</v>
      </c>
      <c r="D878" s="47" t="s">
        <v>45</v>
      </c>
      <c r="E878" s="47" t="s">
        <v>98</v>
      </c>
      <c r="F878" s="47" t="s">
        <v>99</v>
      </c>
      <c r="G878" s="91" t="s">
        <v>782</v>
      </c>
      <c r="H878" s="47" t="s">
        <v>783</v>
      </c>
      <c r="I878" s="47" t="s">
        <v>50</v>
      </c>
      <c r="J878" s="47" t="s">
        <v>51</v>
      </c>
      <c r="K878" s="48">
        <v>45117</v>
      </c>
      <c r="L878" s="48">
        <v>45117</v>
      </c>
      <c r="M878" s="48">
        <v>45482</v>
      </c>
      <c r="N878" s="47" t="s">
        <v>52</v>
      </c>
      <c r="O878" s="55" t="s">
        <v>53</v>
      </c>
      <c r="P878" s="62">
        <v>15840</v>
      </c>
      <c r="Q878" s="62">
        <v>1320</v>
      </c>
      <c r="R878" s="96">
        <v>16320</v>
      </c>
      <c r="S878" s="62">
        <f t="shared" si="205"/>
        <v>1360</v>
      </c>
      <c r="T878" s="62">
        <v>15360</v>
      </c>
      <c r="U878" s="62">
        <f t="shared" si="210"/>
        <v>1280</v>
      </c>
      <c r="V878" s="69">
        <v>14220</v>
      </c>
      <c r="W878" s="71">
        <v>1355</v>
      </c>
      <c r="X878" s="71"/>
      <c r="Y878" s="71"/>
      <c r="Z878" s="64">
        <f t="shared" si="206"/>
        <v>5.859375E-2</v>
      </c>
      <c r="AA878" s="64">
        <f t="shared" si="215"/>
        <v>-3.6764705882352941E-3</v>
      </c>
      <c r="AB878" s="71">
        <f t="shared" si="218"/>
        <v>1355</v>
      </c>
      <c r="AC878" s="64">
        <f t="shared" si="207"/>
        <v>5.859375E-2</v>
      </c>
      <c r="AD878" s="64">
        <f t="shared" si="216"/>
        <v>-3.6764705882352941E-3</v>
      </c>
      <c r="AE878" s="71">
        <f>AB878-20</f>
        <v>1335</v>
      </c>
      <c r="AF878" s="64">
        <f t="shared" si="208"/>
        <v>4.296875E-2</v>
      </c>
      <c r="AG878" s="64">
        <f t="shared" si="217"/>
        <v>-1.8382352941176471E-2</v>
      </c>
      <c r="AH878" s="67"/>
      <c r="AI878" s="47" t="s">
        <v>54</v>
      </c>
      <c r="AJ878" s="47">
        <v>493</v>
      </c>
      <c r="AK878" s="101" t="s">
        <v>55</v>
      </c>
      <c r="AL878" s="101" t="s">
        <v>55</v>
      </c>
      <c r="AM878" s="47" t="s">
        <v>784</v>
      </c>
      <c r="AN878" s="50"/>
      <c r="AO878" s="211">
        <f t="shared" si="209"/>
        <v>-1</v>
      </c>
      <c r="AP878" s="47" t="s">
        <v>57</v>
      </c>
      <c r="AQ878" s="47" t="s">
        <v>58</v>
      </c>
      <c r="AR878" s="47"/>
    </row>
    <row r="879" spans="1:44" hidden="1">
      <c r="A879" s="47" t="s">
        <v>44</v>
      </c>
      <c r="B879" s="47" t="str">
        <f t="shared" si="204"/>
        <v>July</v>
      </c>
      <c r="C879" s="59">
        <v>45491</v>
      </c>
      <c r="D879" s="47" t="s">
        <v>45</v>
      </c>
      <c r="E879" s="47" t="s">
        <v>98</v>
      </c>
      <c r="F879" s="47" t="s">
        <v>99</v>
      </c>
      <c r="G879" s="91" t="s">
        <v>785</v>
      </c>
      <c r="H879" s="47" t="s">
        <v>786</v>
      </c>
      <c r="I879" s="47" t="s">
        <v>50</v>
      </c>
      <c r="J879" s="47" t="s">
        <v>51</v>
      </c>
      <c r="K879" s="48">
        <v>45126</v>
      </c>
      <c r="L879" s="48">
        <v>45126</v>
      </c>
      <c r="M879" s="48">
        <v>45491</v>
      </c>
      <c r="N879" s="47" t="s">
        <v>52</v>
      </c>
      <c r="O879" s="55" t="s">
        <v>53</v>
      </c>
      <c r="P879" s="62">
        <v>16320</v>
      </c>
      <c r="Q879" s="62">
        <v>1360</v>
      </c>
      <c r="R879" s="96">
        <v>16800</v>
      </c>
      <c r="S879" s="62">
        <f t="shared" si="205"/>
        <v>1400</v>
      </c>
      <c r="T879" s="62">
        <v>15840</v>
      </c>
      <c r="U879" s="62">
        <f t="shared" si="210"/>
        <v>1320</v>
      </c>
      <c r="V879" s="69">
        <v>15240</v>
      </c>
      <c r="W879" s="71">
        <v>1415</v>
      </c>
      <c r="X879" s="71"/>
      <c r="Y879" s="71"/>
      <c r="Z879" s="64">
        <f t="shared" si="206"/>
        <v>7.1969696969696975E-2</v>
      </c>
      <c r="AA879" s="64">
        <f t="shared" si="215"/>
        <v>1.0714285714285714E-2</v>
      </c>
      <c r="AB879" s="71">
        <f t="shared" si="218"/>
        <v>1415</v>
      </c>
      <c r="AC879" s="64">
        <f t="shared" si="207"/>
        <v>7.1969696969696975E-2</v>
      </c>
      <c r="AD879" s="64">
        <f t="shared" si="216"/>
        <v>1.0714285714285714E-2</v>
      </c>
      <c r="AE879" s="71">
        <f>AB879-20</f>
        <v>1395</v>
      </c>
      <c r="AF879" s="64">
        <f t="shared" si="208"/>
        <v>5.6818181818181816E-2</v>
      </c>
      <c r="AG879" s="64">
        <f t="shared" si="217"/>
        <v>-3.5714285714285713E-3</v>
      </c>
      <c r="AH879" s="67"/>
      <c r="AI879" s="47" t="s">
        <v>54</v>
      </c>
      <c r="AJ879" s="47">
        <v>515</v>
      </c>
      <c r="AK879" s="101" t="s">
        <v>55</v>
      </c>
      <c r="AL879" s="101" t="s">
        <v>55</v>
      </c>
      <c r="AM879" s="47" t="s">
        <v>787</v>
      </c>
      <c r="AN879" s="50"/>
      <c r="AO879" s="211">
        <f t="shared" si="209"/>
        <v>-1</v>
      </c>
      <c r="AP879" s="47" t="s">
        <v>57</v>
      </c>
      <c r="AQ879" s="47" t="s">
        <v>58</v>
      </c>
      <c r="AR879" s="47"/>
    </row>
    <row r="880" spans="1:44" hidden="1">
      <c r="A880" s="47" t="s">
        <v>44</v>
      </c>
      <c r="B880" s="47" t="str">
        <f t="shared" si="204"/>
        <v>July</v>
      </c>
      <c r="C880" s="59">
        <v>45490</v>
      </c>
      <c r="D880" s="47" t="s">
        <v>45</v>
      </c>
      <c r="E880" s="47" t="s">
        <v>98</v>
      </c>
      <c r="F880" s="47" t="s">
        <v>99</v>
      </c>
      <c r="G880" s="91" t="s">
        <v>788</v>
      </c>
      <c r="H880" s="47" t="s">
        <v>789</v>
      </c>
      <c r="I880" s="47" t="s">
        <v>50</v>
      </c>
      <c r="J880" s="47" t="s">
        <v>51</v>
      </c>
      <c r="K880" s="48">
        <v>45125</v>
      </c>
      <c r="L880" s="48">
        <v>45125</v>
      </c>
      <c r="M880" s="48">
        <v>45490</v>
      </c>
      <c r="N880" s="47" t="s">
        <v>52</v>
      </c>
      <c r="O880" s="55" t="s">
        <v>53</v>
      </c>
      <c r="P880" s="62">
        <v>14160</v>
      </c>
      <c r="Q880" s="62">
        <v>1180</v>
      </c>
      <c r="R880" s="96">
        <v>14580</v>
      </c>
      <c r="S880" s="62">
        <f t="shared" si="205"/>
        <v>1215</v>
      </c>
      <c r="T880" s="62">
        <v>13680</v>
      </c>
      <c r="U880" s="62">
        <f t="shared" si="210"/>
        <v>1140</v>
      </c>
      <c r="V880" s="69">
        <v>13380</v>
      </c>
      <c r="W880" s="71">
        <v>1240</v>
      </c>
      <c r="X880" s="71"/>
      <c r="Y880" s="71"/>
      <c r="Z880" s="64">
        <f t="shared" si="206"/>
        <v>8.771929824561403E-2</v>
      </c>
      <c r="AA880" s="64">
        <f t="shared" si="215"/>
        <v>2.0576131687242798E-2</v>
      </c>
      <c r="AB880" s="71">
        <f t="shared" si="218"/>
        <v>1240</v>
      </c>
      <c r="AC880" s="64">
        <f t="shared" si="207"/>
        <v>8.771929824561403E-2</v>
      </c>
      <c r="AD880" s="64">
        <f t="shared" si="216"/>
        <v>2.0576131687242798E-2</v>
      </c>
      <c r="AE880" s="71">
        <f>AB880-20</f>
        <v>1220</v>
      </c>
      <c r="AF880" s="64">
        <f t="shared" si="208"/>
        <v>7.0175438596491224E-2</v>
      </c>
      <c r="AG880" s="64">
        <f t="shared" si="217"/>
        <v>4.11522633744856E-3</v>
      </c>
      <c r="AH880" s="67"/>
      <c r="AI880" s="47" t="s">
        <v>54</v>
      </c>
      <c r="AJ880" s="47">
        <v>476</v>
      </c>
      <c r="AK880" s="101" t="s">
        <v>55</v>
      </c>
      <c r="AL880" s="101" t="s">
        <v>55</v>
      </c>
      <c r="AM880" s="47" t="s">
        <v>165</v>
      </c>
      <c r="AN880" s="50">
        <v>1220</v>
      </c>
      <c r="AO880" s="211">
        <f t="shared" si="209"/>
        <v>7.0175438596491224E-2</v>
      </c>
      <c r="AP880" s="47" t="s">
        <v>57</v>
      </c>
      <c r="AQ880" s="47" t="s">
        <v>58</v>
      </c>
      <c r="AR880" s="47"/>
    </row>
    <row r="881" spans="1:16373" hidden="1">
      <c r="A881" s="47" t="s">
        <v>44</v>
      </c>
      <c r="B881" s="47" t="str">
        <f t="shared" si="204"/>
        <v>July</v>
      </c>
      <c r="C881" s="59">
        <v>45478</v>
      </c>
      <c r="D881" s="47" t="s">
        <v>45</v>
      </c>
      <c r="E881" s="47" t="s">
        <v>98</v>
      </c>
      <c r="F881" s="47" t="s">
        <v>99</v>
      </c>
      <c r="G881" s="91" t="s">
        <v>790</v>
      </c>
      <c r="H881" s="47" t="s">
        <v>791</v>
      </c>
      <c r="I881" s="47" t="s">
        <v>792</v>
      </c>
      <c r="J881" s="47" t="s">
        <v>51</v>
      </c>
      <c r="K881" s="48">
        <v>45113</v>
      </c>
      <c r="L881" s="48">
        <v>45113</v>
      </c>
      <c r="M881" s="48">
        <v>45478</v>
      </c>
      <c r="N881" s="47" t="s">
        <v>52</v>
      </c>
      <c r="O881" s="55" t="s">
        <v>53</v>
      </c>
      <c r="P881" s="62">
        <v>14160</v>
      </c>
      <c r="Q881" s="62">
        <v>1180</v>
      </c>
      <c r="R881" s="96">
        <v>14580</v>
      </c>
      <c r="S881" s="62">
        <f t="shared" si="205"/>
        <v>1215</v>
      </c>
      <c r="T881" s="62">
        <v>13680</v>
      </c>
      <c r="U881" s="62">
        <f t="shared" si="210"/>
        <v>1140</v>
      </c>
      <c r="V881" s="69">
        <v>11940</v>
      </c>
      <c r="W881" s="71">
        <v>1245</v>
      </c>
      <c r="X881" s="71"/>
      <c r="Y881" s="71"/>
      <c r="Z881" s="64">
        <f t="shared" si="206"/>
        <v>9.2105263157894732E-2</v>
      </c>
      <c r="AA881" s="64">
        <f t="shared" si="215"/>
        <v>2.4691358024691357E-2</v>
      </c>
      <c r="AB881" s="71">
        <f t="shared" si="218"/>
        <v>1245</v>
      </c>
      <c r="AC881" s="64">
        <f t="shared" si="207"/>
        <v>9.2105263157894732E-2</v>
      </c>
      <c r="AD881" s="64">
        <f t="shared" si="216"/>
        <v>2.4691358024691357E-2</v>
      </c>
      <c r="AE881" s="71">
        <f>AB881-20</f>
        <v>1225</v>
      </c>
      <c r="AF881" s="64">
        <f t="shared" si="208"/>
        <v>7.4561403508771926E-2</v>
      </c>
      <c r="AG881" s="64">
        <f t="shared" si="217"/>
        <v>8.23045267489712E-3</v>
      </c>
      <c r="AH881" s="67"/>
      <c r="AI881" s="47" t="s">
        <v>54</v>
      </c>
      <c r="AJ881" s="47">
        <v>459</v>
      </c>
      <c r="AK881" s="101" t="s">
        <v>55</v>
      </c>
      <c r="AL881" s="101" t="s">
        <v>55</v>
      </c>
      <c r="AM881" s="47" t="s">
        <v>102</v>
      </c>
      <c r="AN881" s="50"/>
      <c r="AO881" s="211">
        <f t="shared" si="209"/>
        <v>-1</v>
      </c>
      <c r="AP881" s="47" t="s">
        <v>57</v>
      </c>
      <c r="AQ881" s="47" t="s">
        <v>58</v>
      </c>
      <c r="AR881" s="47"/>
    </row>
    <row r="882" spans="1:16373">
      <c r="A882" s="47" t="s">
        <v>44</v>
      </c>
      <c r="B882" s="47" t="str">
        <f t="shared" si="204"/>
        <v>July</v>
      </c>
      <c r="C882" s="59">
        <v>45474</v>
      </c>
      <c r="D882" s="47" t="s">
        <v>45</v>
      </c>
      <c r="E882" s="47" t="s">
        <v>98</v>
      </c>
      <c r="F882" s="47" t="s">
        <v>99</v>
      </c>
      <c r="G882" s="91" t="s">
        <v>793</v>
      </c>
      <c r="H882" s="47" t="s">
        <v>794</v>
      </c>
      <c r="I882" s="47" t="s">
        <v>50</v>
      </c>
      <c r="J882" s="47" t="s">
        <v>51</v>
      </c>
      <c r="K882" s="48">
        <v>44379</v>
      </c>
      <c r="L882" s="48">
        <v>45109</v>
      </c>
      <c r="M882" s="48">
        <v>45474</v>
      </c>
      <c r="N882" s="47" t="s">
        <v>64</v>
      </c>
      <c r="O882" s="55" t="s">
        <v>53</v>
      </c>
      <c r="P882" s="62">
        <v>13920</v>
      </c>
      <c r="Q882" s="62">
        <v>1160</v>
      </c>
      <c r="R882" s="96">
        <v>14340</v>
      </c>
      <c r="S882" s="62">
        <f t="shared" si="205"/>
        <v>1195</v>
      </c>
      <c r="T882" s="62">
        <v>13440</v>
      </c>
      <c r="U882" s="62">
        <f t="shared" si="210"/>
        <v>1120</v>
      </c>
      <c r="V882" s="69">
        <v>12000</v>
      </c>
      <c r="W882" s="71">
        <v>1255</v>
      </c>
      <c r="X882" s="71"/>
      <c r="Y882" s="71"/>
      <c r="Z882" s="64">
        <f t="shared" si="206"/>
        <v>0.12053571428571429</v>
      </c>
      <c r="AA882" s="64">
        <f t="shared" si="215"/>
        <v>5.0209205020920501E-2</v>
      </c>
      <c r="AB882" s="71">
        <f t="shared" si="218"/>
        <v>1255</v>
      </c>
      <c r="AC882" s="64">
        <f t="shared" si="207"/>
        <v>0.12053571428571429</v>
      </c>
      <c r="AD882" s="64">
        <f t="shared" si="216"/>
        <v>5.0209205020920501E-2</v>
      </c>
      <c r="AE882" s="71">
        <v>1215</v>
      </c>
      <c r="AF882" s="64">
        <f t="shared" si="208"/>
        <v>8.4821428571428575E-2</v>
      </c>
      <c r="AG882" s="64">
        <f t="shared" si="217"/>
        <v>1.6736401673640166E-2</v>
      </c>
      <c r="AH882" s="67"/>
      <c r="AI882" s="47" t="s">
        <v>54</v>
      </c>
      <c r="AJ882" s="47">
        <v>459</v>
      </c>
      <c r="AK882" s="101" t="s">
        <v>55</v>
      </c>
      <c r="AL882" s="101" t="s">
        <v>55</v>
      </c>
      <c r="AM882" s="47" t="s">
        <v>102</v>
      </c>
      <c r="AN882" s="50">
        <v>1220</v>
      </c>
      <c r="AO882" s="211">
        <f t="shared" si="209"/>
        <v>8.9285714285714288E-2</v>
      </c>
      <c r="AP882" s="47" t="s">
        <v>57</v>
      </c>
      <c r="AQ882" s="47" t="s">
        <v>58</v>
      </c>
      <c r="AR882" s="47"/>
    </row>
    <row r="883" spans="1:16373" hidden="1">
      <c r="A883" s="47" t="s">
        <v>44</v>
      </c>
      <c r="B883" s="47" t="str">
        <f t="shared" si="204"/>
        <v>July</v>
      </c>
      <c r="C883" s="59">
        <v>45485</v>
      </c>
      <c r="D883" s="47" t="s">
        <v>45</v>
      </c>
      <c r="E883" s="47" t="s">
        <v>98</v>
      </c>
      <c r="F883" s="47" t="s">
        <v>99</v>
      </c>
      <c r="G883" s="91" t="s">
        <v>795</v>
      </c>
      <c r="H883" s="47" t="s">
        <v>796</v>
      </c>
      <c r="I883" s="52" t="s">
        <v>50</v>
      </c>
      <c r="J883" s="47" t="s">
        <v>51</v>
      </c>
      <c r="K883" s="48">
        <v>45120</v>
      </c>
      <c r="L883" s="48">
        <v>45120</v>
      </c>
      <c r="M883" s="48">
        <v>45485</v>
      </c>
      <c r="N883" s="47" t="s">
        <v>52</v>
      </c>
      <c r="O883" s="55" t="s">
        <v>53</v>
      </c>
      <c r="P883" s="62">
        <v>14340</v>
      </c>
      <c r="Q883" s="62">
        <v>1195</v>
      </c>
      <c r="R883" s="96">
        <v>14760</v>
      </c>
      <c r="S883" s="62">
        <f t="shared" si="205"/>
        <v>1230</v>
      </c>
      <c r="T883" s="62">
        <v>13860</v>
      </c>
      <c r="U883" s="62">
        <f t="shared" si="210"/>
        <v>1155</v>
      </c>
      <c r="V883" s="69">
        <v>13620</v>
      </c>
      <c r="W883" s="71">
        <v>1265</v>
      </c>
      <c r="X883" s="71"/>
      <c r="Y883" s="71"/>
      <c r="Z883" s="64">
        <f t="shared" si="206"/>
        <v>9.5238095238095233E-2</v>
      </c>
      <c r="AA883" s="64">
        <f t="shared" si="215"/>
        <v>2.8455284552845527E-2</v>
      </c>
      <c r="AB883" s="71">
        <f t="shared" si="218"/>
        <v>1265</v>
      </c>
      <c r="AC883" s="64">
        <f t="shared" si="207"/>
        <v>9.5238095238095233E-2</v>
      </c>
      <c r="AD883" s="64">
        <f t="shared" si="216"/>
        <v>2.8455284552845527E-2</v>
      </c>
      <c r="AE883" s="71">
        <f>AB883-20</f>
        <v>1245</v>
      </c>
      <c r="AF883" s="64">
        <f t="shared" si="208"/>
        <v>7.792207792207792E-2</v>
      </c>
      <c r="AG883" s="64">
        <f t="shared" si="217"/>
        <v>1.2195121951219513E-2</v>
      </c>
      <c r="AH883" s="67"/>
      <c r="AI883" s="47" t="s">
        <v>54</v>
      </c>
      <c r="AJ883" s="47">
        <v>459</v>
      </c>
      <c r="AK883" s="101" t="s">
        <v>55</v>
      </c>
      <c r="AL883" s="101" t="s">
        <v>55</v>
      </c>
      <c r="AM883" s="47" t="s">
        <v>102</v>
      </c>
      <c r="AN883" s="50">
        <v>1265</v>
      </c>
      <c r="AO883" s="211">
        <f t="shared" si="209"/>
        <v>9.5238095238095233E-2</v>
      </c>
      <c r="AP883" s="47" t="s">
        <v>57</v>
      </c>
      <c r="AQ883" s="47" t="s">
        <v>58</v>
      </c>
      <c r="AR883" s="47"/>
    </row>
    <row r="884" spans="1:16373">
      <c r="A884" s="47" t="s">
        <v>44</v>
      </c>
      <c r="B884" s="47" t="str">
        <f t="shared" si="204"/>
        <v>July</v>
      </c>
      <c r="C884" s="59">
        <v>45483</v>
      </c>
      <c r="D884" s="47" t="s">
        <v>45</v>
      </c>
      <c r="E884" s="47" t="s">
        <v>98</v>
      </c>
      <c r="F884" s="47" t="s">
        <v>99</v>
      </c>
      <c r="G884" s="94" t="s">
        <v>1296</v>
      </c>
      <c r="H884" s="47" t="s">
        <v>1297</v>
      </c>
      <c r="I884" s="52" t="s">
        <v>50</v>
      </c>
      <c r="J884" s="47" t="s">
        <v>51</v>
      </c>
      <c r="K884" s="48">
        <v>44753</v>
      </c>
      <c r="L884" s="48">
        <v>45118</v>
      </c>
      <c r="M884" s="48">
        <v>45483</v>
      </c>
      <c r="N884" s="47" t="s">
        <v>64</v>
      </c>
      <c r="O884" s="55" t="s">
        <v>53</v>
      </c>
      <c r="P884" s="62">
        <v>18060</v>
      </c>
      <c r="Q884" s="62">
        <v>1505</v>
      </c>
      <c r="R884" s="96">
        <v>18600</v>
      </c>
      <c r="S884" s="62">
        <f t="shared" si="205"/>
        <v>1550</v>
      </c>
      <c r="T884" s="62">
        <v>17820</v>
      </c>
      <c r="U884" s="62">
        <f t="shared" si="210"/>
        <v>1485</v>
      </c>
      <c r="V884" s="69">
        <v>16080</v>
      </c>
      <c r="W884" s="71">
        <v>1565</v>
      </c>
      <c r="X884" s="105">
        <f>W884-25</f>
        <v>1540</v>
      </c>
      <c r="Y884" s="171">
        <f>(X884-U884)/U884</f>
        <v>3.7037037037037035E-2</v>
      </c>
      <c r="Z884" s="64">
        <f t="shared" si="206"/>
        <v>5.387205387205387E-2</v>
      </c>
      <c r="AA884" s="64">
        <f t="shared" si="215"/>
        <v>9.6774193548387101E-3</v>
      </c>
      <c r="AB884" s="71">
        <f t="shared" si="218"/>
        <v>1565</v>
      </c>
      <c r="AC884" s="64">
        <f t="shared" si="207"/>
        <v>5.387205387205387E-2</v>
      </c>
      <c r="AD884" s="64">
        <f t="shared" si="216"/>
        <v>9.6774193548387101E-3</v>
      </c>
      <c r="AE884" s="71">
        <f>AB884-20</f>
        <v>1545</v>
      </c>
      <c r="AF884" s="64">
        <f t="shared" si="208"/>
        <v>4.0404040404040407E-2</v>
      </c>
      <c r="AG884" s="64">
        <f t="shared" si="217"/>
        <v>-3.2258064516129032E-3</v>
      </c>
      <c r="AH884" s="67"/>
      <c r="AI884" s="47" t="s">
        <v>54</v>
      </c>
      <c r="AJ884" s="47">
        <v>670</v>
      </c>
      <c r="AK884" s="101" t="s">
        <v>65</v>
      </c>
      <c r="AL884" s="101" t="s">
        <v>65</v>
      </c>
      <c r="AM884" s="47" t="s">
        <v>1298</v>
      </c>
      <c r="AN884" s="50"/>
      <c r="AO884" s="211">
        <f t="shared" si="209"/>
        <v>-1</v>
      </c>
      <c r="AP884" s="47" t="s">
        <v>57</v>
      </c>
      <c r="AQ884" s="47" t="s">
        <v>891</v>
      </c>
      <c r="AR884" s="47"/>
    </row>
    <row r="885" spans="1:16373" hidden="1">
      <c r="A885" s="47" t="s">
        <v>44</v>
      </c>
      <c r="B885" s="47" t="str">
        <f t="shared" si="204"/>
        <v>July</v>
      </c>
      <c r="C885" s="59">
        <v>45482</v>
      </c>
      <c r="D885" s="47" t="s">
        <v>45</v>
      </c>
      <c r="E885" s="47" t="s">
        <v>98</v>
      </c>
      <c r="F885" s="47" t="s">
        <v>99</v>
      </c>
      <c r="G885" s="94" t="s">
        <v>1335</v>
      </c>
      <c r="H885" s="47" t="s">
        <v>1336</v>
      </c>
      <c r="I885" s="52" t="s">
        <v>50</v>
      </c>
      <c r="J885" s="47" t="s">
        <v>51</v>
      </c>
      <c r="K885" s="48">
        <v>45117</v>
      </c>
      <c r="L885" s="48">
        <v>45117</v>
      </c>
      <c r="M885" s="48">
        <v>45482</v>
      </c>
      <c r="N885" s="47" t="s">
        <v>52</v>
      </c>
      <c r="O885" s="55" t="s">
        <v>53</v>
      </c>
      <c r="P885" s="62">
        <v>24600</v>
      </c>
      <c r="Q885" s="62">
        <v>2050</v>
      </c>
      <c r="R885" s="96">
        <v>25200</v>
      </c>
      <c r="S885" s="62">
        <f t="shared" si="205"/>
        <v>2100</v>
      </c>
      <c r="T885" s="62">
        <v>24060</v>
      </c>
      <c r="U885" s="62">
        <f t="shared" si="210"/>
        <v>2005</v>
      </c>
      <c r="V885" s="69">
        <v>21660</v>
      </c>
      <c r="W885" s="71">
        <v>2090</v>
      </c>
      <c r="X885" s="105">
        <f>W885-5</f>
        <v>2085</v>
      </c>
      <c r="Y885" s="171">
        <f>(X885-U885)/U885</f>
        <v>3.9900249376558602E-2</v>
      </c>
      <c r="Z885" s="64">
        <f t="shared" si="206"/>
        <v>4.2394014962593519E-2</v>
      </c>
      <c r="AA885" s="64">
        <f t="shared" si="215"/>
        <v>-4.7619047619047623E-3</v>
      </c>
      <c r="AB885" s="71">
        <f t="shared" si="218"/>
        <v>2090</v>
      </c>
      <c r="AC885" s="64">
        <f t="shared" si="207"/>
        <v>4.2394014962593519E-2</v>
      </c>
      <c r="AD885" s="64">
        <f t="shared" si="216"/>
        <v>-4.7619047619047623E-3</v>
      </c>
      <c r="AE885" s="71">
        <f>AB885-20</f>
        <v>2070</v>
      </c>
      <c r="AF885" s="64">
        <f t="shared" si="208"/>
        <v>3.2418952618453865E-2</v>
      </c>
      <c r="AG885" s="64">
        <f t="shared" si="217"/>
        <v>-1.4285714285714285E-2</v>
      </c>
      <c r="AH885" s="67"/>
      <c r="AI885" s="47" t="s">
        <v>54</v>
      </c>
      <c r="AJ885" s="47">
        <v>873</v>
      </c>
      <c r="AK885" s="101" t="s">
        <v>140</v>
      </c>
      <c r="AL885" s="101" t="s">
        <v>65</v>
      </c>
      <c r="AM885" s="47" t="s">
        <v>427</v>
      </c>
      <c r="AN885" s="50"/>
      <c r="AO885" s="211">
        <f t="shared" si="209"/>
        <v>-1</v>
      </c>
      <c r="AP885" s="47" t="s">
        <v>57</v>
      </c>
      <c r="AQ885" s="47" t="s">
        <v>891</v>
      </c>
      <c r="AR885" s="47"/>
    </row>
    <row r="886" spans="1:16373">
      <c r="A886" s="47" t="s">
        <v>44</v>
      </c>
      <c r="B886" s="112" t="str">
        <f t="shared" si="204"/>
        <v>August</v>
      </c>
      <c r="C886" s="205">
        <v>45512</v>
      </c>
      <c r="D886" s="112" t="s">
        <v>45</v>
      </c>
      <c r="E886" s="112" t="s">
        <v>98</v>
      </c>
      <c r="F886" s="47" t="s">
        <v>99</v>
      </c>
      <c r="G886" s="91" t="s">
        <v>1363</v>
      </c>
      <c r="H886" s="47" t="s">
        <v>1364</v>
      </c>
      <c r="I886" s="52" t="s">
        <v>50</v>
      </c>
      <c r="J886" s="47" t="s">
        <v>51</v>
      </c>
      <c r="K886" s="48">
        <v>44417</v>
      </c>
      <c r="L886" s="48">
        <v>45147</v>
      </c>
      <c r="M886" s="48">
        <v>45512</v>
      </c>
      <c r="N886" s="47" t="s">
        <v>64</v>
      </c>
      <c r="O886" s="55" t="s">
        <v>53</v>
      </c>
      <c r="P886" s="62">
        <v>15840</v>
      </c>
      <c r="Q886" s="62">
        <v>1320</v>
      </c>
      <c r="R886" s="96">
        <v>16560</v>
      </c>
      <c r="S886" s="62">
        <f t="shared" si="205"/>
        <v>1380</v>
      </c>
      <c r="T886" s="62">
        <v>16560</v>
      </c>
      <c r="U886" s="188">
        <f t="shared" si="210"/>
        <v>1380</v>
      </c>
      <c r="V886" s="69">
        <v>14820</v>
      </c>
      <c r="W886" s="206">
        <v>1505</v>
      </c>
      <c r="X886" s="206">
        <f>W886-25</f>
        <v>1480</v>
      </c>
      <c r="Y886" s="207">
        <f>(X886-U886)/U886</f>
        <v>7.2463768115942032E-2</v>
      </c>
      <c r="Z886" s="114">
        <f t="shared" si="206"/>
        <v>9.0579710144927536E-2</v>
      </c>
      <c r="AA886" s="114">
        <f t="shared" si="215"/>
        <v>9.0579710144927536E-2</v>
      </c>
      <c r="AB886" s="206">
        <f t="shared" si="218"/>
        <v>1505</v>
      </c>
      <c r="AC886" s="114">
        <f t="shared" si="207"/>
        <v>9.0579710144927536E-2</v>
      </c>
      <c r="AD886" s="114">
        <f t="shared" si="216"/>
        <v>9.0579710144927536E-2</v>
      </c>
      <c r="AE886" s="206">
        <v>1460</v>
      </c>
      <c r="AF886" s="64">
        <f t="shared" si="208"/>
        <v>5.7971014492753624E-2</v>
      </c>
      <c r="AG886" s="64">
        <f t="shared" si="217"/>
        <v>5.7971014492753624E-2</v>
      </c>
      <c r="AH886" s="67"/>
      <c r="AI886" s="47" t="s">
        <v>54</v>
      </c>
      <c r="AJ886" s="47">
        <v>650</v>
      </c>
      <c r="AK886" s="47" t="s">
        <v>65</v>
      </c>
      <c r="AL886" s="47" t="s">
        <v>65</v>
      </c>
      <c r="AM886" s="47" t="s">
        <v>152</v>
      </c>
      <c r="AN886" s="209"/>
      <c r="AO886" s="211">
        <f t="shared" si="209"/>
        <v>-1</v>
      </c>
      <c r="AP886" s="112" t="s">
        <v>57</v>
      </c>
      <c r="AQ886" s="47" t="s">
        <v>1132</v>
      </c>
      <c r="AR886" s="112"/>
      <c r="AS886" s="208"/>
      <c r="AT886" s="208"/>
      <c r="AU886" s="208"/>
      <c r="AV886" s="208"/>
      <c r="AW886" s="208"/>
      <c r="AX886" s="208"/>
      <c r="AY886" s="208"/>
      <c r="AZ886" s="208"/>
      <c r="BA886" s="208"/>
      <c r="BB886" s="208"/>
      <c r="BC886" s="208"/>
      <c r="BD886" s="208"/>
      <c r="BE886" s="208"/>
      <c r="BF886" s="208"/>
      <c r="BG886" s="208"/>
      <c r="BH886" s="208"/>
      <c r="BI886" s="208"/>
      <c r="BJ886" s="208"/>
      <c r="BK886" s="208"/>
      <c r="BL886" s="208"/>
      <c r="BM886" s="208"/>
      <c r="BN886" s="208"/>
      <c r="BO886" s="208"/>
      <c r="BP886" s="208"/>
      <c r="BQ886" s="208"/>
      <c r="BR886" s="208"/>
      <c r="BS886" s="208"/>
      <c r="BT886" s="208"/>
      <c r="BU886" s="208"/>
      <c r="BV886" s="208"/>
      <c r="BW886" s="208"/>
      <c r="BX886" s="208"/>
      <c r="BY886" s="208"/>
      <c r="BZ886" s="208"/>
      <c r="CA886" s="208"/>
      <c r="CB886" s="208"/>
      <c r="CC886" s="208"/>
      <c r="CD886" s="208"/>
      <c r="CE886" s="208"/>
      <c r="CF886" s="208"/>
      <c r="CG886" s="208"/>
      <c r="CH886" s="208"/>
      <c r="CI886" s="208"/>
      <c r="CJ886" s="208"/>
      <c r="CK886" s="208"/>
      <c r="CL886" s="208"/>
      <c r="CM886" s="208"/>
      <c r="CN886" s="208"/>
      <c r="CO886" s="208"/>
      <c r="CP886" s="208"/>
      <c r="CQ886" s="208"/>
      <c r="CR886" s="208"/>
      <c r="CS886" s="208"/>
      <c r="CT886" s="208"/>
      <c r="CU886" s="208"/>
      <c r="CV886" s="208"/>
      <c r="CW886" s="208"/>
      <c r="CX886" s="208"/>
      <c r="CY886" s="208"/>
      <c r="CZ886" s="208"/>
      <c r="DA886" s="208"/>
      <c r="DB886" s="208"/>
      <c r="DC886" s="208"/>
      <c r="DD886" s="208"/>
      <c r="DE886" s="208"/>
      <c r="DF886" s="208"/>
      <c r="DG886" s="208"/>
      <c r="DH886" s="208"/>
      <c r="DI886" s="208"/>
      <c r="DJ886" s="208"/>
      <c r="DK886" s="208"/>
      <c r="DL886" s="208"/>
      <c r="DM886" s="208"/>
      <c r="DN886" s="208"/>
      <c r="DO886" s="208"/>
      <c r="DP886" s="208"/>
      <c r="DQ886" s="208"/>
      <c r="DR886" s="208"/>
      <c r="DS886" s="208"/>
      <c r="DT886" s="208"/>
      <c r="DU886" s="208"/>
      <c r="DV886" s="208"/>
      <c r="DW886" s="208"/>
      <c r="DX886" s="208"/>
      <c r="DY886" s="208"/>
      <c r="DZ886" s="208"/>
      <c r="EA886" s="208"/>
      <c r="EB886" s="208"/>
      <c r="EC886" s="208"/>
      <c r="ED886" s="208"/>
      <c r="EE886" s="208"/>
      <c r="EF886" s="208"/>
      <c r="EG886" s="208"/>
      <c r="EH886" s="208"/>
      <c r="EI886" s="208"/>
      <c r="EJ886" s="208"/>
      <c r="EK886" s="208"/>
      <c r="EL886" s="208"/>
      <c r="EM886" s="208"/>
      <c r="EN886" s="208"/>
      <c r="EO886" s="208"/>
      <c r="EP886" s="208"/>
      <c r="EQ886" s="208"/>
      <c r="ER886" s="208"/>
      <c r="ES886" s="208"/>
      <c r="ET886" s="208"/>
      <c r="EU886" s="208"/>
      <c r="EV886" s="208"/>
      <c r="EW886" s="208"/>
      <c r="EX886" s="208"/>
      <c r="EY886" s="208"/>
      <c r="EZ886" s="208"/>
      <c r="FA886" s="208"/>
      <c r="FB886" s="208"/>
      <c r="FC886" s="208"/>
      <c r="FD886" s="208"/>
      <c r="FE886" s="208"/>
      <c r="FF886" s="208"/>
      <c r="FG886" s="208"/>
      <c r="FH886" s="208"/>
      <c r="FI886" s="208"/>
      <c r="FJ886" s="208"/>
      <c r="FK886" s="208"/>
      <c r="FL886" s="208"/>
      <c r="FM886" s="208"/>
      <c r="FN886" s="208"/>
      <c r="FO886" s="208"/>
      <c r="FP886" s="208"/>
      <c r="FQ886" s="208"/>
      <c r="FR886" s="208"/>
      <c r="FS886" s="208"/>
      <c r="FT886" s="208"/>
      <c r="FU886" s="208"/>
      <c r="FV886" s="208"/>
      <c r="FW886" s="208"/>
      <c r="FX886" s="208"/>
      <c r="FY886" s="208"/>
      <c r="FZ886" s="208"/>
      <c r="GA886" s="208"/>
      <c r="GB886" s="208"/>
      <c r="GC886" s="208"/>
      <c r="GD886" s="208"/>
      <c r="GE886" s="208"/>
      <c r="GF886" s="208"/>
      <c r="GG886" s="208"/>
      <c r="GH886" s="208"/>
      <c r="GI886" s="208"/>
      <c r="GJ886" s="208"/>
      <c r="GK886" s="208"/>
      <c r="GL886" s="208"/>
      <c r="GM886" s="208"/>
      <c r="GN886" s="208"/>
      <c r="GO886" s="208"/>
      <c r="GP886" s="208"/>
      <c r="GQ886" s="208"/>
      <c r="GR886" s="208"/>
      <c r="GS886" s="208"/>
      <c r="GT886" s="208"/>
      <c r="GU886" s="208"/>
      <c r="GV886" s="208"/>
      <c r="GW886" s="208"/>
      <c r="GX886" s="208"/>
      <c r="GY886" s="208"/>
      <c r="GZ886" s="208"/>
      <c r="HA886" s="208"/>
      <c r="HB886" s="208"/>
      <c r="HC886" s="208"/>
      <c r="HD886" s="208"/>
      <c r="HE886" s="208"/>
      <c r="HF886" s="208"/>
      <c r="HG886" s="208"/>
      <c r="HH886" s="208"/>
      <c r="HI886" s="208"/>
      <c r="HJ886" s="208"/>
      <c r="HK886" s="208"/>
      <c r="HL886" s="208"/>
      <c r="HM886" s="208"/>
      <c r="HN886" s="208"/>
      <c r="HO886" s="208"/>
      <c r="HP886" s="208"/>
      <c r="HQ886" s="208"/>
      <c r="HR886" s="208"/>
      <c r="HS886" s="208"/>
      <c r="HT886" s="208"/>
      <c r="HU886" s="208"/>
      <c r="HV886" s="208"/>
      <c r="HW886" s="208"/>
      <c r="HX886" s="208"/>
      <c r="HY886" s="208"/>
      <c r="HZ886" s="208"/>
      <c r="IA886" s="208"/>
      <c r="IB886" s="208"/>
      <c r="IC886" s="208"/>
      <c r="ID886" s="208"/>
      <c r="IE886" s="208"/>
      <c r="IF886" s="208"/>
      <c r="IG886" s="208"/>
      <c r="IH886" s="208"/>
      <c r="II886" s="208"/>
      <c r="IJ886" s="208"/>
      <c r="IK886" s="208"/>
      <c r="IL886" s="208"/>
      <c r="IM886" s="208"/>
      <c r="IN886" s="208"/>
      <c r="IO886" s="208"/>
      <c r="IP886" s="208"/>
      <c r="IQ886" s="208"/>
      <c r="IR886" s="208"/>
      <c r="IS886" s="208"/>
      <c r="IT886" s="208"/>
      <c r="IU886" s="208"/>
      <c r="IV886" s="208"/>
      <c r="IW886" s="208"/>
      <c r="IX886" s="208"/>
      <c r="IY886" s="208"/>
      <c r="IZ886" s="208"/>
      <c r="JA886" s="208"/>
      <c r="JB886" s="208"/>
      <c r="JC886" s="208"/>
      <c r="JD886" s="208"/>
      <c r="JE886" s="208"/>
      <c r="JF886" s="208"/>
      <c r="JG886" s="208"/>
      <c r="JH886" s="208"/>
      <c r="JI886" s="208"/>
      <c r="JJ886" s="208"/>
      <c r="JK886" s="208"/>
      <c r="JL886" s="208"/>
      <c r="JM886" s="208"/>
      <c r="JN886" s="208"/>
      <c r="JO886" s="208"/>
      <c r="JP886" s="208"/>
      <c r="JQ886" s="208"/>
      <c r="JR886" s="208"/>
      <c r="JS886" s="208"/>
      <c r="JT886" s="208"/>
      <c r="JU886" s="208"/>
      <c r="JV886" s="208"/>
      <c r="JW886" s="208"/>
      <c r="JX886" s="208"/>
      <c r="JY886" s="208"/>
      <c r="JZ886" s="208"/>
      <c r="KA886" s="208"/>
      <c r="KB886" s="208"/>
      <c r="KC886" s="208"/>
      <c r="KD886" s="208"/>
      <c r="KE886" s="208"/>
      <c r="KF886" s="208"/>
      <c r="KG886" s="208"/>
      <c r="KH886" s="208"/>
      <c r="KI886" s="208"/>
      <c r="KJ886" s="208"/>
      <c r="KK886" s="208"/>
      <c r="KL886" s="208"/>
      <c r="KM886" s="208"/>
      <c r="KN886" s="208"/>
      <c r="KO886" s="208"/>
      <c r="KP886" s="208"/>
      <c r="KQ886" s="208"/>
      <c r="KR886" s="208"/>
      <c r="KS886" s="208"/>
      <c r="KT886" s="208"/>
      <c r="KU886" s="208"/>
      <c r="KV886" s="208"/>
      <c r="KW886" s="208"/>
      <c r="KX886" s="208"/>
      <c r="KY886" s="208"/>
      <c r="KZ886" s="208"/>
      <c r="LA886" s="208"/>
      <c r="LB886" s="208"/>
      <c r="LC886" s="208"/>
      <c r="LD886" s="208"/>
      <c r="LE886" s="208"/>
      <c r="LF886" s="208"/>
      <c r="LG886" s="208"/>
      <c r="LH886" s="208"/>
      <c r="LI886" s="208"/>
      <c r="LJ886" s="208"/>
      <c r="LK886" s="208"/>
      <c r="LL886" s="208"/>
      <c r="LM886" s="208"/>
      <c r="LN886" s="208"/>
      <c r="LO886" s="208"/>
      <c r="LP886" s="208"/>
      <c r="LQ886" s="208"/>
      <c r="LR886" s="208"/>
      <c r="LS886" s="208"/>
      <c r="LT886" s="208"/>
      <c r="LU886" s="208"/>
      <c r="LV886" s="208"/>
      <c r="LW886" s="208"/>
      <c r="LX886" s="208"/>
      <c r="LY886" s="208"/>
      <c r="LZ886" s="208"/>
      <c r="MA886" s="208"/>
      <c r="MB886" s="208"/>
      <c r="MC886" s="208"/>
      <c r="MD886" s="208"/>
      <c r="ME886" s="208"/>
      <c r="MF886" s="208"/>
      <c r="MG886" s="208"/>
      <c r="MH886" s="208"/>
      <c r="MI886" s="208"/>
      <c r="MJ886" s="208"/>
      <c r="MK886" s="208"/>
      <c r="ML886" s="208"/>
      <c r="MM886" s="208"/>
      <c r="MN886" s="208"/>
      <c r="MO886" s="208"/>
      <c r="MP886" s="208"/>
      <c r="MQ886" s="208"/>
      <c r="MR886" s="208"/>
      <c r="MS886" s="208"/>
      <c r="MT886" s="208"/>
      <c r="MU886" s="208"/>
      <c r="MV886" s="208"/>
      <c r="MW886" s="208"/>
      <c r="MX886" s="208"/>
      <c r="MY886" s="208"/>
      <c r="MZ886" s="208"/>
      <c r="NA886" s="208"/>
      <c r="NB886" s="208"/>
      <c r="NC886" s="208"/>
      <c r="ND886" s="208"/>
      <c r="NE886" s="208"/>
      <c r="NF886" s="208"/>
      <c r="NG886" s="208"/>
      <c r="NH886" s="208"/>
      <c r="NI886" s="208"/>
      <c r="NJ886" s="208"/>
      <c r="NK886" s="208"/>
      <c r="NL886" s="208"/>
      <c r="NM886" s="208"/>
      <c r="NN886" s="208"/>
      <c r="NO886" s="208"/>
      <c r="NP886" s="208"/>
      <c r="NQ886" s="208"/>
      <c r="NR886" s="208"/>
      <c r="NS886" s="208"/>
      <c r="NT886" s="208"/>
      <c r="NU886" s="208"/>
      <c r="NV886" s="208"/>
      <c r="NW886" s="208"/>
      <c r="NX886" s="208"/>
      <c r="NY886" s="208"/>
      <c r="NZ886" s="208"/>
      <c r="OA886" s="208"/>
      <c r="OB886" s="208"/>
      <c r="OC886" s="208"/>
      <c r="OD886" s="208"/>
      <c r="OE886" s="208"/>
      <c r="OF886" s="208"/>
      <c r="OG886" s="208"/>
      <c r="OH886" s="208"/>
      <c r="OI886" s="208"/>
      <c r="OJ886" s="208"/>
      <c r="OK886" s="208"/>
      <c r="OL886" s="208"/>
      <c r="OM886" s="208"/>
      <c r="ON886" s="208"/>
      <c r="OO886" s="208"/>
      <c r="OP886" s="208"/>
      <c r="OQ886" s="208"/>
      <c r="OR886" s="208"/>
      <c r="OS886" s="208"/>
      <c r="OT886" s="208"/>
      <c r="OU886" s="208"/>
      <c r="OV886" s="208"/>
      <c r="OW886" s="208"/>
      <c r="OX886" s="208"/>
      <c r="OY886" s="208"/>
      <c r="OZ886" s="208"/>
      <c r="PA886" s="208"/>
      <c r="PB886" s="208"/>
      <c r="PC886" s="208"/>
      <c r="PD886" s="208"/>
      <c r="PE886" s="208"/>
      <c r="PF886" s="208"/>
      <c r="PG886" s="208"/>
      <c r="PH886" s="208"/>
      <c r="PI886" s="208"/>
      <c r="PJ886" s="208"/>
      <c r="PK886" s="208"/>
      <c r="PL886" s="208"/>
      <c r="PM886" s="208"/>
      <c r="PN886" s="208"/>
      <c r="PO886" s="208"/>
      <c r="PP886" s="208"/>
      <c r="PQ886" s="208"/>
      <c r="PR886" s="208"/>
      <c r="PS886" s="208"/>
      <c r="PT886" s="208"/>
      <c r="PU886" s="208"/>
      <c r="PV886" s="208"/>
      <c r="PW886" s="208"/>
      <c r="PX886" s="208"/>
      <c r="PY886" s="208"/>
      <c r="PZ886" s="208"/>
      <c r="QA886" s="208"/>
      <c r="QB886" s="208"/>
      <c r="QC886" s="208"/>
      <c r="QD886" s="208"/>
      <c r="QE886" s="208"/>
      <c r="QF886" s="208"/>
      <c r="QG886" s="208"/>
      <c r="QH886" s="208"/>
      <c r="QI886" s="208"/>
      <c r="QJ886" s="208"/>
      <c r="QK886" s="208"/>
      <c r="QL886" s="208"/>
      <c r="QM886" s="208"/>
      <c r="QN886" s="208"/>
      <c r="QO886" s="208"/>
      <c r="QP886" s="208"/>
      <c r="QQ886" s="208"/>
      <c r="QR886" s="208"/>
      <c r="QS886" s="208"/>
      <c r="QT886" s="208"/>
      <c r="QU886" s="208"/>
      <c r="QV886" s="208"/>
      <c r="QW886" s="208"/>
      <c r="QX886" s="208"/>
      <c r="QY886" s="208"/>
      <c r="QZ886" s="208"/>
      <c r="RA886" s="208"/>
      <c r="RB886" s="208"/>
      <c r="RC886" s="208"/>
      <c r="RD886" s="208"/>
      <c r="RE886" s="208"/>
      <c r="RF886" s="208"/>
      <c r="RG886" s="208"/>
      <c r="RH886" s="208"/>
      <c r="RI886" s="208"/>
      <c r="RJ886" s="208"/>
      <c r="RK886" s="208"/>
      <c r="RL886" s="208"/>
      <c r="RM886" s="208"/>
      <c r="RN886" s="208"/>
      <c r="RO886" s="208"/>
      <c r="RP886" s="208"/>
      <c r="RQ886" s="208"/>
      <c r="RR886" s="208"/>
      <c r="RS886" s="208"/>
      <c r="RT886" s="208"/>
      <c r="RU886" s="208"/>
      <c r="RV886" s="208"/>
      <c r="RW886" s="208"/>
      <c r="RX886" s="208"/>
      <c r="RY886" s="208"/>
      <c r="RZ886" s="208"/>
      <c r="SA886" s="208"/>
      <c r="SB886" s="208"/>
      <c r="SC886" s="208"/>
      <c r="SD886" s="208"/>
      <c r="SE886" s="208"/>
      <c r="SF886" s="208"/>
      <c r="SG886" s="208"/>
      <c r="SH886" s="208"/>
      <c r="SI886" s="208"/>
      <c r="SJ886" s="208"/>
      <c r="SK886" s="208"/>
      <c r="SL886" s="208"/>
      <c r="SM886" s="208"/>
      <c r="SN886" s="208"/>
      <c r="SO886" s="208"/>
      <c r="SP886" s="208"/>
      <c r="SQ886" s="208"/>
      <c r="SR886" s="208"/>
      <c r="SS886" s="208"/>
      <c r="ST886" s="208"/>
      <c r="SU886" s="208"/>
      <c r="SV886" s="208"/>
      <c r="SW886" s="208"/>
      <c r="SX886" s="208"/>
      <c r="SY886" s="208"/>
      <c r="SZ886" s="208"/>
      <c r="TA886" s="208"/>
      <c r="TB886" s="208"/>
      <c r="TC886" s="208"/>
      <c r="TD886" s="208"/>
      <c r="TE886" s="208"/>
      <c r="TF886" s="208"/>
      <c r="TG886" s="208"/>
      <c r="TH886" s="208"/>
      <c r="TI886" s="208"/>
      <c r="TJ886" s="208"/>
      <c r="TK886" s="208"/>
      <c r="TL886" s="208"/>
      <c r="TM886" s="208"/>
      <c r="TN886" s="208"/>
      <c r="TO886" s="208"/>
      <c r="TP886" s="208"/>
      <c r="TQ886" s="208"/>
      <c r="TR886" s="208"/>
      <c r="TS886" s="208"/>
      <c r="TT886" s="208"/>
      <c r="TU886" s="208"/>
      <c r="TV886" s="208"/>
      <c r="TW886" s="208"/>
      <c r="TX886" s="208"/>
      <c r="TY886" s="208"/>
      <c r="TZ886" s="208"/>
      <c r="UA886" s="208"/>
      <c r="UB886" s="208"/>
      <c r="UC886" s="208"/>
      <c r="UD886" s="208"/>
      <c r="UE886" s="208"/>
      <c r="UF886" s="208"/>
      <c r="UG886" s="208"/>
      <c r="UH886" s="208"/>
      <c r="UI886" s="208"/>
      <c r="UJ886" s="208"/>
      <c r="UK886" s="208"/>
      <c r="UL886" s="208"/>
      <c r="UM886" s="208"/>
      <c r="UN886" s="208"/>
      <c r="UO886" s="208"/>
      <c r="UP886" s="208"/>
      <c r="UQ886" s="208"/>
      <c r="UR886" s="208"/>
      <c r="US886" s="208"/>
      <c r="UT886" s="208"/>
      <c r="UU886" s="208"/>
      <c r="UV886" s="208"/>
      <c r="UW886" s="208"/>
      <c r="UX886" s="208"/>
      <c r="UY886" s="208"/>
      <c r="UZ886" s="208"/>
      <c r="VA886" s="208"/>
      <c r="VB886" s="208"/>
      <c r="VC886" s="208"/>
      <c r="VD886" s="208"/>
      <c r="VE886" s="208"/>
      <c r="VF886" s="208"/>
      <c r="VG886" s="208"/>
      <c r="VH886" s="208"/>
      <c r="VI886" s="208"/>
      <c r="VJ886" s="208"/>
      <c r="VK886" s="208"/>
      <c r="VL886" s="208"/>
      <c r="VM886" s="208"/>
      <c r="VN886" s="208"/>
      <c r="VO886" s="208"/>
      <c r="VP886" s="208"/>
      <c r="VQ886" s="208"/>
      <c r="VR886" s="208"/>
      <c r="VS886" s="208"/>
      <c r="VT886" s="208"/>
      <c r="VU886" s="208"/>
      <c r="VV886" s="208"/>
      <c r="VW886" s="208"/>
      <c r="VX886" s="208"/>
      <c r="VY886" s="208"/>
      <c r="VZ886" s="208"/>
      <c r="WA886" s="208"/>
      <c r="WB886" s="208"/>
      <c r="WC886" s="208"/>
      <c r="WD886" s="208"/>
      <c r="WE886" s="208"/>
      <c r="WF886" s="208"/>
      <c r="WG886" s="208"/>
      <c r="WH886" s="208"/>
      <c r="WI886" s="208"/>
      <c r="WJ886" s="208"/>
      <c r="WK886" s="208"/>
      <c r="WL886" s="208"/>
      <c r="WM886" s="208"/>
      <c r="WN886" s="208"/>
      <c r="WO886" s="208"/>
      <c r="WP886" s="208"/>
      <c r="WQ886" s="208"/>
      <c r="WR886" s="208"/>
      <c r="WS886" s="208"/>
      <c r="WT886" s="208"/>
      <c r="WU886" s="208"/>
      <c r="WV886" s="208"/>
      <c r="WW886" s="208"/>
      <c r="WX886" s="208"/>
      <c r="WY886" s="208"/>
      <c r="WZ886" s="208"/>
      <c r="XA886" s="208"/>
      <c r="XB886" s="208"/>
      <c r="XC886" s="208"/>
      <c r="XD886" s="208"/>
      <c r="XE886" s="208"/>
      <c r="XF886" s="208"/>
      <c r="XG886" s="208"/>
      <c r="XH886" s="208"/>
      <c r="XI886" s="208"/>
      <c r="XJ886" s="208"/>
      <c r="XK886" s="208"/>
      <c r="XL886" s="208"/>
      <c r="XM886" s="208"/>
      <c r="XN886" s="208"/>
      <c r="XO886" s="208"/>
      <c r="XP886" s="208"/>
      <c r="XQ886" s="208"/>
      <c r="XR886" s="208"/>
      <c r="XS886" s="208"/>
      <c r="XT886" s="208"/>
      <c r="XU886" s="208"/>
      <c r="XV886" s="208"/>
      <c r="XW886" s="208"/>
      <c r="XX886" s="208"/>
      <c r="XY886" s="208"/>
      <c r="XZ886" s="208"/>
      <c r="YA886" s="208"/>
      <c r="YB886" s="208"/>
      <c r="YC886" s="208"/>
      <c r="YD886" s="208"/>
      <c r="YE886" s="208"/>
      <c r="YF886" s="208"/>
      <c r="YG886" s="208"/>
      <c r="YH886" s="208"/>
      <c r="YI886" s="208"/>
      <c r="YJ886" s="208"/>
      <c r="YK886" s="208"/>
      <c r="YL886" s="208"/>
      <c r="YM886" s="208"/>
      <c r="YN886" s="208"/>
      <c r="YO886" s="208"/>
      <c r="YP886" s="208"/>
      <c r="YQ886" s="208"/>
      <c r="YR886" s="208"/>
      <c r="YS886" s="208"/>
      <c r="YT886" s="208"/>
      <c r="YU886" s="208"/>
      <c r="YV886" s="208"/>
      <c r="YW886" s="208"/>
      <c r="YX886" s="208"/>
      <c r="YY886" s="208"/>
      <c r="YZ886" s="208"/>
      <c r="ZA886" s="208"/>
      <c r="ZB886" s="208"/>
      <c r="ZC886" s="208"/>
      <c r="ZD886" s="208"/>
      <c r="ZE886" s="208"/>
      <c r="ZF886" s="208"/>
      <c r="ZG886" s="208"/>
      <c r="ZH886" s="208"/>
      <c r="ZI886" s="208"/>
      <c r="ZJ886" s="208"/>
      <c r="ZK886" s="208"/>
      <c r="ZL886" s="208"/>
      <c r="ZM886" s="208"/>
      <c r="ZN886" s="208"/>
      <c r="ZO886" s="208"/>
      <c r="ZP886" s="208"/>
      <c r="ZQ886" s="208"/>
      <c r="ZR886" s="208"/>
      <c r="ZS886" s="208"/>
      <c r="ZT886" s="208"/>
      <c r="ZU886" s="208"/>
      <c r="ZV886" s="208"/>
      <c r="ZW886" s="208"/>
      <c r="ZX886" s="208"/>
      <c r="ZY886" s="208"/>
      <c r="ZZ886" s="208"/>
      <c r="AAA886" s="208"/>
      <c r="AAB886" s="208"/>
      <c r="AAC886" s="208"/>
      <c r="AAD886" s="208"/>
      <c r="AAE886" s="208"/>
      <c r="AAF886" s="208"/>
      <c r="AAG886" s="208"/>
      <c r="AAH886" s="208"/>
      <c r="AAI886" s="208"/>
      <c r="AAJ886" s="208"/>
      <c r="AAK886" s="208"/>
      <c r="AAL886" s="208"/>
      <c r="AAM886" s="208"/>
      <c r="AAN886" s="208"/>
      <c r="AAO886" s="208"/>
      <c r="AAP886" s="208"/>
      <c r="AAQ886" s="208"/>
      <c r="AAR886" s="208"/>
      <c r="AAS886" s="208"/>
      <c r="AAT886" s="208"/>
      <c r="AAU886" s="208"/>
      <c r="AAV886" s="208"/>
      <c r="AAW886" s="208"/>
      <c r="AAX886" s="208"/>
      <c r="AAY886" s="208"/>
      <c r="AAZ886" s="208"/>
      <c r="ABA886" s="208"/>
      <c r="ABB886" s="208"/>
      <c r="ABC886" s="208"/>
      <c r="ABD886" s="208"/>
      <c r="ABE886" s="208"/>
      <c r="ABF886" s="208"/>
      <c r="ABG886" s="208"/>
      <c r="ABH886" s="208"/>
      <c r="ABI886" s="208"/>
      <c r="ABJ886" s="208"/>
      <c r="ABK886" s="208"/>
      <c r="ABL886" s="208"/>
      <c r="ABM886" s="208"/>
      <c r="ABN886" s="208"/>
      <c r="ABO886" s="208"/>
      <c r="ABP886" s="208"/>
      <c r="ABQ886" s="208"/>
      <c r="ABR886" s="208"/>
      <c r="ABS886" s="208"/>
      <c r="ABT886" s="208"/>
      <c r="ABU886" s="208"/>
      <c r="ABV886" s="208"/>
      <c r="ABW886" s="208"/>
      <c r="ABX886" s="208"/>
      <c r="ABY886" s="208"/>
      <c r="ABZ886" s="208"/>
      <c r="ACA886" s="208"/>
      <c r="ACB886" s="208"/>
      <c r="ACC886" s="208"/>
      <c r="ACD886" s="208"/>
      <c r="ACE886" s="208"/>
      <c r="ACF886" s="208"/>
      <c r="ACG886" s="208"/>
      <c r="ACH886" s="208"/>
      <c r="ACI886" s="208"/>
      <c r="ACJ886" s="208"/>
      <c r="ACK886" s="208"/>
      <c r="ACL886" s="208"/>
      <c r="ACM886" s="208"/>
      <c r="ACN886" s="208"/>
      <c r="ACO886" s="208"/>
      <c r="ACP886" s="208"/>
      <c r="ACQ886" s="208"/>
      <c r="ACR886" s="208"/>
      <c r="ACS886" s="208"/>
      <c r="ACT886" s="208"/>
      <c r="ACU886" s="208"/>
      <c r="ACV886" s="208"/>
      <c r="ACW886" s="208"/>
      <c r="ACX886" s="208"/>
      <c r="ACY886" s="208"/>
      <c r="ACZ886" s="208"/>
      <c r="ADA886" s="208"/>
      <c r="ADB886" s="208"/>
      <c r="ADC886" s="208"/>
      <c r="ADD886" s="208"/>
      <c r="ADE886" s="208"/>
      <c r="ADF886" s="208"/>
      <c r="ADG886" s="208"/>
      <c r="ADH886" s="208"/>
      <c r="ADI886" s="208"/>
      <c r="ADJ886" s="208"/>
      <c r="ADK886" s="208"/>
      <c r="ADL886" s="208"/>
      <c r="ADM886" s="208"/>
      <c r="ADN886" s="208"/>
      <c r="ADO886" s="208"/>
      <c r="ADP886" s="208"/>
      <c r="ADQ886" s="208"/>
      <c r="ADR886" s="208"/>
      <c r="ADS886" s="208"/>
      <c r="ADT886" s="208"/>
      <c r="ADU886" s="208"/>
      <c r="ADV886" s="208"/>
      <c r="ADW886" s="208"/>
      <c r="ADX886" s="208"/>
      <c r="ADY886" s="208"/>
      <c r="ADZ886" s="208"/>
      <c r="AEA886" s="208"/>
      <c r="AEB886" s="208"/>
      <c r="AEC886" s="208"/>
      <c r="AED886" s="208"/>
      <c r="AEE886" s="208"/>
      <c r="AEF886" s="208"/>
      <c r="AEG886" s="208"/>
      <c r="AEH886" s="208"/>
      <c r="AEI886" s="208"/>
      <c r="AEJ886" s="208"/>
      <c r="AEK886" s="208"/>
      <c r="AEL886" s="208"/>
      <c r="AEM886" s="208"/>
      <c r="AEN886" s="208"/>
      <c r="AEO886" s="208"/>
      <c r="AEP886" s="208"/>
      <c r="AEQ886" s="208"/>
      <c r="AER886" s="208"/>
      <c r="AES886" s="208"/>
      <c r="AET886" s="208"/>
      <c r="AEU886" s="208"/>
      <c r="AEV886" s="208"/>
      <c r="AEW886" s="208"/>
      <c r="AEX886" s="208"/>
      <c r="AEY886" s="208"/>
      <c r="AEZ886" s="208"/>
      <c r="AFA886" s="208"/>
      <c r="AFB886" s="208"/>
      <c r="AFC886" s="208"/>
      <c r="AFD886" s="208"/>
      <c r="AFE886" s="208"/>
      <c r="AFF886" s="208"/>
      <c r="AFG886" s="208"/>
      <c r="AFH886" s="208"/>
      <c r="AFI886" s="208"/>
      <c r="AFJ886" s="208"/>
      <c r="AFK886" s="208"/>
      <c r="AFL886" s="208"/>
      <c r="AFM886" s="208"/>
      <c r="AFN886" s="208"/>
      <c r="AFO886" s="208"/>
      <c r="AFP886" s="208"/>
      <c r="AFQ886" s="208"/>
      <c r="AFR886" s="208"/>
      <c r="AFS886" s="208"/>
      <c r="AFT886" s="208"/>
      <c r="AFU886" s="208"/>
      <c r="AFV886" s="208"/>
      <c r="AFW886" s="208"/>
      <c r="AFX886" s="208"/>
      <c r="AFY886" s="208"/>
      <c r="AFZ886" s="208"/>
      <c r="AGA886" s="208"/>
      <c r="AGB886" s="208"/>
      <c r="AGC886" s="208"/>
      <c r="AGD886" s="208"/>
      <c r="AGE886" s="208"/>
      <c r="AGF886" s="208"/>
      <c r="AGG886" s="208"/>
      <c r="AGH886" s="208"/>
      <c r="AGI886" s="208"/>
      <c r="AGJ886" s="208"/>
      <c r="AGK886" s="208"/>
      <c r="AGL886" s="208"/>
      <c r="AGM886" s="208"/>
      <c r="AGN886" s="208"/>
      <c r="AGO886" s="208"/>
      <c r="AGP886" s="208"/>
      <c r="AGQ886" s="208"/>
      <c r="AGR886" s="208"/>
      <c r="AGS886" s="208"/>
      <c r="AGT886" s="208"/>
      <c r="AGU886" s="208"/>
      <c r="AGV886" s="208"/>
      <c r="AGW886" s="208"/>
      <c r="AGX886" s="208"/>
      <c r="AGY886" s="208"/>
      <c r="AGZ886" s="208"/>
      <c r="AHA886" s="208"/>
      <c r="AHB886" s="208"/>
      <c r="AHC886" s="208"/>
      <c r="AHD886" s="208"/>
      <c r="AHE886" s="208"/>
      <c r="AHF886" s="208"/>
      <c r="AHG886" s="208"/>
      <c r="AHH886" s="208"/>
      <c r="AHI886" s="208"/>
      <c r="AHJ886" s="208"/>
      <c r="AHK886" s="208"/>
      <c r="AHL886" s="208"/>
      <c r="AHM886" s="208"/>
      <c r="AHN886" s="208"/>
      <c r="AHO886" s="208"/>
      <c r="AHP886" s="208"/>
      <c r="AHQ886" s="208"/>
      <c r="AHR886" s="208"/>
      <c r="AHS886" s="208"/>
      <c r="AHT886" s="208"/>
      <c r="AHU886" s="208"/>
      <c r="AHV886" s="208"/>
      <c r="AHW886" s="208"/>
      <c r="AHX886" s="208"/>
      <c r="AHY886" s="208"/>
      <c r="AHZ886" s="208"/>
      <c r="AIA886" s="208"/>
      <c r="AIB886" s="208"/>
      <c r="AIC886" s="208"/>
      <c r="AID886" s="208"/>
      <c r="AIE886" s="208"/>
      <c r="AIF886" s="208"/>
      <c r="AIG886" s="208"/>
      <c r="AIH886" s="208"/>
      <c r="AII886" s="208"/>
      <c r="AIJ886" s="208"/>
      <c r="AIK886" s="208"/>
      <c r="AIL886" s="208"/>
      <c r="AIM886" s="208"/>
      <c r="AIN886" s="208"/>
      <c r="AIO886" s="208"/>
      <c r="AIP886" s="208"/>
      <c r="AIQ886" s="208"/>
      <c r="AIR886" s="208"/>
      <c r="AIS886" s="208"/>
      <c r="AIT886" s="208"/>
      <c r="AIU886" s="208"/>
      <c r="AIV886" s="208"/>
      <c r="AIW886" s="208"/>
      <c r="AIX886" s="208"/>
      <c r="AIY886" s="208"/>
      <c r="AIZ886" s="208"/>
      <c r="AJA886" s="208"/>
      <c r="AJB886" s="208"/>
      <c r="AJC886" s="208"/>
      <c r="AJD886" s="208"/>
      <c r="AJE886" s="208"/>
      <c r="AJF886" s="208"/>
      <c r="AJG886" s="208"/>
      <c r="AJH886" s="208"/>
      <c r="AJI886" s="208"/>
      <c r="AJJ886" s="208"/>
      <c r="AJK886" s="208"/>
      <c r="AJL886" s="208"/>
      <c r="AJM886" s="208"/>
      <c r="AJN886" s="208"/>
      <c r="AJO886" s="208"/>
      <c r="AJP886" s="208"/>
      <c r="AJQ886" s="208"/>
      <c r="AJR886" s="208"/>
      <c r="AJS886" s="208"/>
      <c r="AJT886" s="208"/>
      <c r="AJU886" s="208"/>
      <c r="AJV886" s="208"/>
      <c r="AJW886" s="208"/>
      <c r="AJX886" s="208"/>
      <c r="AJY886" s="208"/>
      <c r="AJZ886" s="208"/>
      <c r="AKA886" s="208"/>
      <c r="AKB886" s="208"/>
      <c r="AKC886" s="208"/>
      <c r="AKD886" s="208"/>
      <c r="AKE886" s="208"/>
      <c r="AKF886" s="208"/>
      <c r="AKG886" s="208"/>
      <c r="AKH886" s="208"/>
      <c r="AKI886" s="208"/>
      <c r="AKJ886" s="208"/>
      <c r="AKK886" s="208"/>
      <c r="AKL886" s="208"/>
      <c r="AKM886" s="208"/>
      <c r="AKN886" s="208"/>
      <c r="AKO886" s="208"/>
      <c r="AKP886" s="208"/>
      <c r="AKQ886" s="208"/>
      <c r="AKR886" s="208"/>
      <c r="AKS886" s="208"/>
      <c r="AKT886" s="208"/>
      <c r="AKU886" s="208"/>
      <c r="AKV886" s="208"/>
      <c r="AKW886" s="208"/>
      <c r="AKX886" s="208"/>
      <c r="AKY886" s="208"/>
      <c r="AKZ886" s="208"/>
      <c r="ALA886" s="208"/>
      <c r="ALB886" s="208"/>
      <c r="ALC886" s="208"/>
      <c r="ALD886" s="208"/>
      <c r="ALE886" s="208"/>
      <c r="ALF886" s="208"/>
      <c r="ALG886" s="208"/>
      <c r="ALH886" s="208"/>
      <c r="ALI886" s="208"/>
      <c r="ALJ886" s="208"/>
      <c r="ALK886" s="208"/>
      <c r="ALL886" s="208"/>
      <c r="ALM886" s="208"/>
      <c r="ALN886" s="208"/>
      <c r="ALO886" s="208"/>
      <c r="ALP886" s="208"/>
      <c r="ALQ886" s="208"/>
      <c r="ALR886" s="208"/>
      <c r="ALS886" s="208"/>
      <c r="ALT886" s="208"/>
      <c r="ALU886" s="208"/>
      <c r="ALV886" s="208"/>
      <c r="ALW886" s="208"/>
      <c r="ALX886" s="208"/>
      <c r="ALY886" s="208"/>
      <c r="ALZ886" s="208"/>
      <c r="AMA886" s="208"/>
      <c r="AMB886" s="208"/>
      <c r="AMC886" s="208"/>
      <c r="AMD886" s="208"/>
      <c r="AME886" s="208"/>
      <c r="AMF886" s="208"/>
      <c r="AMG886" s="208"/>
      <c r="AMH886" s="208"/>
      <c r="AMI886" s="208"/>
      <c r="AMJ886" s="208"/>
      <c r="AMK886" s="208"/>
      <c r="AML886" s="208"/>
      <c r="AMM886" s="208"/>
      <c r="AMN886" s="208"/>
      <c r="AMO886" s="208"/>
      <c r="AMP886" s="208"/>
      <c r="AMQ886" s="208"/>
      <c r="AMR886" s="208"/>
      <c r="AMS886" s="208"/>
      <c r="AMT886" s="208"/>
      <c r="AMU886" s="208"/>
      <c r="AMV886" s="208"/>
      <c r="AMW886" s="208"/>
      <c r="AMX886" s="208"/>
      <c r="AMY886" s="208"/>
      <c r="AMZ886" s="208"/>
      <c r="ANA886" s="208"/>
      <c r="ANB886" s="208"/>
      <c r="ANC886" s="208"/>
      <c r="AND886" s="208"/>
      <c r="ANE886" s="208"/>
      <c r="ANF886" s="208"/>
      <c r="ANG886" s="208"/>
      <c r="ANH886" s="208"/>
      <c r="ANI886" s="208"/>
      <c r="ANJ886" s="208"/>
      <c r="ANK886" s="208"/>
      <c r="ANL886" s="208"/>
      <c r="ANM886" s="208"/>
      <c r="ANN886" s="208"/>
      <c r="ANO886" s="208"/>
      <c r="ANP886" s="208"/>
      <c r="ANQ886" s="208"/>
      <c r="ANR886" s="208"/>
      <c r="ANS886" s="208"/>
      <c r="ANT886" s="208"/>
      <c r="ANU886" s="208"/>
      <c r="ANV886" s="208"/>
      <c r="ANW886" s="208"/>
      <c r="ANX886" s="208"/>
      <c r="ANY886" s="208"/>
      <c r="ANZ886" s="208"/>
      <c r="AOA886" s="208"/>
      <c r="AOB886" s="208"/>
      <c r="AOC886" s="208"/>
      <c r="AOD886" s="208"/>
      <c r="AOE886" s="208"/>
      <c r="AOF886" s="208"/>
      <c r="AOG886" s="208"/>
      <c r="AOH886" s="208"/>
      <c r="AOI886" s="208"/>
      <c r="AOJ886" s="208"/>
      <c r="AOK886" s="208"/>
      <c r="AOL886" s="208"/>
      <c r="AOM886" s="208"/>
      <c r="AON886" s="208"/>
      <c r="AOO886" s="208"/>
      <c r="AOP886" s="208"/>
      <c r="AOQ886" s="208"/>
      <c r="AOR886" s="208"/>
      <c r="AOS886" s="208"/>
      <c r="AOT886" s="208"/>
      <c r="AOU886" s="208"/>
      <c r="AOV886" s="208"/>
      <c r="AOW886" s="208"/>
      <c r="AOX886" s="208"/>
      <c r="AOY886" s="208"/>
      <c r="AOZ886" s="208"/>
      <c r="APA886" s="208"/>
      <c r="APB886" s="208"/>
      <c r="APC886" s="208"/>
      <c r="APD886" s="208"/>
      <c r="APE886" s="208"/>
      <c r="APF886" s="208"/>
      <c r="APG886" s="208"/>
      <c r="APH886" s="208"/>
      <c r="API886" s="208"/>
      <c r="APJ886" s="208"/>
      <c r="APK886" s="208"/>
      <c r="APL886" s="208"/>
      <c r="APM886" s="208"/>
      <c r="APN886" s="208"/>
      <c r="APO886" s="208"/>
      <c r="APP886" s="208"/>
      <c r="APQ886" s="208"/>
      <c r="APR886" s="208"/>
      <c r="APS886" s="208"/>
      <c r="APT886" s="208"/>
      <c r="APU886" s="208"/>
      <c r="APV886" s="208"/>
      <c r="APW886" s="208"/>
      <c r="APX886" s="208"/>
      <c r="APY886" s="208"/>
      <c r="APZ886" s="208"/>
      <c r="AQA886" s="208"/>
      <c r="AQB886" s="208"/>
      <c r="AQC886" s="208"/>
      <c r="AQD886" s="208"/>
      <c r="AQE886" s="208"/>
      <c r="AQF886" s="208"/>
      <c r="AQG886" s="208"/>
      <c r="AQH886" s="208"/>
      <c r="AQI886" s="208"/>
      <c r="AQJ886" s="208"/>
      <c r="AQK886" s="208"/>
      <c r="AQL886" s="208"/>
      <c r="AQM886" s="208"/>
      <c r="AQN886" s="208"/>
      <c r="AQO886" s="208"/>
      <c r="AQP886" s="208"/>
      <c r="AQQ886" s="208"/>
      <c r="AQR886" s="208"/>
      <c r="AQS886" s="208"/>
      <c r="AQT886" s="208"/>
      <c r="AQU886" s="208"/>
      <c r="AQV886" s="208"/>
      <c r="AQW886" s="208"/>
      <c r="AQX886" s="208"/>
      <c r="AQY886" s="208"/>
      <c r="AQZ886" s="208"/>
      <c r="ARA886" s="208"/>
      <c r="ARB886" s="208"/>
      <c r="ARC886" s="208"/>
      <c r="ARD886" s="208"/>
      <c r="ARE886" s="208"/>
      <c r="ARF886" s="208"/>
      <c r="ARG886" s="208"/>
      <c r="ARH886" s="208"/>
      <c r="ARI886" s="208"/>
      <c r="ARJ886" s="208"/>
      <c r="ARK886" s="208"/>
      <c r="ARL886" s="208"/>
      <c r="ARM886" s="208"/>
      <c r="ARN886" s="208"/>
      <c r="ARO886" s="208"/>
      <c r="ARP886" s="208"/>
      <c r="ARQ886" s="208"/>
      <c r="ARR886" s="208"/>
      <c r="ARS886" s="208"/>
      <c r="ART886" s="208"/>
      <c r="ARU886" s="208"/>
      <c r="ARV886" s="208"/>
      <c r="ARW886" s="208"/>
      <c r="ARX886" s="208"/>
      <c r="ARY886" s="208"/>
      <c r="ARZ886" s="208"/>
      <c r="ASA886" s="208"/>
      <c r="ASB886" s="208"/>
      <c r="ASC886" s="208"/>
      <c r="ASD886" s="208"/>
      <c r="ASE886" s="208"/>
      <c r="ASF886" s="208"/>
      <c r="ASG886" s="208"/>
      <c r="ASH886" s="208"/>
      <c r="ASI886" s="208"/>
      <c r="ASJ886" s="208"/>
      <c r="ASK886" s="208"/>
      <c r="ASL886" s="208"/>
      <c r="ASM886" s="208"/>
      <c r="ASN886" s="208"/>
      <c r="ASO886" s="208"/>
      <c r="ASP886" s="208"/>
      <c r="ASQ886" s="208"/>
      <c r="ASR886" s="208"/>
      <c r="ASS886" s="208"/>
      <c r="AST886" s="208"/>
      <c r="ASU886" s="208"/>
      <c r="ASV886" s="208"/>
      <c r="ASW886" s="208"/>
      <c r="ASX886" s="208"/>
      <c r="ASY886" s="208"/>
      <c r="ASZ886" s="208"/>
      <c r="ATA886" s="208"/>
      <c r="ATB886" s="208"/>
      <c r="ATC886" s="208"/>
      <c r="ATD886" s="208"/>
      <c r="ATE886" s="208"/>
      <c r="ATF886" s="208"/>
      <c r="ATG886" s="208"/>
      <c r="ATH886" s="208"/>
      <c r="ATI886" s="208"/>
      <c r="ATJ886" s="208"/>
      <c r="ATK886" s="208"/>
      <c r="ATL886" s="208"/>
      <c r="ATM886" s="208"/>
      <c r="ATN886" s="208"/>
      <c r="ATO886" s="208"/>
      <c r="ATP886" s="208"/>
      <c r="ATQ886" s="208"/>
      <c r="ATR886" s="208"/>
      <c r="ATS886" s="208"/>
      <c r="ATT886" s="208"/>
      <c r="ATU886" s="208"/>
      <c r="ATV886" s="208"/>
      <c r="ATW886" s="208"/>
      <c r="ATX886" s="208"/>
      <c r="ATY886" s="208"/>
      <c r="ATZ886" s="208"/>
      <c r="AUA886" s="208"/>
      <c r="AUB886" s="208"/>
      <c r="AUC886" s="208"/>
      <c r="AUD886" s="208"/>
      <c r="AUE886" s="208"/>
      <c r="AUF886" s="208"/>
      <c r="AUG886" s="208"/>
      <c r="AUH886" s="208"/>
      <c r="AUI886" s="208"/>
      <c r="AUJ886" s="208"/>
      <c r="AUK886" s="208"/>
      <c r="AUL886" s="208"/>
      <c r="AUM886" s="208"/>
      <c r="AUN886" s="208"/>
      <c r="AUO886" s="208"/>
      <c r="AUP886" s="208"/>
      <c r="AUQ886" s="208"/>
      <c r="AUR886" s="208"/>
      <c r="AUS886" s="208"/>
      <c r="AUT886" s="208"/>
      <c r="AUU886" s="208"/>
      <c r="AUV886" s="208"/>
      <c r="AUW886" s="208"/>
      <c r="AUX886" s="208"/>
      <c r="AUY886" s="208"/>
      <c r="AUZ886" s="208"/>
      <c r="AVA886" s="208"/>
      <c r="AVB886" s="208"/>
      <c r="AVC886" s="208"/>
      <c r="AVD886" s="208"/>
      <c r="AVE886" s="208"/>
      <c r="AVF886" s="208"/>
      <c r="AVG886" s="208"/>
      <c r="AVH886" s="208"/>
      <c r="AVI886" s="208"/>
      <c r="AVJ886" s="208"/>
      <c r="AVK886" s="208"/>
      <c r="AVL886" s="208"/>
      <c r="AVM886" s="208"/>
      <c r="AVN886" s="208"/>
      <c r="AVO886" s="208"/>
      <c r="AVP886" s="208"/>
      <c r="AVQ886" s="208"/>
      <c r="AVR886" s="208"/>
      <c r="AVS886" s="208"/>
      <c r="AVT886" s="208"/>
      <c r="AVU886" s="208"/>
      <c r="AVV886" s="208"/>
      <c r="AVW886" s="208"/>
      <c r="AVX886" s="208"/>
      <c r="AVY886" s="208"/>
      <c r="AVZ886" s="208"/>
      <c r="AWA886" s="208"/>
      <c r="AWB886" s="208"/>
      <c r="AWC886" s="208"/>
      <c r="AWD886" s="208"/>
      <c r="AWE886" s="208"/>
      <c r="AWF886" s="208"/>
      <c r="AWG886" s="208"/>
      <c r="AWH886" s="208"/>
      <c r="AWI886" s="208"/>
      <c r="AWJ886" s="208"/>
      <c r="AWK886" s="208"/>
      <c r="AWL886" s="208"/>
      <c r="AWM886" s="208"/>
      <c r="AWN886" s="208"/>
      <c r="AWO886" s="208"/>
      <c r="AWP886" s="208"/>
      <c r="AWQ886" s="208"/>
      <c r="AWR886" s="208"/>
      <c r="AWS886" s="208"/>
      <c r="AWT886" s="208"/>
      <c r="AWU886" s="208"/>
      <c r="AWV886" s="208"/>
      <c r="AWW886" s="208"/>
      <c r="AWX886" s="208"/>
      <c r="AWY886" s="208"/>
      <c r="AWZ886" s="208"/>
      <c r="AXA886" s="208"/>
      <c r="AXB886" s="208"/>
      <c r="AXC886" s="208"/>
      <c r="AXD886" s="208"/>
      <c r="AXE886" s="208"/>
      <c r="AXF886" s="208"/>
      <c r="AXG886" s="208"/>
      <c r="AXH886" s="208"/>
      <c r="AXI886" s="208"/>
      <c r="AXJ886" s="208"/>
      <c r="AXK886" s="208"/>
      <c r="AXL886" s="208"/>
      <c r="AXM886" s="208"/>
      <c r="AXN886" s="208"/>
      <c r="AXO886" s="208"/>
      <c r="AXP886" s="208"/>
      <c r="AXQ886" s="208"/>
      <c r="AXR886" s="208"/>
      <c r="AXS886" s="208"/>
      <c r="AXT886" s="208"/>
      <c r="AXU886" s="208"/>
      <c r="AXV886" s="208"/>
      <c r="AXW886" s="208"/>
      <c r="AXX886" s="208"/>
      <c r="AXY886" s="208"/>
      <c r="AXZ886" s="208"/>
      <c r="AYA886" s="208"/>
      <c r="AYB886" s="208"/>
      <c r="AYC886" s="208"/>
      <c r="AYD886" s="208"/>
      <c r="AYE886" s="208"/>
      <c r="AYF886" s="208"/>
      <c r="AYG886" s="208"/>
      <c r="AYH886" s="208"/>
      <c r="AYI886" s="208"/>
      <c r="AYJ886" s="208"/>
      <c r="AYK886" s="208"/>
      <c r="AYL886" s="208"/>
      <c r="AYM886" s="208"/>
      <c r="AYN886" s="208"/>
      <c r="AYO886" s="208"/>
      <c r="AYP886" s="208"/>
      <c r="AYQ886" s="208"/>
      <c r="AYR886" s="208"/>
      <c r="AYS886" s="208"/>
      <c r="AYT886" s="208"/>
      <c r="AYU886" s="208"/>
      <c r="AYV886" s="208"/>
      <c r="AYW886" s="208"/>
      <c r="AYX886" s="208"/>
      <c r="AYY886" s="208"/>
      <c r="AYZ886" s="208"/>
      <c r="AZA886" s="208"/>
      <c r="AZB886" s="208"/>
      <c r="AZC886" s="208"/>
      <c r="AZD886" s="208"/>
      <c r="AZE886" s="208"/>
      <c r="AZF886" s="208"/>
      <c r="AZG886" s="208"/>
      <c r="AZH886" s="208"/>
      <c r="AZI886" s="208"/>
      <c r="AZJ886" s="208"/>
      <c r="AZK886" s="208"/>
      <c r="AZL886" s="208"/>
      <c r="AZM886" s="208"/>
      <c r="AZN886" s="208"/>
      <c r="AZO886" s="208"/>
      <c r="AZP886" s="208"/>
      <c r="AZQ886" s="208"/>
      <c r="AZR886" s="208"/>
      <c r="AZS886" s="208"/>
      <c r="AZT886" s="208"/>
      <c r="AZU886" s="208"/>
      <c r="AZV886" s="208"/>
      <c r="AZW886" s="208"/>
      <c r="AZX886" s="208"/>
      <c r="AZY886" s="208"/>
      <c r="AZZ886" s="208"/>
      <c r="BAA886" s="208"/>
      <c r="BAB886" s="208"/>
      <c r="BAC886" s="208"/>
      <c r="BAD886" s="208"/>
      <c r="BAE886" s="208"/>
      <c r="BAF886" s="208"/>
      <c r="BAG886" s="208"/>
      <c r="BAH886" s="208"/>
      <c r="BAI886" s="208"/>
      <c r="BAJ886" s="208"/>
      <c r="BAK886" s="208"/>
      <c r="BAL886" s="208"/>
      <c r="BAM886" s="208"/>
      <c r="BAN886" s="208"/>
      <c r="BAO886" s="208"/>
      <c r="BAP886" s="208"/>
      <c r="BAQ886" s="208"/>
      <c r="BAR886" s="208"/>
      <c r="BAS886" s="208"/>
      <c r="BAT886" s="208"/>
      <c r="BAU886" s="208"/>
      <c r="BAV886" s="208"/>
      <c r="BAW886" s="208"/>
      <c r="BAX886" s="208"/>
      <c r="BAY886" s="208"/>
      <c r="BAZ886" s="208"/>
      <c r="BBA886" s="208"/>
      <c r="BBB886" s="208"/>
      <c r="BBC886" s="208"/>
      <c r="BBD886" s="208"/>
      <c r="BBE886" s="208"/>
      <c r="BBF886" s="208"/>
      <c r="BBG886" s="208"/>
      <c r="BBH886" s="208"/>
      <c r="BBI886" s="208"/>
      <c r="BBJ886" s="208"/>
      <c r="BBK886" s="208"/>
      <c r="BBL886" s="208"/>
      <c r="BBM886" s="208"/>
      <c r="BBN886" s="208"/>
      <c r="BBO886" s="208"/>
      <c r="BBP886" s="208"/>
      <c r="BBQ886" s="208"/>
      <c r="BBR886" s="208"/>
      <c r="BBS886" s="208"/>
      <c r="BBT886" s="208"/>
      <c r="BBU886" s="208"/>
      <c r="BBV886" s="208"/>
      <c r="BBW886" s="208"/>
      <c r="BBX886" s="208"/>
      <c r="BBY886" s="208"/>
      <c r="BBZ886" s="208"/>
      <c r="BCA886" s="208"/>
      <c r="BCB886" s="208"/>
      <c r="BCC886" s="208"/>
      <c r="BCD886" s="208"/>
      <c r="BCE886" s="208"/>
      <c r="BCF886" s="208"/>
      <c r="BCG886" s="208"/>
      <c r="BCH886" s="208"/>
      <c r="BCI886" s="208"/>
      <c r="BCJ886" s="208"/>
      <c r="BCK886" s="208"/>
      <c r="BCL886" s="208"/>
      <c r="BCM886" s="208"/>
      <c r="BCN886" s="208"/>
      <c r="BCO886" s="208"/>
      <c r="BCP886" s="208"/>
      <c r="BCQ886" s="208"/>
      <c r="BCR886" s="208"/>
      <c r="BCS886" s="208"/>
      <c r="BCT886" s="208"/>
      <c r="BCU886" s="208"/>
      <c r="BCV886" s="208"/>
      <c r="BCW886" s="208"/>
      <c r="BCX886" s="208"/>
      <c r="BCY886" s="208"/>
      <c r="BCZ886" s="208"/>
      <c r="BDA886" s="208"/>
      <c r="BDB886" s="208"/>
      <c r="BDC886" s="208"/>
      <c r="BDD886" s="208"/>
      <c r="BDE886" s="208"/>
      <c r="BDF886" s="208"/>
      <c r="BDG886" s="208"/>
      <c r="BDH886" s="208"/>
      <c r="BDI886" s="208"/>
      <c r="BDJ886" s="208"/>
      <c r="BDK886" s="208"/>
      <c r="BDL886" s="208"/>
      <c r="BDM886" s="208"/>
      <c r="BDN886" s="208"/>
      <c r="BDO886" s="208"/>
      <c r="BDP886" s="208"/>
      <c r="BDQ886" s="208"/>
      <c r="BDR886" s="208"/>
      <c r="BDS886" s="208"/>
      <c r="BDT886" s="208"/>
      <c r="BDU886" s="208"/>
      <c r="BDV886" s="208"/>
      <c r="BDW886" s="208"/>
      <c r="BDX886" s="208"/>
      <c r="BDY886" s="208"/>
      <c r="BDZ886" s="208"/>
      <c r="BEA886" s="208"/>
      <c r="BEB886" s="208"/>
      <c r="BEC886" s="208"/>
      <c r="BED886" s="208"/>
      <c r="BEE886" s="208"/>
      <c r="BEF886" s="208"/>
      <c r="BEG886" s="208"/>
      <c r="BEH886" s="208"/>
      <c r="BEI886" s="208"/>
      <c r="BEJ886" s="208"/>
      <c r="BEK886" s="208"/>
      <c r="BEL886" s="208"/>
      <c r="BEM886" s="208"/>
      <c r="BEN886" s="208"/>
      <c r="BEO886" s="208"/>
      <c r="BEP886" s="208"/>
      <c r="BEQ886" s="208"/>
      <c r="BER886" s="208"/>
      <c r="BES886" s="208"/>
      <c r="BET886" s="208"/>
      <c r="BEU886" s="208"/>
      <c r="BEV886" s="208"/>
      <c r="BEW886" s="208"/>
      <c r="BEX886" s="208"/>
      <c r="BEY886" s="208"/>
      <c r="BEZ886" s="208"/>
      <c r="BFA886" s="208"/>
      <c r="BFB886" s="208"/>
      <c r="BFC886" s="208"/>
      <c r="BFD886" s="208"/>
      <c r="BFE886" s="208"/>
      <c r="BFF886" s="208"/>
      <c r="BFG886" s="208"/>
      <c r="BFH886" s="208"/>
      <c r="BFI886" s="208"/>
      <c r="BFJ886" s="208"/>
      <c r="BFK886" s="208"/>
      <c r="BFL886" s="208"/>
      <c r="BFM886" s="208"/>
      <c r="BFN886" s="208"/>
      <c r="BFO886" s="208"/>
      <c r="BFP886" s="208"/>
      <c r="BFQ886" s="208"/>
      <c r="BFR886" s="208"/>
      <c r="BFS886" s="208"/>
      <c r="BFT886" s="208"/>
      <c r="BFU886" s="208"/>
      <c r="BFV886" s="208"/>
      <c r="BFW886" s="208"/>
      <c r="BFX886" s="208"/>
      <c r="BFY886" s="208"/>
      <c r="BFZ886" s="208"/>
      <c r="BGA886" s="208"/>
      <c r="BGB886" s="208"/>
      <c r="BGC886" s="208"/>
      <c r="BGD886" s="208"/>
      <c r="BGE886" s="208"/>
      <c r="BGF886" s="208"/>
      <c r="BGG886" s="208"/>
      <c r="BGH886" s="208"/>
      <c r="BGI886" s="208"/>
      <c r="BGJ886" s="208"/>
      <c r="BGK886" s="208"/>
      <c r="BGL886" s="208"/>
      <c r="BGM886" s="208"/>
      <c r="BGN886" s="208"/>
      <c r="BGO886" s="208"/>
      <c r="BGP886" s="208"/>
      <c r="BGQ886" s="208"/>
      <c r="BGR886" s="208"/>
      <c r="BGS886" s="208"/>
      <c r="BGT886" s="208"/>
      <c r="BGU886" s="208"/>
      <c r="BGV886" s="208"/>
      <c r="BGW886" s="208"/>
      <c r="BGX886" s="208"/>
      <c r="BGY886" s="208"/>
      <c r="BGZ886" s="208"/>
      <c r="BHA886" s="208"/>
      <c r="BHB886" s="208"/>
      <c r="BHC886" s="208"/>
      <c r="BHD886" s="208"/>
      <c r="BHE886" s="208"/>
      <c r="BHF886" s="208"/>
      <c r="BHG886" s="208"/>
      <c r="BHH886" s="208"/>
      <c r="BHI886" s="208"/>
      <c r="BHJ886" s="208"/>
      <c r="BHK886" s="208"/>
      <c r="BHL886" s="208"/>
      <c r="BHM886" s="208"/>
      <c r="BHN886" s="208"/>
      <c r="BHO886" s="208"/>
      <c r="BHP886" s="208"/>
      <c r="BHQ886" s="208"/>
      <c r="BHR886" s="208"/>
      <c r="BHS886" s="208"/>
      <c r="BHT886" s="208"/>
      <c r="BHU886" s="208"/>
      <c r="BHV886" s="208"/>
      <c r="BHW886" s="208"/>
      <c r="BHX886" s="208"/>
      <c r="BHY886" s="208"/>
      <c r="BHZ886" s="208"/>
      <c r="BIA886" s="208"/>
      <c r="BIB886" s="208"/>
      <c r="BIC886" s="208"/>
      <c r="BID886" s="208"/>
      <c r="BIE886" s="208"/>
      <c r="BIF886" s="208"/>
      <c r="BIG886" s="208"/>
      <c r="BIH886" s="208"/>
      <c r="BII886" s="208"/>
      <c r="BIJ886" s="208"/>
      <c r="BIK886" s="208"/>
      <c r="BIL886" s="208"/>
      <c r="BIM886" s="208"/>
      <c r="BIN886" s="208"/>
      <c r="BIO886" s="208"/>
      <c r="BIP886" s="208"/>
      <c r="BIQ886" s="208"/>
      <c r="BIR886" s="208"/>
      <c r="BIS886" s="208"/>
      <c r="BIT886" s="208"/>
      <c r="BIU886" s="208"/>
      <c r="BIV886" s="208"/>
      <c r="BIW886" s="208"/>
      <c r="BIX886" s="208"/>
      <c r="BIY886" s="208"/>
      <c r="BIZ886" s="208"/>
      <c r="BJA886" s="208"/>
      <c r="BJB886" s="208"/>
      <c r="BJC886" s="208"/>
      <c r="BJD886" s="208"/>
      <c r="BJE886" s="208"/>
      <c r="BJF886" s="208"/>
      <c r="BJG886" s="208"/>
      <c r="BJH886" s="208"/>
      <c r="BJI886" s="208"/>
      <c r="BJJ886" s="208"/>
      <c r="BJK886" s="208"/>
      <c r="BJL886" s="208"/>
      <c r="BJM886" s="208"/>
      <c r="BJN886" s="208"/>
      <c r="BJO886" s="208"/>
      <c r="BJP886" s="208"/>
      <c r="BJQ886" s="208"/>
      <c r="BJR886" s="208"/>
      <c r="BJS886" s="208"/>
      <c r="BJT886" s="208"/>
      <c r="BJU886" s="208"/>
      <c r="BJV886" s="208"/>
      <c r="BJW886" s="208"/>
      <c r="BJX886" s="208"/>
      <c r="BJY886" s="208"/>
      <c r="BJZ886" s="208"/>
      <c r="BKA886" s="208"/>
      <c r="BKB886" s="208"/>
      <c r="BKC886" s="208"/>
      <c r="BKD886" s="208"/>
      <c r="BKE886" s="208"/>
      <c r="BKF886" s="208"/>
      <c r="BKG886" s="208"/>
      <c r="BKH886" s="208"/>
      <c r="BKI886" s="208"/>
      <c r="BKJ886" s="208"/>
      <c r="BKK886" s="208"/>
      <c r="BKL886" s="208"/>
      <c r="BKM886" s="208"/>
      <c r="BKN886" s="208"/>
      <c r="BKO886" s="208"/>
      <c r="BKP886" s="208"/>
      <c r="BKQ886" s="208"/>
      <c r="BKR886" s="208"/>
      <c r="BKS886" s="208"/>
      <c r="BKT886" s="208"/>
      <c r="BKU886" s="208"/>
      <c r="BKV886" s="208"/>
      <c r="BKW886" s="208"/>
      <c r="BKX886" s="208"/>
      <c r="BKY886" s="208"/>
      <c r="BKZ886" s="208"/>
      <c r="BLA886" s="208"/>
      <c r="BLB886" s="208"/>
      <c r="BLC886" s="208"/>
      <c r="BLD886" s="208"/>
      <c r="BLE886" s="208"/>
      <c r="BLF886" s="208"/>
      <c r="BLG886" s="208"/>
      <c r="BLH886" s="208"/>
      <c r="BLI886" s="208"/>
      <c r="BLJ886" s="208"/>
      <c r="BLK886" s="208"/>
      <c r="BLL886" s="208"/>
      <c r="BLM886" s="208"/>
      <c r="BLN886" s="208"/>
      <c r="BLO886" s="208"/>
      <c r="BLP886" s="208"/>
      <c r="BLQ886" s="208"/>
      <c r="BLR886" s="208"/>
      <c r="BLS886" s="208"/>
      <c r="BLT886" s="208"/>
      <c r="BLU886" s="208"/>
      <c r="BLV886" s="208"/>
      <c r="BLW886" s="208"/>
      <c r="BLX886" s="208"/>
      <c r="BLY886" s="208"/>
      <c r="BLZ886" s="208"/>
      <c r="BMA886" s="208"/>
      <c r="BMB886" s="208"/>
      <c r="BMC886" s="208"/>
      <c r="BMD886" s="208"/>
      <c r="BME886" s="208"/>
      <c r="BMF886" s="208"/>
      <c r="BMG886" s="208"/>
      <c r="BMH886" s="208"/>
      <c r="BMI886" s="208"/>
      <c r="BMJ886" s="208"/>
      <c r="BMK886" s="208"/>
      <c r="BML886" s="208"/>
      <c r="BMM886" s="208"/>
      <c r="BMN886" s="208"/>
      <c r="BMO886" s="208"/>
      <c r="BMP886" s="208"/>
      <c r="BMQ886" s="208"/>
      <c r="BMR886" s="208"/>
      <c r="BMS886" s="208"/>
      <c r="BMT886" s="208"/>
      <c r="BMU886" s="208"/>
      <c r="BMV886" s="208"/>
      <c r="BMW886" s="208"/>
      <c r="BMX886" s="208"/>
      <c r="BMY886" s="208"/>
      <c r="BMZ886" s="208"/>
      <c r="BNA886" s="208"/>
      <c r="BNB886" s="208"/>
      <c r="BNC886" s="208"/>
      <c r="BND886" s="208"/>
      <c r="BNE886" s="208"/>
      <c r="BNF886" s="208"/>
      <c r="BNG886" s="208"/>
      <c r="BNH886" s="208"/>
      <c r="BNI886" s="208"/>
      <c r="BNJ886" s="208"/>
      <c r="BNK886" s="208"/>
      <c r="BNL886" s="208"/>
      <c r="BNM886" s="208"/>
      <c r="BNN886" s="208"/>
      <c r="BNO886" s="208"/>
      <c r="BNP886" s="208"/>
      <c r="BNQ886" s="208"/>
      <c r="BNR886" s="208"/>
      <c r="BNS886" s="208"/>
      <c r="BNT886" s="208"/>
      <c r="BNU886" s="208"/>
      <c r="BNV886" s="208"/>
      <c r="BNW886" s="208"/>
      <c r="BNX886" s="208"/>
      <c r="BNY886" s="208"/>
      <c r="BNZ886" s="208"/>
      <c r="BOA886" s="208"/>
      <c r="BOB886" s="208"/>
      <c r="BOC886" s="208"/>
      <c r="BOD886" s="208"/>
      <c r="BOE886" s="208"/>
      <c r="BOF886" s="208"/>
      <c r="BOG886" s="208"/>
      <c r="BOH886" s="208"/>
      <c r="BOI886" s="208"/>
      <c r="BOJ886" s="208"/>
      <c r="BOK886" s="208"/>
      <c r="BOL886" s="208"/>
      <c r="BOM886" s="208"/>
      <c r="BON886" s="208"/>
      <c r="BOO886" s="208"/>
      <c r="BOP886" s="208"/>
      <c r="BOQ886" s="208"/>
      <c r="BOR886" s="208"/>
      <c r="BOS886" s="208"/>
      <c r="BOT886" s="208"/>
      <c r="BOU886" s="208"/>
      <c r="BOV886" s="208"/>
      <c r="BOW886" s="208"/>
      <c r="BOX886" s="208"/>
      <c r="BOY886" s="208"/>
      <c r="BOZ886" s="208"/>
      <c r="BPA886" s="208"/>
      <c r="BPB886" s="208"/>
      <c r="BPC886" s="208"/>
      <c r="BPD886" s="208"/>
      <c r="BPE886" s="208"/>
      <c r="BPF886" s="208"/>
      <c r="BPG886" s="208"/>
      <c r="BPH886" s="208"/>
      <c r="BPI886" s="208"/>
      <c r="BPJ886" s="208"/>
      <c r="BPK886" s="208"/>
      <c r="BPL886" s="208"/>
      <c r="BPM886" s="208"/>
      <c r="BPN886" s="208"/>
      <c r="BPO886" s="208"/>
      <c r="BPP886" s="208"/>
      <c r="BPQ886" s="208"/>
      <c r="BPR886" s="208"/>
      <c r="BPS886" s="208"/>
      <c r="BPT886" s="208"/>
      <c r="BPU886" s="208"/>
      <c r="BPV886" s="208"/>
      <c r="BPW886" s="208"/>
      <c r="BPX886" s="208"/>
      <c r="BPY886" s="208"/>
      <c r="BPZ886" s="208"/>
      <c r="BQA886" s="208"/>
      <c r="BQB886" s="208"/>
      <c r="BQC886" s="208"/>
      <c r="BQD886" s="208"/>
      <c r="BQE886" s="208"/>
      <c r="BQF886" s="208"/>
      <c r="BQG886" s="208"/>
      <c r="BQH886" s="208"/>
      <c r="BQI886" s="208"/>
      <c r="BQJ886" s="208"/>
      <c r="BQK886" s="208"/>
      <c r="BQL886" s="208"/>
      <c r="BQM886" s="208"/>
      <c r="BQN886" s="208"/>
      <c r="BQO886" s="208"/>
      <c r="BQP886" s="208"/>
      <c r="BQQ886" s="208"/>
      <c r="BQR886" s="208"/>
      <c r="BQS886" s="208"/>
      <c r="BQT886" s="208"/>
      <c r="BQU886" s="208"/>
      <c r="BQV886" s="208"/>
      <c r="BQW886" s="208"/>
      <c r="BQX886" s="208"/>
      <c r="BQY886" s="208"/>
      <c r="BQZ886" s="208"/>
      <c r="BRA886" s="208"/>
      <c r="BRB886" s="208"/>
      <c r="BRC886" s="208"/>
      <c r="BRD886" s="208"/>
      <c r="BRE886" s="208"/>
      <c r="BRF886" s="208"/>
      <c r="BRG886" s="208"/>
      <c r="BRH886" s="208"/>
      <c r="BRI886" s="208"/>
      <c r="BRJ886" s="208"/>
      <c r="BRK886" s="208"/>
      <c r="BRL886" s="208"/>
      <c r="BRM886" s="208"/>
      <c r="BRN886" s="208"/>
      <c r="BRO886" s="208"/>
      <c r="BRP886" s="208"/>
      <c r="BRQ886" s="208"/>
      <c r="BRR886" s="208"/>
      <c r="BRS886" s="208"/>
      <c r="BRT886" s="208"/>
      <c r="BRU886" s="208"/>
      <c r="BRV886" s="208"/>
      <c r="BRW886" s="208"/>
      <c r="BRX886" s="208"/>
      <c r="BRY886" s="208"/>
      <c r="BRZ886" s="208"/>
      <c r="BSA886" s="208"/>
      <c r="BSB886" s="208"/>
      <c r="BSC886" s="208"/>
      <c r="BSD886" s="208"/>
      <c r="BSE886" s="208"/>
      <c r="BSF886" s="208"/>
      <c r="BSG886" s="208"/>
      <c r="BSH886" s="208"/>
      <c r="BSI886" s="208"/>
      <c r="BSJ886" s="208"/>
      <c r="BSK886" s="208"/>
      <c r="BSL886" s="208"/>
      <c r="BSM886" s="208"/>
      <c r="BSN886" s="208"/>
      <c r="BSO886" s="208"/>
      <c r="BSP886" s="208"/>
      <c r="BSQ886" s="208"/>
      <c r="BSR886" s="208"/>
      <c r="BSS886" s="208"/>
      <c r="BST886" s="208"/>
      <c r="BSU886" s="208"/>
      <c r="BSV886" s="208"/>
      <c r="BSW886" s="208"/>
      <c r="BSX886" s="208"/>
      <c r="BSY886" s="208"/>
      <c r="BSZ886" s="208"/>
      <c r="BTA886" s="208"/>
      <c r="BTB886" s="208"/>
      <c r="BTC886" s="208"/>
      <c r="BTD886" s="208"/>
      <c r="BTE886" s="208"/>
      <c r="BTF886" s="208"/>
      <c r="BTG886" s="208"/>
      <c r="BTH886" s="208"/>
      <c r="BTI886" s="208"/>
      <c r="BTJ886" s="208"/>
      <c r="BTK886" s="208"/>
      <c r="BTL886" s="208"/>
      <c r="BTM886" s="208"/>
      <c r="BTN886" s="208"/>
      <c r="BTO886" s="208"/>
      <c r="BTP886" s="208"/>
      <c r="BTQ886" s="208"/>
      <c r="BTR886" s="208"/>
      <c r="BTS886" s="208"/>
      <c r="BTT886" s="208"/>
      <c r="BTU886" s="208"/>
      <c r="BTV886" s="208"/>
      <c r="BTW886" s="208"/>
      <c r="BTX886" s="208"/>
      <c r="BTY886" s="208"/>
      <c r="BTZ886" s="208"/>
      <c r="BUA886" s="208"/>
      <c r="BUB886" s="208"/>
      <c r="BUC886" s="208"/>
      <c r="BUD886" s="208"/>
      <c r="BUE886" s="208"/>
      <c r="BUF886" s="208"/>
      <c r="BUG886" s="208"/>
      <c r="BUH886" s="208"/>
      <c r="BUI886" s="208"/>
      <c r="BUJ886" s="208"/>
      <c r="BUK886" s="208"/>
      <c r="BUL886" s="208"/>
      <c r="BUM886" s="208"/>
      <c r="BUN886" s="208"/>
      <c r="BUO886" s="208"/>
      <c r="BUP886" s="208"/>
      <c r="BUQ886" s="208"/>
      <c r="BUR886" s="208"/>
      <c r="BUS886" s="208"/>
      <c r="BUT886" s="208"/>
      <c r="BUU886" s="208"/>
      <c r="BUV886" s="208"/>
      <c r="BUW886" s="208"/>
      <c r="BUX886" s="208"/>
      <c r="BUY886" s="208"/>
      <c r="BUZ886" s="208"/>
      <c r="BVA886" s="208"/>
      <c r="BVB886" s="208"/>
      <c r="BVC886" s="208"/>
      <c r="BVD886" s="208"/>
      <c r="BVE886" s="208"/>
      <c r="BVF886" s="208"/>
      <c r="BVG886" s="208"/>
      <c r="BVH886" s="208"/>
      <c r="BVI886" s="208"/>
      <c r="BVJ886" s="208"/>
      <c r="BVK886" s="208"/>
      <c r="BVL886" s="208"/>
      <c r="BVM886" s="208"/>
      <c r="BVN886" s="208"/>
      <c r="BVO886" s="208"/>
      <c r="BVP886" s="208"/>
      <c r="BVQ886" s="208"/>
      <c r="BVR886" s="208"/>
      <c r="BVS886" s="208"/>
      <c r="BVT886" s="208"/>
      <c r="BVU886" s="208"/>
      <c r="BVV886" s="208"/>
      <c r="BVW886" s="208"/>
      <c r="BVX886" s="208"/>
      <c r="BVY886" s="208"/>
      <c r="BVZ886" s="208"/>
      <c r="BWA886" s="208"/>
      <c r="BWB886" s="208"/>
      <c r="BWC886" s="208"/>
      <c r="BWD886" s="208"/>
      <c r="BWE886" s="208"/>
      <c r="BWF886" s="208"/>
      <c r="BWG886" s="208"/>
      <c r="BWH886" s="208"/>
      <c r="BWI886" s="208"/>
      <c r="BWJ886" s="208"/>
      <c r="BWK886" s="208"/>
      <c r="BWL886" s="208"/>
      <c r="BWM886" s="208"/>
      <c r="BWN886" s="208"/>
      <c r="BWO886" s="208"/>
      <c r="BWP886" s="208"/>
      <c r="BWQ886" s="208"/>
      <c r="BWR886" s="208"/>
      <c r="BWS886" s="208"/>
      <c r="BWT886" s="208"/>
      <c r="BWU886" s="208"/>
      <c r="BWV886" s="208"/>
      <c r="BWW886" s="208"/>
      <c r="BWX886" s="208"/>
      <c r="BWY886" s="208"/>
      <c r="BWZ886" s="208"/>
      <c r="BXA886" s="208"/>
      <c r="BXB886" s="208"/>
      <c r="BXC886" s="208"/>
      <c r="BXD886" s="208"/>
      <c r="BXE886" s="208"/>
      <c r="BXF886" s="208"/>
      <c r="BXG886" s="208"/>
      <c r="BXH886" s="208"/>
      <c r="BXI886" s="208"/>
      <c r="BXJ886" s="208"/>
      <c r="BXK886" s="208"/>
      <c r="BXL886" s="208"/>
      <c r="BXM886" s="208"/>
      <c r="BXN886" s="208"/>
      <c r="BXO886" s="208"/>
      <c r="BXP886" s="208"/>
      <c r="BXQ886" s="208"/>
      <c r="BXR886" s="208"/>
      <c r="BXS886" s="208"/>
      <c r="BXT886" s="208"/>
      <c r="BXU886" s="208"/>
      <c r="BXV886" s="208"/>
      <c r="BXW886" s="208"/>
      <c r="BXX886" s="208"/>
      <c r="BXY886" s="208"/>
      <c r="BXZ886" s="208"/>
      <c r="BYA886" s="208"/>
      <c r="BYB886" s="208"/>
      <c r="BYC886" s="208"/>
      <c r="BYD886" s="208"/>
      <c r="BYE886" s="208"/>
      <c r="BYF886" s="208"/>
      <c r="BYG886" s="208"/>
      <c r="BYH886" s="208"/>
      <c r="BYI886" s="208"/>
      <c r="BYJ886" s="208"/>
      <c r="BYK886" s="208"/>
      <c r="BYL886" s="208"/>
      <c r="BYM886" s="208"/>
      <c r="BYN886" s="208"/>
      <c r="BYO886" s="208"/>
      <c r="BYP886" s="208"/>
      <c r="BYQ886" s="208"/>
      <c r="BYR886" s="208"/>
      <c r="BYS886" s="208"/>
      <c r="BYT886" s="208"/>
      <c r="BYU886" s="208"/>
      <c r="BYV886" s="208"/>
      <c r="BYW886" s="208"/>
      <c r="BYX886" s="208"/>
      <c r="BYY886" s="208"/>
      <c r="BYZ886" s="208"/>
      <c r="BZA886" s="208"/>
      <c r="BZB886" s="208"/>
      <c r="BZC886" s="208"/>
      <c r="BZD886" s="208"/>
      <c r="BZE886" s="208"/>
      <c r="BZF886" s="208"/>
      <c r="BZG886" s="208"/>
      <c r="BZH886" s="208"/>
      <c r="BZI886" s="208"/>
      <c r="BZJ886" s="208"/>
      <c r="BZK886" s="208"/>
      <c r="BZL886" s="208"/>
      <c r="BZM886" s="208"/>
      <c r="BZN886" s="208"/>
      <c r="BZO886" s="208"/>
      <c r="BZP886" s="208"/>
      <c r="BZQ886" s="208"/>
      <c r="BZR886" s="208"/>
      <c r="BZS886" s="208"/>
      <c r="BZT886" s="208"/>
      <c r="BZU886" s="208"/>
      <c r="BZV886" s="208"/>
      <c r="BZW886" s="208"/>
      <c r="BZX886" s="208"/>
      <c r="BZY886" s="208"/>
      <c r="BZZ886" s="208"/>
      <c r="CAA886" s="208"/>
      <c r="CAB886" s="208"/>
      <c r="CAC886" s="208"/>
      <c r="CAD886" s="208"/>
      <c r="CAE886" s="208"/>
      <c r="CAF886" s="208"/>
      <c r="CAG886" s="208"/>
      <c r="CAH886" s="208"/>
      <c r="CAI886" s="208"/>
      <c r="CAJ886" s="208"/>
      <c r="CAK886" s="208"/>
      <c r="CAL886" s="208"/>
      <c r="CAM886" s="208"/>
      <c r="CAN886" s="208"/>
      <c r="CAO886" s="208"/>
      <c r="CAP886" s="208"/>
      <c r="CAQ886" s="208"/>
      <c r="CAR886" s="208"/>
      <c r="CAS886" s="208"/>
      <c r="CAT886" s="208"/>
      <c r="CAU886" s="208"/>
      <c r="CAV886" s="208"/>
      <c r="CAW886" s="208"/>
      <c r="CAX886" s="208"/>
      <c r="CAY886" s="208"/>
      <c r="CAZ886" s="208"/>
      <c r="CBA886" s="208"/>
      <c r="CBB886" s="208"/>
      <c r="CBC886" s="208"/>
      <c r="CBD886" s="208"/>
      <c r="CBE886" s="208"/>
      <c r="CBF886" s="208"/>
      <c r="CBG886" s="208"/>
      <c r="CBH886" s="208"/>
      <c r="CBI886" s="208"/>
      <c r="CBJ886" s="208"/>
      <c r="CBK886" s="208"/>
      <c r="CBL886" s="208"/>
      <c r="CBM886" s="208"/>
      <c r="CBN886" s="208"/>
      <c r="CBO886" s="208"/>
      <c r="CBP886" s="208"/>
      <c r="CBQ886" s="208"/>
      <c r="CBR886" s="208"/>
      <c r="CBS886" s="208"/>
      <c r="CBT886" s="208"/>
      <c r="CBU886" s="208"/>
      <c r="CBV886" s="208"/>
      <c r="CBW886" s="208"/>
      <c r="CBX886" s="208"/>
      <c r="CBY886" s="208"/>
      <c r="CBZ886" s="208"/>
      <c r="CCA886" s="208"/>
      <c r="CCB886" s="208"/>
      <c r="CCC886" s="208"/>
      <c r="CCD886" s="208"/>
      <c r="CCE886" s="208"/>
      <c r="CCF886" s="208"/>
      <c r="CCG886" s="208"/>
      <c r="CCH886" s="208"/>
      <c r="CCI886" s="208"/>
      <c r="CCJ886" s="208"/>
      <c r="CCK886" s="208"/>
      <c r="CCL886" s="208"/>
      <c r="CCM886" s="208"/>
      <c r="CCN886" s="208"/>
      <c r="CCO886" s="208"/>
      <c r="CCP886" s="208"/>
      <c r="CCQ886" s="208"/>
      <c r="CCR886" s="208"/>
      <c r="CCS886" s="208"/>
      <c r="CCT886" s="208"/>
      <c r="CCU886" s="208"/>
      <c r="CCV886" s="208"/>
      <c r="CCW886" s="208"/>
      <c r="CCX886" s="208"/>
      <c r="CCY886" s="208"/>
      <c r="CCZ886" s="208"/>
      <c r="CDA886" s="208"/>
      <c r="CDB886" s="208"/>
      <c r="CDC886" s="208"/>
      <c r="CDD886" s="208"/>
      <c r="CDE886" s="208"/>
      <c r="CDF886" s="208"/>
      <c r="CDG886" s="208"/>
      <c r="CDH886" s="208"/>
      <c r="CDI886" s="208"/>
      <c r="CDJ886" s="208"/>
      <c r="CDK886" s="208"/>
      <c r="CDL886" s="208"/>
      <c r="CDM886" s="208"/>
      <c r="CDN886" s="208"/>
      <c r="CDO886" s="208"/>
      <c r="CDP886" s="208"/>
      <c r="CDQ886" s="208"/>
      <c r="CDR886" s="208"/>
      <c r="CDS886" s="208"/>
      <c r="CDT886" s="208"/>
      <c r="CDU886" s="208"/>
      <c r="CDV886" s="208"/>
      <c r="CDW886" s="208"/>
      <c r="CDX886" s="208"/>
      <c r="CDY886" s="208"/>
      <c r="CDZ886" s="208"/>
      <c r="CEA886" s="208"/>
      <c r="CEB886" s="208"/>
      <c r="CEC886" s="208"/>
      <c r="CED886" s="208"/>
      <c r="CEE886" s="208"/>
      <c r="CEF886" s="208"/>
      <c r="CEG886" s="208"/>
      <c r="CEH886" s="208"/>
      <c r="CEI886" s="208"/>
      <c r="CEJ886" s="208"/>
      <c r="CEK886" s="208"/>
      <c r="CEL886" s="208"/>
      <c r="CEM886" s="208"/>
      <c r="CEN886" s="208"/>
      <c r="CEO886" s="208"/>
      <c r="CEP886" s="208"/>
      <c r="CEQ886" s="208"/>
      <c r="CER886" s="208"/>
      <c r="CES886" s="208"/>
      <c r="CET886" s="208"/>
      <c r="CEU886" s="208"/>
      <c r="CEV886" s="208"/>
      <c r="CEW886" s="208"/>
      <c r="CEX886" s="208"/>
      <c r="CEY886" s="208"/>
      <c r="CEZ886" s="208"/>
      <c r="CFA886" s="208"/>
      <c r="CFB886" s="208"/>
      <c r="CFC886" s="208"/>
      <c r="CFD886" s="208"/>
      <c r="CFE886" s="208"/>
      <c r="CFF886" s="208"/>
      <c r="CFG886" s="208"/>
      <c r="CFH886" s="208"/>
      <c r="CFI886" s="208"/>
      <c r="CFJ886" s="208"/>
      <c r="CFK886" s="208"/>
      <c r="CFL886" s="208"/>
      <c r="CFM886" s="208"/>
      <c r="CFN886" s="208"/>
      <c r="CFO886" s="208"/>
      <c r="CFP886" s="208"/>
      <c r="CFQ886" s="208"/>
      <c r="CFR886" s="208"/>
      <c r="CFS886" s="208"/>
      <c r="CFT886" s="208"/>
      <c r="CFU886" s="208"/>
      <c r="CFV886" s="208"/>
      <c r="CFW886" s="208"/>
      <c r="CFX886" s="208"/>
      <c r="CFY886" s="208"/>
      <c r="CFZ886" s="208"/>
      <c r="CGA886" s="208"/>
      <c r="CGB886" s="208"/>
      <c r="CGC886" s="208"/>
      <c r="CGD886" s="208"/>
      <c r="CGE886" s="208"/>
      <c r="CGF886" s="208"/>
      <c r="CGG886" s="208"/>
      <c r="CGH886" s="208"/>
      <c r="CGI886" s="208"/>
      <c r="CGJ886" s="208"/>
      <c r="CGK886" s="208"/>
      <c r="CGL886" s="208"/>
      <c r="CGM886" s="208"/>
      <c r="CGN886" s="208"/>
      <c r="CGO886" s="208"/>
      <c r="CGP886" s="208"/>
      <c r="CGQ886" s="208"/>
      <c r="CGR886" s="208"/>
      <c r="CGS886" s="208"/>
      <c r="CGT886" s="208"/>
      <c r="CGU886" s="208"/>
      <c r="CGV886" s="208"/>
      <c r="CGW886" s="208"/>
      <c r="CGX886" s="208"/>
      <c r="CGY886" s="208"/>
      <c r="CGZ886" s="208"/>
      <c r="CHA886" s="208"/>
      <c r="CHB886" s="208"/>
      <c r="CHC886" s="208"/>
      <c r="CHD886" s="208"/>
      <c r="CHE886" s="208"/>
      <c r="CHF886" s="208"/>
      <c r="CHG886" s="208"/>
      <c r="CHH886" s="208"/>
      <c r="CHI886" s="208"/>
      <c r="CHJ886" s="208"/>
      <c r="CHK886" s="208"/>
      <c r="CHL886" s="208"/>
      <c r="CHM886" s="208"/>
      <c r="CHN886" s="208"/>
      <c r="CHO886" s="208"/>
      <c r="CHP886" s="208"/>
      <c r="CHQ886" s="208"/>
      <c r="CHR886" s="208"/>
      <c r="CHS886" s="208"/>
      <c r="CHT886" s="208"/>
      <c r="CHU886" s="208"/>
      <c r="CHV886" s="208"/>
      <c r="CHW886" s="208"/>
      <c r="CHX886" s="208"/>
      <c r="CHY886" s="208"/>
      <c r="CHZ886" s="208"/>
      <c r="CIA886" s="208"/>
      <c r="CIB886" s="208"/>
      <c r="CIC886" s="208"/>
      <c r="CID886" s="208"/>
      <c r="CIE886" s="208"/>
      <c r="CIF886" s="208"/>
      <c r="CIG886" s="208"/>
      <c r="CIH886" s="208"/>
      <c r="CII886" s="208"/>
      <c r="CIJ886" s="208"/>
      <c r="CIK886" s="208"/>
      <c r="CIL886" s="208"/>
      <c r="CIM886" s="208"/>
      <c r="CIN886" s="208"/>
      <c r="CIO886" s="208"/>
      <c r="CIP886" s="208"/>
      <c r="CIQ886" s="208"/>
      <c r="CIR886" s="208"/>
      <c r="CIS886" s="208"/>
      <c r="CIT886" s="208"/>
      <c r="CIU886" s="208"/>
      <c r="CIV886" s="208"/>
      <c r="CIW886" s="208"/>
      <c r="CIX886" s="208"/>
      <c r="CIY886" s="208"/>
      <c r="CIZ886" s="208"/>
      <c r="CJA886" s="208"/>
      <c r="CJB886" s="208"/>
      <c r="CJC886" s="208"/>
      <c r="CJD886" s="208"/>
      <c r="CJE886" s="208"/>
      <c r="CJF886" s="208"/>
      <c r="CJG886" s="208"/>
      <c r="CJH886" s="208"/>
      <c r="CJI886" s="208"/>
      <c r="CJJ886" s="208"/>
      <c r="CJK886" s="208"/>
      <c r="CJL886" s="208"/>
      <c r="CJM886" s="208"/>
      <c r="CJN886" s="208"/>
      <c r="CJO886" s="208"/>
      <c r="CJP886" s="208"/>
      <c r="CJQ886" s="208"/>
      <c r="CJR886" s="208"/>
      <c r="CJS886" s="208"/>
      <c r="CJT886" s="208"/>
      <c r="CJU886" s="208"/>
      <c r="CJV886" s="208"/>
      <c r="CJW886" s="208"/>
      <c r="CJX886" s="208"/>
      <c r="CJY886" s="208"/>
      <c r="CJZ886" s="208"/>
      <c r="CKA886" s="208"/>
      <c r="CKB886" s="208"/>
      <c r="CKC886" s="208"/>
      <c r="CKD886" s="208"/>
      <c r="CKE886" s="208"/>
      <c r="CKF886" s="208"/>
      <c r="CKG886" s="208"/>
      <c r="CKH886" s="208"/>
      <c r="CKI886" s="208"/>
      <c r="CKJ886" s="208"/>
      <c r="CKK886" s="208"/>
      <c r="CKL886" s="208"/>
      <c r="CKM886" s="208"/>
      <c r="CKN886" s="208"/>
      <c r="CKO886" s="208"/>
      <c r="CKP886" s="208"/>
      <c r="CKQ886" s="208"/>
      <c r="CKR886" s="208"/>
      <c r="CKS886" s="208"/>
      <c r="CKT886" s="208"/>
      <c r="CKU886" s="208"/>
      <c r="CKV886" s="208"/>
      <c r="CKW886" s="208"/>
      <c r="CKX886" s="208"/>
      <c r="CKY886" s="208"/>
      <c r="CKZ886" s="208"/>
      <c r="CLA886" s="208"/>
      <c r="CLB886" s="208"/>
      <c r="CLC886" s="208"/>
      <c r="CLD886" s="208"/>
      <c r="CLE886" s="208"/>
      <c r="CLF886" s="208"/>
      <c r="CLG886" s="208"/>
      <c r="CLH886" s="208"/>
      <c r="CLI886" s="208"/>
      <c r="CLJ886" s="208"/>
      <c r="CLK886" s="208"/>
      <c r="CLL886" s="208"/>
      <c r="CLM886" s="208"/>
      <c r="CLN886" s="208"/>
      <c r="CLO886" s="208"/>
      <c r="CLP886" s="208"/>
      <c r="CLQ886" s="208"/>
      <c r="CLR886" s="208"/>
      <c r="CLS886" s="208"/>
      <c r="CLT886" s="208"/>
      <c r="CLU886" s="208"/>
      <c r="CLV886" s="208"/>
      <c r="CLW886" s="208"/>
      <c r="CLX886" s="208"/>
      <c r="CLY886" s="208"/>
      <c r="CLZ886" s="208"/>
      <c r="CMA886" s="208"/>
      <c r="CMB886" s="208"/>
      <c r="CMC886" s="208"/>
      <c r="CMD886" s="208"/>
      <c r="CME886" s="208"/>
      <c r="CMF886" s="208"/>
      <c r="CMG886" s="208"/>
      <c r="CMH886" s="208"/>
      <c r="CMI886" s="208"/>
      <c r="CMJ886" s="208"/>
      <c r="CMK886" s="208"/>
      <c r="CML886" s="208"/>
      <c r="CMM886" s="208"/>
      <c r="CMN886" s="208"/>
      <c r="CMO886" s="208"/>
      <c r="CMP886" s="208"/>
      <c r="CMQ886" s="208"/>
      <c r="CMR886" s="208"/>
      <c r="CMS886" s="208"/>
      <c r="CMT886" s="208"/>
      <c r="CMU886" s="208"/>
      <c r="CMV886" s="208"/>
      <c r="CMW886" s="208"/>
      <c r="CMX886" s="208"/>
      <c r="CMY886" s="208"/>
      <c r="CMZ886" s="208"/>
      <c r="CNA886" s="208"/>
      <c r="CNB886" s="208"/>
      <c r="CNC886" s="208"/>
      <c r="CND886" s="208"/>
      <c r="CNE886" s="208"/>
      <c r="CNF886" s="208"/>
      <c r="CNG886" s="208"/>
      <c r="CNH886" s="208"/>
      <c r="CNI886" s="208"/>
      <c r="CNJ886" s="208"/>
      <c r="CNK886" s="208"/>
      <c r="CNL886" s="208"/>
      <c r="CNM886" s="208"/>
      <c r="CNN886" s="208"/>
      <c r="CNO886" s="208"/>
      <c r="CNP886" s="208"/>
      <c r="CNQ886" s="208"/>
      <c r="CNR886" s="208"/>
      <c r="CNS886" s="208"/>
      <c r="CNT886" s="208"/>
      <c r="CNU886" s="208"/>
      <c r="CNV886" s="208"/>
      <c r="CNW886" s="208"/>
      <c r="CNX886" s="208"/>
      <c r="CNY886" s="208"/>
      <c r="CNZ886" s="208"/>
      <c r="COA886" s="208"/>
      <c r="COB886" s="208"/>
      <c r="COC886" s="208"/>
      <c r="COD886" s="208"/>
      <c r="COE886" s="208"/>
      <c r="COF886" s="208"/>
      <c r="COG886" s="208"/>
      <c r="COH886" s="208"/>
      <c r="COI886" s="208"/>
      <c r="COJ886" s="208"/>
      <c r="COK886" s="208"/>
      <c r="COL886" s="208"/>
      <c r="COM886" s="208"/>
      <c r="CON886" s="208"/>
      <c r="COO886" s="208"/>
      <c r="COP886" s="208"/>
      <c r="COQ886" s="208"/>
      <c r="COR886" s="208"/>
      <c r="COS886" s="208"/>
      <c r="COT886" s="208"/>
      <c r="COU886" s="208"/>
      <c r="COV886" s="208"/>
      <c r="COW886" s="208"/>
      <c r="COX886" s="208"/>
      <c r="COY886" s="208"/>
      <c r="COZ886" s="208"/>
      <c r="CPA886" s="208"/>
      <c r="CPB886" s="208"/>
      <c r="CPC886" s="208"/>
      <c r="CPD886" s="208"/>
      <c r="CPE886" s="208"/>
      <c r="CPF886" s="208"/>
      <c r="CPG886" s="208"/>
      <c r="CPH886" s="208"/>
      <c r="CPI886" s="208"/>
      <c r="CPJ886" s="208"/>
      <c r="CPK886" s="208"/>
      <c r="CPL886" s="208"/>
      <c r="CPM886" s="208"/>
      <c r="CPN886" s="208"/>
      <c r="CPO886" s="208"/>
      <c r="CPP886" s="208"/>
      <c r="CPQ886" s="208"/>
      <c r="CPR886" s="208"/>
      <c r="CPS886" s="208"/>
      <c r="CPT886" s="208"/>
      <c r="CPU886" s="208"/>
      <c r="CPV886" s="208"/>
      <c r="CPW886" s="208"/>
      <c r="CPX886" s="208"/>
      <c r="CPY886" s="208"/>
      <c r="CPZ886" s="208"/>
      <c r="CQA886" s="208"/>
      <c r="CQB886" s="208"/>
      <c r="CQC886" s="208"/>
      <c r="CQD886" s="208"/>
      <c r="CQE886" s="208"/>
      <c r="CQF886" s="208"/>
      <c r="CQG886" s="208"/>
      <c r="CQH886" s="208"/>
      <c r="CQI886" s="208"/>
      <c r="CQJ886" s="208"/>
      <c r="CQK886" s="208"/>
      <c r="CQL886" s="208"/>
      <c r="CQM886" s="208"/>
      <c r="CQN886" s="208"/>
      <c r="CQO886" s="208"/>
      <c r="CQP886" s="208"/>
      <c r="CQQ886" s="208"/>
      <c r="CQR886" s="208"/>
      <c r="CQS886" s="208"/>
      <c r="CQT886" s="208"/>
      <c r="CQU886" s="208"/>
      <c r="CQV886" s="208"/>
      <c r="CQW886" s="208"/>
      <c r="CQX886" s="208"/>
      <c r="CQY886" s="208"/>
      <c r="CQZ886" s="208"/>
      <c r="CRA886" s="208"/>
      <c r="CRB886" s="208"/>
      <c r="CRC886" s="208"/>
      <c r="CRD886" s="208"/>
      <c r="CRE886" s="208"/>
      <c r="CRF886" s="208"/>
      <c r="CRG886" s="208"/>
      <c r="CRH886" s="208"/>
      <c r="CRI886" s="208"/>
      <c r="CRJ886" s="208"/>
      <c r="CRK886" s="208"/>
      <c r="CRL886" s="208"/>
      <c r="CRM886" s="208"/>
      <c r="CRN886" s="208"/>
      <c r="CRO886" s="208"/>
      <c r="CRP886" s="208"/>
      <c r="CRQ886" s="208"/>
      <c r="CRR886" s="208"/>
      <c r="CRS886" s="208"/>
      <c r="CRT886" s="208"/>
      <c r="CRU886" s="208"/>
      <c r="CRV886" s="208"/>
      <c r="CRW886" s="208"/>
      <c r="CRX886" s="208"/>
      <c r="CRY886" s="208"/>
      <c r="CRZ886" s="208"/>
      <c r="CSA886" s="208"/>
      <c r="CSB886" s="208"/>
      <c r="CSC886" s="208"/>
      <c r="CSD886" s="208"/>
      <c r="CSE886" s="208"/>
      <c r="CSF886" s="208"/>
      <c r="CSG886" s="208"/>
      <c r="CSH886" s="208"/>
      <c r="CSI886" s="208"/>
      <c r="CSJ886" s="208"/>
      <c r="CSK886" s="208"/>
      <c r="CSL886" s="208"/>
      <c r="CSM886" s="208"/>
      <c r="CSN886" s="208"/>
      <c r="CSO886" s="208"/>
      <c r="CSP886" s="208"/>
      <c r="CSQ886" s="208"/>
      <c r="CSR886" s="208"/>
      <c r="CSS886" s="208"/>
      <c r="CST886" s="208"/>
      <c r="CSU886" s="208"/>
      <c r="CSV886" s="208"/>
      <c r="CSW886" s="208"/>
      <c r="CSX886" s="208"/>
      <c r="CSY886" s="208"/>
      <c r="CSZ886" s="208"/>
      <c r="CTA886" s="208"/>
      <c r="CTB886" s="208"/>
      <c r="CTC886" s="208"/>
      <c r="CTD886" s="208"/>
      <c r="CTE886" s="208"/>
      <c r="CTF886" s="208"/>
      <c r="CTG886" s="208"/>
      <c r="CTH886" s="208"/>
      <c r="CTI886" s="208"/>
      <c r="CTJ886" s="208"/>
      <c r="CTK886" s="208"/>
      <c r="CTL886" s="208"/>
      <c r="CTM886" s="208"/>
      <c r="CTN886" s="208"/>
      <c r="CTO886" s="208"/>
      <c r="CTP886" s="208"/>
      <c r="CTQ886" s="208"/>
      <c r="CTR886" s="208"/>
      <c r="CTS886" s="208"/>
      <c r="CTT886" s="208"/>
      <c r="CTU886" s="208"/>
      <c r="CTV886" s="208"/>
      <c r="CTW886" s="208"/>
      <c r="CTX886" s="208"/>
      <c r="CTY886" s="208"/>
      <c r="CTZ886" s="208"/>
      <c r="CUA886" s="208"/>
      <c r="CUB886" s="208"/>
      <c r="CUC886" s="208"/>
      <c r="CUD886" s="208"/>
      <c r="CUE886" s="208"/>
      <c r="CUF886" s="208"/>
      <c r="CUG886" s="208"/>
      <c r="CUH886" s="208"/>
      <c r="CUI886" s="208"/>
      <c r="CUJ886" s="208"/>
      <c r="CUK886" s="208"/>
      <c r="CUL886" s="208"/>
      <c r="CUM886" s="208"/>
      <c r="CUN886" s="208"/>
      <c r="CUO886" s="208"/>
      <c r="CUP886" s="208"/>
      <c r="CUQ886" s="208"/>
      <c r="CUR886" s="208"/>
      <c r="CUS886" s="208"/>
      <c r="CUT886" s="208"/>
      <c r="CUU886" s="208"/>
      <c r="CUV886" s="208"/>
      <c r="CUW886" s="208"/>
      <c r="CUX886" s="208"/>
      <c r="CUY886" s="208"/>
      <c r="CUZ886" s="208"/>
      <c r="CVA886" s="208"/>
      <c r="CVB886" s="208"/>
      <c r="CVC886" s="208"/>
      <c r="CVD886" s="208"/>
      <c r="CVE886" s="208"/>
      <c r="CVF886" s="208"/>
      <c r="CVG886" s="208"/>
      <c r="CVH886" s="208"/>
      <c r="CVI886" s="208"/>
      <c r="CVJ886" s="208"/>
      <c r="CVK886" s="208"/>
      <c r="CVL886" s="208"/>
      <c r="CVM886" s="208"/>
      <c r="CVN886" s="208"/>
      <c r="CVO886" s="208"/>
      <c r="CVP886" s="208"/>
      <c r="CVQ886" s="208"/>
      <c r="CVR886" s="208"/>
      <c r="CVS886" s="208"/>
      <c r="CVT886" s="208"/>
      <c r="CVU886" s="208"/>
      <c r="CVV886" s="208"/>
      <c r="CVW886" s="208"/>
      <c r="CVX886" s="208"/>
      <c r="CVY886" s="208"/>
      <c r="CVZ886" s="208"/>
      <c r="CWA886" s="208"/>
      <c r="CWB886" s="208"/>
      <c r="CWC886" s="208"/>
      <c r="CWD886" s="208"/>
      <c r="CWE886" s="208"/>
      <c r="CWF886" s="208"/>
      <c r="CWG886" s="208"/>
      <c r="CWH886" s="208"/>
      <c r="CWI886" s="208"/>
      <c r="CWJ886" s="208"/>
      <c r="CWK886" s="208"/>
      <c r="CWL886" s="208"/>
      <c r="CWM886" s="208"/>
      <c r="CWN886" s="208"/>
      <c r="CWO886" s="208"/>
      <c r="CWP886" s="208"/>
      <c r="CWQ886" s="208"/>
      <c r="CWR886" s="208"/>
      <c r="CWS886" s="208"/>
      <c r="CWT886" s="208"/>
      <c r="CWU886" s="208"/>
      <c r="CWV886" s="208"/>
      <c r="CWW886" s="208"/>
      <c r="CWX886" s="208"/>
      <c r="CWY886" s="208"/>
      <c r="CWZ886" s="208"/>
      <c r="CXA886" s="208"/>
      <c r="CXB886" s="208"/>
      <c r="CXC886" s="208"/>
      <c r="CXD886" s="208"/>
      <c r="CXE886" s="208"/>
      <c r="CXF886" s="208"/>
      <c r="CXG886" s="208"/>
      <c r="CXH886" s="208"/>
      <c r="CXI886" s="208"/>
      <c r="CXJ886" s="208"/>
      <c r="CXK886" s="208"/>
      <c r="CXL886" s="208"/>
      <c r="CXM886" s="208"/>
      <c r="CXN886" s="208"/>
      <c r="CXO886" s="208"/>
      <c r="CXP886" s="208"/>
      <c r="CXQ886" s="208"/>
      <c r="CXR886" s="208"/>
      <c r="CXS886" s="208"/>
      <c r="CXT886" s="208"/>
      <c r="CXU886" s="208"/>
      <c r="CXV886" s="208"/>
      <c r="CXW886" s="208"/>
      <c r="CXX886" s="208"/>
      <c r="CXY886" s="208"/>
      <c r="CXZ886" s="208"/>
      <c r="CYA886" s="208"/>
      <c r="CYB886" s="208"/>
      <c r="CYC886" s="208"/>
      <c r="CYD886" s="208"/>
      <c r="CYE886" s="208"/>
      <c r="CYF886" s="208"/>
      <c r="CYG886" s="208"/>
      <c r="CYH886" s="208"/>
      <c r="CYI886" s="208"/>
      <c r="CYJ886" s="208"/>
      <c r="CYK886" s="208"/>
      <c r="CYL886" s="208"/>
      <c r="CYM886" s="208"/>
      <c r="CYN886" s="208"/>
      <c r="CYO886" s="208"/>
      <c r="CYP886" s="208"/>
      <c r="CYQ886" s="208"/>
      <c r="CYR886" s="208"/>
      <c r="CYS886" s="208"/>
      <c r="CYT886" s="208"/>
      <c r="CYU886" s="208"/>
      <c r="CYV886" s="208"/>
      <c r="CYW886" s="208"/>
      <c r="CYX886" s="208"/>
      <c r="CYY886" s="208"/>
      <c r="CYZ886" s="208"/>
      <c r="CZA886" s="208"/>
      <c r="CZB886" s="208"/>
      <c r="CZC886" s="208"/>
      <c r="CZD886" s="208"/>
      <c r="CZE886" s="208"/>
      <c r="CZF886" s="208"/>
      <c r="CZG886" s="208"/>
      <c r="CZH886" s="208"/>
      <c r="CZI886" s="208"/>
      <c r="CZJ886" s="208"/>
      <c r="CZK886" s="208"/>
      <c r="CZL886" s="208"/>
      <c r="CZM886" s="208"/>
      <c r="CZN886" s="208"/>
      <c r="CZO886" s="208"/>
      <c r="CZP886" s="208"/>
      <c r="CZQ886" s="208"/>
      <c r="CZR886" s="208"/>
      <c r="CZS886" s="208"/>
      <c r="CZT886" s="208"/>
      <c r="CZU886" s="208"/>
      <c r="CZV886" s="208"/>
      <c r="CZW886" s="208"/>
      <c r="CZX886" s="208"/>
      <c r="CZY886" s="208"/>
      <c r="CZZ886" s="208"/>
      <c r="DAA886" s="208"/>
      <c r="DAB886" s="208"/>
      <c r="DAC886" s="208"/>
      <c r="DAD886" s="208"/>
      <c r="DAE886" s="208"/>
      <c r="DAF886" s="208"/>
      <c r="DAG886" s="208"/>
      <c r="DAH886" s="208"/>
      <c r="DAI886" s="208"/>
      <c r="DAJ886" s="208"/>
      <c r="DAK886" s="208"/>
      <c r="DAL886" s="208"/>
      <c r="DAM886" s="208"/>
      <c r="DAN886" s="208"/>
      <c r="DAO886" s="208"/>
      <c r="DAP886" s="208"/>
      <c r="DAQ886" s="208"/>
      <c r="DAR886" s="208"/>
      <c r="DAS886" s="208"/>
      <c r="DAT886" s="208"/>
      <c r="DAU886" s="208"/>
      <c r="DAV886" s="208"/>
      <c r="DAW886" s="208"/>
      <c r="DAX886" s="208"/>
      <c r="DAY886" s="208"/>
      <c r="DAZ886" s="208"/>
      <c r="DBA886" s="208"/>
      <c r="DBB886" s="208"/>
      <c r="DBC886" s="208"/>
      <c r="DBD886" s="208"/>
      <c r="DBE886" s="208"/>
      <c r="DBF886" s="208"/>
      <c r="DBG886" s="208"/>
      <c r="DBH886" s="208"/>
      <c r="DBI886" s="208"/>
      <c r="DBJ886" s="208"/>
      <c r="DBK886" s="208"/>
      <c r="DBL886" s="208"/>
      <c r="DBM886" s="208"/>
      <c r="DBN886" s="208"/>
      <c r="DBO886" s="208"/>
      <c r="DBP886" s="208"/>
      <c r="DBQ886" s="208"/>
      <c r="DBR886" s="208"/>
      <c r="DBS886" s="208"/>
      <c r="DBT886" s="208"/>
      <c r="DBU886" s="208"/>
      <c r="DBV886" s="208"/>
      <c r="DBW886" s="208"/>
      <c r="DBX886" s="208"/>
      <c r="DBY886" s="208"/>
      <c r="DBZ886" s="208"/>
      <c r="DCA886" s="208"/>
      <c r="DCB886" s="208"/>
      <c r="DCC886" s="208"/>
      <c r="DCD886" s="208"/>
      <c r="DCE886" s="208"/>
      <c r="DCF886" s="208"/>
      <c r="DCG886" s="208"/>
      <c r="DCH886" s="208"/>
      <c r="DCI886" s="208"/>
      <c r="DCJ886" s="208"/>
      <c r="DCK886" s="208"/>
      <c r="DCL886" s="208"/>
      <c r="DCM886" s="208"/>
      <c r="DCN886" s="208"/>
      <c r="DCO886" s="208"/>
      <c r="DCP886" s="208"/>
      <c r="DCQ886" s="208"/>
      <c r="DCR886" s="208"/>
      <c r="DCS886" s="208"/>
      <c r="DCT886" s="208"/>
      <c r="DCU886" s="208"/>
      <c r="DCV886" s="208"/>
      <c r="DCW886" s="208"/>
      <c r="DCX886" s="208"/>
      <c r="DCY886" s="208"/>
      <c r="DCZ886" s="208"/>
      <c r="DDA886" s="208"/>
      <c r="DDB886" s="208"/>
      <c r="DDC886" s="208"/>
      <c r="DDD886" s="208"/>
      <c r="DDE886" s="208"/>
      <c r="DDF886" s="208"/>
      <c r="DDG886" s="208"/>
      <c r="DDH886" s="208"/>
      <c r="DDI886" s="208"/>
      <c r="DDJ886" s="208"/>
      <c r="DDK886" s="208"/>
      <c r="DDL886" s="208"/>
      <c r="DDM886" s="208"/>
      <c r="DDN886" s="208"/>
      <c r="DDO886" s="208"/>
      <c r="DDP886" s="208"/>
      <c r="DDQ886" s="208"/>
      <c r="DDR886" s="208"/>
      <c r="DDS886" s="208"/>
      <c r="DDT886" s="208"/>
      <c r="DDU886" s="208"/>
      <c r="DDV886" s="208"/>
      <c r="DDW886" s="208"/>
      <c r="DDX886" s="208"/>
      <c r="DDY886" s="208"/>
      <c r="DDZ886" s="208"/>
      <c r="DEA886" s="208"/>
      <c r="DEB886" s="208"/>
      <c r="DEC886" s="208"/>
      <c r="DED886" s="208"/>
      <c r="DEE886" s="208"/>
      <c r="DEF886" s="208"/>
      <c r="DEG886" s="208"/>
      <c r="DEH886" s="208"/>
      <c r="DEI886" s="208"/>
      <c r="DEJ886" s="208"/>
      <c r="DEK886" s="208"/>
      <c r="DEL886" s="208"/>
      <c r="DEM886" s="208"/>
      <c r="DEN886" s="208"/>
      <c r="DEO886" s="208"/>
      <c r="DEP886" s="208"/>
      <c r="DEQ886" s="208"/>
      <c r="DER886" s="208"/>
      <c r="DES886" s="208"/>
      <c r="DET886" s="208"/>
      <c r="DEU886" s="208"/>
      <c r="DEV886" s="208"/>
      <c r="DEW886" s="208"/>
      <c r="DEX886" s="208"/>
      <c r="DEY886" s="208"/>
      <c r="DEZ886" s="208"/>
      <c r="DFA886" s="208"/>
      <c r="DFB886" s="208"/>
      <c r="DFC886" s="208"/>
      <c r="DFD886" s="208"/>
      <c r="DFE886" s="208"/>
      <c r="DFF886" s="208"/>
      <c r="DFG886" s="208"/>
      <c r="DFH886" s="208"/>
      <c r="DFI886" s="208"/>
      <c r="DFJ886" s="208"/>
      <c r="DFK886" s="208"/>
      <c r="DFL886" s="208"/>
      <c r="DFM886" s="208"/>
      <c r="DFN886" s="208"/>
      <c r="DFO886" s="208"/>
      <c r="DFP886" s="208"/>
      <c r="DFQ886" s="208"/>
      <c r="DFR886" s="208"/>
      <c r="DFS886" s="208"/>
      <c r="DFT886" s="208"/>
      <c r="DFU886" s="208"/>
      <c r="DFV886" s="208"/>
      <c r="DFW886" s="208"/>
      <c r="DFX886" s="208"/>
      <c r="DFY886" s="208"/>
      <c r="DFZ886" s="208"/>
      <c r="DGA886" s="208"/>
      <c r="DGB886" s="208"/>
      <c r="DGC886" s="208"/>
      <c r="DGD886" s="208"/>
      <c r="DGE886" s="208"/>
      <c r="DGF886" s="208"/>
      <c r="DGG886" s="208"/>
      <c r="DGH886" s="208"/>
      <c r="DGI886" s="208"/>
      <c r="DGJ886" s="208"/>
      <c r="DGK886" s="208"/>
      <c r="DGL886" s="208"/>
      <c r="DGM886" s="208"/>
      <c r="DGN886" s="208"/>
      <c r="DGO886" s="208"/>
      <c r="DGP886" s="208"/>
      <c r="DGQ886" s="208"/>
      <c r="DGR886" s="208"/>
      <c r="DGS886" s="208"/>
      <c r="DGT886" s="208"/>
      <c r="DGU886" s="208"/>
      <c r="DGV886" s="208"/>
      <c r="DGW886" s="208"/>
      <c r="DGX886" s="208"/>
      <c r="DGY886" s="208"/>
      <c r="DGZ886" s="208"/>
      <c r="DHA886" s="208"/>
      <c r="DHB886" s="208"/>
      <c r="DHC886" s="208"/>
      <c r="DHD886" s="208"/>
      <c r="DHE886" s="208"/>
      <c r="DHF886" s="208"/>
      <c r="DHG886" s="208"/>
      <c r="DHH886" s="208"/>
      <c r="DHI886" s="208"/>
      <c r="DHJ886" s="208"/>
      <c r="DHK886" s="208"/>
      <c r="DHL886" s="208"/>
      <c r="DHM886" s="208"/>
      <c r="DHN886" s="208"/>
      <c r="DHO886" s="208"/>
      <c r="DHP886" s="208"/>
      <c r="DHQ886" s="208"/>
      <c r="DHR886" s="208"/>
      <c r="DHS886" s="208"/>
      <c r="DHT886" s="208"/>
      <c r="DHU886" s="208"/>
      <c r="DHV886" s="208"/>
      <c r="DHW886" s="208"/>
      <c r="DHX886" s="208"/>
      <c r="DHY886" s="208"/>
      <c r="DHZ886" s="208"/>
      <c r="DIA886" s="208"/>
      <c r="DIB886" s="208"/>
      <c r="DIC886" s="208"/>
      <c r="DID886" s="208"/>
      <c r="DIE886" s="208"/>
      <c r="DIF886" s="208"/>
      <c r="DIG886" s="208"/>
      <c r="DIH886" s="208"/>
      <c r="DII886" s="208"/>
      <c r="DIJ886" s="208"/>
      <c r="DIK886" s="208"/>
      <c r="DIL886" s="208"/>
      <c r="DIM886" s="208"/>
      <c r="DIN886" s="208"/>
      <c r="DIO886" s="208"/>
      <c r="DIP886" s="208"/>
      <c r="DIQ886" s="208"/>
      <c r="DIR886" s="208"/>
      <c r="DIS886" s="208"/>
      <c r="DIT886" s="208"/>
      <c r="DIU886" s="208"/>
      <c r="DIV886" s="208"/>
      <c r="DIW886" s="208"/>
      <c r="DIX886" s="208"/>
      <c r="DIY886" s="208"/>
      <c r="DIZ886" s="208"/>
      <c r="DJA886" s="208"/>
      <c r="DJB886" s="208"/>
      <c r="DJC886" s="208"/>
      <c r="DJD886" s="208"/>
      <c r="DJE886" s="208"/>
      <c r="DJF886" s="208"/>
      <c r="DJG886" s="208"/>
      <c r="DJH886" s="208"/>
      <c r="DJI886" s="208"/>
      <c r="DJJ886" s="208"/>
      <c r="DJK886" s="208"/>
      <c r="DJL886" s="208"/>
      <c r="DJM886" s="208"/>
      <c r="DJN886" s="208"/>
      <c r="DJO886" s="208"/>
      <c r="DJP886" s="208"/>
      <c r="DJQ886" s="208"/>
      <c r="DJR886" s="208"/>
      <c r="DJS886" s="208"/>
      <c r="DJT886" s="208"/>
      <c r="DJU886" s="208"/>
      <c r="DJV886" s="208"/>
      <c r="DJW886" s="208"/>
      <c r="DJX886" s="208"/>
      <c r="DJY886" s="208"/>
      <c r="DJZ886" s="208"/>
      <c r="DKA886" s="208"/>
      <c r="DKB886" s="208"/>
      <c r="DKC886" s="208"/>
      <c r="DKD886" s="208"/>
      <c r="DKE886" s="208"/>
      <c r="DKF886" s="208"/>
      <c r="DKG886" s="208"/>
      <c r="DKH886" s="208"/>
      <c r="DKI886" s="208"/>
      <c r="DKJ886" s="208"/>
      <c r="DKK886" s="208"/>
      <c r="DKL886" s="208"/>
      <c r="DKM886" s="208"/>
      <c r="DKN886" s="208"/>
      <c r="DKO886" s="208"/>
      <c r="DKP886" s="208"/>
      <c r="DKQ886" s="208"/>
      <c r="DKR886" s="208"/>
      <c r="DKS886" s="208"/>
      <c r="DKT886" s="208"/>
      <c r="DKU886" s="208"/>
      <c r="DKV886" s="208"/>
      <c r="DKW886" s="208"/>
      <c r="DKX886" s="208"/>
      <c r="DKY886" s="208"/>
      <c r="DKZ886" s="208"/>
      <c r="DLA886" s="208"/>
      <c r="DLB886" s="208"/>
      <c r="DLC886" s="208"/>
      <c r="DLD886" s="208"/>
      <c r="DLE886" s="208"/>
      <c r="DLF886" s="208"/>
      <c r="DLG886" s="208"/>
      <c r="DLH886" s="208"/>
      <c r="DLI886" s="208"/>
      <c r="DLJ886" s="208"/>
      <c r="DLK886" s="208"/>
      <c r="DLL886" s="208"/>
      <c r="DLM886" s="208"/>
      <c r="DLN886" s="208"/>
      <c r="DLO886" s="208"/>
      <c r="DLP886" s="208"/>
      <c r="DLQ886" s="208"/>
      <c r="DLR886" s="208"/>
      <c r="DLS886" s="208"/>
      <c r="DLT886" s="208"/>
      <c r="DLU886" s="208"/>
      <c r="DLV886" s="208"/>
      <c r="DLW886" s="208"/>
      <c r="DLX886" s="208"/>
      <c r="DLY886" s="208"/>
      <c r="DLZ886" s="208"/>
      <c r="DMA886" s="208"/>
      <c r="DMB886" s="208"/>
      <c r="DMC886" s="208"/>
      <c r="DMD886" s="208"/>
      <c r="DME886" s="208"/>
      <c r="DMF886" s="208"/>
      <c r="DMG886" s="208"/>
      <c r="DMH886" s="208"/>
      <c r="DMI886" s="208"/>
      <c r="DMJ886" s="208"/>
      <c r="DMK886" s="208"/>
      <c r="DML886" s="208"/>
      <c r="DMM886" s="208"/>
      <c r="DMN886" s="208"/>
      <c r="DMO886" s="208"/>
      <c r="DMP886" s="208"/>
      <c r="DMQ886" s="208"/>
      <c r="DMR886" s="208"/>
      <c r="DMS886" s="208"/>
      <c r="DMT886" s="208"/>
      <c r="DMU886" s="208"/>
      <c r="DMV886" s="208"/>
      <c r="DMW886" s="208"/>
      <c r="DMX886" s="208"/>
      <c r="DMY886" s="208"/>
      <c r="DMZ886" s="208"/>
      <c r="DNA886" s="208"/>
      <c r="DNB886" s="208"/>
      <c r="DNC886" s="208"/>
      <c r="DND886" s="208"/>
      <c r="DNE886" s="208"/>
      <c r="DNF886" s="208"/>
      <c r="DNG886" s="208"/>
      <c r="DNH886" s="208"/>
      <c r="DNI886" s="208"/>
      <c r="DNJ886" s="208"/>
      <c r="DNK886" s="208"/>
      <c r="DNL886" s="208"/>
      <c r="DNM886" s="208"/>
      <c r="DNN886" s="208"/>
      <c r="DNO886" s="208"/>
      <c r="DNP886" s="208"/>
      <c r="DNQ886" s="208"/>
      <c r="DNR886" s="208"/>
      <c r="DNS886" s="208"/>
      <c r="DNT886" s="208"/>
      <c r="DNU886" s="208"/>
      <c r="DNV886" s="208"/>
      <c r="DNW886" s="208"/>
      <c r="DNX886" s="208"/>
      <c r="DNY886" s="208"/>
      <c r="DNZ886" s="208"/>
      <c r="DOA886" s="208"/>
      <c r="DOB886" s="208"/>
      <c r="DOC886" s="208"/>
      <c r="DOD886" s="208"/>
      <c r="DOE886" s="208"/>
      <c r="DOF886" s="208"/>
      <c r="DOG886" s="208"/>
      <c r="DOH886" s="208"/>
      <c r="DOI886" s="208"/>
      <c r="DOJ886" s="208"/>
      <c r="DOK886" s="208"/>
      <c r="DOL886" s="208"/>
      <c r="DOM886" s="208"/>
      <c r="DON886" s="208"/>
      <c r="DOO886" s="208"/>
      <c r="DOP886" s="208"/>
      <c r="DOQ886" s="208"/>
      <c r="DOR886" s="208"/>
      <c r="DOS886" s="208"/>
      <c r="DOT886" s="208"/>
      <c r="DOU886" s="208"/>
      <c r="DOV886" s="208"/>
      <c r="DOW886" s="208"/>
      <c r="DOX886" s="208"/>
      <c r="DOY886" s="208"/>
      <c r="DOZ886" s="208"/>
      <c r="DPA886" s="208"/>
      <c r="DPB886" s="208"/>
      <c r="DPC886" s="208"/>
      <c r="DPD886" s="208"/>
      <c r="DPE886" s="208"/>
      <c r="DPF886" s="208"/>
      <c r="DPG886" s="208"/>
      <c r="DPH886" s="208"/>
      <c r="DPI886" s="208"/>
      <c r="DPJ886" s="208"/>
      <c r="DPK886" s="208"/>
      <c r="DPL886" s="208"/>
      <c r="DPM886" s="208"/>
      <c r="DPN886" s="208"/>
      <c r="DPO886" s="208"/>
      <c r="DPP886" s="208"/>
      <c r="DPQ886" s="208"/>
      <c r="DPR886" s="208"/>
      <c r="DPS886" s="208"/>
      <c r="DPT886" s="208"/>
      <c r="DPU886" s="208"/>
      <c r="DPV886" s="208"/>
      <c r="DPW886" s="208"/>
      <c r="DPX886" s="208"/>
      <c r="DPY886" s="208"/>
      <c r="DPZ886" s="208"/>
      <c r="DQA886" s="208"/>
      <c r="DQB886" s="208"/>
      <c r="DQC886" s="208"/>
      <c r="DQD886" s="208"/>
      <c r="DQE886" s="208"/>
      <c r="DQF886" s="208"/>
      <c r="DQG886" s="208"/>
      <c r="DQH886" s="208"/>
      <c r="DQI886" s="208"/>
      <c r="DQJ886" s="208"/>
      <c r="DQK886" s="208"/>
      <c r="DQL886" s="208"/>
      <c r="DQM886" s="208"/>
      <c r="DQN886" s="208"/>
      <c r="DQO886" s="208"/>
      <c r="DQP886" s="208"/>
      <c r="DQQ886" s="208"/>
      <c r="DQR886" s="208"/>
      <c r="DQS886" s="208"/>
      <c r="DQT886" s="208"/>
      <c r="DQU886" s="208"/>
      <c r="DQV886" s="208"/>
      <c r="DQW886" s="208"/>
      <c r="DQX886" s="208"/>
      <c r="DQY886" s="208"/>
      <c r="DQZ886" s="208"/>
      <c r="DRA886" s="208"/>
      <c r="DRB886" s="208"/>
      <c r="DRC886" s="208"/>
      <c r="DRD886" s="208"/>
      <c r="DRE886" s="208"/>
      <c r="DRF886" s="208"/>
      <c r="DRG886" s="208"/>
      <c r="DRH886" s="208"/>
      <c r="DRI886" s="208"/>
      <c r="DRJ886" s="208"/>
      <c r="DRK886" s="208"/>
      <c r="DRL886" s="208"/>
      <c r="DRM886" s="208"/>
      <c r="DRN886" s="208"/>
      <c r="DRO886" s="208"/>
      <c r="DRP886" s="208"/>
      <c r="DRQ886" s="208"/>
      <c r="DRR886" s="208"/>
      <c r="DRS886" s="208"/>
      <c r="DRT886" s="208"/>
      <c r="DRU886" s="208"/>
      <c r="DRV886" s="208"/>
      <c r="DRW886" s="208"/>
      <c r="DRX886" s="208"/>
      <c r="DRY886" s="208"/>
      <c r="DRZ886" s="208"/>
      <c r="DSA886" s="208"/>
      <c r="DSB886" s="208"/>
      <c r="DSC886" s="208"/>
      <c r="DSD886" s="208"/>
      <c r="DSE886" s="208"/>
      <c r="DSF886" s="208"/>
      <c r="DSG886" s="208"/>
      <c r="DSH886" s="208"/>
      <c r="DSI886" s="208"/>
      <c r="DSJ886" s="208"/>
      <c r="DSK886" s="208"/>
      <c r="DSL886" s="208"/>
      <c r="DSM886" s="208"/>
      <c r="DSN886" s="208"/>
      <c r="DSO886" s="208"/>
      <c r="DSP886" s="208"/>
      <c r="DSQ886" s="208"/>
      <c r="DSR886" s="208"/>
      <c r="DSS886" s="208"/>
      <c r="DST886" s="208"/>
      <c r="DSU886" s="208"/>
      <c r="DSV886" s="208"/>
      <c r="DSW886" s="208"/>
      <c r="DSX886" s="208"/>
      <c r="DSY886" s="208"/>
      <c r="DSZ886" s="208"/>
      <c r="DTA886" s="208"/>
      <c r="DTB886" s="208"/>
      <c r="DTC886" s="208"/>
      <c r="DTD886" s="208"/>
      <c r="DTE886" s="208"/>
      <c r="DTF886" s="208"/>
      <c r="DTG886" s="208"/>
      <c r="DTH886" s="208"/>
      <c r="DTI886" s="208"/>
      <c r="DTJ886" s="208"/>
      <c r="DTK886" s="208"/>
      <c r="DTL886" s="208"/>
      <c r="DTM886" s="208"/>
      <c r="DTN886" s="208"/>
      <c r="DTO886" s="208"/>
      <c r="DTP886" s="208"/>
      <c r="DTQ886" s="208"/>
      <c r="DTR886" s="208"/>
      <c r="DTS886" s="208"/>
      <c r="DTT886" s="208"/>
      <c r="DTU886" s="208"/>
      <c r="DTV886" s="208"/>
      <c r="DTW886" s="208"/>
      <c r="DTX886" s="208"/>
      <c r="DTY886" s="208"/>
      <c r="DTZ886" s="208"/>
      <c r="DUA886" s="208"/>
      <c r="DUB886" s="208"/>
      <c r="DUC886" s="208"/>
      <c r="DUD886" s="208"/>
      <c r="DUE886" s="208"/>
      <c r="DUF886" s="208"/>
      <c r="DUG886" s="208"/>
      <c r="DUH886" s="208"/>
      <c r="DUI886" s="208"/>
      <c r="DUJ886" s="208"/>
      <c r="DUK886" s="208"/>
      <c r="DUL886" s="208"/>
      <c r="DUM886" s="208"/>
      <c r="DUN886" s="208"/>
      <c r="DUO886" s="208"/>
      <c r="DUP886" s="208"/>
      <c r="DUQ886" s="208"/>
      <c r="DUR886" s="208"/>
      <c r="DUS886" s="208"/>
      <c r="DUT886" s="208"/>
      <c r="DUU886" s="208"/>
      <c r="DUV886" s="208"/>
      <c r="DUW886" s="208"/>
      <c r="DUX886" s="208"/>
      <c r="DUY886" s="208"/>
      <c r="DUZ886" s="208"/>
      <c r="DVA886" s="208"/>
      <c r="DVB886" s="208"/>
      <c r="DVC886" s="208"/>
      <c r="DVD886" s="208"/>
      <c r="DVE886" s="208"/>
      <c r="DVF886" s="208"/>
      <c r="DVG886" s="208"/>
      <c r="DVH886" s="208"/>
      <c r="DVI886" s="208"/>
      <c r="DVJ886" s="208"/>
      <c r="DVK886" s="208"/>
      <c r="DVL886" s="208"/>
      <c r="DVM886" s="208"/>
      <c r="DVN886" s="208"/>
      <c r="DVO886" s="208"/>
      <c r="DVP886" s="208"/>
      <c r="DVQ886" s="208"/>
      <c r="DVR886" s="208"/>
      <c r="DVS886" s="208"/>
      <c r="DVT886" s="208"/>
      <c r="DVU886" s="208"/>
      <c r="DVV886" s="208"/>
      <c r="DVW886" s="208"/>
      <c r="DVX886" s="208"/>
      <c r="DVY886" s="208"/>
      <c r="DVZ886" s="208"/>
      <c r="DWA886" s="208"/>
      <c r="DWB886" s="208"/>
      <c r="DWC886" s="208"/>
      <c r="DWD886" s="208"/>
      <c r="DWE886" s="208"/>
      <c r="DWF886" s="208"/>
      <c r="DWG886" s="208"/>
      <c r="DWH886" s="208"/>
      <c r="DWI886" s="208"/>
      <c r="DWJ886" s="208"/>
      <c r="DWK886" s="208"/>
      <c r="DWL886" s="208"/>
      <c r="DWM886" s="208"/>
      <c r="DWN886" s="208"/>
      <c r="DWO886" s="208"/>
      <c r="DWP886" s="208"/>
      <c r="DWQ886" s="208"/>
      <c r="DWR886" s="208"/>
      <c r="DWS886" s="208"/>
      <c r="DWT886" s="208"/>
      <c r="DWU886" s="208"/>
      <c r="DWV886" s="208"/>
      <c r="DWW886" s="208"/>
      <c r="DWX886" s="208"/>
      <c r="DWY886" s="208"/>
      <c r="DWZ886" s="208"/>
      <c r="DXA886" s="208"/>
      <c r="DXB886" s="208"/>
      <c r="DXC886" s="208"/>
      <c r="DXD886" s="208"/>
      <c r="DXE886" s="208"/>
      <c r="DXF886" s="208"/>
      <c r="DXG886" s="208"/>
      <c r="DXH886" s="208"/>
      <c r="DXI886" s="208"/>
      <c r="DXJ886" s="208"/>
      <c r="DXK886" s="208"/>
      <c r="DXL886" s="208"/>
      <c r="DXM886" s="208"/>
      <c r="DXN886" s="208"/>
      <c r="DXO886" s="208"/>
      <c r="DXP886" s="208"/>
      <c r="DXQ886" s="208"/>
      <c r="DXR886" s="208"/>
      <c r="DXS886" s="208"/>
      <c r="DXT886" s="208"/>
      <c r="DXU886" s="208"/>
      <c r="DXV886" s="208"/>
      <c r="DXW886" s="208"/>
      <c r="DXX886" s="208"/>
      <c r="DXY886" s="208"/>
      <c r="DXZ886" s="208"/>
      <c r="DYA886" s="208"/>
      <c r="DYB886" s="208"/>
      <c r="DYC886" s="208"/>
      <c r="DYD886" s="208"/>
      <c r="DYE886" s="208"/>
      <c r="DYF886" s="208"/>
      <c r="DYG886" s="208"/>
      <c r="DYH886" s="208"/>
      <c r="DYI886" s="208"/>
      <c r="DYJ886" s="208"/>
      <c r="DYK886" s="208"/>
      <c r="DYL886" s="208"/>
      <c r="DYM886" s="208"/>
      <c r="DYN886" s="208"/>
      <c r="DYO886" s="208"/>
      <c r="DYP886" s="208"/>
      <c r="DYQ886" s="208"/>
      <c r="DYR886" s="208"/>
      <c r="DYS886" s="208"/>
      <c r="DYT886" s="208"/>
      <c r="DYU886" s="208"/>
      <c r="DYV886" s="208"/>
      <c r="DYW886" s="208"/>
      <c r="DYX886" s="208"/>
      <c r="DYY886" s="208"/>
      <c r="DYZ886" s="208"/>
      <c r="DZA886" s="208"/>
      <c r="DZB886" s="208"/>
      <c r="DZC886" s="208"/>
      <c r="DZD886" s="208"/>
      <c r="DZE886" s="208"/>
      <c r="DZF886" s="208"/>
      <c r="DZG886" s="208"/>
      <c r="DZH886" s="208"/>
      <c r="DZI886" s="208"/>
      <c r="DZJ886" s="208"/>
      <c r="DZK886" s="208"/>
      <c r="DZL886" s="208"/>
      <c r="DZM886" s="208"/>
      <c r="DZN886" s="208"/>
      <c r="DZO886" s="208"/>
      <c r="DZP886" s="208"/>
      <c r="DZQ886" s="208"/>
      <c r="DZR886" s="208"/>
      <c r="DZS886" s="208"/>
      <c r="DZT886" s="208"/>
      <c r="DZU886" s="208"/>
      <c r="DZV886" s="208"/>
      <c r="DZW886" s="208"/>
      <c r="DZX886" s="208"/>
      <c r="DZY886" s="208"/>
      <c r="DZZ886" s="208"/>
      <c r="EAA886" s="208"/>
      <c r="EAB886" s="208"/>
      <c r="EAC886" s="208"/>
      <c r="EAD886" s="208"/>
      <c r="EAE886" s="208"/>
      <c r="EAF886" s="208"/>
      <c r="EAG886" s="208"/>
      <c r="EAH886" s="208"/>
      <c r="EAI886" s="208"/>
      <c r="EAJ886" s="208"/>
      <c r="EAK886" s="208"/>
      <c r="EAL886" s="208"/>
      <c r="EAM886" s="208"/>
      <c r="EAN886" s="208"/>
      <c r="EAO886" s="208"/>
      <c r="EAP886" s="208"/>
      <c r="EAQ886" s="208"/>
      <c r="EAR886" s="208"/>
      <c r="EAS886" s="208"/>
      <c r="EAT886" s="208"/>
      <c r="EAU886" s="208"/>
      <c r="EAV886" s="208"/>
      <c r="EAW886" s="208"/>
      <c r="EAX886" s="208"/>
      <c r="EAY886" s="208"/>
      <c r="EAZ886" s="208"/>
      <c r="EBA886" s="208"/>
      <c r="EBB886" s="208"/>
      <c r="EBC886" s="208"/>
      <c r="EBD886" s="208"/>
      <c r="EBE886" s="208"/>
      <c r="EBF886" s="208"/>
      <c r="EBG886" s="208"/>
      <c r="EBH886" s="208"/>
      <c r="EBI886" s="208"/>
      <c r="EBJ886" s="208"/>
      <c r="EBK886" s="208"/>
      <c r="EBL886" s="208"/>
      <c r="EBM886" s="208"/>
      <c r="EBN886" s="208"/>
      <c r="EBO886" s="208"/>
      <c r="EBP886" s="208"/>
      <c r="EBQ886" s="208"/>
      <c r="EBR886" s="208"/>
      <c r="EBS886" s="208"/>
      <c r="EBT886" s="208"/>
      <c r="EBU886" s="208"/>
      <c r="EBV886" s="208"/>
      <c r="EBW886" s="208"/>
      <c r="EBX886" s="208"/>
      <c r="EBY886" s="208"/>
      <c r="EBZ886" s="208"/>
      <c r="ECA886" s="208"/>
      <c r="ECB886" s="208"/>
      <c r="ECC886" s="208"/>
      <c r="ECD886" s="208"/>
      <c r="ECE886" s="208"/>
      <c r="ECF886" s="208"/>
      <c r="ECG886" s="208"/>
      <c r="ECH886" s="208"/>
      <c r="ECI886" s="208"/>
      <c r="ECJ886" s="208"/>
      <c r="ECK886" s="208"/>
      <c r="ECL886" s="208"/>
      <c r="ECM886" s="208"/>
      <c r="ECN886" s="208"/>
      <c r="ECO886" s="208"/>
      <c r="ECP886" s="208"/>
      <c r="ECQ886" s="208"/>
      <c r="ECR886" s="208"/>
      <c r="ECS886" s="208"/>
      <c r="ECT886" s="208"/>
      <c r="ECU886" s="208"/>
      <c r="ECV886" s="208"/>
      <c r="ECW886" s="208"/>
      <c r="ECX886" s="208"/>
      <c r="ECY886" s="208"/>
      <c r="ECZ886" s="208"/>
      <c r="EDA886" s="208"/>
      <c r="EDB886" s="208"/>
      <c r="EDC886" s="208"/>
      <c r="EDD886" s="208"/>
      <c r="EDE886" s="208"/>
      <c r="EDF886" s="208"/>
      <c r="EDG886" s="208"/>
      <c r="EDH886" s="208"/>
      <c r="EDI886" s="208"/>
      <c r="EDJ886" s="208"/>
      <c r="EDK886" s="208"/>
      <c r="EDL886" s="208"/>
      <c r="EDM886" s="208"/>
      <c r="EDN886" s="208"/>
      <c r="EDO886" s="208"/>
      <c r="EDP886" s="208"/>
      <c r="EDQ886" s="208"/>
      <c r="EDR886" s="208"/>
      <c r="EDS886" s="208"/>
      <c r="EDT886" s="208"/>
      <c r="EDU886" s="208"/>
      <c r="EDV886" s="208"/>
      <c r="EDW886" s="208"/>
      <c r="EDX886" s="208"/>
      <c r="EDY886" s="208"/>
      <c r="EDZ886" s="208"/>
      <c r="EEA886" s="208"/>
      <c r="EEB886" s="208"/>
      <c r="EEC886" s="208"/>
      <c r="EED886" s="208"/>
      <c r="EEE886" s="208"/>
      <c r="EEF886" s="208"/>
      <c r="EEG886" s="208"/>
      <c r="EEH886" s="208"/>
      <c r="EEI886" s="208"/>
      <c r="EEJ886" s="208"/>
      <c r="EEK886" s="208"/>
      <c r="EEL886" s="208"/>
      <c r="EEM886" s="208"/>
      <c r="EEN886" s="208"/>
      <c r="EEO886" s="208"/>
      <c r="EEP886" s="208"/>
      <c r="EEQ886" s="208"/>
      <c r="EER886" s="208"/>
      <c r="EES886" s="208"/>
      <c r="EET886" s="208"/>
      <c r="EEU886" s="208"/>
      <c r="EEV886" s="208"/>
      <c r="EEW886" s="208"/>
      <c r="EEX886" s="208"/>
      <c r="EEY886" s="208"/>
      <c r="EEZ886" s="208"/>
      <c r="EFA886" s="208"/>
      <c r="EFB886" s="208"/>
      <c r="EFC886" s="208"/>
      <c r="EFD886" s="208"/>
      <c r="EFE886" s="208"/>
      <c r="EFF886" s="208"/>
      <c r="EFG886" s="208"/>
      <c r="EFH886" s="208"/>
      <c r="EFI886" s="208"/>
      <c r="EFJ886" s="208"/>
      <c r="EFK886" s="208"/>
      <c r="EFL886" s="208"/>
      <c r="EFM886" s="208"/>
      <c r="EFN886" s="208"/>
      <c r="EFO886" s="208"/>
      <c r="EFP886" s="208"/>
      <c r="EFQ886" s="208"/>
      <c r="EFR886" s="208"/>
      <c r="EFS886" s="208"/>
      <c r="EFT886" s="208"/>
      <c r="EFU886" s="208"/>
      <c r="EFV886" s="208"/>
      <c r="EFW886" s="208"/>
      <c r="EFX886" s="208"/>
      <c r="EFY886" s="208"/>
      <c r="EFZ886" s="208"/>
      <c r="EGA886" s="208"/>
      <c r="EGB886" s="208"/>
      <c r="EGC886" s="208"/>
      <c r="EGD886" s="208"/>
      <c r="EGE886" s="208"/>
      <c r="EGF886" s="208"/>
      <c r="EGG886" s="208"/>
      <c r="EGH886" s="208"/>
      <c r="EGI886" s="208"/>
      <c r="EGJ886" s="208"/>
      <c r="EGK886" s="208"/>
      <c r="EGL886" s="208"/>
      <c r="EGM886" s="208"/>
      <c r="EGN886" s="208"/>
      <c r="EGO886" s="208"/>
      <c r="EGP886" s="208"/>
      <c r="EGQ886" s="208"/>
      <c r="EGR886" s="208"/>
      <c r="EGS886" s="208"/>
      <c r="EGT886" s="208"/>
      <c r="EGU886" s="208"/>
      <c r="EGV886" s="208"/>
      <c r="EGW886" s="208"/>
      <c r="EGX886" s="208"/>
      <c r="EGY886" s="208"/>
      <c r="EGZ886" s="208"/>
      <c r="EHA886" s="208"/>
      <c r="EHB886" s="208"/>
      <c r="EHC886" s="208"/>
      <c r="EHD886" s="208"/>
      <c r="EHE886" s="208"/>
      <c r="EHF886" s="208"/>
      <c r="EHG886" s="208"/>
      <c r="EHH886" s="208"/>
      <c r="EHI886" s="208"/>
      <c r="EHJ886" s="208"/>
      <c r="EHK886" s="208"/>
      <c r="EHL886" s="208"/>
      <c r="EHM886" s="208"/>
      <c r="EHN886" s="208"/>
      <c r="EHO886" s="208"/>
      <c r="EHP886" s="208"/>
      <c r="EHQ886" s="208"/>
      <c r="EHR886" s="208"/>
      <c r="EHS886" s="208"/>
      <c r="EHT886" s="208"/>
      <c r="EHU886" s="208"/>
      <c r="EHV886" s="208"/>
      <c r="EHW886" s="208"/>
      <c r="EHX886" s="208"/>
      <c r="EHY886" s="208"/>
      <c r="EHZ886" s="208"/>
      <c r="EIA886" s="208"/>
      <c r="EIB886" s="208"/>
      <c r="EIC886" s="208"/>
      <c r="EID886" s="208"/>
      <c r="EIE886" s="208"/>
      <c r="EIF886" s="208"/>
      <c r="EIG886" s="208"/>
      <c r="EIH886" s="208"/>
      <c r="EII886" s="208"/>
      <c r="EIJ886" s="208"/>
      <c r="EIK886" s="208"/>
      <c r="EIL886" s="208"/>
      <c r="EIM886" s="208"/>
      <c r="EIN886" s="208"/>
      <c r="EIO886" s="208"/>
      <c r="EIP886" s="208"/>
      <c r="EIQ886" s="208"/>
      <c r="EIR886" s="208"/>
      <c r="EIS886" s="208"/>
      <c r="EIT886" s="208"/>
      <c r="EIU886" s="208"/>
      <c r="EIV886" s="208"/>
      <c r="EIW886" s="208"/>
      <c r="EIX886" s="208"/>
      <c r="EIY886" s="208"/>
      <c r="EIZ886" s="208"/>
      <c r="EJA886" s="208"/>
      <c r="EJB886" s="208"/>
      <c r="EJC886" s="208"/>
      <c r="EJD886" s="208"/>
      <c r="EJE886" s="208"/>
      <c r="EJF886" s="208"/>
      <c r="EJG886" s="208"/>
      <c r="EJH886" s="208"/>
      <c r="EJI886" s="208"/>
      <c r="EJJ886" s="208"/>
      <c r="EJK886" s="208"/>
      <c r="EJL886" s="208"/>
      <c r="EJM886" s="208"/>
      <c r="EJN886" s="208"/>
      <c r="EJO886" s="208"/>
      <c r="EJP886" s="208"/>
      <c r="EJQ886" s="208"/>
      <c r="EJR886" s="208"/>
      <c r="EJS886" s="208"/>
      <c r="EJT886" s="208"/>
      <c r="EJU886" s="208"/>
      <c r="EJV886" s="208"/>
      <c r="EJW886" s="208"/>
      <c r="EJX886" s="208"/>
      <c r="EJY886" s="208"/>
      <c r="EJZ886" s="208"/>
      <c r="EKA886" s="208"/>
      <c r="EKB886" s="208"/>
      <c r="EKC886" s="208"/>
      <c r="EKD886" s="208"/>
      <c r="EKE886" s="208"/>
      <c r="EKF886" s="208"/>
      <c r="EKG886" s="208"/>
      <c r="EKH886" s="208"/>
      <c r="EKI886" s="208"/>
      <c r="EKJ886" s="208"/>
      <c r="EKK886" s="208"/>
      <c r="EKL886" s="208"/>
      <c r="EKM886" s="208"/>
      <c r="EKN886" s="208"/>
      <c r="EKO886" s="208"/>
      <c r="EKP886" s="208"/>
      <c r="EKQ886" s="208"/>
      <c r="EKR886" s="208"/>
      <c r="EKS886" s="208"/>
      <c r="EKT886" s="208"/>
      <c r="EKU886" s="208"/>
      <c r="EKV886" s="208"/>
      <c r="EKW886" s="208"/>
      <c r="EKX886" s="208"/>
      <c r="EKY886" s="208"/>
      <c r="EKZ886" s="208"/>
      <c r="ELA886" s="208"/>
      <c r="ELB886" s="208"/>
      <c r="ELC886" s="208"/>
      <c r="ELD886" s="208"/>
      <c r="ELE886" s="208"/>
      <c r="ELF886" s="208"/>
      <c r="ELG886" s="208"/>
      <c r="ELH886" s="208"/>
      <c r="ELI886" s="208"/>
      <c r="ELJ886" s="208"/>
      <c r="ELK886" s="208"/>
      <c r="ELL886" s="208"/>
      <c r="ELM886" s="208"/>
      <c r="ELN886" s="208"/>
      <c r="ELO886" s="208"/>
      <c r="ELP886" s="208"/>
      <c r="ELQ886" s="208"/>
      <c r="ELR886" s="208"/>
      <c r="ELS886" s="208"/>
      <c r="ELT886" s="208"/>
      <c r="ELU886" s="208"/>
      <c r="ELV886" s="208"/>
      <c r="ELW886" s="208"/>
      <c r="ELX886" s="208"/>
      <c r="ELY886" s="208"/>
      <c r="ELZ886" s="208"/>
      <c r="EMA886" s="208"/>
      <c r="EMB886" s="208"/>
      <c r="EMC886" s="208"/>
      <c r="EMD886" s="208"/>
      <c r="EME886" s="208"/>
      <c r="EMF886" s="208"/>
      <c r="EMG886" s="208"/>
      <c r="EMH886" s="208"/>
      <c r="EMI886" s="208"/>
      <c r="EMJ886" s="208"/>
      <c r="EMK886" s="208"/>
      <c r="EML886" s="208"/>
      <c r="EMM886" s="208"/>
      <c r="EMN886" s="208"/>
      <c r="EMO886" s="208"/>
      <c r="EMP886" s="208"/>
      <c r="EMQ886" s="208"/>
      <c r="EMR886" s="208"/>
      <c r="EMS886" s="208"/>
      <c r="EMT886" s="208"/>
      <c r="EMU886" s="208"/>
      <c r="EMV886" s="208"/>
      <c r="EMW886" s="208"/>
      <c r="EMX886" s="208"/>
      <c r="EMY886" s="208"/>
      <c r="EMZ886" s="208"/>
      <c r="ENA886" s="208"/>
      <c r="ENB886" s="208"/>
      <c r="ENC886" s="208"/>
      <c r="END886" s="208"/>
      <c r="ENE886" s="208"/>
      <c r="ENF886" s="208"/>
      <c r="ENG886" s="208"/>
      <c r="ENH886" s="208"/>
      <c r="ENI886" s="208"/>
      <c r="ENJ886" s="208"/>
      <c r="ENK886" s="208"/>
      <c r="ENL886" s="208"/>
      <c r="ENM886" s="208"/>
      <c r="ENN886" s="208"/>
      <c r="ENO886" s="208"/>
      <c r="ENP886" s="208"/>
      <c r="ENQ886" s="208"/>
      <c r="ENR886" s="208"/>
      <c r="ENS886" s="208"/>
      <c r="ENT886" s="208"/>
      <c r="ENU886" s="208"/>
      <c r="ENV886" s="208"/>
      <c r="ENW886" s="208"/>
      <c r="ENX886" s="208"/>
      <c r="ENY886" s="208"/>
      <c r="ENZ886" s="208"/>
      <c r="EOA886" s="208"/>
      <c r="EOB886" s="208"/>
      <c r="EOC886" s="208"/>
      <c r="EOD886" s="208"/>
      <c r="EOE886" s="208"/>
      <c r="EOF886" s="208"/>
      <c r="EOG886" s="208"/>
      <c r="EOH886" s="208"/>
      <c r="EOI886" s="208"/>
      <c r="EOJ886" s="208"/>
      <c r="EOK886" s="208"/>
      <c r="EOL886" s="208"/>
      <c r="EOM886" s="208"/>
      <c r="EON886" s="208"/>
      <c r="EOO886" s="208"/>
      <c r="EOP886" s="208"/>
      <c r="EOQ886" s="208"/>
      <c r="EOR886" s="208"/>
      <c r="EOS886" s="208"/>
      <c r="EOT886" s="208"/>
      <c r="EOU886" s="208"/>
      <c r="EOV886" s="208"/>
      <c r="EOW886" s="208"/>
      <c r="EOX886" s="208"/>
      <c r="EOY886" s="208"/>
      <c r="EOZ886" s="208"/>
      <c r="EPA886" s="208"/>
      <c r="EPB886" s="208"/>
      <c r="EPC886" s="208"/>
      <c r="EPD886" s="208"/>
      <c r="EPE886" s="208"/>
      <c r="EPF886" s="208"/>
      <c r="EPG886" s="208"/>
      <c r="EPH886" s="208"/>
      <c r="EPI886" s="208"/>
      <c r="EPJ886" s="208"/>
      <c r="EPK886" s="208"/>
      <c r="EPL886" s="208"/>
      <c r="EPM886" s="208"/>
      <c r="EPN886" s="208"/>
      <c r="EPO886" s="208"/>
      <c r="EPP886" s="208"/>
      <c r="EPQ886" s="208"/>
      <c r="EPR886" s="208"/>
      <c r="EPS886" s="208"/>
      <c r="EPT886" s="208"/>
      <c r="EPU886" s="208"/>
      <c r="EPV886" s="208"/>
      <c r="EPW886" s="208"/>
      <c r="EPX886" s="208"/>
      <c r="EPY886" s="208"/>
      <c r="EPZ886" s="208"/>
      <c r="EQA886" s="208"/>
      <c r="EQB886" s="208"/>
      <c r="EQC886" s="208"/>
      <c r="EQD886" s="208"/>
      <c r="EQE886" s="208"/>
      <c r="EQF886" s="208"/>
      <c r="EQG886" s="208"/>
      <c r="EQH886" s="208"/>
      <c r="EQI886" s="208"/>
      <c r="EQJ886" s="208"/>
      <c r="EQK886" s="208"/>
      <c r="EQL886" s="208"/>
      <c r="EQM886" s="208"/>
      <c r="EQN886" s="208"/>
      <c r="EQO886" s="208"/>
      <c r="EQP886" s="208"/>
      <c r="EQQ886" s="208"/>
      <c r="EQR886" s="208"/>
      <c r="EQS886" s="208"/>
      <c r="EQT886" s="208"/>
      <c r="EQU886" s="208"/>
      <c r="EQV886" s="208"/>
      <c r="EQW886" s="208"/>
      <c r="EQX886" s="208"/>
      <c r="EQY886" s="208"/>
      <c r="EQZ886" s="208"/>
      <c r="ERA886" s="208"/>
      <c r="ERB886" s="208"/>
      <c r="ERC886" s="208"/>
      <c r="ERD886" s="208"/>
      <c r="ERE886" s="208"/>
      <c r="ERF886" s="208"/>
      <c r="ERG886" s="208"/>
      <c r="ERH886" s="208"/>
      <c r="ERI886" s="208"/>
      <c r="ERJ886" s="208"/>
      <c r="ERK886" s="208"/>
      <c r="ERL886" s="208"/>
      <c r="ERM886" s="208"/>
      <c r="ERN886" s="208"/>
      <c r="ERO886" s="208"/>
      <c r="ERP886" s="208"/>
      <c r="ERQ886" s="208"/>
      <c r="ERR886" s="208"/>
      <c r="ERS886" s="208"/>
      <c r="ERT886" s="208"/>
      <c r="ERU886" s="208"/>
      <c r="ERV886" s="208"/>
      <c r="ERW886" s="208"/>
      <c r="ERX886" s="208"/>
      <c r="ERY886" s="208"/>
      <c r="ERZ886" s="208"/>
      <c r="ESA886" s="208"/>
      <c r="ESB886" s="208"/>
      <c r="ESC886" s="208"/>
      <c r="ESD886" s="208"/>
      <c r="ESE886" s="208"/>
      <c r="ESF886" s="208"/>
      <c r="ESG886" s="208"/>
      <c r="ESH886" s="208"/>
      <c r="ESI886" s="208"/>
      <c r="ESJ886" s="208"/>
      <c r="ESK886" s="208"/>
      <c r="ESL886" s="208"/>
      <c r="ESM886" s="208"/>
      <c r="ESN886" s="208"/>
      <c r="ESO886" s="208"/>
      <c r="ESP886" s="208"/>
      <c r="ESQ886" s="208"/>
      <c r="ESR886" s="208"/>
      <c r="ESS886" s="208"/>
      <c r="EST886" s="208"/>
      <c r="ESU886" s="208"/>
      <c r="ESV886" s="208"/>
      <c r="ESW886" s="208"/>
      <c r="ESX886" s="208"/>
      <c r="ESY886" s="208"/>
      <c r="ESZ886" s="208"/>
      <c r="ETA886" s="208"/>
      <c r="ETB886" s="208"/>
      <c r="ETC886" s="208"/>
      <c r="ETD886" s="208"/>
      <c r="ETE886" s="208"/>
      <c r="ETF886" s="208"/>
      <c r="ETG886" s="208"/>
      <c r="ETH886" s="208"/>
      <c r="ETI886" s="208"/>
      <c r="ETJ886" s="208"/>
      <c r="ETK886" s="208"/>
      <c r="ETL886" s="208"/>
      <c r="ETM886" s="208"/>
      <c r="ETN886" s="208"/>
      <c r="ETO886" s="208"/>
      <c r="ETP886" s="208"/>
      <c r="ETQ886" s="208"/>
      <c r="ETR886" s="208"/>
      <c r="ETS886" s="208"/>
      <c r="ETT886" s="208"/>
      <c r="ETU886" s="208"/>
      <c r="ETV886" s="208"/>
      <c r="ETW886" s="208"/>
      <c r="ETX886" s="208"/>
      <c r="ETY886" s="208"/>
      <c r="ETZ886" s="208"/>
      <c r="EUA886" s="208"/>
      <c r="EUB886" s="208"/>
      <c r="EUC886" s="208"/>
      <c r="EUD886" s="208"/>
      <c r="EUE886" s="208"/>
      <c r="EUF886" s="208"/>
      <c r="EUG886" s="208"/>
      <c r="EUH886" s="208"/>
      <c r="EUI886" s="208"/>
      <c r="EUJ886" s="208"/>
      <c r="EUK886" s="208"/>
      <c r="EUL886" s="208"/>
      <c r="EUM886" s="208"/>
      <c r="EUN886" s="208"/>
      <c r="EUO886" s="208"/>
      <c r="EUP886" s="208"/>
      <c r="EUQ886" s="208"/>
      <c r="EUR886" s="208"/>
      <c r="EUS886" s="208"/>
      <c r="EUT886" s="208"/>
      <c r="EUU886" s="208"/>
      <c r="EUV886" s="208"/>
      <c r="EUW886" s="208"/>
      <c r="EUX886" s="208"/>
      <c r="EUY886" s="208"/>
      <c r="EUZ886" s="208"/>
      <c r="EVA886" s="208"/>
      <c r="EVB886" s="208"/>
      <c r="EVC886" s="208"/>
      <c r="EVD886" s="208"/>
      <c r="EVE886" s="208"/>
      <c r="EVF886" s="208"/>
      <c r="EVG886" s="208"/>
      <c r="EVH886" s="208"/>
      <c r="EVI886" s="208"/>
      <c r="EVJ886" s="208"/>
      <c r="EVK886" s="208"/>
      <c r="EVL886" s="208"/>
      <c r="EVM886" s="208"/>
      <c r="EVN886" s="208"/>
      <c r="EVO886" s="208"/>
      <c r="EVP886" s="208"/>
      <c r="EVQ886" s="208"/>
      <c r="EVR886" s="208"/>
      <c r="EVS886" s="208"/>
      <c r="EVT886" s="208"/>
      <c r="EVU886" s="208"/>
      <c r="EVV886" s="208"/>
      <c r="EVW886" s="208"/>
      <c r="EVX886" s="208"/>
      <c r="EVY886" s="208"/>
      <c r="EVZ886" s="208"/>
      <c r="EWA886" s="208"/>
      <c r="EWB886" s="208"/>
      <c r="EWC886" s="208"/>
      <c r="EWD886" s="208"/>
      <c r="EWE886" s="208"/>
      <c r="EWF886" s="208"/>
      <c r="EWG886" s="208"/>
      <c r="EWH886" s="208"/>
      <c r="EWI886" s="208"/>
      <c r="EWJ886" s="208"/>
      <c r="EWK886" s="208"/>
      <c r="EWL886" s="208"/>
      <c r="EWM886" s="208"/>
      <c r="EWN886" s="208"/>
      <c r="EWO886" s="208"/>
      <c r="EWP886" s="208"/>
      <c r="EWQ886" s="208"/>
      <c r="EWR886" s="208"/>
      <c r="EWS886" s="208"/>
      <c r="EWT886" s="208"/>
      <c r="EWU886" s="208"/>
      <c r="EWV886" s="208"/>
      <c r="EWW886" s="208"/>
      <c r="EWX886" s="208"/>
      <c r="EWY886" s="208"/>
      <c r="EWZ886" s="208"/>
      <c r="EXA886" s="208"/>
      <c r="EXB886" s="208"/>
      <c r="EXC886" s="208"/>
      <c r="EXD886" s="208"/>
      <c r="EXE886" s="208"/>
      <c r="EXF886" s="208"/>
      <c r="EXG886" s="208"/>
      <c r="EXH886" s="208"/>
      <c r="EXI886" s="208"/>
      <c r="EXJ886" s="208"/>
      <c r="EXK886" s="208"/>
      <c r="EXL886" s="208"/>
      <c r="EXM886" s="208"/>
      <c r="EXN886" s="208"/>
      <c r="EXO886" s="208"/>
      <c r="EXP886" s="208"/>
      <c r="EXQ886" s="208"/>
      <c r="EXR886" s="208"/>
      <c r="EXS886" s="208"/>
      <c r="EXT886" s="208"/>
      <c r="EXU886" s="208"/>
      <c r="EXV886" s="208"/>
      <c r="EXW886" s="208"/>
      <c r="EXX886" s="208"/>
      <c r="EXY886" s="208"/>
      <c r="EXZ886" s="208"/>
      <c r="EYA886" s="208"/>
      <c r="EYB886" s="208"/>
      <c r="EYC886" s="208"/>
      <c r="EYD886" s="208"/>
      <c r="EYE886" s="208"/>
      <c r="EYF886" s="208"/>
      <c r="EYG886" s="208"/>
      <c r="EYH886" s="208"/>
      <c r="EYI886" s="208"/>
      <c r="EYJ886" s="208"/>
      <c r="EYK886" s="208"/>
      <c r="EYL886" s="208"/>
      <c r="EYM886" s="208"/>
      <c r="EYN886" s="208"/>
      <c r="EYO886" s="208"/>
      <c r="EYP886" s="208"/>
      <c r="EYQ886" s="208"/>
      <c r="EYR886" s="208"/>
      <c r="EYS886" s="208"/>
      <c r="EYT886" s="208"/>
      <c r="EYU886" s="208"/>
      <c r="EYV886" s="208"/>
      <c r="EYW886" s="208"/>
      <c r="EYX886" s="208"/>
      <c r="EYY886" s="208"/>
      <c r="EYZ886" s="208"/>
      <c r="EZA886" s="208"/>
      <c r="EZB886" s="208"/>
      <c r="EZC886" s="208"/>
      <c r="EZD886" s="208"/>
      <c r="EZE886" s="208"/>
      <c r="EZF886" s="208"/>
      <c r="EZG886" s="208"/>
      <c r="EZH886" s="208"/>
      <c r="EZI886" s="208"/>
      <c r="EZJ886" s="208"/>
      <c r="EZK886" s="208"/>
      <c r="EZL886" s="208"/>
      <c r="EZM886" s="208"/>
      <c r="EZN886" s="208"/>
      <c r="EZO886" s="208"/>
      <c r="EZP886" s="208"/>
      <c r="EZQ886" s="208"/>
      <c r="EZR886" s="208"/>
      <c r="EZS886" s="208"/>
      <c r="EZT886" s="208"/>
      <c r="EZU886" s="208"/>
      <c r="EZV886" s="208"/>
      <c r="EZW886" s="208"/>
      <c r="EZX886" s="208"/>
      <c r="EZY886" s="208"/>
      <c r="EZZ886" s="208"/>
      <c r="FAA886" s="208"/>
      <c r="FAB886" s="208"/>
      <c r="FAC886" s="208"/>
      <c r="FAD886" s="208"/>
      <c r="FAE886" s="208"/>
      <c r="FAF886" s="208"/>
      <c r="FAG886" s="208"/>
      <c r="FAH886" s="208"/>
      <c r="FAI886" s="208"/>
      <c r="FAJ886" s="208"/>
      <c r="FAK886" s="208"/>
      <c r="FAL886" s="208"/>
      <c r="FAM886" s="208"/>
      <c r="FAN886" s="208"/>
      <c r="FAO886" s="208"/>
      <c r="FAP886" s="208"/>
      <c r="FAQ886" s="208"/>
      <c r="FAR886" s="208"/>
      <c r="FAS886" s="208"/>
      <c r="FAT886" s="208"/>
      <c r="FAU886" s="208"/>
      <c r="FAV886" s="208"/>
      <c r="FAW886" s="208"/>
      <c r="FAX886" s="208"/>
      <c r="FAY886" s="208"/>
      <c r="FAZ886" s="208"/>
      <c r="FBA886" s="208"/>
      <c r="FBB886" s="208"/>
      <c r="FBC886" s="208"/>
      <c r="FBD886" s="208"/>
      <c r="FBE886" s="208"/>
      <c r="FBF886" s="208"/>
      <c r="FBG886" s="208"/>
      <c r="FBH886" s="208"/>
      <c r="FBI886" s="208"/>
      <c r="FBJ886" s="208"/>
      <c r="FBK886" s="208"/>
      <c r="FBL886" s="208"/>
      <c r="FBM886" s="208"/>
      <c r="FBN886" s="208"/>
      <c r="FBO886" s="208"/>
      <c r="FBP886" s="208"/>
      <c r="FBQ886" s="208"/>
      <c r="FBR886" s="208"/>
      <c r="FBS886" s="208"/>
      <c r="FBT886" s="208"/>
      <c r="FBU886" s="208"/>
      <c r="FBV886" s="208"/>
      <c r="FBW886" s="208"/>
      <c r="FBX886" s="208"/>
      <c r="FBY886" s="208"/>
      <c r="FBZ886" s="208"/>
      <c r="FCA886" s="208"/>
      <c r="FCB886" s="208"/>
      <c r="FCC886" s="208"/>
      <c r="FCD886" s="208"/>
      <c r="FCE886" s="208"/>
      <c r="FCF886" s="208"/>
      <c r="FCG886" s="208"/>
      <c r="FCH886" s="208"/>
      <c r="FCI886" s="208"/>
      <c r="FCJ886" s="208"/>
      <c r="FCK886" s="208"/>
      <c r="FCL886" s="208"/>
      <c r="FCM886" s="208"/>
      <c r="FCN886" s="208"/>
      <c r="FCO886" s="208"/>
      <c r="FCP886" s="208"/>
      <c r="FCQ886" s="208"/>
      <c r="FCR886" s="208"/>
      <c r="FCS886" s="208"/>
      <c r="FCT886" s="208"/>
      <c r="FCU886" s="208"/>
      <c r="FCV886" s="208"/>
      <c r="FCW886" s="208"/>
      <c r="FCX886" s="208"/>
      <c r="FCY886" s="208"/>
      <c r="FCZ886" s="208"/>
      <c r="FDA886" s="208"/>
      <c r="FDB886" s="208"/>
      <c r="FDC886" s="208"/>
      <c r="FDD886" s="208"/>
      <c r="FDE886" s="208"/>
      <c r="FDF886" s="208"/>
      <c r="FDG886" s="208"/>
      <c r="FDH886" s="208"/>
      <c r="FDI886" s="208"/>
      <c r="FDJ886" s="208"/>
      <c r="FDK886" s="208"/>
      <c r="FDL886" s="208"/>
      <c r="FDM886" s="208"/>
      <c r="FDN886" s="208"/>
      <c r="FDO886" s="208"/>
      <c r="FDP886" s="208"/>
      <c r="FDQ886" s="208"/>
      <c r="FDR886" s="208"/>
      <c r="FDS886" s="208"/>
      <c r="FDT886" s="208"/>
      <c r="FDU886" s="208"/>
      <c r="FDV886" s="208"/>
      <c r="FDW886" s="208"/>
      <c r="FDX886" s="208"/>
      <c r="FDY886" s="208"/>
      <c r="FDZ886" s="208"/>
      <c r="FEA886" s="208"/>
      <c r="FEB886" s="208"/>
      <c r="FEC886" s="208"/>
      <c r="FED886" s="208"/>
      <c r="FEE886" s="208"/>
      <c r="FEF886" s="208"/>
      <c r="FEG886" s="208"/>
      <c r="FEH886" s="208"/>
      <c r="FEI886" s="208"/>
      <c r="FEJ886" s="208"/>
      <c r="FEK886" s="208"/>
      <c r="FEL886" s="208"/>
      <c r="FEM886" s="208"/>
      <c r="FEN886" s="208"/>
      <c r="FEO886" s="208"/>
      <c r="FEP886" s="208"/>
      <c r="FEQ886" s="208"/>
      <c r="FER886" s="208"/>
      <c r="FES886" s="208"/>
      <c r="FET886" s="208"/>
      <c r="FEU886" s="208"/>
      <c r="FEV886" s="208"/>
      <c r="FEW886" s="208"/>
      <c r="FEX886" s="208"/>
      <c r="FEY886" s="208"/>
      <c r="FEZ886" s="208"/>
      <c r="FFA886" s="208"/>
      <c r="FFB886" s="208"/>
      <c r="FFC886" s="208"/>
      <c r="FFD886" s="208"/>
      <c r="FFE886" s="208"/>
      <c r="FFF886" s="208"/>
      <c r="FFG886" s="208"/>
      <c r="FFH886" s="208"/>
      <c r="FFI886" s="208"/>
      <c r="FFJ886" s="208"/>
      <c r="FFK886" s="208"/>
      <c r="FFL886" s="208"/>
      <c r="FFM886" s="208"/>
      <c r="FFN886" s="208"/>
      <c r="FFO886" s="208"/>
      <c r="FFP886" s="208"/>
      <c r="FFQ886" s="208"/>
      <c r="FFR886" s="208"/>
      <c r="FFS886" s="208"/>
      <c r="FFT886" s="208"/>
      <c r="FFU886" s="208"/>
      <c r="FFV886" s="208"/>
      <c r="FFW886" s="208"/>
      <c r="FFX886" s="208"/>
      <c r="FFY886" s="208"/>
      <c r="FFZ886" s="208"/>
      <c r="FGA886" s="208"/>
      <c r="FGB886" s="208"/>
      <c r="FGC886" s="208"/>
      <c r="FGD886" s="208"/>
      <c r="FGE886" s="208"/>
      <c r="FGF886" s="208"/>
      <c r="FGG886" s="208"/>
      <c r="FGH886" s="208"/>
      <c r="FGI886" s="208"/>
      <c r="FGJ886" s="208"/>
      <c r="FGK886" s="208"/>
      <c r="FGL886" s="208"/>
      <c r="FGM886" s="208"/>
      <c r="FGN886" s="208"/>
      <c r="FGO886" s="208"/>
      <c r="FGP886" s="208"/>
      <c r="FGQ886" s="208"/>
      <c r="FGR886" s="208"/>
      <c r="FGS886" s="208"/>
      <c r="FGT886" s="208"/>
      <c r="FGU886" s="208"/>
      <c r="FGV886" s="208"/>
      <c r="FGW886" s="208"/>
      <c r="FGX886" s="208"/>
      <c r="FGY886" s="208"/>
      <c r="FGZ886" s="208"/>
      <c r="FHA886" s="208"/>
      <c r="FHB886" s="208"/>
      <c r="FHC886" s="208"/>
      <c r="FHD886" s="208"/>
      <c r="FHE886" s="208"/>
      <c r="FHF886" s="208"/>
      <c r="FHG886" s="208"/>
      <c r="FHH886" s="208"/>
      <c r="FHI886" s="208"/>
      <c r="FHJ886" s="208"/>
      <c r="FHK886" s="208"/>
      <c r="FHL886" s="208"/>
      <c r="FHM886" s="208"/>
      <c r="FHN886" s="208"/>
      <c r="FHO886" s="208"/>
      <c r="FHP886" s="208"/>
      <c r="FHQ886" s="208"/>
      <c r="FHR886" s="208"/>
      <c r="FHS886" s="208"/>
      <c r="FHT886" s="208"/>
      <c r="FHU886" s="208"/>
      <c r="FHV886" s="208"/>
      <c r="FHW886" s="208"/>
      <c r="FHX886" s="208"/>
      <c r="FHY886" s="208"/>
      <c r="FHZ886" s="208"/>
      <c r="FIA886" s="208"/>
      <c r="FIB886" s="208"/>
      <c r="FIC886" s="208"/>
      <c r="FID886" s="208"/>
      <c r="FIE886" s="208"/>
      <c r="FIF886" s="208"/>
      <c r="FIG886" s="208"/>
      <c r="FIH886" s="208"/>
      <c r="FII886" s="208"/>
      <c r="FIJ886" s="208"/>
      <c r="FIK886" s="208"/>
      <c r="FIL886" s="208"/>
      <c r="FIM886" s="208"/>
      <c r="FIN886" s="208"/>
      <c r="FIO886" s="208"/>
      <c r="FIP886" s="208"/>
      <c r="FIQ886" s="208"/>
      <c r="FIR886" s="208"/>
      <c r="FIS886" s="208"/>
      <c r="FIT886" s="208"/>
      <c r="FIU886" s="208"/>
      <c r="FIV886" s="208"/>
      <c r="FIW886" s="208"/>
      <c r="FIX886" s="208"/>
      <c r="FIY886" s="208"/>
      <c r="FIZ886" s="208"/>
      <c r="FJA886" s="208"/>
      <c r="FJB886" s="208"/>
      <c r="FJC886" s="208"/>
      <c r="FJD886" s="208"/>
      <c r="FJE886" s="208"/>
      <c r="FJF886" s="208"/>
      <c r="FJG886" s="208"/>
      <c r="FJH886" s="208"/>
      <c r="FJI886" s="208"/>
      <c r="FJJ886" s="208"/>
      <c r="FJK886" s="208"/>
      <c r="FJL886" s="208"/>
      <c r="FJM886" s="208"/>
      <c r="FJN886" s="208"/>
      <c r="FJO886" s="208"/>
      <c r="FJP886" s="208"/>
      <c r="FJQ886" s="208"/>
      <c r="FJR886" s="208"/>
      <c r="FJS886" s="208"/>
      <c r="FJT886" s="208"/>
      <c r="FJU886" s="208"/>
      <c r="FJV886" s="208"/>
      <c r="FJW886" s="208"/>
      <c r="FJX886" s="208"/>
      <c r="FJY886" s="208"/>
      <c r="FJZ886" s="208"/>
      <c r="FKA886" s="208"/>
      <c r="FKB886" s="208"/>
      <c r="FKC886" s="208"/>
      <c r="FKD886" s="208"/>
      <c r="FKE886" s="208"/>
      <c r="FKF886" s="208"/>
      <c r="FKG886" s="208"/>
      <c r="FKH886" s="208"/>
      <c r="FKI886" s="208"/>
      <c r="FKJ886" s="208"/>
      <c r="FKK886" s="208"/>
      <c r="FKL886" s="208"/>
      <c r="FKM886" s="208"/>
      <c r="FKN886" s="208"/>
      <c r="FKO886" s="208"/>
      <c r="FKP886" s="208"/>
      <c r="FKQ886" s="208"/>
      <c r="FKR886" s="208"/>
      <c r="FKS886" s="208"/>
      <c r="FKT886" s="208"/>
      <c r="FKU886" s="208"/>
      <c r="FKV886" s="208"/>
      <c r="FKW886" s="208"/>
      <c r="FKX886" s="208"/>
      <c r="FKY886" s="208"/>
      <c r="FKZ886" s="208"/>
      <c r="FLA886" s="208"/>
      <c r="FLB886" s="208"/>
      <c r="FLC886" s="208"/>
      <c r="FLD886" s="208"/>
      <c r="FLE886" s="208"/>
      <c r="FLF886" s="208"/>
      <c r="FLG886" s="208"/>
      <c r="FLH886" s="208"/>
      <c r="FLI886" s="208"/>
      <c r="FLJ886" s="208"/>
      <c r="FLK886" s="208"/>
      <c r="FLL886" s="208"/>
      <c r="FLM886" s="208"/>
      <c r="FLN886" s="208"/>
      <c r="FLO886" s="208"/>
      <c r="FLP886" s="208"/>
      <c r="FLQ886" s="208"/>
      <c r="FLR886" s="208"/>
      <c r="FLS886" s="208"/>
      <c r="FLT886" s="208"/>
      <c r="FLU886" s="208"/>
      <c r="FLV886" s="208"/>
      <c r="FLW886" s="208"/>
      <c r="FLX886" s="208"/>
      <c r="FLY886" s="208"/>
      <c r="FLZ886" s="208"/>
      <c r="FMA886" s="208"/>
      <c r="FMB886" s="208"/>
      <c r="FMC886" s="208"/>
      <c r="FMD886" s="208"/>
      <c r="FME886" s="208"/>
      <c r="FMF886" s="208"/>
      <c r="FMG886" s="208"/>
      <c r="FMH886" s="208"/>
      <c r="FMI886" s="208"/>
      <c r="FMJ886" s="208"/>
      <c r="FMK886" s="208"/>
      <c r="FML886" s="208"/>
      <c r="FMM886" s="208"/>
      <c r="FMN886" s="208"/>
      <c r="FMO886" s="208"/>
      <c r="FMP886" s="208"/>
      <c r="FMQ886" s="208"/>
      <c r="FMR886" s="208"/>
      <c r="FMS886" s="208"/>
      <c r="FMT886" s="208"/>
      <c r="FMU886" s="208"/>
      <c r="FMV886" s="208"/>
      <c r="FMW886" s="208"/>
      <c r="FMX886" s="208"/>
      <c r="FMY886" s="208"/>
      <c r="FMZ886" s="208"/>
      <c r="FNA886" s="208"/>
      <c r="FNB886" s="208"/>
      <c r="FNC886" s="208"/>
      <c r="FND886" s="208"/>
      <c r="FNE886" s="208"/>
      <c r="FNF886" s="208"/>
      <c r="FNG886" s="208"/>
      <c r="FNH886" s="208"/>
      <c r="FNI886" s="208"/>
      <c r="FNJ886" s="208"/>
      <c r="FNK886" s="208"/>
      <c r="FNL886" s="208"/>
      <c r="FNM886" s="208"/>
      <c r="FNN886" s="208"/>
      <c r="FNO886" s="208"/>
      <c r="FNP886" s="208"/>
      <c r="FNQ886" s="208"/>
      <c r="FNR886" s="208"/>
      <c r="FNS886" s="208"/>
      <c r="FNT886" s="208"/>
      <c r="FNU886" s="208"/>
      <c r="FNV886" s="208"/>
      <c r="FNW886" s="208"/>
      <c r="FNX886" s="208"/>
      <c r="FNY886" s="208"/>
      <c r="FNZ886" s="208"/>
      <c r="FOA886" s="208"/>
      <c r="FOB886" s="208"/>
      <c r="FOC886" s="208"/>
      <c r="FOD886" s="208"/>
      <c r="FOE886" s="208"/>
      <c r="FOF886" s="208"/>
      <c r="FOG886" s="208"/>
      <c r="FOH886" s="208"/>
      <c r="FOI886" s="208"/>
      <c r="FOJ886" s="208"/>
      <c r="FOK886" s="208"/>
      <c r="FOL886" s="208"/>
      <c r="FOM886" s="208"/>
      <c r="FON886" s="208"/>
      <c r="FOO886" s="208"/>
      <c r="FOP886" s="208"/>
      <c r="FOQ886" s="208"/>
      <c r="FOR886" s="208"/>
      <c r="FOS886" s="208"/>
      <c r="FOT886" s="208"/>
      <c r="FOU886" s="208"/>
      <c r="FOV886" s="208"/>
      <c r="FOW886" s="208"/>
      <c r="FOX886" s="208"/>
      <c r="FOY886" s="208"/>
      <c r="FOZ886" s="208"/>
      <c r="FPA886" s="208"/>
      <c r="FPB886" s="208"/>
      <c r="FPC886" s="208"/>
      <c r="FPD886" s="208"/>
      <c r="FPE886" s="208"/>
      <c r="FPF886" s="208"/>
      <c r="FPG886" s="208"/>
      <c r="FPH886" s="208"/>
      <c r="FPI886" s="208"/>
      <c r="FPJ886" s="208"/>
      <c r="FPK886" s="208"/>
      <c r="FPL886" s="208"/>
      <c r="FPM886" s="208"/>
      <c r="FPN886" s="208"/>
      <c r="FPO886" s="208"/>
      <c r="FPP886" s="208"/>
      <c r="FPQ886" s="208"/>
      <c r="FPR886" s="208"/>
      <c r="FPS886" s="208"/>
      <c r="FPT886" s="208"/>
      <c r="FPU886" s="208"/>
      <c r="FPV886" s="208"/>
      <c r="FPW886" s="208"/>
      <c r="FPX886" s="208"/>
      <c r="FPY886" s="208"/>
      <c r="FPZ886" s="208"/>
      <c r="FQA886" s="208"/>
      <c r="FQB886" s="208"/>
      <c r="FQC886" s="208"/>
      <c r="FQD886" s="208"/>
      <c r="FQE886" s="208"/>
      <c r="FQF886" s="208"/>
      <c r="FQG886" s="208"/>
      <c r="FQH886" s="208"/>
      <c r="FQI886" s="208"/>
      <c r="FQJ886" s="208"/>
      <c r="FQK886" s="208"/>
      <c r="FQL886" s="208"/>
      <c r="FQM886" s="208"/>
      <c r="FQN886" s="208"/>
      <c r="FQO886" s="208"/>
      <c r="FQP886" s="208"/>
      <c r="FQQ886" s="208"/>
      <c r="FQR886" s="208"/>
      <c r="FQS886" s="208"/>
      <c r="FQT886" s="208"/>
      <c r="FQU886" s="208"/>
      <c r="FQV886" s="208"/>
      <c r="FQW886" s="208"/>
      <c r="FQX886" s="208"/>
      <c r="FQY886" s="208"/>
      <c r="FQZ886" s="208"/>
      <c r="FRA886" s="208"/>
      <c r="FRB886" s="208"/>
      <c r="FRC886" s="208"/>
      <c r="FRD886" s="208"/>
      <c r="FRE886" s="208"/>
      <c r="FRF886" s="208"/>
      <c r="FRG886" s="208"/>
      <c r="FRH886" s="208"/>
      <c r="FRI886" s="208"/>
      <c r="FRJ886" s="208"/>
      <c r="FRK886" s="208"/>
      <c r="FRL886" s="208"/>
      <c r="FRM886" s="208"/>
      <c r="FRN886" s="208"/>
      <c r="FRO886" s="208"/>
      <c r="FRP886" s="208"/>
      <c r="FRQ886" s="208"/>
      <c r="FRR886" s="208"/>
      <c r="FRS886" s="208"/>
      <c r="FRT886" s="208"/>
      <c r="FRU886" s="208"/>
      <c r="FRV886" s="208"/>
      <c r="FRW886" s="208"/>
      <c r="FRX886" s="208"/>
      <c r="FRY886" s="208"/>
      <c r="FRZ886" s="208"/>
      <c r="FSA886" s="208"/>
      <c r="FSB886" s="208"/>
      <c r="FSC886" s="208"/>
      <c r="FSD886" s="208"/>
      <c r="FSE886" s="208"/>
      <c r="FSF886" s="208"/>
      <c r="FSG886" s="208"/>
      <c r="FSH886" s="208"/>
      <c r="FSI886" s="208"/>
      <c r="FSJ886" s="208"/>
      <c r="FSK886" s="208"/>
      <c r="FSL886" s="208"/>
      <c r="FSM886" s="208"/>
      <c r="FSN886" s="208"/>
      <c r="FSO886" s="208"/>
      <c r="FSP886" s="208"/>
      <c r="FSQ886" s="208"/>
      <c r="FSR886" s="208"/>
      <c r="FSS886" s="208"/>
      <c r="FST886" s="208"/>
      <c r="FSU886" s="208"/>
      <c r="FSV886" s="208"/>
      <c r="FSW886" s="208"/>
      <c r="FSX886" s="208"/>
      <c r="FSY886" s="208"/>
      <c r="FSZ886" s="208"/>
      <c r="FTA886" s="208"/>
      <c r="FTB886" s="208"/>
      <c r="FTC886" s="208"/>
      <c r="FTD886" s="208"/>
      <c r="FTE886" s="208"/>
      <c r="FTF886" s="208"/>
      <c r="FTG886" s="208"/>
      <c r="FTH886" s="208"/>
      <c r="FTI886" s="208"/>
      <c r="FTJ886" s="208"/>
      <c r="FTK886" s="208"/>
      <c r="FTL886" s="208"/>
      <c r="FTM886" s="208"/>
      <c r="FTN886" s="208"/>
      <c r="FTO886" s="208"/>
      <c r="FTP886" s="208"/>
      <c r="FTQ886" s="208"/>
      <c r="FTR886" s="208"/>
      <c r="FTS886" s="208"/>
      <c r="FTT886" s="208"/>
      <c r="FTU886" s="208"/>
      <c r="FTV886" s="208"/>
      <c r="FTW886" s="208"/>
      <c r="FTX886" s="208"/>
      <c r="FTY886" s="208"/>
      <c r="FTZ886" s="208"/>
      <c r="FUA886" s="208"/>
      <c r="FUB886" s="208"/>
      <c r="FUC886" s="208"/>
      <c r="FUD886" s="208"/>
      <c r="FUE886" s="208"/>
      <c r="FUF886" s="208"/>
      <c r="FUG886" s="208"/>
      <c r="FUH886" s="208"/>
      <c r="FUI886" s="208"/>
      <c r="FUJ886" s="208"/>
      <c r="FUK886" s="208"/>
      <c r="FUL886" s="208"/>
      <c r="FUM886" s="208"/>
      <c r="FUN886" s="208"/>
      <c r="FUO886" s="208"/>
      <c r="FUP886" s="208"/>
      <c r="FUQ886" s="208"/>
      <c r="FUR886" s="208"/>
      <c r="FUS886" s="208"/>
      <c r="FUT886" s="208"/>
      <c r="FUU886" s="208"/>
      <c r="FUV886" s="208"/>
      <c r="FUW886" s="208"/>
      <c r="FUX886" s="208"/>
      <c r="FUY886" s="208"/>
      <c r="FUZ886" s="208"/>
      <c r="FVA886" s="208"/>
      <c r="FVB886" s="208"/>
      <c r="FVC886" s="208"/>
      <c r="FVD886" s="208"/>
      <c r="FVE886" s="208"/>
      <c r="FVF886" s="208"/>
      <c r="FVG886" s="208"/>
      <c r="FVH886" s="208"/>
      <c r="FVI886" s="208"/>
      <c r="FVJ886" s="208"/>
      <c r="FVK886" s="208"/>
      <c r="FVL886" s="208"/>
      <c r="FVM886" s="208"/>
      <c r="FVN886" s="208"/>
      <c r="FVO886" s="208"/>
      <c r="FVP886" s="208"/>
      <c r="FVQ886" s="208"/>
      <c r="FVR886" s="208"/>
      <c r="FVS886" s="208"/>
      <c r="FVT886" s="208"/>
      <c r="FVU886" s="208"/>
      <c r="FVV886" s="208"/>
      <c r="FVW886" s="208"/>
      <c r="FVX886" s="208"/>
      <c r="FVY886" s="208"/>
      <c r="FVZ886" s="208"/>
      <c r="FWA886" s="208"/>
      <c r="FWB886" s="208"/>
      <c r="FWC886" s="208"/>
      <c r="FWD886" s="208"/>
      <c r="FWE886" s="208"/>
      <c r="FWF886" s="208"/>
      <c r="FWG886" s="208"/>
      <c r="FWH886" s="208"/>
      <c r="FWI886" s="208"/>
      <c r="FWJ886" s="208"/>
      <c r="FWK886" s="208"/>
      <c r="FWL886" s="208"/>
      <c r="FWM886" s="208"/>
      <c r="FWN886" s="208"/>
      <c r="FWO886" s="208"/>
      <c r="FWP886" s="208"/>
      <c r="FWQ886" s="208"/>
      <c r="FWR886" s="208"/>
      <c r="FWS886" s="208"/>
      <c r="FWT886" s="208"/>
      <c r="FWU886" s="208"/>
      <c r="FWV886" s="208"/>
      <c r="FWW886" s="208"/>
      <c r="FWX886" s="208"/>
      <c r="FWY886" s="208"/>
      <c r="FWZ886" s="208"/>
      <c r="FXA886" s="208"/>
      <c r="FXB886" s="208"/>
      <c r="FXC886" s="208"/>
      <c r="FXD886" s="208"/>
      <c r="FXE886" s="208"/>
      <c r="FXF886" s="208"/>
      <c r="FXG886" s="208"/>
      <c r="FXH886" s="208"/>
      <c r="FXI886" s="208"/>
      <c r="FXJ886" s="208"/>
      <c r="FXK886" s="208"/>
      <c r="FXL886" s="208"/>
      <c r="FXM886" s="208"/>
      <c r="FXN886" s="208"/>
      <c r="FXO886" s="208"/>
      <c r="FXP886" s="208"/>
      <c r="FXQ886" s="208"/>
      <c r="FXR886" s="208"/>
      <c r="FXS886" s="208"/>
      <c r="FXT886" s="208"/>
      <c r="FXU886" s="208"/>
      <c r="FXV886" s="208"/>
      <c r="FXW886" s="208"/>
      <c r="FXX886" s="208"/>
      <c r="FXY886" s="208"/>
      <c r="FXZ886" s="208"/>
      <c r="FYA886" s="208"/>
      <c r="FYB886" s="208"/>
      <c r="FYC886" s="208"/>
      <c r="FYD886" s="208"/>
      <c r="FYE886" s="208"/>
      <c r="FYF886" s="208"/>
      <c r="FYG886" s="208"/>
      <c r="FYH886" s="208"/>
      <c r="FYI886" s="208"/>
      <c r="FYJ886" s="208"/>
      <c r="FYK886" s="208"/>
      <c r="FYL886" s="208"/>
      <c r="FYM886" s="208"/>
      <c r="FYN886" s="208"/>
      <c r="FYO886" s="208"/>
      <c r="FYP886" s="208"/>
      <c r="FYQ886" s="208"/>
      <c r="FYR886" s="208"/>
      <c r="FYS886" s="208"/>
      <c r="FYT886" s="208"/>
      <c r="FYU886" s="208"/>
      <c r="FYV886" s="208"/>
      <c r="FYW886" s="208"/>
      <c r="FYX886" s="208"/>
      <c r="FYY886" s="208"/>
      <c r="FYZ886" s="208"/>
      <c r="FZA886" s="208"/>
      <c r="FZB886" s="208"/>
      <c r="FZC886" s="208"/>
      <c r="FZD886" s="208"/>
      <c r="FZE886" s="208"/>
      <c r="FZF886" s="208"/>
      <c r="FZG886" s="208"/>
      <c r="FZH886" s="208"/>
      <c r="FZI886" s="208"/>
      <c r="FZJ886" s="208"/>
      <c r="FZK886" s="208"/>
      <c r="FZL886" s="208"/>
      <c r="FZM886" s="208"/>
      <c r="FZN886" s="208"/>
      <c r="FZO886" s="208"/>
      <c r="FZP886" s="208"/>
      <c r="FZQ886" s="208"/>
      <c r="FZR886" s="208"/>
      <c r="FZS886" s="208"/>
      <c r="FZT886" s="208"/>
      <c r="FZU886" s="208"/>
      <c r="FZV886" s="208"/>
      <c r="FZW886" s="208"/>
      <c r="FZX886" s="208"/>
      <c r="FZY886" s="208"/>
      <c r="FZZ886" s="208"/>
      <c r="GAA886" s="208"/>
      <c r="GAB886" s="208"/>
      <c r="GAC886" s="208"/>
      <c r="GAD886" s="208"/>
      <c r="GAE886" s="208"/>
      <c r="GAF886" s="208"/>
      <c r="GAG886" s="208"/>
      <c r="GAH886" s="208"/>
      <c r="GAI886" s="208"/>
      <c r="GAJ886" s="208"/>
      <c r="GAK886" s="208"/>
      <c r="GAL886" s="208"/>
      <c r="GAM886" s="208"/>
      <c r="GAN886" s="208"/>
      <c r="GAO886" s="208"/>
      <c r="GAP886" s="208"/>
      <c r="GAQ886" s="208"/>
      <c r="GAR886" s="208"/>
      <c r="GAS886" s="208"/>
      <c r="GAT886" s="208"/>
      <c r="GAU886" s="208"/>
      <c r="GAV886" s="208"/>
      <c r="GAW886" s="208"/>
      <c r="GAX886" s="208"/>
      <c r="GAY886" s="208"/>
      <c r="GAZ886" s="208"/>
      <c r="GBA886" s="208"/>
      <c r="GBB886" s="208"/>
      <c r="GBC886" s="208"/>
      <c r="GBD886" s="208"/>
      <c r="GBE886" s="208"/>
      <c r="GBF886" s="208"/>
      <c r="GBG886" s="208"/>
      <c r="GBH886" s="208"/>
      <c r="GBI886" s="208"/>
      <c r="GBJ886" s="208"/>
      <c r="GBK886" s="208"/>
      <c r="GBL886" s="208"/>
      <c r="GBM886" s="208"/>
      <c r="GBN886" s="208"/>
      <c r="GBO886" s="208"/>
      <c r="GBP886" s="208"/>
      <c r="GBQ886" s="208"/>
      <c r="GBR886" s="208"/>
      <c r="GBS886" s="208"/>
      <c r="GBT886" s="208"/>
      <c r="GBU886" s="208"/>
      <c r="GBV886" s="208"/>
      <c r="GBW886" s="208"/>
      <c r="GBX886" s="208"/>
      <c r="GBY886" s="208"/>
      <c r="GBZ886" s="208"/>
      <c r="GCA886" s="208"/>
      <c r="GCB886" s="208"/>
      <c r="GCC886" s="208"/>
      <c r="GCD886" s="208"/>
      <c r="GCE886" s="208"/>
      <c r="GCF886" s="208"/>
      <c r="GCG886" s="208"/>
      <c r="GCH886" s="208"/>
      <c r="GCI886" s="208"/>
      <c r="GCJ886" s="208"/>
      <c r="GCK886" s="208"/>
      <c r="GCL886" s="208"/>
      <c r="GCM886" s="208"/>
      <c r="GCN886" s="208"/>
      <c r="GCO886" s="208"/>
      <c r="GCP886" s="208"/>
      <c r="GCQ886" s="208"/>
      <c r="GCR886" s="208"/>
      <c r="GCS886" s="208"/>
      <c r="GCT886" s="208"/>
      <c r="GCU886" s="208"/>
      <c r="GCV886" s="208"/>
      <c r="GCW886" s="208"/>
      <c r="GCX886" s="208"/>
      <c r="GCY886" s="208"/>
      <c r="GCZ886" s="208"/>
      <c r="GDA886" s="208"/>
      <c r="GDB886" s="208"/>
      <c r="GDC886" s="208"/>
      <c r="GDD886" s="208"/>
      <c r="GDE886" s="208"/>
      <c r="GDF886" s="208"/>
      <c r="GDG886" s="208"/>
      <c r="GDH886" s="208"/>
      <c r="GDI886" s="208"/>
      <c r="GDJ886" s="208"/>
      <c r="GDK886" s="208"/>
      <c r="GDL886" s="208"/>
      <c r="GDM886" s="208"/>
      <c r="GDN886" s="208"/>
      <c r="GDO886" s="208"/>
      <c r="GDP886" s="208"/>
      <c r="GDQ886" s="208"/>
      <c r="GDR886" s="208"/>
      <c r="GDS886" s="208"/>
      <c r="GDT886" s="208"/>
      <c r="GDU886" s="208"/>
      <c r="GDV886" s="208"/>
      <c r="GDW886" s="208"/>
      <c r="GDX886" s="208"/>
      <c r="GDY886" s="208"/>
      <c r="GDZ886" s="208"/>
      <c r="GEA886" s="208"/>
      <c r="GEB886" s="208"/>
      <c r="GEC886" s="208"/>
      <c r="GED886" s="208"/>
      <c r="GEE886" s="208"/>
      <c r="GEF886" s="208"/>
      <c r="GEG886" s="208"/>
      <c r="GEH886" s="208"/>
      <c r="GEI886" s="208"/>
      <c r="GEJ886" s="208"/>
      <c r="GEK886" s="208"/>
      <c r="GEL886" s="208"/>
      <c r="GEM886" s="208"/>
      <c r="GEN886" s="208"/>
      <c r="GEO886" s="208"/>
      <c r="GEP886" s="208"/>
      <c r="GEQ886" s="208"/>
      <c r="GER886" s="208"/>
      <c r="GES886" s="208"/>
      <c r="GET886" s="208"/>
      <c r="GEU886" s="208"/>
      <c r="GEV886" s="208"/>
      <c r="GEW886" s="208"/>
      <c r="GEX886" s="208"/>
      <c r="GEY886" s="208"/>
      <c r="GEZ886" s="208"/>
      <c r="GFA886" s="208"/>
      <c r="GFB886" s="208"/>
      <c r="GFC886" s="208"/>
      <c r="GFD886" s="208"/>
      <c r="GFE886" s="208"/>
      <c r="GFF886" s="208"/>
      <c r="GFG886" s="208"/>
      <c r="GFH886" s="208"/>
      <c r="GFI886" s="208"/>
      <c r="GFJ886" s="208"/>
      <c r="GFK886" s="208"/>
      <c r="GFL886" s="208"/>
      <c r="GFM886" s="208"/>
      <c r="GFN886" s="208"/>
      <c r="GFO886" s="208"/>
      <c r="GFP886" s="208"/>
      <c r="GFQ886" s="208"/>
      <c r="GFR886" s="208"/>
      <c r="GFS886" s="208"/>
      <c r="GFT886" s="208"/>
      <c r="GFU886" s="208"/>
      <c r="GFV886" s="208"/>
      <c r="GFW886" s="208"/>
      <c r="GFX886" s="208"/>
      <c r="GFY886" s="208"/>
      <c r="GFZ886" s="208"/>
      <c r="GGA886" s="208"/>
      <c r="GGB886" s="208"/>
      <c r="GGC886" s="208"/>
      <c r="GGD886" s="208"/>
      <c r="GGE886" s="208"/>
      <c r="GGF886" s="208"/>
      <c r="GGG886" s="208"/>
      <c r="GGH886" s="208"/>
      <c r="GGI886" s="208"/>
      <c r="GGJ886" s="208"/>
      <c r="GGK886" s="208"/>
      <c r="GGL886" s="208"/>
      <c r="GGM886" s="208"/>
      <c r="GGN886" s="208"/>
      <c r="GGO886" s="208"/>
      <c r="GGP886" s="208"/>
      <c r="GGQ886" s="208"/>
      <c r="GGR886" s="208"/>
      <c r="GGS886" s="208"/>
      <c r="GGT886" s="208"/>
      <c r="GGU886" s="208"/>
      <c r="GGV886" s="208"/>
      <c r="GGW886" s="208"/>
      <c r="GGX886" s="208"/>
      <c r="GGY886" s="208"/>
      <c r="GGZ886" s="208"/>
      <c r="GHA886" s="208"/>
      <c r="GHB886" s="208"/>
      <c r="GHC886" s="208"/>
      <c r="GHD886" s="208"/>
      <c r="GHE886" s="208"/>
      <c r="GHF886" s="208"/>
      <c r="GHG886" s="208"/>
      <c r="GHH886" s="208"/>
      <c r="GHI886" s="208"/>
      <c r="GHJ886" s="208"/>
      <c r="GHK886" s="208"/>
      <c r="GHL886" s="208"/>
      <c r="GHM886" s="208"/>
      <c r="GHN886" s="208"/>
      <c r="GHO886" s="208"/>
      <c r="GHP886" s="208"/>
      <c r="GHQ886" s="208"/>
      <c r="GHR886" s="208"/>
      <c r="GHS886" s="208"/>
      <c r="GHT886" s="208"/>
      <c r="GHU886" s="208"/>
      <c r="GHV886" s="208"/>
      <c r="GHW886" s="208"/>
      <c r="GHX886" s="208"/>
      <c r="GHY886" s="208"/>
      <c r="GHZ886" s="208"/>
      <c r="GIA886" s="208"/>
      <c r="GIB886" s="208"/>
      <c r="GIC886" s="208"/>
      <c r="GID886" s="208"/>
      <c r="GIE886" s="208"/>
      <c r="GIF886" s="208"/>
      <c r="GIG886" s="208"/>
      <c r="GIH886" s="208"/>
      <c r="GII886" s="208"/>
      <c r="GIJ886" s="208"/>
      <c r="GIK886" s="208"/>
      <c r="GIL886" s="208"/>
      <c r="GIM886" s="208"/>
      <c r="GIN886" s="208"/>
      <c r="GIO886" s="208"/>
      <c r="GIP886" s="208"/>
      <c r="GIQ886" s="208"/>
      <c r="GIR886" s="208"/>
      <c r="GIS886" s="208"/>
      <c r="GIT886" s="208"/>
      <c r="GIU886" s="208"/>
      <c r="GIV886" s="208"/>
      <c r="GIW886" s="208"/>
      <c r="GIX886" s="208"/>
      <c r="GIY886" s="208"/>
      <c r="GIZ886" s="208"/>
      <c r="GJA886" s="208"/>
      <c r="GJB886" s="208"/>
      <c r="GJC886" s="208"/>
      <c r="GJD886" s="208"/>
      <c r="GJE886" s="208"/>
      <c r="GJF886" s="208"/>
      <c r="GJG886" s="208"/>
      <c r="GJH886" s="208"/>
      <c r="GJI886" s="208"/>
      <c r="GJJ886" s="208"/>
      <c r="GJK886" s="208"/>
      <c r="GJL886" s="208"/>
      <c r="GJM886" s="208"/>
      <c r="GJN886" s="208"/>
      <c r="GJO886" s="208"/>
      <c r="GJP886" s="208"/>
      <c r="GJQ886" s="208"/>
      <c r="GJR886" s="208"/>
      <c r="GJS886" s="208"/>
      <c r="GJT886" s="208"/>
      <c r="GJU886" s="208"/>
      <c r="GJV886" s="208"/>
      <c r="GJW886" s="208"/>
      <c r="GJX886" s="208"/>
      <c r="GJY886" s="208"/>
      <c r="GJZ886" s="208"/>
      <c r="GKA886" s="208"/>
      <c r="GKB886" s="208"/>
      <c r="GKC886" s="208"/>
      <c r="GKD886" s="208"/>
      <c r="GKE886" s="208"/>
      <c r="GKF886" s="208"/>
      <c r="GKG886" s="208"/>
      <c r="GKH886" s="208"/>
      <c r="GKI886" s="208"/>
      <c r="GKJ886" s="208"/>
      <c r="GKK886" s="208"/>
      <c r="GKL886" s="208"/>
      <c r="GKM886" s="208"/>
      <c r="GKN886" s="208"/>
      <c r="GKO886" s="208"/>
      <c r="GKP886" s="208"/>
      <c r="GKQ886" s="208"/>
      <c r="GKR886" s="208"/>
      <c r="GKS886" s="208"/>
      <c r="GKT886" s="208"/>
      <c r="GKU886" s="208"/>
      <c r="GKV886" s="208"/>
      <c r="GKW886" s="208"/>
      <c r="GKX886" s="208"/>
      <c r="GKY886" s="208"/>
      <c r="GKZ886" s="208"/>
      <c r="GLA886" s="208"/>
      <c r="GLB886" s="208"/>
      <c r="GLC886" s="208"/>
      <c r="GLD886" s="208"/>
      <c r="GLE886" s="208"/>
      <c r="GLF886" s="208"/>
      <c r="GLG886" s="208"/>
      <c r="GLH886" s="208"/>
      <c r="GLI886" s="208"/>
      <c r="GLJ886" s="208"/>
      <c r="GLK886" s="208"/>
      <c r="GLL886" s="208"/>
      <c r="GLM886" s="208"/>
      <c r="GLN886" s="208"/>
      <c r="GLO886" s="208"/>
      <c r="GLP886" s="208"/>
      <c r="GLQ886" s="208"/>
      <c r="GLR886" s="208"/>
      <c r="GLS886" s="208"/>
      <c r="GLT886" s="208"/>
      <c r="GLU886" s="208"/>
      <c r="GLV886" s="208"/>
      <c r="GLW886" s="208"/>
      <c r="GLX886" s="208"/>
      <c r="GLY886" s="208"/>
      <c r="GLZ886" s="208"/>
      <c r="GMA886" s="208"/>
      <c r="GMB886" s="208"/>
      <c r="GMC886" s="208"/>
      <c r="GMD886" s="208"/>
      <c r="GME886" s="208"/>
      <c r="GMF886" s="208"/>
      <c r="GMG886" s="208"/>
      <c r="GMH886" s="208"/>
      <c r="GMI886" s="208"/>
      <c r="GMJ886" s="208"/>
      <c r="GMK886" s="208"/>
      <c r="GML886" s="208"/>
      <c r="GMM886" s="208"/>
      <c r="GMN886" s="208"/>
      <c r="GMO886" s="208"/>
      <c r="GMP886" s="208"/>
      <c r="GMQ886" s="208"/>
      <c r="GMR886" s="208"/>
      <c r="GMS886" s="208"/>
      <c r="GMT886" s="208"/>
      <c r="GMU886" s="208"/>
      <c r="GMV886" s="208"/>
      <c r="GMW886" s="208"/>
      <c r="GMX886" s="208"/>
      <c r="GMY886" s="208"/>
      <c r="GMZ886" s="208"/>
      <c r="GNA886" s="208"/>
      <c r="GNB886" s="208"/>
      <c r="GNC886" s="208"/>
      <c r="GND886" s="208"/>
      <c r="GNE886" s="208"/>
      <c r="GNF886" s="208"/>
      <c r="GNG886" s="208"/>
      <c r="GNH886" s="208"/>
      <c r="GNI886" s="208"/>
      <c r="GNJ886" s="208"/>
      <c r="GNK886" s="208"/>
      <c r="GNL886" s="208"/>
      <c r="GNM886" s="208"/>
      <c r="GNN886" s="208"/>
      <c r="GNO886" s="208"/>
      <c r="GNP886" s="208"/>
      <c r="GNQ886" s="208"/>
      <c r="GNR886" s="208"/>
      <c r="GNS886" s="208"/>
      <c r="GNT886" s="208"/>
      <c r="GNU886" s="208"/>
      <c r="GNV886" s="208"/>
      <c r="GNW886" s="208"/>
      <c r="GNX886" s="208"/>
      <c r="GNY886" s="208"/>
      <c r="GNZ886" s="208"/>
      <c r="GOA886" s="208"/>
      <c r="GOB886" s="208"/>
      <c r="GOC886" s="208"/>
      <c r="GOD886" s="208"/>
      <c r="GOE886" s="208"/>
      <c r="GOF886" s="208"/>
      <c r="GOG886" s="208"/>
      <c r="GOH886" s="208"/>
      <c r="GOI886" s="208"/>
      <c r="GOJ886" s="208"/>
      <c r="GOK886" s="208"/>
      <c r="GOL886" s="208"/>
      <c r="GOM886" s="208"/>
      <c r="GON886" s="208"/>
      <c r="GOO886" s="208"/>
      <c r="GOP886" s="208"/>
      <c r="GOQ886" s="208"/>
      <c r="GOR886" s="208"/>
      <c r="GOS886" s="208"/>
      <c r="GOT886" s="208"/>
      <c r="GOU886" s="208"/>
      <c r="GOV886" s="208"/>
      <c r="GOW886" s="208"/>
      <c r="GOX886" s="208"/>
      <c r="GOY886" s="208"/>
      <c r="GOZ886" s="208"/>
      <c r="GPA886" s="208"/>
      <c r="GPB886" s="208"/>
      <c r="GPC886" s="208"/>
      <c r="GPD886" s="208"/>
      <c r="GPE886" s="208"/>
      <c r="GPF886" s="208"/>
      <c r="GPG886" s="208"/>
      <c r="GPH886" s="208"/>
      <c r="GPI886" s="208"/>
      <c r="GPJ886" s="208"/>
      <c r="GPK886" s="208"/>
      <c r="GPL886" s="208"/>
      <c r="GPM886" s="208"/>
      <c r="GPN886" s="208"/>
      <c r="GPO886" s="208"/>
      <c r="GPP886" s="208"/>
      <c r="GPQ886" s="208"/>
      <c r="GPR886" s="208"/>
      <c r="GPS886" s="208"/>
      <c r="GPT886" s="208"/>
      <c r="GPU886" s="208"/>
      <c r="GPV886" s="208"/>
      <c r="GPW886" s="208"/>
      <c r="GPX886" s="208"/>
      <c r="GPY886" s="208"/>
      <c r="GPZ886" s="208"/>
      <c r="GQA886" s="208"/>
      <c r="GQB886" s="208"/>
      <c r="GQC886" s="208"/>
      <c r="GQD886" s="208"/>
      <c r="GQE886" s="208"/>
      <c r="GQF886" s="208"/>
      <c r="GQG886" s="208"/>
      <c r="GQH886" s="208"/>
      <c r="GQI886" s="208"/>
      <c r="GQJ886" s="208"/>
      <c r="GQK886" s="208"/>
      <c r="GQL886" s="208"/>
      <c r="GQM886" s="208"/>
      <c r="GQN886" s="208"/>
      <c r="GQO886" s="208"/>
      <c r="GQP886" s="208"/>
      <c r="GQQ886" s="208"/>
      <c r="GQR886" s="208"/>
      <c r="GQS886" s="208"/>
      <c r="GQT886" s="208"/>
      <c r="GQU886" s="208"/>
      <c r="GQV886" s="208"/>
      <c r="GQW886" s="208"/>
      <c r="GQX886" s="208"/>
      <c r="GQY886" s="208"/>
      <c r="GQZ886" s="208"/>
      <c r="GRA886" s="208"/>
      <c r="GRB886" s="208"/>
      <c r="GRC886" s="208"/>
      <c r="GRD886" s="208"/>
      <c r="GRE886" s="208"/>
      <c r="GRF886" s="208"/>
      <c r="GRG886" s="208"/>
      <c r="GRH886" s="208"/>
      <c r="GRI886" s="208"/>
      <c r="GRJ886" s="208"/>
      <c r="GRK886" s="208"/>
      <c r="GRL886" s="208"/>
      <c r="GRM886" s="208"/>
      <c r="GRN886" s="208"/>
      <c r="GRO886" s="208"/>
      <c r="GRP886" s="208"/>
      <c r="GRQ886" s="208"/>
      <c r="GRR886" s="208"/>
      <c r="GRS886" s="208"/>
      <c r="GRT886" s="208"/>
      <c r="GRU886" s="208"/>
      <c r="GRV886" s="208"/>
      <c r="GRW886" s="208"/>
      <c r="GRX886" s="208"/>
      <c r="GRY886" s="208"/>
      <c r="GRZ886" s="208"/>
      <c r="GSA886" s="208"/>
      <c r="GSB886" s="208"/>
      <c r="GSC886" s="208"/>
      <c r="GSD886" s="208"/>
      <c r="GSE886" s="208"/>
      <c r="GSF886" s="208"/>
      <c r="GSG886" s="208"/>
      <c r="GSH886" s="208"/>
      <c r="GSI886" s="208"/>
      <c r="GSJ886" s="208"/>
      <c r="GSK886" s="208"/>
      <c r="GSL886" s="208"/>
      <c r="GSM886" s="208"/>
      <c r="GSN886" s="208"/>
      <c r="GSO886" s="208"/>
      <c r="GSP886" s="208"/>
      <c r="GSQ886" s="208"/>
      <c r="GSR886" s="208"/>
      <c r="GSS886" s="208"/>
      <c r="GST886" s="208"/>
      <c r="GSU886" s="208"/>
      <c r="GSV886" s="208"/>
      <c r="GSW886" s="208"/>
      <c r="GSX886" s="208"/>
      <c r="GSY886" s="208"/>
      <c r="GSZ886" s="208"/>
      <c r="GTA886" s="208"/>
      <c r="GTB886" s="208"/>
      <c r="GTC886" s="208"/>
      <c r="GTD886" s="208"/>
      <c r="GTE886" s="208"/>
      <c r="GTF886" s="208"/>
      <c r="GTG886" s="208"/>
      <c r="GTH886" s="208"/>
      <c r="GTI886" s="208"/>
      <c r="GTJ886" s="208"/>
      <c r="GTK886" s="208"/>
      <c r="GTL886" s="208"/>
      <c r="GTM886" s="208"/>
      <c r="GTN886" s="208"/>
      <c r="GTO886" s="208"/>
      <c r="GTP886" s="208"/>
      <c r="GTQ886" s="208"/>
      <c r="GTR886" s="208"/>
      <c r="GTS886" s="208"/>
      <c r="GTT886" s="208"/>
      <c r="GTU886" s="208"/>
      <c r="GTV886" s="208"/>
      <c r="GTW886" s="208"/>
      <c r="GTX886" s="208"/>
      <c r="GTY886" s="208"/>
      <c r="GTZ886" s="208"/>
      <c r="GUA886" s="208"/>
      <c r="GUB886" s="208"/>
      <c r="GUC886" s="208"/>
      <c r="GUD886" s="208"/>
      <c r="GUE886" s="208"/>
      <c r="GUF886" s="208"/>
      <c r="GUG886" s="208"/>
      <c r="GUH886" s="208"/>
      <c r="GUI886" s="208"/>
      <c r="GUJ886" s="208"/>
      <c r="GUK886" s="208"/>
      <c r="GUL886" s="208"/>
      <c r="GUM886" s="208"/>
      <c r="GUN886" s="208"/>
      <c r="GUO886" s="208"/>
      <c r="GUP886" s="208"/>
      <c r="GUQ886" s="208"/>
      <c r="GUR886" s="208"/>
      <c r="GUS886" s="208"/>
      <c r="GUT886" s="208"/>
      <c r="GUU886" s="208"/>
      <c r="GUV886" s="208"/>
      <c r="GUW886" s="208"/>
      <c r="GUX886" s="208"/>
      <c r="GUY886" s="208"/>
      <c r="GUZ886" s="208"/>
      <c r="GVA886" s="208"/>
      <c r="GVB886" s="208"/>
      <c r="GVC886" s="208"/>
      <c r="GVD886" s="208"/>
      <c r="GVE886" s="208"/>
      <c r="GVF886" s="208"/>
      <c r="GVG886" s="208"/>
      <c r="GVH886" s="208"/>
      <c r="GVI886" s="208"/>
      <c r="GVJ886" s="208"/>
      <c r="GVK886" s="208"/>
      <c r="GVL886" s="208"/>
      <c r="GVM886" s="208"/>
      <c r="GVN886" s="208"/>
      <c r="GVO886" s="208"/>
      <c r="GVP886" s="208"/>
      <c r="GVQ886" s="208"/>
      <c r="GVR886" s="208"/>
      <c r="GVS886" s="208"/>
      <c r="GVT886" s="208"/>
      <c r="GVU886" s="208"/>
      <c r="GVV886" s="208"/>
      <c r="GVW886" s="208"/>
      <c r="GVX886" s="208"/>
      <c r="GVY886" s="208"/>
      <c r="GVZ886" s="208"/>
      <c r="GWA886" s="208"/>
      <c r="GWB886" s="208"/>
      <c r="GWC886" s="208"/>
      <c r="GWD886" s="208"/>
      <c r="GWE886" s="208"/>
      <c r="GWF886" s="208"/>
      <c r="GWG886" s="208"/>
      <c r="GWH886" s="208"/>
      <c r="GWI886" s="208"/>
      <c r="GWJ886" s="208"/>
      <c r="GWK886" s="208"/>
      <c r="GWL886" s="208"/>
      <c r="GWM886" s="208"/>
      <c r="GWN886" s="208"/>
      <c r="GWO886" s="208"/>
      <c r="GWP886" s="208"/>
      <c r="GWQ886" s="208"/>
      <c r="GWR886" s="208"/>
      <c r="GWS886" s="208"/>
      <c r="GWT886" s="208"/>
      <c r="GWU886" s="208"/>
      <c r="GWV886" s="208"/>
      <c r="GWW886" s="208"/>
      <c r="GWX886" s="208"/>
      <c r="GWY886" s="208"/>
      <c r="GWZ886" s="208"/>
      <c r="GXA886" s="208"/>
      <c r="GXB886" s="208"/>
      <c r="GXC886" s="208"/>
      <c r="GXD886" s="208"/>
      <c r="GXE886" s="208"/>
      <c r="GXF886" s="208"/>
      <c r="GXG886" s="208"/>
      <c r="GXH886" s="208"/>
      <c r="GXI886" s="208"/>
      <c r="GXJ886" s="208"/>
      <c r="GXK886" s="208"/>
      <c r="GXL886" s="208"/>
      <c r="GXM886" s="208"/>
      <c r="GXN886" s="208"/>
      <c r="GXO886" s="208"/>
      <c r="GXP886" s="208"/>
      <c r="GXQ886" s="208"/>
      <c r="GXR886" s="208"/>
      <c r="GXS886" s="208"/>
      <c r="GXT886" s="208"/>
      <c r="GXU886" s="208"/>
      <c r="GXV886" s="208"/>
      <c r="GXW886" s="208"/>
      <c r="GXX886" s="208"/>
      <c r="GXY886" s="208"/>
      <c r="GXZ886" s="208"/>
      <c r="GYA886" s="208"/>
      <c r="GYB886" s="208"/>
      <c r="GYC886" s="208"/>
      <c r="GYD886" s="208"/>
      <c r="GYE886" s="208"/>
      <c r="GYF886" s="208"/>
      <c r="GYG886" s="208"/>
      <c r="GYH886" s="208"/>
      <c r="GYI886" s="208"/>
      <c r="GYJ886" s="208"/>
      <c r="GYK886" s="208"/>
      <c r="GYL886" s="208"/>
      <c r="GYM886" s="208"/>
      <c r="GYN886" s="208"/>
      <c r="GYO886" s="208"/>
      <c r="GYP886" s="208"/>
      <c r="GYQ886" s="208"/>
      <c r="GYR886" s="208"/>
      <c r="GYS886" s="208"/>
      <c r="GYT886" s="208"/>
      <c r="GYU886" s="208"/>
      <c r="GYV886" s="208"/>
      <c r="GYW886" s="208"/>
      <c r="GYX886" s="208"/>
      <c r="GYY886" s="208"/>
      <c r="GYZ886" s="208"/>
      <c r="GZA886" s="208"/>
      <c r="GZB886" s="208"/>
      <c r="GZC886" s="208"/>
      <c r="GZD886" s="208"/>
      <c r="GZE886" s="208"/>
      <c r="GZF886" s="208"/>
      <c r="GZG886" s="208"/>
      <c r="GZH886" s="208"/>
      <c r="GZI886" s="208"/>
      <c r="GZJ886" s="208"/>
      <c r="GZK886" s="208"/>
      <c r="GZL886" s="208"/>
      <c r="GZM886" s="208"/>
      <c r="GZN886" s="208"/>
      <c r="GZO886" s="208"/>
      <c r="GZP886" s="208"/>
      <c r="GZQ886" s="208"/>
      <c r="GZR886" s="208"/>
      <c r="GZS886" s="208"/>
      <c r="GZT886" s="208"/>
      <c r="GZU886" s="208"/>
      <c r="GZV886" s="208"/>
      <c r="GZW886" s="208"/>
      <c r="GZX886" s="208"/>
      <c r="GZY886" s="208"/>
      <c r="GZZ886" s="208"/>
      <c r="HAA886" s="208"/>
      <c r="HAB886" s="208"/>
      <c r="HAC886" s="208"/>
      <c r="HAD886" s="208"/>
      <c r="HAE886" s="208"/>
      <c r="HAF886" s="208"/>
      <c r="HAG886" s="208"/>
      <c r="HAH886" s="208"/>
      <c r="HAI886" s="208"/>
      <c r="HAJ886" s="208"/>
      <c r="HAK886" s="208"/>
      <c r="HAL886" s="208"/>
      <c r="HAM886" s="208"/>
      <c r="HAN886" s="208"/>
      <c r="HAO886" s="208"/>
      <c r="HAP886" s="208"/>
      <c r="HAQ886" s="208"/>
      <c r="HAR886" s="208"/>
      <c r="HAS886" s="208"/>
      <c r="HAT886" s="208"/>
      <c r="HAU886" s="208"/>
      <c r="HAV886" s="208"/>
      <c r="HAW886" s="208"/>
      <c r="HAX886" s="208"/>
      <c r="HAY886" s="208"/>
      <c r="HAZ886" s="208"/>
      <c r="HBA886" s="208"/>
      <c r="HBB886" s="208"/>
      <c r="HBC886" s="208"/>
      <c r="HBD886" s="208"/>
      <c r="HBE886" s="208"/>
      <c r="HBF886" s="208"/>
      <c r="HBG886" s="208"/>
      <c r="HBH886" s="208"/>
      <c r="HBI886" s="208"/>
      <c r="HBJ886" s="208"/>
      <c r="HBK886" s="208"/>
      <c r="HBL886" s="208"/>
      <c r="HBM886" s="208"/>
      <c r="HBN886" s="208"/>
      <c r="HBO886" s="208"/>
      <c r="HBP886" s="208"/>
      <c r="HBQ886" s="208"/>
      <c r="HBR886" s="208"/>
      <c r="HBS886" s="208"/>
      <c r="HBT886" s="208"/>
      <c r="HBU886" s="208"/>
      <c r="HBV886" s="208"/>
      <c r="HBW886" s="208"/>
      <c r="HBX886" s="208"/>
      <c r="HBY886" s="208"/>
      <c r="HBZ886" s="208"/>
      <c r="HCA886" s="208"/>
      <c r="HCB886" s="208"/>
      <c r="HCC886" s="208"/>
      <c r="HCD886" s="208"/>
      <c r="HCE886" s="208"/>
      <c r="HCF886" s="208"/>
      <c r="HCG886" s="208"/>
      <c r="HCH886" s="208"/>
      <c r="HCI886" s="208"/>
      <c r="HCJ886" s="208"/>
      <c r="HCK886" s="208"/>
      <c r="HCL886" s="208"/>
      <c r="HCM886" s="208"/>
      <c r="HCN886" s="208"/>
      <c r="HCO886" s="208"/>
      <c r="HCP886" s="208"/>
      <c r="HCQ886" s="208"/>
      <c r="HCR886" s="208"/>
      <c r="HCS886" s="208"/>
      <c r="HCT886" s="208"/>
      <c r="HCU886" s="208"/>
      <c r="HCV886" s="208"/>
      <c r="HCW886" s="208"/>
      <c r="HCX886" s="208"/>
      <c r="HCY886" s="208"/>
      <c r="HCZ886" s="208"/>
      <c r="HDA886" s="208"/>
      <c r="HDB886" s="208"/>
      <c r="HDC886" s="208"/>
      <c r="HDD886" s="208"/>
      <c r="HDE886" s="208"/>
      <c r="HDF886" s="208"/>
      <c r="HDG886" s="208"/>
      <c r="HDH886" s="208"/>
      <c r="HDI886" s="208"/>
      <c r="HDJ886" s="208"/>
      <c r="HDK886" s="208"/>
      <c r="HDL886" s="208"/>
      <c r="HDM886" s="208"/>
      <c r="HDN886" s="208"/>
      <c r="HDO886" s="208"/>
      <c r="HDP886" s="208"/>
      <c r="HDQ886" s="208"/>
      <c r="HDR886" s="208"/>
      <c r="HDS886" s="208"/>
      <c r="HDT886" s="208"/>
      <c r="HDU886" s="208"/>
      <c r="HDV886" s="208"/>
      <c r="HDW886" s="208"/>
      <c r="HDX886" s="208"/>
      <c r="HDY886" s="208"/>
      <c r="HDZ886" s="208"/>
      <c r="HEA886" s="208"/>
      <c r="HEB886" s="208"/>
      <c r="HEC886" s="208"/>
      <c r="HED886" s="208"/>
      <c r="HEE886" s="208"/>
      <c r="HEF886" s="208"/>
      <c r="HEG886" s="208"/>
      <c r="HEH886" s="208"/>
      <c r="HEI886" s="208"/>
      <c r="HEJ886" s="208"/>
      <c r="HEK886" s="208"/>
      <c r="HEL886" s="208"/>
      <c r="HEM886" s="208"/>
      <c r="HEN886" s="208"/>
      <c r="HEO886" s="208"/>
      <c r="HEP886" s="208"/>
      <c r="HEQ886" s="208"/>
      <c r="HER886" s="208"/>
      <c r="HES886" s="208"/>
      <c r="HET886" s="208"/>
      <c r="HEU886" s="208"/>
      <c r="HEV886" s="208"/>
      <c r="HEW886" s="208"/>
      <c r="HEX886" s="208"/>
      <c r="HEY886" s="208"/>
      <c r="HEZ886" s="208"/>
      <c r="HFA886" s="208"/>
      <c r="HFB886" s="208"/>
      <c r="HFC886" s="208"/>
      <c r="HFD886" s="208"/>
      <c r="HFE886" s="208"/>
      <c r="HFF886" s="208"/>
      <c r="HFG886" s="208"/>
      <c r="HFH886" s="208"/>
      <c r="HFI886" s="208"/>
      <c r="HFJ886" s="208"/>
      <c r="HFK886" s="208"/>
      <c r="HFL886" s="208"/>
      <c r="HFM886" s="208"/>
      <c r="HFN886" s="208"/>
      <c r="HFO886" s="208"/>
      <c r="HFP886" s="208"/>
      <c r="HFQ886" s="208"/>
      <c r="HFR886" s="208"/>
      <c r="HFS886" s="208"/>
      <c r="HFT886" s="208"/>
      <c r="HFU886" s="208"/>
      <c r="HFV886" s="208"/>
      <c r="HFW886" s="208"/>
      <c r="HFX886" s="208"/>
      <c r="HFY886" s="208"/>
      <c r="HFZ886" s="208"/>
      <c r="HGA886" s="208"/>
      <c r="HGB886" s="208"/>
      <c r="HGC886" s="208"/>
      <c r="HGD886" s="208"/>
      <c r="HGE886" s="208"/>
      <c r="HGF886" s="208"/>
      <c r="HGG886" s="208"/>
      <c r="HGH886" s="208"/>
      <c r="HGI886" s="208"/>
      <c r="HGJ886" s="208"/>
      <c r="HGK886" s="208"/>
      <c r="HGL886" s="208"/>
      <c r="HGM886" s="208"/>
      <c r="HGN886" s="208"/>
      <c r="HGO886" s="208"/>
      <c r="HGP886" s="208"/>
      <c r="HGQ886" s="208"/>
      <c r="HGR886" s="208"/>
      <c r="HGS886" s="208"/>
      <c r="HGT886" s="208"/>
      <c r="HGU886" s="208"/>
      <c r="HGV886" s="208"/>
      <c r="HGW886" s="208"/>
      <c r="HGX886" s="208"/>
      <c r="HGY886" s="208"/>
      <c r="HGZ886" s="208"/>
      <c r="HHA886" s="208"/>
      <c r="HHB886" s="208"/>
      <c r="HHC886" s="208"/>
      <c r="HHD886" s="208"/>
      <c r="HHE886" s="208"/>
      <c r="HHF886" s="208"/>
      <c r="HHG886" s="208"/>
      <c r="HHH886" s="208"/>
      <c r="HHI886" s="208"/>
      <c r="HHJ886" s="208"/>
      <c r="HHK886" s="208"/>
      <c r="HHL886" s="208"/>
      <c r="HHM886" s="208"/>
      <c r="HHN886" s="208"/>
      <c r="HHO886" s="208"/>
      <c r="HHP886" s="208"/>
      <c r="HHQ886" s="208"/>
      <c r="HHR886" s="208"/>
      <c r="HHS886" s="208"/>
      <c r="HHT886" s="208"/>
      <c r="HHU886" s="208"/>
      <c r="HHV886" s="208"/>
      <c r="HHW886" s="208"/>
      <c r="HHX886" s="208"/>
      <c r="HHY886" s="208"/>
      <c r="HHZ886" s="208"/>
      <c r="HIA886" s="208"/>
      <c r="HIB886" s="208"/>
      <c r="HIC886" s="208"/>
      <c r="HID886" s="208"/>
      <c r="HIE886" s="208"/>
      <c r="HIF886" s="208"/>
      <c r="HIG886" s="208"/>
      <c r="HIH886" s="208"/>
      <c r="HII886" s="208"/>
      <c r="HIJ886" s="208"/>
      <c r="HIK886" s="208"/>
      <c r="HIL886" s="208"/>
      <c r="HIM886" s="208"/>
      <c r="HIN886" s="208"/>
      <c r="HIO886" s="208"/>
      <c r="HIP886" s="208"/>
      <c r="HIQ886" s="208"/>
      <c r="HIR886" s="208"/>
      <c r="HIS886" s="208"/>
      <c r="HIT886" s="208"/>
      <c r="HIU886" s="208"/>
      <c r="HIV886" s="208"/>
      <c r="HIW886" s="208"/>
      <c r="HIX886" s="208"/>
      <c r="HIY886" s="208"/>
      <c r="HIZ886" s="208"/>
      <c r="HJA886" s="208"/>
      <c r="HJB886" s="208"/>
      <c r="HJC886" s="208"/>
      <c r="HJD886" s="208"/>
      <c r="HJE886" s="208"/>
      <c r="HJF886" s="208"/>
      <c r="HJG886" s="208"/>
      <c r="HJH886" s="208"/>
      <c r="HJI886" s="208"/>
      <c r="HJJ886" s="208"/>
      <c r="HJK886" s="208"/>
      <c r="HJL886" s="208"/>
      <c r="HJM886" s="208"/>
      <c r="HJN886" s="208"/>
      <c r="HJO886" s="208"/>
      <c r="HJP886" s="208"/>
      <c r="HJQ886" s="208"/>
      <c r="HJR886" s="208"/>
      <c r="HJS886" s="208"/>
      <c r="HJT886" s="208"/>
      <c r="HJU886" s="208"/>
      <c r="HJV886" s="208"/>
      <c r="HJW886" s="208"/>
      <c r="HJX886" s="208"/>
      <c r="HJY886" s="208"/>
      <c r="HJZ886" s="208"/>
      <c r="HKA886" s="208"/>
      <c r="HKB886" s="208"/>
      <c r="HKC886" s="208"/>
      <c r="HKD886" s="208"/>
      <c r="HKE886" s="208"/>
      <c r="HKF886" s="208"/>
      <c r="HKG886" s="208"/>
      <c r="HKH886" s="208"/>
      <c r="HKI886" s="208"/>
      <c r="HKJ886" s="208"/>
      <c r="HKK886" s="208"/>
      <c r="HKL886" s="208"/>
      <c r="HKM886" s="208"/>
      <c r="HKN886" s="208"/>
      <c r="HKO886" s="208"/>
      <c r="HKP886" s="208"/>
      <c r="HKQ886" s="208"/>
      <c r="HKR886" s="208"/>
      <c r="HKS886" s="208"/>
      <c r="HKT886" s="208"/>
      <c r="HKU886" s="208"/>
      <c r="HKV886" s="208"/>
      <c r="HKW886" s="208"/>
      <c r="HKX886" s="208"/>
      <c r="HKY886" s="208"/>
      <c r="HKZ886" s="208"/>
      <c r="HLA886" s="208"/>
      <c r="HLB886" s="208"/>
      <c r="HLC886" s="208"/>
      <c r="HLD886" s="208"/>
      <c r="HLE886" s="208"/>
      <c r="HLF886" s="208"/>
      <c r="HLG886" s="208"/>
      <c r="HLH886" s="208"/>
      <c r="HLI886" s="208"/>
      <c r="HLJ886" s="208"/>
      <c r="HLK886" s="208"/>
      <c r="HLL886" s="208"/>
      <c r="HLM886" s="208"/>
      <c r="HLN886" s="208"/>
      <c r="HLO886" s="208"/>
      <c r="HLP886" s="208"/>
      <c r="HLQ886" s="208"/>
      <c r="HLR886" s="208"/>
      <c r="HLS886" s="208"/>
      <c r="HLT886" s="208"/>
      <c r="HLU886" s="208"/>
      <c r="HLV886" s="208"/>
      <c r="HLW886" s="208"/>
      <c r="HLX886" s="208"/>
      <c r="HLY886" s="208"/>
      <c r="HLZ886" s="208"/>
      <c r="HMA886" s="208"/>
      <c r="HMB886" s="208"/>
      <c r="HMC886" s="208"/>
      <c r="HMD886" s="208"/>
      <c r="HME886" s="208"/>
      <c r="HMF886" s="208"/>
      <c r="HMG886" s="208"/>
      <c r="HMH886" s="208"/>
      <c r="HMI886" s="208"/>
      <c r="HMJ886" s="208"/>
      <c r="HMK886" s="208"/>
      <c r="HML886" s="208"/>
      <c r="HMM886" s="208"/>
      <c r="HMN886" s="208"/>
      <c r="HMO886" s="208"/>
      <c r="HMP886" s="208"/>
      <c r="HMQ886" s="208"/>
      <c r="HMR886" s="208"/>
      <c r="HMS886" s="208"/>
      <c r="HMT886" s="208"/>
      <c r="HMU886" s="208"/>
      <c r="HMV886" s="208"/>
      <c r="HMW886" s="208"/>
      <c r="HMX886" s="208"/>
      <c r="HMY886" s="208"/>
      <c r="HMZ886" s="208"/>
      <c r="HNA886" s="208"/>
      <c r="HNB886" s="208"/>
      <c r="HNC886" s="208"/>
      <c r="HND886" s="208"/>
      <c r="HNE886" s="208"/>
      <c r="HNF886" s="208"/>
      <c r="HNG886" s="208"/>
      <c r="HNH886" s="208"/>
      <c r="HNI886" s="208"/>
      <c r="HNJ886" s="208"/>
      <c r="HNK886" s="208"/>
      <c r="HNL886" s="208"/>
      <c r="HNM886" s="208"/>
      <c r="HNN886" s="208"/>
      <c r="HNO886" s="208"/>
      <c r="HNP886" s="208"/>
      <c r="HNQ886" s="208"/>
      <c r="HNR886" s="208"/>
      <c r="HNS886" s="208"/>
      <c r="HNT886" s="208"/>
      <c r="HNU886" s="208"/>
      <c r="HNV886" s="208"/>
      <c r="HNW886" s="208"/>
      <c r="HNX886" s="208"/>
      <c r="HNY886" s="208"/>
      <c r="HNZ886" s="208"/>
      <c r="HOA886" s="208"/>
      <c r="HOB886" s="208"/>
      <c r="HOC886" s="208"/>
      <c r="HOD886" s="208"/>
      <c r="HOE886" s="208"/>
      <c r="HOF886" s="208"/>
      <c r="HOG886" s="208"/>
      <c r="HOH886" s="208"/>
      <c r="HOI886" s="208"/>
      <c r="HOJ886" s="208"/>
      <c r="HOK886" s="208"/>
      <c r="HOL886" s="208"/>
      <c r="HOM886" s="208"/>
      <c r="HON886" s="208"/>
      <c r="HOO886" s="208"/>
      <c r="HOP886" s="208"/>
      <c r="HOQ886" s="208"/>
      <c r="HOR886" s="208"/>
      <c r="HOS886" s="208"/>
      <c r="HOT886" s="208"/>
      <c r="HOU886" s="208"/>
      <c r="HOV886" s="208"/>
      <c r="HOW886" s="208"/>
      <c r="HOX886" s="208"/>
      <c r="HOY886" s="208"/>
      <c r="HOZ886" s="208"/>
      <c r="HPA886" s="208"/>
      <c r="HPB886" s="208"/>
      <c r="HPC886" s="208"/>
      <c r="HPD886" s="208"/>
      <c r="HPE886" s="208"/>
      <c r="HPF886" s="208"/>
      <c r="HPG886" s="208"/>
      <c r="HPH886" s="208"/>
      <c r="HPI886" s="208"/>
      <c r="HPJ886" s="208"/>
      <c r="HPK886" s="208"/>
      <c r="HPL886" s="208"/>
      <c r="HPM886" s="208"/>
      <c r="HPN886" s="208"/>
      <c r="HPO886" s="208"/>
      <c r="HPP886" s="208"/>
      <c r="HPQ886" s="208"/>
      <c r="HPR886" s="208"/>
      <c r="HPS886" s="208"/>
      <c r="HPT886" s="208"/>
      <c r="HPU886" s="208"/>
      <c r="HPV886" s="208"/>
      <c r="HPW886" s="208"/>
      <c r="HPX886" s="208"/>
      <c r="HPY886" s="208"/>
      <c r="HPZ886" s="208"/>
      <c r="HQA886" s="208"/>
      <c r="HQB886" s="208"/>
      <c r="HQC886" s="208"/>
      <c r="HQD886" s="208"/>
      <c r="HQE886" s="208"/>
      <c r="HQF886" s="208"/>
      <c r="HQG886" s="208"/>
      <c r="HQH886" s="208"/>
      <c r="HQI886" s="208"/>
      <c r="HQJ886" s="208"/>
      <c r="HQK886" s="208"/>
      <c r="HQL886" s="208"/>
      <c r="HQM886" s="208"/>
      <c r="HQN886" s="208"/>
      <c r="HQO886" s="208"/>
      <c r="HQP886" s="208"/>
      <c r="HQQ886" s="208"/>
      <c r="HQR886" s="208"/>
      <c r="HQS886" s="208"/>
      <c r="HQT886" s="208"/>
      <c r="HQU886" s="208"/>
      <c r="HQV886" s="208"/>
      <c r="HQW886" s="208"/>
      <c r="HQX886" s="208"/>
      <c r="HQY886" s="208"/>
      <c r="HQZ886" s="208"/>
      <c r="HRA886" s="208"/>
      <c r="HRB886" s="208"/>
      <c r="HRC886" s="208"/>
      <c r="HRD886" s="208"/>
      <c r="HRE886" s="208"/>
      <c r="HRF886" s="208"/>
      <c r="HRG886" s="208"/>
      <c r="HRH886" s="208"/>
      <c r="HRI886" s="208"/>
      <c r="HRJ886" s="208"/>
      <c r="HRK886" s="208"/>
      <c r="HRL886" s="208"/>
      <c r="HRM886" s="208"/>
      <c r="HRN886" s="208"/>
      <c r="HRO886" s="208"/>
      <c r="HRP886" s="208"/>
      <c r="HRQ886" s="208"/>
      <c r="HRR886" s="208"/>
      <c r="HRS886" s="208"/>
      <c r="HRT886" s="208"/>
      <c r="HRU886" s="208"/>
      <c r="HRV886" s="208"/>
      <c r="HRW886" s="208"/>
      <c r="HRX886" s="208"/>
      <c r="HRY886" s="208"/>
      <c r="HRZ886" s="208"/>
      <c r="HSA886" s="208"/>
      <c r="HSB886" s="208"/>
      <c r="HSC886" s="208"/>
      <c r="HSD886" s="208"/>
      <c r="HSE886" s="208"/>
      <c r="HSF886" s="208"/>
      <c r="HSG886" s="208"/>
      <c r="HSH886" s="208"/>
      <c r="HSI886" s="208"/>
      <c r="HSJ886" s="208"/>
      <c r="HSK886" s="208"/>
      <c r="HSL886" s="208"/>
      <c r="HSM886" s="208"/>
      <c r="HSN886" s="208"/>
      <c r="HSO886" s="208"/>
      <c r="HSP886" s="208"/>
      <c r="HSQ886" s="208"/>
      <c r="HSR886" s="208"/>
      <c r="HSS886" s="208"/>
      <c r="HST886" s="208"/>
      <c r="HSU886" s="208"/>
      <c r="HSV886" s="208"/>
      <c r="HSW886" s="208"/>
      <c r="HSX886" s="208"/>
      <c r="HSY886" s="208"/>
      <c r="HSZ886" s="208"/>
      <c r="HTA886" s="208"/>
      <c r="HTB886" s="208"/>
      <c r="HTC886" s="208"/>
      <c r="HTD886" s="208"/>
      <c r="HTE886" s="208"/>
      <c r="HTF886" s="208"/>
      <c r="HTG886" s="208"/>
      <c r="HTH886" s="208"/>
      <c r="HTI886" s="208"/>
      <c r="HTJ886" s="208"/>
      <c r="HTK886" s="208"/>
      <c r="HTL886" s="208"/>
      <c r="HTM886" s="208"/>
      <c r="HTN886" s="208"/>
      <c r="HTO886" s="208"/>
      <c r="HTP886" s="208"/>
      <c r="HTQ886" s="208"/>
      <c r="HTR886" s="208"/>
      <c r="HTS886" s="208"/>
      <c r="HTT886" s="208"/>
      <c r="HTU886" s="208"/>
      <c r="HTV886" s="208"/>
      <c r="HTW886" s="208"/>
      <c r="HTX886" s="208"/>
      <c r="HTY886" s="208"/>
      <c r="HTZ886" s="208"/>
      <c r="HUA886" s="208"/>
      <c r="HUB886" s="208"/>
      <c r="HUC886" s="208"/>
      <c r="HUD886" s="208"/>
      <c r="HUE886" s="208"/>
      <c r="HUF886" s="208"/>
      <c r="HUG886" s="208"/>
      <c r="HUH886" s="208"/>
      <c r="HUI886" s="208"/>
      <c r="HUJ886" s="208"/>
      <c r="HUK886" s="208"/>
      <c r="HUL886" s="208"/>
      <c r="HUM886" s="208"/>
      <c r="HUN886" s="208"/>
      <c r="HUO886" s="208"/>
      <c r="HUP886" s="208"/>
      <c r="HUQ886" s="208"/>
      <c r="HUR886" s="208"/>
      <c r="HUS886" s="208"/>
      <c r="HUT886" s="208"/>
      <c r="HUU886" s="208"/>
      <c r="HUV886" s="208"/>
      <c r="HUW886" s="208"/>
      <c r="HUX886" s="208"/>
      <c r="HUY886" s="208"/>
      <c r="HUZ886" s="208"/>
      <c r="HVA886" s="208"/>
      <c r="HVB886" s="208"/>
      <c r="HVC886" s="208"/>
      <c r="HVD886" s="208"/>
      <c r="HVE886" s="208"/>
      <c r="HVF886" s="208"/>
      <c r="HVG886" s="208"/>
      <c r="HVH886" s="208"/>
      <c r="HVI886" s="208"/>
      <c r="HVJ886" s="208"/>
      <c r="HVK886" s="208"/>
      <c r="HVL886" s="208"/>
      <c r="HVM886" s="208"/>
      <c r="HVN886" s="208"/>
      <c r="HVO886" s="208"/>
      <c r="HVP886" s="208"/>
      <c r="HVQ886" s="208"/>
      <c r="HVR886" s="208"/>
      <c r="HVS886" s="208"/>
      <c r="HVT886" s="208"/>
      <c r="HVU886" s="208"/>
      <c r="HVV886" s="208"/>
      <c r="HVW886" s="208"/>
      <c r="HVX886" s="208"/>
      <c r="HVY886" s="208"/>
      <c r="HVZ886" s="208"/>
      <c r="HWA886" s="208"/>
      <c r="HWB886" s="208"/>
      <c r="HWC886" s="208"/>
      <c r="HWD886" s="208"/>
      <c r="HWE886" s="208"/>
      <c r="HWF886" s="208"/>
      <c r="HWG886" s="208"/>
      <c r="HWH886" s="208"/>
      <c r="HWI886" s="208"/>
      <c r="HWJ886" s="208"/>
      <c r="HWK886" s="208"/>
      <c r="HWL886" s="208"/>
      <c r="HWM886" s="208"/>
      <c r="HWN886" s="208"/>
      <c r="HWO886" s="208"/>
      <c r="HWP886" s="208"/>
      <c r="HWQ886" s="208"/>
      <c r="HWR886" s="208"/>
      <c r="HWS886" s="208"/>
      <c r="HWT886" s="208"/>
      <c r="HWU886" s="208"/>
      <c r="HWV886" s="208"/>
      <c r="HWW886" s="208"/>
      <c r="HWX886" s="208"/>
      <c r="HWY886" s="208"/>
      <c r="HWZ886" s="208"/>
      <c r="HXA886" s="208"/>
      <c r="HXB886" s="208"/>
      <c r="HXC886" s="208"/>
      <c r="HXD886" s="208"/>
      <c r="HXE886" s="208"/>
      <c r="HXF886" s="208"/>
      <c r="HXG886" s="208"/>
      <c r="HXH886" s="208"/>
      <c r="HXI886" s="208"/>
      <c r="HXJ886" s="208"/>
      <c r="HXK886" s="208"/>
      <c r="HXL886" s="208"/>
      <c r="HXM886" s="208"/>
      <c r="HXN886" s="208"/>
      <c r="HXO886" s="208"/>
      <c r="HXP886" s="208"/>
      <c r="HXQ886" s="208"/>
      <c r="HXR886" s="208"/>
      <c r="HXS886" s="208"/>
      <c r="HXT886" s="208"/>
      <c r="HXU886" s="208"/>
      <c r="HXV886" s="208"/>
      <c r="HXW886" s="208"/>
      <c r="HXX886" s="208"/>
      <c r="HXY886" s="208"/>
      <c r="HXZ886" s="208"/>
      <c r="HYA886" s="208"/>
      <c r="HYB886" s="208"/>
      <c r="HYC886" s="208"/>
      <c r="HYD886" s="208"/>
      <c r="HYE886" s="208"/>
      <c r="HYF886" s="208"/>
      <c r="HYG886" s="208"/>
      <c r="HYH886" s="208"/>
      <c r="HYI886" s="208"/>
      <c r="HYJ886" s="208"/>
      <c r="HYK886" s="208"/>
      <c r="HYL886" s="208"/>
      <c r="HYM886" s="208"/>
      <c r="HYN886" s="208"/>
      <c r="HYO886" s="208"/>
      <c r="HYP886" s="208"/>
      <c r="HYQ886" s="208"/>
      <c r="HYR886" s="208"/>
      <c r="HYS886" s="208"/>
      <c r="HYT886" s="208"/>
      <c r="HYU886" s="208"/>
      <c r="HYV886" s="208"/>
      <c r="HYW886" s="208"/>
      <c r="HYX886" s="208"/>
      <c r="HYY886" s="208"/>
      <c r="HYZ886" s="208"/>
      <c r="HZA886" s="208"/>
      <c r="HZB886" s="208"/>
      <c r="HZC886" s="208"/>
      <c r="HZD886" s="208"/>
      <c r="HZE886" s="208"/>
      <c r="HZF886" s="208"/>
      <c r="HZG886" s="208"/>
      <c r="HZH886" s="208"/>
      <c r="HZI886" s="208"/>
      <c r="HZJ886" s="208"/>
      <c r="HZK886" s="208"/>
      <c r="HZL886" s="208"/>
      <c r="HZM886" s="208"/>
      <c r="HZN886" s="208"/>
      <c r="HZO886" s="208"/>
      <c r="HZP886" s="208"/>
      <c r="HZQ886" s="208"/>
      <c r="HZR886" s="208"/>
      <c r="HZS886" s="208"/>
      <c r="HZT886" s="208"/>
      <c r="HZU886" s="208"/>
      <c r="HZV886" s="208"/>
      <c r="HZW886" s="208"/>
      <c r="HZX886" s="208"/>
      <c r="HZY886" s="208"/>
      <c r="HZZ886" s="208"/>
      <c r="IAA886" s="208"/>
      <c r="IAB886" s="208"/>
      <c r="IAC886" s="208"/>
      <c r="IAD886" s="208"/>
      <c r="IAE886" s="208"/>
      <c r="IAF886" s="208"/>
      <c r="IAG886" s="208"/>
      <c r="IAH886" s="208"/>
      <c r="IAI886" s="208"/>
      <c r="IAJ886" s="208"/>
      <c r="IAK886" s="208"/>
      <c r="IAL886" s="208"/>
      <c r="IAM886" s="208"/>
      <c r="IAN886" s="208"/>
      <c r="IAO886" s="208"/>
      <c r="IAP886" s="208"/>
      <c r="IAQ886" s="208"/>
      <c r="IAR886" s="208"/>
      <c r="IAS886" s="208"/>
      <c r="IAT886" s="208"/>
      <c r="IAU886" s="208"/>
      <c r="IAV886" s="208"/>
      <c r="IAW886" s="208"/>
      <c r="IAX886" s="208"/>
      <c r="IAY886" s="208"/>
      <c r="IAZ886" s="208"/>
      <c r="IBA886" s="208"/>
      <c r="IBB886" s="208"/>
      <c r="IBC886" s="208"/>
      <c r="IBD886" s="208"/>
      <c r="IBE886" s="208"/>
      <c r="IBF886" s="208"/>
      <c r="IBG886" s="208"/>
      <c r="IBH886" s="208"/>
      <c r="IBI886" s="208"/>
      <c r="IBJ886" s="208"/>
      <c r="IBK886" s="208"/>
      <c r="IBL886" s="208"/>
      <c r="IBM886" s="208"/>
      <c r="IBN886" s="208"/>
      <c r="IBO886" s="208"/>
      <c r="IBP886" s="208"/>
      <c r="IBQ886" s="208"/>
      <c r="IBR886" s="208"/>
      <c r="IBS886" s="208"/>
      <c r="IBT886" s="208"/>
      <c r="IBU886" s="208"/>
      <c r="IBV886" s="208"/>
      <c r="IBW886" s="208"/>
      <c r="IBX886" s="208"/>
      <c r="IBY886" s="208"/>
      <c r="IBZ886" s="208"/>
      <c r="ICA886" s="208"/>
      <c r="ICB886" s="208"/>
      <c r="ICC886" s="208"/>
      <c r="ICD886" s="208"/>
      <c r="ICE886" s="208"/>
      <c r="ICF886" s="208"/>
      <c r="ICG886" s="208"/>
      <c r="ICH886" s="208"/>
      <c r="ICI886" s="208"/>
      <c r="ICJ886" s="208"/>
      <c r="ICK886" s="208"/>
      <c r="ICL886" s="208"/>
      <c r="ICM886" s="208"/>
      <c r="ICN886" s="208"/>
      <c r="ICO886" s="208"/>
      <c r="ICP886" s="208"/>
      <c r="ICQ886" s="208"/>
      <c r="ICR886" s="208"/>
      <c r="ICS886" s="208"/>
      <c r="ICT886" s="208"/>
      <c r="ICU886" s="208"/>
      <c r="ICV886" s="208"/>
      <c r="ICW886" s="208"/>
      <c r="ICX886" s="208"/>
      <c r="ICY886" s="208"/>
      <c r="ICZ886" s="208"/>
      <c r="IDA886" s="208"/>
      <c r="IDB886" s="208"/>
      <c r="IDC886" s="208"/>
      <c r="IDD886" s="208"/>
      <c r="IDE886" s="208"/>
      <c r="IDF886" s="208"/>
      <c r="IDG886" s="208"/>
      <c r="IDH886" s="208"/>
      <c r="IDI886" s="208"/>
      <c r="IDJ886" s="208"/>
      <c r="IDK886" s="208"/>
      <c r="IDL886" s="208"/>
      <c r="IDM886" s="208"/>
      <c r="IDN886" s="208"/>
      <c r="IDO886" s="208"/>
      <c r="IDP886" s="208"/>
      <c r="IDQ886" s="208"/>
      <c r="IDR886" s="208"/>
      <c r="IDS886" s="208"/>
      <c r="IDT886" s="208"/>
      <c r="IDU886" s="208"/>
      <c r="IDV886" s="208"/>
      <c r="IDW886" s="208"/>
      <c r="IDX886" s="208"/>
      <c r="IDY886" s="208"/>
      <c r="IDZ886" s="208"/>
      <c r="IEA886" s="208"/>
      <c r="IEB886" s="208"/>
      <c r="IEC886" s="208"/>
      <c r="IED886" s="208"/>
      <c r="IEE886" s="208"/>
      <c r="IEF886" s="208"/>
      <c r="IEG886" s="208"/>
      <c r="IEH886" s="208"/>
      <c r="IEI886" s="208"/>
      <c r="IEJ886" s="208"/>
      <c r="IEK886" s="208"/>
      <c r="IEL886" s="208"/>
      <c r="IEM886" s="208"/>
      <c r="IEN886" s="208"/>
      <c r="IEO886" s="208"/>
      <c r="IEP886" s="208"/>
      <c r="IEQ886" s="208"/>
      <c r="IER886" s="208"/>
      <c r="IES886" s="208"/>
      <c r="IET886" s="208"/>
      <c r="IEU886" s="208"/>
      <c r="IEV886" s="208"/>
      <c r="IEW886" s="208"/>
      <c r="IEX886" s="208"/>
      <c r="IEY886" s="208"/>
      <c r="IEZ886" s="208"/>
      <c r="IFA886" s="208"/>
      <c r="IFB886" s="208"/>
      <c r="IFC886" s="208"/>
      <c r="IFD886" s="208"/>
      <c r="IFE886" s="208"/>
      <c r="IFF886" s="208"/>
      <c r="IFG886" s="208"/>
      <c r="IFH886" s="208"/>
      <c r="IFI886" s="208"/>
      <c r="IFJ886" s="208"/>
      <c r="IFK886" s="208"/>
      <c r="IFL886" s="208"/>
      <c r="IFM886" s="208"/>
      <c r="IFN886" s="208"/>
      <c r="IFO886" s="208"/>
      <c r="IFP886" s="208"/>
      <c r="IFQ886" s="208"/>
      <c r="IFR886" s="208"/>
      <c r="IFS886" s="208"/>
      <c r="IFT886" s="208"/>
      <c r="IFU886" s="208"/>
      <c r="IFV886" s="208"/>
      <c r="IFW886" s="208"/>
      <c r="IFX886" s="208"/>
      <c r="IFY886" s="208"/>
      <c r="IFZ886" s="208"/>
      <c r="IGA886" s="208"/>
      <c r="IGB886" s="208"/>
      <c r="IGC886" s="208"/>
      <c r="IGD886" s="208"/>
      <c r="IGE886" s="208"/>
      <c r="IGF886" s="208"/>
      <c r="IGG886" s="208"/>
      <c r="IGH886" s="208"/>
      <c r="IGI886" s="208"/>
      <c r="IGJ886" s="208"/>
      <c r="IGK886" s="208"/>
      <c r="IGL886" s="208"/>
      <c r="IGM886" s="208"/>
      <c r="IGN886" s="208"/>
      <c r="IGO886" s="208"/>
      <c r="IGP886" s="208"/>
      <c r="IGQ886" s="208"/>
      <c r="IGR886" s="208"/>
      <c r="IGS886" s="208"/>
      <c r="IGT886" s="208"/>
      <c r="IGU886" s="208"/>
      <c r="IGV886" s="208"/>
      <c r="IGW886" s="208"/>
      <c r="IGX886" s="208"/>
      <c r="IGY886" s="208"/>
      <c r="IGZ886" s="208"/>
      <c r="IHA886" s="208"/>
      <c r="IHB886" s="208"/>
      <c r="IHC886" s="208"/>
      <c r="IHD886" s="208"/>
      <c r="IHE886" s="208"/>
      <c r="IHF886" s="208"/>
      <c r="IHG886" s="208"/>
      <c r="IHH886" s="208"/>
      <c r="IHI886" s="208"/>
      <c r="IHJ886" s="208"/>
      <c r="IHK886" s="208"/>
      <c r="IHL886" s="208"/>
      <c r="IHM886" s="208"/>
      <c r="IHN886" s="208"/>
      <c r="IHO886" s="208"/>
      <c r="IHP886" s="208"/>
      <c r="IHQ886" s="208"/>
      <c r="IHR886" s="208"/>
      <c r="IHS886" s="208"/>
      <c r="IHT886" s="208"/>
      <c r="IHU886" s="208"/>
      <c r="IHV886" s="208"/>
      <c r="IHW886" s="208"/>
      <c r="IHX886" s="208"/>
      <c r="IHY886" s="208"/>
      <c r="IHZ886" s="208"/>
      <c r="IIA886" s="208"/>
      <c r="IIB886" s="208"/>
      <c r="IIC886" s="208"/>
      <c r="IID886" s="208"/>
      <c r="IIE886" s="208"/>
      <c r="IIF886" s="208"/>
      <c r="IIG886" s="208"/>
      <c r="IIH886" s="208"/>
      <c r="III886" s="208"/>
      <c r="IIJ886" s="208"/>
      <c r="IIK886" s="208"/>
      <c r="IIL886" s="208"/>
      <c r="IIM886" s="208"/>
      <c r="IIN886" s="208"/>
      <c r="IIO886" s="208"/>
      <c r="IIP886" s="208"/>
      <c r="IIQ886" s="208"/>
      <c r="IIR886" s="208"/>
      <c r="IIS886" s="208"/>
      <c r="IIT886" s="208"/>
      <c r="IIU886" s="208"/>
      <c r="IIV886" s="208"/>
      <c r="IIW886" s="208"/>
      <c r="IIX886" s="208"/>
      <c r="IIY886" s="208"/>
      <c r="IIZ886" s="208"/>
      <c r="IJA886" s="208"/>
      <c r="IJB886" s="208"/>
      <c r="IJC886" s="208"/>
      <c r="IJD886" s="208"/>
      <c r="IJE886" s="208"/>
      <c r="IJF886" s="208"/>
      <c r="IJG886" s="208"/>
      <c r="IJH886" s="208"/>
      <c r="IJI886" s="208"/>
      <c r="IJJ886" s="208"/>
      <c r="IJK886" s="208"/>
      <c r="IJL886" s="208"/>
      <c r="IJM886" s="208"/>
      <c r="IJN886" s="208"/>
      <c r="IJO886" s="208"/>
      <c r="IJP886" s="208"/>
      <c r="IJQ886" s="208"/>
      <c r="IJR886" s="208"/>
      <c r="IJS886" s="208"/>
      <c r="IJT886" s="208"/>
      <c r="IJU886" s="208"/>
      <c r="IJV886" s="208"/>
      <c r="IJW886" s="208"/>
      <c r="IJX886" s="208"/>
      <c r="IJY886" s="208"/>
      <c r="IJZ886" s="208"/>
      <c r="IKA886" s="208"/>
      <c r="IKB886" s="208"/>
      <c r="IKC886" s="208"/>
      <c r="IKD886" s="208"/>
      <c r="IKE886" s="208"/>
      <c r="IKF886" s="208"/>
      <c r="IKG886" s="208"/>
      <c r="IKH886" s="208"/>
      <c r="IKI886" s="208"/>
      <c r="IKJ886" s="208"/>
      <c r="IKK886" s="208"/>
      <c r="IKL886" s="208"/>
      <c r="IKM886" s="208"/>
      <c r="IKN886" s="208"/>
      <c r="IKO886" s="208"/>
      <c r="IKP886" s="208"/>
      <c r="IKQ886" s="208"/>
      <c r="IKR886" s="208"/>
      <c r="IKS886" s="208"/>
      <c r="IKT886" s="208"/>
      <c r="IKU886" s="208"/>
      <c r="IKV886" s="208"/>
      <c r="IKW886" s="208"/>
      <c r="IKX886" s="208"/>
      <c r="IKY886" s="208"/>
      <c r="IKZ886" s="208"/>
      <c r="ILA886" s="208"/>
      <c r="ILB886" s="208"/>
      <c r="ILC886" s="208"/>
      <c r="ILD886" s="208"/>
      <c r="ILE886" s="208"/>
      <c r="ILF886" s="208"/>
      <c r="ILG886" s="208"/>
      <c r="ILH886" s="208"/>
      <c r="ILI886" s="208"/>
      <c r="ILJ886" s="208"/>
      <c r="ILK886" s="208"/>
      <c r="ILL886" s="208"/>
      <c r="ILM886" s="208"/>
      <c r="ILN886" s="208"/>
      <c r="ILO886" s="208"/>
      <c r="ILP886" s="208"/>
      <c r="ILQ886" s="208"/>
      <c r="ILR886" s="208"/>
      <c r="ILS886" s="208"/>
      <c r="ILT886" s="208"/>
      <c r="ILU886" s="208"/>
      <c r="ILV886" s="208"/>
      <c r="ILW886" s="208"/>
      <c r="ILX886" s="208"/>
      <c r="ILY886" s="208"/>
      <c r="ILZ886" s="208"/>
      <c r="IMA886" s="208"/>
      <c r="IMB886" s="208"/>
      <c r="IMC886" s="208"/>
      <c r="IMD886" s="208"/>
      <c r="IME886" s="208"/>
      <c r="IMF886" s="208"/>
      <c r="IMG886" s="208"/>
      <c r="IMH886" s="208"/>
      <c r="IMI886" s="208"/>
      <c r="IMJ886" s="208"/>
      <c r="IMK886" s="208"/>
      <c r="IML886" s="208"/>
      <c r="IMM886" s="208"/>
      <c r="IMN886" s="208"/>
      <c r="IMO886" s="208"/>
      <c r="IMP886" s="208"/>
      <c r="IMQ886" s="208"/>
      <c r="IMR886" s="208"/>
      <c r="IMS886" s="208"/>
      <c r="IMT886" s="208"/>
      <c r="IMU886" s="208"/>
      <c r="IMV886" s="208"/>
      <c r="IMW886" s="208"/>
      <c r="IMX886" s="208"/>
      <c r="IMY886" s="208"/>
      <c r="IMZ886" s="208"/>
      <c r="INA886" s="208"/>
      <c r="INB886" s="208"/>
      <c r="INC886" s="208"/>
      <c r="IND886" s="208"/>
      <c r="INE886" s="208"/>
      <c r="INF886" s="208"/>
      <c r="ING886" s="208"/>
      <c r="INH886" s="208"/>
      <c r="INI886" s="208"/>
      <c r="INJ886" s="208"/>
      <c r="INK886" s="208"/>
      <c r="INL886" s="208"/>
      <c r="INM886" s="208"/>
      <c r="INN886" s="208"/>
      <c r="INO886" s="208"/>
      <c r="INP886" s="208"/>
      <c r="INQ886" s="208"/>
      <c r="INR886" s="208"/>
      <c r="INS886" s="208"/>
      <c r="INT886" s="208"/>
      <c r="INU886" s="208"/>
      <c r="INV886" s="208"/>
      <c r="INW886" s="208"/>
      <c r="INX886" s="208"/>
      <c r="INY886" s="208"/>
      <c r="INZ886" s="208"/>
      <c r="IOA886" s="208"/>
      <c r="IOB886" s="208"/>
      <c r="IOC886" s="208"/>
      <c r="IOD886" s="208"/>
      <c r="IOE886" s="208"/>
      <c r="IOF886" s="208"/>
      <c r="IOG886" s="208"/>
      <c r="IOH886" s="208"/>
      <c r="IOI886" s="208"/>
      <c r="IOJ886" s="208"/>
      <c r="IOK886" s="208"/>
      <c r="IOL886" s="208"/>
      <c r="IOM886" s="208"/>
      <c r="ION886" s="208"/>
      <c r="IOO886" s="208"/>
      <c r="IOP886" s="208"/>
      <c r="IOQ886" s="208"/>
      <c r="IOR886" s="208"/>
      <c r="IOS886" s="208"/>
      <c r="IOT886" s="208"/>
      <c r="IOU886" s="208"/>
      <c r="IOV886" s="208"/>
      <c r="IOW886" s="208"/>
      <c r="IOX886" s="208"/>
      <c r="IOY886" s="208"/>
      <c r="IOZ886" s="208"/>
      <c r="IPA886" s="208"/>
      <c r="IPB886" s="208"/>
      <c r="IPC886" s="208"/>
      <c r="IPD886" s="208"/>
      <c r="IPE886" s="208"/>
      <c r="IPF886" s="208"/>
      <c r="IPG886" s="208"/>
      <c r="IPH886" s="208"/>
      <c r="IPI886" s="208"/>
      <c r="IPJ886" s="208"/>
      <c r="IPK886" s="208"/>
      <c r="IPL886" s="208"/>
      <c r="IPM886" s="208"/>
      <c r="IPN886" s="208"/>
      <c r="IPO886" s="208"/>
      <c r="IPP886" s="208"/>
      <c r="IPQ886" s="208"/>
      <c r="IPR886" s="208"/>
      <c r="IPS886" s="208"/>
      <c r="IPT886" s="208"/>
      <c r="IPU886" s="208"/>
      <c r="IPV886" s="208"/>
      <c r="IPW886" s="208"/>
      <c r="IPX886" s="208"/>
      <c r="IPY886" s="208"/>
      <c r="IPZ886" s="208"/>
      <c r="IQA886" s="208"/>
      <c r="IQB886" s="208"/>
      <c r="IQC886" s="208"/>
      <c r="IQD886" s="208"/>
      <c r="IQE886" s="208"/>
      <c r="IQF886" s="208"/>
      <c r="IQG886" s="208"/>
      <c r="IQH886" s="208"/>
      <c r="IQI886" s="208"/>
      <c r="IQJ886" s="208"/>
      <c r="IQK886" s="208"/>
      <c r="IQL886" s="208"/>
      <c r="IQM886" s="208"/>
      <c r="IQN886" s="208"/>
      <c r="IQO886" s="208"/>
      <c r="IQP886" s="208"/>
      <c r="IQQ886" s="208"/>
      <c r="IQR886" s="208"/>
      <c r="IQS886" s="208"/>
      <c r="IQT886" s="208"/>
      <c r="IQU886" s="208"/>
      <c r="IQV886" s="208"/>
      <c r="IQW886" s="208"/>
      <c r="IQX886" s="208"/>
      <c r="IQY886" s="208"/>
      <c r="IQZ886" s="208"/>
      <c r="IRA886" s="208"/>
      <c r="IRB886" s="208"/>
      <c r="IRC886" s="208"/>
      <c r="IRD886" s="208"/>
      <c r="IRE886" s="208"/>
      <c r="IRF886" s="208"/>
      <c r="IRG886" s="208"/>
      <c r="IRH886" s="208"/>
      <c r="IRI886" s="208"/>
      <c r="IRJ886" s="208"/>
      <c r="IRK886" s="208"/>
      <c r="IRL886" s="208"/>
      <c r="IRM886" s="208"/>
      <c r="IRN886" s="208"/>
      <c r="IRO886" s="208"/>
      <c r="IRP886" s="208"/>
      <c r="IRQ886" s="208"/>
      <c r="IRR886" s="208"/>
      <c r="IRS886" s="208"/>
      <c r="IRT886" s="208"/>
      <c r="IRU886" s="208"/>
      <c r="IRV886" s="208"/>
      <c r="IRW886" s="208"/>
      <c r="IRX886" s="208"/>
      <c r="IRY886" s="208"/>
      <c r="IRZ886" s="208"/>
      <c r="ISA886" s="208"/>
      <c r="ISB886" s="208"/>
      <c r="ISC886" s="208"/>
      <c r="ISD886" s="208"/>
      <c r="ISE886" s="208"/>
      <c r="ISF886" s="208"/>
      <c r="ISG886" s="208"/>
      <c r="ISH886" s="208"/>
      <c r="ISI886" s="208"/>
      <c r="ISJ886" s="208"/>
      <c r="ISK886" s="208"/>
      <c r="ISL886" s="208"/>
      <c r="ISM886" s="208"/>
      <c r="ISN886" s="208"/>
      <c r="ISO886" s="208"/>
      <c r="ISP886" s="208"/>
      <c r="ISQ886" s="208"/>
      <c r="ISR886" s="208"/>
      <c r="ISS886" s="208"/>
      <c r="IST886" s="208"/>
      <c r="ISU886" s="208"/>
      <c r="ISV886" s="208"/>
      <c r="ISW886" s="208"/>
      <c r="ISX886" s="208"/>
      <c r="ISY886" s="208"/>
      <c r="ISZ886" s="208"/>
      <c r="ITA886" s="208"/>
      <c r="ITB886" s="208"/>
      <c r="ITC886" s="208"/>
      <c r="ITD886" s="208"/>
      <c r="ITE886" s="208"/>
      <c r="ITF886" s="208"/>
      <c r="ITG886" s="208"/>
      <c r="ITH886" s="208"/>
      <c r="ITI886" s="208"/>
      <c r="ITJ886" s="208"/>
      <c r="ITK886" s="208"/>
      <c r="ITL886" s="208"/>
      <c r="ITM886" s="208"/>
      <c r="ITN886" s="208"/>
      <c r="ITO886" s="208"/>
      <c r="ITP886" s="208"/>
      <c r="ITQ886" s="208"/>
      <c r="ITR886" s="208"/>
      <c r="ITS886" s="208"/>
      <c r="ITT886" s="208"/>
      <c r="ITU886" s="208"/>
      <c r="ITV886" s="208"/>
      <c r="ITW886" s="208"/>
      <c r="ITX886" s="208"/>
      <c r="ITY886" s="208"/>
      <c r="ITZ886" s="208"/>
      <c r="IUA886" s="208"/>
      <c r="IUB886" s="208"/>
      <c r="IUC886" s="208"/>
      <c r="IUD886" s="208"/>
      <c r="IUE886" s="208"/>
      <c r="IUF886" s="208"/>
      <c r="IUG886" s="208"/>
      <c r="IUH886" s="208"/>
      <c r="IUI886" s="208"/>
      <c r="IUJ886" s="208"/>
      <c r="IUK886" s="208"/>
      <c r="IUL886" s="208"/>
      <c r="IUM886" s="208"/>
      <c r="IUN886" s="208"/>
      <c r="IUO886" s="208"/>
      <c r="IUP886" s="208"/>
      <c r="IUQ886" s="208"/>
      <c r="IUR886" s="208"/>
      <c r="IUS886" s="208"/>
      <c r="IUT886" s="208"/>
      <c r="IUU886" s="208"/>
      <c r="IUV886" s="208"/>
      <c r="IUW886" s="208"/>
      <c r="IUX886" s="208"/>
      <c r="IUY886" s="208"/>
      <c r="IUZ886" s="208"/>
      <c r="IVA886" s="208"/>
      <c r="IVB886" s="208"/>
      <c r="IVC886" s="208"/>
      <c r="IVD886" s="208"/>
      <c r="IVE886" s="208"/>
      <c r="IVF886" s="208"/>
      <c r="IVG886" s="208"/>
      <c r="IVH886" s="208"/>
      <c r="IVI886" s="208"/>
      <c r="IVJ886" s="208"/>
      <c r="IVK886" s="208"/>
      <c r="IVL886" s="208"/>
      <c r="IVM886" s="208"/>
      <c r="IVN886" s="208"/>
      <c r="IVO886" s="208"/>
      <c r="IVP886" s="208"/>
      <c r="IVQ886" s="208"/>
      <c r="IVR886" s="208"/>
      <c r="IVS886" s="208"/>
      <c r="IVT886" s="208"/>
      <c r="IVU886" s="208"/>
      <c r="IVV886" s="208"/>
      <c r="IVW886" s="208"/>
      <c r="IVX886" s="208"/>
      <c r="IVY886" s="208"/>
      <c r="IVZ886" s="208"/>
      <c r="IWA886" s="208"/>
      <c r="IWB886" s="208"/>
      <c r="IWC886" s="208"/>
      <c r="IWD886" s="208"/>
      <c r="IWE886" s="208"/>
      <c r="IWF886" s="208"/>
      <c r="IWG886" s="208"/>
      <c r="IWH886" s="208"/>
      <c r="IWI886" s="208"/>
      <c r="IWJ886" s="208"/>
      <c r="IWK886" s="208"/>
      <c r="IWL886" s="208"/>
      <c r="IWM886" s="208"/>
      <c r="IWN886" s="208"/>
      <c r="IWO886" s="208"/>
      <c r="IWP886" s="208"/>
      <c r="IWQ886" s="208"/>
      <c r="IWR886" s="208"/>
      <c r="IWS886" s="208"/>
      <c r="IWT886" s="208"/>
      <c r="IWU886" s="208"/>
      <c r="IWV886" s="208"/>
      <c r="IWW886" s="208"/>
      <c r="IWX886" s="208"/>
      <c r="IWY886" s="208"/>
      <c r="IWZ886" s="208"/>
      <c r="IXA886" s="208"/>
      <c r="IXB886" s="208"/>
      <c r="IXC886" s="208"/>
      <c r="IXD886" s="208"/>
      <c r="IXE886" s="208"/>
      <c r="IXF886" s="208"/>
      <c r="IXG886" s="208"/>
      <c r="IXH886" s="208"/>
      <c r="IXI886" s="208"/>
      <c r="IXJ886" s="208"/>
      <c r="IXK886" s="208"/>
      <c r="IXL886" s="208"/>
      <c r="IXM886" s="208"/>
      <c r="IXN886" s="208"/>
      <c r="IXO886" s="208"/>
      <c r="IXP886" s="208"/>
      <c r="IXQ886" s="208"/>
      <c r="IXR886" s="208"/>
      <c r="IXS886" s="208"/>
      <c r="IXT886" s="208"/>
      <c r="IXU886" s="208"/>
      <c r="IXV886" s="208"/>
      <c r="IXW886" s="208"/>
      <c r="IXX886" s="208"/>
      <c r="IXY886" s="208"/>
      <c r="IXZ886" s="208"/>
      <c r="IYA886" s="208"/>
      <c r="IYB886" s="208"/>
      <c r="IYC886" s="208"/>
      <c r="IYD886" s="208"/>
      <c r="IYE886" s="208"/>
      <c r="IYF886" s="208"/>
      <c r="IYG886" s="208"/>
      <c r="IYH886" s="208"/>
      <c r="IYI886" s="208"/>
      <c r="IYJ886" s="208"/>
      <c r="IYK886" s="208"/>
      <c r="IYL886" s="208"/>
      <c r="IYM886" s="208"/>
      <c r="IYN886" s="208"/>
      <c r="IYO886" s="208"/>
      <c r="IYP886" s="208"/>
      <c r="IYQ886" s="208"/>
      <c r="IYR886" s="208"/>
      <c r="IYS886" s="208"/>
      <c r="IYT886" s="208"/>
      <c r="IYU886" s="208"/>
      <c r="IYV886" s="208"/>
      <c r="IYW886" s="208"/>
      <c r="IYX886" s="208"/>
      <c r="IYY886" s="208"/>
      <c r="IYZ886" s="208"/>
      <c r="IZA886" s="208"/>
      <c r="IZB886" s="208"/>
      <c r="IZC886" s="208"/>
      <c r="IZD886" s="208"/>
      <c r="IZE886" s="208"/>
      <c r="IZF886" s="208"/>
      <c r="IZG886" s="208"/>
      <c r="IZH886" s="208"/>
      <c r="IZI886" s="208"/>
      <c r="IZJ886" s="208"/>
      <c r="IZK886" s="208"/>
      <c r="IZL886" s="208"/>
      <c r="IZM886" s="208"/>
      <c r="IZN886" s="208"/>
      <c r="IZO886" s="208"/>
      <c r="IZP886" s="208"/>
      <c r="IZQ886" s="208"/>
      <c r="IZR886" s="208"/>
      <c r="IZS886" s="208"/>
      <c r="IZT886" s="208"/>
      <c r="IZU886" s="208"/>
      <c r="IZV886" s="208"/>
      <c r="IZW886" s="208"/>
      <c r="IZX886" s="208"/>
      <c r="IZY886" s="208"/>
      <c r="IZZ886" s="208"/>
      <c r="JAA886" s="208"/>
      <c r="JAB886" s="208"/>
      <c r="JAC886" s="208"/>
      <c r="JAD886" s="208"/>
      <c r="JAE886" s="208"/>
      <c r="JAF886" s="208"/>
      <c r="JAG886" s="208"/>
      <c r="JAH886" s="208"/>
      <c r="JAI886" s="208"/>
      <c r="JAJ886" s="208"/>
      <c r="JAK886" s="208"/>
      <c r="JAL886" s="208"/>
      <c r="JAM886" s="208"/>
      <c r="JAN886" s="208"/>
      <c r="JAO886" s="208"/>
      <c r="JAP886" s="208"/>
      <c r="JAQ886" s="208"/>
      <c r="JAR886" s="208"/>
      <c r="JAS886" s="208"/>
      <c r="JAT886" s="208"/>
      <c r="JAU886" s="208"/>
      <c r="JAV886" s="208"/>
      <c r="JAW886" s="208"/>
      <c r="JAX886" s="208"/>
      <c r="JAY886" s="208"/>
      <c r="JAZ886" s="208"/>
      <c r="JBA886" s="208"/>
      <c r="JBB886" s="208"/>
      <c r="JBC886" s="208"/>
      <c r="JBD886" s="208"/>
      <c r="JBE886" s="208"/>
      <c r="JBF886" s="208"/>
      <c r="JBG886" s="208"/>
      <c r="JBH886" s="208"/>
      <c r="JBI886" s="208"/>
      <c r="JBJ886" s="208"/>
      <c r="JBK886" s="208"/>
      <c r="JBL886" s="208"/>
      <c r="JBM886" s="208"/>
      <c r="JBN886" s="208"/>
      <c r="JBO886" s="208"/>
      <c r="JBP886" s="208"/>
      <c r="JBQ886" s="208"/>
      <c r="JBR886" s="208"/>
      <c r="JBS886" s="208"/>
      <c r="JBT886" s="208"/>
      <c r="JBU886" s="208"/>
      <c r="JBV886" s="208"/>
      <c r="JBW886" s="208"/>
      <c r="JBX886" s="208"/>
      <c r="JBY886" s="208"/>
      <c r="JBZ886" s="208"/>
      <c r="JCA886" s="208"/>
      <c r="JCB886" s="208"/>
      <c r="JCC886" s="208"/>
      <c r="JCD886" s="208"/>
      <c r="JCE886" s="208"/>
      <c r="JCF886" s="208"/>
      <c r="JCG886" s="208"/>
      <c r="JCH886" s="208"/>
      <c r="JCI886" s="208"/>
      <c r="JCJ886" s="208"/>
      <c r="JCK886" s="208"/>
      <c r="JCL886" s="208"/>
      <c r="JCM886" s="208"/>
      <c r="JCN886" s="208"/>
      <c r="JCO886" s="208"/>
      <c r="JCP886" s="208"/>
      <c r="JCQ886" s="208"/>
      <c r="JCR886" s="208"/>
      <c r="JCS886" s="208"/>
      <c r="JCT886" s="208"/>
      <c r="JCU886" s="208"/>
      <c r="JCV886" s="208"/>
      <c r="JCW886" s="208"/>
      <c r="JCX886" s="208"/>
      <c r="JCY886" s="208"/>
      <c r="JCZ886" s="208"/>
      <c r="JDA886" s="208"/>
      <c r="JDB886" s="208"/>
      <c r="JDC886" s="208"/>
      <c r="JDD886" s="208"/>
      <c r="JDE886" s="208"/>
      <c r="JDF886" s="208"/>
      <c r="JDG886" s="208"/>
      <c r="JDH886" s="208"/>
      <c r="JDI886" s="208"/>
      <c r="JDJ886" s="208"/>
      <c r="JDK886" s="208"/>
      <c r="JDL886" s="208"/>
      <c r="JDM886" s="208"/>
      <c r="JDN886" s="208"/>
      <c r="JDO886" s="208"/>
      <c r="JDP886" s="208"/>
      <c r="JDQ886" s="208"/>
      <c r="JDR886" s="208"/>
      <c r="JDS886" s="208"/>
      <c r="JDT886" s="208"/>
      <c r="JDU886" s="208"/>
      <c r="JDV886" s="208"/>
      <c r="JDW886" s="208"/>
      <c r="JDX886" s="208"/>
      <c r="JDY886" s="208"/>
      <c r="JDZ886" s="208"/>
      <c r="JEA886" s="208"/>
      <c r="JEB886" s="208"/>
      <c r="JEC886" s="208"/>
      <c r="JED886" s="208"/>
      <c r="JEE886" s="208"/>
      <c r="JEF886" s="208"/>
      <c r="JEG886" s="208"/>
      <c r="JEH886" s="208"/>
      <c r="JEI886" s="208"/>
      <c r="JEJ886" s="208"/>
      <c r="JEK886" s="208"/>
      <c r="JEL886" s="208"/>
      <c r="JEM886" s="208"/>
      <c r="JEN886" s="208"/>
      <c r="JEO886" s="208"/>
      <c r="JEP886" s="208"/>
      <c r="JEQ886" s="208"/>
      <c r="JER886" s="208"/>
      <c r="JES886" s="208"/>
      <c r="JET886" s="208"/>
      <c r="JEU886" s="208"/>
      <c r="JEV886" s="208"/>
      <c r="JEW886" s="208"/>
      <c r="JEX886" s="208"/>
      <c r="JEY886" s="208"/>
      <c r="JEZ886" s="208"/>
      <c r="JFA886" s="208"/>
      <c r="JFB886" s="208"/>
      <c r="JFC886" s="208"/>
      <c r="JFD886" s="208"/>
      <c r="JFE886" s="208"/>
      <c r="JFF886" s="208"/>
      <c r="JFG886" s="208"/>
      <c r="JFH886" s="208"/>
      <c r="JFI886" s="208"/>
      <c r="JFJ886" s="208"/>
      <c r="JFK886" s="208"/>
      <c r="JFL886" s="208"/>
      <c r="JFM886" s="208"/>
      <c r="JFN886" s="208"/>
      <c r="JFO886" s="208"/>
      <c r="JFP886" s="208"/>
      <c r="JFQ886" s="208"/>
      <c r="JFR886" s="208"/>
      <c r="JFS886" s="208"/>
      <c r="JFT886" s="208"/>
      <c r="JFU886" s="208"/>
      <c r="JFV886" s="208"/>
      <c r="JFW886" s="208"/>
      <c r="JFX886" s="208"/>
      <c r="JFY886" s="208"/>
      <c r="JFZ886" s="208"/>
      <c r="JGA886" s="208"/>
      <c r="JGB886" s="208"/>
      <c r="JGC886" s="208"/>
      <c r="JGD886" s="208"/>
      <c r="JGE886" s="208"/>
      <c r="JGF886" s="208"/>
      <c r="JGG886" s="208"/>
      <c r="JGH886" s="208"/>
      <c r="JGI886" s="208"/>
      <c r="JGJ886" s="208"/>
      <c r="JGK886" s="208"/>
      <c r="JGL886" s="208"/>
      <c r="JGM886" s="208"/>
      <c r="JGN886" s="208"/>
      <c r="JGO886" s="208"/>
      <c r="JGP886" s="208"/>
      <c r="JGQ886" s="208"/>
      <c r="JGR886" s="208"/>
      <c r="JGS886" s="208"/>
      <c r="JGT886" s="208"/>
      <c r="JGU886" s="208"/>
      <c r="JGV886" s="208"/>
      <c r="JGW886" s="208"/>
      <c r="JGX886" s="208"/>
      <c r="JGY886" s="208"/>
      <c r="JGZ886" s="208"/>
      <c r="JHA886" s="208"/>
      <c r="JHB886" s="208"/>
      <c r="JHC886" s="208"/>
      <c r="JHD886" s="208"/>
      <c r="JHE886" s="208"/>
      <c r="JHF886" s="208"/>
      <c r="JHG886" s="208"/>
      <c r="JHH886" s="208"/>
      <c r="JHI886" s="208"/>
      <c r="JHJ886" s="208"/>
      <c r="JHK886" s="208"/>
      <c r="JHL886" s="208"/>
      <c r="JHM886" s="208"/>
      <c r="JHN886" s="208"/>
      <c r="JHO886" s="208"/>
      <c r="JHP886" s="208"/>
      <c r="JHQ886" s="208"/>
      <c r="JHR886" s="208"/>
      <c r="JHS886" s="208"/>
      <c r="JHT886" s="208"/>
      <c r="JHU886" s="208"/>
      <c r="JHV886" s="208"/>
      <c r="JHW886" s="208"/>
      <c r="JHX886" s="208"/>
      <c r="JHY886" s="208"/>
      <c r="JHZ886" s="208"/>
      <c r="JIA886" s="208"/>
      <c r="JIB886" s="208"/>
      <c r="JIC886" s="208"/>
      <c r="JID886" s="208"/>
      <c r="JIE886" s="208"/>
      <c r="JIF886" s="208"/>
      <c r="JIG886" s="208"/>
      <c r="JIH886" s="208"/>
      <c r="JII886" s="208"/>
      <c r="JIJ886" s="208"/>
      <c r="JIK886" s="208"/>
      <c r="JIL886" s="208"/>
      <c r="JIM886" s="208"/>
      <c r="JIN886" s="208"/>
      <c r="JIO886" s="208"/>
      <c r="JIP886" s="208"/>
      <c r="JIQ886" s="208"/>
      <c r="JIR886" s="208"/>
      <c r="JIS886" s="208"/>
      <c r="JIT886" s="208"/>
      <c r="JIU886" s="208"/>
      <c r="JIV886" s="208"/>
      <c r="JIW886" s="208"/>
      <c r="JIX886" s="208"/>
      <c r="JIY886" s="208"/>
      <c r="JIZ886" s="208"/>
      <c r="JJA886" s="208"/>
      <c r="JJB886" s="208"/>
      <c r="JJC886" s="208"/>
      <c r="JJD886" s="208"/>
      <c r="JJE886" s="208"/>
      <c r="JJF886" s="208"/>
      <c r="JJG886" s="208"/>
      <c r="JJH886" s="208"/>
      <c r="JJI886" s="208"/>
      <c r="JJJ886" s="208"/>
      <c r="JJK886" s="208"/>
      <c r="JJL886" s="208"/>
      <c r="JJM886" s="208"/>
      <c r="JJN886" s="208"/>
      <c r="JJO886" s="208"/>
      <c r="JJP886" s="208"/>
      <c r="JJQ886" s="208"/>
      <c r="JJR886" s="208"/>
      <c r="JJS886" s="208"/>
      <c r="JJT886" s="208"/>
      <c r="JJU886" s="208"/>
      <c r="JJV886" s="208"/>
      <c r="JJW886" s="208"/>
      <c r="JJX886" s="208"/>
      <c r="JJY886" s="208"/>
      <c r="JJZ886" s="208"/>
      <c r="JKA886" s="208"/>
      <c r="JKB886" s="208"/>
      <c r="JKC886" s="208"/>
      <c r="JKD886" s="208"/>
      <c r="JKE886" s="208"/>
      <c r="JKF886" s="208"/>
      <c r="JKG886" s="208"/>
      <c r="JKH886" s="208"/>
      <c r="JKI886" s="208"/>
      <c r="JKJ886" s="208"/>
      <c r="JKK886" s="208"/>
      <c r="JKL886" s="208"/>
      <c r="JKM886" s="208"/>
      <c r="JKN886" s="208"/>
      <c r="JKO886" s="208"/>
      <c r="JKP886" s="208"/>
      <c r="JKQ886" s="208"/>
      <c r="JKR886" s="208"/>
      <c r="JKS886" s="208"/>
      <c r="JKT886" s="208"/>
      <c r="JKU886" s="208"/>
      <c r="JKV886" s="208"/>
      <c r="JKW886" s="208"/>
      <c r="JKX886" s="208"/>
      <c r="JKY886" s="208"/>
      <c r="JKZ886" s="208"/>
      <c r="JLA886" s="208"/>
      <c r="JLB886" s="208"/>
      <c r="JLC886" s="208"/>
      <c r="JLD886" s="208"/>
      <c r="JLE886" s="208"/>
      <c r="JLF886" s="208"/>
      <c r="JLG886" s="208"/>
      <c r="JLH886" s="208"/>
      <c r="JLI886" s="208"/>
      <c r="JLJ886" s="208"/>
      <c r="JLK886" s="208"/>
      <c r="JLL886" s="208"/>
      <c r="JLM886" s="208"/>
      <c r="JLN886" s="208"/>
      <c r="JLO886" s="208"/>
      <c r="JLP886" s="208"/>
      <c r="JLQ886" s="208"/>
      <c r="JLR886" s="208"/>
      <c r="JLS886" s="208"/>
      <c r="JLT886" s="208"/>
      <c r="JLU886" s="208"/>
      <c r="JLV886" s="208"/>
      <c r="JLW886" s="208"/>
      <c r="JLX886" s="208"/>
      <c r="JLY886" s="208"/>
      <c r="JLZ886" s="208"/>
      <c r="JMA886" s="208"/>
      <c r="JMB886" s="208"/>
      <c r="JMC886" s="208"/>
      <c r="JMD886" s="208"/>
      <c r="JME886" s="208"/>
      <c r="JMF886" s="208"/>
      <c r="JMG886" s="208"/>
      <c r="JMH886" s="208"/>
      <c r="JMI886" s="208"/>
      <c r="JMJ886" s="208"/>
      <c r="JMK886" s="208"/>
      <c r="JML886" s="208"/>
      <c r="JMM886" s="208"/>
      <c r="JMN886" s="208"/>
      <c r="JMO886" s="208"/>
      <c r="JMP886" s="208"/>
      <c r="JMQ886" s="208"/>
      <c r="JMR886" s="208"/>
      <c r="JMS886" s="208"/>
      <c r="JMT886" s="208"/>
      <c r="JMU886" s="208"/>
      <c r="JMV886" s="208"/>
      <c r="JMW886" s="208"/>
      <c r="JMX886" s="208"/>
      <c r="JMY886" s="208"/>
      <c r="JMZ886" s="208"/>
      <c r="JNA886" s="208"/>
      <c r="JNB886" s="208"/>
      <c r="JNC886" s="208"/>
      <c r="JND886" s="208"/>
      <c r="JNE886" s="208"/>
      <c r="JNF886" s="208"/>
      <c r="JNG886" s="208"/>
      <c r="JNH886" s="208"/>
      <c r="JNI886" s="208"/>
      <c r="JNJ886" s="208"/>
      <c r="JNK886" s="208"/>
      <c r="JNL886" s="208"/>
      <c r="JNM886" s="208"/>
      <c r="JNN886" s="208"/>
      <c r="JNO886" s="208"/>
      <c r="JNP886" s="208"/>
      <c r="JNQ886" s="208"/>
      <c r="JNR886" s="208"/>
      <c r="JNS886" s="208"/>
      <c r="JNT886" s="208"/>
      <c r="JNU886" s="208"/>
      <c r="JNV886" s="208"/>
      <c r="JNW886" s="208"/>
      <c r="JNX886" s="208"/>
      <c r="JNY886" s="208"/>
      <c r="JNZ886" s="208"/>
      <c r="JOA886" s="208"/>
      <c r="JOB886" s="208"/>
      <c r="JOC886" s="208"/>
      <c r="JOD886" s="208"/>
      <c r="JOE886" s="208"/>
      <c r="JOF886" s="208"/>
      <c r="JOG886" s="208"/>
      <c r="JOH886" s="208"/>
      <c r="JOI886" s="208"/>
      <c r="JOJ886" s="208"/>
      <c r="JOK886" s="208"/>
      <c r="JOL886" s="208"/>
      <c r="JOM886" s="208"/>
      <c r="JON886" s="208"/>
      <c r="JOO886" s="208"/>
      <c r="JOP886" s="208"/>
      <c r="JOQ886" s="208"/>
      <c r="JOR886" s="208"/>
      <c r="JOS886" s="208"/>
      <c r="JOT886" s="208"/>
      <c r="JOU886" s="208"/>
      <c r="JOV886" s="208"/>
      <c r="JOW886" s="208"/>
      <c r="JOX886" s="208"/>
      <c r="JOY886" s="208"/>
      <c r="JOZ886" s="208"/>
      <c r="JPA886" s="208"/>
      <c r="JPB886" s="208"/>
      <c r="JPC886" s="208"/>
      <c r="JPD886" s="208"/>
      <c r="JPE886" s="208"/>
      <c r="JPF886" s="208"/>
      <c r="JPG886" s="208"/>
      <c r="JPH886" s="208"/>
      <c r="JPI886" s="208"/>
      <c r="JPJ886" s="208"/>
      <c r="JPK886" s="208"/>
      <c r="JPL886" s="208"/>
      <c r="JPM886" s="208"/>
      <c r="JPN886" s="208"/>
      <c r="JPO886" s="208"/>
      <c r="JPP886" s="208"/>
      <c r="JPQ886" s="208"/>
      <c r="JPR886" s="208"/>
      <c r="JPS886" s="208"/>
      <c r="JPT886" s="208"/>
      <c r="JPU886" s="208"/>
      <c r="JPV886" s="208"/>
      <c r="JPW886" s="208"/>
      <c r="JPX886" s="208"/>
      <c r="JPY886" s="208"/>
      <c r="JPZ886" s="208"/>
      <c r="JQA886" s="208"/>
      <c r="JQB886" s="208"/>
      <c r="JQC886" s="208"/>
      <c r="JQD886" s="208"/>
      <c r="JQE886" s="208"/>
      <c r="JQF886" s="208"/>
      <c r="JQG886" s="208"/>
      <c r="JQH886" s="208"/>
      <c r="JQI886" s="208"/>
      <c r="JQJ886" s="208"/>
      <c r="JQK886" s="208"/>
      <c r="JQL886" s="208"/>
      <c r="JQM886" s="208"/>
      <c r="JQN886" s="208"/>
      <c r="JQO886" s="208"/>
      <c r="JQP886" s="208"/>
      <c r="JQQ886" s="208"/>
      <c r="JQR886" s="208"/>
      <c r="JQS886" s="208"/>
      <c r="JQT886" s="208"/>
      <c r="JQU886" s="208"/>
      <c r="JQV886" s="208"/>
      <c r="JQW886" s="208"/>
      <c r="JQX886" s="208"/>
      <c r="JQY886" s="208"/>
      <c r="JQZ886" s="208"/>
      <c r="JRA886" s="208"/>
      <c r="JRB886" s="208"/>
      <c r="JRC886" s="208"/>
      <c r="JRD886" s="208"/>
      <c r="JRE886" s="208"/>
      <c r="JRF886" s="208"/>
      <c r="JRG886" s="208"/>
      <c r="JRH886" s="208"/>
      <c r="JRI886" s="208"/>
      <c r="JRJ886" s="208"/>
      <c r="JRK886" s="208"/>
      <c r="JRL886" s="208"/>
      <c r="JRM886" s="208"/>
      <c r="JRN886" s="208"/>
      <c r="JRO886" s="208"/>
      <c r="JRP886" s="208"/>
      <c r="JRQ886" s="208"/>
      <c r="JRR886" s="208"/>
      <c r="JRS886" s="208"/>
      <c r="JRT886" s="208"/>
      <c r="JRU886" s="208"/>
      <c r="JRV886" s="208"/>
      <c r="JRW886" s="208"/>
      <c r="JRX886" s="208"/>
      <c r="JRY886" s="208"/>
      <c r="JRZ886" s="208"/>
      <c r="JSA886" s="208"/>
      <c r="JSB886" s="208"/>
      <c r="JSC886" s="208"/>
      <c r="JSD886" s="208"/>
      <c r="JSE886" s="208"/>
      <c r="JSF886" s="208"/>
      <c r="JSG886" s="208"/>
      <c r="JSH886" s="208"/>
      <c r="JSI886" s="208"/>
      <c r="JSJ886" s="208"/>
      <c r="JSK886" s="208"/>
      <c r="JSL886" s="208"/>
      <c r="JSM886" s="208"/>
      <c r="JSN886" s="208"/>
      <c r="JSO886" s="208"/>
      <c r="JSP886" s="208"/>
      <c r="JSQ886" s="208"/>
      <c r="JSR886" s="208"/>
      <c r="JSS886" s="208"/>
      <c r="JST886" s="208"/>
      <c r="JSU886" s="208"/>
      <c r="JSV886" s="208"/>
      <c r="JSW886" s="208"/>
      <c r="JSX886" s="208"/>
      <c r="JSY886" s="208"/>
      <c r="JSZ886" s="208"/>
      <c r="JTA886" s="208"/>
      <c r="JTB886" s="208"/>
      <c r="JTC886" s="208"/>
      <c r="JTD886" s="208"/>
      <c r="JTE886" s="208"/>
      <c r="JTF886" s="208"/>
      <c r="JTG886" s="208"/>
      <c r="JTH886" s="208"/>
      <c r="JTI886" s="208"/>
      <c r="JTJ886" s="208"/>
      <c r="JTK886" s="208"/>
      <c r="JTL886" s="208"/>
      <c r="JTM886" s="208"/>
      <c r="JTN886" s="208"/>
      <c r="JTO886" s="208"/>
      <c r="JTP886" s="208"/>
      <c r="JTQ886" s="208"/>
      <c r="JTR886" s="208"/>
      <c r="JTS886" s="208"/>
      <c r="JTT886" s="208"/>
      <c r="JTU886" s="208"/>
      <c r="JTV886" s="208"/>
      <c r="JTW886" s="208"/>
      <c r="JTX886" s="208"/>
      <c r="JTY886" s="208"/>
      <c r="JTZ886" s="208"/>
      <c r="JUA886" s="208"/>
      <c r="JUB886" s="208"/>
      <c r="JUC886" s="208"/>
      <c r="JUD886" s="208"/>
      <c r="JUE886" s="208"/>
      <c r="JUF886" s="208"/>
      <c r="JUG886" s="208"/>
      <c r="JUH886" s="208"/>
      <c r="JUI886" s="208"/>
      <c r="JUJ886" s="208"/>
      <c r="JUK886" s="208"/>
      <c r="JUL886" s="208"/>
      <c r="JUM886" s="208"/>
      <c r="JUN886" s="208"/>
      <c r="JUO886" s="208"/>
      <c r="JUP886" s="208"/>
      <c r="JUQ886" s="208"/>
      <c r="JUR886" s="208"/>
      <c r="JUS886" s="208"/>
      <c r="JUT886" s="208"/>
      <c r="JUU886" s="208"/>
      <c r="JUV886" s="208"/>
      <c r="JUW886" s="208"/>
      <c r="JUX886" s="208"/>
      <c r="JUY886" s="208"/>
      <c r="JUZ886" s="208"/>
      <c r="JVA886" s="208"/>
      <c r="JVB886" s="208"/>
      <c r="JVC886" s="208"/>
      <c r="JVD886" s="208"/>
      <c r="JVE886" s="208"/>
      <c r="JVF886" s="208"/>
      <c r="JVG886" s="208"/>
      <c r="JVH886" s="208"/>
      <c r="JVI886" s="208"/>
      <c r="JVJ886" s="208"/>
      <c r="JVK886" s="208"/>
      <c r="JVL886" s="208"/>
      <c r="JVM886" s="208"/>
      <c r="JVN886" s="208"/>
      <c r="JVO886" s="208"/>
      <c r="JVP886" s="208"/>
      <c r="JVQ886" s="208"/>
      <c r="JVR886" s="208"/>
      <c r="JVS886" s="208"/>
      <c r="JVT886" s="208"/>
      <c r="JVU886" s="208"/>
      <c r="JVV886" s="208"/>
      <c r="JVW886" s="208"/>
      <c r="JVX886" s="208"/>
      <c r="JVY886" s="208"/>
      <c r="JVZ886" s="208"/>
      <c r="JWA886" s="208"/>
      <c r="JWB886" s="208"/>
      <c r="JWC886" s="208"/>
      <c r="JWD886" s="208"/>
      <c r="JWE886" s="208"/>
      <c r="JWF886" s="208"/>
      <c r="JWG886" s="208"/>
      <c r="JWH886" s="208"/>
      <c r="JWI886" s="208"/>
      <c r="JWJ886" s="208"/>
      <c r="JWK886" s="208"/>
      <c r="JWL886" s="208"/>
      <c r="JWM886" s="208"/>
      <c r="JWN886" s="208"/>
      <c r="JWO886" s="208"/>
      <c r="JWP886" s="208"/>
      <c r="JWQ886" s="208"/>
      <c r="JWR886" s="208"/>
      <c r="JWS886" s="208"/>
      <c r="JWT886" s="208"/>
      <c r="JWU886" s="208"/>
      <c r="JWV886" s="208"/>
      <c r="JWW886" s="208"/>
      <c r="JWX886" s="208"/>
      <c r="JWY886" s="208"/>
      <c r="JWZ886" s="208"/>
      <c r="JXA886" s="208"/>
      <c r="JXB886" s="208"/>
      <c r="JXC886" s="208"/>
      <c r="JXD886" s="208"/>
      <c r="JXE886" s="208"/>
      <c r="JXF886" s="208"/>
      <c r="JXG886" s="208"/>
      <c r="JXH886" s="208"/>
      <c r="JXI886" s="208"/>
      <c r="JXJ886" s="208"/>
      <c r="JXK886" s="208"/>
      <c r="JXL886" s="208"/>
      <c r="JXM886" s="208"/>
      <c r="JXN886" s="208"/>
      <c r="JXO886" s="208"/>
      <c r="JXP886" s="208"/>
      <c r="JXQ886" s="208"/>
      <c r="JXR886" s="208"/>
      <c r="JXS886" s="208"/>
      <c r="JXT886" s="208"/>
      <c r="JXU886" s="208"/>
      <c r="JXV886" s="208"/>
      <c r="JXW886" s="208"/>
      <c r="JXX886" s="208"/>
      <c r="JXY886" s="208"/>
      <c r="JXZ886" s="208"/>
      <c r="JYA886" s="208"/>
      <c r="JYB886" s="208"/>
      <c r="JYC886" s="208"/>
      <c r="JYD886" s="208"/>
      <c r="JYE886" s="208"/>
      <c r="JYF886" s="208"/>
      <c r="JYG886" s="208"/>
      <c r="JYH886" s="208"/>
      <c r="JYI886" s="208"/>
      <c r="JYJ886" s="208"/>
      <c r="JYK886" s="208"/>
      <c r="JYL886" s="208"/>
      <c r="JYM886" s="208"/>
      <c r="JYN886" s="208"/>
      <c r="JYO886" s="208"/>
      <c r="JYP886" s="208"/>
      <c r="JYQ886" s="208"/>
      <c r="JYR886" s="208"/>
      <c r="JYS886" s="208"/>
      <c r="JYT886" s="208"/>
      <c r="JYU886" s="208"/>
      <c r="JYV886" s="208"/>
      <c r="JYW886" s="208"/>
      <c r="JYX886" s="208"/>
      <c r="JYY886" s="208"/>
      <c r="JYZ886" s="208"/>
      <c r="JZA886" s="208"/>
      <c r="JZB886" s="208"/>
      <c r="JZC886" s="208"/>
      <c r="JZD886" s="208"/>
      <c r="JZE886" s="208"/>
      <c r="JZF886" s="208"/>
      <c r="JZG886" s="208"/>
      <c r="JZH886" s="208"/>
      <c r="JZI886" s="208"/>
      <c r="JZJ886" s="208"/>
      <c r="JZK886" s="208"/>
      <c r="JZL886" s="208"/>
      <c r="JZM886" s="208"/>
      <c r="JZN886" s="208"/>
      <c r="JZO886" s="208"/>
      <c r="JZP886" s="208"/>
      <c r="JZQ886" s="208"/>
      <c r="JZR886" s="208"/>
      <c r="JZS886" s="208"/>
      <c r="JZT886" s="208"/>
      <c r="JZU886" s="208"/>
      <c r="JZV886" s="208"/>
      <c r="JZW886" s="208"/>
      <c r="JZX886" s="208"/>
      <c r="JZY886" s="208"/>
      <c r="JZZ886" s="208"/>
      <c r="KAA886" s="208"/>
      <c r="KAB886" s="208"/>
      <c r="KAC886" s="208"/>
      <c r="KAD886" s="208"/>
      <c r="KAE886" s="208"/>
      <c r="KAF886" s="208"/>
      <c r="KAG886" s="208"/>
      <c r="KAH886" s="208"/>
      <c r="KAI886" s="208"/>
      <c r="KAJ886" s="208"/>
      <c r="KAK886" s="208"/>
      <c r="KAL886" s="208"/>
      <c r="KAM886" s="208"/>
      <c r="KAN886" s="208"/>
      <c r="KAO886" s="208"/>
      <c r="KAP886" s="208"/>
      <c r="KAQ886" s="208"/>
      <c r="KAR886" s="208"/>
      <c r="KAS886" s="208"/>
      <c r="KAT886" s="208"/>
      <c r="KAU886" s="208"/>
      <c r="KAV886" s="208"/>
      <c r="KAW886" s="208"/>
      <c r="KAX886" s="208"/>
      <c r="KAY886" s="208"/>
      <c r="KAZ886" s="208"/>
      <c r="KBA886" s="208"/>
      <c r="KBB886" s="208"/>
      <c r="KBC886" s="208"/>
      <c r="KBD886" s="208"/>
      <c r="KBE886" s="208"/>
      <c r="KBF886" s="208"/>
      <c r="KBG886" s="208"/>
      <c r="KBH886" s="208"/>
      <c r="KBI886" s="208"/>
      <c r="KBJ886" s="208"/>
      <c r="KBK886" s="208"/>
      <c r="KBL886" s="208"/>
      <c r="KBM886" s="208"/>
      <c r="KBN886" s="208"/>
      <c r="KBO886" s="208"/>
      <c r="KBP886" s="208"/>
      <c r="KBQ886" s="208"/>
      <c r="KBR886" s="208"/>
      <c r="KBS886" s="208"/>
      <c r="KBT886" s="208"/>
      <c r="KBU886" s="208"/>
      <c r="KBV886" s="208"/>
      <c r="KBW886" s="208"/>
      <c r="KBX886" s="208"/>
      <c r="KBY886" s="208"/>
      <c r="KBZ886" s="208"/>
      <c r="KCA886" s="208"/>
      <c r="KCB886" s="208"/>
      <c r="KCC886" s="208"/>
      <c r="KCD886" s="208"/>
      <c r="KCE886" s="208"/>
      <c r="KCF886" s="208"/>
      <c r="KCG886" s="208"/>
      <c r="KCH886" s="208"/>
      <c r="KCI886" s="208"/>
      <c r="KCJ886" s="208"/>
      <c r="KCK886" s="208"/>
      <c r="KCL886" s="208"/>
      <c r="KCM886" s="208"/>
      <c r="KCN886" s="208"/>
      <c r="KCO886" s="208"/>
      <c r="KCP886" s="208"/>
      <c r="KCQ886" s="208"/>
      <c r="KCR886" s="208"/>
      <c r="KCS886" s="208"/>
      <c r="KCT886" s="208"/>
      <c r="KCU886" s="208"/>
      <c r="KCV886" s="208"/>
      <c r="KCW886" s="208"/>
      <c r="KCX886" s="208"/>
      <c r="KCY886" s="208"/>
      <c r="KCZ886" s="208"/>
      <c r="KDA886" s="208"/>
      <c r="KDB886" s="208"/>
      <c r="KDC886" s="208"/>
      <c r="KDD886" s="208"/>
      <c r="KDE886" s="208"/>
      <c r="KDF886" s="208"/>
      <c r="KDG886" s="208"/>
      <c r="KDH886" s="208"/>
      <c r="KDI886" s="208"/>
      <c r="KDJ886" s="208"/>
      <c r="KDK886" s="208"/>
      <c r="KDL886" s="208"/>
      <c r="KDM886" s="208"/>
      <c r="KDN886" s="208"/>
      <c r="KDO886" s="208"/>
      <c r="KDP886" s="208"/>
      <c r="KDQ886" s="208"/>
      <c r="KDR886" s="208"/>
      <c r="KDS886" s="208"/>
      <c r="KDT886" s="208"/>
      <c r="KDU886" s="208"/>
      <c r="KDV886" s="208"/>
      <c r="KDW886" s="208"/>
      <c r="KDX886" s="208"/>
      <c r="KDY886" s="208"/>
      <c r="KDZ886" s="208"/>
      <c r="KEA886" s="208"/>
      <c r="KEB886" s="208"/>
      <c r="KEC886" s="208"/>
      <c r="KED886" s="208"/>
      <c r="KEE886" s="208"/>
      <c r="KEF886" s="208"/>
      <c r="KEG886" s="208"/>
      <c r="KEH886" s="208"/>
      <c r="KEI886" s="208"/>
      <c r="KEJ886" s="208"/>
      <c r="KEK886" s="208"/>
      <c r="KEL886" s="208"/>
      <c r="KEM886" s="208"/>
      <c r="KEN886" s="208"/>
      <c r="KEO886" s="208"/>
      <c r="KEP886" s="208"/>
      <c r="KEQ886" s="208"/>
      <c r="KER886" s="208"/>
      <c r="KES886" s="208"/>
      <c r="KET886" s="208"/>
      <c r="KEU886" s="208"/>
      <c r="KEV886" s="208"/>
      <c r="KEW886" s="208"/>
      <c r="KEX886" s="208"/>
      <c r="KEY886" s="208"/>
      <c r="KEZ886" s="208"/>
      <c r="KFA886" s="208"/>
      <c r="KFB886" s="208"/>
      <c r="KFC886" s="208"/>
      <c r="KFD886" s="208"/>
      <c r="KFE886" s="208"/>
      <c r="KFF886" s="208"/>
      <c r="KFG886" s="208"/>
      <c r="KFH886" s="208"/>
      <c r="KFI886" s="208"/>
      <c r="KFJ886" s="208"/>
      <c r="KFK886" s="208"/>
      <c r="KFL886" s="208"/>
      <c r="KFM886" s="208"/>
      <c r="KFN886" s="208"/>
      <c r="KFO886" s="208"/>
      <c r="KFP886" s="208"/>
      <c r="KFQ886" s="208"/>
      <c r="KFR886" s="208"/>
      <c r="KFS886" s="208"/>
      <c r="KFT886" s="208"/>
      <c r="KFU886" s="208"/>
      <c r="KFV886" s="208"/>
      <c r="KFW886" s="208"/>
      <c r="KFX886" s="208"/>
      <c r="KFY886" s="208"/>
      <c r="KFZ886" s="208"/>
      <c r="KGA886" s="208"/>
      <c r="KGB886" s="208"/>
      <c r="KGC886" s="208"/>
      <c r="KGD886" s="208"/>
      <c r="KGE886" s="208"/>
      <c r="KGF886" s="208"/>
      <c r="KGG886" s="208"/>
      <c r="KGH886" s="208"/>
      <c r="KGI886" s="208"/>
      <c r="KGJ886" s="208"/>
      <c r="KGK886" s="208"/>
      <c r="KGL886" s="208"/>
      <c r="KGM886" s="208"/>
      <c r="KGN886" s="208"/>
      <c r="KGO886" s="208"/>
      <c r="KGP886" s="208"/>
      <c r="KGQ886" s="208"/>
      <c r="KGR886" s="208"/>
      <c r="KGS886" s="208"/>
      <c r="KGT886" s="208"/>
      <c r="KGU886" s="208"/>
      <c r="KGV886" s="208"/>
      <c r="KGW886" s="208"/>
      <c r="KGX886" s="208"/>
      <c r="KGY886" s="208"/>
      <c r="KGZ886" s="208"/>
      <c r="KHA886" s="208"/>
      <c r="KHB886" s="208"/>
      <c r="KHC886" s="208"/>
      <c r="KHD886" s="208"/>
      <c r="KHE886" s="208"/>
      <c r="KHF886" s="208"/>
      <c r="KHG886" s="208"/>
      <c r="KHH886" s="208"/>
      <c r="KHI886" s="208"/>
      <c r="KHJ886" s="208"/>
      <c r="KHK886" s="208"/>
      <c r="KHL886" s="208"/>
      <c r="KHM886" s="208"/>
      <c r="KHN886" s="208"/>
      <c r="KHO886" s="208"/>
      <c r="KHP886" s="208"/>
      <c r="KHQ886" s="208"/>
      <c r="KHR886" s="208"/>
      <c r="KHS886" s="208"/>
      <c r="KHT886" s="208"/>
      <c r="KHU886" s="208"/>
      <c r="KHV886" s="208"/>
      <c r="KHW886" s="208"/>
      <c r="KHX886" s="208"/>
      <c r="KHY886" s="208"/>
      <c r="KHZ886" s="208"/>
      <c r="KIA886" s="208"/>
      <c r="KIB886" s="208"/>
      <c r="KIC886" s="208"/>
      <c r="KID886" s="208"/>
      <c r="KIE886" s="208"/>
      <c r="KIF886" s="208"/>
      <c r="KIG886" s="208"/>
      <c r="KIH886" s="208"/>
      <c r="KII886" s="208"/>
      <c r="KIJ886" s="208"/>
      <c r="KIK886" s="208"/>
      <c r="KIL886" s="208"/>
      <c r="KIM886" s="208"/>
      <c r="KIN886" s="208"/>
      <c r="KIO886" s="208"/>
      <c r="KIP886" s="208"/>
      <c r="KIQ886" s="208"/>
      <c r="KIR886" s="208"/>
      <c r="KIS886" s="208"/>
      <c r="KIT886" s="208"/>
      <c r="KIU886" s="208"/>
      <c r="KIV886" s="208"/>
      <c r="KIW886" s="208"/>
      <c r="KIX886" s="208"/>
      <c r="KIY886" s="208"/>
      <c r="KIZ886" s="208"/>
      <c r="KJA886" s="208"/>
      <c r="KJB886" s="208"/>
      <c r="KJC886" s="208"/>
      <c r="KJD886" s="208"/>
      <c r="KJE886" s="208"/>
      <c r="KJF886" s="208"/>
      <c r="KJG886" s="208"/>
      <c r="KJH886" s="208"/>
      <c r="KJI886" s="208"/>
      <c r="KJJ886" s="208"/>
      <c r="KJK886" s="208"/>
      <c r="KJL886" s="208"/>
      <c r="KJM886" s="208"/>
      <c r="KJN886" s="208"/>
      <c r="KJO886" s="208"/>
      <c r="KJP886" s="208"/>
      <c r="KJQ886" s="208"/>
      <c r="KJR886" s="208"/>
      <c r="KJS886" s="208"/>
      <c r="KJT886" s="208"/>
      <c r="KJU886" s="208"/>
      <c r="KJV886" s="208"/>
      <c r="KJW886" s="208"/>
      <c r="KJX886" s="208"/>
      <c r="KJY886" s="208"/>
      <c r="KJZ886" s="208"/>
      <c r="KKA886" s="208"/>
      <c r="KKB886" s="208"/>
      <c r="KKC886" s="208"/>
      <c r="KKD886" s="208"/>
      <c r="KKE886" s="208"/>
      <c r="KKF886" s="208"/>
      <c r="KKG886" s="208"/>
      <c r="KKH886" s="208"/>
      <c r="KKI886" s="208"/>
      <c r="KKJ886" s="208"/>
      <c r="KKK886" s="208"/>
      <c r="KKL886" s="208"/>
      <c r="KKM886" s="208"/>
      <c r="KKN886" s="208"/>
      <c r="KKO886" s="208"/>
      <c r="KKP886" s="208"/>
      <c r="KKQ886" s="208"/>
      <c r="KKR886" s="208"/>
      <c r="KKS886" s="208"/>
      <c r="KKT886" s="208"/>
      <c r="KKU886" s="208"/>
      <c r="KKV886" s="208"/>
      <c r="KKW886" s="208"/>
      <c r="KKX886" s="208"/>
      <c r="KKY886" s="208"/>
      <c r="KKZ886" s="208"/>
      <c r="KLA886" s="208"/>
      <c r="KLB886" s="208"/>
      <c r="KLC886" s="208"/>
      <c r="KLD886" s="208"/>
      <c r="KLE886" s="208"/>
      <c r="KLF886" s="208"/>
      <c r="KLG886" s="208"/>
      <c r="KLH886" s="208"/>
      <c r="KLI886" s="208"/>
      <c r="KLJ886" s="208"/>
      <c r="KLK886" s="208"/>
      <c r="KLL886" s="208"/>
      <c r="KLM886" s="208"/>
      <c r="KLN886" s="208"/>
      <c r="KLO886" s="208"/>
      <c r="KLP886" s="208"/>
      <c r="KLQ886" s="208"/>
      <c r="KLR886" s="208"/>
      <c r="KLS886" s="208"/>
      <c r="KLT886" s="208"/>
      <c r="KLU886" s="208"/>
      <c r="KLV886" s="208"/>
      <c r="KLW886" s="208"/>
      <c r="KLX886" s="208"/>
      <c r="KLY886" s="208"/>
      <c r="KLZ886" s="208"/>
      <c r="KMA886" s="208"/>
      <c r="KMB886" s="208"/>
      <c r="KMC886" s="208"/>
      <c r="KMD886" s="208"/>
      <c r="KME886" s="208"/>
      <c r="KMF886" s="208"/>
      <c r="KMG886" s="208"/>
      <c r="KMH886" s="208"/>
      <c r="KMI886" s="208"/>
      <c r="KMJ886" s="208"/>
      <c r="KMK886" s="208"/>
      <c r="KML886" s="208"/>
      <c r="KMM886" s="208"/>
      <c r="KMN886" s="208"/>
      <c r="KMO886" s="208"/>
      <c r="KMP886" s="208"/>
      <c r="KMQ886" s="208"/>
      <c r="KMR886" s="208"/>
      <c r="KMS886" s="208"/>
      <c r="KMT886" s="208"/>
      <c r="KMU886" s="208"/>
      <c r="KMV886" s="208"/>
      <c r="KMW886" s="208"/>
      <c r="KMX886" s="208"/>
      <c r="KMY886" s="208"/>
      <c r="KMZ886" s="208"/>
      <c r="KNA886" s="208"/>
      <c r="KNB886" s="208"/>
      <c r="KNC886" s="208"/>
      <c r="KND886" s="208"/>
      <c r="KNE886" s="208"/>
      <c r="KNF886" s="208"/>
      <c r="KNG886" s="208"/>
      <c r="KNH886" s="208"/>
      <c r="KNI886" s="208"/>
      <c r="KNJ886" s="208"/>
      <c r="KNK886" s="208"/>
      <c r="KNL886" s="208"/>
      <c r="KNM886" s="208"/>
      <c r="KNN886" s="208"/>
      <c r="KNO886" s="208"/>
      <c r="KNP886" s="208"/>
      <c r="KNQ886" s="208"/>
      <c r="KNR886" s="208"/>
      <c r="KNS886" s="208"/>
      <c r="KNT886" s="208"/>
      <c r="KNU886" s="208"/>
      <c r="KNV886" s="208"/>
      <c r="KNW886" s="208"/>
      <c r="KNX886" s="208"/>
      <c r="KNY886" s="208"/>
      <c r="KNZ886" s="208"/>
      <c r="KOA886" s="208"/>
      <c r="KOB886" s="208"/>
      <c r="KOC886" s="208"/>
      <c r="KOD886" s="208"/>
      <c r="KOE886" s="208"/>
      <c r="KOF886" s="208"/>
      <c r="KOG886" s="208"/>
      <c r="KOH886" s="208"/>
      <c r="KOI886" s="208"/>
      <c r="KOJ886" s="208"/>
      <c r="KOK886" s="208"/>
      <c r="KOL886" s="208"/>
      <c r="KOM886" s="208"/>
      <c r="KON886" s="208"/>
      <c r="KOO886" s="208"/>
      <c r="KOP886" s="208"/>
      <c r="KOQ886" s="208"/>
      <c r="KOR886" s="208"/>
      <c r="KOS886" s="208"/>
      <c r="KOT886" s="208"/>
      <c r="KOU886" s="208"/>
      <c r="KOV886" s="208"/>
      <c r="KOW886" s="208"/>
      <c r="KOX886" s="208"/>
      <c r="KOY886" s="208"/>
      <c r="KOZ886" s="208"/>
      <c r="KPA886" s="208"/>
      <c r="KPB886" s="208"/>
      <c r="KPC886" s="208"/>
      <c r="KPD886" s="208"/>
      <c r="KPE886" s="208"/>
      <c r="KPF886" s="208"/>
      <c r="KPG886" s="208"/>
      <c r="KPH886" s="208"/>
      <c r="KPI886" s="208"/>
      <c r="KPJ886" s="208"/>
      <c r="KPK886" s="208"/>
      <c r="KPL886" s="208"/>
      <c r="KPM886" s="208"/>
      <c r="KPN886" s="208"/>
      <c r="KPO886" s="208"/>
      <c r="KPP886" s="208"/>
      <c r="KPQ886" s="208"/>
      <c r="KPR886" s="208"/>
      <c r="KPS886" s="208"/>
      <c r="KPT886" s="208"/>
      <c r="KPU886" s="208"/>
      <c r="KPV886" s="208"/>
      <c r="KPW886" s="208"/>
      <c r="KPX886" s="208"/>
      <c r="KPY886" s="208"/>
      <c r="KPZ886" s="208"/>
      <c r="KQA886" s="208"/>
      <c r="KQB886" s="208"/>
      <c r="KQC886" s="208"/>
      <c r="KQD886" s="208"/>
      <c r="KQE886" s="208"/>
      <c r="KQF886" s="208"/>
      <c r="KQG886" s="208"/>
      <c r="KQH886" s="208"/>
      <c r="KQI886" s="208"/>
      <c r="KQJ886" s="208"/>
      <c r="KQK886" s="208"/>
      <c r="KQL886" s="208"/>
      <c r="KQM886" s="208"/>
      <c r="KQN886" s="208"/>
      <c r="KQO886" s="208"/>
      <c r="KQP886" s="208"/>
      <c r="KQQ886" s="208"/>
      <c r="KQR886" s="208"/>
      <c r="KQS886" s="208"/>
      <c r="KQT886" s="208"/>
      <c r="KQU886" s="208"/>
      <c r="KQV886" s="208"/>
      <c r="KQW886" s="208"/>
      <c r="KQX886" s="208"/>
      <c r="KQY886" s="208"/>
      <c r="KQZ886" s="208"/>
      <c r="KRA886" s="208"/>
      <c r="KRB886" s="208"/>
      <c r="KRC886" s="208"/>
      <c r="KRD886" s="208"/>
      <c r="KRE886" s="208"/>
      <c r="KRF886" s="208"/>
      <c r="KRG886" s="208"/>
      <c r="KRH886" s="208"/>
      <c r="KRI886" s="208"/>
      <c r="KRJ886" s="208"/>
      <c r="KRK886" s="208"/>
      <c r="KRL886" s="208"/>
      <c r="KRM886" s="208"/>
      <c r="KRN886" s="208"/>
      <c r="KRO886" s="208"/>
      <c r="KRP886" s="208"/>
      <c r="KRQ886" s="208"/>
      <c r="KRR886" s="208"/>
      <c r="KRS886" s="208"/>
      <c r="KRT886" s="208"/>
      <c r="KRU886" s="208"/>
      <c r="KRV886" s="208"/>
      <c r="KRW886" s="208"/>
      <c r="KRX886" s="208"/>
      <c r="KRY886" s="208"/>
      <c r="KRZ886" s="208"/>
      <c r="KSA886" s="208"/>
      <c r="KSB886" s="208"/>
      <c r="KSC886" s="208"/>
      <c r="KSD886" s="208"/>
      <c r="KSE886" s="208"/>
      <c r="KSF886" s="208"/>
      <c r="KSG886" s="208"/>
      <c r="KSH886" s="208"/>
      <c r="KSI886" s="208"/>
      <c r="KSJ886" s="208"/>
      <c r="KSK886" s="208"/>
      <c r="KSL886" s="208"/>
      <c r="KSM886" s="208"/>
      <c r="KSN886" s="208"/>
      <c r="KSO886" s="208"/>
      <c r="KSP886" s="208"/>
      <c r="KSQ886" s="208"/>
      <c r="KSR886" s="208"/>
      <c r="KSS886" s="208"/>
      <c r="KST886" s="208"/>
      <c r="KSU886" s="208"/>
      <c r="KSV886" s="208"/>
      <c r="KSW886" s="208"/>
      <c r="KSX886" s="208"/>
      <c r="KSY886" s="208"/>
      <c r="KSZ886" s="208"/>
      <c r="KTA886" s="208"/>
      <c r="KTB886" s="208"/>
      <c r="KTC886" s="208"/>
      <c r="KTD886" s="208"/>
      <c r="KTE886" s="208"/>
      <c r="KTF886" s="208"/>
      <c r="KTG886" s="208"/>
      <c r="KTH886" s="208"/>
      <c r="KTI886" s="208"/>
      <c r="KTJ886" s="208"/>
      <c r="KTK886" s="208"/>
      <c r="KTL886" s="208"/>
      <c r="KTM886" s="208"/>
      <c r="KTN886" s="208"/>
      <c r="KTO886" s="208"/>
      <c r="KTP886" s="208"/>
      <c r="KTQ886" s="208"/>
      <c r="KTR886" s="208"/>
      <c r="KTS886" s="208"/>
      <c r="KTT886" s="208"/>
      <c r="KTU886" s="208"/>
      <c r="KTV886" s="208"/>
      <c r="KTW886" s="208"/>
      <c r="KTX886" s="208"/>
      <c r="KTY886" s="208"/>
      <c r="KTZ886" s="208"/>
      <c r="KUA886" s="208"/>
      <c r="KUB886" s="208"/>
      <c r="KUC886" s="208"/>
      <c r="KUD886" s="208"/>
      <c r="KUE886" s="208"/>
      <c r="KUF886" s="208"/>
      <c r="KUG886" s="208"/>
      <c r="KUH886" s="208"/>
      <c r="KUI886" s="208"/>
      <c r="KUJ886" s="208"/>
      <c r="KUK886" s="208"/>
      <c r="KUL886" s="208"/>
      <c r="KUM886" s="208"/>
      <c r="KUN886" s="208"/>
      <c r="KUO886" s="208"/>
      <c r="KUP886" s="208"/>
      <c r="KUQ886" s="208"/>
      <c r="KUR886" s="208"/>
      <c r="KUS886" s="208"/>
      <c r="KUT886" s="208"/>
      <c r="KUU886" s="208"/>
      <c r="KUV886" s="208"/>
      <c r="KUW886" s="208"/>
      <c r="KUX886" s="208"/>
      <c r="KUY886" s="208"/>
      <c r="KUZ886" s="208"/>
      <c r="KVA886" s="208"/>
      <c r="KVB886" s="208"/>
      <c r="KVC886" s="208"/>
      <c r="KVD886" s="208"/>
      <c r="KVE886" s="208"/>
      <c r="KVF886" s="208"/>
      <c r="KVG886" s="208"/>
      <c r="KVH886" s="208"/>
      <c r="KVI886" s="208"/>
      <c r="KVJ886" s="208"/>
      <c r="KVK886" s="208"/>
      <c r="KVL886" s="208"/>
      <c r="KVM886" s="208"/>
      <c r="KVN886" s="208"/>
      <c r="KVO886" s="208"/>
      <c r="KVP886" s="208"/>
      <c r="KVQ886" s="208"/>
      <c r="KVR886" s="208"/>
      <c r="KVS886" s="208"/>
      <c r="KVT886" s="208"/>
      <c r="KVU886" s="208"/>
      <c r="KVV886" s="208"/>
      <c r="KVW886" s="208"/>
      <c r="KVX886" s="208"/>
      <c r="KVY886" s="208"/>
      <c r="KVZ886" s="208"/>
      <c r="KWA886" s="208"/>
      <c r="KWB886" s="208"/>
      <c r="KWC886" s="208"/>
      <c r="KWD886" s="208"/>
      <c r="KWE886" s="208"/>
      <c r="KWF886" s="208"/>
      <c r="KWG886" s="208"/>
      <c r="KWH886" s="208"/>
      <c r="KWI886" s="208"/>
      <c r="KWJ886" s="208"/>
      <c r="KWK886" s="208"/>
      <c r="KWL886" s="208"/>
      <c r="KWM886" s="208"/>
      <c r="KWN886" s="208"/>
      <c r="KWO886" s="208"/>
      <c r="KWP886" s="208"/>
      <c r="KWQ886" s="208"/>
      <c r="KWR886" s="208"/>
      <c r="KWS886" s="208"/>
      <c r="KWT886" s="208"/>
      <c r="KWU886" s="208"/>
      <c r="KWV886" s="208"/>
      <c r="KWW886" s="208"/>
      <c r="KWX886" s="208"/>
      <c r="KWY886" s="208"/>
      <c r="KWZ886" s="208"/>
      <c r="KXA886" s="208"/>
      <c r="KXB886" s="208"/>
      <c r="KXC886" s="208"/>
      <c r="KXD886" s="208"/>
      <c r="KXE886" s="208"/>
      <c r="KXF886" s="208"/>
      <c r="KXG886" s="208"/>
      <c r="KXH886" s="208"/>
      <c r="KXI886" s="208"/>
      <c r="KXJ886" s="208"/>
      <c r="KXK886" s="208"/>
      <c r="KXL886" s="208"/>
      <c r="KXM886" s="208"/>
      <c r="KXN886" s="208"/>
      <c r="KXO886" s="208"/>
      <c r="KXP886" s="208"/>
      <c r="KXQ886" s="208"/>
      <c r="KXR886" s="208"/>
      <c r="KXS886" s="208"/>
      <c r="KXT886" s="208"/>
      <c r="KXU886" s="208"/>
      <c r="KXV886" s="208"/>
      <c r="KXW886" s="208"/>
      <c r="KXX886" s="208"/>
      <c r="KXY886" s="208"/>
      <c r="KXZ886" s="208"/>
      <c r="KYA886" s="208"/>
      <c r="KYB886" s="208"/>
      <c r="KYC886" s="208"/>
      <c r="KYD886" s="208"/>
      <c r="KYE886" s="208"/>
      <c r="KYF886" s="208"/>
      <c r="KYG886" s="208"/>
      <c r="KYH886" s="208"/>
      <c r="KYI886" s="208"/>
      <c r="KYJ886" s="208"/>
      <c r="KYK886" s="208"/>
      <c r="KYL886" s="208"/>
      <c r="KYM886" s="208"/>
      <c r="KYN886" s="208"/>
      <c r="KYO886" s="208"/>
      <c r="KYP886" s="208"/>
      <c r="KYQ886" s="208"/>
      <c r="KYR886" s="208"/>
      <c r="KYS886" s="208"/>
      <c r="KYT886" s="208"/>
      <c r="KYU886" s="208"/>
      <c r="KYV886" s="208"/>
      <c r="KYW886" s="208"/>
      <c r="KYX886" s="208"/>
      <c r="KYY886" s="208"/>
      <c r="KYZ886" s="208"/>
      <c r="KZA886" s="208"/>
      <c r="KZB886" s="208"/>
      <c r="KZC886" s="208"/>
      <c r="KZD886" s="208"/>
      <c r="KZE886" s="208"/>
      <c r="KZF886" s="208"/>
      <c r="KZG886" s="208"/>
      <c r="KZH886" s="208"/>
      <c r="KZI886" s="208"/>
      <c r="KZJ886" s="208"/>
      <c r="KZK886" s="208"/>
      <c r="KZL886" s="208"/>
      <c r="KZM886" s="208"/>
      <c r="KZN886" s="208"/>
      <c r="KZO886" s="208"/>
      <c r="KZP886" s="208"/>
      <c r="KZQ886" s="208"/>
      <c r="KZR886" s="208"/>
      <c r="KZS886" s="208"/>
      <c r="KZT886" s="208"/>
      <c r="KZU886" s="208"/>
      <c r="KZV886" s="208"/>
      <c r="KZW886" s="208"/>
      <c r="KZX886" s="208"/>
      <c r="KZY886" s="208"/>
      <c r="KZZ886" s="208"/>
      <c r="LAA886" s="208"/>
      <c r="LAB886" s="208"/>
      <c r="LAC886" s="208"/>
      <c r="LAD886" s="208"/>
      <c r="LAE886" s="208"/>
      <c r="LAF886" s="208"/>
      <c r="LAG886" s="208"/>
      <c r="LAH886" s="208"/>
      <c r="LAI886" s="208"/>
      <c r="LAJ886" s="208"/>
      <c r="LAK886" s="208"/>
      <c r="LAL886" s="208"/>
      <c r="LAM886" s="208"/>
      <c r="LAN886" s="208"/>
      <c r="LAO886" s="208"/>
      <c r="LAP886" s="208"/>
      <c r="LAQ886" s="208"/>
      <c r="LAR886" s="208"/>
      <c r="LAS886" s="208"/>
      <c r="LAT886" s="208"/>
      <c r="LAU886" s="208"/>
      <c r="LAV886" s="208"/>
      <c r="LAW886" s="208"/>
      <c r="LAX886" s="208"/>
      <c r="LAY886" s="208"/>
      <c r="LAZ886" s="208"/>
      <c r="LBA886" s="208"/>
      <c r="LBB886" s="208"/>
      <c r="LBC886" s="208"/>
      <c r="LBD886" s="208"/>
      <c r="LBE886" s="208"/>
      <c r="LBF886" s="208"/>
      <c r="LBG886" s="208"/>
      <c r="LBH886" s="208"/>
      <c r="LBI886" s="208"/>
      <c r="LBJ886" s="208"/>
      <c r="LBK886" s="208"/>
      <c r="LBL886" s="208"/>
      <c r="LBM886" s="208"/>
      <c r="LBN886" s="208"/>
      <c r="LBO886" s="208"/>
      <c r="LBP886" s="208"/>
      <c r="LBQ886" s="208"/>
      <c r="LBR886" s="208"/>
      <c r="LBS886" s="208"/>
      <c r="LBT886" s="208"/>
      <c r="LBU886" s="208"/>
      <c r="LBV886" s="208"/>
      <c r="LBW886" s="208"/>
      <c r="LBX886" s="208"/>
      <c r="LBY886" s="208"/>
      <c r="LBZ886" s="208"/>
      <c r="LCA886" s="208"/>
      <c r="LCB886" s="208"/>
      <c r="LCC886" s="208"/>
      <c r="LCD886" s="208"/>
      <c r="LCE886" s="208"/>
      <c r="LCF886" s="208"/>
      <c r="LCG886" s="208"/>
      <c r="LCH886" s="208"/>
      <c r="LCI886" s="208"/>
      <c r="LCJ886" s="208"/>
      <c r="LCK886" s="208"/>
      <c r="LCL886" s="208"/>
      <c r="LCM886" s="208"/>
      <c r="LCN886" s="208"/>
      <c r="LCO886" s="208"/>
      <c r="LCP886" s="208"/>
      <c r="LCQ886" s="208"/>
      <c r="LCR886" s="208"/>
      <c r="LCS886" s="208"/>
      <c r="LCT886" s="208"/>
      <c r="LCU886" s="208"/>
      <c r="LCV886" s="208"/>
      <c r="LCW886" s="208"/>
      <c r="LCX886" s="208"/>
      <c r="LCY886" s="208"/>
      <c r="LCZ886" s="208"/>
      <c r="LDA886" s="208"/>
      <c r="LDB886" s="208"/>
      <c r="LDC886" s="208"/>
      <c r="LDD886" s="208"/>
      <c r="LDE886" s="208"/>
      <c r="LDF886" s="208"/>
      <c r="LDG886" s="208"/>
      <c r="LDH886" s="208"/>
      <c r="LDI886" s="208"/>
      <c r="LDJ886" s="208"/>
      <c r="LDK886" s="208"/>
      <c r="LDL886" s="208"/>
      <c r="LDM886" s="208"/>
      <c r="LDN886" s="208"/>
      <c r="LDO886" s="208"/>
      <c r="LDP886" s="208"/>
      <c r="LDQ886" s="208"/>
      <c r="LDR886" s="208"/>
      <c r="LDS886" s="208"/>
      <c r="LDT886" s="208"/>
      <c r="LDU886" s="208"/>
      <c r="LDV886" s="208"/>
      <c r="LDW886" s="208"/>
      <c r="LDX886" s="208"/>
      <c r="LDY886" s="208"/>
      <c r="LDZ886" s="208"/>
      <c r="LEA886" s="208"/>
      <c r="LEB886" s="208"/>
      <c r="LEC886" s="208"/>
      <c r="LED886" s="208"/>
      <c r="LEE886" s="208"/>
      <c r="LEF886" s="208"/>
      <c r="LEG886" s="208"/>
      <c r="LEH886" s="208"/>
      <c r="LEI886" s="208"/>
      <c r="LEJ886" s="208"/>
      <c r="LEK886" s="208"/>
      <c r="LEL886" s="208"/>
      <c r="LEM886" s="208"/>
      <c r="LEN886" s="208"/>
      <c r="LEO886" s="208"/>
      <c r="LEP886" s="208"/>
      <c r="LEQ886" s="208"/>
      <c r="LER886" s="208"/>
      <c r="LES886" s="208"/>
      <c r="LET886" s="208"/>
      <c r="LEU886" s="208"/>
      <c r="LEV886" s="208"/>
      <c r="LEW886" s="208"/>
      <c r="LEX886" s="208"/>
      <c r="LEY886" s="208"/>
      <c r="LEZ886" s="208"/>
      <c r="LFA886" s="208"/>
      <c r="LFB886" s="208"/>
      <c r="LFC886" s="208"/>
      <c r="LFD886" s="208"/>
      <c r="LFE886" s="208"/>
      <c r="LFF886" s="208"/>
      <c r="LFG886" s="208"/>
      <c r="LFH886" s="208"/>
      <c r="LFI886" s="208"/>
      <c r="LFJ886" s="208"/>
      <c r="LFK886" s="208"/>
      <c r="LFL886" s="208"/>
      <c r="LFM886" s="208"/>
      <c r="LFN886" s="208"/>
      <c r="LFO886" s="208"/>
      <c r="LFP886" s="208"/>
      <c r="LFQ886" s="208"/>
      <c r="LFR886" s="208"/>
      <c r="LFS886" s="208"/>
      <c r="LFT886" s="208"/>
      <c r="LFU886" s="208"/>
      <c r="LFV886" s="208"/>
      <c r="LFW886" s="208"/>
      <c r="LFX886" s="208"/>
      <c r="LFY886" s="208"/>
      <c r="LFZ886" s="208"/>
      <c r="LGA886" s="208"/>
      <c r="LGB886" s="208"/>
      <c r="LGC886" s="208"/>
      <c r="LGD886" s="208"/>
      <c r="LGE886" s="208"/>
      <c r="LGF886" s="208"/>
      <c r="LGG886" s="208"/>
      <c r="LGH886" s="208"/>
      <c r="LGI886" s="208"/>
      <c r="LGJ886" s="208"/>
      <c r="LGK886" s="208"/>
      <c r="LGL886" s="208"/>
      <c r="LGM886" s="208"/>
      <c r="LGN886" s="208"/>
      <c r="LGO886" s="208"/>
      <c r="LGP886" s="208"/>
      <c r="LGQ886" s="208"/>
      <c r="LGR886" s="208"/>
      <c r="LGS886" s="208"/>
      <c r="LGT886" s="208"/>
      <c r="LGU886" s="208"/>
      <c r="LGV886" s="208"/>
      <c r="LGW886" s="208"/>
      <c r="LGX886" s="208"/>
      <c r="LGY886" s="208"/>
      <c r="LGZ886" s="208"/>
      <c r="LHA886" s="208"/>
      <c r="LHB886" s="208"/>
      <c r="LHC886" s="208"/>
      <c r="LHD886" s="208"/>
      <c r="LHE886" s="208"/>
      <c r="LHF886" s="208"/>
      <c r="LHG886" s="208"/>
      <c r="LHH886" s="208"/>
      <c r="LHI886" s="208"/>
      <c r="LHJ886" s="208"/>
      <c r="LHK886" s="208"/>
      <c r="LHL886" s="208"/>
      <c r="LHM886" s="208"/>
      <c r="LHN886" s="208"/>
      <c r="LHO886" s="208"/>
      <c r="LHP886" s="208"/>
      <c r="LHQ886" s="208"/>
      <c r="LHR886" s="208"/>
      <c r="LHS886" s="208"/>
      <c r="LHT886" s="208"/>
      <c r="LHU886" s="208"/>
      <c r="LHV886" s="208"/>
      <c r="LHW886" s="208"/>
      <c r="LHX886" s="208"/>
      <c r="LHY886" s="208"/>
      <c r="LHZ886" s="208"/>
      <c r="LIA886" s="208"/>
      <c r="LIB886" s="208"/>
      <c r="LIC886" s="208"/>
      <c r="LID886" s="208"/>
      <c r="LIE886" s="208"/>
      <c r="LIF886" s="208"/>
      <c r="LIG886" s="208"/>
      <c r="LIH886" s="208"/>
      <c r="LII886" s="208"/>
      <c r="LIJ886" s="208"/>
      <c r="LIK886" s="208"/>
      <c r="LIL886" s="208"/>
      <c r="LIM886" s="208"/>
      <c r="LIN886" s="208"/>
      <c r="LIO886" s="208"/>
      <c r="LIP886" s="208"/>
      <c r="LIQ886" s="208"/>
      <c r="LIR886" s="208"/>
      <c r="LIS886" s="208"/>
      <c r="LIT886" s="208"/>
      <c r="LIU886" s="208"/>
      <c r="LIV886" s="208"/>
      <c r="LIW886" s="208"/>
      <c r="LIX886" s="208"/>
      <c r="LIY886" s="208"/>
      <c r="LIZ886" s="208"/>
      <c r="LJA886" s="208"/>
      <c r="LJB886" s="208"/>
      <c r="LJC886" s="208"/>
      <c r="LJD886" s="208"/>
      <c r="LJE886" s="208"/>
      <c r="LJF886" s="208"/>
      <c r="LJG886" s="208"/>
      <c r="LJH886" s="208"/>
      <c r="LJI886" s="208"/>
      <c r="LJJ886" s="208"/>
      <c r="LJK886" s="208"/>
      <c r="LJL886" s="208"/>
      <c r="LJM886" s="208"/>
      <c r="LJN886" s="208"/>
      <c r="LJO886" s="208"/>
      <c r="LJP886" s="208"/>
      <c r="LJQ886" s="208"/>
      <c r="LJR886" s="208"/>
      <c r="LJS886" s="208"/>
      <c r="LJT886" s="208"/>
      <c r="LJU886" s="208"/>
      <c r="LJV886" s="208"/>
      <c r="LJW886" s="208"/>
      <c r="LJX886" s="208"/>
      <c r="LJY886" s="208"/>
      <c r="LJZ886" s="208"/>
      <c r="LKA886" s="208"/>
      <c r="LKB886" s="208"/>
      <c r="LKC886" s="208"/>
      <c r="LKD886" s="208"/>
      <c r="LKE886" s="208"/>
      <c r="LKF886" s="208"/>
      <c r="LKG886" s="208"/>
      <c r="LKH886" s="208"/>
      <c r="LKI886" s="208"/>
      <c r="LKJ886" s="208"/>
      <c r="LKK886" s="208"/>
      <c r="LKL886" s="208"/>
      <c r="LKM886" s="208"/>
      <c r="LKN886" s="208"/>
      <c r="LKO886" s="208"/>
      <c r="LKP886" s="208"/>
      <c r="LKQ886" s="208"/>
      <c r="LKR886" s="208"/>
      <c r="LKS886" s="208"/>
      <c r="LKT886" s="208"/>
      <c r="LKU886" s="208"/>
      <c r="LKV886" s="208"/>
      <c r="LKW886" s="208"/>
      <c r="LKX886" s="208"/>
      <c r="LKY886" s="208"/>
      <c r="LKZ886" s="208"/>
      <c r="LLA886" s="208"/>
      <c r="LLB886" s="208"/>
      <c r="LLC886" s="208"/>
      <c r="LLD886" s="208"/>
      <c r="LLE886" s="208"/>
      <c r="LLF886" s="208"/>
      <c r="LLG886" s="208"/>
      <c r="LLH886" s="208"/>
      <c r="LLI886" s="208"/>
      <c r="LLJ886" s="208"/>
      <c r="LLK886" s="208"/>
      <c r="LLL886" s="208"/>
      <c r="LLM886" s="208"/>
      <c r="LLN886" s="208"/>
      <c r="LLO886" s="208"/>
      <c r="LLP886" s="208"/>
      <c r="LLQ886" s="208"/>
      <c r="LLR886" s="208"/>
      <c r="LLS886" s="208"/>
      <c r="LLT886" s="208"/>
      <c r="LLU886" s="208"/>
      <c r="LLV886" s="208"/>
      <c r="LLW886" s="208"/>
      <c r="LLX886" s="208"/>
      <c r="LLY886" s="208"/>
      <c r="LLZ886" s="208"/>
      <c r="LMA886" s="208"/>
      <c r="LMB886" s="208"/>
      <c r="LMC886" s="208"/>
      <c r="LMD886" s="208"/>
      <c r="LME886" s="208"/>
      <c r="LMF886" s="208"/>
      <c r="LMG886" s="208"/>
      <c r="LMH886" s="208"/>
      <c r="LMI886" s="208"/>
      <c r="LMJ886" s="208"/>
      <c r="LMK886" s="208"/>
      <c r="LML886" s="208"/>
      <c r="LMM886" s="208"/>
      <c r="LMN886" s="208"/>
      <c r="LMO886" s="208"/>
      <c r="LMP886" s="208"/>
      <c r="LMQ886" s="208"/>
      <c r="LMR886" s="208"/>
      <c r="LMS886" s="208"/>
      <c r="LMT886" s="208"/>
      <c r="LMU886" s="208"/>
      <c r="LMV886" s="208"/>
      <c r="LMW886" s="208"/>
      <c r="LMX886" s="208"/>
      <c r="LMY886" s="208"/>
      <c r="LMZ886" s="208"/>
      <c r="LNA886" s="208"/>
      <c r="LNB886" s="208"/>
      <c r="LNC886" s="208"/>
      <c r="LND886" s="208"/>
      <c r="LNE886" s="208"/>
      <c r="LNF886" s="208"/>
      <c r="LNG886" s="208"/>
      <c r="LNH886" s="208"/>
      <c r="LNI886" s="208"/>
      <c r="LNJ886" s="208"/>
      <c r="LNK886" s="208"/>
      <c r="LNL886" s="208"/>
      <c r="LNM886" s="208"/>
      <c r="LNN886" s="208"/>
      <c r="LNO886" s="208"/>
      <c r="LNP886" s="208"/>
      <c r="LNQ886" s="208"/>
      <c r="LNR886" s="208"/>
      <c r="LNS886" s="208"/>
      <c r="LNT886" s="208"/>
      <c r="LNU886" s="208"/>
      <c r="LNV886" s="208"/>
      <c r="LNW886" s="208"/>
      <c r="LNX886" s="208"/>
      <c r="LNY886" s="208"/>
      <c r="LNZ886" s="208"/>
      <c r="LOA886" s="208"/>
      <c r="LOB886" s="208"/>
      <c r="LOC886" s="208"/>
      <c r="LOD886" s="208"/>
      <c r="LOE886" s="208"/>
      <c r="LOF886" s="208"/>
      <c r="LOG886" s="208"/>
      <c r="LOH886" s="208"/>
      <c r="LOI886" s="208"/>
      <c r="LOJ886" s="208"/>
      <c r="LOK886" s="208"/>
      <c r="LOL886" s="208"/>
      <c r="LOM886" s="208"/>
      <c r="LON886" s="208"/>
      <c r="LOO886" s="208"/>
      <c r="LOP886" s="208"/>
      <c r="LOQ886" s="208"/>
      <c r="LOR886" s="208"/>
      <c r="LOS886" s="208"/>
      <c r="LOT886" s="208"/>
      <c r="LOU886" s="208"/>
      <c r="LOV886" s="208"/>
      <c r="LOW886" s="208"/>
      <c r="LOX886" s="208"/>
      <c r="LOY886" s="208"/>
      <c r="LOZ886" s="208"/>
      <c r="LPA886" s="208"/>
      <c r="LPB886" s="208"/>
      <c r="LPC886" s="208"/>
      <c r="LPD886" s="208"/>
      <c r="LPE886" s="208"/>
      <c r="LPF886" s="208"/>
      <c r="LPG886" s="208"/>
      <c r="LPH886" s="208"/>
      <c r="LPI886" s="208"/>
      <c r="LPJ886" s="208"/>
      <c r="LPK886" s="208"/>
      <c r="LPL886" s="208"/>
      <c r="LPM886" s="208"/>
      <c r="LPN886" s="208"/>
      <c r="LPO886" s="208"/>
      <c r="LPP886" s="208"/>
      <c r="LPQ886" s="208"/>
      <c r="LPR886" s="208"/>
      <c r="LPS886" s="208"/>
      <c r="LPT886" s="208"/>
      <c r="LPU886" s="208"/>
      <c r="LPV886" s="208"/>
      <c r="LPW886" s="208"/>
      <c r="LPX886" s="208"/>
      <c r="LPY886" s="208"/>
      <c r="LPZ886" s="208"/>
      <c r="LQA886" s="208"/>
      <c r="LQB886" s="208"/>
      <c r="LQC886" s="208"/>
      <c r="LQD886" s="208"/>
      <c r="LQE886" s="208"/>
      <c r="LQF886" s="208"/>
      <c r="LQG886" s="208"/>
      <c r="LQH886" s="208"/>
      <c r="LQI886" s="208"/>
      <c r="LQJ886" s="208"/>
      <c r="LQK886" s="208"/>
      <c r="LQL886" s="208"/>
      <c r="LQM886" s="208"/>
      <c r="LQN886" s="208"/>
      <c r="LQO886" s="208"/>
      <c r="LQP886" s="208"/>
      <c r="LQQ886" s="208"/>
      <c r="LQR886" s="208"/>
      <c r="LQS886" s="208"/>
      <c r="LQT886" s="208"/>
      <c r="LQU886" s="208"/>
      <c r="LQV886" s="208"/>
      <c r="LQW886" s="208"/>
      <c r="LQX886" s="208"/>
      <c r="LQY886" s="208"/>
      <c r="LQZ886" s="208"/>
      <c r="LRA886" s="208"/>
      <c r="LRB886" s="208"/>
      <c r="LRC886" s="208"/>
      <c r="LRD886" s="208"/>
      <c r="LRE886" s="208"/>
      <c r="LRF886" s="208"/>
      <c r="LRG886" s="208"/>
      <c r="LRH886" s="208"/>
      <c r="LRI886" s="208"/>
      <c r="LRJ886" s="208"/>
      <c r="LRK886" s="208"/>
      <c r="LRL886" s="208"/>
      <c r="LRM886" s="208"/>
      <c r="LRN886" s="208"/>
      <c r="LRO886" s="208"/>
      <c r="LRP886" s="208"/>
      <c r="LRQ886" s="208"/>
      <c r="LRR886" s="208"/>
      <c r="LRS886" s="208"/>
      <c r="LRT886" s="208"/>
      <c r="LRU886" s="208"/>
      <c r="LRV886" s="208"/>
      <c r="LRW886" s="208"/>
      <c r="LRX886" s="208"/>
      <c r="LRY886" s="208"/>
      <c r="LRZ886" s="208"/>
      <c r="LSA886" s="208"/>
      <c r="LSB886" s="208"/>
      <c r="LSC886" s="208"/>
      <c r="LSD886" s="208"/>
      <c r="LSE886" s="208"/>
      <c r="LSF886" s="208"/>
      <c r="LSG886" s="208"/>
      <c r="LSH886" s="208"/>
      <c r="LSI886" s="208"/>
      <c r="LSJ886" s="208"/>
      <c r="LSK886" s="208"/>
      <c r="LSL886" s="208"/>
      <c r="LSM886" s="208"/>
      <c r="LSN886" s="208"/>
      <c r="LSO886" s="208"/>
      <c r="LSP886" s="208"/>
      <c r="LSQ886" s="208"/>
      <c r="LSR886" s="208"/>
      <c r="LSS886" s="208"/>
      <c r="LST886" s="208"/>
      <c r="LSU886" s="208"/>
      <c r="LSV886" s="208"/>
      <c r="LSW886" s="208"/>
      <c r="LSX886" s="208"/>
      <c r="LSY886" s="208"/>
      <c r="LSZ886" s="208"/>
      <c r="LTA886" s="208"/>
      <c r="LTB886" s="208"/>
      <c r="LTC886" s="208"/>
      <c r="LTD886" s="208"/>
      <c r="LTE886" s="208"/>
      <c r="LTF886" s="208"/>
      <c r="LTG886" s="208"/>
      <c r="LTH886" s="208"/>
      <c r="LTI886" s="208"/>
      <c r="LTJ886" s="208"/>
      <c r="LTK886" s="208"/>
      <c r="LTL886" s="208"/>
      <c r="LTM886" s="208"/>
      <c r="LTN886" s="208"/>
      <c r="LTO886" s="208"/>
      <c r="LTP886" s="208"/>
      <c r="LTQ886" s="208"/>
      <c r="LTR886" s="208"/>
      <c r="LTS886" s="208"/>
      <c r="LTT886" s="208"/>
      <c r="LTU886" s="208"/>
      <c r="LTV886" s="208"/>
      <c r="LTW886" s="208"/>
      <c r="LTX886" s="208"/>
      <c r="LTY886" s="208"/>
      <c r="LTZ886" s="208"/>
      <c r="LUA886" s="208"/>
      <c r="LUB886" s="208"/>
      <c r="LUC886" s="208"/>
      <c r="LUD886" s="208"/>
      <c r="LUE886" s="208"/>
      <c r="LUF886" s="208"/>
      <c r="LUG886" s="208"/>
      <c r="LUH886" s="208"/>
      <c r="LUI886" s="208"/>
      <c r="LUJ886" s="208"/>
      <c r="LUK886" s="208"/>
      <c r="LUL886" s="208"/>
      <c r="LUM886" s="208"/>
      <c r="LUN886" s="208"/>
      <c r="LUO886" s="208"/>
      <c r="LUP886" s="208"/>
      <c r="LUQ886" s="208"/>
      <c r="LUR886" s="208"/>
      <c r="LUS886" s="208"/>
      <c r="LUT886" s="208"/>
      <c r="LUU886" s="208"/>
      <c r="LUV886" s="208"/>
      <c r="LUW886" s="208"/>
      <c r="LUX886" s="208"/>
      <c r="LUY886" s="208"/>
      <c r="LUZ886" s="208"/>
      <c r="LVA886" s="208"/>
      <c r="LVB886" s="208"/>
      <c r="LVC886" s="208"/>
      <c r="LVD886" s="208"/>
      <c r="LVE886" s="208"/>
      <c r="LVF886" s="208"/>
      <c r="LVG886" s="208"/>
      <c r="LVH886" s="208"/>
      <c r="LVI886" s="208"/>
      <c r="LVJ886" s="208"/>
      <c r="LVK886" s="208"/>
      <c r="LVL886" s="208"/>
      <c r="LVM886" s="208"/>
      <c r="LVN886" s="208"/>
      <c r="LVO886" s="208"/>
      <c r="LVP886" s="208"/>
      <c r="LVQ886" s="208"/>
      <c r="LVR886" s="208"/>
      <c r="LVS886" s="208"/>
      <c r="LVT886" s="208"/>
      <c r="LVU886" s="208"/>
      <c r="LVV886" s="208"/>
      <c r="LVW886" s="208"/>
      <c r="LVX886" s="208"/>
      <c r="LVY886" s="208"/>
      <c r="LVZ886" s="208"/>
      <c r="LWA886" s="208"/>
      <c r="LWB886" s="208"/>
      <c r="LWC886" s="208"/>
      <c r="LWD886" s="208"/>
      <c r="LWE886" s="208"/>
      <c r="LWF886" s="208"/>
      <c r="LWG886" s="208"/>
      <c r="LWH886" s="208"/>
      <c r="LWI886" s="208"/>
      <c r="LWJ886" s="208"/>
      <c r="LWK886" s="208"/>
      <c r="LWL886" s="208"/>
      <c r="LWM886" s="208"/>
      <c r="LWN886" s="208"/>
      <c r="LWO886" s="208"/>
      <c r="LWP886" s="208"/>
      <c r="LWQ886" s="208"/>
      <c r="LWR886" s="208"/>
      <c r="LWS886" s="208"/>
      <c r="LWT886" s="208"/>
      <c r="LWU886" s="208"/>
      <c r="LWV886" s="208"/>
      <c r="LWW886" s="208"/>
      <c r="LWX886" s="208"/>
      <c r="LWY886" s="208"/>
      <c r="LWZ886" s="208"/>
      <c r="LXA886" s="208"/>
      <c r="LXB886" s="208"/>
      <c r="LXC886" s="208"/>
      <c r="LXD886" s="208"/>
      <c r="LXE886" s="208"/>
      <c r="LXF886" s="208"/>
      <c r="LXG886" s="208"/>
      <c r="LXH886" s="208"/>
      <c r="LXI886" s="208"/>
      <c r="LXJ886" s="208"/>
      <c r="LXK886" s="208"/>
      <c r="LXL886" s="208"/>
      <c r="LXM886" s="208"/>
      <c r="LXN886" s="208"/>
      <c r="LXO886" s="208"/>
      <c r="LXP886" s="208"/>
      <c r="LXQ886" s="208"/>
      <c r="LXR886" s="208"/>
      <c r="LXS886" s="208"/>
      <c r="LXT886" s="208"/>
      <c r="LXU886" s="208"/>
      <c r="LXV886" s="208"/>
      <c r="LXW886" s="208"/>
      <c r="LXX886" s="208"/>
      <c r="LXY886" s="208"/>
      <c r="LXZ886" s="208"/>
      <c r="LYA886" s="208"/>
      <c r="LYB886" s="208"/>
      <c r="LYC886" s="208"/>
      <c r="LYD886" s="208"/>
      <c r="LYE886" s="208"/>
      <c r="LYF886" s="208"/>
      <c r="LYG886" s="208"/>
      <c r="LYH886" s="208"/>
      <c r="LYI886" s="208"/>
      <c r="LYJ886" s="208"/>
      <c r="LYK886" s="208"/>
      <c r="LYL886" s="208"/>
      <c r="LYM886" s="208"/>
      <c r="LYN886" s="208"/>
      <c r="LYO886" s="208"/>
      <c r="LYP886" s="208"/>
      <c r="LYQ886" s="208"/>
      <c r="LYR886" s="208"/>
      <c r="LYS886" s="208"/>
      <c r="LYT886" s="208"/>
      <c r="LYU886" s="208"/>
      <c r="LYV886" s="208"/>
      <c r="LYW886" s="208"/>
      <c r="LYX886" s="208"/>
      <c r="LYY886" s="208"/>
      <c r="LYZ886" s="208"/>
      <c r="LZA886" s="208"/>
      <c r="LZB886" s="208"/>
      <c r="LZC886" s="208"/>
      <c r="LZD886" s="208"/>
      <c r="LZE886" s="208"/>
      <c r="LZF886" s="208"/>
      <c r="LZG886" s="208"/>
      <c r="LZH886" s="208"/>
      <c r="LZI886" s="208"/>
      <c r="LZJ886" s="208"/>
      <c r="LZK886" s="208"/>
      <c r="LZL886" s="208"/>
      <c r="LZM886" s="208"/>
      <c r="LZN886" s="208"/>
      <c r="LZO886" s="208"/>
      <c r="LZP886" s="208"/>
      <c r="LZQ886" s="208"/>
      <c r="LZR886" s="208"/>
      <c r="LZS886" s="208"/>
      <c r="LZT886" s="208"/>
      <c r="LZU886" s="208"/>
      <c r="LZV886" s="208"/>
      <c r="LZW886" s="208"/>
      <c r="LZX886" s="208"/>
      <c r="LZY886" s="208"/>
      <c r="LZZ886" s="208"/>
      <c r="MAA886" s="208"/>
      <c r="MAB886" s="208"/>
      <c r="MAC886" s="208"/>
      <c r="MAD886" s="208"/>
      <c r="MAE886" s="208"/>
      <c r="MAF886" s="208"/>
      <c r="MAG886" s="208"/>
      <c r="MAH886" s="208"/>
      <c r="MAI886" s="208"/>
      <c r="MAJ886" s="208"/>
      <c r="MAK886" s="208"/>
      <c r="MAL886" s="208"/>
      <c r="MAM886" s="208"/>
      <c r="MAN886" s="208"/>
      <c r="MAO886" s="208"/>
      <c r="MAP886" s="208"/>
      <c r="MAQ886" s="208"/>
      <c r="MAR886" s="208"/>
      <c r="MAS886" s="208"/>
      <c r="MAT886" s="208"/>
      <c r="MAU886" s="208"/>
      <c r="MAV886" s="208"/>
      <c r="MAW886" s="208"/>
      <c r="MAX886" s="208"/>
      <c r="MAY886" s="208"/>
      <c r="MAZ886" s="208"/>
      <c r="MBA886" s="208"/>
      <c r="MBB886" s="208"/>
      <c r="MBC886" s="208"/>
      <c r="MBD886" s="208"/>
      <c r="MBE886" s="208"/>
      <c r="MBF886" s="208"/>
      <c r="MBG886" s="208"/>
      <c r="MBH886" s="208"/>
      <c r="MBI886" s="208"/>
      <c r="MBJ886" s="208"/>
      <c r="MBK886" s="208"/>
      <c r="MBL886" s="208"/>
      <c r="MBM886" s="208"/>
      <c r="MBN886" s="208"/>
      <c r="MBO886" s="208"/>
      <c r="MBP886" s="208"/>
      <c r="MBQ886" s="208"/>
      <c r="MBR886" s="208"/>
      <c r="MBS886" s="208"/>
      <c r="MBT886" s="208"/>
      <c r="MBU886" s="208"/>
      <c r="MBV886" s="208"/>
      <c r="MBW886" s="208"/>
      <c r="MBX886" s="208"/>
      <c r="MBY886" s="208"/>
      <c r="MBZ886" s="208"/>
      <c r="MCA886" s="208"/>
      <c r="MCB886" s="208"/>
      <c r="MCC886" s="208"/>
      <c r="MCD886" s="208"/>
      <c r="MCE886" s="208"/>
      <c r="MCF886" s="208"/>
      <c r="MCG886" s="208"/>
      <c r="MCH886" s="208"/>
      <c r="MCI886" s="208"/>
      <c r="MCJ886" s="208"/>
      <c r="MCK886" s="208"/>
      <c r="MCL886" s="208"/>
      <c r="MCM886" s="208"/>
      <c r="MCN886" s="208"/>
      <c r="MCO886" s="208"/>
      <c r="MCP886" s="208"/>
      <c r="MCQ886" s="208"/>
      <c r="MCR886" s="208"/>
      <c r="MCS886" s="208"/>
      <c r="MCT886" s="208"/>
      <c r="MCU886" s="208"/>
      <c r="MCV886" s="208"/>
      <c r="MCW886" s="208"/>
      <c r="MCX886" s="208"/>
      <c r="MCY886" s="208"/>
      <c r="MCZ886" s="208"/>
      <c r="MDA886" s="208"/>
      <c r="MDB886" s="208"/>
      <c r="MDC886" s="208"/>
      <c r="MDD886" s="208"/>
      <c r="MDE886" s="208"/>
      <c r="MDF886" s="208"/>
      <c r="MDG886" s="208"/>
      <c r="MDH886" s="208"/>
      <c r="MDI886" s="208"/>
      <c r="MDJ886" s="208"/>
      <c r="MDK886" s="208"/>
      <c r="MDL886" s="208"/>
      <c r="MDM886" s="208"/>
      <c r="MDN886" s="208"/>
      <c r="MDO886" s="208"/>
      <c r="MDP886" s="208"/>
      <c r="MDQ886" s="208"/>
      <c r="MDR886" s="208"/>
      <c r="MDS886" s="208"/>
      <c r="MDT886" s="208"/>
      <c r="MDU886" s="208"/>
      <c r="MDV886" s="208"/>
      <c r="MDW886" s="208"/>
      <c r="MDX886" s="208"/>
      <c r="MDY886" s="208"/>
      <c r="MDZ886" s="208"/>
      <c r="MEA886" s="208"/>
      <c r="MEB886" s="208"/>
      <c r="MEC886" s="208"/>
      <c r="MED886" s="208"/>
      <c r="MEE886" s="208"/>
      <c r="MEF886" s="208"/>
      <c r="MEG886" s="208"/>
      <c r="MEH886" s="208"/>
      <c r="MEI886" s="208"/>
      <c r="MEJ886" s="208"/>
      <c r="MEK886" s="208"/>
      <c r="MEL886" s="208"/>
      <c r="MEM886" s="208"/>
      <c r="MEN886" s="208"/>
      <c r="MEO886" s="208"/>
      <c r="MEP886" s="208"/>
      <c r="MEQ886" s="208"/>
      <c r="MER886" s="208"/>
      <c r="MES886" s="208"/>
      <c r="MET886" s="208"/>
      <c r="MEU886" s="208"/>
      <c r="MEV886" s="208"/>
      <c r="MEW886" s="208"/>
      <c r="MEX886" s="208"/>
      <c r="MEY886" s="208"/>
      <c r="MEZ886" s="208"/>
      <c r="MFA886" s="208"/>
      <c r="MFB886" s="208"/>
      <c r="MFC886" s="208"/>
      <c r="MFD886" s="208"/>
      <c r="MFE886" s="208"/>
      <c r="MFF886" s="208"/>
      <c r="MFG886" s="208"/>
      <c r="MFH886" s="208"/>
      <c r="MFI886" s="208"/>
      <c r="MFJ886" s="208"/>
      <c r="MFK886" s="208"/>
      <c r="MFL886" s="208"/>
      <c r="MFM886" s="208"/>
      <c r="MFN886" s="208"/>
      <c r="MFO886" s="208"/>
      <c r="MFP886" s="208"/>
      <c r="MFQ886" s="208"/>
      <c r="MFR886" s="208"/>
      <c r="MFS886" s="208"/>
      <c r="MFT886" s="208"/>
      <c r="MFU886" s="208"/>
      <c r="MFV886" s="208"/>
      <c r="MFW886" s="208"/>
      <c r="MFX886" s="208"/>
      <c r="MFY886" s="208"/>
      <c r="MFZ886" s="208"/>
      <c r="MGA886" s="208"/>
      <c r="MGB886" s="208"/>
      <c r="MGC886" s="208"/>
      <c r="MGD886" s="208"/>
      <c r="MGE886" s="208"/>
      <c r="MGF886" s="208"/>
      <c r="MGG886" s="208"/>
      <c r="MGH886" s="208"/>
      <c r="MGI886" s="208"/>
      <c r="MGJ886" s="208"/>
      <c r="MGK886" s="208"/>
      <c r="MGL886" s="208"/>
      <c r="MGM886" s="208"/>
      <c r="MGN886" s="208"/>
      <c r="MGO886" s="208"/>
      <c r="MGP886" s="208"/>
      <c r="MGQ886" s="208"/>
      <c r="MGR886" s="208"/>
      <c r="MGS886" s="208"/>
      <c r="MGT886" s="208"/>
      <c r="MGU886" s="208"/>
      <c r="MGV886" s="208"/>
      <c r="MGW886" s="208"/>
      <c r="MGX886" s="208"/>
      <c r="MGY886" s="208"/>
      <c r="MGZ886" s="208"/>
      <c r="MHA886" s="208"/>
      <c r="MHB886" s="208"/>
      <c r="MHC886" s="208"/>
      <c r="MHD886" s="208"/>
      <c r="MHE886" s="208"/>
      <c r="MHF886" s="208"/>
      <c r="MHG886" s="208"/>
      <c r="MHH886" s="208"/>
      <c r="MHI886" s="208"/>
      <c r="MHJ886" s="208"/>
      <c r="MHK886" s="208"/>
      <c r="MHL886" s="208"/>
      <c r="MHM886" s="208"/>
      <c r="MHN886" s="208"/>
      <c r="MHO886" s="208"/>
      <c r="MHP886" s="208"/>
      <c r="MHQ886" s="208"/>
      <c r="MHR886" s="208"/>
      <c r="MHS886" s="208"/>
      <c r="MHT886" s="208"/>
      <c r="MHU886" s="208"/>
      <c r="MHV886" s="208"/>
      <c r="MHW886" s="208"/>
      <c r="MHX886" s="208"/>
      <c r="MHY886" s="208"/>
      <c r="MHZ886" s="208"/>
      <c r="MIA886" s="208"/>
      <c r="MIB886" s="208"/>
      <c r="MIC886" s="208"/>
      <c r="MID886" s="208"/>
      <c r="MIE886" s="208"/>
      <c r="MIF886" s="208"/>
      <c r="MIG886" s="208"/>
      <c r="MIH886" s="208"/>
      <c r="MII886" s="208"/>
      <c r="MIJ886" s="208"/>
      <c r="MIK886" s="208"/>
      <c r="MIL886" s="208"/>
      <c r="MIM886" s="208"/>
      <c r="MIN886" s="208"/>
      <c r="MIO886" s="208"/>
      <c r="MIP886" s="208"/>
      <c r="MIQ886" s="208"/>
      <c r="MIR886" s="208"/>
      <c r="MIS886" s="208"/>
      <c r="MIT886" s="208"/>
      <c r="MIU886" s="208"/>
      <c r="MIV886" s="208"/>
      <c r="MIW886" s="208"/>
      <c r="MIX886" s="208"/>
      <c r="MIY886" s="208"/>
      <c r="MIZ886" s="208"/>
      <c r="MJA886" s="208"/>
      <c r="MJB886" s="208"/>
      <c r="MJC886" s="208"/>
      <c r="MJD886" s="208"/>
      <c r="MJE886" s="208"/>
      <c r="MJF886" s="208"/>
      <c r="MJG886" s="208"/>
      <c r="MJH886" s="208"/>
      <c r="MJI886" s="208"/>
      <c r="MJJ886" s="208"/>
      <c r="MJK886" s="208"/>
      <c r="MJL886" s="208"/>
      <c r="MJM886" s="208"/>
      <c r="MJN886" s="208"/>
      <c r="MJO886" s="208"/>
      <c r="MJP886" s="208"/>
      <c r="MJQ886" s="208"/>
      <c r="MJR886" s="208"/>
      <c r="MJS886" s="208"/>
      <c r="MJT886" s="208"/>
      <c r="MJU886" s="208"/>
      <c r="MJV886" s="208"/>
      <c r="MJW886" s="208"/>
      <c r="MJX886" s="208"/>
      <c r="MJY886" s="208"/>
      <c r="MJZ886" s="208"/>
      <c r="MKA886" s="208"/>
      <c r="MKB886" s="208"/>
      <c r="MKC886" s="208"/>
      <c r="MKD886" s="208"/>
      <c r="MKE886" s="208"/>
      <c r="MKF886" s="208"/>
      <c r="MKG886" s="208"/>
      <c r="MKH886" s="208"/>
      <c r="MKI886" s="208"/>
      <c r="MKJ886" s="208"/>
      <c r="MKK886" s="208"/>
      <c r="MKL886" s="208"/>
      <c r="MKM886" s="208"/>
      <c r="MKN886" s="208"/>
      <c r="MKO886" s="208"/>
      <c r="MKP886" s="208"/>
      <c r="MKQ886" s="208"/>
      <c r="MKR886" s="208"/>
      <c r="MKS886" s="208"/>
      <c r="MKT886" s="208"/>
      <c r="MKU886" s="208"/>
      <c r="MKV886" s="208"/>
      <c r="MKW886" s="208"/>
      <c r="MKX886" s="208"/>
      <c r="MKY886" s="208"/>
      <c r="MKZ886" s="208"/>
      <c r="MLA886" s="208"/>
      <c r="MLB886" s="208"/>
      <c r="MLC886" s="208"/>
      <c r="MLD886" s="208"/>
      <c r="MLE886" s="208"/>
      <c r="MLF886" s="208"/>
      <c r="MLG886" s="208"/>
      <c r="MLH886" s="208"/>
      <c r="MLI886" s="208"/>
      <c r="MLJ886" s="208"/>
      <c r="MLK886" s="208"/>
      <c r="MLL886" s="208"/>
      <c r="MLM886" s="208"/>
      <c r="MLN886" s="208"/>
      <c r="MLO886" s="208"/>
      <c r="MLP886" s="208"/>
      <c r="MLQ886" s="208"/>
      <c r="MLR886" s="208"/>
      <c r="MLS886" s="208"/>
      <c r="MLT886" s="208"/>
      <c r="MLU886" s="208"/>
      <c r="MLV886" s="208"/>
      <c r="MLW886" s="208"/>
      <c r="MLX886" s="208"/>
      <c r="MLY886" s="208"/>
      <c r="MLZ886" s="208"/>
      <c r="MMA886" s="208"/>
      <c r="MMB886" s="208"/>
      <c r="MMC886" s="208"/>
      <c r="MMD886" s="208"/>
      <c r="MME886" s="208"/>
      <c r="MMF886" s="208"/>
      <c r="MMG886" s="208"/>
      <c r="MMH886" s="208"/>
      <c r="MMI886" s="208"/>
      <c r="MMJ886" s="208"/>
      <c r="MMK886" s="208"/>
      <c r="MML886" s="208"/>
      <c r="MMM886" s="208"/>
      <c r="MMN886" s="208"/>
      <c r="MMO886" s="208"/>
      <c r="MMP886" s="208"/>
      <c r="MMQ886" s="208"/>
      <c r="MMR886" s="208"/>
      <c r="MMS886" s="208"/>
      <c r="MMT886" s="208"/>
      <c r="MMU886" s="208"/>
      <c r="MMV886" s="208"/>
      <c r="MMW886" s="208"/>
      <c r="MMX886" s="208"/>
      <c r="MMY886" s="208"/>
      <c r="MMZ886" s="208"/>
      <c r="MNA886" s="208"/>
      <c r="MNB886" s="208"/>
      <c r="MNC886" s="208"/>
      <c r="MND886" s="208"/>
      <c r="MNE886" s="208"/>
      <c r="MNF886" s="208"/>
      <c r="MNG886" s="208"/>
      <c r="MNH886" s="208"/>
      <c r="MNI886" s="208"/>
      <c r="MNJ886" s="208"/>
      <c r="MNK886" s="208"/>
      <c r="MNL886" s="208"/>
      <c r="MNM886" s="208"/>
      <c r="MNN886" s="208"/>
      <c r="MNO886" s="208"/>
      <c r="MNP886" s="208"/>
      <c r="MNQ886" s="208"/>
      <c r="MNR886" s="208"/>
      <c r="MNS886" s="208"/>
      <c r="MNT886" s="208"/>
      <c r="MNU886" s="208"/>
      <c r="MNV886" s="208"/>
      <c r="MNW886" s="208"/>
      <c r="MNX886" s="208"/>
      <c r="MNY886" s="208"/>
      <c r="MNZ886" s="208"/>
      <c r="MOA886" s="208"/>
      <c r="MOB886" s="208"/>
      <c r="MOC886" s="208"/>
      <c r="MOD886" s="208"/>
      <c r="MOE886" s="208"/>
      <c r="MOF886" s="208"/>
      <c r="MOG886" s="208"/>
      <c r="MOH886" s="208"/>
      <c r="MOI886" s="208"/>
      <c r="MOJ886" s="208"/>
      <c r="MOK886" s="208"/>
      <c r="MOL886" s="208"/>
      <c r="MOM886" s="208"/>
      <c r="MON886" s="208"/>
      <c r="MOO886" s="208"/>
      <c r="MOP886" s="208"/>
      <c r="MOQ886" s="208"/>
      <c r="MOR886" s="208"/>
      <c r="MOS886" s="208"/>
      <c r="MOT886" s="208"/>
      <c r="MOU886" s="208"/>
      <c r="MOV886" s="208"/>
      <c r="MOW886" s="208"/>
      <c r="MOX886" s="208"/>
      <c r="MOY886" s="208"/>
      <c r="MOZ886" s="208"/>
      <c r="MPA886" s="208"/>
      <c r="MPB886" s="208"/>
      <c r="MPC886" s="208"/>
      <c r="MPD886" s="208"/>
      <c r="MPE886" s="208"/>
      <c r="MPF886" s="208"/>
      <c r="MPG886" s="208"/>
      <c r="MPH886" s="208"/>
      <c r="MPI886" s="208"/>
      <c r="MPJ886" s="208"/>
      <c r="MPK886" s="208"/>
      <c r="MPL886" s="208"/>
      <c r="MPM886" s="208"/>
      <c r="MPN886" s="208"/>
      <c r="MPO886" s="208"/>
      <c r="MPP886" s="208"/>
      <c r="MPQ886" s="208"/>
      <c r="MPR886" s="208"/>
      <c r="MPS886" s="208"/>
      <c r="MPT886" s="208"/>
      <c r="MPU886" s="208"/>
      <c r="MPV886" s="208"/>
      <c r="MPW886" s="208"/>
      <c r="MPX886" s="208"/>
      <c r="MPY886" s="208"/>
      <c r="MPZ886" s="208"/>
      <c r="MQA886" s="208"/>
      <c r="MQB886" s="208"/>
      <c r="MQC886" s="208"/>
      <c r="MQD886" s="208"/>
      <c r="MQE886" s="208"/>
      <c r="MQF886" s="208"/>
      <c r="MQG886" s="208"/>
      <c r="MQH886" s="208"/>
      <c r="MQI886" s="208"/>
      <c r="MQJ886" s="208"/>
      <c r="MQK886" s="208"/>
      <c r="MQL886" s="208"/>
      <c r="MQM886" s="208"/>
      <c r="MQN886" s="208"/>
      <c r="MQO886" s="208"/>
      <c r="MQP886" s="208"/>
      <c r="MQQ886" s="208"/>
      <c r="MQR886" s="208"/>
      <c r="MQS886" s="208"/>
      <c r="MQT886" s="208"/>
      <c r="MQU886" s="208"/>
      <c r="MQV886" s="208"/>
      <c r="MQW886" s="208"/>
      <c r="MQX886" s="208"/>
      <c r="MQY886" s="208"/>
      <c r="MQZ886" s="208"/>
      <c r="MRA886" s="208"/>
      <c r="MRB886" s="208"/>
      <c r="MRC886" s="208"/>
      <c r="MRD886" s="208"/>
      <c r="MRE886" s="208"/>
      <c r="MRF886" s="208"/>
      <c r="MRG886" s="208"/>
      <c r="MRH886" s="208"/>
      <c r="MRI886" s="208"/>
      <c r="MRJ886" s="208"/>
      <c r="MRK886" s="208"/>
      <c r="MRL886" s="208"/>
      <c r="MRM886" s="208"/>
      <c r="MRN886" s="208"/>
      <c r="MRO886" s="208"/>
      <c r="MRP886" s="208"/>
      <c r="MRQ886" s="208"/>
      <c r="MRR886" s="208"/>
      <c r="MRS886" s="208"/>
      <c r="MRT886" s="208"/>
      <c r="MRU886" s="208"/>
      <c r="MRV886" s="208"/>
      <c r="MRW886" s="208"/>
      <c r="MRX886" s="208"/>
      <c r="MRY886" s="208"/>
      <c r="MRZ886" s="208"/>
      <c r="MSA886" s="208"/>
      <c r="MSB886" s="208"/>
      <c r="MSC886" s="208"/>
      <c r="MSD886" s="208"/>
      <c r="MSE886" s="208"/>
      <c r="MSF886" s="208"/>
      <c r="MSG886" s="208"/>
      <c r="MSH886" s="208"/>
      <c r="MSI886" s="208"/>
      <c r="MSJ886" s="208"/>
      <c r="MSK886" s="208"/>
      <c r="MSL886" s="208"/>
      <c r="MSM886" s="208"/>
      <c r="MSN886" s="208"/>
      <c r="MSO886" s="208"/>
      <c r="MSP886" s="208"/>
      <c r="MSQ886" s="208"/>
      <c r="MSR886" s="208"/>
      <c r="MSS886" s="208"/>
      <c r="MST886" s="208"/>
      <c r="MSU886" s="208"/>
      <c r="MSV886" s="208"/>
      <c r="MSW886" s="208"/>
      <c r="MSX886" s="208"/>
      <c r="MSY886" s="208"/>
      <c r="MSZ886" s="208"/>
      <c r="MTA886" s="208"/>
      <c r="MTB886" s="208"/>
      <c r="MTC886" s="208"/>
      <c r="MTD886" s="208"/>
      <c r="MTE886" s="208"/>
      <c r="MTF886" s="208"/>
      <c r="MTG886" s="208"/>
      <c r="MTH886" s="208"/>
      <c r="MTI886" s="208"/>
      <c r="MTJ886" s="208"/>
      <c r="MTK886" s="208"/>
      <c r="MTL886" s="208"/>
      <c r="MTM886" s="208"/>
      <c r="MTN886" s="208"/>
      <c r="MTO886" s="208"/>
      <c r="MTP886" s="208"/>
      <c r="MTQ886" s="208"/>
      <c r="MTR886" s="208"/>
      <c r="MTS886" s="208"/>
      <c r="MTT886" s="208"/>
      <c r="MTU886" s="208"/>
      <c r="MTV886" s="208"/>
      <c r="MTW886" s="208"/>
      <c r="MTX886" s="208"/>
      <c r="MTY886" s="208"/>
      <c r="MTZ886" s="208"/>
      <c r="MUA886" s="208"/>
      <c r="MUB886" s="208"/>
      <c r="MUC886" s="208"/>
      <c r="MUD886" s="208"/>
      <c r="MUE886" s="208"/>
      <c r="MUF886" s="208"/>
      <c r="MUG886" s="208"/>
      <c r="MUH886" s="208"/>
      <c r="MUI886" s="208"/>
      <c r="MUJ886" s="208"/>
      <c r="MUK886" s="208"/>
      <c r="MUL886" s="208"/>
      <c r="MUM886" s="208"/>
      <c r="MUN886" s="208"/>
      <c r="MUO886" s="208"/>
      <c r="MUP886" s="208"/>
      <c r="MUQ886" s="208"/>
      <c r="MUR886" s="208"/>
      <c r="MUS886" s="208"/>
      <c r="MUT886" s="208"/>
      <c r="MUU886" s="208"/>
      <c r="MUV886" s="208"/>
      <c r="MUW886" s="208"/>
      <c r="MUX886" s="208"/>
      <c r="MUY886" s="208"/>
      <c r="MUZ886" s="208"/>
      <c r="MVA886" s="208"/>
      <c r="MVB886" s="208"/>
      <c r="MVC886" s="208"/>
      <c r="MVD886" s="208"/>
      <c r="MVE886" s="208"/>
      <c r="MVF886" s="208"/>
      <c r="MVG886" s="208"/>
      <c r="MVH886" s="208"/>
      <c r="MVI886" s="208"/>
      <c r="MVJ886" s="208"/>
      <c r="MVK886" s="208"/>
      <c r="MVL886" s="208"/>
      <c r="MVM886" s="208"/>
      <c r="MVN886" s="208"/>
      <c r="MVO886" s="208"/>
      <c r="MVP886" s="208"/>
      <c r="MVQ886" s="208"/>
      <c r="MVR886" s="208"/>
      <c r="MVS886" s="208"/>
      <c r="MVT886" s="208"/>
      <c r="MVU886" s="208"/>
      <c r="MVV886" s="208"/>
      <c r="MVW886" s="208"/>
      <c r="MVX886" s="208"/>
      <c r="MVY886" s="208"/>
      <c r="MVZ886" s="208"/>
      <c r="MWA886" s="208"/>
      <c r="MWB886" s="208"/>
      <c r="MWC886" s="208"/>
      <c r="MWD886" s="208"/>
      <c r="MWE886" s="208"/>
      <c r="MWF886" s="208"/>
      <c r="MWG886" s="208"/>
      <c r="MWH886" s="208"/>
      <c r="MWI886" s="208"/>
      <c r="MWJ886" s="208"/>
      <c r="MWK886" s="208"/>
      <c r="MWL886" s="208"/>
      <c r="MWM886" s="208"/>
      <c r="MWN886" s="208"/>
      <c r="MWO886" s="208"/>
      <c r="MWP886" s="208"/>
      <c r="MWQ886" s="208"/>
      <c r="MWR886" s="208"/>
      <c r="MWS886" s="208"/>
      <c r="MWT886" s="208"/>
      <c r="MWU886" s="208"/>
      <c r="MWV886" s="208"/>
      <c r="MWW886" s="208"/>
      <c r="MWX886" s="208"/>
      <c r="MWY886" s="208"/>
      <c r="MWZ886" s="208"/>
      <c r="MXA886" s="208"/>
      <c r="MXB886" s="208"/>
      <c r="MXC886" s="208"/>
      <c r="MXD886" s="208"/>
      <c r="MXE886" s="208"/>
      <c r="MXF886" s="208"/>
      <c r="MXG886" s="208"/>
      <c r="MXH886" s="208"/>
      <c r="MXI886" s="208"/>
      <c r="MXJ886" s="208"/>
      <c r="MXK886" s="208"/>
      <c r="MXL886" s="208"/>
      <c r="MXM886" s="208"/>
      <c r="MXN886" s="208"/>
      <c r="MXO886" s="208"/>
      <c r="MXP886" s="208"/>
      <c r="MXQ886" s="208"/>
      <c r="MXR886" s="208"/>
      <c r="MXS886" s="208"/>
      <c r="MXT886" s="208"/>
      <c r="MXU886" s="208"/>
      <c r="MXV886" s="208"/>
      <c r="MXW886" s="208"/>
      <c r="MXX886" s="208"/>
      <c r="MXY886" s="208"/>
      <c r="MXZ886" s="208"/>
      <c r="MYA886" s="208"/>
      <c r="MYB886" s="208"/>
      <c r="MYC886" s="208"/>
      <c r="MYD886" s="208"/>
      <c r="MYE886" s="208"/>
      <c r="MYF886" s="208"/>
      <c r="MYG886" s="208"/>
      <c r="MYH886" s="208"/>
      <c r="MYI886" s="208"/>
      <c r="MYJ886" s="208"/>
      <c r="MYK886" s="208"/>
      <c r="MYL886" s="208"/>
      <c r="MYM886" s="208"/>
      <c r="MYN886" s="208"/>
      <c r="MYO886" s="208"/>
      <c r="MYP886" s="208"/>
      <c r="MYQ886" s="208"/>
      <c r="MYR886" s="208"/>
      <c r="MYS886" s="208"/>
      <c r="MYT886" s="208"/>
      <c r="MYU886" s="208"/>
      <c r="MYV886" s="208"/>
      <c r="MYW886" s="208"/>
      <c r="MYX886" s="208"/>
      <c r="MYY886" s="208"/>
      <c r="MYZ886" s="208"/>
      <c r="MZA886" s="208"/>
      <c r="MZB886" s="208"/>
      <c r="MZC886" s="208"/>
      <c r="MZD886" s="208"/>
      <c r="MZE886" s="208"/>
      <c r="MZF886" s="208"/>
      <c r="MZG886" s="208"/>
      <c r="MZH886" s="208"/>
      <c r="MZI886" s="208"/>
      <c r="MZJ886" s="208"/>
      <c r="MZK886" s="208"/>
      <c r="MZL886" s="208"/>
      <c r="MZM886" s="208"/>
      <c r="MZN886" s="208"/>
      <c r="MZO886" s="208"/>
      <c r="MZP886" s="208"/>
      <c r="MZQ886" s="208"/>
      <c r="MZR886" s="208"/>
      <c r="MZS886" s="208"/>
      <c r="MZT886" s="208"/>
      <c r="MZU886" s="208"/>
      <c r="MZV886" s="208"/>
      <c r="MZW886" s="208"/>
      <c r="MZX886" s="208"/>
      <c r="MZY886" s="208"/>
      <c r="MZZ886" s="208"/>
      <c r="NAA886" s="208"/>
      <c r="NAB886" s="208"/>
      <c r="NAC886" s="208"/>
      <c r="NAD886" s="208"/>
      <c r="NAE886" s="208"/>
      <c r="NAF886" s="208"/>
      <c r="NAG886" s="208"/>
      <c r="NAH886" s="208"/>
      <c r="NAI886" s="208"/>
      <c r="NAJ886" s="208"/>
      <c r="NAK886" s="208"/>
      <c r="NAL886" s="208"/>
      <c r="NAM886" s="208"/>
      <c r="NAN886" s="208"/>
      <c r="NAO886" s="208"/>
      <c r="NAP886" s="208"/>
      <c r="NAQ886" s="208"/>
      <c r="NAR886" s="208"/>
      <c r="NAS886" s="208"/>
      <c r="NAT886" s="208"/>
      <c r="NAU886" s="208"/>
      <c r="NAV886" s="208"/>
      <c r="NAW886" s="208"/>
      <c r="NAX886" s="208"/>
      <c r="NAY886" s="208"/>
      <c r="NAZ886" s="208"/>
      <c r="NBA886" s="208"/>
      <c r="NBB886" s="208"/>
      <c r="NBC886" s="208"/>
      <c r="NBD886" s="208"/>
      <c r="NBE886" s="208"/>
      <c r="NBF886" s="208"/>
      <c r="NBG886" s="208"/>
      <c r="NBH886" s="208"/>
      <c r="NBI886" s="208"/>
      <c r="NBJ886" s="208"/>
      <c r="NBK886" s="208"/>
      <c r="NBL886" s="208"/>
      <c r="NBM886" s="208"/>
      <c r="NBN886" s="208"/>
      <c r="NBO886" s="208"/>
      <c r="NBP886" s="208"/>
      <c r="NBQ886" s="208"/>
      <c r="NBR886" s="208"/>
      <c r="NBS886" s="208"/>
      <c r="NBT886" s="208"/>
      <c r="NBU886" s="208"/>
      <c r="NBV886" s="208"/>
      <c r="NBW886" s="208"/>
      <c r="NBX886" s="208"/>
      <c r="NBY886" s="208"/>
      <c r="NBZ886" s="208"/>
      <c r="NCA886" s="208"/>
      <c r="NCB886" s="208"/>
      <c r="NCC886" s="208"/>
      <c r="NCD886" s="208"/>
      <c r="NCE886" s="208"/>
      <c r="NCF886" s="208"/>
      <c r="NCG886" s="208"/>
      <c r="NCH886" s="208"/>
      <c r="NCI886" s="208"/>
      <c r="NCJ886" s="208"/>
      <c r="NCK886" s="208"/>
      <c r="NCL886" s="208"/>
      <c r="NCM886" s="208"/>
      <c r="NCN886" s="208"/>
      <c r="NCO886" s="208"/>
      <c r="NCP886" s="208"/>
      <c r="NCQ886" s="208"/>
      <c r="NCR886" s="208"/>
      <c r="NCS886" s="208"/>
      <c r="NCT886" s="208"/>
      <c r="NCU886" s="208"/>
      <c r="NCV886" s="208"/>
      <c r="NCW886" s="208"/>
      <c r="NCX886" s="208"/>
      <c r="NCY886" s="208"/>
      <c r="NCZ886" s="208"/>
      <c r="NDA886" s="208"/>
      <c r="NDB886" s="208"/>
      <c r="NDC886" s="208"/>
      <c r="NDD886" s="208"/>
      <c r="NDE886" s="208"/>
      <c r="NDF886" s="208"/>
      <c r="NDG886" s="208"/>
      <c r="NDH886" s="208"/>
      <c r="NDI886" s="208"/>
      <c r="NDJ886" s="208"/>
      <c r="NDK886" s="208"/>
      <c r="NDL886" s="208"/>
      <c r="NDM886" s="208"/>
      <c r="NDN886" s="208"/>
      <c r="NDO886" s="208"/>
      <c r="NDP886" s="208"/>
      <c r="NDQ886" s="208"/>
      <c r="NDR886" s="208"/>
      <c r="NDS886" s="208"/>
      <c r="NDT886" s="208"/>
      <c r="NDU886" s="208"/>
      <c r="NDV886" s="208"/>
      <c r="NDW886" s="208"/>
      <c r="NDX886" s="208"/>
      <c r="NDY886" s="208"/>
      <c r="NDZ886" s="208"/>
      <c r="NEA886" s="208"/>
      <c r="NEB886" s="208"/>
      <c r="NEC886" s="208"/>
      <c r="NED886" s="208"/>
      <c r="NEE886" s="208"/>
      <c r="NEF886" s="208"/>
      <c r="NEG886" s="208"/>
      <c r="NEH886" s="208"/>
      <c r="NEI886" s="208"/>
      <c r="NEJ886" s="208"/>
      <c r="NEK886" s="208"/>
      <c r="NEL886" s="208"/>
      <c r="NEM886" s="208"/>
      <c r="NEN886" s="208"/>
      <c r="NEO886" s="208"/>
      <c r="NEP886" s="208"/>
      <c r="NEQ886" s="208"/>
      <c r="NER886" s="208"/>
      <c r="NES886" s="208"/>
      <c r="NET886" s="208"/>
      <c r="NEU886" s="208"/>
      <c r="NEV886" s="208"/>
      <c r="NEW886" s="208"/>
      <c r="NEX886" s="208"/>
      <c r="NEY886" s="208"/>
      <c r="NEZ886" s="208"/>
      <c r="NFA886" s="208"/>
      <c r="NFB886" s="208"/>
      <c r="NFC886" s="208"/>
      <c r="NFD886" s="208"/>
      <c r="NFE886" s="208"/>
      <c r="NFF886" s="208"/>
      <c r="NFG886" s="208"/>
      <c r="NFH886" s="208"/>
      <c r="NFI886" s="208"/>
      <c r="NFJ886" s="208"/>
      <c r="NFK886" s="208"/>
      <c r="NFL886" s="208"/>
      <c r="NFM886" s="208"/>
      <c r="NFN886" s="208"/>
      <c r="NFO886" s="208"/>
      <c r="NFP886" s="208"/>
      <c r="NFQ886" s="208"/>
      <c r="NFR886" s="208"/>
      <c r="NFS886" s="208"/>
      <c r="NFT886" s="208"/>
      <c r="NFU886" s="208"/>
      <c r="NFV886" s="208"/>
      <c r="NFW886" s="208"/>
      <c r="NFX886" s="208"/>
      <c r="NFY886" s="208"/>
      <c r="NFZ886" s="208"/>
      <c r="NGA886" s="208"/>
      <c r="NGB886" s="208"/>
      <c r="NGC886" s="208"/>
      <c r="NGD886" s="208"/>
      <c r="NGE886" s="208"/>
      <c r="NGF886" s="208"/>
      <c r="NGG886" s="208"/>
      <c r="NGH886" s="208"/>
      <c r="NGI886" s="208"/>
      <c r="NGJ886" s="208"/>
      <c r="NGK886" s="208"/>
      <c r="NGL886" s="208"/>
      <c r="NGM886" s="208"/>
      <c r="NGN886" s="208"/>
      <c r="NGO886" s="208"/>
      <c r="NGP886" s="208"/>
      <c r="NGQ886" s="208"/>
      <c r="NGR886" s="208"/>
      <c r="NGS886" s="208"/>
      <c r="NGT886" s="208"/>
      <c r="NGU886" s="208"/>
      <c r="NGV886" s="208"/>
      <c r="NGW886" s="208"/>
      <c r="NGX886" s="208"/>
      <c r="NGY886" s="208"/>
      <c r="NGZ886" s="208"/>
      <c r="NHA886" s="208"/>
      <c r="NHB886" s="208"/>
      <c r="NHC886" s="208"/>
      <c r="NHD886" s="208"/>
      <c r="NHE886" s="208"/>
      <c r="NHF886" s="208"/>
      <c r="NHG886" s="208"/>
      <c r="NHH886" s="208"/>
      <c r="NHI886" s="208"/>
      <c r="NHJ886" s="208"/>
      <c r="NHK886" s="208"/>
      <c r="NHL886" s="208"/>
      <c r="NHM886" s="208"/>
      <c r="NHN886" s="208"/>
      <c r="NHO886" s="208"/>
      <c r="NHP886" s="208"/>
      <c r="NHQ886" s="208"/>
      <c r="NHR886" s="208"/>
      <c r="NHS886" s="208"/>
      <c r="NHT886" s="208"/>
      <c r="NHU886" s="208"/>
      <c r="NHV886" s="208"/>
      <c r="NHW886" s="208"/>
      <c r="NHX886" s="208"/>
      <c r="NHY886" s="208"/>
      <c r="NHZ886" s="208"/>
      <c r="NIA886" s="208"/>
      <c r="NIB886" s="208"/>
      <c r="NIC886" s="208"/>
      <c r="NID886" s="208"/>
      <c r="NIE886" s="208"/>
      <c r="NIF886" s="208"/>
      <c r="NIG886" s="208"/>
      <c r="NIH886" s="208"/>
      <c r="NII886" s="208"/>
      <c r="NIJ886" s="208"/>
      <c r="NIK886" s="208"/>
      <c r="NIL886" s="208"/>
      <c r="NIM886" s="208"/>
      <c r="NIN886" s="208"/>
      <c r="NIO886" s="208"/>
      <c r="NIP886" s="208"/>
      <c r="NIQ886" s="208"/>
      <c r="NIR886" s="208"/>
      <c r="NIS886" s="208"/>
      <c r="NIT886" s="208"/>
      <c r="NIU886" s="208"/>
      <c r="NIV886" s="208"/>
      <c r="NIW886" s="208"/>
      <c r="NIX886" s="208"/>
      <c r="NIY886" s="208"/>
      <c r="NIZ886" s="208"/>
      <c r="NJA886" s="208"/>
      <c r="NJB886" s="208"/>
      <c r="NJC886" s="208"/>
      <c r="NJD886" s="208"/>
      <c r="NJE886" s="208"/>
      <c r="NJF886" s="208"/>
      <c r="NJG886" s="208"/>
      <c r="NJH886" s="208"/>
      <c r="NJI886" s="208"/>
      <c r="NJJ886" s="208"/>
      <c r="NJK886" s="208"/>
      <c r="NJL886" s="208"/>
      <c r="NJM886" s="208"/>
      <c r="NJN886" s="208"/>
      <c r="NJO886" s="208"/>
      <c r="NJP886" s="208"/>
      <c r="NJQ886" s="208"/>
      <c r="NJR886" s="208"/>
      <c r="NJS886" s="208"/>
      <c r="NJT886" s="208"/>
      <c r="NJU886" s="208"/>
      <c r="NJV886" s="208"/>
      <c r="NJW886" s="208"/>
      <c r="NJX886" s="208"/>
      <c r="NJY886" s="208"/>
      <c r="NJZ886" s="208"/>
      <c r="NKA886" s="208"/>
      <c r="NKB886" s="208"/>
      <c r="NKC886" s="208"/>
      <c r="NKD886" s="208"/>
      <c r="NKE886" s="208"/>
      <c r="NKF886" s="208"/>
      <c r="NKG886" s="208"/>
      <c r="NKH886" s="208"/>
      <c r="NKI886" s="208"/>
      <c r="NKJ886" s="208"/>
      <c r="NKK886" s="208"/>
      <c r="NKL886" s="208"/>
      <c r="NKM886" s="208"/>
      <c r="NKN886" s="208"/>
      <c r="NKO886" s="208"/>
      <c r="NKP886" s="208"/>
      <c r="NKQ886" s="208"/>
      <c r="NKR886" s="208"/>
      <c r="NKS886" s="208"/>
      <c r="NKT886" s="208"/>
      <c r="NKU886" s="208"/>
      <c r="NKV886" s="208"/>
      <c r="NKW886" s="208"/>
      <c r="NKX886" s="208"/>
      <c r="NKY886" s="208"/>
      <c r="NKZ886" s="208"/>
      <c r="NLA886" s="208"/>
      <c r="NLB886" s="208"/>
      <c r="NLC886" s="208"/>
      <c r="NLD886" s="208"/>
      <c r="NLE886" s="208"/>
      <c r="NLF886" s="208"/>
      <c r="NLG886" s="208"/>
      <c r="NLH886" s="208"/>
      <c r="NLI886" s="208"/>
      <c r="NLJ886" s="208"/>
      <c r="NLK886" s="208"/>
      <c r="NLL886" s="208"/>
      <c r="NLM886" s="208"/>
      <c r="NLN886" s="208"/>
      <c r="NLO886" s="208"/>
      <c r="NLP886" s="208"/>
      <c r="NLQ886" s="208"/>
      <c r="NLR886" s="208"/>
      <c r="NLS886" s="208"/>
      <c r="NLT886" s="208"/>
      <c r="NLU886" s="208"/>
      <c r="NLV886" s="208"/>
      <c r="NLW886" s="208"/>
      <c r="NLX886" s="208"/>
      <c r="NLY886" s="208"/>
      <c r="NLZ886" s="208"/>
      <c r="NMA886" s="208"/>
      <c r="NMB886" s="208"/>
      <c r="NMC886" s="208"/>
      <c r="NMD886" s="208"/>
      <c r="NME886" s="208"/>
      <c r="NMF886" s="208"/>
      <c r="NMG886" s="208"/>
      <c r="NMH886" s="208"/>
      <c r="NMI886" s="208"/>
      <c r="NMJ886" s="208"/>
      <c r="NMK886" s="208"/>
      <c r="NML886" s="208"/>
      <c r="NMM886" s="208"/>
      <c r="NMN886" s="208"/>
      <c r="NMO886" s="208"/>
      <c r="NMP886" s="208"/>
      <c r="NMQ886" s="208"/>
      <c r="NMR886" s="208"/>
      <c r="NMS886" s="208"/>
      <c r="NMT886" s="208"/>
      <c r="NMU886" s="208"/>
      <c r="NMV886" s="208"/>
      <c r="NMW886" s="208"/>
      <c r="NMX886" s="208"/>
      <c r="NMY886" s="208"/>
      <c r="NMZ886" s="208"/>
      <c r="NNA886" s="208"/>
      <c r="NNB886" s="208"/>
      <c r="NNC886" s="208"/>
      <c r="NND886" s="208"/>
      <c r="NNE886" s="208"/>
      <c r="NNF886" s="208"/>
      <c r="NNG886" s="208"/>
      <c r="NNH886" s="208"/>
      <c r="NNI886" s="208"/>
      <c r="NNJ886" s="208"/>
      <c r="NNK886" s="208"/>
      <c r="NNL886" s="208"/>
      <c r="NNM886" s="208"/>
      <c r="NNN886" s="208"/>
      <c r="NNO886" s="208"/>
      <c r="NNP886" s="208"/>
      <c r="NNQ886" s="208"/>
      <c r="NNR886" s="208"/>
      <c r="NNS886" s="208"/>
      <c r="NNT886" s="208"/>
      <c r="NNU886" s="208"/>
      <c r="NNV886" s="208"/>
      <c r="NNW886" s="208"/>
      <c r="NNX886" s="208"/>
      <c r="NNY886" s="208"/>
      <c r="NNZ886" s="208"/>
      <c r="NOA886" s="208"/>
      <c r="NOB886" s="208"/>
      <c r="NOC886" s="208"/>
      <c r="NOD886" s="208"/>
      <c r="NOE886" s="208"/>
      <c r="NOF886" s="208"/>
      <c r="NOG886" s="208"/>
      <c r="NOH886" s="208"/>
      <c r="NOI886" s="208"/>
      <c r="NOJ886" s="208"/>
      <c r="NOK886" s="208"/>
      <c r="NOL886" s="208"/>
      <c r="NOM886" s="208"/>
      <c r="NON886" s="208"/>
      <c r="NOO886" s="208"/>
      <c r="NOP886" s="208"/>
      <c r="NOQ886" s="208"/>
      <c r="NOR886" s="208"/>
      <c r="NOS886" s="208"/>
      <c r="NOT886" s="208"/>
      <c r="NOU886" s="208"/>
      <c r="NOV886" s="208"/>
      <c r="NOW886" s="208"/>
      <c r="NOX886" s="208"/>
      <c r="NOY886" s="208"/>
      <c r="NOZ886" s="208"/>
      <c r="NPA886" s="208"/>
      <c r="NPB886" s="208"/>
      <c r="NPC886" s="208"/>
      <c r="NPD886" s="208"/>
      <c r="NPE886" s="208"/>
      <c r="NPF886" s="208"/>
      <c r="NPG886" s="208"/>
      <c r="NPH886" s="208"/>
      <c r="NPI886" s="208"/>
      <c r="NPJ886" s="208"/>
      <c r="NPK886" s="208"/>
      <c r="NPL886" s="208"/>
      <c r="NPM886" s="208"/>
      <c r="NPN886" s="208"/>
      <c r="NPO886" s="208"/>
      <c r="NPP886" s="208"/>
      <c r="NPQ886" s="208"/>
      <c r="NPR886" s="208"/>
      <c r="NPS886" s="208"/>
      <c r="NPT886" s="208"/>
      <c r="NPU886" s="208"/>
      <c r="NPV886" s="208"/>
      <c r="NPW886" s="208"/>
      <c r="NPX886" s="208"/>
      <c r="NPY886" s="208"/>
      <c r="NPZ886" s="208"/>
      <c r="NQA886" s="208"/>
      <c r="NQB886" s="208"/>
      <c r="NQC886" s="208"/>
      <c r="NQD886" s="208"/>
      <c r="NQE886" s="208"/>
      <c r="NQF886" s="208"/>
      <c r="NQG886" s="208"/>
      <c r="NQH886" s="208"/>
      <c r="NQI886" s="208"/>
      <c r="NQJ886" s="208"/>
      <c r="NQK886" s="208"/>
      <c r="NQL886" s="208"/>
      <c r="NQM886" s="208"/>
      <c r="NQN886" s="208"/>
      <c r="NQO886" s="208"/>
      <c r="NQP886" s="208"/>
      <c r="NQQ886" s="208"/>
      <c r="NQR886" s="208"/>
      <c r="NQS886" s="208"/>
      <c r="NQT886" s="208"/>
      <c r="NQU886" s="208"/>
      <c r="NQV886" s="208"/>
      <c r="NQW886" s="208"/>
      <c r="NQX886" s="208"/>
      <c r="NQY886" s="208"/>
      <c r="NQZ886" s="208"/>
      <c r="NRA886" s="208"/>
      <c r="NRB886" s="208"/>
      <c r="NRC886" s="208"/>
      <c r="NRD886" s="208"/>
      <c r="NRE886" s="208"/>
      <c r="NRF886" s="208"/>
      <c r="NRG886" s="208"/>
      <c r="NRH886" s="208"/>
      <c r="NRI886" s="208"/>
      <c r="NRJ886" s="208"/>
      <c r="NRK886" s="208"/>
      <c r="NRL886" s="208"/>
      <c r="NRM886" s="208"/>
      <c r="NRN886" s="208"/>
      <c r="NRO886" s="208"/>
      <c r="NRP886" s="208"/>
      <c r="NRQ886" s="208"/>
      <c r="NRR886" s="208"/>
      <c r="NRS886" s="208"/>
      <c r="NRT886" s="208"/>
      <c r="NRU886" s="208"/>
      <c r="NRV886" s="208"/>
      <c r="NRW886" s="208"/>
      <c r="NRX886" s="208"/>
      <c r="NRY886" s="208"/>
      <c r="NRZ886" s="208"/>
      <c r="NSA886" s="208"/>
      <c r="NSB886" s="208"/>
      <c r="NSC886" s="208"/>
      <c r="NSD886" s="208"/>
      <c r="NSE886" s="208"/>
      <c r="NSF886" s="208"/>
      <c r="NSG886" s="208"/>
      <c r="NSH886" s="208"/>
      <c r="NSI886" s="208"/>
      <c r="NSJ886" s="208"/>
      <c r="NSK886" s="208"/>
      <c r="NSL886" s="208"/>
      <c r="NSM886" s="208"/>
      <c r="NSN886" s="208"/>
      <c r="NSO886" s="208"/>
      <c r="NSP886" s="208"/>
      <c r="NSQ886" s="208"/>
      <c r="NSR886" s="208"/>
      <c r="NSS886" s="208"/>
      <c r="NST886" s="208"/>
      <c r="NSU886" s="208"/>
      <c r="NSV886" s="208"/>
      <c r="NSW886" s="208"/>
      <c r="NSX886" s="208"/>
      <c r="NSY886" s="208"/>
      <c r="NSZ886" s="208"/>
      <c r="NTA886" s="208"/>
      <c r="NTB886" s="208"/>
      <c r="NTC886" s="208"/>
      <c r="NTD886" s="208"/>
      <c r="NTE886" s="208"/>
      <c r="NTF886" s="208"/>
      <c r="NTG886" s="208"/>
      <c r="NTH886" s="208"/>
      <c r="NTI886" s="208"/>
      <c r="NTJ886" s="208"/>
      <c r="NTK886" s="208"/>
      <c r="NTL886" s="208"/>
      <c r="NTM886" s="208"/>
      <c r="NTN886" s="208"/>
      <c r="NTO886" s="208"/>
      <c r="NTP886" s="208"/>
      <c r="NTQ886" s="208"/>
      <c r="NTR886" s="208"/>
      <c r="NTS886" s="208"/>
      <c r="NTT886" s="208"/>
      <c r="NTU886" s="208"/>
      <c r="NTV886" s="208"/>
      <c r="NTW886" s="208"/>
      <c r="NTX886" s="208"/>
      <c r="NTY886" s="208"/>
      <c r="NTZ886" s="208"/>
      <c r="NUA886" s="208"/>
      <c r="NUB886" s="208"/>
      <c r="NUC886" s="208"/>
      <c r="NUD886" s="208"/>
      <c r="NUE886" s="208"/>
      <c r="NUF886" s="208"/>
      <c r="NUG886" s="208"/>
      <c r="NUH886" s="208"/>
      <c r="NUI886" s="208"/>
      <c r="NUJ886" s="208"/>
      <c r="NUK886" s="208"/>
      <c r="NUL886" s="208"/>
      <c r="NUM886" s="208"/>
      <c r="NUN886" s="208"/>
      <c r="NUO886" s="208"/>
      <c r="NUP886" s="208"/>
      <c r="NUQ886" s="208"/>
      <c r="NUR886" s="208"/>
      <c r="NUS886" s="208"/>
      <c r="NUT886" s="208"/>
      <c r="NUU886" s="208"/>
      <c r="NUV886" s="208"/>
      <c r="NUW886" s="208"/>
      <c r="NUX886" s="208"/>
      <c r="NUY886" s="208"/>
      <c r="NUZ886" s="208"/>
      <c r="NVA886" s="208"/>
      <c r="NVB886" s="208"/>
      <c r="NVC886" s="208"/>
      <c r="NVD886" s="208"/>
      <c r="NVE886" s="208"/>
      <c r="NVF886" s="208"/>
      <c r="NVG886" s="208"/>
      <c r="NVH886" s="208"/>
      <c r="NVI886" s="208"/>
      <c r="NVJ886" s="208"/>
      <c r="NVK886" s="208"/>
      <c r="NVL886" s="208"/>
      <c r="NVM886" s="208"/>
      <c r="NVN886" s="208"/>
      <c r="NVO886" s="208"/>
      <c r="NVP886" s="208"/>
      <c r="NVQ886" s="208"/>
      <c r="NVR886" s="208"/>
      <c r="NVS886" s="208"/>
      <c r="NVT886" s="208"/>
      <c r="NVU886" s="208"/>
      <c r="NVV886" s="208"/>
      <c r="NVW886" s="208"/>
      <c r="NVX886" s="208"/>
      <c r="NVY886" s="208"/>
      <c r="NVZ886" s="208"/>
      <c r="NWA886" s="208"/>
      <c r="NWB886" s="208"/>
      <c r="NWC886" s="208"/>
      <c r="NWD886" s="208"/>
      <c r="NWE886" s="208"/>
      <c r="NWF886" s="208"/>
      <c r="NWG886" s="208"/>
      <c r="NWH886" s="208"/>
      <c r="NWI886" s="208"/>
      <c r="NWJ886" s="208"/>
      <c r="NWK886" s="208"/>
      <c r="NWL886" s="208"/>
      <c r="NWM886" s="208"/>
      <c r="NWN886" s="208"/>
      <c r="NWO886" s="208"/>
      <c r="NWP886" s="208"/>
      <c r="NWQ886" s="208"/>
      <c r="NWR886" s="208"/>
      <c r="NWS886" s="208"/>
      <c r="NWT886" s="208"/>
      <c r="NWU886" s="208"/>
      <c r="NWV886" s="208"/>
      <c r="NWW886" s="208"/>
      <c r="NWX886" s="208"/>
      <c r="NWY886" s="208"/>
      <c r="NWZ886" s="208"/>
      <c r="NXA886" s="208"/>
      <c r="NXB886" s="208"/>
      <c r="NXC886" s="208"/>
      <c r="NXD886" s="208"/>
      <c r="NXE886" s="208"/>
      <c r="NXF886" s="208"/>
      <c r="NXG886" s="208"/>
      <c r="NXH886" s="208"/>
      <c r="NXI886" s="208"/>
      <c r="NXJ886" s="208"/>
      <c r="NXK886" s="208"/>
      <c r="NXL886" s="208"/>
      <c r="NXM886" s="208"/>
      <c r="NXN886" s="208"/>
      <c r="NXO886" s="208"/>
      <c r="NXP886" s="208"/>
      <c r="NXQ886" s="208"/>
      <c r="NXR886" s="208"/>
      <c r="NXS886" s="208"/>
      <c r="NXT886" s="208"/>
      <c r="NXU886" s="208"/>
      <c r="NXV886" s="208"/>
      <c r="NXW886" s="208"/>
      <c r="NXX886" s="208"/>
      <c r="NXY886" s="208"/>
      <c r="NXZ886" s="208"/>
      <c r="NYA886" s="208"/>
      <c r="NYB886" s="208"/>
      <c r="NYC886" s="208"/>
      <c r="NYD886" s="208"/>
      <c r="NYE886" s="208"/>
      <c r="NYF886" s="208"/>
      <c r="NYG886" s="208"/>
      <c r="NYH886" s="208"/>
      <c r="NYI886" s="208"/>
      <c r="NYJ886" s="208"/>
      <c r="NYK886" s="208"/>
      <c r="NYL886" s="208"/>
      <c r="NYM886" s="208"/>
      <c r="NYN886" s="208"/>
      <c r="NYO886" s="208"/>
      <c r="NYP886" s="208"/>
      <c r="NYQ886" s="208"/>
      <c r="NYR886" s="208"/>
      <c r="NYS886" s="208"/>
      <c r="NYT886" s="208"/>
      <c r="NYU886" s="208"/>
      <c r="NYV886" s="208"/>
      <c r="NYW886" s="208"/>
      <c r="NYX886" s="208"/>
      <c r="NYY886" s="208"/>
      <c r="NYZ886" s="208"/>
      <c r="NZA886" s="208"/>
      <c r="NZB886" s="208"/>
      <c r="NZC886" s="208"/>
      <c r="NZD886" s="208"/>
      <c r="NZE886" s="208"/>
      <c r="NZF886" s="208"/>
      <c r="NZG886" s="208"/>
      <c r="NZH886" s="208"/>
      <c r="NZI886" s="208"/>
      <c r="NZJ886" s="208"/>
      <c r="NZK886" s="208"/>
      <c r="NZL886" s="208"/>
      <c r="NZM886" s="208"/>
      <c r="NZN886" s="208"/>
      <c r="NZO886" s="208"/>
      <c r="NZP886" s="208"/>
      <c r="NZQ886" s="208"/>
      <c r="NZR886" s="208"/>
      <c r="NZS886" s="208"/>
      <c r="NZT886" s="208"/>
      <c r="NZU886" s="208"/>
      <c r="NZV886" s="208"/>
      <c r="NZW886" s="208"/>
      <c r="NZX886" s="208"/>
      <c r="NZY886" s="208"/>
      <c r="NZZ886" s="208"/>
      <c r="OAA886" s="208"/>
      <c r="OAB886" s="208"/>
      <c r="OAC886" s="208"/>
      <c r="OAD886" s="208"/>
      <c r="OAE886" s="208"/>
      <c r="OAF886" s="208"/>
      <c r="OAG886" s="208"/>
      <c r="OAH886" s="208"/>
      <c r="OAI886" s="208"/>
      <c r="OAJ886" s="208"/>
      <c r="OAK886" s="208"/>
      <c r="OAL886" s="208"/>
      <c r="OAM886" s="208"/>
      <c r="OAN886" s="208"/>
      <c r="OAO886" s="208"/>
      <c r="OAP886" s="208"/>
      <c r="OAQ886" s="208"/>
      <c r="OAR886" s="208"/>
      <c r="OAS886" s="208"/>
      <c r="OAT886" s="208"/>
      <c r="OAU886" s="208"/>
      <c r="OAV886" s="208"/>
      <c r="OAW886" s="208"/>
      <c r="OAX886" s="208"/>
      <c r="OAY886" s="208"/>
      <c r="OAZ886" s="208"/>
      <c r="OBA886" s="208"/>
      <c r="OBB886" s="208"/>
      <c r="OBC886" s="208"/>
      <c r="OBD886" s="208"/>
      <c r="OBE886" s="208"/>
      <c r="OBF886" s="208"/>
      <c r="OBG886" s="208"/>
      <c r="OBH886" s="208"/>
      <c r="OBI886" s="208"/>
      <c r="OBJ886" s="208"/>
      <c r="OBK886" s="208"/>
      <c r="OBL886" s="208"/>
      <c r="OBM886" s="208"/>
      <c r="OBN886" s="208"/>
      <c r="OBO886" s="208"/>
      <c r="OBP886" s="208"/>
      <c r="OBQ886" s="208"/>
      <c r="OBR886" s="208"/>
      <c r="OBS886" s="208"/>
      <c r="OBT886" s="208"/>
      <c r="OBU886" s="208"/>
      <c r="OBV886" s="208"/>
      <c r="OBW886" s="208"/>
      <c r="OBX886" s="208"/>
      <c r="OBY886" s="208"/>
      <c r="OBZ886" s="208"/>
      <c r="OCA886" s="208"/>
      <c r="OCB886" s="208"/>
      <c r="OCC886" s="208"/>
      <c r="OCD886" s="208"/>
      <c r="OCE886" s="208"/>
      <c r="OCF886" s="208"/>
      <c r="OCG886" s="208"/>
      <c r="OCH886" s="208"/>
      <c r="OCI886" s="208"/>
      <c r="OCJ886" s="208"/>
      <c r="OCK886" s="208"/>
      <c r="OCL886" s="208"/>
      <c r="OCM886" s="208"/>
      <c r="OCN886" s="208"/>
      <c r="OCO886" s="208"/>
      <c r="OCP886" s="208"/>
      <c r="OCQ886" s="208"/>
      <c r="OCR886" s="208"/>
      <c r="OCS886" s="208"/>
      <c r="OCT886" s="208"/>
      <c r="OCU886" s="208"/>
      <c r="OCV886" s="208"/>
      <c r="OCW886" s="208"/>
      <c r="OCX886" s="208"/>
      <c r="OCY886" s="208"/>
      <c r="OCZ886" s="208"/>
      <c r="ODA886" s="208"/>
      <c r="ODB886" s="208"/>
      <c r="ODC886" s="208"/>
      <c r="ODD886" s="208"/>
      <c r="ODE886" s="208"/>
      <c r="ODF886" s="208"/>
      <c r="ODG886" s="208"/>
      <c r="ODH886" s="208"/>
      <c r="ODI886" s="208"/>
      <c r="ODJ886" s="208"/>
      <c r="ODK886" s="208"/>
      <c r="ODL886" s="208"/>
      <c r="ODM886" s="208"/>
      <c r="ODN886" s="208"/>
      <c r="ODO886" s="208"/>
      <c r="ODP886" s="208"/>
      <c r="ODQ886" s="208"/>
      <c r="ODR886" s="208"/>
      <c r="ODS886" s="208"/>
      <c r="ODT886" s="208"/>
      <c r="ODU886" s="208"/>
      <c r="ODV886" s="208"/>
      <c r="ODW886" s="208"/>
      <c r="ODX886" s="208"/>
      <c r="ODY886" s="208"/>
      <c r="ODZ886" s="208"/>
      <c r="OEA886" s="208"/>
      <c r="OEB886" s="208"/>
      <c r="OEC886" s="208"/>
      <c r="OED886" s="208"/>
      <c r="OEE886" s="208"/>
      <c r="OEF886" s="208"/>
      <c r="OEG886" s="208"/>
      <c r="OEH886" s="208"/>
      <c r="OEI886" s="208"/>
      <c r="OEJ886" s="208"/>
      <c r="OEK886" s="208"/>
      <c r="OEL886" s="208"/>
      <c r="OEM886" s="208"/>
      <c r="OEN886" s="208"/>
      <c r="OEO886" s="208"/>
      <c r="OEP886" s="208"/>
      <c r="OEQ886" s="208"/>
      <c r="OER886" s="208"/>
      <c r="OES886" s="208"/>
      <c r="OET886" s="208"/>
      <c r="OEU886" s="208"/>
      <c r="OEV886" s="208"/>
      <c r="OEW886" s="208"/>
      <c r="OEX886" s="208"/>
      <c r="OEY886" s="208"/>
      <c r="OEZ886" s="208"/>
      <c r="OFA886" s="208"/>
      <c r="OFB886" s="208"/>
      <c r="OFC886" s="208"/>
      <c r="OFD886" s="208"/>
      <c r="OFE886" s="208"/>
      <c r="OFF886" s="208"/>
      <c r="OFG886" s="208"/>
      <c r="OFH886" s="208"/>
      <c r="OFI886" s="208"/>
      <c r="OFJ886" s="208"/>
      <c r="OFK886" s="208"/>
      <c r="OFL886" s="208"/>
      <c r="OFM886" s="208"/>
      <c r="OFN886" s="208"/>
      <c r="OFO886" s="208"/>
      <c r="OFP886" s="208"/>
      <c r="OFQ886" s="208"/>
      <c r="OFR886" s="208"/>
      <c r="OFS886" s="208"/>
      <c r="OFT886" s="208"/>
      <c r="OFU886" s="208"/>
      <c r="OFV886" s="208"/>
      <c r="OFW886" s="208"/>
      <c r="OFX886" s="208"/>
      <c r="OFY886" s="208"/>
      <c r="OFZ886" s="208"/>
      <c r="OGA886" s="208"/>
      <c r="OGB886" s="208"/>
      <c r="OGC886" s="208"/>
      <c r="OGD886" s="208"/>
      <c r="OGE886" s="208"/>
      <c r="OGF886" s="208"/>
      <c r="OGG886" s="208"/>
      <c r="OGH886" s="208"/>
      <c r="OGI886" s="208"/>
      <c r="OGJ886" s="208"/>
      <c r="OGK886" s="208"/>
      <c r="OGL886" s="208"/>
      <c r="OGM886" s="208"/>
      <c r="OGN886" s="208"/>
      <c r="OGO886" s="208"/>
      <c r="OGP886" s="208"/>
      <c r="OGQ886" s="208"/>
      <c r="OGR886" s="208"/>
      <c r="OGS886" s="208"/>
      <c r="OGT886" s="208"/>
      <c r="OGU886" s="208"/>
      <c r="OGV886" s="208"/>
      <c r="OGW886" s="208"/>
      <c r="OGX886" s="208"/>
      <c r="OGY886" s="208"/>
      <c r="OGZ886" s="208"/>
      <c r="OHA886" s="208"/>
      <c r="OHB886" s="208"/>
      <c r="OHC886" s="208"/>
      <c r="OHD886" s="208"/>
      <c r="OHE886" s="208"/>
      <c r="OHF886" s="208"/>
      <c r="OHG886" s="208"/>
      <c r="OHH886" s="208"/>
      <c r="OHI886" s="208"/>
      <c r="OHJ886" s="208"/>
      <c r="OHK886" s="208"/>
      <c r="OHL886" s="208"/>
      <c r="OHM886" s="208"/>
      <c r="OHN886" s="208"/>
      <c r="OHO886" s="208"/>
      <c r="OHP886" s="208"/>
      <c r="OHQ886" s="208"/>
      <c r="OHR886" s="208"/>
      <c r="OHS886" s="208"/>
      <c r="OHT886" s="208"/>
      <c r="OHU886" s="208"/>
      <c r="OHV886" s="208"/>
      <c r="OHW886" s="208"/>
      <c r="OHX886" s="208"/>
      <c r="OHY886" s="208"/>
      <c r="OHZ886" s="208"/>
      <c r="OIA886" s="208"/>
      <c r="OIB886" s="208"/>
      <c r="OIC886" s="208"/>
      <c r="OID886" s="208"/>
      <c r="OIE886" s="208"/>
      <c r="OIF886" s="208"/>
      <c r="OIG886" s="208"/>
      <c r="OIH886" s="208"/>
      <c r="OII886" s="208"/>
      <c r="OIJ886" s="208"/>
      <c r="OIK886" s="208"/>
      <c r="OIL886" s="208"/>
      <c r="OIM886" s="208"/>
      <c r="OIN886" s="208"/>
      <c r="OIO886" s="208"/>
      <c r="OIP886" s="208"/>
      <c r="OIQ886" s="208"/>
      <c r="OIR886" s="208"/>
      <c r="OIS886" s="208"/>
      <c r="OIT886" s="208"/>
      <c r="OIU886" s="208"/>
      <c r="OIV886" s="208"/>
      <c r="OIW886" s="208"/>
      <c r="OIX886" s="208"/>
      <c r="OIY886" s="208"/>
      <c r="OIZ886" s="208"/>
      <c r="OJA886" s="208"/>
      <c r="OJB886" s="208"/>
      <c r="OJC886" s="208"/>
      <c r="OJD886" s="208"/>
      <c r="OJE886" s="208"/>
      <c r="OJF886" s="208"/>
      <c r="OJG886" s="208"/>
      <c r="OJH886" s="208"/>
      <c r="OJI886" s="208"/>
      <c r="OJJ886" s="208"/>
      <c r="OJK886" s="208"/>
      <c r="OJL886" s="208"/>
      <c r="OJM886" s="208"/>
      <c r="OJN886" s="208"/>
      <c r="OJO886" s="208"/>
      <c r="OJP886" s="208"/>
      <c r="OJQ886" s="208"/>
      <c r="OJR886" s="208"/>
      <c r="OJS886" s="208"/>
      <c r="OJT886" s="208"/>
      <c r="OJU886" s="208"/>
      <c r="OJV886" s="208"/>
      <c r="OJW886" s="208"/>
      <c r="OJX886" s="208"/>
      <c r="OJY886" s="208"/>
      <c r="OJZ886" s="208"/>
      <c r="OKA886" s="208"/>
      <c r="OKB886" s="208"/>
      <c r="OKC886" s="208"/>
      <c r="OKD886" s="208"/>
      <c r="OKE886" s="208"/>
      <c r="OKF886" s="208"/>
      <c r="OKG886" s="208"/>
      <c r="OKH886" s="208"/>
      <c r="OKI886" s="208"/>
      <c r="OKJ886" s="208"/>
      <c r="OKK886" s="208"/>
      <c r="OKL886" s="208"/>
      <c r="OKM886" s="208"/>
      <c r="OKN886" s="208"/>
      <c r="OKO886" s="208"/>
      <c r="OKP886" s="208"/>
      <c r="OKQ886" s="208"/>
      <c r="OKR886" s="208"/>
      <c r="OKS886" s="208"/>
      <c r="OKT886" s="208"/>
      <c r="OKU886" s="208"/>
      <c r="OKV886" s="208"/>
      <c r="OKW886" s="208"/>
      <c r="OKX886" s="208"/>
      <c r="OKY886" s="208"/>
      <c r="OKZ886" s="208"/>
      <c r="OLA886" s="208"/>
      <c r="OLB886" s="208"/>
      <c r="OLC886" s="208"/>
      <c r="OLD886" s="208"/>
      <c r="OLE886" s="208"/>
      <c r="OLF886" s="208"/>
      <c r="OLG886" s="208"/>
      <c r="OLH886" s="208"/>
      <c r="OLI886" s="208"/>
      <c r="OLJ886" s="208"/>
      <c r="OLK886" s="208"/>
      <c r="OLL886" s="208"/>
      <c r="OLM886" s="208"/>
      <c r="OLN886" s="208"/>
      <c r="OLO886" s="208"/>
      <c r="OLP886" s="208"/>
      <c r="OLQ886" s="208"/>
      <c r="OLR886" s="208"/>
      <c r="OLS886" s="208"/>
      <c r="OLT886" s="208"/>
      <c r="OLU886" s="208"/>
      <c r="OLV886" s="208"/>
      <c r="OLW886" s="208"/>
      <c r="OLX886" s="208"/>
      <c r="OLY886" s="208"/>
      <c r="OLZ886" s="208"/>
      <c r="OMA886" s="208"/>
      <c r="OMB886" s="208"/>
      <c r="OMC886" s="208"/>
      <c r="OMD886" s="208"/>
      <c r="OME886" s="208"/>
      <c r="OMF886" s="208"/>
      <c r="OMG886" s="208"/>
      <c r="OMH886" s="208"/>
      <c r="OMI886" s="208"/>
      <c r="OMJ886" s="208"/>
      <c r="OMK886" s="208"/>
      <c r="OML886" s="208"/>
      <c r="OMM886" s="208"/>
      <c r="OMN886" s="208"/>
      <c r="OMO886" s="208"/>
      <c r="OMP886" s="208"/>
      <c r="OMQ886" s="208"/>
      <c r="OMR886" s="208"/>
      <c r="OMS886" s="208"/>
      <c r="OMT886" s="208"/>
      <c r="OMU886" s="208"/>
      <c r="OMV886" s="208"/>
      <c r="OMW886" s="208"/>
      <c r="OMX886" s="208"/>
      <c r="OMY886" s="208"/>
      <c r="OMZ886" s="208"/>
      <c r="ONA886" s="208"/>
      <c r="ONB886" s="208"/>
      <c r="ONC886" s="208"/>
      <c r="OND886" s="208"/>
      <c r="ONE886" s="208"/>
      <c r="ONF886" s="208"/>
      <c r="ONG886" s="208"/>
      <c r="ONH886" s="208"/>
      <c r="ONI886" s="208"/>
      <c r="ONJ886" s="208"/>
      <c r="ONK886" s="208"/>
      <c r="ONL886" s="208"/>
      <c r="ONM886" s="208"/>
      <c r="ONN886" s="208"/>
      <c r="ONO886" s="208"/>
      <c r="ONP886" s="208"/>
      <c r="ONQ886" s="208"/>
      <c r="ONR886" s="208"/>
      <c r="ONS886" s="208"/>
      <c r="ONT886" s="208"/>
      <c r="ONU886" s="208"/>
      <c r="ONV886" s="208"/>
      <c r="ONW886" s="208"/>
      <c r="ONX886" s="208"/>
      <c r="ONY886" s="208"/>
      <c r="ONZ886" s="208"/>
      <c r="OOA886" s="208"/>
      <c r="OOB886" s="208"/>
      <c r="OOC886" s="208"/>
      <c r="OOD886" s="208"/>
      <c r="OOE886" s="208"/>
      <c r="OOF886" s="208"/>
      <c r="OOG886" s="208"/>
      <c r="OOH886" s="208"/>
      <c r="OOI886" s="208"/>
      <c r="OOJ886" s="208"/>
      <c r="OOK886" s="208"/>
      <c r="OOL886" s="208"/>
      <c r="OOM886" s="208"/>
      <c r="OON886" s="208"/>
      <c r="OOO886" s="208"/>
      <c r="OOP886" s="208"/>
      <c r="OOQ886" s="208"/>
      <c r="OOR886" s="208"/>
      <c r="OOS886" s="208"/>
      <c r="OOT886" s="208"/>
      <c r="OOU886" s="208"/>
      <c r="OOV886" s="208"/>
      <c r="OOW886" s="208"/>
      <c r="OOX886" s="208"/>
      <c r="OOY886" s="208"/>
      <c r="OOZ886" s="208"/>
      <c r="OPA886" s="208"/>
      <c r="OPB886" s="208"/>
      <c r="OPC886" s="208"/>
      <c r="OPD886" s="208"/>
      <c r="OPE886" s="208"/>
      <c r="OPF886" s="208"/>
      <c r="OPG886" s="208"/>
      <c r="OPH886" s="208"/>
      <c r="OPI886" s="208"/>
      <c r="OPJ886" s="208"/>
      <c r="OPK886" s="208"/>
      <c r="OPL886" s="208"/>
      <c r="OPM886" s="208"/>
      <c r="OPN886" s="208"/>
      <c r="OPO886" s="208"/>
      <c r="OPP886" s="208"/>
      <c r="OPQ886" s="208"/>
      <c r="OPR886" s="208"/>
      <c r="OPS886" s="208"/>
      <c r="OPT886" s="208"/>
      <c r="OPU886" s="208"/>
      <c r="OPV886" s="208"/>
      <c r="OPW886" s="208"/>
      <c r="OPX886" s="208"/>
      <c r="OPY886" s="208"/>
      <c r="OPZ886" s="208"/>
      <c r="OQA886" s="208"/>
      <c r="OQB886" s="208"/>
      <c r="OQC886" s="208"/>
      <c r="OQD886" s="208"/>
      <c r="OQE886" s="208"/>
      <c r="OQF886" s="208"/>
      <c r="OQG886" s="208"/>
      <c r="OQH886" s="208"/>
      <c r="OQI886" s="208"/>
      <c r="OQJ886" s="208"/>
      <c r="OQK886" s="208"/>
      <c r="OQL886" s="208"/>
      <c r="OQM886" s="208"/>
      <c r="OQN886" s="208"/>
      <c r="OQO886" s="208"/>
      <c r="OQP886" s="208"/>
      <c r="OQQ886" s="208"/>
      <c r="OQR886" s="208"/>
      <c r="OQS886" s="208"/>
      <c r="OQT886" s="208"/>
      <c r="OQU886" s="208"/>
      <c r="OQV886" s="208"/>
      <c r="OQW886" s="208"/>
      <c r="OQX886" s="208"/>
      <c r="OQY886" s="208"/>
      <c r="OQZ886" s="208"/>
      <c r="ORA886" s="208"/>
      <c r="ORB886" s="208"/>
      <c r="ORC886" s="208"/>
      <c r="ORD886" s="208"/>
      <c r="ORE886" s="208"/>
      <c r="ORF886" s="208"/>
      <c r="ORG886" s="208"/>
      <c r="ORH886" s="208"/>
      <c r="ORI886" s="208"/>
      <c r="ORJ886" s="208"/>
      <c r="ORK886" s="208"/>
      <c r="ORL886" s="208"/>
      <c r="ORM886" s="208"/>
      <c r="ORN886" s="208"/>
      <c r="ORO886" s="208"/>
      <c r="ORP886" s="208"/>
      <c r="ORQ886" s="208"/>
      <c r="ORR886" s="208"/>
      <c r="ORS886" s="208"/>
      <c r="ORT886" s="208"/>
      <c r="ORU886" s="208"/>
      <c r="ORV886" s="208"/>
      <c r="ORW886" s="208"/>
      <c r="ORX886" s="208"/>
      <c r="ORY886" s="208"/>
      <c r="ORZ886" s="208"/>
      <c r="OSA886" s="208"/>
      <c r="OSB886" s="208"/>
      <c r="OSC886" s="208"/>
      <c r="OSD886" s="208"/>
      <c r="OSE886" s="208"/>
      <c r="OSF886" s="208"/>
      <c r="OSG886" s="208"/>
      <c r="OSH886" s="208"/>
      <c r="OSI886" s="208"/>
      <c r="OSJ886" s="208"/>
      <c r="OSK886" s="208"/>
      <c r="OSL886" s="208"/>
      <c r="OSM886" s="208"/>
      <c r="OSN886" s="208"/>
      <c r="OSO886" s="208"/>
      <c r="OSP886" s="208"/>
      <c r="OSQ886" s="208"/>
      <c r="OSR886" s="208"/>
      <c r="OSS886" s="208"/>
      <c r="OST886" s="208"/>
      <c r="OSU886" s="208"/>
      <c r="OSV886" s="208"/>
      <c r="OSW886" s="208"/>
      <c r="OSX886" s="208"/>
      <c r="OSY886" s="208"/>
      <c r="OSZ886" s="208"/>
      <c r="OTA886" s="208"/>
      <c r="OTB886" s="208"/>
      <c r="OTC886" s="208"/>
      <c r="OTD886" s="208"/>
      <c r="OTE886" s="208"/>
      <c r="OTF886" s="208"/>
      <c r="OTG886" s="208"/>
      <c r="OTH886" s="208"/>
      <c r="OTI886" s="208"/>
      <c r="OTJ886" s="208"/>
      <c r="OTK886" s="208"/>
      <c r="OTL886" s="208"/>
      <c r="OTM886" s="208"/>
      <c r="OTN886" s="208"/>
      <c r="OTO886" s="208"/>
      <c r="OTP886" s="208"/>
      <c r="OTQ886" s="208"/>
      <c r="OTR886" s="208"/>
      <c r="OTS886" s="208"/>
      <c r="OTT886" s="208"/>
      <c r="OTU886" s="208"/>
      <c r="OTV886" s="208"/>
      <c r="OTW886" s="208"/>
      <c r="OTX886" s="208"/>
      <c r="OTY886" s="208"/>
      <c r="OTZ886" s="208"/>
      <c r="OUA886" s="208"/>
      <c r="OUB886" s="208"/>
      <c r="OUC886" s="208"/>
      <c r="OUD886" s="208"/>
      <c r="OUE886" s="208"/>
      <c r="OUF886" s="208"/>
      <c r="OUG886" s="208"/>
      <c r="OUH886" s="208"/>
      <c r="OUI886" s="208"/>
      <c r="OUJ886" s="208"/>
      <c r="OUK886" s="208"/>
      <c r="OUL886" s="208"/>
      <c r="OUM886" s="208"/>
      <c r="OUN886" s="208"/>
      <c r="OUO886" s="208"/>
      <c r="OUP886" s="208"/>
      <c r="OUQ886" s="208"/>
      <c r="OUR886" s="208"/>
      <c r="OUS886" s="208"/>
      <c r="OUT886" s="208"/>
      <c r="OUU886" s="208"/>
      <c r="OUV886" s="208"/>
      <c r="OUW886" s="208"/>
      <c r="OUX886" s="208"/>
      <c r="OUY886" s="208"/>
      <c r="OUZ886" s="208"/>
      <c r="OVA886" s="208"/>
      <c r="OVB886" s="208"/>
      <c r="OVC886" s="208"/>
      <c r="OVD886" s="208"/>
      <c r="OVE886" s="208"/>
      <c r="OVF886" s="208"/>
      <c r="OVG886" s="208"/>
      <c r="OVH886" s="208"/>
      <c r="OVI886" s="208"/>
      <c r="OVJ886" s="208"/>
      <c r="OVK886" s="208"/>
      <c r="OVL886" s="208"/>
      <c r="OVM886" s="208"/>
      <c r="OVN886" s="208"/>
      <c r="OVO886" s="208"/>
      <c r="OVP886" s="208"/>
      <c r="OVQ886" s="208"/>
      <c r="OVR886" s="208"/>
      <c r="OVS886" s="208"/>
      <c r="OVT886" s="208"/>
      <c r="OVU886" s="208"/>
      <c r="OVV886" s="208"/>
      <c r="OVW886" s="208"/>
      <c r="OVX886" s="208"/>
      <c r="OVY886" s="208"/>
      <c r="OVZ886" s="208"/>
      <c r="OWA886" s="208"/>
      <c r="OWB886" s="208"/>
      <c r="OWC886" s="208"/>
      <c r="OWD886" s="208"/>
      <c r="OWE886" s="208"/>
      <c r="OWF886" s="208"/>
      <c r="OWG886" s="208"/>
      <c r="OWH886" s="208"/>
      <c r="OWI886" s="208"/>
      <c r="OWJ886" s="208"/>
      <c r="OWK886" s="208"/>
      <c r="OWL886" s="208"/>
      <c r="OWM886" s="208"/>
      <c r="OWN886" s="208"/>
      <c r="OWO886" s="208"/>
      <c r="OWP886" s="208"/>
      <c r="OWQ886" s="208"/>
      <c r="OWR886" s="208"/>
      <c r="OWS886" s="208"/>
      <c r="OWT886" s="208"/>
      <c r="OWU886" s="208"/>
      <c r="OWV886" s="208"/>
      <c r="OWW886" s="208"/>
      <c r="OWX886" s="208"/>
      <c r="OWY886" s="208"/>
      <c r="OWZ886" s="208"/>
      <c r="OXA886" s="208"/>
      <c r="OXB886" s="208"/>
      <c r="OXC886" s="208"/>
      <c r="OXD886" s="208"/>
      <c r="OXE886" s="208"/>
      <c r="OXF886" s="208"/>
      <c r="OXG886" s="208"/>
      <c r="OXH886" s="208"/>
      <c r="OXI886" s="208"/>
      <c r="OXJ886" s="208"/>
      <c r="OXK886" s="208"/>
      <c r="OXL886" s="208"/>
      <c r="OXM886" s="208"/>
      <c r="OXN886" s="208"/>
      <c r="OXO886" s="208"/>
      <c r="OXP886" s="208"/>
      <c r="OXQ886" s="208"/>
      <c r="OXR886" s="208"/>
      <c r="OXS886" s="208"/>
      <c r="OXT886" s="208"/>
      <c r="OXU886" s="208"/>
      <c r="OXV886" s="208"/>
      <c r="OXW886" s="208"/>
      <c r="OXX886" s="208"/>
      <c r="OXY886" s="208"/>
      <c r="OXZ886" s="208"/>
      <c r="OYA886" s="208"/>
      <c r="OYB886" s="208"/>
      <c r="OYC886" s="208"/>
      <c r="OYD886" s="208"/>
      <c r="OYE886" s="208"/>
      <c r="OYF886" s="208"/>
      <c r="OYG886" s="208"/>
      <c r="OYH886" s="208"/>
      <c r="OYI886" s="208"/>
      <c r="OYJ886" s="208"/>
      <c r="OYK886" s="208"/>
      <c r="OYL886" s="208"/>
      <c r="OYM886" s="208"/>
      <c r="OYN886" s="208"/>
      <c r="OYO886" s="208"/>
      <c r="OYP886" s="208"/>
      <c r="OYQ886" s="208"/>
      <c r="OYR886" s="208"/>
      <c r="OYS886" s="208"/>
      <c r="OYT886" s="208"/>
      <c r="OYU886" s="208"/>
      <c r="OYV886" s="208"/>
      <c r="OYW886" s="208"/>
      <c r="OYX886" s="208"/>
      <c r="OYY886" s="208"/>
      <c r="OYZ886" s="208"/>
      <c r="OZA886" s="208"/>
      <c r="OZB886" s="208"/>
      <c r="OZC886" s="208"/>
      <c r="OZD886" s="208"/>
      <c r="OZE886" s="208"/>
      <c r="OZF886" s="208"/>
      <c r="OZG886" s="208"/>
      <c r="OZH886" s="208"/>
      <c r="OZI886" s="208"/>
      <c r="OZJ886" s="208"/>
      <c r="OZK886" s="208"/>
      <c r="OZL886" s="208"/>
      <c r="OZM886" s="208"/>
      <c r="OZN886" s="208"/>
      <c r="OZO886" s="208"/>
      <c r="OZP886" s="208"/>
      <c r="OZQ886" s="208"/>
      <c r="OZR886" s="208"/>
      <c r="OZS886" s="208"/>
      <c r="OZT886" s="208"/>
      <c r="OZU886" s="208"/>
      <c r="OZV886" s="208"/>
      <c r="OZW886" s="208"/>
      <c r="OZX886" s="208"/>
      <c r="OZY886" s="208"/>
      <c r="OZZ886" s="208"/>
      <c r="PAA886" s="208"/>
      <c r="PAB886" s="208"/>
      <c r="PAC886" s="208"/>
      <c r="PAD886" s="208"/>
      <c r="PAE886" s="208"/>
      <c r="PAF886" s="208"/>
      <c r="PAG886" s="208"/>
      <c r="PAH886" s="208"/>
      <c r="PAI886" s="208"/>
      <c r="PAJ886" s="208"/>
      <c r="PAK886" s="208"/>
      <c r="PAL886" s="208"/>
      <c r="PAM886" s="208"/>
      <c r="PAN886" s="208"/>
      <c r="PAO886" s="208"/>
      <c r="PAP886" s="208"/>
      <c r="PAQ886" s="208"/>
      <c r="PAR886" s="208"/>
      <c r="PAS886" s="208"/>
      <c r="PAT886" s="208"/>
      <c r="PAU886" s="208"/>
      <c r="PAV886" s="208"/>
      <c r="PAW886" s="208"/>
      <c r="PAX886" s="208"/>
      <c r="PAY886" s="208"/>
      <c r="PAZ886" s="208"/>
      <c r="PBA886" s="208"/>
      <c r="PBB886" s="208"/>
      <c r="PBC886" s="208"/>
      <c r="PBD886" s="208"/>
      <c r="PBE886" s="208"/>
      <c r="PBF886" s="208"/>
      <c r="PBG886" s="208"/>
      <c r="PBH886" s="208"/>
      <c r="PBI886" s="208"/>
      <c r="PBJ886" s="208"/>
      <c r="PBK886" s="208"/>
      <c r="PBL886" s="208"/>
      <c r="PBM886" s="208"/>
      <c r="PBN886" s="208"/>
      <c r="PBO886" s="208"/>
      <c r="PBP886" s="208"/>
      <c r="PBQ886" s="208"/>
      <c r="PBR886" s="208"/>
      <c r="PBS886" s="208"/>
      <c r="PBT886" s="208"/>
      <c r="PBU886" s="208"/>
      <c r="PBV886" s="208"/>
      <c r="PBW886" s="208"/>
      <c r="PBX886" s="208"/>
      <c r="PBY886" s="208"/>
      <c r="PBZ886" s="208"/>
      <c r="PCA886" s="208"/>
      <c r="PCB886" s="208"/>
      <c r="PCC886" s="208"/>
      <c r="PCD886" s="208"/>
      <c r="PCE886" s="208"/>
      <c r="PCF886" s="208"/>
      <c r="PCG886" s="208"/>
      <c r="PCH886" s="208"/>
      <c r="PCI886" s="208"/>
      <c r="PCJ886" s="208"/>
      <c r="PCK886" s="208"/>
      <c r="PCL886" s="208"/>
      <c r="PCM886" s="208"/>
      <c r="PCN886" s="208"/>
      <c r="PCO886" s="208"/>
      <c r="PCP886" s="208"/>
      <c r="PCQ886" s="208"/>
      <c r="PCR886" s="208"/>
      <c r="PCS886" s="208"/>
      <c r="PCT886" s="208"/>
      <c r="PCU886" s="208"/>
      <c r="PCV886" s="208"/>
      <c r="PCW886" s="208"/>
      <c r="PCX886" s="208"/>
      <c r="PCY886" s="208"/>
      <c r="PCZ886" s="208"/>
      <c r="PDA886" s="208"/>
      <c r="PDB886" s="208"/>
      <c r="PDC886" s="208"/>
      <c r="PDD886" s="208"/>
      <c r="PDE886" s="208"/>
      <c r="PDF886" s="208"/>
      <c r="PDG886" s="208"/>
      <c r="PDH886" s="208"/>
      <c r="PDI886" s="208"/>
      <c r="PDJ886" s="208"/>
      <c r="PDK886" s="208"/>
      <c r="PDL886" s="208"/>
      <c r="PDM886" s="208"/>
      <c r="PDN886" s="208"/>
      <c r="PDO886" s="208"/>
      <c r="PDP886" s="208"/>
      <c r="PDQ886" s="208"/>
      <c r="PDR886" s="208"/>
      <c r="PDS886" s="208"/>
      <c r="PDT886" s="208"/>
      <c r="PDU886" s="208"/>
      <c r="PDV886" s="208"/>
      <c r="PDW886" s="208"/>
      <c r="PDX886" s="208"/>
      <c r="PDY886" s="208"/>
      <c r="PDZ886" s="208"/>
      <c r="PEA886" s="208"/>
      <c r="PEB886" s="208"/>
      <c r="PEC886" s="208"/>
      <c r="PED886" s="208"/>
      <c r="PEE886" s="208"/>
      <c r="PEF886" s="208"/>
      <c r="PEG886" s="208"/>
      <c r="PEH886" s="208"/>
      <c r="PEI886" s="208"/>
      <c r="PEJ886" s="208"/>
      <c r="PEK886" s="208"/>
      <c r="PEL886" s="208"/>
      <c r="PEM886" s="208"/>
      <c r="PEN886" s="208"/>
      <c r="PEO886" s="208"/>
      <c r="PEP886" s="208"/>
      <c r="PEQ886" s="208"/>
      <c r="PER886" s="208"/>
      <c r="PES886" s="208"/>
      <c r="PET886" s="208"/>
      <c r="PEU886" s="208"/>
      <c r="PEV886" s="208"/>
      <c r="PEW886" s="208"/>
      <c r="PEX886" s="208"/>
      <c r="PEY886" s="208"/>
      <c r="PEZ886" s="208"/>
      <c r="PFA886" s="208"/>
      <c r="PFB886" s="208"/>
      <c r="PFC886" s="208"/>
      <c r="PFD886" s="208"/>
      <c r="PFE886" s="208"/>
      <c r="PFF886" s="208"/>
      <c r="PFG886" s="208"/>
      <c r="PFH886" s="208"/>
      <c r="PFI886" s="208"/>
      <c r="PFJ886" s="208"/>
      <c r="PFK886" s="208"/>
      <c r="PFL886" s="208"/>
      <c r="PFM886" s="208"/>
      <c r="PFN886" s="208"/>
      <c r="PFO886" s="208"/>
      <c r="PFP886" s="208"/>
      <c r="PFQ886" s="208"/>
      <c r="PFR886" s="208"/>
      <c r="PFS886" s="208"/>
      <c r="PFT886" s="208"/>
      <c r="PFU886" s="208"/>
      <c r="PFV886" s="208"/>
      <c r="PFW886" s="208"/>
      <c r="PFX886" s="208"/>
      <c r="PFY886" s="208"/>
      <c r="PFZ886" s="208"/>
      <c r="PGA886" s="208"/>
      <c r="PGB886" s="208"/>
      <c r="PGC886" s="208"/>
      <c r="PGD886" s="208"/>
      <c r="PGE886" s="208"/>
      <c r="PGF886" s="208"/>
      <c r="PGG886" s="208"/>
      <c r="PGH886" s="208"/>
      <c r="PGI886" s="208"/>
      <c r="PGJ886" s="208"/>
      <c r="PGK886" s="208"/>
      <c r="PGL886" s="208"/>
      <c r="PGM886" s="208"/>
      <c r="PGN886" s="208"/>
      <c r="PGO886" s="208"/>
      <c r="PGP886" s="208"/>
      <c r="PGQ886" s="208"/>
      <c r="PGR886" s="208"/>
      <c r="PGS886" s="208"/>
      <c r="PGT886" s="208"/>
      <c r="PGU886" s="208"/>
      <c r="PGV886" s="208"/>
      <c r="PGW886" s="208"/>
      <c r="PGX886" s="208"/>
      <c r="PGY886" s="208"/>
      <c r="PGZ886" s="208"/>
      <c r="PHA886" s="208"/>
      <c r="PHB886" s="208"/>
      <c r="PHC886" s="208"/>
      <c r="PHD886" s="208"/>
      <c r="PHE886" s="208"/>
      <c r="PHF886" s="208"/>
      <c r="PHG886" s="208"/>
      <c r="PHH886" s="208"/>
      <c r="PHI886" s="208"/>
      <c r="PHJ886" s="208"/>
      <c r="PHK886" s="208"/>
      <c r="PHL886" s="208"/>
      <c r="PHM886" s="208"/>
      <c r="PHN886" s="208"/>
      <c r="PHO886" s="208"/>
      <c r="PHP886" s="208"/>
      <c r="PHQ886" s="208"/>
      <c r="PHR886" s="208"/>
      <c r="PHS886" s="208"/>
      <c r="PHT886" s="208"/>
      <c r="PHU886" s="208"/>
      <c r="PHV886" s="208"/>
      <c r="PHW886" s="208"/>
      <c r="PHX886" s="208"/>
      <c r="PHY886" s="208"/>
      <c r="PHZ886" s="208"/>
      <c r="PIA886" s="208"/>
      <c r="PIB886" s="208"/>
      <c r="PIC886" s="208"/>
      <c r="PID886" s="208"/>
      <c r="PIE886" s="208"/>
      <c r="PIF886" s="208"/>
      <c r="PIG886" s="208"/>
      <c r="PIH886" s="208"/>
      <c r="PII886" s="208"/>
      <c r="PIJ886" s="208"/>
      <c r="PIK886" s="208"/>
      <c r="PIL886" s="208"/>
      <c r="PIM886" s="208"/>
      <c r="PIN886" s="208"/>
      <c r="PIO886" s="208"/>
      <c r="PIP886" s="208"/>
      <c r="PIQ886" s="208"/>
      <c r="PIR886" s="208"/>
      <c r="PIS886" s="208"/>
      <c r="PIT886" s="208"/>
      <c r="PIU886" s="208"/>
      <c r="PIV886" s="208"/>
      <c r="PIW886" s="208"/>
      <c r="PIX886" s="208"/>
      <c r="PIY886" s="208"/>
      <c r="PIZ886" s="208"/>
      <c r="PJA886" s="208"/>
      <c r="PJB886" s="208"/>
      <c r="PJC886" s="208"/>
      <c r="PJD886" s="208"/>
      <c r="PJE886" s="208"/>
      <c r="PJF886" s="208"/>
      <c r="PJG886" s="208"/>
      <c r="PJH886" s="208"/>
      <c r="PJI886" s="208"/>
      <c r="PJJ886" s="208"/>
      <c r="PJK886" s="208"/>
      <c r="PJL886" s="208"/>
      <c r="PJM886" s="208"/>
      <c r="PJN886" s="208"/>
      <c r="PJO886" s="208"/>
      <c r="PJP886" s="208"/>
      <c r="PJQ886" s="208"/>
      <c r="PJR886" s="208"/>
      <c r="PJS886" s="208"/>
      <c r="PJT886" s="208"/>
      <c r="PJU886" s="208"/>
      <c r="PJV886" s="208"/>
      <c r="PJW886" s="208"/>
      <c r="PJX886" s="208"/>
      <c r="PJY886" s="208"/>
      <c r="PJZ886" s="208"/>
      <c r="PKA886" s="208"/>
      <c r="PKB886" s="208"/>
      <c r="PKC886" s="208"/>
      <c r="PKD886" s="208"/>
      <c r="PKE886" s="208"/>
      <c r="PKF886" s="208"/>
      <c r="PKG886" s="208"/>
      <c r="PKH886" s="208"/>
      <c r="PKI886" s="208"/>
      <c r="PKJ886" s="208"/>
      <c r="PKK886" s="208"/>
      <c r="PKL886" s="208"/>
      <c r="PKM886" s="208"/>
      <c r="PKN886" s="208"/>
      <c r="PKO886" s="208"/>
      <c r="PKP886" s="208"/>
      <c r="PKQ886" s="208"/>
      <c r="PKR886" s="208"/>
      <c r="PKS886" s="208"/>
      <c r="PKT886" s="208"/>
      <c r="PKU886" s="208"/>
      <c r="PKV886" s="208"/>
      <c r="PKW886" s="208"/>
      <c r="PKX886" s="208"/>
      <c r="PKY886" s="208"/>
      <c r="PKZ886" s="208"/>
      <c r="PLA886" s="208"/>
      <c r="PLB886" s="208"/>
      <c r="PLC886" s="208"/>
      <c r="PLD886" s="208"/>
      <c r="PLE886" s="208"/>
      <c r="PLF886" s="208"/>
      <c r="PLG886" s="208"/>
      <c r="PLH886" s="208"/>
      <c r="PLI886" s="208"/>
      <c r="PLJ886" s="208"/>
      <c r="PLK886" s="208"/>
      <c r="PLL886" s="208"/>
      <c r="PLM886" s="208"/>
      <c r="PLN886" s="208"/>
      <c r="PLO886" s="208"/>
      <c r="PLP886" s="208"/>
      <c r="PLQ886" s="208"/>
      <c r="PLR886" s="208"/>
      <c r="PLS886" s="208"/>
      <c r="PLT886" s="208"/>
      <c r="PLU886" s="208"/>
      <c r="PLV886" s="208"/>
      <c r="PLW886" s="208"/>
      <c r="PLX886" s="208"/>
      <c r="PLY886" s="208"/>
      <c r="PLZ886" s="208"/>
      <c r="PMA886" s="208"/>
      <c r="PMB886" s="208"/>
      <c r="PMC886" s="208"/>
      <c r="PMD886" s="208"/>
      <c r="PME886" s="208"/>
      <c r="PMF886" s="208"/>
      <c r="PMG886" s="208"/>
      <c r="PMH886" s="208"/>
      <c r="PMI886" s="208"/>
      <c r="PMJ886" s="208"/>
      <c r="PMK886" s="208"/>
      <c r="PML886" s="208"/>
      <c r="PMM886" s="208"/>
      <c r="PMN886" s="208"/>
      <c r="PMO886" s="208"/>
      <c r="PMP886" s="208"/>
      <c r="PMQ886" s="208"/>
      <c r="PMR886" s="208"/>
      <c r="PMS886" s="208"/>
      <c r="PMT886" s="208"/>
      <c r="PMU886" s="208"/>
      <c r="PMV886" s="208"/>
      <c r="PMW886" s="208"/>
      <c r="PMX886" s="208"/>
      <c r="PMY886" s="208"/>
      <c r="PMZ886" s="208"/>
      <c r="PNA886" s="208"/>
      <c r="PNB886" s="208"/>
      <c r="PNC886" s="208"/>
      <c r="PND886" s="208"/>
      <c r="PNE886" s="208"/>
      <c r="PNF886" s="208"/>
      <c r="PNG886" s="208"/>
      <c r="PNH886" s="208"/>
      <c r="PNI886" s="208"/>
      <c r="PNJ886" s="208"/>
      <c r="PNK886" s="208"/>
      <c r="PNL886" s="208"/>
      <c r="PNM886" s="208"/>
      <c r="PNN886" s="208"/>
      <c r="PNO886" s="208"/>
      <c r="PNP886" s="208"/>
      <c r="PNQ886" s="208"/>
      <c r="PNR886" s="208"/>
      <c r="PNS886" s="208"/>
      <c r="PNT886" s="208"/>
      <c r="PNU886" s="208"/>
      <c r="PNV886" s="208"/>
      <c r="PNW886" s="208"/>
      <c r="PNX886" s="208"/>
      <c r="PNY886" s="208"/>
      <c r="PNZ886" s="208"/>
      <c r="POA886" s="208"/>
      <c r="POB886" s="208"/>
      <c r="POC886" s="208"/>
      <c r="POD886" s="208"/>
      <c r="POE886" s="208"/>
      <c r="POF886" s="208"/>
      <c r="POG886" s="208"/>
      <c r="POH886" s="208"/>
      <c r="POI886" s="208"/>
      <c r="POJ886" s="208"/>
      <c r="POK886" s="208"/>
      <c r="POL886" s="208"/>
      <c r="POM886" s="208"/>
      <c r="PON886" s="208"/>
      <c r="POO886" s="208"/>
      <c r="POP886" s="208"/>
      <c r="POQ886" s="208"/>
      <c r="POR886" s="208"/>
      <c r="POS886" s="208"/>
      <c r="POT886" s="208"/>
      <c r="POU886" s="208"/>
      <c r="POV886" s="208"/>
      <c r="POW886" s="208"/>
      <c r="POX886" s="208"/>
      <c r="POY886" s="208"/>
      <c r="POZ886" s="208"/>
      <c r="PPA886" s="208"/>
      <c r="PPB886" s="208"/>
      <c r="PPC886" s="208"/>
      <c r="PPD886" s="208"/>
      <c r="PPE886" s="208"/>
      <c r="PPF886" s="208"/>
      <c r="PPG886" s="208"/>
      <c r="PPH886" s="208"/>
      <c r="PPI886" s="208"/>
      <c r="PPJ886" s="208"/>
      <c r="PPK886" s="208"/>
      <c r="PPL886" s="208"/>
      <c r="PPM886" s="208"/>
      <c r="PPN886" s="208"/>
      <c r="PPO886" s="208"/>
      <c r="PPP886" s="208"/>
      <c r="PPQ886" s="208"/>
      <c r="PPR886" s="208"/>
      <c r="PPS886" s="208"/>
      <c r="PPT886" s="208"/>
      <c r="PPU886" s="208"/>
      <c r="PPV886" s="208"/>
      <c r="PPW886" s="208"/>
      <c r="PPX886" s="208"/>
      <c r="PPY886" s="208"/>
      <c r="PPZ886" s="208"/>
      <c r="PQA886" s="208"/>
      <c r="PQB886" s="208"/>
      <c r="PQC886" s="208"/>
      <c r="PQD886" s="208"/>
      <c r="PQE886" s="208"/>
      <c r="PQF886" s="208"/>
      <c r="PQG886" s="208"/>
      <c r="PQH886" s="208"/>
      <c r="PQI886" s="208"/>
      <c r="PQJ886" s="208"/>
      <c r="PQK886" s="208"/>
      <c r="PQL886" s="208"/>
      <c r="PQM886" s="208"/>
      <c r="PQN886" s="208"/>
      <c r="PQO886" s="208"/>
      <c r="PQP886" s="208"/>
      <c r="PQQ886" s="208"/>
      <c r="PQR886" s="208"/>
      <c r="PQS886" s="208"/>
      <c r="PQT886" s="208"/>
      <c r="PQU886" s="208"/>
      <c r="PQV886" s="208"/>
      <c r="PQW886" s="208"/>
      <c r="PQX886" s="208"/>
      <c r="PQY886" s="208"/>
      <c r="PQZ886" s="208"/>
      <c r="PRA886" s="208"/>
      <c r="PRB886" s="208"/>
      <c r="PRC886" s="208"/>
      <c r="PRD886" s="208"/>
      <c r="PRE886" s="208"/>
      <c r="PRF886" s="208"/>
      <c r="PRG886" s="208"/>
      <c r="PRH886" s="208"/>
      <c r="PRI886" s="208"/>
      <c r="PRJ886" s="208"/>
      <c r="PRK886" s="208"/>
      <c r="PRL886" s="208"/>
      <c r="PRM886" s="208"/>
      <c r="PRN886" s="208"/>
      <c r="PRO886" s="208"/>
      <c r="PRP886" s="208"/>
      <c r="PRQ886" s="208"/>
      <c r="PRR886" s="208"/>
      <c r="PRS886" s="208"/>
      <c r="PRT886" s="208"/>
      <c r="PRU886" s="208"/>
      <c r="PRV886" s="208"/>
      <c r="PRW886" s="208"/>
      <c r="PRX886" s="208"/>
      <c r="PRY886" s="208"/>
      <c r="PRZ886" s="208"/>
      <c r="PSA886" s="208"/>
      <c r="PSB886" s="208"/>
      <c r="PSC886" s="208"/>
      <c r="PSD886" s="208"/>
      <c r="PSE886" s="208"/>
      <c r="PSF886" s="208"/>
      <c r="PSG886" s="208"/>
      <c r="PSH886" s="208"/>
      <c r="PSI886" s="208"/>
      <c r="PSJ886" s="208"/>
      <c r="PSK886" s="208"/>
      <c r="PSL886" s="208"/>
      <c r="PSM886" s="208"/>
      <c r="PSN886" s="208"/>
      <c r="PSO886" s="208"/>
      <c r="PSP886" s="208"/>
      <c r="PSQ886" s="208"/>
      <c r="PSR886" s="208"/>
      <c r="PSS886" s="208"/>
      <c r="PST886" s="208"/>
      <c r="PSU886" s="208"/>
      <c r="PSV886" s="208"/>
      <c r="PSW886" s="208"/>
      <c r="PSX886" s="208"/>
      <c r="PSY886" s="208"/>
      <c r="PSZ886" s="208"/>
      <c r="PTA886" s="208"/>
      <c r="PTB886" s="208"/>
      <c r="PTC886" s="208"/>
      <c r="PTD886" s="208"/>
      <c r="PTE886" s="208"/>
      <c r="PTF886" s="208"/>
      <c r="PTG886" s="208"/>
      <c r="PTH886" s="208"/>
      <c r="PTI886" s="208"/>
      <c r="PTJ886" s="208"/>
      <c r="PTK886" s="208"/>
      <c r="PTL886" s="208"/>
      <c r="PTM886" s="208"/>
      <c r="PTN886" s="208"/>
      <c r="PTO886" s="208"/>
      <c r="PTP886" s="208"/>
      <c r="PTQ886" s="208"/>
      <c r="PTR886" s="208"/>
      <c r="PTS886" s="208"/>
      <c r="PTT886" s="208"/>
      <c r="PTU886" s="208"/>
      <c r="PTV886" s="208"/>
      <c r="PTW886" s="208"/>
      <c r="PTX886" s="208"/>
      <c r="PTY886" s="208"/>
      <c r="PTZ886" s="208"/>
      <c r="PUA886" s="208"/>
      <c r="PUB886" s="208"/>
      <c r="PUC886" s="208"/>
      <c r="PUD886" s="208"/>
      <c r="PUE886" s="208"/>
      <c r="PUF886" s="208"/>
      <c r="PUG886" s="208"/>
      <c r="PUH886" s="208"/>
      <c r="PUI886" s="208"/>
      <c r="PUJ886" s="208"/>
      <c r="PUK886" s="208"/>
      <c r="PUL886" s="208"/>
      <c r="PUM886" s="208"/>
      <c r="PUN886" s="208"/>
      <c r="PUO886" s="208"/>
      <c r="PUP886" s="208"/>
      <c r="PUQ886" s="208"/>
      <c r="PUR886" s="208"/>
      <c r="PUS886" s="208"/>
      <c r="PUT886" s="208"/>
      <c r="PUU886" s="208"/>
      <c r="PUV886" s="208"/>
      <c r="PUW886" s="208"/>
      <c r="PUX886" s="208"/>
      <c r="PUY886" s="208"/>
      <c r="PUZ886" s="208"/>
      <c r="PVA886" s="208"/>
      <c r="PVB886" s="208"/>
      <c r="PVC886" s="208"/>
      <c r="PVD886" s="208"/>
      <c r="PVE886" s="208"/>
      <c r="PVF886" s="208"/>
      <c r="PVG886" s="208"/>
      <c r="PVH886" s="208"/>
      <c r="PVI886" s="208"/>
      <c r="PVJ886" s="208"/>
      <c r="PVK886" s="208"/>
      <c r="PVL886" s="208"/>
      <c r="PVM886" s="208"/>
      <c r="PVN886" s="208"/>
      <c r="PVO886" s="208"/>
      <c r="PVP886" s="208"/>
      <c r="PVQ886" s="208"/>
      <c r="PVR886" s="208"/>
      <c r="PVS886" s="208"/>
      <c r="PVT886" s="208"/>
      <c r="PVU886" s="208"/>
      <c r="PVV886" s="208"/>
      <c r="PVW886" s="208"/>
      <c r="PVX886" s="208"/>
      <c r="PVY886" s="208"/>
      <c r="PVZ886" s="208"/>
      <c r="PWA886" s="208"/>
      <c r="PWB886" s="208"/>
      <c r="PWC886" s="208"/>
      <c r="PWD886" s="208"/>
      <c r="PWE886" s="208"/>
      <c r="PWF886" s="208"/>
      <c r="PWG886" s="208"/>
      <c r="PWH886" s="208"/>
      <c r="PWI886" s="208"/>
      <c r="PWJ886" s="208"/>
      <c r="PWK886" s="208"/>
      <c r="PWL886" s="208"/>
      <c r="PWM886" s="208"/>
      <c r="PWN886" s="208"/>
      <c r="PWO886" s="208"/>
      <c r="PWP886" s="208"/>
      <c r="PWQ886" s="208"/>
      <c r="PWR886" s="208"/>
      <c r="PWS886" s="208"/>
      <c r="PWT886" s="208"/>
      <c r="PWU886" s="208"/>
      <c r="PWV886" s="208"/>
      <c r="PWW886" s="208"/>
      <c r="PWX886" s="208"/>
      <c r="PWY886" s="208"/>
      <c r="PWZ886" s="208"/>
      <c r="PXA886" s="208"/>
      <c r="PXB886" s="208"/>
      <c r="PXC886" s="208"/>
      <c r="PXD886" s="208"/>
      <c r="PXE886" s="208"/>
      <c r="PXF886" s="208"/>
      <c r="PXG886" s="208"/>
      <c r="PXH886" s="208"/>
      <c r="PXI886" s="208"/>
      <c r="PXJ886" s="208"/>
      <c r="PXK886" s="208"/>
      <c r="PXL886" s="208"/>
      <c r="PXM886" s="208"/>
      <c r="PXN886" s="208"/>
      <c r="PXO886" s="208"/>
      <c r="PXP886" s="208"/>
      <c r="PXQ886" s="208"/>
      <c r="PXR886" s="208"/>
      <c r="PXS886" s="208"/>
      <c r="PXT886" s="208"/>
      <c r="PXU886" s="208"/>
      <c r="PXV886" s="208"/>
      <c r="PXW886" s="208"/>
      <c r="PXX886" s="208"/>
      <c r="PXY886" s="208"/>
      <c r="PXZ886" s="208"/>
      <c r="PYA886" s="208"/>
      <c r="PYB886" s="208"/>
      <c r="PYC886" s="208"/>
      <c r="PYD886" s="208"/>
      <c r="PYE886" s="208"/>
      <c r="PYF886" s="208"/>
      <c r="PYG886" s="208"/>
      <c r="PYH886" s="208"/>
      <c r="PYI886" s="208"/>
      <c r="PYJ886" s="208"/>
      <c r="PYK886" s="208"/>
      <c r="PYL886" s="208"/>
      <c r="PYM886" s="208"/>
      <c r="PYN886" s="208"/>
      <c r="PYO886" s="208"/>
      <c r="PYP886" s="208"/>
      <c r="PYQ886" s="208"/>
      <c r="PYR886" s="208"/>
      <c r="PYS886" s="208"/>
      <c r="PYT886" s="208"/>
      <c r="PYU886" s="208"/>
      <c r="PYV886" s="208"/>
      <c r="PYW886" s="208"/>
      <c r="PYX886" s="208"/>
      <c r="PYY886" s="208"/>
      <c r="PYZ886" s="208"/>
      <c r="PZA886" s="208"/>
      <c r="PZB886" s="208"/>
      <c r="PZC886" s="208"/>
      <c r="PZD886" s="208"/>
      <c r="PZE886" s="208"/>
      <c r="PZF886" s="208"/>
      <c r="PZG886" s="208"/>
      <c r="PZH886" s="208"/>
      <c r="PZI886" s="208"/>
      <c r="PZJ886" s="208"/>
      <c r="PZK886" s="208"/>
      <c r="PZL886" s="208"/>
      <c r="PZM886" s="208"/>
      <c r="PZN886" s="208"/>
      <c r="PZO886" s="208"/>
      <c r="PZP886" s="208"/>
      <c r="PZQ886" s="208"/>
      <c r="PZR886" s="208"/>
      <c r="PZS886" s="208"/>
      <c r="PZT886" s="208"/>
      <c r="PZU886" s="208"/>
      <c r="PZV886" s="208"/>
      <c r="PZW886" s="208"/>
      <c r="PZX886" s="208"/>
      <c r="PZY886" s="208"/>
      <c r="PZZ886" s="208"/>
      <c r="QAA886" s="208"/>
      <c r="QAB886" s="208"/>
      <c r="QAC886" s="208"/>
      <c r="QAD886" s="208"/>
      <c r="QAE886" s="208"/>
      <c r="QAF886" s="208"/>
      <c r="QAG886" s="208"/>
      <c r="QAH886" s="208"/>
      <c r="QAI886" s="208"/>
      <c r="QAJ886" s="208"/>
      <c r="QAK886" s="208"/>
      <c r="QAL886" s="208"/>
      <c r="QAM886" s="208"/>
      <c r="QAN886" s="208"/>
      <c r="QAO886" s="208"/>
      <c r="QAP886" s="208"/>
      <c r="QAQ886" s="208"/>
      <c r="QAR886" s="208"/>
      <c r="QAS886" s="208"/>
      <c r="QAT886" s="208"/>
      <c r="QAU886" s="208"/>
      <c r="QAV886" s="208"/>
      <c r="QAW886" s="208"/>
      <c r="QAX886" s="208"/>
      <c r="QAY886" s="208"/>
      <c r="QAZ886" s="208"/>
      <c r="QBA886" s="208"/>
      <c r="QBB886" s="208"/>
      <c r="QBC886" s="208"/>
      <c r="QBD886" s="208"/>
      <c r="QBE886" s="208"/>
      <c r="QBF886" s="208"/>
      <c r="QBG886" s="208"/>
      <c r="QBH886" s="208"/>
      <c r="QBI886" s="208"/>
      <c r="QBJ886" s="208"/>
      <c r="QBK886" s="208"/>
      <c r="QBL886" s="208"/>
      <c r="QBM886" s="208"/>
      <c r="QBN886" s="208"/>
      <c r="QBO886" s="208"/>
      <c r="QBP886" s="208"/>
      <c r="QBQ886" s="208"/>
      <c r="QBR886" s="208"/>
      <c r="QBS886" s="208"/>
      <c r="QBT886" s="208"/>
      <c r="QBU886" s="208"/>
      <c r="QBV886" s="208"/>
      <c r="QBW886" s="208"/>
      <c r="QBX886" s="208"/>
      <c r="QBY886" s="208"/>
      <c r="QBZ886" s="208"/>
      <c r="QCA886" s="208"/>
      <c r="QCB886" s="208"/>
      <c r="QCC886" s="208"/>
      <c r="QCD886" s="208"/>
      <c r="QCE886" s="208"/>
      <c r="QCF886" s="208"/>
      <c r="QCG886" s="208"/>
      <c r="QCH886" s="208"/>
      <c r="QCI886" s="208"/>
      <c r="QCJ886" s="208"/>
      <c r="QCK886" s="208"/>
      <c r="QCL886" s="208"/>
      <c r="QCM886" s="208"/>
      <c r="QCN886" s="208"/>
      <c r="QCO886" s="208"/>
      <c r="QCP886" s="208"/>
      <c r="QCQ886" s="208"/>
      <c r="QCR886" s="208"/>
      <c r="QCS886" s="208"/>
      <c r="QCT886" s="208"/>
      <c r="QCU886" s="208"/>
      <c r="QCV886" s="208"/>
      <c r="QCW886" s="208"/>
      <c r="QCX886" s="208"/>
      <c r="QCY886" s="208"/>
      <c r="QCZ886" s="208"/>
      <c r="QDA886" s="208"/>
      <c r="QDB886" s="208"/>
      <c r="QDC886" s="208"/>
      <c r="QDD886" s="208"/>
      <c r="QDE886" s="208"/>
      <c r="QDF886" s="208"/>
      <c r="QDG886" s="208"/>
      <c r="QDH886" s="208"/>
      <c r="QDI886" s="208"/>
      <c r="QDJ886" s="208"/>
      <c r="QDK886" s="208"/>
      <c r="QDL886" s="208"/>
      <c r="QDM886" s="208"/>
      <c r="QDN886" s="208"/>
      <c r="QDO886" s="208"/>
      <c r="QDP886" s="208"/>
      <c r="QDQ886" s="208"/>
      <c r="QDR886" s="208"/>
      <c r="QDS886" s="208"/>
      <c r="QDT886" s="208"/>
      <c r="QDU886" s="208"/>
      <c r="QDV886" s="208"/>
      <c r="QDW886" s="208"/>
      <c r="QDX886" s="208"/>
      <c r="QDY886" s="208"/>
      <c r="QDZ886" s="208"/>
      <c r="QEA886" s="208"/>
      <c r="QEB886" s="208"/>
      <c r="QEC886" s="208"/>
      <c r="QED886" s="208"/>
      <c r="QEE886" s="208"/>
      <c r="QEF886" s="208"/>
      <c r="QEG886" s="208"/>
      <c r="QEH886" s="208"/>
      <c r="QEI886" s="208"/>
      <c r="QEJ886" s="208"/>
      <c r="QEK886" s="208"/>
      <c r="QEL886" s="208"/>
      <c r="QEM886" s="208"/>
      <c r="QEN886" s="208"/>
      <c r="QEO886" s="208"/>
      <c r="QEP886" s="208"/>
      <c r="QEQ886" s="208"/>
      <c r="QER886" s="208"/>
      <c r="QES886" s="208"/>
      <c r="QET886" s="208"/>
      <c r="QEU886" s="208"/>
      <c r="QEV886" s="208"/>
      <c r="QEW886" s="208"/>
      <c r="QEX886" s="208"/>
      <c r="QEY886" s="208"/>
      <c r="QEZ886" s="208"/>
      <c r="QFA886" s="208"/>
      <c r="QFB886" s="208"/>
      <c r="QFC886" s="208"/>
      <c r="QFD886" s="208"/>
      <c r="QFE886" s="208"/>
      <c r="QFF886" s="208"/>
      <c r="QFG886" s="208"/>
      <c r="QFH886" s="208"/>
      <c r="QFI886" s="208"/>
      <c r="QFJ886" s="208"/>
      <c r="QFK886" s="208"/>
      <c r="QFL886" s="208"/>
      <c r="QFM886" s="208"/>
      <c r="QFN886" s="208"/>
      <c r="QFO886" s="208"/>
      <c r="QFP886" s="208"/>
      <c r="QFQ886" s="208"/>
      <c r="QFR886" s="208"/>
      <c r="QFS886" s="208"/>
      <c r="QFT886" s="208"/>
      <c r="QFU886" s="208"/>
      <c r="QFV886" s="208"/>
      <c r="QFW886" s="208"/>
      <c r="QFX886" s="208"/>
      <c r="QFY886" s="208"/>
      <c r="QFZ886" s="208"/>
      <c r="QGA886" s="208"/>
      <c r="QGB886" s="208"/>
      <c r="QGC886" s="208"/>
      <c r="QGD886" s="208"/>
      <c r="QGE886" s="208"/>
      <c r="QGF886" s="208"/>
      <c r="QGG886" s="208"/>
      <c r="QGH886" s="208"/>
      <c r="QGI886" s="208"/>
      <c r="QGJ886" s="208"/>
      <c r="QGK886" s="208"/>
      <c r="QGL886" s="208"/>
      <c r="QGM886" s="208"/>
      <c r="QGN886" s="208"/>
      <c r="QGO886" s="208"/>
      <c r="QGP886" s="208"/>
      <c r="QGQ886" s="208"/>
      <c r="QGR886" s="208"/>
      <c r="QGS886" s="208"/>
      <c r="QGT886" s="208"/>
      <c r="QGU886" s="208"/>
      <c r="QGV886" s="208"/>
      <c r="QGW886" s="208"/>
      <c r="QGX886" s="208"/>
      <c r="QGY886" s="208"/>
      <c r="QGZ886" s="208"/>
      <c r="QHA886" s="208"/>
      <c r="QHB886" s="208"/>
      <c r="QHC886" s="208"/>
      <c r="QHD886" s="208"/>
      <c r="QHE886" s="208"/>
      <c r="QHF886" s="208"/>
      <c r="QHG886" s="208"/>
      <c r="QHH886" s="208"/>
      <c r="QHI886" s="208"/>
      <c r="QHJ886" s="208"/>
      <c r="QHK886" s="208"/>
      <c r="QHL886" s="208"/>
      <c r="QHM886" s="208"/>
      <c r="QHN886" s="208"/>
      <c r="QHO886" s="208"/>
      <c r="QHP886" s="208"/>
      <c r="QHQ886" s="208"/>
      <c r="QHR886" s="208"/>
      <c r="QHS886" s="208"/>
      <c r="QHT886" s="208"/>
      <c r="QHU886" s="208"/>
      <c r="QHV886" s="208"/>
      <c r="QHW886" s="208"/>
      <c r="QHX886" s="208"/>
      <c r="QHY886" s="208"/>
      <c r="QHZ886" s="208"/>
      <c r="QIA886" s="208"/>
      <c r="QIB886" s="208"/>
      <c r="QIC886" s="208"/>
      <c r="QID886" s="208"/>
      <c r="QIE886" s="208"/>
      <c r="QIF886" s="208"/>
      <c r="QIG886" s="208"/>
      <c r="QIH886" s="208"/>
      <c r="QII886" s="208"/>
      <c r="QIJ886" s="208"/>
      <c r="QIK886" s="208"/>
      <c r="QIL886" s="208"/>
      <c r="QIM886" s="208"/>
      <c r="QIN886" s="208"/>
      <c r="QIO886" s="208"/>
      <c r="QIP886" s="208"/>
      <c r="QIQ886" s="208"/>
      <c r="QIR886" s="208"/>
      <c r="QIS886" s="208"/>
      <c r="QIT886" s="208"/>
      <c r="QIU886" s="208"/>
      <c r="QIV886" s="208"/>
      <c r="QIW886" s="208"/>
      <c r="QIX886" s="208"/>
      <c r="QIY886" s="208"/>
      <c r="QIZ886" s="208"/>
      <c r="QJA886" s="208"/>
      <c r="QJB886" s="208"/>
      <c r="QJC886" s="208"/>
      <c r="QJD886" s="208"/>
      <c r="QJE886" s="208"/>
      <c r="QJF886" s="208"/>
      <c r="QJG886" s="208"/>
      <c r="QJH886" s="208"/>
      <c r="QJI886" s="208"/>
      <c r="QJJ886" s="208"/>
      <c r="QJK886" s="208"/>
      <c r="QJL886" s="208"/>
      <c r="QJM886" s="208"/>
      <c r="QJN886" s="208"/>
      <c r="QJO886" s="208"/>
      <c r="QJP886" s="208"/>
      <c r="QJQ886" s="208"/>
      <c r="QJR886" s="208"/>
      <c r="QJS886" s="208"/>
      <c r="QJT886" s="208"/>
      <c r="QJU886" s="208"/>
      <c r="QJV886" s="208"/>
      <c r="QJW886" s="208"/>
      <c r="QJX886" s="208"/>
      <c r="QJY886" s="208"/>
      <c r="QJZ886" s="208"/>
      <c r="QKA886" s="208"/>
      <c r="QKB886" s="208"/>
      <c r="QKC886" s="208"/>
      <c r="QKD886" s="208"/>
      <c r="QKE886" s="208"/>
      <c r="QKF886" s="208"/>
      <c r="QKG886" s="208"/>
      <c r="QKH886" s="208"/>
      <c r="QKI886" s="208"/>
      <c r="QKJ886" s="208"/>
      <c r="QKK886" s="208"/>
      <c r="QKL886" s="208"/>
      <c r="QKM886" s="208"/>
      <c r="QKN886" s="208"/>
      <c r="QKO886" s="208"/>
      <c r="QKP886" s="208"/>
      <c r="QKQ886" s="208"/>
      <c r="QKR886" s="208"/>
      <c r="QKS886" s="208"/>
      <c r="QKT886" s="208"/>
      <c r="QKU886" s="208"/>
      <c r="QKV886" s="208"/>
      <c r="QKW886" s="208"/>
      <c r="QKX886" s="208"/>
      <c r="QKY886" s="208"/>
      <c r="QKZ886" s="208"/>
      <c r="QLA886" s="208"/>
      <c r="QLB886" s="208"/>
      <c r="QLC886" s="208"/>
      <c r="QLD886" s="208"/>
      <c r="QLE886" s="208"/>
      <c r="QLF886" s="208"/>
      <c r="QLG886" s="208"/>
      <c r="QLH886" s="208"/>
      <c r="QLI886" s="208"/>
      <c r="QLJ886" s="208"/>
      <c r="QLK886" s="208"/>
      <c r="QLL886" s="208"/>
      <c r="QLM886" s="208"/>
      <c r="QLN886" s="208"/>
      <c r="QLO886" s="208"/>
      <c r="QLP886" s="208"/>
      <c r="QLQ886" s="208"/>
      <c r="QLR886" s="208"/>
      <c r="QLS886" s="208"/>
      <c r="QLT886" s="208"/>
      <c r="QLU886" s="208"/>
      <c r="QLV886" s="208"/>
      <c r="QLW886" s="208"/>
      <c r="QLX886" s="208"/>
      <c r="QLY886" s="208"/>
      <c r="QLZ886" s="208"/>
      <c r="QMA886" s="208"/>
      <c r="QMB886" s="208"/>
      <c r="QMC886" s="208"/>
      <c r="QMD886" s="208"/>
      <c r="QME886" s="208"/>
      <c r="QMF886" s="208"/>
      <c r="QMG886" s="208"/>
      <c r="QMH886" s="208"/>
      <c r="QMI886" s="208"/>
      <c r="QMJ886" s="208"/>
      <c r="QMK886" s="208"/>
      <c r="QML886" s="208"/>
      <c r="QMM886" s="208"/>
      <c r="QMN886" s="208"/>
      <c r="QMO886" s="208"/>
      <c r="QMP886" s="208"/>
      <c r="QMQ886" s="208"/>
      <c r="QMR886" s="208"/>
      <c r="QMS886" s="208"/>
      <c r="QMT886" s="208"/>
      <c r="QMU886" s="208"/>
      <c r="QMV886" s="208"/>
      <c r="QMW886" s="208"/>
      <c r="QMX886" s="208"/>
      <c r="QMY886" s="208"/>
      <c r="QMZ886" s="208"/>
      <c r="QNA886" s="208"/>
      <c r="QNB886" s="208"/>
      <c r="QNC886" s="208"/>
      <c r="QND886" s="208"/>
      <c r="QNE886" s="208"/>
      <c r="QNF886" s="208"/>
      <c r="QNG886" s="208"/>
      <c r="QNH886" s="208"/>
      <c r="QNI886" s="208"/>
      <c r="QNJ886" s="208"/>
      <c r="QNK886" s="208"/>
      <c r="QNL886" s="208"/>
      <c r="QNM886" s="208"/>
      <c r="QNN886" s="208"/>
      <c r="QNO886" s="208"/>
      <c r="QNP886" s="208"/>
      <c r="QNQ886" s="208"/>
      <c r="QNR886" s="208"/>
      <c r="QNS886" s="208"/>
      <c r="QNT886" s="208"/>
      <c r="QNU886" s="208"/>
      <c r="QNV886" s="208"/>
      <c r="QNW886" s="208"/>
      <c r="QNX886" s="208"/>
      <c r="QNY886" s="208"/>
      <c r="QNZ886" s="208"/>
      <c r="QOA886" s="208"/>
      <c r="QOB886" s="208"/>
      <c r="QOC886" s="208"/>
      <c r="QOD886" s="208"/>
      <c r="QOE886" s="208"/>
      <c r="QOF886" s="208"/>
      <c r="QOG886" s="208"/>
      <c r="QOH886" s="208"/>
      <c r="QOI886" s="208"/>
      <c r="QOJ886" s="208"/>
      <c r="QOK886" s="208"/>
      <c r="QOL886" s="208"/>
      <c r="QOM886" s="208"/>
      <c r="QON886" s="208"/>
      <c r="QOO886" s="208"/>
      <c r="QOP886" s="208"/>
      <c r="QOQ886" s="208"/>
      <c r="QOR886" s="208"/>
      <c r="QOS886" s="208"/>
      <c r="QOT886" s="208"/>
      <c r="QOU886" s="208"/>
      <c r="QOV886" s="208"/>
      <c r="QOW886" s="208"/>
      <c r="QOX886" s="208"/>
      <c r="QOY886" s="208"/>
      <c r="QOZ886" s="208"/>
      <c r="QPA886" s="208"/>
      <c r="QPB886" s="208"/>
      <c r="QPC886" s="208"/>
      <c r="QPD886" s="208"/>
      <c r="QPE886" s="208"/>
      <c r="QPF886" s="208"/>
      <c r="QPG886" s="208"/>
      <c r="QPH886" s="208"/>
      <c r="QPI886" s="208"/>
      <c r="QPJ886" s="208"/>
      <c r="QPK886" s="208"/>
      <c r="QPL886" s="208"/>
      <c r="QPM886" s="208"/>
      <c r="QPN886" s="208"/>
      <c r="QPO886" s="208"/>
      <c r="QPP886" s="208"/>
      <c r="QPQ886" s="208"/>
      <c r="QPR886" s="208"/>
      <c r="QPS886" s="208"/>
      <c r="QPT886" s="208"/>
      <c r="QPU886" s="208"/>
      <c r="QPV886" s="208"/>
      <c r="QPW886" s="208"/>
      <c r="QPX886" s="208"/>
      <c r="QPY886" s="208"/>
      <c r="QPZ886" s="208"/>
      <c r="QQA886" s="208"/>
      <c r="QQB886" s="208"/>
      <c r="QQC886" s="208"/>
      <c r="QQD886" s="208"/>
      <c r="QQE886" s="208"/>
      <c r="QQF886" s="208"/>
      <c r="QQG886" s="208"/>
      <c r="QQH886" s="208"/>
      <c r="QQI886" s="208"/>
      <c r="QQJ886" s="208"/>
      <c r="QQK886" s="208"/>
      <c r="QQL886" s="208"/>
      <c r="QQM886" s="208"/>
      <c r="QQN886" s="208"/>
      <c r="QQO886" s="208"/>
      <c r="QQP886" s="208"/>
      <c r="QQQ886" s="208"/>
      <c r="QQR886" s="208"/>
      <c r="QQS886" s="208"/>
      <c r="QQT886" s="208"/>
      <c r="QQU886" s="208"/>
      <c r="QQV886" s="208"/>
      <c r="QQW886" s="208"/>
      <c r="QQX886" s="208"/>
      <c r="QQY886" s="208"/>
      <c r="QQZ886" s="208"/>
      <c r="QRA886" s="208"/>
      <c r="QRB886" s="208"/>
      <c r="QRC886" s="208"/>
      <c r="QRD886" s="208"/>
      <c r="QRE886" s="208"/>
      <c r="QRF886" s="208"/>
      <c r="QRG886" s="208"/>
      <c r="QRH886" s="208"/>
      <c r="QRI886" s="208"/>
      <c r="QRJ886" s="208"/>
      <c r="QRK886" s="208"/>
      <c r="QRL886" s="208"/>
      <c r="QRM886" s="208"/>
      <c r="QRN886" s="208"/>
      <c r="QRO886" s="208"/>
      <c r="QRP886" s="208"/>
      <c r="QRQ886" s="208"/>
      <c r="QRR886" s="208"/>
      <c r="QRS886" s="208"/>
      <c r="QRT886" s="208"/>
      <c r="QRU886" s="208"/>
      <c r="QRV886" s="208"/>
      <c r="QRW886" s="208"/>
      <c r="QRX886" s="208"/>
      <c r="QRY886" s="208"/>
      <c r="QRZ886" s="208"/>
      <c r="QSA886" s="208"/>
      <c r="QSB886" s="208"/>
      <c r="QSC886" s="208"/>
      <c r="QSD886" s="208"/>
      <c r="QSE886" s="208"/>
      <c r="QSF886" s="208"/>
      <c r="QSG886" s="208"/>
      <c r="QSH886" s="208"/>
      <c r="QSI886" s="208"/>
      <c r="QSJ886" s="208"/>
      <c r="QSK886" s="208"/>
      <c r="QSL886" s="208"/>
      <c r="QSM886" s="208"/>
      <c r="QSN886" s="208"/>
      <c r="QSO886" s="208"/>
      <c r="QSP886" s="208"/>
      <c r="QSQ886" s="208"/>
      <c r="QSR886" s="208"/>
      <c r="QSS886" s="208"/>
      <c r="QST886" s="208"/>
      <c r="QSU886" s="208"/>
      <c r="QSV886" s="208"/>
      <c r="QSW886" s="208"/>
      <c r="QSX886" s="208"/>
      <c r="QSY886" s="208"/>
      <c r="QSZ886" s="208"/>
      <c r="QTA886" s="208"/>
      <c r="QTB886" s="208"/>
      <c r="QTC886" s="208"/>
      <c r="QTD886" s="208"/>
      <c r="QTE886" s="208"/>
      <c r="QTF886" s="208"/>
      <c r="QTG886" s="208"/>
      <c r="QTH886" s="208"/>
      <c r="QTI886" s="208"/>
      <c r="QTJ886" s="208"/>
      <c r="QTK886" s="208"/>
      <c r="QTL886" s="208"/>
      <c r="QTM886" s="208"/>
      <c r="QTN886" s="208"/>
      <c r="QTO886" s="208"/>
      <c r="QTP886" s="208"/>
      <c r="QTQ886" s="208"/>
      <c r="QTR886" s="208"/>
      <c r="QTS886" s="208"/>
      <c r="QTT886" s="208"/>
      <c r="QTU886" s="208"/>
      <c r="QTV886" s="208"/>
      <c r="QTW886" s="208"/>
      <c r="QTX886" s="208"/>
      <c r="QTY886" s="208"/>
      <c r="QTZ886" s="208"/>
      <c r="QUA886" s="208"/>
      <c r="QUB886" s="208"/>
      <c r="QUC886" s="208"/>
      <c r="QUD886" s="208"/>
      <c r="QUE886" s="208"/>
      <c r="QUF886" s="208"/>
      <c r="QUG886" s="208"/>
      <c r="QUH886" s="208"/>
      <c r="QUI886" s="208"/>
      <c r="QUJ886" s="208"/>
      <c r="QUK886" s="208"/>
      <c r="QUL886" s="208"/>
      <c r="QUM886" s="208"/>
      <c r="QUN886" s="208"/>
      <c r="QUO886" s="208"/>
      <c r="QUP886" s="208"/>
      <c r="QUQ886" s="208"/>
      <c r="QUR886" s="208"/>
      <c r="QUS886" s="208"/>
      <c r="QUT886" s="208"/>
      <c r="QUU886" s="208"/>
      <c r="QUV886" s="208"/>
      <c r="QUW886" s="208"/>
      <c r="QUX886" s="208"/>
      <c r="QUY886" s="208"/>
      <c r="QUZ886" s="208"/>
      <c r="QVA886" s="208"/>
      <c r="QVB886" s="208"/>
      <c r="QVC886" s="208"/>
      <c r="QVD886" s="208"/>
      <c r="QVE886" s="208"/>
      <c r="QVF886" s="208"/>
      <c r="QVG886" s="208"/>
      <c r="QVH886" s="208"/>
      <c r="QVI886" s="208"/>
      <c r="QVJ886" s="208"/>
      <c r="QVK886" s="208"/>
      <c r="QVL886" s="208"/>
      <c r="QVM886" s="208"/>
      <c r="QVN886" s="208"/>
      <c r="QVO886" s="208"/>
      <c r="QVP886" s="208"/>
      <c r="QVQ886" s="208"/>
      <c r="QVR886" s="208"/>
      <c r="QVS886" s="208"/>
      <c r="QVT886" s="208"/>
      <c r="QVU886" s="208"/>
      <c r="QVV886" s="208"/>
      <c r="QVW886" s="208"/>
      <c r="QVX886" s="208"/>
      <c r="QVY886" s="208"/>
      <c r="QVZ886" s="208"/>
      <c r="QWA886" s="208"/>
      <c r="QWB886" s="208"/>
      <c r="QWC886" s="208"/>
      <c r="QWD886" s="208"/>
      <c r="QWE886" s="208"/>
      <c r="QWF886" s="208"/>
      <c r="QWG886" s="208"/>
      <c r="QWH886" s="208"/>
      <c r="QWI886" s="208"/>
      <c r="QWJ886" s="208"/>
      <c r="QWK886" s="208"/>
      <c r="QWL886" s="208"/>
      <c r="QWM886" s="208"/>
      <c r="QWN886" s="208"/>
      <c r="QWO886" s="208"/>
      <c r="QWP886" s="208"/>
      <c r="QWQ886" s="208"/>
      <c r="QWR886" s="208"/>
      <c r="QWS886" s="208"/>
      <c r="QWT886" s="208"/>
      <c r="QWU886" s="208"/>
      <c r="QWV886" s="208"/>
      <c r="QWW886" s="208"/>
      <c r="QWX886" s="208"/>
      <c r="QWY886" s="208"/>
      <c r="QWZ886" s="208"/>
      <c r="QXA886" s="208"/>
      <c r="QXB886" s="208"/>
      <c r="QXC886" s="208"/>
      <c r="QXD886" s="208"/>
      <c r="QXE886" s="208"/>
      <c r="QXF886" s="208"/>
      <c r="QXG886" s="208"/>
      <c r="QXH886" s="208"/>
      <c r="QXI886" s="208"/>
      <c r="QXJ886" s="208"/>
      <c r="QXK886" s="208"/>
      <c r="QXL886" s="208"/>
      <c r="QXM886" s="208"/>
      <c r="QXN886" s="208"/>
      <c r="QXO886" s="208"/>
      <c r="QXP886" s="208"/>
      <c r="QXQ886" s="208"/>
      <c r="QXR886" s="208"/>
      <c r="QXS886" s="208"/>
      <c r="QXT886" s="208"/>
      <c r="QXU886" s="208"/>
      <c r="QXV886" s="208"/>
      <c r="QXW886" s="208"/>
      <c r="QXX886" s="208"/>
      <c r="QXY886" s="208"/>
      <c r="QXZ886" s="208"/>
      <c r="QYA886" s="208"/>
      <c r="QYB886" s="208"/>
      <c r="QYC886" s="208"/>
      <c r="QYD886" s="208"/>
      <c r="QYE886" s="208"/>
      <c r="QYF886" s="208"/>
      <c r="QYG886" s="208"/>
      <c r="QYH886" s="208"/>
      <c r="QYI886" s="208"/>
      <c r="QYJ886" s="208"/>
      <c r="QYK886" s="208"/>
      <c r="QYL886" s="208"/>
      <c r="QYM886" s="208"/>
      <c r="QYN886" s="208"/>
      <c r="QYO886" s="208"/>
      <c r="QYP886" s="208"/>
      <c r="QYQ886" s="208"/>
      <c r="QYR886" s="208"/>
      <c r="QYS886" s="208"/>
      <c r="QYT886" s="208"/>
      <c r="QYU886" s="208"/>
      <c r="QYV886" s="208"/>
      <c r="QYW886" s="208"/>
      <c r="QYX886" s="208"/>
      <c r="QYY886" s="208"/>
      <c r="QYZ886" s="208"/>
      <c r="QZA886" s="208"/>
      <c r="QZB886" s="208"/>
      <c r="QZC886" s="208"/>
      <c r="QZD886" s="208"/>
      <c r="QZE886" s="208"/>
      <c r="QZF886" s="208"/>
      <c r="QZG886" s="208"/>
      <c r="QZH886" s="208"/>
      <c r="QZI886" s="208"/>
      <c r="QZJ886" s="208"/>
      <c r="QZK886" s="208"/>
      <c r="QZL886" s="208"/>
      <c r="QZM886" s="208"/>
      <c r="QZN886" s="208"/>
      <c r="QZO886" s="208"/>
      <c r="QZP886" s="208"/>
      <c r="QZQ886" s="208"/>
      <c r="QZR886" s="208"/>
      <c r="QZS886" s="208"/>
      <c r="QZT886" s="208"/>
      <c r="QZU886" s="208"/>
      <c r="QZV886" s="208"/>
      <c r="QZW886" s="208"/>
      <c r="QZX886" s="208"/>
      <c r="QZY886" s="208"/>
      <c r="QZZ886" s="208"/>
      <c r="RAA886" s="208"/>
      <c r="RAB886" s="208"/>
      <c r="RAC886" s="208"/>
      <c r="RAD886" s="208"/>
      <c r="RAE886" s="208"/>
      <c r="RAF886" s="208"/>
      <c r="RAG886" s="208"/>
      <c r="RAH886" s="208"/>
      <c r="RAI886" s="208"/>
      <c r="RAJ886" s="208"/>
      <c r="RAK886" s="208"/>
      <c r="RAL886" s="208"/>
      <c r="RAM886" s="208"/>
      <c r="RAN886" s="208"/>
      <c r="RAO886" s="208"/>
      <c r="RAP886" s="208"/>
      <c r="RAQ886" s="208"/>
      <c r="RAR886" s="208"/>
      <c r="RAS886" s="208"/>
      <c r="RAT886" s="208"/>
      <c r="RAU886" s="208"/>
      <c r="RAV886" s="208"/>
      <c r="RAW886" s="208"/>
      <c r="RAX886" s="208"/>
      <c r="RAY886" s="208"/>
      <c r="RAZ886" s="208"/>
      <c r="RBA886" s="208"/>
      <c r="RBB886" s="208"/>
      <c r="RBC886" s="208"/>
      <c r="RBD886" s="208"/>
      <c r="RBE886" s="208"/>
      <c r="RBF886" s="208"/>
      <c r="RBG886" s="208"/>
      <c r="RBH886" s="208"/>
      <c r="RBI886" s="208"/>
      <c r="RBJ886" s="208"/>
      <c r="RBK886" s="208"/>
      <c r="RBL886" s="208"/>
      <c r="RBM886" s="208"/>
      <c r="RBN886" s="208"/>
      <c r="RBO886" s="208"/>
      <c r="RBP886" s="208"/>
      <c r="RBQ886" s="208"/>
      <c r="RBR886" s="208"/>
      <c r="RBS886" s="208"/>
      <c r="RBT886" s="208"/>
      <c r="RBU886" s="208"/>
      <c r="RBV886" s="208"/>
      <c r="RBW886" s="208"/>
      <c r="RBX886" s="208"/>
      <c r="RBY886" s="208"/>
      <c r="RBZ886" s="208"/>
      <c r="RCA886" s="208"/>
      <c r="RCB886" s="208"/>
      <c r="RCC886" s="208"/>
      <c r="RCD886" s="208"/>
      <c r="RCE886" s="208"/>
      <c r="RCF886" s="208"/>
      <c r="RCG886" s="208"/>
      <c r="RCH886" s="208"/>
      <c r="RCI886" s="208"/>
      <c r="RCJ886" s="208"/>
      <c r="RCK886" s="208"/>
      <c r="RCL886" s="208"/>
      <c r="RCM886" s="208"/>
      <c r="RCN886" s="208"/>
      <c r="RCO886" s="208"/>
      <c r="RCP886" s="208"/>
      <c r="RCQ886" s="208"/>
      <c r="RCR886" s="208"/>
      <c r="RCS886" s="208"/>
      <c r="RCT886" s="208"/>
      <c r="RCU886" s="208"/>
      <c r="RCV886" s="208"/>
      <c r="RCW886" s="208"/>
      <c r="RCX886" s="208"/>
      <c r="RCY886" s="208"/>
      <c r="RCZ886" s="208"/>
      <c r="RDA886" s="208"/>
      <c r="RDB886" s="208"/>
      <c r="RDC886" s="208"/>
      <c r="RDD886" s="208"/>
      <c r="RDE886" s="208"/>
      <c r="RDF886" s="208"/>
      <c r="RDG886" s="208"/>
      <c r="RDH886" s="208"/>
      <c r="RDI886" s="208"/>
      <c r="RDJ886" s="208"/>
      <c r="RDK886" s="208"/>
      <c r="RDL886" s="208"/>
      <c r="RDM886" s="208"/>
      <c r="RDN886" s="208"/>
      <c r="RDO886" s="208"/>
      <c r="RDP886" s="208"/>
      <c r="RDQ886" s="208"/>
      <c r="RDR886" s="208"/>
      <c r="RDS886" s="208"/>
      <c r="RDT886" s="208"/>
      <c r="RDU886" s="208"/>
      <c r="RDV886" s="208"/>
      <c r="RDW886" s="208"/>
      <c r="RDX886" s="208"/>
      <c r="RDY886" s="208"/>
      <c r="RDZ886" s="208"/>
      <c r="REA886" s="208"/>
      <c r="REB886" s="208"/>
      <c r="REC886" s="208"/>
      <c r="RED886" s="208"/>
      <c r="REE886" s="208"/>
      <c r="REF886" s="208"/>
      <c r="REG886" s="208"/>
      <c r="REH886" s="208"/>
      <c r="REI886" s="208"/>
      <c r="REJ886" s="208"/>
      <c r="REK886" s="208"/>
      <c r="REL886" s="208"/>
      <c r="REM886" s="208"/>
      <c r="REN886" s="208"/>
      <c r="REO886" s="208"/>
      <c r="REP886" s="208"/>
      <c r="REQ886" s="208"/>
      <c r="RER886" s="208"/>
      <c r="RES886" s="208"/>
      <c r="RET886" s="208"/>
      <c r="REU886" s="208"/>
      <c r="REV886" s="208"/>
      <c r="REW886" s="208"/>
      <c r="REX886" s="208"/>
      <c r="REY886" s="208"/>
      <c r="REZ886" s="208"/>
      <c r="RFA886" s="208"/>
      <c r="RFB886" s="208"/>
      <c r="RFC886" s="208"/>
      <c r="RFD886" s="208"/>
      <c r="RFE886" s="208"/>
      <c r="RFF886" s="208"/>
      <c r="RFG886" s="208"/>
      <c r="RFH886" s="208"/>
      <c r="RFI886" s="208"/>
      <c r="RFJ886" s="208"/>
      <c r="RFK886" s="208"/>
      <c r="RFL886" s="208"/>
      <c r="RFM886" s="208"/>
      <c r="RFN886" s="208"/>
      <c r="RFO886" s="208"/>
      <c r="RFP886" s="208"/>
      <c r="RFQ886" s="208"/>
      <c r="RFR886" s="208"/>
      <c r="RFS886" s="208"/>
      <c r="RFT886" s="208"/>
      <c r="RFU886" s="208"/>
      <c r="RFV886" s="208"/>
      <c r="RFW886" s="208"/>
      <c r="RFX886" s="208"/>
      <c r="RFY886" s="208"/>
      <c r="RFZ886" s="208"/>
      <c r="RGA886" s="208"/>
      <c r="RGB886" s="208"/>
      <c r="RGC886" s="208"/>
      <c r="RGD886" s="208"/>
      <c r="RGE886" s="208"/>
      <c r="RGF886" s="208"/>
      <c r="RGG886" s="208"/>
      <c r="RGH886" s="208"/>
      <c r="RGI886" s="208"/>
      <c r="RGJ886" s="208"/>
      <c r="RGK886" s="208"/>
      <c r="RGL886" s="208"/>
      <c r="RGM886" s="208"/>
      <c r="RGN886" s="208"/>
      <c r="RGO886" s="208"/>
      <c r="RGP886" s="208"/>
      <c r="RGQ886" s="208"/>
      <c r="RGR886" s="208"/>
      <c r="RGS886" s="208"/>
      <c r="RGT886" s="208"/>
      <c r="RGU886" s="208"/>
      <c r="RGV886" s="208"/>
      <c r="RGW886" s="208"/>
      <c r="RGX886" s="208"/>
      <c r="RGY886" s="208"/>
      <c r="RGZ886" s="208"/>
      <c r="RHA886" s="208"/>
      <c r="RHB886" s="208"/>
      <c r="RHC886" s="208"/>
      <c r="RHD886" s="208"/>
      <c r="RHE886" s="208"/>
      <c r="RHF886" s="208"/>
      <c r="RHG886" s="208"/>
      <c r="RHH886" s="208"/>
      <c r="RHI886" s="208"/>
      <c r="RHJ886" s="208"/>
      <c r="RHK886" s="208"/>
      <c r="RHL886" s="208"/>
      <c r="RHM886" s="208"/>
      <c r="RHN886" s="208"/>
      <c r="RHO886" s="208"/>
      <c r="RHP886" s="208"/>
      <c r="RHQ886" s="208"/>
      <c r="RHR886" s="208"/>
      <c r="RHS886" s="208"/>
      <c r="RHT886" s="208"/>
      <c r="RHU886" s="208"/>
      <c r="RHV886" s="208"/>
      <c r="RHW886" s="208"/>
      <c r="RHX886" s="208"/>
      <c r="RHY886" s="208"/>
      <c r="RHZ886" s="208"/>
      <c r="RIA886" s="208"/>
      <c r="RIB886" s="208"/>
      <c r="RIC886" s="208"/>
      <c r="RID886" s="208"/>
      <c r="RIE886" s="208"/>
      <c r="RIF886" s="208"/>
      <c r="RIG886" s="208"/>
      <c r="RIH886" s="208"/>
      <c r="RII886" s="208"/>
      <c r="RIJ886" s="208"/>
      <c r="RIK886" s="208"/>
      <c r="RIL886" s="208"/>
      <c r="RIM886" s="208"/>
      <c r="RIN886" s="208"/>
      <c r="RIO886" s="208"/>
      <c r="RIP886" s="208"/>
      <c r="RIQ886" s="208"/>
      <c r="RIR886" s="208"/>
      <c r="RIS886" s="208"/>
      <c r="RIT886" s="208"/>
      <c r="RIU886" s="208"/>
      <c r="RIV886" s="208"/>
      <c r="RIW886" s="208"/>
      <c r="RIX886" s="208"/>
      <c r="RIY886" s="208"/>
      <c r="RIZ886" s="208"/>
      <c r="RJA886" s="208"/>
      <c r="RJB886" s="208"/>
      <c r="RJC886" s="208"/>
      <c r="RJD886" s="208"/>
      <c r="RJE886" s="208"/>
      <c r="RJF886" s="208"/>
      <c r="RJG886" s="208"/>
      <c r="RJH886" s="208"/>
      <c r="RJI886" s="208"/>
      <c r="RJJ886" s="208"/>
      <c r="RJK886" s="208"/>
      <c r="RJL886" s="208"/>
      <c r="RJM886" s="208"/>
      <c r="RJN886" s="208"/>
      <c r="RJO886" s="208"/>
      <c r="RJP886" s="208"/>
      <c r="RJQ886" s="208"/>
      <c r="RJR886" s="208"/>
      <c r="RJS886" s="208"/>
      <c r="RJT886" s="208"/>
      <c r="RJU886" s="208"/>
      <c r="RJV886" s="208"/>
      <c r="RJW886" s="208"/>
      <c r="RJX886" s="208"/>
      <c r="RJY886" s="208"/>
      <c r="RJZ886" s="208"/>
      <c r="RKA886" s="208"/>
      <c r="RKB886" s="208"/>
      <c r="RKC886" s="208"/>
      <c r="RKD886" s="208"/>
      <c r="RKE886" s="208"/>
      <c r="RKF886" s="208"/>
      <c r="RKG886" s="208"/>
      <c r="RKH886" s="208"/>
      <c r="RKI886" s="208"/>
      <c r="RKJ886" s="208"/>
      <c r="RKK886" s="208"/>
      <c r="RKL886" s="208"/>
      <c r="RKM886" s="208"/>
      <c r="RKN886" s="208"/>
      <c r="RKO886" s="208"/>
      <c r="RKP886" s="208"/>
      <c r="RKQ886" s="208"/>
      <c r="RKR886" s="208"/>
      <c r="RKS886" s="208"/>
      <c r="RKT886" s="208"/>
      <c r="RKU886" s="208"/>
      <c r="RKV886" s="208"/>
      <c r="RKW886" s="208"/>
      <c r="RKX886" s="208"/>
      <c r="RKY886" s="208"/>
      <c r="RKZ886" s="208"/>
      <c r="RLA886" s="208"/>
      <c r="RLB886" s="208"/>
      <c r="RLC886" s="208"/>
      <c r="RLD886" s="208"/>
      <c r="RLE886" s="208"/>
      <c r="RLF886" s="208"/>
      <c r="RLG886" s="208"/>
      <c r="RLH886" s="208"/>
      <c r="RLI886" s="208"/>
      <c r="RLJ886" s="208"/>
      <c r="RLK886" s="208"/>
      <c r="RLL886" s="208"/>
      <c r="RLM886" s="208"/>
      <c r="RLN886" s="208"/>
      <c r="RLO886" s="208"/>
      <c r="RLP886" s="208"/>
      <c r="RLQ886" s="208"/>
      <c r="RLR886" s="208"/>
      <c r="RLS886" s="208"/>
      <c r="RLT886" s="208"/>
      <c r="RLU886" s="208"/>
      <c r="RLV886" s="208"/>
      <c r="RLW886" s="208"/>
      <c r="RLX886" s="208"/>
      <c r="RLY886" s="208"/>
      <c r="RLZ886" s="208"/>
      <c r="RMA886" s="208"/>
      <c r="RMB886" s="208"/>
      <c r="RMC886" s="208"/>
      <c r="RMD886" s="208"/>
      <c r="RME886" s="208"/>
      <c r="RMF886" s="208"/>
      <c r="RMG886" s="208"/>
      <c r="RMH886" s="208"/>
      <c r="RMI886" s="208"/>
      <c r="RMJ886" s="208"/>
      <c r="RMK886" s="208"/>
      <c r="RML886" s="208"/>
      <c r="RMM886" s="208"/>
      <c r="RMN886" s="208"/>
      <c r="RMO886" s="208"/>
      <c r="RMP886" s="208"/>
      <c r="RMQ886" s="208"/>
      <c r="RMR886" s="208"/>
      <c r="RMS886" s="208"/>
      <c r="RMT886" s="208"/>
      <c r="RMU886" s="208"/>
      <c r="RMV886" s="208"/>
      <c r="RMW886" s="208"/>
      <c r="RMX886" s="208"/>
      <c r="RMY886" s="208"/>
      <c r="RMZ886" s="208"/>
      <c r="RNA886" s="208"/>
      <c r="RNB886" s="208"/>
      <c r="RNC886" s="208"/>
      <c r="RND886" s="208"/>
      <c r="RNE886" s="208"/>
      <c r="RNF886" s="208"/>
      <c r="RNG886" s="208"/>
      <c r="RNH886" s="208"/>
      <c r="RNI886" s="208"/>
      <c r="RNJ886" s="208"/>
      <c r="RNK886" s="208"/>
      <c r="RNL886" s="208"/>
      <c r="RNM886" s="208"/>
      <c r="RNN886" s="208"/>
      <c r="RNO886" s="208"/>
      <c r="RNP886" s="208"/>
      <c r="RNQ886" s="208"/>
      <c r="RNR886" s="208"/>
      <c r="RNS886" s="208"/>
      <c r="RNT886" s="208"/>
      <c r="RNU886" s="208"/>
      <c r="RNV886" s="208"/>
      <c r="RNW886" s="208"/>
      <c r="RNX886" s="208"/>
      <c r="RNY886" s="208"/>
      <c r="RNZ886" s="208"/>
      <c r="ROA886" s="208"/>
      <c r="ROB886" s="208"/>
      <c r="ROC886" s="208"/>
      <c r="ROD886" s="208"/>
      <c r="ROE886" s="208"/>
      <c r="ROF886" s="208"/>
      <c r="ROG886" s="208"/>
      <c r="ROH886" s="208"/>
      <c r="ROI886" s="208"/>
      <c r="ROJ886" s="208"/>
      <c r="ROK886" s="208"/>
      <c r="ROL886" s="208"/>
      <c r="ROM886" s="208"/>
      <c r="RON886" s="208"/>
      <c r="ROO886" s="208"/>
      <c r="ROP886" s="208"/>
      <c r="ROQ886" s="208"/>
      <c r="ROR886" s="208"/>
      <c r="ROS886" s="208"/>
      <c r="ROT886" s="208"/>
      <c r="ROU886" s="208"/>
      <c r="ROV886" s="208"/>
      <c r="ROW886" s="208"/>
      <c r="ROX886" s="208"/>
      <c r="ROY886" s="208"/>
      <c r="ROZ886" s="208"/>
      <c r="RPA886" s="208"/>
      <c r="RPB886" s="208"/>
      <c r="RPC886" s="208"/>
      <c r="RPD886" s="208"/>
      <c r="RPE886" s="208"/>
      <c r="RPF886" s="208"/>
      <c r="RPG886" s="208"/>
      <c r="RPH886" s="208"/>
      <c r="RPI886" s="208"/>
      <c r="RPJ886" s="208"/>
      <c r="RPK886" s="208"/>
      <c r="RPL886" s="208"/>
      <c r="RPM886" s="208"/>
      <c r="RPN886" s="208"/>
      <c r="RPO886" s="208"/>
      <c r="RPP886" s="208"/>
      <c r="RPQ886" s="208"/>
      <c r="RPR886" s="208"/>
      <c r="RPS886" s="208"/>
      <c r="RPT886" s="208"/>
      <c r="RPU886" s="208"/>
      <c r="RPV886" s="208"/>
      <c r="RPW886" s="208"/>
      <c r="RPX886" s="208"/>
      <c r="RPY886" s="208"/>
      <c r="RPZ886" s="208"/>
      <c r="RQA886" s="208"/>
      <c r="RQB886" s="208"/>
      <c r="RQC886" s="208"/>
      <c r="RQD886" s="208"/>
      <c r="RQE886" s="208"/>
      <c r="RQF886" s="208"/>
      <c r="RQG886" s="208"/>
      <c r="RQH886" s="208"/>
      <c r="RQI886" s="208"/>
      <c r="RQJ886" s="208"/>
      <c r="RQK886" s="208"/>
      <c r="RQL886" s="208"/>
      <c r="RQM886" s="208"/>
      <c r="RQN886" s="208"/>
      <c r="RQO886" s="208"/>
      <c r="RQP886" s="208"/>
      <c r="RQQ886" s="208"/>
      <c r="RQR886" s="208"/>
      <c r="RQS886" s="208"/>
      <c r="RQT886" s="208"/>
      <c r="RQU886" s="208"/>
      <c r="RQV886" s="208"/>
      <c r="RQW886" s="208"/>
      <c r="RQX886" s="208"/>
      <c r="RQY886" s="208"/>
      <c r="RQZ886" s="208"/>
      <c r="RRA886" s="208"/>
      <c r="RRB886" s="208"/>
      <c r="RRC886" s="208"/>
      <c r="RRD886" s="208"/>
      <c r="RRE886" s="208"/>
      <c r="RRF886" s="208"/>
      <c r="RRG886" s="208"/>
      <c r="RRH886" s="208"/>
      <c r="RRI886" s="208"/>
      <c r="RRJ886" s="208"/>
      <c r="RRK886" s="208"/>
      <c r="RRL886" s="208"/>
      <c r="RRM886" s="208"/>
      <c r="RRN886" s="208"/>
      <c r="RRO886" s="208"/>
      <c r="RRP886" s="208"/>
      <c r="RRQ886" s="208"/>
      <c r="RRR886" s="208"/>
      <c r="RRS886" s="208"/>
      <c r="RRT886" s="208"/>
      <c r="RRU886" s="208"/>
      <c r="RRV886" s="208"/>
      <c r="RRW886" s="208"/>
      <c r="RRX886" s="208"/>
      <c r="RRY886" s="208"/>
      <c r="RRZ886" s="208"/>
      <c r="RSA886" s="208"/>
      <c r="RSB886" s="208"/>
      <c r="RSC886" s="208"/>
      <c r="RSD886" s="208"/>
      <c r="RSE886" s="208"/>
      <c r="RSF886" s="208"/>
      <c r="RSG886" s="208"/>
      <c r="RSH886" s="208"/>
      <c r="RSI886" s="208"/>
      <c r="RSJ886" s="208"/>
      <c r="RSK886" s="208"/>
      <c r="RSL886" s="208"/>
      <c r="RSM886" s="208"/>
      <c r="RSN886" s="208"/>
      <c r="RSO886" s="208"/>
      <c r="RSP886" s="208"/>
      <c r="RSQ886" s="208"/>
      <c r="RSR886" s="208"/>
      <c r="RSS886" s="208"/>
      <c r="RST886" s="208"/>
      <c r="RSU886" s="208"/>
      <c r="RSV886" s="208"/>
      <c r="RSW886" s="208"/>
      <c r="RSX886" s="208"/>
      <c r="RSY886" s="208"/>
      <c r="RSZ886" s="208"/>
      <c r="RTA886" s="208"/>
      <c r="RTB886" s="208"/>
      <c r="RTC886" s="208"/>
      <c r="RTD886" s="208"/>
      <c r="RTE886" s="208"/>
      <c r="RTF886" s="208"/>
      <c r="RTG886" s="208"/>
      <c r="RTH886" s="208"/>
      <c r="RTI886" s="208"/>
      <c r="RTJ886" s="208"/>
      <c r="RTK886" s="208"/>
      <c r="RTL886" s="208"/>
      <c r="RTM886" s="208"/>
      <c r="RTN886" s="208"/>
      <c r="RTO886" s="208"/>
      <c r="RTP886" s="208"/>
      <c r="RTQ886" s="208"/>
      <c r="RTR886" s="208"/>
      <c r="RTS886" s="208"/>
      <c r="RTT886" s="208"/>
      <c r="RTU886" s="208"/>
      <c r="RTV886" s="208"/>
      <c r="RTW886" s="208"/>
      <c r="RTX886" s="208"/>
      <c r="RTY886" s="208"/>
      <c r="RTZ886" s="208"/>
      <c r="RUA886" s="208"/>
      <c r="RUB886" s="208"/>
      <c r="RUC886" s="208"/>
      <c r="RUD886" s="208"/>
      <c r="RUE886" s="208"/>
      <c r="RUF886" s="208"/>
      <c r="RUG886" s="208"/>
      <c r="RUH886" s="208"/>
      <c r="RUI886" s="208"/>
      <c r="RUJ886" s="208"/>
      <c r="RUK886" s="208"/>
      <c r="RUL886" s="208"/>
      <c r="RUM886" s="208"/>
      <c r="RUN886" s="208"/>
      <c r="RUO886" s="208"/>
      <c r="RUP886" s="208"/>
      <c r="RUQ886" s="208"/>
      <c r="RUR886" s="208"/>
      <c r="RUS886" s="208"/>
      <c r="RUT886" s="208"/>
      <c r="RUU886" s="208"/>
      <c r="RUV886" s="208"/>
      <c r="RUW886" s="208"/>
      <c r="RUX886" s="208"/>
      <c r="RUY886" s="208"/>
      <c r="RUZ886" s="208"/>
      <c r="RVA886" s="208"/>
      <c r="RVB886" s="208"/>
      <c r="RVC886" s="208"/>
      <c r="RVD886" s="208"/>
      <c r="RVE886" s="208"/>
      <c r="RVF886" s="208"/>
      <c r="RVG886" s="208"/>
      <c r="RVH886" s="208"/>
      <c r="RVI886" s="208"/>
      <c r="RVJ886" s="208"/>
      <c r="RVK886" s="208"/>
      <c r="RVL886" s="208"/>
      <c r="RVM886" s="208"/>
      <c r="RVN886" s="208"/>
      <c r="RVO886" s="208"/>
      <c r="RVP886" s="208"/>
      <c r="RVQ886" s="208"/>
      <c r="RVR886" s="208"/>
      <c r="RVS886" s="208"/>
      <c r="RVT886" s="208"/>
      <c r="RVU886" s="208"/>
      <c r="RVV886" s="208"/>
      <c r="RVW886" s="208"/>
      <c r="RVX886" s="208"/>
      <c r="RVY886" s="208"/>
      <c r="RVZ886" s="208"/>
      <c r="RWA886" s="208"/>
      <c r="RWB886" s="208"/>
      <c r="RWC886" s="208"/>
      <c r="RWD886" s="208"/>
      <c r="RWE886" s="208"/>
      <c r="RWF886" s="208"/>
      <c r="RWG886" s="208"/>
      <c r="RWH886" s="208"/>
      <c r="RWI886" s="208"/>
      <c r="RWJ886" s="208"/>
      <c r="RWK886" s="208"/>
      <c r="RWL886" s="208"/>
      <c r="RWM886" s="208"/>
      <c r="RWN886" s="208"/>
      <c r="RWO886" s="208"/>
      <c r="RWP886" s="208"/>
      <c r="RWQ886" s="208"/>
      <c r="RWR886" s="208"/>
      <c r="RWS886" s="208"/>
      <c r="RWT886" s="208"/>
      <c r="RWU886" s="208"/>
      <c r="RWV886" s="208"/>
      <c r="RWW886" s="208"/>
      <c r="RWX886" s="208"/>
      <c r="RWY886" s="208"/>
      <c r="RWZ886" s="208"/>
      <c r="RXA886" s="208"/>
      <c r="RXB886" s="208"/>
      <c r="RXC886" s="208"/>
      <c r="RXD886" s="208"/>
      <c r="RXE886" s="208"/>
      <c r="RXF886" s="208"/>
      <c r="RXG886" s="208"/>
      <c r="RXH886" s="208"/>
      <c r="RXI886" s="208"/>
      <c r="RXJ886" s="208"/>
      <c r="RXK886" s="208"/>
      <c r="RXL886" s="208"/>
      <c r="RXM886" s="208"/>
      <c r="RXN886" s="208"/>
      <c r="RXO886" s="208"/>
      <c r="RXP886" s="208"/>
      <c r="RXQ886" s="208"/>
      <c r="RXR886" s="208"/>
      <c r="RXS886" s="208"/>
      <c r="RXT886" s="208"/>
      <c r="RXU886" s="208"/>
      <c r="RXV886" s="208"/>
      <c r="RXW886" s="208"/>
      <c r="RXX886" s="208"/>
      <c r="RXY886" s="208"/>
      <c r="RXZ886" s="208"/>
      <c r="RYA886" s="208"/>
      <c r="RYB886" s="208"/>
      <c r="RYC886" s="208"/>
      <c r="RYD886" s="208"/>
      <c r="RYE886" s="208"/>
      <c r="RYF886" s="208"/>
      <c r="RYG886" s="208"/>
      <c r="RYH886" s="208"/>
      <c r="RYI886" s="208"/>
      <c r="RYJ886" s="208"/>
      <c r="RYK886" s="208"/>
      <c r="RYL886" s="208"/>
      <c r="RYM886" s="208"/>
      <c r="RYN886" s="208"/>
      <c r="RYO886" s="208"/>
      <c r="RYP886" s="208"/>
      <c r="RYQ886" s="208"/>
      <c r="RYR886" s="208"/>
      <c r="RYS886" s="208"/>
      <c r="RYT886" s="208"/>
      <c r="RYU886" s="208"/>
      <c r="RYV886" s="208"/>
      <c r="RYW886" s="208"/>
      <c r="RYX886" s="208"/>
      <c r="RYY886" s="208"/>
      <c r="RYZ886" s="208"/>
      <c r="RZA886" s="208"/>
      <c r="RZB886" s="208"/>
      <c r="RZC886" s="208"/>
      <c r="RZD886" s="208"/>
      <c r="RZE886" s="208"/>
      <c r="RZF886" s="208"/>
      <c r="RZG886" s="208"/>
      <c r="RZH886" s="208"/>
      <c r="RZI886" s="208"/>
      <c r="RZJ886" s="208"/>
      <c r="RZK886" s="208"/>
      <c r="RZL886" s="208"/>
      <c r="RZM886" s="208"/>
      <c r="RZN886" s="208"/>
      <c r="RZO886" s="208"/>
      <c r="RZP886" s="208"/>
      <c r="RZQ886" s="208"/>
      <c r="RZR886" s="208"/>
      <c r="RZS886" s="208"/>
      <c r="RZT886" s="208"/>
      <c r="RZU886" s="208"/>
      <c r="RZV886" s="208"/>
      <c r="RZW886" s="208"/>
      <c r="RZX886" s="208"/>
      <c r="RZY886" s="208"/>
      <c r="RZZ886" s="208"/>
      <c r="SAA886" s="208"/>
      <c r="SAB886" s="208"/>
      <c r="SAC886" s="208"/>
      <c r="SAD886" s="208"/>
      <c r="SAE886" s="208"/>
      <c r="SAF886" s="208"/>
      <c r="SAG886" s="208"/>
      <c r="SAH886" s="208"/>
      <c r="SAI886" s="208"/>
      <c r="SAJ886" s="208"/>
      <c r="SAK886" s="208"/>
      <c r="SAL886" s="208"/>
      <c r="SAM886" s="208"/>
      <c r="SAN886" s="208"/>
      <c r="SAO886" s="208"/>
      <c r="SAP886" s="208"/>
      <c r="SAQ886" s="208"/>
      <c r="SAR886" s="208"/>
      <c r="SAS886" s="208"/>
      <c r="SAT886" s="208"/>
      <c r="SAU886" s="208"/>
      <c r="SAV886" s="208"/>
      <c r="SAW886" s="208"/>
      <c r="SAX886" s="208"/>
      <c r="SAY886" s="208"/>
      <c r="SAZ886" s="208"/>
      <c r="SBA886" s="208"/>
      <c r="SBB886" s="208"/>
      <c r="SBC886" s="208"/>
      <c r="SBD886" s="208"/>
      <c r="SBE886" s="208"/>
      <c r="SBF886" s="208"/>
      <c r="SBG886" s="208"/>
      <c r="SBH886" s="208"/>
      <c r="SBI886" s="208"/>
      <c r="SBJ886" s="208"/>
      <c r="SBK886" s="208"/>
      <c r="SBL886" s="208"/>
      <c r="SBM886" s="208"/>
      <c r="SBN886" s="208"/>
      <c r="SBO886" s="208"/>
      <c r="SBP886" s="208"/>
      <c r="SBQ886" s="208"/>
      <c r="SBR886" s="208"/>
      <c r="SBS886" s="208"/>
      <c r="SBT886" s="208"/>
      <c r="SBU886" s="208"/>
      <c r="SBV886" s="208"/>
      <c r="SBW886" s="208"/>
      <c r="SBX886" s="208"/>
      <c r="SBY886" s="208"/>
      <c r="SBZ886" s="208"/>
      <c r="SCA886" s="208"/>
      <c r="SCB886" s="208"/>
      <c r="SCC886" s="208"/>
      <c r="SCD886" s="208"/>
      <c r="SCE886" s="208"/>
      <c r="SCF886" s="208"/>
      <c r="SCG886" s="208"/>
      <c r="SCH886" s="208"/>
      <c r="SCI886" s="208"/>
      <c r="SCJ886" s="208"/>
      <c r="SCK886" s="208"/>
      <c r="SCL886" s="208"/>
      <c r="SCM886" s="208"/>
      <c r="SCN886" s="208"/>
      <c r="SCO886" s="208"/>
      <c r="SCP886" s="208"/>
      <c r="SCQ886" s="208"/>
      <c r="SCR886" s="208"/>
      <c r="SCS886" s="208"/>
      <c r="SCT886" s="208"/>
      <c r="SCU886" s="208"/>
      <c r="SCV886" s="208"/>
      <c r="SCW886" s="208"/>
      <c r="SCX886" s="208"/>
      <c r="SCY886" s="208"/>
      <c r="SCZ886" s="208"/>
      <c r="SDA886" s="208"/>
      <c r="SDB886" s="208"/>
      <c r="SDC886" s="208"/>
      <c r="SDD886" s="208"/>
      <c r="SDE886" s="208"/>
      <c r="SDF886" s="208"/>
      <c r="SDG886" s="208"/>
      <c r="SDH886" s="208"/>
      <c r="SDI886" s="208"/>
      <c r="SDJ886" s="208"/>
      <c r="SDK886" s="208"/>
      <c r="SDL886" s="208"/>
      <c r="SDM886" s="208"/>
      <c r="SDN886" s="208"/>
      <c r="SDO886" s="208"/>
      <c r="SDP886" s="208"/>
      <c r="SDQ886" s="208"/>
      <c r="SDR886" s="208"/>
      <c r="SDS886" s="208"/>
      <c r="SDT886" s="208"/>
      <c r="SDU886" s="208"/>
      <c r="SDV886" s="208"/>
      <c r="SDW886" s="208"/>
      <c r="SDX886" s="208"/>
      <c r="SDY886" s="208"/>
      <c r="SDZ886" s="208"/>
      <c r="SEA886" s="208"/>
      <c r="SEB886" s="208"/>
      <c r="SEC886" s="208"/>
      <c r="SED886" s="208"/>
      <c r="SEE886" s="208"/>
      <c r="SEF886" s="208"/>
      <c r="SEG886" s="208"/>
      <c r="SEH886" s="208"/>
      <c r="SEI886" s="208"/>
      <c r="SEJ886" s="208"/>
      <c r="SEK886" s="208"/>
      <c r="SEL886" s="208"/>
      <c r="SEM886" s="208"/>
      <c r="SEN886" s="208"/>
      <c r="SEO886" s="208"/>
      <c r="SEP886" s="208"/>
      <c r="SEQ886" s="208"/>
      <c r="SER886" s="208"/>
      <c r="SES886" s="208"/>
      <c r="SET886" s="208"/>
      <c r="SEU886" s="208"/>
      <c r="SEV886" s="208"/>
      <c r="SEW886" s="208"/>
      <c r="SEX886" s="208"/>
      <c r="SEY886" s="208"/>
      <c r="SEZ886" s="208"/>
      <c r="SFA886" s="208"/>
      <c r="SFB886" s="208"/>
      <c r="SFC886" s="208"/>
      <c r="SFD886" s="208"/>
      <c r="SFE886" s="208"/>
      <c r="SFF886" s="208"/>
      <c r="SFG886" s="208"/>
      <c r="SFH886" s="208"/>
      <c r="SFI886" s="208"/>
      <c r="SFJ886" s="208"/>
      <c r="SFK886" s="208"/>
      <c r="SFL886" s="208"/>
      <c r="SFM886" s="208"/>
      <c r="SFN886" s="208"/>
      <c r="SFO886" s="208"/>
      <c r="SFP886" s="208"/>
      <c r="SFQ886" s="208"/>
      <c r="SFR886" s="208"/>
      <c r="SFS886" s="208"/>
      <c r="SFT886" s="208"/>
      <c r="SFU886" s="208"/>
      <c r="SFV886" s="208"/>
      <c r="SFW886" s="208"/>
      <c r="SFX886" s="208"/>
      <c r="SFY886" s="208"/>
      <c r="SFZ886" s="208"/>
      <c r="SGA886" s="208"/>
      <c r="SGB886" s="208"/>
      <c r="SGC886" s="208"/>
      <c r="SGD886" s="208"/>
      <c r="SGE886" s="208"/>
      <c r="SGF886" s="208"/>
      <c r="SGG886" s="208"/>
      <c r="SGH886" s="208"/>
      <c r="SGI886" s="208"/>
      <c r="SGJ886" s="208"/>
      <c r="SGK886" s="208"/>
      <c r="SGL886" s="208"/>
      <c r="SGM886" s="208"/>
      <c r="SGN886" s="208"/>
      <c r="SGO886" s="208"/>
      <c r="SGP886" s="208"/>
      <c r="SGQ886" s="208"/>
      <c r="SGR886" s="208"/>
      <c r="SGS886" s="208"/>
      <c r="SGT886" s="208"/>
      <c r="SGU886" s="208"/>
      <c r="SGV886" s="208"/>
      <c r="SGW886" s="208"/>
      <c r="SGX886" s="208"/>
      <c r="SGY886" s="208"/>
      <c r="SGZ886" s="208"/>
      <c r="SHA886" s="208"/>
      <c r="SHB886" s="208"/>
      <c r="SHC886" s="208"/>
      <c r="SHD886" s="208"/>
      <c r="SHE886" s="208"/>
      <c r="SHF886" s="208"/>
      <c r="SHG886" s="208"/>
      <c r="SHH886" s="208"/>
      <c r="SHI886" s="208"/>
      <c r="SHJ886" s="208"/>
      <c r="SHK886" s="208"/>
      <c r="SHL886" s="208"/>
      <c r="SHM886" s="208"/>
      <c r="SHN886" s="208"/>
      <c r="SHO886" s="208"/>
      <c r="SHP886" s="208"/>
      <c r="SHQ886" s="208"/>
      <c r="SHR886" s="208"/>
      <c r="SHS886" s="208"/>
      <c r="SHT886" s="208"/>
      <c r="SHU886" s="208"/>
      <c r="SHV886" s="208"/>
      <c r="SHW886" s="208"/>
      <c r="SHX886" s="208"/>
      <c r="SHY886" s="208"/>
      <c r="SHZ886" s="208"/>
      <c r="SIA886" s="208"/>
      <c r="SIB886" s="208"/>
      <c r="SIC886" s="208"/>
      <c r="SID886" s="208"/>
      <c r="SIE886" s="208"/>
      <c r="SIF886" s="208"/>
      <c r="SIG886" s="208"/>
      <c r="SIH886" s="208"/>
      <c r="SII886" s="208"/>
      <c r="SIJ886" s="208"/>
      <c r="SIK886" s="208"/>
      <c r="SIL886" s="208"/>
      <c r="SIM886" s="208"/>
      <c r="SIN886" s="208"/>
      <c r="SIO886" s="208"/>
      <c r="SIP886" s="208"/>
      <c r="SIQ886" s="208"/>
      <c r="SIR886" s="208"/>
      <c r="SIS886" s="208"/>
      <c r="SIT886" s="208"/>
      <c r="SIU886" s="208"/>
      <c r="SIV886" s="208"/>
      <c r="SIW886" s="208"/>
      <c r="SIX886" s="208"/>
      <c r="SIY886" s="208"/>
      <c r="SIZ886" s="208"/>
      <c r="SJA886" s="208"/>
      <c r="SJB886" s="208"/>
      <c r="SJC886" s="208"/>
      <c r="SJD886" s="208"/>
      <c r="SJE886" s="208"/>
      <c r="SJF886" s="208"/>
      <c r="SJG886" s="208"/>
      <c r="SJH886" s="208"/>
      <c r="SJI886" s="208"/>
      <c r="SJJ886" s="208"/>
      <c r="SJK886" s="208"/>
      <c r="SJL886" s="208"/>
      <c r="SJM886" s="208"/>
      <c r="SJN886" s="208"/>
      <c r="SJO886" s="208"/>
      <c r="SJP886" s="208"/>
      <c r="SJQ886" s="208"/>
      <c r="SJR886" s="208"/>
      <c r="SJS886" s="208"/>
      <c r="SJT886" s="208"/>
      <c r="SJU886" s="208"/>
      <c r="SJV886" s="208"/>
      <c r="SJW886" s="208"/>
      <c r="SJX886" s="208"/>
      <c r="SJY886" s="208"/>
      <c r="SJZ886" s="208"/>
      <c r="SKA886" s="208"/>
      <c r="SKB886" s="208"/>
      <c r="SKC886" s="208"/>
      <c r="SKD886" s="208"/>
      <c r="SKE886" s="208"/>
      <c r="SKF886" s="208"/>
      <c r="SKG886" s="208"/>
      <c r="SKH886" s="208"/>
      <c r="SKI886" s="208"/>
      <c r="SKJ886" s="208"/>
      <c r="SKK886" s="208"/>
      <c r="SKL886" s="208"/>
      <c r="SKM886" s="208"/>
      <c r="SKN886" s="208"/>
      <c r="SKO886" s="208"/>
      <c r="SKP886" s="208"/>
      <c r="SKQ886" s="208"/>
      <c r="SKR886" s="208"/>
      <c r="SKS886" s="208"/>
      <c r="SKT886" s="208"/>
      <c r="SKU886" s="208"/>
      <c r="SKV886" s="208"/>
      <c r="SKW886" s="208"/>
      <c r="SKX886" s="208"/>
      <c r="SKY886" s="208"/>
      <c r="SKZ886" s="208"/>
      <c r="SLA886" s="208"/>
      <c r="SLB886" s="208"/>
      <c r="SLC886" s="208"/>
      <c r="SLD886" s="208"/>
      <c r="SLE886" s="208"/>
      <c r="SLF886" s="208"/>
      <c r="SLG886" s="208"/>
      <c r="SLH886" s="208"/>
      <c r="SLI886" s="208"/>
      <c r="SLJ886" s="208"/>
      <c r="SLK886" s="208"/>
      <c r="SLL886" s="208"/>
      <c r="SLM886" s="208"/>
      <c r="SLN886" s="208"/>
      <c r="SLO886" s="208"/>
      <c r="SLP886" s="208"/>
      <c r="SLQ886" s="208"/>
      <c r="SLR886" s="208"/>
      <c r="SLS886" s="208"/>
      <c r="SLT886" s="208"/>
      <c r="SLU886" s="208"/>
      <c r="SLV886" s="208"/>
      <c r="SLW886" s="208"/>
      <c r="SLX886" s="208"/>
      <c r="SLY886" s="208"/>
      <c r="SLZ886" s="208"/>
      <c r="SMA886" s="208"/>
      <c r="SMB886" s="208"/>
      <c r="SMC886" s="208"/>
      <c r="SMD886" s="208"/>
      <c r="SME886" s="208"/>
      <c r="SMF886" s="208"/>
      <c r="SMG886" s="208"/>
      <c r="SMH886" s="208"/>
      <c r="SMI886" s="208"/>
      <c r="SMJ886" s="208"/>
      <c r="SMK886" s="208"/>
      <c r="SML886" s="208"/>
      <c r="SMM886" s="208"/>
      <c r="SMN886" s="208"/>
      <c r="SMO886" s="208"/>
      <c r="SMP886" s="208"/>
      <c r="SMQ886" s="208"/>
      <c r="SMR886" s="208"/>
      <c r="SMS886" s="208"/>
      <c r="SMT886" s="208"/>
      <c r="SMU886" s="208"/>
      <c r="SMV886" s="208"/>
      <c r="SMW886" s="208"/>
      <c r="SMX886" s="208"/>
      <c r="SMY886" s="208"/>
      <c r="SMZ886" s="208"/>
      <c r="SNA886" s="208"/>
      <c r="SNB886" s="208"/>
      <c r="SNC886" s="208"/>
      <c r="SND886" s="208"/>
      <c r="SNE886" s="208"/>
      <c r="SNF886" s="208"/>
      <c r="SNG886" s="208"/>
      <c r="SNH886" s="208"/>
      <c r="SNI886" s="208"/>
      <c r="SNJ886" s="208"/>
      <c r="SNK886" s="208"/>
      <c r="SNL886" s="208"/>
      <c r="SNM886" s="208"/>
      <c r="SNN886" s="208"/>
      <c r="SNO886" s="208"/>
      <c r="SNP886" s="208"/>
      <c r="SNQ886" s="208"/>
      <c r="SNR886" s="208"/>
      <c r="SNS886" s="208"/>
      <c r="SNT886" s="208"/>
      <c r="SNU886" s="208"/>
      <c r="SNV886" s="208"/>
      <c r="SNW886" s="208"/>
      <c r="SNX886" s="208"/>
      <c r="SNY886" s="208"/>
      <c r="SNZ886" s="208"/>
      <c r="SOA886" s="208"/>
      <c r="SOB886" s="208"/>
      <c r="SOC886" s="208"/>
      <c r="SOD886" s="208"/>
      <c r="SOE886" s="208"/>
      <c r="SOF886" s="208"/>
      <c r="SOG886" s="208"/>
      <c r="SOH886" s="208"/>
      <c r="SOI886" s="208"/>
      <c r="SOJ886" s="208"/>
      <c r="SOK886" s="208"/>
      <c r="SOL886" s="208"/>
      <c r="SOM886" s="208"/>
      <c r="SON886" s="208"/>
      <c r="SOO886" s="208"/>
      <c r="SOP886" s="208"/>
      <c r="SOQ886" s="208"/>
      <c r="SOR886" s="208"/>
      <c r="SOS886" s="208"/>
      <c r="SOT886" s="208"/>
      <c r="SOU886" s="208"/>
      <c r="SOV886" s="208"/>
      <c r="SOW886" s="208"/>
      <c r="SOX886" s="208"/>
      <c r="SOY886" s="208"/>
      <c r="SOZ886" s="208"/>
      <c r="SPA886" s="208"/>
      <c r="SPB886" s="208"/>
      <c r="SPC886" s="208"/>
      <c r="SPD886" s="208"/>
      <c r="SPE886" s="208"/>
      <c r="SPF886" s="208"/>
      <c r="SPG886" s="208"/>
      <c r="SPH886" s="208"/>
      <c r="SPI886" s="208"/>
      <c r="SPJ886" s="208"/>
      <c r="SPK886" s="208"/>
      <c r="SPL886" s="208"/>
      <c r="SPM886" s="208"/>
      <c r="SPN886" s="208"/>
      <c r="SPO886" s="208"/>
      <c r="SPP886" s="208"/>
      <c r="SPQ886" s="208"/>
      <c r="SPR886" s="208"/>
      <c r="SPS886" s="208"/>
      <c r="SPT886" s="208"/>
      <c r="SPU886" s="208"/>
      <c r="SPV886" s="208"/>
      <c r="SPW886" s="208"/>
      <c r="SPX886" s="208"/>
      <c r="SPY886" s="208"/>
      <c r="SPZ886" s="208"/>
      <c r="SQA886" s="208"/>
      <c r="SQB886" s="208"/>
      <c r="SQC886" s="208"/>
      <c r="SQD886" s="208"/>
      <c r="SQE886" s="208"/>
      <c r="SQF886" s="208"/>
      <c r="SQG886" s="208"/>
      <c r="SQH886" s="208"/>
      <c r="SQI886" s="208"/>
      <c r="SQJ886" s="208"/>
      <c r="SQK886" s="208"/>
      <c r="SQL886" s="208"/>
      <c r="SQM886" s="208"/>
      <c r="SQN886" s="208"/>
      <c r="SQO886" s="208"/>
      <c r="SQP886" s="208"/>
      <c r="SQQ886" s="208"/>
      <c r="SQR886" s="208"/>
      <c r="SQS886" s="208"/>
      <c r="SQT886" s="208"/>
      <c r="SQU886" s="208"/>
      <c r="SQV886" s="208"/>
      <c r="SQW886" s="208"/>
      <c r="SQX886" s="208"/>
      <c r="SQY886" s="208"/>
      <c r="SQZ886" s="208"/>
      <c r="SRA886" s="208"/>
      <c r="SRB886" s="208"/>
      <c r="SRC886" s="208"/>
      <c r="SRD886" s="208"/>
      <c r="SRE886" s="208"/>
      <c r="SRF886" s="208"/>
      <c r="SRG886" s="208"/>
      <c r="SRH886" s="208"/>
      <c r="SRI886" s="208"/>
      <c r="SRJ886" s="208"/>
      <c r="SRK886" s="208"/>
      <c r="SRL886" s="208"/>
      <c r="SRM886" s="208"/>
      <c r="SRN886" s="208"/>
      <c r="SRO886" s="208"/>
      <c r="SRP886" s="208"/>
      <c r="SRQ886" s="208"/>
      <c r="SRR886" s="208"/>
      <c r="SRS886" s="208"/>
      <c r="SRT886" s="208"/>
      <c r="SRU886" s="208"/>
      <c r="SRV886" s="208"/>
      <c r="SRW886" s="208"/>
      <c r="SRX886" s="208"/>
      <c r="SRY886" s="208"/>
      <c r="SRZ886" s="208"/>
      <c r="SSA886" s="208"/>
      <c r="SSB886" s="208"/>
      <c r="SSC886" s="208"/>
      <c r="SSD886" s="208"/>
      <c r="SSE886" s="208"/>
      <c r="SSF886" s="208"/>
      <c r="SSG886" s="208"/>
      <c r="SSH886" s="208"/>
      <c r="SSI886" s="208"/>
      <c r="SSJ886" s="208"/>
      <c r="SSK886" s="208"/>
      <c r="SSL886" s="208"/>
      <c r="SSM886" s="208"/>
      <c r="SSN886" s="208"/>
      <c r="SSO886" s="208"/>
      <c r="SSP886" s="208"/>
      <c r="SSQ886" s="208"/>
      <c r="SSR886" s="208"/>
      <c r="SSS886" s="208"/>
      <c r="SST886" s="208"/>
      <c r="SSU886" s="208"/>
      <c r="SSV886" s="208"/>
      <c r="SSW886" s="208"/>
      <c r="SSX886" s="208"/>
      <c r="SSY886" s="208"/>
      <c r="SSZ886" s="208"/>
      <c r="STA886" s="208"/>
      <c r="STB886" s="208"/>
      <c r="STC886" s="208"/>
      <c r="STD886" s="208"/>
      <c r="STE886" s="208"/>
      <c r="STF886" s="208"/>
      <c r="STG886" s="208"/>
      <c r="STH886" s="208"/>
      <c r="STI886" s="208"/>
      <c r="STJ886" s="208"/>
      <c r="STK886" s="208"/>
      <c r="STL886" s="208"/>
      <c r="STM886" s="208"/>
      <c r="STN886" s="208"/>
      <c r="STO886" s="208"/>
      <c r="STP886" s="208"/>
      <c r="STQ886" s="208"/>
      <c r="STR886" s="208"/>
      <c r="STS886" s="208"/>
      <c r="STT886" s="208"/>
      <c r="STU886" s="208"/>
      <c r="STV886" s="208"/>
      <c r="STW886" s="208"/>
      <c r="STX886" s="208"/>
      <c r="STY886" s="208"/>
      <c r="STZ886" s="208"/>
      <c r="SUA886" s="208"/>
      <c r="SUB886" s="208"/>
      <c r="SUC886" s="208"/>
      <c r="SUD886" s="208"/>
      <c r="SUE886" s="208"/>
      <c r="SUF886" s="208"/>
      <c r="SUG886" s="208"/>
      <c r="SUH886" s="208"/>
      <c r="SUI886" s="208"/>
      <c r="SUJ886" s="208"/>
      <c r="SUK886" s="208"/>
      <c r="SUL886" s="208"/>
      <c r="SUM886" s="208"/>
      <c r="SUN886" s="208"/>
      <c r="SUO886" s="208"/>
      <c r="SUP886" s="208"/>
      <c r="SUQ886" s="208"/>
      <c r="SUR886" s="208"/>
      <c r="SUS886" s="208"/>
      <c r="SUT886" s="208"/>
      <c r="SUU886" s="208"/>
      <c r="SUV886" s="208"/>
      <c r="SUW886" s="208"/>
      <c r="SUX886" s="208"/>
      <c r="SUY886" s="208"/>
      <c r="SUZ886" s="208"/>
      <c r="SVA886" s="208"/>
      <c r="SVB886" s="208"/>
      <c r="SVC886" s="208"/>
      <c r="SVD886" s="208"/>
      <c r="SVE886" s="208"/>
      <c r="SVF886" s="208"/>
      <c r="SVG886" s="208"/>
      <c r="SVH886" s="208"/>
      <c r="SVI886" s="208"/>
      <c r="SVJ886" s="208"/>
      <c r="SVK886" s="208"/>
      <c r="SVL886" s="208"/>
      <c r="SVM886" s="208"/>
      <c r="SVN886" s="208"/>
      <c r="SVO886" s="208"/>
      <c r="SVP886" s="208"/>
      <c r="SVQ886" s="208"/>
      <c r="SVR886" s="208"/>
      <c r="SVS886" s="208"/>
      <c r="SVT886" s="208"/>
      <c r="SVU886" s="208"/>
      <c r="SVV886" s="208"/>
      <c r="SVW886" s="208"/>
      <c r="SVX886" s="208"/>
      <c r="SVY886" s="208"/>
      <c r="SVZ886" s="208"/>
      <c r="SWA886" s="208"/>
      <c r="SWB886" s="208"/>
      <c r="SWC886" s="208"/>
      <c r="SWD886" s="208"/>
      <c r="SWE886" s="208"/>
      <c r="SWF886" s="208"/>
      <c r="SWG886" s="208"/>
      <c r="SWH886" s="208"/>
      <c r="SWI886" s="208"/>
      <c r="SWJ886" s="208"/>
      <c r="SWK886" s="208"/>
      <c r="SWL886" s="208"/>
      <c r="SWM886" s="208"/>
      <c r="SWN886" s="208"/>
      <c r="SWO886" s="208"/>
      <c r="SWP886" s="208"/>
      <c r="SWQ886" s="208"/>
      <c r="SWR886" s="208"/>
      <c r="SWS886" s="208"/>
      <c r="SWT886" s="208"/>
      <c r="SWU886" s="208"/>
      <c r="SWV886" s="208"/>
      <c r="SWW886" s="208"/>
      <c r="SWX886" s="208"/>
      <c r="SWY886" s="208"/>
      <c r="SWZ886" s="208"/>
      <c r="SXA886" s="208"/>
      <c r="SXB886" s="208"/>
      <c r="SXC886" s="208"/>
      <c r="SXD886" s="208"/>
      <c r="SXE886" s="208"/>
      <c r="SXF886" s="208"/>
      <c r="SXG886" s="208"/>
      <c r="SXH886" s="208"/>
      <c r="SXI886" s="208"/>
      <c r="SXJ886" s="208"/>
      <c r="SXK886" s="208"/>
      <c r="SXL886" s="208"/>
      <c r="SXM886" s="208"/>
      <c r="SXN886" s="208"/>
      <c r="SXO886" s="208"/>
      <c r="SXP886" s="208"/>
      <c r="SXQ886" s="208"/>
      <c r="SXR886" s="208"/>
      <c r="SXS886" s="208"/>
      <c r="SXT886" s="208"/>
      <c r="SXU886" s="208"/>
      <c r="SXV886" s="208"/>
      <c r="SXW886" s="208"/>
      <c r="SXX886" s="208"/>
      <c r="SXY886" s="208"/>
      <c r="SXZ886" s="208"/>
      <c r="SYA886" s="208"/>
      <c r="SYB886" s="208"/>
      <c r="SYC886" s="208"/>
      <c r="SYD886" s="208"/>
      <c r="SYE886" s="208"/>
      <c r="SYF886" s="208"/>
      <c r="SYG886" s="208"/>
      <c r="SYH886" s="208"/>
      <c r="SYI886" s="208"/>
      <c r="SYJ886" s="208"/>
      <c r="SYK886" s="208"/>
      <c r="SYL886" s="208"/>
      <c r="SYM886" s="208"/>
      <c r="SYN886" s="208"/>
      <c r="SYO886" s="208"/>
      <c r="SYP886" s="208"/>
      <c r="SYQ886" s="208"/>
      <c r="SYR886" s="208"/>
      <c r="SYS886" s="208"/>
      <c r="SYT886" s="208"/>
      <c r="SYU886" s="208"/>
      <c r="SYV886" s="208"/>
      <c r="SYW886" s="208"/>
      <c r="SYX886" s="208"/>
      <c r="SYY886" s="208"/>
      <c r="SYZ886" s="208"/>
      <c r="SZA886" s="208"/>
      <c r="SZB886" s="208"/>
      <c r="SZC886" s="208"/>
      <c r="SZD886" s="208"/>
      <c r="SZE886" s="208"/>
      <c r="SZF886" s="208"/>
      <c r="SZG886" s="208"/>
      <c r="SZH886" s="208"/>
      <c r="SZI886" s="208"/>
      <c r="SZJ886" s="208"/>
      <c r="SZK886" s="208"/>
      <c r="SZL886" s="208"/>
      <c r="SZM886" s="208"/>
      <c r="SZN886" s="208"/>
      <c r="SZO886" s="208"/>
      <c r="SZP886" s="208"/>
      <c r="SZQ886" s="208"/>
      <c r="SZR886" s="208"/>
      <c r="SZS886" s="208"/>
      <c r="SZT886" s="208"/>
      <c r="SZU886" s="208"/>
      <c r="SZV886" s="208"/>
      <c r="SZW886" s="208"/>
      <c r="SZX886" s="208"/>
      <c r="SZY886" s="208"/>
      <c r="SZZ886" s="208"/>
      <c r="TAA886" s="208"/>
      <c r="TAB886" s="208"/>
      <c r="TAC886" s="208"/>
      <c r="TAD886" s="208"/>
      <c r="TAE886" s="208"/>
      <c r="TAF886" s="208"/>
      <c r="TAG886" s="208"/>
      <c r="TAH886" s="208"/>
      <c r="TAI886" s="208"/>
      <c r="TAJ886" s="208"/>
      <c r="TAK886" s="208"/>
      <c r="TAL886" s="208"/>
      <c r="TAM886" s="208"/>
      <c r="TAN886" s="208"/>
      <c r="TAO886" s="208"/>
      <c r="TAP886" s="208"/>
      <c r="TAQ886" s="208"/>
      <c r="TAR886" s="208"/>
      <c r="TAS886" s="208"/>
      <c r="TAT886" s="208"/>
      <c r="TAU886" s="208"/>
      <c r="TAV886" s="208"/>
      <c r="TAW886" s="208"/>
      <c r="TAX886" s="208"/>
      <c r="TAY886" s="208"/>
      <c r="TAZ886" s="208"/>
      <c r="TBA886" s="208"/>
      <c r="TBB886" s="208"/>
      <c r="TBC886" s="208"/>
      <c r="TBD886" s="208"/>
      <c r="TBE886" s="208"/>
      <c r="TBF886" s="208"/>
      <c r="TBG886" s="208"/>
      <c r="TBH886" s="208"/>
      <c r="TBI886" s="208"/>
      <c r="TBJ886" s="208"/>
      <c r="TBK886" s="208"/>
      <c r="TBL886" s="208"/>
      <c r="TBM886" s="208"/>
      <c r="TBN886" s="208"/>
      <c r="TBO886" s="208"/>
      <c r="TBP886" s="208"/>
      <c r="TBQ886" s="208"/>
      <c r="TBR886" s="208"/>
      <c r="TBS886" s="208"/>
      <c r="TBT886" s="208"/>
      <c r="TBU886" s="208"/>
      <c r="TBV886" s="208"/>
      <c r="TBW886" s="208"/>
      <c r="TBX886" s="208"/>
      <c r="TBY886" s="208"/>
      <c r="TBZ886" s="208"/>
      <c r="TCA886" s="208"/>
      <c r="TCB886" s="208"/>
      <c r="TCC886" s="208"/>
      <c r="TCD886" s="208"/>
      <c r="TCE886" s="208"/>
      <c r="TCF886" s="208"/>
      <c r="TCG886" s="208"/>
      <c r="TCH886" s="208"/>
      <c r="TCI886" s="208"/>
      <c r="TCJ886" s="208"/>
      <c r="TCK886" s="208"/>
      <c r="TCL886" s="208"/>
      <c r="TCM886" s="208"/>
      <c r="TCN886" s="208"/>
      <c r="TCO886" s="208"/>
      <c r="TCP886" s="208"/>
      <c r="TCQ886" s="208"/>
      <c r="TCR886" s="208"/>
      <c r="TCS886" s="208"/>
      <c r="TCT886" s="208"/>
      <c r="TCU886" s="208"/>
      <c r="TCV886" s="208"/>
      <c r="TCW886" s="208"/>
      <c r="TCX886" s="208"/>
      <c r="TCY886" s="208"/>
      <c r="TCZ886" s="208"/>
      <c r="TDA886" s="208"/>
      <c r="TDB886" s="208"/>
      <c r="TDC886" s="208"/>
      <c r="TDD886" s="208"/>
      <c r="TDE886" s="208"/>
      <c r="TDF886" s="208"/>
      <c r="TDG886" s="208"/>
      <c r="TDH886" s="208"/>
      <c r="TDI886" s="208"/>
      <c r="TDJ886" s="208"/>
      <c r="TDK886" s="208"/>
      <c r="TDL886" s="208"/>
      <c r="TDM886" s="208"/>
      <c r="TDN886" s="208"/>
      <c r="TDO886" s="208"/>
      <c r="TDP886" s="208"/>
      <c r="TDQ886" s="208"/>
      <c r="TDR886" s="208"/>
      <c r="TDS886" s="208"/>
      <c r="TDT886" s="208"/>
      <c r="TDU886" s="208"/>
      <c r="TDV886" s="208"/>
      <c r="TDW886" s="208"/>
      <c r="TDX886" s="208"/>
      <c r="TDY886" s="208"/>
      <c r="TDZ886" s="208"/>
      <c r="TEA886" s="208"/>
      <c r="TEB886" s="208"/>
      <c r="TEC886" s="208"/>
      <c r="TED886" s="208"/>
      <c r="TEE886" s="208"/>
      <c r="TEF886" s="208"/>
      <c r="TEG886" s="208"/>
      <c r="TEH886" s="208"/>
      <c r="TEI886" s="208"/>
      <c r="TEJ886" s="208"/>
      <c r="TEK886" s="208"/>
      <c r="TEL886" s="208"/>
      <c r="TEM886" s="208"/>
      <c r="TEN886" s="208"/>
      <c r="TEO886" s="208"/>
      <c r="TEP886" s="208"/>
      <c r="TEQ886" s="208"/>
      <c r="TER886" s="208"/>
      <c r="TES886" s="208"/>
      <c r="TET886" s="208"/>
      <c r="TEU886" s="208"/>
      <c r="TEV886" s="208"/>
      <c r="TEW886" s="208"/>
      <c r="TEX886" s="208"/>
      <c r="TEY886" s="208"/>
      <c r="TEZ886" s="208"/>
      <c r="TFA886" s="208"/>
      <c r="TFB886" s="208"/>
      <c r="TFC886" s="208"/>
      <c r="TFD886" s="208"/>
      <c r="TFE886" s="208"/>
      <c r="TFF886" s="208"/>
      <c r="TFG886" s="208"/>
      <c r="TFH886" s="208"/>
      <c r="TFI886" s="208"/>
      <c r="TFJ886" s="208"/>
      <c r="TFK886" s="208"/>
      <c r="TFL886" s="208"/>
      <c r="TFM886" s="208"/>
      <c r="TFN886" s="208"/>
      <c r="TFO886" s="208"/>
      <c r="TFP886" s="208"/>
      <c r="TFQ886" s="208"/>
      <c r="TFR886" s="208"/>
      <c r="TFS886" s="208"/>
      <c r="TFT886" s="208"/>
      <c r="TFU886" s="208"/>
      <c r="TFV886" s="208"/>
      <c r="TFW886" s="208"/>
      <c r="TFX886" s="208"/>
      <c r="TFY886" s="208"/>
      <c r="TFZ886" s="208"/>
      <c r="TGA886" s="208"/>
      <c r="TGB886" s="208"/>
      <c r="TGC886" s="208"/>
      <c r="TGD886" s="208"/>
      <c r="TGE886" s="208"/>
      <c r="TGF886" s="208"/>
      <c r="TGG886" s="208"/>
      <c r="TGH886" s="208"/>
      <c r="TGI886" s="208"/>
      <c r="TGJ886" s="208"/>
      <c r="TGK886" s="208"/>
      <c r="TGL886" s="208"/>
      <c r="TGM886" s="208"/>
      <c r="TGN886" s="208"/>
      <c r="TGO886" s="208"/>
      <c r="TGP886" s="208"/>
      <c r="TGQ886" s="208"/>
      <c r="TGR886" s="208"/>
      <c r="TGS886" s="208"/>
      <c r="TGT886" s="208"/>
      <c r="TGU886" s="208"/>
      <c r="TGV886" s="208"/>
      <c r="TGW886" s="208"/>
      <c r="TGX886" s="208"/>
      <c r="TGY886" s="208"/>
      <c r="TGZ886" s="208"/>
      <c r="THA886" s="208"/>
      <c r="THB886" s="208"/>
      <c r="THC886" s="208"/>
      <c r="THD886" s="208"/>
      <c r="THE886" s="208"/>
      <c r="THF886" s="208"/>
      <c r="THG886" s="208"/>
      <c r="THH886" s="208"/>
      <c r="THI886" s="208"/>
      <c r="THJ886" s="208"/>
      <c r="THK886" s="208"/>
      <c r="THL886" s="208"/>
      <c r="THM886" s="208"/>
      <c r="THN886" s="208"/>
      <c r="THO886" s="208"/>
      <c r="THP886" s="208"/>
      <c r="THQ886" s="208"/>
      <c r="THR886" s="208"/>
      <c r="THS886" s="208"/>
      <c r="THT886" s="208"/>
      <c r="THU886" s="208"/>
      <c r="THV886" s="208"/>
      <c r="THW886" s="208"/>
      <c r="THX886" s="208"/>
      <c r="THY886" s="208"/>
      <c r="THZ886" s="208"/>
      <c r="TIA886" s="208"/>
      <c r="TIB886" s="208"/>
      <c r="TIC886" s="208"/>
      <c r="TID886" s="208"/>
      <c r="TIE886" s="208"/>
      <c r="TIF886" s="208"/>
      <c r="TIG886" s="208"/>
      <c r="TIH886" s="208"/>
      <c r="TII886" s="208"/>
      <c r="TIJ886" s="208"/>
      <c r="TIK886" s="208"/>
      <c r="TIL886" s="208"/>
      <c r="TIM886" s="208"/>
      <c r="TIN886" s="208"/>
      <c r="TIO886" s="208"/>
      <c r="TIP886" s="208"/>
      <c r="TIQ886" s="208"/>
      <c r="TIR886" s="208"/>
      <c r="TIS886" s="208"/>
      <c r="TIT886" s="208"/>
      <c r="TIU886" s="208"/>
      <c r="TIV886" s="208"/>
      <c r="TIW886" s="208"/>
      <c r="TIX886" s="208"/>
      <c r="TIY886" s="208"/>
      <c r="TIZ886" s="208"/>
      <c r="TJA886" s="208"/>
      <c r="TJB886" s="208"/>
      <c r="TJC886" s="208"/>
      <c r="TJD886" s="208"/>
      <c r="TJE886" s="208"/>
      <c r="TJF886" s="208"/>
      <c r="TJG886" s="208"/>
      <c r="TJH886" s="208"/>
      <c r="TJI886" s="208"/>
      <c r="TJJ886" s="208"/>
      <c r="TJK886" s="208"/>
      <c r="TJL886" s="208"/>
      <c r="TJM886" s="208"/>
      <c r="TJN886" s="208"/>
      <c r="TJO886" s="208"/>
      <c r="TJP886" s="208"/>
      <c r="TJQ886" s="208"/>
      <c r="TJR886" s="208"/>
      <c r="TJS886" s="208"/>
      <c r="TJT886" s="208"/>
      <c r="TJU886" s="208"/>
      <c r="TJV886" s="208"/>
      <c r="TJW886" s="208"/>
      <c r="TJX886" s="208"/>
      <c r="TJY886" s="208"/>
      <c r="TJZ886" s="208"/>
      <c r="TKA886" s="208"/>
      <c r="TKB886" s="208"/>
      <c r="TKC886" s="208"/>
      <c r="TKD886" s="208"/>
      <c r="TKE886" s="208"/>
      <c r="TKF886" s="208"/>
      <c r="TKG886" s="208"/>
      <c r="TKH886" s="208"/>
      <c r="TKI886" s="208"/>
      <c r="TKJ886" s="208"/>
      <c r="TKK886" s="208"/>
      <c r="TKL886" s="208"/>
      <c r="TKM886" s="208"/>
      <c r="TKN886" s="208"/>
      <c r="TKO886" s="208"/>
      <c r="TKP886" s="208"/>
      <c r="TKQ886" s="208"/>
      <c r="TKR886" s="208"/>
      <c r="TKS886" s="208"/>
      <c r="TKT886" s="208"/>
      <c r="TKU886" s="208"/>
      <c r="TKV886" s="208"/>
      <c r="TKW886" s="208"/>
      <c r="TKX886" s="208"/>
      <c r="TKY886" s="208"/>
      <c r="TKZ886" s="208"/>
      <c r="TLA886" s="208"/>
      <c r="TLB886" s="208"/>
      <c r="TLC886" s="208"/>
      <c r="TLD886" s="208"/>
      <c r="TLE886" s="208"/>
      <c r="TLF886" s="208"/>
      <c r="TLG886" s="208"/>
      <c r="TLH886" s="208"/>
      <c r="TLI886" s="208"/>
      <c r="TLJ886" s="208"/>
      <c r="TLK886" s="208"/>
      <c r="TLL886" s="208"/>
      <c r="TLM886" s="208"/>
      <c r="TLN886" s="208"/>
      <c r="TLO886" s="208"/>
      <c r="TLP886" s="208"/>
      <c r="TLQ886" s="208"/>
      <c r="TLR886" s="208"/>
      <c r="TLS886" s="208"/>
      <c r="TLT886" s="208"/>
      <c r="TLU886" s="208"/>
      <c r="TLV886" s="208"/>
      <c r="TLW886" s="208"/>
      <c r="TLX886" s="208"/>
      <c r="TLY886" s="208"/>
      <c r="TLZ886" s="208"/>
      <c r="TMA886" s="208"/>
      <c r="TMB886" s="208"/>
      <c r="TMC886" s="208"/>
      <c r="TMD886" s="208"/>
      <c r="TME886" s="208"/>
      <c r="TMF886" s="208"/>
      <c r="TMG886" s="208"/>
      <c r="TMH886" s="208"/>
      <c r="TMI886" s="208"/>
      <c r="TMJ886" s="208"/>
      <c r="TMK886" s="208"/>
      <c r="TML886" s="208"/>
      <c r="TMM886" s="208"/>
      <c r="TMN886" s="208"/>
      <c r="TMO886" s="208"/>
      <c r="TMP886" s="208"/>
      <c r="TMQ886" s="208"/>
      <c r="TMR886" s="208"/>
      <c r="TMS886" s="208"/>
      <c r="TMT886" s="208"/>
      <c r="TMU886" s="208"/>
      <c r="TMV886" s="208"/>
      <c r="TMW886" s="208"/>
      <c r="TMX886" s="208"/>
      <c r="TMY886" s="208"/>
      <c r="TMZ886" s="208"/>
      <c r="TNA886" s="208"/>
      <c r="TNB886" s="208"/>
      <c r="TNC886" s="208"/>
      <c r="TND886" s="208"/>
      <c r="TNE886" s="208"/>
      <c r="TNF886" s="208"/>
      <c r="TNG886" s="208"/>
      <c r="TNH886" s="208"/>
      <c r="TNI886" s="208"/>
      <c r="TNJ886" s="208"/>
      <c r="TNK886" s="208"/>
      <c r="TNL886" s="208"/>
      <c r="TNM886" s="208"/>
      <c r="TNN886" s="208"/>
      <c r="TNO886" s="208"/>
      <c r="TNP886" s="208"/>
      <c r="TNQ886" s="208"/>
      <c r="TNR886" s="208"/>
      <c r="TNS886" s="208"/>
      <c r="TNT886" s="208"/>
      <c r="TNU886" s="208"/>
      <c r="TNV886" s="208"/>
      <c r="TNW886" s="208"/>
      <c r="TNX886" s="208"/>
      <c r="TNY886" s="208"/>
      <c r="TNZ886" s="208"/>
      <c r="TOA886" s="208"/>
      <c r="TOB886" s="208"/>
      <c r="TOC886" s="208"/>
      <c r="TOD886" s="208"/>
      <c r="TOE886" s="208"/>
      <c r="TOF886" s="208"/>
      <c r="TOG886" s="208"/>
      <c r="TOH886" s="208"/>
      <c r="TOI886" s="208"/>
      <c r="TOJ886" s="208"/>
      <c r="TOK886" s="208"/>
      <c r="TOL886" s="208"/>
      <c r="TOM886" s="208"/>
      <c r="TON886" s="208"/>
      <c r="TOO886" s="208"/>
      <c r="TOP886" s="208"/>
      <c r="TOQ886" s="208"/>
      <c r="TOR886" s="208"/>
      <c r="TOS886" s="208"/>
      <c r="TOT886" s="208"/>
      <c r="TOU886" s="208"/>
      <c r="TOV886" s="208"/>
      <c r="TOW886" s="208"/>
      <c r="TOX886" s="208"/>
      <c r="TOY886" s="208"/>
      <c r="TOZ886" s="208"/>
      <c r="TPA886" s="208"/>
      <c r="TPB886" s="208"/>
      <c r="TPC886" s="208"/>
      <c r="TPD886" s="208"/>
      <c r="TPE886" s="208"/>
      <c r="TPF886" s="208"/>
      <c r="TPG886" s="208"/>
      <c r="TPH886" s="208"/>
      <c r="TPI886" s="208"/>
      <c r="TPJ886" s="208"/>
      <c r="TPK886" s="208"/>
      <c r="TPL886" s="208"/>
      <c r="TPM886" s="208"/>
      <c r="TPN886" s="208"/>
      <c r="TPO886" s="208"/>
      <c r="TPP886" s="208"/>
      <c r="TPQ886" s="208"/>
      <c r="TPR886" s="208"/>
      <c r="TPS886" s="208"/>
      <c r="TPT886" s="208"/>
      <c r="TPU886" s="208"/>
      <c r="TPV886" s="208"/>
      <c r="TPW886" s="208"/>
      <c r="TPX886" s="208"/>
      <c r="TPY886" s="208"/>
      <c r="TPZ886" s="208"/>
      <c r="TQA886" s="208"/>
      <c r="TQB886" s="208"/>
      <c r="TQC886" s="208"/>
      <c r="TQD886" s="208"/>
      <c r="TQE886" s="208"/>
      <c r="TQF886" s="208"/>
      <c r="TQG886" s="208"/>
      <c r="TQH886" s="208"/>
      <c r="TQI886" s="208"/>
      <c r="TQJ886" s="208"/>
      <c r="TQK886" s="208"/>
      <c r="TQL886" s="208"/>
      <c r="TQM886" s="208"/>
      <c r="TQN886" s="208"/>
      <c r="TQO886" s="208"/>
      <c r="TQP886" s="208"/>
      <c r="TQQ886" s="208"/>
      <c r="TQR886" s="208"/>
      <c r="TQS886" s="208"/>
      <c r="TQT886" s="208"/>
      <c r="TQU886" s="208"/>
      <c r="TQV886" s="208"/>
      <c r="TQW886" s="208"/>
      <c r="TQX886" s="208"/>
      <c r="TQY886" s="208"/>
      <c r="TQZ886" s="208"/>
      <c r="TRA886" s="208"/>
      <c r="TRB886" s="208"/>
      <c r="TRC886" s="208"/>
      <c r="TRD886" s="208"/>
      <c r="TRE886" s="208"/>
      <c r="TRF886" s="208"/>
      <c r="TRG886" s="208"/>
      <c r="TRH886" s="208"/>
      <c r="TRI886" s="208"/>
      <c r="TRJ886" s="208"/>
      <c r="TRK886" s="208"/>
      <c r="TRL886" s="208"/>
      <c r="TRM886" s="208"/>
      <c r="TRN886" s="208"/>
      <c r="TRO886" s="208"/>
      <c r="TRP886" s="208"/>
      <c r="TRQ886" s="208"/>
      <c r="TRR886" s="208"/>
      <c r="TRS886" s="208"/>
      <c r="TRT886" s="208"/>
      <c r="TRU886" s="208"/>
      <c r="TRV886" s="208"/>
      <c r="TRW886" s="208"/>
      <c r="TRX886" s="208"/>
      <c r="TRY886" s="208"/>
      <c r="TRZ886" s="208"/>
      <c r="TSA886" s="208"/>
      <c r="TSB886" s="208"/>
      <c r="TSC886" s="208"/>
      <c r="TSD886" s="208"/>
      <c r="TSE886" s="208"/>
      <c r="TSF886" s="208"/>
      <c r="TSG886" s="208"/>
      <c r="TSH886" s="208"/>
      <c r="TSI886" s="208"/>
      <c r="TSJ886" s="208"/>
      <c r="TSK886" s="208"/>
      <c r="TSL886" s="208"/>
      <c r="TSM886" s="208"/>
      <c r="TSN886" s="208"/>
      <c r="TSO886" s="208"/>
      <c r="TSP886" s="208"/>
      <c r="TSQ886" s="208"/>
      <c r="TSR886" s="208"/>
      <c r="TSS886" s="208"/>
      <c r="TST886" s="208"/>
      <c r="TSU886" s="208"/>
      <c r="TSV886" s="208"/>
      <c r="TSW886" s="208"/>
      <c r="TSX886" s="208"/>
      <c r="TSY886" s="208"/>
      <c r="TSZ886" s="208"/>
      <c r="TTA886" s="208"/>
      <c r="TTB886" s="208"/>
      <c r="TTC886" s="208"/>
      <c r="TTD886" s="208"/>
      <c r="TTE886" s="208"/>
      <c r="TTF886" s="208"/>
      <c r="TTG886" s="208"/>
      <c r="TTH886" s="208"/>
      <c r="TTI886" s="208"/>
      <c r="TTJ886" s="208"/>
      <c r="TTK886" s="208"/>
      <c r="TTL886" s="208"/>
      <c r="TTM886" s="208"/>
      <c r="TTN886" s="208"/>
      <c r="TTO886" s="208"/>
      <c r="TTP886" s="208"/>
      <c r="TTQ886" s="208"/>
      <c r="TTR886" s="208"/>
      <c r="TTS886" s="208"/>
      <c r="TTT886" s="208"/>
      <c r="TTU886" s="208"/>
      <c r="TTV886" s="208"/>
      <c r="TTW886" s="208"/>
      <c r="TTX886" s="208"/>
      <c r="TTY886" s="208"/>
      <c r="TTZ886" s="208"/>
      <c r="TUA886" s="208"/>
      <c r="TUB886" s="208"/>
      <c r="TUC886" s="208"/>
      <c r="TUD886" s="208"/>
      <c r="TUE886" s="208"/>
      <c r="TUF886" s="208"/>
      <c r="TUG886" s="208"/>
      <c r="TUH886" s="208"/>
      <c r="TUI886" s="208"/>
      <c r="TUJ886" s="208"/>
      <c r="TUK886" s="208"/>
      <c r="TUL886" s="208"/>
      <c r="TUM886" s="208"/>
      <c r="TUN886" s="208"/>
      <c r="TUO886" s="208"/>
      <c r="TUP886" s="208"/>
      <c r="TUQ886" s="208"/>
      <c r="TUR886" s="208"/>
      <c r="TUS886" s="208"/>
      <c r="TUT886" s="208"/>
      <c r="TUU886" s="208"/>
      <c r="TUV886" s="208"/>
      <c r="TUW886" s="208"/>
      <c r="TUX886" s="208"/>
      <c r="TUY886" s="208"/>
      <c r="TUZ886" s="208"/>
      <c r="TVA886" s="208"/>
      <c r="TVB886" s="208"/>
      <c r="TVC886" s="208"/>
      <c r="TVD886" s="208"/>
      <c r="TVE886" s="208"/>
      <c r="TVF886" s="208"/>
      <c r="TVG886" s="208"/>
      <c r="TVH886" s="208"/>
      <c r="TVI886" s="208"/>
      <c r="TVJ886" s="208"/>
      <c r="TVK886" s="208"/>
      <c r="TVL886" s="208"/>
      <c r="TVM886" s="208"/>
      <c r="TVN886" s="208"/>
      <c r="TVO886" s="208"/>
      <c r="TVP886" s="208"/>
      <c r="TVQ886" s="208"/>
      <c r="TVR886" s="208"/>
      <c r="TVS886" s="208"/>
      <c r="TVT886" s="208"/>
      <c r="TVU886" s="208"/>
      <c r="TVV886" s="208"/>
      <c r="TVW886" s="208"/>
      <c r="TVX886" s="208"/>
      <c r="TVY886" s="208"/>
      <c r="TVZ886" s="208"/>
      <c r="TWA886" s="208"/>
      <c r="TWB886" s="208"/>
      <c r="TWC886" s="208"/>
      <c r="TWD886" s="208"/>
      <c r="TWE886" s="208"/>
      <c r="TWF886" s="208"/>
      <c r="TWG886" s="208"/>
      <c r="TWH886" s="208"/>
      <c r="TWI886" s="208"/>
      <c r="TWJ886" s="208"/>
      <c r="TWK886" s="208"/>
      <c r="TWL886" s="208"/>
      <c r="TWM886" s="208"/>
      <c r="TWN886" s="208"/>
      <c r="TWO886" s="208"/>
      <c r="TWP886" s="208"/>
      <c r="TWQ886" s="208"/>
      <c r="TWR886" s="208"/>
      <c r="TWS886" s="208"/>
      <c r="TWT886" s="208"/>
      <c r="TWU886" s="208"/>
      <c r="TWV886" s="208"/>
      <c r="TWW886" s="208"/>
      <c r="TWX886" s="208"/>
      <c r="TWY886" s="208"/>
      <c r="TWZ886" s="208"/>
      <c r="TXA886" s="208"/>
      <c r="TXB886" s="208"/>
      <c r="TXC886" s="208"/>
      <c r="TXD886" s="208"/>
      <c r="TXE886" s="208"/>
      <c r="TXF886" s="208"/>
      <c r="TXG886" s="208"/>
      <c r="TXH886" s="208"/>
      <c r="TXI886" s="208"/>
      <c r="TXJ886" s="208"/>
      <c r="TXK886" s="208"/>
      <c r="TXL886" s="208"/>
      <c r="TXM886" s="208"/>
      <c r="TXN886" s="208"/>
      <c r="TXO886" s="208"/>
      <c r="TXP886" s="208"/>
      <c r="TXQ886" s="208"/>
      <c r="TXR886" s="208"/>
      <c r="TXS886" s="208"/>
      <c r="TXT886" s="208"/>
      <c r="TXU886" s="208"/>
      <c r="TXV886" s="208"/>
      <c r="TXW886" s="208"/>
      <c r="TXX886" s="208"/>
      <c r="TXY886" s="208"/>
      <c r="TXZ886" s="208"/>
      <c r="TYA886" s="208"/>
      <c r="TYB886" s="208"/>
      <c r="TYC886" s="208"/>
      <c r="TYD886" s="208"/>
      <c r="TYE886" s="208"/>
      <c r="TYF886" s="208"/>
      <c r="TYG886" s="208"/>
      <c r="TYH886" s="208"/>
      <c r="TYI886" s="208"/>
      <c r="TYJ886" s="208"/>
      <c r="TYK886" s="208"/>
      <c r="TYL886" s="208"/>
      <c r="TYM886" s="208"/>
      <c r="TYN886" s="208"/>
      <c r="TYO886" s="208"/>
      <c r="TYP886" s="208"/>
      <c r="TYQ886" s="208"/>
      <c r="TYR886" s="208"/>
      <c r="TYS886" s="208"/>
      <c r="TYT886" s="208"/>
      <c r="TYU886" s="208"/>
      <c r="TYV886" s="208"/>
      <c r="TYW886" s="208"/>
      <c r="TYX886" s="208"/>
      <c r="TYY886" s="208"/>
      <c r="TYZ886" s="208"/>
      <c r="TZA886" s="208"/>
      <c r="TZB886" s="208"/>
      <c r="TZC886" s="208"/>
      <c r="TZD886" s="208"/>
      <c r="TZE886" s="208"/>
      <c r="TZF886" s="208"/>
      <c r="TZG886" s="208"/>
      <c r="TZH886" s="208"/>
      <c r="TZI886" s="208"/>
      <c r="TZJ886" s="208"/>
      <c r="TZK886" s="208"/>
      <c r="TZL886" s="208"/>
      <c r="TZM886" s="208"/>
      <c r="TZN886" s="208"/>
      <c r="TZO886" s="208"/>
      <c r="TZP886" s="208"/>
      <c r="TZQ886" s="208"/>
      <c r="TZR886" s="208"/>
      <c r="TZS886" s="208"/>
      <c r="TZT886" s="208"/>
      <c r="TZU886" s="208"/>
      <c r="TZV886" s="208"/>
      <c r="TZW886" s="208"/>
      <c r="TZX886" s="208"/>
      <c r="TZY886" s="208"/>
      <c r="TZZ886" s="208"/>
      <c r="UAA886" s="208"/>
      <c r="UAB886" s="208"/>
      <c r="UAC886" s="208"/>
      <c r="UAD886" s="208"/>
      <c r="UAE886" s="208"/>
      <c r="UAF886" s="208"/>
      <c r="UAG886" s="208"/>
      <c r="UAH886" s="208"/>
      <c r="UAI886" s="208"/>
      <c r="UAJ886" s="208"/>
      <c r="UAK886" s="208"/>
      <c r="UAL886" s="208"/>
      <c r="UAM886" s="208"/>
      <c r="UAN886" s="208"/>
      <c r="UAO886" s="208"/>
      <c r="UAP886" s="208"/>
      <c r="UAQ886" s="208"/>
      <c r="UAR886" s="208"/>
      <c r="UAS886" s="208"/>
      <c r="UAT886" s="208"/>
      <c r="UAU886" s="208"/>
      <c r="UAV886" s="208"/>
      <c r="UAW886" s="208"/>
      <c r="UAX886" s="208"/>
      <c r="UAY886" s="208"/>
      <c r="UAZ886" s="208"/>
      <c r="UBA886" s="208"/>
      <c r="UBB886" s="208"/>
      <c r="UBC886" s="208"/>
      <c r="UBD886" s="208"/>
      <c r="UBE886" s="208"/>
      <c r="UBF886" s="208"/>
      <c r="UBG886" s="208"/>
      <c r="UBH886" s="208"/>
      <c r="UBI886" s="208"/>
      <c r="UBJ886" s="208"/>
      <c r="UBK886" s="208"/>
      <c r="UBL886" s="208"/>
      <c r="UBM886" s="208"/>
      <c r="UBN886" s="208"/>
      <c r="UBO886" s="208"/>
      <c r="UBP886" s="208"/>
      <c r="UBQ886" s="208"/>
      <c r="UBR886" s="208"/>
      <c r="UBS886" s="208"/>
      <c r="UBT886" s="208"/>
      <c r="UBU886" s="208"/>
      <c r="UBV886" s="208"/>
      <c r="UBW886" s="208"/>
      <c r="UBX886" s="208"/>
      <c r="UBY886" s="208"/>
      <c r="UBZ886" s="208"/>
      <c r="UCA886" s="208"/>
      <c r="UCB886" s="208"/>
      <c r="UCC886" s="208"/>
      <c r="UCD886" s="208"/>
      <c r="UCE886" s="208"/>
      <c r="UCF886" s="208"/>
      <c r="UCG886" s="208"/>
      <c r="UCH886" s="208"/>
      <c r="UCI886" s="208"/>
      <c r="UCJ886" s="208"/>
      <c r="UCK886" s="208"/>
      <c r="UCL886" s="208"/>
      <c r="UCM886" s="208"/>
      <c r="UCN886" s="208"/>
      <c r="UCO886" s="208"/>
      <c r="UCP886" s="208"/>
      <c r="UCQ886" s="208"/>
      <c r="UCR886" s="208"/>
      <c r="UCS886" s="208"/>
      <c r="UCT886" s="208"/>
      <c r="UCU886" s="208"/>
      <c r="UCV886" s="208"/>
      <c r="UCW886" s="208"/>
      <c r="UCX886" s="208"/>
      <c r="UCY886" s="208"/>
      <c r="UCZ886" s="208"/>
      <c r="UDA886" s="208"/>
      <c r="UDB886" s="208"/>
      <c r="UDC886" s="208"/>
      <c r="UDD886" s="208"/>
      <c r="UDE886" s="208"/>
      <c r="UDF886" s="208"/>
      <c r="UDG886" s="208"/>
      <c r="UDH886" s="208"/>
      <c r="UDI886" s="208"/>
      <c r="UDJ886" s="208"/>
      <c r="UDK886" s="208"/>
      <c r="UDL886" s="208"/>
      <c r="UDM886" s="208"/>
      <c r="UDN886" s="208"/>
      <c r="UDO886" s="208"/>
      <c r="UDP886" s="208"/>
      <c r="UDQ886" s="208"/>
      <c r="UDR886" s="208"/>
      <c r="UDS886" s="208"/>
      <c r="UDT886" s="208"/>
      <c r="UDU886" s="208"/>
      <c r="UDV886" s="208"/>
      <c r="UDW886" s="208"/>
      <c r="UDX886" s="208"/>
      <c r="UDY886" s="208"/>
      <c r="UDZ886" s="208"/>
      <c r="UEA886" s="208"/>
      <c r="UEB886" s="208"/>
      <c r="UEC886" s="208"/>
      <c r="UED886" s="208"/>
      <c r="UEE886" s="208"/>
      <c r="UEF886" s="208"/>
      <c r="UEG886" s="208"/>
      <c r="UEH886" s="208"/>
      <c r="UEI886" s="208"/>
      <c r="UEJ886" s="208"/>
      <c r="UEK886" s="208"/>
      <c r="UEL886" s="208"/>
      <c r="UEM886" s="208"/>
      <c r="UEN886" s="208"/>
      <c r="UEO886" s="208"/>
      <c r="UEP886" s="208"/>
      <c r="UEQ886" s="208"/>
      <c r="UER886" s="208"/>
      <c r="UES886" s="208"/>
      <c r="UET886" s="208"/>
      <c r="UEU886" s="208"/>
      <c r="UEV886" s="208"/>
      <c r="UEW886" s="208"/>
      <c r="UEX886" s="208"/>
      <c r="UEY886" s="208"/>
      <c r="UEZ886" s="208"/>
      <c r="UFA886" s="208"/>
      <c r="UFB886" s="208"/>
      <c r="UFC886" s="208"/>
      <c r="UFD886" s="208"/>
      <c r="UFE886" s="208"/>
      <c r="UFF886" s="208"/>
      <c r="UFG886" s="208"/>
      <c r="UFH886" s="208"/>
      <c r="UFI886" s="208"/>
      <c r="UFJ886" s="208"/>
      <c r="UFK886" s="208"/>
      <c r="UFL886" s="208"/>
      <c r="UFM886" s="208"/>
      <c r="UFN886" s="208"/>
      <c r="UFO886" s="208"/>
      <c r="UFP886" s="208"/>
      <c r="UFQ886" s="208"/>
      <c r="UFR886" s="208"/>
      <c r="UFS886" s="208"/>
      <c r="UFT886" s="208"/>
      <c r="UFU886" s="208"/>
      <c r="UFV886" s="208"/>
      <c r="UFW886" s="208"/>
      <c r="UFX886" s="208"/>
      <c r="UFY886" s="208"/>
      <c r="UFZ886" s="208"/>
      <c r="UGA886" s="208"/>
      <c r="UGB886" s="208"/>
      <c r="UGC886" s="208"/>
      <c r="UGD886" s="208"/>
      <c r="UGE886" s="208"/>
      <c r="UGF886" s="208"/>
      <c r="UGG886" s="208"/>
      <c r="UGH886" s="208"/>
      <c r="UGI886" s="208"/>
      <c r="UGJ886" s="208"/>
      <c r="UGK886" s="208"/>
      <c r="UGL886" s="208"/>
      <c r="UGM886" s="208"/>
      <c r="UGN886" s="208"/>
      <c r="UGO886" s="208"/>
      <c r="UGP886" s="208"/>
      <c r="UGQ886" s="208"/>
      <c r="UGR886" s="208"/>
      <c r="UGS886" s="208"/>
      <c r="UGT886" s="208"/>
      <c r="UGU886" s="208"/>
      <c r="UGV886" s="208"/>
      <c r="UGW886" s="208"/>
      <c r="UGX886" s="208"/>
      <c r="UGY886" s="208"/>
      <c r="UGZ886" s="208"/>
      <c r="UHA886" s="208"/>
      <c r="UHB886" s="208"/>
      <c r="UHC886" s="208"/>
      <c r="UHD886" s="208"/>
      <c r="UHE886" s="208"/>
      <c r="UHF886" s="208"/>
      <c r="UHG886" s="208"/>
      <c r="UHH886" s="208"/>
      <c r="UHI886" s="208"/>
      <c r="UHJ886" s="208"/>
      <c r="UHK886" s="208"/>
      <c r="UHL886" s="208"/>
      <c r="UHM886" s="208"/>
      <c r="UHN886" s="208"/>
      <c r="UHO886" s="208"/>
      <c r="UHP886" s="208"/>
      <c r="UHQ886" s="208"/>
      <c r="UHR886" s="208"/>
      <c r="UHS886" s="208"/>
      <c r="UHT886" s="208"/>
      <c r="UHU886" s="208"/>
      <c r="UHV886" s="208"/>
      <c r="UHW886" s="208"/>
      <c r="UHX886" s="208"/>
      <c r="UHY886" s="208"/>
      <c r="UHZ886" s="208"/>
      <c r="UIA886" s="208"/>
      <c r="UIB886" s="208"/>
      <c r="UIC886" s="208"/>
      <c r="UID886" s="208"/>
      <c r="UIE886" s="208"/>
      <c r="UIF886" s="208"/>
      <c r="UIG886" s="208"/>
      <c r="UIH886" s="208"/>
      <c r="UII886" s="208"/>
      <c r="UIJ886" s="208"/>
      <c r="UIK886" s="208"/>
      <c r="UIL886" s="208"/>
      <c r="UIM886" s="208"/>
      <c r="UIN886" s="208"/>
      <c r="UIO886" s="208"/>
      <c r="UIP886" s="208"/>
      <c r="UIQ886" s="208"/>
      <c r="UIR886" s="208"/>
      <c r="UIS886" s="208"/>
      <c r="UIT886" s="208"/>
      <c r="UIU886" s="208"/>
      <c r="UIV886" s="208"/>
      <c r="UIW886" s="208"/>
      <c r="UIX886" s="208"/>
      <c r="UIY886" s="208"/>
      <c r="UIZ886" s="208"/>
      <c r="UJA886" s="208"/>
      <c r="UJB886" s="208"/>
      <c r="UJC886" s="208"/>
      <c r="UJD886" s="208"/>
      <c r="UJE886" s="208"/>
      <c r="UJF886" s="208"/>
      <c r="UJG886" s="208"/>
      <c r="UJH886" s="208"/>
      <c r="UJI886" s="208"/>
      <c r="UJJ886" s="208"/>
      <c r="UJK886" s="208"/>
      <c r="UJL886" s="208"/>
      <c r="UJM886" s="208"/>
      <c r="UJN886" s="208"/>
      <c r="UJO886" s="208"/>
      <c r="UJP886" s="208"/>
      <c r="UJQ886" s="208"/>
      <c r="UJR886" s="208"/>
      <c r="UJS886" s="208"/>
      <c r="UJT886" s="208"/>
      <c r="UJU886" s="208"/>
      <c r="UJV886" s="208"/>
      <c r="UJW886" s="208"/>
      <c r="UJX886" s="208"/>
      <c r="UJY886" s="208"/>
      <c r="UJZ886" s="208"/>
      <c r="UKA886" s="208"/>
      <c r="UKB886" s="208"/>
      <c r="UKC886" s="208"/>
      <c r="UKD886" s="208"/>
      <c r="UKE886" s="208"/>
      <c r="UKF886" s="208"/>
      <c r="UKG886" s="208"/>
      <c r="UKH886" s="208"/>
      <c r="UKI886" s="208"/>
      <c r="UKJ886" s="208"/>
      <c r="UKK886" s="208"/>
      <c r="UKL886" s="208"/>
      <c r="UKM886" s="208"/>
      <c r="UKN886" s="208"/>
      <c r="UKO886" s="208"/>
      <c r="UKP886" s="208"/>
      <c r="UKQ886" s="208"/>
      <c r="UKR886" s="208"/>
      <c r="UKS886" s="208"/>
      <c r="UKT886" s="208"/>
      <c r="UKU886" s="208"/>
      <c r="UKV886" s="208"/>
      <c r="UKW886" s="208"/>
      <c r="UKX886" s="208"/>
      <c r="UKY886" s="208"/>
      <c r="UKZ886" s="208"/>
      <c r="ULA886" s="208"/>
      <c r="ULB886" s="208"/>
      <c r="ULC886" s="208"/>
      <c r="ULD886" s="208"/>
      <c r="ULE886" s="208"/>
      <c r="ULF886" s="208"/>
      <c r="ULG886" s="208"/>
      <c r="ULH886" s="208"/>
      <c r="ULI886" s="208"/>
      <c r="ULJ886" s="208"/>
      <c r="ULK886" s="208"/>
      <c r="ULL886" s="208"/>
      <c r="ULM886" s="208"/>
      <c r="ULN886" s="208"/>
      <c r="ULO886" s="208"/>
      <c r="ULP886" s="208"/>
      <c r="ULQ886" s="208"/>
      <c r="ULR886" s="208"/>
      <c r="ULS886" s="208"/>
      <c r="ULT886" s="208"/>
      <c r="ULU886" s="208"/>
      <c r="ULV886" s="208"/>
      <c r="ULW886" s="208"/>
      <c r="ULX886" s="208"/>
      <c r="ULY886" s="208"/>
      <c r="ULZ886" s="208"/>
      <c r="UMA886" s="208"/>
      <c r="UMB886" s="208"/>
      <c r="UMC886" s="208"/>
      <c r="UMD886" s="208"/>
      <c r="UME886" s="208"/>
      <c r="UMF886" s="208"/>
      <c r="UMG886" s="208"/>
      <c r="UMH886" s="208"/>
      <c r="UMI886" s="208"/>
      <c r="UMJ886" s="208"/>
      <c r="UMK886" s="208"/>
      <c r="UML886" s="208"/>
      <c r="UMM886" s="208"/>
      <c r="UMN886" s="208"/>
      <c r="UMO886" s="208"/>
      <c r="UMP886" s="208"/>
      <c r="UMQ886" s="208"/>
      <c r="UMR886" s="208"/>
      <c r="UMS886" s="208"/>
      <c r="UMT886" s="208"/>
      <c r="UMU886" s="208"/>
      <c r="UMV886" s="208"/>
      <c r="UMW886" s="208"/>
      <c r="UMX886" s="208"/>
      <c r="UMY886" s="208"/>
      <c r="UMZ886" s="208"/>
      <c r="UNA886" s="208"/>
      <c r="UNB886" s="208"/>
      <c r="UNC886" s="208"/>
      <c r="UND886" s="208"/>
      <c r="UNE886" s="208"/>
      <c r="UNF886" s="208"/>
      <c r="UNG886" s="208"/>
      <c r="UNH886" s="208"/>
      <c r="UNI886" s="208"/>
      <c r="UNJ886" s="208"/>
      <c r="UNK886" s="208"/>
      <c r="UNL886" s="208"/>
      <c r="UNM886" s="208"/>
      <c r="UNN886" s="208"/>
      <c r="UNO886" s="208"/>
      <c r="UNP886" s="208"/>
      <c r="UNQ886" s="208"/>
      <c r="UNR886" s="208"/>
      <c r="UNS886" s="208"/>
      <c r="UNT886" s="208"/>
      <c r="UNU886" s="208"/>
      <c r="UNV886" s="208"/>
      <c r="UNW886" s="208"/>
      <c r="UNX886" s="208"/>
      <c r="UNY886" s="208"/>
      <c r="UNZ886" s="208"/>
      <c r="UOA886" s="208"/>
      <c r="UOB886" s="208"/>
      <c r="UOC886" s="208"/>
      <c r="UOD886" s="208"/>
      <c r="UOE886" s="208"/>
      <c r="UOF886" s="208"/>
      <c r="UOG886" s="208"/>
      <c r="UOH886" s="208"/>
      <c r="UOI886" s="208"/>
      <c r="UOJ886" s="208"/>
      <c r="UOK886" s="208"/>
      <c r="UOL886" s="208"/>
      <c r="UOM886" s="208"/>
      <c r="UON886" s="208"/>
      <c r="UOO886" s="208"/>
      <c r="UOP886" s="208"/>
      <c r="UOQ886" s="208"/>
      <c r="UOR886" s="208"/>
      <c r="UOS886" s="208"/>
      <c r="UOT886" s="208"/>
      <c r="UOU886" s="208"/>
      <c r="UOV886" s="208"/>
      <c r="UOW886" s="208"/>
      <c r="UOX886" s="208"/>
      <c r="UOY886" s="208"/>
      <c r="UOZ886" s="208"/>
      <c r="UPA886" s="208"/>
      <c r="UPB886" s="208"/>
      <c r="UPC886" s="208"/>
      <c r="UPD886" s="208"/>
      <c r="UPE886" s="208"/>
      <c r="UPF886" s="208"/>
      <c r="UPG886" s="208"/>
      <c r="UPH886" s="208"/>
      <c r="UPI886" s="208"/>
      <c r="UPJ886" s="208"/>
      <c r="UPK886" s="208"/>
      <c r="UPL886" s="208"/>
      <c r="UPM886" s="208"/>
      <c r="UPN886" s="208"/>
      <c r="UPO886" s="208"/>
      <c r="UPP886" s="208"/>
      <c r="UPQ886" s="208"/>
      <c r="UPR886" s="208"/>
      <c r="UPS886" s="208"/>
      <c r="UPT886" s="208"/>
      <c r="UPU886" s="208"/>
      <c r="UPV886" s="208"/>
      <c r="UPW886" s="208"/>
      <c r="UPX886" s="208"/>
      <c r="UPY886" s="208"/>
      <c r="UPZ886" s="208"/>
      <c r="UQA886" s="208"/>
      <c r="UQB886" s="208"/>
      <c r="UQC886" s="208"/>
      <c r="UQD886" s="208"/>
      <c r="UQE886" s="208"/>
      <c r="UQF886" s="208"/>
      <c r="UQG886" s="208"/>
      <c r="UQH886" s="208"/>
      <c r="UQI886" s="208"/>
      <c r="UQJ886" s="208"/>
      <c r="UQK886" s="208"/>
      <c r="UQL886" s="208"/>
      <c r="UQM886" s="208"/>
      <c r="UQN886" s="208"/>
      <c r="UQO886" s="208"/>
      <c r="UQP886" s="208"/>
      <c r="UQQ886" s="208"/>
      <c r="UQR886" s="208"/>
      <c r="UQS886" s="208"/>
      <c r="UQT886" s="208"/>
      <c r="UQU886" s="208"/>
      <c r="UQV886" s="208"/>
      <c r="UQW886" s="208"/>
      <c r="UQX886" s="208"/>
      <c r="UQY886" s="208"/>
      <c r="UQZ886" s="208"/>
      <c r="URA886" s="208"/>
      <c r="URB886" s="208"/>
      <c r="URC886" s="208"/>
      <c r="URD886" s="208"/>
      <c r="URE886" s="208"/>
      <c r="URF886" s="208"/>
      <c r="URG886" s="208"/>
      <c r="URH886" s="208"/>
      <c r="URI886" s="208"/>
      <c r="URJ886" s="208"/>
      <c r="URK886" s="208"/>
      <c r="URL886" s="208"/>
      <c r="URM886" s="208"/>
      <c r="URN886" s="208"/>
      <c r="URO886" s="208"/>
      <c r="URP886" s="208"/>
      <c r="URQ886" s="208"/>
      <c r="URR886" s="208"/>
      <c r="URS886" s="208"/>
      <c r="URT886" s="208"/>
      <c r="URU886" s="208"/>
      <c r="URV886" s="208"/>
      <c r="URW886" s="208"/>
      <c r="URX886" s="208"/>
      <c r="URY886" s="208"/>
      <c r="URZ886" s="208"/>
      <c r="USA886" s="208"/>
      <c r="USB886" s="208"/>
      <c r="USC886" s="208"/>
      <c r="USD886" s="208"/>
      <c r="USE886" s="208"/>
      <c r="USF886" s="208"/>
      <c r="USG886" s="208"/>
      <c r="USH886" s="208"/>
      <c r="USI886" s="208"/>
      <c r="USJ886" s="208"/>
      <c r="USK886" s="208"/>
      <c r="USL886" s="208"/>
      <c r="USM886" s="208"/>
      <c r="USN886" s="208"/>
      <c r="USO886" s="208"/>
      <c r="USP886" s="208"/>
      <c r="USQ886" s="208"/>
      <c r="USR886" s="208"/>
      <c r="USS886" s="208"/>
      <c r="UST886" s="208"/>
      <c r="USU886" s="208"/>
      <c r="USV886" s="208"/>
      <c r="USW886" s="208"/>
      <c r="USX886" s="208"/>
      <c r="USY886" s="208"/>
      <c r="USZ886" s="208"/>
      <c r="UTA886" s="208"/>
      <c r="UTB886" s="208"/>
      <c r="UTC886" s="208"/>
      <c r="UTD886" s="208"/>
      <c r="UTE886" s="208"/>
      <c r="UTF886" s="208"/>
      <c r="UTG886" s="208"/>
      <c r="UTH886" s="208"/>
      <c r="UTI886" s="208"/>
      <c r="UTJ886" s="208"/>
      <c r="UTK886" s="208"/>
      <c r="UTL886" s="208"/>
      <c r="UTM886" s="208"/>
      <c r="UTN886" s="208"/>
      <c r="UTO886" s="208"/>
      <c r="UTP886" s="208"/>
      <c r="UTQ886" s="208"/>
      <c r="UTR886" s="208"/>
      <c r="UTS886" s="208"/>
      <c r="UTT886" s="208"/>
      <c r="UTU886" s="208"/>
      <c r="UTV886" s="208"/>
      <c r="UTW886" s="208"/>
      <c r="UTX886" s="208"/>
      <c r="UTY886" s="208"/>
      <c r="UTZ886" s="208"/>
      <c r="UUA886" s="208"/>
      <c r="UUB886" s="208"/>
      <c r="UUC886" s="208"/>
      <c r="UUD886" s="208"/>
      <c r="UUE886" s="208"/>
      <c r="UUF886" s="208"/>
      <c r="UUG886" s="208"/>
      <c r="UUH886" s="208"/>
      <c r="UUI886" s="208"/>
      <c r="UUJ886" s="208"/>
      <c r="UUK886" s="208"/>
      <c r="UUL886" s="208"/>
      <c r="UUM886" s="208"/>
      <c r="UUN886" s="208"/>
      <c r="UUO886" s="208"/>
      <c r="UUP886" s="208"/>
      <c r="UUQ886" s="208"/>
      <c r="UUR886" s="208"/>
      <c r="UUS886" s="208"/>
      <c r="UUT886" s="208"/>
      <c r="UUU886" s="208"/>
      <c r="UUV886" s="208"/>
      <c r="UUW886" s="208"/>
      <c r="UUX886" s="208"/>
      <c r="UUY886" s="208"/>
      <c r="UUZ886" s="208"/>
      <c r="UVA886" s="208"/>
      <c r="UVB886" s="208"/>
      <c r="UVC886" s="208"/>
      <c r="UVD886" s="208"/>
      <c r="UVE886" s="208"/>
      <c r="UVF886" s="208"/>
      <c r="UVG886" s="208"/>
      <c r="UVH886" s="208"/>
      <c r="UVI886" s="208"/>
      <c r="UVJ886" s="208"/>
      <c r="UVK886" s="208"/>
      <c r="UVL886" s="208"/>
      <c r="UVM886" s="208"/>
      <c r="UVN886" s="208"/>
      <c r="UVO886" s="208"/>
      <c r="UVP886" s="208"/>
      <c r="UVQ886" s="208"/>
      <c r="UVR886" s="208"/>
      <c r="UVS886" s="208"/>
      <c r="UVT886" s="208"/>
      <c r="UVU886" s="208"/>
      <c r="UVV886" s="208"/>
      <c r="UVW886" s="208"/>
      <c r="UVX886" s="208"/>
      <c r="UVY886" s="208"/>
      <c r="UVZ886" s="208"/>
      <c r="UWA886" s="208"/>
      <c r="UWB886" s="208"/>
      <c r="UWC886" s="208"/>
      <c r="UWD886" s="208"/>
      <c r="UWE886" s="208"/>
      <c r="UWF886" s="208"/>
      <c r="UWG886" s="208"/>
      <c r="UWH886" s="208"/>
      <c r="UWI886" s="208"/>
      <c r="UWJ886" s="208"/>
      <c r="UWK886" s="208"/>
      <c r="UWL886" s="208"/>
      <c r="UWM886" s="208"/>
      <c r="UWN886" s="208"/>
      <c r="UWO886" s="208"/>
      <c r="UWP886" s="208"/>
      <c r="UWQ886" s="208"/>
      <c r="UWR886" s="208"/>
      <c r="UWS886" s="208"/>
      <c r="UWT886" s="208"/>
      <c r="UWU886" s="208"/>
      <c r="UWV886" s="208"/>
      <c r="UWW886" s="208"/>
      <c r="UWX886" s="208"/>
      <c r="UWY886" s="208"/>
      <c r="UWZ886" s="208"/>
      <c r="UXA886" s="208"/>
      <c r="UXB886" s="208"/>
      <c r="UXC886" s="208"/>
      <c r="UXD886" s="208"/>
      <c r="UXE886" s="208"/>
      <c r="UXF886" s="208"/>
      <c r="UXG886" s="208"/>
      <c r="UXH886" s="208"/>
      <c r="UXI886" s="208"/>
      <c r="UXJ886" s="208"/>
      <c r="UXK886" s="208"/>
      <c r="UXL886" s="208"/>
      <c r="UXM886" s="208"/>
      <c r="UXN886" s="208"/>
      <c r="UXO886" s="208"/>
      <c r="UXP886" s="208"/>
      <c r="UXQ886" s="208"/>
      <c r="UXR886" s="208"/>
      <c r="UXS886" s="208"/>
      <c r="UXT886" s="208"/>
      <c r="UXU886" s="208"/>
      <c r="UXV886" s="208"/>
      <c r="UXW886" s="208"/>
      <c r="UXX886" s="208"/>
      <c r="UXY886" s="208"/>
      <c r="UXZ886" s="208"/>
      <c r="UYA886" s="208"/>
      <c r="UYB886" s="208"/>
      <c r="UYC886" s="208"/>
      <c r="UYD886" s="208"/>
      <c r="UYE886" s="208"/>
      <c r="UYF886" s="208"/>
      <c r="UYG886" s="208"/>
      <c r="UYH886" s="208"/>
      <c r="UYI886" s="208"/>
      <c r="UYJ886" s="208"/>
      <c r="UYK886" s="208"/>
      <c r="UYL886" s="208"/>
      <c r="UYM886" s="208"/>
      <c r="UYN886" s="208"/>
      <c r="UYO886" s="208"/>
      <c r="UYP886" s="208"/>
      <c r="UYQ886" s="208"/>
      <c r="UYR886" s="208"/>
      <c r="UYS886" s="208"/>
      <c r="UYT886" s="208"/>
      <c r="UYU886" s="208"/>
      <c r="UYV886" s="208"/>
      <c r="UYW886" s="208"/>
      <c r="UYX886" s="208"/>
      <c r="UYY886" s="208"/>
      <c r="UYZ886" s="208"/>
      <c r="UZA886" s="208"/>
      <c r="UZB886" s="208"/>
      <c r="UZC886" s="208"/>
      <c r="UZD886" s="208"/>
      <c r="UZE886" s="208"/>
      <c r="UZF886" s="208"/>
      <c r="UZG886" s="208"/>
      <c r="UZH886" s="208"/>
      <c r="UZI886" s="208"/>
      <c r="UZJ886" s="208"/>
      <c r="UZK886" s="208"/>
      <c r="UZL886" s="208"/>
      <c r="UZM886" s="208"/>
      <c r="UZN886" s="208"/>
      <c r="UZO886" s="208"/>
      <c r="UZP886" s="208"/>
      <c r="UZQ886" s="208"/>
      <c r="UZR886" s="208"/>
      <c r="UZS886" s="208"/>
      <c r="UZT886" s="208"/>
      <c r="UZU886" s="208"/>
      <c r="UZV886" s="208"/>
      <c r="UZW886" s="208"/>
      <c r="UZX886" s="208"/>
      <c r="UZY886" s="208"/>
      <c r="UZZ886" s="208"/>
      <c r="VAA886" s="208"/>
      <c r="VAB886" s="208"/>
      <c r="VAC886" s="208"/>
      <c r="VAD886" s="208"/>
      <c r="VAE886" s="208"/>
      <c r="VAF886" s="208"/>
      <c r="VAG886" s="208"/>
      <c r="VAH886" s="208"/>
      <c r="VAI886" s="208"/>
      <c r="VAJ886" s="208"/>
      <c r="VAK886" s="208"/>
      <c r="VAL886" s="208"/>
      <c r="VAM886" s="208"/>
      <c r="VAN886" s="208"/>
      <c r="VAO886" s="208"/>
      <c r="VAP886" s="208"/>
      <c r="VAQ886" s="208"/>
      <c r="VAR886" s="208"/>
      <c r="VAS886" s="208"/>
      <c r="VAT886" s="208"/>
      <c r="VAU886" s="208"/>
      <c r="VAV886" s="208"/>
      <c r="VAW886" s="208"/>
      <c r="VAX886" s="208"/>
      <c r="VAY886" s="208"/>
      <c r="VAZ886" s="208"/>
      <c r="VBA886" s="208"/>
      <c r="VBB886" s="208"/>
      <c r="VBC886" s="208"/>
      <c r="VBD886" s="208"/>
      <c r="VBE886" s="208"/>
      <c r="VBF886" s="208"/>
      <c r="VBG886" s="208"/>
      <c r="VBH886" s="208"/>
      <c r="VBI886" s="208"/>
      <c r="VBJ886" s="208"/>
      <c r="VBK886" s="208"/>
      <c r="VBL886" s="208"/>
      <c r="VBM886" s="208"/>
      <c r="VBN886" s="208"/>
      <c r="VBO886" s="208"/>
      <c r="VBP886" s="208"/>
      <c r="VBQ886" s="208"/>
      <c r="VBR886" s="208"/>
      <c r="VBS886" s="208"/>
      <c r="VBT886" s="208"/>
      <c r="VBU886" s="208"/>
      <c r="VBV886" s="208"/>
      <c r="VBW886" s="208"/>
      <c r="VBX886" s="208"/>
      <c r="VBY886" s="208"/>
      <c r="VBZ886" s="208"/>
      <c r="VCA886" s="208"/>
      <c r="VCB886" s="208"/>
      <c r="VCC886" s="208"/>
      <c r="VCD886" s="208"/>
      <c r="VCE886" s="208"/>
      <c r="VCF886" s="208"/>
      <c r="VCG886" s="208"/>
      <c r="VCH886" s="208"/>
      <c r="VCI886" s="208"/>
      <c r="VCJ886" s="208"/>
      <c r="VCK886" s="208"/>
      <c r="VCL886" s="208"/>
      <c r="VCM886" s="208"/>
      <c r="VCN886" s="208"/>
      <c r="VCO886" s="208"/>
      <c r="VCP886" s="208"/>
      <c r="VCQ886" s="208"/>
      <c r="VCR886" s="208"/>
      <c r="VCS886" s="208"/>
      <c r="VCT886" s="208"/>
      <c r="VCU886" s="208"/>
      <c r="VCV886" s="208"/>
      <c r="VCW886" s="208"/>
      <c r="VCX886" s="208"/>
      <c r="VCY886" s="208"/>
      <c r="VCZ886" s="208"/>
      <c r="VDA886" s="208"/>
      <c r="VDB886" s="208"/>
      <c r="VDC886" s="208"/>
      <c r="VDD886" s="208"/>
      <c r="VDE886" s="208"/>
      <c r="VDF886" s="208"/>
      <c r="VDG886" s="208"/>
      <c r="VDH886" s="208"/>
      <c r="VDI886" s="208"/>
      <c r="VDJ886" s="208"/>
      <c r="VDK886" s="208"/>
      <c r="VDL886" s="208"/>
      <c r="VDM886" s="208"/>
      <c r="VDN886" s="208"/>
      <c r="VDO886" s="208"/>
      <c r="VDP886" s="208"/>
      <c r="VDQ886" s="208"/>
      <c r="VDR886" s="208"/>
      <c r="VDS886" s="208"/>
      <c r="VDT886" s="208"/>
      <c r="VDU886" s="208"/>
      <c r="VDV886" s="208"/>
      <c r="VDW886" s="208"/>
      <c r="VDX886" s="208"/>
      <c r="VDY886" s="208"/>
      <c r="VDZ886" s="208"/>
      <c r="VEA886" s="208"/>
      <c r="VEB886" s="208"/>
      <c r="VEC886" s="208"/>
      <c r="VED886" s="208"/>
      <c r="VEE886" s="208"/>
      <c r="VEF886" s="208"/>
      <c r="VEG886" s="208"/>
      <c r="VEH886" s="208"/>
      <c r="VEI886" s="208"/>
      <c r="VEJ886" s="208"/>
      <c r="VEK886" s="208"/>
      <c r="VEL886" s="208"/>
      <c r="VEM886" s="208"/>
      <c r="VEN886" s="208"/>
      <c r="VEO886" s="208"/>
      <c r="VEP886" s="208"/>
      <c r="VEQ886" s="208"/>
      <c r="VER886" s="208"/>
      <c r="VES886" s="208"/>
      <c r="VET886" s="208"/>
      <c r="VEU886" s="208"/>
      <c r="VEV886" s="208"/>
      <c r="VEW886" s="208"/>
      <c r="VEX886" s="208"/>
      <c r="VEY886" s="208"/>
      <c r="VEZ886" s="208"/>
      <c r="VFA886" s="208"/>
      <c r="VFB886" s="208"/>
      <c r="VFC886" s="208"/>
      <c r="VFD886" s="208"/>
      <c r="VFE886" s="208"/>
      <c r="VFF886" s="208"/>
      <c r="VFG886" s="208"/>
      <c r="VFH886" s="208"/>
      <c r="VFI886" s="208"/>
      <c r="VFJ886" s="208"/>
      <c r="VFK886" s="208"/>
      <c r="VFL886" s="208"/>
      <c r="VFM886" s="208"/>
      <c r="VFN886" s="208"/>
      <c r="VFO886" s="208"/>
      <c r="VFP886" s="208"/>
      <c r="VFQ886" s="208"/>
      <c r="VFR886" s="208"/>
      <c r="VFS886" s="208"/>
      <c r="VFT886" s="208"/>
      <c r="VFU886" s="208"/>
      <c r="VFV886" s="208"/>
      <c r="VFW886" s="208"/>
      <c r="VFX886" s="208"/>
      <c r="VFY886" s="208"/>
      <c r="VFZ886" s="208"/>
      <c r="VGA886" s="208"/>
      <c r="VGB886" s="208"/>
      <c r="VGC886" s="208"/>
      <c r="VGD886" s="208"/>
      <c r="VGE886" s="208"/>
      <c r="VGF886" s="208"/>
      <c r="VGG886" s="208"/>
      <c r="VGH886" s="208"/>
      <c r="VGI886" s="208"/>
      <c r="VGJ886" s="208"/>
      <c r="VGK886" s="208"/>
      <c r="VGL886" s="208"/>
      <c r="VGM886" s="208"/>
      <c r="VGN886" s="208"/>
      <c r="VGO886" s="208"/>
      <c r="VGP886" s="208"/>
      <c r="VGQ886" s="208"/>
      <c r="VGR886" s="208"/>
      <c r="VGS886" s="208"/>
      <c r="VGT886" s="208"/>
      <c r="VGU886" s="208"/>
      <c r="VGV886" s="208"/>
      <c r="VGW886" s="208"/>
      <c r="VGX886" s="208"/>
      <c r="VGY886" s="208"/>
      <c r="VGZ886" s="208"/>
      <c r="VHA886" s="208"/>
      <c r="VHB886" s="208"/>
      <c r="VHC886" s="208"/>
      <c r="VHD886" s="208"/>
      <c r="VHE886" s="208"/>
      <c r="VHF886" s="208"/>
      <c r="VHG886" s="208"/>
      <c r="VHH886" s="208"/>
      <c r="VHI886" s="208"/>
      <c r="VHJ886" s="208"/>
      <c r="VHK886" s="208"/>
      <c r="VHL886" s="208"/>
      <c r="VHM886" s="208"/>
      <c r="VHN886" s="208"/>
      <c r="VHO886" s="208"/>
      <c r="VHP886" s="208"/>
      <c r="VHQ886" s="208"/>
      <c r="VHR886" s="208"/>
      <c r="VHS886" s="208"/>
      <c r="VHT886" s="208"/>
      <c r="VHU886" s="208"/>
      <c r="VHV886" s="208"/>
      <c r="VHW886" s="208"/>
      <c r="VHX886" s="208"/>
      <c r="VHY886" s="208"/>
      <c r="VHZ886" s="208"/>
      <c r="VIA886" s="208"/>
      <c r="VIB886" s="208"/>
      <c r="VIC886" s="208"/>
      <c r="VID886" s="208"/>
      <c r="VIE886" s="208"/>
      <c r="VIF886" s="208"/>
      <c r="VIG886" s="208"/>
      <c r="VIH886" s="208"/>
      <c r="VII886" s="208"/>
      <c r="VIJ886" s="208"/>
      <c r="VIK886" s="208"/>
      <c r="VIL886" s="208"/>
      <c r="VIM886" s="208"/>
      <c r="VIN886" s="208"/>
      <c r="VIO886" s="208"/>
      <c r="VIP886" s="208"/>
      <c r="VIQ886" s="208"/>
      <c r="VIR886" s="208"/>
      <c r="VIS886" s="208"/>
      <c r="VIT886" s="208"/>
      <c r="VIU886" s="208"/>
      <c r="VIV886" s="208"/>
      <c r="VIW886" s="208"/>
      <c r="VIX886" s="208"/>
      <c r="VIY886" s="208"/>
      <c r="VIZ886" s="208"/>
      <c r="VJA886" s="208"/>
      <c r="VJB886" s="208"/>
      <c r="VJC886" s="208"/>
      <c r="VJD886" s="208"/>
      <c r="VJE886" s="208"/>
      <c r="VJF886" s="208"/>
      <c r="VJG886" s="208"/>
      <c r="VJH886" s="208"/>
      <c r="VJI886" s="208"/>
      <c r="VJJ886" s="208"/>
      <c r="VJK886" s="208"/>
      <c r="VJL886" s="208"/>
      <c r="VJM886" s="208"/>
      <c r="VJN886" s="208"/>
      <c r="VJO886" s="208"/>
      <c r="VJP886" s="208"/>
      <c r="VJQ886" s="208"/>
      <c r="VJR886" s="208"/>
      <c r="VJS886" s="208"/>
      <c r="VJT886" s="208"/>
      <c r="VJU886" s="208"/>
      <c r="VJV886" s="208"/>
      <c r="VJW886" s="208"/>
      <c r="VJX886" s="208"/>
      <c r="VJY886" s="208"/>
      <c r="VJZ886" s="208"/>
      <c r="VKA886" s="208"/>
      <c r="VKB886" s="208"/>
      <c r="VKC886" s="208"/>
      <c r="VKD886" s="208"/>
      <c r="VKE886" s="208"/>
      <c r="VKF886" s="208"/>
      <c r="VKG886" s="208"/>
      <c r="VKH886" s="208"/>
      <c r="VKI886" s="208"/>
      <c r="VKJ886" s="208"/>
      <c r="VKK886" s="208"/>
      <c r="VKL886" s="208"/>
      <c r="VKM886" s="208"/>
      <c r="VKN886" s="208"/>
      <c r="VKO886" s="208"/>
      <c r="VKP886" s="208"/>
      <c r="VKQ886" s="208"/>
      <c r="VKR886" s="208"/>
      <c r="VKS886" s="208"/>
      <c r="VKT886" s="208"/>
      <c r="VKU886" s="208"/>
      <c r="VKV886" s="208"/>
      <c r="VKW886" s="208"/>
      <c r="VKX886" s="208"/>
      <c r="VKY886" s="208"/>
      <c r="VKZ886" s="208"/>
      <c r="VLA886" s="208"/>
      <c r="VLB886" s="208"/>
      <c r="VLC886" s="208"/>
      <c r="VLD886" s="208"/>
      <c r="VLE886" s="208"/>
      <c r="VLF886" s="208"/>
      <c r="VLG886" s="208"/>
      <c r="VLH886" s="208"/>
      <c r="VLI886" s="208"/>
      <c r="VLJ886" s="208"/>
      <c r="VLK886" s="208"/>
      <c r="VLL886" s="208"/>
      <c r="VLM886" s="208"/>
      <c r="VLN886" s="208"/>
      <c r="VLO886" s="208"/>
      <c r="VLP886" s="208"/>
      <c r="VLQ886" s="208"/>
      <c r="VLR886" s="208"/>
      <c r="VLS886" s="208"/>
      <c r="VLT886" s="208"/>
      <c r="VLU886" s="208"/>
      <c r="VLV886" s="208"/>
      <c r="VLW886" s="208"/>
      <c r="VLX886" s="208"/>
      <c r="VLY886" s="208"/>
      <c r="VLZ886" s="208"/>
      <c r="VMA886" s="208"/>
      <c r="VMB886" s="208"/>
      <c r="VMC886" s="208"/>
      <c r="VMD886" s="208"/>
      <c r="VME886" s="208"/>
      <c r="VMF886" s="208"/>
      <c r="VMG886" s="208"/>
      <c r="VMH886" s="208"/>
      <c r="VMI886" s="208"/>
      <c r="VMJ886" s="208"/>
      <c r="VMK886" s="208"/>
      <c r="VML886" s="208"/>
      <c r="VMM886" s="208"/>
      <c r="VMN886" s="208"/>
      <c r="VMO886" s="208"/>
      <c r="VMP886" s="208"/>
      <c r="VMQ886" s="208"/>
      <c r="VMR886" s="208"/>
      <c r="VMS886" s="208"/>
      <c r="VMT886" s="208"/>
      <c r="VMU886" s="208"/>
      <c r="VMV886" s="208"/>
      <c r="VMW886" s="208"/>
      <c r="VMX886" s="208"/>
      <c r="VMY886" s="208"/>
      <c r="VMZ886" s="208"/>
      <c r="VNA886" s="208"/>
      <c r="VNB886" s="208"/>
      <c r="VNC886" s="208"/>
      <c r="VND886" s="208"/>
      <c r="VNE886" s="208"/>
      <c r="VNF886" s="208"/>
      <c r="VNG886" s="208"/>
      <c r="VNH886" s="208"/>
      <c r="VNI886" s="208"/>
      <c r="VNJ886" s="208"/>
      <c r="VNK886" s="208"/>
      <c r="VNL886" s="208"/>
      <c r="VNM886" s="208"/>
      <c r="VNN886" s="208"/>
      <c r="VNO886" s="208"/>
      <c r="VNP886" s="208"/>
      <c r="VNQ886" s="208"/>
      <c r="VNR886" s="208"/>
      <c r="VNS886" s="208"/>
      <c r="VNT886" s="208"/>
      <c r="VNU886" s="208"/>
      <c r="VNV886" s="208"/>
      <c r="VNW886" s="208"/>
      <c r="VNX886" s="208"/>
      <c r="VNY886" s="208"/>
      <c r="VNZ886" s="208"/>
      <c r="VOA886" s="208"/>
      <c r="VOB886" s="208"/>
      <c r="VOC886" s="208"/>
      <c r="VOD886" s="208"/>
      <c r="VOE886" s="208"/>
      <c r="VOF886" s="208"/>
      <c r="VOG886" s="208"/>
      <c r="VOH886" s="208"/>
      <c r="VOI886" s="208"/>
      <c r="VOJ886" s="208"/>
      <c r="VOK886" s="208"/>
      <c r="VOL886" s="208"/>
      <c r="VOM886" s="208"/>
      <c r="VON886" s="208"/>
      <c r="VOO886" s="208"/>
      <c r="VOP886" s="208"/>
      <c r="VOQ886" s="208"/>
      <c r="VOR886" s="208"/>
      <c r="VOS886" s="208"/>
      <c r="VOT886" s="208"/>
      <c r="VOU886" s="208"/>
      <c r="VOV886" s="208"/>
      <c r="VOW886" s="208"/>
      <c r="VOX886" s="208"/>
      <c r="VOY886" s="208"/>
      <c r="VOZ886" s="208"/>
      <c r="VPA886" s="208"/>
      <c r="VPB886" s="208"/>
      <c r="VPC886" s="208"/>
      <c r="VPD886" s="208"/>
      <c r="VPE886" s="208"/>
      <c r="VPF886" s="208"/>
      <c r="VPG886" s="208"/>
      <c r="VPH886" s="208"/>
      <c r="VPI886" s="208"/>
      <c r="VPJ886" s="208"/>
      <c r="VPK886" s="208"/>
      <c r="VPL886" s="208"/>
      <c r="VPM886" s="208"/>
      <c r="VPN886" s="208"/>
      <c r="VPO886" s="208"/>
      <c r="VPP886" s="208"/>
      <c r="VPQ886" s="208"/>
      <c r="VPR886" s="208"/>
      <c r="VPS886" s="208"/>
      <c r="VPT886" s="208"/>
      <c r="VPU886" s="208"/>
      <c r="VPV886" s="208"/>
      <c r="VPW886" s="208"/>
      <c r="VPX886" s="208"/>
      <c r="VPY886" s="208"/>
      <c r="VPZ886" s="208"/>
      <c r="VQA886" s="208"/>
      <c r="VQB886" s="208"/>
      <c r="VQC886" s="208"/>
      <c r="VQD886" s="208"/>
      <c r="VQE886" s="208"/>
      <c r="VQF886" s="208"/>
      <c r="VQG886" s="208"/>
      <c r="VQH886" s="208"/>
      <c r="VQI886" s="208"/>
      <c r="VQJ886" s="208"/>
      <c r="VQK886" s="208"/>
      <c r="VQL886" s="208"/>
      <c r="VQM886" s="208"/>
      <c r="VQN886" s="208"/>
      <c r="VQO886" s="208"/>
      <c r="VQP886" s="208"/>
      <c r="VQQ886" s="208"/>
      <c r="VQR886" s="208"/>
      <c r="VQS886" s="208"/>
      <c r="VQT886" s="208"/>
      <c r="VQU886" s="208"/>
      <c r="VQV886" s="208"/>
      <c r="VQW886" s="208"/>
      <c r="VQX886" s="208"/>
      <c r="VQY886" s="208"/>
      <c r="VQZ886" s="208"/>
      <c r="VRA886" s="208"/>
      <c r="VRB886" s="208"/>
      <c r="VRC886" s="208"/>
      <c r="VRD886" s="208"/>
      <c r="VRE886" s="208"/>
      <c r="VRF886" s="208"/>
      <c r="VRG886" s="208"/>
      <c r="VRH886" s="208"/>
      <c r="VRI886" s="208"/>
      <c r="VRJ886" s="208"/>
      <c r="VRK886" s="208"/>
      <c r="VRL886" s="208"/>
      <c r="VRM886" s="208"/>
      <c r="VRN886" s="208"/>
      <c r="VRO886" s="208"/>
      <c r="VRP886" s="208"/>
      <c r="VRQ886" s="208"/>
      <c r="VRR886" s="208"/>
      <c r="VRS886" s="208"/>
      <c r="VRT886" s="208"/>
      <c r="VRU886" s="208"/>
      <c r="VRV886" s="208"/>
      <c r="VRW886" s="208"/>
      <c r="VRX886" s="208"/>
      <c r="VRY886" s="208"/>
      <c r="VRZ886" s="208"/>
      <c r="VSA886" s="208"/>
      <c r="VSB886" s="208"/>
      <c r="VSC886" s="208"/>
      <c r="VSD886" s="208"/>
      <c r="VSE886" s="208"/>
      <c r="VSF886" s="208"/>
      <c r="VSG886" s="208"/>
      <c r="VSH886" s="208"/>
      <c r="VSI886" s="208"/>
      <c r="VSJ886" s="208"/>
      <c r="VSK886" s="208"/>
      <c r="VSL886" s="208"/>
      <c r="VSM886" s="208"/>
      <c r="VSN886" s="208"/>
      <c r="VSO886" s="208"/>
      <c r="VSP886" s="208"/>
      <c r="VSQ886" s="208"/>
      <c r="VSR886" s="208"/>
      <c r="VSS886" s="208"/>
      <c r="VST886" s="208"/>
      <c r="VSU886" s="208"/>
      <c r="VSV886" s="208"/>
      <c r="VSW886" s="208"/>
      <c r="VSX886" s="208"/>
      <c r="VSY886" s="208"/>
      <c r="VSZ886" s="208"/>
      <c r="VTA886" s="208"/>
      <c r="VTB886" s="208"/>
      <c r="VTC886" s="208"/>
      <c r="VTD886" s="208"/>
      <c r="VTE886" s="208"/>
      <c r="VTF886" s="208"/>
      <c r="VTG886" s="208"/>
      <c r="VTH886" s="208"/>
      <c r="VTI886" s="208"/>
      <c r="VTJ886" s="208"/>
      <c r="VTK886" s="208"/>
      <c r="VTL886" s="208"/>
      <c r="VTM886" s="208"/>
      <c r="VTN886" s="208"/>
      <c r="VTO886" s="208"/>
      <c r="VTP886" s="208"/>
      <c r="VTQ886" s="208"/>
      <c r="VTR886" s="208"/>
      <c r="VTS886" s="208"/>
      <c r="VTT886" s="208"/>
      <c r="VTU886" s="208"/>
      <c r="VTV886" s="208"/>
      <c r="VTW886" s="208"/>
      <c r="VTX886" s="208"/>
      <c r="VTY886" s="208"/>
      <c r="VTZ886" s="208"/>
      <c r="VUA886" s="208"/>
      <c r="VUB886" s="208"/>
      <c r="VUC886" s="208"/>
      <c r="VUD886" s="208"/>
      <c r="VUE886" s="208"/>
      <c r="VUF886" s="208"/>
      <c r="VUG886" s="208"/>
      <c r="VUH886" s="208"/>
      <c r="VUI886" s="208"/>
      <c r="VUJ886" s="208"/>
      <c r="VUK886" s="208"/>
      <c r="VUL886" s="208"/>
      <c r="VUM886" s="208"/>
      <c r="VUN886" s="208"/>
      <c r="VUO886" s="208"/>
      <c r="VUP886" s="208"/>
      <c r="VUQ886" s="208"/>
      <c r="VUR886" s="208"/>
      <c r="VUS886" s="208"/>
      <c r="VUT886" s="208"/>
      <c r="VUU886" s="208"/>
      <c r="VUV886" s="208"/>
      <c r="VUW886" s="208"/>
      <c r="VUX886" s="208"/>
      <c r="VUY886" s="208"/>
      <c r="VUZ886" s="208"/>
      <c r="VVA886" s="208"/>
      <c r="VVB886" s="208"/>
      <c r="VVC886" s="208"/>
      <c r="VVD886" s="208"/>
      <c r="VVE886" s="208"/>
      <c r="VVF886" s="208"/>
      <c r="VVG886" s="208"/>
      <c r="VVH886" s="208"/>
      <c r="VVI886" s="208"/>
      <c r="VVJ886" s="208"/>
      <c r="VVK886" s="208"/>
      <c r="VVL886" s="208"/>
      <c r="VVM886" s="208"/>
      <c r="VVN886" s="208"/>
      <c r="VVO886" s="208"/>
      <c r="VVP886" s="208"/>
      <c r="VVQ886" s="208"/>
      <c r="VVR886" s="208"/>
      <c r="VVS886" s="208"/>
      <c r="VVT886" s="208"/>
      <c r="VVU886" s="208"/>
      <c r="VVV886" s="208"/>
      <c r="VVW886" s="208"/>
      <c r="VVX886" s="208"/>
      <c r="VVY886" s="208"/>
      <c r="VVZ886" s="208"/>
      <c r="VWA886" s="208"/>
      <c r="VWB886" s="208"/>
      <c r="VWC886" s="208"/>
      <c r="VWD886" s="208"/>
      <c r="VWE886" s="208"/>
      <c r="VWF886" s="208"/>
      <c r="VWG886" s="208"/>
      <c r="VWH886" s="208"/>
      <c r="VWI886" s="208"/>
      <c r="VWJ886" s="208"/>
      <c r="VWK886" s="208"/>
      <c r="VWL886" s="208"/>
      <c r="VWM886" s="208"/>
      <c r="VWN886" s="208"/>
      <c r="VWO886" s="208"/>
      <c r="VWP886" s="208"/>
      <c r="VWQ886" s="208"/>
      <c r="VWR886" s="208"/>
      <c r="VWS886" s="208"/>
      <c r="VWT886" s="208"/>
      <c r="VWU886" s="208"/>
      <c r="VWV886" s="208"/>
      <c r="VWW886" s="208"/>
      <c r="VWX886" s="208"/>
      <c r="VWY886" s="208"/>
      <c r="VWZ886" s="208"/>
      <c r="VXA886" s="208"/>
      <c r="VXB886" s="208"/>
      <c r="VXC886" s="208"/>
      <c r="VXD886" s="208"/>
      <c r="VXE886" s="208"/>
      <c r="VXF886" s="208"/>
      <c r="VXG886" s="208"/>
      <c r="VXH886" s="208"/>
      <c r="VXI886" s="208"/>
      <c r="VXJ886" s="208"/>
      <c r="VXK886" s="208"/>
      <c r="VXL886" s="208"/>
      <c r="VXM886" s="208"/>
      <c r="VXN886" s="208"/>
      <c r="VXO886" s="208"/>
      <c r="VXP886" s="208"/>
      <c r="VXQ886" s="208"/>
      <c r="VXR886" s="208"/>
      <c r="VXS886" s="208"/>
      <c r="VXT886" s="208"/>
      <c r="VXU886" s="208"/>
      <c r="VXV886" s="208"/>
      <c r="VXW886" s="208"/>
      <c r="VXX886" s="208"/>
      <c r="VXY886" s="208"/>
      <c r="VXZ886" s="208"/>
      <c r="VYA886" s="208"/>
      <c r="VYB886" s="208"/>
      <c r="VYC886" s="208"/>
      <c r="VYD886" s="208"/>
      <c r="VYE886" s="208"/>
      <c r="VYF886" s="208"/>
      <c r="VYG886" s="208"/>
      <c r="VYH886" s="208"/>
      <c r="VYI886" s="208"/>
      <c r="VYJ886" s="208"/>
      <c r="VYK886" s="208"/>
      <c r="VYL886" s="208"/>
      <c r="VYM886" s="208"/>
      <c r="VYN886" s="208"/>
      <c r="VYO886" s="208"/>
      <c r="VYP886" s="208"/>
      <c r="VYQ886" s="208"/>
      <c r="VYR886" s="208"/>
      <c r="VYS886" s="208"/>
      <c r="VYT886" s="208"/>
      <c r="VYU886" s="208"/>
      <c r="VYV886" s="208"/>
      <c r="VYW886" s="208"/>
      <c r="VYX886" s="208"/>
      <c r="VYY886" s="208"/>
      <c r="VYZ886" s="208"/>
      <c r="VZA886" s="208"/>
      <c r="VZB886" s="208"/>
      <c r="VZC886" s="208"/>
      <c r="VZD886" s="208"/>
      <c r="VZE886" s="208"/>
      <c r="VZF886" s="208"/>
      <c r="VZG886" s="208"/>
      <c r="VZH886" s="208"/>
      <c r="VZI886" s="208"/>
      <c r="VZJ886" s="208"/>
      <c r="VZK886" s="208"/>
      <c r="VZL886" s="208"/>
      <c r="VZM886" s="208"/>
      <c r="VZN886" s="208"/>
      <c r="VZO886" s="208"/>
      <c r="VZP886" s="208"/>
      <c r="VZQ886" s="208"/>
      <c r="VZR886" s="208"/>
      <c r="VZS886" s="208"/>
      <c r="VZT886" s="208"/>
      <c r="VZU886" s="208"/>
      <c r="VZV886" s="208"/>
      <c r="VZW886" s="208"/>
      <c r="VZX886" s="208"/>
      <c r="VZY886" s="208"/>
      <c r="VZZ886" s="208"/>
      <c r="WAA886" s="208"/>
      <c r="WAB886" s="208"/>
      <c r="WAC886" s="208"/>
      <c r="WAD886" s="208"/>
      <c r="WAE886" s="208"/>
      <c r="WAF886" s="208"/>
      <c r="WAG886" s="208"/>
      <c r="WAH886" s="208"/>
      <c r="WAI886" s="208"/>
      <c r="WAJ886" s="208"/>
      <c r="WAK886" s="208"/>
      <c r="WAL886" s="208"/>
      <c r="WAM886" s="208"/>
      <c r="WAN886" s="208"/>
      <c r="WAO886" s="208"/>
      <c r="WAP886" s="208"/>
      <c r="WAQ886" s="208"/>
      <c r="WAR886" s="208"/>
      <c r="WAS886" s="208"/>
      <c r="WAT886" s="208"/>
      <c r="WAU886" s="208"/>
      <c r="WAV886" s="208"/>
      <c r="WAW886" s="208"/>
      <c r="WAX886" s="208"/>
      <c r="WAY886" s="208"/>
      <c r="WAZ886" s="208"/>
      <c r="WBA886" s="208"/>
      <c r="WBB886" s="208"/>
      <c r="WBC886" s="208"/>
      <c r="WBD886" s="208"/>
      <c r="WBE886" s="208"/>
      <c r="WBF886" s="208"/>
      <c r="WBG886" s="208"/>
      <c r="WBH886" s="208"/>
      <c r="WBI886" s="208"/>
      <c r="WBJ886" s="208"/>
      <c r="WBK886" s="208"/>
      <c r="WBL886" s="208"/>
      <c r="WBM886" s="208"/>
      <c r="WBN886" s="208"/>
      <c r="WBO886" s="208"/>
      <c r="WBP886" s="208"/>
      <c r="WBQ886" s="208"/>
      <c r="WBR886" s="208"/>
      <c r="WBS886" s="208"/>
      <c r="WBT886" s="208"/>
      <c r="WBU886" s="208"/>
      <c r="WBV886" s="208"/>
      <c r="WBW886" s="208"/>
      <c r="WBX886" s="208"/>
      <c r="WBY886" s="208"/>
      <c r="WBZ886" s="208"/>
      <c r="WCA886" s="208"/>
      <c r="WCB886" s="208"/>
      <c r="WCC886" s="208"/>
      <c r="WCD886" s="208"/>
      <c r="WCE886" s="208"/>
      <c r="WCF886" s="208"/>
      <c r="WCG886" s="208"/>
      <c r="WCH886" s="208"/>
      <c r="WCI886" s="208"/>
      <c r="WCJ886" s="208"/>
      <c r="WCK886" s="208"/>
      <c r="WCL886" s="208"/>
      <c r="WCM886" s="208"/>
      <c r="WCN886" s="208"/>
      <c r="WCO886" s="208"/>
      <c r="WCP886" s="208"/>
      <c r="WCQ886" s="208"/>
      <c r="WCR886" s="208"/>
      <c r="WCS886" s="208"/>
      <c r="WCT886" s="208"/>
      <c r="WCU886" s="208"/>
      <c r="WCV886" s="208"/>
      <c r="WCW886" s="208"/>
      <c r="WCX886" s="208"/>
      <c r="WCY886" s="208"/>
      <c r="WCZ886" s="208"/>
      <c r="WDA886" s="208"/>
      <c r="WDB886" s="208"/>
      <c r="WDC886" s="208"/>
      <c r="WDD886" s="208"/>
      <c r="WDE886" s="208"/>
      <c r="WDF886" s="208"/>
      <c r="WDG886" s="208"/>
      <c r="WDH886" s="208"/>
      <c r="WDI886" s="208"/>
      <c r="WDJ886" s="208"/>
      <c r="WDK886" s="208"/>
      <c r="WDL886" s="208"/>
      <c r="WDM886" s="208"/>
      <c r="WDN886" s="208"/>
      <c r="WDO886" s="208"/>
      <c r="WDP886" s="208"/>
      <c r="WDQ886" s="208"/>
      <c r="WDR886" s="208"/>
      <c r="WDS886" s="208"/>
      <c r="WDT886" s="208"/>
      <c r="WDU886" s="208"/>
      <c r="WDV886" s="208"/>
      <c r="WDW886" s="208"/>
      <c r="WDX886" s="208"/>
      <c r="WDY886" s="208"/>
      <c r="WDZ886" s="208"/>
      <c r="WEA886" s="208"/>
      <c r="WEB886" s="208"/>
      <c r="WEC886" s="208"/>
      <c r="WED886" s="208"/>
      <c r="WEE886" s="208"/>
      <c r="WEF886" s="208"/>
      <c r="WEG886" s="208"/>
      <c r="WEH886" s="208"/>
      <c r="WEI886" s="208"/>
      <c r="WEJ886" s="208"/>
      <c r="WEK886" s="208"/>
      <c r="WEL886" s="208"/>
      <c r="WEM886" s="208"/>
      <c r="WEN886" s="208"/>
      <c r="WEO886" s="208"/>
      <c r="WEP886" s="208"/>
      <c r="WEQ886" s="208"/>
      <c r="WER886" s="208"/>
      <c r="WES886" s="208"/>
      <c r="WET886" s="208"/>
      <c r="WEU886" s="208"/>
      <c r="WEV886" s="208"/>
      <c r="WEW886" s="208"/>
      <c r="WEX886" s="208"/>
      <c r="WEY886" s="208"/>
      <c r="WEZ886" s="208"/>
      <c r="WFA886" s="208"/>
      <c r="WFB886" s="208"/>
      <c r="WFC886" s="208"/>
      <c r="WFD886" s="208"/>
      <c r="WFE886" s="208"/>
      <c r="WFF886" s="208"/>
      <c r="WFG886" s="208"/>
      <c r="WFH886" s="208"/>
      <c r="WFI886" s="208"/>
      <c r="WFJ886" s="208"/>
      <c r="WFK886" s="208"/>
      <c r="WFL886" s="208"/>
      <c r="WFM886" s="208"/>
      <c r="WFN886" s="208"/>
      <c r="WFO886" s="208"/>
      <c r="WFP886" s="208"/>
      <c r="WFQ886" s="208"/>
      <c r="WFR886" s="208"/>
      <c r="WFS886" s="208"/>
      <c r="WFT886" s="208"/>
      <c r="WFU886" s="208"/>
      <c r="WFV886" s="208"/>
      <c r="WFW886" s="208"/>
      <c r="WFX886" s="208"/>
      <c r="WFY886" s="208"/>
      <c r="WFZ886" s="208"/>
      <c r="WGA886" s="208"/>
      <c r="WGB886" s="208"/>
      <c r="WGC886" s="208"/>
      <c r="WGD886" s="208"/>
      <c r="WGE886" s="208"/>
      <c r="WGF886" s="208"/>
      <c r="WGG886" s="208"/>
      <c r="WGH886" s="208"/>
      <c r="WGI886" s="208"/>
      <c r="WGJ886" s="208"/>
      <c r="WGK886" s="208"/>
      <c r="WGL886" s="208"/>
      <c r="WGM886" s="208"/>
      <c r="WGN886" s="208"/>
      <c r="WGO886" s="208"/>
      <c r="WGP886" s="208"/>
      <c r="WGQ886" s="208"/>
      <c r="WGR886" s="208"/>
      <c r="WGS886" s="208"/>
      <c r="WGT886" s="208"/>
      <c r="WGU886" s="208"/>
      <c r="WGV886" s="208"/>
      <c r="WGW886" s="208"/>
      <c r="WGX886" s="208"/>
      <c r="WGY886" s="208"/>
      <c r="WGZ886" s="208"/>
      <c r="WHA886" s="208"/>
      <c r="WHB886" s="208"/>
      <c r="WHC886" s="208"/>
      <c r="WHD886" s="208"/>
      <c r="WHE886" s="208"/>
      <c r="WHF886" s="208"/>
      <c r="WHG886" s="208"/>
      <c r="WHH886" s="208"/>
      <c r="WHI886" s="208"/>
      <c r="WHJ886" s="208"/>
      <c r="WHK886" s="208"/>
      <c r="WHL886" s="208"/>
      <c r="WHM886" s="208"/>
      <c r="WHN886" s="208"/>
      <c r="WHO886" s="208"/>
      <c r="WHP886" s="208"/>
      <c r="WHQ886" s="208"/>
      <c r="WHR886" s="208"/>
      <c r="WHS886" s="208"/>
      <c r="WHT886" s="208"/>
      <c r="WHU886" s="208"/>
      <c r="WHV886" s="208"/>
      <c r="WHW886" s="208"/>
      <c r="WHX886" s="208"/>
      <c r="WHY886" s="208"/>
      <c r="WHZ886" s="208"/>
      <c r="WIA886" s="208"/>
      <c r="WIB886" s="208"/>
      <c r="WIC886" s="208"/>
      <c r="WID886" s="208"/>
      <c r="WIE886" s="208"/>
      <c r="WIF886" s="208"/>
      <c r="WIG886" s="208"/>
      <c r="WIH886" s="208"/>
      <c r="WII886" s="208"/>
      <c r="WIJ886" s="208"/>
      <c r="WIK886" s="208"/>
      <c r="WIL886" s="208"/>
      <c r="WIM886" s="208"/>
      <c r="WIN886" s="208"/>
      <c r="WIO886" s="208"/>
      <c r="WIP886" s="208"/>
      <c r="WIQ886" s="208"/>
      <c r="WIR886" s="208"/>
      <c r="WIS886" s="208"/>
      <c r="WIT886" s="208"/>
      <c r="WIU886" s="208"/>
      <c r="WIV886" s="208"/>
      <c r="WIW886" s="208"/>
      <c r="WIX886" s="208"/>
      <c r="WIY886" s="208"/>
      <c r="WIZ886" s="208"/>
      <c r="WJA886" s="208"/>
      <c r="WJB886" s="208"/>
      <c r="WJC886" s="208"/>
      <c r="WJD886" s="208"/>
      <c r="WJE886" s="208"/>
      <c r="WJF886" s="208"/>
      <c r="WJG886" s="208"/>
      <c r="WJH886" s="208"/>
      <c r="WJI886" s="208"/>
      <c r="WJJ886" s="208"/>
      <c r="WJK886" s="208"/>
      <c r="WJL886" s="208"/>
      <c r="WJM886" s="208"/>
      <c r="WJN886" s="208"/>
      <c r="WJO886" s="208"/>
      <c r="WJP886" s="208"/>
      <c r="WJQ886" s="208"/>
      <c r="WJR886" s="208"/>
      <c r="WJS886" s="208"/>
      <c r="WJT886" s="208"/>
      <c r="WJU886" s="208"/>
      <c r="WJV886" s="208"/>
      <c r="WJW886" s="208"/>
      <c r="WJX886" s="208"/>
      <c r="WJY886" s="208"/>
      <c r="WJZ886" s="208"/>
      <c r="WKA886" s="208"/>
      <c r="WKB886" s="208"/>
      <c r="WKC886" s="208"/>
      <c r="WKD886" s="208"/>
      <c r="WKE886" s="208"/>
      <c r="WKF886" s="208"/>
      <c r="WKG886" s="208"/>
      <c r="WKH886" s="208"/>
      <c r="WKI886" s="208"/>
      <c r="WKJ886" s="208"/>
      <c r="WKK886" s="208"/>
      <c r="WKL886" s="208"/>
      <c r="WKM886" s="208"/>
      <c r="WKN886" s="208"/>
      <c r="WKO886" s="208"/>
      <c r="WKP886" s="208"/>
      <c r="WKQ886" s="208"/>
      <c r="WKR886" s="208"/>
      <c r="WKS886" s="208"/>
      <c r="WKT886" s="208"/>
      <c r="WKU886" s="208"/>
      <c r="WKV886" s="208"/>
      <c r="WKW886" s="208"/>
      <c r="WKX886" s="208"/>
      <c r="WKY886" s="208"/>
      <c r="WKZ886" s="208"/>
      <c r="WLA886" s="208"/>
      <c r="WLB886" s="208"/>
      <c r="WLC886" s="208"/>
      <c r="WLD886" s="208"/>
      <c r="WLE886" s="208"/>
      <c r="WLF886" s="208"/>
      <c r="WLG886" s="208"/>
      <c r="WLH886" s="208"/>
      <c r="WLI886" s="208"/>
      <c r="WLJ886" s="208"/>
      <c r="WLK886" s="208"/>
      <c r="WLL886" s="208"/>
      <c r="WLM886" s="208"/>
      <c r="WLN886" s="208"/>
      <c r="WLO886" s="208"/>
      <c r="WLP886" s="208"/>
      <c r="WLQ886" s="208"/>
      <c r="WLR886" s="208"/>
      <c r="WLS886" s="208"/>
      <c r="WLT886" s="208"/>
      <c r="WLU886" s="208"/>
      <c r="WLV886" s="208"/>
      <c r="WLW886" s="208"/>
      <c r="WLX886" s="208"/>
      <c r="WLY886" s="208"/>
      <c r="WLZ886" s="208"/>
      <c r="WMA886" s="208"/>
      <c r="WMB886" s="208"/>
      <c r="WMC886" s="208"/>
      <c r="WMD886" s="208"/>
      <c r="WME886" s="208"/>
      <c r="WMF886" s="208"/>
      <c r="WMG886" s="208"/>
      <c r="WMH886" s="208"/>
      <c r="WMI886" s="208"/>
      <c r="WMJ886" s="208"/>
      <c r="WMK886" s="208"/>
      <c r="WML886" s="208"/>
      <c r="WMM886" s="208"/>
      <c r="WMN886" s="208"/>
      <c r="WMO886" s="208"/>
      <c r="WMP886" s="208"/>
      <c r="WMQ886" s="208"/>
      <c r="WMR886" s="208"/>
      <c r="WMS886" s="208"/>
      <c r="WMT886" s="208"/>
      <c r="WMU886" s="208"/>
      <c r="WMV886" s="208"/>
      <c r="WMW886" s="208"/>
      <c r="WMX886" s="208"/>
      <c r="WMY886" s="208"/>
      <c r="WMZ886" s="208"/>
      <c r="WNA886" s="208"/>
      <c r="WNB886" s="208"/>
      <c r="WNC886" s="208"/>
      <c r="WND886" s="208"/>
      <c r="WNE886" s="208"/>
      <c r="WNF886" s="208"/>
      <c r="WNG886" s="208"/>
      <c r="WNH886" s="208"/>
      <c r="WNI886" s="208"/>
      <c r="WNJ886" s="208"/>
      <c r="WNK886" s="208"/>
      <c r="WNL886" s="208"/>
      <c r="WNM886" s="208"/>
      <c r="WNN886" s="208"/>
      <c r="WNO886" s="208"/>
      <c r="WNP886" s="208"/>
      <c r="WNQ886" s="208"/>
      <c r="WNR886" s="208"/>
      <c r="WNS886" s="208"/>
      <c r="WNT886" s="208"/>
      <c r="WNU886" s="208"/>
      <c r="WNV886" s="208"/>
      <c r="WNW886" s="208"/>
      <c r="WNX886" s="208"/>
      <c r="WNY886" s="208"/>
      <c r="WNZ886" s="208"/>
      <c r="WOA886" s="208"/>
      <c r="WOB886" s="208"/>
      <c r="WOC886" s="208"/>
      <c r="WOD886" s="208"/>
      <c r="WOE886" s="208"/>
      <c r="WOF886" s="208"/>
      <c r="WOG886" s="208"/>
      <c r="WOH886" s="208"/>
      <c r="WOI886" s="208"/>
      <c r="WOJ886" s="208"/>
      <c r="WOK886" s="208"/>
      <c r="WOL886" s="208"/>
      <c r="WOM886" s="208"/>
      <c r="WON886" s="208"/>
      <c r="WOO886" s="208"/>
      <c r="WOP886" s="208"/>
      <c r="WOQ886" s="208"/>
      <c r="WOR886" s="208"/>
      <c r="WOS886" s="208"/>
      <c r="WOT886" s="208"/>
      <c r="WOU886" s="208"/>
      <c r="WOV886" s="208"/>
      <c r="WOW886" s="208"/>
      <c r="WOX886" s="208"/>
      <c r="WOY886" s="208"/>
      <c r="WOZ886" s="208"/>
      <c r="WPA886" s="208"/>
      <c r="WPB886" s="208"/>
      <c r="WPC886" s="208"/>
      <c r="WPD886" s="208"/>
      <c r="WPE886" s="208"/>
      <c r="WPF886" s="208"/>
      <c r="WPG886" s="208"/>
      <c r="WPH886" s="208"/>
      <c r="WPI886" s="208"/>
      <c r="WPJ886" s="208"/>
      <c r="WPK886" s="208"/>
      <c r="WPL886" s="208"/>
      <c r="WPM886" s="208"/>
      <c r="WPN886" s="208"/>
      <c r="WPO886" s="208"/>
      <c r="WPP886" s="208"/>
      <c r="WPQ886" s="208"/>
      <c r="WPR886" s="208"/>
      <c r="WPS886" s="208"/>
      <c r="WPT886" s="208"/>
      <c r="WPU886" s="208"/>
      <c r="WPV886" s="208"/>
      <c r="WPW886" s="208"/>
      <c r="WPX886" s="208"/>
      <c r="WPY886" s="208"/>
      <c r="WPZ886" s="208"/>
      <c r="WQA886" s="208"/>
      <c r="WQB886" s="208"/>
      <c r="WQC886" s="208"/>
      <c r="WQD886" s="208"/>
      <c r="WQE886" s="208"/>
      <c r="WQF886" s="208"/>
      <c r="WQG886" s="208"/>
      <c r="WQH886" s="208"/>
      <c r="WQI886" s="208"/>
      <c r="WQJ886" s="208"/>
      <c r="WQK886" s="208"/>
      <c r="WQL886" s="208"/>
      <c r="WQM886" s="208"/>
      <c r="WQN886" s="208"/>
      <c r="WQO886" s="208"/>
      <c r="WQP886" s="208"/>
      <c r="WQQ886" s="208"/>
      <c r="WQR886" s="208"/>
      <c r="WQS886" s="208"/>
      <c r="WQT886" s="208"/>
      <c r="WQU886" s="208"/>
      <c r="WQV886" s="208"/>
      <c r="WQW886" s="208"/>
      <c r="WQX886" s="208"/>
      <c r="WQY886" s="208"/>
      <c r="WQZ886" s="208"/>
      <c r="WRA886" s="208"/>
      <c r="WRB886" s="208"/>
      <c r="WRC886" s="208"/>
      <c r="WRD886" s="208"/>
      <c r="WRE886" s="208"/>
      <c r="WRF886" s="208"/>
      <c r="WRG886" s="208"/>
      <c r="WRH886" s="208"/>
      <c r="WRI886" s="208"/>
      <c r="WRJ886" s="208"/>
      <c r="WRK886" s="208"/>
      <c r="WRL886" s="208"/>
      <c r="WRM886" s="208"/>
      <c r="WRN886" s="208"/>
      <c r="WRO886" s="208"/>
      <c r="WRP886" s="208"/>
      <c r="WRQ886" s="208"/>
      <c r="WRR886" s="208"/>
      <c r="WRS886" s="208"/>
      <c r="WRT886" s="208"/>
      <c r="WRU886" s="208"/>
      <c r="WRV886" s="208"/>
      <c r="WRW886" s="208"/>
      <c r="WRX886" s="208"/>
      <c r="WRY886" s="208"/>
      <c r="WRZ886" s="208"/>
      <c r="WSA886" s="208"/>
      <c r="WSB886" s="208"/>
      <c r="WSC886" s="208"/>
      <c r="WSD886" s="208"/>
      <c r="WSE886" s="208"/>
      <c r="WSF886" s="208"/>
      <c r="WSG886" s="208"/>
      <c r="WSH886" s="208"/>
      <c r="WSI886" s="208"/>
      <c r="WSJ886" s="208"/>
      <c r="WSK886" s="208"/>
      <c r="WSL886" s="208"/>
      <c r="WSM886" s="208"/>
      <c r="WSN886" s="208"/>
      <c r="WSO886" s="208"/>
      <c r="WSP886" s="208"/>
      <c r="WSQ886" s="208"/>
      <c r="WSR886" s="208"/>
      <c r="WSS886" s="208"/>
      <c r="WST886" s="208"/>
      <c r="WSU886" s="208"/>
      <c r="WSV886" s="208"/>
      <c r="WSW886" s="208"/>
      <c r="WSX886" s="208"/>
      <c r="WSY886" s="208"/>
      <c r="WSZ886" s="208"/>
      <c r="WTA886" s="208"/>
      <c r="WTB886" s="208"/>
      <c r="WTC886" s="208"/>
      <c r="WTD886" s="208"/>
      <c r="WTE886" s="208"/>
      <c r="WTF886" s="208"/>
      <c r="WTG886" s="208"/>
      <c r="WTH886" s="208"/>
      <c r="WTI886" s="208"/>
      <c r="WTJ886" s="208"/>
      <c r="WTK886" s="208"/>
      <c r="WTL886" s="208"/>
      <c r="WTM886" s="208"/>
      <c r="WTN886" s="208"/>
      <c r="WTO886" s="208"/>
      <c r="WTP886" s="208"/>
      <c r="WTQ886" s="208"/>
      <c r="WTR886" s="208"/>
      <c r="WTS886" s="208"/>
      <c r="WTT886" s="208"/>
      <c r="WTU886" s="208"/>
      <c r="WTV886" s="208"/>
      <c r="WTW886" s="208"/>
      <c r="WTX886" s="208"/>
      <c r="WTY886" s="208"/>
      <c r="WTZ886" s="208"/>
      <c r="WUA886" s="208"/>
      <c r="WUB886" s="208"/>
      <c r="WUC886" s="208"/>
      <c r="WUD886" s="208"/>
      <c r="WUE886" s="208"/>
      <c r="WUF886" s="208"/>
      <c r="WUG886" s="208"/>
      <c r="WUH886" s="208"/>
      <c r="WUI886" s="208"/>
      <c r="WUJ886" s="208"/>
      <c r="WUK886" s="208"/>
      <c r="WUL886" s="208"/>
      <c r="WUM886" s="208"/>
      <c r="WUN886" s="208"/>
      <c r="WUO886" s="208"/>
      <c r="WUP886" s="208"/>
      <c r="WUQ886" s="208"/>
      <c r="WUR886" s="208"/>
      <c r="WUS886" s="208"/>
      <c r="WUT886" s="208"/>
      <c r="WUU886" s="208"/>
      <c r="WUV886" s="208"/>
      <c r="WUW886" s="208"/>
      <c r="WUX886" s="208"/>
      <c r="WUY886" s="208"/>
      <c r="WUZ886" s="208"/>
      <c r="WVA886" s="208"/>
      <c r="WVB886" s="208"/>
      <c r="WVC886" s="208"/>
      <c r="WVD886" s="208"/>
      <c r="WVE886" s="208"/>
      <c r="WVF886" s="208"/>
      <c r="WVG886" s="208"/>
      <c r="WVH886" s="208"/>
      <c r="WVI886" s="208"/>
      <c r="WVJ886" s="208"/>
      <c r="WVK886" s="208"/>
      <c r="WVL886" s="208"/>
      <c r="WVM886" s="208"/>
      <c r="WVN886" s="208"/>
      <c r="WVO886" s="208"/>
      <c r="WVP886" s="208"/>
      <c r="WVQ886" s="208"/>
      <c r="WVR886" s="208"/>
      <c r="WVS886" s="208"/>
      <c r="WVT886" s="208"/>
      <c r="WVU886" s="208"/>
      <c r="WVV886" s="208"/>
      <c r="WVW886" s="208"/>
      <c r="WVX886" s="208"/>
      <c r="WVY886" s="208"/>
      <c r="WVZ886" s="208"/>
      <c r="WWA886" s="208"/>
      <c r="WWB886" s="208"/>
      <c r="WWC886" s="208"/>
      <c r="WWD886" s="208"/>
      <c r="WWE886" s="208"/>
      <c r="WWF886" s="208"/>
      <c r="WWG886" s="208"/>
      <c r="WWH886" s="208"/>
      <c r="WWI886" s="208"/>
      <c r="WWJ886" s="208"/>
      <c r="WWK886" s="208"/>
      <c r="WWL886" s="208"/>
      <c r="WWM886" s="208"/>
      <c r="WWN886" s="208"/>
      <c r="WWO886" s="208"/>
      <c r="WWP886" s="208"/>
      <c r="WWQ886" s="208"/>
      <c r="WWR886" s="208"/>
      <c r="WWS886" s="208"/>
      <c r="WWT886" s="208"/>
      <c r="WWU886" s="208"/>
      <c r="WWV886" s="208"/>
      <c r="WWW886" s="208"/>
      <c r="WWX886" s="208"/>
      <c r="WWY886" s="208"/>
      <c r="WWZ886" s="208"/>
      <c r="WXA886" s="208"/>
      <c r="WXB886" s="208"/>
      <c r="WXC886" s="208"/>
      <c r="WXD886" s="208"/>
      <c r="WXE886" s="208"/>
      <c r="WXF886" s="208"/>
      <c r="WXG886" s="208"/>
      <c r="WXH886" s="208"/>
      <c r="WXI886" s="208"/>
      <c r="WXJ886" s="208"/>
      <c r="WXK886" s="208"/>
      <c r="WXL886" s="208"/>
      <c r="WXM886" s="208"/>
      <c r="WXN886" s="208"/>
      <c r="WXO886" s="208"/>
      <c r="WXP886" s="208"/>
      <c r="WXQ886" s="208"/>
      <c r="WXR886" s="208"/>
      <c r="WXS886" s="208"/>
      <c r="WXT886" s="208"/>
      <c r="WXU886" s="208"/>
      <c r="WXV886" s="208"/>
      <c r="WXW886" s="208"/>
      <c r="WXX886" s="208"/>
      <c r="WXY886" s="208"/>
      <c r="WXZ886" s="208"/>
      <c r="WYA886" s="208"/>
      <c r="WYB886" s="208"/>
      <c r="WYC886" s="208"/>
      <c r="WYD886" s="208"/>
      <c r="WYE886" s="208"/>
      <c r="WYF886" s="208"/>
      <c r="WYG886" s="208"/>
      <c r="WYH886" s="208"/>
      <c r="WYI886" s="208"/>
      <c r="WYJ886" s="208"/>
      <c r="WYK886" s="208"/>
      <c r="WYL886" s="208"/>
      <c r="WYM886" s="208"/>
      <c r="WYN886" s="208"/>
      <c r="WYO886" s="208"/>
      <c r="WYP886" s="208"/>
      <c r="WYQ886" s="208"/>
      <c r="WYR886" s="208"/>
      <c r="WYS886" s="208"/>
      <c r="WYT886" s="208"/>
      <c r="WYU886" s="208"/>
      <c r="WYV886" s="208"/>
      <c r="WYW886" s="208"/>
      <c r="WYX886" s="208"/>
      <c r="WYY886" s="208"/>
      <c r="WYZ886" s="208"/>
      <c r="WZA886" s="208"/>
      <c r="WZB886" s="208"/>
      <c r="WZC886" s="208"/>
      <c r="WZD886" s="208"/>
      <c r="WZE886" s="208"/>
      <c r="WZF886" s="208"/>
      <c r="WZG886" s="208"/>
      <c r="WZH886" s="208"/>
      <c r="WZI886" s="208"/>
      <c r="WZJ886" s="208"/>
      <c r="WZK886" s="208"/>
      <c r="WZL886" s="208"/>
      <c r="WZM886" s="208"/>
      <c r="WZN886" s="208"/>
      <c r="WZO886" s="208"/>
      <c r="WZP886" s="208"/>
      <c r="WZQ886" s="208"/>
      <c r="WZR886" s="208"/>
      <c r="WZS886" s="208"/>
      <c r="WZT886" s="208"/>
      <c r="WZU886" s="208"/>
      <c r="WZV886" s="208"/>
      <c r="WZW886" s="208"/>
      <c r="WZX886" s="208"/>
      <c r="WZY886" s="208"/>
      <c r="WZZ886" s="208"/>
      <c r="XAA886" s="208"/>
      <c r="XAB886" s="208"/>
      <c r="XAC886" s="208"/>
      <c r="XAD886" s="208"/>
      <c r="XAE886" s="208"/>
      <c r="XAF886" s="208"/>
      <c r="XAG886" s="208"/>
      <c r="XAH886" s="208"/>
      <c r="XAI886" s="208"/>
      <c r="XAJ886" s="208"/>
      <c r="XAK886" s="208"/>
      <c r="XAL886" s="208"/>
      <c r="XAM886" s="208"/>
      <c r="XAN886" s="208"/>
      <c r="XAO886" s="208"/>
      <c r="XAP886" s="208"/>
      <c r="XAQ886" s="208"/>
      <c r="XAR886" s="208"/>
      <c r="XAS886" s="208"/>
      <c r="XAT886" s="208"/>
      <c r="XAU886" s="208"/>
      <c r="XAV886" s="208"/>
      <c r="XAW886" s="208"/>
      <c r="XAX886" s="208"/>
      <c r="XAY886" s="208"/>
      <c r="XAZ886" s="208"/>
      <c r="XBA886" s="208"/>
      <c r="XBB886" s="208"/>
      <c r="XBC886" s="208"/>
      <c r="XBD886" s="208"/>
      <c r="XBE886" s="208"/>
      <c r="XBF886" s="208"/>
      <c r="XBG886" s="208"/>
      <c r="XBH886" s="208"/>
      <c r="XBI886" s="208"/>
      <c r="XBJ886" s="208"/>
      <c r="XBK886" s="208"/>
      <c r="XBL886" s="208"/>
      <c r="XBM886" s="208"/>
      <c r="XBN886" s="208"/>
      <c r="XBO886" s="208"/>
      <c r="XBP886" s="208"/>
      <c r="XBQ886" s="208"/>
      <c r="XBR886" s="208"/>
      <c r="XBS886" s="208"/>
      <c r="XBT886" s="208"/>
      <c r="XBU886" s="208"/>
      <c r="XBV886" s="208"/>
      <c r="XBW886" s="208"/>
      <c r="XBX886" s="208"/>
      <c r="XBY886" s="208"/>
      <c r="XBZ886" s="208"/>
      <c r="XCA886" s="208"/>
      <c r="XCB886" s="208"/>
      <c r="XCC886" s="208"/>
      <c r="XCD886" s="208"/>
      <c r="XCE886" s="208"/>
      <c r="XCF886" s="208"/>
      <c r="XCG886" s="208"/>
      <c r="XCH886" s="208"/>
      <c r="XCI886" s="208"/>
      <c r="XCJ886" s="208"/>
      <c r="XCK886" s="208"/>
      <c r="XCL886" s="208"/>
      <c r="XCM886" s="208"/>
      <c r="XCN886" s="208"/>
      <c r="XCO886" s="208"/>
      <c r="XCP886" s="208"/>
      <c r="XCQ886" s="208"/>
      <c r="XCR886" s="208"/>
      <c r="XCS886" s="208"/>
      <c r="XCT886" s="208"/>
      <c r="XCU886" s="208"/>
      <c r="XCV886" s="208"/>
      <c r="XCW886" s="208"/>
      <c r="XCX886" s="208"/>
      <c r="XCY886" s="208"/>
      <c r="XCZ886" s="208"/>
      <c r="XDA886" s="208"/>
      <c r="XDB886" s="208"/>
      <c r="XDC886" s="208"/>
      <c r="XDD886" s="208"/>
      <c r="XDE886" s="208"/>
      <c r="XDF886" s="208"/>
      <c r="XDG886" s="208"/>
      <c r="XDH886" s="208"/>
      <c r="XDI886" s="208"/>
      <c r="XDJ886" s="208"/>
      <c r="XDK886" s="208"/>
      <c r="XDL886" s="208"/>
      <c r="XDM886" s="208"/>
      <c r="XDN886" s="208"/>
      <c r="XDO886" s="208"/>
      <c r="XDP886" s="208"/>
      <c r="XDQ886" s="208"/>
      <c r="XDR886" s="208"/>
      <c r="XDS886" s="208"/>
      <c r="XDT886" s="208"/>
      <c r="XDU886" s="208"/>
      <c r="XDV886" s="208"/>
      <c r="XDW886" s="208"/>
      <c r="XDX886" s="208"/>
      <c r="XDY886" s="208"/>
      <c r="XDZ886" s="208"/>
      <c r="XEA886" s="208"/>
      <c r="XEB886" s="208"/>
      <c r="XEC886" s="208"/>
      <c r="XED886" s="208"/>
      <c r="XEE886" s="208"/>
      <c r="XEF886" s="208"/>
      <c r="XEG886" s="208"/>
      <c r="XEH886" s="208"/>
      <c r="XEI886" s="208"/>
      <c r="XEJ886" s="208"/>
      <c r="XEK886" s="208"/>
      <c r="XEL886" s="208"/>
      <c r="XEM886" s="208"/>
      <c r="XEN886" s="208"/>
      <c r="XEO886" s="208"/>
      <c r="XEP886" s="208"/>
      <c r="XEQ886" s="208"/>
      <c r="XER886" s="208"/>
      <c r="XES886" s="208"/>
    </row>
    <row r="887" spans="1:16373" hidden="1">
      <c r="A887" s="47" t="s">
        <v>44</v>
      </c>
      <c r="B887" s="47" t="str">
        <f t="shared" si="204"/>
        <v>August</v>
      </c>
      <c r="C887" s="59">
        <v>45512</v>
      </c>
      <c r="D887" s="47" t="s">
        <v>45</v>
      </c>
      <c r="E887" s="47" t="s">
        <v>98</v>
      </c>
      <c r="F887" s="47" t="s">
        <v>99</v>
      </c>
      <c r="G887" s="91" t="s">
        <v>1386</v>
      </c>
      <c r="H887" s="47" t="s">
        <v>1387</v>
      </c>
      <c r="I887" s="47" t="s">
        <v>50</v>
      </c>
      <c r="J887" s="47" t="s">
        <v>51</v>
      </c>
      <c r="K887" s="48">
        <v>45147</v>
      </c>
      <c r="L887" s="48">
        <v>45147</v>
      </c>
      <c r="M887" s="48">
        <v>45512</v>
      </c>
      <c r="N887" s="47" t="s">
        <v>52</v>
      </c>
      <c r="O887" s="55" t="s">
        <v>53</v>
      </c>
      <c r="P887" s="62">
        <v>14100</v>
      </c>
      <c r="Q887" s="62">
        <v>1175</v>
      </c>
      <c r="R887" s="96">
        <v>14520</v>
      </c>
      <c r="S887" s="62">
        <f t="shared" si="205"/>
        <v>1210</v>
      </c>
      <c r="T887" s="62">
        <v>13620</v>
      </c>
      <c r="U887" s="62">
        <f t="shared" si="210"/>
        <v>1135</v>
      </c>
      <c r="V887" s="69">
        <v>11940</v>
      </c>
      <c r="W887" s="71">
        <v>1240</v>
      </c>
      <c r="X887" s="71"/>
      <c r="Y887" s="71"/>
      <c r="Z887" s="64">
        <f t="shared" si="206"/>
        <v>9.2511013215859028E-2</v>
      </c>
      <c r="AA887" s="64">
        <f t="shared" si="215"/>
        <v>2.4793388429752067E-2</v>
      </c>
      <c r="AB887" s="71">
        <f t="shared" si="218"/>
        <v>1240</v>
      </c>
      <c r="AC887" s="64">
        <f t="shared" si="207"/>
        <v>9.2511013215859028E-2</v>
      </c>
      <c r="AD887" s="64">
        <f t="shared" si="216"/>
        <v>2.4793388429752067E-2</v>
      </c>
      <c r="AE887" s="71">
        <v>1200</v>
      </c>
      <c r="AF887" s="64">
        <f t="shared" si="208"/>
        <v>5.7268722466960353E-2</v>
      </c>
      <c r="AG887" s="64">
        <f t="shared" si="217"/>
        <v>-8.2644628099173556E-3</v>
      </c>
      <c r="AH887" s="67"/>
      <c r="AI887" s="47" t="s">
        <v>54</v>
      </c>
      <c r="AJ887" s="47">
        <v>476</v>
      </c>
      <c r="AK887" s="47" t="s">
        <v>55</v>
      </c>
      <c r="AL887" s="47" t="s">
        <v>55</v>
      </c>
      <c r="AM887" s="47" t="s">
        <v>165</v>
      </c>
      <c r="AN887" s="50">
        <v>1240</v>
      </c>
      <c r="AO887" s="211">
        <f t="shared" si="209"/>
        <v>9.2511013215859028E-2</v>
      </c>
      <c r="AP887" s="47" t="s">
        <v>57</v>
      </c>
      <c r="AQ887" s="47" t="s">
        <v>1132</v>
      </c>
      <c r="AR887" s="47"/>
    </row>
    <row r="888" spans="1:16373" hidden="1">
      <c r="A888" s="47" t="s">
        <v>44</v>
      </c>
      <c r="B888" s="47" t="str">
        <f t="shared" si="204"/>
        <v>August</v>
      </c>
      <c r="C888" s="59">
        <v>45513</v>
      </c>
      <c r="D888" s="47" t="s">
        <v>45</v>
      </c>
      <c r="E888" s="47" t="s">
        <v>98</v>
      </c>
      <c r="F888" s="47" t="s">
        <v>99</v>
      </c>
      <c r="G888" s="91" t="s">
        <v>1423</v>
      </c>
      <c r="H888" s="47" t="s">
        <v>1424</v>
      </c>
      <c r="I888" s="47" t="s">
        <v>50</v>
      </c>
      <c r="J888" s="47" t="s">
        <v>51</v>
      </c>
      <c r="K888" s="48">
        <v>45148</v>
      </c>
      <c r="L888" s="48">
        <v>45148</v>
      </c>
      <c r="M888" s="48">
        <v>45513</v>
      </c>
      <c r="N888" s="47" t="s">
        <v>52</v>
      </c>
      <c r="O888" s="55" t="s">
        <v>53</v>
      </c>
      <c r="P888" s="62">
        <v>17100</v>
      </c>
      <c r="Q888" s="62">
        <v>1425</v>
      </c>
      <c r="R888" s="96">
        <v>17640</v>
      </c>
      <c r="S888" s="62">
        <f t="shared" si="205"/>
        <v>1470</v>
      </c>
      <c r="T888" s="62">
        <v>16860</v>
      </c>
      <c r="U888" s="62">
        <f t="shared" si="210"/>
        <v>1405</v>
      </c>
      <c r="V888" s="69">
        <v>14880</v>
      </c>
      <c r="W888" s="71">
        <v>1510</v>
      </c>
      <c r="X888" s="105">
        <f>W888-25</f>
        <v>1485</v>
      </c>
      <c r="Y888" s="171">
        <f t="shared" ref="Y888:Y897" si="219">(X888-U888)/U888</f>
        <v>5.6939501779359428E-2</v>
      </c>
      <c r="Z888" s="64">
        <f t="shared" si="206"/>
        <v>7.4733096085409248E-2</v>
      </c>
      <c r="AA888" s="64">
        <f t="shared" si="215"/>
        <v>2.7210884353741496E-2</v>
      </c>
      <c r="AB888" s="71">
        <f t="shared" si="218"/>
        <v>1510</v>
      </c>
      <c r="AC888" s="64">
        <f t="shared" si="207"/>
        <v>7.4733096085409248E-2</v>
      </c>
      <c r="AD888" s="64">
        <f t="shared" si="216"/>
        <v>2.7210884353741496E-2</v>
      </c>
      <c r="AE888" s="71">
        <v>1470</v>
      </c>
      <c r="AF888" s="64">
        <f t="shared" si="208"/>
        <v>4.6263345195729534E-2</v>
      </c>
      <c r="AG888" s="64">
        <f t="shared" si="217"/>
        <v>0</v>
      </c>
      <c r="AH888" s="67"/>
      <c r="AI888" s="47" t="s">
        <v>54</v>
      </c>
      <c r="AJ888" s="47">
        <v>673</v>
      </c>
      <c r="AK888" s="47" t="s">
        <v>65</v>
      </c>
      <c r="AL888" s="47" t="s">
        <v>65</v>
      </c>
      <c r="AM888" s="47" t="s">
        <v>1425</v>
      </c>
      <c r="AN888" s="50"/>
      <c r="AO888" s="211">
        <f t="shared" si="209"/>
        <v>-1</v>
      </c>
      <c r="AP888" s="47" t="s">
        <v>57</v>
      </c>
      <c r="AQ888" s="47" t="s">
        <v>1132</v>
      </c>
      <c r="AR888" s="47"/>
    </row>
    <row r="889" spans="1:16373">
      <c r="A889" s="47" t="s">
        <v>44</v>
      </c>
      <c r="B889" s="47" t="str">
        <f t="shared" si="204"/>
        <v>July</v>
      </c>
      <c r="C889" s="59">
        <v>45485</v>
      </c>
      <c r="D889" s="47" t="s">
        <v>45</v>
      </c>
      <c r="E889" s="47" t="s">
        <v>98</v>
      </c>
      <c r="F889" s="47" t="s">
        <v>99</v>
      </c>
      <c r="G889" s="93" t="s">
        <v>1466</v>
      </c>
      <c r="H889" s="47" t="s">
        <v>1467</v>
      </c>
      <c r="I889" s="47" t="s">
        <v>50</v>
      </c>
      <c r="J889" s="47" t="s">
        <v>51</v>
      </c>
      <c r="K889" s="48">
        <v>44755</v>
      </c>
      <c r="L889" s="48">
        <v>45120</v>
      </c>
      <c r="M889" s="48">
        <v>45485</v>
      </c>
      <c r="N889" s="47" t="s">
        <v>64</v>
      </c>
      <c r="O889" s="55" t="s">
        <v>889</v>
      </c>
      <c r="P889" s="62">
        <v>25680</v>
      </c>
      <c r="Q889" s="62">
        <v>2140</v>
      </c>
      <c r="R889" s="96">
        <v>26340</v>
      </c>
      <c r="S889" s="62">
        <f t="shared" si="205"/>
        <v>2195</v>
      </c>
      <c r="T889" s="62">
        <v>25680</v>
      </c>
      <c r="U889" s="62">
        <f t="shared" si="210"/>
        <v>2140</v>
      </c>
      <c r="V889" s="69">
        <v>23280</v>
      </c>
      <c r="W889" s="71">
        <v>2250</v>
      </c>
      <c r="X889" s="105">
        <f>W889-5</f>
        <v>2245</v>
      </c>
      <c r="Y889" s="171">
        <f t="shared" si="219"/>
        <v>4.9065420560747662E-2</v>
      </c>
      <c r="Z889" s="64">
        <f t="shared" si="206"/>
        <v>5.1401869158878503E-2</v>
      </c>
      <c r="AA889" s="64">
        <f t="shared" si="215"/>
        <v>2.5056947608200455E-2</v>
      </c>
      <c r="AB889" s="71">
        <f t="shared" si="218"/>
        <v>2250</v>
      </c>
      <c r="AC889" s="64">
        <f t="shared" si="207"/>
        <v>5.1401869158878503E-2</v>
      </c>
      <c r="AD889" s="64">
        <f t="shared" si="216"/>
        <v>2.5056947608200455E-2</v>
      </c>
      <c r="AE889" s="71">
        <f>AB889-20</f>
        <v>2230</v>
      </c>
      <c r="AF889" s="64">
        <f t="shared" si="208"/>
        <v>4.2056074766355138E-2</v>
      </c>
      <c r="AG889" s="64">
        <f t="shared" si="217"/>
        <v>1.5945330296127564E-2</v>
      </c>
      <c r="AH889" s="67"/>
      <c r="AI889" s="47" t="s">
        <v>54</v>
      </c>
      <c r="AJ889" s="47">
        <v>873</v>
      </c>
      <c r="AK889" s="101" t="s">
        <v>140</v>
      </c>
      <c r="AL889" s="101" t="s">
        <v>65</v>
      </c>
      <c r="AM889" s="47" t="s">
        <v>427</v>
      </c>
      <c r="AN889" s="50">
        <v>2250</v>
      </c>
      <c r="AO889" s="211">
        <f t="shared" si="209"/>
        <v>5.1401869158878503E-2</v>
      </c>
      <c r="AP889" s="47" t="s">
        <v>57</v>
      </c>
      <c r="AQ889" s="47" t="s">
        <v>1132</v>
      </c>
      <c r="AR889" s="47"/>
    </row>
    <row r="890" spans="1:16373">
      <c r="A890" s="47" t="s">
        <v>44</v>
      </c>
      <c r="B890" s="47" t="str">
        <f t="shared" si="204"/>
        <v>July</v>
      </c>
      <c r="C890" s="59">
        <v>45485</v>
      </c>
      <c r="D890" s="47" t="s">
        <v>45</v>
      </c>
      <c r="E890" s="47" t="s">
        <v>98</v>
      </c>
      <c r="F890" s="47" t="s">
        <v>99</v>
      </c>
      <c r="G890" s="93" t="s">
        <v>1483</v>
      </c>
      <c r="H890" s="47" t="s">
        <v>1467</v>
      </c>
      <c r="I890" s="47" t="s">
        <v>50</v>
      </c>
      <c r="J890" s="47" t="s">
        <v>51</v>
      </c>
      <c r="K890" s="48">
        <v>44755</v>
      </c>
      <c r="L890" s="48">
        <v>45120</v>
      </c>
      <c r="M890" s="48">
        <v>45485</v>
      </c>
      <c r="N890" s="47" t="s">
        <v>64</v>
      </c>
      <c r="O890" s="55" t="s">
        <v>889</v>
      </c>
      <c r="P890" s="62">
        <v>25020</v>
      </c>
      <c r="Q890" s="62">
        <v>2085</v>
      </c>
      <c r="R890" s="96">
        <v>25620</v>
      </c>
      <c r="S890" s="62">
        <f t="shared" si="205"/>
        <v>2135</v>
      </c>
      <c r="T890" s="62">
        <v>25020</v>
      </c>
      <c r="U890" s="62">
        <f t="shared" si="210"/>
        <v>2085</v>
      </c>
      <c r="V890" s="69">
        <v>22620</v>
      </c>
      <c r="W890" s="71">
        <v>2195</v>
      </c>
      <c r="X890" s="105">
        <f>W890-5</f>
        <v>2190</v>
      </c>
      <c r="Y890" s="171">
        <f t="shared" si="219"/>
        <v>5.0359712230215826E-2</v>
      </c>
      <c r="Z890" s="64">
        <f t="shared" si="206"/>
        <v>5.2757793764988008E-2</v>
      </c>
      <c r="AA890" s="64">
        <f t="shared" si="215"/>
        <v>2.8103044496487119E-2</v>
      </c>
      <c r="AB890" s="71">
        <f t="shared" si="218"/>
        <v>2195</v>
      </c>
      <c r="AC890" s="64">
        <f t="shared" si="207"/>
        <v>5.2757793764988008E-2</v>
      </c>
      <c r="AD890" s="64">
        <f t="shared" si="216"/>
        <v>2.8103044496487119E-2</v>
      </c>
      <c r="AE890" s="71">
        <f>AB890-20</f>
        <v>2175</v>
      </c>
      <c r="AF890" s="64">
        <f t="shared" si="208"/>
        <v>4.3165467625899283E-2</v>
      </c>
      <c r="AG890" s="64">
        <f t="shared" si="217"/>
        <v>1.873536299765808E-2</v>
      </c>
      <c r="AH890" s="67"/>
      <c r="AI890" s="47" t="s">
        <v>54</v>
      </c>
      <c r="AJ890" s="47">
        <v>873</v>
      </c>
      <c r="AK890" s="101" t="s">
        <v>140</v>
      </c>
      <c r="AL890" s="101" t="s">
        <v>65</v>
      </c>
      <c r="AM890" s="47" t="s">
        <v>427</v>
      </c>
      <c r="AN890" s="50">
        <v>2195</v>
      </c>
      <c r="AO890" s="211">
        <f t="shared" si="209"/>
        <v>5.2757793764988008E-2</v>
      </c>
      <c r="AP890" s="47" t="s">
        <v>57</v>
      </c>
      <c r="AQ890" s="47" t="s">
        <v>1132</v>
      </c>
      <c r="AR890" s="47"/>
    </row>
    <row r="891" spans="1:16373" hidden="1">
      <c r="A891" s="47" t="s">
        <v>44</v>
      </c>
      <c r="B891" s="47" t="str">
        <f t="shared" si="204"/>
        <v>August</v>
      </c>
      <c r="C891" s="59">
        <v>45514</v>
      </c>
      <c r="D891" s="47" t="s">
        <v>45</v>
      </c>
      <c r="E891" s="47" t="s">
        <v>98</v>
      </c>
      <c r="F891" s="47" t="s">
        <v>99</v>
      </c>
      <c r="G891" s="91" t="s">
        <v>1506</v>
      </c>
      <c r="H891" s="47" t="s">
        <v>1507</v>
      </c>
      <c r="I891" s="47" t="s">
        <v>50</v>
      </c>
      <c r="J891" s="47" t="s">
        <v>51</v>
      </c>
      <c r="K891" s="48">
        <v>45149</v>
      </c>
      <c r="L891" s="48">
        <v>45149</v>
      </c>
      <c r="M891" s="48">
        <v>45514</v>
      </c>
      <c r="N891" s="47" t="s">
        <v>52</v>
      </c>
      <c r="O891" s="55" t="s">
        <v>53</v>
      </c>
      <c r="P891" s="62">
        <v>24600</v>
      </c>
      <c r="Q891" s="62">
        <v>2050</v>
      </c>
      <c r="R891" s="96">
        <v>25200</v>
      </c>
      <c r="S891" s="62">
        <f t="shared" si="205"/>
        <v>2100</v>
      </c>
      <c r="T891" s="62">
        <v>23940</v>
      </c>
      <c r="U891" s="62">
        <f t="shared" si="210"/>
        <v>1995</v>
      </c>
      <c r="V891" s="69">
        <v>22080</v>
      </c>
      <c r="W891" s="71">
        <v>2070</v>
      </c>
      <c r="X891" s="105">
        <f>W891-5</f>
        <v>2065</v>
      </c>
      <c r="Y891" s="171">
        <f t="shared" si="219"/>
        <v>3.5087719298245612E-2</v>
      </c>
      <c r="Z891" s="64">
        <f t="shared" si="206"/>
        <v>3.7593984962406013E-2</v>
      </c>
      <c r="AA891" s="64">
        <f t="shared" si="215"/>
        <v>-1.4285714285714285E-2</v>
      </c>
      <c r="AB891" s="71">
        <f t="shared" si="218"/>
        <v>2070</v>
      </c>
      <c r="AC891" s="64">
        <f t="shared" si="207"/>
        <v>3.7593984962406013E-2</v>
      </c>
      <c r="AD891" s="64">
        <f t="shared" si="216"/>
        <v>-1.4285714285714285E-2</v>
      </c>
      <c r="AE891" s="71">
        <f>AB891-20</f>
        <v>2050</v>
      </c>
      <c r="AF891" s="64">
        <f t="shared" si="208"/>
        <v>2.7568922305764409E-2</v>
      </c>
      <c r="AG891" s="64">
        <f t="shared" si="217"/>
        <v>-2.3809523809523808E-2</v>
      </c>
      <c r="AH891" s="67"/>
      <c r="AI891" s="47" t="s">
        <v>54</v>
      </c>
      <c r="AJ891" s="47">
        <v>873</v>
      </c>
      <c r="AK891" s="47" t="s">
        <v>140</v>
      </c>
      <c r="AL891" s="47" t="s">
        <v>65</v>
      </c>
      <c r="AM891" s="47" t="s">
        <v>427</v>
      </c>
      <c r="AN891" s="50"/>
      <c r="AO891" s="211">
        <f t="shared" si="209"/>
        <v>-1</v>
      </c>
      <c r="AP891" s="47" t="s">
        <v>57</v>
      </c>
      <c r="AQ891" s="47" t="s">
        <v>1132</v>
      </c>
      <c r="AR891" s="47"/>
    </row>
    <row r="892" spans="1:16373" hidden="1">
      <c r="A892" s="47" t="s">
        <v>44</v>
      </c>
      <c r="B892" s="47" t="str">
        <f t="shared" si="204"/>
        <v>August</v>
      </c>
      <c r="C892" s="59">
        <v>45514</v>
      </c>
      <c r="D892" s="47" t="s">
        <v>45</v>
      </c>
      <c r="E892" s="47" t="s">
        <v>98</v>
      </c>
      <c r="F892" s="47" t="s">
        <v>99</v>
      </c>
      <c r="G892" s="91" t="s">
        <v>1510</v>
      </c>
      <c r="H892" s="47" t="s">
        <v>1511</v>
      </c>
      <c r="I892" s="77" t="s">
        <v>1512</v>
      </c>
      <c r="J892" s="47" t="s">
        <v>51</v>
      </c>
      <c r="K892" s="48">
        <v>45149</v>
      </c>
      <c r="L892" s="48">
        <v>45149</v>
      </c>
      <c r="M892" s="48">
        <v>45514</v>
      </c>
      <c r="N892" s="47" t="s">
        <v>52</v>
      </c>
      <c r="O892" s="55" t="s">
        <v>53</v>
      </c>
      <c r="P892" s="62">
        <v>25020</v>
      </c>
      <c r="Q892" s="62">
        <v>2085</v>
      </c>
      <c r="R892" s="96">
        <v>25620</v>
      </c>
      <c r="S892" s="62">
        <f t="shared" si="205"/>
        <v>2135</v>
      </c>
      <c r="T892" s="62">
        <v>25020</v>
      </c>
      <c r="U892" s="62">
        <f t="shared" si="210"/>
        <v>2085</v>
      </c>
      <c r="V892" s="69">
        <v>22500</v>
      </c>
      <c r="W892" s="71">
        <v>2195</v>
      </c>
      <c r="X892" s="105">
        <f>W892-5</f>
        <v>2190</v>
      </c>
      <c r="Y892" s="171">
        <f t="shared" si="219"/>
        <v>5.0359712230215826E-2</v>
      </c>
      <c r="Z892" s="64">
        <f t="shared" si="206"/>
        <v>5.2757793764988008E-2</v>
      </c>
      <c r="AA892" s="64">
        <f t="shared" si="215"/>
        <v>2.8103044496487119E-2</v>
      </c>
      <c r="AB892" s="71">
        <f t="shared" si="218"/>
        <v>2195</v>
      </c>
      <c r="AC892" s="64">
        <f t="shared" si="207"/>
        <v>5.2757793764988008E-2</v>
      </c>
      <c r="AD892" s="64">
        <f t="shared" si="216"/>
        <v>2.8103044496487119E-2</v>
      </c>
      <c r="AE892" s="71">
        <v>2170</v>
      </c>
      <c r="AF892" s="64">
        <f t="shared" si="208"/>
        <v>4.0767386091127102E-2</v>
      </c>
      <c r="AG892" s="64">
        <f t="shared" si="217"/>
        <v>1.6393442622950821E-2</v>
      </c>
      <c r="AH892" s="67"/>
      <c r="AI892" s="47" t="s">
        <v>54</v>
      </c>
      <c r="AJ892" s="47">
        <v>873</v>
      </c>
      <c r="AK892" s="47" t="s">
        <v>140</v>
      </c>
      <c r="AL892" s="47" t="s">
        <v>65</v>
      </c>
      <c r="AM892" s="47" t="s">
        <v>427</v>
      </c>
      <c r="AN892" s="50"/>
      <c r="AO892" s="211">
        <f t="shared" si="209"/>
        <v>-1</v>
      </c>
      <c r="AP892" s="47" t="s">
        <v>57</v>
      </c>
      <c r="AQ892" s="47" t="s">
        <v>1132</v>
      </c>
      <c r="AR892" s="47"/>
    </row>
    <row r="893" spans="1:16373" hidden="1">
      <c r="A893" s="47" t="s">
        <v>44</v>
      </c>
      <c r="B893" s="47" t="str">
        <f t="shared" si="204"/>
        <v>August</v>
      </c>
      <c r="C893" s="59">
        <v>45515</v>
      </c>
      <c r="D893" s="47" t="s">
        <v>45</v>
      </c>
      <c r="E893" s="47" t="s">
        <v>98</v>
      </c>
      <c r="F893" s="47" t="s">
        <v>99</v>
      </c>
      <c r="G893" s="91" t="s">
        <v>1583</v>
      </c>
      <c r="H893" s="47" t="s">
        <v>1584</v>
      </c>
      <c r="I893" s="47" t="s">
        <v>1585</v>
      </c>
      <c r="J893" s="47" t="s">
        <v>51</v>
      </c>
      <c r="K893" s="48">
        <v>45150</v>
      </c>
      <c r="L893" s="48">
        <v>45150</v>
      </c>
      <c r="M893" s="48">
        <v>45515</v>
      </c>
      <c r="N893" s="47" t="s">
        <v>52</v>
      </c>
      <c r="O893" s="55" t="s">
        <v>53</v>
      </c>
      <c r="P893" s="62">
        <v>24900</v>
      </c>
      <c r="Q893" s="62">
        <v>2075</v>
      </c>
      <c r="R893" s="96">
        <v>25500</v>
      </c>
      <c r="S893" s="62">
        <f t="shared" si="205"/>
        <v>2125</v>
      </c>
      <c r="T893" s="62">
        <v>24240</v>
      </c>
      <c r="U893" s="62">
        <f t="shared" si="210"/>
        <v>2020</v>
      </c>
      <c r="V893" s="69">
        <v>21780</v>
      </c>
      <c r="W893" s="71">
        <v>2130</v>
      </c>
      <c r="X893" s="105">
        <f>W893-5</f>
        <v>2125</v>
      </c>
      <c r="Y893" s="171">
        <f t="shared" si="219"/>
        <v>5.1980198019801978E-2</v>
      </c>
      <c r="Z893" s="64">
        <f t="shared" si="206"/>
        <v>5.4455445544554455E-2</v>
      </c>
      <c r="AA893" s="64">
        <f t="shared" si="215"/>
        <v>2.352941176470588E-3</v>
      </c>
      <c r="AB893" s="71">
        <f t="shared" si="218"/>
        <v>2130</v>
      </c>
      <c r="AC893" s="64">
        <f t="shared" si="207"/>
        <v>5.4455445544554455E-2</v>
      </c>
      <c r="AD893" s="64">
        <f t="shared" si="216"/>
        <v>2.352941176470588E-3</v>
      </c>
      <c r="AE893" s="71">
        <f>AB893</f>
        <v>2130</v>
      </c>
      <c r="AF893" s="64">
        <f t="shared" si="208"/>
        <v>5.4455445544554455E-2</v>
      </c>
      <c r="AG893" s="64">
        <f t="shared" si="217"/>
        <v>2.352941176470588E-3</v>
      </c>
      <c r="AH893" s="67"/>
      <c r="AI893" s="47" t="s">
        <v>54</v>
      </c>
      <c r="AJ893" s="47">
        <v>1022</v>
      </c>
      <c r="AK893" s="47" t="s">
        <v>140</v>
      </c>
      <c r="AL893" s="47" t="s">
        <v>65</v>
      </c>
      <c r="AM893" s="47" t="s">
        <v>1586</v>
      </c>
      <c r="AN893" s="50">
        <v>2130</v>
      </c>
      <c r="AO893" s="211">
        <f t="shared" si="209"/>
        <v>5.4455445544554455E-2</v>
      </c>
      <c r="AP893" s="47" t="s">
        <v>57</v>
      </c>
      <c r="AQ893" s="47" t="s">
        <v>1132</v>
      </c>
      <c r="AR893" s="47"/>
    </row>
    <row r="894" spans="1:16373" hidden="1">
      <c r="A894" s="47" t="s">
        <v>44</v>
      </c>
      <c r="B894" s="47" t="str">
        <f t="shared" si="204"/>
        <v>August</v>
      </c>
      <c r="C894" s="59">
        <v>45517</v>
      </c>
      <c r="D894" s="47" t="s">
        <v>45</v>
      </c>
      <c r="E894" s="47" t="s">
        <v>98</v>
      </c>
      <c r="F894" s="47" t="s">
        <v>99</v>
      </c>
      <c r="G894" s="91" t="s">
        <v>1721</v>
      </c>
      <c r="H894" s="47" t="s">
        <v>1722</v>
      </c>
      <c r="I894" s="47" t="s">
        <v>50</v>
      </c>
      <c r="J894" s="47" t="s">
        <v>51</v>
      </c>
      <c r="K894" s="48">
        <v>45152</v>
      </c>
      <c r="L894" s="48">
        <v>45152</v>
      </c>
      <c r="M894" s="48">
        <v>45517</v>
      </c>
      <c r="N894" s="47" t="s">
        <v>52</v>
      </c>
      <c r="O894" s="55" t="s">
        <v>53</v>
      </c>
      <c r="P894" s="62">
        <v>19080</v>
      </c>
      <c r="Q894" s="62">
        <v>1590</v>
      </c>
      <c r="R894" s="96">
        <v>19680</v>
      </c>
      <c r="S894" s="62">
        <f t="shared" si="205"/>
        <v>1640</v>
      </c>
      <c r="T894" s="62">
        <v>18840</v>
      </c>
      <c r="U894" s="62">
        <f t="shared" si="210"/>
        <v>1570</v>
      </c>
      <c r="V894" s="69">
        <v>17388</v>
      </c>
      <c r="W894" s="71">
        <v>1635</v>
      </c>
      <c r="X894" s="105">
        <f>W894-25</f>
        <v>1610</v>
      </c>
      <c r="Y894" s="171">
        <f t="shared" si="219"/>
        <v>2.5477707006369428E-2</v>
      </c>
      <c r="Z894" s="64">
        <f t="shared" si="206"/>
        <v>4.1401273885350316E-2</v>
      </c>
      <c r="AA894" s="64">
        <f t="shared" si="215"/>
        <v>-3.0487804878048782E-3</v>
      </c>
      <c r="AB894" s="71">
        <f t="shared" si="218"/>
        <v>1635</v>
      </c>
      <c r="AC894" s="64">
        <f t="shared" si="207"/>
        <v>4.1401273885350316E-2</v>
      </c>
      <c r="AD894" s="64">
        <f t="shared" si="216"/>
        <v>-3.0487804878048782E-3</v>
      </c>
      <c r="AE894" s="71">
        <f>AB894-20</f>
        <v>1615</v>
      </c>
      <c r="AF894" s="64">
        <f t="shared" si="208"/>
        <v>2.8662420382165606E-2</v>
      </c>
      <c r="AG894" s="64">
        <f t="shared" si="217"/>
        <v>-1.524390243902439E-2</v>
      </c>
      <c r="AH894" s="67"/>
      <c r="AI894" s="47" t="s">
        <v>54</v>
      </c>
      <c r="AJ894" s="47">
        <v>670</v>
      </c>
      <c r="AK894" s="47" t="s">
        <v>65</v>
      </c>
      <c r="AL894" s="47" t="s">
        <v>65</v>
      </c>
      <c r="AM894" s="47" t="s">
        <v>1298</v>
      </c>
      <c r="AN894" s="50"/>
      <c r="AO894" s="211">
        <f t="shared" si="209"/>
        <v>-1</v>
      </c>
      <c r="AP894" s="47" t="s">
        <v>57</v>
      </c>
      <c r="AQ894" s="47" t="s">
        <v>1132</v>
      </c>
      <c r="AR894" s="47"/>
    </row>
    <row r="895" spans="1:16373" hidden="1">
      <c r="A895" s="47" t="s">
        <v>44</v>
      </c>
      <c r="B895" s="47" t="str">
        <f t="shared" si="204"/>
        <v>August</v>
      </c>
      <c r="C895" s="59">
        <v>45518</v>
      </c>
      <c r="D895" s="47" t="s">
        <v>45</v>
      </c>
      <c r="E895" s="47" t="s">
        <v>98</v>
      </c>
      <c r="F895" s="47" t="s">
        <v>99</v>
      </c>
      <c r="G895" s="91" t="s">
        <v>1855</v>
      </c>
      <c r="H895" s="47" t="s">
        <v>1856</v>
      </c>
      <c r="I895" s="47" t="s">
        <v>50</v>
      </c>
      <c r="J895" s="47" t="s">
        <v>51</v>
      </c>
      <c r="K895" s="48">
        <v>45153</v>
      </c>
      <c r="L895" s="48">
        <v>45153</v>
      </c>
      <c r="M895" s="48">
        <v>45518</v>
      </c>
      <c r="N895" s="47" t="s">
        <v>52</v>
      </c>
      <c r="O895" s="55" t="s">
        <v>53</v>
      </c>
      <c r="P895" s="62">
        <v>20100</v>
      </c>
      <c r="Q895" s="62">
        <v>1675</v>
      </c>
      <c r="R895" s="96">
        <v>20700</v>
      </c>
      <c r="S895" s="62">
        <f t="shared" si="205"/>
        <v>1725</v>
      </c>
      <c r="T895" s="62">
        <v>19860</v>
      </c>
      <c r="U895" s="62">
        <f t="shared" si="210"/>
        <v>1655</v>
      </c>
      <c r="V895" s="69">
        <v>18600</v>
      </c>
      <c r="W895" s="71">
        <v>1710</v>
      </c>
      <c r="X895" s="105">
        <f>W895-25</f>
        <v>1685</v>
      </c>
      <c r="Y895" s="176">
        <f t="shared" si="219"/>
        <v>1.812688821752266E-2</v>
      </c>
      <c r="Z895" s="64">
        <f t="shared" si="206"/>
        <v>3.3232628398791542E-2</v>
      </c>
      <c r="AA895" s="64">
        <f t="shared" si="215"/>
        <v>-8.6956521739130436E-3</v>
      </c>
      <c r="AB895" s="71">
        <f t="shared" si="218"/>
        <v>1710</v>
      </c>
      <c r="AC895" s="64">
        <f t="shared" si="207"/>
        <v>3.3232628398791542E-2</v>
      </c>
      <c r="AD895" s="64">
        <f t="shared" si="216"/>
        <v>-8.6956521739130436E-3</v>
      </c>
      <c r="AE895" s="71">
        <f>AB895-20</f>
        <v>1690</v>
      </c>
      <c r="AF895" s="64">
        <f t="shared" si="208"/>
        <v>2.1148036253776436E-2</v>
      </c>
      <c r="AG895" s="64">
        <f t="shared" si="217"/>
        <v>-2.0289855072463767E-2</v>
      </c>
      <c r="AH895" s="67"/>
      <c r="AI895" s="47" t="s">
        <v>54</v>
      </c>
      <c r="AJ895" s="47">
        <v>673</v>
      </c>
      <c r="AK895" s="47" t="s">
        <v>65</v>
      </c>
      <c r="AL895" s="47" t="s">
        <v>65</v>
      </c>
      <c r="AM895" s="47" t="s">
        <v>1857</v>
      </c>
      <c r="AN895" s="50"/>
      <c r="AO895" s="211">
        <f t="shared" si="209"/>
        <v>-1</v>
      </c>
      <c r="AP895" s="47" t="s">
        <v>57</v>
      </c>
      <c r="AQ895" s="47" t="s">
        <v>1132</v>
      </c>
      <c r="AR895" s="47"/>
    </row>
    <row r="896" spans="1:16373" hidden="1">
      <c r="A896" s="47" t="s">
        <v>44</v>
      </c>
      <c r="B896" s="47" t="str">
        <f t="shared" si="204"/>
        <v>August</v>
      </c>
      <c r="C896" s="59">
        <v>45518</v>
      </c>
      <c r="D896" s="47" t="s">
        <v>45</v>
      </c>
      <c r="E896" s="47" t="s">
        <v>98</v>
      </c>
      <c r="F896" s="47" t="s">
        <v>99</v>
      </c>
      <c r="G896" s="91" t="s">
        <v>1881</v>
      </c>
      <c r="H896" s="47" t="s">
        <v>1882</v>
      </c>
      <c r="I896" s="47" t="s">
        <v>50</v>
      </c>
      <c r="J896" s="47" t="s">
        <v>51</v>
      </c>
      <c r="K896" s="48">
        <v>45153</v>
      </c>
      <c r="L896" s="48">
        <v>45153</v>
      </c>
      <c r="M896" s="48">
        <v>45518</v>
      </c>
      <c r="N896" s="47" t="s">
        <v>52</v>
      </c>
      <c r="O896" s="55" t="s">
        <v>53</v>
      </c>
      <c r="P896" s="62">
        <v>17220</v>
      </c>
      <c r="Q896" s="62">
        <v>1435</v>
      </c>
      <c r="R896" s="96">
        <v>17760</v>
      </c>
      <c r="S896" s="62">
        <f t="shared" si="205"/>
        <v>1480</v>
      </c>
      <c r="T896" s="62">
        <v>16740</v>
      </c>
      <c r="U896" s="62">
        <f t="shared" si="210"/>
        <v>1395</v>
      </c>
      <c r="V896" s="69">
        <v>15000</v>
      </c>
      <c r="W896" s="71">
        <v>1490</v>
      </c>
      <c r="X896" s="105">
        <f>W896-25</f>
        <v>1465</v>
      </c>
      <c r="Y896" s="171">
        <f t="shared" si="219"/>
        <v>5.0179211469534052E-2</v>
      </c>
      <c r="Z896" s="64">
        <f t="shared" si="206"/>
        <v>6.8100358422939072E-2</v>
      </c>
      <c r="AA896" s="64">
        <f t="shared" si="215"/>
        <v>6.7567567567567571E-3</v>
      </c>
      <c r="AB896" s="71">
        <f t="shared" si="218"/>
        <v>1490</v>
      </c>
      <c r="AC896" s="64">
        <f t="shared" si="207"/>
        <v>6.8100358422939072E-2</v>
      </c>
      <c r="AD896" s="64">
        <f t="shared" si="216"/>
        <v>6.7567567567567571E-3</v>
      </c>
      <c r="AE896" s="71">
        <v>1475</v>
      </c>
      <c r="AF896" s="64">
        <f t="shared" si="208"/>
        <v>5.7347670250896057E-2</v>
      </c>
      <c r="AG896" s="64">
        <f t="shared" si="217"/>
        <v>-3.3783783783783786E-3</v>
      </c>
      <c r="AH896" s="67"/>
      <c r="AI896" s="47" t="s">
        <v>54</v>
      </c>
      <c r="AJ896" s="47">
        <v>670</v>
      </c>
      <c r="AK896" s="47" t="s">
        <v>65</v>
      </c>
      <c r="AL896" s="47" t="s">
        <v>65</v>
      </c>
      <c r="AM896" s="47" t="s">
        <v>1883</v>
      </c>
      <c r="AN896" s="50"/>
      <c r="AO896" s="211">
        <f t="shared" si="209"/>
        <v>-1</v>
      </c>
      <c r="AP896" s="47" t="s">
        <v>57</v>
      </c>
      <c r="AQ896" s="47" t="s">
        <v>1132</v>
      </c>
      <c r="AR896" s="47"/>
    </row>
    <row r="897" spans="1:44">
      <c r="A897" s="47" t="s">
        <v>44</v>
      </c>
      <c r="B897" s="47" t="str">
        <f t="shared" si="204"/>
        <v>August</v>
      </c>
      <c r="C897" s="59">
        <v>45518</v>
      </c>
      <c r="D897" s="47" t="s">
        <v>45</v>
      </c>
      <c r="E897" s="47" t="s">
        <v>98</v>
      </c>
      <c r="F897" s="47" t="s">
        <v>99</v>
      </c>
      <c r="G897" s="91" t="s">
        <v>1887</v>
      </c>
      <c r="H897" s="47" t="s">
        <v>1888</v>
      </c>
      <c r="I897" s="47" t="s">
        <v>50</v>
      </c>
      <c r="J897" s="47" t="s">
        <v>51</v>
      </c>
      <c r="K897" s="48">
        <v>44788</v>
      </c>
      <c r="L897" s="48">
        <v>45153</v>
      </c>
      <c r="M897" s="48">
        <v>45518</v>
      </c>
      <c r="N897" s="47" t="s">
        <v>64</v>
      </c>
      <c r="O897" s="55" t="s">
        <v>53</v>
      </c>
      <c r="P897" s="62">
        <v>15840</v>
      </c>
      <c r="Q897" s="62">
        <v>1320</v>
      </c>
      <c r="R897" s="96">
        <v>16800</v>
      </c>
      <c r="S897" s="62">
        <f t="shared" si="205"/>
        <v>1400</v>
      </c>
      <c r="T897" s="62">
        <v>16800</v>
      </c>
      <c r="U897" s="62">
        <f t="shared" si="210"/>
        <v>1400</v>
      </c>
      <c r="V897" s="69">
        <v>15180</v>
      </c>
      <c r="W897" s="71">
        <v>1580</v>
      </c>
      <c r="X897" s="105">
        <f>W897-25</f>
        <v>1555</v>
      </c>
      <c r="Y897" s="171">
        <f t="shared" si="219"/>
        <v>0.11071428571428571</v>
      </c>
      <c r="Z897" s="64">
        <f t="shared" si="206"/>
        <v>0.12857142857142856</v>
      </c>
      <c r="AA897" s="64">
        <f t="shared" si="215"/>
        <v>0.12857142857142856</v>
      </c>
      <c r="AB897" s="71">
        <f t="shared" si="218"/>
        <v>1580</v>
      </c>
      <c r="AC897" s="64">
        <f t="shared" si="207"/>
        <v>0.12857142857142856</v>
      </c>
      <c r="AD897" s="64">
        <f t="shared" si="216"/>
        <v>0.12857142857142856</v>
      </c>
      <c r="AE897" s="71">
        <v>1540</v>
      </c>
      <c r="AF897" s="64">
        <f t="shared" si="208"/>
        <v>0.1</v>
      </c>
      <c r="AG897" s="64">
        <f t="shared" si="217"/>
        <v>0.1</v>
      </c>
      <c r="AH897" s="67"/>
      <c r="AI897" s="47" t="s">
        <v>54</v>
      </c>
      <c r="AJ897" s="47">
        <v>673</v>
      </c>
      <c r="AK897" s="47" t="s">
        <v>65</v>
      </c>
      <c r="AL897" s="47" t="s">
        <v>65</v>
      </c>
      <c r="AM897" s="47" t="s">
        <v>1889</v>
      </c>
      <c r="AN897" s="50"/>
      <c r="AO897" s="211">
        <f t="shared" si="209"/>
        <v>-1</v>
      </c>
      <c r="AP897" s="47" t="s">
        <v>57</v>
      </c>
      <c r="AQ897" s="47" t="s">
        <v>1132</v>
      </c>
      <c r="AR897" s="47"/>
    </row>
    <row r="898" spans="1:44" hidden="1">
      <c r="A898" s="47" t="s">
        <v>44</v>
      </c>
      <c r="B898" s="47" t="str">
        <f t="shared" ref="B898:B961" si="220">TEXT(C898,"mmmm")</f>
        <v>August</v>
      </c>
      <c r="C898" s="59">
        <v>45519</v>
      </c>
      <c r="D898" s="47" t="s">
        <v>45</v>
      </c>
      <c r="E898" s="47" t="s">
        <v>98</v>
      </c>
      <c r="F898" s="47" t="s">
        <v>99</v>
      </c>
      <c r="G898" s="91" t="s">
        <v>1966</v>
      </c>
      <c r="H898" s="47" t="s">
        <v>1967</v>
      </c>
      <c r="I898" s="47" t="s">
        <v>1968</v>
      </c>
      <c r="J898" s="47" t="s">
        <v>51</v>
      </c>
      <c r="K898" s="48">
        <v>45154</v>
      </c>
      <c r="L898" s="48">
        <v>45154</v>
      </c>
      <c r="M898" s="48">
        <v>45519</v>
      </c>
      <c r="N898" s="47" t="s">
        <v>52</v>
      </c>
      <c r="O898" s="55" t="s">
        <v>53</v>
      </c>
      <c r="P898" s="62">
        <v>14160</v>
      </c>
      <c r="Q898" s="62">
        <v>1180</v>
      </c>
      <c r="R898" s="96">
        <v>14580</v>
      </c>
      <c r="S898" s="62">
        <f t="shared" ref="S898:S961" si="221">R898/12</f>
        <v>1215</v>
      </c>
      <c r="T898" s="62">
        <v>13680</v>
      </c>
      <c r="U898" s="62">
        <f t="shared" si="210"/>
        <v>1140</v>
      </c>
      <c r="V898" s="69">
        <v>11940</v>
      </c>
      <c r="W898" s="71">
        <v>1270</v>
      </c>
      <c r="X898" s="71"/>
      <c r="Y898" s="71"/>
      <c r="Z898" s="64">
        <f t="shared" ref="Z898:Z961" si="222">(W898-U898)/U898</f>
        <v>0.11403508771929824</v>
      </c>
      <c r="AA898" s="64">
        <f t="shared" si="215"/>
        <v>4.5267489711934158E-2</v>
      </c>
      <c r="AB898" s="71">
        <f t="shared" si="218"/>
        <v>1270</v>
      </c>
      <c r="AC898" s="64">
        <f t="shared" ref="AC898:AC961" si="223">(AB898-U898)/U898</f>
        <v>0.11403508771929824</v>
      </c>
      <c r="AD898" s="64">
        <f t="shared" si="216"/>
        <v>4.5267489711934158E-2</v>
      </c>
      <c r="AE898" s="71">
        <v>1225</v>
      </c>
      <c r="AF898" s="64">
        <f t="shared" ref="AF898:AF961" si="224">(AE898-U898)/U898</f>
        <v>7.4561403508771926E-2</v>
      </c>
      <c r="AG898" s="64">
        <f t="shared" si="217"/>
        <v>8.23045267489712E-3</v>
      </c>
      <c r="AH898" s="67"/>
      <c r="AI898" s="47" t="s">
        <v>54</v>
      </c>
      <c r="AJ898" s="47">
        <v>540</v>
      </c>
      <c r="AK898" s="47" t="s">
        <v>55</v>
      </c>
      <c r="AL898" s="47" t="s">
        <v>55</v>
      </c>
      <c r="AM898" s="47" t="s">
        <v>746</v>
      </c>
      <c r="AN898" s="50">
        <v>1270</v>
      </c>
      <c r="AO898" s="211">
        <f t="shared" ref="AO898:AO961" si="225">SUM(AN898-U898)/U898</f>
        <v>0.11403508771929824</v>
      </c>
      <c r="AP898" s="47" t="s">
        <v>57</v>
      </c>
      <c r="AQ898" s="47" t="s">
        <v>1132</v>
      </c>
      <c r="AR898" s="47"/>
    </row>
    <row r="899" spans="1:44" hidden="1">
      <c r="A899" s="47" t="s">
        <v>44</v>
      </c>
      <c r="B899" s="47" t="str">
        <f t="shared" si="220"/>
        <v>August</v>
      </c>
      <c r="C899" s="59">
        <v>45520</v>
      </c>
      <c r="D899" s="47" t="s">
        <v>45</v>
      </c>
      <c r="E899" s="47" t="s">
        <v>98</v>
      </c>
      <c r="F899" s="47" t="s">
        <v>99</v>
      </c>
      <c r="G899" s="91" t="s">
        <v>2008</v>
      </c>
      <c r="H899" s="47" t="s">
        <v>2009</v>
      </c>
      <c r="I899" s="47" t="s">
        <v>50</v>
      </c>
      <c r="J899" s="47" t="s">
        <v>51</v>
      </c>
      <c r="K899" s="48">
        <v>45155</v>
      </c>
      <c r="L899" s="48">
        <v>45155</v>
      </c>
      <c r="M899" s="48">
        <v>45520</v>
      </c>
      <c r="N899" s="47" t="s">
        <v>52</v>
      </c>
      <c r="O899" s="55" t="s">
        <v>53</v>
      </c>
      <c r="P899" s="62">
        <v>24900</v>
      </c>
      <c r="Q899" s="62">
        <v>2075</v>
      </c>
      <c r="R899" s="96">
        <v>25500</v>
      </c>
      <c r="S899" s="62">
        <f t="shared" si="221"/>
        <v>2125</v>
      </c>
      <c r="T899" s="62">
        <v>23880</v>
      </c>
      <c r="U899" s="62">
        <f t="shared" si="210"/>
        <v>1990</v>
      </c>
      <c r="V899" s="69">
        <v>21240</v>
      </c>
      <c r="W899" s="71">
        <v>2120</v>
      </c>
      <c r="X899" s="105">
        <f>W899-5</f>
        <v>2115</v>
      </c>
      <c r="Y899" s="171">
        <f>(X899-U899)/U899</f>
        <v>6.2814070351758788E-2</v>
      </c>
      <c r="Z899" s="64">
        <f t="shared" si="222"/>
        <v>6.5326633165829151E-2</v>
      </c>
      <c r="AA899" s="64">
        <f t="shared" si="215"/>
        <v>-2.352941176470588E-3</v>
      </c>
      <c r="AB899" s="71">
        <f t="shared" si="218"/>
        <v>2120</v>
      </c>
      <c r="AC899" s="64">
        <f t="shared" si="223"/>
        <v>6.5326633165829151E-2</v>
      </c>
      <c r="AD899" s="64">
        <f t="shared" si="216"/>
        <v>-2.352941176470588E-3</v>
      </c>
      <c r="AE899" s="71">
        <f>AB899-20</f>
        <v>2100</v>
      </c>
      <c r="AF899" s="64">
        <f t="shared" si="224"/>
        <v>5.5276381909547742E-2</v>
      </c>
      <c r="AG899" s="64">
        <f t="shared" si="217"/>
        <v>-1.1764705882352941E-2</v>
      </c>
      <c r="AH899" s="67"/>
      <c r="AI899" s="47" t="s">
        <v>54</v>
      </c>
      <c r="AJ899" s="47">
        <v>939</v>
      </c>
      <c r="AK899" s="47" t="s">
        <v>140</v>
      </c>
      <c r="AL899" s="47" t="s">
        <v>65</v>
      </c>
      <c r="AM899" s="47" t="s">
        <v>587</v>
      </c>
      <c r="AN899" s="50"/>
      <c r="AO899" s="211">
        <f t="shared" si="225"/>
        <v>-1</v>
      </c>
      <c r="AP899" s="47" t="s">
        <v>57</v>
      </c>
      <c r="AQ899" s="47" t="s">
        <v>1132</v>
      </c>
      <c r="AR899" s="47"/>
    </row>
    <row r="900" spans="1:44">
      <c r="A900" s="47" t="s">
        <v>44</v>
      </c>
      <c r="B900" s="47" t="str">
        <f t="shared" si="220"/>
        <v>August</v>
      </c>
      <c r="C900" s="59">
        <v>45520</v>
      </c>
      <c r="D900" s="47" t="s">
        <v>45</v>
      </c>
      <c r="E900" s="47" t="s">
        <v>98</v>
      </c>
      <c r="F900" s="47" t="s">
        <v>99</v>
      </c>
      <c r="G900" s="91" t="s">
        <v>2067</v>
      </c>
      <c r="H900" s="47" t="s">
        <v>2068</v>
      </c>
      <c r="I900" s="47" t="s">
        <v>50</v>
      </c>
      <c r="J900" s="47" t="s">
        <v>51</v>
      </c>
      <c r="K900" s="48">
        <v>44790</v>
      </c>
      <c r="L900" s="48">
        <v>45155</v>
      </c>
      <c r="M900" s="48">
        <v>45520</v>
      </c>
      <c r="N900" s="47" t="s">
        <v>64</v>
      </c>
      <c r="O900" s="55" t="s">
        <v>53</v>
      </c>
      <c r="P900" s="62">
        <v>16080</v>
      </c>
      <c r="Q900" s="62">
        <v>1340</v>
      </c>
      <c r="R900" s="96">
        <v>16800</v>
      </c>
      <c r="S900" s="62">
        <f t="shared" si="221"/>
        <v>1400</v>
      </c>
      <c r="T900" s="62">
        <v>16800</v>
      </c>
      <c r="U900" s="62">
        <f t="shared" si="210"/>
        <v>1400</v>
      </c>
      <c r="V900" s="69">
        <v>15420</v>
      </c>
      <c r="W900" s="71">
        <v>1495</v>
      </c>
      <c r="X900" s="71"/>
      <c r="Y900" s="71"/>
      <c r="Z900" s="64">
        <f t="shared" si="222"/>
        <v>6.7857142857142852E-2</v>
      </c>
      <c r="AA900" s="64">
        <f t="shared" si="215"/>
        <v>6.7857142857142852E-2</v>
      </c>
      <c r="AB900" s="71">
        <f t="shared" si="218"/>
        <v>1495</v>
      </c>
      <c r="AC900" s="64">
        <f t="shared" si="223"/>
        <v>6.7857142857142852E-2</v>
      </c>
      <c r="AD900" s="64">
        <f t="shared" si="216"/>
        <v>6.7857142857142852E-2</v>
      </c>
      <c r="AE900" s="71">
        <v>1470</v>
      </c>
      <c r="AF900" s="64">
        <f t="shared" si="224"/>
        <v>0.05</v>
      </c>
      <c r="AG900" s="64">
        <f t="shared" si="217"/>
        <v>0.05</v>
      </c>
      <c r="AH900" s="67"/>
      <c r="AI900" s="47" t="s">
        <v>54</v>
      </c>
      <c r="AJ900" s="47">
        <v>515</v>
      </c>
      <c r="AK900" s="47" t="s">
        <v>55</v>
      </c>
      <c r="AL900" s="47" t="s">
        <v>55</v>
      </c>
      <c r="AM900" s="47" t="s">
        <v>787</v>
      </c>
      <c r="AN900" s="50"/>
      <c r="AO900" s="211">
        <f t="shared" si="225"/>
        <v>-1</v>
      </c>
      <c r="AP900" s="47" t="s">
        <v>57</v>
      </c>
      <c r="AQ900" s="47" t="s">
        <v>1132</v>
      </c>
      <c r="AR900" s="47"/>
    </row>
    <row r="901" spans="1:44" hidden="1">
      <c r="A901" s="47" t="s">
        <v>44</v>
      </c>
      <c r="B901" s="47" t="str">
        <f t="shared" si="220"/>
        <v>August</v>
      </c>
      <c r="C901" s="59">
        <v>45521</v>
      </c>
      <c r="D901" s="47" t="s">
        <v>45</v>
      </c>
      <c r="E901" s="47" t="s">
        <v>98</v>
      </c>
      <c r="F901" s="47" t="s">
        <v>99</v>
      </c>
      <c r="G901" s="91" t="s">
        <v>2106</v>
      </c>
      <c r="H901" s="47" t="s">
        <v>2107</v>
      </c>
      <c r="I901" s="47" t="s">
        <v>50</v>
      </c>
      <c r="J901" s="47" t="s">
        <v>51</v>
      </c>
      <c r="K901" s="48">
        <v>45156</v>
      </c>
      <c r="L901" s="48">
        <v>45156</v>
      </c>
      <c r="M901" s="48">
        <v>45521</v>
      </c>
      <c r="N901" s="47" t="s">
        <v>52</v>
      </c>
      <c r="O901" s="55" t="s">
        <v>53</v>
      </c>
      <c r="P901" s="62">
        <v>17880</v>
      </c>
      <c r="Q901" s="62">
        <v>1490</v>
      </c>
      <c r="R901" s="96">
        <v>18420</v>
      </c>
      <c r="S901" s="62">
        <f t="shared" si="221"/>
        <v>1535</v>
      </c>
      <c r="T901" s="62">
        <v>17640</v>
      </c>
      <c r="U901" s="62">
        <f t="shared" si="210"/>
        <v>1470</v>
      </c>
      <c r="V901" s="69">
        <v>16320</v>
      </c>
      <c r="W901" s="71">
        <v>1540</v>
      </c>
      <c r="X901" s="105">
        <f>W901-25</f>
        <v>1515</v>
      </c>
      <c r="Y901" s="171">
        <f>(X901-U901)/U901</f>
        <v>3.0612244897959183E-2</v>
      </c>
      <c r="Z901" s="64">
        <f t="shared" si="222"/>
        <v>4.7619047619047616E-2</v>
      </c>
      <c r="AA901" s="64">
        <f t="shared" si="215"/>
        <v>3.2573289902280132E-3</v>
      </c>
      <c r="AB901" s="71">
        <f t="shared" si="218"/>
        <v>1540</v>
      </c>
      <c r="AC901" s="64">
        <f t="shared" si="223"/>
        <v>4.7619047619047616E-2</v>
      </c>
      <c r="AD901" s="64">
        <f t="shared" si="216"/>
        <v>3.2573289902280132E-3</v>
      </c>
      <c r="AE901" s="71">
        <f>AB901-20</f>
        <v>1520</v>
      </c>
      <c r="AF901" s="64">
        <f t="shared" si="224"/>
        <v>3.4013605442176874E-2</v>
      </c>
      <c r="AG901" s="64">
        <f t="shared" si="217"/>
        <v>-9.7719869706840382E-3</v>
      </c>
      <c r="AH901" s="67"/>
      <c r="AI901" s="47" t="s">
        <v>54</v>
      </c>
      <c r="AJ901" s="47">
        <v>650</v>
      </c>
      <c r="AK901" s="47" t="s">
        <v>65</v>
      </c>
      <c r="AL901" s="47" t="s">
        <v>65</v>
      </c>
      <c r="AM901" s="47" t="s">
        <v>378</v>
      </c>
      <c r="AN901" s="50">
        <v>1520</v>
      </c>
      <c r="AO901" s="211">
        <f t="shared" si="225"/>
        <v>3.4013605442176874E-2</v>
      </c>
      <c r="AP901" s="47" t="s">
        <v>57</v>
      </c>
      <c r="AQ901" s="47" t="s">
        <v>1132</v>
      </c>
      <c r="AR901" s="47"/>
    </row>
    <row r="902" spans="1:44" hidden="1">
      <c r="A902" s="47" t="s">
        <v>44</v>
      </c>
      <c r="B902" s="47" t="str">
        <f t="shared" si="220"/>
        <v>August</v>
      </c>
      <c r="C902" s="59">
        <v>45521</v>
      </c>
      <c r="D902" s="47" t="s">
        <v>45</v>
      </c>
      <c r="E902" s="47" t="s">
        <v>98</v>
      </c>
      <c r="F902" s="47" t="s">
        <v>99</v>
      </c>
      <c r="G902" s="91" t="s">
        <v>2117</v>
      </c>
      <c r="H902" s="47" t="s">
        <v>2118</v>
      </c>
      <c r="I902" s="47" t="s">
        <v>50</v>
      </c>
      <c r="J902" s="47" t="s">
        <v>51</v>
      </c>
      <c r="K902" s="48">
        <v>45156</v>
      </c>
      <c r="L902" s="48">
        <v>45156</v>
      </c>
      <c r="M902" s="48">
        <v>45521</v>
      </c>
      <c r="N902" s="47" t="s">
        <v>52</v>
      </c>
      <c r="O902" s="55" t="s">
        <v>53</v>
      </c>
      <c r="P902" s="62">
        <v>25920</v>
      </c>
      <c r="Q902" s="62">
        <v>2160</v>
      </c>
      <c r="R902" s="96">
        <v>26580</v>
      </c>
      <c r="S902" s="62">
        <f t="shared" si="221"/>
        <v>2215</v>
      </c>
      <c r="T902" s="62">
        <v>25920</v>
      </c>
      <c r="U902" s="62">
        <f t="shared" ref="U902:U965" si="226">T902/12</f>
        <v>2160</v>
      </c>
      <c r="V902" s="69">
        <v>23400</v>
      </c>
      <c r="W902" s="71">
        <v>2265</v>
      </c>
      <c r="X902" s="105">
        <f>W902-5</f>
        <v>2260</v>
      </c>
      <c r="Y902" s="171">
        <f>(X902-U902)/U902</f>
        <v>4.6296296296296294E-2</v>
      </c>
      <c r="Z902" s="64">
        <f t="shared" si="222"/>
        <v>4.8611111111111112E-2</v>
      </c>
      <c r="AA902" s="64">
        <f t="shared" si="215"/>
        <v>2.2573363431151242E-2</v>
      </c>
      <c r="AB902" s="71">
        <f t="shared" si="218"/>
        <v>2265</v>
      </c>
      <c r="AC902" s="64">
        <f t="shared" si="223"/>
        <v>4.8611111111111112E-2</v>
      </c>
      <c r="AD902" s="64">
        <f t="shared" si="216"/>
        <v>2.2573363431151242E-2</v>
      </c>
      <c r="AE902" s="71">
        <f>AB902-20</f>
        <v>2245</v>
      </c>
      <c r="AF902" s="64">
        <f t="shared" si="224"/>
        <v>3.9351851851851853E-2</v>
      </c>
      <c r="AG902" s="64">
        <f t="shared" si="217"/>
        <v>1.3544018058690745E-2</v>
      </c>
      <c r="AH902" s="67"/>
      <c r="AI902" s="47" t="s">
        <v>395</v>
      </c>
      <c r="AJ902" s="47">
        <v>873</v>
      </c>
      <c r="AK902" s="47" t="s">
        <v>140</v>
      </c>
      <c r="AL902" s="47" t="s">
        <v>65</v>
      </c>
      <c r="AM902" s="47" t="s">
        <v>427</v>
      </c>
      <c r="AN902" s="50"/>
      <c r="AO902" s="211">
        <f t="shared" si="225"/>
        <v>-1</v>
      </c>
      <c r="AP902" s="47" t="s">
        <v>57</v>
      </c>
      <c r="AQ902" s="47" t="s">
        <v>1132</v>
      </c>
      <c r="AR902" s="47"/>
    </row>
    <row r="903" spans="1:44" hidden="1">
      <c r="A903" s="47" t="s">
        <v>44</v>
      </c>
      <c r="B903" s="47" t="str">
        <f t="shared" si="220"/>
        <v>August</v>
      </c>
      <c r="C903" s="59">
        <v>45521</v>
      </c>
      <c r="D903" s="47" t="s">
        <v>45</v>
      </c>
      <c r="E903" s="47" t="s">
        <v>98</v>
      </c>
      <c r="F903" s="47" t="s">
        <v>99</v>
      </c>
      <c r="G903" s="91" t="s">
        <v>2179</v>
      </c>
      <c r="H903" s="47" t="s">
        <v>2180</v>
      </c>
      <c r="I903" s="47" t="s">
        <v>50</v>
      </c>
      <c r="J903" s="47" t="s">
        <v>51</v>
      </c>
      <c r="K903" s="48">
        <v>45156</v>
      </c>
      <c r="L903" s="48">
        <v>45156</v>
      </c>
      <c r="M903" s="48">
        <v>45521</v>
      </c>
      <c r="N903" s="47" t="s">
        <v>52</v>
      </c>
      <c r="O903" s="55" t="s">
        <v>53</v>
      </c>
      <c r="P903" s="62">
        <v>15420</v>
      </c>
      <c r="Q903" s="62">
        <v>1285</v>
      </c>
      <c r="R903" s="96">
        <v>15900</v>
      </c>
      <c r="S903" s="62">
        <f t="shared" si="221"/>
        <v>1325</v>
      </c>
      <c r="T903" s="62">
        <v>14940</v>
      </c>
      <c r="U903" s="62">
        <f t="shared" si="226"/>
        <v>1245</v>
      </c>
      <c r="V903" s="69">
        <v>13140</v>
      </c>
      <c r="W903" s="71">
        <v>1320</v>
      </c>
      <c r="X903" s="71"/>
      <c r="Y903" s="71"/>
      <c r="Z903" s="64">
        <f t="shared" si="222"/>
        <v>6.0240963855421686E-2</v>
      </c>
      <c r="AA903" s="64">
        <f t="shared" si="215"/>
        <v>-3.7735849056603774E-3</v>
      </c>
      <c r="AB903" s="71">
        <f t="shared" si="218"/>
        <v>1320</v>
      </c>
      <c r="AC903" s="64">
        <f t="shared" si="223"/>
        <v>6.0240963855421686E-2</v>
      </c>
      <c r="AD903" s="64">
        <f t="shared" si="216"/>
        <v>-3.7735849056603774E-3</v>
      </c>
      <c r="AE903" s="71">
        <v>1305</v>
      </c>
      <c r="AF903" s="64">
        <f t="shared" si="224"/>
        <v>4.8192771084337352E-2</v>
      </c>
      <c r="AG903" s="64">
        <f t="shared" si="217"/>
        <v>-1.509433962264151E-2</v>
      </c>
      <c r="AH903" s="67"/>
      <c r="AI903" s="47" t="s">
        <v>54</v>
      </c>
      <c r="AJ903" s="47">
        <v>493</v>
      </c>
      <c r="AK903" s="47" t="s">
        <v>55</v>
      </c>
      <c r="AL903" s="47" t="s">
        <v>55</v>
      </c>
      <c r="AM903" s="47" t="s">
        <v>784</v>
      </c>
      <c r="AN903" s="50"/>
      <c r="AO903" s="211">
        <f t="shared" si="225"/>
        <v>-1</v>
      </c>
      <c r="AP903" s="47" t="s">
        <v>57</v>
      </c>
      <c r="AQ903" s="47" t="s">
        <v>1132</v>
      </c>
      <c r="AR903" s="47"/>
    </row>
    <row r="904" spans="1:44" hidden="1">
      <c r="A904" s="47" t="s">
        <v>44</v>
      </c>
      <c r="B904" s="47" t="str">
        <f t="shared" si="220"/>
        <v>August</v>
      </c>
      <c r="C904" s="59">
        <v>45522</v>
      </c>
      <c r="D904" s="47" t="s">
        <v>45</v>
      </c>
      <c r="E904" s="47" t="s">
        <v>98</v>
      </c>
      <c r="F904" s="47" t="s">
        <v>99</v>
      </c>
      <c r="G904" s="91" t="s">
        <v>2243</v>
      </c>
      <c r="H904" s="47" t="s">
        <v>2244</v>
      </c>
      <c r="I904" s="47" t="s">
        <v>50</v>
      </c>
      <c r="J904" s="47" t="s">
        <v>51</v>
      </c>
      <c r="K904" s="48">
        <v>45157</v>
      </c>
      <c r="L904" s="48">
        <v>45157</v>
      </c>
      <c r="M904" s="48">
        <v>45522</v>
      </c>
      <c r="N904" s="47" t="s">
        <v>52</v>
      </c>
      <c r="O904" s="55" t="s">
        <v>53</v>
      </c>
      <c r="P904" s="62">
        <v>18180</v>
      </c>
      <c r="Q904" s="62">
        <v>1515</v>
      </c>
      <c r="R904" s="96">
        <v>18720</v>
      </c>
      <c r="S904" s="62">
        <f t="shared" si="221"/>
        <v>1560</v>
      </c>
      <c r="T904" s="62">
        <v>17940</v>
      </c>
      <c r="U904" s="62">
        <f t="shared" si="226"/>
        <v>1495</v>
      </c>
      <c r="V904" s="69">
        <v>16620</v>
      </c>
      <c r="W904" s="71">
        <v>1565</v>
      </c>
      <c r="X904" s="105">
        <f>W904-25</f>
        <v>1540</v>
      </c>
      <c r="Y904" s="171">
        <f t="shared" ref="Y904:Y916" si="227">(X904-U904)/U904</f>
        <v>3.0100334448160536E-2</v>
      </c>
      <c r="Z904" s="64">
        <f t="shared" si="222"/>
        <v>4.6822742474916385E-2</v>
      </c>
      <c r="AA904" s="64">
        <f t="shared" si="215"/>
        <v>3.205128205128205E-3</v>
      </c>
      <c r="AB904" s="71">
        <f t="shared" si="218"/>
        <v>1565</v>
      </c>
      <c r="AC904" s="64">
        <f t="shared" si="223"/>
        <v>4.6822742474916385E-2</v>
      </c>
      <c r="AD904" s="64">
        <f t="shared" si="216"/>
        <v>3.205128205128205E-3</v>
      </c>
      <c r="AE904" s="71">
        <f>AB904-20</f>
        <v>1545</v>
      </c>
      <c r="AF904" s="64">
        <f t="shared" si="224"/>
        <v>3.3444816053511704E-2</v>
      </c>
      <c r="AG904" s="64">
        <f t="shared" si="217"/>
        <v>-9.6153846153846159E-3</v>
      </c>
      <c r="AH904" s="67"/>
      <c r="AI904" s="47" t="s">
        <v>54</v>
      </c>
      <c r="AJ904" s="47">
        <v>828</v>
      </c>
      <c r="AK904" s="47" t="s">
        <v>65</v>
      </c>
      <c r="AL904" s="47" t="s">
        <v>65</v>
      </c>
      <c r="AM904" s="47" t="s">
        <v>2245</v>
      </c>
      <c r="AN904" s="50"/>
      <c r="AO904" s="211">
        <f t="shared" si="225"/>
        <v>-1</v>
      </c>
      <c r="AP904" s="47" t="s">
        <v>57</v>
      </c>
      <c r="AQ904" s="52" t="s">
        <v>1132</v>
      </c>
      <c r="AR904" s="47"/>
    </row>
    <row r="905" spans="1:44">
      <c r="A905" s="47" t="s">
        <v>44</v>
      </c>
      <c r="B905" s="47" t="str">
        <f t="shared" si="220"/>
        <v>August</v>
      </c>
      <c r="C905" s="59">
        <v>45523</v>
      </c>
      <c r="D905" s="47" t="s">
        <v>45</v>
      </c>
      <c r="E905" s="47" t="s">
        <v>98</v>
      </c>
      <c r="F905" s="47" t="s">
        <v>99</v>
      </c>
      <c r="G905" s="91" t="s">
        <v>2315</v>
      </c>
      <c r="H905" s="47" t="s">
        <v>2316</v>
      </c>
      <c r="I905" s="47" t="s">
        <v>2317</v>
      </c>
      <c r="J905" s="47" t="s">
        <v>51</v>
      </c>
      <c r="K905" s="48">
        <v>44428</v>
      </c>
      <c r="L905" s="48">
        <v>45158</v>
      </c>
      <c r="M905" s="48">
        <v>45523</v>
      </c>
      <c r="N905" s="47" t="s">
        <v>64</v>
      </c>
      <c r="O905" s="55" t="s">
        <v>53</v>
      </c>
      <c r="P905" s="62">
        <v>15840</v>
      </c>
      <c r="Q905" s="62">
        <v>1320</v>
      </c>
      <c r="R905" s="96">
        <v>16800</v>
      </c>
      <c r="S905" s="62">
        <f t="shared" si="221"/>
        <v>1400</v>
      </c>
      <c r="T905" s="62">
        <v>16800</v>
      </c>
      <c r="U905" s="62">
        <f t="shared" si="226"/>
        <v>1400</v>
      </c>
      <c r="V905" s="69">
        <v>14820</v>
      </c>
      <c r="W905" s="71">
        <v>1515</v>
      </c>
      <c r="X905" s="105">
        <f>W905-25</f>
        <v>1490</v>
      </c>
      <c r="Y905" s="171">
        <f t="shared" si="227"/>
        <v>6.4285714285714279E-2</v>
      </c>
      <c r="Z905" s="64">
        <f t="shared" si="222"/>
        <v>8.2142857142857142E-2</v>
      </c>
      <c r="AA905" s="64">
        <f t="shared" si="215"/>
        <v>8.2142857142857142E-2</v>
      </c>
      <c r="AB905" s="71">
        <f t="shared" si="218"/>
        <v>1515</v>
      </c>
      <c r="AC905" s="64">
        <f t="shared" si="223"/>
        <v>8.2142857142857142E-2</v>
      </c>
      <c r="AD905" s="64">
        <f t="shared" si="216"/>
        <v>8.2142857142857142E-2</v>
      </c>
      <c r="AE905" s="71">
        <v>1485</v>
      </c>
      <c r="AF905" s="64">
        <f t="shared" si="224"/>
        <v>6.0714285714285714E-2</v>
      </c>
      <c r="AG905" s="64">
        <f t="shared" si="217"/>
        <v>6.0714285714285714E-2</v>
      </c>
      <c r="AH905" s="67"/>
      <c r="AI905" s="47" t="s">
        <v>54</v>
      </c>
      <c r="AJ905" s="47">
        <v>670</v>
      </c>
      <c r="AK905" s="47" t="s">
        <v>65</v>
      </c>
      <c r="AL905" s="47" t="s">
        <v>65</v>
      </c>
      <c r="AM905" s="47" t="s">
        <v>570</v>
      </c>
      <c r="AN905" s="50"/>
      <c r="AO905" s="211">
        <f t="shared" si="225"/>
        <v>-1</v>
      </c>
      <c r="AP905" s="47" t="s">
        <v>57</v>
      </c>
      <c r="AQ905" s="47" t="s">
        <v>1132</v>
      </c>
      <c r="AR905" s="47"/>
    </row>
    <row r="906" spans="1:44" hidden="1">
      <c r="A906" s="47" t="s">
        <v>44</v>
      </c>
      <c r="B906" s="47" t="str">
        <f t="shared" si="220"/>
        <v>August</v>
      </c>
      <c r="C906" s="59">
        <v>45524</v>
      </c>
      <c r="D906" s="47" t="s">
        <v>45</v>
      </c>
      <c r="E906" s="47" t="s">
        <v>98</v>
      </c>
      <c r="F906" s="47" t="s">
        <v>99</v>
      </c>
      <c r="G906" s="91" t="s">
        <v>2384</v>
      </c>
      <c r="H906" s="47" t="s">
        <v>2385</v>
      </c>
      <c r="I906" s="47" t="s">
        <v>2386</v>
      </c>
      <c r="J906" s="47" t="s">
        <v>51</v>
      </c>
      <c r="K906" s="48">
        <v>45159</v>
      </c>
      <c r="L906" s="48">
        <v>45159</v>
      </c>
      <c r="M906" s="48">
        <v>45524</v>
      </c>
      <c r="N906" s="47" t="s">
        <v>52</v>
      </c>
      <c r="O906" s="55" t="s">
        <v>53</v>
      </c>
      <c r="P906" s="62">
        <v>19980</v>
      </c>
      <c r="Q906" s="62">
        <v>1665</v>
      </c>
      <c r="R906" s="96">
        <v>20580</v>
      </c>
      <c r="S906" s="62">
        <f t="shared" si="221"/>
        <v>1715</v>
      </c>
      <c r="T906" s="62">
        <v>19740</v>
      </c>
      <c r="U906" s="62">
        <f t="shared" si="226"/>
        <v>1645</v>
      </c>
      <c r="V906" s="69">
        <v>16920</v>
      </c>
      <c r="W906" s="71">
        <v>1660</v>
      </c>
      <c r="X906" s="172">
        <f>W906-25</f>
        <v>1635</v>
      </c>
      <c r="Y906" s="173">
        <f t="shared" si="227"/>
        <v>-6.0790273556231003E-3</v>
      </c>
      <c r="Z906" s="64">
        <f t="shared" si="222"/>
        <v>9.11854103343465E-3</v>
      </c>
      <c r="AA906" s="64">
        <f t="shared" si="215"/>
        <v>-3.2069970845481049E-2</v>
      </c>
      <c r="AB906" s="71">
        <f t="shared" ref="AB906:AB937" si="228">W906</f>
        <v>1660</v>
      </c>
      <c r="AC906" s="64">
        <f t="shared" si="223"/>
        <v>9.11854103343465E-3</v>
      </c>
      <c r="AD906" s="64">
        <f t="shared" si="216"/>
        <v>-3.2069970845481049E-2</v>
      </c>
      <c r="AE906" s="71">
        <v>1650</v>
      </c>
      <c r="AF906" s="64">
        <f t="shared" si="224"/>
        <v>3.0395136778115501E-3</v>
      </c>
      <c r="AG906" s="64">
        <f t="shared" si="217"/>
        <v>-3.7900874635568516E-2</v>
      </c>
      <c r="AH906" s="67"/>
      <c r="AI906" s="47" t="s">
        <v>54</v>
      </c>
      <c r="AJ906" s="47">
        <v>673</v>
      </c>
      <c r="AK906" s="47" t="s">
        <v>65</v>
      </c>
      <c r="AL906" s="47" t="s">
        <v>65</v>
      </c>
      <c r="AM906" s="47" t="s">
        <v>543</v>
      </c>
      <c r="AN906" s="50"/>
      <c r="AO906" s="211">
        <f t="shared" si="225"/>
        <v>-1</v>
      </c>
      <c r="AP906" s="47" t="s">
        <v>57</v>
      </c>
      <c r="AQ906" s="47" t="s">
        <v>1132</v>
      </c>
      <c r="AR906" s="47"/>
    </row>
    <row r="907" spans="1:44" hidden="1">
      <c r="A907" s="47" t="s">
        <v>44</v>
      </c>
      <c r="B907" s="47" t="str">
        <f t="shared" si="220"/>
        <v>August</v>
      </c>
      <c r="C907" s="59">
        <v>45524</v>
      </c>
      <c r="D907" s="47" t="s">
        <v>45</v>
      </c>
      <c r="E907" s="47" t="s">
        <v>98</v>
      </c>
      <c r="F907" s="47" t="s">
        <v>99</v>
      </c>
      <c r="G907" s="91" t="s">
        <v>2402</v>
      </c>
      <c r="H907" s="47" t="s">
        <v>2403</v>
      </c>
      <c r="I907" s="47" t="s">
        <v>50</v>
      </c>
      <c r="J907" s="47" t="s">
        <v>51</v>
      </c>
      <c r="K907" s="48">
        <v>45159</v>
      </c>
      <c r="L907" s="48">
        <v>45159</v>
      </c>
      <c r="M907" s="48">
        <v>45524</v>
      </c>
      <c r="N907" s="47" t="s">
        <v>52</v>
      </c>
      <c r="O907" s="55" t="s">
        <v>53</v>
      </c>
      <c r="P907" s="62">
        <v>24900</v>
      </c>
      <c r="Q907" s="62">
        <v>2075</v>
      </c>
      <c r="R907" s="96">
        <v>25500</v>
      </c>
      <c r="S907" s="62">
        <f t="shared" si="221"/>
        <v>2125</v>
      </c>
      <c r="T907" s="62">
        <v>24300</v>
      </c>
      <c r="U907" s="62">
        <f t="shared" si="226"/>
        <v>2025</v>
      </c>
      <c r="V907" s="69">
        <v>21300</v>
      </c>
      <c r="W907" s="71">
        <v>2150</v>
      </c>
      <c r="X907" s="105">
        <f>W907-5</f>
        <v>2145</v>
      </c>
      <c r="Y907" s="171">
        <f t="shared" si="227"/>
        <v>5.9259259259259262E-2</v>
      </c>
      <c r="Z907" s="64">
        <f t="shared" si="222"/>
        <v>6.1728395061728392E-2</v>
      </c>
      <c r="AA907" s="64">
        <f t="shared" si="215"/>
        <v>1.1764705882352941E-2</v>
      </c>
      <c r="AB907" s="71">
        <f t="shared" si="228"/>
        <v>2150</v>
      </c>
      <c r="AC907" s="64">
        <f t="shared" si="223"/>
        <v>6.1728395061728392E-2</v>
      </c>
      <c r="AD907" s="64">
        <f t="shared" si="216"/>
        <v>1.1764705882352941E-2</v>
      </c>
      <c r="AE907" s="71">
        <f>AB907-20</f>
        <v>2130</v>
      </c>
      <c r="AF907" s="64">
        <f t="shared" si="224"/>
        <v>5.185185185185185E-2</v>
      </c>
      <c r="AG907" s="64">
        <f t="shared" si="217"/>
        <v>2.352941176470588E-3</v>
      </c>
      <c r="AH907" s="67"/>
      <c r="AI907" s="47" t="s">
        <v>54</v>
      </c>
      <c r="AJ907" s="47">
        <v>874</v>
      </c>
      <c r="AK907" s="47" t="s">
        <v>140</v>
      </c>
      <c r="AL907" s="47" t="s">
        <v>65</v>
      </c>
      <c r="AM907" s="47" t="s">
        <v>536</v>
      </c>
      <c r="AN907" s="50"/>
      <c r="AO907" s="211">
        <f t="shared" si="225"/>
        <v>-1</v>
      </c>
      <c r="AP907" s="47" t="s">
        <v>57</v>
      </c>
      <c r="AQ907" s="47" t="s">
        <v>1132</v>
      </c>
      <c r="AR907" s="47"/>
    </row>
    <row r="908" spans="1:44">
      <c r="A908" s="47" t="s">
        <v>44</v>
      </c>
      <c r="B908" s="47" t="str">
        <f t="shared" si="220"/>
        <v>August</v>
      </c>
      <c r="C908" s="59">
        <v>45525</v>
      </c>
      <c r="D908" s="47" t="s">
        <v>45</v>
      </c>
      <c r="E908" s="47" t="s">
        <v>98</v>
      </c>
      <c r="F908" s="47" t="s">
        <v>99</v>
      </c>
      <c r="G908" s="94" t="s">
        <v>2536</v>
      </c>
      <c r="H908" s="47" t="s">
        <v>2537</v>
      </c>
      <c r="I908" s="77" t="s">
        <v>2538</v>
      </c>
      <c r="J908" s="47" t="s">
        <v>51</v>
      </c>
      <c r="K908" s="48">
        <v>44795</v>
      </c>
      <c r="L908" s="48">
        <v>45160</v>
      </c>
      <c r="M908" s="48">
        <v>45525</v>
      </c>
      <c r="N908" s="47" t="s">
        <v>64</v>
      </c>
      <c r="O908" s="55" t="s">
        <v>53</v>
      </c>
      <c r="P908" s="62">
        <v>17400</v>
      </c>
      <c r="Q908" s="62">
        <v>1450</v>
      </c>
      <c r="R908" s="96">
        <v>19080</v>
      </c>
      <c r="S908" s="62">
        <f t="shared" si="221"/>
        <v>1590</v>
      </c>
      <c r="T908" s="62">
        <v>19080</v>
      </c>
      <c r="U908" s="62">
        <f t="shared" si="226"/>
        <v>1590</v>
      </c>
      <c r="V908" s="69">
        <v>16980</v>
      </c>
      <c r="W908" s="71">
        <v>1640</v>
      </c>
      <c r="X908" s="105">
        <f t="shared" ref="X908:X916" si="229">W908-25</f>
        <v>1615</v>
      </c>
      <c r="Y908" s="176">
        <f t="shared" si="227"/>
        <v>1.5723270440251572E-2</v>
      </c>
      <c r="Z908" s="64">
        <f t="shared" si="222"/>
        <v>3.1446540880503145E-2</v>
      </c>
      <c r="AA908" s="64">
        <f t="shared" si="215"/>
        <v>3.1446540880503145E-2</v>
      </c>
      <c r="AB908" s="71">
        <f t="shared" si="228"/>
        <v>1640</v>
      </c>
      <c r="AC908" s="64">
        <f t="shared" si="223"/>
        <v>3.1446540880503145E-2</v>
      </c>
      <c r="AD908" s="64">
        <f t="shared" si="216"/>
        <v>3.1446540880503145E-2</v>
      </c>
      <c r="AE908" s="71">
        <f>AB908-20</f>
        <v>1620</v>
      </c>
      <c r="AF908" s="64">
        <f t="shared" si="224"/>
        <v>1.8867924528301886E-2</v>
      </c>
      <c r="AG908" s="64">
        <f t="shared" si="217"/>
        <v>1.8867924528301886E-2</v>
      </c>
      <c r="AH908" s="67"/>
      <c r="AI908" s="47" t="s">
        <v>250</v>
      </c>
      <c r="AJ908" s="47">
        <v>673</v>
      </c>
      <c r="AK908" s="47" t="s">
        <v>65</v>
      </c>
      <c r="AL908" s="47" t="s">
        <v>65</v>
      </c>
      <c r="AM908" s="47" t="s">
        <v>1857</v>
      </c>
      <c r="AN908" s="50"/>
      <c r="AO908" s="211">
        <f t="shared" si="225"/>
        <v>-1</v>
      </c>
      <c r="AP908" s="47" t="s">
        <v>57</v>
      </c>
      <c r="AQ908" s="47" t="s">
        <v>1132</v>
      </c>
      <c r="AR908" s="47"/>
    </row>
    <row r="909" spans="1:44">
      <c r="A909" s="47" t="s">
        <v>44</v>
      </c>
      <c r="B909" s="47" t="str">
        <f t="shared" si="220"/>
        <v>August</v>
      </c>
      <c r="C909" s="59">
        <v>45526</v>
      </c>
      <c r="D909" s="47" t="s">
        <v>45</v>
      </c>
      <c r="E909" s="47" t="s">
        <v>98</v>
      </c>
      <c r="F909" s="47" t="s">
        <v>99</v>
      </c>
      <c r="G909" s="91" t="s">
        <v>2642</v>
      </c>
      <c r="H909" s="47" t="s">
        <v>2643</v>
      </c>
      <c r="I909" s="47" t="s">
        <v>50</v>
      </c>
      <c r="J909" s="47" t="s">
        <v>51</v>
      </c>
      <c r="K909" s="48">
        <v>44796</v>
      </c>
      <c r="L909" s="48">
        <v>45161</v>
      </c>
      <c r="M909" s="48">
        <v>45526</v>
      </c>
      <c r="N909" s="47" t="s">
        <v>64</v>
      </c>
      <c r="O909" s="55" t="s">
        <v>53</v>
      </c>
      <c r="P909" s="62">
        <v>19200</v>
      </c>
      <c r="Q909" s="62">
        <v>1600</v>
      </c>
      <c r="R909" s="96">
        <v>19920</v>
      </c>
      <c r="S909" s="62">
        <f t="shared" si="221"/>
        <v>1660</v>
      </c>
      <c r="T909" s="62">
        <v>19920</v>
      </c>
      <c r="U909" s="62">
        <f t="shared" si="226"/>
        <v>1660</v>
      </c>
      <c r="V909" s="69">
        <v>18420</v>
      </c>
      <c r="W909" s="71">
        <v>1675</v>
      </c>
      <c r="X909" s="172">
        <f t="shared" si="229"/>
        <v>1650</v>
      </c>
      <c r="Y909" s="173">
        <f t="shared" si="227"/>
        <v>-6.024096385542169E-3</v>
      </c>
      <c r="Z909" s="64">
        <f t="shared" si="222"/>
        <v>9.0361445783132526E-3</v>
      </c>
      <c r="AA909" s="64">
        <f t="shared" si="215"/>
        <v>9.0361445783132526E-3</v>
      </c>
      <c r="AB909" s="71">
        <f t="shared" si="228"/>
        <v>1675</v>
      </c>
      <c r="AC909" s="64">
        <f t="shared" si="223"/>
        <v>9.0361445783132526E-3</v>
      </c>
      <c r="AD909" s="64">
        <f t="shared" si="216"/>
        <v>9.0361445783132526E-3</v>
      </c>
      <c r="AE909" s="71">
        <v>1665</v>
      </c>
      <c r="AF909" s="64">
        <f t="shared" si="224"/>
        <v>3.0120481927710845E-3</v>
      </c>
      <c r="AG909" s="64">
        <f t="shared" si="217"/>
        <v>3.0120481927710845E-3</v>
      </c>
      <c r="AH909" s="67"/>
      <c r="AI909" s="47" t="s">
        <v>54</v>
      </c>
      <c r="AJ909" s="47">
        <v>670</v>
      </c>
      <c r="AK909" s="47" t="s">
        <v>65</v>
      </c>
      <c r="AL909" s="47" t="s">
        <v>65</v>
      </c>
      <c r="AM909" s="47" t="s">
        <v>1298</v>
      </c>
      <c r="AN909" s="50"/>
      <c r="AO909" s="211">
        <f t="shared" si="225"/>
        <v>-1</v>
      </c>
      <c r="AP909" s="47" t="s">
        <v>57</v>
      </c>
      <c r="AQ909" s="47" t="s">
        <v>1132</v>
      </c>
      <c r="AR909" s="47"/>
    </row>
    <row r="910" spans="1:44" hidden="1">
      <c r="A910" s="47" t="s">
        <v>44</v>
      </c>
      <c r="B910" s="47" t="str">
        <f t="shared" si="220"/>
        <v>August</v>
      </c>
      <c r="C910" s="59">
        <v>45526</v>
      </c>
      <c r="D910" s="47" t="s">
        <v>45</v>
      </c>
      <c r="E910" s="47" t="s">
        <v>98</v>
      </c>
      <c r="F910" s="47" t="s">
        <v>99</v>
      </c>
      <c r="G910" s="91" t="s">
        <v>2660</v>
      </c>
      <c r="H910" s="47" t="s">
        <v>2661</v>
      </c>
      <c r="I910" s="47" t="s">
        <v>50</v>
      </c>
      <c r="J910" s="47" t="s">
        <v>51</v>
      </c>
      <c r="K910" s="48">
        <v>45161</v>
      </c>
      <c r="L910" s="48">
        <v>45161</v>
      </c>
      <c r="M910" s="48">
        <v>45526</v>
      </c>
      <c r="N910" s="47" t="s">
        <v>52</v>
      </c>
      <c r="O910" s="55" t="s">
        <v>53</v>
      </c>
      <c r="P910" s="62">
        <v>17280</v>
      </c>
      <c r="Q910" s="62">
        <v>1440</v>
      </c>
      <c r="R910" s="96">
        <v>17820</v>
      </c>
      <c r="S910" s="62">
        <f t="shared" si="221"/>
        <v>1485</v>
      </c>
      <c r="T910" s="62">
        <v>17040</v>
      </c>
      <c r="U910" s="62">
        <f t="shared" si="226"/>
        <v>1420</v>
      </c>
      <c r="V910" s="69">
        <v>15360</v>
      </c>
      <c r="W910" s="71">
        <v>1565</v>
      </c>
      <c r="X910" s="105">
        <f t="shared" si="229"/>
        <v>1540</v>
      </c>
      <c r="Y910" s="171">
        <f t="shared" si="227"/>
        <v>8.4507042253521125E-2</v>
      </c>
      <c r="Z910" s="64">
        <f t="shared" si="222"/>
        <v>0.10211267605633803</v>
      </c>
      <c r="AA910" s="64">
        <f t="shared" si="215"/>
        <v>5.387205387205387E-2</v>
      </c>
      <c r="AB910" s="71">
        <f t="shared" si="228"/>
        <v>1565</v>
      </c>
      <c r="AC910" s="64">
        <f t="shared" si="223"/>
        <v>0.10211267605633803</v>
      </c>
      <c r="AD910" s="64">
        <f t="shared" si="216"/>
        <v>5.387205387205387E-2</v>
      </c>
      <c r="AE910" s="71">
        <v>1525</v>
      </c>
      <c r="AF910" s="64">
        <f t="shared" si="224"/>
        <v>7.3943661971830985E-2</v>
      </c>
      <c r="AG910" s="64">
        <f t="shared" si="217"/>
        <v>2.6936026936026935E-2</v>
      </c>
      <c r="AH910" s="67"/>
      <c r="AI910" s="47" t="s">
        <v>54</v>
      </c>
      <c r="AJ910" s="47">
        <v>650</v>
      </c>
      <c r="AK910" s="47" t="s">
        <v>65</v>
      </c>
      <c r="AL910" s="47" t="s">
        <v>65</v>
      </c>
      <c r="AM910" s="47" t="s">
        <v>152</v>
      </c>
      <c r="AN910" s="50">
        <v>1525</v>
      </c>
      <c r="AO910" s="211">
        <f t="shared" si="225"/>
        <v>7.3943661971830985E-2</v>
      </c>
      <c r="AP910" s="47" t="s">
        <v>57</v>
      </c>
      <c r="AQ910" s="47" t="s">
        <v>1132</v>
      </c>
      <c r="AR910" s="47"/>
    </row>
    <row r="911" spans="1:44" hidden="1">
      <c r="A911" s="47" t="s">
        <v>44</v>
      </c>
      <c r="B911" s="47" t="str">
        <f t="shared" si="220"/>
        <v>August</v>
      </c>
      <c r="C911" s="59">
        <v>45527</v>
      </c>
      <c r="D911" s="47" t="s">
        <v>45</v>
      </c>
      <c r="E911" s="47" t="s">
        <v>98</v>
      </c>
      <c r="F911" s="47" t="s">
        <v>99</v>
      </c>
      <c r="G911" s="91" t="s">
        <v>2745</v>
      </c>
      <c r="H911" s="47" t="s">
        <v>2746</v>
      </c>
      <c r="I911" s="47" t="s">
        <v>50</v>
      </c>
      <c r="J911" s="47" t="s">
        <v>51</v>
      </c>
      <c r="K911" s="48">
        <v>45162</v>
      </c>
      <c r="L911" s="48">
        <v>45162</v>
      </c>
      <c r="M911" s="48">
        <v>45527</v>
      </c>
      <c r="N911" s="47" t="s">
        <v>52</v>
      </c>
      <c r="O911" s="55" t="s">
        <v>53</v>
      </c>
      <c r="P911" s="62">
        <v>18420</v>
      </c>
      <c r="Q911" s="62">
        <v>1535</v>
      </c>
      <c r="R911" s="96">
        <v>18960</v>
      </c>
      <c r="S911" s="62">
        <f t="shared" si="221"/>
        <v>1580</v>
      </c>
      <c r="T911" s="62">
        <v>18180</v>
      </c>
      <c r="U911" s="62">
        <f t="shared" si="226"/>
        <v>1515</v>
      </c>
      <c r="V911" s="69">
        <v>16200</v>
      </c>
      <c r="W911" s="71">
        <v>1570</v>
      </c>
      <c r="X911" s="105">
        <f t="shared" si="229"/>
        <v>1545</v>
      </c>
      <c r="Y911" s="176">
        <f t="shared" si="227"/>
        <v>1.9801980198019802E-2</v>
      </c>
      <c r="Z911" s="64">
        <f t="shared" si="222"/>
        <v>3.6303630363036306E-2</v>
      </c>
      <c r="AA911" s="64">
        <f t="shared" si="215"/>
        <v>-6.3291139240506328E-3</v>
      </c>
      <c r="AB911" s="71">
        <f t="shared" si="228"/>
        <v>1570</v>
      </c>
      <c r="AC911" s="64">
        <f t="shared" si="223"/>
        <v>3.6303630363036306E-2</v>
      </c>
      <c r="AD911" s="64">
        <f t="shared" si="216"/>
        <v>-6.3291139240506328E-3</v>
      </c>
      <c r="AE911" s="71">
        <f>AB911-20</f>
        <v>1550</v>
      </c>
      <c r="AF911" s="64">
        <f t="shared" si="224"/>
        <v>2.3102310231023101E-2</v>
      </c>
      <c r="AG911" s="64">
        <f t="shared" si="217"/>
        <v>-1.8987341772151899E-2</v>
      </c>
      <c r="AH911" s="67"/>
      <c r="AI911" s="47" t="s">
        <v>395</v>
      </c>
      <c r="AJ911" s="47">
        <v>650</v>
      </c>
      <c r="AK911" s="47" t="s">
        <v>65</v>
      </c>
      <c r="AL911" s="47" t="s">
        <v>65</v>
      </c>
      <c r="AM911" s="47" t="s">
        <v>525</v>
      </c>
      <c r="AN911" s="50"/>
      <c r="AO911" s="211">
        <f t="shared" si="225"/>
        <v>-1</v>
      </c>
      <c r="AP911" s="47" t="s">
        <v>57</v>
      </c>
      <c r="AQ911" s="47" t="s">
        <v>1132</v>
      </c>
      <c r="AR911" s="47"/>
    </row>
    <row r="912" spans="1:44" hidden="1">
      <c r="A912" s="47" t="s">
        <v>44</v>
      </c>
      <c r="B912" s="47" t="str">
        <f t="shared" si="220"/>
        <v>August</v>
      </c>
      <c r="C912" s="59">
        <v>45527</v>
      </c>
      <c r="D912" s="47" t="s">
        <v>45</v>
      </c>
      <c r="E912" s="47" t="s">
        <v>98</v>
      </c>
      <c r="F912" s="47" t="s">
        <v>99</v>
      </c>
      <c r="G912" s="91" t="s">
        <v>2747</v>
      </c>
      <c r="H912" s="47" t="s">
        <v>2748</v>
      </c>
      <c r="I912" s="47" t="s">
        <v>50</v>
      </c>
      <c r="J912" s="47" t="s">
        <v>51</v>
      </c>
      <c r="K912" s="48">
        <v>45162</v>
      </c>
      <c r="L912" s="48">
        <v>45162</v>
      </c>
      <c r="M912" s="48">
        <v>45527</v>
      </c>
      <c r="N912" s="47" t="s">
        <v>52</v>
      </c>
      <c r="O912" s="55" t="s">
        <v>53</v>
      </c>
      <c r="P912" s="62">
        <v>18900</v>
      </c>
      <c r="Q912" s="62">
        <v>1575</v>
      </c>
      <c r="R912" s="96">
        <v>19440</v>
      </c>
      <c r="S912" s="62">
        <f t="shared" si="221"/>
        <v>1620</v>
      </c>
      <c r="T912" s="62">
        <v>18660</v>
      </c>
      <c r="U912" s="62">
        <f t="shared" si="226"/>
        <v>1555</v>
      </c>
      <c r="V912" s="69">
        <v>17280</v>
      </c>
      <c r="W912" s="71">
        <v>1615</v>
      </c>
      <c r="X912" s="105">
        <f t="shared" si="229"/>
        <v>1590</v>
      </c>
      <c r="Y912" s="171">
        <f t="shared" si="227"/>
        <v>2.2508038585209004E-2</v>
      </c>
      <c r="Z912" s="64">
        <f t="shared" si="222"/>
        <v>3.8585209003215437E-2</v>
      </c>
      <c r="AA912" s="64">
        <f t="shared" si="215"/>
        <v>-3.0864197530864196E-3</v>
      </c>
      <c r="AB912" s="71">
        <f t="shared" si="228"/>
        <v>1615</v>
      </c>
      <c r="AC912" s="64">
        <f t="shared" si="223"/>
        <v>3.8585209003215437E-2</v>
      </c>
      <c r="AD912" s="64">
        <f t="shared" si="216"/>
        <v>-3.0864197530864196E-3</v>
      </c>
      <c r="AE912" s="71">
        <f>AB912-20</f>
        <v>1595</v>
      </c>
      <c r="AF912" s="64">
        <f t="shared" si="224"/>
        <v>2.5723472668810289E-2</v>
      </c>
      <c r="AG912" s="64">
        <f t="shared" si="217"/>
        <v>-1.5432098765432098E-2</v>
      </c>
      <c r="AH912" s="67"/>
      <c r="AI912" s="47" t="s">
        <v>54</v>
      </c>
      <c r="AJ912" s="47">
        <v>673</v>
      </c>
      <c r="AK912" s="47" t="s">
        <v>65</v>
      </c>
      <c r="AL912" s="47" t="s">
        <v>65</v>
      </c>
      <c r="AM912" s="47" t="s">
        <v>543</v>
      </c>
      <c r="AN912" s="50">
        <v>1615</v>
      </c>
      <c r="AO912" s="211">
        <f t="shared" si="225"/>
        <v>3.8585209003215437E-2</v>
      </c>
      <c r="AP912" s="47" t="s">
        <v>57</v>
      </c>
      <c r="AQ912" s="47" t="s">
        <v>1132</v>
      </c>
      <c r="AR912" s="47"/>
    </row>
    <row r="913" spans="1:44">
      <c r="A913" s="47" t="s">
        <v>44</v>
      </c>
      <c r="B913" s="47" t="str">
        <f t="shared" si="220"/>
        <v>August</v>
      </c>
      <c r="C913" s="59">
        <v>45527</v>
      </c>
      <c r="D913" s="47" t="s">
        <v>45</v>
      </c>
      <c r="E913" s="47" t="s">
        <v>98</v>
      </c>
      <c r="F913" s="47" t="s">
        <v>99</v>
      </c>
      <c r="G913" s="135" t="s">
        <v>2753</v>
      </c>
      <c r="H913" s="47" t="s">
        <v>2754</v>
      </c>
      <c r="I913" s="47" t="s">
        <v>50</v>
      </c>
      <c r="J913" s="47" t="s">
        <v>51</v>
      </c>
      <c r="K913" s="48">
        <v>44797</v>
      </c>
      <c r="L913" s="48">
        <v>45162</v>
      </c>
      <c r="M913" s="48">
        <v>45527</v>
      </c>
      <c r="N913" s="47" t="s">
        <v>64</v>
      </c>
      <c r="O913" s="55" t="s">
        <v>53</v>
      </c>
      <c r="P913" s="62">
        <v>16380</v>
      </c>
      <c r="Q913" s="62">
        <v>1365</v>
      </c>
      <c r="R913" s="96">
        <v>18000</v>
      </c>
      <c r="S913" s="62">
        <f t="shared" si="221"/>
        <v>1500</v>
      </c>
      <c r="T913" s="62">
        <v>18000</v>
      </c>
      <c r="U913" s="62">
        <f t="shared" si="226"/>
        <v>1500</v>
      </c>
      <c r="V913" s="69">
        <v>15780</v>
      </c>
      <c r="W913" s="71">
        <v>1610</v>
      </c>
      <c r="X913" s="105">
        <f t="shared" si="229"/>
        <v>1585</v>
      </c>
      <c r="Y913" s="171">
        <f t="shared" si="227"/>
        <v>5.6666666666666664E-2</v>
      </c>
      <c r="Z913" s="64">
        <f t="shared" si="222"/>
        <v>7.3333333333333334E-2</v>
      </c>
      <c r="AA913" s="64">
        <f t="shared" si="215"/>
        <v>7.3333333333333334E-2</v>
      </c>
      <c r="AB913" s="71">
        <f t="shared" si="228"/>
        <v>1610</v>
      </c>
      <c r="AC913" s="64">
        <f t="shared" si="223"/>
        <v>7.3333333333333334E-2</v>
      </c>
      <c r="AD913" s="64">
        <f t="shared" si="216"/>
        <v>7.3333333333333334E-2</v>
      </c>
      <c r="AE913" s="71">
        <v>1570</v>
      </c>
      <c r="AF913" s="64">
        <f t="shared" si="224"/>
        <v>4.6666666666666669E-2</v>
      </c>
      <c r="AG913" s="64">
        <f t="shared" si="217"/>
        <v>4.6666666666666669E-2</v>
      </c>
      <c r="AH913" s="67"/>
      <c r="AI913" s="47" t="s">
        <v>54</v>
      </c>
      <c r="AJ913" s="47">
        <v>673</v>
      </c>
      <c r="AK913" s="47" t="s">
        <v>65</v>
      </c>
      <c r="AL913" s="47" t="s">
        <v>65</v>
      </c>
      <c r="AM913" s="47" t="s">
        <v>1857</v>
      </c>
      <c r="AN913" s="50"/>
      <c r="AO913" s="211">
        <f t="shared" si="225"/>
        <v>-1</v>
      </c>
      <c r="AP913" s="47" t="s">
        <v>57</v>
      </c>
      <c r="AQ913" s="47" t="s">
        <v>1132</v>
      </c>
      <c r="AR913" s="47"/>
    </row>
    <row r="914" spans="1:44" hidden="1">
      <c r="A914" s="47" t="s">
        <v>44</v>
      </c>
      <c r="B914" s="47" t="str">
        <f t="shared" si="220"/>
        <v>August</v>
      </c>
      <c r="C914" s="59">
        <v>45527</v>
      </c>
      <c r="D914" s="47" t="s">
        <v>45</v>
      </c>
      <c r="E914" s="47" t="s">
        <v>98</v>
      </c>
      <c r="F914" s="47" t="s">
        <v>99</v>
      </c>
      <c r="G914" s="91" t="s">
        <v>2755</v>
      </c>
      <c r="H914" s="47" t="s">
        <v>2756</v>
      </c>
      <c r="I914" s="47" t="s">
        <v>50</v>
      </c>
      <c r="J914" s="47" t="s">
        <v>51</v>
      </c>
      <c r="K914" s="48">
        <v>45162</v>
      </c>
      <c r="L914" s="48">
        <v>45162</v>
      </c>
      <c r="M914" s="48">
        <v>45527</v>
      </c>
      <c r="N914" s="47" t="s">
        <v>52</v>
      </c>
      <c r="O914" s="55" t="s">
        <v>53</v>
      </c>
      <c r="P914" s="62">
        <v>17100</v>
      </c>
      <c r="Q914" s="62">
        <v>1425</v>
      </c>
      <c r="R914" s="96">
        <v>17640</v>
      </c>
      <c r="S914" s="62">
        <f t="shared" si="221"/>
        <v>1470</v>
      </c>
      <c r="T914" s="62">
        <v>16860</v>
      </c>
      <c r="U914" s="62">
        <f t="shared" si="226"/>
        <v>1405</v>
      </c>
      <c r="V914" s="69">
        <v>14880</v>
      </c>
      <c r="W914" s="71">
        <v>1510</v>
      </c>
      <c r="X914" s="105">
        <f t="shared" si="229"/>
        <v>1485</v>
      </c>
      <c r="Y914" s="171">
        <f t="shared" si="227"/>
        <v>5.6939501779359428E-2</v>
      </c>
      <c r="Z914" s="64">
        <f t="shared" si="222"/>
        <v>7.4733096085409248E-2</v>
      </c>
      <c r="AA914" s="64">
        <f t="shared" si="215"/>
        <v>2.7210884353741496E-2</v>
      </c>
      <c r="AB914" s="71">
        <f t="shared" si="228"/>
        <v>1510</v>
      </c>
      <c r="AC914" s="64">
        <f t="shared" si="223"/>
        <v>7.4733096085409248E-2</v>
      </c>
      <c r="AD914" s="64">
        <f t="shared" si="216"/>
        <v>2.7210884353741496E-2</v>
      </c>
      <c r="AE914" s="71">
        <f>AB914-20</f>
        <v>1490</v>
      </c>
      <c r="AF914" s="64">
        <f t="shared" si="224"/>
        <v>6.0498220640569395E-2</v>
      </c>
      <c r="AG914" s="64">
        <f t="shared" si="217"/>
        <v>1.3605442176870748E-2</v>
      </c>
      <c r="AH914" s="67"/>
      <c r="AI914" s="47" t="s">
        <v>54</v>
      </c>
      <c r="AJ914" s="47">
        <v>650</v>
      </c>
      <c r="AK914" s="47" t="s">
        <v>65</v>
      </c>
      <c r="AL914" s="47" t="s">
        <v>65</v>
      </c>
      <c r="AM914" s="47" t="s">
        <v>152</v>
      </c>
      <c r="AN914" s="50">
        <v>1475</v>
      </c>
      <c r="AO914" s="211">
        <f t="shared" si="225"/>
        <v>4.9822064056939501E-2</v>
      </c>
      <c r="AP914" s="47" t="s">
        <v>57</v>
      </c>
      <c r="AQ914" s="47" t="s">
        <v>1132</v>
      </c>
      <c r="AR914" s="47"/>
    </row>
    <row r="915" spans="1:44">
      <c r="A915" s="47" t="s">
        <v>44</v>
      </c>
      <c r="B915" s="47" t="str">
        <f t="shared" si="220"/>
        <v>August</v>
      </c>
      <c r="C915" s="59">
        <v>45527</v>
      </c>
      <c r="D915" s="47" t="s">
        <v>45</v>
      </c>
      <c r="E915" s="47" t="s">
        <v>98</v>
      </c>
      <c r="F915" s="47" t="s">
        <v>99</v>
      </c>
      <c r="G915" s="91" t="s">
        <v>2757</v>
      </c>
      <c r="H915" s="47" t="s">
        <v>2758</v>
      </c>
      <c r="I915" s="47" t="s">
        <v>50</v>
      </c>
      <c r="J915" s="47" t="s">
        <v>51</v>
      </c>
      <c r="K915" s="48">
        <v>44432</v>
      </c>
      <c r="L915" s="48">
        <v>45162</v>
      </c>
      <c r="M915" s="48">
        <v>45527</v>
      </c>
      <c r="N915" s="47" t="s">
        <v>64</v>
      </c>
      <c r="O915" s="55" t="s">
        <v>53</v>
      </c>
      <c r="P915" s="62">
        <v>15540</v>
      </c>
      <c r="Q915" s="62">
        <v>1295</v>
      </c>
      <c r="R915" s="96">
        <v>16320</v>
      </c>
      <c r="S915" s="62">
        <f t="shared" si="221"/>
        <v>1360</v>
      </c>
      <c r="T915" s="62">
        <v>16320</v>
      </c>
      <c r="U915" s="62">
        <f t="shared" si="226"/>
        <v>1360</v>
      </c>
      <c r="V915" s="69">
        <v>14580</v>
      </c>
      <c r="W915" s="71">
        <v>1480</v>
      </c>
      <c r="X915" s="105">
        <f t="shared" si="229"/>
        <v>1455</v>
      </c>
      <c r="Y915" s="171">
        <f t="shared" si="227"/>
        <v>6.985294117647059E-2</v>
      </c>
      <c r="Z915" s="64">
        <f t="shared" si="222"/>
        <v>8.8235294117647065E-2</v>
      </c>
      <c r="AA915" s="64">
        <f t="shared" si="215"/>
        <v>8.8235294117647065E-2</v>
      </c>
      <c r="AB915" s="71">
        <f t="shared" si="228"/>
        <v>1480</v>
      </c>
      <c r="AC915" s="64">
        <f t="shared" si="223"/>
        <v>8.8235294117647065E-2</v>
      </c>
      <c r="AD915" s="64">
        <f t="shared" si="216"/>
        <v>8.8235294117647065E-2</v>
      </c>
      <c r="AE915" s="71">
        <v>1450</v>
      </c>
      <c r="AF915" s="64">
        <f t="shared" si="224"/>
        <v>6.6176470588235295E-2</v>
      </c>
      <c r="AG915" s="64">
        <f t="shared" si="217"/>
        <v>6.6176470588235295E-2</v>
      </c>
      <c r="AH915" s="67"/>
      <c r="AI915" s="47" t="s">
        <v>54</v>
      </c>
      <c r="AJ915" s="47">
        <v>673</v>
      </c>
      <c r="AK915" s="47" t="s">
        <v>65</v>
      </c>
      <c r="AL915" s="47" t="s">
        <v>65</v>
      </c>
      <c r="AM915" s="47" t="s">
        <v>2759</v>
      </c>
      <c r="AN915" s="50"/>
      <c r="AO915" s="211">
        <f t="shared" si="225"/>
        <v>-1</v>
      </c>
      <c r="AP915" s="47" t="s">
        <v>57</v>
      </c>
      <c r="AQ915" s="47" t="s">
        <v>1132</v>
      </c>
      <c r="AR915" s="47"/>
    </row>
    <row r="916" spans="1:44">
      <c r="A916" s="47" t="s">
        <v>44</v>
      </c>
      <c r="B916" s="47" t="str">
        <f t="shared" si="220"/>
        <v>August</v>
      </c>
      <c r="C916" s="59">
        <v>45527</v>
      </c>
      <c r="D916" s="47" t="s">
        <v>45</v>
      </c>
      <c r="E916" s="47" t="s">
        <v>98</v>
      </c>
      <c r="F916" s="47" t="s">
        <v>99</v>
      </c>
      <c r="G916" s="91" t="s">
        <v>2760</v>
      </c>
      <c r="H916" s="47" t="s">
        <v>2761</v>
      </c>
      <c r="I916" s="47" t="s">
        <v>444</v>
      </c>
      <c r="J916" s="47" t="s">
        <v>51</v>
      </c>
      <c r="K916" s="48">
        <v>44432</v>
      </c>
      <c r="L916" s="48">
        <v>45162</v>
      </c>
      <c r="M916" s="48">
        <v>45527</v>
      </c>
      <c r="N916" s="47" t="s">
        <v>64</v>
      </c>
      <c r="O916" s="55" t="s">
        <v>53</v>
      </c>
      <c r="P916" s="62">
        <v>15840</v>
      </c>
      <c r="Q916" s="62">
        <v>1320</v>
      </c>
      <c r="R916" s="96">
        <v>16800</v>
      </c>
      <c r="S916" s="62">
        <f t="shared" si="221"/>
        <v>1400</v>
      </c>
      <c r="T916" s="62">
        <v>16800</v>
      </c>
      <c r="U916" s="62">
        <f t="shared" si="226"/>
        <v>1400</v>
      </c>
      <c r="V916" s="69">
        <v>15120</v>
      </c>
      <c r="W916" s="71">
        <v>1565</v>
      </c>
      <c r="X916" s="105">
        <f t="shared" si="229"/>
        <v>1540</v>
      </c>
      <c r="Y916" s="171">
        <f t="shared" si="227"/>
        <v>0.1</v>
      </c>
      <c r="Z916" s="64">
        <f t="shared" si="222"/>
        <v>0.11785714285714285</v>
      </c>
      <c r="AA916" s="64">
        <f t="shared" si="215"/>
        <v>0.11785714285714285</v>
      </c>
      <c r="AB916" s="71">
        <f t="shared" si="228"/>
        <v>1565</v>
      </c>
      <c r="AC916" s="64">
        <f t="shared" si="223"/>
        <v>0.11785714285714285</v>
      </c>
      <c r="AD916" s="64">
        <f t="shared" si="216"/>
        <v>0.11785714285714285</v>
      </c>
      <c r="AE916" s="71">
        <v>1515</v>
      </c>
      <c r="AF916" s="64">
        <f t="shared" si="224"/>
        <v>8.2142857142857142E-2</v>
      </c>
      <c r="AG916" s="64">
        <f t="shared" si="217"/>
        <v>8.2142857142857142E-2</v>
      </c>
      <c r="AH916" s="67"/>
      <c r="AI916" s="47" t="s">
        <v>54</v>
      </c>
      <c r="AJ916" s="47">
        <v>673</v>
      </c>
      <c r="AK916" s="47" t="s">
        <v>65</v>
      </c>
      <c r="AL916" s="47" t="s">
        <v>65</v>
      </c>
      <c r="AM916" s="47" t="s">
        <v>279</v>
      </c>
      <c r="AN916" s="50">
        <v>1485</v>
      </c>
      <c r="AO916" s="211">
        <f t="shared" si="225"/>
        <v>6.0714285714285714E-2</v>
      </c>
      <c r="AP916" s="47" t="s">
        <v>57</v>
      </c>
      <c r="AQ916" s="47" t="s">
        <v>1132</v>
      </c>
      <c r="AR916" s="47"/>
    </row>
    <row r="917" spans="1:44">
      <c r="A917" s="47" t="s">
        <v>44</v>
      </c>
      <c r="B917" s="47" t="str">
        <f t="shared" si="220"/>
        <v>August</v>
      </c>
      <c r="C917" s="59">
        <v>45527</v>
      </c>
      <c r="D917" s="47" t="s">
        <v>45</v>
      </c>
      <c r="E917" s="47" t="s">
        <v>98</v>
      </c>
      <c r="F917" s="47" t="s">
        <v>99</v>
      </c>
      <c r="G917" s="91" t="s">
        <v>2817</v>
      </c>
      <c r="H917" s="47" t="s">
        <v>2818</v>
      </c>
      <c r="I917" s="47" t="s">
        <v>2819</v>
      </c>
      <c r="J917" s="47" t="s">
        <v>51</v>
      </c>
      <c r="K917" s="48">
        <v>44432</v>
      </c>
      <c r="L917" s="48">
        <v>44432</v>
      </c>
      <c r="M917" s="48">
        <v>45527</v>
      </c>
      <c r="N917" s="47" t="s">
        <v>64</v>
      </c>
      <c r="O917" s="55" t="s">
        <v>53</v>
      </c>
      <c r="P917" s="62">
        <v>13680</v>
      </c>
      <c r="Q917" s="62">
        <v>1140</v>
      </c>
      <c r="R917" s="96">
        <v>14100</v>
      </c>
      <c r="S917" s="62">
        <f t="shared" si="221"/>
        <v>1175</v>
      </c>
      <c r="T917" s="62">
        <v>13304.64</v>
      </c>
      <c r="U917" s="62">
        <f t="shared" si="226"/>
        <v>1108.72</v>
      </c>
      <c r="V917" s="69">
        <v>12854.76</v>
      </c>
      <c r="W917" s="71">
        <v>1320</v>
      </c>
      <c r="X917" s="71"/>
      <c r="Y917" s="71"/>
      <c r="Z917" s="64">
        <f t="shared" si="222"/>
        <v>0.19056208961685545</v>
      </c>
      <c r="AA917" s="64">
        <f t="shared" si="215"/>
        <v>0.12340425531914893</v>
      </c>
      <c r="AB917" s="71">
        <f t="shared" si="228"/>
        <v>1320</v>
      </c>
      <c r="AC917" s="64">
        <f t="shared" si="223"/>
        <v>0.19056208961685545</v>
      </c>
      <c r="AD917" s="64">
        <f t="shared" si="216"/>
        <v>0.12340425531914893</v>
      </c>
      <c r="AE917" s="71">
        <v>1275</v>
      </c>
      <c r="AF917" s="64">
        <f t="shared" si="224"/>
        <v>0.14997474565264446</v>
      </c>
      <c r="AG917" s="64">
        <f t="shared" si="217"/>
        <v>8.5106382978723402E-2</v>
      </c>
      <c r="AH917" s="67"/>
      <c r="AI917" s="47" t="s">
        <v>54</v>
      </c>
      <c r="AJ917" s="47">
        <v>455</v>
      </c>
      <c r="AK917" s="47" t="s">
        <v>55</v>
      </c>
      <c r="AL917" s="47" t="s">
        <v>55</v>
      </c>
      <c r="AM917" s="47" t="s">
        <v>2820</v>
      </c>
      <c r="AN917" s="50">
        <v>1275</v>
      </c>
      <c r="AO917" s="211">
        <f t="shared" si="225"/>
        <v>0.14997474565264446</v>
      </c>
      <c r="AP917" s="47" t="s">
        <v>57</v>
      </c>
      <c r="AQ917" s="47" t="s">
        <v>1132</v>
      </c>
      <c r="AR917" s="47"/>
    </row>
    <row r="918" spans="1:44" hidden="1">
      <c r="A918" s="47" t="s">
        <v>44</v>
      </c>
      <c r="B918" s="47" t="str">
        <f t="shared" si="220"/>
        <v>August</v>
      </c>
      <c r="C918" s="59">
        <v>45529</v>
      </c>
      <c r="D918" s="47" t="s">
        <v>45</v>
      </c>
      <c r="E918" s="47" t="s">
        <v>98</v>
      </c>
      <c r="F918" s="47" t="s">
        <v>99</v>
      </c>
      <c r="G918" s="91" t="s">
        <v>3000</v>
      </c>
      <c r="H918" s="47" t="s">
        <v>3001</v>
      </c>
      <c r="I918" s="47" t="s">
        <v>50</v>
      </c>
      <c r="J918" s="47" t="s">
        <v>51</v>
      </c>
      <c r="K918" s="48">
        <v>45164</v>
      </c>
      <c r="L918" s="48">
        <v>45164</v>
      </c>
      <c r="M918" s="48">
        <v>45529</v>
      </c>
      <c r="N918" s="47" t="s">
        <v>52</v>
      </c>
      <c r="O918" s="55" t="s">
        <v>53</v>
      </c>
      <c r="P918" s="62">
        <v>17280</v>
      </c>
      <c r="Q918" s="62">
        <v>1440</v>
      </c>
      <c r="R918" s="96">
        <v>17820</v>
      </c>
      <c r="S918" s="62">
        <f t="shared" si="221"/>
        <v>1485</v>
      </c>
      <c r="T918" s="62">
        <v>17040</v>
      </c>
      <c r="U918" s="62">
        <f t="shared" si="226"/>
        <v>1420</v>
      </c>
      <c r="V918" s="69">
        <v>15120</v>
      </c>
      <c r="W918" s="71">
        <v>1485</v>
      </c>
      <c r="X918" s="105">
        <f>W918-25</f>
        <v>1460</v>
      </c>
      <c r="Y918" s="171">
        <f>(X918-U918)/U918</f>
        <v>2.8169014084507043E-2</v>
      </c>
      <c r="Z918" s="64">
        <f t="shared" si="222"/>
        <v>4.5774647887323945E-2</v>
      </c>
      <c r="AA918" s="64">
        <f t="shared" si="215"/>
        <v>0</v>
      </c>
      <c r="AB918" s="71">
        <f t="shared" si="228"/>
        <v>1485</v>
      </c>
      <c r="AC918" s="64">
        <f t="shared" si="223"/>
        <v>4.5774647887323945E-2</v>
      </c>
      <c r="AD918" s="64">
        <f t="shared" si="216"/>
        <v>0</v>
      </c>
      <c r="AE918" s="71">
        <f>AB918-20</f>
        <v>1465</v>
      </c>
      <c r="AF918" s="64">
        <f t="shared" si="224"/>
        <v>3.1690140845070422E-2</v>
      </c>
      <c r="AG918" s="64">
        <f t="shared" si="217"/>
        <v>-1.3468013468013467E-2</v>
      </c>
      <c r="AH918" s="67"/>
      <c r="AI918" s="47" t="s">
        <v>54</v>
      </c>
      <c r="AJ918" s="47">
        <v>650</v>
      </c>
      <c r="AK918" s="47" t="s">
        <v>65</v>
      </c>
      <c r="AL918" s="47" t="s">
        <v>65</v>
      </c>
      <c r="AM918" s="47" t="s">
        <v>525</v>
      </c>
      <c r="AN918" s="50"/>
      <c r="AO918" s="211">
        <f t="shared" si="225"/>
        <v>-1</v>
      </c>
      <c r="AP918" s="47" t="s">
        <v>57</v>
      </c>
      <c r="AQ918" s="47" t="s">
        <v>1132</v>
      </c>
      <c r="AR918" s="47"/>
    </row>
    <row r="919" spans="1:44" hidden="1">
      <c r="A919" s="47" t="s">
        <v>44</v>
      </c>
      <c r="B919" s="47" t="str">
        <f t="shared" si="220"/>
        <v>August</v>
      </c>
      <c r="C919" s="59">
        <v>45529</v>
      </c>
      <c r="D919" s="47" t="s">
        <v>45</v>
      </c>
      <c r="E919" s="47" t="s">
        <v>98</v>
      </c>
      <c r="F919" s="47" t="s">
        <v>99</v>
      </c>
      <c r="G919" s="91" t="s">
        <v>3062</v>
      </c>
      <c r="H919" s="47" t="s">
        <v>3063</v>
      </c>
      <c r="I919" s="47" t="s">
        <v>3064</v>
      </c>
      <c r="J919" s="47" t="s">
        <v>51</v>
      </c>
      <c r="K919" s="48">
        <v>45164</v>
      </c>
      <c r="L919" s="48">
        <v>45164</v>
      </c>
      <c r="M919" s="48">
        <v>45529</v>
      </c>
      <c r="N919" s="47" t="s">
        <v>52</v>
      </c>
      <c r="O919" s="55" t="s">
        <v>53</v>
      </c>
      <c r="P919" s="62">
        <v>24600</v>
      </c>
      <c r="Q919" s="62">
        <v>2050</v>
      </c>
      <c r="R919" s="96">
        <v>25200</v>
      </c>
      <c r="S919" s="62">
        <f t="shared" si="221"/>
        <v>2100</v>
      </c>
      <c r="T919" s="62">
        <v>24240</v>
      </c>
      <c r="U919" s="62">
        <f t="shared" si="226"/>
        <v>2020</v>
      </c>
      <c r="V919" s="69">
        <v>21180</v>
      </c>
      <c r="W919" s="71">
        <v>2145</v>
      </c>
      <c r="X919" s="105">
        <f>W919-5</f>
        <v>2140</v>
      </c>
      <c r="Y919" s="171">
        <f>(X919-U919)/U919</f>
        <v>5.9405940594059403E-2</v>
      </c>
      <c r="Z919" s="64">
        <f t="shared" si="222"/>
        <v>6.1881188118811881E-2</v>
      </c>
      <c r="AA919" s="64">
        <f t="shared" si="215"/>
        <v>2.1428571428571429E-2</v>
      </c>
      <c r="AB919" s="71">
        <f t="shared" si="228"/>
        <v>2145</v>
      </c>
      <c r="AC919" s="64">
        <f t="shared" si="223"/>
        <v>6.1881188118811881E-2</v>
      </c>
      <c r="AD919" s="64">
        <f t="shared" si="216"/>
        <v>2.1428571428571429E-2</v>
      </c>
      <c r="AE919" s="71">
        <v>2115</v>
      </c>
      <c r="AF919" s="64">
        <f t="shared" si="224"/>
        <v>4.702970297029703E-2</v>
      </c>
      <c r="AG919" s="64">
        <f t="shared" si="217"/>
        <v>7.1428571428571426E-3</v>
      </c>
      <c r="AH919" s="67"/>
      <c r="AI919" s="47" t="s">
        <v>54</v>
      </c>
      <c r="AJ919" s="47">
        <v>874</v>
      </c>
      <c r="AK919" s="47" t="s">
        <v>140</v>
      </c>
      <c r="AL919" s="47" t="s">
        <v>65</v>
      </c>
      <c r="AM919" s="47" t="s">
        <v>536</v>
      </c>
      <c r="AN919" s="50"/>
      <c r="AO919" s="211">
        <f t="shared" si="225"/>
        <v>-1</v>
      </c>
      <c r="AP919" s="47" t="s">
        <v>57</v>
      </c>
      <c r="AQ919" s="47" t="s">
        <v>131</v>
      </c>
      <c r="AR919" s="47"/>
    </row>
    <row r="920" spans="1:44">
      <c r="A920" s="47" t="s">
        <v>44</v>
      </c>
      <c r="B920" s="47" t="str">
        <f t="shared" si="220"/>
        <v>August</v>
      </c>
      <c r="C920" s="59">
        <v>45529</v>
      </c>
      <c r="D920" s="47" t="s">
        <v>45</v>
      </c>
      <c r="E920" s="47" t="s">
        <v>98</v>
      </c>
      <c r="F920" s="47" t="s">
        <v>99</v>
      </c>
      <c r="G920" s="91" t="s">
        <v>3065</v>
      </c>
      <c r="H920" s="47" t="s">
        <v>3066</v>
      </c>
      <c r="I920" s="47" t="s">
        <v>50</v>
      </c>
      <c r="J920" s="47" t="s">
        <v>51</v>
      </c>
      <c r="K920" s="48">
        <v>44434</v>
      </c>
      <c r="L920" s="48">
        <v>45164</v>
      </c>
      <c r="M920" s="48">
        <v>45529</v>
      </c>
      <c r="N920" s="47" t="s">
        <v>64</v>
      </c>
      <c r="O920" s="55" t="s">
        <v>53</v>
      </c>
      <c r="P920" s="62">
        <v>15540</v>
      </c>
      <c r="Q920" s="62">
        <v>1295</v>
      </c>
      <c r="R920" s="96">
        <v>16560</v>
      </c>
      <c r="S920" s="62">
        <f t="shared" si="221"/>
        <v>1380</v>
      </c>
      <c r="T920" s="62">
        <v>16560</v>
      </c>
      <c r="U920" s="62">
        <f t="shared" si="226"/>
        <v>1380</v>
      </c>
      <c r="V920" s="69">
        <v>14880</v>
      </c>
      <c r="W920" s="71">
        <v>1500</v>
      </c>
      <c r="X920" s="105">
        <f>W920-25</f>
        <v>1475</v>
      </c>
      <c r="Y920" s="171">
        <f>(X920-U920)/U920</f>
        <v>6.8840579710144928E-2</v>
      </c>
      <c r="Z920" s="64">
        <f t="shared" si="222"/>
        <v>8.6956521739130432E-2</v>
      </c>
      <c r="AA920" s="64">
        <f t="shared" si="215"/>
        <v>8.6956521739130432E-2</v>
      </c>
      <c r="AB920" s="71">
        <f t="shared" si="228"/>
        <v>1500</v>
      </c>
      <c r="AC920" s="64">
        <f t="shared" si="223"/>
        <v>8.6956521739130432E-2</v>
      </c>
      <c r="AD920" s="64">
        <f t="shared" si="216"/>
        <v>8.6956521739130432E-2</v>
      </c>
      <c r="AE920" s="71">
        <v>1450</v>
      </c>
      <c r="AF920" s="64">
        <f t="shared" si="224"/>
        <v>5.0724637681159424E-2</v>
      </c>
      <c r="AG920" s="64">
        <f t="shared" si="217"/>
        <v>5.0724637681159424E-2</v>
      </c>
      <c r="AH920" s="67"/>
      <c r="AI920" s="47" t="s">
        <v>54</v>
      </c>
      <c r="AJ920" s="47">
        <v>673</v>
      </c>
      <c r="AK920" s="47" t="s">
        <v>65</v>
      </c>
      <c r="AL920" s="47" t="s">
        <v>65</v>
      </c>
      <c r="AM920" s="47" t="s">
        <v>448</v>
      </c>
      <c r="AN920" s="50"/>
      <c r="AO920" s="211">
        <f t="shared" si="225"/>
        <v>-1</v>
      </c>
      <c r="AP920" s="47" t="s">
        <v>57</v>
      </c>
      <c r="AQ920" s="47" t="s">
        <v>116</v>
      </c>
      <c r="AR920" s="47"/>
    </row>
    <row r="921" spans="1:44" hidden="1">
      <c r="A921" s="47" t="s">
        <v>44</v>
      </c>
      <c r="B921" s="47" t="str">
        <f t="shared" si="220"/>
        <v>August</v>
      </c>
      <c r="C921" s="59">
        <v>45529</v>
      </c>
      <c r="D921" s="47" t="s">
        <v>45</v>
      </c>
      <c r="E921" s="47" t="s">
        <v>98</v>
      </c>
      <c r="F921" s="47" t="s">
        <v>99</v>
      </c>
      <c r="G921" s="91" t="s">
        <v>3067</v>
      </c>
      <c r="H921" s="47" t="s">
        <v>3068</v>
      </c>
      <c r="I921" s="47" t="s">
        <v>50</v>
      </c>
      <c r="J921" s="47" t="s">
        <v>51</v>
      </c>
      <c r="K921" s="48">
        <v>45164</v>
      </c>
      <c r="L921" s="48">
        <v>45164</v>
      </c>
      <c r="M921" s="48">
        <v>45529</v>
      </c>
      <c r="N921" s="47" t="s">
        <v>52</v>
      </c>
      <c r="O921" s="55" t="s">
        <v>53</v>
      </c>
      <c r="P921" s="62">
        <v>24600</v>
      </c>
      <c r="Q921" s="62">
        <v>2050</v>
      </c>
      <c r="R921" s="96">
        <v>25200</v>
      </c>
      <c r="S921" s="62">
        <f t="shared" si="221"/>
        <v>2100</v>
      </c>
      <c r="T921" s="62">
        <v>24600</v>
      </c>
      <c r="U921" s="62">
        <f t="shared" si="226"/>
        <v>2050</v>
      </c>
      <c r="V921" s="69">
        <v>23340</v>
      </c>
      <c r="W921" s="71">
        <v>2205</v>
      </c>
      <c r="X921" s="105">
        <f>W921-5</f>
        <v>2200</v>
      </c>
      <c r="Y921" s="171">
        <f>(X921-U921)/U921</f>
        <v>7.3170731707317069E-2</v>
      </c>
      <c r="Z921" s="64">
        <f t="shared" si="222"/>
        <v>7.5609756097560973E-2</v>
      </c>
      <c r="AA921" s="64">
        <f t="shared" si="215"/>
        <v>0.05</v>
      </c>
      <c r="AB921" s="71">
        <f t="shared" si="228"/>
        <v>2205</v>
      </c>
      <c r="AC921" s="64">
        <f t="shared" si="223"/>
        <v>7.5609756097560973E-2</v>
      </c>
      <c r="AD921" s="64">
        <f t="shared" si="216"/>
        <v>0.05</v>
      </c>
      <c r="AE921" s="71">
        <v>2175</v>
      </c>
      <c r="AF921" s="64">
        <f t="shared" si="224"/>
        <v>6.097560975609756E-2</v>
      </c>
      <c r="AG921" s="64">
        <f t="shared" si="217"/>
        <v>3.5714285714285712E-2</v>
      </c>
      <c r="AH921" s="67"/>
      <c r="AI921" s="47" t="s">
        <v>54</v>
      </c>
      <c r="AJ921" s="47">
        <v>874</v>
      </c>
      <c r="AK921" s="47" t="s">
        <v>140</v>
      </c>
      <c r="AL921" s="47" t="s">
        <v>65</v>
      </c>
      <c r="AM921" s="47" t="s">
        <v>536</v>
      </c>
      <c r="AN921" s="50"/>
      <c r="AO921" s="211">
        <f t="shared" si="225"/>
        <v>-1</v>
      </c>
      <c r="AP921" s="142" t="s">
        <v>57</v>
      </c>
      <c r="AQ921" s="47" t="s">
        <v>116</v>
      </c>
      <c r="AR921" s="143"/>
    </row>
    <row r="922" spans="1:44">
      <c r="A922" s="47" t="s">
        <v>44</v>
      </c>
      <c r="B922" s="47" t="str">
        <f t="shared" si="220"/>
        <v>August</v>
      </c>
      <c r="C922" s="59">
        <v>45529</v>
      </c>
      <c r="D922" s="47" t="s">
        <v>45</v>
      </c>
      <c r="E922" s="47" t="s">
        <v>98</v>
      </c>
      <c r="F922" s="47" t="s">
        <v>99</v>
      </c>
      <c r="G922" s="91" t="s">
        <v>3121</v>
      </c>
      <c r="H922" s="47" t="s">
        <v>3122</v>
      </c>
      <c r="I922" s="47" t="s">
        <v>2819</v>
      </c>
      <c r="J922" s="47" t="s">
        <v>51</v>
      </c>
      <c r="K922" s="48">
        <v>44799</v>
      </c>
      <c r="L922" s="48">
        <v>45164</v>
      </c>
      <c r="M922" s="48">
        <v>45529</v>
      </c>
      <c r="N922" s="47" t="s">
        <v>64</v>
      </c>
      <c r="O922" s="55" t="s">
        <v>53</v>
      </c>
      <c r="P922" s="62">
        <v>13740</v>
      </c>
      <c r="Q922" s="62">
        <v>1145</v>
      </c>
      <c r="R922" s="96">
        <v>14400</v>
      </c>
      <c r="S922" s="62">
        <f t="shared" si="221"/>
        <v>1200</v>
      </c>
      <c r="T922" s="62">
        <v>14400</v>
      </c>
      <c r="U922" s="62">
        <f t="shared" si="226"/>
        <v>1200</v>
      </c>
      <c r="V922" s="69">
        <v>13140</v>
      </c>
      <c r="W922" s="71">
        <v>1290</v>
      </c>
      <c r="X922" s="71"/>
      <c r="Y922" s="71"/>
      <c r="Z922" s="64">
        <f t="shared" si="222"/>
        <v>7.4999999999999997E-2</v>
      </c>
      <c r="AA922" s="64">
        <f t="shared" ref="AA922:AA985" si="230">(W922-S922)/S922</f>
        <v>7.4999999999999997E-2</v>
      </c>
      <c r="AB922" s="71">
        <f t="shared" si="228"/>
        <v>1290</v>
      </c>
      <c r="AC922" s="64">
        <f t="shared" si="223"/>
        <v>7.4999999999999997E-2</v>
      </c>
      <c r="AD922" s="64">
        <f t="shared" si="216"/>
        <v>7.4999999999999997E-2</v>
      </c>
      <c r="AE922" s="71">
        <v>1250</v>
      </c>
      <c r="AF922" s="64">
        <f t="shared" si="224"/>
        <v>4.1666666666666664E-2</v>
      </c>
      <c r="AG922" s="64">
        <f t="shared" si="217"/>
        <v>4.1666666666666664E-2</v>
      </c>
      <c r="AH922" s="67"/>
      <c r="AI922" s="47" t="s">
        <v>54</v>
      </c>
      <c r="AJ922" s="47">
        <v>540</v>
      </c>
      <c r="AK922" s="47" t="s">
        <v>55</v>
      </c>
      <c r="AL922" s="47" t="s">
        <v>55</v>
      </c>
      <c r="AM922" s="47" t="s">
        <v>746</v>
      </c>
      <c r="AN922" s="50">
        <v>1290</v>
      </c>
      <c r="AO922" s="211">
        <f t="shared" si="225"/>
        <v>7.4999999999999997E-2</v>
      </c>
      <c r="AP922" s="142" t="s">
        <v>57</v>
      </c>
      <c r="AQ922" s="47" t="s">
        <v>116</v>
      </c>
      <c r="AR922" s="143"/>
    </row>
    <row r="923" spans="1:44">
      <c r="A923" s="47" t="s">
        <v>44</v>
      </c>
      <c r="B923" s="47" t="str">
        <f t="shared" si="220"/>
        <v>August</v>
      </c>
      <c r="C923" s="59">
        <v>45529</v>
      </c>
      <c r="D923" s="47" t="s">
        <v>45</v>
      </c>
      <c r="E923" s="47" t="s">
        <v>98</v>
      </c>
      <c r="F923" s="47" t="s">
        <v>99</v>
      </c>
      <c r="G923" s="91" t="s">
        <v>3123</v>
      </c>
      <c r="H923" s="47" t="s">
        <v>3124</v>
      </c>
      <c r="I923" s="47" t="s">
        <v>3125</v>
      </c>
      <c r="J923" s="47" t="s">
        <v>51</v>
      </c>
      <c r="K923" s="48">
        <v>44799</v>
      </c>
      <c r="L923" s="48">
        <v>45164</v>
      </c>
      <c r="M923" s="48">
        <v>45529</v>
      </c>
      <c r="N923" s="47" t="s">
        <v>64</v>
      </c>
      <c r="O923" s="55" t="s">
        <v>53</v>
      </c>
      <c r="P923" s="62">
        <v>13680</v>
      </c>
      <c r="Q923" s="62">
        <v>1140</v>
      </c>
      <c r="R923" s="96">
        <v>14160</v>
      </c>
      <c r="S923" s="62">
        <f t="shared" si="221"/>
        <v>1180</v>
      </c>
      <c r="T923" s="62">
        <v>14160</v>
      </c>
      <c r="U923" s="62">
        <f t="shared" si="226"/>
        <v>1180</v>
      </c>
      <c r="V923" s="69">
        <v>12720</v>
      </c>
      <c r="W923" s="71">
        <v>1290</v>
      </c>
      <c r="X923" s="71"/>
      <c r="Y923" s="71"/>
      <c r="Z923" s="64">
        <f t="shared" si="222"/>
        <v>9.3220338983050849E-2</v>
      </c>
      <c r="AA923" s="64">
        <f t="shared" si="230"/>
        <v>9.3220338983050849E-2</v>
      </c>
      <c r="AB923" s="71">
        <f t="shared" si="228"/>
        <v>1290</v>
      </c>
      <c r="AC923" s="64">
        <f t="shared" si="223"/>
        <v>9.3220338983050849E-2</v>
      </c>
      <c r="AD923" s="64">
        <f t="shared" si="216"/>
        <v>9.3220338983050849E-2</v>
      </c>
      <c r="AE923" s="71">
        <v>1250</v>
      </c>
      <c r="AF923" s="64">
        <f t="shared" si="224"/>
        <v>5.9322033898305086E-2</v>
      </c>
      <c r="AG923" s="64">
        <f t="shared" si="217"/>
        <v>5.9322033898305086E-2</v>
      </c>
      <c r="AH923" s="67"/>
      <c r="AI923" s="47" t="s">
        <v>54</v>
      </c>
      <c r="AJ923" s="47">
        <v>455</v>
      </c>
      <c r="AK923" s="47" t="s">
        <v>55</v>
      </c>
      <c r="AL923" s="47" t="s">
        <v>55</v>
      </c>
      <c r="AM923" s="47" t="s">
        <v>3126</v>
      </c>
      <c r="AN923" s="50"/>
      <c r="AO923" s="211">
        <f t="shared" si="225"/>
        <v>-1</v>
      </c>
      <c r="AP923" s="47" t="s">
        <v>57</v>
      </c>
      <c r="AQ923" s="193" t="s">
        <v>116</v>
      </c>
      <c r="AR923" s="47"/>
    </row>
    <row r="924" spans="1:44" hidden="1">
      <c r="A924" s="47" t="s">
        <v>44</v>
      </c>
      <c r="B924" s="47" t="str">
        <f t="shared" si="220"/>
        <v>August</v>
      </c>
      <c r="C924" s="59">
        <v>45531</v>
      </c>
      <c r="D924" s="47" t="s">
        <v>45</v>
      </c>
      <c r="E924" s="47" t="s">
        <v>98</v>
      </c>
      <c r="F924" s="47" t="s">
        <v>99</v>
      </c>
      <c r="G924" s="91" t="s">
        <v>3322</v>
      </c>
      <c r="H924" s="47" t="s">
        <v>3323</v>
      </c>
      <c r="I924" s="47" t="s">
        <v>3324</v>
      </c>
      <c r="J924" s="47" t="s">
        <v>51</v>
      </c>
      <c r="K924" s="48">
        <v>45166</v>
      </c>
      <c r="L924" s="48">
        <v>45166</v>
      </c>
      <c r="M924" s="48">
        <v>45531</v>
      </c>
      <c r="N924" s="47" t="s">
        <v>52</v>
      </c>
      <c r="O924" s="55" t="s">
        <v>53</v>
      </c>
      <c r="P924" s="62">
        <v>15540</v>
      </c>
      <c r="Q924" s="62">
        <v>1295</v>
      </c>
      <c r="R924" s="96">
        <v>16020</v>
      </c>
      <c r="S924" s="62">
        <f t="shared" si="221"/>
        <v>1335</v>
      </c>
      <c r="T924" s="62">
        <v>15060</v>
      </c>
      <c r="U924" s="62">
        <f t="shared" si="226"/>
        <v>1255</v>
      </c>
      <c r="V924" s="69">
        <v>13260</v>
      </c>
      <c r="W924" s="71">
        <v>1330</v>
      </c>
      <c r="X924" s="71"/>
      <c r="Y924" s="71"/>
      <c r="Z924" s="64">
        <f t="shared" si="222"/>
        <v>5.9760956175298807E-2</v>
      </c>
      <c r="AA924" s="64">
        <f t="shared" si="230"/>
        <v>-3.7453183520599251E-3</v>
      </c>
      <c r="AB924" s="71">
        <f t="shared" si="228"/>
        <v>1330</v>
      </c>
      <c r="AC924" s="64">
        <f t="shared" si="223"/>
        <v>5.9760956175298807E-2</v>
      </c>
      <c r="AD924" s="64">
        <f t="shared" si="216"/>
        <v>-3.7453183520599251E-3</v>
      </c>
      <c r="AE924" s="71">
        <v>1315</v>
      </c>
      <c r="AF924" s="64">
        <f t="shared" si="224"/>
        <v>4.7808764940239043E-2</v>
      </c>
      <c r="AG924" s="64">
        <f t="shared" si="217"/>
        <v>-1.4981273408239701E-2</v>
      </c>
      <c r="AH924" s="67"/>
      <c r="AI924" s="47" t="s">
        <v>54</v>
      </c>
      <c r="AJ924" s="47">
        <v>493</v>
      </c>
      <c r="AK924" s="47" t="s">
        <v>55</v>
      </c>
      <c r="AL924" s="47" t="s">
        <v>55</v>
      </c>
      <c r="AM924" s="47" t="s">
        <v>784</v>
      </c>
      <c r="AN924" s="50"/>
      <c r="AO924" s="211">
        <f t="shared" si="225"/>
        <v>-1</v>
      </c>
      <c r="AP924" s="47" t="s">
        <v>57</v>
      </c>
      <c r="AQ924" s="47" t="s">
        <v>131</v>
      </c>
      <c r="AR924" s="47"/>
    </row>
    <row r="925" spans="1:44">
      <c r="A925" s="47" t="s">
        <v>44</v>
      </c>
      <c r="B925" s="47" t="str">
        <f t="shared" si="220"/>
        <v>August</v>
      </c>
      <c r="C925" s="59">
        <v>45532</v>
      </c>
      <c r="D925" s="47" t="s">
        <v>45</v>
      </c>
      <c r="E925" s="47" t="s">
        <v>98</v>
      </c>
      <c r="F925" s="47" t="s">
        <v>99</v>
      </c>
      <c r="G925" s="91" t="s">
        <v>3339</v>
      </c>
      <c r="H925" s="47" t="s">
        <v>3340</v>
      </c>
      <c r="I925" s="47" t="s">
        <v>3125</v>
      </c>
      <c r="J925" s="47" t="s">
        <v>51</v>
      </c>
      <c r="K925" s="48">
        <v>44802</v>
      </c>
      <c r="L925" s="48">
        <v>45167</v>
      </c>
      <c r="M925" s="48">
        <v>45532</v>
      </c>
      <c r="N925" s="47" t="s">
        <v>64</v>
      </c>
      <c r="O925" s="55" t="s">
        <v>53</v>
      </c>
      <c r="P925" s="62">
        <v>15540</v>
      </c>
      <c r="Q925" s="62">
        <v>1295</v>
      </c>
      <c r="R925" s="96">
        <v>16620</v>
      </c>
      <c r="S925" s="62">
        <f t="shared" si="221"/>
        <v>1385</v>
      </c>
      <c r="T925" s="62">
        <v>16260</v>
      </c>
      <c r="U925" s="62">
        <f t="shared" si="226"/>
        <v>1355</v>
      </c>
      <c r="V925" s="69">
        <v>14580</v>
      </c>
      <c r="W925" s="71">
        <v>1440</v>
      </c>
      <c r="X925" s="105">
        <f>W925-25</f>
        <v>1415</v>
      </c>
      <c r="Y925" s="171">
        <f>(X925-U925)/U925</f>
        <v>4.4280442804428041E-2</v>
      </c>
      <c r="Z925" s="64">
        <f t="shared" si="222"/>
        <v>6.273062730627306E-2</v>
      </c>
      <c r="AA925" s="64">
        <f t="shared" si="230"/>
        <v>3.9711191335740074E-2</v>
      </c>
      <c r="AB925" s="71">
        <f t="shared" si="228"/>
        <v>1440</v>
      </c>
      <c r="AC925" s="64">
        <f t="shared" si="223"/>
        <v>6.273062730627306E-2</v>
      </c>
      <c r="AD925" s="64">
        <f t="shared" si="216"/>
        <v>3.9711191335740074E-2</v>
      </c>
      <c r="AE925" s="71">
        <f>AB925-20</f>
        <v>1420</v>
      </c>
      <c r="AF925" s="64">
        <f t="shared" si="224"/>
        <v>4.797047970479705E-2</v>
      </c>
      <c r="AG925" s="64">
        <f t="shared" si="217"/>
        <v>2.5270758122743681E-2</v>
      </c>
      <c r="AH925" s="67"/>
      <c r="AI925" s="47" t="s">
        <v>54</v>
      </c>
      <c r="AJ925" s="47">
        <v>750</v>
      </c>
      <c r="AK925" s="47" t="s">
        <v>65</v>
      </c>
      <c r="AL925" s="47" t="s">
        <v>55</v>
      </c>
      <c r="AM925" s="47" t="s">
        <v>3341</v>
      </c>
      <c r="AN925" s="50">
        <v>1440</v>
      </c>
      <c r="AO925" s="211">
        <f t="shared" si="225"/>
        <v>6.273062730627306E-2</v>
      </c>
      <c r="AP925" s="47" t="s">
        <v>57</v>
      </c>
      <c r="AQ925" s="47" t="s">
        <v>131</v>
      </c>
      <c r="AR925" s="47"/>
    </row>
    <row r="926" spans="1:44" hidden="1">
      <c r="A926" s="47" t="s">
        <v>44</v>
      </c>
      <c r="B926" s="47" t="str">
        <f t="shared" si="220"/>
        <v>August</v>
      </c>
      <c r="C926" s="59">
        <v>45532</v>
      </c>
      <c r="D926" s="47" t="s">
        <v>45</v>
      </c>
      <c r="E926" s="47" t="s">
        <v>98</v>
      </c>
      <c r="F926" s="47" t="s">
        <v>99</v>
      </c>
      <c r="G926" s="91" t="s">
        <v>3345</v>
      </c>
      <c r="H926" s="47" t="s">
        <v>3346</v>
      </c>
      <c r="I926" s="47" t="s">
        <v>50</v>
      </c>
      <c r="J926" s="47" t="s">
        <v>51</v>
      </c>
      <c r="K926" s="48">
        <v>45167</v>
      </c>
      <c r="L926" s="48">
        <v>45167</v>
      </c>
      <c r="M926" s="48">
        <v>45532</v>
      </c>
      <c r="N926" s="47" t="s">
        <v>52</v>
      </c>
      <c r="O926" s="55" t="s">
        <v>53</v>
      </c>
      <c r="P926" s="62">
        <v>24000</v>
      </c>
      <c r="Q926" s="62">
        <v>2000</v>
      </c>
      <c r="R926" s="96">
        <v>24600</v>
      </c>
      <c r="S926" s="62">
        <f t="shared" si="221"/>
        <v>2050</v>
      </c>
      <c r="T926" s="62">
        <v>23700</v>
      </c>
      <c r="U926" s="62">
        <f t="shared" si="226"/>
        <v>1975</v>
      </c>
      <c r="V926" s="69">
        <v>22020</v>
      </c>
      <c r="W926" s="71">
        <v>2115</v>
      </c>
      <c r="X926" s="105">
        <f>W926-5</f>
        <v>2110</v>
      </c>
      <c r="Y926" s="171">
        <f>(X926-U926)/U926</f>
        <v>6.8354430379746839E-2</v>
      </c>
      <c r="Z926" s="64">
        <f t="shared" si="222"/>
        <v>7.0886075949367092E-2</v>
      </c>
      <c r="AA926" s="64">
        <f t="shared" si="230"/>
        <v>3.1707317073170732E-2</v>
      </c>
      <c r="AB926" s="71">
        <f t="shared" si="228"/>
        <v>2115</v>
      </c>
      <c r="AC926" s="64">
        <f t="shared" si="223"/>
        <v>7.0886075949367092E-2</v>
      </c>
      <c r="AD926" s="64">
        <f t="shared" si="216"/>
        <v>3.1707317073170732E-2</v>
      </c>
      <c r="AE926" s="71">
        <v>2085</v>
      </c>
      <c r="AF926" s="64">
        <f t="shared" si="224"/>
        <v>5.5696202531645568E-2</v>
      </c>
      <c r="AG926" s="64">
        <f t="shared" si="217"/>
        <v>1.7073170731707318E-2</v>
      </c>
      <c r="AH926" s="67"/>
      <c r="AI926" s="47" t="s">
        <v>54</v>
      </c>
      <c r="AJ926" s="47">
        <v>939</v>
      </c>
      <c r="AK926" s="47" t="s">
        <v>140</v>
      </c>
      <c r="AL926" s="47" t="s">
        <v>65</v>
      </c>
      <c r="AM926" s="47" t="s">
        <v>3347</v>
      </c>
      <c r="AN926" s="50"/>
      <c r="AO926" s="211">
        <f t="shared" si="225"/>
        <v>-1</v>
      </c>
      <c r="AP926" s="47" t="s">
        <v>57</v>
      </c>
      <c r="AQ926" s="47" t="s">
        <v>131</v>
      </c>
      <c r="AR926" s="47"/>
    </row>
    <row r="927" spans="1:44" hidden="1">
      <c r="A927" s="47" t="s">
        <v>44</v>
      </c>
      <c r="B927" s="47" t="str">
        <f t="shared" si="220"/>
        <v>August</v>
      </c>
      <c r="C927" s="59">
        <v>45533</v>
      </c>
      <c r="D927" s="47" t="s">
        <v>45</v>
      </c>
      <c r="E927" s="47" t="s">
        <v>98</v>
      </c>
      <c r="F927" s="47" t="s">
        <v>99</v>
      </c>
      <c r="G927" s="91" t="s">
        <v>3470</v>
      </c>
      <c r="H927" s="47" t="s">
        <v>3471</v>
      </c>
      <c r="I927" s="47" t="s">
        <v>3125</v>
      </c>
      <c r="J927" s="47" t="s">
        <v>51</v>
      </c>
      <c r="K927" s="48">
        <v>45168</v>
      </c>
      <c r="L927" s="48">
        <v>45168</v>
      </c>
      <c r="M927" s="48">
        <v>45533</v>
      </c>
      <c r="N927" s="47" t="s">
        <v>52</v>
      </c>
      <c r="O927" s="55" t="s">
        <v>53</v>
      </c>
      <c r="P927" s="62">
        <v>14400</v>
      </c>
      <c r="Q927" s="62">
        <v>1200</v>
      </c>
      <c r="R927" s="96">
        <v>14820</v>
      </c>
      <c r="S927" s="62">
        <f t="shared" si="221"/>
        <v>1235</v>
      </c>
      <c r="T927" s="62">
        <v>13920</v>
      </c>
      <c r="U927" s="62">
        <f t="shared" si="226"/>
        <v>1160</v>
      </c>
      <c r="V927" s="69">
        <v>12180</v>
      </c>
      <c r="W927" s="71">
        <v>1200</v>
      </c>
      <c r="X927" s="71"/>
      <c r="Y927" s="71"/>
      <c r="Z927" s="64">
        <f t="shared" si="222"/>
        <v>3.4482758620689655E-2</v>
      </c>
      <c r="AA927" s="64">
        <f t="shared" si="230"/>
        <v>-2.8340080971659919E-2</v>
      </c>
      <c r="AB927" s="71">
        <f t="shared" si="228"/>
        <v>1200</v>
      </c>
      <c r="AC927" s="64">
        <f t="shared" si="223"/>
        <v>3.4482758620689655E-2</v>
      </c>
      <c r="AD927" s="64">
        <f t="shared" si="216"/>
        <v>-2.8340080971659919E-2</v>
      </c>
      <c r="AE927" s="71">
        <f>AB927-20</f>
        <v>1180</v>
      </c>
      <c r="AF927" s="64">
        <f t="shared" si="224"/>
        <v>1.7241379310344827E-2</v>
      </c>
      <c r="AG927" s="64">
        <f t="shared" si="217"/>
        <v>-4.4534412955465584E-2</v>
      </c>
      <c r="AH927" s="67"/>
      <c r="AI927" s="47" t="s">
        <v>54</v>
      </c>
      <c r="AJ927" s="47">
        <v>576</v>
      </c>
      <c r="AK927" s="47" t="s">
        <v>55</v>
      </c>
      <c r="AL927" s="47" t="s">
        <v>55</v>
      </c>
      <c r="AM927" s="47" t="s">
        <v>3472</v>
      </c>
      <c r="AN927" s="50">
        <v>1220</v>
      </c>
      <c r="AO927" s="211">
        <f t="shared" si="225"/>
        <v>5.1724137931034482E-2</v>
      </c>
      <c r="AP927" s="47" t="s">
        <v>57</v>
      </c>
      <c r="AQ927" s="52" t="s">
        <v>131</v>
      </c>
      <c r="AR927" s="47"/>
    </row>
    <row r="928" spans="1:44" hidden="1">
      <c r="A928" s="47" t="s">
        <v>44</v>
      </c>
      <c r="B928" s="47" t="str">
        <f t="shared" si="220"/>
        <v>July</v>
      </c>
      <c r="C928" s="59">
        <v>45475</v>
      </c>
      <c r="D928" s="47" t="s">
        <v>45</v>
      </c>
      <c r="E928" s="47" t="s">
        <v>98</v>
      </c>
      <c r="F928" s="47" t="s">
        <v>99</v>
      </c>
      <c r="G928" s="94" t="s">
        <v>3484</v>
      </c>
      <c r="H928" s="47" t="s">
        <v>3485</v>
      </c>
      <c r="I928" s="47" t="s">
        <v>50</v>
      </c>
      <c r="J928" s="47" t="s">
        <v>51</v>
      </c>
      <c r="K928" s="48">
        <v>45110</v>
      </c>
      <c r="L928" s="48">
        <v>45110</v>
      </c>
      <c r="M928" s="48">
        <v>45475</v>
      </c>
      <c r="N928" s="47" t="s">
        <v>52</v>
      </c>
      <c r="O928" s="55" t="s">
        <v>53</v>
      </c>
      <c r="P928" s="62">
        <v>14100</v>
      </c>
      <c r="Q928" s="62">
        <v>1175</v>
      </c>
      <c r="R928" s="96">
        <v>14520</v>
      </c>
      <c r="S928" s="62">
        <f t="shared" si="221"/>
        <v>1210</v>
      </c>
      <c r="T928" s="62">
        <v>13620</v>
      </c>
      <c r="U928" s="62">
        <f t="shared" si="226"/>
        <v>1135</v>
      </c>
      <c r="V928" s="69">
        <v>12180</v>
      </c>
      <c r="W928" s="71">
        <v>1250</v>
      </c>
      <c r="X928" s="71"/>
      <c r="Y928" s="71"/>
      <c r="Z928" s="64">
        <f t="shared" si="222"/>
        <v>0.1013215859030837</v>
      </c>
      <c r="AA928" s="64">
        <f t="shared" si="230"/>
        <v>3.3057851239669422E-2</v>
      </c>
      <c r="AB928" s="71">
        <f t="shared" si="228"/>
        <v>1250</v>
      </c>
      <c r="AC928" s="64">
        <f t="shared" si="223"/>
        <v>0.1013215859030837</v>
      </c>
      <c r="AD928" s="64">
        <f t="shared" si="216"/>
        <v>3.3057851239669422E-2</v>
      </c>
      <c r="AE928" s="71">
        <v>1225</v>
      </c>
      <c r="AF928" s="64">
        <f t="shared" si="224"/>
        <v>7.9295154185022032E-2</v>
      </c>
      <c r="AG928" s="64">
        <f t="shared" si="217"/>
        <v>1.2396694214876033E-2</v>
      </c>
      <c r="AH928" s="67"/>
      <c r="AI928" s="47" t="s">
        <v>54</v>
      </c>
      <c r="AJ928" s="47">
        <v>455</v>
      </c>
      <c r="AK928" s="101" t="s">
        <v>55</v>
      </c>
      <c r="AL928" s="101" t="s">
        <v>55</v>
      </c>
      <c r="AM928" s="47" t="s">
        <v>3486</v>
      </c>
      <c r="AN928" s="50"/>
      <c r="AO928" s="211">
        <f t="shared" si="225"/>
        <v>-1</v>
      </c>
      <c r="AP928" s="47" t="s">
        <v>57</v>
      </c>
      <c r="AQ928" s="47" t="s">
        <v>891</v>
      </c>
      <c r="AR928" s="47"/>
    </row>
    <row r="929" spans="1:44">
      <c r="A929" s="47" t="s">
        <v>44</v>
      </c>
      <c r="B929" s="47" t="str">
        <f t="shared" si="220"/>
        <v>August</v>
      </c>
      <c r="C929" s="59">
        <v>45534</v>
      </c>
      <c r="D929" s="47" t="s">
        <v>45</v>
      </c>
      <c r="E929" s="47" t="s">
        <v>98</v>
      </c>
      <c r="F929" s="47" t="s">
        <v>99</v>
      </c>
      <c r="G929" s="91" t="s">
        <v>3503</v>
      </c>
      <c r="H929" s="47" t="s">
        <v>3504</v>
      </c>
      <c r="I929" s="47" t="s">
        <v>164</v>
      </c>
      <c r="J929" s="47" t="s">
        <v>51</v>
      </c>
      <c r="K929" s="48">
        <v>44804</v>
      </c>
      <c r="L929" s="48">
        <v>45169</v>
      </c>
      <c r="M929" s="48">
        <v>45534</v>
      </c>
      <c r="N929" s="47" t="s">
        <v>64</v>
      </c>
      <c r="O929" s="55" t="s">
        <v>53</v>
      </c>
      <c r="P929" s="62">
        <v>24000</v>
      </c>
      <c r="Q929" s="62">
        <v>2000</v>
      </c>
      <c r="R929" s="96">
        <v>24600</v>
      </c>
      <c r="S929" s="62">
        <f t="shared" si="221"/>
        <v>2050</v>
      </c>
      <c r="T929" s="62">
        <v>23880</v>
      </c>
      <c r="U929" s="62">
        <f t="shared" si="226"/>
        <v>1990</v>
      </c>
      <c r="V929" s="69">
        <v>22260</v>
      </c>
      <c r="W929" s="71">
        <v>2065</v>
      </c>
      <c r="X929" s="105">
        <f>W929-5</f>
        <v>2060</v>
      </c>
      <c r="Y929" s="171">
        <f>(X929-U929)/U929</f>
        <v>3.5175879396984924E-2</v>
      </c>
      <c r="Z929" s="64">
        <f t="shared" si="222"/>
        <v>3.7688442211055273E-2</v>
      </c>
      <c r="AA929" s="64">
        <f t="shared" si="230"/>
        <v>7.3170731707317077E-3</v>
      </c>
      <c r="AB929" s="71">
        <f t="shared" si="228"/>
        <v>2065</v>
      </c>
      <c r="AC929" s="64">
        <f t="shared" si="223"/>
        <v>3.7688442211055273E-2</v>
      </c>
      <c r="AD929" s="64">
        <f t="shared" si="216"/>
        <v>7.3170731707317077E-3</v>
      </c>
      <c r="AE929" s="71">
        <f>AB929-20</f>
        <v>2045</v>
      </c>
      <c r="AF929" s="64">
        <f t="shared" si="224"/>
        <v>2.7638190954773871E-2</v>
      </c>
      <c r="AG929" s="64">
        <f t="shared" si="217"/>
        <v>-2.4390243902439024E-3</v>
      </c>
      <c r="AH929" s="67"/>
      <c r="AI929" s="47" t="s">
        <v>54</v>
      </c>
      <c r="AJ929" s="47">
        <v>873</v>
      </c>
      <c r="AK929" s="47" t="s">
        <v>140</v>
      </c>
      <c r="AL929" s="47" t="s">
        <v>65</v>
      </c>
      <c r="AM929" s="47" t="s">
        <v>427</v>
      </c>
      <c r="AN929" s="50"/>
      <c r="AO929" s="211">
        <f t="shared" si="225"/>
        <v>-1</v>
      </c>
      <c r="AP929" s="47" t="s">
        <v>57</v>
      </c>
      <c r="AQ929" s="47" t="s">
        <v>131</v>
      </c>
      <c r="AR929" s="47"/>
    </row>
    <row r="930" spans="1:44">
      <c r="A930" s="47" t="s">
        <v>44</v>
      </c>
      <c r="B930" s="47" t="str">
        <f t="shared" si="220"/>
        <v>August</v>
      </c>
      <c r="C930" s="59">
        <v>45534</v>
      </c>
      <c r="D930" s="47" t="s">
        <v>45</v>
      </c>
      <c r="E930" s="47" t="s">
        <v>98</v>
      </c>
      <c r="F930" s="47" t="s">
        <v>99</v>
      </c>
      <c r="G930" s="91" t="s">
        <v>3509</v>
      </c>
      <c r="H930" s="47" t="s">
        <v>3510</v>
      </c>
      <c r="I930" s="47" t="s">
        <v>444</v>
      </c>
      <c r="J930" s="47" t="s">
        <v>51</v>
      </c>
      <c r="K930" s="48">
        <v>44439</v>
      </c>
      <c r="L930" s="48">
        <v>45169</v>
      </c>
      <c r="M930" s="48">
        <v>45534</v>
      </c>
      <c r="N930" s="47" t="s">
        <v>64</v>
      </c>
      <c r="O930" s="55" t="s">
        <v>53</v>
      </c>
      <c r="P930" s="62">
        <v>16740</v>
      </c>
      <c r="Q930" s="62">
        <v>1395</v>
      </c>
      <c r="R930" s="96">
        <v>17820</v>
      </c>
      <c r="S930" s="62">
        <f t="shared" si="221"/>
        <v>1485</v>
      </c>
      <c r="T930" s="62">
        <v>17820</v>
      </c>
      <c r="U930" s="62">
        <f t="shared" si="226"/>
        <v>1485</v>
      </c>
      <c r="V930" s="69">
        <v>16236</v>
      </c>
      <c r="W930" s="71">
        <v>1575</v>
      </c>
      <c r="X930" s="105">
        <f>W930-25</f>
        <v>1550</v>
      </c>
      <c r="Y930" s="171">
        <f>(X930-U930)/U930</f>
        <v>4.3771043771043773E-2</v>
      </c>
      <c r="Z930" s="64">
        <f t="shared" si="222"/>
        <v>6.0606060606060608E-2</v>
      </c>
      <c r="AA930" s="64">
        <f t="shared" si="230"/>
        <v>6.0606060606060608E-2</v>
      </c>
      <c r="AB930" s="71">
        <f t="shared" si="228"/>
        <v>1575</v>
      </c>
      <c r="AC930" s="64">
        <f t="shared" si="223"/>
        <v>6.0606060606060608E-2</v>
      </c>
      <c r="AD930" s="64">
        <f t="shared" si="216"/>
        <v>6.0606060606060608E-2</v>
      </c>
      <c r="AE930" s="71">
        <v>1550</v>
      </c>
      <c r="AF930" s="64">
        <f t="shared" si="224"/>
        <v>4.3771043771043773E-2</v>
      </c>
      <c r="AG930" s="64">
        <f t="shared" si="217"/>
        <v>4.3771043771043773E-2</v>
      </c>
      <c r="AH930" s="67"/>
      <c r="AI930" s="47" t="s">
        <v>54</v>
      </c>
      <c r="AJ930" s="47">
        <v>673</v>
      </c>
      <c r="AK930" s="47" t="s">
        <v>65</v>
      </c>
      <c r="AL930" s="47" t="s">
        <v>65</v>
      </c>
      <c r="AM930" s="47" t="s">
        <v>543</v>
      </c>
      <c r="AN930" s="50"/>
      <c r="AO930" s="211">
        <f t="shared" si="225"/>
        <v>-1</v>
      </c>
      <c r="AP930" s="47" t="s">
        <v>57</v>
      </c>
      <c r="AQ930" s="47" t="s">
        <v>131</v>
      </c>
      <c r="AR930" s="47"/>
    </row>
    <row r="931" spans="1:44" hidden="1">
      <c r="A931" s="47" t="s">
        <v>44</v>
      </c>
      <c r="B931" s="47" t="str">
        <f t="shared" si="220"/>
        <v>August</v>
      </c>
      <c r="C931" s="59">
        <v>45534</v>
      </c>
      <c r="D931" s="47" t="s">
        <v>45</v>
      </c>
      <c r="E931" s="47" t="s">
        <v>98</v>
      </c>
      <c r="F931" s="47" t="s">
        <v>99</v>
      </c>
      <c r="G931" s="91" t="s">
        <v>3515</v>
      </c>
      <c r="H931" s="47" t="s">
        <v>3516</v>
      </c>
      <c r="I931" s="47" t="s">
        <v>444</v>
      </c>
      <c r="J931" s="47" t="s">
        <v>51</v>
      </c>
      <c r="K931" s="48">
        <v>45167</v>
      </c>
      <c r="L931" s="48">
        <v>45169</v>
      </c>
      <c r="M931" s="48">
        <v>45534</v>
      </c>
      <c r="N931" s="47" t="s">
        <v>52</v>
      </c>
      <c r="O931" s="55" t="s">
        <v>53</v>
      </c>
      <c r="P931" s="62">
        <v>17280</v>
      </c>
      <c r="Q931" s="62">
        <v>1440</v>
      </c>
      <c r="R931" s="96">
        <v>17820</v>
      </c>
      <c r="S931" s="62">
        <f t="shared" si="221"/>
        <v>1485</v>
      </c>
      <c r="T931" s="62">
        <v>17040</v>
      </c>
      <c r="U931" s="62">
        <f t="shared" si="226"/>
        <v>1420</v>
      </c>
      <c r="V931" s="69">
        <v>15120</v>
      </c>
      <c r="W931" s="71">
        <v>1565</v>
      </c>
      <c r="X931" s="105">
        <f>W931-25</f>
        <v>1540</v>
      </c>
      <c r="Y931" s="171">
        <f>(X931-U931)/U931</f>
        <v>8.4507042253521125E-2</v>
      </c>
      <c r="Z931" s="64">
        <f t="shared" si="222"/>
        <v>0.10211267605633803</v>
      </c>
      <c r="AA931" s="64">
        <f t="shared" si="230"/>
        <v>5.387205387205387E-2</v>
      </c>
      <c r="AB931" s="71">
        <f t="shared" si="228"/>
        <v>1565</v>
      </c>
      <c r="AC931" s="64">
        <f t="shared" si="223"/>
        <v>0.10211267605633803</v>
      </c>
      <c r="AD931" s="64">
        <f t="shared" si="216"/>
        <v>5.387205387205387E-2</v>
      </c>
      <c r="AE931" s="71">
        <v>1515</v>
      </c>
      <c r="AF931" s="64">
        <f t="shared" si="224"/>
        <v>6.6901408450704219E-2</v>
      </c>
      <c r="AG931" s="64">
        <f t="shared" si="217"/>
        <v>2.0202020202020204E-2</v>
      </c>
      <c r="AH931" s="67"/>
      <c r="AI931" s="47" t="s">
        <v>54</v>
      </c>
      <c r="AJ931" s="47">
        <v>673</v>
      </c>
      <c r="AK931" s="47" t="s">
        <v>65</v>
      </c>
      <c r="AL931" s="47" t="s">
        <v>65</v>
      </c>
      <c r="AM931" s="47" t="s">
        <v>1889</v>
      </c>
      <c r="AN931" s="50"/>
      <c r="AO931" s="211">
        <f t="shared" si="225"/>
        <v>-1</v>
      </c>
      <c r="AP931" s="47" t="s">
        <v>57</v>
      </c>
      <c r="AQ931" s="47" t="s">
        <v>131</v>
      </c>
      <c r="AR931" s="47"/>
    </row>
    <row r="932" spans="1:44">
      <c r="A932" s="47" t="s">
        <v>44</v>
      </c>
      <c r="B932" s="47" t="str">
        <f t="shared" si="220"/>
        <v>August</v>
      </c>
      <c r="C932" s="59">
        <v>45534</v>
      </c>
      <c r="D932" s="47" t="s">
        <v>45</v>
      </c>
      <c r="E932" s="47" t="s">
        <v>98</v>
      </c>
      <c r="F932" s="47" t="s">
        <v>99</v>
      </c>
      <c r="G932" s="91" t="s">
        <v>3517</v>
      </c>
      <c r="H932" s="47" t="s">
        <v>3518</v>
      </c>
      <c r="I932" s="47" t="s">
        <v>50</v>
      </c>
      <c r="J932" s="47" t="s">
        <v>51</v>
      </c>
      <c r="K932" s="48">
        <v>44804</v>
      </c>
      <c r="L932" s="48">
        <v>45169</v>
      </c>
      <c r="M932" s="48">
        <v>45534</v>
      </c>
      <c r="N932" s="47" t="s">
        <v>64</v>
      </c>
      <c r="O932" s="55" t="s">
        <v>53</v>
      </c>
      <c r="P932" s="62">
        <v>15840</v>
      </c>
      <c r="Q932" s="62">
        <v>1320</v>
      </c>
      <c r="R932" s="96">
        <v>17040</v>
      </c>
      <c r="S932" s="62">
        <f t="shared" si="221"/>
        <v>1420</v>
      </c>
      <c r="T932" s="62">
        <v>17040</v>
      </c>
      <c r="U932" s="62">
        <f t="shared" si="226"/>
        <v>1420</v>
      </c>
      <c r="V932" s="69">
        <v>15120</v>
      </c>
      <c r="W932" s="71">
        <v>1575</v>
      </c>
      <c r="X932" s="105">
        <f>W932-25</f>
        <v>1550</v>
      </c>
      <c r="Y932" s="171">
        <f>(X932-U932)/U932</f>
        <v>9.154929577464789E-2</v>
      </c>
      <c r="Z932" s="64">
        <f t="shared" si="222"/>
        <v>0.10915492957746478</v>
      </c>
      <c r="AA932" s="64">
        <f t="shared" si="230"/>
        <v>0.10915492957746478</v>
      </c>
      <c r="AB932" s="71">
        <f t="shared" si="228"/>
        <v>1575</v>
      </c>
      <c r="AC932" s="64">
        <f t="shared" si="223"/>
        <v>0.10915492957746478</v>
      </c>
      <c r="AD932" s="64">
        <f t="shared" si="216"/>
        <v>0.10915492957746478</v>
      </c>
      <c r="AE932" s="71">
        <v>1525</v>
      </c>
      <c r="AF932" s="64">
        <f t="shared" si="224"/>
        <v>7.3943661971830985E-2</v>
      </c>
      <c r="AG932" s="64">
        <f t="shared" si="217"/>
        <v>7.3943661971830985E-2</v>
      </c>
      <c r="AH932" s="67"/>
      <c r="AI932" s="47" t="s">
        <v>54</v>
      </c>
      <c r="AJ932" s="47">
        <v>650</v>
      </c>
      <c r="AK932" s="47" t="s">
        <v>65</v>
      </c>
      <c r="AL932" s="47" t="s">
        <v>65</v>
      </c>
      <c r="AM932" s="47" t="s">
        <v>191</v>
      </c>
      <c r="AN932" s="50"/>
      <c r="AO932" s="211">
        <f t="shared" si="225"/>
        <v>-1</v>
      </c>
      <c r="AP932" s="47" t="s">
        <v>57</v>
      </c>
      <c r="AQ932" s="47" t="s">
        <v>131</v>
      </c>
      <c r="AR932" s="47"/>
    </row>
    <row r="933" spans="1:44">
      <c r="A933" s="47" t="s">
        <v>44</v>
      </c>
      <c r="B933" s="47" t="str">
        <f t="shared" si="220"/>
        <v>August</v>
      </c>
      <c r="C933" s="59">
        <v>45534</v>
      </c>
      <c r="D933" s="47" t="s">
        <v>45</v>
      </c>
      <c r="E933" s="47" t="s">
        <v>98</v>
      </c>
      <c r="F933" s="47" t="s">
        <v>99</v>
      </c>
      <c r="G933" s="91" t="s">
        <v>3590</v>
      </c>
      <c r="H933" s="47" t="s">
        <v>3591</v>
      </c>
      <c r="I933" s="47" t="s">
        <v>50</v>
      </c>
      <c r="J933" s="47" t="s">
        <v>51</v>
      </c>
      <c r="K933" s="48">
        <v>44804</v>
      </c>
      <c r="L933" s="48">
        <v>45169</v>
      </c>
      <c r="M933" s="48">
        <v>45534</v>
      </c>
      <c r="N933" s="47" t="s">
        <v>64</v>
      </c>
      <c r="O933" s="55" t="s">
        <v>53</v>
      </c>
      <c r="P933" s="62">
        <v>12780</v>
      </c>
      <c r="Q933" s="62">
        <v>1065</v>
      </c>
      <c r="R933" s="96">
        <v>13740</v>
      </c>
      <c r="S933" s="62">
        <f t="shared" si="221"/>
        <v>1145</v>
      </c>
      <c r="T933" s="62">
        <v>13740</v>
      </c>
      <c r="U933" s="62">
        <f t="shared" si="226"/>
        <v>1145</v>
      </c>
      <c r="V933" s="69">
        <v>12000</v>
      </c>
      <c r="W933" s="71">
        <v>1265</v>
      </c>
      <c r="X933" s="71"/>
      <c r="Y933" s="71"/>
      <c r="Z933" s="64">
        <f t="shared" si="222"/>
        <v>0.10480349344978165</v>
      </c>
      <c r="AA933" s="64">
        <f t="shared" si="230"/>
        <v>0.10480349344978165</v>
      </c>
      <c r="AB933" s="71">
        <f t="shared" si="228"/>
        <v>1265</v>
      </c>
      <c r="AC933" s="64">
        <f t="shared" si="223"/>
        <v>0.10480349344978165</v>
      </c>
      <c r="AD933" s="64">
        <f t="shared" ref="AD933:AD996" si="231">(AB933-S933)/S933</f>
        <v>0.10480349344978165</v>
      </c>
      <c r="AE933" s="71">
        <v>1215</v>
      </c>
      <c r="AF933" s="64">
        <f t="shared" si="224"/>
        <v>6.1135371179039298E-2</v>
      </c>
      <c r="AG933" s="64">
        <f t="shared" ref="AG933:AG996" si="232">(AE933-S933)/S933</f>
        <v>6.1135371179039298E-2</v>
      </c>
      <c r="AH933" s="67"/>
      <c r="AI933" s="47" t="s">
        <v>54</v>
      </c>
      <c r="AJ933" s="47">
        <v>455</v>
      </c>
      <c r="AK933" s="47" t="s">
        <v>55</v>
      </c>
      <c r="AL933" s="47" t="s">
        <v>55</v>
      </c>
      <c r="AM933" s="47" t="s">
        <v>3126</v>
      </c>
      <c r="AN933" s="50"/>
      <c r="AO933" s="211">
        <f t="shared" si="225"/>
        <v>-1</v>
      </c>
      <c r="AP933" s="47" t="s">
        <v>57</v>
      </c>
      <c r="AQ933" s="47" t="s">
        <v>131</v>
      </c>
      <c r="AR933" s="47"/>
    </row>
    <row r="934" spans="1:44" hidden="1">
      <c r="A934" s="47" t="s">
        <v>44</v>
      </c>
      <c r="B934" s="47" t="str">
        <f t="shared" si="220"/>
        <v>August</v>
      </c>
      <c r="C934" s="59">
        <v>45535</v>
      </c>
      <c r="D934" s="47" t="s">
        <v>45</v>
      </c>
      <c r="E934" s="47" t="s">
        <v>98</v>
      </c>
      <c r="F934" s="47" t="s">
        <v>99</v>
      </c>
      <c r="G934" s="91" t="s">
        <v>3688</v>
      </c>
      <c r="H934" s="47" t="s">
        <v>3689</v>
      </c>
      <c r="I934" s="47" t="s">
        <v>50</v>
      </c>
      <c r="J934" s="47" t="s">
        <v>51</v>
      </c>
      <c r="K934" s="48">
        <v>45170</v>
      </c>
      <c r="L934" s="48">
        <v>45170</v>
      </c>
      <c r="M934" s="48">
        <v>45535</v>
      </c>
      <c r="N934" s="47" t="s">
        <v>52</v>
      </c>
      <c r="O934" s="55" t="s">
        <v>53</v>
      </c>
      <c r="P934" s="62">
        <v>18060</v>
      </c>
      <c r="Q934" s="62">
        <v>1505</v>
      </c>
      <c r="R934" s="96">
        <v>18600</v>
      </c>
      <c r="S934" s="62">
        <f t="shared" si="221"/>
        <v>1550</v>
      </c>
      <c r="T934" s="62">
        <v>17820</v>
      </c>
      <c r="U934" s="62">
        <f t="shared" si="226"/>
        <v>1485</v>
      </c>
      <c r="V934" s="69">
        <v>15780</v>
      </c>
      <c r="W934" s="71">
        <v>1555</v>
      </c>
      <c r="X934" s="105">
        <f>W934-25</f>
        <v>1530</v>
      </c>
      <c r="Y934" s="171">
        <f>(X934-U934)/U934</f>
        <v>3.0303030303030304E-2</v>
      </c>
      <c r="Z934" s="64">
        <f t="shared" si="222"/>
        <v>4.7138047138047139E-2</v>
      </c>
      <c r="AA934" s="64">
        <f t="shared" si="230"/>
        <v>3.2258064516129032E-3</v>
      </c>
      <c r="AB934" s="71">
        <f t="shared" si="228"/>
        <v>1555</v>
      </c>
      <c r="AC934" s="64">
        <f t="shared" si="223"/>
        <v>4.7138047138047139E-2</v>
      </c>
      <c r="AD934" s="64">
        <f t="shared" si="231"/>
        <v>3.2258064516129032E-3</v>
      </c>
      <c r="AE934" s="71">
        <f>AB934</f>
        <v>1555</v>
      </c>
      <c r="AF934" s="64">
        <f t="shared" si="224"/>
        <v>4.7138047138047139E-2</v>
      </c>
      <c r="AG934" s="64">
        <f t="shared" si="232"/>
        <v>3.2258064516129032E-3</v>
      </c>
      <c r="AH934" s="67"/>
      <c r="AI934" s="47" t="s">
        <v>54</v>
      </c>
      <c r="AJ934" s="47">
        <v>670</v>
      </c>
      <c r="AK934" s="47" t="s">
        <v>65</v>
      </c>
      <c r="AL934" s="47" t="s">
        <v>65</v>
      </c>
      <c r="AM934" s="47" t="s">
        <v>438</v>
      </c>
      <c r="AN934" s="50">
        <v>1555</v>
      </c>
      <c r="AO934" s="211">
        <f t="shared" si="225"/>
        <v>4.7138047138047139E-2</v>
      </c>
      <c r="AP934" s="47" t="s">
        <v>57</v>
      </c>
      <c r="AQ934" s="47" t="s">
        <v>131</v>
      </c>
      <c r="AR934" s="47"/>
    </row>
    <row r="935" spans="1:44" hidden="1">
      <c r="A935" s="47" t="s">
        <v>44</v>
      </c>
      <c r="B935" s="47" t="str">
        <f t="shared" si="220"/>
        <v>August</v>
      </c>
      <c r="C935" s="59">
        <v>45535</v>
      </c>
      <c r="D935" s="47" t="s">
        <v>45</v>
      </c>
      <c r="E935" s="47" t="s">
        <v>98</v>
      </c>
      <c r="F935" s="47" t="s">
        <v>99</v>
      </c>
      <c r="G935" s="91" t="s">
        <v>3697</v>
      </c>
      <c r="H935" s="47" t="s">
        <v>3698</v>
      </c>
      <c r="I935" s="47" t="s">
        <v>50</v>
      </c>
      <c r="J935" s="47" t="s">
        <v>51</v>
      </c>
      <c r="K935" s="48">
        <v>45170</v>
      </c>
      <c r="L935" s="48">
        <v>45170</v>
      </c>
      <c r="M935" s="48">
        <v>45535</v>
      </c>
      <c r="N935" s="47" t="s">
        <v>52</v>
      </c>
      <c r="O935" s="55" t="s">
        <v>53</v>
      </c>
      <c r="P935" s="62">
        <v>17160</v>
      </c>
      <c r="Q935" s="62">
        <v>1430</v>
      </c>
      <c r="R935" s="96">
        <v>17700</v>
      </c>
      <c r="S935" s="62">
        <f t="shared" si="221"/>
        <v>1475</v>
      </c>
      <c r="T935" s="62">
        <v>16920</v>
      </c>
      <c r="U935" s="62">
        <f t="shared" si="226"/>
        <v>1410</v>
      </c>
      <c r="V935" s="69">
        <v>16620</v>
      </c>
      <c r="W935" s="71">
        <v>1485</v>
      </c>
      <c r="X935" s="105">
        <f>W935-25</f>
        <v>1460</v>
      </c>
      <c r="Y935" s="171">
        <f>(X935-U935)/U935</f>
        <v>3.5460992907801421E-2</v>
      </c>
      <c r="Z935" s="64">
        <f t="shared" si="222"/>
        <v>5.3191489361702128E-2</v>
      </c>
      <c r="AA935" s="64">
        <f t="shared" si="230"/>
        <v>6.7796610169491523E-3</v>
      </c>
      <c r="AB935" s="71">
        <f t="shared" si="228"/>
        <v>1485</v>
      </c>
      <c r="AC935" s="64">
        <f t="shared" si="223"/>
        <v>5.3191489361702128E-2</v>
      </c>
      <c r="AD935" s="64">
        <f t="shared" si="231"/>
        <v>6.7796610169491523E-3</v>
      </c>
      <c r="AE935" s="71">
        <f>AB935-20</f>
        <v>1465</v>
      </c>
      <c r="AF935" s="64">
        <f t="shared" si="224"/>
        <v>3.9007092198581561E-2</v>
      </c>
      <c r="AG935" s="64">
        <f t="shared" si="232"/>
        <v>-6.7796610169491523E-3</v>
      </c>
      <c r="AH935" s="67"/>
      <c r="AI935" s="47" t="s">
        <v>54</v>
      </c>
      <c r="AJ935" s="47">
        <v>673</v>
      </c>
      <c r="AK935" s="47" t="s">
        <v>65</v>
      </c>
      <c r="AL935" s="47" t="s">
        <v>65</v>
      </c>
      <c r="AM935" s="47" t="s">
        <v>155</v>
      </c>
      <c r="AN935" s="50"/>
      <c r="AO935" s="211">
        <f t="shared" si="225"/>
        <v>-1</v>
      </c>
      <c r="AP935" s="47" t="s">
        <v>57</v>
      </c>
      <c r="AQ935" s="47" t="s">
        <v>131</v>
      </c>
      <c r="AR935" s="47"/>
    </row>
    <row r="936" spans="1:44" hidden="1">
      <c r="A936" s="47" t="s">
        <v>44</v>
      </c>
      <c r="B936" s="47" t="str">
        <f t="shared" si="220"/>
        <v>August</v>
      </c>
      <c r="C936" s="59">
        <v>45535</v>
      </c>
      <c r="D936" s="47" t="s">
        <v>45</v>
      </c>
      <c r="E936" s="47" t="s">
        <v>98</v>
      </c>
      <c r="F936" s="47" t="s">
        <v>99</v>
      </c>
      <c r="G936" s="91" t="s">
        <v>3708</v>
      </c>
      <c r="H936" s="47" t="s">
        <v>3709</v>
      </c>
      <c r="I936" s="47" t="s">
        <v>3710</v>
      </c>
      <c r="J936" s="47" t="s">
        <v>51</v>
      </c>
      <c r="K936" s="48">
        <v>45170</v>
      </c>
      <c r="L936" s="48">
        <v>45170</v>
      </c>
      <c r="M936" s="48">
        <v>45535</v>
      </c>
      <c r="N936" s="47" t="s">
        <v>52</v>
      </c>
      <c r="O936" s="55" t="s">
        <v>53</v>
      </c>
      <c r="P936" s="62">
        <v>16740</v>
      </c>
      <c r="Q936" s="62">
        <v>1395</v>
      </c>
      <c r="R936" s="96">
        <v>17220</v>
      </c>
      <c r="S936" s="62">
        <f t="shared" si="221"/>
        <v>1435</v>
      </c>
      <c r="T936" s="62">
        <v>16500</v>
      </c>
      <c r="U936" s="62">
        <f t="shared" si="226"/>
        <v>1375</v>
      </c>
      <c r="V936" s="69">
        <v>14460</v>
      </c>
      <c r="W936" s="71">
        <v>1470</v>
      </c>
      <c r="X936" s="105">
        <f>W936-25</f>
        <v>1445</v>
      </c>
      <c r="Y936" s="171">
        <f>(X936-U936)/U936</f>
        <v>5.0909090909090911E-2</v>
      </c>
      <c r="Z936" s="64">
        <f t="shared" si="222"/>
        <v>6.9090909090909092E-2</v>
      </c>
      <c r="AA936" s="64">
        <f t="shared" si="230"/>
        <v>2.4390243902439025E-2</v>
      </c>
      <c r="AB936" s="71">
        <f t="shared" si="228"/>
        <v>1470</v>
      </c>
      <c r="AC936" s="64">
        <f t="shared" si="223"/>
        <v>6.9090909090909092E-2</v>
      </c>
      <c r="AD936" s="64">
        <f t="shared" si="231"/>
        <v>2.4390243902439025E-2</v>
      </c>
      <c r="AE936" s="71">
        <f>AB936-20</f>
        <v>1450</v>
      </c>
      <c r="AF936" s="64">
        <f t="shared" si="224"/>
        <v>5.4545454545454543E-2</v>
      </c>
      <c r="AG936" s="64">
        <f t="shared" si="232"/>
        <v>1.0452961672473868E-2</v>
      </c>
      <c r="AH936" s="67"/>
      <c r="AI936" s="47" t="s">
        <v>54</v>
      </c>
      <c r="AJ936" s="47">
        <v>650</v>
      </c>
      <c r="AK936" s="47" t="s">
        <v>65</v>
      </c>
      <c r="AL936" s="47" t="s">
        <v>65</v>
      </c>
      <c r="AM936" s="47" t="s">
        <v>378</v>
      </c>
      <c r="AN936" s="50">
        <v>1450</v>
      </c>
      <c r="AO936" s="211">
        <f t="shared" si="225"/>
        <v>5.4545454545454543E-2</v>
      </c>
      <c r="AP936" s="47" t="s">
        <v>57</v>
      </c>
      <c r="AQ936" s="47" t="s">
        <v>131</v>
      </c>
      <c r="AR936" s="47"/>
    </row>
    <row r="937" spans="1:44" hidden="1">
      <c r="A937" s="47" t="s">
        <v>44</v>
      </c>
      <c r="B937" s="47" t="str">
        <f t="shared" si="220"/>
        <v>August</v>
      </c>
      <c r="C937" s="59">
        <v>45535</v>
      </c>
      <c r="D937" s="47" t="s">
        <v>45</v>
      </c>
      <c r="E937" s="47" t="s">
        <v>98</v>
      </c>
      <c r="F937" s="47" t="s">
        <v>99</v>
      </c>
      <c r="G937" s="91" t="s">
        <v>3711</v>
      </c>
      <c r="H937" s="47" t="s">
        <v>3712</v>
      </c>
      <c r="I937" s="47" t="s">
        <v>50</v>
      </c>
      <c r="J937" s="47" t="s">
        <v>51</v>
      </c>
      <c r="K937" s="48">
        <v>45170</v>
      </c>
      <c r="L937" s="48">
        <v>45170</v>
      </c>
      <c r="M937" s="48">
        <v>45535</v>
      </c>
      <c r="N937" s="47" t="s">
        <v>52</v>
      </c>
      <c r="O937" s="55" t="s">
        <v>53</v>
      </c>
      <c r="P937" s="62">
        <v>17220</v>
      </c>
      <c r="Q937" s="62">
        <v>1435</v>
      </c>
      <c r="R937" s="96">
        <v>17760</v>
      </c>
      <c r="S937" s="62">
        <f t="shared" si="221"/>
        <v>1480</v>
      </c>
      <c r="T937" s="62">
        <v>16980</v>
      </c>
      <c r="U937" s="62">
        <f t="shared" si="226"/>
        <v>1415</v>
      </c>
      <c r="V937" s="69">
        <v>14820</v>
      </c>
      <c r="W937" s="71">
        <v>1515</v>
      </c>
      <c r="X937" s="105">
        <f>W937-25</f>
        <v>1490</v>
      </c>
      <c r="Y937" s="171">
        <f>(X937-U937)/U937</f>
        <v>5.3003533568904596E-2</v>
      </c>
      <c r="Z937" s="64">
        <f t="shared" si="222"/>
        <v>7.0671378091872794E-2</v>
      </c>
      <c r="AA937" s="64">
        <f t="shared" si="230"/>
        <v>2.364864864864865E-2</v>
      </c>
      <c r="AB937" s="71">
        <f t="shared" si="228"/>
        <v>1515</v>
      </c>
      <c r="AC937" s="64">
        <f t="shared" si="223"/>
        <v>7.0671378091872794E-2</v>
      </c>
      <c r="AD937" s="64">
        <f t="shared" si="231"/>
        <v>2.364864864864865E-2</v>
      </c>
      <c r="AE937" s="71">
        <f>AB937-20</f>
        <v>1495</v>
      </c>
      <c r="AF937" s="64">
        <f t="shared" si="224"/>
        <v>5.6537102473498232E-2</v>
      </c>
      <c r="AG937" s="64">
        <f t="shared" si="232"/>
        <v>1.0135135135135136E-2</v>
      </c>
      <c r="AH937" s="67"/>
      <c r="AI937" s="47" t="s">
        <v>54</v>
      </c>
      <c r="AJ937" s="47">
        <v>650</v>
      </c>
      <c r="AK937" s="47" t="s">
        <v>65</v>
      </c>
      <c r="AL937" s="47" t="s">
        <v>65</v>
      </c>
      <c r="AM937" s="47" t="s">
        <v>152</v>
      </c>
      <c r="AN937" s="50">
        <v>1515</v>
      </c>
      <c r="AO937" s="211">
        <f t="shared" si="225"/>
        <v>7.0671378091872794E-2</v>
      </c>
      <c r="AP937" s="47" t="s">
        <v>57</v>
      </c>
      <c r="AQ937" s="47" t="s">
        <v>131</v>
      </c>
      <c r="AR937" s="47"/>
    </row>
    <row r="938" spans="1:44">
      <c r="A938" s="47" t="s">
        <v>44</v>
      </c>
      <c r="B938" s="47" t="str">
        <f t="shared" si="220"/>
        <v>August</v>
      </c>
      <c r="C938" s="59">
        <v>45535</v>
      </c>
      <c r="D938" s="47" t="s">
        <v>45</v>
      </c>
      <c r="E938" s="47" t="s">
        <v>98</v>
      </c>
      <c r="F938" s="47" t="s">
        <v>99</v>
      </c>
      <c r="G938" s="91" t="s">
        <v>3713</v>
      </c>
      <c r="H938" s="47" t="s">
        <v>3714</v>
      </c>
      <c r="I938" s="47" t="s">
        <v>740</v>
      </c>
      <c r="J938" s="47" t="s">
        <v>51</v>
      </c>
      <c r="K938" s="48">
        <v>44440</v>
      </c>
      <c r="L938" s="48">
        <v>45170</v>
      </c>
      <c r="M938" s="48">
        <v>45535</v>
      </c>
      <c r="N938" s="47" t="s">
        <v>64</v>
      </c>
      <c r="O938" s="55" t="s">
        <v>53</v>
      </c>
      <c r="P938" s="62">
        <v>15840</v>
      </c>
      <c r="Q938" s="62">
        <v>1320</v>
      </c>
      <c r="R938" s="96">
        <v>16560</v>
      </c>
      <c r="S938" s="62">
        <f t="shared" si="221"/>
        <v>1380</v>
      </c>
      <c r="T938" s="62">
        <v>16560</v>
      </c>
      <c r="U938" s="62">
        <f t="shared" si="226"/>
        <v>1380</v>
      </c>
      <c r="V938" s="69">
        <v>14580</v>
      </c>
      <c r="W938" s="71">
        <v>1515</v>
      </c>
      <c r="X938" s="105">
        <f>W938-25</f>
        <v>1490</v>
      </c>
      <c r="Y938" s="171">
        <f>(X938-U938)/U938</f>
        <v>7.9710144927536225E-2</v>
      </c>
      <c r="Z938" s="64">
        <f t="shared" si="222"/>
        <v>9.7826086956521743E-2</v>
      </c>
      <c r="AA938" s="64">
        <f t="shared" si="230"/>
        <v>9.7826086956521743E-2</v>
      </c>
      <c r="AB938" s="71">
        <f t="shared" ref="AB938:AB969" si="233">W938</f>
        <v>1515</v>
      </c>
      <c r="AC938" s="64">
        <f t="shared" si="223"/>
        <v>9.7826086956521743E-2</v>
      </c>
      <c r="AD938" s="64">
        <f t="shared" si="231"/>
        <v>9.7826086956521743E-2</v>
      </c>
      <c r="AE938" s="71">
        <v>1470</v>
      </c>
      <c r="AF938" s="64">
        <f t="shared" si="224"/>
        <v>6.5217391304347824E-2</v>
      </c>
      <c r="AG938" s="64">
        <f t="shared" si="232"/>
        <v>6.5217391304347824E-2</v>
      </c>
      <c r="AH938" s="67"/>
      <c r="AI938" s="47" t="s">
        <v>54</v>
      </c>
      <c r="AJ938" s="47">
        <v>673</v>
      </c>
      <c r="AK938" s="47" t="s">
        <v>65</v>
      </c>
      <c r="AL938" s="47" t="s">
        <v>65</v>
      </c>
      <c r="AM938" s="47" t="s">
        <v>1889</v>
      </c>
      <c r="AN938" s="50"/>
      <c r="AO938" s="211">
        <f t="shared" si="225"/>
        <v>-1</v>
      </c>
      <c r="AP938" s="47" t="s">
        <v>57</v>
      </c>
      <c r="AQ938" s="47" t="s">
        <v>131</v>
      </c>
      <c r="AR938" s="47"/>
    </row>
    <row r="939" spans="1:44" hidden="1">
      <c r="A939" s="47" t="s">
        <v>44</v>
      </c>
      <c r="B939" s="47" t="str">
        <f t="shared" si="220"/>
        <v>August</v>
      </c>
      <c r="C939" s="59">
        <v>45506</v>
      </c>
      <c r="D939" s="47" t="s">
        <v>45</v>
      </c>
      <c r="E939" s="47" t="s">
        <v>166</v>
      </c>
      <c r="F939" s="47" t="s">
        <v>167</v>
      </c>
      <c r="G939" s="47" t="s">
        <v>168</v>
      </c>
      <c r="H939" s="47" t="s">
        <v>169</v>
      </c>
      <c r="I939" s="47" t="s">
        <v>50</v>
      </c>
      <c r="J939" s="47" t="s">
        <v>51</v>
      </c>
      <c r="K939" s="48">
        <v>45141</v>
      </c>
      <c r="L939" s="48">
        <v>45141</v>
      </c>
      <c r="M939" s="48">
        <v>45506</v>
      </c>
      <c r="N939" s="47" t="s">
        <v>52</v>
      </c>
      <c r="O939" s="55" t="s">
        <v>53</v>
      </c>
      <c r="P939" s="62">
        <v>15480</v>
      </c>
      <c r="Q939" s="62">
        <v>1290</v>
      </c>
      <c r="R939" s="96">
        <v>16020</v>
      </c>
      <c r="S939" s="62">
        <f t="shared" si="221"/>
        <v>1335</v>
      </c>
      <c r="T939" s="62">
        <v>15480</v>
      </c>
      <c r="U939" s="62">
        <f t="shared" si="226"/>
        <v>1290</v>
      </c>
      <c r="V939" s="69">
        <v>13380</v>
      </c>
      <c r="W939" s="71">
        <v>1330</v>
      </c>
      <c r="X939" s="71"/>
      <c r="Y939" s="71"/>
      <c r="Z939" s="64">
        <f t="shared" si="222"/>
        <v>3.1007751937984496E-2</v>
      </c>
      <c r="AA939" s="64">
        <f t="shared" si="230"/>
        <v>-3.7453183520599251E-3</v>
      </c>
      <c r="AB939" s="71">
        <f t="shared" si="233"/>
        <v>1330</v>
      </c>
      <c r="AC939" s="64">
        <f t="shared" si="223"/>
        <v>3.1007751937984496E-2</v>
      </c>
      <c r="AD939" s="64">
        <f t="shared" si="231"/>
        <v>-3.7453183520599251E-3</v>
      </c>
      <c r="AE939" s="71">
        <v>1330</v>
      </c>
      <c r="AF939" s="64">
        <f t="shared" si="224"/>
        <v>3.1007751937984496E-2</v>
      </c>
      <c r="AG939" s="64">
        <f t="shared" si="232"/>
        <v>-3.7453183520599251E-3</v>
      </c>
      <c r="AH939" s="67"/>
      <c r="AI939" s="47" t="s">
        <v>54</v>
      </c>
      <c r="AJ939" s="47">
        <v>624.30999999999995</v>
      </c>
      <c r="AK939" s="47" t="s">
        <v>65</v>
      </c>
      <c r="AL939" s="47" t="s">
        <v>65</v>
      </c>
      <c r="AM939" s="47" t="s">
        <v>170</v>
      </c>
      <c r="AN939" s="50">
        <v>1330</v>
      </c>
      <c r="AO939" s="211">
        <f t="shared" si="225"/>
        <v>3.1007751937984496E-2</v>
      </c>
      <c r="AP939" s="47" t="s">
        <v>90</v>
      </c>
      <c r="AQ939" s="91" t="s">
        <v>58</v>
      </c>
      <c r="AR939" s="47"/>
    </row>
    <row r="940" spans="1:44" hidden="1">
      <c r="A940" s="47" t="s">
        <v>44</v>
      </c>
      <c r="B940" s="47" t="str">
        <f t="shared" si="220"/>
        <v>August</v>
      </c>
      <c r="C940" s="59">
        <v>45507</v>
      </c>
      <c r="D940" s="47" t="s">
        <v>45</v>
      </c>
      <c r="E940" s="47" t="s">
        <v>166</v>
      </c>
      <c r="F940" s="47" t="s">
        <v>167</v>
      </c>
      <c r="G940" s="47" t="s">
        <v>215</v>
      </c>
      <c r="H940" s="47" t="s">
        <v>216</v>
      </c>
      <c r="I940" s="47" t="s">
        <v>50</v>
      </c>
      <c r="J940" s="47" t="s">
        <v>51</v>
      </c>
      <c r="K940" s="48">
        <v>45142</v>
      </c>
      <c r="L940" s="48">
        <v>45142</v>
      </c>
      <c r="M940" s="48">
        <v>45507</v>
      </c>
      <c r="N940" s="47" t="s">
        <v>52</v>
      </c>
      <c r="O940" s="55" t="s">
        <v>53</v>
      </c>
      <c r="P940" s="62">
        <v>15240</v>
      </c>
      <c r="Q940" s="62">
        <v>1270</v>
      </c>
      <c r="R940" s="96">
        <v>15780</v>
      </c>
      <c r="S940" s="62">
        <f t="shared" si="221"/>
        <v>1315</v>
      </c>
      <c r="T940" s="62">
        <v>15240</v>
      </c>
      <c r="U940" s="62">
        <f t="shared" si="226"/>
        <v>1270</v>
      </c>
      <c r="V940" s="69">
        <v>14700</v>
      </c>
      <c r="W940" s="71">
        <v>1315</v>
      </c>
      <c r="X940" s="71"/>
      <c r="Y940" s="71"/>
      <c r="Z940" s="64">
        <f t="shared" si="222"/>
        <v>3.5433070866141732E-2</v>
      </c>
      <c r="AA940" s="64">
        <f t="shared" si="230"/>
        <v>0</v>
      </c>
      <c r="AB940" s="71">
        <f t="shared" si="233"/>
        <v>1315</v>
      </c>
      <c r="AC940" s="64">
        <f t="shared" si="223"/>
        <v>3.5433070866141732E-2</v>
      </c>
      <c r="AD940" s="64">
        <f t="shared" si="231"/>
        <v>0</v>
      </c>
      <c r="AE940" s="71">
        <v>1315</v>
      </c>
      <c r="AF940" s="64">
        <f t="shared" si="224"/>
        <v>3.5433070866141732E-2</v>
      </c>
      <c r="AG940" s="64">
        <f t="shared" si="232"/>
        <v>0</v>
      </c>
      <c r="AH940" s="67"/>
      <c r="AI940" s="47" t="s">
        <v>54</v>
      </c>
      <c r="AJ940" s="47">
        <v>656.6</v>
      </c>
      <c r="AK940" s="47" t="s">
        <v>65</v>
      </c>
      <c r="AL940" s="47" t="s">
        <v>65</v>
      </c>
      <c r="AM940" s="47" t="s">
        <v>217</v>
      </c>
      <c r="AN940" s="50">
        <v>1315</v>
      </c>
      <c r="AO940" s="211">
        <f t="shared" si="225"/>
        <v>3.5433070866141732E-2</v>
      </c>
      <c r="AP940" s="47" t="s">
        <v>90</v>
      </c>
      <c r="AQ940" s="91" t="s">
        <v>58</v>
      </c>
      <c r="AR940" s="47"/>
    </row>
    <row r="941" spans="1:44" hidden="1">
      <c r="A941" s="47" t="s">
        <v>44</v>
      </c>
      <c r="B941" s="47" t="str">
        <f t="shared" si="220"/>
        <v>August</v>
      </c>
      <c r="C941" s="59">
        <v>45508</v>
      </c>
      <c r="D941" s="47" t="s">
        <v>45</v>
      </c>
      <c r="E941" s="47" t="s">
        <v>166</v>
      </c>
      <c r="F941" s="47" t="s">
        <v>167</v>
      </c>
      <c r="G941" s="47" t="s">
        <v>330</v>
      </c>
      <c r="H941" s="47" t="s">
        <v>331</v>
      </c>
      <c r="I941" s="47" t="s">
        <v>50</v>
      </c>
      <c r="J941" s="47" t="s">
        <v>51</v>
      </c>
      <c r="K941" s="48">
        <v>45143</v>
      </c>
      <c r="L941" s="48">
        <v>45143</v>
      </c>
      <c r="M941" s="48">
        <v>45508</v>
      </c>
      <c r="N941" s="47" t="s">
        <v>52</v>
      </c>
      <c r="O941" s="55" t="s">
        <v>53</v>
      </c>
      <c r="P941" s="62">
        <v>19440</v>
      </c>
      <c r="Q941" s="62">
        <v>1620</v>
      </c>
      <c r="R941" s="96">
        <v>20400</v>
      </c>
      <c r="S941" s="62">
        <f t="shared" si="221"/>
        <v>1700</v>
      </c>
      <c r="T941" s="62">
        <v>19440</v>
      </c>
      <c r="U941" s="62">
        <f t="shared" si="226"/>
        <v>1620</v>
      </c>
      <c r="V941" s="69">
        <v>17700</v>
      </c>
      <c r="W941" s="71">
        <v>1715</v>
      </c>
      <c r="X941" s="71"/>
      <c r="Y941" s="71"/>
      <c r="Z941" s="64">
        <f t="shared" si="222"/>
        <v>5.8641975308641972E-2</v>
      </c>
      <c r="AA941" s="64">
        <f t="shared" si="230"/>
        <v>8.8235294117647058E-3</v>
      </c>
      <c r="AB941" s="71">
        <f t="shared" si="233"/>
        <v>1715</v>
      </c>
      <c r="AC941" s="64">
        <f t="shared" si="223"/>
        <v>5.8641975308641972E-2</v>
      </c>
      <c r="AD941" s="64">
        <f t="shared" si="231"/>
        <v>8.8235294117647058E-3</v>
      </c>
      <c r="AE941" s="71">
        <v>1700</v>
      </c>
      <c r="AF941" s="64">
        <f t="shared" si="224"/>
        <v>4.9382716049382713E-2</v>
      </c>
      <c r="AG941" s="64">
        <f t="shared" si="232"/>
        <v>0</v>
      </c>
      <c r="AH941" s="67"/>
      <c r="AI941" s="47" t="s">
        <v>54</v>
      </c>
      <c r="AJ941" s="47">
        <v>818.06</v>
      </c>
      <c r="AK941" s="47" t="s">
        <v>140</v>
      </c>
      <c r="AL941" s="47" t="s">
        <v>65</v>
      </c>
      <c r="AM941" s="47" t="s">
        <v>332</v>
      </c>
      <c r="AN941" s="50"/>
      <c r="AO941" s="211">
        <f t="shared" si="225"/>
        <v>-1</v>
      </c>
      <c r="AP941" s="47" t="s">
        <v>90</v>
      </c>
      <c r="AQ941" s="91" t="s">
        <v>58</v>
      </c>
      <c r="AR941" s="47"/>
    </row>
    <row r="942" spans="1:44">
      <c r="A942" s="47" t="s">
        <v>44</v>
      </c>
      <c r="B942" s="47" t="str">
        <f t="shared" si="220"/>
        <v>August</v>
      </c>
      <c r="C942" s="59">
        <v>45508</v>
      </c>
      <c r="D942" s="47" t="s">
        <v>45</v>
      </c>
      <c r="E942" s="47" t="s">
        <v>166</v>
      </c>
      <c r="F942" s="47" t="s">
        <v>167</v>
      </c>
      <c r="G942" s="47" t="s">
        <v>1095</v>
      </c>
      <c r="H942" s="47" t="s">
        <v>1096</v>
      </c>
      <c r="I942" s="47" t="s">
        <v>50</v>
      </c>
      <c r="J942" s="47" t="s">
        <v>51</v>
      </c>
      <c r="K942" s="48">
        <v>44778</v>
      </c>
      <c r="L942" s="48">
        <v>45143</v>
      </c>
      <c r="M942" s="48">
        <v>45508</v>
      </c>
      <c r="N942" s="47" t="s">
        <v>64</v>
      </c>
      <c r="O942" s="55" t="s">
        <v>53</v>
      </c>
      <c r="P942" s="62">
        <v>10860</v>
      </c>
      <c r="Q942" s="62">
        <v>905</v>
      </c>
      <c r="R942" s="96">
        <v>11400</v>
      </c>
      <c r="S942" s="62">
        <f t="shared" si="221"/>
        <v>950</v>
      </c>
      <c r="T942" s="62">
        <v>11340</v>
      </c>
      <c r="U942" s="62">
        <f t="shared" si="226"/>
        <v>945</v>
      </c>
      <c r="V942" s="69">
        <v>10320</v>
      </c>
      <c r="W942" s="71">
        <v>1025</v>
      </c>
      <c r="X942" s="71"/>
      <c r="Y942" s="71"/>
      <c r="Z942" s="64">
        <f t="shared" si="222"/>
        <v>8.4656084656084651E-2</v>
      </c>
      <c r="AA942" s="64">
        <f t="shared" si="230"/>
        <v>7.8947368421052627E-2</v>
      </c>
      <c r="AB942" s="71">
        <f t="shared" si="233"/>
        <v>1025</v>
      </c>
      <c r="AC942" s="64">
        <f t="shared" si="223"/>
        <v>8.4656084656084651E-2</v>
      </c>
      <c r="AD942" s="64">
        <f t="shared" si="231"/>
        <v>7.8947368421052627E-2</v>
      </c>
      <c r="AE942" s="71">
        <v>1000</v>
      </c>
      <c r="AF942" s="64">
        <f t="shared" si="224"/>
        <v>5.8201058201058198E-2</v>
      </c>
      <c r="AG942" s="64">
        <f t="shared" si="232"/>
        <v>5.2631578947368418E-2</v>
      </c>
      <c r="AH942" s="67"/>
      <c r="AI942" s="47" t="s">
        <v>54</v>
      </c>
      <c r="AJ942" s="47">
        <v>505.91</v>
      </c>
      <c r="AK942" s="47" t="s">
        <v>55</v>
      </c>
      <c r="AL942" s="47" t="s">
        <v>55</v>
      </c>
      <c r="AM942" s="47" t="s">
        <v>1097</v>
      </c>
      <c r="AN942" s="50"/>
      <c r="AO942" s="211">
        <f t="shared" si="225"/>
        <v>-1</v>
      </c>
      <c r="AP942" s="47" t="s">
        <v>90</v>
      </c>
      <c r="AQ942" s="94" t="s">
        <v>891</v>
      </c>
      <c r="AR942" s="47"/>
    </row>
    <row r="943" spans="1:44">
      <c r="A943" s="47" t="s">
        <v>44</v>
      </c>
      <c r="B943" s="47" t="str">
        <f t="shared" si="220"/>
        <v>August</v>
      </c>
      <c r="C943" s="59">
        <v>45508</v>
      </c>
      <c r="D943" s="47" t="s">
        <v>45</v>
      </c>
      <c r="E943" s="47" t="s">
        <v>166</v>
      </c>
      <c r="F943" s="47" t="s">
        <v>167</v>
      </c>
      <c r="G943" s="47" t="s">
        <v>1106</v>
      </c>
      <c r="H943" s="47" t="s">
        <v>1107</v>
      </c>
      <c r="I943" s="47" t="s">
        <v>50</v>
      </c>
      <c r="J943" s="47" t="s">
        <v>51</v>
      </c>
      <c r="K943" s="48">
        <v>44778</v>
      </c>
      <c r="L943" s="48">
        <v>45143</v>
      </c>
      <c r="M943" s="48">
        <v>45508</v>
      </c>
      <c r="N943" s="47" t="s">
        <v>64</v>
      </c>
      <c r="O943" s="55" t="s">
        <v>53</v>
      </c>
      <c r="P943" s="62">
        <v>11760</v>
      </c>
      <c r="Q943" s="62">
        <v>980</v>
      </c>
      <c r="R943" s="96">
        <v>12360</v>
      </c>
      <c r="S943" s="62">
        <f t="shared" si="221"/>
        <v>1030</v>
      </c>
      <c r="T943" s="62">
        <v>12240</v>
      </c>
      <c r="U943" s="62">
        <f t="shared" si="226"/>
        <v>1020</v>
      </c>
      <c r="V943" s="69">
        <v>11220</v>
      </c>
      <c r="W943" s="71">
        <v>1100</v>
      </c>
      <c r="X943" s="71"/>
      <c r="Y943" s="71"/>
      <c r="Z943" s="64">
        <f t="shared" si="222"/>
        <v>7.8431372549019607E-2</v>
      </c>
      <c r="AA943" s="64">
        <f t="shared" si="230"/>
        <v>6.7961165048543687E-2</v>
      </c>
      <c r="AB943" s="71">
        <f t="shared" si="233"/>
        <v>1100</v>
      </c>
      <c r="AC943" s="64">
        <f t="shared" si="223"/>
        <v>7.8431372549019607E-2</v>
      </c>
      <c r="AD943" s="64">
        <f t="shared" si="231"/>
        <v>6.7961165048543687E-2</v>
      </c>
      <c r="AE943" s="71">
        <f>AB943-20</f>
        <v>1080</v>
      </c>
      <c r="AF943" s="64">
        <f t="shared" si="224"/>
        <v>5.8823529411764705E-2</v>
      </c>
      <c r="AG943" s="64">
        <f t="shared" si="232"/>
        <v>4.8543689320388349E-2</v>
      </c>
      <c r="AH943" s="67"/>
      <c r="AI943" s="47" t="s">
        <v>54</v>
      </c>
      <c r="AJ943" s="47">
        <v>516.66999999999996</v>
      </c>
      <c r="AK943" s="47" t="s">
        <v>55</v>
      </c>
      <c r="AL943" s="47" t="s">
        <v>55</v>
      </c>
      <c r="AM943" s="47" t="s">
        <v>1108</v>
      </c>
      <c r="AN943" s="50"/>
      <c r="AO943" s="211">
        <f t="shared" si="225"/>
        <v>-1</v>
      </c>
      <c r="AP943" s="47" t="s">
        <v>90</v>
      </c>
      <c r="AQ943" s="91" t="s">
        <v>116</v>
      </c>
      <c r="AR943" s="47"/>
    </row>
    <row r="944" spans="1:44">
      <c r="A944" s="47" t="s">
        <v>44</v>
      </c>
      <c r="B944" s="47" t="str">
        <f t="shared" si="220"/>
        <v>August</v>
      </c>
      <c r="C944" s="59">
        <v>45509</v>
      </c>
      <c r="D944" s="47" t="s">
        <v>45</v>
      </c>
      <c r="E944" s="47" t="s">
        <v>166</v>
      </c>
      <c r="F944" s="47" t="s">
        <v>167</v>
      </c>
      <c r="G944" s="47" t="s">
        <v>1150</v>
      </c>
      <c r="H944" s="47" t="s">
        <v>1151</v>
      </c>
      <c r="I944" s="47" t="s">
        <v>50</v>
      </c>
      <c r="J944" s="47" t="s">
        <v>51</v>
      </c>
      <c r="K944" s="48">
        <v>44779</v>
      </c>
      <c r="L944" s="48">
        <v>45144</v>
      </c>
      <c r="M944" s="48">
        <v>45509</v>
      </c>
      <c r="N944" s="47" t="s">
        <v>64</v>
      </c>
      <c r="O944" s="55" t="s">
        <v>53</v>
      </c>
      <c r="P944" s="62">
        <v>10800</v>
      </c>
      <c r="Q944" s="62">
        <v>900</v>
      </c>
      <c r="R944" s="96">
        <v>11400</v>
      </c>
      <c r="S944" s="62">
        <f t="shared" si="221"/>
        <v>950</v>
      </c>
      <c r="T944" s="62">
        <v>11400</v>
      </c>
      <c r="U944" s="62">
        <f t="shared" si="226"/>
        <v>950</v>
      </c>
      <c r="V944" s="69">
        <v>10260</v>
      </c>
      <c r="W944" s="71">
        <v>1030</v>
      </c>
      <c r="X944" s="71"/>
      <c r="Y944" s="71"/>
      <c r="Z944" s="64">
        <f t="shared" si="222"/>
        <v>8.4210526315789472E-2</v>
      </c>
      <c r="AA944" s="64">
        <f t="shared" si="230"/>
        <v>8.4210526315789472E-2</v>
      </c>
      <c r="AB944" s="71">
        <f t="shared" si="233"/>
        <v>1030</v>
      </c>
      <c r="AC944" s="64">
        <f t="shared" si="223"/>
        <v>8.4210526315789472E-2</v>
      </c>
      <c r="AD944" s="64">
        <f t="shared" si="231"/>
        <v>8.4210526315789472E-2</v>
      </c>
      <c r="AE944" s="71">
        <v>1005</v>
      </c>
      <c r="AF944" s="64">
        <f t="shared" si="224"/>
        <v>5.7894736842105263E-2</v>
      </c>
      <c r="AG944" s="64">
        <f t="shared" si="232"/>
        <v>5.7894736842105263E-2</v>
      </c>
      <c r="AH944" s="67"/>
      <c r="AI944" s="47" t="s">
        <v>54</v>
      </c>
      <c r="AJ944" s="47">
        <v>473.62</v>
      </c>
      <c r="AK944" s="47" t="s">
        <v>55</v>
      </c>
      <c r="AL944" s="47" t="s">
        <v>55</v>
      </c>
      <c r="AM944" s="47" t="s">
        <v>1152</v>
      </c>
      <c r="AN944" s="50">
        <v>1005</v>
      </c>
      <c r="AO944" s="211">
        <f t="shared" si="225"/>
        <v>5.7894736842105263E-2</v>
      </c>
      <c r="AP944" s="47" t="s">
        <v>90</v>
      </c>
      <c r="AQ944" s="91" t="s">
        <v>116</v>
      </c>
      <c r="AR944" s="47"/>
    </row>
    <row r="945" spans="1:44">
      <c r="A945" s="47" t="s">
        <v>44</v>
      </c>
      <c r="B945" s="47" t="str">
        <f t="shared" si="220"/>
        <v>August</v>
      </c>
      <c r="C945" s="59">
        <v>45511</v>
      </c>
      <c r="D945" s="47" t="s">
        <v>45</v>
      </c>
      <c r="E945" s="47" t="s">
        <v>166</v>
      </c>
      <c r="F945" s="47" t="s">
        <v>167</v>
      </c>
      <c r="G945" s="47" t="s">
        <v>1329</v>
      </c>
      <c r="H945" s="47" t="s">
        <v>1330</v>
      </c>
      <c r="I945" s="47" t="s">
        <v>50</v>
      </c>
      <c r="J945" s="47" t="s">
        <v>51</v>
      </c>
      <c r="K945" s="48">
        <v>44781</v>
      </c>
      <c r="L945" s="48">
        <v>45146</v>
      </c>
      <c r="M945" s="48">
        <v>45511</v>
      </c>
      <c r="N945" s="47" t="s">
        <v>64</v>
      </c>
      <c r="O945" s="55" t="s">
        <v>53</v>
      </c>
      <c r="P945" s="62">
        <v>15780</v>
      </c>
      <c r="Q945" s="62">
        <v>1315</v>
      </c>
      <c r="R945" s="96">
        <v>16800</v>
      </c>
      <c r="S945" s="62">
        <f t="shared" si="221"/>
        <v>1400</v>
      </c>
      <c r="T945" s="62">
        <v>16800</v>
      </c>
      <c r="U945" s="62">
        <f t="shared" si="226"/>
        <v>1400</v>
      </c>
      <c r="V945" s="69">
        <v>14880</v>
      </c>
      <c r="W945" s="71">
        <v>1440</v>
      </c>
      <c r="X945" s="71"/>
      <c r="Y945" s="71"/>
      <c r="Z945" s="64">
        <f t="shared" si="222"/>
        <v>2.8571428571428571E-2</v>
      </c>
      <c r="AA945" s="64">
        <f t="shared" si="230"/>
        <v>2.8571428571428571E-2</v>
      </c>
      <c r="AB945" s="71">
        <f t="shared" si="233"/>
        <v>1440</v>
      </c>
      <c r="AC945" s="64">
        <f t="shared" si="223"/>
        <v>2.8571428571428571E-2</v>
      </c>
      <c r="AD945" s="64">
        <f t="shared" si="231"/>
        <v>2.8571428571428571E-2</v>
      </c>
      <c r="AE945" s="71">
        <v>1440</v>
      </c>
      <c r="AF945" s="64">
        <f t="shared" si="224"/>
        <v>2.8571428571428571E-2</v>
      </c>
      <c r="AG945" s="64">
        <f t="shared" si="232"/>
        <v>2.8571428571428571E-2</v>
      </c>
      <c r="AH945" s="67"/>
      <c r="AI945" s="47" t="s">
        <v>54</v>
      </c>
      <c r="AJ945" s="47">
        <v>688.9</v>
      </c>
      <c r="AK945" s="47" t="s">
        <v>65</v>
      </c>
      <c r="AL945" s="47" t="s">
        <v>65</v>
      </c>
      <c r="AM945" s="47" t="s">
        <v>1331</v>
      </c>
      <c r="AN945" s="50"/>
      <c r="AO945" s="211">
        <f t="shared" si="225"/>
        <v>-1</v>
      </c>
      <c r="AP945" s="47" t="s">
        <v>90</v>
      </c>
      <c r="AQ945" s="91" t="s">
        <v>116</v>
      </c>
      <c r="AR945" s="47"/>
    </row>
    <row r="946" spans="1:44">
      <c r="A946" s="47" t="s">
        <v>44</v>
      </c>
      <c r="B946" s="47" t="str">
        <f t="shared" si="220"/>
        <v>August</v>
      </c>
      <c r="C946" s="59">
        <v>45512</v>
      </c>
      <c r="D946" s="47" t="s">
        <v>45</v>
      </c>
      <c r="E946" s="47" t="s">
        <v>166</v>
      </c>
      <c r="F946" s="47" t="s">
        <v>167</v>
      </c>
      <c r="G946" s="47" t="s">
        <v>1396</v>
      </c>
      <c r="H946" s="47" t="s">
        <v>1397</v>
      </c>
      <c r="I946" s="47" t="s">
        <v>50</v>
      </c>
      <c r="J946" s="47" t="s">
        <v>51</v>
      </c>
      <c r="K946" s="48">
        <v>44782</v>
      </c>
      <c r="L946" s="48">
        <v>45147</v>
      </c>
      <c r="M946" s="48">
        <v>45512</v>
      </c>
      <c r="N946" s="47" t="s">
        <v>64</v>
      </c>
      <c r="O946" s="55" t="s">
        <v>53</v>
      </c>
      <c r="P946" s="62">
        <v>10620</v>
      </c>
      <c r="Q946" s="62">
        <v>885</v>
      </c>
      <c r="R946" s="96">
        <v>11340</v>
      </c>
      <c r="S946" s="62">
        <f t="shared" si="221"/>
        <v>945</v>
      </c>
      <c r="T946" s="62">
        <v>11340</v>
      </c>
      <c r="U946" s="62">
        <f t="shared" si="226"/>
        <v>945</v>
      </c>
      <c r="V946" s="69">
        <v>10140</v>
      </c>
      <c r="W946" s="71">
        <v>1005</v>
      </c>
      <c r="X946" s="71"/>
      <c r="Y946" s="71"/>
      <c r="Z946" s="64">
        <f t="shared" si="222"/>
        <v>6.3492063492063489E-2</v>
      </c>
      <c r="AA946" s="64">
        <f t="shared" si="230"/>
        <v>6.3492063492063489E-2</v>
      </c>
      <c r="AB946" s="71">
        <f t="shared" si="233"/>
        <v>1005</v>
      </c>
      <c r="AC946" s="64">
        <f t="shared" si="223"/>
        <v>6.3492063492063489E-2</v>
      </c>
      <c r="AD946" s="64">
        <f t="shared" si="231"/>
        <v>6.3492063492063489E-2</v>
      </c>
      <c r="AE946" s="71">
        <v>990</v>
      </c>
      <c r="AF946" s="64">
        <f t="shared" si="224"/>
        <v>4.7619047619047616E-2</v>
      </c>
      <c r="AG946" s="64">
        <f t="shared" si="232"/>
        <v>4.7619047619047616E-2</v>
      </c>
      <c r="AH946" s="67"/>
      <c r="AI946" s="47" t="s">
        <v>54</v>
      </c>
      <c r="AJ946" s="47">
        <v>473.62</v>
      </c>
      <c r="AK946" s="47" t="s">
        <v>55</v>
      </c>
      <c r="AL946" s="47" t="s">
        <v>55</v>
      </c>
      <c r="AM946" s="47" t="s">
        <v>1398</v>
      </c>
      <c r="AN946" s="50">
        <v>1005</v>
      </c>
      <c r="AO946" s="211">
        <f t="shared" si="225"/>
        <v>6.3492063492063489E-2</v>
      </c>
      <c r="AP946" s="47" t="s">
        <v>90</v>
      </c>
      <c r="AQ946" s="91" t="s">
        <v>116</v>
      </c>
      <c r="AR946" s="47"/>
    </row>
    <row r="947" spans="1:44">
      <c r="A947" s="47" t="s">
        <v>44</v>
      </c>
      <c r="B947" s="47" t="str">
        <f t="shared" si="220"/>
        <v>August</v>
      </c>
      <c r="C947" s="59">
        <v>45512</v>
      </c>
      <c r="D947" s="47" t="s">
        <v>45</v>
      </c>
      <c r="E947" s="47" t="s">
        <v>166</v>
      </c>
      <c r="F947" s="47" t="s">
        <v>167</v>
      </c>
      <c r="G947" s="47" t="s">
        <v>1399</v>
      </c>
      <c r="H947" s="47" t="s">
        <v>1400</v>
      </c>
      <c r="I947" s="47" t="s">
        <v>50</v>
      </c>
      <c r="J947" s="47" t="s">
        <v>51</v>
      </c>
      <c r="K947" s="48">
        <v>44782</v>
      </c>
      <c r="L947" s="48">
        <v>45147</v>
      </c>
      <c r="M947" s="48">
        <v>45512</v>
      </c>
      <c r="N947" s="47" t="s">
        <v>64</v>
      </c>
      <c r="O947" s="55" t="s">
        <v>53</v>
      </c>
      <c r="P947" s="62">
        <v>11580</v>
      </c>
      <c r="Q947" s="62">
        <v>965</v>
      </c>
      <c r="R947" s="96">
        <v>12240</v>
      </c>
      <c r="S947" s="62">
        <f t="shared" si="221"/>
        <v>1020</v>
      </c>
      <c r="T947" s="62">
        <v>12240</v>
      </c>
      <c r="U947" s="62">
        <f t="shared" si="226"/>
        <v>1020</v>
      </c>
      <c r="V947" s="69">
        <v>11040</v>
      </c>
      <c r="W947" s="71">
        <v>1080</v>
      </c>
      <c r="X947" s="71"/>
      <c r="Y947" s="71"/>
      <c r="Z947" s="64">
        <f t="shared" si="222"/>
        <v>5.8823529411764705E-2</v>
      </c>
      <c r="AA947" s="64">
        <f t="shared" si="230"/>
        <v>5.8823529411764705E-2</v>
      </c>
      <c r="AB947" s="71">
        <f t="shared" si="233"/>
        <v>1080</v>
      </c>
      <c r="AC947" s="64">
        <f t="shared" si="223"/>
        <v>5.8823529411764705E-2</v>
      </c>
      <c r="AD947" s="64">
        <f t="shared" si="231"/>
        <v>5.8823529411764705E-2</v>
      </c>
      <c r="AE947" s="71">
        <v>1065</v>
      </c>
      <c r="AF947" s="64">
        <f t="shared" si="224"/>
        <v>4.4117647058823532E-2</v>
      </c>
      <c r="AG947" s="64">
        <f t="shared" si="232"/>
        <v>4.4117647058823532E-2</v>
      </c>
      <c r="AH947" s="67"/>
      <c r="AI947" s="47" t="s">
        <v>54</v>
      </c>
      <c r="AJ947" s="47">
        <v>505.91</v>
      </c>
      <c r="AK947" s="47" t="s">
        <v>55</v>
      </c>
      <c r="AL947" s="47" t="s">
        <v>55</v>
      </c>
      <c r="AM947" s="47" t="s">
        <v>1401</v>
      </c>
      <c r="AN947" s="50">
        <v>1065</v>
      </c>
      <c r="AO947" s="211">
        <f t="shared" si="225"/>
        <v>4.4117647058823532E-2</v>
      </c>
      <c r="AP947" s="47" t="s">
        <v>90</v>
      </c>
      <c r="AQ947" s="91" t="s">
        <v>116</v>
      </c>
      <c r="AR947" s="47"/>
    </row>
    <row r="948" spans="1:44" hidden="1">
      <c r="A948" s="47" t="s">
        <v>44</v>
      </c>
      <c r="B948" s="47" t="str">
        <f t="shared" si="220"/>
        <v>August</v>
      </c>
      <c r="C948" s="59">
        <v>45514</v>
      </c>
      <c r="D948" s="47" t="s">
        <v>45</v>
      </c>
      <c r="E948" s="47" t="s">
        <v>166</v>
      </c>
      <c r="F948" s="47" t="s">
        <v>167</v>
      </c>
      <c r="G948" s="47" t="s">
        <v>1550</v>
      </c>
      <c r="H948" s="47" t="s">
        <v>1551</v>
      </c>
      <c r="I948" s="47" t="s">
        <v>50</v>
      </c>
      <c r="J948" s="47" t="s">
        <v>51</v>
      </c>
      <c r="K948" s="48">
        <v>45149</v>
      </c>
      <c r="L948" s="48">
        <v>45149</v>
      </c>
      <c r="M948" s="48">
        <v>45514</v>
      </c>
      <c r="N948" s="47" t="s">
        <v>52</v>
      </c>
      <c r="O948" s="55" t="s">
        <v>53</v>
      </c>
      <c r="P948" s="62">
        <v>14640</v>
      </c>
      <c r="Q948" s="62">
        <v>1220</v>
      </c>
      <c r="R948" s="96">
        <v>15780</v>
      </c>
      <c r="S948" s="62">
        <f t="shared" si="221"/>
        <v>1315</v>
      </c>
      <c r="T948" s="62">
        <v>15780</v>
      </c>
      <c r="U948" s="62">
        <f t="shared" si="226"/>
        <v>1315</v>
      </c>
      <c r="V948" s="69">
        <v>13800</v>
      </c>
      <c r="W948" s="71">
        <v>1355</v>
      </c>
      <c r="X948" s="71"/>
      <c r="Y948" s="71"/>
      <c r="Z948" s="64">
        <f t="shared" si="222"/>
        <v>3.0418250950570342E-2</v>
      </c>
      <c r="AA948" s="64">
        <f t="shared" si="230"/>
        <v>3.0418250950570342E-2</v>
      </c>
      <c r="AB948" s="71">
        <f t="shared" si="233"/>
        <v>1355</v>
      </c>
      <c r="AC948" s="64">
        <f t="shared" si="223"/>
        <v>3.0418250950570342E-2</v>
      </c>
      <c r="AD948" s="64">
        <f t="shared" si="231"/>
        <v>3.0418250950570342E-2</v>
      </c>
      <c r="AE948" s="71">
        <v>1355</v>
      </c>
      <c r="AF948" s="64">
        <f t="shared" si="224"/>
        <v>3.0418250950570342E-2</v>
      </c>
      <c r="AG948" s="64">
        <f t="shared" si="232"/>
        <v>3.0418250950570342E-2</v>
      </c>
      <c r="AH948" s="67"/>
      <c r="AI948" s="47" t="s">
        <v>54</v>
      </c>
      <c r="AJ948" s="47">
        <v>602.78</v>
      </c>
      <c r="AK948" s="47" t="s">
        <v>65</v>
      </c>
      <c r="AL948" s="47" t="s">
        <v>65</v>
      </c>
      <c r="AM948" s="47" t="s">
        <v>1552</v>
      </c>
      <c r="AN948" s="50"/>
      <c r="AO948" s="211">
        <f t="shared" si="225"/>
        <v>-1</v>
      </c>
      <c r="AP948" s="47" t="s">
        <v>90</v>
      </c>
      <c r="AQ948" s="91" t="s">
        <v>116</v>
      </c>
      <c r="AR948" s="47"/>
    </row>
    <row r="949" spans="1:44" hidden="1">
      <c r="A949" s="47" t="s">
        <v>44</v>
      </c>
      <c r="B949" s="47" t="str">
        <f t="shared" si="220"/>
        <v>August</v>
      </c>
      <c r="C949" s="59">
        <v>45514</v>
      </c>
      <c r="D949" s="47" t="s">
        <v>45</v>
      </c>
      <c r="E949" s="47" t="s">
        <v>166</v>
      </c>
      <c r="F949" s="47" t="s">
        <v>167</v>
      </c>
      <c r="G949" s="47" t="s">
        <v>1553</v>
      </c>
      <c r="H949" s="47" t="s">
        <v>1554</v>
      </c>
      <c r="I949" s="47" t="s">
        <v>1555</v>
      </c>
      <c r="J949" s="47" t="s">
        <v>51</v>
      </c>
      <c r="K949" s="48">
        <v>45149</v>
      </c>
      <c r="L949" s="48">
        <v>45149</v>
      </c>
      <c r="M949" s="48">
        <v>45514</v>
      </c>
      <c r="N949" s="47" t="s">
        <v>52</v>
      </c>
      <c r="O949" s="55" t="s">
        <v>53</v>
      </c>
      <c r="P949" s="62">
        <v>15060</v>
      </c>
      <c r="Q949" s="62">
        <v>1255</v>
      </c>
      <c r="R949" s="96">
        <v>15600</v>
      </c>
      <c r="S949" s="62">
        <f t="shared" si="221"/>
        <v>1300</v>
      </c>
      <c r="T949" s="62">
        <v>15240</v>
      </c>
      <c r="U949" s="62">
        <f t="shared" si="226"/>
        <v>1270</v>
      </c>
      <c r="V949" s="69">
        <v>14160</v>
      </c>
      <c r="W949" s="71">
        <v>1310</v>
      </c>
      <c r="X949" s="71"/>
      <c r="Y949" s="71"/>
      <c r="Z949" s="64">
        <f t="shared" si="222"/>
        <v>3.1496062992125984E-2</v>
      </c>
      <c r="AA949" s="64">
        <f t="shared" si="230"/>
        <v>7.6923076923076927E-3</v>
      </c>
      <c r="AB949" s="71">
        <f t="shared" si="233"/>
        <v>1310</v>
      </c>
      <c r="AC949" s="64">
        <f t="shared" si="223"/>
        <v>3.1496062992125984E-2</v>
      </c>
      <c r="AD949" s="64">
        <f t="shared" si="231"/>
        <v>7.6923076923076927E-3</v>
      </c>
      <c r="AE949" s="71">
        <v>1310</v>
      </c>
      <c r="AF949" s="64">
        <f t="shared" si="224"/>
        <v>3.1496062992125984E-2</v>
      </c>
      <c r="AG949" s="64">
        <f t="shared" si="232"/>
        <v>7.6923076923076927E-3</v>
      </c>
      <c r="AH949" s="67"/>
      <c r="AI949" s="47" t="s">
        <v>54</v>
      </c>
      <c r="AJ949" s="47">
        <v>624.30999999999995</v>
      </c>
      <c r="AK949" s="47" t="s">
        <v>65</v>
      </c>
      <c r="AL949" s="47" t="s">
        <v>65</v>
      </c>
      <c r="AM949" s="47" t="s">
        <v>1556</v>
      </c>
      <c r="AN949" s="50">
        <v>1310</v>
      </c>
      <c r="AO949" s="211">
        <f t="shared" si="225"/>
        <v>3.1496062992125984E-2</v>
      </c>
      <c r="AP949" s="47" t="s">
        <v>90</v>
      </c>
      <c r="AQ949" s="91" t="s">
        <v>116</v>
      </c>
      <c r="AR949" s="47"/>
    </row>
    <row r="950" spans="1:44" hidden="1">
      <c r="A950" s="47" t="s">
        <v>44</v>
      </c>
      <c r="B950" s="47" t="str">
        <f t="shared" si="220"/>
        <v>August</v>
      </c>
      <c r="C950" s="59">
        <v>45514</v>
      </c>
      <c r="D950" s="47" t="s">
        <v>45</v>
      </c>
      <c r="E950" s="47" t="s">
        <v>166</v>
      </c>
      <c r="F950" s="47" t="s">
        <v>167</v>
      </c>
      <c r="G950" s="47" t="s">
        <v>1557</v>
      </c>
      <c r="H950" s="47" t="s">
        <v>1558</v>
      </c>
      <c r="I950" s="47" t="s">
        <v>50</v>
      </c>
      <c r="J950" s="47" t="s">
        <v>51</v>
      </c>
      <c r="K950" s="48">
        <v>45149</v>
      </c>
      <c r="L950" s="48">
        <v>45149</v>
      </c>
      <c r="M950" s="48">
        <v>45514</v>
      </c>
      <c r="N950" s="47" t="s">
        <v>52</v>
      </c>
      <c r="O950" s="55" t="s">
        <v>53</v>
      </c>
      <c r="P950" s="62">
        <v>12000</v>
      </c>
      <c r="Q950" s="62">
        <v>1000</v>
      </c>
      <c r="R950" s="96">
        <v>12600</v>
      </c>
      <c r="S950" s="62">
        <f t="shared" si="221"/>
        <v>1050</v>
      </c>
      <c r="T950" s="62">
        <v>12000</v>
      </c>
      <c r="U950" s="62">
        <f t="shared" si="226"/>
        <v>1000</v>
      </c>
      <c r="V950" s="69">
        <v>11400</v>
      </c>
      <c r="W950" s="71">
        <v>1060</v>
      </c>
      <c r="X950" s="71"/>
      <c r="Y950" s="71"/>
      <c r="Z950" s="64">
        <f t="shared" si="222"/>
        <v>0.06</v>
      </c>
      <c r="AA950" s="64">
        <f t="shared" si="230"/>
        <v>9.5238095238095247E-3</v>
      </c>
      <c r="AB950" s="71">
        <f t="shared" si="233"/>
        <v>1060</v>
      </c>
      <c r="AC950" s="64">
        <f t="shared" si="223"/>
        <v>0.06</v>
      </c>
      <c r="AD950" s="64">
        <f t="shared" si="231"/>
        <v>9.5238095238095247E-3</v>
      </c>
      <c r="AE950" s="71">
        <f>AB950-20</f>
        <v>1040</v>
      </c>
      <c r="AF950" s="64">
        <f t="shared" si="224"/>
        <v>0.04</v>
      </c>
      <c r="AG950" s="64">
        <f t="shared" si="232"/>
        <v>-9.5238095238095247E-3</v>
      </c>
      <c r="AH950" s="67"/>
      <c r="AI950" s="47" t="s">
        <v>54</v>
      </c>
      <c r="AJ950" s="47">
        <v>473.62</v>
      </c>
      <c r="AK950" s="47" t="s">
        <v>55</v>
      </c>
      <c r="AL950" s="47" t="s">
        <v>55</v>
      </c>
      <c r="AM950" s="47" t="s">
        <v>1559</v>
      </c>
      <c r="AN950" s="50"/>
      <c r="AO950" s="211">
        <f t="shared" si="225"/>
        <v>-1</v>
      </c>
      <c r="AP950" s="47" t="s">
        <v>90</v>
      </c>
      <c r="AQ950" s="91" t="s">
        <v>116</v>
      </c>
      <c r="AR950" s="47"/>
    </row>
    <row r="951" spans="1:44" hidden="1">
      <c r="A951" s="47" t="s">
        <v>44</v>
      </c>
      <c r="B951" s="47" t="str">
        <f t="shared" si="220"/>
        <v>August</v>
      </c>
      <c r="C951" s="59">
        <v>45514</v>
      </c>
      <c r="D951" s="47" t="s">
        <v>45</v>
      </c>
      <c r="E951" s="47" t="s">
        <v>166</v>
      </c>
      <c r="F951" s="47" t="s">
        <v>167</v>
      </c>
      <c r="G951" s="47" t="s">
        <v>1560</v>
      </c>
      <c r="H951" s="47" t="s">
        <v>1561</v>
      </c>
      <c r="I951" s="47" t="s">
        <v>50</v>
      </c>
      <c r="J951" s="47" t="s">
        <v>51</v>
      </c>
      <c r="K951" s="48">
        <v>45149</v>
      </c>
      <c r="L951" s="48">
        <v>45149</v>
      </c>
      <c r="M951" s="48">
        <v>45514</v>
      </c>
      <c r="N951" s="47" t="s">
        <v>52</v>
      </c>
      <c r="O951" s="55" t="s">
        <v>53</v>
      </c>
      <c r="P951" s="62">
        <v>15240</v>
      </c>
      <c r="Q951" s="62">
        <v>1270</v>
      </c>
      <c r="R951" s="96">
        <v>15780</v>
      </c>
      <c r="S951" s="62">
        <f t="shared" si="221"/>
        <v>1315</v>
      </c>
      <c r="T951" s="62">
        <v>15240</v>
      </c>
      <c r="U951" s="62">
        <f t="shared" si="226"/>
        <v>1270</v>
      </c>
      <c r="V951" s="69">
        <v>14280</v>
      </c>
      <c r="W951" s="71">
        <v>1310</v>
      </c>
      <c r="X951" s="71"/>
      <c r="Y951" s="71"/>
      <c r="Z951" s="64">
        <f t="shared" si="222"/>
        <v>3.1496062992125984E-2</v>
      </c>
      <c r="AA951" s="64">
        <f t="shared" si="230"/>
        <v>-3.8022813688212928E-3</v>
      </c>
      <c r="AB951" s="71">
        <f t="shared" si="233"/>
        <v>1310</v>
      </c>
      <c r="AC951" s="64">
        <f t="shared" si="223"/>
        <v>3.1496062992125984E-2</v>
      </c>
      <c r="AD951" s="64">
        <f t="shared" si="231"/>
        <v>-3.8022813688212928E-3</v>
      </c>
      <c r="AE951" s="71">
        <v>1310</v>
      </c>
      <c r="AF951" s="64">
        <f t="shared" si="224"/>
        <v>3.1496062992125984E-2</v>
      </c>
      <c r="AG951" s="64">
        <f t="shared" si="232"/>
        <v>-3.8022813688212928E-3</v>
      </c>
      <c r="AH951" s="67"/>
      <c r="AI951" s="47" t="s">
        <v>54</v>
      </c>
      <c r="AJ951" s="47">
        <v>624.30999999999995</v>
      </c>
      <c r="AK951" s="47" t="s">
        <v>65</v>
      </c>
      <c r="AL951" s="47" t="s">
        <v>65</v>
      </c>
      <c r="AM951" s="47" t="s">
        <v>1562</v>
      </c>
      <c r="AN951" s="50">
        <v>1310</v>
      </c>
      <c r="AO951" s="211">
        <f t="shared" si="225"/>
        <v>3.1496062992125984E-2</v>
      </c>
      <c r="AP951" s="47" t="s">
        <v>90</v>
      </c>
      <c r="AQ951" s="91" t="s">
        <v>116</v>
      </c>
      <c r="AR951" s="47"/>
    </row>
    <row r="952" spans="1:44" hidden="1">
      <c r="A952" s="47" t="s">
        <v>44</v>
      </c>
      <c r="B952" s="47" t="str">
        <f t="shared" si="220"/>
        <v>August</v>
      </c>
      <c r="C952" s="59">
        <v>45517</v>
      </c>
      <c r="D952" s="47" t="s">
        <v>45</v>
      </c>
      <c r="E952" s="47" t="s">
        <v>166</v>
      </c>
      <c r="F952" s="47" t="s">
        <v>167</v>
      </c>
      <c r="G952" s="47" t="s">
        <v>1815</v>
      </c>
      <c r="H952" s="47" t="s">
        <v>1816</v>
      </c>
      <c r="I952" s="47" t="s">
        <v>50</v>
      </c>
      <c r="J952" s="47" t="s">
        <v>51</v>
      </c>
      <c r="K952" s="48">
        <v>45152</v>
      </c>
      <c r="L952" s="48">
        <v>45152</v>
      </c>
      <c r="M952" s="48">
        <v>45517</v>
      </c>
      <c r="N952" s="47" t="s">
        <v>52</v>
      </c>
      <c r="O952" s="55" t="s">
        <v>53</v>
      </c>
      <c r="P952" s="62">
        <v>14940</v>
      </c>
      <c r="Q952" s="62">
        <v>1245</v>
      </c>
      <c r="R952" s="96">
        <v>15480</v>
      </c>
      <c r="S952" s="62">
        <f t="shared" si="221"/>
        <v>1290</v>
      </c>
      <c r="T952" s="62">
        <v>14940</v>
      </c>
      <c r="U952" s="62">
        <f t="shared" si="226"/>
        <v>1245</v>
      </c>
      <c r="V952" s="69">
        <v>14096.64</v>
      </c>
      <c r="W952" s="71">
        <v>1290</v>
      </c>
      <c r="X952" s="71"/>
      <c r="Y952" s="71"/>
      <c r="Z952" s="64">
        <f t="shared" si="222"/>
        <v>3.614457831325301E-2</v>
      </c>
      <c r="AA952" s="64">
        <f t="shared" si="230"/>
        <v>0</v>
      </c>
      <c r="AB952" s="71">
        <f t="shared" si="233"/>
        <v>1290</v>
      </c>
      <c r="AC952" s="64">
        <f t="shared" si="223"/>
        <v>3.614457831325301E-2</v>
      </c>
      <c r="AD952" s="64">
        <f t="shared" si="231"/>
        <v>0</v>
      </c>
      <c r="AE952" s="71">
        <v>1290</v>
      </c>
      <c r="AF952" s="64">
        <f t="shared" si="224"/>
        <v>3.614457831325301E-2</v>
      </c>
      <c r="AG952" s="64">
        <f t="shared" si="232"/>
        <v>0</v>
      </c>
      <c r="AH952" s="67"/>
      <c r="AI952" s="47" t="s">
        <v>54</v>
      </c>
      <c r="AJ952" s="47">
        <v>624.30999999999995</v>
      </c>
      <c r="AK952" s="47" t="s">
        <v>65</v>
      </c>
      <c r="AL952" s="47" t="s">
        <v>65</v>
      </c>
      <c r="AM952" s="47" t="s">
        <v>1817</v>
      </c>
      <c r="AN952" s="50"/>
      <c r="AO952" s="211">
        <f t="shared" si="225"/>
        <v>-1</v>
      </c>
      <c r="AP952" s="47" t="s">
        <v>90</v>
      </c>
      <c r="AQ952" s="91" t="s">
        <v>116</v>
      </c>
      <c r="AR952" s="47"/>
    </row>
    <row r="953" spans="1:44">
      <c r="A953" s="47" t="s">
        <v>44</v>
      </c>
      <c r="B953" s="47" t="str">
        <f t="shared" si="220"/>
        <v>August</v>
      </c>
      <c r="C953" s="59">
        <v>45520</v>
      </c>
      <c r="D953" s="47" t="s">
        <v>45</v>
      </c>
      <c r="E953" s="47" t="s">
        <v>166</v>
      </c>
      <c r="F953" s="47" t="s">
        <v>167</v>
      </c>
      <c r="G953" s="47" t="s">
        <v>2080</v>
      </c>
      <c r="H953" s="47" t="s">
        <v>2081</v>
      </c>
      <c r="I953" s="47" t="s">
        <v>50</v>
      </c>
      <c r="J953" s="47" t="s">
        <v>51</v>
      </c>
      <c r="K953" s="48">
        <v>44790</v>
      </c>
      <c r="L953" s="48">
        <v>45155</v>
      </c>
      <c r="M953" s="48">
        <v>45520</v>
      </c>
      <c r="N953" s="47" t="s">
        <v>64</v>
      </c>
      <c r="O953" s="55" t="s">
        <v>53</v>
      </c>
      <c r="P953" s="62">
        <v>18240</v>
      </c>
      <c r="Q953" s="62">
        <v>1520</v>
      </c>
      <c r="R953" s="96">
        <v>19680</v>
      </c>
      <c r="S953" s="62">
        <f t="shared" si="221"/>
        <v>1640</v>
      </c>
      <c r="T953" s="62">
        <v>19680</v>
      </c>
      <c r="U953" s="62">
        <f t="shared" si="226"/>
        <v>1640</v>
      </c>
      <c r="V953" s="69">
        <v>17940</v>
      </c>
      <c r="W953" s="71">
        <v>1740</v>
      </c>
      <c r="X953" s="71"/>
      <c r="Y953" s="71"/>
      <c r="Z953" s="64">
        <f t="shared" si="222"/>
        <v>6.097560975609756E-2</v>
      </c>
      <c r="AA953" s="64">
        <f t="shared" si="230"/>
        <v>6.097560975609756E-2</v>
      </c>
      <c r="AB953" s="71">
        <f t="shared" si="233"/>
        <v>1740</v>
      </c>
      <c r="AC953" s="64">
        <f t="shared" si="223"/>
        <v>6.097560975609756E-2</v>
      </c>
      <c r="AD953" s="64">
        <f t="shared" si="231"/>
        <v>6.097560975609756E-2</v>
      </c>
      <c r="AE953" s="71">
        <v>1725</v>
      </c>
      <c r="AF953" s="64">
        <f t="shared" si="224"/>
        <v>5.1829268292682924E-2</v>
      </c>
      <c r="AG953" s="64">
        <f t="shared" si="232"/>
        <v>5.1829268292682924E-2</v>
      </c>
      <c r="AH953" s="67"/>
      <c r="AI953" s="47" t="s">
        <v>54</v>
      </c>
      <c r="AJ953" s="47">
        <v>839.59</v>
      </c>
      <c r="AK953" s="47" t="s">
        <v>140</v>
      </c>
      <c r="AL953" s="47" t="s">
        <v>65</v>
      </c>
      <c r="AM953" s="47" t="s">
        <v>2082</v>
      </c>
      <c r="AN953" s="50"/>
      <c r="AO953" s="211">
        <f t="shared" si="225"/>
        <v>-1</v>
      </c>
      <c r="AP953" s="47" t="s">
        <v>90</v>
      </c>
      <c r="AQ953" s="94" t="s">
        <v>891</v>
      </c>
      <c r="AR953" s="47"/>
    </row>
    <row r="954" spans="1:44" hidden="1">
      <c r="A954" s="47" t="s">
        <v>44</v>
      </c>
      <c r="B954" s="47" t="str">
        <f t="shared" si="220"/>
        <v>August</v>
      </c>
      <c r="C954" s="59">
        <v>45520</v>
      </c>
      <c r="D954" s="47" t="s">
        <v>45</v>
      </c>
      <c r="E954" s="47" t="s">
        <v>166</v>
      </c>
      <c r="F954" s="47" t="s">
        <v>167</v>
      </c>
      <c r="G954" s="47" t="s">
        <v>2083</v>
      </c>
      <c r="H954" s="47" t="s">
        <v>2084</v>
      </c>
      <c r="I954" s="47" t="s">
        <v>50</v>
      </c>
      <c r="J954" s="47" t="s">
        <v>51</v>
      </c>
      <c r="K954" s="48">
        <v>45155</v>
      </c>
      <c r="L954" s="48">
        <v>45155</v>
      </c>
      <c r="M954" s="48">
        <v>45520</v>
      </c>
      <c r="N954" s="47" t="s">
        <v>52</v>
      </c>
      <c r="O954" s="55" t="s">
        <v>53</v>
      </c>
      <c r="P954" s="62">
        <v>19560</v>
      </c>
      <c r="Q954" s="62">
        <v>1630</v>
      </c>
      <c r="R954" s="96">
        <v>20520</v>
      </c>
      <c r="S954" s="62">
        <f t="shared" si="221"/>
        <v>1710</v>
      </c>
      <c r="T954" s="62">
        <v>19560</v>
      </c>
      <c r="U954" s="62">
        <f t="shared" si="226"/>
        <v>1630</v>
      </c>
      <c r="V954" s="69">
        <v>18780</v>
      </c>
      <c r="W954" s="71">
        <v>1725</v>
      </c>
      <c r="X954" s="71"/>
      <c r="Y954" s="71"/>
      <c r="Z954" s="64">
        <f t="shared" si="222"/>
        <v>5.8282208588957052E-2</v>
      </c>
      <c r="AA954" s="64">
        <f t="shared" si="230"/>
        <v>8.771929824561403E-3</v>
      </c>
      <c r="AB954" s="71">
        <f t="shared" si="233"/>
        <v>1725</v>
      </c>
      <c r="AC954" s="64">
        <f t="shared" si="223"/>
        <v>5.8282208588957052E-2</v>
      </c>
      <c r="AD954" s="64">
        <f t="shared" si="231"/>
        <v>8.771929824561403E-3</v>
      </c>
      <c r="AE954" s="71">
        <f>AB954-20</f>
        <v>1705</v>
      </c>
      <c r="AF954" s="64">
        <f t="shared" si="224"/>
        <v>4.6012269938650305E-2</v>
      </c>
      <c r="AG954" s="64">
        <f t="shared" si="232"/>
        <v>-2.9239766081871343E-3</v>
      </c>
      <c r="AH954" s="67"/>
      <c r="AI954" s="47" t="s">
        <v>395</v>
      </c>
      <c r="AJ954" s="47">
        <v>753.48</v>
      </c>
      <c r="AK954" s="47" t="s">
        <v>140</v>
      </c>
      <c r="AL954" s="47" t="s">
        <v>140</v>
      </c>
      <c r="AM954" s="47" t="s">
        <v>2085</v>
      </c>
      <c r="AN954" s="50"/>
      <c r="AO954" s="211">
        <f t="shared" si="225"/>
        <v>-1</v>
      </c>
      <c r="AP954" s="47" t="s">
        <v>90</v>
      </c>
      <c r="AQ954" s="91" t="s">
        <v>116</v>
      </c>
      <c r="AR954" s="47"/>
    </row>
    <row r="955" spans="1:44" hidden="1">
      <c r="A955" s="47" t="s">
        <v>44</v>
      </c>
      <c r="B955" s="47" t="str">
        <f t="shared" si="220"/>
        <v>August</v>
      </c>
      <c r="C955" s="59">
        <v>45521</v>
      </c>
      <c r="D955" s="47" t="s">
        <v>45</v>
      </c>
      <c r="E955" s="47" t="s">
        <v>166</v>
      </c>
      <c r="F955" s="47" t="s">
        <v>167</v>
      </c>
      <c r="G955" s="47" t="s">
        <v>2181</v>
      </c>
      <c r="H955" s="47" t="s">
        <v>2182</v>
      </c>
      <c r="I955" s="47" t="s">
        <v>50</v>
      </c>
      <c r="J955" s="47" t="s">
        <v>51</v>
      </c>
      <c r="K955" s="48">
        <v>45156</v>
      </c>
      <c r="L955" s="48">
        <v>45156</v>
      </c>
      <c r="M955" s="48">
        <v>45521</v>
      </c>
      <c r="N955" s="47" t="s">
        <v>52</v>
      </c>
      <c r="O955" s="55" t="s">
        <v>53</v>
      </c>
      <c r="P955" s="62">
        <v>16680</v>
      </c>
      <c r="Q955" s="62">
        <v>1390</v>
      </c>
      <c r="R955" s="96">
        <v>17280</v>
      </c>
      <c r="S955" s="62">
        <f t="shared" si="221"/>
        <v>1440</v>
      </c>
      <c r="T955" s="62">
        <v>16680</v>
      </c>
      <c r="U955" s="62">
        <f t="shared" si="226"/>
        <v>1390</v>
      </c>
      <c r="V955" s="69">
        <v>16380</v>
      </c>
      <c r="W955" s="71">
        <v>1430</v>
      </c>
      <c r="X955" s="71"/>
      <c r="Y955" s="71"/>
      <c r="Z955" s="64">
        <f t="shared" si="222"/>
        <v>2.8776978417266189E-2</v>
      </c>
      <c r="AA955" s="64">
        <f t="shared" si="230"/>
        <v>-6.9444444444444441E-3</v>
      </c>
      <c r="AB955" s="71">
        <f t="shared" si="233"/>
        <v>1430</v>
      </c>
      <c r="AC955" s="64">
        <f t="shared" si="223"/>
        <v>2.8776978417266189E-2</v>
      </c>
      <c r="AD955" s="64">
        <f t="shared" si="231"/>
        <v>-6.9444444444444441E-3</v>
      </c>
      <c r="AE955" s="71">
        <v>1430</v>
      </c>
      <c r="AF955" s="64">
        <f t="shared" si="224"/>
        <v>2.8776978417266189E-2</v>
      </c>
      <c r="AG955" s="64">
        <f t="shared" si="232"/>
        <v>-6.9444444444444441E-3</v>
      </c>
      <c r="AH955" s="67"/>
      <c r="AI955" s="47" t="s">
        <v>54</v>
      </c>
      <c r="AJ955" s="47">
        <v>688.9</v>
      </c>
      <c r="AK955" s="47" t="s">
        <v>65</v>
      </c>
      <c r="AL955" s="47" t="s">
        <v>65</v>
      </c>
      <c r="AM955" s="47" t="s">
        <v>2183</v>
      </c>
      <c r="AN955" s="50"/>
      <c r="AO955" s="211">
        <f t="shared" si="225"/>
        <v>-1</v>
      </c>
      <c r="AP955" s="47" t="s">
        <v>90</v>
      </c>
      <c r="AQ955" s="94" t="s">
        <v>891</v>
      </c>
      <c r="AR955" s="47"/>
    </row>
    <row r="956" spans="1:44">
      <c r="A956" s="47" t="s">
        <v>44</v>
      </c>
      <c r="B956" s="47" t="str">
        <f t="shared" si="220"/>
        <v>August</v>
      </c>
      <c r="C956" s="59">
        <v>45522</v>
      </c>
      <c r="D956" s="47" t="s">
        <v>45</v>
      </c>
      <c r="E956" s="47" t="s">
        <v>166</v>
      </c>
      <c r="F956" s="47" t="s">
        <v>167</v>
      </c>
      <c r="G956" s="47" t="s">
        <v>2293</v>
      </c>
      <c r="H956" s="47" t="s">
        <v>2294</v>
      </c>
      <c r="I956" s="47" t="s">
        <v>50</v>
      </c>
      <c r="J956" s="47" t="s">
        <v>51</v>
      </c>
      <c r="K956" s="48">
        <v>44792</v>
      </c>
      <c r="L956" s="48">
        <v>45157</v>
      </c>
      <c r="M956" s="48">
        <v>45522</v>
      </c>
      <c r="N956" s="47" t="s">
        <v>64</v>
      </c>
      <c r="O956" s="55" t="s">
        <v>53</v>
      </c>
      <c r="P956" s="62">
        <v>15120</v>
      </c>
      <c r="Q956" s="62">
        <v>1260</v>
      </c>
      <c r="R956" s="96">
        <v>16020</v>
      </c>
      <c r="S956" s="62">
        <f t="shared" si="221"/>
        <v>1335</v>
      </c>
      <c r="T956" s="62">
        <v>16020</v>
      </c>
      <c r="U956" s="62">
        <f t="shared" si="226"/>
        <v>1335</v>
      </c>
      <c r="V956" s="69">
        <v>14220</v>
      </c>
      <c r="W956" s="71">
        <v>1380</v>
      </c>
      <c r="X956" s="71"/>
      <c r="Y956" s="71"/>
      <c r="Z956" s="64">
        <f t="shared" si="222"/>
        <v>3.3707865168539325E-2</v>
      </c>
      <c r="AA956" s="64">
        <f t="shared" si="230"/>
        <v>3.3707865168539325E-2</v>
      </c>
      <c r="AB956" s="71">
        <f t="shared" si="233"/>
        <v>1380</v>
      </c>
      <c r="AC956" s="64">
        <f t="shared" si="223"/>
        <v>3.3707865168539325E-2</v>
      </c>
      <c r="AD956" s="64">
        <f t="shared" si="231"/>
        <v>3.3707865168539325E-2</v>
      </c>
      <c r="AE956" s="71">
        <v>1380</v>
      </c>
      <c r="AF956" s="64">
        <f t="shared" si="224"/>
        <v>3.3707865168539325E-2</v>
      </c>
      <c r="AG956" s="64">
        <f t="shared" si="232"/>
        <v>3.3707865168539325E-2</v>
      </c>
      <c r="AH956" s="67"/>
      <c r="AI956" s="47" t="s">
        <v>54</v>
      </c>
      <c r="AJ956" s="47">
        <v>688.9</v>
      </c>
      <c r="AK956" s="47" t="s">
        <v>65</v>
      </c>
      <c r="AL956" s="47" t="s">
        <v>65</v>
      </c>
      <c r="AM956" s="47" t="s">
        <v>2295</v>
      </c>
      <c r="AN956" s="50"/>
      <c r="AO956" s="211">
        <f t="shared" si="225"/>
        <v>-1</v>
      </c>
      <c r="AP956" s="47" t="s">
        <v>90</v>
      </c>
      <c r="AQ956" s="91" t="s">
        <v>116</v>
      </c>
      <c r="AR956" s="47"/>
    </row>
    <row r="957" spans="1:44">
      <c r="A957" s="47" t="s">
        <v>44</v>
      </c>
      <c r="B957" s="47" t="str">
        <f t="shared" si="220"/>
        <v>August</v>
      </c>
      <c r="C957" s="59">
        <v>45523</v>
      </c>
      <c r="D957" s="47" t="s">
        <v>45</v>
      </c>
      <c r="E957" s="47" t="s">
        <v>166</v>
      </c>
      <c r="F957" s="47" t="s">
        <v>167</v>
      </c>
      <c r="G957" s="47" t="s">
        <v>2328</v>
      </c>
      <c r="H957" s="47" t="s">
        <v>2329</v>
      </c>
      <c r="I957" s="47" t="s">
        <v>2330</v>
      </c>
      <c r="J957" s="47" t="s">
        <v>51</v>
      </c>
      <c r="K957" s="48">
        <v>44428</v>
      </c>
      <c r="L957" s="48">
        <v>45158</v>
      </c>
      <c r="M957" s="48">
        <v>45523</v>
      </c>
      <c r="N957" s="47" t="s">
        <v>64</v>
      </c>
      <c r="O957" s="55" t="s">
        <v>53</v>
      </c>
      <c r="P957" s="62">
        <v>15120</v>
      </c>
      <c r="Q957" s="62">
        <v>1260</v>
      </c>
      <c r="R957" s="96">
        <v>15660</v>
      </c>
      <c r="S957" s="62">
        <f t="shared" si="221"/>
        <v>1305</v>
      </c>
      <c r="T957" s="62">
        <v>15600</v>
      </c>
      <c r="U957" s="62">
        <f t="shared" si="226"/>
        <v>1300</v>
      </c>
      <c r="V957" s="69">
        <v>14220</v>
      </c>
      <c r="W957" s="71">
        <v>1345</v>
      </c>
      <c r="X957" s="71"/>
      <c r="Y957" s="71"/>
      <c r="Z957" s="64">
        <f t="shared" si="222"/>
        <v>3.4615384615384617E-2</v>
      </c>
      <c r="AA957" s="64">
        <f t="shared" si="230"/>
        <v>3.0651340996168581E-2</v>
      </c>
      <c r="AB957" s="71">
        <f t="shared" si="233"/>
        <v>1345</v>
      </c>
      <c r="AC957" s="64">
        <f t="shared" si="223"/>
        <v>3.4615384615384617E-2</v>
      </c>
      <c r="AD957" s="64">
        <f t="shared" si="231"/>
        <v>3.0651340996168581E-2</v>
      </c>
      <c r="AE957" s="71">
        <v>1345</v>
      </c>
      <c r="AF957" s="64">
        <f t="shared" si="224"/>
        <v>3.4615384615384617E-2</v>
      </c>
      <c r="AG957" s="64">
        <f t="shared" si="232"/>
        <v>3.0651340996168581E-2</v>
      </c>
      <c r="AH957" s="67"/>
      <c r="AI957" s="47" t="s">
        <v>54</v>
      </c>
      <c r="AJ957" s="47">
        <v>656.6</v>
      </c>
      <c r="AK957" s="47" t="s">
        <v>65</v>
      </c>
      <c r="AL957" s="47" t="s">
        <v>65</v>
      </c>
      <c r="AM957" s="47" t="s">
        <v>2331</v>
      </c>
      <c r="AN957" s="50"/>
      <c r="AO957" s="211">
        <f t="shared" si="225"/>
        <v>-1</v>
      </c>
      <c r="AP957" s="47" t="s">
        <v>90</v>
      </c>
      <c r="AQ957" s="91" t="s">
        <v>116</v>
      </c>
      <c r="AR957" s="47"/>
    </row>
    <row r="958" spans="1:44">
      <c r="A958" s="47" t="s">
        <v>44</v>
      </c>
      <c r="B958" s="47" t="str">
        <f t="shared" si="220"/>
        <v>August</v>
      </c>
      <c r="C958" s="59">
        <v>45523</v>
      </c>
      <c r="D958" s="47" t="s">
        <v>45</v>
      </c>
      <c r="E958" s="47" t="s">
        <v>166</v>
      </c>
      <c r="F958" s="47" t="s">
        <v>167</v>
      </c>
      <c r="G958" s="47" t="s">
        <v>2332</v>
      </c>
      <c r="H958" s="47" t="s">
        <v>2333</v>
      </c>
      <c r="I958" s="47" t="s">
        <v>50</v>
      </c>
      <c r="J958" s="47" t="s">
        <v>51</v>
      </c>
      <c r="K958" s="48">
        <v>44793</v>
      </c>
      <c r="L958" s="48">
        <v>45158</v>
      </c>
      <c r="M958" s="48">
        <v>45523</v>
      </c>
      <c r="N958" s="47" t="s">
        <v>64</v>
      </c>
      <c r="O958" s="55" t="s">
        <v>53</v>
      </c>
      <c r="P958" s="62">
        <v>14640</v>
      </c>
      <c r="Q958" s="62">
        <v>1220</v>
      </c>
      <c r="R958" s="96">
        <v>15720</v>
      </c>
      <c r="S958" s="62">
        <f t="shared" si="221"/>
        <v>1310</v>
      </c>
      <c r="T958" s="62">
        <v>15720</v>
      </c>
      <c r="U958" s="62">
        <f t="shared" si="226"/>
        <v>1310</v>
      </c>
      <c r="V958" s="69">
        <v>13800</v>
      </c>
      <c r="W958" s="71">
        <v>1355</v>
      </c>
      <c r="X958" s="71"/>
      <c r="Y958" s="71"/>
      <c r="Z958" s="64">
        <f t="shared" si="222"/>
        <v>3.4351145038167941E-2</v>
      </c>
      <c r="AA958" s="64">
        <f t="shared" si="230"/>
        <v>3.4351145038167941E-2</v>
      </c>
      <c r="AB958" s="71">
        <f t="shared" si="233"/>
        <v>1355</v>
      </c>
      <c r="AC958" s="64">
        <f t="shared" si="223"/>
        <v>3.4351145038167941E-2</v>
      </c>
      <c r="AD958" s="64">
        <f t="shared" si="231"/>
        <v>3.4351145038167941E-2</v>
      </c>
      <c r="AE958" s="71">
        <v>1355</v>
      </c>
      <c r="AF958" s="64">
        <f t="shared" si="224"/>
        <v>3.4351145038167941E-2</v>
      </c>
      <c r="AG958" s="64">
        <f t="shared" si="232"/>
        <v>3.4351145038167941E-2</v>
      </c>
      <c r="AH958" s="67"/>
      <c r="AI958" s="47" t="s">
        <v>54</v>
      </c>
      <c r="AJ958" s="47">
        <v>667.37</v>
      </c>
      <c r="AK958" s="47" t="s">
        <v>65</v>
      </c>
      <c r="AL958" s="47" t="s">
        <v>65</v>
      </c>
      <c r="AM958" s="47" t="s">
        <v>2334</v>
      </c>
      <c r="AN958" s="50"/>
      <c r="AO958" s="211">
        <f t="shared" si="225"/>
        <v>-1</v>
      </c>
      <c r="AP958" s="47" t="s">
        <v>90</v>
      </c>
      <c r="AQ958" s="91" t="s">
        <v>116</v>
      </c>
      <c r="AR958" s="47"/>
    </row>
    <row r="959" spans="1:44" hidden="1">
      <c r="A959" s="47" t="s">
        <v>44</v>
      </c>
      <c r="B959" s="47" t="str">
        <f t="shared" si="220"/>
        <v>August</v>
      </c>
      <c r="C959" s="59">
        <v>45524</v>
      </c>
      <c r="D959" s="47" t="s">
        <v>45</v>
      </c>
      <c r="E959" s="47" t="s">
        <v>166</v>
      </c>
      <c r="F959" s="47" t="s">
        <v>167</v>
      </c>
      <c r="G959" s="47" t="s">
        <v>2468</v>
      </c>
      <c r="H959" s="47" t="s">
        <v>2469</v>
      </c>
      <c r="I959" s="47" t="s">
        <v>2470</v>
      </c>
      <c r="J959" s="47" t="s">
        <v>51</v>
      </c>
      <c r="K959" s="48">
        <v>45159</v>
      </c>
      <c r="L959" s="48">
        <v>45159</v>
      </c>
      <c r="M959" s="48">
        <v>45524</v>
      </c>
      <c r="N959" s="47" t="s">
        <v>52</v>
      </c>
      <c r="O959" s="55" t="s">
        <v>53</v>
      </c>
      <c r="P959" s="62">
        <v>15720</v>
      </c>
      <c r="Q959" s="62">
        <v>1310</v>
      </c>
      <c r="R959" s="96">
        <v>16260</v>
      </c>
      <c r="S959" s="62">
        <f t="shared" si="221"/>
        <v>1355</v>
      </c>
      <c r="T959" s="62">
        <v>15720</v>
      </c>
      <c r="U959" s="62">
        <f t="shared" si="226"/>
        <v>1310</v>
      </c>
      <c r="V959" s="69">
        <v>14340</v>
      </c>
      <c r="W959" s="71">
        <v>1355</v>
      </c>
      <c r="X959" s="71"/>
      <c r="Y959" s="71"/>
      <c r="Z959" s="64">
        <f t="shared" si="222"/>
        <v>3.4351145038167941E-2</v>
      </c>
      <c r="AA959" s="64">
        <f t="shared" si="230"/>
        <v>0</v>
      </c>
      <c r="AB959" s="71">
        <f t="shared" si="233"/>
        <v>1355</v>
      </c>
      <c r="AC959" s="64">
        <f t="shared" si="223"/>
        <v>3.4351145038167941E-2</v>
      </c>
      <c r="AD959" s="64">
        <f t="shared" si="231"/>
        <v>0</v>
      </c>
      <c r="AE959" s="71">
        <v>1355</v>
      </c>
      <c r="AF959" s="64">
        <f t="shared" si="224"/>
        <v>3.4351145038167941E-2</v>
      </c>
      <c r="AG959" s="64">
        <f t="shared" si="232"/>
        <v>0</v>
      </c>
      <c r="AH959" s="67"/>
      <c r="AI959" s="47" t="s">
        <v>54</v>
      </c>
      <c r="AJ959" s="47">
        <v>667.37</v>
      </c>
      <c r="AK959" s="47" t="s">
        <v>65</v>
      </c>
      <c r="AL959" s="47" t="s">
        <v>65</v>
      </c>
      <c r="AM959" s="47" t="s">
        <v>2471</v>
      </c>
      <c r="AN959" s="50">
        <v>1355</v>
      </c>
      <c r="AO959" s="211">
        <f t="shared" si="225"/>
        <v>3.4351145038167941E-2</v>
      </c>
      <c r="AP959" s="47" t="s">
        <v>90</v>
      </c>
      <c r="AQ959" s="91" t="s">
        <v>116</v>
      </c>
      <c r="AR959" s="47"/>
    </row>
    <row r="960" spans="1:44" hidden="1">
      <c r="A960" s="47" t="s">
        <v>44</v>
      </c>
      <c r="B960" s="47" t="str">
        <f t="shared" si="220"/>
        <v>August</v>
      </c>
      <c r="C960" s="59">
        <v>45525</v>
      </c>
      <c r="D960" s="47" t="s">
        <v>45</v>
      </c>
      <c r="E960" s="47" t="s">
        <v>166</v>
      </c>
      <c r="F960" s="47" t="s">
        <v>167</v>
      </c>
      <c r="G960" s="47" t="s">
        <v>2632</v>
      </c>
      <c r="H960" s="47" t="s">
        <v>2633</v>
      </c>
      <c r="I960" s="47" t="s">
        <v>50</v>
      </c>
      <c r="J960" s="47" t="s">
        <v>51</v>
      </c>
      <c r="K960" s="48">
        <v>45160</v>
      </c>
      <c r="L960" s="48">
        <v>45160</v>
      </c>
      <c r="M960" s="48">
        <v>45525</v>
      </c>
      <c r="N960" s="47" t="s">
        <v>52</v>
      </c>
      <c r="O960" s="55" t="s">
        <v>53</v>
      </c>
      <c r="P960" s="62">
        <v>15840</v>
      </c>
      <c r="Q960" s="62">
        <v>1320</v>
      </c>
      <c r="R960" s="96">
        <v>16380</v>
      </c>
      <c r="S960" s="62">
        <f t="shared" si="221"/>
        <v>1365</v>
      </c>
      <c r="T960" s="62">
        <v>15840</v>
      </c>
      <c r="U960" s="62">
        <f t="shared" si="226"/>
        <v>1320</v>
      </c>
      <c r="V960" s="69">
        <v>14400</v>
      </c>
      <c r="W960" s="71">
        <v>1365</v>
      </c>
      <c r="X960" s="71"/>
      <c r="Y960" s="71"/>
      <c r="Z960" s="64">
        <f t="shared" si="222"/>
        <v>3.4090909090909088E-2</v>
      </c>
      <c r="AA960" s="64">
        <f t="shared" si="230"/>
        <v>0</v>
      </c>
      <c r="AB960" s="71">
        <f t="shared" si="233"/>
        <v>1365</v>
      </c>
      <c r="AC960" s="64">
        <f t="shared" si="223"/>
        <v>3.4090909090909088E-2</v>
      </c>
      <c r="AD960" s="64">
        <f t="shared" si="231"/>
        <v>0</v>
      </c>
      <c r="AE960" s="71">
        <v>1365</v>
      </c>
      <c r="AF960" s="64">
        <f t="shared" si="224"/>
        <v>3.4090909090909088E-2</v>
      </c>
      <c r="AG960" s="64">
        <f t="shared" si="232"/>
        <v>0</v>
      </c>
      <c r="AH960" s="67"/>
      <c r="AI960" s="47" t="s">
        <v>54</v>
      </c>
      <c r="AJ960" s="47">
        <v>688.9</v>
      </c>
      <c r="AK960" s="47" t="s">
        <v>65</v>
      </c>
      <c r="AL960" s="47" t="s">
        <v>65</v>
      </c>
      <c r="AM960" s="47" t="s">
        <v>2471</v>
      </c>
      <c r="AN960" s="50"/>
      <c r="AO960" s="211">
        <f t="shared" si="225"/>
        <v>-1</v>
      </c>
      <c r="AP960" s="47" t="s">
        <v>90</v>
      </c>
      <c r="AQ960" s="91" t="s">
        <v>116</v>
      </c>
      <c r="AR960" s="47"/>
    </row>
    <row r="961" spans="1:44">
      <c r="A961" s="47" t="s">
        <v>44</v>
      </c>
      <c r="B961" s="47" t="str">
        <f t="shared" si="220"/>
        <v>August</v>
      </c>
      <c r="C961" s="59">
        <v>45526</v>
      </c>
      <c r="D961" s="47" t="s">
        <v>45</v>
      </c>
      <c r="E961" s="47" t="s">
        <v>166</v>
      </c>
      <c r="F961" s="47" t="s">
        <v>167</v>
      </c>
      <c r="G961" s="47" t="s">
        <v>2704</v>
      </c>
      <c r="H961" s="47" t="s">
        <v>2705</v>
      </c>
      <c r="I961" s="47" t="s">
        <v>50</v>
      </c>
      <c r="J961" s="47" t="s">
        <v>51</v>
      </c>
      <c r="K961" s="48">
        <v>44035</v>
      </c>
      <c r="L961" s="48">
        <v>45161</v>
      </c>
      <c r="M961" s="48">
        <v>45526</v>
      </c>
      <c r="N961" s="47" t="s">
        <v>64</v>
      </c>
      <c r="O961" s="55" t="s">
        <v>53</v>
      </c>
      <c r="P961" s="62">
        <v>14580</v>
      </c>
      <c r="Q961" s="62">
        <v>1215</v>
      </c>
      <c r="R961" s="96">
        <v>15420</v>
      </c>
      <c r="S961" s="62">
        <f t="shared" si="221"/>
        <v>1285</v>
      </c>
      <c r="T961" s="62">
        <v>15420</v>
      </c>
      <c r="U961" s="62">
        <f t="shared" si="226"/>
        <v>1285</v>
      </c>
      <c r="V961" s="69">
        <v>13740</v>
      </c>
      <c r="W961" s="71">
        <v>1355</v>
      </c>
      <c r="X961" s="71"/>
      <c r="Y961" s="71"/>
      <c r="Z961" s="64">
        <f t="shared" si="222"/>
        <v>5.4474708171206226E-2</v>
      </c>
      <c r="AA961" s="64">
        <f t="shared" si="230"/>
        <v>5.4474708171206226E-2</v>
      </c>
      <c r="AB961" s="71">
        <f t="shared" si="233"/>
        <v>1355</v>
      </c>
      <c r="AC961" s="64">
        <f t="shared" si="223"/>
        <v>5.4474708171206226E-2</v>
      </c>
      <c r="AD961" s="64">
        <f t="shared" si="231"/>
        <v>5.4474708171206226E-2</v>
      </c>
      <c r="AE961" s="71">
        <v>1340</v>
      </c>
      <c r="AF961" s="64">
        <f t="shared" si="224"/>
        <v>4.2801556420233464E-2</v>
      </c>
      <c r="AG961" s="64">
        <f t="shared" si="232"/>
        <v>4.2801556420233464E-2</v>
      </c>
      <c r="AH961" s="67"/>
      <c r="AI961" s="47" t="s">
        <v>54</v>
      </c>
      <c r="AJ961" s="47">
        <v>613.54999999999995</v>
      </c>
      <c r="AK961" s="47" t="s">
        <v>65</v>
      </c>
      <c r="AL961" s="47" t="s">
        <v>65</v>
      </c>
      <c r="AM961" s="47" t="s">
        <v>1552</v>
      </c>
      <c r="AN961" s="50">
        <v>1340</v>
      </c>
      <c r="AO961" s="211">
        <f t="shared" si="225"/>
        <v>4.2801556420233464E-2</v>
      </c>
      <c r="AP961" s="47" t="s">
        <v>90</v>
      </c>
      <c r="AQ961" s="91" t="s">
        <v>116</v>
      </c>
      <c r="AR961" s="47"/>
    </row>
    <row r="962" spans="1:44">
      <c r="A962" s="47" t="s">
        <v>44</v>
      </c>
      <c r="B962" s="47" t="str">
        <f t="shared" ref="B962:B1025" si="234">TEXT(C962,"mmmm")</f>
        <v>July</v>
      </c>
      <c r="C962" s="59">
        <v>45504</v>
      </c>
      <c r="D962" s="47" t="s">
        <v>45</v>
      </c>
      <c r="E962" s="47" t="s">
        <v>166</v>
      </c>
      <c r="F962" s="47" t="s">
        <v>167</v>
      </c>
      <c r="G962" s="47" t="s">
        <v>2838</v>
      </c>
      <c r="H962" s="47" t="s">
        <v>2839</v>
      </c>
      <c r="I962" s="47" t="s">
        <v>2840</v>
      </c>
      <c r="J962" s="47" t="s">
        <v>51</v>
      </c>
      <c r="K962" s="48">
        <v>44774</v>
      </c>
      <c r="L962" s="48">
        <v>45139</v>
      </c>
      <c r="M962" s="48">
        <v>45504</v>
      </c>
      <c r="N962" s="47" t="s">
        <v>64</v>
      </c>
      <c r="O962" s="55" t="s">
        <v>53</v>
      </c>
      <c r="P962" s="62">
        <v>15000</v>
      </c>
      <c r="Q962" s="62">
        <v>1250</v>
      </c>
      <c r="R962" s="96">
        <v>15540</v>
      </c>
      <c r="S962" s="62">
        <f t="shared" ref="S962:S1025" si="235">R962/12</f>
        <v>1295</v>
      </c>
      <c r="T962" s="62">
        <v>15000</v>
      </c>
      <c r="U962" s="62">
        <f t="shared" si="226"/>
        <v>1250</v>
      </c>
      <c r="V962" s="69">
        <v>13440</v>
      </c>
      <c r="W962" s="71">
        <v>1300</v>
      </c>
      <c r="X962" s="71"/>
      <c r="Y962" s="71"/>
      <c r="Z962" s="64">
        <f t="shared" ref="Z962:Z1025" si="236">(W962-U962)/U962</f>
        <v>0.04</v>
      </c>
      <c r="AA962" s="64">
        <f t="shared" si="230"/>
        <v>3.8610038610038611E-3</v>
      </c>
      <c r="AB962" s="71">
        <f t="shared" si="233"/>
        <v>1300</v>
      </c>
      <c r="AC962" s="64">
        <f t="shared" ref="AC962:AC1025" si="237">(AB962-U962)/U962</f>
        <v>0.04</v>
      </c>
      <c r="AD962" s="64">
        <f t="shared" si="231"/>
        <v>3.8610038610038611E-3</v>
      </c>
      <c r="AE962" s="71">
        <v>1300</v>
      </c>
      <c r="AF962" s="64">
        <f t="shared" ref="AF962:AF1025" si="238">(AE962-U962)/U962</f>
        <v>0.04</v>
      </c>
      <c r="AG962" s="64">
        <f t="shared" si="232"/>
        <v>3.8610038610038611E-3</v>
      </c>
      <c r="AH962" s="67"/>
      <c r="AI962" s="47" t="s">
        <v>54</v>
      </c>
      <c r="AJ962" s="47">
        <v>688.9</v>
      </c>
      <c r="AK962" s="47" t="s">
        <v>65</v>
      </c>
      <c r="AL962" s="47" t="s">
        <v>65</v>
      </c>
      <c r="AM962" s="47" t="s">
        <v>2841</v>
      </c>
      <c r="AN962" s="50"/>
      <c r="AO962" s="211">
        <f t="shared" ref="AO962:AO1025" si="239">SUM(AN962-U962)/U962</f>
        <v>-1</v>
      </c>
      <c r="AP962" s="47" t="s">
        <v>90</v>
      </c>
      <c r="AQ962" s="91" t="s">
        <v>116</v>
      </c>
      <c r="AR962" s="47"/>
    </row>
    <row r="963" spans="1:44">
      <c r="A963" s="47" t="s">
        <v>44</v>
      </c>
      <c r="B963" s="47" t="str">
        <f t="shared" si="234"/>
        <v>July</v>
      </c>
      <c r="C963" s="59">
        <v>45500</v>
      </c>
      <c r="D963" s="47" t="s">
        <v>45</v>
      </c>
      <c r="E963" s="47" t="s">
        <v>166</v>
      </c>
      <c r="F963" s="47" t="s">
        <v>167</v>
      </c>
      <c r="G963" s="47" t="s">
        <v>2898</v>
      </c>
      <c r="H963" s="47" t="s">
        <v>2899</v>
      </c>
      <c r="I963" s="47" t="s">
        <v>50</v>
      </c>
      <c r="J963" s="47" t="s">
        <v>51</v>
      </c>
      <c r="K963" s="48">
        <v>44770</v>
      </c>
      <c r="L963" s="48">
        <v>45135</v>
      </c>
      <c r="M963" s="48">
        <v>45500</v>
      </c>
      <c r="N963" s="47" t="s">
        <v>64</v>
      </c>
      <c r="O963" s="55" t="s">
        <v>53</v>
      </c>
      <c r="P963" s="62">
        <v>14820</v>
      </c>
      <c r="Q963" s="62">
        <v>1235</v>
      </c>
      <c r="R963" s="96">
        <v>15360</v>
      </c>
      <c r="S963" s="62">
        <f t="shared" si="235"/>
        <v>1280</v>
      </c>
      <c r="T963" s="62">
        <v>14820</v>
      </c>
      <c r="U963" s="62">
        <f t="shared" si="226"/>
        <v>1235</v>
      </c>
      <c r="V963" s="69">
        <v>13440</v>
      </c>
      <c r="W963" s="71">
        <v>1300</v>
      </c>
      <c r="X963" s="71"/>
      <c r="Y963" s="71"/>
      <c r="Z963" s="64">
        <f t="shared" si="236"/>
        <v>5.2631578947368418E-2</v>
      </c>
      <c r="AA963" s="64">
        <f t="shared" si="230"/>
        <v>1.5625E-2</v>
      </c>
      <c r="AB963" s="71">
        <f t="shared" si="233"/>
        <v>1300</v>
      </c>
      <c r="AC963" s="64">
        <f t="shared" si="237"/>
        <v>5.2631578947368418E-2</v>
      </c>
      <c r="AD963" s="64">
        <f t="shared" si="231"/>
        <v>1.5625E-2</v>
      </c>
      <c r="AE963" s="71">
        <v>1285</v>
      </c>
      <c r="AF963" s="64">
        <f t="shared" si="238"/>
        <v>4.048582995951417E-2</v>
      </c>
      <c r="AG963" s="64">
        <f t="shared" si="232"/>
        <v>3.90625E-3</v>
      </c>
      <c r="AH963" s="67"/>
      <c r="AI963" s="47" t="s">
        <v>54</v>
      </c>
      <c r="AJ963" s="47">
        <v>667.37</v>
      </c>
      <c r="AK963" s="47" t="s">
        <v>65</v>
      </c>
      <c r="AL963" s="47" t="s">
        <v>65</v>
      </c>
      <c r="AM963" s="47" t="s">
        <v>2900</v>
      </c>
      <c r="AN963" s="50"/>
      <c r="AO963" s="211">
        <f t="shared" si="239"/>
        <v>-1</v>
      </c>
      <c r="AP963" s="47" t="s">
        <v>90</v>
      </c>
      <c r="AQ963" s="91" t="s">
        <v>116</v>
      </c>
      <c r="AR963" s="47"/>
    </row>
    <row r="964" spans="1:44">
      <c r="A964" s="47" t="s">
        <v>44</v>
      </c>
      <c r="B964" s="47" t="str">
        <f t="shared" si="234"/>
        <v>July</v>
      </c>
      <c r="C964" s="59">
        <v>45487</v>
      </c>
      <c r="D964" s="47" t="s">
        <v>45</v>
      </c>
      <c r="E964" s="47" t="s">
        <v>166</v>
      </c>
      <c r="F964" s="47" t="s">
        <v>167</v>
      </c>
      <c r="G964" s="47" t="s">
        <v>2901</v>
      </c>
      <c r="H964" s="47" t="s">
        <v>2902</v>
      </c>
      <c r="I964" s="47" t="s">
        <v>50</v>
      </c>
      <c r="J964" s="47" t="s">
        <v>51</v>
      </c>
      <c r="K964" s="48">
        <v>44392</v>
      </c>
      <c r="L964" s="48">
        <v>45122</v>
      </c>
      <c r="M964" s="48">
        <v>45487</v>
      </c>
      <c r="N964" s="47" t="s">
        <v>64</v>
      </c>
      <c r="O964" s="55" t="s">
        <v>53</v>
      </c>
      <c r="P964" s="62">
        <v>14460</v>
      </c>
      <c r="Q964" s="62">
        <v>1205</v>
      </c>
      <c r="R964" s="96">
        <v>14940</v>
      </c>
      <c r="S964" s="62">
        <f t="shared" si="235"/>
        <v>1245</v>
      </c>
      <c r="T964" s="62">
        <v>14460</v>
      </c>
      <c r="U964" s="62">
        <f t="shared" si="226"/>
        <v>1205</v>
      </c>
      <c r="V964" s="69">
        <v>13440</v>
      </c>
      <c r="W964" s="71">
        <v>1250</v>
      </c>
      <c r="X964" s="71"/>
      <c r="Y964" s="71"/>
      <c r="Z964" s="64">
        <f t="shared" si="236"/>
        <v>3.7344398340248962E-2</v>
      </c>
      <c r="AA964" s="64">
        <f t="shared" si="230"/>
        <v>4.0160642570281121E-3</v>
      </c>
      <c r="AB964" s="71">
        <f t="shared" si="233"/>
        <v>1250</v>
      </c>
      <c r="AC964" s="64">
        <f t="shared" si="237"/>
        <v>3.7344398340248962E-2</v>
      </c>
      <c r="AD964" s="64">
        <f t="shared" si="231"/>
        <v>4.0160642570281121E-3</v>
      </c>
      <c r="AE964" s="71">
        <v>1250</v>
      </c>
      <c r="AF964" s="64">
        <f t="shared" si="238"/>
        <v>3.7344398340248962E-2</v>
      </c>
      <c r="AG964" s="64">
        <f t="shared" si="232"/>
        <v>4.0160642570281121E-3</v>
      </c>
      <c r="AH964" s="67"/>
      <c r="AI964" s="47" t="s">
        <v>54</v>
      </c>
      <c r="AJ964" s="47">
        <v>624.30999999999995</v>
      </c>
      <c r="AK964" s="47" t="s">
        <v>65</v>
      </c>
      <c r="AL964" s="47" t="s">
        <v>65</v>
      </c>
      <c r="AM964" s="47" t="s">
        <v>2903</v>
      </c>
      <c r="AN964" s="50">
        <v>1250</v>
      </c>
      <c r="AO964" s="211">
        <f t="shared" si="239"/>
        <v>3.7344398340248962E-2</v>
      </c>
      <c r="AP964" s="47" t="s">
        <v>90</v>
      </c>
      <c r="AQ964" s="91" t="s">
        <v>116</v>
      </c>
      <c r="AR964" s="47"/>
    </row>
    <row r="965" spans="1:44">
      <c r="A965" s="47" t="s">
        <v>44</v>
      </c>
      <c r="B965" s="47" t="str">
        <f t="shared" si="234"/>
        <v>July</v>
      </c>
      <c r="C965" s="59">
        <v>45494</v>
      </c>
      <c r="D965" s="47" t="s">
        <v>45</v>
      </c>
      <c r="E965" s="47" t="s">
        <v>166</v>
      </c>
      <c r="F965" s="47" t="s">
        <v>167</v>
      </c>
      <c r="G965" s="47" t="s">
        <v>2904</v>
      </c>
      <c r="H965" s="47" t="s">
        <v>2905</v>
      </c>
      <c r="I965" s="47" t="s">
        <v>2906</v>
      </c>
      <c r="J965" s="47" t="s">
        <v>51</v>
      </c>
      <c r="K965" s="48">
        <v>44034</v>
      </c>
      <c r="L965" s="48">
        <v>45129</v>
      </c>
      <c r="M965" s="48">
        <v>45494</v>
      </c>
      <c r="N965" s="47" t="s">
        <v>64</v>
      </c>
      <c r="O965" s="55" t="s">
        <v>53</v>
      </c>
      <c r="P965" s="62">
        <v>19260</v>
      </c>
      <c r="Q965" s="62">
        <v>1605</v>
      </c>
      <c r="R965" s="96">
        <v>20220</v>
      </c>
      <c r="S965" s="62">
        <f t="shared" si="235"/>
        <v>1685</v>
      </c>
      <c r="T965" s="62">
        <v>19260</v>
      </c>
      <c r="U965" s="62">
        <f t="shared" si="226"/>
        <v>1605</v>
      </c>
      <c r="V965" s="69">
        <v>17604</v>
      </c>
      <c r="W965" s="71">
        <v>1700</v>
      </c>
      <c r="X965" s="71"/>
      <c r="Y965" s="71"/>
      <c r="Z965" s="64">
        <f t="shared" si="236"/>
        <v>5.9190031152647975E-2</v>
      </c>
      <c r="AA965" s="64">
        <f t="shared" si="230"/>
        <v>8.9020771513353119E-3</v>
      </c>
      <c r="AB965" s="71">
        <f t="shared" si="233"/>
        <v>1700</v>
      </c>
      <c r="AC965" s="64">
        <f t="shared" si="237"/>
        <v>5.9190031152647975E-2</v>
      </c>
      <c r="AD965" s="64">
        <f t="shared" si="231"/>
        <v>8.9020771513353119E-3</v>
      </c>
      <c r="AE965" s="71">
        <f>AB965-20</f>
        <v>1680</v>
      </c>
      <c r="AF965" s="64">
        <f t="shared" si="238"/>
        <v>4.6728971962616821E-2</v>
      </c>
      <c r="AG965" s="64">
        <f t="shared" si="232"/>
        <v>-2.967359050445104E-3</v>
      </c>
      <c r="AH965" s="67"/>
      <c r="AI965" s="47" t="s">
        <v>54</v>
      </c>
      <c r="AJ965" s="47">
        <v>818.06</v>
      </c>
      <c r="AK965" s="47" t="s">
        <v>140</v>
      </c>
      <c r="AL965" s="47" t="s">
        <v>65</v>
      </c>
      <c r="AM965" s="47" t="s">
        <v>2907</v>
      </c>
      <c r="AN965" s="50"/>
      <c r="AO965" s="211">
        <f t="shared" si="239"/>
        <v>-1</v>
      </c>
      <c r="AP965" s="47" t="s">
        <v>90</v>
      </c>
      <c r="AQ965" s="91" t="s">
        <v>116</v>
      </c>
      <c r="AR965" s="47"/>
    </row>
    <row r="966" spans="1:44">
      <c r="A966" s="47" t="s">
        <v>44</v>
      </c>
      <c r="B966" s="47" t="str">
        <f t="shared" si="234"/>
        <v>July</v>
      </c>
      <c r="C966" s="59">
        <v>45500</v>
      </c>
      <c r="D966" s="47" t="s">
        <v>45</v>
      </c>
      <c r="E966" s="47" t="s">
        <v>166</v>
      </c>
      <c r="F966" s="47" t="s">
        <v>167</v>
      </c>
      <c r="G966" s="47" t="s">
        <v>2908</v>
      </c>
      <c r="H966" s="47" t="s">
        <v>1049</v>
      </c>
      <c r="I966" s="47" t="s">
        <v>50</v>
      </c>
      <c r="J966" s="47" t="s">
        <v>51</v>
      </c>
      <c r="K966" s="48">
        <v>44770</v>
      </c>
      <c r="L966" s="48">
        <v>45135</v>
      </c>
      <c r="M966" s="48">
        <v>45500</v>
      </c>
      <c r="N966" s="47" t="s">
        <v>64</v>
      </c>
      <c r="O966" s="55" t="s">
        <v>889</v>
      </c>
      <c r="P966" s="62">
        <v>14040</v>
      </c>
      <c r="Q966" s="62">
        <v>1170</v>
      </c>
      <c r="R966" s="96">
        <v>14520</v>
      </c>
      <c r="S966" s="62">
        <f t="shared" si="235"/>
        <v>1210</v>
      </c>
      <c r="T966" s="62">
        <v>14040</v>
      </c>
      <c r="U966" s="62">
        <f t="shared" ref="U966:U1029" si="240">T966/12</f>
        <v>1170</v>
      </c>
      <c r="V966" s="69">
        <v>13200</v>
      </c>
      <c r="W966" s="71">
        <v>1310</v>
      </c>
      <c r="X966" s="71"/>
      <c r="Y966" s="71"/>
      <c r="Z966" s="64">
        <f t="shared" si="236"/>
        <v>0.11965811965811966</v>
      </c>
      <c r="AA966" s="64">
        <f t="shared" si="230"/>
        <v>8.2644628099173556E-2</v>
      </c>
      <c r="AB966" s="71">
        <f t="shared" si="233"/>
        <v>1310</v>
      </c>
      <c r="AC966" s="64">
        <f t="shared" si="237"/>
        <v>0.11965811965811966</v>
      </c>
      <c r="AD966" s="64">
        <f t="shared" si="231"/>
        <v>8.2644628099173556E-2</v>
      </c>
      <c r="AE966" s="71">
        <v>1250</v>
      </c>
      <c r="AF966" s="64">
        <f t="shared" si="238"/>
        <v>6.8376068376068383E-2</v>
      </c>
      <c r="AG966" s="64">
        <f t="shared" si="232"/>
        <v>3.3057851239669422E-2</v>
      </c>
      <c r="AH966" s="67"/>
      <c r="AI966" s="47" t="s">
        <v>54</v>
      </c>
      <c r="AJ966" s="47">
        <v>667.37</v>
      </c>
      <c r="AK966" s="101" t="s">
        <v>65</v>
      </c>
      <c r="AL966" s="101" t="s">
        <v>65</v>
      </c>
      <c r="AM966" s="47" t="s">
        <v>2909</v>
      </c>
      <c r="AN966" s="50">
        <v>1220</v>
      </c>
      <c r="AO966" s="211">
        <f t="shared" si="239"/>
        <v>4.2735042735042736E-2</v>
      </c>
      <c r="AP966" s="47" t="s">
        <v>852</v>
      </c>
      <c r="AQ966" s="168" t="s">
        <v>1050</v>
      </c>
      <c r="AR966" s="47"/>
    </row>
    <row r="967" spans="1:44" hidden="1">
      <c r="A967" s="47" t="s">
        <v>44</v>
      </c>
      <c r="B967" s="47" t="str">
        <f t="shared" si="234"/>
        <v>July</v>
      </c>
      <c r="C967" s="59">
        <v>45475</v>
      </c>
      <c r="D967" s="47" t="s">
        <v>45</v>
      </c>
      <c r="E967" s="47" t="s">
        <v>166</v>
      </c>
      <c r="F967" s="47" t="s">
        <v>167</v>
      </c>
      <c r="G967" s="47" t="s">
        <v>2910</v>
      </c>
      <c r="H967" s="47" t="s">
        <v>1049</v>
      </c>
      <c r="I967" s="47" t="s">
        <v>50</v>
      </c>
      <c r="J967" s="47" t="s">
        <v>51</v>
      </c>
      <c r="K967" s="48">
        <v>45110</v>
      </c>
      <c r="L967" s="48">
        <v>45110</v>
      </c>
      <c r="M967" s="48">
        <v>45475</v>
      </c>
      <c r="N967" s="47" t="s">
        <v>52</v>
      </c>
      <c r="O967" s="55" t="s">
        <v>889</v>
      </c>
      <c r="P967" s="62">
        <v>15240</v>
      </c>
      <c r="Q967" s="62">
        <v>1270</v>
      </c>
      <c r="R967" s="96">
        <v>15780</v>
      </c>
      <c r="S967" s="62">
        <f t="shared" si="235"/>
        <v>1315</v>
      </c>
      <c r="T967" s="62">
        <v>14760</v>
      </c>
      <c r="U967" s="62">
        <f t="shared" si="240"/>
        <v>1230</v>
      </c>
      <c r="V967" s="69">
        <v>14340</v>
      </c>
      <c r="W967" s="71">
        <v>1275</v>
      </c>
      <c r="X967" s="71"/>
      <c r="Y967" s="71"/>
      <c r="Z967" s="64">
        <f t="shared" si="236"/>
        <v>3.6585365853658534E-2</v>
      </c>
      <c r="AA967" s="64">
        <f t="shared" si="230"/>
        <v>-3.0418250950570342E-2</v>
      </c>
      <c r="AB967" s="71">
        <f t="shared" si="233"/>
        <v>1275</v>
      </c>
      <c r="AC967" s="64">
        <f t="shared" si="237"/>
        <v>3.6585365853658534E-2</v>
      </c>
      <c r="AD967" s="64">
        <f t="shared" si="231"/>
        <v>-3.0418250950570342E-2</v>
      </c>
      <c r="AE967" s="71">
        <v>1275</v>
      </c>
      <c r="AF967" s="64">
        <f t="shared" si="238"/>
        <v>3.6585365853658534E-2</v>
      </c>
      <c r="AG967" s="64">
        <f t="shared" si="232"/>
        <v>-3.0418250950570342E-2</v>
      </c>
      <c r="AH967" s="67"/>
      <c r="AI967" s="47" t="s">
        <v>54</v>
      </c>
      <c r="AJ967" s="47">
        <v>624.30999999999995</v>
      </c>
      <c r="AK967" s="47" t="s">
        <v>65</v>
      </c>
      <c r="AL967" s="47" t="s">
        <v>65</v>
      </c>
      <c r="AM967" s="47" t="s">
        <v>2911</v>
      </c>
      <c r="AN967" s="50">
        <v>1300</v>
      </c>
      <c r="AO967" s="211">
        <f t="shared" si="239"/>
        <v>5.6910569105691054E-2</v>
      </c>
      <c r="AP967" s="47" t="s">
        <v>852</v>
      </c>
      <c r="AQ967" s="111" t="s">
        <v>125</v>
      </c>
      <c r="AR967" s="47"/>
    </row>
    <row r="968" spans="1:44">
      <c r="A968" s="47" t="s">
        <v>44</v>
      </c>
      <c r="B968" s="47" t="str">
        <f t="shared" si="234"/>
        <v>July</v>
      </c>
      <c r="C968" s="59">
        <v>45485</v>
      </c>
      <c r="D968" s="47" t="s">
        <v>45</v>
      </c>
      <c r="E968" s="47" t="s">
        <v>166</v>
      </c>
      <c r="F968" s="47" t="s">
        <v>167</v>
      </c>
      <c r="G968" s="47" t="s">
        <v>2912</v>
      </c>
      <c r="H968" s="47" t="s">
        <v>2913</v>
      </c>
      <c r="I968" s="47" t="s">
        <v>50</v>
      </c>
      <c r="J968" s="47" t="s">
        <v>51</v>
      </c>
      <c r="K968" s="48">
        <v>44025</v>
      </c>
      <c r="L968" s="48">
        <v>45120</v>
      </c>
      <c r="M968" s="48">
        <v>45485</v>
      </c>
      <c r="N968" s="47" t="s">
        <v>64</v>
      </c>
      <c r="O968" s="55" t="s">
        <v>53</v>
      </c>
      <c r="P968" s="62">
        <v>14880</v>
      </c>
      <c r="Q968" s="62">
        <v>1240</v>
      </c>
      <c r="R968" s="96">
        <v>15420</v>
      </c>
      <c r="S968" s="62">
        <f t="shared" si="235"/>
        <v>1285</v>
      </c>
      <c r="T968" s="62">
        <v>14880</v>
      </c>
      <c r="U968" s="62">
        <f t="shared" si="240"/>
        <v>1240</v>
      </c>
      <c r="V968" s="69">
        <v>13620</v>
      </c>
      <c r="W968" s="71">
        <v>1340</v>
      </c>
      <c r="X968" s="71"/>
      <c r="Y968" s="71"/>
      <c r="Z968" s="64">
        <f t="shared" si="236"/>
        <v>8.0645161290322578E-2</v>
      </c>
      <c r="AA968" s="64">
        <f t="shared" si="230"/>
        <v>4.2801556420233464E-2</v>
      </c>
      <c r="AB968" s="71">
        <f t="shared" si="233"/>
        <v>1340</v>
      </c>
      <c r="AC968" s="64">
        <f t="shared" si="237"/>
        <v>8.0645161290322578E-2</v>
      </c>
      <c r="AD968" s="64">
        <f t="shared" si="231"/>
        <v>4.2801556420233464E-2</v>
      </c>
      <c r="AE968" s="71">
        <v>1315</v>
      </c>
      <c r="AF968" s="64">
        <f t="shared" si="238"/>
        <v>6.0483870967741937E-2</v>
      </c>
      <c r="AG968" s="64">
        <f t="shared" si="232"/>
        <v>2.3346303501945526E-2</v>
      </c>
      <c r="AH968" s="67"/>
      <c r="AI968" s="47" t="s">
        <v>250</v>
      </c>
      <c r="AJ968" s="47">
        <v>613.54999999999995</v>
      </c>
      <c r="AK968" s="47" t="s">
        <v>65</v>
      </c>
      <c r="AL968" s="47" t="s">
        <v>65</v>
      </c>
      <c r="AM968" s="47" t="s">
        <v>2914</v>
      </c>
      <c r="AN968" s="50">
        <v>1315</v>
      </c>
      <c r="AO968" s="211">
        <f t="shared" si="239"/>
        <v>6.0483870967741937E-2</v>
      </c>
      <c r="AP968" s="47" t="s">
        <v>90</v>
      </c>
      <c r="AQ968" s="91" t="s">
        <v>116</v>
      </c>
      <c r="AR968" s="47"/>
    </row>
    <row r="969" spans="1:44" hidden="1">
      <c r="A969" s="47" t="s">
        <v>44</v>
      </c>
      <c r="B969" s="47" t="str">
        <f t="shared" si="234"/>
        <v>July</v>
      </c>
      <c r="C969" s="59">
        <v>45498</v>
      </c>
      <c r="D969" s="47" t="s">
        <v>45</v>
      </c>
      <c r="E969" s="47" t="s">
        <v>166</v>
      </c>
      <c r="F969" s="47" t="s">
        <v>167</v>
      </c>
      <c r="G969" s="47" t="s">
        <v>2915</v>
      </c>
      <c r="H969" s="47" t="s">
        <v>2916</v>
      </c>
      <c r="I969" s="47" t="s">
        <v>50</v>
      </c>
      <c r="J969" s="47" t="s">
        <v>51</v>
      </c>
      <c r="K969" s="48">
        <v>45133</v>
      </c>
      <c r="L969" s="48">
        <v>45133</v>
      </c>
      <c r="M969" s="48">
        <v>45498</v>
      </c>
      <c r="N969" s="47" t="s">
        <v>52</v>
      </c>
      <c r="O969" s="55" t="s">
        <v>53</v>
      </c>
      <c r="P969" s="62">
        <v>14940</v>
      </c>
      <c r="Q969" s="62">
        <v>1245</v>
      </c>
      <c r="R969" s="96">
        <v>15480</v>
      </c>
      <c r="S969" s="62">
        <f t="shared" si="235"/>
        <v>1290</v>
      </c>
      <c r="T969" s="62">
        <v>14940</v>
      </c>
      <c r="U969" s="62">
        <f t="shared" si="240"/>
        <v>1245</v>
      </c>
      <c r="V969" s="69">
        <v>13680</v>
      </c>
      <c r="W969" s="71">
        <v>1290</v>
      </c>
      <c r="X969" s="71"/>
      <c r="Y969" s="71"/>
      <c r="Z969" s="64">
        <f t="shared" si="236"/>
        <v>3.614457831325301E-2</v>
      </c>
      <c r="AA969" s="64">
        <f t="shared" si="230"/>
        <v>0</v>
      </c>
      <c r="AB969" s="71">
        <f t="shared" si="233"/>
        <v>1290</v>
      </c>
      <c r="AC969" s="64">
        <f t="shared" si="237"/>
        <v>3.614457831325301E-2</v>
      </c>
      <c r="AD969" s="64">
        <f t="shared" si="231"/>
        <v>0</v>
      </c>
      <c r="AE969" s="71">
        <v>1290</v>
      </c>
      <c r="AF969" s="64">
        <f t="shared" si="238"/>
        <v>3.614457831325301E-2</v>
      </c>
      <c r="AG969" s="64">
        <f t="shared" si="232"/>
        <v>0</v>
      </c>
      <c r="AH969" s="67"/>
      <c r="AI969" s="47" t="s">
        <v>54</v>
      </c>
      <c r="AJ969" s="47">
        <v>656.6</v>
      </c>
      <c r="AK969" s="47" t="s">
        <v>65</v>
      </c>
      <c r="AL969" s="47" t="s">
        <v>65</v>
      </c>
      <c r="AM969" s="47" t="s">
        <v>217</v>
      </c>
      <c r="AN969" s="50"/>
      <c r="AO969" s="211">
        <f t="shared" si="239"/>
        <v>-1</v>
      </c>
      <c r="AP969" s="47" t="s">
        <v>90</v>
      </c>
      <c r="AQ969" s="91" t="s">
        <v>116</v>
      </c>
      <c r="AR969" s="47"/>
    </row>
    <row r="970" spans="1:44" hidden="1">
      <c r="A970" s="47" t="s">
        <v>44</v>
      </c>
      <c r="B970" s="47" t="str">
        <f t="shared" si="234"/>
        <v>July</v>
      </c>
      <c r="C970" s="59">
        <v>45504</v>
      </c>
      <c r="D970" s="47" t="s">
        <v>45</v>
      </c>
      <c r="E970" s="47" t="s">
        <v>166</v>
      </c>
      <c r="F970" s="47" t="s">
        <v>167</v>
      </c>
      <c r="G970" s="47" t="s">
        <v>2917</v>
      </c>
      <c r="H970" s="47" t="s">
        <v>2918</v>
      </c>
      <c r="I970" s="47" t="s">
        <v>50</v>
      </c>
      <c r="J970" s="47" t="s">
        <v>51</v>
      </c>
      <c r="K970" s="48">
        <v>45139</v>
      </c>
      <c r="L970" s="48">
        <v>45139</v>
      </c>
      <c r="M970" s="48">
        <v>45504</v>
      </c>
      <c r="N970" s="47" t="s">
        <v>52</v>
      </c>
      <c r="O970" s="55" t="s">
        <v>53</v>
      </c>
      <c r="P970" s="62">
        <v>15300</v>
      </c>
      <c r="Q970" s="62">
        <v>1275</v>
      </c>
      <c r="R970" s="96">
        <v>15840</v>
      </c>
      <c r="S970" s="62">
        <f t="shared" si="235"/>
        <v>1320</v>
      </c>
      <c r="T970" s="62">
        <v>15300</v>
      </c>
      <c r="U970" s="62">
        <f t="shared" si="240"/>
        <v>1275</v>
      </c>
      <c r="V970" s="69">
        <v>14100</v>
      </c>
      <c r="W970" s="71">
        <v>1310</v>
      </c>
      <c r="X970" s="71"/>
      <c r="Y970" s="71"/>
      <c r="Z970" s="64">
        <f t="shared" si="236"/>
        <v>2.7450980392156862E-2</v>
      </c>
      <c r="AA970" s="64">
        <f t="shared" si="230"/>
        <v>-7.575757575757576E-3</v>
      </c>
      <c r="AB970" s="71">
        <f t="shared" ref="AB970:AB984" si="241">W970</f>
        <v>1310</v>
      </c>
      <c r="AC970" s="64">
        <f t="shared" si="237"/>
        <v>2.7450980392156862E-2</v>
      </c>
      <c r="AD970" s="64">
        <f t="shared" si="231"/>
        <v>-7.575757575757576E-3</v>
      </c>
      <c r="AE970" s="71">
        <v>1310</v>
      </c>
      <c r="AF970" s="64">
        <f t="shared" si="238"/>
        <v>2.7450980392156862E-2</v>
      </c>
      <c r="AG970" s="64">
        <f t="shared" si="232"/>
        <v>-7.575757575757576E-3</v>
      </c>
      <c r="AH970" s="67"/>
      <c r="AI970" s="47" t="s">
        <v>54</v>
      </c>
      <c r="AJ970" s="47">
        <v>678.13</v>
      </c>
      <c r="AK970" s="47" t="s">
        <v>65</v>
      </c>
      <c r="AL970" s="47" t="s">
        <v>65</v>
      </c>
      <c r="AM970" s="47" t="s">
        <v>217</v>
      </c>
      <c r="AN970" s="50"/>
      <c r="AO970" s="211">
        <f t="shared" si="239"/>
        <v>-1</v>
      </c>
      <c r="AP970" s="47" t="s">
        <v>90</v>
      </c>
      <c r="AQ970" s="91" t="s">
        <v>116</v>
      </c>
      <c r="AR970" s="47"/>
    </row>
    <row r="971" spans="1:44">
      <c r="A971" s="47" t="s">
        <v>44</v>
      </c>
      <c r="B971" s="47" t="str">
        <f t="shared" si="234"/>
        <v>July</v>
      </c>
      <c r="C971" s="59">
        <v>45504</v>
      </c>
      <c r="D971" s="47" t="s">
        <v>45</v>
      </c>
      <c r="E971" s="47" t="s">
        <v>166</v>
      </c>
      <c r="F971" s="47" t="s">
        <v>167</v>
      </c>
      <c r="G971" s="47" t="s">
        <v>2919</v>
      </c>
      <c r="H971" s="47" t="s">
        <v>2920</v>
      </c>
      <c r="I971" s="47" t="s">
        <v>50</v>
      </c>
      <c r="J971" s="47" t="s">
        <v>51</v>
      </c>
      <c r="K971" s="48">
        <v>43678</v>
      </c>
      <c r="L971" s="48">
        <v>45139</v>
      </c>
      <c r="M971" s="48">
        <v>45504</v>
      </c>
      <c r="N971" s="47" t="s">
        <v>64</v>
      </c>
      <c r="O971" s="55" t="s">
        <v>53</v>
      </c>
      <c r="P971" s="62">
        <v>11160</v>
      </c>
      <c r="Q971" s="62">
        <v>930</v>
      </c>
      <c r="R971" s="96">
        <v>11700</v>
      </c>
      <c r="S971" s="62">
        <f t="shared" si="235"/>
        <v>975</v>
      </c>
      <c r="T971" s="62">
        <v>11160</v>
      </c>
      <c r="U971" s="62">
        <f t="shared" si="240"/>
        <v>930</v>
      </c>
      <c r="V971" s="69">
        <v>10140</v>
      </c>
      <c r="W971" s="71">
        <v>990</v>
      </c>
      <c r="X971" s="71"/>
      <c r="Y971" s="71"/>
      <c r="Z971" s="64">
        <f t="shared" si="236"/>
        <v>6.4516129032258063E-2</v>
      </c>
      <c r="AA971" s="64">
        <f t="shared" si="230"/>
        <v>1.5384615384615385E-2</v>
      </c>
      <c r="AB971" s="71">
        <f t="shared" si="241"/>
        <v>990</v>
      </c>
      <c r="AC971" s="64">
        <f t="shared" si="237"/>
        <v>6.4516129032258063E-2</v>
      </c>
      <c r="AD971" s="64">
        <f t="shared" si="231"/>
        <v>1.5384615384615385E-2</v>
      </c>
      <c r="AE971" s="71">
        <f>AB971-20</f>
        <v>970</v>
      </c>
      <c r="AF971" s="64">
        <f t="shared" si="238"/>
        <v>4.3010752688172046E-2</v>
      </c>
      <c r="AG971" s="64">
        <f t="shared" si="232"/>
        <v>-5.1282051282051282E-3</v>
      </c>
      <c r="AH971" s="67"/>
      <c r="AI971" s="47" t="s">
        <v>54</v>
      </c>
      <c r="AJ971" s="47">
        <v>441.32</v>
      </c>
      <c r="AK971" s="47" t="s">
        <v>55</v>
      </c>
      <c r="AL971" s="47" t="s">
        <v>55</v>
      </c>
      <c r="AM971" s="47" t="s">
        <v>2921</v>
      </c>
      <c r="AN971" s="50"/>
      <c r="AO971" s="211">
        <f t="shared" si="239"/>
        <v>-1</v>
      </c>
      <c r="AP971" s="47" t="s">
        <v>90</v>
      </c>
      <c r="AQ971" s="91" t="s">
        <v>116</v>
      </c>
      <c r="AR971" s="47"/>
    </row>
    <row r="972" spans="1:44">
      <c r="A972" s="47" t="s">
        <v>44</v>
      </c>
      <c r="B972" s="47" t="str">
        <f t="shared" si="234"/>
        <v>July</v>
      </c>
      <c r="C972" s="59">
        <v>45498</v>
      </c>
      <c r="D972" s="47" t="s">
        <v>45</v>
      </c>
      <c r="E972" s="47" t="s">
        <v>166</v>
      </c>
      <c r="F972" s="47" t="s">
        <v>167</v>
      </c>
      <c r="G972" s="47" t="s">
        <v>2922</v>
      </c>
      <c r="H972" s="47" t="s">
        <v>2923</v>
      </c>
      <c r="I972" s="47" t="s">
        <v>50</v>
      </c>
      <c r="J972" s="47" t="s">
        <v>51</v>
      </c>
      <c r="K972" s="48">
        <v>44768</v>
      </c>
      <c r="L972" s="48">
        <v>45133</v>
      </c>
      <c r="M972" s="48">
        <v>45498</v>
      </c>
      <c r="N972" s="47" t="s">
        <v>64</v>
      </c>
      <c r="O972" s="55" t="s">
        <v>53</v>
      </c>
      <c r="P972" s="62">
        <v>14760</v>
      </c>
      <c r="Q972" s="62">
        <v>1230</v>
      </c>
      <c r="R972" s="96">
        <v>15300</v>
      </c>
      <c r="S972" s="62">
        <f t="shared" si="235"/>
        <v>1275</v>
      </c>
      <c r="T972" s="62">
        <v>14760</v>
      </c>
      <c r="U972" s="62">
        <f t="shared" si="240"/>
        <v>1230</v>
      </c>
      <c r="V972" s="69">
        <v>12780</v>
      </c>
      <c r="W972" s="71">
        <v>1275</v>
      </c>
      <c r="X972" s="71"/>
      <c r="Y972" s="71"/>
      <c r="Z972" s="64">
        <f t="shared" si="236"/>
        <v>3.6585365853658534E-2</v>
      </c>
      <c r="AA972" s="64">
        <f t="shared" si="230"/>
        <v>0</v>
      </c>
      <c r="AB972" s="71">
        <f t="shared" si="241"/>
        <v>1275</v>
      </c>
      <c r="AC972" s="64">
        <f t="shared" si="237"/>
        <v>3.6585365853658534E-2</v>
      </c>
      <c r="AD972" s="64">
        <f t="shared" si="231"/>
        <v>0</v>
      </c>
      <c r="AE972" s="71">
        <v>1275</v>
      </c>
      <c r="AF972" s="64">
        <f t="shared" si="238"/>
        <v>3.6585365853658534E-2</v>
      </c>
      <c r="AG972" s="64">
        <f t="shared" si="232"/>
        <v>0</v>
      </c>
      <c r="AH972" s="67"/>
      <c r="AI972" s="47" t="s">
        <v>54</v>
      </c>
      <c r="AJ972" s="47">
        <v>624.30999999999995</v>
      </c>
      <c r="AK972" s="47" t="s">
        <v>65</v>
      </c>
      <c r="AL972" s="47" t="s">
        <v>65</v>
      </c>
      <c r="AM972" s="47" t="s">
        <v>2924</v>
      </c>
      <c r="AN972" s="50">
        <v>1275</v>
      </c>
      <c r="AO972" s="211">
        <f t="shared" si="239"/>
        <v>3.6585365853658534E-2</v>
      </c>
      <c r="AP972" s="47" t="s">
        <v>90</v>
      </c>
      <c r="AQ972" s="91" t="s">
        <v>116</v>
      </c>
      <c r="AR972" s="47"/>
    </row>
    <row r="973" spans="1:44">
      <c r="A973" s="47" t="s">
        <v>44</v>
      </c>
      <c r="B973" s="47" t="str">
        <f t="shared" si="234"/>
        <v>July</v>
      </c>
      <c r="C973" s="59">
        <v>45483</v>
      </c>
      <c r="D973" s="47" t="s">
        <v>45</v>
      </c>
      <c r="E973" s="47" t="s">
        <v>166</v>
      </c>
      <c r="F973" s="47" t="s">
        <v>167</v>
      </c>
      <c r="G973" s="47" t="s">
        <v>2925</v>
      </c>
      <c r="H973" s="47" t="s">
        <v>2926</v>
      </c>
      <c r="I973" s="47" t="s">
        <v>50</v>
      </c>
      <c r="J973" s="47" t="s">
        <v>51</v>
      </c>
      <c r="K973" s="48">
        <v>44753</v>
      </c>
      <c r="L973" s="48">
        <v>45118</v>
      </c>
      <c r="M973" s="48">
        <v>45483</v>
      </c>
      <c r="N973" s="47" t="s">
        <v>64</v>
      </c>
      <c r="O973" s="55" t="s">
        <v>53</v>
      </c>
      <c r="P973" s="62">
        <v>11040</v>
      </c>
      <c r="Q973" s="62">
        <v>920</v>
      </c>
      <c r="R973" s="96">
        <v>11580</v>
      </c>
      <c r="S973" s="62">
        <f t="shared" si="235"/>
        <v>965</v>
      </c>
      <c r="T973" s="62">
        <v>11040</v>
      </c>
      <c r="U973" s="62">
        <f t="shared" si="240"/>
        <v>920</v>
      </c>
      <c r="V973" s="69">
        <v>10020</v>
      </c>
      <c r="W973" s="71">
        <v>1000</v>
      </c>
      <c r="X973" s="71"/>
      <c r="Y973" s="71"/>
      <c r="Z973" s="64">
        <f t="shared" si="236"/>
        <v>8.6956521739130432E-2</v>
      </c>
      <c r="AA973" s="64">
        <f t="shared" si="230"/>
        <v>3.6269430051813469E-2</v>
      </c>
      <c r="AB973" s="71">
        <f t="shared" si="241"/>
        <v>1000</v>
      </c>
      <c r="AC973" s="64">
        <f t="shared" si="237"/>
        <v>8.6956521739130432E-2</v>
      </c>
      <c r="AD973" s="64">
        <f t="shared" si="231"/>
        <v>3.6269430051813469E-2</v>
      </c>
      <c r="AE973" s="71">
        <v>975</v>
      </c>
      <c r="AF973" s="64">
        <f t="shared" si="238"/>
        <v>5.9782608695652176E-2</v>
      </c>
      <c r="AG973" s="64">
        <f t="shared" si="232"/>
        <v>1.0362694300518135E-2</v>
      </c>
      <c r="AH973" s="67"/>
      <c r="AI973" s="47" t="s">
        <v>54</v>
      </c>
      <c r="AJ973" s="47">
        <v>473.62</v>
      </c>
      <c r="AK973" s="47" t="s">
        <v>55</v>
      </c>
      <c r="AL973" s="47" t="s">
        <v>55</v>
      </c>
      <c r="AM973" s="47" t="s">
        <v>2927</v>
      </c>
      <c r="AN973" s="50">
        <v>975</v>
      </c>
      <c r="AO973" s="211">
        <f t="shared" si="239"/>
        <v>5.9782608695652176E-2</v>
      </c>
      <c r="AP973" s="47" t="s">
        <v>90</v>
      </c>
      <c r="AQ973" s="91" t="s">
        <v>116</v>
      </c>
      <c r="AR973" s="47"/>
    </row>
    <row r="974" spans="1:44" hidden="1">
      <c r="A974" s="47" t="s">
        <v>44</v>
      </c>
      <c r="B974" s="47" t="str">
        <f t="shared" si="234"/>
        <v>July</v>
      </c>
      <c r="C974" s="59">
        <v>45503</v>
      </c>
      <c r="D974" s="47" t="s">
        <v>45</v>
      </c>
      <c r="E974" s="47" t="s">
        <v>166</v>
      </c>
      <c r="F974" s="47" t="s">
        <v>167</v>
      </c>
      <c r="G974" s="47" t="s">
        <v>2928</v>
      </c>
      <c r="H974" s="47" t="s">
        <v>2929</v>
      </c>
      <c r="I974" s="47" t="s">
        <v>50</v>
      </c>
      <c r="J974" s="47" t="s">
        <v>51</v>
      </c>
      <c r="K974" s="48">
        <v>45322</v>
      </c>
      <c r="L974" s="48">
        <v>45322</v>
      </c>
      <c r="M974" s="48">
        <v>45503</v>
      </c>
      <c r="N974" s="47" t="s">
        <v>52</v>
      </c>
      <c r="O974" s="55" t="s">
        <v>53</v>
      </c>
      <c r="P974" s="62">
        <v>15420</v>
      </c>
      <c r="Q974" s="62">
        <v>1285</v>
      </c>
      <c r="R974" s="96">
        <v>15960</v>
      </c>
      <c r="S974" s="62">
        <f t="shared" si="235"/>
        <v>1330</v>
      </c>
      <c r="T974" s="62">
        <v>15540</v>
      </c>
      <c r="U974" s="62">
        <f t="shared" si="240"/>
        <v>1295</v>
      </c>
      <c r="V974" s="69">
        <v>14520</v>
      </c>
      <c r="W974" s="71">
        <v>1330</v>
      </c>
      <c r="X974" s="71"/>
      <c r="Y974" s="71"/>
      <c r="Z974" s="64">
        <f t="shared" si="236"/>
        <v>2.7027027027027029E-2</v>
      </c>
      <c r="AA974" s="64">
        <f t="shared" si="230"/>
        <v>0</v>
      </c>
      <c r="AB974" s="71">
        <f t="shared" si="241"/>
        <v>1330</v>
      </c>
      <c r="AC974" s="64">
        <f t="shared" si="237"/>
        <v>2.7027027027027029E-2</v>
      </c>
      <c r="AD974" s="64">
        <f t="shared" si="231"/>
        <v>0</v>
      </c>
      <c r="AE974" s="71">
        <v>1330</v>
      </c>
      <c r="AF974" s="64">
        <f t="shared" si="238"/>
        <v>2.7027027027027029E-2</v>
      </c>
      <c r="AG974" s="64">
        <f t="shared" si="232"/>
        <v>0</v>
      </c>
      <c r="AH974" s="67"/>
      <c r="AI974" s="47" t="s">
        <v>395</v>
      </c>
      <c r="AJ974" s="47">
        <v>656.6</v>
      </c>
      <c r="AK974" s="47" t="s">
        <v>65</v>
      </c>
      <c r="AL974" s="47" t="s">
        <v>65</v>
      </c>
      <c r="AM974" s="47" t="s">
        <v>2924</v>
      </c>
      <c r="AN974" s="50"/>
      <c r="AO974" s="211">
        <f t="shared" si="239"/>
        <v>-1</v>
      </c>
      <c r="AP974" s="47" t="s">
        <v>90</v>
      </c>
      <c r="AQ974" s="91" t="s">
        <v>116</v>
      </c>
      <c r="AR974" s="47"/>
    </row>
    <row r="975" spans="1:44" hidden="1">
      <c r="A975" s="47" t="s">
        <v>74</v>
      </c>
      <c r="B975" s="47" t="str">
        <f t="shared" si="234"/>
        <v>July</v>
      </c>
      <c r="C975" s="59">
        <v>45487</v>
      </c>
      <c r="D975" s="47" t="s">
        <v>45</v>
      </c>
      <c r="E975" s="47" t="s">
        <v>166</v>
      </c>
      <c r="F975" s="47" t="s">
        <v>167</v>
      </c>
      <c r="G975" s="47" t="s">
        <v>2930</v>
      </c>
      <c r="H975" s="47" t="s">
        <v>2931</v>
      </c>
      <c r="I975" s="47" t="s">
        <v>50</v>
      </c>
      <c r="J975" s="47" t="s">
        <v>51</v>
      </c>
      <c r="K975" s="48">
        <v>45306</v>
      </c>
      <c r="L975" s="48">
        <v>45306</v>
      </c>
      <c r="M975" s="48">
        <v>45487</v>
      </c>
      <c r="N975" s="47" t="s">
        <v>52</v>
      </c>
      <c r="O975" s="55" t="s">
        <v>53</v>
      </c>
      <c r="P975" s="62">
        <v>13980</v>
      </c>
      <c r="Q975" s="62">
        <v>1165</v>
      </c>
      <c r="R975" s="96">
        <v>15540</v>
      </c>
      <c r="S975" s="62">
        <f t="shared" si="235"/>
        <v>1295</v>
      </c>
      <c r="T975" s="62">
        <v>15540</v>
      </c>
      <c r="U975" s="62">
        <f t="shared" si="240"/>
        <v>1295</v>
      </c>
      <c r="V975" s="69">
        <v>13225.2</v>
      </c>
      <c r="W975" s="71">
        <v>1310</v>
      </c>
      <c r="X975" s="71"/>
      <c r="Y975" s="71"/>
      <c r="Z975" s="64">
        <f t="shared" si="236"/>
        <v>1.1583011583011582E-2</v>
      </c>
      <c r="AA975" s="64">
        <f t="shared" si="230"/>
        <v>1.1583011583011582E-2</v>
      </c>
      <c r="AB975" s="71">
        <f t="shared" si="241"/>
        <v>1310</v>
      </c>
      <c r="AC975" s="64">
        <f t="shared" si="237"/>
        <v>1.1583011583011582E-2</v>
      </c>
      <c r="AD975" s="64">
        <f t="shared" si="231"/>
        <v>1.1583011583011582E-2</v>
      </c>
      <c r="AE975" s="71">
        <v>1310</v>
      </c>
      <c r="AF975" s="64">
        <f t="shared" si="238"/>
        <v>1.1583011583011582E-2</v>
      </c>
      <c r="AG975" s="64">
        <f t="shared" si="232"/>
        <v>1.1583011583011582E-2</v>
      </c>
      <c r="AH975" s="67"/>
      <c r="AI975" s="47" t="s">
        <v>395</v>
      </c>
      <c r="AJ975" s="47">
        <v>656.6</v>
      </c>
      <c r="AK975" s="47" t="s">
        <v>65</v>
      </c>
      <c r="AL975" s="47" t="s">
        <v>65</v>
      </c>
      <c r="AM975" s="47" t="s">
        <v>2932</v>
      </c>
      <c r="AN975" s="50"/>
      <c r="AO975" s="211">
        <f t="shared" si="239"/>
        <v>-1</v>
      </c>
      <c r="AP975" s="47" t="s">
        <v>90</v>
      </c>
      <c r="AQ975" s="91" t="s">
        <v>116</v>
      </c>
      <c r="AR975" s="47"/>
    </row>
    <row r="976" spans="1:44">
      <c r="A976" s="47" t="s">
        <v>44</v>
      </c>
      <c r="B976" s="47" t="str">
        <f t="shared" si="234"/>
        <v>July</v>
      </c>
      <c r="C976" s="59">
        <v>45484</v>
      </c>
      <c r="D976" s="47" t="s">
        <v>45</v>
      </c>
      <c r="E976" s="47" t="s">
        <v>166</v>
      </c>
      <c r="F976" s="47" t="s">
        <v>167</v>
      </c>
      <c r="G976" s="47" t="s">
        <v>2933</v>
      </c>
      <c r="H976" s="47" t="s">
        <v>2934</v>
      </c>
      <c r="I976" s="47" t="s">
        <v>50</v>
      </c>
      <c r="J976" s="47" t="s">
        <v>51</v>
      </c>
      <c r="K976" s="48">
        <v>44389</v>
      </c>
      <c r="L976" s="48">
        <v>45119</v>
      </c>
      <c r="M976" s="48">
        <v>45484</v>
      </c>
      <c r="N976" s="47" t="s">
        <v>64</v>
      </c>
      <c r="O976" s="55" t="s">
        <v>53</v>
      </c>
      <c r="P976" s="62">
        <v>11280</v>
      </c>
      <c r="Q976" s="62">
        <v>940</v>
      </c>
      <c r="R976" s="96">
        <v>11820</v>
      </c>
      <c r="S976" s="62">
        <f t="shared" si="235"/>
        <v>985</v>
      </c>
      <c r="T976" s="62">
        <v>11280</v>
      </c>
      <c r="U976" s="62">
        <f t="shared" si="240"/>
        <v>940</v>
      </c>
      <c r="V976" s="69">
        <v>10260</v>
      </c>
      <c r="W976" s="71">
        <v>1020</v>
      </c>
      <c r="X976" s="71"/>
      <c r="Y976" s="71"/>
      <c r="Z976" s="64">
        <f t="shared" si="236"/>
        <v>8.5106382978723402E-2</v>
      </c>
      <c r="AA976" s="64">
        <f t="shared" si="230"/>
        <v>3.553299492385787E-2</v>
      </c>
      <c r="AB976" s="71">
        <f t="shared" si="241"/>
        <v>1020</v>
      </c>
      <c r="AC976" s="64">
        <f t="shared" si="237"/>
        <v>8.5106382978723402E-2</v>
      </c>
      <c r="AD976" s="64">
        <f t="shared" si="231"/>
        <v>3.553299492385787E-2</v>
      </c>
      <c r="AE976" s="71">
        <v>995</v>
      </c>
      <c r="AF976" s="64">
        <f t="shared" si="238"/>
        <v>5.8510638297872342E-2</v>
      </c>
      <c r="AG976" s="64">
        <f t="shared" si="232"/>
        <v>1.015228426395939E-2</v>
      </c>
      <c r="AH976" s="67"/>
      <c r="AI976" s="47" t="s">
        <v>54</v>
      </c>
      <c r="AJ976" s="47">
        <v>527.44000000000005</v>
      </c>
      <c r="AK976" s="47" t="s">
        <v>55</v>
      </c>
      <c r="AL976" s="47" t="s">
        <v>55</v>
      </c>
      <c r="AM976" s="47" t="s">
        <v>2935</v>
      </c>
      <c r="AN976" s="50">
        <v>995</v>
      </c>
      <c r="AO976" s="211">
        <f t="shared" si="239"/>
        <v>5.8510638297872342E-2</v>
      </c>
      <c r="AP976" s="47" t="s">
        <v>90</v>
      </c>
      <c r="AQ976" s="91" t="s">
        <v>116</v>
      </c>
      <c r="AR976" s="47"/>
    </row>
    <row r="977" spans="1:44">
      <c r="A977" s="47" t="s">
        <v>44</v>
      </c>
      <c r="B977" s="47" t="str">
        <f t="shared" si="234"/>
        <v>July</v>
      </c>
      <c r="C977" s="59">
        <v>45487</v>
      </c>
      <c r="D977" s="47" t="s">
        <v>45</v>
      </c>
      <c r="E977" s="47" t="s">
        <v>166</v>
      </c>
      <c r="F977" s="47" t="s">
        <v>167</v>
      </c>
      <c r="G977" s="47" t="s">
        <v>2936</v>
      </c>
      <c r="H977" s="47" t="s">
        <v>2937</v>
      </c>
      <c r="I977" s="47" t="s">
        <v>50</v>
      </c>
      <c r="J977" s="47" t="s">
        <v>51</v>
      </c>
      <c r="K977" s="48">
        <v>44757</v>
      </c>
      <c r="L977" s="48">
        <v>45122</v>
      </c>
      <c r="M977" s="48">
        <v>45487</v>
      </c>
      <c r="N977" s="47" t="s">
        <v>64</v>
      </c>
      <c r="O977" s="55" t="s">
        <v>53</v>
      </c>
      <c r="P977" s="62">
        <v>15000</v>
      </c>
      <c r="Q977" s="62">
        <v>1250</v>
      </c>
      <c r="R977" s="96">
        <v>15540</v>
      </c>
      <c r="S977" s="62">
        <f t="shared" si="235"/>
        <v>1295</v>
      </c>
      <c r="T977" s="62">
        <v>15000</v>
      </c>
      <c r="U977" s="62">
        <f t="shared" si="240"/>
        <v>1250</v>
      </c>
      <c r="V977" s="69">
        <v>13440</v>
      </c>
      <c r="W977" s="71">
        <v>1325</v>
      </c>
      <c r="X977" s="71"/>
      <c r="Y977" s="71"/>
      <c r="Z977" s="64">
        <f t="shared" si="236"/>
        <v>0.06</v>
      </c>
      <c r="AA977" s="64">
        <f t="shared" si="230"/>
        <v>2.3166023166023165E-2</v>
      </c>
      <c r="AB977" s="71">
        <f t="shared" si="241"/>
        <v>1325</v>
      </c>
      <c r="AC977" s="64">
        <f t="shared" si="237"/>
        <v>0.06</v>
      </c>
      <c r="AD977" s="64">
        <f t="shared" si="231"/>
        <v>2.3166023166023165E-2</v>
      </c>
      <c r="AE977" s="71">
        <f>AB977-20</f>
        <v>1305</v>
      </c>
      <c r="AF977" s="64">
        <f t="shared" si="238"/>
        <v>4.3999999999999997E-2</v>
      </c>
      <c r="AG977" s="64">
        <f t="shared" si="232"/>
        <v>7.7220077220077222E-3</v>
      </c>
      <c r="AH977" s="67"/>
      <c r="AI977" s="47" t="s">
        <v>54</v>
      </c>
      <c r="AJ977" s="47">
        <v>678.13</v>
      </c>
      <c r="AK977" s="47" t="s">
        <v>65</v>
      </c>
      <c r="AL977" s="47" t="s">
        <v>65</v>
      </c>
      <c r="AM977" s="47" t="s">
        <v>2938</v>
      </c>
      <c r="AN977" s="50"/>
      <c r="AO977" s="211">
        <f t="shared" si="239"/>
        <v>-1</v>
      </c>
      <c r="AP977" s="47" t="s">
        <v>90</v>
      </c>
      <c r="AQ977" s="91" t="s">
        <v>116</v>
      </c>
      <c r="AR977" s="47"/>
    </row>
    <row r="978" spans="1:44">
      <c r="A978" s="47" t="s">
        <v>44</v>
      </c>
      <c r="B978" s="47" t="str">
        <f t="shared" si="234"/>
        <v>July</v>
      </c>
      <c r="C978" s="59">
        <v>45496</v>
      </c>
      <c r="D978" s="47" t="s">
        <v>45</v>
      </c>
      <c r="E978" s="47" t="s">
        <v>166</v>
      </c>
      <c r="F978" s="47" t="s">
        <v>167</v>
      </c>
      <c r="G978" s="47" t="s">
        <v>2939</v>
      </c>
      <c r="H978" s="47" t="s">
        <v>2940</v>
      </c>
      <c r="I978" s="47" t="s">
        <v>50</v>
      </c>
      <c r="J978" s="47" t="s">
        <v>51</v>
      </c>
      <c r="K978" s="48">
        <v>43732</v>
      </c>
      <c r="L978" s="48">
        <v>45131</v>
      </c>
      <c r="M978" s="48">
        <v>45496</v>
      </c>
      <c r="N978" s="47" t="s">
        <v>64</v>
      </c>
      <c r="O978" s="55" t="s">
        <v>53</v>
      </c>
      <c r="P978" s="62">
        <v>14880</v>
      </c>
      <c r="Q978" s="62">
        <v>1240</v>
      </c>
      <c r="R978" s="96">
        <v>15420</v>
      </c>
      <c r="S978" s="62">
        <f t="shared" si="235"/>
        <v>1285</v>
      </c>
      <c r="T978" s="62">
        <v>14880</v>
      </c>
      <c r="U978" s="62">
        <f t="shared" si="240"/>
        <v>1240</v>
      </c>
      <c r="V978" s="69">
        <v>12347.64</v>
      </c>
      <c r="W978" s="71">
        <v>1285</v>
      </c>
      <c r="X978" s="71"/>
      <c r="Y978" s="71"/>
      <c r="Z978" s="64">
        <f t="shared" si="236"/>
        <v>3.6290322580645164E-2</v>
      </c>
      <c r="AA978" s="64">
        <f t="shared" si="230"/>
        <v>0</v>
      </c>
      <c r="AB978" s="71">
        <f t="shared" si="241"/>
        <v>1285</v>
      </c>
      <c r="AC978" s="64">
        <f t="shared" si="237"/>
        <v>3.6290322580645164E-2</v>
      </c>
      <c r="AD978" s="64">
        <f t="shared" si="231"/>
        <v>0</v>
      </c>
      <c r="AE978" s="71">
        <v>1285</v>
      </c>
      <c r="AF978" s="64">
        <f t="shared" si="238"/>
        <v>3.6290322580645164E-2</v>
      </c>
      <c r="AG978" s="64">
        <f t="shared" si="232"/>
        <v>0</v>
      </c>
      <c r="AH978" s="67"/>
      <c r="AI978" s="47" t="s">
        <v>250</v>
      </c>
      <c r="AJ978" s="47">
        <v>624.30999999999995</v>
      </c>
      <c r="AK978" s="47" t="s">
        <v>65</v>
      </c>
      <c r="AL978" s="47" t="s">
        <v>65</v>
      </c>
      <c r="AM978" s="47" t="s">
        <v>2941</v>
      </c>
      <c r="AN978" s="50"/>
      <c r="AO978" s="211">
        <f t="shared" si="239"/>
        <v>-1</v>
      </c>
      <c r="AP978" s="47" t="s">
        <v>90</v>
      </c>
      <c r="AQ978" s="91" t="s">
        <v>116</v>
      </c>
      <c r="AR978" s="47"/>
    </row>
    <row r="979" spans="1:44" hidden="1">
      <c r="A979" s="47" t="s">
        <v>44</v>
      </c>
      <c r="B979" s="47" t="str">
        <f t="shared" si="234"/>
        <v>July</v>
      </c>
      <c r="C979" s="59">
        <v>45496</v>
      </c>
      <c r="D979" s="47" t="s">
        <v>45</v>
      </c>
      <c r="E979" s="47" t="s">
        <v>166</v>
      </c>
      <c r="F979" s="47" t="s">
        <v>167</v>
      </c>
      <c r="G979" s="47" t="s">
        <v>2942</v>
      </c>
      <c r="H979" s="47" t="s">
        <v>2943</v>
      </c>
      <c r="I979" s="47" t="s">
        <v>50</v>
      </c>
      <c r="J979" s="47" t="s">
        <v>51</v>
      </c>
      <c r="K979" s="48">
        <v>45131</v>
      </c>
      <c r="L979" s="48">
        <v>45131</v>
      </c>
      <c r="M979" s="48">
        <v>45496</v>
      </c>
      <c r="N979" s="47" t="s">
        <v>52</v>
      </c>
      <c r="O979" s="55" t="s">
        <v>53</v>
      </c>
      <c r="P979" s="62">
        <v>15720</v>
      </c>
      <c r="Q979" s="62">
        <v>1310</v>
      </c>
      <c r="R979" s="96">
        <v>16260</v>
      </c>
      <c r="S979" s="62">
        <f t="shared" si="235"/>
        <v>1355</v>
      </c>
      <c r="T979" s="62">
        <v>14820</v>
      </c>
      <c r="U979" s="62">
        <f t="shared" si="240"/>
        <v>1235</v>
      </c>
      <c r="V979" s="69">
        <v>14820</v>
      </c>
      <c r="W979" s="71">
        <v>1320</v>
      </c>
      <c r="X979" s="71"/>
      <c r="Y979" s="71"/>
      <c r="Z979" s="64">
        <f t="shared" si="236"/>
        <v>6.8825910931174086E-2</v>
      </c>
      <c r="AA979" s="64">
        <f t="shared" si="230"/>
        <v>-2.5830258302583026E-2</v>
      </c>
      <c r="AB979" s="71">
        <f t="shared" si="241"/>
        <v>1320</v>
      </c>
      <c r="AC979" s="64">
        <f t="shared" si="237"/>
        <v>6.8825910931174086E-2</v>
      </c>
      <c r="AD979" s="64">
        <f t="shared" si="231"/>
        <v>-2.5830258302583026E-2</v>
      </c>
      <c r="AE979" s="71">
        <f>AB979-20</f>
        <v>1300</v>
      </c>
      <c r="AF979" s="64">
        <f t="shared" si="238"/>
        <v>5.2631578947368418E-2</v>
      </c>
      <c r="AG979" s="64">
        <f t="shared" si="232"/>
        <v>-4.0590405904059039E-2</v>
      </c>
      <c r="AH979" s="67"/>
      <c r="AI979" s="47" t="s">
        <v>54</v>
      </c>
      <c r="AJ979" s="47">
        <v>656.6</v>
      </c>
      <c r="AK979" s="47" t="s">
        <v>65</v>
      </c>
      <c r="AL979" s="47" t="s">
        <v>65</v>
      </c>
      <c r="AM979" s="47" t="s">
        <v>2944</v>
      </c>
      <c r="AN979" s="50">
        <v>1320</v>
      </c>
      <c r="AO979" s="211">
        <f t="shared" si="239"/>
        <v>6.8825910931174086E-2</v>
      </c>
      <c r="AP979" s="47" t="s">
        <v>90</v>
      </c>
      <c r="AQ979" s="91" t="s">
        <v>116</v>
      </c>
      <c r="AR979" s="47"/>
    </row>
    <row r="980" spans="1:44">
      <c r="A980" s="47" t="s">
        <v>44</v>
      </c>
      <c r="B980" s="47" t="str">
        <f t="shared" si="234"/>
        <v>July</v>
      </c>
      <c r="C980" s="59">
        <v>45475</v>
      </c>
      <c r="D980" s="47" t="s">
        <v>45</v>
      </c>
      <c r="E980" s="47" t="s">
        <v>166</v>
      </c>
      <c r="F980" s="47" t="s">
        <v>167</v>
      </c>
      <c r="G980" s="47" t="s">
        <v>2945</v>
      </c>
      <c r="H980" s="47" t="s">
        <v>2946</v>
      </c>
      <c r="I980" s="47" t="s">
        <v>50</v>
      </c>
      <c r="J980" s="47" t="s">
        <v>51</v>
      </c>
      <c r="K980" s="48">
        <v>43649</v>
      </c>
      <c r="L980" s="48">
        <v>45110</v>
      </c>
      <c r="M980" s="48">
        <v>45475</v>
      </c>
      <c r="N980" s="47" t="s">
        <v>64</v>
      </c>
      <c r="O980" s="55" t="s">
        <v>53</v>
      </c>
      <c r="P980" s="62">
        <v>11700</v>
      </c>
      <c r="Q980" s="62">
        <v>975</v>
      </c>
      <c r="R980" s="96">
        <v>12300</v>
      </c>
      <c r="S980" s="62">
        <f t="shared" si="235"/>
        <v>1025</v>
      </c>
      <c r="T980" s="62">
        <v>11700</v>
      </c>
      <c r="U980" s="62">
        <f t="shared" si="240"/>
        <v>975</v>
      </c>
      <c r="V980" s="69">
        <v>10620</v>
      </c>
      <c r="W980" s="71">
        <v>1050</v>
      </c>
      <c r="X980" s="71"/>
      <c r="Y980" s="71"/>
      <c r="Z980" s="64">
        <f t="shared" si="236"/>
        <v>7.6923076923076927E-2</v>
      </c>
      <c r="AA980" s="64">
        <f t="shared" si="230"/>
        <v>2.4390243902439025E-2</v>
      </c>
      <c r="AB980" s="71">
        <f t="shared" si="241"/>
        <v>1050</v>
      </c>
      <c r="AC980" s="64">
        <f t="shared" si="237"/>
        <v>7.6923076923076927E-2</v>
      </c>
      <c r="AD980" s="64">
        <f t="shared" si="231"/>
        <v>2.4390243902439025E-2</v>
      </c>
      <c r="AE980" s="71">
        <f>AB980-20</f>
        <v>1030</v>
      </c>
      <c r="AF980" s="64">
        <f t="shared" si="238"/>
        <v>5.6410256410256411E-2</v>
      </c>
      <c r="AG980" s="64">
        <f t="shared" si="232"/>
        <v>4.8780487804878049E-3</v>
      </c>
      <c r="AH980" s="67"/>
      <c r="AI980" s="47" t="s">
        <v>54</v>
      </c>
      <c r="AJ980" s="47">
        <v>538.20000000000005</v>
      </c>
      <c r="AK980" s="47" t="s">
        <v>55</v>
      </c>
      <c r="AL980" s="47" t="s">
        <v>55</v>
      </c>
      <c r="AM980" s="47" t="s">
        <v>2947</v>
      </c>
      <c r="AN980" s="50">
        <v>1030</v>
      </c>
      <c r="AO980" s="211">
        <f t="shared" si="239"/>
        <v>5.6410256410256411E-2</v>
      </c>
      <c r="AP980" s="47" t="s">
        <v>90</v>
      </c>
      <c r="AQ980" s="117" t="s">
        <v>2948</v>
      </c>
      <c r="AR980" s="47"/>
    </row>
    <row r="981" spans="1:44" hidden="1">
      <c r="A981" s="47" t="s">
        <v>44</v>
      </c>
      <c r="B981" s="47" t="str">
        <f t="shared" si="234"/>
        <v>August</v>
      </c>
      <c r="C981" s="59">
        <v>45528</v>
      </c>
      <c r="D981" s="47" t="s">
        <v>45</v>
      </c>
      <c r="E981" s="47" t="s">
        <v>166</v>
      </c>
      <c r="F981" s="47" t="s">
        <v>167</v>
      </c>
      <c r="G981" s="47" t="s">
        <v>2959</v>
      </c>
      <c r="H981" s="47" t="s">
        <v>2960</v>
      </c>
      <c r="I981" s="47" t="s">
        <v>50</v>
      </c>
      <c r="J981" s="47" t="s">
        <v>51</v>
      </c>
      <c r="K981" s="48">
        <v>45163</v>
      </c>
      <c r="L981" s="48">
        <v>45163</v>
      </c>
      <c r="M981" s="48">
        <v>45528</v>
      </c>
      <c r="N981" s="47" t="s">
        <v>52</v>
      </c>
      <c r="O981" s="55" t="s">
        <v>53</v>
      </c>
      <c r="P981" s="62">
        <v>10980</v>
      </c>
      <c r="Q981" s="62">
        <v>915</v>
      </c>
      <c r="R981" s="96">
        <v>11520</v>
      </c>
      <c r="S981" s="62">
        <f t="shared" si="235"/>
        <v>960</v>
      </c>
      <c r="T981" s="62">
        <v>10980</v>
      </c>
      <c r="U981" s="62">
        <f t="shared" si="240"/>
        <v>915</v>
      </c>
      <c r="V981" s="69">
        <v>10860</v>
      </c>
      <c r="W981" s="71">
        <v>975</v>
      </c>
      <c r="X981" s="71"/>
      <c r="Y981" s="71"/>
      <c r="Z981" s="64">
        <f t="shared" si="236"/>
        <v>6.5573770491803282E-2</v>
      </c>
      <c r="AA981" s="64">
        <f t="shared" si="230"/>
        <v>1.5625E-2</v>
      </c>
      <c r="AB981" s="71">
        <f t="shared" si="241"/>
        <v>975</v>
      </c>
      <c r="AC981" s="64">
        <f t="shared" si="237"/>
        <v>6.5573770491803282E-2</v>
      </c>
      <c r="AD981" s="64">
        <f t="shared" si="231"/>
        <v>1.5625E-2</v>
      </c>
      <c r="AE981" s="71">
        <v>960</v>
      </c>
      <c r="AF981" s="64">
        <f t="shared" si="238"/>
        <v>4.9180327868852458E-2</v>
      </c>
      <c r="AG981" s="64">
        <f t="shared" si="232"/>
        <v>0</v>
      </c>
      <c r="AH981" s="67"/>
      <c r="AI981" s="47" t="s">
        <v>54</v>
      </c>
      <c r="AJ981" s="47">
        <v>548.96</v>
      </c>
      <c r="AK981" s="47" t="s">
        <v>55</v>
      </c>
      <c r="AL981" s="47" t="s">
        <v>55</v>
      </c>
      <c r="AM981" s="47" t="s">
        <v>2961</v>
      </c>
      <c r="AN981" s="50">
        <v>975</v>
      </c>
      <c r="AO981" s="211">
        <f t="shared" si="239"/>
        <v>6.5573770491803282E-2</v>
      </c>
      <c r="AP981" s="47" t="s">
        <v>90</v>
      </c>
      <c r="AQ981" s="111" t="s">
        <v>125</v>
      </c>
      <c r="AR981" s="47"/>
    </row>
    <row r="982" spans="1:44">
      <c r="A982" s="47" t="s">
        <v>44</v>
      </c>
      <c r="B982" s="47" t="str">
        <f t="shared" si="234"/>
        <v>July</v>
      </c>
      <c r="C982" s="59">
        <v>45494</v>
      </c>
      <c r="D982" s="47" t="s">
        <v>45</v>
      </c>
      <c r="E982" s="47" t="s">
        <v>166</v>
      </c>
      <c r="F982" s="47" t="s">
        <v>167</v>
      </c>
      <c r="G982" s="47" t="s">
        <v>3002</v>
      </c>
      <c r="H982" s="47" t="s">
        <v>3003</v>
      </c>
      <c r="I982" s="47" t="s">
        <v>50</v>
      </c>
      <c r="J982" s="47" t="s">
        <v>51</v>
      </c>
      <c r="K982" s="48">
        <v>44764</v>
      </c>
      <c r="L982" s="48">
        <v>45129</v>
      </c>
      <c r="M982" s="48">
        <v>45494</v>
      </c>
      <c r="N982" s="47" t="s">
        <v>64</v>
      </c>
      <c r="O982" s="55" t="s">
        <v>53</v>
      </c>
      <c r="P982" s="62">
        <v>11520</v>
      </c>
      <c r="Q982" s="62">
        <v>960</v>
      </c>
      <c r="R982" s="96">
        <v>12120</v>
      </c>
      <c r="S982" s="62">
        <f t="shared" si="235"/>
        <v>1010</v>
      </c>
      <c r="T982" s="62">
        <v>11520</v>
      </c>
      <c r="U982" s="62">
        <f t="shared" si="240"/>
        <v>960</v>
      </c>
      <c r="V982" s="69">
        <v>10440</v>
      </c>
      <c r="W982" s="71">
        <v>1035</v>
      </c>
      <c r="X982" s="71"/>
      <c r="Y982" s="71"/>
      <c r="Z982" s="64">
        <f t="shared" si="236"/>
        <v>7.8125E-2</v>
      </c>
      <c r="AA982" s="64">
        <f t="shared" si="230"/>
        <v>2.4752475247524754E-2</v>
      </c>
      <c r="AB982" s="71">
        <f t="shared" si="241"/>
        <v>1035</v>
      </c>
      <c r="AC982" s="64">
        <f t="shared" si="237"/>
        <v>7.8125E-2</v>
      </c>
      <c r="AD982" s="64">
        <f t="shared" si="231"/>
        <v>2.4752475247524754E-2</v>
      </c>
      <c r="AE982" s="71">
        <f>AB982-20</f>
        <v>1015</v>
      </c>
      <c r="AF982" s="64">
        <f t="shared" si="238"/>
        <v>5.7291666666666664E-2</v>
      </c>
      <c r="AG982" s="64">
        <f t="shared" si="232"/>
        <v>4.9504950495049506E-3</v>
      </c>
      <c r="AH982" s="67"/>
      <c r="AI982" s="47" t="s">
        <v>54</v>
      </c>
      <c r="AJ982" s="47">
        <v>559.73</v>
      </c>
      <c r="AK982" s="47" t="s">
        <v>55</v>
      </c>
      <c r="AL982" s="47" t="s">
        <v>55</v>
      </c>
      <c r="AM982" s="47" t="s">
        <v>2947</v>
      </c>
      <c r="AN982" s="50">
        <v>1035</v>
      </c>
      <c r="AO982" s="211">
        <f t="shared" si="239"/>
        <v>7.8125E-2</v>
      </c>
      <c r="AP982" s="47" t="s">
        <v>90</v>
      </c>
      <c r="AQ982" s="91" t="s">
        <v>116</v>
      </c>
      <c r="AR982" s="47"/>
    </row>
    <row r="983" spans="1:44">
      <c r="A983" s="47" t="s">
        <v>74</v>
      </c>
      <c r="B983" s="47" t="str">
        <f t="shared" si="234"/>
        <v>July</v>
      </c>
      <c r="C983" s="59">
        <v>45474</v>
      </c>
      <c r="D983" s="47" t="s">
        <v>45</v>
      </c>
      <c r="E983" s="47" t="s">
        <v>166</v>
      </c>
      <c r="F983" s="47" t="s">
        <v>167</v>
      </c>
      <c r="G983" s="47" t="s">
        <v>3004</v>
      </c>
      <c r="H983" s="47" t="s">
        <v>3005</v>
      </c>
      <c r="I983" s="47" t="s">
        <v>50</v>
      </c>
      <c r="J983" s="47" t="s">
        <v>51</v>
      </c>
      <c r="K983" s="48">
        <v>44744</v>
      </c>
      <c r="L983" s="48">
        <v>45109</v>
      </c>
      <c r="M983" s="48">
        <v>45474</v>
      </c>
      <c r="N983" s="47" t="s">
        <v>64</v>
      </c>
      <c r="O983" s="55" t="s">
        <v>53</v>
      </c>
      <c r="P983" s="62">
        <v>15300</v>
      </c>
      <c r="Q983" s="62">
        <v>1275</v>
      </c>
      <c r="R983" s="96">
        <v>15840</v>
      </c>
      <c r="S983" s="62">
        <f t="shared" si="235"/>
        <v>1320</v>
      </c>
      <c r="T983" s="62">
        <v>15300</v>
      </c>
      <c r="U983" s="62">
        <f t="shared" si="240"/>
        <v>1275</v>
      </c>
      <c r="V983" s="69">
        <v>13200</v>
      </c>
      <c r="W983" s="71">
        <v>1405</v>
      </c>
      <c r="X983" s="71"/>
      <c r="Y983" s="71"/>
      <c r="Z983" s="64">
        <f t="shared" si="236"/>
        <v>0.10196078431372549</v>
      </c>
      <c r="AA983" s="64">
        <f t="shared" si="230"/>
        <v>6.4393939393939392E-2</v>
      </c>
      <c r="AB983" s="71">
        <f t="shared" si="241"/>
        <v>1405</v>
      </c>
      <c r="AC983" s="64">
        <f t="shared" si="237"/>
        <v>0.10196078431372549</v>
      </c>
      <c r="AD983" s="64">
        <f t="shared" si="231"/>
        <v>6.4393939393939392E-2</v>
      </c>
      <c r="AE983" s="71">
        <v>1350</v>
      </c>
      <c r="AF983" s="64">
        <f t="shared" si="238"/>
        <v>5.8823529411764705E-2</v>
      </c>
      <c r="AG983" s="64">
        <f t="shared" si="232"/>
        <v>2.2727272727272728E-2</v>
      </c>
      <c r="AH983" s="67"/>
      <c r="AI983" s="47" t="s">
        <v>54</v>
      </c>
      <c r="AJ983" s="47">
        <v>624.30999999999995</v>
      </c>
      <c r="AK983" s="47" t="s">
        <v>65</v>
      </c>
      <c r="AL983" s="47" t="s">
        <v>65</v>
      </c>
      <c r="AM983" s="47" t="s">
        <v>3006</v>
      </c>
      <c r="AN983" s="50">
        <v>1355</v>
      </c>
      <c r="AO983" s="211">
        <f t="shared" si="239"/>
        <v>6.2745098039215685E-2</v>
      </c>
      <c r="AP983" s="47" t="s">
        <v>90</v>
      </c>
      <c r="AQ983" s="91" t="s">
        <v>116</v>
      </c>
      <c r="AR983" s="47"/>
    </row>
    <row r="984" spans="1:44" hidden="1">
      <c r="A984" s="47" t="s">
        <v>44</v>
      </c>
      <c r="B984" s="47" t="str">
        <f t="shared" si="234"/>
        <v>July</v>
      </c>
      <c r="C984" s="59">
        <v>45475</v>
      </c>
      <c r="D984" s="47" t="s">
        <v>45</v>
      </c>
      <c r="E984" s="47" t="s">
        <v>166</v>
      </c>
      <c r="F984" s="47" t="s">
        <v>167</v>
      </c>
      <c r="G984" s="47" t="s">
        <v>3007</v>
      </c>
      <c r="H984" s="47" t="s">
        <v>3008</v>
      </c>
      <c r="I984" s="47" t="s">
        <v>3009</v>
      </c>
      <c r="J984" s="47" t="s">
        <v>51</v>
      </c>
      <c r="K984" s="48">
        <v>45110</v>
      </c>
      <c r="L984" s="48">
        <v>45110</v>
      </c>
      <c r="M984" s="48">
        <v>45475</v>
      </c>
      <c r="N984" s="47" t="s">
        <v>52</v>
      </c>
      <c r="O984" s="55" t="s">
        <v>53</v>
      </c>
      <c r="P984" s="62">
        <v>16320</v>
      </c>
      <c r="Q984" s="62">
        <v>1360</v>
      </c>
      <c r="R984" s="96">
        <v>16920</v>
      </c>
      <c r="S984" s="62">
        <f t="shared" si="235"/>
        <v>1410</v>
      </c>
      <c r="T984" s="62">
        <v>16320</v>
      </c>
      <c r="U984" s="62">
        <f t="shared" si="240"/>
        <v>1360</v>
      </c>
      <c r="V984" s="69">
        <v>15000</v>
      </c>
      <c r="W984" s="71">
        <v>1405</v>
      </c>
      <c r="X984" s="71"/>
      <c r="Y984" s="71"/>
      <c r="Z984" s="64">
        <f t="shared" si="236"/>
        <v>3.3088235294117647E-2</v>
      </c>
      <c r="AA984" s="64">
        <f t="shared" si="230"/>
        <v>-3.5460992907801418E-3</v>
      </c>
      <c r="AB984" s="71">
        <f t="shared" si="241"/>
        <v>1405</v>
      </c>
      <c r="AC984" s="64">
        <f t="shared" si="237"/>
        <v>3.3088235294117647E-2</v>
      </c>
      <c r="AD984" s="64">
        <f t="shared" si="231"/>
        <v>-3.5460992907801418E-3</v>
      </c>
      <c r="AE984" s="71">
        <v>1405</v>
      </c>
      <c r="AF984" s="64">
        <f t="shared" si="238"/>
        <v>3.3088235294117647E-2</v>
      </c>
      <c r="AG984" s="64">
        <f t="shared" si="232"/>
        <v>-3.5460992907801418E-3</v>
      </c>
      <c r="AH984" s="67"/>
      <c r="AI984" s="47" t="s">
        <v>250</v>
      </c>
      <c r="AJ984" s="47">
        <v>699.66</v>
      </c>
      <c r="AK984" s="47" t="s">
        <v>65</v>
      </c>
      <c r="AL984" s="47" t="s">
        <v>65</v>
      </c>
      <c r="AM984" s="47" t="s">
        <v>3010</v>
      </c>
      <c r="AN984" s="50"/>
      <c r="AO984" s="211">
        <f t="shared" si="239"/>
        <v>-1</v>
      </c>
      <c r="AP984" s="47" t="s">
        <v>90</v>
      </c>
      <c r="AQ984" s="94" t="s">
        <v>1246</v>
      </c>
      <c r="AR984" s="47"/>
    </row>
    <row r="985" spans="1:44" hidden="1">
      <c r="A985" s="47" t="s">
        <v>44</v>
      </c>
      <c r="B985" s="47" t="str">
        <f t="shared" si="234"/>
        <v>July</v>
      </c>
      <c r="C985" s="59">
        <v>45489</v>
      </c>
      <c r="D985" s="47" t="s">
        <v>45</v>
      </c>
      <c r="E985" s="47" t="s">
        <v>166</v>
      </c>
      <c r="F985" s="47" t="s">
        <v>167</v>
      </c>
      <c r="G985" s="47" t="s">
        <v>3011</v>
      </c>
      <c r="H985" s="47" t="s">
        <v>3012</v>
      </c>
      <c r="I985" s="47" t="s">
        <v>50</v>
      </c>
      <c r="J985" s="47" t="s">
        <v>51</v>
      </c>
      <c r="K985" s="48">
        <v>45308</v>
      </c>
      <c r="L985" s="48">
        <v>45308</v>
      </c>
      <c r="M985" s="48">
        <v>45489</v>
      </c>
      <c r="N985" s="47" t="s">
        <v>52</v>
      </c>
      <c r="O985" s="55" t="s">
        <v>53</v>
      </c>
      <c r="P985" s="62">
        <v>16680</v>
      </c>
      <c r="Q985" s="62">
        <v>1390</v>
      </c>
      <c r="R985" s="96">
        <v>17280</v>
      </c>
      <c r="S985" s="62">
        <f t="shared" si="235"/>
        <v>1440</v>
      </c>
      <c r="T985" s="62">
        <v>16980</v>
      </c>
      <c r="U985" s="62">
        <f t="shared" si="240"/>
        <v>1415</v>
      </c>
      <c r="V985" s="69">
        <v>15720</v>
      </c>
      <c r="W985" s="71">
        <v>1415</v>
      </c>
      <c r="X985" s="71"/>
      <c r="Y985" s="71"/>
      <c r="Z985" s="92">
        <f t="shared" si="236"/>
        <v>0</v>
      </c>
      <c r="AA985" s="64">
        <f t="shared" si="230"/>
        <v>-1.7361111111111112E-2</v>
      </c>
      <c r="AB985" s="106">
        <v>1445</v>
      </c>
      <c r="AC985" s="64">
        <f t="shared" si="237"/>
        <v>2.1201413427561839E-2</v>
      </c>
      <c r="AD985" s="64">
        <f t="shared" si="231"/>
        <v>3.472222222222222E-3</v>
      </c>
      <c r="AE985" s="71">
        <v>1445</v>
      </c>
      <c r="AF985" s="64">
        <f t="shared" si="238"/>
        <v>2.1201413427561839E-2</v>
      </c>
      <c r="AG985" s="64">
        <f t="shared" si="232"/>
        <v>3.472222222222222E-3</v>
      </c>
      <c r="AH985" s="67" t="s">
        <v>846</v>
      </c>
      <c r="AI985" s="47" t="s">
        <v>54</v>
      </c>
      <c r="AJ985" s="47">
        <v>688.9</v>
      </c>
      <c r="AK985" s="47" t="s">
        <v>65</v>
      </c>
      <c r="AL985" s="47" t="s">
        <v>65</v>
      </c>
      <c r="AM985" s="47" t="s">
        <v>3010</v>
      </c>
      <c r="AN985" s="50"/>
      <c r="AO985" s="211">
        <f t="shared" si="239"/>
        <v>-1</v>
      </c>
      <c r="AP985" s="47" t="s">
        <v>90</v>
      </c>
      <c r="AQ985" s="91" t="s">
        <v>116</v>
      </c>
      <c r="AR985" s="47"/>
    </row>
    <row r="986" spans="1:44" hidden="1">
      <c r="A986" s="47" t="s">
        <v>44</v>
      </c>
      <c r="B986" s="47" t="str">
        <f t="shared" si="234"/>
        <v>July</v>
      </c>
      <c r="C986" s="59">
        <v>45497</v>
      </c>
      <c r="D986" s="47" t="s">
        <v>45</v>
      </c>
      <c r="E986" s="47" t="s">
        <v>166</v>
      </c>
      <c r="F986" s="47" t="s">
        <v>167</v>
      </c>
      <c r="G986" s="47" t="s">
        <v>3013</v>
      </c>
      <c r="H986" s="47" t="s">
        <v>3014</v>
      </c>
      <c r="I986" s="47" t="s">
        <v>50</v>
      </c>
      <c r="J986" s="47" t="s">
        <v>51</v>
      </c>
      <c r="K986" s="48">
        <v>45132</v>
      </c>
      <c r="L986" s="48">
        <v>45132</v>
      </c>
      <c r="M986" s="48">
        <v>45497</v>
      </c>
      <c r="N986" s="47" t="s">
        <v>52</v>
      </c>
      <c r="O986" s="55" t="s">
        <v>53</v>
      </c>
      <c r="P986" s="62">
        <v>15660</v>
      </c>
      <c r="Q986" s="62">
        <v>1305</v>
      </c>
      <c r="R986" s="96">
        <v>16200</v>
      </c>
      <c r="S986" s="62">
        <f t="shared" si="235"/>
        <v>1350</v>
      </c>
      <c r="T986" s="62">
        <v>15420</v>
      </c>
      <c r="U986" s="62">
        <f t="shared" si="240"/>
        <v>1285</v>
      </c>
      <c r="V986" s="69">
        <v>14760</v>
      </c>
      <c r="W986" s="71">
        <v>1330</v>
      </c>
      <c r="X986" s="71"/>
      <c r="Y986" s="71"/>
      <c r="Z986" s="64">
        <f t="shared" si="236"/>
        <v>3.5019455252918288E-2</v>
      </c>
      <c r="AA986" s="64">
        <f t="shared" ref="AA986:AA1049" si="242">(W986-S986)/S986</f>
        <v>-1.4814814814814815E-2</v>
      </c>
      <c r="AB986" s="71">
        <f t="shared" ref="AB986:AB991" si="243">W986</f>
        <v>1330</v>
      </c>
      <c r="AC986" s="64">
        <f t="shared" si="237"/>
        <v>3.5019455252918288E-2</v>
      </c>
      <c r="AD986" s="64">
        <f t="shared" si="231"/>
        <v>-1.4814814814814815E-2</v>
      </c>
      <c r="AE986" s="71">
        <v>1330</v>
      </c>
      <c r="AF986" s="64">
        <f t="shared" si="238"/>
        <v>3.5019455252918288E-2</v>
      </c>
      <c r="AG986" s="64">
        <f t="shared" si="232"/>
        <v>-1.4814814814814815E-2</v>
      </c>
      <c r="AH986" s="67"/>
      <c r="AI986" s="47" t="s">
        <v>54</v>
      </c>
      <c r="AJ986" s="47">
        <v>624.30999999999995</v>
      </c>
      <c r="AK986" s="47" t="s">
        <v>65</v>
      </c>
      <c r="AL986" s="47" t="s">
        <v>65</v>
      </c>
      <c r="AM986" s="47" t="s">
        <v>3010</v>
      </c>
      <c r="AN986" s="50">
        <v>1330</v>
      </c>
      <c r="AO986" s="211">
        <f t="shared" si="239"/>
        <v>3.5019455252918288E-2</v>
      </c>
      <c r="AP986" s="47" t="s">
        <v>90</v>
      </c>
      <c r="AQ986" s="91" t="s">
        <v>116</v>
      </c>
      <c r="AR986" s="47"/>
    </row>
    <row r="987" spans="1:44" hidden="1">
      <c r="A987" s="47" t="s">
        <v>44</v>
      </c>
      <c r="B987" s="47" t="str">
        <f t="shared" si="234"/>
        <v>July</v>
      </c>
      <c r="C987" s="59">
        <v>45498</v>
      </c>
      <c r="D987" s="47" t="s">
        <v>45</v>
      </c>
      <c r="E987" s="47" t="s">
        <v>166</v>
      </c>
      <c r="F987" s="47" t="s">
        <v>167</v>
      </c>
      <c r="G987" s="47" t="s">
        <v>3015</v>
      </c>
      <c r="H987" s="47" t="s">
        <v>3016</v>
      </c>
      <c r="I987" s="47" t="s">
        <v>50</v>
      </c>
      <c r="J987" s="47" t="s">
        <v>51</v>
      </c>
      <c r="K987" s="48">
        <v>45072</v>
      </c>
      <c r="L987" s="48">
        <v>45072</v>
      </c>
      <c r="M987" s="48">
        <v>45498</v>
      </c>
      <c r="N987" s="47" t="s">
        <v>52</v>
      </c>
      <c r="O987" s="55" t="s">
        <v>53</v>
      </c>
      <c r="P987" s="62">
        <v>15360</v>
      </c>
      <c r="Q987" s="62">
        <v>1280</v>
      </c>
      <c r="R987" s="96">
        <v>15900</v>
      </c>
      <c r="S987" s="62">
        <f t="shared" si="235"/>
        <v>1325</v>
      </c>
      <c r="T987" s="62">
        <v>15360</v>
      </c>
      <c r="U987" s="62">
        <f t="shared" si="240"/>
        <v>1280</v>
      </c>
      <c r="V987" s="69">
        <v>14400</v>
      </c>
      <c r="W987" s="71">
        <v>1340</v>
      </c>
      <c r="X987" s="71"/>
      <c r="Y987" s="71"/>
      <c r="Z987" s="64">
        <f t="shared" si="236"/>
        <v>4.6875E-2</v>
      </c>
      <c r="AA987" s="64">
        <f t="shared" si="242"/>
        <v>1.1320754716981131E-2</v>
      </c>
      <c r="AB987" s="71">
        <f t="shared" si="243"/>
        <v>1340</v>
      </c>
      <c r="AC987" s="64">
        <f t="shared" si="237"/>
        <v>4.6875E-2</v>
      </c>
      <c r="AD987" s="64">
        <f t="shared" si="231"/>
        <v>1.1320754716981131E-2</v>
      </c>
      <c r="AE987" s="71">
        <v>1335</v>
      </c>
      <c r="AF987" s="64">
        <f t="shared" si="238"/>
        <v>4.296875E-2</v>
      </c>
      <c r="AG987" s="64">
        <f t="shared" si="232"/>
        <v>7.5471698113207548E-3</v>
      </c>
      <c r="AH987" s="67"/>
      <c r="AI987" s="47" t="s">
        <v>54</v>
      </c>
      <c r="AJ987" s="47">
        <v>656.6</v>
      </c>
      <c r="AK987" s="47" t="s">
        <v>65</v>
      </c>
      <c r="AL987" s="47" t="s">
        <v>65</v>
      </c>
      <c r="AM987" s="47" t="s">
        <v>1556</v>
      </c>
      <c r="AN987" s="50"/>
      <c r="AO987" s="211">
        <f t="shared" si="239"/>
        <v>-1</v>
      </c>
      <c r="AP987" s="47" t="s">
        <v>90</v>
      </c>
      <c r="AQ987" s="94" t="s">
        <v>891</v>
      </c>
      <c r="AR987" s="47"/>
    </row>
    <row r="988" spans="1:44">
      <c r="A988" s="47" t="s">
        <v>44</v>
      </c>
      <c r="B988" s="47" t="str">
        <f t="shared" si="234"/>
        <v>July</v>
      </c>
      <c r="C988" s="59">
        <v>45477</v>
      </c>
      <c r="D988" s="47" t="s">
        <v>45</v>
      </c>
      <c r="E988" s="47" t="s">
        <v>166</v>
      </c>
      <c r="F988" s="47" t="s">
        <v>167</v>
      </c>
      <c r="G988" s="47" t="s">
        <v>3017</v>
      </c>
      <c r="H988" s="47" t="s">
        <v>3018</v>
      </c>
      <c r="I988" s="47" t="s">
        <v>3019</v>
      </c>
      <c r="J988" s="47" t="s">
        <v>51</v>
      </c>
      <c r="K988" s="48">
        <v>44382</v>
      </c>
      <c r="L988" s="48">
        <v>45112</v>
      </c>
      <c r="M988" s="48">
        <v>45477</v>
      </c>
      <c r="N988" s="47" t="s">
        <v>64</v>
      </c>
      <c r="O988" s="55" t="s">
        <v>53</v>
      </c>
      <c r="P988" s="62">
        <v>15240</v>
      </c>
      <c r="Q988" s="62">
        <v>1270</v>
      </c>
      <c r="R988" s="96">
        <v>15780</v>
      </c>
      <c r="S988" s="62">
        <f t="shared" si="235"/>
        <v>1315</v>
      </c>
      <c r="T988" s="62">
        <v>15240</v>
      </c>
      <c r="U988" s="62">
        <f t="shared" si="240"/>
        <v>1270</v>
      </c>
      <c r="V988" s="69">
        <v>14100</v>
      </c>
      <c r="W988" s="71">
        <v>1320</v>
      </c>
      <c r="X988" s="71"/>
      <c r="Y988" s="71"/>
      <c r="Z988" s="64">
        <f t="shared" si="236"/>
        <v>3.937007874015748E-2</v>
      </c>
      <c r="AA988" s="64">
        <f t="shared" si="242"/>
        <v>3.8022813688212928E-3</v>
      </c>
      <c r="AB988" s="71">
        <f t="shared" si="243"/>
        <v>1320</v>
      </c>
      <c r="AC988" s="64">
        <f t="shared" si="237"/>
        <v>3.937007874015748E-2</v>
      </c>
      <c r="AD988" s="64">
        <f t="shared" si="231"/>
        <v>3.8022813688212928E-3</v>
      </c>
      <c r="AE988" s="71">
        <v>1320</v>
      </c>
      <c r="AF988" s="64">
        <f t="shared" si="238"/>
        <v>3.937007874015748E-2</v>
      </c>
      <c r="AG988" s="64">
        <f t="shared" si="232"/>
        <v>3.8022813688212928E-3</v>
      </c>
      <c r="AH988" s="67"/>
      <c r="AI988" s="47" t="s">
        <v>54</v>
      </c>
      <c r="AJ988" s="47">
        <v>678.13</v>
      </c>
      <c r="AK988" s="47" t="s">
        <v>65</v>
      </c>
      <c r="AL988" s="47" t="s">
        <v>65</v>
      </c>
      <c r="AM988" s="47" t="s">
        <v>2295</v>
      </c>
      <c r="AN988" s="50"/>
      <c r="AO988" s="211">
        <f t="shared" si="239"/>
        <v>-1</v>
      </c>
      <c r="AP988" s="47" t="s">
        <v>90</v>
      </c>
      <c r="AQ988" s="91" t="s">
        <v>116</v>
      </c>
      <c r="AR988" s="47" t="s">
        <v>1650</v>
      </c>
    </row>
    <row r="989" spans="1:44" hidden="1">
      <c r="A989" s="47" t="s">
        <v>44</v>
      </c>
      <c r="B989" s="47" t="str">
        <f t="shared" si="234"/>
        <v>July</v>
      </c>
      <c r="C989" s="59">
        <v>45486</v>
      </c>
      <c r="D989" s="47" t="s">
        <v>45</v>
      </c>
      <c r="E989" s="47" t="s">
        <v>166</v>
      </c>
      <c r="F989" s="47" t="s">
        <v>167</v>
      </c>
      <c r="G989" s="47" t="s">
        <v>3020</v>
      </c>
      <c r="H989" s="47" t="s">
        <v>3021</v>
      </c>
      <c r="I989" s="47" t="s">
        <v>50</v>
      </c>
      <c r="J989" s="47" t="s">
        <v>51</v>
      </c>
      <c r="K989" s="48">
        <v>45121</v>
      </c>
      <c r="L989" s="48">
        <v>45121</v>
      </c>
      <c r="M989" s="48">
        <v>45486</v>
      </c>
      <c r="N989" s="47" t="s">
        <v>52</v>
      </c>
      <c r="O989" s="55" t="s">
        <v>53</v>
      </c>
      <c r="P989" s="62">
        <v>19020</v>
      </c>
      <c r="Q989" s="62">
        <v>1585</v>
      </c>
      <c r="R989" s="96">
        <v>19980</v>
      </c>
      <c r="S989" s="62">
        <f t="shared" si="235"/>
        <v>1665</v>
      </c>
      <c r="T989" s="62">
        <v>19020</v>
      </c>
      <c r="U989" s="62">
        <f t="shared" si="240"/>
        <v>1585</v>
      </c>
      <c r="V989" s="69">
        <v>17640</v>
      </c>
      <c r="W989" s="71">
        <v>1700</v>
      </c>
      <c r="X989" s="71"/>
      <c r="Y989" s="71"/>
      <c r="Z989" s="64">
        <f t="shared" si="236"/>
        <v>7.2555205047318619E-2</v>
      </c>
      <c r="AA989" s="64">
        <f t="shared" si="242"/>
        <v>2.1021021021021023E-2</v>
      </c>
      <c r="AB989" s="71">
        <f t="shared" si="243"/>
        <v>1700</v>
      </c>
      <c r="AC989" s="64">
        <f t="shared" si="237"/>
        <v>7.2555205047318619E-2</v>
      </c>
      <c r="AD989" s="64">
        <f t="shared" si="231"/>
        <v>2.1021021021021023E-2</v>
      </c>
      <c r="AE989" s="71">
        <v>1670</v>
      </c>
      <c r="AF989" s="64">
        <f t="shared" si="238"/>
        <v>5.362776025236593E-2</v>
      </c>
      <c r="AG989" s="64">
        <f t="shared" si="232"/>
        <v>3.003003003003003E-3</v>
      </c>
      <c r="AH989" s="67"/>
      <c r="AI989" s="47" t="s">
        <v>54</v>
      </c>
      <c r="AJ989" s="47">
        <v>818.06</v>
      </c>
      <c r="AK989" s="47" t="s">
        <v>140</v>
      </c>
      <c r="AL989" s="47" t="s">
        <v>65</v>
      </c>
      <c r="AM989" s="47" t="s">
        <v>3022</v>
      </c>
      <c r="AN989" s="50"/>
      <c r="AO989" s="211">
        <f t="shared" si="239"/>
        <v>-1</v>
      </c>
      <c r="AP989" s="47" t="s">
        <v>90</v>
      </c>
      <c r="AQ989" s="91" t="s">
        <v>116</v>
      </c>
      <c r="AR989" s="47"/>
    </row>
    <row r="990" spans="1:44" hidden="1">
      <c r="A990" s="47" t="s">
        <v>44</v>
      </c>
      <c r="B990" s="47" t="str">
        <f t="shared" si="234"/>
        <v>July</v>
      </c>
      <c r="C990" s="59">
        <v>45485</v>
      </c>
      <c r="D990" s="47" t="s">
        <v>45</v>
      </c>
      <c r="E990" s="47" t="s">
        <v>166</v>
      </c>
      <c r="F990" s="47" t="s">
        <v>167</v>
      </c>
      <c r="G990" s="47" t="s">
        <v>3023</v>
      </c>
      <c r="H990" s="47" t="s">
        <v>3024</v>
      </c>
      <c r="I990" s="47" t="s">
        <v>50</v>
      </c>
      <c r="J990" s="47" t="s">
        <v>51</v>
      </c>
      <c r="K990" s="48">
        <v>45304</v>
      </c>
      <c r="L990" s="48">
        <v>45304</v>
      </c>
      <c r="M990" s="48">
        <v>45485</v>
      </c>
      <c r="N990" s="47" t="s">
        <v>52</v>
      </c>
      <c r="O990" s="55" t="s">
        <v>53</v>
      </c>
      <c r="P990" s="62">
        <v>16140</v>
      </c>
      <c r="Q990" s="62">
        <v>1345</v>
      </c>
      <c r="R990" s="96">
        <v>16680</v>
      </c>
      <c r="S990" s="62">
        <f t="shared" si="235"/>
        <v>1390</v>
      </c>
      <c r="T990" s="62">
        <v>16020</v>
      </c>
      <c r="U990" s="62">
        <f t="shared" si="240"/>
        <v>1335</v>
      </c>
      <c r="V990" s="69">
        <v>15240</v>
      </c>
      <c r="W990" s="71">
        <v>1350</v>
      </c>
      <c r="X990" s="71"/>
      <c r="Y990" s="71"/>
      <c r="Z990" s="64">
        <f t="shared" si="236"/>
        <v>1.1235955056179775E-2</v>
      </c>
      <c r="AA990" s="64">
        <f t="shared" si="242"/>
        <v>-2.8776978417266189E-2</v>
      </c>
      <c r="AB990" s="71">
        <f t="shared" si="243"/>
        <v>1350</v>
      </c>
      <c r="AC990" s="64">
        <f t="shared" si="237"/>
        <v>1.1235955056179775E-2</v>
      </c>
      <c r="AD990" s="64">
        <f t="shared" si="231"/>
        <v>-2.8776978417266189E-2</v>
      </c>
      <c r="AE990" s="71">
        <v>1350</v>
      </c>
      <c r="AF990" s="64">
        <f t="shared" si="238"/>
        <v>1.1235955056179775E-2</v>
      </c>
      <c r="AG990" s="64">
        <f t="shared" si="232"/>
        <v>-2.8776978417266189E-2</v>
      </c>
      <c r="AH990" s="67"/>
      <c r="AI990" s="47" t="s">
        <v>54</v>
      </c>
      <c r="AJ990" s="47">
        <v>656.6</v>
      </c>
      <c r="AK990" s="47" t="s">
        <v>65</v>
      </c>
      <c r="AL990" s="47" t="s">
        <v>65</v>
      </c>
      <c r="AM990" s="47" t="s">
        <v>3025</v>
      </c>
      <c r="AN990" s="50"/>
      <c r="AO990" s="211">
        <f t="shared" si="239"/>
        <v>-1</v>
      </c>
      <c r="AP990" s="47" t="s">
        <v>90</v>
      </c>
      <c r="AQ990" s="91" t="s">
        <v>116</v>
      </c>
      <c r="AR990" s="47"/>
    </row>
    <row r="991" spans="1:44" hidden="1">
      <c r="A991" s="47" t="s">
        <v>44</v>
      </c>
      <c r="B991" s="47" t="str">
        <f t="shared" si="234"/>
        <v>July</v>
      </c>
      <c r="C991" s="59">
        <v>45492</v>
      </c>
      <c r="D991" s="47" t="s">
        <v>45</v>
      </c>
      <c r="E991" s="47" t="s">
        <v>166</v>
      </c>
      <c r="F991" s="47" t="s">
        <v>167</v>
      </c>
      <c r="G991" s="47" t="s">
        <v>3026</v>
      </c>
      <c r="H991" s="47" t="s">
        <v>1049</v>
      </c>
      <c r="I991" s="47" t="s">
        <v>50</v>
      </c>
      <c r="J991" s="47" t="s">
        <v>51</v>
      </c>
      <c r="K991" s="48">
        <v>45127</v>
      </c>
      <c r="L991" s="48">
        <v>45127</v>
      </c>
      <c r="M991" s="48">
        <v>45492</v>
      </c>
      <c r="N991" s="47" t="s">
        <v>52</v>
      </c>
      <c r="O991" s="55" t="s">
        <v>889</v>
      </c>
      <c r="P991" s="62">
        <v>15840</v>
      </c>
      <c r="Q991" s="62">
        <v>1320</v>
      </c>
      <c r="R991" s="96">
        <v>16380</v>
      </c>
      <c r="S991" s="62">
        <f t="shared" si="235"/>
        <v>1365</v>
      </c>
      <c r="T991" s="62">
        <v>15840</v>
      </c>
      <c r="U991" s="62">
        <f t="shared" si="240"/>
        <v>1320</v>
      </c>
      <c r="V991" s="69">
        <v>14700</v>
      </c>
      <c r="W991" s="71">
        <v>1365</v>
      </c>
      <c r="X991" s="71"/>
      <c r="Y991" s="71"/>
      <c r="Z991" s="64">
        <f t="shared" si="236"/>
        <v>3.4090909090909088E-2</v>
      </c>
      <c r="AA991" s="64">
        <f t="shared" si="242"/>
        <v>0</v>
      </c>
      <c r="AB991" s="71">
        <f t="shared" si="243"/>
        <v>1365</v>
      </c>
      <c r="AC991" s="64">
        <f t="shared" si="237"/>
        <v>3.4090909090909088E-2</v>
      </c>
      <c r="AD991" s="64">
        <f t="shared" si="231"/>
        <v>0</v>
      </c>
      <c r="AE991" s="71">
        <v>1365</v>
      </c>
      <c r="AF991" s="64">
        <f t="shared" si="238"/>
        <v>3.4090909090909088E-2</v>
      </c>
      <c r="AG991" s="64">
        <f t="shared" si="232"/>
        <v>0</v>
      </c>
      <c r="AH991" s="67"/>
      <c r="AI991" s="47" t="s">
        <v>54</v>
      </c>
      <c r="AJ991" s="47">
        <v>699.66</v>
      </c>
      <c r="AK991" s="101" t="s">
        <v>65</v>
      </c>
      <c r="AL991" s="101" t="s">
        <v>65</v>
      </c>
      <c r="AM991" s="47" t="s">
        <v>2295</v>
      </c>
      <c r="AN991" s="50"/>
      <c r="AO991" s="211">
        <f t="shared" si="239"/>
        <v>-1</v>
      </c>
      <c r="AP991" s="47" t="s">
        <v>852</v>
      </c>
      <c r="AQ991" s="113" t="s">
        <v>3027</v>
      </c>
      <c r="AR991" s="47"/>
    </row>
    <row r="992" spans="1:44" hidden="1">
      <c r="A992" s="47" t="s">
        <v>44</v>
      </c>
      <c r="B992" s="47" t="str">
        <f t="shared" si="234"/>
        <v>July</v>
      </c>
      <c r="C992" s="59">
        <v>45488</v>
      </c>
      <c r="D992" s="47" t="s">
        <v>45</v>
      </c>
      <c r="E992" s="47" t="s">
        <v>166</v>
      </c>
      <c r="F992" s="47" t="s">
        <v>167</v>
      </c>
      <c r="G992" s="47" t="s">
        <v>3028</v>
      </c>
      <c r="H992" s="47" t="s">
        <v>3029</v>
      </c>
      <c r="I992" s="47" t="s">
        <v>50</v>
      </c>
      <c r="J992" s="47" t="s">
        <v>51</v>
      </c>
      <c r="K992" s="48">
        <v>45307</v>
      </c>
      <c r="L992" s="48">
        <v>45307</v>
      </c>
      <c r="M992" s="48">
        <v>45488</v>
      </c>
      <c r="N992" s="47" t="s">
        <v>52</v>
      </c>
      <c r="O992" s="55" t="s">
        <v>53</v>
      </c>
      <c r="P992" s="62">
        <v>16080</v>
      </c>
      <c r="Q992" s="62">
        <v>1340</v>
      </c>
      <c r="R992" s="96">
        <v>16620</v>
      </c>
      <c r="S992" s="62">
        <f t="shared" si="235"/>
        <v>1385</v>
      </c>
      <c r="T992" s="62">
        <v>16500</v>
      </c>
      <c r="U992" s="62">
        <f t="shared" si="240"/>
        <v>1375</v>
      </c>
      <c r="V992" s="69">
        <v>15180</v>
      </c>
      <c r="W992" s="71">
        <v>1360</v>
      </c>
      <c r="X992" s="71"/>
      <c r="Y992" s="71"/>
      <c r="Z992" s="92">
        <f t="shared" si="236"/>
        <v>-1.090909090909091E-2</v>
      </c>
      <c r="AA992" s="64">
        <f t="shared" si="242"/>
        <v>-1.8050541516245487E-2</v>
      </c>
      <c r="AB992" s="106">
        <v>1395</v>
      </c>
      <c r="AC992" s="64">
        <f t="shared" si="237"/>
        <v>1.4545454545454545E-2</v>
      </c>
      <c r="AD992" s="64">
        <f t="shared" si="231"/>
        <v>7.2202166064981952E-3</v>
      </c>
      <c r="AE992" s="71">
        <v>1395</v>
      </c>
      <c r="AF992" s="64">
        <f t="shared" si="238"/>
        <v>1.4545454545454545E-2</v>
      </c>
      <c r="AG992" s="64">
        <f t="shared" si="232"/>
        <v>7.2202166064981952E-3</v>
      </c>
      <c r="AH992" s="67" t="s">
        <v>846</v>
      </c>
      <c r="AI992" s="47" t="s">
        <v>250</v>
      </c>
      <c r="AJ992" s="47">
        <v>667.37</v>
      </c>
      <c r="AK992" s="47" t="s">
        <v>65</v>
      </c>
      <c r="AL992" s="47" t="s">
        <v>65</v>
      </c>
      <c r="AM992" s="47" t="s">
        <v>3025</v>
      </c>
      <c r="AN992" s="50"/>
      <c r="AO992" s="211">
        <f t="shared" si="239"/>
        <v>-1</v>
      </c>
      <c r="AP992" s="47" t="s">
        <v>90</v>
      </c>
      <c r="AQ992" s="56" t="s">
        <v>1120</v>
      </c>
      <c r="AR992" s="47"/>
    </row>
    <row r="993" spans="1:44" hidden="1">
      <c r="A993" s="47" t="s">
        <v>44</v>
      </c>
      <c r="B993" s="47" t="str">
        <f t="shared" si="234"/>
        <v>July</v>
      </c>
      <c r="C993" s="59">
        <v>45492</v>
      </c>
      <c r="D993" s="47" t="s">
        <v>45</v>
      </c>
      <c r="E993" s="47" t="s">
        <v>166</v>
      </c>
      <c r="F993" s="47" t="s">
        <v>167</v>
      </c>
      <c r="G993" s="47" t="s">
        <v>3030</v>
      </c>
      <c r="H993" s="47" t="s">
        <v>3031</v>
      </c>
      <c r="I993" s="47" t="s">
        <v>50</v>
      </c>
      <c r="J993" s="47" t="s">
        <v>51</v>
      </c>
      <c r="K993" s="48">
        <v>45127</v>
      </c>
      <c r="L993" s="48">
        <v>45127</v>
      </c>
      <c r="M993" s="48">
        <v>45492</v>
      </c>
      <c r="N993" s="47" t="s">
        <v>52</v>
      </c>
      <c r="O993" s="55" t="s">
        <v>53</v>
      </c>
      <c r="P993" s="62">
        <v>12300</v>
      </c>
      <c r="Q993" s="62">
        <v>1025</v>
      </c>
      <c r="R993" s="96">
        <v>12900</v>
      </c>
      <c r="S993" s="62">
        <f t="shared" si="235"/>
        <v>1075</v>
      </c>
      <c r="T993" s="62">
        <v>12300</v>
      </c>
      <c r="U993" s="62">
        <f t="shared" si="240"/>
        <v>1025</v>
      </c>
      <c r="V993" s="69">
        <v>11460</v>
      </c>
      <c r="W993" s="71">
        <v>1080</v>
      </c>
      <c r="X993" s="71"/>
      <c r="Y993" s="71"/>
      <c r="Z993" s="64">
        <f t="shared" si="236"/>
        <v>5.3658536585365853E-2</v>
      </c>
      <c r="AA993" s="64">
        <f t="shared" si="242"/>
        <v>4.6511627906976744E-3</v>
      </c>
      <c r="AB993" s="71">
        <f t="shared" ref="AB993:AB1038" si="244">W993</f>
        <v>1080</v>
      </c>
      <c r="AC993" s="64">
        <f t="shared" si="237"/>
        <v>5.3658536585365853E-2</v>
      </c>
      <c r="AD993" s="64">
        <f t="shared" si="231"/>
        <v>4.6511627906976744E-3</v>
      </c>
      <c r="AE993" s="71">
        <v>1070</v>
      </c>
      <c r="AF993" s="64">
        <f t="shared" si="238"/>
        <v>4.3902439024390241E-2</v>
      </c>
      <c r="AG993" s="64">
        <f t="shared" si="232"/>
        <v>-4.6511627906976744E-3</v>
      </c>
      <c r="AH993" s="67"/>
      <c r="AI993" s="47" t="s">
        <v>54</v>
      </c>
      <c r="AJ993" s="47">
        <v>527.44000000000005</v>
      </c>
      <c r="AK993" s="47" t="s">
        <v>55</v>
      </c>
      <c r="AL993" s="47" t="s">
        <v>55</v>
      </c>
      <c r="AM993" s="47" t="s">
        <v>3032</v>
      </c>
      <c r="AN993" s="50">
        <v>1080</v>
      </c>
      <c r="AO993" s="211">
        <f t="shared" si="239"/>
        <v>5.3658536585365853E-2</v>
      </c>
      <c r="AP993" s="142" t="s">
        <v>90</v>
      </c>
      <c r="AQ993" s="111" t="s">
        <v>125</v>
      </c>
      <c r="AR993" s="143"/>
    </row>
    <row r="994" spans="1:44" hidden="1">
      <c r="A994" s="47" t="s">
        <v>44</v>
      </c>
      <c r="B994" s="47" t="str">
        <f t="shared" si="234"/>
        <v>July</v>
      </c>
      <c r="C994" s="59">
        <v>45486</v>
      </c>
      <c r="D994" s="47" t="s">
        <v>45</v>
      </c>
      <c r="E994" s="47" t="s">
        <v>166</v>
      </c>
      <c r="F994" s="47" t="s">
        <v>167</v>
      </c>
      <c r="G994" s="47" t="s">
        <v>3033</v>
      </c>
      <c r="H994" s="47" t="s">
        <v>3034</v>
      </c>
      <c r="I994" s="47" t="s">
        <v>3035</v>
      </c>
      <c r="J994" s="47" t="s">
        <v>51</v>
      </c>
      <c r="K994" s="48">
        <v>45121</v>
      </c>
      <c r="L994" s="48">
        <v>45121</v>
      </c>
      <c r="M994" s="48">
        <v>45486</v>
      </c>
      <c r="N994" s="47" t="s">
        <v>52</v>
      </c>
      <c r="O994" s="55" t="s">
        <v>53</v>
      </c>
      <c r="P994" s="62">
        <v>15600</v>
      </c>
      <c r="Q994" s="62">
        <v>1300</v>
      </c>
      <c r="R994" s="96">
        <v>16140</v>
      </c>
      <c r="S994" s="62">
        <f t="shared" si="235"/>
        <v>1345</v>
      </c>
      <c r="T994" s="62">
        <v>15600</v>
      </c>
      <c r="U994" s="62">
        <f t="shared" si="240"/>
        <v>1300</v>
      </c>
      <c r="V994" s="69">
        <v>14280</v>
      </c>
      <c r="W994" s="71">
        <v>1345</v>
      </c>
      <c r="X994" s="71"/>
      <c r="Y994" s="71"/>
      <c r="Z994" s="64">
        <f t="shared" si="236"/>
        <v>3.4615384615384617E-2</v>
      </c>
      <c r="AA994" s="64">
        <f t="shared" si="242"/>
        <v>0</v>
      </c>
      <c r="AB994" s="71">
        <f t="shared" si="244"/>
        <v>1345</v>
      </c>
      <c r="AC994" s="64">
        <f t="shared" si="237"/>
        <v>3.4615384615384617E-2</v>
      </c>
      <c r="AD994" s="64">
        <f t="shared" si="231"/>
        <v>0</v>
      </c>
      <c r="AE994" s="71">
        <v>1345</v>
      </c>
      <c r="AF994" s="64">
        <f t="shared" si="238"/>
        <v>3.4615384615384617E-2</v>
      </c>
      <c r="AG994" s="64">
        <f t="shared" si="232"/>
        <v>0</v>
      </c>
      <c r="AH994" s="67"/>
      <c r="AI994" s="47" t="s">
        <v>54</v>
      </c>
      <c r="AJ994" s="47">
        <v>624.30999999999995</v>
      </c>
      <c r="AK994" s="47" t="s">
        <v>65</v>
      </c>
      <c r="AL994" s="47" t="s">
        <v>65</v>
      </c>
      <c r="AM994" s="47" t="s">
        <v>3025</v>
      </c>
      <c r="AN994" s="50"/>
      <c r="AO994" s="211">
        <f t="shared" si="239"/>
        <v>-1</v>
      </c>
      <c r="AP994" s="47" t="s">
        <v>90</v>
      </c>
      <c r="AQ994" s="91" t="s">
        <v>116</v>
      </c>
      <c r="AR994" s="47"/>
    </row>
    <row r="995" spans="1:44" hidden="1">
      <c r="A995" s="47" t="s">
        <v>44</v>
      </c>
      <c r="B995" s="47" t="str">
        <f t="shared" si="234"/>
        <v>July</v>
      </c>
      <c r="C995" s="59">
        <v>45504</v>
      </c>
      <c r="D995" s="47" t="s">
        <v>45</v>
      </c>
      <c r="E995" s="47" t="s">
        <v>166</v>
      </c>
      <c r="F995" s="47" t="s">
        <v>167</v>
      </c>
      <c r="G995" s="47" t="s">
        <v>3036</v>
      </c>
      <c r="H995" s="47" t="s">
        <v>3037</v>
      </c>
      <c r="I995" s="47" t="s">
        <v>50</v>
      </c>
      <c r="J995" s="47" t="s">
        <v>51</v>
      </c>
      <c r="K995" s="48">
        <v>45139</v>
      </c>
      <c r="L995" s="48">
        <v>45139</v>
      </c>
      <c r="M995" s="48">
        <v>45504</v>
      </c>
      <c r="N995" s="47" t="s">
        <v>52</v>
      </c>
      <c r="O995" s="55" t="s">
        <v>53</v>
      </c>
      <c r="P995" s="62">
        <v>15780</v>
      </c>
      <c r="Q995" s="62">
        <v>1315</v>
      </c>
      <c r="R995" s="96">
        <v>16320</v>
      </c>
      <c r="S995" s="62">
        <f t="shared" si="235"/>
        <v>1360</v>
      </c>
      <c r="T995" s="62">
        <v>15540</v>
      </c>
      <c r="U995" s="62">
        <f t="shared" si="240"/>
        <v>1295</v>
      </c>
      <c r="V995" s="69">
        <v>14880</v>
      </c>
      <c r="W995" s="71">
        <v>1335</v>
      </c>
      <c r="X995" s="71"/>
      <c r="Y995" s="71"/>
      <c r="Z995" s="64">
        <f t="shared" si="236"/>
        <v>3.0888030888030889E-2</v>
      </c>
      <c r="AA995" s="64">
        <f t="shared" si="242"/>
        <v>-1.8382352941176471E-2</v>
      </c>
      <c r="AB995" s="71">
        <f t="shared" si="244"/>
        <v>1335</v>
      </c>
      <c r="AC995" s="64">
        <f t="shared" si="237"/>
        <v>3.0888030888030889E-2</v>
      </c>
      <c r="AD995" s="64">
        <f t="shared" si="231"/>
        <v>-1.8382352941176471E-2</v>
      </c>
      <c r="AE995" s="71">
        <v>1335</v>
      </c>
      <c r="AF995" s="64">
        <f t="shared" si="238"/>
        <v>3.0888030888030889E-2</v>
      </c>
      <c r="AG995" s="64">
        <f t="shared" si="232"/>
        <v>-1.8382352941176471E-2</v>
      </c>
      <c r="AH995" s="67"/>
      <c r="AI995" s="47" t="s">
        <v>54</v>
      </c>
      <c r="AJ995" s="47">
        <v>548.96</v>
      </c>
      <c r="AK995" s="47" t="s">
        <v>65</v>
      </c>
      <c r="AL995" s="47" t="s">
        <v>65</v>
      </c>
      <c r="AM995" s="47" t="s">
        <v>3038</v>
      </c>
      <c r="AN995" s="50">
        <v>1335</v>
      </c>
      <c r="AO995" s="211">
        <f t="shared" si="239"/>
        <v>3.0888030888030889E-2</v>
      </c>
      <c r="AP995" s="47" t="s">
        <v>90</v>
      </c>
      <c r="AQ995" s="91" t="s">
        <v>116</v>
      </c>
      <c r="AR995" s="47"/>
    </row>
    <row r="996" spans="1:44" hidden="1">
      <c r="A996" s="47" t="s">
        <v>44</v>
      </c>
      <c r="B996" s="47" t="str">
        <f t="shared" si="234"/>
        <v>July</v>
      </c>
      <c r="C996" s="59">
        <v>45487</v>
      </c>
      <c r="D996" s="47" t="s">
        <v>45</v>
      </c>
      <c r="E996" s="47" t="s">
        <v>166</v>
      </c>
      <c r="F996" s="47" t="s">
        <v>167</v>
      </c>
      <c r="G996" s="47" t="s">
        <v>3039</v>
      </c>
      <c r="H996" s="47" t="s">
        <v>3040</v>
      </c>
      <c r="I996" s="47" t="s">
        <v>50</v>
      </c>
      <c r="J996" s="47" t="s">
        <v>51</v>
      </c>
      <c r="K996" s="48">
        <v>45122</v>
      </c>
      <c r="L996" s="48">
        <v>45122</v>
      </c>
      <c r="M996" s="48">
        <v>45487</v>
      </c>
      <c r="N996" s="47" t="s">
        <v>52</v>
      </c>
      <c r="O996" s="55" t="s">
        <v>53</v>
      </c>
      <c r="P996" s="62">
        <v>11700</v>
      </c>
      <c r="Q996" s="62">
        <v>975</v>
      </c>
      <c r="R996" s="96">
        <v>12300</v>
      </c>
      <c r="S996" s="62">
        <f t="shared" si="235"/>
        <v>1025</v>
      </c>
      <c r="T996" s="62">
        <v>11700</v>
      </c>
      <c r="U996" s="62">
        <f t="shared" si="240"/>
        <v>975</v>
      </c>
      <c r="V996" s="69">
        <v>11220</v>
      </c>
      <c r="W996" s="71">
        <v>1035</v>
      </c>
      <c r="X996" s="71"/>
      <c r="Y996" s="71"/>
      <c r="Z996" s="64">
        <f t="shared" si="236"/>
        <v>6.1538461538461542E-2</v>
      </c>
      <c r="AA996" s="64">
        <f t="shared" si="242"/>
        <v>9.7560975609756097E-3</v>
      </c>
      <c r="AB996" s="71">
        <f t="shared" si="244"/>
        <v>1035</v>
      </c>
      <c r="AC996" s="64">
        <f t="shared" si="237"/>
        <v>6.1538461538461542E-2</v>
      </c>
      <c r="AD996" s="64">
        <f t="shared" si="231"/>
        <v>9.7560975609756097E-3</v>
      </c>
      <c r="AE996" s="71">
        <f>AB996-20</f>
        <v>1015</v>
      </c>
      <c r="AF996" s="64">
        <f t="shared" si="238"/>
        <v>4.1025641025641026E-2</v>
      </c>
      <c r="AG996" s="64">
        <f t="shared" si="232"/>
        <v>-9.7560975609756097E-3</v>
      </c>
      <c r="AH996" s="67"/>
      <c r="AI996" s="47" t="s">
        <v>54</v>
      </c>
      <c r="AJ996" s="47">
        <v>505.91</v>
      </c>
      <c r="AK996" s="47" t="s">
        <v>55</v>
      </c>
      <c r="AL996" s="47" t="s">
        <v>55</v>
      </c>
      <c r="AM996" s="47" t="s">
        <v>3041</v>
      </c>
      <c r="AN996" s="50"/>
      <c r="AO996" s="211">
        <f t="shared" si="239"/>
        <v>-1</v>
      </c>
      <c r="AP996" s="47" t="s">
        <v>90</v>
      </c>
      <c r="AQ996" s="91" t="s">
        <v>116</v>
      </c>
      <c r="AR996" s="47"/>
    </row>
    <row r="997" spans="1:44" hidden="1">
      <c r="A997" s="47" t="s">
        <v>44</v>
      </c>
      <c r="B997" s="47" t="str">
        <f t="shared" si="234"/>
        <v>July</v>
      </c>
      <c r="C997" s="59">
        <v>45493</v>
      </c>
      <c r="D997" s="47" t="s">
        <v>45</v>
      </c>
      <c r="E997" s="47" t="s">
        <v>166</v>
      </c>
      <c r="F997" s="47" t="s">
        <v>167</v>
      </c>
      <c r="G997" s="47" t="s">
        <v>3042</v>
      </c>
      <c r="H997" s="47" t="s">
        <v>3043</v>
      </c>
      <c r="I997" s="47" t="s">
        <v>50</v>
      </c>
      <c r="J997" s="47" t="s">
        <v>51</v>
      </c>
      <c r="K997" s="48">
        <v>45128</v>
      </c>
      <c r="L997" s="48">
        <v>45128</v>
      </c>
      <c r="M997" s="48">
        <v>45493</v>
      </c>
      <c r="N997" s="47" t="s">
        <v>52</v>
      </c>
      <c r="O997" s="55" t="s">
        <v>53</v>
      </c>
      <c r="P997" s="62">
        <v>19260</v>
      </c>
      <c r="Q997" s="62">
        <v>1605</v>
      </c>
      <c r="R997" s="96">
        <v>20220</v>
      </c>
      <c r="S997" s="62">
        <f t="shared" si="235"/>
        <v>1685</v>
      </c>
      <c r="T997" s="62">
        <v>19260</v>
      </c>
      <c r="U997" s="62">
        <f t="shared" si="240"/>
        <v>1605</v>
      </c>
      <c r="V997" s="69">
        <v>18300</v>
      </c>
      <c r="W997" s="71">
        <v>1760</v>
      </c>
      <c r="X997" s="71"/>
      <c r="Y997" s="71"/>
      <c r="Z997" s="64">
        <f t="shared" si="236"/>
        <v>9.657320872274143E-2</v>
      </c>
      <c r="AA997" s="64">
        <f t="shared" si="242"/>
        <v>4.4510385756676561E-2</v>
      </c>
      <c r="AB997" s="71">
        <f t="shared" si="244"/>
        <v>1760</v>
      </c>
      <c r="AC997" s="64">
        <f t="shared" si="237"/>
        <v>9.657320872274143E-2</v>
      </c>
      <c r="AD997" s="64">
        <f t="shared" ref="AD997:AD1060" si="245">(AB997-S997)/S997</f>
        <v>4.4510385756676561E-2</v>
      </c>
      <c r="AE997" s="71">
        <v>1720</v>
      </c>
      <c r="AF997" s="64">
        <f t="shared" si="238"/>
        <v>7.1651090342679122E-2</v>
      </c>
      <c r="AG997" s="64">
        <f t="shared" ref="AG997:AG1060" si="246">(AE997-S997)/S997</f>
        <v>2.0771513353115726E-2</v>
      </c>
      <c r="AH997" s="67"/>
      <c r="AI997" s="47" t="s">
        <v>54</v>
      </c>
      <c r="AJ997" s="47">
        <v>818.06</v>
      </c>
      <c r="AK997" s="47" t="s">
        <v>140</v>
      </c>
      <c r="AL997" s="47" t="s">
        <v>65</v>
      </c>
      <c r="AM997" s="47" t="s">
        <v>3044</v>
      </c>
      <c r="AN997" s="50"/>
      <c r="AO997" s="211">
        <f t="shared" si="239"/>
        <v>-1</v>
      </c>
      <c r="AP997" s="47" t="s">
        <v>90</v>
      </c>
      <c r="AQ997" s="91" t="s">
        <v>116</v>
      </c>
      <c r="AR997" s="47"/>
    </row>
    <row r="998" spans="1:44" hidden="1">
      <c r="A998" s="47" t="s">
        <v>44</v>
      </c>
      <c r="B998" s="47" t="str">
        <f t="shared" si="234"/>
        <v>July</v>
      </c>
      <c r="C998" s="59">
        <v>45504</v>
      </c>
      <c r="D998" s="47" t="s">
        <v>45</v>
      </c>
      <c r="E998" s="47" t="s">
        <v>166</v>
      </c>
      <c r="F998" s="47" t="s">
        <v>167</v>
      </c>
      <c r="G998" s="47" t="s">
        <v>3045</v>
      </c>
      <c r="H998" s="47" t="s">
        <v>3046</v>
      </c>
      <c r="I998" s="47" t="s">
        <v>50</v>
      </c>
      <c r="J998" s="47" t="s">
        <v>51</v>
      </c>
      <c r="K998" s="48">
        <v>45139</v>
      </c>
      <c r="L998" s="48">
        <v>45139</v>
      </c>
      <c r="M998" s="48">
        <v>45504</v>
      </c>
      <c r="N998" s="47" t="s">
        <v>52</v>
      </c>
      <c r="O998" s="55" t="s">
        <v>53</v>
      </c>
      <c r="P998" s="62">
        <v>15660</v>
      </c>
      <c r="Q998" s="62">
        <v>1305</v>
      </c>
      <c r="R998" s="96">
        <v>16200</v>
      </c>
      <c r="S998" s="62">
        <f t="shared" si="235"/>
        <v>1350</v>
      </c>
      <c r="T998" s="62">
        <v>15660</v>
      </c>
      <c r="U998" s="62">
        <f t="shared" si="240"/>
        <v>1305</v>
      </c>
      <c r="V998" s="69">
        <v>15660</v>
      </c>
      <c r="W998" s="71">
        <v>1350</v>
      </c>
      <c r="X998" s="71"/>
      <c r="Y998" s="71"/>
      <c r="Z998" s="64">
        <f t="shared" si="236"/>
        <v>3.4482758620689655E-2</v>
      </c>
      <c r="AA998" s="64">
        <f t="shared" si="242"/>
        <v>0</v>
      </c>
      <c r="AB998" s="71">
        <f t="shared" si="244"/>
        <v>1350</v>
      </c>
      <c r="AC998" s="64">
        <f t="shared" si="237"/>
        <v>3.4482758620689655E-2</v>
      </c>
      <c r="AD998" s="64">
        <f t="shared" si="245"/>
        <v>0</v>
      </c>
      <c r="AE998" s="71">
        <v>1350</v>
      </c>
      <c r="AF998" s="64">
        <f t="shared" si="238"/>
        <v>3.4482758620689655E-2</v>
      </c>
      <c r="AG998" s="64">
        <f t="shared" si="246"/>
        <v>0</v>
      </c>
      <c r="AH998" s="67"/>
      <c r="AI998" s="47" t="s">
        <v>54</v>
      </c>
      <c r="AJ998" s="47">
        <v>624.30999999999995</v>
      </c>
      <c r="AK998" s="47" t="s">
        <v>65</v>
      </c>
      <c r="AL998" s="47" t="s">
        <v>65</v>
      </c>
      <c r="AM998" s="47" t="s">
        <v>1331</v>
      </c>
      <c r="AN998" s="50">
        <v>1350</v>
      </c>
      <c r="AO998" s="211">
        <f t="shared" si="239"/>
        <v>3.4482758620689655E-2</v>
      </c>
      <c r="AP998" s="47" t="s">
        <v>90</v>
      </c>
      <c r="AQ998" s="91" t="s">
        <v>116</v>
      </c>
      <c r="AR998" s="47"/>
    </row>
    <row r="999" spans="1:44">
      <c r="A999" s="47" t="s">
        <v>44</v>
      </c>
      <c r="B999" s="47" t="str">
        <f t="shared" si="234"/>
        <v>July</v>
      </c>
      <c r="C999" s="59">
        <v>45501</v>
      </c>
      <c r="D999" s="47" t="s">
        <v>45</v>
      </c>
      <c r="E999" s="47" t="s">
        <v>166</v>
      </c>
      <c r="F999" s="47" t="s">
        <v>167</v>
      </c>
      <c r="G999" s="47" t="s">
        <v>3047</v>
      </c>
      <c r="H999" s="47" t="s">
        <v>3048</v>
      </c>
      <c r="I999" s="47" t="s">
        <v>50</v>
      </c>
      <c r="J999" s="47" t="s">
        <v>51</v>
      </c>
      <c r="K999" s="48">
        <v>44771</v>
      </c>
      <c r="L999" s="48">
        <v>45136</v>
      </c>
      <c r="M999" s="48">
        <v>45501</v>
      </c>
      <c r="N999" s="47" t="s">
        <v>64</v>
      </c>
      <c r="O999" s="55" t="s">
        <v>53</v>
      </c>
      <c r="P999" s="62">
        <v>15360</v>
      </c>
      <c r="Q999" s="62">
        <v>1280</v>
      </c>
      <c r="R999" s="96">
        <v>15900</v>
      </c>
      <c r="S999" s="62">
        <f t="shared" si="235"/>
        <v>1325</v>
      </c>
      <c r="T999" s="62">
        <v>15360</v>
      </c>
      <c r="U999" s="62">
        <f t="shared" si="240"/>
        <v>1280</v>
      </c>
      <c r="V999" s="69">
        <v>13680</v>
      </c>
      <c r="W999" s="71">
        <v>1345</v>
      </c>
      <c r="X999" s="71"/>
      <c r="Y999" s="71"/>
      <c r="Z999" s="64">
        <f t="shared" si="236"/>
        <v>5.078125E-2</v>
      </c>
      <c r="AA999" s="64">
        <f t="shared" si="242"/>
        <v>1.509433962264151E-2</v>
      </c>
      <c r="AB999" s="71">
        <f t="shared" si="244"/>
        <v>1345</v>
      </c>
      <c r="AC999" s="64">
        <f t="shared" si="237"/>
        <v>5.078125E-2</v>
      </c>
      <c r="AD999" s="64">
        <f t="shared" si="245"/>
        <v>1.509433962264151E-2</v>
      </c>
      <c r="AE999" s="71">
        <v>1330</v>
      </c>
      <c r="AF999" s="64">
        <f t="shared" si="238"/>
        <v>3.90625E-2</v>
      </c>
      <c r="AG999" s="64">
        <f t="shared" si="246"/>
        <v>3.7735849056603774E-3</v>
      </c>
      <c r="AH999" s="67"/>
      <c r="AI999" s="47" t="s">
        <v>54</v>
      </c>
      <c r="AJ999" s="47">
        <v>656.6</v>
      </c>
      <c r="AK999" s="47" t="s">
        <v>65</v>
      </c>
      <c r="AL999" s="47" t="s">
        <v>65</v>
      </c>
      <c r="AM999" s="47" t="s">
        <v>3049</v>
      </c>
      <c r="AN999" s="50">
        <v>1330</v>
      </c>
      <c r="AO999" s="211">
        <f t="shared" si="239"/>
        <v>3.90625E-2</v>
      </c>
      <c r="AP999" s="47" t="s">
        <v>90</v>
      </c>
      <c r="AQ999" s="91" t="s">
        <v>116</v>
      </c>
      <c r="AR999" s="47"/>
    </row>
    <row r="1000" spans="1:44">
      <c r="A1000" s="47" t="s">
        <v>74</v>
      </c>
      <c r="B1000" s="47" t="str">
        <f t="shared" si="234"/>
        <v>August</v>
      </c>
      <c r="C1000" s="59">
        <v>45530</v>
      </c>
      <c r="D1000" s="47" t="s">
        <v>45</v>
      </c>
      <c r="E1000" s="47" t="s">
        <v>166</v>
      </c>
      <c r="F1000" s="47" t="s">
        <v>167</v>
      </c>
      <c r="G1000" s="47" t="s">
        <v>3160</v>
      </c>
      <c r="H1000" s="47" t="s">
        <v>3161</v>
      </c>
      <c r="I1000" s="47" t="s">
        <v>50</v>
      </c>
      <c r="J1000" s="47" t="s">
        <v>51</v>
      </c>
      <c r="K1000" s="48">
        <v>45012</v>
      </c>
      <c r="L1000" s="48">
        <v>45378</v>
      </c>
      <c r="M1000" s="48">
        <v>45530</v>
      </c>
      <c r="N1000" s="47" t="s">
        <v>64</v>
      </c>
      <c r="O1000" s="55" t="s">
        <v>53</v>
      </c>
      <c r="P1000" s="62">
        <v>15120</v>
      </c>
      <c r="Q1000" s="62">
        <v>1260</v>
      </c>
      <c r="R1000" s="96">
        <v>16380</v>
      </c>
      <c r="S1000" s="62">
        <f t="shared" si="235"/>
        <v>1365</v>
      </c>
      <c r="T1000" s="62">
        <v>15120</v>
      </c>
      <c r="U1000" s="62">
        <f t="shared" si="240"/>
        <v>1260</v>
      </c>
      <c r="V1000" s="69">
        <v>14124</v>
      </c>
      <c r="W1000" s="71">
        <v>1345</v>
      </c>
      <c r="X1000" s="71"/>
      <c r="Y1000" s="71"/>
      <c r="Z1000" s="64">
        <f t="shared" si="236"/>
        <v>6.7460317460317457E-2</v>
      </c>
      <c r="AA1000" s="64">
        <f t="shared" si="242"/>
        <v>-1.4652014652014652E-2</v>
      </c>
      <c r="AB1000" s="71">
        <f t="shared" si="244"/>
        <v>1345</v>
      </c>
      <c r="AC1000" s="64">
        <f t="shared" si="237"/>
        <v>6.7460317460317457E-2</v>
      </c>
      <c r="AD1000" s="64">
        <f t="shared" si="245"/>
        <v>-1.4652014652014652E-2</v>
      </c>
      <c r="AE1000" s="71">
        <f>AB1000-20</f>
        <v>1325</v>
      </c>
      <c r="AF1000" s="64">
        <f t="shared" si="238"/>
        <v>5.1587301587301584E-2</v>
      </c>
      <c r="AG1000" s="64">
        <f t="shared" si="246"/>
        <v>-2.9304029304029304E-2</v>
      </c>
      <c r="AH1000" s="67"/>
      <c r="AI1000" s="47" t="s">
        <v>54</v>
      </c>
      <c r="AJ1000" s="47">
        <v>656.6</v>
      </c>
      <c r="AK1000" s="47" t="s">
        <v>65</v>
      </c>
      <c r="AL1000" s="47" t="s">
        <v>65</v>
      </c>
      <c r="AM1000" s="47" t="s">
        <v>2941</v>
      </c>
      <c r="AN1000" s="50">
        <v>1345</v>
      </c>
      <c r="AO1000" s="211">
        <f t="shared" si="239"/>
        <v>6.7460317460317457E-2</v>
      </c>
      <c r="AP1000" s="47" t="s">
        <v>90</v>
      </c>
      <c r="AQ1000" s="91" t="s">
        <v>116</v>
      </c>
      <c r="AR1000" s="47"/>
    </row>
    <row r="1001" spans="1:44">
      <c r="A1001" s="47" t="s">
        <v>44</v>
      </c>
      <c r="B1001" s="47" t="str">
        <f t="shared" si="234"/>
        <v>August</v>
      </c>
      <c r="C1001" s="59">
        <v>45530</v>
      </c>
      <c r="D1001" s="47" t="s">
        <v>45</v>
      </c>
      <c r="E1001" s="47" t="s">
        <v>166</v>
      </c>
      <c r="F1001" s="47" t="s">
        <v>167</v>
      </c>
      <c r="G1001" s="47" t="s">
        <v>3162</v>
      </c>
      <c r="H1001" s="47" t="s">
        <v>3163</v>
      </c>
      <c r="I1001" s="47" t="s">
        <v>50</v>
      </c>
      <c r="J1001" s="47" t="s">
        <v>51</v>
      </c>
      <c r="K1001" s="48">
        <v>44435</v>
      </c>
      <c r="L1001" s="48">
        <v>45165</v>
      </c>
      <c r="M1001" s="48">
        <v>45530</v>
      </c>
      <c r="N1001" s="47" t="s">
        <v>64</v>
      </c>
      <c r="O1001" s="55" t="s">
        <v>53</v>
      </c>
      <c r="P1001" s="62">
        <v>15600</v>
      </c>
      <c r="Q1001" s="62">
        <v>1300</v>
      </c>
      <c r="R1001" s="96">
        <v>16140</v>
      </c>
      <c r="S1001" s="62">
        <f t="shared" si="235"/>
        <v>1345</v>
      </c>
      <c r="T1001" s="62">
        <v>15900</v>
      </c>
      <c r="U1001" s="62">
        <f t="shared" si="240"/>
        <v>1325</v>
      </c>
      <c r="V1001" s="69">
        <v>14700</v>
      </c>
      <c r="W1001" s="71">
        <v>1370</v>
      </c>
      <c r="X1001" s="71"/>
      <c r="Y1001" s="71"/>
      <c r="Z1001" s="64">
        <f t="shared" si="236"/>
        <v>3.3962264150943396E-2</v>
      </c>
      <c r="AA1001" s="64">
        <f t="shared" si="242"/>
        <v>1.858736059479554E-2</v>
      </c>
      <c r="AB1001" s="71">
        <f t="shared" si="244"/>
        <v>1370</v>
      </c>
      <c r="AC1001" s="64">
        <f t="shared" si="237"/>
        <v>3.3962264150943396E-2</v>
      </c>
      <c r="AD1001" s="64">
        <f t="shared" si="245"/>
        <v>1.858736059479554E-2</v>
      </c>
      <c r="AE1001" s="71">
        <v>1370</v>
      </c>
      <c r="AF1001" s="64">
        <f t="shared" si="238"/>
        <v>3.3962264150943396E-2</v>
      </c>
      <c r="AG1001" s="64">
        <f t="shared" si="246"/>
        <v>1.858736059479554E-2</v>
      </c>
      <c r="AH1001" s="67"/>
      <c r="AI1001" s="47" t="s">
        <v>250</v>
      </c>
      <c r="AJ1001" s="47">
        <v>688.9</v>
      </c>
      <c r="AK1001" s="47" t="s">
        <v>65</v>
      </c>
      <c r="AL1001" s="47" t="s">
        <v>65</v>
      </c>
      <c r="AM1001" s="47" t="s">
        <v>1562</v>
      </c>
      <c r="AN1001" s="50">
        <v>1370</v>
      </c>
      <c r="AO1001" s="211">
        <f t="shared" si="239"/>
        <v>3.3962264150943396E-2</v>
      </c>
      <c r="AP1001" s="47" t="s">
        <v>90</v>
      </c>
      <c r="AQ1001" s="91" t="s">
        <v>116</v>
      </c>
      <c r="AR1001" s="47"/>
    </row>
    <row r="1002" spans="1:44">
      <c r="A1002" s="47" t="s">
        <v>44</v>
      </c>
      <c r="B1002" s="47" t="str">
        <f t="shared" si="234"/>
        <v>August</v>
      </c>
      <c r="C1002" s="59">
        <v>45530</v>
      </c>
      <c r="D1002" s="47" t="s">
        <v>45</v>
      </c>
      <c r="E1002" s="47" t="s">
        <v>166</v>
      </c>
      <c r="F1002" s="47" t="s">
        <v>167</v>
      </c>
      <c r="G1002" s="47" t="s">
        <v>3164</v>
      </c>
      <c r="H1002" s="47" t="s">
        <v>3165</v>
      </c>
      <c r="I1002" s="47" t="s">
        <v>3166</v>
      </c>
      <c r="J1002" s="47" t="s">
        <v>51</v>
      </c>
      <c r="K1002" s="48">
        <v>44831</v>
      </c>
      <c r="L1002" s="48">
        <v>45196</v>
      </c>
      <c r="M1002" s="48">
        <v>45530</v>
      </c>
      <c r="N1002" s="47" t="s">
        <v>64</v>
      </c>
      <c r="O1002" s="55" t="s">
        <v>53</v>
      </c>
      <c r="P1002" s="62">
        <v>14640</v>
      </c>
      <c r="Q1002" s="62">
        <v>1220</v>
      </c>
      <c r="R1002" s="96">
        <v>15780</v>
      </c>
      <c r="S1002" s="62">
        <f t="shared" si="235"/>
        <v>1315</v>
      </c>
      <c r="T1002" s="62">
        <v>15780</v>
      </c>
      <c r="U1002" s="62">
        <f t="shared" si="240"/>
        <v>1315</v>
      </c>
      <c r="V1002" s="69">
        <v>13800</v>
      </c>
      <c r="W1002" s="71">
        <v>1355</v>
      </c>
      <c r="X1002" s="71"/>
      <c r="Y1002" s="71"/>
      <c r="Z1002" s="64">
        <f t="shared" si="236"/>
        <v>3.0418250950570342E-2</v>
      </c>
      <c r="AA1002" s="64">
        <f t="shared" si="242"/>
        <v>3.0418250950570342E-2</v>
      </c>
      <c r="AB1002" s="71">
        <f t="shared" si="244"/>
        <v>1355</v>
      </c>
      <c r="AC1002" s="64">
        <f t="shared" si="237"/>
        <v>3.0418250950570342E-2</v>
      </c>
      <c r="AD1002" s="64">
        <f t="shared" si="245"/>
        <v>3.0418250950570342E-2</v>
      </c>
      <c r="AE1002" s="71">
        <v>1355</v>
      </c>
      <c r="AF1002" s="64">
        <f t="shared" si="238"/>
        <v>3.0418250950570342E-2</v>
      </c>
      <c r="AG1002" s="64">
        <f t="shared" si="246"/>
        <v>3.0418250950570342E-2</v>
      </c>
      <c r="AH1002" s="67"/>
      <c r="AI1002" s="47" t="s">
        <v>54</v>
      </c>
      <c r="AJ1002" s="47">
        <v>624.30999999999995</v>
      </c>
      <c r="AK1002" s="47" t="s">
        <v>65</v>
      </c>
      <c r="AL1002" s="47" t="s">
        <v>65</v>
      </c>
      <c r="AM1002" s="47" t="s">
        <v>1331</v>
      </c>
      <c r="AN1002" s="50"/>
      <c r="AO1002" s="211">
        <f t="shared" si="239"/>
        <v>-1</v>
      </c>
      <c r="AP1002" s="47" t="s">
        <v>90</v>
      </c>
      <c r="AQ1002" s="94" t="s">
        <v>891</v>
      </c>
      <c r="AR1002" s="47"/>
    </row>
    <row r="1003" spans="1:44" hidden="1">
      <c r="A1003" s="47" t="s">
        <v>44</v>
      </c>
      <c r="B1003" s="47" t="str">
        <f t="shared" si="234"/>
        <v>August</v>
      </c>
      <c r="C1003" s="59">
        <v>45531</v>
      </c>
      <c r="D1003" s="47" t="s">
        <v>45</v>
      </c>
      <c r="E1003" s="47" t="s">
        <v>166</v>
      </c>
      <c r="F1003" s="47" t="s">
        <v>167</v>
      </c>
      <c r="G1003" s="47" t="s">
        <v>3313</v>
      </c>
      <c r="H1003" s="47" t="s">
        <v>3314</v>
      </c>
      <c r="I1003" s="47" t="s">
        <v>3315</v>
      </c>
      <c r="J1003" s="47" t="s">
        <v>51</v>
      </c>
      <c r="K1003" s="48">
        <v>45166</v>
      </c>
      <c r="L1003" s="48">
        <v>45166</v>
      </c>
      <c r="M1003" s="48">
        <v>45531</v>
      </c>
      <c r="N1003" s="47" t="s">
        <v>52</v>
      </c>
      <c r="O1003" s="55" t="s">
        <v>53</v>
      </c>
      <c r="P1003" s="62">
        <v>12480</v>
      </c>
      <c r="Q1003" s="62">
        <v>1040</v>
      </c>
      <c r="R1003" s="96">
        <v>13080</v>
      </c>
      <c r="S1003" s="62">
        <f t="shared" si="235"/>
        <v>1090</v>
      </c>
      <c r="T1003" s="62">
        <v>12480</v>
      </c>
      <c r="U1003" s="62">
        <f t="shared" si="240"/>
        <v>1040</v>
      </c>
      <c r="V1003" s="69">
        <v>11040</v>
      </c>
      <c r="W1003" s="71">
        <v>1100</v>
      </c>
      <c r="X1003" s="71"/>
      <c r="Y1003" s="71"/>
      <c r="Z1003" s="64">
        <f t="shared" si="236"/>
        <v>5.7692307692307696E-2</v>
      </c>
      <c r="AA1003" s="64">
        <f t="shared" si="242"/>
        <v>9.1743119266055051E-3</v>
      </c>
      <c r="AB1003" s="71">
        <f t="shared" si="244"/>
        <v>1100</v>
      </c>
      <c r="AC1003" s="64">
        <f t="shared" si="237"/>
        <v>5.7692307692307696E-2</v>
      </c>
      <c r="AD1003" s="64">
        <f t="shared" si="245"/>
        <v>9.1743119266055051E-3</v>
      </c>
      <c r="AE1003" s="71">
        <v>1085</v>
      </c>
      <c r="AF1003" s="64">
        <f t="shared" si="238"/>
        <v>4.3269230769230768E-2</v>
      </c>
      <c r="AG1003" s="64">
        <f t="shared" si="246"/>
        <v>-4.5871559633027525E-3</v>
      </c>
      <c r="AH1003" s="67"/>
      <c r="AI1003" s="47" t="s">
        <v>54</v>
      </c>
      <c r="AJ1003" s="47">
        <v>516.66999999999996</v>
      </c>
      <c r="AK1003" s="47" t="s">
        <v>55</v>
      </c>
      <c r="AL1003" s="47" t="s">
        <v>55</v>
      </c>
      <c r="AM1003" s="47" t="s">
        <v>3316</v>
      </c>
      <c r="AN1003" s="50"/>
      <c r="AO1003" s="211">
        <f t="shared" si="239"/>
        <v>-1</v>
      </c>
      <c r="AP1003" s="47" t="s">
        <v>90</v>
      </c>
      <c r="AQ1003" s="145" t="s">
        <v>116</v>
      </c>
      <c r="AR1003" s="47"/>
    </row>
    <row r="1004" spans="1:44" hidden="1">
      <c r="A1004" s="47" t="s">
        <v>44</v>
      </c>
      <c r="B1004" s="47" t="str">
        <f t="shared" si="234"/>
        <v>August</v>
      </c>
      <c r="C1004" s="59">
        <v>45531</v>
      </c>
      <c r="D1004" s="47" t="s">
        <v>45</v>
      </c>
      <c r="E1004" s="47" t="s">
        <v>166</v>
      </c>
      <c r="F1004" s="47" t="s">
        <v>167</v>
      </c>
      <c r="G1004" s="47" t="s">
        <v>3317</v>
      </c>
      <c r="H1004" s="47" t="s">
        <v>3318</v>
      </c>
      <c r="I1004" s="47" t="s">
        <v>50</v>
      </c>
      <c r="J1004" s="47" t="s">
        <v>51</v>
      </c>
      <c r="K1004" s="48">
        <v>45166</v>
      </c>
      <c r="L1004" s="48">
        <v>45166</v>
      </c>
      <c r="M1004" s="48">
        <v>45531</v>
      </c>
      <c r="N1004" s="47" t="s">
        <v>52</v>
      </c>
      <c r="O1004" s="55" t="s">
        <v>53</v>
      </c>
      <c r="P1004" s="62">
        <v>15480</v>
      </c>
      <c r="Q1004" s="62">
        <v>1290</v>
      </c>
      <c r="R1004" s="96">
        <v>16020</v>
      </c>
      <c r="S1004" s="62">
        <f t="shared" si="235"/>
        <v>1335</v>
      </c>
      <c r="T1004" s="62">
        <v>15480</v>
      </c>
      <c r="U1004" s="62">
        <f t="shared" si="240"/>
        <v>1290</v>
      </c>
      <c r="V1004" s="69">
        <v>14880</v>
      </c>
      <c r="W1004" s="71">
        <v>1330</v>
      </c>
      <c r="X1004" s="71"/>
      <c r="Y1004" s="71"/>
      <c r="Z1004" s="64">
        <f t="shared" si="236"/>
        <v>3.1007751937984496E-2</v>
      </c>
      <c r="AA1004" s="64">
        <f t="shared" si="242"/>
        <v>-3.7453183520599251E-3</v>
      </c>
      <c r="AB1004" s="71">
        <f t="shared" si="244"/>
        <v>1330</v>
      </c>
      <c r="AC1004" s="64">
        <f t="shared" si="237"/>
        <v>3.1007751937984496E-2</v>
      </c>
      <c r="AD1004" s="64">
        <f t="shared" si="245"/>
        <v>-3.7453183520599251E-3</v>
      </c>
      <c r="AE1004" s="71">
        <v>1330</v>
      </c>
      <c r="AF1004" s="64">
        <f t="shared" si="238"/>
        <v>3.1007751937984496E-2</v>
      </c>
      <c r="AG1004" s="64">
        <f t="shared" si="246"/>
        <v>-3.7453183520599251E-3</v>
      </c>
      <c r="AH1004" s="67"/>
      <c r="AI1004" s="47" t="s">
        <v>54</v>
      </c>
      <c r="AJ1004" s="47">
        <v>624.30999999999995</v>
      </c>
      <c r="AK1004" s="47" t="s">
        <v>65</v>
      </c>
      <c r="AL1004" s="47" t="s">
        <v>65</v>
      </c>
      <c r="AM1004" s="47" t="s">
        <v>1556</v>
      </c>
      <c r="AN1004" s="50"/>
      <c r="AO1004" s="211">
        <f t="shared" si="239"/>
        <v>-1</v>
      </c>
      <c r="AP1004" s="47" t="s">
        <v>90</v>
      </c>
      <c r="AQ1004" s="91" t="s">
        <v>116</v>
      </c>
      <c r="AR1004" s="47"/>
    </row>
    <row r="1005" spans="1:44">
      <c r="A1005" s="47" t="s">
        <v>44</v>
      </c>
      <c r="B1005" s="47" t="str">
        <f t="shared" si="234"/>
        <v>August</v>
      </c>
      <c r="C1005" s="59">
        <v>45532</v>
      </c>
      <c r="D1005" s="47" t="s">
        <v>45</v>
      </c>
      <c r="E1005" s="47" t="s">
        <v>166</v>
      </c>
      <c r="F1005" s="47" t="s">
        <v>167</v>
      </c>
      <c r="G1005" s="47" t="s">
        <v>3351</v>
      </c>
      <c r="H1005" s="47" t="s">
        <v>3352</v>
      </c>
      <c r="I1005" s="47" t="s">
        <v>50</v>
      </c>
      <c r="J1005" s="47" t="s">
        <v>51</v>
      </c>
      <c r="K1005" s="48">
        <v>44802</v>
      </c>
      <c r="L1005" s="48">
        <v>45167</v>
      </c>
      <c r="M1005" s="48">
        <v>45532</v>
      </c>
      <c r="N1005" s="47" t="s">
        <v>64</v>
      </c>
      <c r="O1005" s="55" t="s">
        <v>53</v>
      </c>
      <c r="P1005" s="62">
        <v>11280</v>
      </c>
      <c r="Q1005" s="62">
        <v>940</v>
      </c>
      <c r="R1005" s="96">
        <v>11820</v>
      </c>
      <c r="S1005" s="62">
        <f t="shared" si="235"/>
        <v>985</v>
      </c>
      <c r="T1005" s="62">
        <v>11820</v>
      </c>
      <c r="U1005" s="62">
        <f t="shared" si="240"/>
        <v>985</v>
      </c>
      <c r="V1005" s="69">
        <v>10740</v>
      </c>
      <c r="W1005" s="71">
        <v>1060</v>
      </c>
      <c r="X1005" s="71"/>
      <c r="Y1005" s="71"/>
      <c r="Z1005" s="64">
        <f t="shared" si="236"/>
        <v>7.6142131979695438E-2</v>
      </c>
      <c r="AA1005" s="64">
        <f t="shared" si="242"/>
        <v>7.6142131979695438E-2</v>
      </c>
      <c r="AB1005" s="71">
        <f t="shared" si="244"/>
        <v>1060</v>
      </c>
      <c r="AC1005" s="64">
        <f t="shared" si="237"/>
        <v>7.6142131979695438E-2</v>
      </c>
      <c r="AD1005" s="64">
        <f t="shared" si="245"/>
        <v>7.6142131979695438E-2</v>
      </c>
      <c r="AE1005" s="71">
        <f>AB1005-20</f>
        <v>1040</v>
      </c>
      <c r="AF1005" s="64">
        <f t="shared" si="238"/>
        <v>5.5837563451776651E-2</v>
      </c>
      <c r="AG1005" s="64">
        <f t="shared" si="246"/>
        <v>5.5837563451776651E-2</v>
      </c>
      <c r="AH1005" s="67"/>
      <c r="AI1005" s="47" t="s">
        <v>54</v>
      </c>
      <c r="AJ1005" s="47">
        <v>484.38</v>
      </c>
      <c r="AK1005" s="47" t="s">
        <v>55</v>
      </c>
      <c r="AL1005" s="47" t="s">
        <v>55</v>
      </c>
      <c r="AM1005" s="47" t="s">
        <v>1108</v>
      </c>
      <c r="AN1005" s="50">
        <v>1040</v>
      </c>
      <c r="AO1005" s="211">
        <f t="shared" si="239"/>
        <v>5.5837563451776651E-2</v>
      </c>
      <c r="AP1005" s="47" t="s">
        <v>90</v>
      </c>
      <c r="AQ1005" s="91" t="s">
        <v>116</v>
      </c>
      <c r="AR1005" s="47"/>
    </row>
    <row r="1006" spans="1:44" hidden="1">
      <c r="A1006" s="47" t="s">
        <v>44</v>
      </c>
      <c r="B1006" s="47" t="str">
        <f t="shared" si="234"/>
        <v>August</v>
      </c>
      <c r="C1006" s="59">
        <v>45534</v>
      </c>
      <c r="D1006" s="47" t="s">
        <v>45</v>
      </c>
      <c r="E1006" s="47" t="s">
        <v>166</v>
      </c>
      <c r="F1006" s="47" t="s">
        <v>167</v>
      </c>
      <c r="G1006" s="47" t="s">
        <v>3552</v>
      </c>
      <c r="H1006" s="47" t="s">
        <v>3553</v>
      </c>
      <c r="I1006" s="47" t="s">
        <v>50</v>
      </c>
      <c r="J1006" s="47" t="s">
        <v>51</v>
      </c>
      <c r="K1006" s="48">
        <v>45169</v>
      </c>
      <c r="L1006" s="48">
        <v>45169</v>
      </c>
      <c r="M1006" s="48">
        <v>45534</v>
      </c>
      <c r="N1006" s="47" t="s">
        <v>52</v>
      </c>
      <c r="O1006" s="55" t="s">
        <v>53</v>
      </c>
      <c r="P1006" s="62">
        <v>11520</v>
      </c>
      <c r="Q1006" s="62">
        <v>960</v>
      </c>
      <c r="R1006" s="96">
        <v>12120</v>
      </c>
      <c r="S1006" s="62">
        <f t="shared" si="235"/>
        <v>1010</v>
      </c>
      <c r="T1006" s="62">
        <v>11520</v>
      </c>
      <c r="U1006" s="62">
        <f t="shared" si="240"/>
        <v>960</v>
      </c>
      <c r="V1006" s="69">
        <v>10560</v>
      </c>
      <c r="W1006" s="71">
        <v>1020</v>
      </c>
      <c r="X1006" s="71"/>
      <c r="Y1006" s="71"/>
      <c r="Z1006" s="64">
        <f t="shared" si="236"/>
        <v>6.25E-2</v>
      </c>
      <c r="AA1006" s="64">
        <f t="shared" si="242"/>
        <v>9.9009900990099011E-3</v>
      </c>
      <c r="AB1006" s="71">
        <f t="shared" si="244"/>
        <v>1020</v>
      </c>
      <c r="AC1006" s="64">
        <f t="shared" si="237"/>
        <v>6.25E-2</v>
      </c>
      <c r="AD1006" s="64">
        <f t="shared" si="245"/>
        <v>9.9009900990099011E-3</v>
      </c>
      <c r="AE1006" s="71">
        <v>1005</v>
      </c>
      <c r="AF1006" s="64">
        <f t="shared" si="238"/>
        <v>4.6875E-2</v>
      </c>
      <c r="AG1006" s="64">
        <f t="shared" si="246"/>
        <v>-4.9504950495049506E-3</v>
      </c>
      <c r="AH1006" s="67"/>
      <c r="AI1006" s="47" t="s">
        <v>54</v>
      </c>
      <c r="AJ1006" s="47">
        <v>538.20000000000005</v>
      </c>
      <c r="AK1006" s="47" t="s">
        <v>55</v>
      </c>
      <c r="AL1006" s="47" t="s">
        <v>55</v>
      </c>
      <c r="AM1006" s="47" t="s">
        <v>3554</v>
      </c>
      <c r="AN1006" s="50">
        <v>1020</v>
      </c>
      <c r="AO1006" s="211">
        <f t="shared" si="239"/>
        <v>6.25E-2</v>
      </c>
      <c r="AP1006" s="47" t="s">
        <v>90</v>
      </c>
      <c r="AQ1006" s="91" t="s">
        <v>116</v>
      </c>
      <c r="AR1006" s="47"/>
    </row>
    <row r="1007" spans="1:44">
      <c r="A1007" s="47" t="s">
        <v>44</v>
      </c>
      <c r="B1007" s="47" t="str">
        <f t="shared" si="234"/>
        <v>August</v>
      </c>
      <c r="C1007" s="59">
        <v>45534</v>
      </c>
      <c r="D1007" s="47" t="s">
        <v>45</v>
      </c>
      <c r="E1007" s="47" t="s">
        <v>166</v>
      </c>
      <c r="F1007" s="47" t="s">
        <v>167</v>
      </c>
      <c r="G1007" s="47" t="s">
        <v>3555</v>
      </c>
      <c r="H1007" s="47" t="s">
        <v>3556</v>
      </c>
      <c r="I1007" s="47" t="s">
        <v>50</v>
      </c>
      <c r="J1007" s="47" t="s">
        <v>51</v>
      </c>
      <c r="K1007" s="48">
        <v>44804</v>
      </c>
      <c r="L1007" s="48">
        <v>45169</v>
      </c>
      <c r="M1007" s="48">
        <v>45534</v>
      </c>
      <c r="N1007" s="47" t="s">
        <v>64</v>
      </c>
      <c r="O1007" s="55" t="s">
        <v>53</v>
      </c>
      <c r="P1007" s="62">
        <v>14580</v>
      </c>
      <c r="Q1007" s="62">
        <v>1215</v>
      </c>
      <c r="R1007" s="96">
        <v>15120</v>
      </c>
      <c r="S1007" s="62">
        <f t="shared" si="235"/>
        <v>1260</v>
      </c>
      <c r="T1007" s="62">
        <v>15000</v>
      </c>
      <c r="U1007" s="62">
        <f t="shared" si="240"/>
        <v>1250</v>
      </c>
      <c r="V1007" s="69">
        <v>13740</v>
      </c>
      <c r="W1007" s="71">
        <v>1295</v>
      </c>
      <c r="X1007" s="71"/>
      <c r="Y1007" s="71"/>
      <c r="Z1007" s="64">
        <f t="shared" si="236"/>
        <v>3.5999999999999997E-2</v>
      </c>
      <c r="AA1007" s="64">
        <f t="shared" si="242"/>
        <v>2.7777777777777776E-2</v>
      </c>
      <c r="AB1007" s="71">
        <f t="shared" si="244"/>
        <v>1295</v>
      </c>
      <c r="AC1007" s="64">
        <f t="shared" si="237"/>
        <v>3.5999999999999997E-2</v>
      </c>
      <c r="AD1007" s="64">
        <f t="shared" si="245"/>
        <v>2.7777777777777776E-2</v>
      </c>
      <c r="AE1007" s="71">
        <v>1295</v>
      </c>
      <c r="AF1007" s="64">
        <f t="shared" si="238"/>
        <v>3.5999999999999997E-2</v>
      </c>
      <c r="AG1007" s="64">
        <f t="shared" si="246"/>
        <v>2.7777777777777776E-2</v>
      </c>
      <c r="AH1007" s="67"/>
      <c r="AI1007" s="47" t="s">
        <v>54</v>
      </c>
      <c r="AJ1007" s="47">
        <v>624.30999999999995</v>
      </c>
      <c r="AK1007" s="47" t="s">
        <v>65</v>
      </c>
      <c r="AL1007" s="47" t="s">
        <v>65</v>
      </c>
      <c r="AM1007" s="47" t="s">
        <v>2944</v>
      </c>
      <c r="AN1007" s="50"/>
      <c r="AO1007" s="211">
        <f t="shared" si="239"/>
        <v>-1</v>
      </c>
      <c r="AP1007" s="47" t="s">
        <v>90</v>
      </c>
      <c r="AQ1007" s="91" t="s">
        <v>116</v>
      </c>
      <c r="AR1007" s="47"/>
    </row>
    <row r="1008" spans="1:44" hidden="1">
      <c r="A1008" s="47" t="s">
        <v>44</v>
      </c>
      <c r="B1008" s="47" t="str">
        <f t="shared" si="234"/>
        <v>August</v>
      </c>
      <c r="C1008" s="59">
        <v>45534</v>
      </c>
      <c r="D1008" s="47" t="s">
        <v>45</v>
      </c>
      <c r="E1008" s="47" t="s">
        <v>166</v>
      </c>
      <c r="F1008" s="47" t="s">
        <v>167</v>
      </c>
      <c r="G1008" s="47" t="s">
        <v>3557</v>
      </c>
      <c r="H1008" s="47" t="s">
        <v>3558</v>
      </c>
      <c r="I1008" s="47" t="s">
        <v>50</v>
      </c>
      <c r="J1008" s="47" t="s">
        <v>51</v>
      </c>
      <c r="K1008" s="48">
        <v>45169</v>
      </c>
      <c r="L1008" s="48">
        <v>45169</v>
      </c>
      <c r="M1008" s="48">
        <v>45534</v>
      </c>
      <c r="N1008" s="47" t="s">
        <v>52</v>
      </c>
      <c r="O1008" s="55" t="s">
        <v>53</v>
      </c>
      <c r="P1008" s="62">
        <v>16440</v>
      </c>
      <c r="Q1008" s="62">
        <v>1370</v>
      </c>
      <c r="R1008" s="96">
        <v>17040</v>
      </c>
      <c r="S1008" s="62">
        <f t="shared" si="235"/>
        <v>1420</v>
      </c>
      <c r="T1008" s="62">
        <v>16440</v>
      </c>
      <c r="U1008" s="62">
        <f t="shared" si="240"/>
        <v>1370</v>
      </c>
      <c r="V1008" s="69">
        <v>15060</v>
      </c>
      <c r="W1008" s="71">
        <v>1410</v>
      </c>
      <c r="X1008" s="71"/>
      <c r="Y1008" s="71"/>
      <c r="Z1008" s="64">
        <f t="shared" si="236"/>
        <v>2.9197080291970802E-2</v>
      </c>
      <c r="AA1008" s="64">
        <f t="shared" si="242"/>
        <v>-7.0422535211267607E-3</v>
      </c>
      <c r="AB1008" s="71">
        <f t="shared" si="244"/>
        <v>1410</v>
      </c>
      <c r="AC1008" s="64">
        <f t="shared" si="237"/>
        <v>2.9197080291970802E-2</v>
      </c>
      <c r="AD1008" s="64">
        <f t="shared" si="245"/>
        <v>-7.0422535211267607E-3</v>
      </c>
      <c r="AE1008" s="71">
        <v>1410</v>
      </c>
      <c r="AF1008" s="64">
        <f t="shared" si="238"/>
        <v>2.9197080291970802E-2</v>
      </c>
      <c r="AG1008" s="64">
        <f t="shared" si="246"/>
        <v>-7.0422535211267607E-3</v>
      </c>
      <c r="AH1008" s="67"/>
      <c r="AI1008" s="47" t="s">
        <v>54</v>
      </c>
      <c r="AJ1008" s="47">
        <v>624.30999999999995</v>
      </c>
      <c r="AK1008" s="47" t="s">
        <v>65</v>
      </c>
      <c r="AL1008" s="47" t="s">
        <v>65</v>
      </c>
      <c r="AM1008" s="47" t="s">
        <v>3559</v>
      </c>
      <c r="AN1008" s="50"/>
      <c r="AO1008" s="211">
        <f t="shared" si="239"/>
        <v>-1</v>
      </c>
      <c r="AP1008" s="47" t="s">
        <v>90</v>
      </c>
      <c r="AQ1008" s="91" t="s">
        <v>116</v>
      </c>
      <c r="AR1008" s="47"/>
    </row>
    <row r="1009" spans="1:16373">
      <c r="A1009" s="47" t="s">
        <v>44</v>
      </c>
      <c r="B1009" s="47" t="str">
        <f t="shared" si="234"/>
        <v>August</v>
      </c>
      <c r="C1009" s="59">
        <v>45535</v>
      </c>
      <c r="D1009" s="47" t="s">
        <v>45</v>
      </c>
      <c r="E1009" s="47" t="s">
        <v>166</v>
      </c>
      <c r="F1009" s="47" t="s">
        <v>167</v>
      </c>
      <c r="G1009" s="47" t="s">
        <v>3780</v>
      </c>
      <c r="H1009" s="47" t="s">
        <v>3781</v>
      </c>
      <c r="I1009" s="47" t="s">
        <v>50</v>
      </c>
      <c r="J1009" s="47" t="s">
        <v>51</v>
      </c>
      <c r="K1009" s="48">
        <v>43678</v>
      </c>
      <c r="L1009" s="48">
        <v>45170</v>
      </c>
      <c r="M1009" s="48">
        <v>45535</v>
      </c>
      <c r="N1009" s="47" t="s">
        <v>64</v>
      </c>
      <c r="O1009" s="55" t="s">
        <v>53</v>
      </c>
      <c r="P1009" s="62">
        <v>15120</v>
      </c>
      <c r="Q1009" s="62">
        <v>1260</v>
      </c>
      <c r="R1009" s="96">
        <v>15660</v>
      </c>
      <c r="S1009" s="62">
        <f t="shared" si="235"/>
        <v>1305</v>
      </c>
      <c r="T1009" s="62">
        <v>15540</v>
      </c>
      <c r="U1009" s="62">
        <f t="shared" si="240"/>
        <v>1295</v>
      </c>
      <c r="V1009" s="69">
        <v>14220</v>
      </c>
      <c r="W1009" s="71">
        <v>1350</v>
      </c>
      <c r="X1009" s="71"/>
      <c r="Y1009" s="71"/>
      <c r="Z1009" s="64">
        <f t="shared" si="236"/>
        <v>4.2471042471042469E-2</v>
      </c>
      <c r="AA1009" s="64">
        <f t="shared" si="242"/>
        <v>3.4482758620689655E-2</v>
      </c>
      <c r="AB1009" s="71">
        <f t="shared" si="244"/>
        <v>1350</v>
      </c>
      <c r="AC1009" s="64">
        <f t="shared" si="237"/>
        <v>4.2471042471042469E-2</v>
      </c>
      <c r="AD1009" s="64">
        <f t="shared" si="245"/>
        <v>3.4482758620689655E-2</v>
      </c>
      <c r="AE1009" s="71">
        <v>1350</v>
      </c>
      <c r="AF1009" s="64">
        <f t="shared" si="238"/>
        <v>4.2471042471042469E-2</v>
      </c>
      <c r="AG1009" s="64">
        <f t="shared" si="246"/>
        <v>3.4482758620689655E-2</v>
      </c>
      <c r="AH1009" s="67"/>
      <c r="AI1009" s="47" t="s">
        <v>54</v>
      </c>
      <c r="AJ1009" s="47">
        <v>624.30999999999995</v>
      </c>
      <c r="AK1009" s="47" t="s">
        <v>65</v>
      </c>
      <c r="AL1009" s="47" t="s">
        <v>65</v>
      </c>
      <c r="AM1009" s="47" t="s">
        <v>2914</v>
      </c>
      <c r="AN1009" s="50"/>
      <c r="AO1009" s="211">
        <f t="shared" si="239"/>
        <v>-1</v>
      </c>
      <c r="AP1009" s="47" t="s">
        <v>90</v>
      </c>
      <c r="AQ1009" s="94" t="s">
        <v>891</v>
      </c>
      <c r="AR1009" s="47"/>
    </row>
    <row r="1010" spans="1:16373" hidden="1">
      <c r="A1010" s="47" t="s">
        <v>44</v>
      </c>
      <c r="B1010" s="47" t="str">
        <f t="shared" si="234"/>
        <v>August</v>
      </c>
      <c r="C1010" s="59">
        <v>45535</v>
      </c>
      <c r="D1010" s="47" t="s">
        <v>45</v>
      </c>
      <c r="E1010" s="47" t="s">
        <v>166</v>
      </c>
      <c r="F1010" s="47" t="s">
        <v>167</v>
      </c>
      <c r="G1010" s="47" t="s">
        <v>3782</v>
      </c>
      <c r="H1010" s="47" t="s">
        <v>3783</v>
      </c>
      <c r="I1010" s="47" t="s">
        <v>50</v>
      </c>
      <c r="J1010" s="47" t="s">
        <v>51</v>
      </c>
      <c r="K1010" s="48">
        <v>45170</v>
      </c>
      <c r="L1010" s="48">
        <v>45170</v>
      </c>
      <c r="M1010" s="48">
        <v>45535</v>
      </c>
      <c r="N1010" s="47" t="s">
        <v>52</v>
      </c>
      <c r="O1010" s="55" t="s">
        <v>53</v>
      </c>
      <c r="P1010" s="62">
        <v>15780</v>
      </c>
      <c r="Q1010" s="62">
        <v>1315</v>
      </c>
      <c r="R1010" s="96">
        <v>16320</v>
      </c>
      <c r="S1010" s="62">
        <f t="shared" si="235"/>
        <v>1360</v>
      </c>
      <c r="T1010" s="62">
        <v>15960</v>
      </c>
      <c r="U1010" s="62">
        <f t="shared" si="240"/>
        <v>1330</v>
      </c>
      <c r="V1010" s="69">
        <v>15780</v>
      </c>
      <c r="W1010" s="71">
        <v>1370</v>
      </c>
      <c r="X1010" s="71"/>
      <c r="Y1010" s="71"/>
      <c r="Z1010" s="64">
        <f t="shared" si="236"/>
        <v>3.007518796992481E-2</v>
      </c>
      <c r="AA1010" s="64">
        <f t="shared" si="242"/>
        <v>7.3529411764705881E-3</v>
      </c>
      <c r="AB1010" s="71">
        <f t="shared" si="244"/>
        <v>1370</v>
      </c>
      <c r="AC1010" s="64">
        <f t="shared" si="237"/>
        <v>3.007518796992481E-2</v>
      </c>
      <c r="AD1010" s="64">
        <f t="shared" si="245"/>
        <v>7.3529411764705881E-3</v>
      </c>
      <c r="AE1010" s="71">
        <v>1370</v>
      </c>
      <c r="AF1010" s="64">
        <f t="shared" si="238"/>
        <v>3.007518796992481E-2</v>
      </c>
      <c r="AG1010" s="64">
        <f t="shared" si="246"/>
        <v>7.3529411764705881E-3</v>
      </c>
      <c r="AH1010" s="67"/>
      <c r="AI1010" s="47" t="s">
        <v>54</v>
      </c>
      <c r="AJ1010" s="47">
        <v>688.9</v>
      </c>
      <c r="AK1010" s="47" t="s">
        <v>65</v>
      </c>
      <c r="AL1010" s="47" t="s">
        <v>65</v>
      </c>
      <c r="AM1010" s="47" t="s">
        <v>3784</v>
      </c>
      <c r="AN1010" s="50"/>
      <c r="AO1010" s="211">
        <f t="shared" si="239"/>
        <v>-1</v>
      </c>
      <c r="AP1010" s="47" t="s">
        <v>90</v>
      </c>
      <c r="AQ1010" s="91" t="s">
        <v>116</v>
      </c>
      <c r="AR1010" s="47"/>
    </row>
    <row r="1011" spans="1:16373" hidden="1">
      <c r="A1011" s="47" t="s">
        <v>44</v>
      </c>
      <c r="B1011" s="47" t="str">
        <f t="shared" si="234"/>
        <v>August</v>
      </c>
      <c r="C1011" s="59">
        <v>45535</v>
      </c>
      <c r="D1011" s="47" t="s">
        <v>45</v>
      </c>
      <c r="E1011" s="47" t="s">
        <v>166</v>
      </c>
      <c r="F1011" s="47" t="s">
        <v>167</v>
      </c>
      <c r="G1011" s="47" t="s">
        <v>3785</v>
      </c>
      <c r="H1011" s="47" t="s">
        <v>3786</v>
      </c>
      <c r="I1011" s="52" t="s">
        <v>50</v>
      </c>
      <c r="J1011" s="47" t="s">
        <v>51</v>
      </c>
      <c r="K1011" s="48">
        <v>45170</v>
      </c>
      <c r="L1011" s="48">
        <v>45170</v>
      </c>
      <c r="M1011" s="48">
        <v>45535</v>
      </c>
      <c r="N1011" s="47" t="s">
        <v>52</v>
      </c>
      <c r="O1011" s="55" t="s">
        <v>53</v>
      </c>
      <c r="P1011" s="62">
        <v>12060</v>
      </c>
      <c r="Q1011" s="62">
        <v>1005</v>
      </c>
      <c r="R1011" s="96">
        <v>12660</v>
      </c>
      <c r="S1011" s="62">
        <f t="shared" si="235"/>
        <v>1055</v>
      </c>
      <c r="T1011" s="62">
        <v>12060</v>
      </c>
      <c r="U1011" s="62">
        <f t="shared" si="240"/>
        <v>1005</v>
      </c>
      <c r="V1011" s="69">
        <v>11100</v>
      </c>
      <c r="W1011" s="71">
        <v>1060</v>
      </c>
      <c r="X1011" s="71"/>
      <c r="Y1011" s="71"/>
      <c r="Z1011" s="64">
        <f t="shared" si="236"/>
        <v>5.4726368159203981E-2</v>
      </c>
      <c r="AA1011" s="64">
        <f t="shared" si="242"/>
        <v>4.7393364928909956E-3</v>
      </c>
      <c r="AB1011" s="71">
        <f t="shared" si="244"/>
        <v>1060</v>
      </c>
      <c r="AC1011" s="64">
        <f t="shared" si="237"/>
        <v>5.4726368159203981E-2</v>
      </c>
      <c r="AD1011" s="64">
        <f t="shared" si="245"/>
        <v>4.7393364928909956E-3</v>
      </c>
      <c r="AE1011" s="71">
        <v>1045</v>
      </c>
      <c r="AF1011" s="64">
        <f t="shared" si="238"/>
        <v>3.9800995024875621E-2</v>
      </c>
      <c r="AG1011" s="64">
        <f t="shared" si="246"/>
        <v>-9.4786729857819912E-3</v>
      </c>
      <c r="AH1011" s="67"/>
      <c r="AI1011" s="47" t="s">
        <v>54</v>
      </c>
      <c r="AJ1011" s="47">
        <v>516.66999999999996</v>
      </c>
      <c r="AK1011" s="47" t="s">
        <v>55</v>
      </c>
      <c r="AL1011" s="47" t="s">
        <v>55</v>
      </c>
      <c r="AM1011" s="47" t="s">
        <v>3787</v>
      </c>
      <c r="AN1011" s="50">
        <v>1060</v>
      </c>
      <c r="AO1011" s="211">
        <f t="shared" si="239"/>
        <v>5.4726368159203981E-2</v>
      </c>
      <c r="AP1011" s="47" t="s">
        <v>90</v>
      </c>
      <c r="AQ1011" s="91" t="s">
        <v>116</v>
      </c>
      <c r="AR1011" s="47" t="s">
        <v>1766</v>
      </c>
    </row>
    <row r="1012" spans="1:16373" hidden="1">
      <c r="A1012" s="47" t="s">
        <v>44</v>
      </c>
      <c r="B1012" s="47" t="str">
        <f t="shared" si="234"/>
        <v>August</v>
      </c>
      <c r="C1012" s="59">
        <v>45506</v>
      </c>
      <c r="D1012" s="47" t="s">
        <v>45</v>
      </c>
      <c r="E1012" s="47" t="s">
        <v>142</v>
      </c>
      <c r="F1012" s="47" t="s">
        <v>143</v>
      </c>
      <c r="G1012" s="91" t="s">
        <v>144</v>
      </c>
      <c r="H1012" s="47" t="s">
        <v>145</v>
      </c>
      <c r="I1012" s="47" t="s">
        <v>50</v>
      </c>
      <c r="J1012" s="47" t="s">
        <v>51</v>
      </c>
      <c r="K1012" s="48">
        <v>45141</v>
      </c>
      <c r="L1012" s="48">
        <v>45141</v>
      </c>
      <c r="M1012" s="48">
        <v>45506</v>
      </c>
      <c r="N1012" s="47" t="s">
        <v>52</v>
      </c>
      <c r="O1012" s="55" t="s">
        <v>53</v>
      </c>
      <c r="P1012" s="62">
        <v>12900</v>
      </c>
      <c r="Q1012" s="62">
        <v>1075</v>
      </c>
      <c r="R1012" s="96">
        <v>13380</v>
      </c>
      <c r="S1012" s="62">
        <f t="shared" si="235"/>
        <v>1115</v>
      </c>
      <c r="T1012" s="62">
        <v>12900</v>
      </c>
      <c r="U1012" s="62">
        <f t="shared" si="240"/>
        <v>1075</v>
      </c>
      <c r="V1012" s="69">
        <v>11760</v>
      </c>
      <c r="W1012" s="71">
        <v>1125</v>
      </c>
      <c r="X1012" s="105">
        <v>1080</v>
      </c>
      <c r="Y1012" s="176">
        <f t="shared" ref="Y1012:Y1038" si="247">(X1012-U1012)/U1012</f>
        <v>4.6511627906976744E-3</v>
      </c>
      <c r="Z1012" s="64">
        <f t="shared" si="236"/>
        <v>4.6511627906976744E-2</v>
      </c>
      <c r="AA1012" s="64">
        <f t="shared" si="242"/>
        <v>8.9686098654708519E-3</v>
      </c>
      <c r="AB1012" s="71">
        <f t="shared" si="244"/>
        <v>1125</v>
      </c>
      <c r="AC1012" s="64">
        <f t="shared" si="237"/>
        <v>4.6511627906976744E-2</v>
      </c>
      <c r="AD1012" s="64">
        <f t="shared" si="245"/>
        <v>8.9686098654708519E-3</v>
      </c>
      <c r="AE1012" s="71">
        <v>1115</v>
      </c>
      <c r="AF1012" s="64">
        <f t="shared" si="238"/>
        <v>3.7209302325581395E-2</v>
      </c>
      <c r="AG1012" s="64">
        <f t="shared" si="246"/>
        <v>0</v>
      </c>
      <c r="AH1012" s="67"/>
      <c r="AI1012" s="47" t="s">
        <v>54</v>
      </c>
      <c r="AJ1012" s="47">
        <v>483.2</v>
      </c>
      <c r="AK1012" s="47" t="s">
        <v>55</v>
      </c>
      <c r="AL1012" s="47" t="s">
        <v>55</v>
      </c>
      <c r="AM1012" s="47" t="s">
        <v>146</v>
      </c>
      <c r="AN1012" s="50"/>
      <c r="AO1012" s="211">
        <f t="shared" si="239"/>
        <v>-1</v>
      </c>
      <c r="AP1012" s="47" t="s">
        <v>57</v>
      </c>
      <c r="AQ1012" s="47" t="s">
        <v>58</v>
      </c>
      <c r="AR1012" s="47"/>
    </row>
    <row r="1013" spans="1:16373">
      <c r="A1013" s="47" t="s">
        <v>44</v>
      </c>
      <c r="B1013" s="47" t="str">
        <f t="shared" si="234"/>
        <v>July</v>
      </c>
      <c r="C1013" s="59">
        <v>45504</v>
      </c>
      <c r="D1013" s="47" t="s">
        <v>45</v>
      </c>
      <c r="E1013" s="47" t="s">
        <v>142</v>
      </c>
      <c r="F1013" s="47" t="s">
        <v>143</v>
      </c>
      <c r="G1013" s="91" t="s">
        <v>180</v>
      </c>
      <c r="H1013" s="47" t="s">
        <v>181</v>
      </c>
      <c r="I1013" s="47" t="s">
        <v>50</v>
      </c>
      <c r="J1013" s="47" t="s">
        <v>51</v>
      </c>
      <c r="K1013" s="48">
        <v>44781</v>
      </c>
      <c r="L1013" s="48">
        <v>45139</v>
      </c>
      <c r="M1013" s="48">
        <v>45504</v>
      </c>
      <c r="N1013" s="47" t="s">
        <v>64</v>
      </c>
      <c r="O1013" s="55" t="s">
        <v>53</v>
      </c>
      <c r="P1013" s="62">
        <v>16800</v>
      </c>
      <c r="Q1013" s="62">
        <v>1400</v>
      </c>
      <c r="R1013" s="96">
        <v>17400</v>
      </c>
      <c r="S1013" s="62">
        <f t="shared" si="235"/>
        <v>1450</v>
      </c>
      <c r="T1013" s="62">
        <v>16800</v>
      </c>
      <c r="U1013" s="62">
        <f t="shared" si="240"/>
        <v>1400</v>
      </c>
      <c r="V1013" s="69">
        <v>14400</v>
      </c>
      <c r="W1013" s="71">
        <v>1460</v>
      </c>
      <c r="X1013" s="105">
        <f>W1013-(W1013*4%)</f>
        <v>1401.6</v>
      </c>
      <c r="Y1013" s="176">
        <f t="shared" si="247"/>
        <v>1.1428571428570779E-3</v>
      </c>
      <c r="Z1013" s="64">
        <f t="shared" si="236"/>
        <v>4.2857142857142858E-2</v>
      </c>
      <c r="AA1013" s="64">
        <f t="shared" si="242"/>
        <v>6.8965517241379309E-3</v>
      </c>
      <c r="AB1013" s="71">
        <f t="shared" si="244"/>
        <v>1460</v>
      </c>
      <c r="AC1013" s="64">
        <f t="shared" si="237"/>
        <v>4.2857142857142858E-2</v>
      </c>
      <c r="AD1013" s="64">
        <f t="shared" si="245"/>
        <v>6.8965517241379309E-3</v>
      </c>
      <c r="AE1013" s="71">
        <f>AB1013</f>
        <v>1460</v>
      </c>
      <c r="AF1013" s="64">
        <f t="shared" si="238"/>
        <v>4.2857142857142858E-2</v>
      </c>
      <c r="AG1013" s="64">
        <f t="shared" si="246"/>
        <v>6.8965517241379309E-3</v>
      </c>
      <c r="AH1013" s="67"/>
      <c r="AI1013" s="47" t="s">
        <v>54</v>
      </c>
      <c r="AJ1013" s="47">
        <v>678.1</v>
      </c>
      <c r="AK1013" s="101" t="s">
        <v>65</v>
      </c>
      <c r="AL1013" s="101" t="s">
        <v>65</v>
      </c>
      <c r="AM1013" s="47" t="s">
        <v>182</v>
      </c>
      <c r="AN1013" s="50"/>
      <c r="AO1013" s="211">
        <f t="shared" si="239"/>
        <v>-1</v>
      </c>
      <c r="AP1013" s="47" t="s">
        <v>57</v>
      </c>
      <c r="AQ1013" s="47" t="s">
        <v>58</v>
      </c>
      <c r="AR1013" s="47"/>
    </row>
    <row r="1014" spans="1:16373" hidden="1">
      <c r="A1014" s="47" t="s">
        <v>44</v>
      </c>
      <c r="B1014" s="47" t="str">
        <f t="shared" si="234"/>
        <v>July</v>
      </c>
      <c r="C1014" s="59">
        <v>45503</v>
      </c>
      <c r="D1014" s="47" t="s">
        <v>45</v>
      </c>
      <c r="E1014" s="47" t="s">
        <v>142</v>
      </c>
      <c r="F1014" s="47" t="s">
        <v>143</v>
      </c>
      <c r="G1014" s="91" t="s">
        <v>200</v>
      </c>
      <c r="H1014" s="47" t="s">
        <v>201</v>
      </c>
      <c r="I1014" s="47" t="s">
        <v>50</v>
      </c>
      <c r="J1014" s="47" t="s">
        <v>51</v>
      </c>
      <c r="K1014" s="48">
        <v>45138</v>
      </c>
      <c r="L1014" s="48">
        <v>45138</v>
      </c>
      <c r="M1014" s="48">
        <v>45503</v>
      </c>
      <c r="N1014" s="47" t="s">
        <v>52</v>
      </c>
      <c r="O1014" s="55" t="s">
        <v>53</v>
      </c>
      <c r="P1014" s="62">
        <v>12960</v>
      </c>
      <c r="Q1014" s="62">
        <v>1080</v>
      </c>
      <c r="R1014" s="96">
        <v>13440</v>
      </c>
      <c r="S1014" s="62">
        <f t="shared" si="235"/>
        <v>1120</v>
      </c>
      <c r="T1014" s="62">
        <v>12960</v>
      </c>
      <c r="U1014" s="62">
        <f t="shared" si="240"/>
        <v>1080</v>
      </c>
      <c r="V1014" s="69">
        <v>11460</v>
      </c>
      <c r="W1014" s="71">
        <v>1130</v>
      </c>
      <c r="X1014" s="105">
        <f>W1014-(W1014*4%)</f>
        <v>1084.8</v>
      </c>
      <c r="Y1014" s="176">
        <f t="shared" si="247"/>
        <v>4.4444444444444019E-3</v>
      </c>
      <c r="Z1014" s="64">
        <f t="shared" si="236"/>
        <v>4.6296296296296294E-2</v>
      </c>
      <c r="AA1014" s="64">
        <f t="shared" si="242"/>
        <v>8.9285714285714281E-3</v>
      </c>
      <c r="AB1014" s="71">
        <f t="shared" si="244"/>
        <v>1130</v>
      </c>
      <c r="AC1014" s="64">
        <f t="shared" si="237"/>
        <v>4.6296296296296294E-2</v>
      </c>
      <c r="AD1014" s="64">
        <f t="shared" si="245"/>
        <v>8.9285714285714281E-3</v>
      </c>
      <c r="AE1014" s="71">
        <v>1130</v>
      </c>
      <c r="AF1014" s="64">
        <f t="shared" si="238"/>
        <v>4.6296296296296294E-2</v>
      </c>
      <c r="AG1014" s="64">
        <f t="shared" si="246"/>
        <v>8.9285714285714281E-3</v>
      </c>
      <c r="AH1014" s="67"/>
      <c r="AI1014" s="47" t="s">
        <v>54</v>
      </c>
      <c r="AJ1014" s="47">
        <v>483.2</v>
      </c>
      <c r="AK1014" s="101" t="s">
        <v>55</v>
      </c>
      <c r="AL1014" s="101" t="s">
        <v>55</v>
      </c>
      <c r="AM1014" s="47" t="s">
        <v>202</v>
      </c>
      <c r="AN1014" s="50">
        <v>1120</v>
      </c>
      <c r="AO1014" s="211">
        <f t="shared" si="239"/>
        <v>3.7037037037037035E-2</v>
      </c>
      <c r="AP1014" s="47" t="s">
        <v>57</v>
      </c>
      <c r="AQ1014" s="47" t="s">
        <v>58</v>
      </c>
      <c r="AR1014" s="47"/>
    </row>
    <row r="1015" spans="1:16373" hidden="1">
      <c r="A1015" s="91" t="s">
        <v>44</v>
      </c>
      <c r="B1015" s="47" t="str">
        <f t="shared" si="234"/>
        <v>July</v>
      </c>
      <c r="C1015" s="59">
        <v>45496</v>
      </c>
      <c r="D1015" s="47" t="s">
        <v>45</v>
      </c>
      <c r="E1015" s="47" t="s">
        <v>142</v>
      </c>
      <c r="F1015" s="47" t="s">
        <v>143</v>
      </c>
      <c r="G1015" s="91" t="s">
        <v>203</v>
      </c>
      <c r="H1015" s="47" t="s">
        <v>204</v>
      </c>
      <c r="I1015" s="47" t="s">
        <v>50</v>
      </c>
      <c r="J1015" s="47" t="s">
        <v>51</v>
      </c>
      <c r="K1015" s="48">
        <v>45132</v>
      </c>
      <c r="L1015" s="48">
        <v>45131</v>
      </c>
      <c r="M1015" s="48">
        <v>45496</v>
      </c>
      <c r="N1015" s="47" t="s">
        <v>52</v>
      </c>
      <c r="O1015" s="55" t="s">
        <v>53</v>
      </c>
      <c r="P1015" s="62">
        <v>16440</v>
      </c>
      <c r="Q1015" s="62">
        <v>1370</v>
      </c>
      <c r="R1015" s="96">
        <v>17040</v>
      </c>
      <c r="S1015" s="62">
        <f t="shared" si="235"/>
        <v>1420</v>
      </c>
      <c r="T1015" s="62">
        <v>16440</v>
      </c>
      <c r="U1015" s="62">
        <f t="shared" si="240"/>
        <v>1370</v>
      </c>
      <c r="V1015" s="69">
        <v>14880</v>
      </c>
      <c r="W1015" s="71">
        <v>1435</v>
      </c>
      <c r="X1015" s="105">
        <v>1400</v>
      </c>
      <c r="Y1015" s="176">
        <f t="shared" si="247"/>
        <v>2.1897810218978103E-2</v>
      </c>
      <c r="Z1015" s="64">
        <f t="shared" si="236"/>
        <v>4.7445255474452552E-2</v>
      </c>
      <c r="AA1015" s="64">
        <f t="shared" si="242"/>
        <v>1.0563380281690141E-2</v>
      </c>
      <c r="AB1015" s="71">
        <f t="shared" si="244"/>
        <v>1435</v>
      </c>
      <c r="AC1015" s="64">
        <f t="shared" si="237"/>
        <v>4.7445255474452552E-2</v>
      </c>
      <c r="AD1015" s="64">
        <f t="shared" si="245"/>
        <v>1.0563380281690141E-2</v>
      </c>
      <c r="AE1015" s="71">
        <v>1435</v>
      </c>
      <c r="AF1015" s="64">
        <f t="shared" si="238"/>
        <v>4.7445255474452552E-2</v>
      </c>
      <c r="AG1015" s="64">
        <f t="shared" si="246"/>
        <v>1.0563380281690141E-2</v>
      </c>
      <c r="AH1015" s="67"/>
      <c r="AI1015" s="47" t="s">
        <v>54</v>
      </c>
      <c r="AJ1015" s="47">
        <v>709.3</v>
      </c>
      <c r="AK1015" s="101" t="s">
        <v>65</v>
      </c>
      <c r="AL1015" s="101" t="s">
        <v>65</v>
      </c>
      <c r="AM1015" s="47" t="s">
        <v>205</v>
      </c>
      <c r="AN1015" s="50">
        <v>1410</v>
      </c>
      <c r="AO1015" s="211">
        <f t="shared" si="239"/>
        <v>2.9197080291970802E-2</v>
      </c>
      <c r="AP1015" s="47" t="s">
        <v>57</v>
      </c>
      <c r="AQ1015" s="47" t="s">
        <v>58</v>
      </c>
      <c r="AR1015" s="47"/>
      <c r="AS1015" s="135"/>
      <c r="AT1015" s="135"/>
      <c r="AU1015" s="135"/>
      <c r="AV1015" s="135"/>
      <c r="AW1015" s="135"/>
      <c r="AX1015" s="135"/>
      <c r="AY1015" s="135"/>
      <c r="AZ1015" s="135"/>
      <c r="BA1015" s="135"/>
      <c r="BB1015" s="135"/>
      <c r="BC1015" s="135"/>
      <c r="BD1015" s="135"/>
      <c r="BE1015" s="135"/>
      <c r="BF1015" s="135"/>
      <c r="BG1015" s="135"/>
      <c r="BH1015" s="135"/>
      <c r="BI1015" s="135"/>
      <c r="BJ1015" s="135"/>
      <c r="BK1015" s="135"/>
      <c r="BL1015" s="135"/>
      <c r="BM1015" s="135"/>
      <c r="BN1015" s="135"/>
      <c r="BO1015" s="135"/>
      <c r="BP1015" s="135"/>
      <c r="BQ1015" s="135"/>
      <c r="BR1015" s="135"/>
      <c r="BS1015" s="135"/>
      <c r="BT1015" s="135"/>
      <c r="BU1015" s="135"/>
      <c r="BV1015" s="135"/>
      <c r="BW1015" s="135"/>
      <c r="BX1015" s="135"/>
      <c r="BY1015" s="135"/>
      <c r="BZ1015" s="135"/>
      <c r="CA1015" s="135"/>
      <c r="CB1015" s="135"/>
      <c r="CC1015" s="135"/>
      <c r="CD1015" s="135"/>
      <c r="CE1015" s="135"/>
      <c r="CF1015" s="135"/>
      <c r="CG1015" s="135"/>
      <c r="CH1015" s="135"/>
      <c r="CI1015" s="135"/>
      <c r="CJ1015" s="135"/>
      <c r="CK1015" s="135"/>
      <c r="CL1015" s="135"/>
      <c r="CM1015" s="135"/>
      <c r="CN1015" s="135"/>
      <c r="CO1015" s="135"/>
      <c r="CP1015" s="135"/>
      <c r="CQ1015" s="135"/>
      <c r="CR1015" s="135"/>
      <c r="CS1015" s="135"/>
      <c r="CT1015" s="135"/>
      <c r="CU1015" s="135"/>
      <c r="CV1015" s="135"/>
      <c r="CW1015" s="135"/>
      <c r="CX1015" s="135"/>
      <c r="CY1015" s="135"/>
      <c r="CZ1015" s="135"/>
      <c r="DA1015" s="135"/>
      <c r="DB1015" s="135"/>
      <c r="DC1015" s="135"/>
      <c r="DD1015" s="135"/>
      <c r="DE1015" s="135"/>
      <c r="DF1015" s="135"/>
      <c r="DG1015" s="135"/>
      <c r="DH1015" s="135"/>
      <c r="DI1015" s="135"/>
      <c r="DJ1015" s="135"/>
      <c r="DK1015" s="135"/>
      <c r="DL1015" s="135"/>
      <c r="DM1015" s="135"/>
      <c r="DN1015" s="135"/>
      <c r="DO1015" s="135"/>
      <c r="DP1015" s="135"/>
      <c r="DQ1015" s="135"/>
      <c r="DR1015" s="135"/>
      <c r="DS1015" s="135"/>
      <c r="DT1015" s="135"/>
      <c r="DU1015" s="135"/>
      <c r="DV1015" s="135"/>
      <c r="DW1015" s="135"/>
      <c r="DX1015" s="135"/>
      <c r="DY1015" s="135"/>
      <c r="DZ1015" s="135"/>
      <c r="EA1015" s="135"/>
      <c r="EB1015" s="135"/>
      <c r="EC1015" s="135"/>
      <c r="ED1015" s="135"/>
      <c r="EE1015" s="135"/>
      <c r="EF1015" s="135"/>
      <c r="EG1015" s="135"/>
      <c r="EH1015" s="135"/>
      <c r="EI1015" s="135"/>
      <c r="EJ1015" s="135"/>
      <c r="EK1015" s="135"/>
      <c r="EL1015" s="135"/>
      <c r="EM1015" s="135"/>
      <c r="EN1015" s="135"/>
      <c r="EO1015" s="135"/>
      <c r="EP1015" s="135"/>
      <c r="EQ1015" s="135"/>
      <c r="ER1015" s="135"/>
      <c r="ES1015" s="135"/>
      <c r="ET1015" s="135"/>
      <c r="EU1015" s="135"/>
      <c r="EV1015" s="135"/>
      <c r="EW1015" s="135"/>
      <c r="EX1015" s="135"/>
      <c r="EY1015" s="135"/>
      <c r="EZ1015" s="135"/>
      <c r="FA1015" s="135"/>
      <c r="FB1015" s="135"/>
      <c r="FC1015" s="135"/>
      <c r="FD1015" s="135"/>
      <c r="FE1015" s="135"/>
      <c r="FF1015" s="135"/>
      <c r="FG1015" s="135"/>
      <c r="FH1015" s="135"/>
      <c r="FI1015" s="135"/>
      <c r="FJ1015" s="135"/>
      <c r="FK1015" s="135"/>
      <c r="FL1015" s="135"/>
      <c r="FM1015" s="135"/>
      <c r="FN1015" s="135"/>
      <c r="FO1015" s="135"/>
      <c r="FP1015" s="135"/>
      <c r="FQ1015" s="135"/>
      <c r="FR1015" s="135"/>
      <c r="FS1015" s="135"/>
      <c r="FT1015" s="135"/>
      <c r="FU1015" s="135"/>
      <c r="FV1015" s="135"/>
      <c r="FW1015" s="135"/>
      <c r="FX1015" s="135"/>
      <c r="FY1015" s="135"/>
      <c r="FZ1015" s="135"/>
      <c r="GA1015" s="135"/>
      <c r="GB1015" s="135"/>
      <c r="GC1015" s="135"/>
      <c r="GD1015" s="135"/>
      <c r="GE1015" s="135"/>
      <c r="GF1015" s="135"/>
      <c r="GG1015" s="135"/>
      <c r="GH1015" s="135"/>
      <c r="GI1015" s="135"/>
      <c r="GJ1015" s="135"/>
      <c r="GK1015" s="135"/>
      <c r="GL1015" s="135"/>
      <c r="GM1015" s="135"/>
      <c r="GN1015" s="135"/>
      <c r="GO1015" s="135"/>
      <c r="GP1015" s="135"/>
      <c r="GQ1015" s="135"/>
      <c r="GR1015" s="135"/>
      <c r="GS1015" s="135"/>
      <c r="GT1015" s="135"/>
      <c r="GU1015" s="135"/>
      <c r="GV1015" s="135"/>
      <c r="GW1015" s="135"/>
      <c r="GX1015" s="135"/>
      <c r="GY1015" s="135"/>
      <c r="GZ1015" s="135"/>
      <c r="HA1015" s="135"/>
      <c r="HB1015" s="135"/>
      <c r="HC1015" s="135"/>
      <c r="HD1015" s="135"/>
      <c r="HE1015" s="135"/>
      <c r="HF1015" s="135"/>
      <c r="HG1015" s="135"/>
      <c r="HH1015" s="135"/>
      <c r="HI1015" s="135"/>
      <c r="HJ1015" s="135"/>
      <c r="HK1015" s="135"/>
      <c r="HL1015" s="135"/>
      <c r="HM1015" s="135"/>
      <c r="HN1015" s="135"/>
      <c r="HO1015" s="135"/>
      <c r="HP1015" s="135"/>
      <c r="HQ1015" s="135"/>
      <c r="HR1015" s="135"/>
      <c r="HS1015" s="135"/>
      <c r="HT1015" s="135"/>
      <c r="HU1015" s="135"/>
      <c r="HV1015" s="135"/>
      <c r="HW1015" s="135"/>
      <c r="HX1015" s="135"/>
      <c r="HY1015" s="135"/>
      <c r="HZ1015" s="135"/>
      <c r="IA1015" s="135"/>
      <c r="IB1015" s="135"/>
      <c r="IC1015" s="135"/>
      <c r="ID1015" s="135"/>
      <c r="IE1015" s="135"/>
      <c r="IF1015" s="135"/>
      <c r="IG1015" s="135"/>
      <c r="IH1015" s="135"/>
      <c r="II1015" s="135"/>
      <c r="IJ1015" s="135"/>
      <c r="IK1015" s="135"/>
      <c r="IL1015" s="135"/>
      <c r="IM1015" s="135"/>
      <c r="IN1015" s="135"/>
      <c r="IO1015" s="135"/>
      <c r="IP1015" s="135"/>
      <c r="IQ1015" s="135"/>
      <c r="IR1015" s="135"/>
      <c r="IS1015" s="135"/>
      <c r="IT1015" s="135"/>
      <c r="IU1015" s="135"/>
      <c r="IV1015" s="135"/>
      <c r="IW1015" s="135"/>
      <c r="IX1015" s="135"/>
      <c r="IY1015" s="135"/>
      <c r="IZ1015" s="135"/>
      <c r="JA1015" s="135"/>
      <c r="JB1015" s="135"/>
      <c r="JC1015" s="135"/>
      <c r="JD1015" s="135"/>
      <c r="JE1015" s="135"/>
      <c r="JF1015" s="135"/>
      <c r="JG1015" s="135"/>
      <c r="JH1015" s="135"/>
      <c r="JI1015" s="135"/>
      <c r="JJ1015" s="135"/>
      <c r="JK1015" s="135"/>
      <c r="JL1015" s="135"/>
      <c r="JM1015" s="135"/>
      <c r="JN1015" s="135"/>
      <c r="JO1015" s="135"/>
      <c r="JP1015" s="135"/>
      <c r="JQ1015" s="135"/>
      <c r="JR1015" s="135"/>
      <c r="JS1015" s="135"/>
      <c r="JT1015" s="135"/>
      <c r="JU1015" s="135"/>
      <c r="JV1015" s="135"/>
      <c r="JW1015" s="135"/>
      <c r="JX1015" s="135"/>
      <c r="JY1015" s="135"/>
      <c r="JZ1015" s="135"/>
      <c r="KA1015" s="135"/>
      <c r="KB1015" s="135"/>
      <c r="KC1015" s="135"/>
      <c r="KD1015" s="135"/>
      <c r="KE1015" s="135"/>
      <c r="KF1015" s="135"/>
      <c r="KG1015" s="135"/>
      <c r="KH1015" s="135"/>
      <c r="KI1015" s="135"/>
      <c r="KJ1015" s="135"/>
      <c r="KK1015" s="135"/>
      <c r="KL1015" s="135"/>
      <c r="KM1015" s="135"/>
      <c r="KN1015" s="135"/>
      <c r="KO1015" s="135"/>
      <c r="KP1015" s="135"/>
      <c r="KQ1015" s="135"/>
      <c r="KR1015" s="135"/>
      <c r="KS1015" s="135"/>
      <c r="KT1015" s="135"/>
      <c r="KU1015" s="135"/>
      <c r="KV1015" s="135"/>
      <c r="KW1015" s="135"/>
      <c r="KX1015" s="135"/>
      <c r="KY1015" s="135"/>
      <c r="KZ1015" s="135"/>
      <c r="LA1015" s="135"/>
      <c r="LB1015" s="135"/>
      <c r="LC1015" s="135"/>
      <c r="LD1015" s="135"/>
      <c r="LE1015" s="135"/>
      <c r="LF1015" s="135"/>
      <c r="LG1015" s="135"/>
      <c r="LH1015" s="135"/>
      <c r="LI1015" s="135"/>
      <c r="LJ1015" s="135"/>
      <c r="LK1015" s="135"/>
      <c r="LL1015" s="135"/>
      <c r="LM1015" s="135"/>
      <c r="LN1015" s="135"/>
      <c r="LO1015" s="135"/>
      <c r="LP1015" s="135"/>
      <c r="LQ1015" s="135"/>
      <c r="LR1015" s="135"/>
      <c r="LS1015" s="135"/>
      <c r="LT1015" s="135"/>
      <c r="LU1015" s="135"/>
      <c r="LV1015" s="135"/>
      <c r="LW1015" s="135"/>
      <c r="LX1015" s="135"/>
      <c r="LY1015" s="135"/>
      <c r="LZ1015" s="135"/>
      <c r="MA1015" s="135"/>
      <c r="MB1015" s="135"/>
      <c r="MC1015" s="135"/>
      <c r="MD1015" s="135"/>
      <c r="ME1015" s="135"/>
      <c r="MF1015" s="135"/>
      <c r="MG1015" s="135"/>
      <c r="MH1015" s="135"/>
      <c r="MI1015" s="135"/>
      <c r="MJ1015" s="135"/>
      <c r="MK1015" s="135"/>
      <c r="ML1015" s="135"/>
      <c r="MM1015" s="135"/>
      <c r="MN1015" s="135"/>
      <c r="MO1015" s="135"/>
      <c r="MP1015" s="135"/>
      <c r="MQ1015" s="135"/>
      <c r="MR1015" s="135"/>
      <c r="MS1015" s="135"/>
      <c r="MT1015" s="135"/>
      <c r="MU1015" s="135"/>
      <c r="MV1015" s="135"/>
      <c r="MW1015" s="135"/>
      <c r="MX1015" s="135"/>
      <c r="MY1015" s="135"/>
      <c r="MZ1015" s="135"/>
      <c r="NA1015" s="135"/>
      <c r="NB1015" s="135"/>
      <c r="NC1015" s="135"/>
      <c r="ND1015" s="135"/>
      <c r="NE1015" s="135"/>
      <c r="NF1015" s="135"/>
      <c r="NG1015" s="135"/>
      <c r="NH1015" s="135"/>
      <c r="NI1015" s="135"/>
      <c r="NJ1015" s="135"/>
      <c r="NK1015" s="135"/>
      <c r="NL1015" s="135"/>
      <c r="NM1015" s="135"/>
      <c r="NN1015" s="135"/>
      <c r="NO1015" s="135"/>
      <c r="NP1015" s="135"/>
      <c r="NQ1015" s="135"/>
      <c r="NR1015" s="135"/>
      <c r="NS1015" s="135"/>
      <c r="NT1015" s="135"/>
      <c r="NU1015" s="135"/>
      <c r="NV1015" s="135"/>
      <c r="NW1015" s="135"/>
      <c r="NX1015" s="135"/>
      <c r="NY1015" s="135"/>
      <c r="NZ1015" s="135"/>
      <c r="OA1015" s="135"/>
      <c r="OB1015" s="135"/>
      <c r="OC1015" s="135"/>
      <c r="OD1015" s="135"/>
      <c r="OE1015" s="135"/>
      <c r="OF1015" s="135"/>
      <c r="OG1015" s="135"/>
      <c r="OH1015" s="135"/>
      <c r="OI1015" s="135"/>
      <c r="OJ1015" s="135"/>
      <c r="OK1015" s="135"/>
      <c r="OL1015" s="135"/>
      <c r="OM1015" s="135"/>
      <c r="ON1015" s="135"/>
      <c r="OO1015" s="135"/>
      <c r="OP1015" s="135"/>
      <c r="OQ1015" s="135"/>
      <c r="OR1015" s="135"/>
      <c r="OS1015" s="135"/>
      <c r="OT1015" s="135"/>
      <c r="OU1015" s="135"/>
      <c r="OV1015" s="135"/>
      <c r="OW1015" s="135"/>
      <c r="OX1015" s="135"/>
      <c r="OY1015" s="135"/>
      <c r="OZ1015" s="135"/>
      <c r="PA1015" s="135"/>
      <c r="PB1015" s="135"/>
      <c r="PC1015" s="135"/>
      <c r="PD1015" s="135"/>
      <c r="PE1015" s="135"/>
      <c r="PF1015" s="135"/>
      <c r="PG1015" s="135"/>
      <c r="PH1015" s="135"/>
      <c r="PI1015" s="135"/>
      <c r="PJ1015" s="135"/>
      <c r="PK1015" s="135"/>
      <c r="PL1015" s="135"/>
      <c r="PM1015" s="135"/>
      <c r="PN1015" s="135"/>
      <c r="PO1015" s="135"/>
      <c r="PP1015" s="135"/>
      <c r="PQ1015" s="135"/>
      <c r="PR1015" s="135"/>
      <c r="PS1015" s="135"/>
      <c r="PT1015" s="135"/>
      <c r="PU1015" s="135"/>
      <c r="PV1015" s="135"/>
      <c r="PW1015" s="135"/>
      <c r="PX1015" s="135"/>
      <c r="PY1015" s="135"/>
      <c r="PZ1015" s="135"/>
      <c r="QA1015" s="135"/>
      <c r="QB1015" s="135"/>
      <c r="QC1015" s="135"/>
      <c r="QD1015" s="135"/>
      <c r="QE1015" s="135"/>
      <c r="QF1015" s="135"/>
      <c r="QG1015" s="135"/>
      <c r="QH1015" s="135"/>
      <c r="QI1015" s="135"/>
      <c r="QJ1015" s="135"/>
      <c r="QK1015" s="135"/>
      <c r="QL1015" s="135"/>
      <c r="QM1015" s="135"/>
      <c r="QN1015" s="135"/>
      <c r="QO1015" s="135"/>
      <c r="QP1015" s="135"/>
      <c r="QQ1015" s="135"/>
      <c r="QR1015" s="135"/>
      <c r="QS1015" s="135"/>
      <c r="QT1015" s="135"/>
      <c r="QU1015" s="135"/>
      <c r="QV1015" s="135"/>
      <c r="QW1015" s="135"/>
      <c r="QX1015" s="135"/>
      <c r="QY1015" s="135"/>
      <c r="QZ1015" s="135"/>
      <c r="RA1015" s="135"/>
      <c r="RB1015" s="135"/>
      <c r="RC1015" s="135"/>
      <c r="RD1015" s="135"/>
      <c r="RE1015" s="135"/>
      <c r="RF1015" s="135"/>
      <c r="RG1015" s="135"/>
      <c r="RH1015" s="135"/>
      <c r="RI1015" s="135"/>
      <c r="RJ1015" s="135"/>
      <c r="RK1015" s="135"/>
      <c r="RL1015" s="135"/>
      <c r="RM1015" s="135"/>
      <c r="RN1015" s="135"/>
      <c r="RO1015" s="135"/>
      <c r="RP1015" s="135"/>
      <c r="RQ1015" s="135"/>
      <c r="RR1015" s="135"/>
      <c r="RS1015" s="135"/>
      <c r="RT1015" s="135"/>
      <c r="RU1015" s="135"/>
      <c r="RV1015" s="135"/>
      <c r="RW1015" s="135"/>
      <c r="RX1015" s="135"/>
      <c r="RY1015" s="135"/>
      <c r="RZ1015" s="135"/>
      <c r="SA1015" s="135"/>
      <c r="SB1015" s="135"/>
      <c r="SC1015" s="135"/>
      <c r="SD1015" s="135"/>
      <c r="SE1015" s="135"/>
      <c r="SF1015" s="135"/>
      <c r="SG1015" s="135"/>
      <c r="SH1015" s="135"/>
      <c r="SI1015" s="135"/>
      <c r="SJ1015" s="135"/>
      <c r="SK1015" s="135"/>
      <c r="SL1015" s="135"/>
      <c r="SM1015" s="135"/>
      <c r="SN1015" s="135"/>
      <c r="SO1015" s="135"/>
      <c r="SP1015" s="135"/>
      <c r="SQ1015" s="135"/>
      <c r="SR1015" s="135"/>
      <c r="SS1015" s="135"/>
      <c r="ST1015" s="135"/>
      <c r="SU1015" s="135"/>
      <c r="SV1015" s="135"/>
      <c r="SW1015" s="135"/>
      <c r="SX1015" s="135"/>
      <c r="SY1015" s="135"/>
      <c r="SZ1015" s="135"/>
      <c r="TA1015" s="135"/>
      <c r="TB1015" s="135"/>
      <c r="TC1015" s="135"/>
      <c r="TD1015" s="135"/>
      <c r="TE1015" s="135"/>
      <c r="TF1015" s="135"/>
      <c r="TG1015" s="135"/>
      <c r="TH1015" s="135"/>
      <c r="TI1015" s="135"/>
      <c r="TJ1015" s="135"/>
      <c r="TK1015" s="135"/>
      <c r="TL1015" s="135"/>
      <c r="TM1015" s="135"/>
      <c r="TN1015" s="135"/>
      <c r="TO1015" s="135"/>
      <c r="TP1015" s="135"/>
      <c r="TQ1015" s="135"/>
      <c r="TR1015" s="135"/>
      <c r="TS1015" s="135"/>
      <c r="TT1015" s="135"/>
      <c r="TU1015" s="135"/>
      <c r="TV1015" s="135"/>
      <c r="TW1015" s="135"/>
      <c r="TX1015" s="135"/>
      <c r="TY1015" s="135"/>
      <c r="TZ1015" s="135"/>
      <c r="UA1015" s="135"/>
      <c r="UB1015" s="135"/>
      <c r="UC1015" s="135"/>
      <c r="UD1015" s="135"/>
      <c r="UE1015" s="135"/>
      <c r="UF1015" s="135"/>
      <c r="UG1015" s="135"/>
      <c r="UH1015" s="135"/>
      <c r="UI1015" s="135"/>
      <c r="UJ1015" s="135"/>
      <c r="UK1015" s="135"/>
      <c r="UL1015" s="135"/>
      <c r="UM1015" s="135"/>
      <c r="UN1015" s="135"/>
      <c r="UO1015" s="135"/>
      <c r="UP1015" s="135"/>
      <c r="UQ1015" s="135"/>
      <c r="UR1015" s="135"/>
      <c r="US1015" s="135"/>
      <c r="UT1015" s="135"/>
      <c r="UU1015" s="135"/>
      <c r="UV1015" s="135"/>
      <c r="UW1015" s="135"/>
      <c r="UX1015" s="135"/>
      <c r="UY1015" s="135"/>
      <c r="UZ1015" s="135"/>
      <c r="VA1015" s="135"/>
      <c r="VB1015" s="135"/>
      <c r="VC1015" s="135"/>
      <c r="VD1015" s="135"/>
      <c r="VE1015" s="135"/>
      <c r="VF1015" s="135"/>
      <c r="VG1015" s="135"/>
      <c r="VH1015" s="135"/>
      <c r="VI1015" s="135"/>
      <c r="VJ1015" s="135"/>
      <c r="VK1015" s="135"/>
      <c r="VL1015" s="135"/>
      <c r="VM1015" s="135"/>
      <c r="VN1015" s="135"/>
      <c r="VO1015" s="135"/>
      <c r="VP1015" s="135"/>
      <c r="VQ1015" s="135"/>
      <c r="VR1015" s="135"/>
      <c r="VS1015" s="135"/>
      <c r="VT1015" s="135"/>
      <c r="VU1015" s="135"/>
      <c r="VV1015" s="135"/>
      <c r="VW1015" s="135"/>
      <c r="VX1015" s="135"/>
      <c r="VY1015" s="135"/>
      <c r="VZ1015" s="135"/>
      <c r="WA1015" s="135"/>
      <c r="WB1015" s="135"/>
      <c r="WC1015" s="135"/>
      <c r="WD1015" s="135"/>
      <c r="WE1015" s="135"/>
      <c r="WF1015" s="135"/>
      <c r="WG1015" s="135"/>
      <c r="WH1015" s="135"/>
      <c r="WI1015" s="135"/>
      <c r="WJ1015" s="135"/>
      <c r="WK1015" s="135"/>
      <c r="WL1015" s="135"/>
      <c r="WM1015" s="135"/>
      <c r="WN1015" s="135"/>
      <c r="WO1015" s="135"/>
      <c r="WP1015" s="135"/>
      <c r="WQ1015" s="135"/>
      <c r="WR1015" s="135"/>
      <c r="WS1015" s="135"/>
      <c r="WT1015" s="135"/>
      <c r="WU1015" s="135"/>
      <c r="WV1015" s="135"/>
      <c r="WW1015" s="135"/>
      <c r="WX1015" s="135"/>
      <c r="WY1015" s="135"/>
      <c r="WZ1015" s="135"/>
      <c r="XA1015" s="135"/>
      <c r="XB1015" s="135"/>
      <c r="XC1015" s="135"/>
      <c r="XD1015" s="135"/>
      <c r="XE1015" s="135"/>
      <c r="XF1015" s="135"/>
      <c r="XG1015" s="135"/>
      <c r="XH1015" s="135"/>
      <c r="XI1015" s="135"/>
      <c r="XJ1015" s="135"/>
      <c r="XK1015" s="135"/>
      <c r="XL1015" s="135"/>
      <c r="XM1015" s="135"/>
      <c r="XN1015" s="135"/>
      <c r="XO1015" s="135"/>
      <c r="XP1015" s="135"/>
      <c r="XQ1015" s="135"/>
      <c r="XR1015" s="135"/>
      <c r="XS1015" s="135"/>
      <c r="XT1015" s="135"/>
      <c r="XU1015" s="135"/>
      <c r="XV1015" s="135"/>
      <c r="XW1015" s="135"/>
      <c r="XX1015" s="135"/>
      <c r="XY1015" s="135"/>
      <c r="XZ1015" s="135"/>
      <c r="YA1015" s="135"/>
      <c r="YB1015" s="135"/>
      <c r="YC1015" s="135"/>
      <c r="YD1015" s="135"/>
      <c r="YE1015" s="135"/>
      <c r="YF1015" s="135"/>
      <c r="YG1015" s="135"/>
      <c r="YH1015" s="135"/>
      <c r="YI1015" s="135"/>
      <c r="YJ1015" s="135"/>
      <c r="YK1015" s="135"/>
      <c r="YL1015" s="135"/>
      <c r="YM1015" s="135"/>
      <c r="YN1015" s="135"/>
      <c r="YO1015" s="135"/>
      <c r="YP1015" s="135"/>
      <c r="YQ1015" s="135"/>
      <c r="YR1015" s="135"/>
      <c r="YS1015" s="135"/>
      <c r="YT1015" s="135"/>
      <c r="YU1015" s="135"/>
      <c r="YV1015" s="135"/>
      <c r="YW1015" s="135"/>
      <c r="YX1015" s="135"/>
      <c r="YY1015" s="135"/>
      <c r="YZ1015" s="135"/>
      <c r="ZA1015" s="135"/>
      <c r="ZB1015" s="135"/>
      <c r="ZC1015" s="135"/>
      <c r="ZD1015" s="135"/>
      <c r="ZE1015" s="135"/>
      <c r="ZF1015" s="135"/>
      <c r="ZG1015" s="135"/>
      <c r="ZH1015" s="135"/>
      <c r="ZI1015" s="135"/>
      <c r="ZJ1015" s="135"/>
      <c r="ZK1015" s="135"/>
      <c r="ZL1015" s="135"/>
      <c r="ZM1015" s="135"/>
      <c r="ZN1015" s="135"/>
      <c r="ZO1015" s="135"/>
      <c r="ZP1015" s="135"/>
      <c r="ZQ1015" s="135"/>
      <c r="ZR1015" s="135"/>
      <c r="ZS1015" s="135"/>
      <c r="ZT1015" s="135"/>
      <c r="ZU1015" s="135"/>
      <c r="ZV1015" s="135"/>
      <c r="ZW1015" s="135"/>
      <c r="ZX1015" s="135"/>
      <c r="ZY1015" s="135"/>
      <c r="ZZ1015" s="135"/>
      <c r="AAA1015" s="135"/>
      <c r="AAB1015" s="135"/>
      <c r="AAC1015" s="135"/>
      <c r="AAD1015" s="135"/>
      <c r="AAE1015" s="135"/>
      <c r="AAF1015" s="135"/>
      <c r="AAG1015" s="135"/>
      <c r="AAH1015" s="135"/>
      <c r="AAI1015" s="135"/>
      <c r="AAJ1015" s="135"/>
      <c r="AAK1015" s="135"/>
      <c r="AAL1015" s="135"/>
      <c r="AAM1015" s="135"/>
      <c r="AAN1015" s="135"/>
      <c r="AAO1015" s="135"/>
      <c r="AAP1015" s="135"/>
      <c r="AAQ1015" s="135"/>
      <c r="AAR1015" s="135"/>
      <c r="AAS1015" s="135"/>
      <c r="AAT1015" s="135"/>
      <c r="AAU1015" s="135"/>
      <c r="AAV1015" s="135"/>
      <c r="AAW1015" s="135"/>
      <c r="AAX1015" s="135"/>
      <c r="AAY1015" s="135"/>
      <c r="AAZ1015" s="135"/>
      <c r="ABA1015" s="135"/>
      <c r="ABB1015" s="135"/>
      <c r="ABC1015" s="135"/>
      <c r="ABD1015" s="135"/>
      <c r="ABE1015" s="135"/>
      <c r="ABF1015" s="135"/>
      <c r="ABG1015" s="135"/>
      <c r="ABH1015" s="135"/>
      <c r="ABI1015" s="135"/>
      <c r="ABJ1015" s="135"/>
      <c r="ABK1015" s="135"/>
      <c r="ABL1015" s="135"/>
      <c r="ABM1015" s="135"/>
      <c r="ABN1015" s="135"/>
      <c r="ABO1015" s="135"/>
      <c r="ABP1015" s="135"/>
      <c r="ABQ1015" s="135"/>
      <c r="ABR1015" s="135"/>
      <c r="ABS1015" s="135"/>
      <c r="ABT1015" s="135"/>
      <c r="ABU1015" s="135"/>
      <c r="ABV1015" s="135"/>
      <c r="ABW1015" s="135"/>
      <c r="ABX1015" s="135"/>
      <c r="ABY1015" s="135"/>
      <c r="ABZ1015" s="135"/>
      <c r="ACA1015" s="135"/>
      <c r="ACB1015" s="135"/>
      <c r="ACC1015" s="135"/>
      <c r="ACD1015" s="135"/>
      <c r="ACE1015" s="135"/>
      <c r="ACF1015" s="135"/>
      <c r="ACG1015" s="135"/>
      <c r="ACH1015" s="135"/>
      <c r="ACI1015" s="135"/>
      <c r="ACJ1015" s="135"/>
      <c r="ACK1015" s="135"/>
      <c r="ACL1015" s="135"/>
      <c r="ACM1015" s="135"/>
      <c r="ACN1015" s="135"/>
      <c r="ACO1015" s="135"/>
      <c r="ACP1015" s="135"/>
      <c r="ACQ1015" s="135"/>
      <c r="ACR1015" s="135"/>
      <c r="ACS1015" s="135"/>
      <c r="ACT1015" s="135"/>
      <c r="ACU1015" s="135"/>
      <c r="ACV1015" s="135"/>
      <c r="ACW1015" s="135"/>
      <c r="ACX1015" s="135"/>
      <c r="ACY1015" s="135"/>
      <c r="ACZ1015" s="135"/>
      <c r="ADA1015" s="135"/>
      <c r="ADB1015" s="135"/>
      <c r="ADC1015" s="135"/>
      <c r="ADD1015" s="135"/>
      <c r="ADE1015" s="135"/>
      <c r="ADF1015" s="135"/>
      <c r="ADG1015" s="135"/>
      <c r="ADH1015" s="135"/>
      <c r="ADI1015" s="135"/>
      <c r="ADJ1015" s="135"/>
      <c r="ADK1015" s="135"/>
      <c r="ADL1015" s="135"/>
      <c r="ADM1015" s="135"/>
      <c r="ADN1015" s="135"/>
      <c r="ADO1015" s="135"/>
      <c r="ADP1015" s="135"/>
      <c r="ADQ1015" s="135"/>
      <c r="ADR1015" s="135"/>
      <c r="ADS1015" s="135"/>
      <c r="ADT1015" s="135"/>
      <c r="ADU1015" s="135"/>
      <c r="ADV1015" s="135"/>
      <c r="ADW1015" s="135"/>
      <c r="ADX1015" s="135"/>
      <c r="ADY1015" s="135"/>
      <c r="ADZ1015" s="135"/>
      <c r="AEA1015" s="135"/>
      <c r="AEB1015" s="135"/>
      <c r="AEC1015" s="135"/>
      <c r="AED1015" s="135"/>
      <c r="AEE1015" s="135"/>
      <c r="AEF1015" s="135"/>
      <c r="AEG1015" s="135"/>
      <c r="AEH1015" s="135"/>
      <c r="AEI1015" s="135"/>
      <c r="AEJ1015" s="135"/>
      <c r="AEK1015" s="135"/>
      <c r="AEL1015" s="135"/>
      <c r="AEM1015" s="135"/>
      <c r="AEN1015" s="135"/>
      <c r="AEO1015" s="135"/>
      <c r="AEP1015" s="135"/>
      <c r="AEQ1015" s="135"/>
      <c r="AER1015" s="135"/>
      <c r="AES1015" s="135"/>
      <c r="AET1015" s="135"/>
      <c r="AEU1015" s="135"/>
      <c r="AEV1015" s="135"/>
      <c r="AEW1015" s="135"/>
      <c r="AEX1015" s="135"/>
      <c r="AEY1015" s="135"/>
      <c r="AEZ1015" s="135"/>
      <c r="AFA1015" s="135"/>
      <c r="AFB1015" s="135"/>
      <c r="AFC1015" s="135"/>
      <c r="AFD1015" s="135"/>
      <c r="AFE1015" s="135"/>
      <c r="AFF1015" s="135"/>
      <c r="AFG1015" s="135"/>
      <c r="AFH1015" s="135"/>
      <c r="AFI1015" s="135"/>
      <c r="AFJ1015" s="135"/>
      <c r="AFK1015" s="135"/>
      <c r="AFL1015" s="135"/>
      <c r="AFM1015" s="135"/>
      <c r="AFN1015" s="135"/>
      <c r="AFO1015" s="135"/>
      <c r="AFP1015" s="135"/>
      <c r="AFQ1015" s="135"/>
      <c r="AFR1015" s="135"/>
      <c r="AFS1015" s="135"/>
      <c r="AFT1015" s="135"/>
      <c r="AFU1015" s="135"/>
      <c r="AFV1015" s="135"/>
      <c r="AFW1015" s="135"/>
      <c r="AFX1015" s="135"/>
      <c r="AFY1015" s="135"/>
      <c r="AFZ1015" s="135"/>
      <c r="AGA1015" s="135"/>
      <c r="AGB1015" s="135"/>
      <c r="AGC1015" s="135"/>
      <c r="AGD1015" s="135"/>
      <c r="AGE1015" s="135"/>
      <c r="AGF1015" s="135"/>
      <c r="AGG1015" s="135"/>
      <c r="AGH1015" s="135"/>
      <c r="AGI1015" s="135"/>
      <c r="AGJ1015" s="135"/>
      <c r="AGK1015" s="135"/>
      <c r="AGL1015" s="135"/>
      <c r="AGM1015" s="135"/>
      <c r="AGN1015" s="135"/>
      <c r="AGO1015" s="135"/>
      <c r="AGP1015" s="135"/>
      <c r="AGQ1015" s="135"/>
      <c r="AGR1015" s="135"/>
      <c r="AGS1015" s="135"/>
      <c r="AGT1015" s="135"/>
      <c r="AGU1015" s="135"/>
      <c r="AGV1015" s="135"/>
      <c r="AGW1015" s="135"/>
      <c r="AGX1015" s="135"/>
      <c r="AGY1015" s="135"/>
      <c r="AGZ1015" s="135"/>
      <c r="AHA1015" s="135"/>
      <c r="AHB1015" s="135"/>
      <c r="AHC1015" s="135"/>
      <c r="AHD1015" s="135"/>
      <c r="AHE1015" s="135"/>
      <c r="AHF1015" s="135"/>
      <c r="AHG1015" s="135"/>
      <c r="AHH1015" s="135"/>
      <c r="AHI1015" s="135"/>
      <c r="AHJ1015" s="135"/>
      <c r="AHK1015" s="135"/>
      <c r="AHL1015" s="135"/>
      <c r="AHM1015" s="135"/>
      <c r="AHN1015" s="135"/>
      <c r="AHO1015" s="135"/>
      <c r="AHP1015" s="135"/>
      <c r="AHQ1015" s="135"/>
      <c r="AHR1015" s="135"/>
      <c r="AHS1015" s="135"/>
      <c r="AHT1015" s="135"/>
      <c r="AHU1015" s="135"/>
      <c r="AHV1015" s="135"/>
      <c r="AHW1015" s="135"/>
      <c r="AHX1015" s="135"/>
      <c r="AHY1015" s="135"/>
      <c r="AHZ1015" s="135"/>
      <c r="AIA1015" s="135"/>
      <c r="AIB1015" s="135"/>
      <c r="AIC1015" s="135"/>
      <c r="AID1015" s="135"/>
      <c r="AIE1015" s="135"/>
      <c r="AIF1015" s="135"/>
      <c r="AIG1015" s="135"/>
      <c r="AIH1015" s="135"/>
      <c r="AII1015" s="135"/>
      <c r="AIJ1015" s="135"/>
      <c r="AIK1015" s="135"/>
      <c r="AIL1015" s="135"/>
      <c r="AIM1015" s="135"/>
      <c r="AIN1015" s="135"/>
      <c r="AIO1015" s="135"/>
      <c r="AIP1015" s="135"/>
      <c r="AIQ1015" s="135"/>
      <c r="AIR1015" s="135"/>
      <c r="AIS1015" s="135"/>
      <c r="AIT1015" s="135"/>
      <c r="AIU1015" s="135"/>
      <c r="AIV1015" s="135"/>
      <c r="AIW1015" s="135"/>
      <c r="AIX1015" s="135"/>
      <c r="AIY1015" s="135"/>
      <c r="AIZ1015" s="135"/>
      <c r="AJA1015" s="135"/>
      <c r="AJB1015" s="135"/>
      <c r="AJC1015" s="135"/>
      <c r="AJD1015" s="135"/>
      <c r="AJE1015" s="135"/>
      <c r="AJF1015" s="135"/>
      <c r="AJG1015" s="135"/>
      <c r="AJH1015" s="135"/>
      <c r="AJI1015" s="135"/>
      <c r="AJJ1015" s="135"/>
      <c r="AJK1015" s="135"/>
      <c r="AJL1015" s="135"/>
      <c r="AJM1015" s="135"/>
      <c r="AJN1015" s="135"/>
      <c r="AJO1015" s="135"/>
      <c r="AJP1015" s="135"/>
      <c r="AJQ1015" s="135"/>
      <c r="AJR1015" s="135"/>
      <c r="AJS1015" s="135"/>
      <c r="AJT1015" s="135"/>
      <c r="AJU1015" s="135"/>
      <c r="AJV1015" s="135"/>
      <c r="AJW1015" s="135"/>
      <c r="AJX1015" s="135"/>
      <c r="AJY1015" s="135"/>
      <c r="AJZ1015" s="135"/>
      <c r="AKA1015" s="135"/>
      <c r="AKB1015" s="135"/>
      <c r="AKC1015" s="135"/>
      <c r="AKD1015" s="135"/>
      <c r="AKE1015" s="135"/>
      <c r="AKF1015" s="135"/>
      <c r="AKG1015" s="135"/>
      <c r="AKH1015" s="135"/>
      <c r="AKI1015" s="135"/>
      <c r="AKJ1015" s="135"/>
      <c r="AKK1015" s="135"/>
      <c r="AKL1015" s="135"/>
      <c r="AKM1015" s="135"/>
      <c r="AKN1015" s="135"/>
      <c r="AKO1015" s="135"/>
      <c r="AKP1015" s="135"/>
      <c r="AKQ1015" s="135"/>
      <c r="AKR1015" s="135"/>
      <c r="AKS1015" s="135"/>
      <c r="AKT1015" s="135"/>
      <c r="AKU1015" s="135"/>
      <c r="AKV1015" s="135"/>
      <c r="AKW1015" s="135"/>
      <c r="AKX1015" s="135"/>
      <c r="AKY1015" s="135"/>
      <c r="AKZ1015" s="135"/>
      <c r="ALA1015" s="135"/>
      <c r="ALB1015" s="135"/>
      <c r="ALC1015" s="135"/>
      <c r="ALD1015" s="135"/>
      <c r="ALE1015" s="135"/>
      <c r="ALF1015" s="135"/>
      <c r="ALG1015" s="135"/>
      <c r="ALH1015" s="135"/>
      <c r="ALI1015" s="135"/>
      <c r="ALJ1015" s="135"/>
      <c r="ALK1015" s="135"/>
      <c r="ALL1015" s="135"/>
      <c r="ALM1015" s="135"/>
      <c r="ALN1015" s="135"/>
      <c r="ALO1015" s="135"/>
      <c r="ALP1015" s="135"/>
      <c r="ALQ1015" s="135"/>
      <c r="ALR1015" s="135"/>
      <c r="ALS1015" s="135"/>
      <c r="ALT1015" s="135"/>
      <c r="ALU1015" s="135"/>
      <c r="ALV1015" s="135"/>
      <c r="ALW1015" s="135"/>
      <c r="ALX1015" s="135"/>
      <c r="ALY1015" s="135"/>
      <c r="ALZ1015" s="135"/>
      <c r="AMA1015" s="135"/>
      <c r="AMB1015" s="135"/>
      <c r="AMC1015" s="135"/>
      <c r="AMD1015" s="135"/>
      <c r="AME1015" s="135"/>
      <c r="AMF1015" s="135"/>
      <c r="AMG1015" s="135"/>
      <c r="AMH1015" s="135"/>
      <c r="AMI1015" s="135"/>
      <c r="AMJ1015" s="135"/>
      <c r="AMK1015" s="135"/>
      <c r="AML1015" s="135"/>
      <c r="AMM1015" s="135"/>
      <c r="AMN1015" s="135"/>
      <c r="AMO1015" s="135"/>
      <c r="AMP1015" s="135"/>
      <c r="AMQ1015" s="135"/>
      <c r="AMR1015" s="135"/>
      <c r="AMS1015" s="135"/>
      <c r="AMT1015" s="135"/>
      <c r="AMU1015" s="135"/>
      <c r="AMV1015" s="135"/>
      <c r="AMW1015" s="135"/>
      <c r="AMX1015" s="135"/>
      <c r="AMY1015" s="135"/>
      <c r="AMZ1015" s="135"/>
      <c r="ANA1015" s="135"/>
      <c r="ANB1015" s="135"/>
      <c r="ANC1015" s="135"/>
      <c r="AND1015" s="135"/>
      <c r="ANE1015" s="135"/>
      <c r="ANF1015" s="135"/>
      <c r="ANG1015" s="135"/>
      <c r="ANH1015" s="135"/>
      <c r="ANI1015" s="135"/>
      <c r="ANJ1015" s="135"/>
      <c r="ANK1015" s="135"/>
      <c r="ANL1015" s="135"/>
      <c r="ANM1015" s="135"/>
      <c r="ANN1015" s="135"/>
      <c r="ANO1015" s="135"/>
      <c r="ANP1015" s="135"/>
      <c r="ANQ1015" s="135"/>
      <c r="ANR1015" s="135"/>
      <c r="ANS1015" s="135"/>
      <c r="ANT1015" s="135"/>
      <c r="ANU1015" s="135"/>
      <c r="ANV1015" s="135"/>
      <c r="ANW1015" s="135"/>
      <c r="ANX1015" s="135"/>
      <c r="ANY1015" s="135"/>
      <c r="ANZ1015" s="135"/>
      <c r="AOA1015" s="135"/>
      <c r="AOB1015" s="135"/>
      <c r="AOC1015" s="135"/>
      <c r="AOD1015" s="135"/>
      <c r="AOE1015" s="135"/>
      <c r="AOF1015" s="135"/>
      <c r="AOG1015" s="135"/>
      <c r="AOH1015" s="135"/>
      <c r="AOI1015" s="135"/>
      <c r="AOJ1015" s="135"/>
      <c r="AOK1015" s="135"/>
      <c r="AOL1015" s="135"/>
      <c r="AOM1015" s="135"/>
      <c r="AON1015" s="135"/>
      <c r="AOO1015" s="135"/>
      <c r="AOP1015" s="135"/>
      <c r="AOQ1015" s="135"/>
      <c r="AOR1015" s="135"/>
      <c r="AOS1015" s="135"/>
      <c r="AOT1015" s="135"/>
      <c r="AOU1015" s="135"/>
      <c r="AOV1015" s="135"/>
      <c r="AOW1015" s="135"/>
      <c r="AOX1015" s="135"/>
      <c r="AOY1015" s="135"/>
      <c r="AOZ1015" s="135"/>
      <c r="APA1015" s="135"/>
      <c r="APB1015" s="135"/>
      <c r="APC1015" s="135"/>
      <c r="APD1015" s="135"/>
      <c r="APE1015" s="135"/>
      <c r="APF1015" s="135"/>
      <c r="APG1015" s="135"/>
      <c r="APH1015" s="135"/>
      <c r="API1015" s="135"/>
      <c r="APJ1015" s="135"/>
      <c r="APK1015" s="135"/>
      <c r="APL1015" s="135"/>
      <c r="APM1015" s="135"/>
      <c r="APN1015" s="135"/>
      <c r="APO1015" s="135"/>
      <c r="APP1015" s="135"/>
      <c r="APQ1015" s="135"/>
      <c r="APR1015" s="135"/>
      <c r="APS1015" s="135"/>
      <c r="APT1015" s="135"/>
      <c r="APU1015" s="135"/>
      <c r="APV1015" s="135"/>
      <c r="APW1015" s="135"/>
      <c r="APX1015" s="135"/>
      <c r="APY1015" s="135"/>
      <c r="APZ1015" s="135"/>
      <c r="AQA1015" s="135"/>
      <c r="AQB1015" s="135"/>
      <c r="AQC1015" s="135"/>
      <c r="AQD1015" s="135"/>
      <c r="AQE1015" s="135"/>
      <c r="AQF1015" s="135"/>
      <c r="AQG1015" s="135"/>
      <c r="AQH1015" s="135"/>
      <c r="AQI1015" s="135"/>
      <c r="AQJ1015" s="135"/>
      <c r="AQK1015" s="135"/>
      <c r="AQL1015" s="135"/>
      <c r="AQM1015" s="135"/>
      <c r="AQN1015" s="135"/>
      <c r="AQO1015" s="135"/>
      <c r="AQP1015" s="135"/>
      <c r="AQQ1015" s="135"/>
      <c r="AQR1015" s="135"/>
      <c r="AQS1015" s="135"/>
      <c r="AQT1015" s="135"/>
      <c r="AQU1015" s="135"/>
      <c r="AQV1015" s="135"/>
      <c r="AQW1015" s="135"/>
      <c r="AQX1015" s="135"/>
      <c r="AQY1015" s="135"/>
      <c r="AQZ1015" s="135"/>
      <c r="ARA1015" s="135"/>
      <c r="ARB1015" s="135"/>
      <c r="ARC1015" s="135"/>
      <c r="ARD1015" s="135"/>
      <c r="ARE1015" s="135"/>
      <c r="ARF1015" s="135"/>
      <c r="ARG1015" s="135"/>
      <c r="ARH1015" s="135"/>
      <c r="ARI1015" s="135"/>
      <c r="ARJ1015" s="135"/>
      <c r="ARK1015" s="135"/>
      <c r="ARL1015" s="135"/>
      <c r="ARM1015" s="135"/>
      <c r="ARN1015" s="135"/>
      <c r="ARO1015" s="135"/>
      <c r="ARP1015" s="135"/>
      <c r="ARQ1015" s="135"/>
      <c r="ARR1015" s="135"/>
      <c r="ARS1015" s="135"/>
      <c r="ART1015" s="135"/>
      <c r="ARU1015" s="135"/>
      <c r="ARV1015" s="135"/>
      <c r="ARW1015" s="135"/>
      <c r="ARX1015" s="135"/>
      <c r="ARY1015" s="135"/>
      <c r="ARZ1015" s="135"/>
      <c r="ASA1015" s="135"/>
      <c r="ASB1015" s="135"/>
      <c r="ASC1015" s="135"/>
      <c r="ASD1015" s="135"/>
      <c r="ASE1015" s="135"/>
      <c r="ASF1015" s="135"/>
      <c r="ASG1015" s="135"/>
      <c r="ASH1015" s="135"/>
      <c r="ASI1015" s="135"/>
      <c r="ASJ1015" s="135"/>
      <c r="ASK1015" s="135"/>
      <c r="ASL1015" s="135"/>
      <c r="ASM1015" s="135"/>
      <c r="ASN1015" s="135"/>
      <c r="ASO1015" s="135"/>
      <c r="ASP1015" s="135"/>
      <c r="ASQ1015" s="135"/>
      <c r="ASR1015" s="135"/>
      <c r="ASS1015" s="135"/>
      <c r="AST1015" s="135"/>
      <c r="ASU1015" s="135"/>
      <c r="ASV1015" s="135"/>
      <c r="ASW1015" s="135"/>
      <c r="ASX1015" s="135"/>
      <c r="ASY1015" s="135"/>
      <c r="ASZ1015" s="135"/>
      <c r="ATA1015" s="135"/>
      <c r="ATB1015" s="135"/>
      <c r="ATC1015" s="135"/>
      <c r="ATD1015" s="135"/>
      <c r="ATE1015" s="135"/>
      <c r="ATF1015" s="135"/>
      <c r="ATG1015" s="135"/>
      <c r="ATH1015" s="135"/>
      <c r="ATI1015" s="135"/>
      <c r="ATJ1015" s="135"/>
      <c r="ATK1015" s="135"/>
      <c r="ATL1015" s="135"/>
      <c r="ATM1015" s="135"/>
      <c r="ATN1015" s="135"/>
      <c r="ATO1015" s="135"/>
      <c r="ATP1015" s="135"/>
      <c r="ATQ1015" s="135"/>
      <c r="ATR1015" s="135"/>
      <c r="ATS1015" s="135"/>
      <c r="ATT1015" s="135"/>
      <c r="ATU1015" s="135"/>
      <c r="ATV1015" s="135"/>
      <c r="ATW1015" s="135"/>
      <c r="ATX1015" s="135"/>
      <c r="ATY1015" s="135"/>
      <c r="ATZ1015" s="135"/>
      <c r="AUA1015" s="135"/>
      <c r="AUB1015" s="135"/>
      <c r="AUC1015" s="135"/>
      <c r="AUD1015" s="135"/>
      <c r="AUE1015" s="135"/>
      <c r="AUF1015" s="135"/>
      <c r="AUG1015" s="135"/>
      <c r="AUH1015" s="135"/>
      <c r="AUI1015" s="135"/>
      <c r="AUJ1015" s="135"/>
      <c r="AUK1015" s="135"/>
      <c r="AUL1015" s="135"/>
      <c r="AUM1015" s="135"/>
      <c r="AUN1015" s="135"/>
      <c r="AUO1015" s="135"/>
      <c r="AUP1015" s="135"/>
      <c r="AUQ1015" s="135"/>
      <c r="AUR1015" s="135"/>
      <c r="AUS1015" s="135"/>
      <c r="AUT1015" s="135"/>
      <c r="AUU1015" s="135"/>
      <c r="AUV1015" s="135"/>
      <c r="AUW1015" s="135"/>
      <c r="AUX1015" s="135"/>
      <c r="AUY1015" s="135"/>
      <c r="AUZ1015" s="135"/>
      <c r="AVA1015" s="135"/>
      <c r="AVB1015" s="135"/>
      <c r="AVC1015" s="135"/>
      <c r="AVD1015" s="135"/>
      <c r="AVE1015" s="135"/>
      <c r="AVF1015" s="135"/>
      <c r="AVG1015" s="135"/>
      <c r="AVH1015" s="135"/>
      <c r="AVI1015" s="135"/>
      <c r="AVJ1015" s="135"/>
      <c r="AVK1015" s="135"/>
      <c r="AVL1015" s="135"/>
      <c r="AVM1015" s="135"/>
      <c r="AVN1015" s="135"/>
      <c r="AVO1015" s="135"/>
      <c r="AVP1015" s="135"/>
      <c r="AVQ1015" s="135"/>
      <c r="AVR1015" s="135"/>
      <c r="AVS1015" s="135"/>
      <c r="AVT1015" s="135"/>
      <c r="AVU1015" s="135"/>
      <c r="AVV1015" s="135"/>
      <c r="AVW1015" s="135"/>
      <c r="AVX1015" s="135"/>
      <c r="AVY1015" s="135"/>
      <c r="AVZ1015" s="135"/>
      <c r="AWA1015" s="135"/>
      <c r="AWB1015" s="135"/>
      <c r="AWC1015" s="135"/>
      <c r="AWD1015" s="135"/>
      <c r="AWE1015" s="135"/>
      <c r="AWF1015" s="135"/>
      <c r="AWG1015" s="135"/>
      <c r="AWH1015" s="135"/>
      <c r="AWI1015" s="135"/>
      <c r="AWJ1015" s="135"/>
      <c r="AWK1015" s="135"/>
      <c r="AWL1015" s="135"/>
      <c r="AWM1015" s="135"/>
      <c r="AWN1015" s="135"/>
      <c r="AWO1015" s="135"/>
      <c r="AWP1015" s="135"/>
      <c r="AWQ1015" s="135"/>
      <c r="AWR1015" s="135"/>
      <c r="AWS1015" s="135"/>
      <c r="AWT1015" s="135"/>
      <c r="AWU1015" s="135"/>
      <c r="AWV1015" s="135"/>
      <c r="AWW1015" s="135"/>
      <c r="AWX1015" s="135"/>
      <c r="AWY1015" s="135"/>
      <c r="AWZ1015" s="135"/>
      <c r="AXA1015" s="135"/>
      <c r="AXB1015" s="135"/>
      <c r="AXC1015" s="135"/>
      <c r="AXD1015" s="135"/>
      <c r="AXE1015" s="135"/>
      <c r="AXF1015" s="135"/>
      <c r="AXG1015" s="135"/>
      <c r="AXH1015" s="135"/>
      <c r="AXI1015" s="135"/>
      <c r="AXJ1015" s="135"/>
      <c r="AXK1015" s="135"/>
      <c r="AXL1015" s="135"/>
      <c r="AXM1015" s="135"/>
      <c r="AXN1015" s="135"/>
      <c r="AXO1015" s="135"/>
      <c r="AXP1015" s="135"/>
      <c r="AXQ1015" s="135"/>
      <c r="AXR1015" s="135"/>
      <c r="AXS1015" s="135"/>
      <c r="AXT1015" s="135"/>
      <c r="AXU1015" s="135"/>
      <c r="AXV1015" s="135"/>
      <c r="AXW1015" s="135"/>
      <c r="AXX1015" s="135"/>
      <c r="AXY1015" s="135"/>
      <c r="AXZ1015" s="135"/>
      <c r="AYA1015" s="135"/>
      <c r="AYB1015" s="135"/>
      <c r="AYC1015" s="135"/>
      <c r="AYD1015" s="135"/>
      <c r="AYE1015" s="135"/>
      <c r="AYF1015" s="135"/>
      <c r="AYG1015" s="135"/>
      <c r="AYH1015" s="135"/>
      <c r="AYI1015" s="135"/>
      <c r="AYJ1015" s="135"/>
      <c r="AYK1015" s="135"/>
      <c r="AYL1015" s="135"/>
      <c r="AYM1015" s="135"/>
      <c r="AYN1015" s="135"/>
      <c r="AYO1015" s="135"/>
      <c r="AYP1015" s="135"/>
      <c r="AYQ1015" s="135"/>
      <c r="AYR1015" s="135"/>
      <c r="AYS1015" s="135"/>
      <c r="AYT1015" s="135"/>
      <c r="AYU1015" s="135"/>
      <c r="AYV1015" s="135"/>
      <c r="AYW1015" s="135"/>
      <c r="AYX1015" s="135"/>
      <c r="AYY1015" s="135"/>
      <c r="AYZ1015" s="135"/>
      <c r="AZA1015" s="135"/>
      <c r="AZB1015" s="135"/>
      <c r="AZC1015" s="135"/>
      <c r="AZD1015" s="135"/>
      <c r="AZE1015" s="135"/>
      <c r="AZF1015" s="135"/>
      <c r="AZG1015" s="135"/>
      <c r="AZH1015" s="135"/>
      <c r="AZI1015" s="135"/>
      <c r="AZJ1015" s="135"/>
      <c r="AZK1015" s="135"/>
      <c r="AZL1015" s="135"/>
      <c r="AZM1015" s="135"/>
      <c r="AZN1015" s="135"/>
      <c r="AZO1015" s="135"/>
      <c r="AZP1015" s="135"/>
      <c r="AZQ1015" s="135"/>
      <c r="AZR1015" s="135"/>
      <c r="AZS1015" s="135"/>
      <c r="AZT1015" s="135"/>
      <c r="AZU1015" s="135"/>
      <c r="AZV1015" s="135"/>
      <c r="AZW1015" s="135"/>
      <c r="AZX1015" s="135"/>
      <c r="AZY1015" s="135"/>
      <c r="AZZ1015" s="135"/>
      <c r="BAA1015" s="135"/>
      <c r="BAB1015" s="135"/>
      <c r="BAC1015" s="135"/>
      <c r="BAD1015" s="135"/>
      <c r="BAE1015" s="135"/>
      <c r="BAF1015" s="135"/>
      <c r="BAG1015" s="135"/>
      <c r="BAH1015" s="135"/>
      <c r="BAI1015" s="135"/>
      <c r="BAJ1015" s="135"/>
      <c r="BAK1015" s="135"/>
      <c r="BAL1015" s="135"/>
      <c r="BAM1015" s="135"/>
      <c r="BAN1015" s="135"/>
      <c r="BAO1015" s="135"/>
      <c r="BAP1015" s="135"/>
      <c r="BAQ1015" s="135"/>
      <c r="BAR1015" s="135"/>
      <c r="BAS1015" s="135"/>
      <c r="BAT1015" s="135"/>
      <c r="BAU1015" s="135"/>
      <c r="BAV1015" s="135"/>
      <c r="BAW1015" s="135"/>
      <c r="BAX1015" s="135"/>
      <c r="BAY1015" s="135"/>
      <c r="BAZ1015" s="135"/>
      <c r="BBA1015" s="135"/>
      <c r="BBB1015" s="135"/>
      <c r="BBC1015" s="135"/>
      <c r="BBD1015" s="135"/>
      <c r="BBE1015" s="135"/>
      <c r="BBF1015" s="135"/>
      <c r="BBG1015" s="135"/>
      <c r="BBH1015" s="135"/>
      <c r="BBI1015" s="135"/>
      <c r="BBJ1015" s="135"/>
      <c r="BBK1015" s="135"/>
      <c r="BBL1015" s="135"/>
      <c r="BBM1015" s="135"/>
      <c r="BBN1015" s="135"/>
      <c r="BBO1015" s="135"/>
      <c r="BBP1015" s="135"/>
      <c r="BBQ1015" s="135"/>
      <c r="BBR1015" s="135"/>
      <c r="BBS1015" s="135"/>
      <c r="BBT1015" s="135"/>
      <c r="BBU1015" s="135"/>
      <c r="BBV1015" s="135"/>
      <c r="BBW1015" s="135"/>
      <c r="BBX1015" s="135"/>
      <c r="BBY1015" s="135"/>
      <c r="BBZ1015" s="135"/>
      <c r="BCA1015" s="135"/>
      <c r="BCB1015" s="135"/>
      <c r="BCC1015" s="135"/>
      <c r="BCD1015" s="135"/>
      <c r="BCE1015" s="135"/>
      <c r="BCF1015" s="135"/>
      <c r="BCG1015" s="135"/>
      <c r="BCH1015" s="135"/>
      <c r="BCI1015" s="135"/>
      <c r="BCJ1015" s="135"/>
      <c r="BCK1015" s="135"/>
      <c r="BCL1015" s="135"/>
      <c r="BCM1015" s="135"/>
      <c r="BCN1015" s="135"/>
      <c r="BCO1015" s="135"/>
      <c r="BCP1015" s="135"/>
      <c r="BCQ1015" s="135"/>
      <c r="BCR1015" s="135"/>
      <c r="BCS1015" s="135"/>
      <c r="BCT1015" s="135"/>
      <c r="BCU1015" s="135"/>
      <c r="BCV1015" s="135"/>
      <c r="BCW1015" s="135"/>
      <c r="BCX1015" s="135"/>
      <c r="BCY1015" s="135"/>
      <c r="BCZ1015" s="135"/>
      <c r="BDA1015" s="135"/>
      <c r="BDB1015" s="135"/>
      <c r="BDC1015" s="135"/>
      <c r="BDD1015" s="135"/>
      <c r="BDE1015" s="135"/>
      <c r="BDF1015" s="135"/>
      <c r="BDG1015" s="135"/>
      <c r="BDH1015" s="135"/>
      <c r="BDI1015" s="135"/>
      <c r="BDJ1015" s="135"/>
      <c r="BDK1015" s="135"/>
      <c r="BDL1015" s="135"/>
      <c r="BDM1015" s="135"/>
      <c r="BDN1015" s="135"/>
      <c r="BDO1015" s="135"/>
      <c r="BDP1015" s="135"/>
      <c r="BDQ1015" s="135"/>
      <c r="BDR1015" s="135"/>
      <c r="BDS1015" s="135"/>
      <c r="BDT1015" s="135"/>
      <c r="BDU1015" s="135"/>
      <c r="BDV1015" s="135"/>
      <c r="BDW1015" s="135"/>
      <c r="BDX1015" s="135"/>
      <c r="BDY1015" s="135"/>
      <c r="BDZ1015" s="135"/>
      <c r="BEA1015" s="135"/>
      <c r="BEB1015" s="135"/>
      <c r="BEC1015" s="135"/>
      <c r="BED1015" s="135"/>
      <c r="BEE1015" s="135"/>
      <c r="BEF1015" s="135"/>
      <c r="BEG1015" s="135"/>
      <c r="BEH1015" s="135"/>
      <c r="BEI1015" s="135"/>
      <c r="BEJ1015" s="135"/>
      <c r="BEK1015" s="135"/>
      <c r="BEL1015" s="135"/>
      <c r="BEM1015" s="135"/>
      <c r="BEN1015" s="135"/>
      <c r="BEO1015" s="135"/>
      <c r="BEP1015" s="135"/>
      <c r="BEQ1015" s="135"/>
      <c r="BER1015" s="135"/>
      <c r="BES1015" s="135"/>
      <c r="BET1015" s="135"/>
      <c r="BEU1015" s="135"/>
      <c r="BEV1015" s="135"/>
      <c r="BEW1015" s="135"/>
      <c r="BEX1015" s="135"/>
      <c r="BEY1015" s="135"/>
      <c r="BEZ1015" s="135"/>
      <c r="BFA1015" s="135"/>
      <c r="BFB1015" s="135"/>
      <c r="BFC1015" s="135"/>
      <c r="BFD1015" s="135"/>
      <c r="BFE1015" s="135"/>
      <c r="BFF1015" s="135"/>
      <c r="BFG1015" s="135"/>
      <c r="BFH1015" s="135"/>
      <c r="BFI1015" s="135"/>
      <c r="BFJ1015" s="135"/>
      <c r="BFK1015" s="135"/>
      <c r="BFL1015" s="135"/>
      <c r="BFM1015" s="135"/>
      <c r="BFN1015" s="135"/>
      <c r="BFO1015" s="135"/>
      <c r="BFP1015" s="135"/>
      <c r="BFQ1015" s="135"/>
      <c r="BFR1015" s="135"/>
      <c r="BFS1015" s="135"/>
      <c r="BFT1015" s="135"/>
      <c r="BFU1015" s="135"/>
      <c r="BFV1015" s="135"/>
      <c r="BFW1015" s="135"/>
      <c r="BFX1015" s="135"/>
      <c r="BFY1015" s="135"/>
      <c r="BFZ1015" s="135"/>
      <c r="BGA1015" s="135"/>
      <c r="BGB1015" s="135"/>
      <c r="BGC1015" s="135"/>
      <c r="BGD1015" s="135"/>
      <c r="BGE1015" s="135"/>
      <c r="BGF1015" s="135"/>
      <c r="BGG1015" s="135"/>
      <c r="BGH1015" s="135"/>
      <c r="BGI1015" s="135"/>
      <c r="BGJ1015" s="135"/>
      <c r="BGK1015" s="135"/>
      <c r="BGL1015" s="135"/>
      <c r="BGM1015" s="135"/>
      <c r="BGN1015" s="135"/>
      <c r="BGO1015" s="135"/>
      <c r="BGP1015" s="135"/>
      <c r="BGQ1015" s="135"/>
      <c r="BGR1015" s="135"/>
      <c r="BGS1015" s="135"/>
      <c r="BGT1015" s="135"/>
      <c r="BGU1015" s="135"/>
      <c r="BGV1015" s="135"/>
      <c r="BGW1015" s="135"/>
      <c r="BGX1015" s="135"/>
      <c r="BGY1015" s="135"/>
      <c r="BGZ1015" s="135"/>
      <c r="BHA1015" s="135"/>
      <c r="BHB1015" s="135"/>
      <c r="BHC1015" s="135"/>
      <c r="BHD1015" s="135"/>
      <c r="BHE1015" s="135"/>
      <c r="BHF1015" s="135"/>
      <c r="BHG1015" s="135"/>
      <c r="BHH1015" s="135"/>
      <c r="BHI1015" s="135"/>
      <c r="BHJ1015" s="135"/>
      <c r="BHK1015" s="135"/>
      <c r="BHL1015" s="135"/>
      <c r="BHM1015" s="135"/>
      <c r="BHN1015" s="135"/>
      <c r="BHO1015" s="135"/>
      <c r="BHP1015" s="135"/>
      <c r="BHQ1015" s="135"/>
      <c r="BHR1015" s="135"/>
      <c r="BHS1015" s="135"/>
      <c r="BHT1015" s="135"/>
      <c r="BHU1015" s="135"/>
      <c r="BHV1015" s="135"/>
      <c r="BHW1015" s="135"/>
      <c r="BHX1015" s="135"/>
      <c r="BHY1015" s="135"/>
      <c r="BHZ1015" s="135"/>
      <c r="BIA1015" s="135"/>
      <c r="BIB1015" s="135"/>
      <c r="BIC1015" s="135"/>
      <c r="BID1015" s="135"/>
      <c r="BIE1015" s="135"/>
      <c r="BIF1015" s="135"/>
      <c r="BIG1015" s="135"/>
      <c r="BIH1015" s="135"/>
      <c r="BII1015" s="135"/>
      <c r="BIJ1015" s="135"/>
      <c r="BIK1015" s="135"/>
      <c r="BIL1015" s="135"/>
      <c r="BIM1015" s="135"/>
      <c r="BIN1015" s="135"/>
      <c r="BIO1015" s="135"/>
      <c r="BIP1015" s="135"/>
      <c r="BIQ1015" s="135"/>
      <c r="BIR1015" s="135"/>
      <c r="BIS1015" s="135"/>
      <c r="BIT1015" s="135"/>
      <c r="BIU1015" s="135"/>
      <c r="BIV1015" s="135"/>
      <c r="BIW1015" s="135"/>
      <c r="BIX1015" s="135"/>
      <c r="BIY1015" s="135"/>
      <c r="BIZ1015" s="135"/>
      <c r="BJA1015" s="135"/>
      <c r="BJB1015" s="135"/>
      <c r="BJC1015" s="135"/>
      <c r="BJD1015" s="135"/>
      <c r="BJE1015" s="135"/>
      <c r="BJF1015" s="135"/>
      <c r="BJG1015" s="135"/>
      <c r="BJH1015" s="135"/>
      <c r="BJI1015" s="135"/>
      <c r="BJJ1015" s="135"/>
      <c r="BJK1015" s="135"/>
      <c r="BJL1015" s="135"/>
      <c r="BJM1015" s="135"/>
      <c r="BJN1015" s="135"/>
      <c r="BJO1015" s="135"/>
      <c r="BJP1015" s="135"/>
      <c r="BJQ1015" s="135"/>
      <c r="BJR1015" s="135"/>
      <c r="BJS1015" s="135"/>
      <c r="BJT1015" s="135"/>
      <c r="BJU1015" s="135"/>
      <c r="BJV1015" s="135"/>
      <c r="BJW1015" s="135"/>
      <c r="BJX1015" s="135"/>
      <c r="BJY1015" s="135"/>
      <c r="BJZ1015" s="135"/>
      <c r="BKA1015" s="135"/>
      <c r="BKB1015" s="135"/>
      <c r="BKC1015" s="135"/>
      <c r="BKD1015" s="135"/>
      <c r="BKE1015" s="135"/>
      <c r="BKF1015" s="135"/>
      <c r="BKG1015" s="135"/>
      <c r="BKH1015" s="135"/>
      <c r="BKI1015" s="135"/>
      <c r="BKJ1015" s="135"/>
      <c r="BKK1015" s="135"/>
      <c r="BKL1015" s="135"/>
      <c r="BKM1015" s="135"/>
      <c r="BKN1015" s="135"/>
      <c r="BKO1015" s="135"/>
      <c r="BKP1015" s="135"/>
      <c r="BKQ1015" s="135"/>
      <c r="BKR1015" s="135"/>
      <c r="BKS1015" s="135"/>
      <c r="BKT1015" s="135"/>
      <c r="BKU1015" s="135"/>
      <c r="BKV1015" s="135"/>
      <c r="BKW1015" s="135"/>
      <c r="BKX1015" s="135"/>
      <c r="BKY1015" s="135"/>
      <c r="BKZ1015" s="135"/>
      <c r="BLA1015" s="135"/>
      <c r="BLB1015" s="135"/>
      <c r="BLC1015" s="135"/>
      <c r="BLD1015" s="135"/>
      <c r="BLE1015" s="135"/>
      <c r="BLF1015" s="135"/>
      <c r="BLG1015" s="135"/>
      <c r="BLH1015" s="135"/>
      <c r="BLI1015" s="135"/>
      <c r="BLJ1015" s="135"/>
      <c r="BLK1015" s="135"/>
      <c r="BLL1015" s="135"/>
      <c r="BLM1015" s="135"/>
      <c r="BLN1015" s="135"/>
      <c r="BLO1015" s="135"/>
      <c r="BLP1015" s="135"/>
      <c r="BLQ1015" s="135"/>
      <c r="BLR1015" s="135"/>
      <c r="BLS1015" s="135"/>
      <c r="BLT1015" s="135"/>
      <c r="BLU1015" s="135"/>
      <c r="BLV1015" s="135"/>
      <c r="BLW1015" s="135"/>
      <c r="BLX1015" s="135"/>
      <c r="BLY1015" s="135"/>
      <c r="BLZ1015" s="135"/>
      <c r="BMA1015" s="135"/>
      <c r="BMB1015" s="135"/>
      <c r="BMC1015" s="135"/>
      <c r="BMD1015" s="135"/>
      <c r="BME1015" s="135"/>
      <c r="BMF1015" s="135"/>
      <c r="BMG1015" s="135"/>
      <c r="BMH1015" s="135"/>
      <c r="BMI1015" s="135"/>
      <c r="BMJ1015" s="135"/>
      <c r="BMK1015" s="135"/>
      <c r="BML1015" s="135"/>
      <c r="BMM1015" s="135"/>
      <c r="BMN1015" s="135"/>
      <c r="BMO1015" s="135"/>
      <c r="BMP1015" s="135"/>
      <c r="BMQ1015" s="135"/>
      <c r="BMR1015" s="135"/>
      <c r="BMS1015" s="135"/>
      <c r="BMT1015" s="135"/>
      <c r="BMU1015" s="135"/>
      <c r="BMV1015" s="135"/>
      <c r="BMW1015" s="135"/>
      <c r="BMX1015" s="135"/>
      <c r="BMY1015" s="135"/>
      <c r="BMZ1015" s="135"/>
      <c r="BNA1015" s="135"/>
      <c r="BNB1015" s="135"/>
      <c r="BNC1015" s="135"/>
      <c r="BND1015" s="135"/>
      <c r="BNE1015" s="135"/>
      <c r="BNF1015" s="135"/>
      <c r="BNG1015" s="135"/>
      <c r="BNH1015" s="135"/>
      <c r="BNI1015" s="135"/>
      <c r="BNJ1015" s="135"/>
      <c r="BNK1015" s="135"/>
      <c r="BNL1015" s="135"/>
      <c r="BNM1015" s="135"/>
      <c r="BNN1015" s="135"/>
      <c r="BNO1015" s="135"/>
      <c r="BNP1015" s="135"/>
      <c r="BNQ1015" s="135"/>
      <c r="BNR1015" s="135"/>
      <c r="BNS1015" s="135"/>
      <c r="BNT1015" s="135"/>
      <c r="BNU1015" s="135"/>
      <c r="BNV1015" s="135"/>
      <c r="BNW1015" s="135"/>
      <c r="BNX1015" s="135"/>
      <c r="BNY1015" s="135"/>
      <c r="BNZ1015" s="135"/>
      <c r="BOA1015" s="135"/>
      <c r="BOB1015" s="135"/>
      <c r="BOC1015" s="135"/>
      <c r="BOD1015" s="135"/>
      <c r="BOE1015" s="135"/>
      <c r="BOF1015" s="135"/>
      <c r="BOG1015" s="135"/>
      <c r="BOH1015" s="135"/>
      <c r="BOI1015" s="135"/>
      <c r="BOJ1015" s="135"/>
      <c r="BOK1015" s="135"/>
      <c r="BOL1015" s="135"/>
      <c r="BOM1015" s="135"/>
      <c r="BON1015" s="135"/>
      <c r="BOO1015" s="135"/>
      <c r="BOP1015" s="135"/>
      <c r="BOQ1015" s="135"/>
      <c r="BOR1015" s="135"/>
      <c r="BOS1015" s="135"/>
      <c r="BOT1015" s="135"/>
      <c r="BOU1015" s="135"/>
      <c r="BOV1015" s="135"/>
      <c r="BOW1015" s="135"/>
      <c r="BOX1015" s="135"/>
      <c r="BOY1015" s="135"/>
      <c r="BOZ1015" s="135"/>
      <c r="BPA1015" s="135"/>
      <c r="BPB1015" s="135"/>
      <c r="BPC1015" s="135"/>
      <c r="BPD1015" s="135"/>
      <c r="BPE1015" s="135"/>
      <c r="BPF1015" s="135"/>
      <c r="BPG1015" s="135"/>
      <c r="BPH1015" s="135"/>
      <c r="BPI1015" s="135"/>
      <c r="BPJ1015" s="135"/>
      <c r="BPK1015" s="135"/>
      <c r="BPL1015" s="135"/>
      <c r="BPM1015" s="135"/>
      <c r="BPN1015" s="135"/>
      <c r="BPO1015" s="135"/>
      <c r="BPP1015" s="135"/>
      <c r="BPQ1015" s="135"/>
      <c r="BPR1015" s="135"/>
      <c r="BPS1015" s="135"/>
      <c r="BPT1015" s="135"/>
      <c r="BPU1015" s="135"/>
      <c r="BPV1015" s="135"/>
      <c r="BPW1015" s="135"/>
      <c r="BPX1015" s="135"/>
      <c r="BPY1015" s="135"/>
      <c r="BPZ1015" s="135"/>
      <c r="BQA1015" s="135"/>
      <c r="BQB1015" s="135"/>
      <c r="BQC1015" s="135"/>
      <c r="BQD1015" s="135"/>
      <c r="BQE1015" s="135"/>
      <c r="BQF1015" s="135"/>
      <c r="BQG1015" s="135"/>
      <c r="BQH1015" s="135"/>
      <c r="BQI1015" s="135"/>
      <c r="BQJ1015" s="135"/>
      <c r="BQK1015" s="135"/>
      <c r="BQL1015" s="135"/>
      <c r="BQM1015" s="135"/>
      <c r="BQN1015" s="135"/>
      <c r="BQO1015" s="135"/>
      <c r="BQP1015" s="135"/>
      <c r="BQQ1015" s="135"/>
      <c r="BQR1015" s="135"/>
      <c r="BQS1015" s="135"/>
      <c r="BQT1015" s="135"/>
      <c r="BQU1015" s="135"/>
      <c r="BQV1015" s="135"/>
      <c r="BQW1015" s="135"/>
      <c r="BQX1015" s="135"/>
      <c r="BQY1015" s="135"/>
      <c r="BQZ1015" s="135"/>
      <c r="BRA1015" s="135"/>
      <c r="BRB1015" s="135"/>
      <c r="BRC1015" s="135"/>
      <c r="BRD1015" s="135"/>
      <c r="BRE1015" s="135"/>
      <c r="BRF1015" s="135"/>
      <c r="BRG1015" s="135"/>
      <c r="BRH1015" s="135"/>
      <c r="BRI1015" s="135"/>
      <c r="BRJ1015" s="135"/>
      <c r="BRK1015" s="135"/>
      <c r="BRL1015" s="135"/>
      <c r="BRM1015" s="135"/>
      <c r="BRN1015" s="135"/>
      <c r="BRO1015" s="135"/>
      <c r="BRP1015" s="135"/>
      <c r="BRQ1015" s="135"/>
      <c r="BRR1015" s="135"/>
      <c r="BRS1015" s="135"/>
      <c r="BRT1015" s="135"/>
      <c r="BRU1015" s="135"/>
      <c r="BRV1015" s="135"/>
      <c r="BRW1015" s="135"/>
      <c r="BRX1015" s="135"/>
      <c r="BRY1015" s="135"/>
      <c r="BRZ1015" s="135"/>
      <c r="BSA1015" s="135"/>
      <c r="BSB1015" s="135"/>
      <c r="BSC1015" s="135"/>
      <c r="BSD1015" s="135"/>
      <c r="BSE1015" s="135"/>
      <c r="BSF1015" s="135"/>
      <c r="BSG1015" s="135"/>
      <c r="BSH1015" s="135"/>
      <c r="BSI1015" s="135"/>
      <c r="BSJ1015" s="135"/>
      <c r="BSK1015" s="135"/>
      <c r="BSL1015" s="135"/>
      <c r="BSM1015" s="135"/>
      <c r="BSN1015" s="135"/>
      <c r="BSO1015" s="135"/>
      <c r="BSP1015" s="135"/>
      <c r="BSQ1015" s="135"/>
      <c r="BSR1015" s="135"/>
      <c r="BSS1015" s="135"/>
      <c r="BST1015" s="135"/>
      <c r="BSU1015" s="135"/>
      <c r="BSV1015" s="135"/>
      <c r="BSW1015" s="135"/>
      <c r="BSX1015" s="135"/>
      <c r="BSY1015" s="135"/>
      <c r="BSZ1015" s="135"/>
      <c r="BTA1015" s="135"/>
      <c r="BTB1015" s="135"/>
      <c r="BTC1015" s="135"/>
      <c r="BTD1015" s="135"/>
      <c r="BTE1015" s="135"/>
      <c r="BTF1015" s="135"/>
      <c r="BTG1015" s="135"/>
      <c r="BTH1015" s="135"/>
      <c r="BTI1015" s="135"/>
      <c r="BTJ1015" s="135"/>
      <c r="BTK1015" s="135"/>
      <c r="BTL1015" s="135"/>
      <c r="BTM1015" s="135"/>
      <c r="BTN1015" s="135"/>
      <c r="BTO1015" s="135"/>
      <c r="BTP1015" s="135"/>
      <c r="BTQ1015" s="135"/>
      <c r="BTR1015" s="135"/>
      <c r="BTS1015" s="135"/>
      <c r="BTT1015" s="135"/>
      <c r="BTU1015" s="135"/>
      <c r="BTV1015" s="135"/>
      <c r="BTW1015" s="135"/>
      <c r="BTX1015" s="135"/>
      <c r="BTY1015" s="135"/>
      <c r="BTZ1015" s="135"/>
      <c r="BUA1015" s="135"/>
      <c r="BUB1015" s="135"/>
      <c r="BUC1015" s="135"/>
      <c r="BUD1015" s="135"/>
      <c r="BUE1015" s="135"/>
      <c r="BUF1015" s="135"/>
      <c r="BUG1015" s="135"/>
      <c r="BUH1015" s="135"/>
      <c r="BUI1015" s="135"/>
      <c r="BUJ1015" s="135"/>
      <c r="BUK1015" s="135"/>
      <c r="BUL1015" s="135"/>
      <c r="BUM1015" s="135"/>
      <c r="BUN1015" s="135"/>
      <c r="BUO1015" s="135"/>
      <c r="BUP1015" s="135"/>
      <c r="BUQ1015" s="135"/>
      <c r="BUR1015" s="135"/>
      <c r="BUS1015" s="135"/>
      <c r="BUT1015" s="135"/>
      <c r="BUU1015" s="135"/>
      <c r="BUV1015" s="135"/>
      <c r="BUW1015" s="135"/>
      <c r="BUX1015" s="135"/>
      <c r="BUY1015" s="135"/>
      <c r="BUZ1015" s="135"/>
      <c r="BVA1015" s="135"/>
      <c r="BVB1015" s="135"/>
      <c r="BVC1015" s="135"/>
      <c r="BVD1015" s="135"/>
      <c r="BVE1015" s="135"/>
      <c r="BVF1015" s="135"/>
      <c r="BVG1015" s="135"/>
      <c r="BVH1015" s="135"/>
      <c r="BVI1015" s="135"/>
      <c r="BVJ1015" s="135"/>
      <c r="BVK1015" s="135"/>
      <c r="BVL1015" s="135"/>
      <c r="BVM1015" s="135"/>
      <c r="BVN1015" s="135"/>
      <c r="BVO1015" s="135"/>
      <c r="BVP1015" s="135"/>
      <c r="BVQ1015" s="135"/>
      <c r="BVR1015" s="135"/>
      <c r="BVS1015" s="135"/>
      <c r="BVT1015" s="135"/>
      <c r="BVU1015" s="135"/>
      <c r="BVV1015" s="135"/>
      <c r="BVW1015" s="135"/>
      <c r="BVX1015" s="135"/>
      <c r="BVY1015" s="135"/>
      <c r="BVZ1015" s="135"/>
      <c r="BWA1015" s="135"/>
      <c r="BWB1015" s="135"/>
      <c r="BWC1015" s="135"/>
      <c r="BWD1015" s="135"/>
      <c r="BWE1015" s="135"/>
      <c r="BWF1015" s="135"/>
      <c r="BWG1015" s="135"/>
      <c r="BWH1015" s="135"/>
      <c r="BWI1015" s="135"/>
      <c r="BWJ1015" s="135"/>
      <c r="BWK1015" s="135"/>
      <c r="BWL1015" s="135"/>
      <c r="BWM1015" s="135"/>
      <c r="BWN1015" s="135"/>
      <c r="BWO1015" s="135"/>
      <c r="BWP1015" s="135"/>
      <c r="BWQ1015" s="135"/>
      <c r="BWR1015" s="135"/>
      <c r="BWS1015" s="135"/>
      <c r="BWT1015" s="135"/>
      <c r="BWU1015" s="135"/>
      <c r="BWV1015" s="135"/>
      <c r="BWW1015" s="135"/>
      <c r="BWX1015" s="135"/>
      <c r="BWY1015" s="135"/>
      <c r="BWZ1015" s="135"/>
      <c r="BXA1015" s="135"/>
      <c r="BXB1015" s="135"/>
      <c r="BXC1015" s="135"/>
      <c r="BXD1015" s="135"/>
      <c r="BXE1015" s="135"/>
      <c r="BXF1015" s="135"/>
      <c r="BXG1015" s="135"/>
      <c r="BXH1015" s="135"/>
      <c r="BXI1015" s="135"/>
      <c r="BXJ1015" s="135"/>
      <c r="BXK1015" s="135"/>
      <c r="BXL1015" s="135"/>
      <c r="BXM1015" s="135"/>
      <c r="BXN1015" s="135"/>
      <c r="BXO1015" s="135"/>
      <c r="BXP1015" s="135"/>
      <c r="BXQ1015" s="135"/>
      <c r="BXR1015" s="135"/>
      <c r="BXS1015" s="135"/>
      <c r="BXT1015" s="135"/>
      <c r="BXU1015" s="135"/>
      <c r="BXV1015" s="135"/>
      <c r="BXW1015" s="135"/>
      <c r="BXX1015" s="135"/>
      <c r="BXY1015" s="135"/>
      <c r="BXZ1015" s="135"/>
      <c r="BYA1015" s="135"/>
      <c r="BYB1015" s="135"/>
      <c r="BYC1015" s="135"/>
      <c r="BYD1015" s="135"/>
      <c r="BYE1015" s="135"/>
      <c r="BYF1015" s="135"/>
      <c r="BYG1015" s="135"/>
      <c r="BYH1015" s="135"/>
      <c r="BYI1015" s="135"/>
      <c r="BYJ1015" s="135"/>
      <c r="BYK1015" s="135"/>
      <c r="BYL1015" s="135"/>
      <c r="BYM1015" s="135"/>
      <c r="BYN1015" s="135"/>
      <c r="BYO1015" s="135"/>
      <c r="BYP1015" s="135"/>
      <c r="BYQ1015" s="135"/>
      <c r="BYR1015" s="135"/>
      <c r="BYS1015" s="135"/>
      <c r="BYT1015" s="135"/>
      <c r="BYU1015" s="135"/>
      <c r="BYV1015" s="135"/>
      <c r="BYW1015" s="135"/>
      <c r="BYX1015" s="135"/>
      <c r="BYY1015" s="135"/>
      <c r="BYZ1015" s="135"/>
      <c r="BZA1015" s="135"/>
      <c r="BZB1015" s="135"/>
      <c r="BZC1015" s="135"/>
      <c r="BZD1015" s="135"/>
      <c r="BZE1015" s="135"/>
      <c r="BZF1015" s="135"/>
      <c r="BZG1015" s="135"/>
      <c r="BZH1015" s="135"/>
      <c r="BZI1015" s="135"/>
      <c r="BZJ1015" s="135"/>
      <c r="BZK1015" s="135"/>
      <c r="BZL1015" s="135"/>
      <c r="BZM1015" s="135"/>
      <c r="BZN1015" s="135"/>
      <c r="BZO1015" s="135"/>
      <c r="BZP1015" s="135"/>
      <c r="BZQ1015" s="135"/>
      <c r="BZR1015" s="135"/>
      <c r="BZS1015" s="135"/>
      <c r="BZT1015" s="135"/>
      <c r="BZU1015" s="135"/>
      <c r="BZV1015" s="135"/>
      <c r="BZW1015" s="135"/>
      <c r="BZX1015" s="135"/>
      <c r="BZY1015" s="135"/>
      <c r="BZZ1015" s="135"/>
      <c r="CAA1015" s="135"/>
      <c r="CAB1015" s="135"/>
      <c r="CAC1015" s="135"/>
      <c r="CAD1015" s="135"/>
      <c r="CAE1015" s="135"/>
      <c r="CAF1015" s="135"/>
      <c r="CAG1015" s="135"/>
      <c r="CAH1015" s="135"/>
      <c r="CAI1015" s="135"/>
      <c r="CAJ1015" s="135"/>
      <c r="CAK1015" s="135"/>
      <c r="CAL1015" s="135"/>
      <c r="CAM1015" s="135"/>
      <c r="CAN1015" s="135"/>
      <c r="CAO1015" s="135"/>
      <c r="CAP1015" s="135"/>
      <c r="CAQ1015" s="135"/>
      <c r="CAR1015" s="135"/>
      <c r="CAS1015" s="135"/>
      <c r="CAT1015" s="135"/>
      <c r="CAU1015" s="135"/>
      <c r="CAV1015" s="135"/>
      <c r="CAW1015" s="135"/>
      <c r="CAX1015" s="135"/>
      <c r="CAY1015" s="135"/>
      <c r="CAZ1015" s="135"/>
      <c r="CBA1015" s="135"/>
      <c r="CBB1015" s="135"/>
      <c r="CBC1015" s="135"/>
      <c r="CBD1015" s="135"/>
      <c r="CBE1015" s="135"/>
      <c r="CBF1015" s="135"/>
      <c r="CBG1015" s="135"/>
      <c r="CBH1015" s="135"/>
      <c r="CBI1015" s="135"/>
      <c r="CBJ1015" s="135"/>
      <c r="CBK1015" s="135"/>
      <c r="CBL1015" s="135"/>
      <c r="CBM1015" s="135"/>
      <c r="CBN1015" s="135"/>
      <c r="CBO1015" s="135"/>
      <c r="CBP1015" s="135"/>
      <c r="CBQ1015" s="135"/>
      <c r="CBR1015" s="135"/>
      <c r="CBS1015" s="135"/>
      <c r="CBT1015" s="135"/>
      <c r="CBU1015" s="135"/>
      <c r="CBV1015" s="135"/>
      <c r="CBW1015" s="135"/>
      <c r="CBX1015" s="135"/>
      <c r="CBY1015" s="135"/>
      <c r="CBZ1015" s="135"/>
      <c r="CCA1015" s="135"/>
      <c r="CCB1015" s="135"/>
      <c r="CCC1015" s="135"/>
      <c r="CCD1015" s="135"/>
      <c r="CCE1015" s="135"/>
      <c r="CCF1015" s="135"/>
      <c r="CCG1015" s="135"/>
      <c r="CCH1015" s="135"/>
      <c r="CCI1015" s="135"/>
      <c r="CCJ1015" s="135"/>
      <c r="CCK1015" s="135"/>
      <c r="CCL1015" s="135"/>
      <c r="CCM1015" s="135"/>
      <c r="CCN1015" s="135"/>
      <c r="CCO1015" s="135"/>
      <c r="CCP1015" s="135"/>
      <c r="CCQ1015" s="135"/>
      <c r="CCR1015" s="135"/>
      <c r="CCS1015" s="135"/>
      <c r="CCT1015" s="135"/>
      <c r="CCU1015" s="135"/>
      <c r="CCV1015" s="135"/>
      <c r="CCW1015" s="135"/>
      <c r="CCX1015" s="135"/>
      <c r="CCY1015" s="135"/>
      <c r="CCZ1015" s="135"/>
      <c r="CDA1015" s="135"/>
      <c r="CDB1015" s="135"/>
      <c r="CDC1015" s="135"/>
      <c r="CDD1015" s="135"/>
      <c r="CDE1015" s="135"/>
      <c r="CDF1015" s="135"/>
      <c r="CDG1015" s="135"/>
      <c r="CDH1015" s="135"/>
      <c r="CDI1015" s="135"/>
      <c r="CDJ1015" s="135"/>
      <c r="CDK1015" s="135"/>
      <c r="CDL1015" s="135"/>
      <c r="CDM1015" s="135"/>
      <c r="CDN1015" s="135"/>
      <c r="CDO1015" s="135"/>
      <c r="CDP1015" s="135"/>
      <c r="CDQ1015" s="135"/>
      <c r="CDR1015" s="135"/>
      <c r="CDS1015" s="135"/>
      <c r="CDT1015" s="135"/>
      <c r="CDU1015" s="135"/>
      <c r="CDV1015" s="135"/>
      <c r="CDW1015" s="135"/>
      <c r="CDX1015" s="135"/>
      <c r="CDY1015" s="135"/>
      <c r="CDZ1015" s="135"/>
      <c r="CEA1015" s="135"/>
      <c r="CEB1015" s="135"/>
      <c r="CEC1015" s="135"/>
      <c r="CED1015" s="135"/>
      <c r="CEE1015" s="135"/>
      <c r="CEF1015" s="135"/>
      <c r="CEG1015" s="135"/>
      <c r="CEH1015" s="135"/>
      <c r="CEI1015" s="135"/>
      <c r="CEJ1015" s="135"/>
      <c r="CEK1015" s="135"/>
      <c r="CEL1015" s="135"/>
      <c r="CEM1015" s="135"/>
      <c r="CEN1015" s="135"/>
      <c r="CEO1015" s="135"/>
      <c r="CEP1015" s="135"/>
      <c r="CEQ1015" s="135"/>
      <c r="CER1015" s="135"/>
      <c r="CES1015" s="135"/>
      <c r="CET1015" s="135"/>
      <c r="CEU1015" s="135"/>
      <c r="CEV1015" s="135"/>
      <c r="CEW1015" s="135"/>
      <c r="CEX1015" s="135"/>
      <c r="CEY1015" s="135"/>
      <c r="CEZ1015" s="135"/>
      <c r="CFA1015" s="135"/>
      <c r="CFB1015" s="135"/>
      <c r="CFC1015" s="135"/>
      <c r="CFD1015" s="135"/>
      <c r="CFE1015" s="135"/>
      <c r="CFF1015" s="135"/>
      <c r="CFG1015" s="135"/>
      <c r="CFH1015" s="135"/>
      <c r="CFI1015" s="135"/>
      <c r="CFJ1015" s="135"/>
      <c r="CFK1015" s="135"/>
      <c r="CFL1015" s="135"/>
      <c r="CFM1015" s="135"/>
      <c r="CFN1015" s="135"/>
      <c r="CFO1015" s="135"/>
      <c r="CFP1015" s="135"/>
      <c r="CFQ1015" s="135"/>
      <c r="CFR1015" s="135"/>
      <c r="CFS1015" s="135"/>
      <c r="CFT1015" s="135"/>
      <c r="CFU1015" s="135"/>
      <c r="CFV1015" s="135"/>
      <c r="CFW1015" s="135"/>
      <c r="CFX1015" s="135"/>
      <c r="CFY1015" s="135"/>
      <c r="CFZ1015" s="135"/>
      <c r="CGA1015" s="135"/>
      <c r="CGB1015" s="135"/>
      <c r="CGC1015" s="135"/>
      <c r="CGD1015" s="135"/>
      <c r="CGE1015" s="135"/>
      <c r="CGF1015" s="135"/>
      <c r="CGG1015" s="135"/>
      <c r="CGH1015" s="135"/>
      <c r="CGI1015" s="135"/>
      <c r="CGJ1015" s="135"/>
      <c r="CGK1015" s="135"/>
      <c r="CGL1015" s="135"/>
      <c r="CGM1015" s="135"/>
      <c r="CGN1015" s="135"/>
      <c r="CGO1015" s="135"/>
      <c r="CGP1015" s="135"/>
      <c r="CGQ1015" s="135"/>
      <c r="CGR1015" s="135"/>
      <c r="CGS1015" s="135"/>
      <c r="CGT1015" s="135"/>
      <c r="CGU1015" s="135"/>
      <c r="CGV1015" s="135"/>
      <c r="CGW1015" s="135"/>
      <c r="CGX1015" s="135"/>
      <c r="CGY1015" s="135"/>
      <c r="CGZ1015" s="135"/>
      <c r="CHA1015" s="135"/>
      <c r="CHB1015" s="135"/>
      <c r="CHC1015" s="135"/>
      <c r="CHD1015" s="135"/>
      <c r="CHE1015" s="135"/>
      <c r="CHF1015" s="135"/>
      <c r="CHG1015" s="135"/>
      <c r="CHH1015" s="135"/>
      <c r="CHI1015" s="135"/>
      <c r="CHJ1015" s="135"/>
      <c r="CHK1015" s="135"/>
      <c r="CHL1015" s="135"/>
      <c r="CHM1015" s="135"/>
      <c r="CHN1015" s="135"/>
      <c r="CHO1015" s="135"/>
      <c r="CHP1015" s="135"/>
      <c r="CHQ1015" s="135"/>
      <c r="CHR1015" s="135"/>
      <c r="CHS1015" s="135"/>
      <c r="CHT1015" s="135"/>
      <c r="CHU1015" s="135"/>
      <c r="CHV1015" s="135"/>
      <c r="CHW1015" s="135"/>
      <c r="CHX1015" s="135"/>
      <c r="CHY1015" s="135"/>
      <c r="CHZ1015" s="135"/>
      <c r="CIA1015" s="135"/>
      <c r="CIB1015" s="135"/>
      <c r="CIC1015" s="135"/>
      <c r="CID1015" s="135"/>
      <c r="CIE1015" s="135"/>
      <c r="CIF1015" s="135"/>
      <c r="CIG1015" s="135"/>
      <c r="CIH1015" s="135"/>
      <c r="CII1015" s="135"/>
      <c r="CIJ1015" s="135"/>
      <c r="CIK1015" s="135"/>
      <c r="CIL1015" s="135"/>
      <c r="CIM1015" s="135"/>
      <c r="CIN1015" s="135"/>
      <c r="CIO1015" s="135"/>
      <c r="CIP1015" s="135"/>
      <c r="CIQ1015" s="135"/>
      <c r="CIR1015" s="135"/>
      <c r="CIS1015" s="135"/>
      <c r="CIT1015" s="135"/>
      <c r="CIU1015" s="135"/>
      <c r="CIV1015" s="135"/>
      <c r="CIW1015" s="135"/>
      <c r="CIX1015" s="135"/>
      <c r="CIY1015" s="135"/>
      <c r="CIZ1015" s="135"/>
      <c r="CJA1015" s="135"/>
      <c r="CJB1015" s="135"/>
      <c r="CJC1015" s="135"/>
      <c r="CJD1015" s="135"/>
      <c r="CJE1015" s="135"/>
      <c r="CJF1015" s="135"/>
      <c r="CJG1015" s="135"/>
      <c r="CJH1015" s="135"/>
      <c r="CJI1015" s="135"/>
      <c r="CJJ1015" s="135"/>
      <c r="CJK1015" s="135"/>
      <c r="CJL1015" s="135"/>
      <c r="CJM1015" s="135"/>
      <c r="CJN1015" s="135"/>
      <c r="CJO1015" s="135"/>
      <c r="CJP1015" s="135"/>
      <c r="CJQ1015" s="135"/>
      <c r="CJR1015" s="135"/>
      <c r="CJS1015" s="135"/>
      <c r="CJT1015" s="135"/>
      <c r="CJU1015" s="135"/>
      <c r="CJV1015" s="135"/>
      <c r="CJW1015" s="135"/>
      <c r="CJX1015" s="135"/>
      <c r="CJY1015" s="135"/>
      <c r="CJZ1015" s="135"/>
      <c r="CKA1015" s="135"/>
      <c r="CKB1015" s="135"/>
      <c r="CKC1015" s="135"/>
      <c r="CKD1015" s="135"/>
      <c r="CKE1015" s="135"/>
      <c r="CKF1015" s="135"/>
      <c r="CKG1015" s="135"/>
      <c r="CKH1015" s="135"/>
      <c r="CKI1015" s="135"/>
      <c r="CKJ1015" s="135"/>
      <c r="CKK1015" s="135"/>
      <c r="CKL1015" s="135"/>
      <c r="CKM1015" s="135"/>
      <c r="CKN1015" s="135"/>
      <c r="CKO1015" s="135"/>
      <c r="CKP1015" s="135"/>
      <c r="CKQ1015" s="135"/>
      <c r="CKR1015" s="135"/>
      <c r="CKS1015" s="135"/>
      <c r="CKT1015" s="135"/>
      <c r="CKU1015" s="135"/>
      <c r="CKV1015" s="135"/>
      <c r="CKW1015" s="135"/>
      <c r="CKX1015" s="135"/>
      <c r="CKY1015" s="135"/>
      <c r="CKZ1015" s="135"/>
      <c r="CLA1015" s="135"/>
      <c r="CLB1015" s="135"/>
      <c r="CLC1015" s="135"/>
      <c r="CLD1015" s="135"/>
      <c r="CLE1015" s="135"/>
      <c r="CLF1015" s="135"/>
      <c r="CLG1015" s="135"/>
      <c r="CLH1015" s="135"/>
      <c r="CLI1015" s="135"/>
      <c r="CLJ1015" s="135"/>
      <c r="CLK1015" s="135"/>
      <c r="CLL1015" s="135"/>
      <c r="CLM1015" s="135"/>
      <c r="CLN1015" s="135"/>
      <c r="CLO1015" s="135"/>
      <c r="CLP1015" s="135"/>
      <c r="CLQ1015" s="135"/>
      <c r="CLR1015" s="135"/>
      <c r="CLS1015" s="135"/>
      <c r="CLT1015" s="135"/>
      <c r="CLU1015" s="135"/>
      <c r="CLV1015" s="135"/>
      <c r="CLW1015" s="135"/>
      <c r="CLX1015" s="135"/>
      <c r="CLY1015" s="135"/>
      <c r="CLZ1015" s="135"/>
      <c r="CMA1015" s="135"/>
      <c r="CMB1015" s="135"/>
      <c r="CMC1015" s="135"/>
      <c r="CMD1015" s="135"/>
      <c r="CME1015" s="135"/>
      <c r="CMF1015" s="135"/>
      <c r="CMG1015" s="135"/>
      <c r="CMH1015" s="135"/>
      <c r="CMI1015" s="135"/>
      <c r="CMJ1015" s="135"/>
      <c r="CMK1015" s="135"/>
      <c r="CML1015" s="135"/>
      <c r="CMM1015" s="135"/>
      <c r="CMN1015" s="135"/>
      <c r="CMO1015" s="135"/>
      <c r="CMP1015" s="135"/>
      <c r="CMQ1015" s="135"/>
      <c r="CMR1015" s="135"/>
      <c r="CMS1015" s="135"/>
      <c r="CMT1015" s="135"/>
      <c r="CMU1015" s="135"/>
      <c r="CMV1015" s="135"/>
      <c r="CMW1015" s="135"/>
      <c r="CMX1015" s="135"/>
      <c r="CMY1015" s="135"/>
      <c r="CMZ1015" s="135"/>
      <c r="CNA1015" s="135"/>
      <c r="CNB1015" s="135"/>
      <c r="CNC1015" s="135"/>
      <c r="CND1015" s="135"/>
      <c r="CNE1015" s="135"/>
      <c r="CNF1015" s="135"/>
      <c r="CNG1015" s="135"/>
      <c r="CNH1015" s="135"/>
      <c r="CNI1015" s="135"/>
      <c r="CNJ1015" s="135"/>
      <c r="CNK1015" s="135"/>
      <c r="CNL1015" s="135"/>
      <c r="CNM1015" s="135"/>
      <c r="CNN1015" s="135"/>
      <c r="CNO1015" s="135"/>
      <c r="CNP1015" s="135"/>
      <c r="CNQ1015" s="135"/>
      <c r="CNR1015" s="135"/>
      <c r="CNS1015" s="135"/>
      <c r="CNT1015" s="135"/>
      <c r="CNU1015" s="135"/>
      <c r="CNV1015" s="135"/>
      <c r="CNW1015" s="135"/>
      <c r="CNX1015" s="135"/>
      <c r="CNY1015" s="135"/>
      <c r="CNZ1015" s="135"/>
      <c r="COA1015" s="135"/>
      <c r="COB1015" s="135"/>
      <c r="COC1015" s="135"/>
      <c r="COD1015" s="135"/>
      <c r="COE1015" s="135"/>
      <c r="COF1015" s="135"/>
      <c r="COG1015" s="135"/>
      <c r="COH1015" s="135"/>
      <c r="COI1015" s="135"/>
      <c r="COJ1015" s="135"/>
      <c r="COK1015" s="135"/>
      <c r="COL1015" s="135"/>
      <c r="COM1015" s="135"/>
      <c r="CON1015" s="135"/>
      <c r="COO1015" s="135"/>
      <c r="COP1015" s="135"/>
      <c r="COQ1015" s="135"/>
      <c r="COR1015" s="135"/>
      <c r="COS1015" s="135"/>
      <c r="COT1015" s="135"/>
      <c r="COU1015" s="135"/>
      <c r="COV1015" s="135"/>
      <c r="COW1015" s="135"/>
      <c r="COX1015" s="135"/>
      <c r="COY1015" s="135"/>
      <c r="COZ1015" s="135"/>
      <c r="CPA1015" s="135"/>
      <c r="CPB1015" s="135"/>
      <c r="CPC1015" s="135"/>
      <c r="CPD1015" s="135"/>
      <c r="CPE1015" s="135"/>
      <c r="CPF1015" s="135"/>
      <c r="CPG1015" s="135"/>
      <c r="CPH1015" s="135"/>
      <c r="CPI1015" s="135"/>
      <c r="CPJ1015" s="135"/>
      <c r="CPK1015" s="135"/>
      <c r="CPL1015" s="135"/>
      <c r="CPM1015" s="135"/>
      <c r="CPN1015" s="135"/>
      <c r="CPO1015" s="135"/>
      <c r="CPP1015" s="135"/>
      <c r="CPQ1015" s="135"/>
      <c r="CPR1015" s="135"/>
      <c r="CPS1015" s="135"/>
      <c r="CPT1015" s="135"/>
      <c r="CPU1015" s="135"/>
      <c r="CPV1015" s="135"/>
      <c r="CPW1015" s="135"/>
      <c r="CPX1015" s="135"/>
      <c r="CPY1015" s="135"/>
      <c r="CPZ1015" s="135"/>
      <c r="CQA1015" s="135"/>
      <c r="CQB1015" s="135"/>
      <c r="CQC1015" s="135"/>
      <c r="CQD1015" s="135"/>
      <c r="CQE1015" s="135"/>
      <c r="CQF1015" s="135"/>
      <c r="CQG1015" s="135"/>
      <c r="CQH1015" s="135"/>
      <c r="CQI1015" s="135"/>
      <c r="CQJ1015" s="135"/>
      <c r="CQK1015" s="135"/>
      <c r="CQL1015" s="135"/>
      <c r="CQM1015" s="135"/>
      <c r="CQN1015" s="135"/>
      <c r="CQO1015" s="135"/>
      <c r="CQP1015" s="135"/>
      <c r="CQQ1015" s="135"/>
      <c r="CQR1015" s="135"/>
      <c r="CQS1015" s="135"/>
      <c r="CQT1015" s="135"/>
      <c r="CQU1015" s="135"/>
      <c r="CQV1015" s="135"/>
      <c r="CQW1015" s="135"/>
      <c r="CQX1015" s="135"/>
      <c r="CQY1015" s="135"/>
      <c r="CQZ1015" s="135"/>
      <c r="CRA1015" s="135"/>
      <c r="CRB1015" s="135"/>
      <c r="CRC1015" s="135"/>
      <c r="CRD1015" s="135"/>
      <c r="CRE1015" s="135"/>
      <c r="CRF1015" s="135"/>
      <c r="CRG1015" s="135"/>
      <c r="CRH1015" s="135"/>
      <c r="CRI1015" s="135"/>
      <c r="CRJ1015" s="135"/>
      <c r="CRK1015" s="135"/>
      <c r="CRL1015" s="135"/>
      <c r="CRM1015" s="135"/>
      <c r="CRN1015" s="135"/>
      <c r="CRO1015" s="135"/>
      <c r="CRP1015" s="135"/>
      <c r="CRQ1015" s="135"/>
      <c r="CRR1015" s="135"/>
      <c r="CRS1015" s="135"/>
      <c r="CRT1015" s="135"/>
      <c r="CRU1015" s="135"/>
      <c r="CRV1015" s="135"/>
      <c r="CRW1015" s="135"/>
      <c r="CRX1015" s="135"/>
      <c r="CRY1015" s="135"/>
      <c r="CRZ1015" s="135"/>
      <c r="CSA1015" s="135"/>
      <c r="CSB1015" s="135"/>
      <c r="CSC1015" s="135"/>
      <c r="CSD1015" s="135"/>
      <c r="CSE1015" s="135"/>
      <c r="CSF1015" s="135"/>
      <c r="CSG1015" s="135"/>
      <c r="CSH1015" s="135"/>
      <c r="CSI1015" s="135"/>
      <c r="CSJ1015" s="135"/>
      <c r="CSK1015" s="135"/>
      <c r="CSL1015" s="135"/>
      <c r="CSM1015" s="135"/>
      <c r="CSN1015" s="135"/>
      <c r="CSO1015" s="135"/>
      <c r="CSP1015" s="135"/>
      <c r="CSQ1015" s="135"/>
      <c r="CSR1015" s="135"/>
      <c r="CSS1015" s="135"/>
      <c r="CST1015" s="135"/>
      <c r="CSU1015" s="135"/>
      <c r="CSV1015" s="135"/>
      <c r="CSW1015" s="135"/>
      <c r="CSX1015" s="135"/>
      <c r="CSY1015" s="135"/>
      <c r="CSZ1015" s="135"/>
      <c r="CTA1015" s="135"/>
      <c r="CTB1015" s="135"/>
      <c r="CTC1015" s="135"/>
      <c r="CTD1015" s="135"/>
      <c r="CTE1015" s="135"/>
      <c r="CTF1015" s="135"/>
      <c r="CTG1015" s="135"/>
      <c r="CTH1015" s="135"/>
      <c r="CTI1015" s="135"/>
      <c r="CTJ1015" s="135"/>
      <c r="CTK1015" s="135"/>
      <c r="CTL1015" s="135"/>
      <c r="CTM1015" s="135"/>
      <c r="CTN1015" s="135"/>
      <c r="CTO1015" s="135"/>
      <c r="CTP1015" s="135"/>
      <c r="CTQ1015" s="135"/>
      <c r="CTR1015" s="135"/>
      <c r="CTS1015" s="135"/>
      <c r="CTT1015" s="135"/>
      <c r="CTU1015" s="135"/>
      <c r="CTV1015" s="135"/>
      <c r="CTW1015" s="135"/>
      <c r="CTX1015" s="135"/>
      <c r="CTY1015" s="135"/>
      <c r="CTZ1015" s="135"/>
      <c r="CUA1015" s="135"/>
      <c r="CUB1015" s="135"/>
      <c r="CUC1015" s="135"/>
      <c r="CUD1015" s="135"/>
      <c r="CUE1015" s="135"/>
      <c r="CUF1015" s="135"/>
      <c r="CUG1015" s="135"/>
      <c r="CUH1015" s="135"/>
      <c r="CUI1015" s="135"/>
      <c r="CUJ1015" s="135"/>
      <c r="CUK1015" s="135"/>
      <c r="CUL1015" s="135"/>
      <c r="CUM1015" s="135"/>
      <c r="CUN1015" s="135"/>
      <c r="CUO1015" s="135"/>
      <c r="CUP1015" s="135"/>
      <c r="CUQ1015" s="135"/>
      <c r="CUR1015" s="135"/>
      <c r="CUS1015" s="135"/>
      <c r="CUT1015" s="135"/>
      <c r="CUU1015" s="135"/>
      <c r="CUV1015" s="135"/>
      <c r="CUW1015" s="135"/>
      <c r="CUX1015" s="135"/>
      <c r="CUY1015" s="135"/>
      <c r="CUZ1015" s="135"/>
      <c r="CVA1015" s="135"/>
      <c r="CVB1015" s="135"/>
      <c r="CVC1015" s="135"/>
      <c r="CVD1015" s="135"/>
      <c r="CVE1015" s="135"/>
      <c r="CVF1015" s="135"/>
      <c r="CVG1015" s="135"/>
      <c r="CVH1015" s="135"/>
      <c r="CVI1015" s="135"/>
      <c r="CVJ1015" s="135"/>
      <c r="CVK1015" s="135"/>
      <c r="CVL1015" s="135"/>
      <c r="CVM1015" s="135"/>
      <c r="CVN1015" s="135"/>
      <c r="CVO1015" s="135"/>
      <c r="CVP1015" s="135"/>
      <c r="CVQ1015" s="135"/>
      <c r="CVR1015" s="135"/>
      <c r="CVS1015" s="135"/>
      <c r="CVT1015" s="135"/>
      <c r="CVU1015" s="135"/>
      <c r="CVV1015" s="135"/>
      <c r="CVW1015" s="135"/>
      <c r="CVX1015" s="135"/>
      <c r="CVY1015" s="135"/>
      <c r="CVZ1015" s="135"/>
      <c r="CWA1015" s="135"/>
      <c r="CWB1015" s="135"/>
      <c r="CWC1015" s="135"/>
      <c r="CWD1015" s="135"/>
      <c r="CWE1015" s="135"/>
      <c r="CWF1015" s="135"/>
      <c r="CWG1015" s="135"/>
      <c r="CWH1015" s="135"/>
      <c r="CWI1015" s="135"/>
      <c r="CWJ1015" s="135"/>
      <c r="CWK1015" s="135"/>
      <c r="CWL1015" s="135"/>
      <c r="CWM1015" s="135"/>
      <c r="CWN1015" s="135"/>
      <c r="CWO1015" s="135"/>
      <c r="CWP1015" s="135"/>
      <c r="CWQ1015" s="135"/>
      <c r="CWR1015" s="135"/>
      <c r="CWS1015" s="135"/>
      <c r="CWT1015" s="135"/>
      <c r="CWU1015" s="135"/>
      <c r="CWV1015" s="135"/>
      <c r="CWW1015" s="135"/>
      <c r="CWX1015" s="135"/>
      <c r="CWY1015" s="135"/>
      <c r="CWZ1015" s="135"/>
      <c r="CXA1015" s="135"/>
      <c r="CXB1015" s="135"/>
      <c r="CXC1015" s="135"/>
      <c r="CXD1015" s="135"/>
      <c r="CXE1015" s="135"/>
      <c r="CXF1015" s="135"/>
      <c r="CXG1015" s="135"/>
      <c r="CXH1015" s="135"/>
      <c r="CXI1015" s="135"/>
      <c r="CXJ1015" s="135"/>
      <c r="CXK1015" s="135"/>
      <c r="CXL1015" s="135"/>
      <c r="CXM1015" s="135"/>
      <c r="CXN1015" s="135"/>
      <c r="CXO1015" s="135"/>
      <c r="CXP1015" s="135"/>
      <c r="CXQ1015" s="135"/>
      <c r="CXR1015" s="135"/>
      <c r="CXS1015" s="135"/>
      <c r="CXT1015" s="135"/>
      <c r="CXU1015" s="135"/>
      <c r="CXV1015" s="135"/>
      <c r="CXW1015" s="135"/>
      <c r="CXX1015" s="135"/>
      <c r="CXY1015" s="135"/>
      <c r="CXZ1015" s="135"/>
      <c r="CYA1015" s="135"/>
      <c r="CYB1015" s="135"/>
      <c r="CYC1015" s="135"/>
      <c r="CYD1015" s="135"/>
      <c r="CYE1015" s="135"/>
      <c r="CYF1015" s="135"/>
      <c r="CYG1015" s="135"/>
      <c r="CYH1015" s="135"/>
      <c r="CYI1015" s="135"/>
      <c r="CYJ1015" s="135"/>
      <c r="CYK1015" s="135"/>
      <c r="CYL1015" s="135"/>
      <c r="CYM1015" s="135"/>
      <c r="CYN1015" s="135"/>
      <c r="CYO1015" s="135"/>
      <c r="CYP1015" s="135"/>
      <c r="CYQ1015" s="135"/>
      <c r="CYR1015" s="135"/>
      <c r="CYS1015" s="135"/>
      <c r="CYT1015" s="135"/>
      <c r="CYU1015" s="135"/>
      <c r="CYV1015" s="135"/>
      <c r="CYW1015" s="135"/>
      <c r="CYX1015" s="135"/>
      <c r="CYY1015" s="135"/>
      <c r="CYZ1015" s="135"/>
      <c r="CZA1015" s="135"/>
      <c r="CZB1015" s="135"/>
      <c r="CZC1015" s="135"/>
      <c r="CZD1015" s="135"/>
      <c r="CZE1015" s="135"/>
      <c r="CZF1015" s="135"/>
      <c r="CZG1015" s="135"/>
      <c r="CZH1015" s="135"/>
      <c r="CZI1015" s="135"/>
      <c r="CZJ1015" s="135"/>
      <c r="CZK1015" s="135"/>
      <c r="CZL1015" s="135"/>
      <c r="CZM1015" s="135"/>
      <c r="CZN1015" s="135"/>
      <c r="CZO1015" s="135"/>
      <c r="CZP1015" s="135"/>
      <c r="CZQ1015" s="135"/>
      <c r="CZR1015" s="135"/>
      <c r="CZS1015" s="135"/>
      <c r="CZT1015" s="135"/>
      <c r="CZU1015" s="135"/>
      <c r="CZV1015" s="135"/>
      <c r="CZW1015" s="135"/>
      <c r="CZX1015" s="135"/>
      <c r="CZY1015" s="135"/>
      <c r="CZZ1015" s="135"/>
      <c r="DAA1015" s="135"/>
      <c r="DAB1015" s="135"/>
      <c r="DAC1015" s="135"/>
      <c r="DAD1015" s="135"/>
      <c r="DAE1015" s="135"/>
      <c r="DAF1015" s="135"/>
      <c r="DAG1015" s="135"/>
      <c r="DAH1015" s="135"/>
      <c r="DAI1015" s="135"/>
      <c r="DAJ1015" s="135"/>
      <c r="DAK1015" s="135"/>
      <c r="DAL1015" s="135"/>
      <c r="DAM1015" s="135"/>
      <c r="DAN1015" s="135"/>
      <c r="DAO1015" s="135"/>
      <c r="DAP1015" s="135"/>
      <c r="DAQ1015" s="135"/>
      <c r="DAR1015" s="135"/>
      <c r="DAS1015" s="135"/>
      <c r="DAT1015" s="135"/>
      <c r="DAU1015" s="135"/>
      <c r="DAV1015" s="135"/>
      <c r="DAW1015" s="135"/>
      <c r="DAX1015" s="135"/>
      <c r="DAY1015" s="135"/>
      <c r="DAZ1015" s="135"/>
      <c r="DBA1015" s="135"/>
      <c r="DBB1015" s="135"/>
      <c r="DBC1015" s="135"/>
      <c r="DBD1015" s="135"/>
      <c r="DBE1015" s="135"/>
      <c r="DBF1015" s="135"/>
      <c r="DBG1015" s="135"/>
      <c r="DBH1015" s="135"/>
      <c r="DBI1015" s="135"/>
      <c r="DBJ1015" s="135"/>
      <c r="DBK1015" s="135"/>
      <c r="DBL1015" s="135"/>
      <c r="DBM1015" s="135"/>
      <c r="DBN1015" s="135"/>
      <c r="DBO1015" s="135"/>
      <c r="DBP1015" s="135"/>
      <c r="DBQ1015" s="135"/>
      <c r="DBR1015" s="135"/>
      <c r="DBS1015" s="135"/>
      <c r="DBT1015" s="135"/>
      <c r="DBU1015" s="135"/>
      <c r="DBV1015" s="135"/>
      <c r="DBW1015" s="135"/>
      <c r="DBX1015" s="135"/>
      <c r="DBY1015" s="135"/>
      <c r="DBZ1015" s="135"/>
      <c r="DCA1015" s="135"/>
      <c r="DCB1015" s="135"/>
      <c r="DCC1015" s="135"/>
      <c r="DCD1015" s="135"/>
      <c r="DCE1015" s="135"/>
      <c r="DCF1015" s="135"/>
      <c r="DCG1015" s="135"/>
      <c r="DCH1015" s="135"/>
      <c r="DCI1015" s="135"/>
      <c r="DCJ1015" s="135"/>
      <c r="DCK1015" s="135"/>
      <c r="DCL1015" s="135"/>
      <c r="DCM1015" s="135"/>
      <c r="DCN1015" s="135"/>
      <c r="DCO1015" s="135"/>
      <c r="DCP1015" s="135"/>
      <c r="DCQ1015" s="135"/>
      <c r="DCR1015" s="135"/>
      <c r="DCS1015" s="135"/>
      <c r="DCT1015" s="135"/>
      <c r="DCU1015" s="135"/>
      <c r="DCV1015" s="135"/>
      <c r="DCW1015" s="135"/>
      <c r="DCX1015" s="135"/>
      <c r="DCY1015" s="135"/>
      <c r="DCZ1015" s="135"/>
      <c r="DDA1015" s="135"/>
      <c r="DDB1015" s="135"/>
      <c r="DDC1015" s="135"/>
      <c r="DDD1015" s="135"/>
      <c r="DDE1015" s="135"/>
      <c r="DDF1015" s="135"/>
      <c r="DDG1015" s="135"/>
      <c r="DDH1015" s="135"/>
      <c r="DDI1015" s="135"/>
      <c r="DDJ1015" s="135"/>
      <c r="DDK1015" s="135"/>
      <c r="DDL1015" s="135"/>
      <c r="DDM1015" s="135"/>
      <c r="DDN1015" s="135"/>
      <c r="DDO1015" s="135"/>
      <c r="DDP1015" s="135"/>
      <c r="DDQ1015" s="135"/>
      <c r="DDR1015" s="135"/>
      <c r="DDS1015" s="135"/>
      <c r="DDT1015" s="135"/>
      <c r="DDU1015" s="135"/>
      <c r="DDV1015" s="135"/>
      <c r="DDW1015" s="135"/>
      <c r="DDX1015" s="135"/>
      <c r="DDY1015" s="135"/>
      <c r="DDZ1015" s="135"/>
      <c r="DEA1015" s="135"/>
      <c r="DEB1015" s="135"/>
      <c r="DEC1015" s="135"/>
      <c r="DED1015" s="135"/>
      <c r="DEE1015" s="135"/>
      <c r="DEF1015" s="135"/>
      <c r="DEG1015" s="135"/>
      <c r="DEH1015" s="135"/>
      <c r="DEI1015" s="135"/>
      <c r="DEJ1015" s="135"/>
      <c r="DEK1015" s="135"/>
      <c r="DEL1015" s="135"/>
      <c r="DEM1015" s="135"/>
      <c r="DEN1015" s="135"/>
      <c r="DEO1015" s="135"/>
      <c r="DEP1015" s="135"/>
      <c r="DEQ1015" s="135"/>
      <c r="DER1015" s="135"/>
      <c r="DES1015" s="135"/>
      <c r="DET1015" s="135"/>
      <c r="DEU1015" s="135"/>
      <c r="DEV1015" s="135"/>
      <c r="DEW1015" s="135"/>
      <c r="DEX1015" s="135"/>
      <c r="DEY1015" s="135"/>
      <c r="DEZ1015" s="135"/>
      <c r="DFA1015" s="135"/>
      <c r="DFB1015" s="135"/>
      <c r="DFC1015" s="135"/>
      <c r="DFD1015" s="135"/>
      <c r="DFE1015" s="135"/>
      <c r="DFF1015" s="135"/>
      <c r="DFG1015" s="135"/>
      <c r="DFH1015" s="135"/>
      <c r="DFI1015" s="135"/>
      <c r="DFJ1015" s="135"/>
      <c r="DFK1015" s="135"/>
      <c r="DFL1015" s="135"/>
      <c r="DFM1015" s="135"/>
      <c r="DFN1015" s="135"/>
      <c r="DFO1015" s="135"/>
      <c r="DFP1015" s="135"/>
      <c r="DFQ1015" s="135"/>
      <c r="DFR1015" s="135"/>
      <c r="DFS1015" s="135"/>
      <c r="DFT1015" s="135"/>
      <c r="DFU1015" s="135"/>
      <c r="DFV1015" s="135"/>
      <c r="DFW1015" s="135"/>
      <c r="DFX1015" s="135"/>
      <c r="DFY1015" s="135"/>
      <c r="DFZ1015" s="135"/>
      <c r="DGA1015" s="135"/>
      <c r="DGB1015" s="135"/>
      <c r="DGC1015" s="135"/>
      <c r="DGD1015" s="135"/>
      <c r="DGE1015" s="135"/>
      <c r="DGF1015" s="135"/>
      <c r="DGG1015" s="135"/>
      <c r="DGH1015" s="135"/>
      <c r="DGI1015" s="135"/>
      <c r="DGJ1015" s="135"/>
      <c r="DGK1015" s="135"/>
      <c r="DGL1015" s="135"/>
      <c r="DGM1015" s="135"/>
      <c r="DGN1015" s="135"/>
      <c r="DGO1015" s="135"/>
      <c r="DGP1015" s="135"/>
      <c r="DGQ1015" s="135"/>
      <c r="DGR1015" s="135"/>
      <c r="DGS1015" s="135"/>
      <c r="DGT1015" s="135"/>
      <c r="DGU1015" s="135"/>
      <c r="DGV1015" s="135"/>
      <c r="DGW1015" s="135"/>
      <c r="DGX1015" s="135"/>
      <c r="DGY1015" s="135"/>
      <c r="DGZ1015" s="135"/>
      <c r="DHA1015" s="135"/>
      <c r="DHB1015" s="135"/>
      <c r="DHC1015" s="135"/>
      <c r="DHD1015" s="135"/>
      <c r="DHE1015" s="135"/>
      <c r="DHF1015" s="135"/>
      <c r="DHG1015" s="135"/>
      <c r="DHH1015" s="135"/>
      <c r="DHI1015" s="135"/>
      <c r="DHJ1015" s="135"/>
      <c r="DHK1015" s="135"/>
      <c r="DHL1015" s="135"/>
      <c r="DHM1015" s="135"/>
      <c r="DHN1015" s="135"/>
      <c r="DHO1015" s="135"/>
      <c r="DHP1015" s="135"/>
      <c r="DHQ1015" s="135"/>
      <c r="DHR1015" s="135"/>
      <c r="DHS1015" s="135"/>
      <c r="DHT1015" s="135"/>
      <c r="DHU1015" s="135"/>
      <c r="DHV1015" s="135"/>
      <c r="DHW1015" s="135"/>
      <c r="DHX1015" s="135"/>
      <c r="DHY1015" s="135"/>
      <c r="DHZ1015" s="135"/>
      <c r="DIA1015" s="135"/>
      <c r="DIB1015" s="135"/>
      <c r="DIC1015" s="135"/>
      <c r="DID1015" s="135"/>
      <c r="DIE1015" s="135"/>
      <c r="DIF1015" s="135"/>
      <c r="DIG1015" s="135"/>
      <c r="DIH1015" s="135"/>
      <c r="DII1015" s="135"/>
      <c r="DIJ1015" s="135"/>
      <c r="DIK1015" s="135"/>
      <c r="DIL1015" s="135"/>
      <c r="DIM1015" s="135"/>
      <c r="DIN1015" s="135"/>
      <c r="DIO1015" s="135"/>
      <c r="DIP1015" s="135"/>
      <c r="DIQ1015" s="135"/>
      <c r="DIR1015" s="135"/>
      <c r="DIS1015" s="135"/>
      <c r="DIT1015" s="135"/>
      <c r="DIU1015" s="135"/>
      <c r="DIV1015" s="135"/>
      <c r="DIW1015" s="135"/>
      <c r="DIX1015" s="135"/>
      <c r="DIY1015" s="135"/>
      <c r="DIZ1015" s="135"/>
      <c r="DJA1015" s="135"/>
      <c r="DJB1015" s="135"/>
      <c r="DJC1015" s="135"/>
      <c r="DJD1015" s="135"/>
      <c r="DJE1015" s="135"/>
      <c r="DJF1015" s="135"/>
      <c r="DJG1015" s="135"/>
      <c r="DJH1015" s="135"/>
      <c r="DJI1015" s="135"/>
      <c r="DJJ1015" s="135"/>
      <c r="DJK1015" s="135"/>
      <c r="DJL1015" s="135"/>
      <c r="DJM1015" s="135"/>
      <c r="DJN1015" s="135"/>
      <c r="DJO1015" s="135"/>
      <c r="DJP1015" s="135"/>
      <c r="DJQ1015" s="135"/>
      <c r="DJR1015" s="135"/>
      <c r="DJS1015" s="135"/>
      <c r="DJT1015" s="135"/>
      <c r="DJU1015" s="135"/>
      <c r="DJV1015" s="135"/>
      <c r="DJW1015" s="135"/>
      <c r="DJX1015" s="135"/>
      <c r="DJY1015" s="135"/>
      <c r="DJZ1015" s="135"/>
      <c r="DKA1015" s="135"/>
      <c r="DKB1015" s="135"/>
      <c r="DKC1015" s="135"/>
      <c r="DKD1015" s="135"/>
      <c r="DKE1015" s="135"/>
      <c r="DKF1015" s="135"/>
      <c r="DKG1015" s="135"/>
      <c r="DKH1015" s="135"/>
      <c r="DKI1015" s="135"/>
      <c r="DKJ1015" s="135"/>
      <c r="DKK1015" s="135"/>
      <c r="DKL1015" s="135"/>
      <c r="DKM1015" s="135"/>
      <c r="DKN1015" s="135"/>
      <c r="DKO1015" s="135"/>
      <c r="DKP1015" s="135"/>
      <c r="DKQ1015" s="135"/>
      <c r="DKR1015" s="135"/>
      <c r="DKS1015" s="135"/>
      <c r="DKT1015" s="135"/>
      <c r="DKU1015" s="135"/>
      <c r="DKV1015" s="135"/>
      <c r="DKW1015" s="135"/>
      <c r="DKX1015" s="135"/>
      <c r="DKY1015" s="135"/>
      <c r="DKZ1015" s="135"/>
      <c r="DLA1015" s="135"/>
      <c r="DLB1015" s="135"/>
      <c r="DLC1015" s="135"/>
      <c r="DLD1015" s="135"/>
      <c r="DLE1015" s="135"/>
      <c r="DLF1015" s="135"/>
      <c r="DLG1015" s="135"/>
      <c r="DLH1015" s="135"/>
      <c r="DLI1015" s="135"/>
      <c r="DLJ1015" s="135"/>
      <c r="DLK1015" s="135"/>
      <c r="DLL1015" s="135"/>
      <c r="DLM1015" s="135"/>
      <c r="DLN1015" s="135"/>
      <c r="DLO1015" s="135"/>
      <c r="DLP1015" s="135"/>
      <c r="DLQ1015" s="135"/>
      <c r="DLR1015" s="135"/>
      <c r="DLS1015" s="135"/>
      <c r="DLT1015" s="135"/>
      <c r="DLU1015" s="135"/>
      <c r="DLV1015" s="135"/>
      <c r="DLW1015" s="135"/>
      <c r="DLX1015" s="135"/>
      <c r="DLY1015" s="135"/>
      <c r="DLZ1015" s="135"/>
      <c r="DMA1015" s="135"/>
      <c r="DMB1015" s="135"/>
      <c r="DMC1015" s="135"/>
      <c r="DMD1015" s="135"/>
      <c r="DME1015" s="135"/>
      <c r="DMF1015" s="135"/>
      <c r="DMG1015" s="135"/>
      <c r="DMH1015" s="135"/>
      <c r="DMI1015" s="135"/>
      <c r="DMJ1015" s="135"/>
      <c r="DMK1015" s="135"/>
      <c r="DML1015" s="135"/>
      <c r="DMM1015" s="135"/>
      <c r="DMN1015" s="135"/>
      <c r="DMO1015" s="135"/>
      <c r="DMP1015" s="135"/>
      <c r="DMQ1015" s="135"/>
      <c r="DMR1015" s="135"/>
      <c r="DMS1015" s="135"/>
      <c r="DMT1015" s="135"/>
      <c r="DMU1015" s="135"/>
      <c r="DMV1015" s="135"/>
      <c r="DMW1015" s="135"/>
      <c r="DMX1015" s="135"/>
      <c r="DMY1015" s="135"/>
      <c r="DMZ1015" s="135"/>
      <c r="DNA1015" s="135"/>
      <c r="DNB1015" s="135"/>
      <c r="DNC1015" s="135"/>
      <c r="DND1015" s="135"/>
      <c r="DNE1015" s="135"/>
      <c r="DNF1015" s="135"/>
      <c r="DNG1015" s="135"/>
      <c r="DNH1015" s="135"/>
      <c r="DNI1015" s="135"/>
      <c r="DNJ1015" s="135"/>
      <c r="DNK1015" s="135"/>
      <c r="DNL1015" s="135"/>
      <c r="DNM1015" s="135"/>
      <c r="DNN1015" s="135"/>
      <c r="DNO1015" s="135"/>
      <c r="DNP1015" s="135"/>
      <c r="DNQ1015" s="135"/>
      <c r="DNR1015" s="135"/>
      <c r="DNS1015" s="135"/>
      <c r="DNT1015" s="135"/>
      <c r="DNU1015" s="135"/>
      <c r="DNV1015" s="135"/>
      <c r="DNW1015" s="135"/>
      <c r="DNX1015" s="135"/>
      <c r="DNY1015" s="135"/>
      <c r="DNZ1015" s="135"/>
      <c r="DOA1015" s="135"/>
      <c r="DOB1015" s="135"/>
      <c r="DOC1015" s="135"/>
      <c r="DOD1015" s="135"/>
      <c r="DOE1015" s="135"/>
      <c r="DOF1015" s="135"/>
      <c r="DOG1015" s="135"/>
      <c r="DOH1015" s="135"/>
      <c r="DOI1015" s="135"/>
      <c r="DOJ1015" s="135"/>
      <c r="DOK1015" s="135"/>
      <c r="DOL1015" s="135"/>
      <c r="DOM1015" s="135"/>
      <c r="DON1015" s="135"/>
      <c r="DOO1015" s="135"/>
      <c r="DOP1015" s="135"/>
      <c r="DOQ1015" s="135"/>
      <c r="DOR1015" s="135"/>
      <c r="DOS1015" s="135"/>
      <c r="DOT1015" s="135"/>
      <c r="DOU1015" s="135"/>
      <c r="DOV1015" s="135"/>
      <c r="DOW1015" s="135"/>
      <c r="DOX1015" s="135"/>
      <c r="DOY1015" s="135"/>
      <c r="DOZ1015" s="135"/>
      <c r="DPA1015" s="135"/>
      <c r="DPB1015" s="135"/>
      <c r="DPC1015" s="135"/>
      <c r="DPD1015" s="135"/>
      <c r="DPE1015" s="135"/>
      <c r="DPF1015" s="135"/>
      <c r="DPG1015" s="135"/>
      <c r="DPH1015" s="135"/>
      <c r="DPI1015" s="135"/>
      <c r="DPJ1015" s="135"/>
      <c r="DPK1015" s="135"/>
      <c r="DPL1015" s="135"/>
      <c r="DPM1015" s="135"/>
      <c r="DPN1015" s="135"/>
      <c r="DPO1015" s="135"/>
      <c r="DPP1015" s="135"/>
      <c r="DPQ1015" s="135"/>
      <c r="DPR1015" s="135"/>
      <c r="DPS1015" s="135"/>
      <c r="DPT1015" s="135"/>
      <c r="DPU1015" s="135"/>
      <c r="DPV1015" s="135"/>
      <c r="DPW1015" s="135"/>
      <c r="DPX1015" s="135"/>
      <c r="DPY1015" s="135"/>
      <c r="DPZ1015" s="135"/>
      <c r="DQA1015" s="135"/>
      <c r="DQB1015" s="135"/>
      <c r="DQC1015" s="135"/>
      <c r="DQD1015" s="135"/>
      <c r="DQE1015" s="135"/>
      <c r="DQF1015" s="135"/>
      <c r="DQG1015" s="135"/>
      <c r="DQH1015" s="135"/>
      <c r="DQI1015" s="135"/>
      <c r="DQJ1015" s="135"/>
      <c r="DQK1015" s="135"/>
      <c r="DQL1015" s="135"/>
      <c r="DQM1015" s="135"/>
      <c r="DQN1015" s="135"/>
      <c r="DQO1015" s="135"/>
      <c r="DQP1015" s="135"/>
      <c r="DQQ1015" s="135"/>
      <c r="DQR1015" s="135"/>
      <c r="DQS1015" s="135"/>
      <c r="DQT1015" s="135"/>
      <c r="DQU1015" s="135"/>
      <c r="DQV1015" s="135"/>
      <c r="DQW1015" s="135"/>
      <c r="DQX1015" s="135"/>
      <c r="DQY1015" s="135"/>
      <c r="DQZ1015" s="135"/>
      <c r="DRA1015" s="135"/>
      <c r="DRB1015" s="135"/>
      <c r="DRC1015" s="135"/>
      <c r="DRD1015" s="135"/>
      <c r="DRE1015" s="135"/>
      <c r="DRF1015" s="135"/>
      <c r="DRG1015" s="135"/>
      <c r="DRH1015" s="135"/>
      <c r="DRI1015" s="135"/>
      <c r="DRJ1015" s="135"/>
      <c r="DRK1015" s="135"/>
      <c r="DRL1015" s="135"/>
      <c r="DRM1015" s="135"/>
      <c r="DRN1015" s="135"/>
      <c r="DRO1015" s="135"/>
      <c r="DRP1015" s="135"/>
      <c r="DRQ1015" s="135"/>
      <c r="DRR1015" s="135"/>
      <c r="DRS1015" s="135"/>
      <c r="DRT1015" s="135"/>
      <c r="DRU1015" s="135"/>
      <c r="DRV1015" s="135"/>
      <c r="DRW1015" s="135"/>
      <c r="DRX1015" s="135"/>
      <c r="DRY1015" s="135"/>
      <c r="DRZ1015" s="135"/>
      <c r="DSA1015" s="135"/>
      <c r="DSB1015" s="135"/>
      <c r="DSC1015" s="135"/>
      <c r="DSD1015" s="135"/>
      <c r="DSE1015" s="135"/>
      <c r="DSF1015" s="135"/>
      <c r="DSG1015" s="135"/>
      <c r="DSH1015" s="135"/>
      <c r="DSI1015" s="135"/>
      <c r="DSJ1015" s="135"/>
      <c r="DSK1015" s="135"/>
      <c r="DSL1015" s="135"/>
      <c r="DSM1015" s="135"/>
      <c r="DSN1015" s="135"/>
      <c r="DSO1015" s="135"/>
      <c r="DSP1015" s="135"/>
      <c r="DSQ1015" s="135"/>
      <c r="DSR1015" s="135"/>
      <c r="DSS1015" s="135"/>
      <c r="DST1015" s="135"/>
      <c r="DSU1015" s="135"/>
      <c r="DSV1015" s="135"/>
      <c r="DSW1015" s="135"/>
      <c r="DSX1015" s="135"/>
      <c r="DSY1015" s="135"/>
      <c r="DSZ1015" s="135"/>
      <c r="DTA1015" s="135"/>
      <c r="DTB1015" s="135"/>
      <c r="DTC1015" s="135"/>
      <c r="DTD1015" s="135"/>
      <c r="DTE1015" s="135"/>
      <c r="DTF1015" s="135"/>
      <c r="DTG1015" s="135"/>
      <c r="DTH1015" s="135"/>
      <c r="DTI1015" s="135"/>
      <c r="DTJ1015" s="135"/>
      <c r="DTK1015" s="135"/>
      <c r="DTL1015" s="135"/>
      <c r="DTM1015" s="135"/>
      <c r="DTN1015" s="135"/>
      <c r="DTO1015" s="135"/>
      <c r="DTP1015" s="135"/>
      <c r="DTQ1015" s="135"/>
      <c r="DTR1015" s="135"/>
      <c r="DTS1015" s="135"/>
      <c r="DTT1015" s="135"/>
      <c r="DTU1015" s="135"/>
      <c r="DTV1015" s="135"/>
      <c r="DTW1015" s="135"/>
      <c r="DTX1015" s="135"/>
      <c r="DTY1015" s="135"/>
      <c r="DTZ1015" s="135"/>
      <c r="DUA1015" s="135"/>
      <c r="DUB1015" s="135"/>
      <c r="DUC1015" s="135"/>
      <c r="DUD1015" s="135"/>
      <c r="DUE1015" s="135"/>
      <c r="DUF1015" s="135"/>
      <c r="DUG1015" s="135"/>
      <c r="DUH1015" s="135"/>
      <c r="DUI1015" s="135"/>
      <c r="DUJ1015" s="135"/>
      <c r="DUK1015" s="135"/>
      <c r="DUL1015" s="135"/>
      <c r="DUM1015" s="135"/>
      <c r="DUN1015" s="135"/>
      <c r="DUO1015" s="135"/>
      <c r="DUP1015" s="135"/>
      <c r="DUQ1015" s="135"/>
      <c r="DUR1015" s="135"/>
      <c r="DUS1015" s="135"/>
      <c r="DUT1015" s="135"/>
      <c r="DUU1015" s="135"/>
      <c r="DUV1015" s="135"/>
      <c r="DUW1015" s="135"/>
      <c r="DUX1015" s="135"/>
      <c r="DUY1015" s="135"/>
      <c r="DUZ1015" s="135"/>
      <c r="DVA1015" s="135"/>
      <c r="DVB1015" s="135"/>
      <c r="DVC1015" s="135"/>
      <c r="DVD1015" s="135"/>
      <c r="DVE1015" s="135"/>
      <c r="DVF1015" s="135"/>
      <c r="DVG1015" s="135"/>
      <c r="DVH1015" s="135"/>
      <c r="DVI1015" s="135"/>
      <c r="DVJ1015" s="135"/>
      <c r="DVK1015" s="135"/>
      <c r="DVL1015" s="135"/>
      <c r="DVM1015" s="135"/>
      <c r="DVN1015" s="135"/>
      <c r="DVO1015" s="135"/>
      <c r="DVP1015" s="135"/>
      <c r="DVQ1015" s="135"/>
      <c r="DVR1015" s="135"/>
      <c r="DVS1015" s="135"/>
      <c r="DVT1015" s="135"/>
      <c r="DVU1015" s="135"/>
      <c r="DVV1015" s="135"/>
      <c r="DVW1015" s="135"/>
      <c r="DVX1015" s="135"/>
      <c r="DVY1015" s="135"/>
      <c r="DVZ1015" s="135"/>
      <c r="DWA1015" s="135"/>
      <c r="DWB1015" s="135"/>
      <c r="DWC1015" s="135"/>
      <c r="DWD1015" s="135"/>
      <c r="DWE1015" s="135"/>
      <c r="DWF1015" s="135"/>
      <c r="DWG1015" s="135"/>
      <c r="DWH1015" s="135"/>
      <c r="DWI1015" s="135"/>
      <c r="DWJ1015" s="135"/>
      <c r="DWK1015" s="135"/>
      <c r="DWL1015" s="135"/>
      <c r="DWM1015" s="135"/>
      <c r="DWN1015" s="135"/>
      <c r="DWO1015" s="135"/>
      <c r="DWP1015" s="135"/>
      <c r="DWQ1015" s="135"/>
      <c r="DWR1015" s="135"/>
      <c r="DWS1015" s="135"/>
      <c r="DWT1015" s="135"/>
      <c r="DWU1015" s="135"/>
      <c r="DWV1015" s="135"/>
      <c r="DWW1015" s="135"/>
      <c r="DWX1015" s="135"/>
      <c r="DWY1015" s="135"/>
      <c r="DWZ1015" s="135"/>
      <c r="DXA1015" s="135"/>
      <c r="DXB1015" s="135"/>
      <c r="DXC1015" s="135"/>
      <c r="DXD1015" s="135"/>
      <c r="DXE1015" s="135"/>
      <c r="DXF1015" s="135"/>
      <c r="DXG1015" s="135"/>
      <c r="DXH1015" s="135"/>
      <c r="DXI1015" s="135"/>
      <c r="DXJ1015" s="135"/>
      <c r="DXK1015" s="135"/>
      <c r="DXL1015" s="135"/>
      <c r="DXM1015" s="135"/>
      <c r="DXN1015" s="135"/>
      <c r="DXO1015" s="135"/>
      <c r="DXP1015" s="135"/>
      <c r="DXQ1015" s="135"/>
      <c r="DXR1015" s="135"/>
      <c r="DXS1015" s="135"/>
      <c r="DXT1015" s="135"/>
      <c r="DXU1015" s="135"/>
      <c r="DXV1015" s="135"/>
      <c r="DXW1015" s="135"/>
      <c r="DXX1015" s="135"/>
      <c r="DXY1015" s="135"/>
      <c r="DXZ1015" s="135"/>
      <c r="DYA1015" s="135"/>
      <c r="DYB1015" s="135"/>
      <c r="DYC1015" s="135"/>
      <c r="DYD1015" s="135"/>
      <c r="DYE1015" s="135"/>
      <c r="DYF1015" s="135"/>
      <c r="DYG1015" s="135"/>
      <c r="DYH1015" s="135"/>
      <c r="DYI1015" s="135"/>
      <c r="DYJ1015" s="135"/>
      <c r="DYK1015" s="135"/>
      <c r="DYL1015" s="135"/>
      <c r="DYM1015" s="135"/>
      <c r="DYN1015" s="135"/>
      <c r="DYO1015" s="135"/>
      <c r="DYP1015" s="135"/>
      <c r="DYQ1015" s="135"/>
      <c r="DYR1015" s="135"/>
      <c r="DYS1015" s="135"/>
      <c r="DYT1015" s="135"/>
      <c r="DYU1015" s="135"/>
      <c r="DYV1015" s="135"/>
      <c r="DYW1015" s="135"/>
      <c r="DYX1015" s="135"/>
      <c r="DYY1015" s="135"/>
      <c r="DYZ1015" s="135"/>
      <c r="DZA1015" s="135"/>
      <c r="DZB1015" s="135"/>
      <c r="DZC1015" s="135"/>
      <c r="DZD1015" s="135"/>
      <c r="DZE1015" s="135"/>
      <c r="DZF1015" s="135"/>
      <c r="DZG1015" s="135"/>
      <c r="DZH1015" s="135"/>
      <c r="DZI1015" s="135"/>
      <c r="DZJ1015" s="135"/>
      <c r="DZK1015" s="135"/>
      <c r="DZL1015" s="135"/>
      <c r="DZM1015" s="135"/>
      <c r="DZN1015" s="135"/>
      <c r="DZO1015" s="135"/>
      <c r="DZP1015" s="135"/>
      <c r="DZQ1015" s="135"/>
      <c r="DZR1015" s="135"/>
      <c r="DZS1015" s="135"/>
      <c r="DZT1015" s="135"/>
      <c r="DZU1015" s="135"/>
      <c r="DZV1015" s="135"/>
      <c r="DZW1015" s="135"/>
      <c r="DZX1015" s="135"/>
      <c r="DZY1015" s="135"/>
      <c r="DZZ1015" s="135"/>
      <c r="EAA1015" s="135"/>
      <c r="EAB1015" s="135"/>
      <c r="EAC1015" s="135"/>
      <c r="EAD1015" s="135"/>
      <c r="EAE1015" s="135"/>
      <c r="EAF1015" s="135"/>
      <c r="EAG1015" s="135"/>
      <c r="EAH1015" s="135"/>
      <c r="EAI1015" s="135"/>
      <c r="EAJ1015" s="135"/>
      <c r="EAK1015" s="135"/>
      <c r="EAL1015" s="135"/>
      <c r="EAM1015" s="135"/>
      <c r="EAN1015" s="135"/>
      <c r="EAO1015" s="135"/>
      <c r="EAP1015" s="135"/>
      <c r="EAQ1015" s="135"/>
      <c r="EAR1015" s="135"/>
      <c r="EAS1015" s="135"/>
      <c r="EAT1015" s="135"/>
      <c r="EAU1015" s="135"/>
      <c r="EAV1015" s="135"/>
      <c r="EAW1015" s="135"/>
      <c r="EAX1015" s="135"/>
      <c r="EAY1015" s="135"/>
      <c r="EAZ1015" s="135"/>
      <c r="EBA1015" s="135"/>
      <c r="EBB1015" s="135"/>
      <c r="EBC1015" s="135"/>
      <c r="EBD1015" s="135"/>
      <c r="EBE1015" s="135"/>
      <c r="EBF1015" s="135"/>
      <c r="EBG1015" s="135"/>
      <c r="EBH1015" s="135"/>
      <c r="EBI1015" s="135"/>
      <c r="EBJ1015" s="135"/>
      <c r="EBK1015" s="135"/>
      <c r="EBL1015" s="135"/>
      <c r="EBM1015" s="135"/>
      <c r="EBN1015" s="135"/>
      <c r="EBO1015" s="135"/>
      <c r="EBP1015" s="135"/>
      <c r="EBQ1015" s="135"/>
      <c r="EBR1015" s="135"/>
      <c r="EBS1015" s="135"/>
      <c r="EBT1015" s="135"/>
      <c r="EBU1015" s="135"/>
      <c r="EBV1015" s="135"/>
      <c r="EBW1015" s="135"/>
      <c r="EBX1015" s="135"/>
      <c r="EBY1015" s="135"/>
      <c r="EBZ1015" s="135"/>
      <c r="ECA1015" s="135"/>
      <c r="ECB1015" s="135"/>
      <c r="ECC1015" s="135"/>
      <c r="ECD1015" s="135"/>
      <c r="ECE1015" s="135"/>
      <c r="ECF1015" s="135"/>
      <c r="ECG1015" s="135"/>
      <c r="ECH1015" s="135"/>
      <c r="ECI1015" s="135"/>
      <c r="ECJ1015" s="135"/>
      <c r="ECK1015" s="135"/>
      <c r="ECL1015" s="135"/>
      <c r="ECM1015" s="135"/>
      <c r="ECN1015" s="135"/>
      <c r="ECO1015" s="135"/>
      <c r="ECP1015" s="135"/>
      <c r="ECQ1015" s="135"/>
      <c r="ECR1015" s="135"/>
      <c r="ECS1015" s="135"/>
      <c r="ECT1015" s="135"/>
      <c r="ECU1015" s="135"/>
      <c r="ECV1015" s="135"/>
      <c r="ECW1015" s="135"/>
      <c r="ECX1015" s="135"/>
      <c r="ECY1015" s="135"/>
      <c r="ECZ1015" s="135"/>
      <c r="EDA1015" s="135"/>
      <c r="EDB1015" s="135"/>
      <c r="EDC1015" s="135"/>
      <c r="EDD1015" s="135"/>
      <c r="EDE1015" s="135"/>
      <c r="EDF1015" s="135"/>
      <c r="EDG1015" s="135"/>
      <c r="EDH1015" s="135"/>
      <c r="EDI1015" s="135"/>
      <c r="EDJ1015" s="135"/>
      <c r="EDK1015" s="135"/>
      <c r="EDL1015" s="135"/>
      <c r="EDM1015" s="135"/>
      <c r="EDN1015" s="135"/>
      <c r="EDO1015" s="135"/>
      <c r="EDP1015" s="135"/>
      <c r="EDQ1015" s="135"/>
      <c r="EDR1015" s="135"/>
      <c r="EDS1015" s="135"/>
      <c r="EDT1015" s="135"/>
      <c r="EDU1015" s="135"/>
      <c r="EDV1015" s="135"/>
      <c r="EDW1015" s="135"/>
      <c r="EDX1015" s="135"/>
      <c r="EDY1015" s="135"/>
      <c r="EDZ1015" s="135"/>
      <c r="EEA1015" s="135"/>
      <c r="EEB1015" s="135"/>
      <c r="EEC1015" s="135"/>
      <c r="EED1015" s="135"/>
      <c r="EEE1015" s="135"/>
      <c r="EEF1015" s="135"/>
      <c r="EEG1015" s="135"/>
      <c r="EEH1015" s="135"/>
      <c r="EEI1015" s="135"/>
      <c r="EEJ1015" s="135"/>
      <c r="EEK1015" s="135"/>
      <c r="EEL1015" s="135"/>
      <c r="EEM1015" s="135"/>
      <c r="EEN1015" s="135"/>
      <c r="EEO1015" s="135"/>
      <c r="EEP1015" s="135"/>
      <c r="EEQ1015" s="135"/>
      <c r="EER1015" s="135"/>
      <c r="EES1015" s="135"/>
      <c r="EET1015" s="135"/>
      <c r="EEU1015" s="135"/>
      <c r="EEV1015" s="135"/>
      <c r="EEW1015" s="135"/>
      <c r="EEX1015" s="135"/>
      <c r="EEY1015" s="135"/>
      <c r="EEZ1015" s="135"/>
      <c r="EFA1015" s="135"/>
      <c r="EFB1015" s="135"/>
      <c r="EFC1015" s="135"/>
      <c r="EFD1015" s="135"/>
      <c r="EFE1015" s="135"/>
      <c r="EFF1015" s="135"/>
      <c r="EFG1015" s="135"/>
      <c r="EFH1015" s="135"/>
      <c r="EFI1015" s="135"/>
      <c r="EFJ1015" s="135"/>
      <c r="EFK1015" s="135"/>
      <c r="EFL1015" s="135"/>
      <c r="EFM1015" s="135"/>
      <c r="EFN1015" s="135"/>
      <c r="EFO1015" s="135"/>
      <c r="EFP1015" s="135"/>
      <c r="EFQ1015" s="135"/>
      <c r="EFR1015" s="135"/>
      <c r="EFS1015" s="135"/>
      <c r="EFT1015" s="135"/>
      <c r="EFU1015" s="135"/>
      <c r="EFV1015" s="135"/>
      <c r="EFW1015" s="135"/>
      <c r="EFX1015" s="135"/>
      <c r="EFY1015" s="135"/>
      <c r="EFZ1015" s="135"/>
      <c r="EGA1015" s="135"/>
      <c r="EGB1015" s="135"/>
      <c r="EGC1015" s="135"/>
      <c r="EGD1015" s="135"/>
      <c r="EGE1015" s="135"/>
      <c r="EGF1015" s="135"/>
      <c r="EGG1015" s="135"/>
      <c r="EGH1015" s="135"/>
      <c r="EGI1015" s="135"/>
      <c r="EGJ1015" s="135"/>
      <c r="EGK1015" s="135"/>
      <c r="EGL1015" s="135"/>
      <c r="EGM1015" s="135"/>
      <c r="EGN1015" s="135"/>
      <c r="EGO1015" s="135"/>
      <c r="EGP1015" s="135"/>
      <c r="EGQ1015" s="135"/>
      <c r="EGR1015" s="135"/>
      <c r="EGS1015" s="135"/>
      <c r="EGT1015" s="135"/>
      <c r="EGU1015" s="135"/>
      <c r="EGV1015" s="135"/>
      <c r="EGW1015" s="135"/>
      <c r="EGX1015" s="135"/>
      <c r="EGY1015" s="135"/>
      <c r="EGZ1015" s="135"/>
      <c r="EHA1015" s="135"/>
      <c r="EHB1015" s="135"/>
      <c r="EHC1015" s="135"/>
      <c r="EHD1015" s="135"/>
      <c r="EHE1015" s="135"/>
      <c r="EHF1015" s="135"/>
      <c r="EHG1015" s="135"/>
      <c r="EHH1015" s="135"/>
      <c r="EHI1015" s="135"/>
      <c r="EHJ1015" s="135"/>
      <c r="EHK1015" s="135"/>
      <c r="EHL1015" s="135"/>
      <c r="EHM1015" s="135"/>
      <c r="EHN1015" s="135"/>
      <c r="EHO1015" s="135"/>
      <c r="EHP1015" s="135"/>
      <c r="EHQ1015" s="135"/>
      <c r="EHR1015" s="135"/>
      <c r="EHS1015" s="135"/>
      <c r="EHT1015" s="135"/>
      <c r="EHU1015" s="135"/>
      <c r="EHV1015" s="135"/>
      <c r="EHW1015" s="135"/>
      <c r="EHX1015" s="135"/>
      <c r="EHY1015" s="135"/>
      <c r="EHZ1015" s="135"/>
      <c r="EIA1015" s="135"/>
      <c r="EIB1015" s="135"/>
      <c r="EIC1015" s="135"/>
      <c r="EID1015" s="135"/>
      <c r="EIE1015" s="135"/>
      <c r="EIF1015" s="135"/>
      <c r="EIG1015" s="135"/>
      <c r="EIH1015" s="135"/>
      <c r="EII1015" s="135"/>
      <c r="EIJ1015" s="135"/>
      <c r="EIK1015" s="135"/>
      <c r="EIL1015" s="135"/>
      <c r="EIM1015" s="135"/>
      <c r="EIN1015" s="135"/>
      <c r="EIO1015" s="135"/>
      <c r="EIP1015" s="135"/>
      <c r="EIQ1015" s="135"/>
      <c r="EIR1015" s="135"/>
      <c r="EIS1015" s="135"/>
      <c r="EIT1015" s="135"/>
      <c r="EIU1015" s="135"/>
      <c r="EIV1015" s="135"/>
      <c r="EIW1015" s="135"/>
      <c r="EIX1015" s="135"/>
      <c r="EIY1015" s="135"/>
      <c r="EIZ1015" s="135"/>
      <c r="EJA1015" s="135"/>
      <c r="EJB1015" s="135"/>
      <c r="EJC1015" s="135"/>
      <c r="EJD1015" s="135"/>
      <c r="EJE1015" s="135"/>
      <c r="EJF1015" s="135"/>
      <c r="EJG1015" s="135"/>
      <c r="EJH1015" s="135"/>
      <c r="EJI1015" s="135"/>
      <c r="EJJ1015" s="135"/>
      <c r="EJK1015" s="135"/>
      <c r="EJL1015" s="135"/>
      <c r="EJM1015" s="135"/>
      <c r="EJN1015" s="135"/>
      <c r="EJO1015" s="135"/>
      <c r="EJP1015" s="135"/>
      <c r="EJQ1015" s="135"/>
      <c r="EJR1015" s="135"/>
      <c r="EJS1015" s="135"/>
      <c r="EJT1015" s="135"/>
      <c r="EJU1015" s="135"/>
      <c r="EJV1015" s="135"/>
      <c r="EJW1015" s="135"/>
      <c r="EJX1015" s="135"/>
      <c r="EJY1015" s="135"/>
      <c r="EJZ1015" s="135"/>
      <c r="EKA1015" s="135"/>
      <c r="EKB1015" s="135"/>
      <c r="EKC1015" s="135"/>
      <c r="EKD1015" s="135"/>
      <c r="EKE1015" s="135"/>
      <c r="EKF1015" s="135"/>
      <c r="EKG1015" s="135"/>
      <c r="EKH1015" s="135"/>
      <c r="EKI1015" s="135"/>
      <c r="EKJ1015" s="135"/>
      <c r="EKK1015" s="135"/>
      <c r="EKL1015" s="135"/>
      <c r="EKM1015" s="135"/>
      <c r="EKN1015" s="135"/>
      <c r="EKO1015" s="135"/>
      <c r="EKP1015" s="135"/>
      <c r="EKQ1015" s="135"/>
      <c r="EKR1015" s="135"/>
      <c r="EKS1015" s="135"/>
      <c r="EKT1015" s="135"/>
      <c r="EKU1015" s="135"/>
      <c r="EKV1015" s="135"/>
      <c r="EKW1015" s="135"/>
      <c r="EKX1015" s="135"/>
      <c r="EKY1015" s="135"/>
      <c r="EKZ1015" s="135"/>
      <c r="ELA1015" s="135"/>
      <c r="ELB1015" s="135"/>
      <c r="ELC1015" s="135"/>
      <c r="ELD1015" s="135"/>
      <c r="ELE1015" s="135"/>
      <c r="ELF1015" s="135"/>
      <c r="ELG1015" s="135"/>
      <c r="ELH1015" s="135"/>
      <c r="ELI1015" s="135"/>
      <c r="ELJ1015" s="135"/>
      <c r="ELK1015" s="135"/>
      <c r="ELL1015" s="135"/>
      <c r="ELM1015" s="135"/>
      <c r="ELN1015" s="135"/>
      <c r="ELO1015" s="135"/>
      <c r="ELP1015" s="135"/>
      <c r="ELQ1015" s="135"/>
      <c r="ELR1015" s="135"/>
      <c r="ELS1015" s="135"/>
      <c r="ELT1015" s="135"/>
      <c r="ELU1015" s="135"/>
      <c r="ELV1015" s="135"/>
      <c r="ELW1015" s="135"/>
      <c r="ELX1015" s="135"/>
      <c r="ELY1015" s="135"/>
      <c r="ELZ1015" s="135"/>
      <c r="EMA1015" s="135"/>
      <c r="EMB1015" s="135"/>
      <c r="EMC1015" s="135"/>
      <c r="EMD1015" s="135"/>
      <c r="EME1015" s="135"/>
      <c r="EMF1015" s="135"/>
      <c r="EMG1015" s="135"/>
      <c r="EMH1015" s="135"/>
      <c r="EMI1015" s="135"/>
      <c r="EMJ1015" s="135"/>
      <c r="EMK1015" s="135"/>
      <c r="EML1015" s="135"/>
      <c r="EMM1015" s="135"/>
      <c r="EMN1015" s="135"/>
      <c r="EMO1015" s="135"/>
      <c r="EMP1015" s="135"/>
      <c r="EMQ1015" s="135"/>
      <c r="EMR1015" s="135"/>
      <c r="EMS1015" s="135"/>
      <c r="EMT1015" s="135"/>
      <c r="EMU1015" s="135"/>
      <c r="EMV1015" s="135"/>
      <c r="EMW1015" s="135"/>
      <c r="EMX1015" s="135"/>
      <c r="EMY1015" s="135"/>
      <c r="EMZ1015" s="135"/>
      <c r="ENA1015" s="135"/>
      <c r="ENB1015" s="135"/>
      <c r="ENC1015" s="135"/>
      <c r="END1015" s="135"/>
      <c r="ENE1015" s="135"/>
      <c r="ENF1015" s="135"/>
      <c r="ENG1015" s="135"/>
      <c r="ENH1015" s="135"/>
      <c r="ENI1015" s="135"/>
      <c r="ENJ1015" s="135"/>
      <c r="ENK1015" s="135"/>
      <c r="ENL1015" s="135"/>
      <c r="ENM1015" s="135"/>
      <c r="ENN1015" s="135"/>
      <c r="ENO1015" s="135"/>
      <c r="ENP1015" s="135"/>
      <c r="ENQ1015" s="135"/>
      <c r="ENR1015" s="135"/>
      <c r="ENS1015" s="135"/>
      <c r="ENT1015" s="135"/>
      <c r="ENU1015" s="135"/>
      <c r="ENV1015" s="135"/>
      <c r="ENW1015" s="135"/>
      <c r="ENX1015" s="135"/>
      <c r="ENY1015" s="135"/>
      <c r="ENZ1015" s="135"/>
      <c r="EOA1015" s="135"/>
      <c r="EOB1015" s="135"/>
      <c r="EOC1015" s="135"/>
      <c r="EOD1015" s="135"/>
      <c r="EOE1015" s="135"/>
      <c r="EOF1015" s="135"/>
      <c r="EOG1015" s="135"/>
      <c r="EOH1015" s="135"/>
      <c r="EOI1015" s="135"/>
      <c r="EOJ1015" s="135"/>
      <c r="EOK1015" s="135"/>
      <c r="EOL1015" s="135"/>
      <c r="EOM1015" s="135"/>
      <c r="EON1015" s="135"/>
      <c r="EOO1015" s="135"/>
      <c r="EOP1015" s="135"/>
      <c r="EOQ1015" s="135"/>
      <c r="EOR1015" s="135"/>
      <c r="EOS1015" s="135"/>
      <c r="EOT1015" s="135"/>
      <c r="EOU1015" s="135"/>
      <c r="EOV1015" s="135"/>
      <c r="EOW1015" s="135"/>
      <c r="EOX1015" s="135"/>
      <c r="EOY1015" s="135"/>
      <c r="EOZ1015" s="135"/>
      <c r="EPA1015" s="135"/>
      <c r="EPB1015" s="135"/>
      <c r="EPC1015" s="135"/>
      <c r="EPD1015" s="135"/>
      <c r="EPE1015" s="135"/>
      <c r="EPF1015" s="135"/>
      <c r="EPG1015" s="135"/>
      <c r="EPH1015" s="135"/>
      <c r="EPI1015" s="135"/>
      <c r="EPJ1015" s="135"/>
      <c r="EPK1015" s="135"/>
      <c r="EPL1015" s="135"/>
      <c r="EPM1015" s="135"/>
      <c r="EPN1015" s="135"/>
      <c r="EPO1015" s="135"/>
      <c r="EPP1015" s="135"/>
      <c r="EPQ1015" s="135"/>
      <c r="EPR1015" s="135"/>
      <c r="EPS1015" s="135"/>
      <c r="EPT1015" s="135"/>
      <c r="EPU1015" s="135"/>
      <c r="EPV1015" s="135"/>
      <c r="EPW1015" s="135"/>
      <c r="EPX1015" s="135"/>
      <c r="EPY1015" s="135"/>
      <c r="EPZ1015" s="135"/>
      <c r="EQA1015" s="135"/>
      <c r="EQB1015" s="135"/>
      <c r="EQC1015" s="135"/>
      <c r="EQD1015" s="135"/>
      <c r="EQE1015" s="135"/>
      <c r="EQF1015" s="135"/>
      <c r="EQG1015" s="135"/>
      <c r="EQH1015" s="135"/>
      <c r="EQI1015" s="135"/>
      <c r="EQJ1015" s="135"/>
      <c r="EQK1015" s="135"/>
      <c r="EQL1015" s="135"/>
      <c r="EQM1015" s="135"/>
      <c r="EQN1015" s="135"/>
      <c r="EQO1015" s="135"/>
      <c r="EQP1015" s="135"/>
      <c r="EQQ1015" s="135"/>
      <c r="EQR1015" s="135"/>
      <c r="EQS1015" s="135"/>
      <c r="EQT1015" s="135"/>
      <c r="EQU1015" s="135"/>
      <c r="EQV1015" s="135"/>
      <c r="EQW1015" s="135"/>
      <c r="EQX1015" s="135"/>
      <c r="EQY1015" s="135"/>
      <c r="EQZ1015" s="135"/>
      <c r="ERA1015" s="135"/>
      <c r="ERB1015" s="135"/>
      <c r="ERC1015" s="135"/>
      <c r="ERD1015" s="135"/>
      <c r="ERE1015" s="135"/>
      <c r="ERF1015" s="135"/>
      <c r="ERG1015" s="135"/>
      <c r="ERH1015" s="135"/>
      <c r="ERI1015" s="135"/>
      <c r="ERJ1015" s="135"/>
      <c r="ERK1015" s="135"/>
      <c r="ERL1015" s="135"/>
      <c r="ERM1015" s="135"/>
      <c r="ERN1015" s="135"/>
      <c r="ERO1015" s="135"/>
      <c r="ERP1015" s="135"/>
      <c r="ERQ1015" s="135"/>
      <c r="ERR1015" s="135"/>
      <c r="ERS1015" s="135"/>
      <c r="ERT1015" s="135"/>
      <c r="ERU1015" s="135"/>
      <c r="ERV1015" s="135"/>
      <c r="ERW1015" s="135"/>
      <c r="ERX1015" s="135"/>
      <c r="ERY1015" s="135"/>
      <c r="ERZ1015" s="135"/>
      <c r="ESA1015" s="135"/>
      <c r="ESB1015" s="135"/>
      <c r="ESC1015" s="135"/>
      <c r="ESD1015" s="135"/>
      <c r="ESE1015" s="135"/>
      <c r="ESF1015" s="135"/>
      <c r="ESG1015" s="135"/>
      <c r="ESH1015" s="135"/>
      <c r="ESI1015" s="135"/>
      <c r="ESJ1015" s="135"/>
      <c r="ESK1015" s="135"/>
      <c r="ESL1015" s="135"/>
      <c r="ESM1015" s="135"/>
      <c r="ESN1015" s="135"/>
      <c r="ESO1015" s="135"/>
      <c r="ESP1015" s="135"/>
      <c r="ESQ1015" s="135"/>
      <c r="ESR1015" s="135"/>
      <c r="ESS1015" s="135"/>
      <c r="EST1015" s="135"/>
      <c r="ESU1015" s="135"/>
      <c r="ESV1015" s="135"/>
      <c r="ESW1015" s="135"/>
      <c r="ESX1015" s="135"/>
      <c r="ESY1015" s="135"/>
      <c r="ESZ1015" s="135"/>
      <c r="ETA1015" s="135"/>
      <c r="ETB1015" s="135"/>
      <c r="ETC1015" s="135"/>
      <c r="ETD1015" s="135"/>
      <c r="ETE1015" s="135"/>
      <c r="ETF1015" s="135"/>
      <c r="ETG1015" s="135"/>
      <c r="ETH1015" s="135"/>
      <c r="ETI1015" s="135"/>
      <c r="ETJ1015" s="135"/>
      <c r="ETK1015" s="135"/>
      <c r="ETL1015" s="135"/>
      <c r="ETM1015" s="135"/>
      <c r="ETN1015" s="135"/>
      <c r="ETO1015" s="135"/>
      <c r="ETP1015" s="135"/>
      <c r="ETQ1015" s="135"/>
      <c r="ETR1015" s="135"/>
      <c r="ETS1015" s="135"/>
      <c r="ETT1015" s="135"/>
      <c r="ETU1015" s="135"/>
      <c r="ETV1015" s="135"/>
      <c r="ETW1015" s="135"/>
      <c r="ETX1015" s="135"/>
      <c r="ETY1015" s="135"/>
      <c r="ETZ1015" s="135"/>
      <c r="EUA1015" s="135"/>
      <c r="EUB1015" s="135"/>
      <c r="EUC1015" s="135"/>
      <c r="EUD1015" s="135"/>
      <c r="EUE1015" s="135"/>
      <c r="EUF1015" s="135"/>
      <c r="EUG1015" s="135"/>
      <c r="EUH1015" s="135"/>
      <c r="EUI1015" s="135"/>
      <c r="EUJ1015" s="135"/>
      <c r="EUK1015" s="135"/>
      <c r="EUL1015" s="135"/>
      <c r="EUM1015" s="135"/>
      <c r="EUN1015" s="135"/>
      <c r="EUO1015" s="135"/>
      <c r="EUP1015" s="135"/>
      <c r="EUQ1015" s="135"/>
      <c r="EUR1015" s="135"/>
      <c r="EUS1015" s="135"/>
      <c r="EUT1015" s="135"/>
      <c r="EUU1015" s="135"/>
      <c r="EUV1015" s="135"/>
      <c r="EUW1015" s="135"/>
      <c r="EUX1015" s="135"/>
      <c r="EUY1015" s="135"/>
      <c r="EUZ1015" s="135"/>
      <c r="EVA1015" s="135"/>
      <c r="EVB1015" s="135"/>
      <c r="EVC1015" s="135"/>
      <c r="EVD1015" s="135"/>
      <c r="EVE1015" s="135"/>
      <c r="EVF1015" s="135"/>
      <c r="EVG1015" s="135"/>
      <c r="EVH1015" s="135"/>
      <c r="EVI1015" s="135"/>
      <c r="EVJ1015" s="135"/>
      <c r="EVK1015" s="135"/>
      <c r="EVL1015" s="135"/>
      <c r="EVM1015" s="135"/>
      <c r="EVN1015" s="135"/>
      <c r="EVO1015" s="135"/>
      <c r="EVP1015" s="135"/>
      <c r="EVQ1015" s="135"/>
      <c r="EVR1015" s="135"/>
      <c r="EVS1015" s="135"/>
      <c r="EVT1015" s="135"/>
      <c r="EVU1015" s="135"/>
      <c r="EVV1015" s="135"/>
      <c r="EVW1015" s="135"/>
      <c r="EVX1015" s="135"/>
      <c r="EVY1015" s="135"/>
      <c r="EVZ1015" s="135"/>
      <c r="EWA1015" s="135"/>
      <c r="EWB1015" s="135"/>
      <c r="EWC1015" s="135"/>
      <c r="EWD1015" s="135"/>
      <c r="EWE1015" s="135"/>
      <c r="EWF1015" s="135"/>
      <c r="EWG1015" s="135"/>
      <c r="EWH1015" s="135"/>
      <c r="EWI1015" s="135"/>
      <c r="EWJ1015" s="135"/>
      <c r="EWK1015" s="135"/>
      <c r="EWL1015" s="135"/>
      <c r="EWM1015" s="135"/>
      <c r="EWN1015" s="135"/>
      <c r="EWO1015" s="135"/>
      <c r="EWP1015" s="135"/>
      <c r="EWQ1015" s="135"/>
      <c r="EWR1015" s="135"/>
      <c r="EWS1015" s="135"/>
      <c r="EWT1015" s="135"/>
      <c r="EWU1015" s="135"/>
      <c r="EWV1015" s="135"/>
      <c r="EWW1015" s="135"/>
      <c r="EWX1015" s="135"/>
      <c r="EWY1015" s="135"/>
      <c r="EWZ1015" s="135"/>
      <c r="EXA1015" s="135"/>
      <c r="EXB1015" s="135"/>
      <c r="EXC1015" s="135"/>
      <c r="EXD1015" s="135"/>
      <c r="EXE1015" s="135"/>
      <c r="EXF1015" s="135"/>
      <c r="EXG1015" s="135"/>
      <c r="EXH1015" s="135"/>
      <c r="EXI1015" s="135"/>
      <c r="EXJ1015" s="135"/>
      <c r="EXK1015" s="135"/>
      <c r="EXL1015" s="135"/>
      <c r="EXM1015" s="135"/>
      <c r="EXN1015" s="135"/>
      <c r="EXO1015" s="135"/>
      <c r="EXP1015" s="135"/>
      <c r="EXQ1015" s="135"/>
      <c r="EXR1015" s="135"/>
      <c r="EXS1015" s="135"/>
      <c r="EXT1015" s="135"/>
      <c r="EXU1015" s="135"/>
      <c r="EXV1015" s="135"/>
      <c r="EXW1015" s="135"/>
      <c r="EXX1015" s="135"/>
      <c r="EXY1015" s="135"/>
      <c r="EXZ1015" s="135"/>
      <c r="EYA1015" s="135"/>
      <c r="EYB1015" s="135"/>
      <c r="EYC1015" s="135"/>
      <c r="EYD1015" s="135"/>
      <c r="EYE1015" s="135"/>
      <c r="EYF1015" s="135"/>
      <c r="EYG1015" s="135"/>
      <c r="EYH1015" s="135"/>
      <c r="EYI1015" s="135"/>
      <c r="EYJ1015" s="135"/>
      <c r="EYK1015" s="135"/>
      <c r="EYL1015" s="135"/>
      <c r="EYM1015" s="135"/>
      <c r="EYN1015" s="135"/>
      <c r="EYO1015" s="135"/>
      <c r="EYP1015" s="135"/>
      <c r="EYQ1015" s="135"/>
      <c r="EYR1015" s="135"/>
      <c r="EYS1015" s="135"/>
      <c r="EYT1015" s="135"/>
      <c r="EYU1015" s="135"/>
      <c r="EYV1015" s="135"/>
      <c r="EYW1015" s="135"/>
      <c r="EYX1015" s="135"/>
      <c r="EYY1015" s="135"/>
      <c r="EYZ1015" s="135"/>
      <c r="EZA1015" s="135"/>
      <c r="EZB1015" s="135"/>
      <c r="EZC1015" s="135"/>
      <c r="EZD1015" s="135"/>
      <c r="EZE1015" s="135"/>
      <c r="EZF1015" s="135"/>
      <c r="EZG1015" s="135"/>
      <c r="EZH1015" s="135"/>
      <c r="EZI1015" s="135"/>
      <c r="EZJ1015" s="135"/>
      <c r="EZK1015" s="135"/>
      <c r="EZL1015" s="135"/>
      <c r="EZM1015" s="135"/>
      <c r="EZN1015" s="135"/>
      <c r="EZO1015" s="135"/>
      <c r="EZP1015" s="135"/>
      <c r="EZQ1015" s="135"/>
      <c r="EZR1015" s="135"/>
      <c r="EZS1015" s="135"/>
      <c r="EZT1015" s="135"/>
      <c r="EZU1015" s="135"/>
      <c r="EZV1015" s="135"/>
      <c r="EZW1015" s="135"/>
      <c r="EZX1015" s="135"/>
      <c r="EZY1015" s="135"/>
      <c r="EZZ1015" s="135"/>
      <c r="FAA1015" s="135"/>
      <c r="FAB1015" s="135"/>
      <c r="FAC1015" s="135"/>
      <c r="FAD1015" s="135"/>
      <c r="FAE1015" s="135"/>
      <c r="FAF1015" s="135"/>
      <c r="FAG1015" s="135"/>
      <c r="FAH1015" s="135"/>
      <c r="FAI1015" s="135"/>
      <c r="FAJ1015" s="135"/>
      <c r="FAK1015" s="135"/>
      <c r="FAL1015" s="135"/>
      <c r="FAM1015" s="135"/>
      <c r="FAN1015" s="135"/>
      <c r="FAO1015" s="135"/>
      <c r="FAP1015" s="135"/>
      <c r="FAQ1015" s="135"/>
      <c r="FAR1015" s="135"/>
      <c r="FAS1015" s="135"/>
      <c r="FAT1015" s="135"/>
      <c r="FAU1015" s="135"/>
      <c r="FAV1015" s="135"/>
      <c r="FAW1015" s="135"/>
      <c r="FAX1015" s="135"/>
      <c r="FAY1015" s="135"/>
      <c r="FAZ1015" s="135"/>
      <c r="FBA1015" s="135"/>
      <c r="FBB1015" s="135"/>
      <c r="FBC1015" s="135"/>
      <c r="FBD1015" s="135"/>
      <c r="FBE1015" s="135"/>
      <c r="FBF1015" s="135"/>
      <c r="FBG1015" s="135"/>
      <c r="FBH1015" s="135"/>
      <c r="FBI1015" s="135"/>
      <c r="FBJ1015" s="135"/>
      <c r="FBK1015" s="135"/>
      <c r="FBL1015" s="135"/>
      <c r="FBM1015" s="135"/>
      <c r="FBN1015" s="135"/>
      <c r="FBO1015" s="135"/>
      <c r="FBP1015" s="135"/>
      <c r="FBQ1015" s="135"/>
      <c r="FBR1015" s="135"/>
      <c r="FBS1015" s="135"/>
      <c r="FBT1015" s="135"/>
      <c r="FBU1015" s="135"/>
      <c r="FBV1015" s="135"/>
      <c r="FBW1015" s="135"/>
      <c r="FBX1015" s="135"/>
      <c r="FBY1015" s="135"/>
      <c r="FBZ1015" s="135"/>
      <c r="FCA1015" s="135"/>
      <c r="FCB1015" s="135"/>
      <c r="FCC1015" s="135"/>
      <c r="FCD1015" s="135"/>
      <c r="FCE1015" s="135"/>
      <c r="FCF1015" s="135"/>
      <c r="FCG1015" s="135"/>
      <c r="FCH1015" s="135"/>
      <c r="FCI1015" s="135"/>
      <c r="FCJ1015" s="135"/>
      <c r="FCK1015" s="135"/>
      <c r="FCL1015" s="135"/>
      <c r="FCM1015" s="135"/>
      <c r="FCN1015" s="135"/>
      <c r="FCO1015" s="135"/>
      <c r="FCP1015" s="135"/>
      <c r="FCQ1015" s="135"/>
      <c r="FCR1015" s="135"/>
      <c r="FCS1015" s="135"/>
      <c r="FCT1015" s="135"/>
      <c r="FCU1015" s="135"/>
      <c r="FCV1015" s="135"/>
      <c r="FCW1015" s="135"/>
      <c r="FCX1015" s="135"/>
      <c r="FCY1015" s="135"/>
      <c r="FCZ1015" s="135"/>
      <c r="FDA1015" s="135"/>
      <c r="FDB1015" s="135"/>
      <c r="FDC1015" s="135"/>
      <c r="FDD1015" s="135"/>
      <c r="FDE1015" s="135"/>
      <c r="FDF1015" s="135"/>
      <c r="FDG1015" s="135"/>
      <c r="FDH1015" s="135"/>
      <c r="FDI1015" s="135"/>
      <c r="FDJ1015" s="135"/>
      <c r="FDK1015" s="135"/>
      <c r="FDL1015" s="135"/>
      <c r="FDM1015" s="135"/>
      <c r="FDN1015" s="135"/>
      <c r="FDO1015" s="135"/>
      <c r="FDP1015" s="135"/>
      <c r="FDQ1015" s="135"/>
      <c r="FDR1015" s="135"/>
      <c r="FDS1015" s="135"/>
      <c r="FDT1015" s="135"/>
      <c r="FDU1015" s="135"/>
      <c r="FDV1015" s="135"/>
      <c r="FDW1015" s="135"/>
      <c r="FDX1015" s="135"/>
      <c r="FDY1015" s="135"/>
      <c r="FDZ1015" s="135"/>
      <c r="FEA1015" s="135"/>
      <c r="FEB1015" s="135"/>
      <c r="FEC1015" s="135"/>
      <c r="FED1015" s="135"/>
      <c r="FEE1015" s="135"/>
      <c r="FEF1015" s="135"/>
      <c r="FEG1015" s="135"/>
      <c r="FEH1015" s="135"/>
      <c r="FEI1015" s="135"/>
      <c r="FEJ1015" s="135"/>
      <c r="FEK1015" s="135"/>
      <c r="FEL1015" s="135"/>
      <c r="FEM1015" s="135"/>
      <c r="FEN1015" s="135"/>
      <c r="FEO1015" s="135"/>
      <c r="FEP1015" s="135"/>
      <c r="FEQ1015" s="135"/>
      <c r="FER1015" s="135"/>
      <c r="FES1015" s="135"/>
      <c r="FET1015" s="135"/>
      <c r="FEU1015" s="135"/>
      <c r="FEV1015" s="135"/>
      <c r="FEW1015" s="135"/>
      <c r="FEX1015" s="135"/>
      <c r="FEY1015" s="135"/>
      <c r="FEZ1015" s="135"/>
      <c r="FFA1015" s="135"/>
      <c r="FFB1015" s="135"/>
      <c r="FFC1015" s="135"/>
      <c r="FFD1015" s="135"/>
      <c r="FFE1015" s="135"/>
      <c r="FFF1015" s="135"/>
      <c r="FFG1015" s="135"/>
      <c r="FFH1015" s="135"/>
      <c r="FFI1015" s="135"/>
      <c r="FFJ1015" s="135"/>
      <c r="FFK1015" s="135"/>
      <c r="FFL1015" s="135"/>
      <c r="FFM1015" s="135"/>
      <c r="FFN1015" s="135"/>
      <c r="FFO1015" s="135"/>
      <c r="FFP1015" s="135"/>
      <c r="FFQ1015" s="135"/>
      <c r="FFR1015" s="135"/>
      <c r="FFS1015" s="135"/>
      <c r="FFT1015" s="135"/>
      <c r="FFU1015" s="135"/>
      <c r="FFV1015" s="135"/>
      <c r="FFW1015" s="135"/>
      <c r="FFX1015" s="135"/>
      <c r="FFY1015" s="135"/>
      <c r="FFZ1015" s="135"/>
      <c r="FGA1015" s="135"/>
      <c r="FGB1015" s="135"/>
      <c r="FGC1015" s="135"/>
      <c r="FGD1015" s="135"/>
      <c r="FGE1015" s="135"/>
      <c r="FGF1015" s="135"/>
      <c r="FGG1015" s="135"/>
      <c r="FGH1015" s="135"/>
      <c r="FGI1015" s="135"/>
      <c r="FGJ1015" s="135"/>
      <c r="FGK1015" s="135"/>
      <c r="FGL1015" s="135"/>
      <c r="FGM1015" s="135"/>
      <c r="FGN1015" s="135"/>
      <c r="FGO1015" s="135"/>
      <c r="FGP1015" s="135"/>
      <c r="FGQ1015" s="135"/>
      <c r="FGR1015" s="135"/>
      <c r="FGS1015" s="135"/>
      <c r="FGT1015" s="135"/>
      <c r="FGU1015" s="135"/>
      <c r="FGV1015" s="135"/>
      <c r="FGW1015" s="135"/>
      <c r="FGX1015" s="135"/>
      <c r="FGY1015" s="135"/>
      <c r="FGZ1015" s="135"/>
      <c r="FHA1015" s="135"/>
      <c r="FHB1015" s="135"/>
      <c r="FHC1015" s="135"/>
      <c r="FHD1015" s="135"/>
      <c r="FHE1015" s="135"/>
      <c r="FHF1015" s="135"/>
      <c r="FHG1015" s="135"/>
      <c r="FHH1015" s="135"/>
      <c r="FHI1015" s="135"/>
      <c r="FHJ1015" s="135"/>
      <c r="FHK1015" s="135"/>
      <c r="FHL1015" s="135"/>
      <c r="FHM1015" s="135"/>
      <c r="FHN1015" s="135"/>
      <c r="FHO1015" s="135"/>
      <c r="FHP1015" s="135"/>
      <c r="FHQ1015" s="135"/>
      <c r="FHR1015" s="135"/>
      <c r="FHS1015" s="135"/>
      <c r="FHT1015" s="135"/>
      <c r="FHU1015" s="135"/>
      <c r="FHV1015" s="135"/>
      <c r="FHW1015" s="135"/>
      <c r="FHX1015" s="135"/>
      <c r="FHY1015" s="135"/>
      <c r="FHZ1015" s="135"/>
      <c r="FIA1015" s="135"/>
      <c r="FIB1015" s="135"/>
      <c r="FIC1015" s="135"/>
      <c r="FID1015" s="135"/>
      <c r="FIE1015" s="135"/>
      <c r="FIF1015" s="135"/>
      <c r="FIG1015" s="135"/>
      <c r="FIH1015" s="135"/>
      <c r="FII1015" s="135"/>
      <c r="FIJ1015" s="135"/>
      <c r="FIK1015" s="135"/>
      <c r="FIL1015" s="135"/>
      <c r="FIM1015" s="135"/>
      <c r="FIN1015" s="135"/>
      <c r="FIO1015" s="135"/>
      <c r="FIP1015" s="135"/>
      <c r="FIQ1015" s="135"/>
      <c r="FIR1015" s="135"/>
      <c r="FIS1015" s="135"/>
      <c r="FIT1015" s="135"/>
      <c r="FIU1015" s="135"/>
      <c r="FIV1015" s="135"/>
      <c r="FIW1015" s="135"/>
      <c r="FIX1015" s="135"/>
      <c r="FIY1015" s="135"/>
      <c r="FIZ1015" s="135"/>
      <c r="FJA1015" s="135"/>
      <c r="FJB1015" s="135"/>
      <c r="FJC1015" s="135"/>
      <c r="FJD1015" s="135"/>
      <c r="FJE1015" s="135"/>
      <c r="FJF1015" s="135"/>
      <c r="FJG1015" s="135"/>
      <c r="FJH1015" s="135"/>
      <c r="FJI1015" s="135"/>
      <c r="FJJ1015" s="135"/>
      <c r="FJK1015" s="135"/>
      <c r="FJL1015" s="135"/>
      <c r="FJM1015" s="135"/>
      <c r="FJN1015" s="135"/>
      <c r="FJO1015" s="135"/>
      <c r="FJP1015" s="135"/>
      <c r="FJQ1015" s="135"/>
      <c r="FJR1015" s="135"/>
      <c r="FJS1015" s="135"/>
      <c r="FJT1015" s="135"/>
      <c r="FJU1015" s="135"/>
      <c r="FJV1015" s="135"/>
      <c r="FJW1015" s="135"/>
      <c r="FJX1015" s="135"/>
      <c r="FJY1015" s="135"/>
      <c r="FJZ1015" s="135"/>
      <c r="FKA1015" s="135"/>
      <c r="FKB1015" s="135"/>
      <c r="FKC1015" s="135"/>
      <c r="FKD1015" s="135"/>
      <c r="FKE1015" s="135"/>
      <c r="FKF1015" s="135"/>
      <c r="FKG1015" s="135"/>
      <c r="FKH1015" s="135"/>
      <c r="FKI1015" s="135"/>
      <c r="FKJ1015" s="135"/>
      <c r="FKK1015" s="135"/>
      <c r="FKL1015" s="135"/>
      <c r="FKM1015" s="135"/>
      <c r="FKN1015" s="135"/>
      <c r="FKO1015" s="135"/>
      <c r="FKP1015" s="135"/>
      <c r="FKQ1015" s="135"/>
      <c r="FKR1015" s="135"/>
      <c r="FKS1015" s="135"/>
      <c r="FKT1015" s="135"/>
      <c r="FKU1015" s="135"/>
      <c r="FKV1015" s="135"/>
      <c r="FKW1015" s="135"/>
      <c r="FKX1015" s="135"/>
      <c r="FKY1015" s="135"/>
      <c r="FKZ1015" s="135"/>
      <c r="FLA1015" s="135"/>
      <c r="FLB1015" s="135"/>
      <c r="FLC1015" s="135"/>
      <c r="FLD1015" s="135"/>
      <c r="FLE1015" s="135"/>
      <c r="FLF1015" s="135"/>
      <c r="FLG1015" s="135"/>
      <c r="FLH1015" s="135"/>
      <c r="FLI1015" s="135"/>
      <c r="FLJ1015" s="135"/>
      <c r="FLK1015" s="135"/>
      <c r="FLL1015" s="135"/>
      <c r="FLM1015" s="135"/>
      <c r="FLN1015" s="135"/>
      <c r="FLO1015" s="135"/>
      <c r="FLP1015" s="135"/>
      <c r="FLQ1015" s="135"/>
      <c r="FLR1015" s="135"/>
      <c r="FLS1015" s="135"/>
      <c r="FLT1015" s="135"/>
      <c r="FLU1015" s="135"/>
      <c r="FLV1015" s="135"/>
      <c r="FLW1015" s="135"/>
      <c r="FLX1015" s="135"/>
      <c r="FLY1015" s="135"/>
      <c r="FLZ1015" s="135"/>
      <c r="FMA1015" s="135"/>
      <c r="FMB1015" s="135"/>
      <c r="FMC1015" s="135"/>
      <c r="FMD1015" s="135"/>
      <c r="FME1015" s="135"/>
      <c r="FMF1015" s="135"/>
      <c r="FMG1015" s="135"/>
      <c r="FMH1015" s="135"/>
      <c r="FMI1015" s="135"/>
      <c r="FMJ1015" s="135"/>
      <c r="FMK1015" s="135"/>
      <c r="FML1015" s="135"/>
      <c r="FMM1015" s="135"/>
      <c r="FMN1015" s="135"/>
      <c r="FMO1015" s="135"/>
      <c r="FMP1015" s="135"/>
      <c r="FMQ1015" s="135"/>
      <c r="FMR1015" s="135"/>
      <c r="FMS1015" s="135"/>
      <c r="FMT1015" s="135"/>
      <c r="FMU1015" s="135"/>
      <c r="FMV1015" s="135"/>
      <c r="FMW1015" s="135"/>
      <c r="FMX1015" s="135"/>
      <c r="FMY1015" s="135"/>
      <c r="FMZ1015" s="135"/>
      <c r="FNA1015" s="135"/>
      <c r="FNB1015" s="135"/>
      <c r="FNC1015" s="135"/>
      <c r="FND1015" s="135"/>
      <c r="FNE1015" s="135"/>
      <c r="FNF1015" s="135"/>
      <c r="FNG1015" s="135"/>
      <c r="FNH1015" s="135"/>
      <c r="FNI1015" s="135"/>
      <c r="FNJ1015" s="135"/>
      <c r="FNK1015" s="135"/>
      <c r="FNL1015" s="135"/>
      <c r="FNM1015" s="135"/>
      <c r="FNN1015" s="135"/>
      <c r="FNO1015" s="135"/>
      <c r="FNP1015" s="135"/>
      <c r="FNQ1015" s="135"/>
      <c r="FNR1015" s="135"/>
      <c r="FNS1015" s="135"/>
      <c r="FNT1015" s="135"/>
      <c r="FNU1015" s="135"/>
      <c r="FNV1015" s="135"/>
      <c r="FNW1015" s="135"/>
      <c r="FNX1015" s="135"/>
      <c r="FNY1015" s="135"/>
      <c r="FNZ1015" s="135"/>
      <c r="FOA1015" s="135"/>
      <c r="FOB1015" s="135"/>
      <c r="FOC1015" s="135"/>
      <c r="FOD1015" s="135"/>
      <c r="FOE1015" s="135"/>
      <c r="FOF1015" s="135"/>
      <c r="FOG1015" s="135"/>
      <c r="FOH1015" s="135"/>
      <c r="FOI1015" s="135"/>
      <c r="FOJ1015" s="135"/>
      <c r="FOK1015" s="135"/>
      <c r="FOL1015" s="135"/>
      <c r="FOM1015" s="135"/>
      <c r="FON1015" s="135"/>
      <c r="FOO1015" s="135"/>
      <c r="FOP1015" s="135"/>
      <c r="FOQ1015" s="135"/>
      <c r="FOR1015" s="135"/>
      <c r="FOS1015" s="135"/>
      <c r="FOT1015" s="135"/>
      <c r="FOU1015" s="135"/>
      <c r="FOV1015" s="135"/>
      <c r="FOW1015" s="135"/>
      <c r="FOX1015" s="135"/>
      <c r="FOY1015" s="135"/>
      <c r="FOZ1015" s="135"/>
      <c r="FPA1015" s="135"/>
      <c r="FPB1015" s="135"/>
      <c r="FPC1015" s="135"/>
      <c r="FPD1015" s="135"/>
      <c r="FPE1015" s="135"/>
      <c r="FPF1015" s="135"/>
      <c r="FPG1015" s="135"/>
      <c r="FPH1015" s="135"/>
      <c r="FPI1015" s="135"/>
      <c r="FPJ1015" s="135"/>
      <c r="FPK1015" s="135"/>
      <c r="FPL1015" s="135"/>
      <c r="FPM1015" s="135"/>
      <c r="FPN1015" s="135"/>
      <c r="FPO1015" s="135"/>
      <c r="FPP1015" s="135"/>
      <c r="FPQ1015" s="135"/>
      <c r="FPR1015" s="135"/>
      <c r="FPS1015" s="135"/>
      <c r="FPT1015" s="135"/>
      <c r="FPU1015" s="135"/>
      <c r="FPV1015" s="135"/>
      <c r="FPW1015" s="135"/>
      <c r="FPX1015" s="135"/>
      <c r="FPY1015" s="135"/>
      <c r="FPZ1015" s="135"/>
      <c r="FQA1015" s="135"/>
      <c r="FQB1015" s="135"/>
      <c r="FQC1015" s="135"/>
      <c r="FQD1015" s="135"/>
      <c r="FQE1015" s="135"/>
      <c r="FQF1015" s="135"/>
      <c r="FQG1015" s="135"/>
      <c r="FQH1015" s="135"/>
      <c r="FQI1015" s="135"/>
      <c r="FQJ1015" s="135"/>
      <c r="FQK1015" s="135"/>
      <c r="FQL1015" s="135"/>
      <c r="FQM1015" s="135"/>
      <c r="FQN1015" s="135"/>
      <c r="FQO1015" s="135"/>
      <c r="FQP1015" s="135"/>
      <c r="FQQ1015" s="135"/>
      <c r="FQR1015" s="135"/>
      <c r="FQS1015" s="135"/>
      <c r="FQT1015" s="135"/>
      <c r="FQU1015" s="135"/>
      <c r="FQV1015" s="135"/>
      <c r="FQW1015" s="135"/>
      <c r="FQX1015" s="135"/>
      <c r="FQY1015" s="135"/>
      <c r="FQZ1015" s="135"/>
      <c r="FRA1015" s="135"/>
      <c r="FRB1015" s="135"/>
      <c r="FRC1015" s="135"/>
      <c r="FRD1015" s="135"/>
      <c r="FRE1015" s="135"/>
      <c r="FRF1015" s="135"/>
      <c r="FRG1015" s="135"/>
      <c r="FRH1015" s="135"/>
      <c r="FRI1015" s="135"/>
      <c r="FRJ1015" s="135"/>
      <c r="FRK1015" s="135"/>
      <c r="FRL1015" s="135"/>
      <c r="FRM1015" s="135"/>
      <c r="FRN1015" s="135"/>
      <c r="FRO1015" s="135"/>
      <c r="FRP1015" s="135"/>
      <c r="FRQ1015" s="135"/>
      <c r="FRR1015" s="135"/>
      <c r="FRS1015" s="135"/>
      <c r="FRT1015" s="135"/>
      <c r="FRU1015" s="135"/>
      <c r="FRV1015" s="135"/>
      <c r="FRW1015" s="135"/>
      <c r="FRX1015" s="135"/>
      <c r="FRY1015" s="135"/>
      <c r="FRZ1015" s="135"/>
      <c r="FSA1015" s="135"/>
      <c r="FSB1015" s="135"/>
      <c r="FSC1015" s="135"/>
      <c r="FSD1015" s="135"/>
      <c r="FSE1015" s="135"/>
      <c r="FSF1015" s="135"/>
      <c r="FSG1015" s="135"/>
      <c r="FSH1015" s="135"/>
      <c r="FSI1015" s="135"/>
      <c r="FSJ1015" s="135"/>
      <c r="FSK1015" s="135"/>
      <c r="FSL1015" s="135"/>
      <c r="FSM1015" s="135"/>
      <c r="FSN1015" s="135"/>
      <c r="FSO1015" s="135"/>
      <c r="FSP1015" s="135"/>
      <c r="FSQ1015" s="135"/>
      <c r="FSR1015" s="135"/>
      <c r="FSS1015" s="135"/>
      <c r="FST1015" s="135"/>
      <c r="FSU1015" s="135"/>
      <c r="FSV1015" s="135"/>
      <c r="FSW1015" s="135"/>
      <c r="FSX1015" s="135"/>
      <c r="FSY1015" s="135"/>
      <c r="FSZ1015" s="135"/>
      <c r="FTA1015" s="135"/>
      <c r="FTB1015" s="135"/>
      <c r="FTC1015" s="135"/>
      <c r="FTD1015" s="135"/>
      <c r="FTE1015" s="135"/>
      <c r="FTF1015" s="135"/>
      <c r="FTG1015" s="135"/>
      <c r="FTH1015" s="135"/>
      <c r="FTI1015" s="135"/>
      <c r="FTJ1015" s="135"/>
      <c r="FTK1015" s="135"/>
      <c r="FTL1015" s="135"/>
      <c r="FTM1015" s="135"/>
      <c r="FTN1015" s="135"/>
      <c r="FTO1015" s="135"/>
      <c r="FTP1015" s="135"/>
      <c r="FTQ1015" s="135"/>
      <c r="FTR1015" s="135"/>
      <c r="FTS1015" s="135"/>
      <c r="FTT1015" s="135"/>
      <c r="FTU1015" s="135"/>
      <c r="FTV1015" s="135"/>
      <c r="FTW1015" s="135"/>
      <c r="FTX1015" s="135"/>
      <c r="FTY1015" s="135"/>
      <c r="FTZ1015" s="135"/>
      <c r="FUA1015" s="135"/>
      <c r="FUB1015" s="135"/>
      <c r="FUC1015" s="135"/>
      <c r="FUD1015" s="135"/>
      <c r="FUE1015" s="135"/>
      <c r="FUF1015" s="135"/>
      <c r="FUG1015" s="135"/>
      <c r="FUH1015" s="135"/>
      <c r="FUI1015" s="135"/>
      <c r="FUJ1015" s="135"/>
      <c r="FUK1015" s="135"/>
      <c r="FUL1015" s="135"/>
      <c r="FUM1015" s="135"/>
      <c r="FUN1015" s="135"/>
      <c r="FUO1015" s="135"/>
      <c r="FUP1015" s="135"/>
      <c r="FUQ1015" s="135"/>
      <c r="FUR1015" s="135"/>
      <c r="FUS1015" s="135"/>
      <c r="FUT1015" s="135"/>
      <c r="FUU1015" s="135"/>
      <c r="FUV1015" s="135"/>
      <c r="FUW1015" s="135"/>
      <c r="FUX1015" s="135"/>
      <c r="FUY1015" s="135"/>
      <c r="FUZ1015" s="135"/>
      <c r="FVA1015" s="135"/>
      <c r="FVB1015" s="135"/>
      <c r="FVC1015" s="135"/>
      <c r="FVD1015" s="135"/>
      <c r="FVE1015" s="135"/>
      <c r="FVF1015" s="135"/>
      <c r="FVG1015" s="135"/>
      <c r="FVH1015" s="135"/>
      <c r="FVI1015" s="135"/>
      <c r="FVJ1015" s="135"/>
      <c r="FVK1015" s="135"/>
      <c r="FVL1015" s="135"/>
      <c r="FVM1015" s="135"/>
      <c r="FVN1015" s="135"/>
      <c r="FVO1015" s="135"/>
      <c r="FVP1015" s="135"/>
      <c r="FVQ1015" s="135"/>
      <c r="FVR1015" s="135"/>
      <c r="FVS1015" s="135"/>
      <c r="FVT1015" s="135"/>
      <c r="FVU1015" s="135"/>
      <c r="FVV1015" s="135"/>
      <c r="FVW1015" s="135"/>
      <c r="FVX1015" s="135"/>
      <c r="FVY1015" s="135"/>
      <c r="FVZ1015" s="135"/>
      <c r="FWA1015" s="135"/>
      <c r="FWB1015" s="135"/>
      <c r="FWC1015" s="135"/>
      <c r="FWD1015" s="135"/>
      <c r="FWE1015" s="135"/>
      <c r="FWF1015" s="135"/>
      <c r="FWG1015" s="135"/>
      <c r="FWH1015" s="135"/>
      <c r="FWI1015" s="135"/>
      <c r="FWJ1015" s="135"/>
      <c r="FWK1015" s="135"/>
      <c r="FWL1015" s="135"/>
      <c r="FWM1015" s="135"/>
      <c r="FWN1015" s="135"/>
      <c r="FWO1015" s="135"/>
      <c r="FWP1015" s="135"/>
      <c r="FWQ1015" s="135"/>
      <c r="FWR1015" s="135"/>
      <c r="FWS1015" s="135"/>
      <c r="FWT1015" s="135"/>
      <c r="FWU1015" s="135"/>
      <c r="FWV1015" s="135"/>
      <c r="FWW1015" s="135"/>
      <c r="FWX1015" s="135"/>
      <c r="FWY1015" s="135"/>
      <c r="FWZ1015" s="135"/>
      <c r="FXA1015" s="135"/>
      <c r="FXB1015" s="135"/>
      <c r="FXC1015" s="135"/>
      <c r="FXD1015" s="135"/>
      <c r="FXE1015" s="135"/>
      <c r="FXF1015" s="135"/>
      <c r="FXG1015" s="135"/>
      <c r="FXH1015" s="135"/>
      <c r="FXI1015" s="135"/>
      <c r="FXJ1015" s="135"/>
      <c r="FXK1015" s="135"/>
      <c r="FXL1015" s="135"/>
      <c r="FXM1015" s="135"/>
      <c r="FXN1015" s="135"/>
      <c r="FXO1015" s="135"/>
      <c r="FXP1015" s="135"/>
      <c r="FXQ1015" s="135"/>
      <c r="FXR1015" s="135"/>
      <c r="FXS1015" s="135"/>
      <c r="FXT1015" s="135"/>
      <c r="FXU1015" s="135"/>
      <c r="FXV1015" s="135"/>
      <c r="FXW1015" s="135"/>
      <c r="FXX1015" s="135"/>
      <c r="FXY1015" s="135"/>
      <c r="FXZ1015" s="135"/>
      <c r="FYA1015" s="135"/>
      <c r="FYB1015" s="135"/>
      <c r="FYC1015" s="135"/>
      <c r="FYD1015" s="135"/>
      <c r="FYE1015" s="135"/>
      <c r="FYF1015" s="135"/>
      <c r="FYG1015" s="135"/>
      <c r="FYH1015" s="135"/>
      <c r="FYI1015" s="135"/>
      <c r="FYJ1015" s="135"/>
      <c r="FYK1015" s="135"/>
      <c r="FYL1015" s="135"/>
      <c r="FYM1015" s="135"/>
      <c r="FYN1015" s="135"/>
      <c r="FYO1015" s="135"/>
      <c r="FYP1015" s="135"/>
      <c r="FYQ1015" s="135"/>
      <c r="FYR1015" s="135"/>
      <c r="FYS1015" s="135"/>
      <c r="FYT1015" s="135"/>
      <c r="FYU1015" s="135"/>
      <c r="FYV1015" s="135"/>
      <c r="FYW1015" s="135"/>
      <c r="FYX1015" s="135"/>
      <c r="FYY1015" s="135"/>
      <c r="FYZ1015" s="135"/>
      <c r="FZA1015" s="135"/>
      <c r="FZB1015" s="135"/>
      <c r="FZC1015" s="135"/>
      <c r="FZD1015" s="135"/>
      <c r="FZE1015" s="135"/>
      <c r="FZF1015" s="135"/>
      <c r="FZG1015" s="135"/>
      <c r="FZH1015" s="135"/>
      <c r="FZI1015" s="135"/>
      <c r="FZJ1015" s="135"/>
      <c r="FZK1015" s="135"/>
      <c r="FZL1015" s="135"/>
      <c r="FZM1015" s="135"/>
      <c r="FZN1015" s="135"/>
      <c r="FZO1015" s="135"/>
      <c r="FZP1015" s="135"/>
      <c r="FZQ1015" s="135"/>
      <c r="FZR1015" s="135"/>
      <c r="FZS1015" s="135"/>
      <c r="FZT1015" s="135"/>
      <c r="FZU1015" s="135"/>
      <c r="FZV1015" s="135"/>
      <c r="FZW1015" s="135"/>
      <c r="FZX1015" s="135"/>
      <c r="FZY1015" s="135"/>
      <c r="FZZ1015" s="135"/>
      <c r="GAA1015" s="135"/>
      <c r="GAB1015" s="135"/>
      <c r="GAC1015" s="135"/>
      <c r="GAD1015" s="135"/>
      <c r="GAE1015" s="135"/>
      <c r="GAF1015" s="135"/>
      <c r="GAG1015" s="135"/>
      <c r="GAH1015" s="135"/>
      <c r="GAI1015" s="135"/>
      <c r="GAJ1015" s="135"/>
      <c r="GAK1015" s="135"/>
      <c r="GAL1015" s="135"/>
      <c r="GAM1015" s="135"/>
      <c r="GAN1015" s="135"/>
      <c r="GAO1015" s="135"/>
      <c r="GAP1015" s="135"/>
      <c r="GAQ1015" s="135"/>
      <c r="GAR1015" s="135"/>
      <c r="GAS1015" s="135"/>
      <c r="GAT1015" s="135"/>
      <c r="GAU1015" s="135"/>
      <c r="GAV1015" s="135"/>
      <c r="GAW1015" s="135"/>
      <c r="GAX1015" s="135"/>
      <c r="GAY1015" s="135"/>
      <c r="GAZ1015" s="135"/>
      <c r="GBA1015" s="135"/>
      <c r="GBB1015" s="135"/>
      <c r="GBC1015" s="135"/>
      <c r="GBD1015" s="135"/>
      <c r="GBE1015" s="135"/>
      <c r="GBF1015" s="135"/>
      <c r="GBG1015" s="135"/>
      <c r="GBH1015" s="135"/>
      <c r="GBI1015" s="135"/>
      <c r="GBJ1015" s="135"/>
      <c r="GBK1015" s="135"/>
      <c r="GBL1015" s="135"/>
      <c r="GBM1015" s="135"/>
      <c r="GBN1015" s="135"/>
      <c r="GBO1015" s="135"/>
      <c r="GBP1015" s="135"/>
      <c r="GBQ1015" s="135"/>
      <c r="GBR1015" s="135"/>
      <c r="GBS1015" s="135"/>
      <c r="GBT1015" s="135"/>
      <c r="GBU1015" s="135"/>
      <c r="GBV1015" s="135"/>
      <c r="GBW1015" s="135"/>
      <c r="GBX1015" s="135"/>
      <c r="GBY1015" s="135"/>
      <c r="GBZ1015" s="135"/>
      <c r="GCA1015" s="135"/>
      <c r="GCB1015" s="135"/>
      <c r="GCC1015" s="135"/>
      <c r="GCD1015" s="135"/>
      <c r="GCE1015" s="135"/>
      <c r="GCF1015" s="135"/>
      <c r="GCG1015" s="135"/>
      <c r="GCH1015" s="135"/>
      <c r="GCI1015" s="135"/>
      <c r="GCJ1015" s="135"/>
      <c r="GCK1015" s="135"/>
      <c r="GCL1015" s="135"/>
      <c r="GCM1015" s="135"/>
      <c r="GCN1015" s="135"/>
      <c r="GCO1015" s="135"/>
      <c r="GCP1015" s="135"/>
      <c r="GCQ1015" s="135"/>
      <c r="GCR1015" s="135"/>
      <c r="GCS1015" s="135"/>
      <c r="GCT1015" s="135"/>
      <c r="GCU1015" s="135"/>
      <c r="GCV1015" s="135"/>
      <c r="GCW1015" s="135"/>
      <c r="GCX1015" s="135"/>
      <c r="GCY1015" s="135"/>
      <c r="GCZ1015" s="135"/>
      <c r="GDA1015" s="135"/>
      <c r="GDB1015" s="135"/>
      <c r="GDC1015" s="135"/>
      <c r="GDD1015" s="135"/>
      <c r="GDE1015" s="135"/>
      <c r="GDF1015" s="135"/>
      <c r="GDG1015" s="135"/>
      <c r="GDH1015" s="135"/>
      <c r="GDI1015" s="135"/>
      <c r="GDJ1015" s="135"/>
      <c r="GDK1015" s="135"/>
      <c r="GDL1015" s="135"/>
      <c r="GDM1015" s="135"/>
      <c r="GDN1015" s="135"/>
      <c r="GDO1015" s="135"/>
      <c r="GDP1015" s="135"/>
      <c r="GDQ1015" s="135"/>
      <c r="GDR1015" s="135"/>
      <c r="GDS1015" s="135"/>
      <c r="GDT1015" s="135"/>
      <c r="GDU1015" s="135"/>
      <c r="GDV1015" s="135"/>
      <c r="GDW1015" s="135"/>
      <c r="GDX1015" s="135"/>
      <c r="GDY1015" s="135"/>
      <c r="GDZ1015" s="135"/>
      <c r="GEA1015" s="135"/>
      <c r="GEB1015" s="135"/>
      <c r="GEC1015" s="135"/>
      <c r="GED1015" s="135"/>
      <c r="GEE1015" s="135"/>
      <c r="GEF1015" s="135"/>
      <c r="GEG1015" s="135"/>
      <c r="GEH1015" s="135"/>
      <c r="GEI1015" s="135"/>
      <c r="GEJ1015" s="135"/>
      <c r="GEK1015" s="135"/>
      <c r="GEL1015" s="135"/>
      <c r="GEM1015" s="135"/>
      <c r="GEN1015" s="135"/>
      <c r="GEO1015" s="135"/>
      <c r="GEP1015" s="135"/>
      <c r="GEQ1015" s="135"/>
      <c r="GER1015" s="135"/>
      <c r="GES1015" s="135"/>
      <c r="GET1015" s="135"/>
      <c r="GEU1015" s="135"/>
      <c r="GEV1015" s="135"/>
      <c r="GEW1015" s="135"/>
      <c r="GEX1015" s="135"/>
      <c r="GEY1015" s="135"/>
      <c r="GEZ1015" s="135"/>
      <c r="GFA1015" s="135"/>
      <c r="GFB1015" s="135"/>
      <c r="GFC1015" s="135"/>
      <c r="GFD1015" s="135"/>
      <c r="GFE1015" s="135"/>
      <c r="GFF1015" s="135"/>
      <c r="GFG1015" s="135"/>
      <c r="GFH1015" s="135"/>
      <c r="GFI1015" s="135"/>
      <c r="GFJ1015" s="135"/>
      <c r="GFK1015" s="135"/>
      <c r="GFL1015" s="135"/>
      <c r="GFM1015" s="135"/>
      <c r="GFN1015" s="135"/>
      <c r="GFO1015" s="135"/>
      <c r="GFP1015" s="135"/>
      <c r="GFQ1015" s="135"/>
      <c r="GFR1015" s="135"/>
      <c r="GFS1015" s="135"/>
      <c r="GFT1015" s="135"/>
      <c r="GFU1015" s="135"/>
      <c r="GFV1015" s="135"/>
      <c r="GFW1015" s="135"/>
      <c r="GFX1015" s="135"/>
      <c r="GFY1015" s="135"/>
      <c r="GFZ1015" s="135"/>
      <c r="GGA1015" s="135"/>
      <c r="GGB1015" s="135"/>
      <c r="GGC1015" s="135"/>
      <c r="GGD1015" s="135"/>
      <c r="GGE1015" s="135"/>
      <c r="GGF1015" s="135"/>
      <c r="GGG1015" s="135"/>
      <c r="GGH1015" s="135"/>
      <c r="GGI1015" s="135"/>
      <c r="GGJ1015" s="135"/>
      <c r="GGK1015" s="135"/>
      <c r="GGL1015" s="135"/>
      <c r="GGM1015" s="135"/>
      <c r="GGN1015" s="135"/>
      <c r="GGO1015" s="135"/>
      <c r="GGP1015" s="135"/>
      <c r="GGQ1015" s="135"/>
      <c r="GGR1015" s="135"/>
      <c r="GGS1015" s="135"/>
      <c r="GGT1015" s="135"/>
      <c r="GGU1015" s="135"/>
      <c r="GGV1015" s="135"/>
      <c r="GGW1015" s="135"/>
      <c r="GGX1015" s="135"/>
      <c r="GGY1015" s="135"/>
      <c r="GGZ1015" s="135"/>
      <c r="GHA1015" s="135"/>
      <c r="GHB1015" s="135"/>
      <c r="GHC1015" s="135"/>
      <c r="GHD1015" s="135"/>
      <c r="GHE1015" s="135"/>
      <c r="GHF1015" s="135"/>
      <c r="GHG1015" s="135"/>
      <c r="GHH1015" s="135"/>
      <c r="GHI1015" s="135"/>
      <c r="GHJ1015" s="135"/>
      <c r="GHK1015" s="135"/>
      <c r="GHL1015" s="135"/>
      <c r="GHM1015" s="135"/>
      <c r="GHN1015" s="135"/>
      <c r="GHO1015" s="135"/>
      <c r="GHP1015" s="135"/>
      <c r="GHQ1015" s="135"/>
      <c r="GHR1015" s="135"/>
      <c r="GHS1015" s="135"/>
      <c r="GHT1015" s="135"/>
      <c r="GHU1015" s="135"/>
      <c r="GHV1015" s="135"/>
      <c r="GHW1015" s="135"/>
      <c r="GHX1015" s="135"/>
      <c r="GHY1015" s="135"/>
      <c r="GHZ1015" s="135"/>
      <c r="GIA1015" s="135"/>
      <c r="GIB1015" s="135"/>
      <c r="GIC1015" s="135"/>
      <c r="GID1015" s="135"/>
      <c r="GIE1015" s="135"/>
      <c r="GIF1015" s="135"/>
      <c r="GIG1015" s="135"/>
      <c r="GIH1015" s="135"/>
      <c r="GII1015" s="135"/>
      <c r="GIJ1015" s="135"/>
      <c r="GIK1015" s="135"/>
      <c r="GIL1015" s="135"/>
      <c r="GIM1015" s="135"/>
      <c r="GIN1015" s="135"/>
      <c r="GIO1015" s="135"/>
      <c r="GIP1015" s="135"/>
      <c r="GIQ1015" s="135"/>
      <c r="GIR1015" s="135"/>
      <c r="GIS1015" s="135"/>
      <c r="GIT1015" s="135"/>
      <c r="GIU1015" s="135"/>
      <c r="GIV1015" s="135"/>
      <c r="GIW1015" s="135"/>
      <c r="GIX1015" s="135"/>
      <c r="GIY1015" s="135"/>
      <c r="GIZ1015" s="135"/>
      <c r="GJA1015" s="135"/>
      <c r="GJB1015" s="135"/>
      <c r="GJC1015" s="135"/>
      <c r="GJD1015" s="135"/>
      <c r="GJE1015" s="135"/>
      <c r="GJF1015" s="135"/>
      <c r="GJG1015" s="135"/>
      <c r="GJH1015" s="135"/>
      <c r="GJI1015" s="135"/>
      <c r="GJJ1015" s="135"/>
      <c r="GJK1015" s="135"/>
      <c r="GJL1015" s="135"/>
      <c r="GJM1015" s="135"/>
      <c r="GJN1015" s="135"/>
      <c r="GJO1015" s="135"/>
      <c r="GJP1015" s="135"/>
      <c r="GJQ1015" s="135"/>
      <c r="GJR1015" s="135"/>
      <c r="GJS1015" s="135"/>
      <c r="GJT1015" s="135"/>
      <c r="GJU1015" s="135"/>
      <c r="GJV1015" s="135"/>
      <c r="GJW1015" s="135"/>
      <c r="GJX1015" s="135"/>
      <c r="GJY1015" s="135"/>
      <c r="GJZ1015" s="135"/>
      <c r="GKA1015" s="135"/>
      <c r="GKB1015" s="135"/>
      <c r="GKC1015" s="135"/>
      <c r="GKD1015" s="135"/>
      <c r="GKE1015" s="135"/>
      <c r="GKF1015" s="135"/>
      <c r="GKG1015" s="135"/>
      <c r="GKH1015" s="135"/>
      <c r="GKI1015" s="135"/>
      <c r="GKJ1015" s="135"/>
      <c r="GKK1015" s="135"/>
      <c r="GKL1015" s="135"/>
      <c r="GKM1015" s="135"/>
      <c r="GKN1015" s="135"/>
      <c r="GKO1015" s="135"/>
      <c r="GKP1015" s="135"/>
      <c r="GKQ1015" s="135"/>
      <c r="GKR1015" s="135"/>
      <c r="GKS1015" s="135"/>
      <c r="GKT1015" s="135"/>
      <c r="GKU1015" s="135"/>
      <c r="GKV1015" s="135"/>
      <c r="GKW1015" s="135"/>
      <c r="GKX1015" s="135"/>
      <c r="GKY1015" s="135"/>
      <c r="GKZ1015" s="135"/>
      <c r="GLA1015" s="135"/>
      <c r="GLB1015" s="135"/>
      <c r="GLC1015" s="135"/>
      <c r="GLD1015" s="135"/>
      <c r="GLE1015" s="135"/>
      <c r="GLF1015" s="135"/>
      <c r="GLG1015" s="135"/>
      <c r="GLH1015" s="135"/>
      <c r="GLI1015" s="135"/>
      <c r="GLJ1015" s="135"/>
      <c r="GLK1015" s="135"/>
      <c r="GLL1015" s="135"/>
      <c r="GLM1015" s="135"/>
      <c r="GLN1015" s="135"/>
      <c r="GLO1015" s="135"/>
      <c r="GLP1015" s="135"/>
      <c r="GLQ1015" s="135"/>
      <c r="GLR1015" s="135"/>
      <c r="GLS1015" s="135"/>
      <c r="GLT1015" s="135"/>
      <c r="GLU1015" s="135"/>
      <c r="GLV1015" s="135"/>
      <c r="GLW1015" s="135"/>
      <c r="GLX1015" s="135"/>
      <c r="GLY1015" s="135"/>
      <c r="GLZ1015" s="135"/>
      <c r="GMA1015" s="135"/>
      <c r="GMB1015" s="135"/>
      <c r="GMC1015" s="135"/>
      <c r="GMD1015" s="135"/>
      <c r="GME1015" s="135"/>
      <c r="GMF1015" s="135"/>
      <c r="GMG1015" s="135"/>
      <c r="GMH1015" s="135"/>
      <c r="GMI1015" s="135"/>
      <c r="GMJ1015" s="135"/>
      <c r="GMK1015" s="135"/>
      <c r="GML1015" s="135"/>
      <c r="GMM1015" s="135"/>
      <c r="GMN1015" s="135"/>
      <c r="GMO1015" s="135"/>
      <c r="GMP1015" s="135"/>
      <c r="GMQ1015" s="135"/>
      <c r="GMR1015" s="135"/>
      <c r="GMS1015" s="135"/>
      <c r="GMT1015" s="135"/>
      <c r="GMU1015" s="135"/>
      <c r="GMV1015" s="135"/>
      <c r="GMW1015" s="135"/>
      <c r="GMX1015" s="135"/>
      <c r="GMY1015" s="135"/>
      <c r="GMZ1015" s="135"/>
      <c r="GNA1015" s="135"/>
      <c r="GNB1015" s="135"/>
      <c r="GNC1015" s="135"/>
      <c r="GND1015" s="135"/>
      <c r="GNE1015" s="135"/>
      <c r="GNF1015" s="135"/>
      <c r="GNG1015" s="135"/>
      <c r="GNH1015" s="135"/>
      <c r="GNI1015" s="135"/>
      <c r="GNJ1015" s="135"/>
      <c r="GNK1015" s="135"/>
      <c r="GNL1015" s="135"/>
      <c r="GNM1015" s="135"/>
      <c r="GNN1015" s="135"/>
      <c r="GNO1015" s="135"/>
      <c r="GNP1015" s="135"/>
      <c r="GNQ1015" s="135"/>
      <c r="GNR1015" s="135"/>
      <c r="GNS1015" s="135"/>
      <c r="GNT1015" s="135"/>
      <c r="GNU1015" s="135"/>
      <c r="GNV1015" s="135"/>
      <c r="GNW1015" s="135"/>
      <c r="GNX1015" s="135"/>
      <c r="GNY1015" s="135"/>
      <c r="GNZ1015" s="135"/>
      <c r="GOA1015" s="135"/>
      <c r="GOB1015" s="135"/>
      <c r="GOC1015" s="135"/>
      <c r="GOD1015" s="135"/>
      <c r="GOE1015" s="135"/>
      <c r="GOF1015" s="135"/>
      <c r="GOG1015" s="135"/>
      <c r="GOH1015" s="135"/>
      <c r="GOI1015" s="135"/>
      <c r="GOJ1015" s="135"/>
      <c r="GOK1015" s="135"/>
      <c r="GOL1015" s="135"/>
      <c r="GOM1015" s="135"/>
      <c r="GON1015" s="135"/>
      <c r="GOO1015" s="135"/>
      <c r="GOP1015" s="135"/>
      <c r="GOQ1015" s="135"/>
      <c r="GOR1015" s="135"/>
      <c r="GOS1015" s="135"/>
      <c r="GOT1015" s="135"/>
      <c r="GOU1015" s="135"/>
      <c r="GOV1015" s="135"/>
      <c r="GOW1015" s="135"/>
      <c r="GOX1015" s="135"/>
      <c r="GOY1015" s="135"/>
      <c r="GOZ1015" s="135"/>
      <c r="GPA1015" s="135"/>
      <c r="GPB1015" s="135"/>
      <c r="GPC1015" s="135"/>
      <c r="GPD1015" s="135"/>
      <c r="GPE1015" s="135"/>
      <c r="GPF1015" s="135"/>
      <c r="GPG1015" s="135"/>
      <c r="GPH1015" s="135"/>
      <c r="GPI1015" s="135"/>
      <c r="GPJ1015" s="135"/>
      <c r="GPK1015" s="135"/>
      <c r="GPL1015" s="135"/>
      <c r="GPM1015" s="135"/>
      <c r="GPN1015" s="135"/>
      <c r="GPO1015" s="135"/>
      <c r="GPP1015" s="135"/>
      <c r="GPQ1015" s="135"/>
      <c r="GPR1015" s="135"/>
      <c r="GPS1015" s="135"/>
      <c r="GPT1015" s="135"/>
      <c r="GPU1015" s="135"/>
      <c r="GPV1015" s="135"/>
      <c r="GPW1015" s="135"/>
      <c r="GPX1015" s="135"/>
      <c r="GPY1015" s="135"/>
      <c r="GPZ1015" s="135"/>
      <c r="GQA1015" s="135"/>
      <c r="GQB1015" s="135"/>
      <c r="GQC1015" s="135"/>
      <c r="GQD1015" s="135"/>
      <c r="GQE1015" s="135"/>
      <c r="GQF1015" s="135"/>
      <c r="GQG1015" s="135"/>
      <c r="GQH1015" s="135"/>
      <c r="GQI1015" s="135"/>
      <c r="GQJ1015" s="135"/>
      <c r="GQK1015" s="135"/>
      <c r="GQL1015" s="135"/>
      <c r="GQM1015" s="135"/>
      <c r="GQN1015" s="135"/>
      <c r="GQO1015" s="135"/>
      <c r="GQP1015" s="135"/>
      <c r="GQQ1015" s="135"/>
      <c r="GQR1015" s="135"/>
      <c r="GQS1015" s="135"/>
      <c r="GQT1015" s="135"/>
      <c r="GQU1015" s="135"/>
      <c r="GQV1015" s="135"/>
      <c r="GQW1015" s="135"/>
      <c r="GQX1015" s="135"/>
      <c r="GQY1015" s="135"/>
      <c r="GQZ1015" s="135"/>
      <c r="GRA1015" s="135"/>
      <c r="GRB1015" s="135"/>
      <c r="GRC1015" s="135"/>
      <c r="GRD1015" s="135"/>
      <c r="GRE1015" s="135"/>
      <c r="GRF1015" s="135"/>
      <c r="GRG1015" s="135"/>
      <c r="GRH1015" s="135"/>
      <c r="GRI1015" s="135"/>
      <c r="GRJ1015" s="135"/>
      <c r="GRK1015" s="135"/>
      <c r="GRL1015" s="135"/>
      <c r="GRM1015" s="135"/>
      <c r="GRN1015" s="135"/>
      <c r="GRO1015" s="135"/>
      <c r="GRP1015" s="135"/>
      <c r="GRQ1015" s="135"/>
      <c r="GRR1015" s="135"/>
      <c r="GRS1015" s="135"/>
      <c r="GRT1015" s="135"/>
      <c r="GRU1015" s="135"/>
      <c r="GRV1015" s="135"/>
      <c r="GRW1015" s="135"/>
      <c r="GRX1015" s="135"/>
      <c r="GRY1015" s="135"/>
      <c r="GRZ1015" s="135"/>
      <c r="GSA1015" s="135"/>
      <c r="GSB1015" s="135"/>
      <c r="GSC1015" s="135"/>
      <c r="GSD1015" s="135"/>
      <c r="GSE1015" s="135"/>
      <c r="GSF1015" s="135"/>
      <c r="GSG1015" s="135"/>
      <c r="GSH1015" s="135"/>
      <c r="GSI1015" s="135"/>
      <c r="GSJ1015" s="135"/>
      <c r="GSK1015" s="135"/>
      <c r="GSL1015" s="135"/>
      <c r="GSM1015" s="135"/>
      <c r="GSN1015" s="135"/>
      <c r="GSO1015" s="135"/>
      <c r="GSP1015" s="135"/>
      <c r="GSQ1015" s="135"/>
      <c r="GSR1015" s="135"/>
      <c r="GSS1015" s="135"/>
      <c r="GST1015" s="135"/>
      <c r="GSU1015" s="135"/>
      <c r="GSV1015" s="135"/>
      <c r="GSW1015" s="135"/>
      <c r="GSX1015" s="135"/>
      <c r="GSY1015" s="135"/>
      <c r="GSZ1015" s="135"/>
      <c r="GTA1015" s="135"/>
      <c r="GTB1015" s="135"/>
      <c r="GTC1015" s="135"/>
      <c r="GTD1015" s="135"/>
      <c r="GTE1015" s="135"/>
      <c r="GTF1015" s="135"/>
      <c r="GTG1015" s="135"/>
      <c r="GTH1015" s="135"/>
      <c r="GTI1015" s="135"/>
      <c r="GTJ1015" s="135"/>
      <c r="GTK1015" s="135"/>
      <c r="GTL1015" s="135"/>
      <c r="GTM1015" s="135"/>
      <c r="GTN1015" s="135"/>
      <c r="GTO1015" s="135"/>
      <c r="GTP1015" s="135"/>
      <c r="GTQ1015" s="135"/>
      <c r="GTR1015" s="135"/>
      <c r="GTS1015" s="135"/>
      <c r="GTT1015" s="135"/>
      <c r="GTU1015" s="135"/>
      <c r="GTV1015" s="135"/>
      <c r="GTW1015" s="135"/>
      <c r="GTX1015" s="135"/>
      <c r="GTY1015" s="135"/>
      <c r="GTZ1015" s="135"/>
      <c r="GUA1015" s="135"/>
      <c r="GUB1015" s="135"/>
      <c r="GUC1015" s="135"/>
      <c r="GUD1015" s="135"/>
      <c r="GUE1015" s="135"/>
      <c r="GUF1015" s="135"/>
      <c r="GUG1015" s="135"/>
      <c r="GUH1015" s="135"/>
      <c r="GUI1015" s="135"/>
      <c r="GUJ1015" s="135"/>
      <c r="GUK1015" s="135"/>
      <c r="GUL1015" s="135"/>
      <c r="GUM1015" s="135"/>
      <c r="GUN1015" s="135"/>
      <c r="GUO1015" s="135"/>
      <c r="GUP1015" s="135"/>
      <c r="GUQ1015" s="135"/>
      <c r="GUR1015" s="135"/>
      <c r="GUS1015" s="135"/>
      <c r="GUT1015" s="135"/>
      <c r="GUU1015" s="135"/>
      <c r="GUV1015" s="135"/>
      <c r="GUW1015" s="135"/>
      <c r="GUX1015" s="135"/>
      <c r="GUY1015" s="135"/>
      <c r="GUZ1015" s="135"/>
      <c r="GVA1015" s="135"/>
      <c r="GVB1015" s="135"/>
      <c r="GVC1015" s="135"/>
      <c r="GVD1015" s="135"/>
      <c r="GVE1015" s="135"/>
      <c r="GVF1015" s="135"/>
      <c r="GVG1015" s="135"/>
      <c r="GVH1015" s="135"/>
      <c r="GVI1015" s="135"/>
      <c r="GVJ1015" s="135"/>
      <c r="GVK1015" s="135"/>
      <c r="GVL1015" s="135"/>
      <c r="GVM1015" s="135"/>
      <c r="GVN1015" s="135"/>
      <c r="GVO1015" s="135"/>
      <c r="GVP1015" s="135"/>
      <c r="GVQ1015" s="135"/>
      <c r="GVR1015" s="135"/>
      <c r="GVS1015" s="135"/>
      <c r="GVT1015" s="135"/>
      <c r="GVU1015" s="135"/>
      <c r="GVV1015" s="135"/>
      <c r="GVW1015" s="135"/>
      <c r="GVX1015" s="135"/>
      <c r="GVY1015" s="135"/>
      <c r="GVZ1015" s="135"/>
      <c r="GWA1015" s="135"/>
      <c r="GWB1015" s="135"/>
      <c r="GWC1015" s="135"/>
      <c r="GWD1015" s="135"/>
      <c r="GWE1015" s="135"/>
      <c r="GWF1015" s="135"/>
      <c r="GWG1015" s="135"/>
      <c r="GWH1015" s="135"/>
      <c r="GWI1015" s="135"/>
      <c r="GWJ1015" s="135"/>
      <c r="GWK1015" s="135"/>
      <c r="GWL1015" s="135"/>
      <c r="GWM1015" s="135"/>
      <c r="GWN1015" s="135"/>
      <c r="GWO1015" s="135"/>
      <c r="GWP1015" s="135"/>
      <c r="GWQ1015" s="135"/>
      <c r="GWR1015" s="135"/>
      <c r="GWS1015" s="135"/>
      <c r="GWT1015" s="135"/>
      <c r="GWU1015" s="135"/>
      <c r="GWV1015" s="135"/>
      <c r="GWW1015" s="135"/>
      <c r="GWX1015" s="135"/>
      <c r="GWY1015" s="135"/>
      <c r="GWZ1015" s="135"/>
      <c r="GXA1015" s="135"/>
      <c r="GXB1015" s="135"/>
      <c r="GXC1015" s="135"/>
      <c r="GXD1015" s="135"/>
      <c r="GXE1015" s="135"/>
      <c r="GXF1015" s="135"/>
      <c r="GXG1015" s="135"/>
      <c r="GXH1015" s="135"/>
      <c r="GXI1015" s="135"/>
      <c r="GXJ1015" s="135"/>
      <c r="GXK1015" s="135"/>
      <c r="GXL1015" s="135"/>
      <c r="GXM1015" s="135"/>
      <c r="GXN1015" s="135"/>
      <c r="GXO1015" s="135"/>
      <c r="GXP1015" s="135"/>
      <c r="GXQ1015" s="135"/>
      <c r="GXR1015" s="135"/>
      <c r="GXS1015" s="135"/>
      <c r="GXT1015" s="135"/>
      <c r="GXU1015" s="135"/>
      <c r="GXV1015" s="135"/>
      <c r="GXW1015" s="135"/>
      <c r="GXX1015" s="135"/>
      <c r="GXY1015" s="135"/>
      <c r="GXZ1015" s="135"/>
      <c r="GYA1015" s="135"/>
      <c r="GYB1015" s="135"/>
      <c r="GYC1015" s="135"/>
      <c r="GYD1015" s="135"/>
      <c r="GYE1015" s="135"/>
      <c r="GYF1015" s="135"/>
      <c r="GYG1015" s="135"/>
      <c r="GYH1015" s="135"/>
      <c r="GYI1015" s="135"/>
      <c r="GYJ1015" s="135"/>
      <c r="GYK1015" s="135"/>
      <c r="GYL1015" s="135"/>
      <c r="GYM1015" s="135"/>
      <c r="GYN1015" s="135"/>
      <c r="GYO1015" s="135"/>
      <c r="GYP1015" s="135"/>
      <c r="GYQ1015" s="135"/>
      <c r="GYR1015" s="135"/>
      <c r="GYS1015" s="135"/>
      <c r="GYT1015" s="135"/>
      <c r="GYU1015" s="135"/>
      <c r="GYV1015" s="135"/>
      <c r="GYW1015" s="135"/>
      <c r="GYX1015" s="135"/>
      <c r="GYY1015" s="135"/>
      <c r="GYZ1015" s="135"/>
      <c r="GZA1015" s="135"/>
      <c r="GZB1015" s="135"/>
      <c r="GZC1015" s="135"/>
      <c r="GZD1015" s="135"/>
      <c r="GZE1015" s="135"/>
      <c r="GZF1015" s="135"/>
      <c r="GZG1015" s="135"/>
      <c r="GZH1015" s="135"/>
      <c r="GZI1015" s="135"/>
      <c r="GZJ1015" s="135"/>
      <c r="GZK1015" s="135"/>
      <c r="GZL1015" s="135"/>
      <c r="GZM1015" s="135"/>
      <c r="GZN1015" s="135"/>
      <c r="GZO1015" s="135"/>
      <c r="GZP1015" s="135"/>
      <c r="GZQ1015" s="135"/>
      <c r="GZR1015" s="135"/>
      <c r="GZS1015" s="135"/>
      <c r="GZT1015" s="135"/>
      <c r="GZU1015" s="135"/>
      <c r="GZV1015" s="135"/>
      <c r="GZW1015" s="135"/>
      <c r="GZX1015" s="135"/>
      <c r="GZY1015" s="135"/>
      <c r="GZZ1015" s="135"/>
      <c r="HAA1015" s="135"/>
      <c r="HAB1015" s="135"/>
      <c r="HAC1015" s="135"/>
      <c r="HAD1015" s="135"/>
      <c r="HAE1015" s="135"/>
      <c r="HAF1015" s="135"/>
      <c r="HAG1015" s="135"/>
      <c r="HAH1015" s="135"/>
      <c r="HAI1015" s="135"/>
      <c r="HAJ1015" s="135"/>
      <c r="HAK1015" s="135"/>
      <c r="HAL1015" s="135"/>
      <c r="HAM1015" s="135"/>
      <c r="HAN1015" s="135"/>
      <c r="HAO1015" s="135"/>
      <c r="HAP1015" s="135"/>
      <c r="HAQ1015" s="135"/>
      <c r="HAR1015" s="135"/>
      <c r="HAS1015" s="135"/>
      <c r="HAT1015" s="135"/>
      <c r="HAU1015" s="135"/>
      <c r="HAV1015" s="135"/>
      <c r="HAW1015" s="135"/>
      <c r="HAX1015" s="135"/>
      <c r="HAY1015" s="135"/>
      <c r="HAZ1015" s="135"/>
      <c r="HBA1015" s="135"/>
      <c r="HBB1015" s="135"/>
      <c r="HBC1015" s="135"/>
      <c r="HBD1015" s="135"/>
      <c r="HBE1015" s="135"/>
      <c r="HBF1015" s="135"/>
      <c r="HBG1015" s="135"/>
      <c r="HBH1015" s="135"/>
      <c r="HBI1015" s="135"/>
      <c r="HBJ1015" s="135"/>
      <c r="HBK1015" s="135"/>
      <c r="HBL1015" s="135"/>
      <c r="HBM1015" s="135"/>
      <c r="HBN1015" s="135"/>
      <c r="HBO1015" s="135"/>
      <c r="HBP1015" s="135"/>
      <c r="HBQ1015" s="135"/>
      <c r="HBR1015" s="135"/>
      <c r="HBS1015" s="135"/>
      <c r="HBT1015" s="135"/>
      <c r="HBU1015" s="135"/>
      <c r="HBV1015" s="135"/>
      <c r="HBW1015" s="135"/>
      <c r="HBX1015" s="135"/>
      <c r="HBY1015" s="135"/>
      <c r="HBZ1015" s="135"/>
      <c r="HCA1015" s="135"/>
      <c r="HCB1015" s="135"/>
      <c r="HCC1015" s="135"/>
      <c r="HCD1015" s="135"/>
      <c r="HCE1015" s="135"/>
      <c r="HCF1015" s="135"/>
      <c r="HCG1015" s="135"/>
      <c r="HCH1015" s="135"/>
      <c r="HCI1015" s="135"/>
      <c r="HCJ1015" s="135"/>
      <c r="HCK1015" s="135"/>
      <c r="HCL1015" s="135"/>
      <c r="HCM1015" s="135"/>
      <c r="HCN1015" s="135"/>
      <c r="HCO1015" s="135"/>
      <c r="HCP1015" s="135"/>
      <c r="HCQ1015" s="135"/>
      <c r="HCR1015" s="135"/>
      <c r="HCS1015" s="135"/>
      <c r="HCT1015" s="135"/>
      <c r="HCU1015" s="135"/>
      <c r="HCV1015" s="135"/>
      <c r="HCW1015" s="135"/>
      <c r="HCX1015" s="135"/>
      <c r="HCY1015" s="135"/>
      <c r="HCZ1015" s="135"/>
      <c r="HDA1015" s="135"/>
      <c r="HDB1015" s="135"/>
      <c r="HDC1015" s="135"/>
      <c r="HDD1015" s="135"/>
      <c r="HDE1015" s="135"/>
      <c r="HDF1015" s="135"/>
      <c r="HDG1015" s="135"/>
      <c r="HDH1015" s="135"/>
      <c r="HDI1015" s="135"/>
      <c r="HDJ1015" s="135"/>
      <c r="HDK1015" s="135"/>
      <c r="HDL1015" s="135"/>
      <c r="HDM1015" s="135"/>
      <c r="HDN1015" s="135"/>
      <c r="HDO1015" s="135"/>
      <c r="HDP1015" s="135"/>
      <c r="HDQ1015" s="135"/>
      <c r="HDR1015" s="135"/>
      <c r="HDS1015" s="135"/>
      <c r="HDT1015" s="135"/>
      <c r="HDU1015" s="135"/>
      <c r="HDV1015" s="135"/>
      <c r="HDW1015" s="135"/>
      <c r="HDX1015" s="135"/>
      <c r="HDY1015" s="135"/>
      <c r="HDZ1015" s="135"/>
      <c r="HEA1015" s="135"/>
      <c r="HEB1015" s="135"/>
      <c r="HEC1015" s="135"/>
      <c r="HED1015" s="135"/>
      <c r="HEE1015" s="135"/>
      <c r="HEF1015" s="135"/>
      <c r="HEG1015" s="135"/>
      <c r="HEH1015" s="135"/>
      <c r="HEI1015" s="135"/>
      <c r="HEJ1015" s="135"/>
      <c r="HEK1015" s="135"/>
      <c r="HEL1015" s="135"/>
      <c r="HEM1015" s="135"/>
      <c r="HEN1015" s="135"/>
      <c r="HEO1015" s="135"/>
      <c r="HEP1015" s="135"/>
      <c r="HEQ1015" s="135"/>
      <c r="HER1015" s="135"/>
      <c r="HES1015" s="135"/>
      <c r="HET1015" s="135"/>
      <c r="HEU1015" s="135"/>
      <c r="HEV1015" s="135"/>
      <c r="HEW1015" s="135"/>
      <c r="HEX1015" s="135"/>
      <c r="HEY1015" s="135"/>
      <c r="HEZ1015" s="135"/>
      <c r="HFA1015" s="135"/>
      <c r="HFB1015" s="135"/>
      <c r="HFC1015" s="135"/>
      <c r="HFD1015" s="135"/>
      <c r="HFE1015" s="135"/>
      <c r="HFF1015" s="135"/>
      <c r="HFG1015" s="135"/>
      <c r="HFH1015" s="135"/>
      <c r="HFI1015" s="135"/>
      <c r="HFJ1015" s="135"/>
      <c r="HFK1015" s="135"/>
      <c r="HFL1015" s="135"/>
      <c r="HFM1015" s="135"/>
      <c r="HFN1015" s="135"/>
      <c r="HFO1015" s="135"/>
      <c r="HFP1015" s="135"/>
      <c r="HFQ1015" s="135"/>
      <c r="HFR1015" s="135"/>
      <c r="HFS1015" s="135"/>
      <c r="HFT1015" s="135"/>
      <c r="HFU1015" s="135"/>
      <c r="HFV1015" s="135"/>
      <c r="HFW1015" s="135"/>
      <c r="HFX1015" s="135"/>
      <c r="HFY1015" s="135"/>
      <c r="HFZ1015" s="135"/>
      <c r="HGA1015" s="135"/>
      <c r="HGB1015" s="135"/>
      <c r="HGC1015" s="135"/>
      <c r="HGD1015" s="135"/>
      <c r="HGE1015" s="135"/>
      <c r="HGF1015" s="135"/>
      <c r="HGG1015" s="135"/>
      <c r="HGH1015" s="135"/>
      <c r="HGI1015" s="135"/>
      <c r="HGJ1015" s="135"/>
      <c r="HGK1015" s="135"/>
      <c r="HGL1015" s="135"/>
      <c r="HGM1015" s="135"/>
      <c r="HGN1015" s="135"/>
      <c r="HGO1015" s="135"/>
      <c r="HGP1015" s="135"/>
      <c r="HGQ1015" s="135"/>
      <c r="HGR1015" s="135"/>
      <c r="HGS1015" s="135"/>
      <c r="HGT1015" s="135"/>
      <c r="HGU1015" s="135"/>
      <c r="HGV1015" s="135"/>
      <c r="HGW1015" s="135"/>
      <c r="HGX1015" s="135"/>
      <c r="HGY1015" s="135"/>
      <c r="HGZ1015" s="135"/>
      <c r="HHA1015" s="135"/>
      <c r="HHB1015" s="135"/>
      <c r="HHC1015" s="135"/>
      <c r="HHD1015" s="135"/>
      <c r="HHE1015" s="135"/>
      <c r="HHF1015" s="135"/>
      <c r="HHG1015" s="135"/>
      <c r="HHH1015" s="135"/>
      <c r="HHI1015" s="135"/>
      <c r="HHJ1015" s="135"/>
      <c r="HHK1015" s="135"/>
      <c r="HHL1015" s="135"/>
      <c r="HHM1015" s="135"/>
      <c r="HHN1015" s="135"/>
      <c r="HHO1015" s="135"/>
      <c r="HHP1015" s="135"/>
      <c r="HHQ1015" s="135"/>
      <c r="HHR1015" s="135"/>
      <c r="HHS1015" s="135"/>
      <c r="HHT1015" s="135"/>
      <c r="HHU1015" s="135"/>
      <c r="HHV1015" s="135"/>
      <c r="HHW1015" s="135"/>
      <c r="HHX1015" s="135"/>
      <c r="HHY1015" s="135"/>
      <c r="HHZ1015" s="135"/>
      <c r="HIA1015" s="135"/>
      <c r="HIB1015" s="135"/>
      <c r="HIC1015" s="135"/>
      <c r="HID1015" s="135"/>
      <c r="HIE1015" s="135"/>
      <c r="HIF1015" s="135"/>
      <c r="HIG1015" s="135"/>
      <c r="HIH1015" s="135"/>
      <c r="HII1015" s="135"/>
      <c r="HIJ1015" s="135"/>
      <c r="HIK1015" s="135"/>
      <c r="HIL1015" s="135"/>
      <c r="HIM1015" s="135"/>
      <c r="HIN1015" s="135"/>
      <c r="HIO1015" s="135"/>
      <c r="HIP1015" s="135"/>
      <c r="HIQ1015" s="135"/>
      <c r="HIR1015" s="135"/>
      <c r="HIS1015" s="135"/>
      <c r="HIT1015" s="135"/>
      <c r="HIU1015" s="135"/>
      <c r="HIV1015" s="135"/>
      <c r="HIW1015" s="135"/>
      <c r="HIX1015" s="135"/>
      <c r="HIY1015" s="135"/>
      <c r="HIZ1015" s="135"/>
      <c r="HJA1015" s="135"/>
      <c r="HJB1015" s="135"/>
      <c r="HJC1015" s="135"/>
      <c r="HJD1015" s="135"/>
      <c r="HJE1015" s="135"/>
      <c r="HJF1015" s="135"/>
      <c r="HJG1015" s="135"/>
      <c r="HJH1015" s="135"/>
      <c r="HJI1015" s="135"/>
      <c r="HJJ1015" s="135"/>
      <c r="HJK1015" s="135"/>
      <c r="HJL1015" s="135"/>
      <c r="HJM1015" s="135"/>
      <c r="HJN1015" s="135"/>
      <c r="HJO1015" s="135"/>
      <c r="HJP1015" s="135"/>
      <c r="HJQ1015" s="135"/>
      <c r="HJR1015" s="135"/>
      <c r="HJS1015" s="135"/>
      <c r="HJT1015" s="135"/>
      <c r="HJU1015" s="135"/>
      <c r="HJV1015" s="135"/>
      <c r="HJW1015" s="135"/>
      <c r="HJX1015" s="135"/>
      <c r="HJY1015" s="135"/>
      <c r="HJZ1015" s="135"/>
      <c r="HKA1015" s="135"/>
      <c r="HKB1015" s="135"/>
      <c r="HKC1015" s="135"/>
      <c r="HKD1015" s="135"/>
      <c r="HKE1015" s="135"/>
      <c r="HKF1015" s="135"/>
      <c r="HKG1015" s="135"/>
      <c r="HKH1015" s="135"/>
      <c r="HKI1015" s="135"/>
      <c r="HKJ1015" s="135"/>
      <c r="HKK1015" s="135"/>
      <c r="HKL1015" s="135"/>
      <c r="HKM1015" s="135"/>
      <c r="HKN1015" s="135"/>
      <c r="HKO1015" s="135"/>
      <c r="HKP1015" s="135"/>
      <c r="HKQ1015" s="135"/>
      <c r="HKR1015" s="135"/>
      <c r="HKS1015" s="135"/>
      <c r="HKT1015" s="135"/>
      <c r="HKU1015" s="135"/>
      <c r="HKV1015" s="135"/>
      <c r="HKW1015" s="135"/>
      <c r="HKX1015" s="135"/>
      <c r="HKY1015" s="135"/>
      <c r="HKZ1015" s="135"/>
      <c r="HLA1015" s="135"/>
      <c r="HLB1015" s="135"/>
      <c r="HLC1015" s="135"/>
      <c r="HLD1015" s="135"/>
      <c r="HLE1015" s="135"/>
      <c r="HLF1015" s="135"/>
      <c r="HLG1015" s="135"/>
      <c r="HLH1015" s="135"/>
      <c r="HLI1015" s="135"/>
      <c r="HLJ1015" s="135"/>
      <c r="HLK1015" s="135"/>
      <c r="HLL1015" s="135"/>
      <c r="HLM1015" s="135"/>
      <c r="HLN1015" s="135"/>
      <c r="HLO1015" s="135"/>
      <c r="HLP1015" s="135"/>
      <c r="HLQ1015" s="135"/>
      <c r="HLR1015" s="135"/>
      <c r="HLS1015" s="135"/>
      <c r="HLT1015" s="135"/>
      <c r="HLU1015" s="135"/>
      <c r="HLV1015" s="135"/>
      <c r="HLW1015" s="135"/>
      <c r="HLX1015" s="135"/>
      <c r="HLY1015" s="135"/>
      <c r="HLZ1015" s="135"/>
      <c r="HMA1015" s="135"/>
      <c r="HMB1015" s="135"/>
      <c r="HMC1015" s="135"/>
      <c r="HMD1015" s="135"/>
      <c r="HME1015" s="135"/>
      <c r="HMF1015" s="135"/>
      <c r="HMG1015" s="135"/>
      <c r="HMH1015" s="135"/>
      <c r="HMI1015" s="135"/>
      <c r="HMJ1015" s="135"/>
      <c r="HMK1015" s="135"/>
      <c r="HML1015" s="135"/>
      <c r="HMM1015" s="135"/>
      <c r="HMN1015" s="135"/>
      <c r="HMO1015" s="135"/>
      <c r="HMP1015" s="135"/>
      <c r="HMQ1015" s="135"/>
      <c r="HMR1015" s="135"/>
      <c r="HMS1015" s="135"/>
      <c r="HMT1015" s="135"/>
      <c r="HMU1015" s="135"/>
      <c r="HMV1015" s="135"/>
      <c r="HMW1015" s="135"/>
      <c r="HMX1015" s="135"/>
      <c r="HMY1015" s="135"/>
      <c r="HMZ1015" s="135"/>
      <c r="HNA1015" s="135"/>
      <c r="HNB1015" s="135"/>
      <c r="HNC1015" s="135"/>
      <c r="HND1015" s="135"/>
      <c r="HNE1015" s="135"/>
      <c r="HNF1015" s="135"/>
      <c r="HNG1015" s="135"/>
      <c r="HNH1015" s="135"/>
      <c r="HNI1015" s="135"/>
      <c r="HNJ1015" s="135"/>
      <c r="HNK1015" s="135"/>
      <c r="HNL1015" s="135"/>
      <c r="HNM1015" s="135"/>
      <c r="HNN1015" s="135"/>
      <c r="HNO1015" s="135"/>
      <c r="HNP1015" s="135"/>
      <c r="HNQ1015" s="135"/>
      <c r="HNR1015" s="135"/>
      <c r="HNS1015" s="135"/>
      <c r="HNT1015" s="135"/>
      <c r="HNU1015" s="135"/>
      <c r="HNV1015" s="135"/>
      <c r="HNW1015" s="135"/>
      <c r="HNX1015" s="135"/>
      <c r="HNY1015" s="135"/>
      <c r="HNZ1015" s="135"/>
      <c r="HOA1015" s="135"/>
      <c r="HOB1015" s="135"/>
      <c r="HOC1015" s="135"/>
      <c r="HOD1015" s="135"/>
      <c r="HOE1015" s="135"/>
      <c r="HOF1015" s="135"/>
      <c r="HOG1015" s="135"/>
      <c r="HOH1015" s="135"/>
      <c r="HOI1015" s="135"/>
      <c r="HOJ1015" s="135"/>
      <c r="HOK1015" s="135"/>
      <c r="HOL1015" s="135"/>
      <c r="HOM1015" s="135"/>
      <c r="HON1015" s="135"/>
      <c r="HOO1015" s="135"/>
      <c r="HOP1015" s="135"/>
      <c r="HOQ1015" s="135"/>
      <c r="HOR1015" s="135"/>
      <c r="HOS1015" s="135"/>
      <c r="HOT1015" s="135"/>
      <c r="HOU1015" s="135"/>
      <c r="HOV1015" s="135"/>
      <c r="HOW1015" s="135"/>
      <c r="HOX1015" s="135"/>
      <c r="HOY1015" s="135"/>
      <c r="HOZ1015" s="135"/>
      <c r="HPA1015" s="135"/>
      <c r="HPB1015" s="135"/>
      <c r="HPC1015" s="135"/>
      <c r="HPD1015" s="135"/>
      <c r="HPE1015" s="135"/>
      <c r="HPF1015" s="135"/>
      <c r="HPG1015" s="135"/>
      <c r="HPH1015" s="135"/>
      <c r="HPI1015" s="135"/>
      <c r="HPJ1015" s="135"/>
      <c r="HPK1015" s="135"/>
      <c r="HPL1015" s="135"/>
      <c r="HPM1015" s="135"/>
      <c r="HPN1015" s="135"/>
      <c r="HPO1015" s="135"/>
      <c r="HPP1015" s="135"/>
      <c r="HPQ1015" s="135"/>
      <c r="HPR1015" s="135"/>
      <c r="HPS1015" s="135"/>
      <c r="HPT1015" s="135"/>
      <c r="HPU1015" s="135"/>
      <c r="HPV1015" s="135"/>
      <c r="HPW1015" s="135"/>
      <c r="HPX1015" s="135"/>
      <c r="HPY1015" s="135"/>
      <c r="HPZ1015" s="135"/>
      <c r="HQA1015" s="135"/>
      <c r="HQB1015" s="135"/>
      <c r="HQC1015" s="135"/>
      <c r="HQD1015" s="135"/>
      <c r="HQE1015" s="135"/>
      <c r="HQF1015" s="135"/>
      <c r="HQG1015" s="135"/>
      <c r="HQH1015" s="135"/>
      <c r="HQI1015" s="135"/>
      <c r="HQJ1015" s="135"/>
      <c r="HQK1015" s="135"/>
      <c r="HQL1015" s="135"/>
      <c r="HQM1015" s="135"/>
      <c r="HQN1015" s="135"/>
      <c r="HQO1015" s="135"/>
      <c r="HQP1015" s="135"/>
      <c r="HQQ1015" s="135"/>
      <c r="HQR1015" s="135"/>
      <c r="HQS1015" s="135"/>
      <c r="HQT1015" s="135"/>
      <c r="HQU1015" s="135"/>
      <c r="HQV1015" s="135"/>
      <c r="HQW1015" s="135"/>
      <c r="HQX1015" s="135"/>
      <c r="HQY1015" s="135"/>
      <c r="HQZ1015" s="135"/>
      <c r="HRA1015" s="135"/>
      <c r="HRB1015" s="135"/>
      <c r="HRC1015" s="135"/>
      <c r="HRD1015" s="135"/>
      <c r="HRE1015" s="135"/>
      <c r="HRF1015" s="135"/>
      <c r="HRG1015" s="135"/>
      <c r="HRH1015" s="135"/>
      <c r="HRI1015" s="135"/>
      <c r="HRJ1015" s="135"/>
      <c r="HRK1015" s="135"/>
      <c r="HRL1015" s="135"/>
      <c r="HRM1015" s="135"/>
      <c r="HRN1015" s="135"/>
      <c r="HRO1015" s="135"/>
      <c r="HRP1015" s="135"/>
      <c r="HRQ1015" s="135"/>
      <c r="HRR1015" s="135"/>
      <c r="HRS1015" s="135"/>
      <c r="HRT1015" s="135"/>
      <c r="HRU1015" s="135"/>
      <c r="HRV1015" s="135"/>
      <c r="HRW1015" s="135"/>
      <c r="HRX1015" s="135"/>
      <c r="HRY1015" s="135"/>
      <c r="HRZ1015" s="135"/>
      <c r="HSA1015" s="135"/>
      <c r="HSB1015" s="135"/>
      <c r="HSC1015" s="135"/>
      <c r="HSD1015" s="135"/>
      <c r="HSE1015" s="135"/>
      <c r="HSF1015" s="135"/>
      <c r="HSG1015" s="135"/>
      <c r="HSH1015" s="135"/>
      <c r="HSI1015" s="135"/>
      <c r="HSJ1015" s="135"/>
      <c r="HSK1015" s="135"/>
      <c r="HSL1015" s="135"/>
      <c r="HSM1015" s="135"/>
      <c r="HSN1015" s="135"/>
      <c r="HSO1015" s="135"/>
      <c r="HSP1015" s="135"/>
      <c r="HSQ1015" s="135"/>
      <c r="HSR1015" s="135"/>
      <c r="HSS1015" s="135"/>
      <c r="HST1015" s="135"/>
      <c r="HSU1015" s="135"/>
      <c r="HSV1015" s="135"/>
      <c r="HSW1015" s="135"/>
      <c r="HSX1015" s="135"/>
      <c r="HSY1015" s="135"/>
      <c r="HSZ1015" s="135"/>
      <c r="HTA1015" s="135"/>
      <c r="HTB1015" s="135"/>
      <c r="HTC1015" s="135"/>
      <c r="HTD1015" s="135"/>
      <c r="HTE1015" s="135"/>
      <c r="HTF1015" s="135"/>
      <c r="HTG1015" s="135"/>
      <c r="HTH1015" s="135"/>
      <c r="HTI1015" s="135"/>
      <c r="HTJ1015" s="135"/>
      <c r="HTK1015" s="135"/>
      <c r="HTL1015" s="135"/>
      <c r="HTM1015" s="135"/>
      <c r="HTN1015" s="135"/>
      <c r="HTO1015" s="135"/>
      <c r="HTP1015" s="135"/>
      <c r="HTQ1015" s="135"/>
      <c r="HTR1015" s="135"/>
      <c r="HTS1015" s="135"/>
      <c r="HTT1015" s="135"/>
      <c r="HTU1015" s="135"/>
      <c r="HTV1015" s="135"/>
      <c r="HTW1015" s="135"/>
      <c r="HTX1015" s="135"/>
      <c r="HTY1015" s="135"/>
      <c r="HTZ1015" s="135"/>
      <c r="HUA1015" s="135"/>
      <c r="HUB1015" s="135"/>
      <c r="HUC1015" s="135"/>
      <c r="HUD1015" s="135"/>
      <c r="HUE1015" s="135"/>
      <c r="HUF1015" s="135"/>
      <c r="HUG1015" s="135"/>
      <c r="HUH1015" s="135"/>
      <c r="HUI1015" s="135"/>
      <c r="HUJ1015" s="135"/>
      <c r="HUK1015" s="135"/>
      <c r="HUL1015" s="135"/>
      <c r="HUM1015" s="135"/>
      <c r="HUN1015" s="135"/>
      <c r="HUO1015" s="135"/>
      <c r="HUP1015" s="135"/>
      <c r="HUQ1015" s="135"/>
      <c r="HUR1015" s="135"/>
      <c r="HUS1015" s="135"/>
      <c r="HUT1015" s="135"/>
      <c r="HUU1015" s="135"/>
      <c r="HUV1015" s="135"/>
      <c r="HUW1015" s="135"/>
      <c r="HUX1015" s="135"/>
      <c r="HUY1015" s="135"/>
      <c r="HUZ1015" s="135"/>
      <c r="HVA1015" s="135"/>
      <c r="HVB1015" s="135"/>
      <c r="HVC1015" s="135"/>
      <c r="HVD1015" s="135"/>
      <c r="HVE1015" s="135"/>
      <c r="HVF1015" s="135"/>
      <c r="HVG1015" s="135"/>
      <c r="HVH1015" s="135"/>
      <c r="HVI1015" s="135"/>
      <c r="HVJ1015" s="135"/>
      <c r="HVK1015" s="135"/>
      <c r="HVL1015" s="135"/>
      <c r="HVM1015" s="135"/>
      <c r="HVN1015" s="135"/>
      <c r="HVO1015" s="135"/>
      <c r="HVP1015" s="135"/>
      <c r="HVQ1015" s="135"/>
      <c r="HVR1015" s="135"/>
      <c r="HVS1015" s="135"/>
      <c r="HVT1015" s="135"/>
      <c r="HVU1015" s="135"/>
      <c r="HVV1015" s="135"/>
      <c r="HVW1015" s="135"/>
      <c r="HVX1015" s="135"/>
      <c r="HVY1015" s="135"/>
      <c r="HVZ1015" s="135"/>
      <c r="HWA1015" s="135"/>
      <c r="HWB1015" s="135"/>
      <c r="HWC1015" s="135"/>
      <c r="HWD1015" s="135"/>
      <c r="HWE1015" s="135"/>
      <c r="HWF1015" s="135"/>
      <c r="HWG1015" s="135"/>
      <c r="HWH1015" s="135"/>
      <c r="HWI1015" s="135"/>
      <c r="HWJ1015" s="135"/>
      <c r="HWK1015" s="135"/>
      <c r="HWL1015" s="135"/>
      <c r="HWM1015" s="135"/>
      <c r="HWN1015" s="135"/>
      <c r="HWO1015" s="135"/>
      <c r="HWP1015" s="135"/>
      <c r="HWQ1015" s="135"/>
      <c r="HWR1015" s="135"/>
      <c r="HWS1015" s="135"/>
      <c r="HWT1015" s="135"/>
      <c r="HWU1015" s="135"/>
      <c r="HWV1015" s="135"/>
      <c r="HWW1015" s="135"/>
      <c r="HWX1015" s="135"/>
      <c r="HWY1015" s="135"/>
      <c r="HWZ1015" s="135"/>
      <c r="HXA1015" s="135"/>
      <c r="HXB1015" s="135"/>
      <c r="HXC1015" s="135"/>
      <c r="HXD1015" s="135"/>
      <c r="HXE1015" s="135"/>
      <c r="HXF1015" s="135"/>
      <c r="HXG1015" s="135"/>
      <c r="HXH1015" s="135"/>
      <c r="HXI1015" s="135"/>
      <c r="HXJ1015" s="135"/>
      <c r="HXK1015" s="135"/>
      <c r="HXL1015" s="135"/>
      <c r="HXM1015" s="135"/>
      <c r="HXN1015" s="135"/>
      <c r="HXO1015" s="135"/>
      <c r="HXP1015" s="135"/>
      <c r="HXQ1015" s="135"/>
      <c r="HXR1015" s="135"/>
      <c r="HXS1015" s="135"/>
      <c r="HXT1015" s="135"/>
      <c r="HXU1015" s="135"/>
      <c r="HXV1015" s="135"/>
      <c r="HXW1015" s="135"/>
      <c r="HXX1015" s="135"/>
      <c r="HXY1015" s="135"/>
      <c r="HXZ1015" s="135"/>
      <c r="HYA1015" s="135"/>
      <c r="HYB1015" s="135"/>
      <c r="HYC1015" s="135"/>
      <c r="HYD1015" s="135"/>
      <c r="HYE1015" s="135"/>
      <c r="HYF1015" s="135"/>
      <c r="HYG1015" s="135"/>
      <c r="HYH1015" s="135"/>
      <c r="HYI1015" s="135"/>
      <c r="HYJ1015" s="135"/>
      <c r="HYK1015" s="135"/>
      <c r="HYL1015" s="135"/>
      <c r="HYM1015" s="135"/>
      <c r="HYN1015" s="135"/>
      <c r="HYO1015" s="135"/>
      <c r="HYP1015" s="135"/>
      <c r="HYQ1015" s="135"/>
      <c r="HYR1015" s="135"/>
      <c r="HYS1015" s="135"/>
      <c r="HYT1015" s="135"/>
      <c r="HYU1015" s="135"/>
      <c r="HYV1015" s="135"/>
      <c r="HYW1015" s="135"/>
      <c r="HYX1015" s="135"/>
      <c r="HYY1015" s="135"/>
      <c r="HYZ1015" s="135"/>
      <c r="HZA1015" s="135"/>
      <c r="HZB1015" s="135"/>
      <c r="HZC1015" s="135"/>
      <c r="HZD1015" s="135"/>
      <c r="HZE1015" s="135"/>
      <c r="HZF1015" s="135"/>
      <c r="HZG1015" s="135"/>
      <c r="HZH1015" s="135"/>
      <c r="HZI1015" s="135"/>
      <c r="HZJ1015" s="135"/>
      <c r="HZK1015" s="135"/>
      <c r="HZL1015" s="135"/>
      <c r="HZM1015" s="135"/>
      <c r="HZN1015" s="135"/>
      <c r="HZO1015" s="135"/>
      <c r="HZP1015" s="135"/>
      <c r="HZQ1015" s="135"/>
      <c r="HZR1015" s="135"/>
      <c r="HZS1015" s="135"/>
      <c r="HZT1015" s="135"/>
      <c r="HZU1015" s="135"/>
      <c r="HZV1015" s="135"/>
      <c r="HZW1015" s="135"/>
      <c r="HZX1015" s="135"/>
      <c r="HZY1015" s="135"/>
      <c r="HZZ1015" s="135"/>
      <c r="IAA1015" s="135"/>
      <c r="IAB1015" s="135"/>
      <c r="IAC1015" s="135"/>
      <c r="IAD1015" s="135"/>
      <c r="IAE1015" s="135"/>
      <c r="IAF1015" s="135"/>
      <c r="IAG1015" s="135"/>
      <c r="IAH1015" s="135"/>
      <c r="IAI1015" s="135"/>
      <c r="IAJ1015" s="135"/>
      <c r="IAK1015" s="135"/>
      <c r="IAL1015" s="135"/>
      <c r="IAM1015" s="135"/>
      <c r="IAN1015" s="135"/>
      <c r="IAO1015" s="135"/>
      <c r="IAP1015" s="135"/>
      <c r="IAQ1015" s="135"/>
      <c r="IAR1015" s="135"/>
      <c r="IAS1015" s="135"/>
      <c r="IAT1015" s="135"/>
      <c r="IAU1015" s="135"/>
      <c r="IAV1015" s="135"/>
      <c r="IAW1015" s="135"/>
      <c r="IAX1015" s="135"/>
      <c r="IAY1015" s="135"/>
      <c r="IAZ1015" s="135"/>
      <c r="IBA1015" s="135"/>
      <c r="IBB1015" s="135"/>
      <c r="IBC1015" s="135"/>
      <c r="IBD1015" s="135"/>
      <c r="IBE1015" s="135"/>
      <c r="IBF1015" s="135"/>
      <c r="IBG1015" s="135"/>
      <c r="IBH1015" s="135"/>
      <c r="IBI1015" s="135"/>
      <c r="IBJ1015" s="135"/>
      <c r="IBK1015" s="135"/>
      <c r="IBL1015" s="135"/>
      <c r="IBM1015" s="135"/>
      <c r="IBN1015" s="135"/>
      <c r="IBO1015" s="135"/>
      <c r="IBP1015" s="135"/>
      <c r="IBQ1015" s="135"/>
      <c r="IBR1015" s="135"/>
      <c r="IBS1015" s="135"/>
      <c r="IBT1015" s="135"/>
      <c r="IBU1015" s="135"/>
      <c r="IBV1015" s="135"/>
      <c r="IBW1015" s="135"/>
      <c r="IBX1015" s="135"/>
      <c r="IBY1015" s="135"/>
      <c r="IBZ1015" s="135"/>
      <c r="ICA1015" s="135"/>
      <c r="ICB1015" s="135"/>
      <c r="ICC1015" s="135"/>
      <c r="ICD1015" s="135"/>
      <c r="ICE1015" s="135"/>
      <c r="ICF1015" s="135"/>
      <c r="ICG1015" s="135"/>
      <c r="ICH1015" s="135"/>
      <c r="ICI1015" s="135"/>
      <c r="ICJ1015" s="135"/>
      <c r="ICK1015" s="135"/>
      <c r="ICL1015" s="135"/>
      <c r="ICM1015" s="135"/>
      <c r="ICN1015" s="135"/>
      <c r="ICO1015" s="135"/>
      <c r="ICP1015" s="135"/>
      <c r="ICQ1015" s="135"/>
      <c r="ICR1015" s="135"/>
      <c r="ICS1015" s="135"/>
      <c r="ICT1015" s="135"/>
      <c r="ICU1015" s="135"/>
      <c r="ICV1015" s="135"/>
      <c r="ICW1015" s="135"/>
      <c r="ICX1015" s="135"/>
      <c r="ICY1015" s="135"/>
      <c r="ICZ1015" s="135"/>
      <c r="IDA1015" s="135"/>
      <c r="IDB1015" s="135"/>
      <c r="IDC1015" s="135"/>
      <c r="IDD1015" s="135"/>
      <c r="IDE1015" s="135"/>
      <c r="IDF1015" s="135"/>
      <c r="IDG1015" s="135"/>
      <c r="IDH1015" s="135"/>
      <c r="IDI1015" s="135"/>
      <c r="IDJ1015" s="135"/>
      <c r="IDK1015" s="135"/>
      <c r="IDL1015" s="135"/>
      <c r="IDM1015" s="135"/>
      <c r="IDN1015" s="135"/>
      <c r="IDO1015" s="135"/>
      <c r="IDP1015" s="135"/>
      <c r="IDQ1015" s="135"/>
      <c r="IDR1015" s="135"/>
      <c r="IDS1015" s="135"/>
      <c r="IDT1015" s="135"/>
      <c r="IDU1015" s="135"/>
      <c r="IDV1015" s="135"/>
      <c r="IDW1015" s="135"/>
      <c r="IDX1015" s="135"/>
      <c r="IDY1015" s="135"/>
      <c r="IDZ1015" s="135"/>
      <c r="IEA1015" s="135"/>
      <c r="IEB1015" s="135"/>
      <c r="IEC1015" s="135"/>
      <c r="IED1015" s="135"/>
      <c r="IEE1015" s="135"/>
      <c r="IEF1015" s="135"/>
      <c r="IEG1015" s="135"/>
      <c r="IEH1015" s="135"/>
      <c r="IEI1015" s="135"/>
      <c r="IEJ1015" s="135"/>
      <c r="IEK1015" s="135"/>
      <c r="IEL1015" s="135"/>
      <c r="IEM1015" s="135"/>
      <c r="IEN1015" s="135"/>
      <c r="IEO1015" s="135"/>
      <c r="IEP1015" s="135"/>
      <c r="IEQ1015" s="135"/>
      <c r="IER1015" s="135"/>
      <c r="IES1015" s="135"/>
      <c r="IET1015" s="135"/>
      <c r="IEU1015" s="135"/>
      <c r="IEV1015" s="135"/>
      <c r="IEW1015" s="135"/>
      <c r="IEX1015" s="135"/>
      <c r="IEY1015" s="135"/>
      <c r="IEZ1015" s="135"/>
      <c r="IFA1015" s="135"/>
      <c r="IFB1015" s="135"/>
      <c r="IFC1015" s="135"/>
      <c r="IFD1015" s="135"/>
      <c r="IFE1015" s="135"/>
      <c r="IFF1015" s="135"/>
      <c r="IFG1015" s="135"/>
      <c r="IFH1015" s="135"/>
      <c r="IFI1015" s="135"/>
      <c r="IFJ1015" s="135"/>
      <c r="IFK1015" s="135"/>
      <c r="IFL1015" s="135"/>
      <c r="IFM1015" s="135"/>
      <c r="IFN1015" s="135"/>
      <c r="IFO1015" s="135"/>
      <c r="IFP1015" s="135"/>
      <c r="IFQ1015" s="135"/>
      <c r="IFR1015" s="135"/>
      <c r="IFS1015" s="135"/>
      <c r="IFT1015" s="135"/>
      <c r="IFU1015" s="135"/>
      <c r="IFV1015" s="135"/>
      <c r="IFW1015" s="135"/>
      <c r="IFX1015" s="135"/>
      <c r="IFY1015" s="135"/>
      <c r="IFZ1015" s="135"/>
      <c r="IGA1015" s="135"/>
      <c r="IGB1015" s="135"/>
      <c r="IGC1015" s="135"/>
      <c r="IGD1015" s="135"/>
      <c r="IGE1015" s="135"/>
      <c r="IGF1015" s="135"/>
      <c r="IGG1015" s="135"/>
      <c r="IGH1015" s="135"/>
      <c r="IGI1015" s="135"/>
      <c r="IGJ1015" s="135"/>
      <c r="IGK1015" s="135"/>
      <c r="IGL1015" s="135"/>
      <c r="IGM1015" s="135"/>
      <c r="IGN1015" s="135"/>
      <c r="IGO1015" s="135"/>
      <c r="IGP1015" s="135"/>
      <c r="IGQ1015" s="135"/>
      <c r="IGR1015" s="135"/>
      <c r="IGS1015" s="135"/>
      <c r="IGT1015" s="135"/>
      <c r="IGU1015" s="135"/>
      <c r="IGV1015" s="135"/>
      <c r="IGW1015" s="135"/>
      <c r="IGX1015" s="135"/>
      <c r="IGY1015" s="135"/>
      <c r="IGZ1015" s="135"/>
      <c r="IHA1015" s="135"/>
      <c r="IHB1015" s="135"/>
      <c r="IHC1015" s="135"/>
      <c r="IHD1015" s="135"/>
      <c r="IHE1015" s="135"/>
      <c r="IHF1015" s="135"/>
      <c r="IHG1015" s="135"/>
      <c r="IHH1015" s="135"/>
      <c r="IHI1015" s="135"/>
      <c r="IHJ1015" s="135"/>
      <c r="IHK1015" s="135"/>
      <c r="IHL1015" s="135"/>
      <c r="IHM1015" s="135"/>
      <c r="IHN1015" s="135"/>
      <c r="IHO1015" s="135"/>
      <c r="IHP1015" s="135"/>
      <c r="IHQ1015" s="135"/>
      <c r="IHR1015" s="135"/>
      <c r="IHS1015" s="135"/>
      <c r="IHT1015" s="135"/>
      <c r="IHU1015" s="135"/>
      <c r="IHV1015" s="135"/>
      <c r="IHW1015" s="135"/>
      <c r="IHX1015" s="135"/>
      <c r="IHY1015" s="135"/>
      <c r="IHZ1015" s="135"/>
      <c r="IIA1015" s="135"/>
      <c r="IIB1015" s="135"/>
      <c r="IIC1015" s="135"/>
      <c r="IID1015" s="135"/>
      <c r="IIE1015" s="135"/>
      <c r="IIF1015" s="135"/>
      <c r="IIG1015" s="135"/>
      <c r="IIH1015" s="135"/>
      <c r="III1015" s="135"/>
      <c r="IIJ1015" s="135"/>
      <c r="IIK1015" s="135"/>
      <c r="IIL1015" s="135"/>
      <c r="IIM1015" s="135"/>
      <c r="IIN1015" s="135"/>
      <c r="IIO1015" s="135"/>
      <c r="IIP1015" s="135"/>
      <c r="IIQ1015" s="135"/>
      <c r="IIR1015" s="135"/>
      <c r="IIS1015" s="135"/>
      <c r="IIT1015" s="135"/>
      <c r="IIU1015" s="135"/>
      <c r="IIV1015" s="135"/>
      <c r="IIW1015" s="135"/>
      <c r="IIX1015" s="135"/>
      <c r="IIY1015" s="135"/>
      <c r="IIZ1015" s="135"/>
      <c r="IJA1015" s="135"/>
      <c r="IJB1015" s="135"/>
      <c r="IJC1015" s="135"/>
      <c r="IJD1015" s="135"/>
      <c r="IJE1015" s="135"/>
      <c r="IJF1015" s="135"/>
      <c r="IJG1015" s="135"/>
      <c r="IJH1015" s="135"/>
      <c r="IJI1015" s="135"/>
      <c r="IJJ1015" s="135"/>
      <c r="IJK1015" s="135"/>
      <c r="IJL1015" s="135"/>
      <c r="IJM1015" s="135"/>
      <c r="IJN1015" s="135"/>
      <c r="IJO1015" s="135"/>
      <c r="IJP1015" s="135"/>
      <c r="IJQ1015" s="135"/>
      <c r="IJR1015" s="135"/>
      <c r="IJS1015" s="135"/>
      <c r="IJT1015" s="135"/>
      <c r="IJU1015" s="135"/>
      <c r="IJV1015" s="135"/>
      <c r="IJW1015" s="135"/>
      <c r="IJX1015" s="135"/>
      <c r="IJY1015" s="135"/>
      <c r="IJZ1015" s="135"/>
      <c r="IKA1015" s="135"/>
      <c r="IKB1015" s="135"/>
      <c r="IKC1015" s="135"/>
      <c r="IKD1015" s="135"/>
      <c r="IKE1015" s="135"/>
      <c r="IKF1015" s="135"/>
      <c r="IKG1015" s="135"/>
      <c r="IKH1015" s="135"/>
      <c r="IKI1015" s="135"/>
      <c r="IKJ1015" s="135"/>
      <c r="IKK1015" s="135"/>
      <c r="IKL1015" s="135"/>
      <c r="IKM1015" s="135"/>
      <c r="IKN1015" s="135"/>
      <c r="IKO1015" s="135"/>
      <c r="IKP1015" s="135"/>
      <c r="IKQ1015" s="135"/>
      <c r="IKR1015" s="135"/>
      <c r="IKS1015" s="135"/>
      <c r="IKT1015" s="135"/>
      <c r="IKU1015" s="135"/>
      <c r="IKV1015" s="135"/>
      <c r="IKW1015" s="135"/>
      <c r="IKX1015" s="135"/>
      <c r="IKY1015" s="135"/>
      <c r="IKZ1015" s="135"/>
      <c r="ILA1015" s="135"/>
      <c r="ILB1015" s="135"/>
      <c r="ILC1015" s="135"/>
      <c r="ILD1015" s="135"/>
      <c r="ILE1015" s="135"/>
      <c r="ILF1015" s="135"/>
      <c r="ILG1015" s="135"/>
      <c r="ILH1015" s="135"/>
      <c r="ILI1015" s="135"/>
      <c r="ILJ1015" s="135"/>
      <c r="ILK1015" s="135"/>
      <c r="ILL1015" s="135"/>
      <c r="ILM1015" s="135"/>
      <c r="ILN1015" s="135"/>
      <c r="ILO1015" s="135"/>
      <c r="ILP1015" s="135"/>
      <c r="ILQ1015" s="135"/>
      <c r="ILR1015" s="135"/>
      <c r="ILS1015" s="135"/>
      <c r="ILT1015" s="135"/>
      <c r="ILU1015" s="135"/>
      <c r="ILV1015" s="135"/>
      <c r="ILW1015" s="135"/>
      <c r="ILX1015" s="135"/>
      <c r="ILY1015" s="135"/>
      <c r="ILZ1015" s="135"/>
      <c r="IMA1015" s="135"/>
      <c r="IMB1015" s="135"/>
      <c r="IMC1015" s="135"/>
      <c r="IMD1015" s="135"/>
      <c r="IME1015" s="135"/>
      <c r="IMF1015" s="135"/>
      <c r="IMG1015" s="135"/>
      <c r="IMH1015" s="135"/>
      <c r="IMI1015" s="135"/>
      <c r="IMJ1015" s="135"/>
      <c r="IMK1015" s="135"/>
      <c r="IML1015" s="135"/>
      <c r="IMM1015" s="135"/>
      <c r="IMN1015" s="135"/>
      <c r="IMO1015" s="135"/>
      <c r="IMP1015" s="135"/>
      <c r="IMQ1015" s="135"/>
      <c r="IMR1015" s="135"/>
      <c r="IMS1015" s="135"/>
      <c r="IMT1015" s="135"/>
      <c r="IMU1015" s="135"/>
      <c r="IMV1015" s="135"/>
      <c r="IMW1015" s="135"/>
      <c r="IMX1015" s="135"/>
      <c r="IMY1015" s="135"/>
      <c r="IMZ1015" s="135"/>
      <c r="INA1015" s="135"/>
      <c r="INB1015" s="135"/>
      <c r="INC1015" s="135"/>
      <c r="IND1015" s="135"/>
      <c r="INE1015" s="135"/>
      <c r="INF1015" s="135"/>
      <c r="ING1015" s="135"/>
      <c r="INH1015" s="135"/>
      <c r="INI1015" s="135"/>
      <c r="INJ1015" s="135"/>
      <c r="INK1015" s="135"/>
      <c r="INL1015" s="135"/>
      <c r="INM1015" s="135"/>
      <c r="INN1015" s="135"/>
      <c r="INO1015" s="135"/>
      <c r="INP1015" s="135"/>
      <c r="INQ1015" s="135"/>
      <c r="INR1015" s="135"/>
      <c r="INS1015" s="135"/>
      <c r="INT1015" s="135"/>
      <c r="INU1015" s="135"/>
      <c r="INV1015" s="135"/>
      <c r="INW1015" s="135"/>
      <c r="INX1015" s="135"/>
      <c r="INY1015" s="135"/>
      <c r="INZ1015" s="135"/>
      <c r="IOA1015" s="135"/>
      <c r="IOB1015" s="135"/>
      <c r="IOC1015" s="135"/>
      <c r="IOD1015" s="135"/>
      <c r="IOE1015" s="135"/>
      <c r="IOF1015" s="135"/>
      <c r="IOG1015" s="135"/>
      <c r="IOH1015" s="135"/>
      <c r="IOI1015" s="135"/>
      <c r="IOJ1015" s="135"/>
      <c r="IOK1015" s="135"/>
      <c r="IOL1015" s="135"/>
      <c r="IOM1015" s="135"/>
      <c r="ION1015" s="135"/>
      <c r="IOO1015" s="135"/>
      <c r="IOP1015" s="135"/>
      <c r="IOQ1015" s="135"/>
      <c r="IOR1015" s="135"/>
      <c r="IOS1015" s="135"/>
      <c r="IOT1015" s="135"/>
      <c r="IOU1015" s="135"/>
      <c r="IOV1015" s="135"/>
      <c r="IOW1015" s="135"/>
      <c r="IOX1015" s="135"/>
      <c r="IOY1015" s="135"/>
      <c r="IOZ1015" s="135"/>
      <c r="IPA1015" s="135"/>
      <c r="IPB1015" s="135"/>
      <c r="IPC1015" s="135"/>
      <c r="IPD1015" s="135"/>
      <c r="IPE1015" s="135"/>
      <c r="IPF1015" s="135"/>
      <c r="IPG1015" s="135"/>
      <c r="IPH1015" s="135"/>
      <c r="IPI1015" s="135"/>
      <c r="IPJ1015" s="135"/>
      <c r="IPK1015" s="135"/>
      <c r="IPL1015" s="135"/>
      <c r="IPM1015" s="135"/>
      <c r="IPN1015" s="135"/>
      <c r="IPO1015" s="135"/>
      <c r="IPP1015" s="135"/>
      <c r="IPQ1015" s="135"/>
      <c r="IPR1015" s="135"/>
      <c r="IPS1015" s="135"/>
      <c r="IPT1015" s="135"/>
      <c r="IPU1015" s="135"/>
      <c r="IPV1015" s="135"/>
      <c r="IPW1015" s="135"/>
      <c r="IPX1015" s="135"/>
      <c r="IPY1015" s="135"/>
      <c r="IPZ1015" s="135"/>
      <c r="IQA1015" s="135"/>
      <c r="IQB1015" s="135"/>
      <c r="IQC1015" s="135"/>
      <c r="IQD1015" s="135"/>
      <c r="IQE1015" s="135"/>
      <c r="IQF1015" s="135"/>
      <c r="IQG1015" s="135"/>
      <c r="IQH1015" s="135"/>
      <c r="IQI1015" s="135"/>
      <c r="IQJ1015" s="135"/>
      <c r="IQK1015" s="135"/>
      <c r="IQL1015" s="135"/>
      <c r="IQM1015" s="135"/>
      <c r="IQN1015" s="135"/>
      <c r="IQO1015" s="135"/>
      <c r="IQP1015" s="135"/>
      <c r="IQQ1015" s="135"/>
      <c r="IQR1015" s="135"/>
      <c r="IQS1015" s="135"/>
      <c r="IQT1015" s="135"/>
      <c r="IQU1015" s="135"/>
      <c r="IQV1015" s="135"/>
      <c r="IQW1015" s="135"/>
      <c r="IQX1015" s="135"/>
      <c r="IQY1015" s="135"/>
      <c r="IQZ1015" s="135"/>
      <c r="IRA1015" s="135"/>
      <c r="IRB1015" s="135"/>
      <c r="IRC1015" s="135"/>
      <c r="IRD1015" s="135"/>
      <c r="IRE1015" s="135"/>
      <c r="IRF1015" s="135"/>
      <c r="IRG1015" s="135"/>
      <c r="IRH1015" s="135"/>
      <c r="IRI1015" s="135"/>
      <c r="IRJ1015" s="135"/>
      <c r="IRK1015" s="135"/>
      <c r="IRL1015" s="135"/>
      <c r="IRM1015" s="135"/>
      <c r="IRN1015" s="135"/>
      <c r="IRO1015" s="135"/>
      <c r="IRP1015" s="135"/>
      <c r="IRQ1015" s="135"/>
      <c r="IRR1015" s="135"/>
      <c r="IRS1015" s="135"/>
      <c r="IRT1015" s="135"/>
      <c r="IRU1015" s="135"/>
      <c r="IRV1015" s="135"/>
      <c r="IRW1015" s="135"/>
      <c r="IRX1015" s="135"/>
      <c r="IRY1015" s="135"/>
      <c r="IRZ1015" s="135"/>
      <c r="ISA1015" s="135"/>
      <c r="ISB1015" s="135"/>
      <c r="ISC1015" s="135"/>
      <c r="ISD1015" s="135"/>
      <c r="ISE1015" s="135"/>
      <c r="ISF1015" s="135"/>
      <c r="ISG1015" s="135"/>
      <c r="ISH1015" s="135"/>
      <c r="ISI1015" s="135"/>
      <c r="ISJ1015" s="135"/>
      <c r="ISK1015" s="135"/>
      <c r="ISL1015" s="135"/>
      <c r="ISM1015" s="135"/>
      <c r="ISN1015" s="135"/>
      <c r="ISO1015" s="135"/>
      <c r="ISP1015" s="135"/>
      <c r="ISQ1015" s="135"/>
      <c r="ISR1015" s="135"/>
      <c r="ISS1015" s="135"/>
      <c r="IST1015" s="135"/>
      <c r="ISU1015" s="135"/>
      <c r="ISV1015" s="135"/>
      <c r="ISW1015" s="135"/>
      <c r="ISX1015" s="135"/>
      <c r="ISY1015" s="135"/>
      <c r="ISZ1015" s="135"/>
      <c r="ITA1015" s="135"/>
      <c r="ITB1015" s="135"/>
      <c r="ITC1015" s="135"/>
      <c r="ITD1015" s="135"/>
      <c r="ITE1015" s="135"/>
      <c r="ITF1015" s="135"/>
      <c r="ITG1015" s="135"/>
      <c r="ITH1015" s="135"/>
      <c r="ITI1015" s="135"/>
      <c r="ITJ1015" s="135"/>
      <c r="ITK1015" s="135"/>
      <c r="ITL1015" s="135"/>
      <c r="ITM1015" s="135"/>
      <c r="ITN1015" s="135"/>
      <c r="ITO1015" s="135"/>
      <c r="ITP1015" s="135"/>
      <c r="ITQ1015" s="135"/>
      <c r="ITR1015" s="135"/>
      <c r="ITS1015" s="135"/>
      <c r="ITT1015" s="135"/>
      <c r="ITU1015" s="135"/>
      <c r="ITV1015" s="135"/>
      <c r="ITW1015" s="135"/>
      <c r="ITX1015" s="135"/>
      <c r="ITY1015" s="135"/>
      <c r="ITZ1015" s="135"/>
      <c r="IUA1015" s="135"/>
      <c r="IUB1015" s="135"/>
      <c r="IUC1015" s="135"/>
      <c r="IUD1015" s="135"/>
      <c r="IUE1015" s="135"/>
      <c r="IUF1015" s="135"/>
      <c r="IUG1015" s="135"/>
      <c r="IUH1015" s="135"/>
      <c r="IUI1015" s="135"/>
      <c r="IUJ1015" s="135"/>
      <c r="IUK1015" s="135"/>
      <c r="IUL1015" s="135"/>
      <c r="IUM1015" s="135"/>
      <c r="IUN1015" s="135"/>
      <c r="IUO1015" s="135"/>
      <c r="IUP1015" s="135"/>
      <c r="IUQ1015" s="135"/>
      <c r="IUR1015" s="135"/>
      <c r="IUS1015" s="135"/>
      <c r="IUT1015" s="135"/>
      <c r="IUU1015" s="135"/>
      <c r="IUV1015" s="135"/>
      <c r="IUW1015" s="135"/>
      <c r="IUX1015" s="135"/>
      <c r="IUY1015" s="135"/>
      <c r="IUZ1015" s="135"/>
      <c r="IVA1015" s="135"/>
      <c r="IVB1015" s="135"/>
      <c r="IVC1015" s="135"/>
      <c r="IVD1015" s="135"/>
      <c r="IVE1015" s="135"/>
      <c r="IVF1015" s="135"/>
      <c r="IVG1015" s="135"/>
      <c r="IVH1015" s="135"/>
      <c r="IVI1015" s="135"/>
      <c r="IVJ1015" s="135"/>
      <c r="IVK1015" s="135"/>
      <c r="IVL1015" s="135"/>
      <c r="IVM1015" s="135"/>
      <c r="IVN1015" s="135"/>
      <c r="IVO1015" s="135"/>
      <c r="IVP1015" s="135"/>
      <c r="IVQ1015" s="135"/>
      <c r="IVR1015" s="135"/>
      <c r="IVS1015" s="135"/>
      <c r="IVT1015" s="135"/>
      <c r="IVU1015" s="135"/>
      <c r="IVV1015" s="135"/>
      <c r="IVW1015" s="135"/>
      <c r="IVX1015" s="135"/>
      <c r="IVY1015" s="135"/>
      <c r="IVZ1015" s="135"/>
      <c r="IWA1015" s="135"/>
      <c r="IWB1015" s="135"/>
      <c r="IWC1015" s="135"/>
      <c r="IWD1015" s="135"/>
      <c r="IWE1015" s="135"/>
      <c r="IWF1015" s="135"/>
      <c r="IWG1015" s="135"/>
      <c r="IWH1015" s="135"/>
      <c r="IWI1015" s="135"/>
      <c r="IWJ1015" s="135"/>
      <c r="IWK1015" s="135"/>
      <c r="IWL1015" s="135"/>
      <c r="IWM1015" s="135"/>
      <c r="IWN1015" s="135"/>
      <c r="IWO1015" s="135"/>
      <c r="IWP1015" s="135"/>
      <c r="IWQ1015" s="135"/>
      <c r="IWR1015" s="135"/>
      <c r="IWS1015" s="135"/>
      <c r="IWT1015" s="135"/>
      <c r="IWU1015" s="135"/>
      <c r="IWV1015" s="135"/>
      <c r="IWW1015" s="135"/>
      <c r="IWX1015" s="135"/>
      <c r="IWY1015" s="135"/>
      <c r="IWZ1015" s="135"/>
      <c r="IXA1015" s="135"/>
      <c r="IXB1015" s="135"/>
      <c r="IXC1015" s="135"/>
      <c r="IXD1015" s="135"/>
      <c r="IXE1015" s="135"/>
      <c r="IXF1015" s="135"/>
      <c r="IXG1015" s="135"/>
      <c r="IXH1015" s="135"/>
      <c r="IXI1015" s="135"/>
      <c r="IXJ1015" s="135"/>
      <c r="IXK1015" s="135"/>
      <c r="IXL1015" s="135"/>
      <c r="IXM1015" s="135"/>
      <c r="IXN1015" s="135"/>
      <c r="IXO1015" s="135"/>
      <c r="IXP1015" s="135"/>
      <c r="IXQ1015" s="135"/>
      <c r="IXR1015" s="135"/>
      <c r="IXS1015" s="135"/>
      <c r="IXT1015" s="135"/>
      <c r="IXU1015" s="135"/>
      <c r="IXV1015" s="135"/>
      <c r="IXW1015" s="135"/>
      <c r="IXX1015" s="135"/>
      <c r="IXY1015" s="135"/>
      <c r="IXZ1015" s="135"/>
      <c r="IYA1015" s="135"/>
      <c r="IYB1015" s="135"/>
      <c r="IYC1015" s="135"/>
      <c r="IYD1015" s="135"/>
      <c r="IYE1015" s="135"/>
      <c r="IYF1015" s="135"/>
      <c r="IYG1015" s="135"/>
      <c r="IYH1015" s="135"/>
      <c r="IYI1015" s="135"/>
      <c r="IYJ1015" s="135"/>
      <c r="IYK1015" s="135"/>
      <c r="IYL1015" s="135"/>
      <c r="IYM1015" s="135"/>
      <c r="IYN1015" s="135"/>
      <c r="IYO1015" s="135"/>
      <c r="IYP1015" s="135"/>
      <c r="IYQ1015" s="135"/>
      <c r="IYR1015" s="135"/>
      <c r="IYS1015" s="135"/>
      <c r="IYT1015" s="135"/>
      <c r="IYU1015" s="135"/>
      <c r="IYV1015" s="135"/>
      <c r="IYW1015" s="135"/>
      <c r="IYX1015" s="135"/>
      <c r="IYY1015" s="135"/>
      <c r="IYZ1015" s="135"/>
      <c r="IZA1015" s="135"/>
      <c r="IZB1015" s="135"/>
      <c r="IZC1015" s="135"/>
      <c r="IZD1015" s="135"/>
      <c r="IZE1015" s="135"/>
      <c r="IZF1015" s="135"/>
      <c r="IZG1015" s="135"/>
      <c r="IZH1015" s="135"/>
      <c r="IZI1015" s="135"/>
      <c r="IZJ1015" s="135"/>
      <c r="IZK1015" s="135"/>
      <c r="IZL1015" s="135"/>
      <c r="IZM1015" s="135"/>
      <c r="IZN1015" s="135"/>
      <c r="IZO1015" s="135"/>
      <c r="IZP1015" s="135"/>
      <c r="IZQ1015" s="135"/>
      <c r="IZR1015" s="135"/>
      <c r="IZS1015" s="135"/>
      <c r="IZT1015" s="135"/>
      <c r="IZU1015" s="135"/>
      <c r="IZV1015" s="135"/>
      <c r="IZW1015" s="135"/>
      <c r="IZX1015" s="135"/>
      <c r="IZY1015" s="135"/>
      <c r="IZZ1015" s="135"/>
      <c r="JAA1015" s="135"/>
      <c r="JAB1015" s="135"/>
      <c r="JAC1015" s="135"/>
      <c r="JAD1015" s="135"/>
      <c r="JAE1015" s="135"/>
      <c r="JAF1015" s="135"/>
      <c r="JAG1015" s="135"/>
      <c r="JAH1015" s="135"/>
      <c r="JAI1015" s="135"/>
      <c r="JAJ1015" s="135"/>
      <c r="JAK1015" s="135"/>
      <c r="JAL1015" s="135"/>
      <c r="JAM1015" s="135"/>
      <c r="JAN1015" s="135"/>
      <c r="JAO1015" s="135"/>
      <c r="JAP1015" s="135"/>
      <c r="JAQ1015" s="135"/>
      <c r="JAR1015" s="135"/>
      <c r="JAS1015" s="135"/>
      <c r="JAT1015" s="135"/>
      <c r="JAU1015" s="135"/>
      <c r="JAV1015" s="135"/>
      <c r="JAW1015" s="135"/>
      <c r="JAX1015" s="135"/>
      <c r="JAY1015" s="135"/>
      <c r="JAZ1015" s="135"/>
      <c r="JBA1015" s="135"/>
      <c r="JBB1015" s="135"/>
      <c r="JBC1015" s="135"/>
      <c r="JBD1015" s="135"/>
      <c r="JBE1015" s="135"/>
      <c r="JBF1015" s="135"/>
      <c r="JBG1015" s="135"/>
      <c r="JBH1015" s="135"/>
      <c r="JBI1015" s="135"/>
      <c r="JBJ1015" s="135"/>
      <c r="JBK1015" s="135"/>
      <c r="JBL1015" s="135"/>
      <c r="JBM1015" s="135"/>
      <c r="JBN1015" s="135"/>
      <c r="JBO1015" s="135"/>
      <c r="JBP1015" s="135"/>
      <c r="JBQ1015" s="135"/>
      <c r="JBR1015" s="135"/>
      <c r="JBS1015" s="135"/>
      <c r="JBT1015" s="135"/>
      <c r="JBU1015" s="135"/>
      <c r="JBV1015" s="135"/>
      <c r="JBW1015" s="135"/>
      <c r="JBX1015" s="135"/>
      <c r="JBY1015" s="135"/>
      <c r="JBZ1015" s="135"/>
      <c r="JCA1015" s="135"/>
      <c r="JCB1015" s="135"/>
      <c r="JCC1015" s="135"/>
      <c r="JCD1015" s="135"/>
      <c r="JCE1015" s="135"/>
      <c r="JCF1015" s="135"/>
      <c r="JCG1015" s="135"/>
      <c r="JCH1015" s="135"/>
      <c r="JCI1015" s="135"/>
      <c r="JCJ1015" s="135"/>
      <c r="JCK1015" s="135"/>
      <c r="JCL1015" s="135"/>
      <c r="JCM1015" s="135"/>
      <c r="JCN1015" s="135"/>
      <c r="JCO1015" s="135"/>
      <c r="JCP1015" s="135"/>
      <c r="JCQ1015" s="135"/>
      <c r="JCR1015" s="135"/>
      <c r="JCS1015" s="135"/>
      <c r="JCT1015" s="135"/>
      <c r="JCU1015" s="135"/>
      <c r="JCV1015" s="135"/>
      <c r="JCW1015" s="135"/>
      <c r="JCX1015" s="135"/>
      <c r="JCY1015" s="135"/>
      <c r="JCZ1015" s="135"/>
      <c r="JDA1015" s="135"/>
      <c r="JDB1015" s="135"/>
      <c r="JDC1015" s="135"/>
      <c r="JDD1015" s="135"/>
      <c r="JDE1015" s="135"/>
      <c r="JDF1015" s="135"/>
      <c r="JDG1015" s="135"/>
      <c r="JDH1015" s="135"/>
      <c r="JDI1015" s="135"/>
      <c r="JDJ1015" s="135"/>
      <c r="JDK1015" s="135"/>
      <c r="JDL1015" s="135"/>
      <c r="JDM1015" s="135"/>
      <c r="JDN1015" s="135"/>
      <c r="JDO1015" s="135"/>
      <c r="JDP1015" s="135"/>
      <c r="JDQ1015" s="135"/>
      <c r="JDR1015" s="135"/>
      <c r="JDS1015" s="135"/>
      <c r="JDT1015" s="135"/>
      <c r="JDU1015" s="135"/>
      <c r="JDV1015" s="135"/>
      <c r="JDW1015" s="135"/>
      <c r="JDX1015" s="135"/>
      <c r="JDY1015" s="135"/>
      <c r="JDZ1015" s="135"/>
      <c r="JEA1015" s="135"/>
      <c r="JEB1015" s="135"/>
      <c r="JEC1015" s="135"/>
      <c r="JED1015" s="135"/>
      <c r="JEE1015" s="135"/>
      <c r="JEF1015" s="135"/>
      <c r="JEG1015" s="135"/>
      <c r="JEH1015" s="135"/>
      <c r="JEI1015" s="135"/>
      <c r="JEJ1015" s="135"/>
      <c r="JEK1015" s="135"/>
      <c r="JEL1015" s="135"/>
      <c r="JEM1015" s="135"/>
      <c r="JEN1015" s="135"/>
      <c r="JEO1015" s="135"/>
      <c r="JEP1015" s="135"/>
      <c r="JEQ1015" s="135"/>
      <c r="JER1015" s="135"/>
      <c r="JES1015" s="135"/>
      <c r="JET1015" s="135"/>
      <c r="JEU1015" s="135"/>
      <c r="JEV1015" s="135"/>
      <c r="JEW1015" s="135"/>
      <c r="JEX1015" s="135"/>
      <c r="JEY1015" s="135"/>
      <c r="JEZ1015" s="135"/>
      <c r="JFA1015" s="135"/>
      <c r="JFB1015" s="135"/>
      <c r="JFC1015" s="135"/>
      <c r="JFD1015" s="135"/>
      <c r="JFE1015" s="135"/>
      <c r="JFF1015" s="135"/>
      <c r="JFG1015" s="135"/>
      <c r="JFH1015" s="135"/>
      <c r="JFI1015" s="135"/>
      <c r="JFJ1015" s="135"/>
      <c r="JFK1015" s="135"/>
      <c r="JFL1015" s="135"/>
      <c r="JFM1015" s="135"/>
      <c r="JFN1015" s="135"/>
      <c r="JFO1015" s="135"/>
      <c r="JFP1015" s="135"/>
      <c r="JFQ1015" s="135"/>
      <c r="JFR1015" s="135"/>
      <c r="JFS1015" s="135"/>
      <c r="JFT1015" s="135"/>
      <c r="JFU1015" s="135"/>
      <c r="JFV1015" s="135"/>
      <c r="JFW1015" s="135"/>
      <c r="JFX1015" s="135"/>
      <c r="JFY1015" s="135"/>
      <c r="JFZ1015" s="135"/>
      <c r="JGA1015" s="135"/>
      <c r="JGB1015" s="135"/>
      <c r="JGC1015" s="135"/>
      <c r="JGD1015" s="135"/>
      <c r="JGE1015" s="135"/>
      <c r="JGF1015" s="135"/>
      <c r="JGG1015" s="135"/>
      <c r="JGH1015" s="135"/>
      <c r="JGI1015" s="135"/>
      <c r="JGJ1015" s="135"/>
      <c r="JGK1015" s="135"/>
      <c r="JGL1015" s="135"/>
      <c r="JGM1015" s="135"/>
      <c r="JGN1015" s="135"/>
      <c r="JGO1015" s="135"/>
      <c r="JGP1015" s="135"/>
      <c r="JGQ1015" s="135"/>
      <c r="JGR1015" s="135"/>
      <c r="JGS1015" s="135"/>
      <c r="JGT1015" s="135"/>
      <c r="JGU1015" s="135"/>
      <c r="JGV1015" s="135"/>
      <c r="JGW1015" s="135"/>
      <c r="JGX1015" s="135"/>
      <c r="JGY1015" s="135"/>
      <c r="JGZ1015" s="135"/>
      <c r="JHA1015" s="135"/>
      <c r="JHB1015" s="135"/>
      <c r="JHC1015" s="135"/>
      <c r="JHD1015" s="135"/>
      <c r="JHE1015" s="135"/>
      <c r="JHF1015" s="135"/>
      <c r="JHG1015" s="135"/>
      <c r="JHH1015" s="135"/>
      <c r="JHI1015" s="135"/>
      <c r="JHJ1015" s="135"/>
      <c r="JHK1015" s="135"/>
      <c r="JHL1015" s="135"/>
      <c r="JHM1015" s="135"/>
      <c r="JHN1015" s="135"/>
      <c r="JHO1015" s="135"/>
      <c r="JHP1015" s="135"/>
      <c r="JHQ1015" s="135"/>
      <c r="JHR1015" s="135"/>
      <c r="JHS1015" s="135"/>
      <c r="JHT1015" s="135"/>
      <c r="JHU1015" s="135"/>
      <c r="JHV1015" s="135"/>
      <c r="JHW1015" s="135"/>
      <c r="JHX1015" s="135"/>
      <c r="JHY1015" s="135"/>
      <c r="JHZ1015" s="135"/>
      <c r="JIA1015" s="135"/>
      <c r="JIB1015" s="135"/>
      <c r="JIC1015" s="135"/>
      <c r="JID1015" s="135"/>
      <c r="JIE1015" s="135"/>
      <c r="JIF1015" s="135"/>
      <c r="JIG1015" s="135"/>
      <c r="JIH1015" s="135"/>
      <c r="JII1015" s="135"/>
      <c r="JIJ1015" s="135"/>
      <c r="JIK1015" s="135"/>
      <c r="JIL1015" s="135"/>
      <c r="JIM1015" s="135"/>
      <c r="JIN1015" s="135"/>
      <c r="JIO1015" s="135"/>
      <c r="JIP1015" s="135"/>
      <c r="JIQ1015" s="135"/>
      <c r="JIR1015" s="135"/>
      <c r="JIS1015" s="135"/>
      <c r="JIT1015" s="135"/>
      <c r="JIU1015" s="135"/>
      <c r="JIV1015" s="135"/>
      <c r="JIW1015" s="135"/>
      <c r="JIX1015" s="135"/>
      <c r="JIY1015" s="135"/>
      <c r="JIZ1015" s="135"/>
      <c r="JJA1015" s="135"/>
      <c r="JJB1015" s="135"/>
      <c r="JJC1015" s="135"/>
      <c r="JJD1015" s="135"/>
      <c r="JJE1015" s="135"/>
      <c r="JJF1015" s="135"/>
      <c r="JJG1015" s="135"/>
      <c r="JJH1015" s="135"/>
      <c r="JJI1015" s="135"/>
      <c r="JJJ1015" s="135"/>
      <c r="JJK1015" s="135"/>
      <c r="JJL1015" s="135"/>
      <c r="JJM1015" s="135"/>
      <c r="JJN1015" s="135"/>
      <c r="JJO1015" s="135"/>
      <c r="JJP1015" s="135"/>
      <c r="JJQ1015" s="135"/>
      <c r="JJR1015" s="135"/>
      <c r="JJS1015" s="135"/>
      <c r="JJT1015" s="135"/>
      <c r="JJU1015" s="135"/>
      <c r="JJV1015" s="135"/>
      <c r="JJW1015" s="135"/>
      <c r="JJX1015" s="135"/>
      <c r="JJY1015" s="135"/>
      <c r="JJZ1015" s="135"/>
      <c r="JKA1015" s="135"/>
      <c r="JKB1015" s="135"/>
      <c r="JKC1015" s="135"/>
      <c r="JKD1015" s="135"/>
      <c r="JKE1015" s="135"/>
      <c r="JKF1015" s="135"/>
      <c r="JKG1015" s="135"/>
      <c r="JKH1015" s="135"/>
      <c r="JKI1015" s="135"/>
      <c r="JKJ1015" s="135"/>
      <c r="JKK1015" s="135"/>
      <c r="JKL1015" s="135"/>
      <c r="JKM1015" s="135"/>
      <c r="JKN1015" s="135"/>
      <c r="JKO1015" s="135"/>
      <c r="JKP1015" s="135"/>
      <c r="JKQ1015" s="135"/>
      <c r="JKR1015" s="135"/>
      <c r="JKS1015" s="135"/>
      <c r="JKT1015" s="135"/>
      <c r="JKU1015" s="135"/>
      <c r="JKV1015" s="135"/>
      <c r="JKW1015" s="135"/>
      <c r="JKX1015" s="135"/>
      <c r="JKY1015" s="135"/>
      <c r="JKZ1015" s="135"/>
      <c r="JLA1015" s="135"/>
      <c r="JLB1015" s="135"/>
      <c r="JLC1015" s="135"/>
      <c r="JLD1015" s="135"/>
      <c r="JLE1015" s="135"/>
      <c r="JLF1015" s="135"/>
      <c r="JLG1015" s="135"/>
      <c r="JLH1015" s="135"/>
      <c r="JLI1015" s="135"/>
      <c r="JLJ1015" s="135"/>
      <c r="JLK1015" s="135"/>
      <c r="JLL1015" s="135"/>
      <c r="JLM1015" s="135"/>
      <c r="JLN1015" s="135"/>
      <c r="JLO1015" s="135"/>
      <c r="JLP1015" s="135"/>
      <c r="JLQ1015" s="135"/>
      <c r="JLR1015" s="135"/>
      <c r="JLS1015" s="135"/>
      <c r="JLT1015" s="135"/>
      <c r="JLU1015" s="135"/>
      <c r="JLV1015" s="135"/>
      <c r="JLW1015" s="135"/>
      <c r="JLX1015" s="135"/>
      <c r="JLY1015" s="135"/>
      <c r="JLZ1015" s="135"/>
      <c r="JMA1015" s="135"/>
      <c r="JMB1015" s="135"/>
      <c r="JMC1015" s="135"/>
      <c r="JMD1015" s="135"/>
      <c r="JME1015" s="135"/>
      <c r="JMF1015" s="135"/>
      <c r="JMG1015" s="135"/>
      <c r="JMH1015" s="135"/>
      <c r="JMI1015" s="135"/>
      <c r="JMJ1015" s="135"/>
      <c r="JMK1015" s="135"/>
      <c r="JML1015" s="135"/>
      <c r="JMM1015" s="135"/>
      <c r="JMN1015" s="135"/>
      <c r="JMO1015" s="135"/>
      <c r="JMP1015" s="135"/>
      <c r="JMQ1015" s="135"/>
      <c r="JMR1015" s="135"/>
      <c r="JMS1015" s="135"/>
      <c r="JMT1015" s="135"/>
      <c r="JMU1015" s="135"/>
      <c r="JMV1015" s="135"/>
      <c r="JMW1015" s="135"/>
      <c r="JMX1015" s="135"/>
      <c r="JMY1015" s="135"/>
      <c r="JMZ1015" s="135"/>
      <c r="JNA1015" s="135"/>
      <c r="JNB1015" s="135"/>
      <c r="JNC1015" s="135"/>
      <c r="JND1015" s="135"/>
      <c r="JNE1015" s="135"/>
      <c r="JNF1015" s="135"/>
      <c r="JNG1015" s="135"/>
      <c r="JNH1015" s="135"/>
      <c r="JNI1015" s="135"/>
      <c r="JNJ1015" s="135"/>
      <c r="JNK1015" s="135"/>
      <c r="JNL1015" s="135"/>
      <c r="JNM1015" s="135"/>
      <c r="JNN1015" s="135"/>
      <c r="JNO1015" s="135"/>
      <c r="JNP1015" s="135"/>
      <c r="JNQ1015" s="135"/>
      <c r="JNR1015" s="135"/>
      <c r="JNS1015" s="135"/>
      <c r="JNT1015" s="135"/>
      <c r="JNU1015" s="135"/>
      <c r="JNV1015" s="135"/>
      <c r="JNW1015" s="135"/>
      <c r="JNX1015" s="135"/>
      <c r="JNY1015" s="135"/>
      <c r="JNZ1015" s="135"/>
      <c r="JOA1015" s="135"/>
      <c r="JOB1015" s="135"/>
      <c r="JOC1015" s="135"/>
      <c r="JOD1015" s="135"/>
      <c r="JOE1015" s="135"/>
      <c r="JOF1015" s="135"/>
      <c r="JOG1015" s="135"/>
      <c r="JOH1015" s="135"/>
      <c r="JOI1015" s="135"/>
      <c r="JOJ1015" s="135"/>
      <c r="JOK1015" s="135"/>
      <c r="JOL1015" s="135"/>
      <c r="JOM1015" s="135"/>
      <c r="JON1015" s="135"/>
      <c r="JOO1015" s="135"/>
      <c r="JOP1015" s="135"/>
      <c r="JOQ1015" s="135"/>
      <c r="JOR1015" s="135"/>
      <c r="JOS1015" s="135"/>
      <c r="JOT1015" s="135"/>
      <c r="JOU1015" s="135"/>
      <c r="JOV1015" s="135"/>
      <c r="JOW1015" s="135"/>
      <c r="JOX1015" s="135"/>
      <c r="JOY1015" s="135"/>
      <c r="JOZ1015" s="135"/>
      <c r="JPA1015" s="135"/>
      <c r="JPB1015" s="135"/>
      <c r="JPC1015" s="135"/>
      <c r="JPD1015" s="135"/>
      <c r="JPE1015" s="135"/>
      <c r="JPF1015" s="135"/>
      <c r="JPG1015" s="135"/>
      <c r="JPH1015" s="135"/>
      <c r="JPI1015" s="135"/>
      <c r="JPJ1015" s="135"/>
      <c r="JPK1015" s="135"/>
      <c r="JPL1015" s="135"/>
      <c r="JPM1015" s="135"/>
      <c r="JPN1015" s="135"/>
      <c r="JPO1015" s="135"/>
      <c r="JPP1015" s="135"/>
      <c r="JPQ1015" s="135"/>
      <c r="JPR1015" s="135"/>
      <c r="JPS1015" s="135"/>
      <c r="JPT1015" s="135"/>
      <c r="JPU1015" s="135"/>
      <c r="JPV1015" s="135"/>
      <c r="JPW1015" s="135"/>
      <c r="JPX1015" s="135"/>
      <c r="JPY1015" s="135"/>
      <c r="JPZ1015" s="135"/>
      <c r="JQA1015" s="135"/>
      <c r="JQB1015" s="135"/>
      <c r="JQC1015" s="135"/>
      <c r="JQD1015" s="135"/>
      <c r="JQE1015" s="135"/>
      <c r="JQF1015" s="135"/>
      <c r="JQG1015" s="135"/>
      <c r="JQH1015" s="135"/>
      <c r="JQI1015" s="135"/>
      <c r="JQJ1015" s="135"/>
      <c r="JQK1015" s="135"/>
      <c r="JQL1015" s="135"/>
      <c r="JQM1015" s="135"/>
      <c r="JQN1015" s="135"/>
      <c r="JQO1015" s="135"/>
      <c r="JQP1015" s="135"/>
      <c r="JQQ1015" s="135"/>
      <c r="JQR1015" s="135"/>
      <c r="JQS1015" s="135"/>
      <c r="JQT1015" s="135"/>
      <c r="JQU1015" s="135"/>
      <c r="JQV1015" s="135"/>
      <c r="JQW1015" s="135"/>
      <c r="JQX1015" s="135"/>
      <c r="JQY1015" s="135"/>
      <c r="JQZ1015" s="135"/>
      <c r="JRA1015" s="135"/>
      <c r="JRB1015" s="135"/>
      <c r="JRC1015" s="135"/>
      <c r="JRD1015" s="135"/>
      <c r="JRE1015" s="135"/>
      <c r="JRF1015" s="135"/>
      <c r="JRG1015" s="135"/>
      <c r="JRH1015" s="135"/>
      <c r="JRI1015" s="135"/>
      <c r="JRJ1015" s="135"/>
      <c r="JRK1015" s="135"/>
      <c r="JRL1015" s="135"/>
      <c r="JRM1015" s="135"/>
      <c r="JRN1015" s="135"/>
      <c r="JRO1015" s="135"/>
      <c r="JRP1015" s="135"/>
      <c r="JRQ1015" s="135"/>
      <c r="JRR1015" s="135"/>
      <c r="JRS1015" s="135"/>
      <c r="JRT1015" s="135"/>
      <c r="JRU1015" s="135"/>
      <c r="JRV1015" s="135"/>
      <c r="JRW1015" s="135"/>
      <c r="JRX1015" s="135"/>
      <c r="JRY1015" s="135"/>
      <c r="JRZ1015" s="135"/>
      <c r="JSA1015" s="135"/>
      <c r="JSB1015" s="135"/>
      <c r="JSC1015" s="135"/>
      <c r="JSD1015" s="135"/>
      <c r="JSE1015" s="135"/>
      <c r="JSF1015" s="135"/>
      <c r="JSG1015" s="135"/>
      <c r="JSH1015" s="135"/>
      <c r="JSI1015" s="135"/>
      <c r="JSJ1015" s="135"/>
      <c r="JSK1015" s="135"/>
      <c r="JSL1015" s="135"/>
      <c r="JSM1015" s="135"/>
      <c r="JSN1015" s="135"/>
      <c r="JSO1015" s="135"/>
      <c r="JSP1015" s="135"/>
      <c r="JSQ1015" s="135"/>
      <c r="JSR1015" s="135"/>
      <c r="JSS1015" s="135"/>
      <c r="JST1015" s="135"/>
      <c r="JSU1015" s="135"/>
      <c r="JSV1015" s="135"/>
      <c r="JSW1015" s="135"/>
      <c r="JSX1015" s="135"/>
      <c r="JSY1015" s="135"/>
      <c r="JSZ1015" s="135"/>
      <c r="JTA1015" s="135"/>
      <c r="JTB1015" s="135"/>
      <c r="JTC1015" s="135"/>
      <c r="JTD1015" s="135"/>
      <c r="JTE1015" s="135"/>
      <c r="JTF1015" s="135"/>
      <c r="JTG1015" s="135"/>
      <c r="JTH1015" s="135"/>
      <c r="JTI1015" s="135"/>
      <c r="JTJ1015" s="135"/>
      <c r="JTK1015" s="135"/>
      <c r="JTL1015" s="135"/>
      <c r="JTM1015" s="135"/>
      <c r="JTN1015" s="135"/>
      <c r="JTO1015" s="135"/>
      <c r="JTP1015" s="135"/>
      <c r="JTQ1015" s="135"/>
      <c r="JTR1015" s="135"/>
      <c r="JTS1015" s="135"/>
      <c r="JTT1015" s="135"/>
      <c r="JTU1015" s="135"/>
      <c r="JTV1015" s="135"/>
      <c r="JTW1015" s="135"/>
      <c r="JTX1015" s="135"/>
      <c r="JTY1015" s="135"/>
      <c r="JTZ1015" s="135"/>
      <c r="JUA1015" s="135"/>
      <c r="JUB1015" s="135"/>
      <c r="JUC1015" s="135"/>
      <c r="JUD1015" s="135"/>
      <c r="JUE1015" s="135"/>
      <c r="JUF1015" s="135"/>
      <c r="JUG1015" s="135"/>
      <c r="JUH1015" s="135"/>
      <c r="JUI1015" s="135"/>
      <c r="JUJ1015" s="135"/>
      <c r="JUK1015" s="135"/>
      <c r="JUL1015" s="135"/>
      <c r="JUM1015" s="135"/>
      <c r="JUN1015" s="135"/>
      <c r="JUO1015" s="135"/>
      <c r="JUP1015" s="135"/>
      <c r="JUQ1015" s="135"/>
      <c r="JUR1015" s="135"/>
      <c r="JUS1015" s="135"/>
      <c r="JUT1015" s="135"/>
      <c r="JUU1015" s="135"/>
      <c r="JUV1015" s="135"/>
      <c r="JUW1015" s="135"/>
      <c r="JUX1015" s="135"/>
      <c r="JUY1015" s="135"/>
      <c r="JUZ1015" s="135"/>
      <c r="JVA1015" s="135"/>
      <c r="JVB1015" s="135"/>
      <c r="JVC1015" s="135"/>
      <c r="JVD1015" s="135"/>
      <c r="JVE1015" s="135"/>
      <c r="JVF1015" s="135"/>
      <c r="JVG1015" s="135"/>
      <c r="JVH1015" s="135"/>
      <c r="JVI1015" s="135"/>
      <c r="JVJ1015" s="135"/>
      <c r="JVK1015" s="135"/>
      <c r="JVL1015" s="135"/>
      <c r="JVM1015" s="135"/>
      <c r="JVN1015" s="135"/>
      <c r="JVO1015" s="135"/>
      <c r="JVP1015" s="135"/>
      <c r="JVQ1015" s="135"/>
      <c r="JVR1015" s="135"/>
      <c r="JVS1015" s="135"/>
      <c r="JVT1015" s="135"/>
      <c r="JVU1015" s="135"/>
      <c r="JVV1015" s="135"/>
      <c r="JVW1015" s="135"/>
      <c r="JVX1015" s="135"/>
      <c r="JVY1015" s="135"/>
      <c r="JVZ1015" s="135"/>
      <c r="JWA1015" s="135"/>
      <c r="JWB1015" s="135"/>
      <c r="JWC1015" s="135"/>
      <c r="JWD1015" s="135"/>
      <c r="JWE1015" s="135"/>
      <c r="JWF1015" s="135"/>
      <c r="JWG1015" s="135"/>
      <c r="JWH1015" s="135"/>
      <c r="JWI1015" s="135"/>
      <c r="JWJ1015" s="135"/>
      <c r="JWK1015" s="135"/>
      <c r="JWL1015" s="135"/>
      <c r="JWM1015" s="135"/>
      <c r="JWN1015" s="135"/>
      <c r="JWO1015" s="135"/>
      <c r="JWP1015" s="135"/>
      <c r="JWQ1015" s="135"/>
      <c r="JWR1015" s="135"/>
      <c r="JWS1015" s="135"/>
      <c r="JWT1015" s="135"/>
      <c r="JWU1015" s="135"/>
      <c r="JWV1015" s="135"/>
      <c r="JWW1015" s="135"/>
      <c r="JWX1015" s="135"/>
      <c r="JWY1015" s="135"/>
      <c r="JWZ1015" s="135"/>
      <c r="JXA1015" s="135"/>
      <c r="JXB1015" s="135"/>
      <c r="JXC1015" s="135"/>
      <c r="JXD1015" s="135"/>
      <c r="JXE1015" s="135"/>
      <c r="JXF1015" s="135"/>
      <c r="JXG1015" s="135"/>
      <c r="JXH1015" s="135"/>
      <c r="JXI1015" s="135"/>
      <c r="JXJ1015" s="135"/>
      <c r="JXK1015" s="135"/>
      <c r="JXL1015" s="135"/>
      <c r="JXM1015" s="135"/>
      <c r="JXN1015" s="135"/>
      <c r="JXO1015" s="135"/>
      <c r="JXP1015" s="135"/>
      <c r="JXQ1015" s="135"/>
      <c r="JXR1015" s="135"/>
      <c r="JXS1015" s="135"/>
      <c r="JXT1015" s="135"/>
      <c r="JXU1015" s="135"/>
      <c r="JXV1015" s="135"/>
      <c r="JXW1015" s="135"/>
      <c r="JXX1015" s="135"/>
      <c r="JXY1015" s="135"/>
      <c r="JXZ1015" s="135"/>
      <c r="JYA1015" s="135"/>
      <c r="JYB1015" s="135"/>
      <c r="JYC1015" s="135"/>
      <c r="JYD1015" s="135"/>
      <c r="JYE1015" s="135"/>
      <c r="JYF1015" s="135"/>
      <c r="JYG1015" s="135"/>
      <c r="JYH1015" s="135"/>
      <c r="JYI1015" s="135"/>
      <c r="JYJ1015" s="135"/>
      <c r="JYK1015" s="135"/>
      <c r="JYL1015" s="135"/>
      <c r="JYM1015" s="135"/>
      <c r="JYN1015" s="135"/>
      <c r="JYO1015" s="135"/>
      <c r="JYP1015" s="135"/>
      <c r="JYQ1015" s="135"/>
      <c r="JYR1015" s="135"/>
      <c r="JYS1015" s="135"/>
      <c r="JYT1015" s="135"/>
      <c r="JYU1015" s="135"/>
      <c r="JYV1015" s="135"/>
      <c r="JYW1015" s="135"/>
      <c r="JYX1015" s="135"/>
      <c r="JYY1015" s="135"/>
      <c r="JYZ1015" s="135"/>
      <c r="JZA1015" s="135"/>
      <c r="JZB1015" s="135"/>
      <c r="JZC1015" s="135"/>
      <c r="JZD1015" s="135"/>
      <c r="JZE1015" s="135"/>
      <c r="JZF1015" s="135"/>
      <c r="JZG1015" s="135"/>
      <c r="JZH1015" s="135"/>
      <c r="JZI1015" s="135"/>
      <c r="JZJ1015" s="135"/>
      <c r="JZK1015" s="135"/>
      <c r="JZL1015" s="135"/>
      <c r="JZM1015" s="135"/>
      <c r="JZN1015" s="135"/>
      <c r="JZO1015" s="135"/>
      <c r="JZP1015" s="135"/>
      <c r="JZQ1015" s="135"/>
      <c r="JZR1015" s="135"/>
      <c r="JZS1015" s="135"/>
      <c r="JZT1015" s="135"/>
      <c r="JZU1015" s="135"/>
      <c r="JZV1015" s="135"/>
      <c r="JZW1015" s="135"/>
      <c r="JZX1015" s="135"/>
      <c r="JZY1015" s="135"/>
      <c r="JZZ1015" s="135"/>
      <c r="KAA1015" s="135"/>
      <c r="KAB1015" s="135"/>
      <c r="KAC1015" s="135"/>
      <c r="KAD1015" s="135"/>
      <c r="KAE1015" s="135"/>
      <c r="KAF1015" s="135"/>
      <c r="KAG1015" s="135"/>
      <c r="KAH1015" s="135"/>
      <c r="KAI1015" s="135"/>
      <c r="KAJ1015" s="135"/>
      <c r="KAK1015" s="135"/>
      <c r="KAL1015" s="135"/>
      <c r="KAM1015" s="135"/>
      <c r="KAN1015" s="135"/>
      <c r="KAO1015" s="135"/>
      <c r="KAP1015" s="135"/>
      <c r="KAQ1015" s="135"/>
      <c r="KAR1015" s="135"/>
      <c r="KAS1015" s="135"/>
      <c r="KAT1015" s="135"/>
      <c r="KAU1015" s="135"/>
      <c r="KAV1015" s="135"/>
      <c r="KAW1015" s="135"/>
      <c r="KAX1015" s="135"/>
      <c r="KAY1015" s="135"/>
      <c r="KAZ1015" s="135"/>
      <c r="KBA1015" s="135"/>
      <c r="KBB1015" s="135"/>
      <c r="KBC1015" s="135"/>
      <c r="KBD1015" s="135"/>
      <c r="KBE1015" s="135"/>
      <c r="KBF1015" s="135"/>
      <c r="KBG1015" s="135"/>
      <c r="KBH1015" s="135"/>
      <c r="KBI1015" s="135"/>
      <c r="KBJ1015" s="135"/>
      <c r="KBK1015" s="135"/>
      <c r="KBL1015" s="135"/>
      <c r="KBM1015" s="135"/>
      <c r="KBN1015" s="135"/>
      <c r="KBO1015" s="135"/>
      <c r="KBP1015" s="135"/>
      <c r="KBQ1015" s="135"/>
      <c r="KBR1015" s="135"/>
      <c r="KBS1015" s="135"/>
      <c r="KBT1015" s="135"/>
      <c r="KBU1015" s="135"/>
      <c r="KBV1015" s="135"/>
      <c r="KBW1015" s="135"/>
      <c r="KBX1015" s="135"/>
      <c r="KBY1015" s="135"/>
      <c r="KBZ1015" s="135"/>
      <c r="KCA1015" s="135"/>
      <c r="KCB1015" s="135"/>
      <c r="KCC1015" s="135"/>
      <c r="KCD1015" s="135"/>
      <c r="KCE1015" s="135"/>
      <c r="KCF1015" s="135"/>
      <c r="KCG1015" s="135"/>
      <c r="KCH1015" s="135"/>
      <c r="KCI1015" s="135"/>
      <c r="KCJ1015" s="135"/>
      <c r="KCK1015" s="135"/>
      <c r="KCL1015" s="135"/>
      <c r="KCM1015" s="135"/>
      <c r="KCN1015" s="135"/>
      <c r="KCO1015" s="135"/>
      <c r="KCP1015" s="135"/>
      <c r="KCQ1015" s="135"/>
      <c r="KCR1015" s="135"/>
      <c r="KCS1015" s="135"/>
      <c r="KCT1015" s="135"/>
      <c r="KCU1015" s="135"/>
      <c r="KCV1015" s="135"/>
      <c r="KCW1015" s="135"/>
      <c r="KCX1015" s="135"/>
      <c r="KCY1015" s="135"/>
      <c r="KCZ1015" s="135"/>
      <c r="KDA1015" s="135"/>
      <c r="KDB1015" s="135"/>
      <c r="KDC1015" s="135"/>
      <c r="KDD1015" s="135"/>
      <c r="KDE1015" s="135"/>
      <c r="KDF1015" s="135"/>
      <c r="KDG1015" s="135"/>
      <c r="KDH1015" s="135"/>
      <c r="KDI1015" s="135"/>
      <c r="KDJ1015" s="135"/>
      <c r="KDK1015" s="135"/>
      <c r="KDL1015" s="135"/>
      <c r="KDM1015" s="135"/>
      <c r="KDN1015" s="135"/>
      <c r="KDO1015" s="135"/>
      <c r="KDP1015" s="135"/>
      <c r="KDQ1015" s="135"/>
      <c r="KDR1015" s="135"/>
      <c r="KDS1015" s="135"/>
      <c r="KDT1015" s="135"/>
      <c r="KDU1015" s="135"/>
      <c r="KDV1015" s="135"/>
      <c r="KDW1015" s="135"/>
      <c r="KDX1015" s="135"/>
      <c r="KDY1015" s="135"/>
      <c r="KDZ1015" s="135"/>
      <c r="KEA1015" s="135"/>
      <c r="KEB1015" s="135"/>
      <c r="KEC1015" s="135"/>
      <c r="KED1015" s="135"/>
      <c r="KEE1015" s="135"/>
      <c r="KEF1015" s="135"/>
      <c r="KEG1015" s="135"/>
      <c r="KEH1015" s="135"/>
      <c r="KEI1015" s="135"/>
      <c r="KEJ1015" s="135"/>
      <c r="KEK1015" s="135"/>
      <c r="KEL1015" s="135"/>
      <c r="KEM1015" s="135"/>
      <c r="KEN1015" s="135"/>
      <c r="KEO1015" s="135"/>
      <c r="KEP1015" s="135"/>
      <c r="KEQ1015" s="135"/>
      <c r="KER1015" s="135"/>
      <c r="KES1015" s="135"/>
      <c r="KET1015" s="135"/>
      <c r="KEU1015" s="135"/>
      <c r="KEV1015" s="135"/>
      <c r="KEW1015" s="135"/>
      <c r="KEX1015" s="135"/>
      <c r="KEY1015" s="135"/>
      <c r="KEZ1015" s="135"/>
      <c r="KFA1015" s="135"/>
      <c r="KFB1015" s="135"/>
      <c r="KFC1015" s="135"/>
      <c r="KFD1015" s="135"/>
      <c r="KFE1015" s="135"/>
      <c r="KFF1015" s="135"/>
      <c r="KFG1015" s="135"/>
      <c r="KFH1015" s="135"/>
      <c r="KFI1015" s="135"/>
      <c r="KFJ1015" s="135"/>
      <c r="KFK1015" s="135"/>
      <c r="KFL1015" s="135"/>
      <c r="KFM1015" s="135"/>
      <c r="KFN1015" s="135"/>
      <c r="KFO1015" s="135"/>
      <c r="KFP1015" s="135"/>
      <c r="KFQ1015" s="135"/>
      <c r="KFR1015" s="135"/>
      <c r="KFS1015" s="135"/>
      <c r="KFT1015" s="135"/>
      <c r="KFU1015" s="135"/>
      <c r="KFV1015" s="135"/>
      <c r="KFW1015" s="135"/>
      <c r="KFX1015" s="135"/>
      <c r="KFY1015" s="135"/>
      <c r="KFZ1015" s="135"/>
      <c r="KGA1015" s="135"/>
      <c r="KGB1015" s="135"/>
      <c r="KGC1015" s="135"/>
      <c r="KGD1015" s="135"/>
      <c r="KGE1015" s="135"/>
      <c r="KGF1015" s="135"/>
      <c r="KGG1015" s="135"/>
      <c r="KGH1015" s="135"/>
      <c r="KGI1015" s="135"/>
      <c r="KGJ1015" s="135"/>
      <c r="KGK1015" s="135"/>
      <c r="KGL1015" s="135"/>
      <c r="KGM1015" s="135"/>
      <c r="KGN1015" s="135"/>
      <c r="KGO1015" s="135"/>
      <c r="KGP1015" s="135"/>
      <c r="KGQ1015" s="135"/>
      <c r="KGR1015" s="135"/>
      <c r="KGS1015" s="135"/>
      <c r="KGT1015" s="135"/>
      <c r="KGU1015" s="135"/>
      <c r="KGV1015" s="135"/>
      <c r="KGW1015" s="135"/>
      <c r="KGX1015" s="135"/>
      <c r="KGY1015" s="135"/>
      <c r="KGZ1015" s="135"/>
      <c r="KHA1015" s="135"/>
      <c r="KHB1015" s="135"/>
      <c r="KHC1015" s="135"/>
      <c r="KHD1015" s="135"/>
      <c r="KHE1015" s="135"/>
      <c r="KHF1015" s="135"/>
      <c r="KHG1015" s="135"/>
      <c r="KHH1015" s="135"/>
      <c r="KHI1015" s="135"/>
      <c r="KHJ1015" s="135"/>
      <c r="KHK1015" s="135"/>
      <c r="KHL1015" s="135"/>
      <c r="KHM1015" s="135"/>
      <c r="KHN1015" s="135"/>
      <c r="KHO1015" s="135"/>
      <c r="KHP1015" s="135"/>
      <c r="KHQ1015" s="135"/>
      <c r="KHR1015" s="135"/>
      <c r="KHS1015" s="135"/>
      <c r="KHT1015" s="135"/>
      <c r="KHU1015" s="135"/>
      <c r="KHV1015" s="135"/>
      <c r="KHW1015" s="135"/>
      <c r="KHX1015" s="135"/>
      <c r="KHY1015" s="135"/>
      <c r="KHZ1015" s="135"/>
      <c r="KIA1015" s="135"/>
      <c r="KIB1015" s="135"/>
      <c r="KIC1015" s="135"/>
      <c r="KID1015" s="135"/>
      <c r="KIE1015" s="135"/>
      <c r="KIF1015" s="135"/>
      <c r="KIG1015" s="135"/>
      <c r="KIH1015" s="135"/>
      <c r="KII1015" s="135"/>
      <c r="KIJ1015" s="135"/>
      <c r="KIK1015" s="135"/>
      <c r="KIL1015" s="135"/>
      <c r="KIM1015" s="135"/>
      <c r="KIN1015" s="135"/>
      <c r="KIO1015" s="135"/>
      <c r="KIP1015" s="135"/>
      <c r="KIQ1015" s="135"/>
      <c r="KIR1015" s="135"/>
      <c r="KIS1015" s="135"/>
      <c r="KIT1015" s="135"/>
      <c r="KIU1015" s="135"/>
      <c r="KIV1015" s="135"/>
      <c r="KIW1015" s="135"/>
      <c r="KIX1015" s="135"/>
      <c r="KIY1015" s="135"/>
      <c r="KIZ1015" s="135"/>
      <c r="KJA1015" s="135"/>
      <c r="KJB1015" s="135"/>
      <c r="KJC1015" s="135"/>
      <c r="KJD1015" s="135"/>
      <c r="KJE1015" s="135"/>
      <c r="KJF1015" s="135"/>
      <c r="KJG1015" s="135"/>
      <c r="KJH1015" s="135"/>
      <c r="KJI1015" s="135"/>
      <c r="KJJ1015" s="135"/>
      <c r="KJK1015" s="135"/>
      <c r="KJL1015" s="135"/>
      <c r="KJM1015" s="135"/>
      <c r="KJN1015" s="135"/>
      <c r="KJO1015" s="135"/>
      <c r="KJP1015" s="135"/>
      <c r="KJQ1015" s="135"/>
      <c r="KJR1015" s="135"/>
      <c r="KJS1015" s="135"/>
      <c r="KJT1015" s="135"/>
      <c r="KJU1015" s="135"/>
      <c r="KJV1015" s="135"/>
      <c r="KJW1015" s="135"/>
      <c r="KJX1015" s="135"/>
      <c r="KJY1015" s="135"/>
      <c r="KJZ1015" s="135"/>
      <c r="KKA1015" s="135"/>
      <c r="KKB1015" s="135"/>
      <c r="KKC1015" s="135"/>
      <c r="KKD1015" s="135"/>
      <c r="KKE1015" s="135"/>
      <c r="KKF1015" s="135"/>
      <c r="KKG1015" s="135"/>
      <c r="KKH1015" s="135"/>
      <c r="KKI1015" s="135"/>
      <c r="KKJ1015" s="135"/>
      <c r="KKK1015" s="135"/>
      <c r="KKL1015" s="135"/>
      <c r="KKM1015" s="135"/>
      <c r="KKN1015" s="135"/>
      <c r="KKO1015" s="135"/>
      <c r="KKP1015" s="135"/>
      <c r="KKQ1015" s="135"/>
      <c r="KKR1015" s="135"/>
      <c r="KKS1015" s="135"/>
      <c r="KKT1015" s="135"/>
      <c r="KKU1015" s="135"/>
      <c r="KKV1015" s="135"/>
      <c r="KKW1015" s="135"/>
      <c r="KKX1015" s="135"/>
      <c r="KKY1015" s="135"/>
      <c r="KKZ1015" s="135"/>
      <c r="KLA1015" s="135"/>
      <c r="KLB1015" s="135"/>
      <c r="KLC1015" s="135"/>
      <c r="KLD1015" s="135"/>
      <c r="KLE1015" s="135"/>
      <c r="KLF1015" s="135"/>
      <c r="KLG1015" s="135"/>
      <c r="KLH1015" s="135"/>
      <c r="KLI1015" s="135"/>
      <c r="KLJ1015" s="135"/>
      <c r="KLK1015" s="135"/>
      <c r="KLL1015" s="135"/>
      <c r="KLM1015" s="135"/>
      <c r="KLN1015" s="135"/>
      <c r="KLO1015" s="135"/>
      <c r="KLP1015" s="135"/>
      <c r="KLQ1015" s="135"/>
      <c r="KLR1015" s="135"/>
      <c r="KLS1015" s="135"/>
      <c r="KLT1015" s="135"/>
      <c r="KLU1015" s="135"/>
      <c r="KLV1015" s="135"/>
      <c r="KLW1015" s="135"/>
      <c r="KLX1015" s="135"/>
      <c r="KLY1015" s="135"/>
      <c r="KLZ1015" s="135"/>
      <c r="KMA1015" s="135"/>
      <c r="KMB1015" s="135"/>
      <c r="KMC1015" s="135"/>
      <c r="KMD1015" s="135"/>
      <c r="KME1015" s="135"/>
      <c r="KMF1015" s="135"/>
      <c r="KMG1015" s="135"/>
      <c r="KMH1015" s="135"/>
      <c r="KMI1015" s="135"/>
      <c r="KMJ1015" s="135"/>
      <c r="KMK1015" s="135"/>
      <c r="KML1015" s="135"/>
      <c r="KMM1015" s="135"/>
      <c r="KMN1015" s="135"/>
      <c r="KMO1015" s="135"/>
      <c r="KMP1015" s="135"/>
      <c r="KMQ1015" s="135"/>
      <c r="KMR1015" s="135"/>
      <c r="KMS1015" s="135"/>
      <c r="KMT1015" s="135"/>
      <c r="KMU1015" s="135"/>
      <c r="KMV1015" s="135"/>
      <c r="KMW1015" s="135"/>
      <c r="KMX1015" s="135"/>
      <c r="KMY1015" s="135"/>
      <c r="KMZ1015" s="135"/>
      <c r="KNA1015" s="135"/>
      <c r="KNB1015" s="135"/>
      <c r="KNC1015" s="135"/>
      <c r="KND1015" s="135"/>
      <c r="KNE1015" s="135"/>
      <c r="KNF1015" s="135"/>
      <c r="KNG1015" s="135"/>
      <c r="KNH1015" s="135"/>
      <c r="KNI1015" s="135"/>
      <c r="KNJ1015" s="135"/>
      <c r="KNK1015" s="135"/>
      <c r="KNL1015" s="135"/>
      <c r="KNM1015" s="135"/>
      <c r="KNN1015" s="135"/>
      <c r="KNO1015" s="135"/>
      <c r="KNP1015" s="135"/>
      <c r="KNQ1015" s="135"/>
      <c r="KNR1015" s="135"/>
      <c r="KNS1015" s="135"/>
      <c r="KNT1015" s="135"/>
      <c r="KNU1015" s="135"/>
      <c r="KNV1015" s="135"/>
      <c r="KNW1015" s="135"/>
      <c r="KNX1015" s="135"/>
      <c r="KNY1015" s="135"/>
      <c r="KNZ1015" s="135"/>
      <c r="KOA1015" s="135"/>
      <c r="KOB1015" s="135"/>
      <c r="KOC1015" s="135"/>
      <c r="KOD1015" s="135"/>
      <c r="KOE1015" s="135"/>
      <c r="KOF1015" s="135"/>
      <c r="KOG1015" s="135"/>
      <c r="KOH1015" s="135"/>
      <c r="KOI1015" s="135"/>
      <c r="KOJ1015" s="135"/>
      <c r="KOK1015" s="135"/>
      <c r="KOL1015" s="135"/>
      <c r="KOM1015" s="135"/>
      <c r="KON1015" s="135"/>
      <c r="KOO1015" s="135"/>
      <c r="KOP1015" s="135"/>
      <c r="KOQ1015" s="135"/>
      <c r="KOR1015" s="135"/>
      <c r="KOS1015" s="135"/>
      <c r="KOT1015" s="135"/>
      <c r="KOU1015" s="135"/>
      <c r="KOV1015" s="135"/>
      <c r="KOW1015" s="135"/>
      <c r="KOX1015" s="135"/>
      <c r="KOY1015" s="135"/>
      <c r="KOZ1015" s="135"/>
      <c r="KPA1015" s="135"/>
      <c r="KPB1015" s="135"/>
      <c r="KPC1015" s="135"/>
      <c r="KPD1015" s="135"/>
      <c r="KPE1015" s="135"/>
      <c r="KPF1015" s="135"/>
      <c r="KPG1015" s="135"/>
      <c r="KPH1015" s="135"/>
      <c r="KPI1015" s="135"/>
      <c r="KPJ1015" s="135"/>
      <c r="KPK1015" s="135"/>
      <c r="KPL1015" s="135"/>
      <c r="KPM1015" s="135"/>
      <c r="KPN1015" s="135"/>
      <c r="KPO1015" s="135"/>
      <c r="KPP1015" s="135"/>
      <c r="KPQ1015" s="135"/>
      <c r="KPR1015" s="135"/>
      <c r="KPS1015" s="135"/>
      <c r="KPT1015" s="135"/>
      <c r="KPU1015" s="135"/>
      <c r="KPV1015" s="135"/>
      <c r="KPW1015" s="135"/>
      <c r="KPX1015" s="135"/>
      <c r="KPY1015" s="135"/>
      <c r="KPZ1015" s="135"/>
      <c r="KQA1015" s="135"/>
      <c r="KQB1015" s="135"/>
      <c r="KQC1015" s="135"/>
      <c r="KQD1015" s="135"/>
      <c r="KQE1015" s="135"/>
      <c r="KQF1015" s="135"/>
      <c r="KQG1015" s="135"/>
      <c r="KQH1015" s="135"/>
      <c r="KQI1015" s="135"/>
      <c r="KQJ1015" s="135"/>
      <c r="KQK1015" s="135"/>
      <c r="KQL1015" s="135"/>
      <c r="KQM1015" s="135"/>
      <c r="KQN1015" s="135"/>
      <c r="KQO1015" s="135"/>
      <c r="KQP1015" s="135"/>
      <c r="KQQ1015" s="135"/>
      <c r="KQR1015" s="135"/>
      <c r="KQS1015" s="135"/>
      <c r="KQT1015" s="135"/>
      <c r="KQU1015" s="135"/>
      <c r="KQV1015" s="135"/>
      <c r="KQW1015" s="135"/>
      <c r="KQX1015" s="135"/>
      <c r="KQY1015" s="135"/>
      <c r="KQZ1015" s="135"/>
      <c r="KRA1015" s="135"/>
      <c r="KRB1015" s="135"/>
      <c r="KRC1015" s="135"/>
      <c r="KRD1015" s="135"/>
      <c r="KRE1015" s="135"/>
      <c r="KRF1015" s="135"/>
      <c r="KRG1015" s="135"/>
      <c r="KRH1015" s="135"/>
      <c r="KRI1015" s="135"/>
      <c r="KRJ1015" s="135"/>
      <c r="KRK1015" s="135"/>
      <c r="KRL1015" s="135"/>
      <c r="KRM1015" s="135"/>
      <c r="KRN1015" s="135"/>
      <c r="KRO1015" s="135"/>
      <c r="KRP1015" s="135"/>
      <c r="KRQ1015" s="135"/>
      <c r="KRR1015" s="135"/>
      <c r="KRS1015" s="135"/>
      <c r="KRT1015" s="135"/>
      <c r="KRU1015" s="135"/>
      <c r="KRV1015" s="135"/>
      <c r="KRW1015" s="135"/>
      <c r="KRX1015" s="135"/>
      <c r="KRY1015" s="135"/>
      <c r="KRZ1015" s="135"/>
      <c r="KSA1015" s="135"/>
      <c r="KSB1015" s="135"/>
      <c r="KSC1015" s="135"/>
      <c r="KSD1015" s="135"/>
      <c r="KSE1015" s="135"/>
      <c r="KSF1015" s="135"/>
      <c r="KSG1015" s="135"/>
      <c r="KSH1015" s="135"/>
      <c r="KSI1015" s="135"/>
      <c r="KSJ1015" s="135"/>
      <c r="KSK1015" s="135"/>
      <c r="KSL1015" s="135"/>
      <c r="KSM1015" s="135"/>
      <c r="KSN1015" s="135"/>
      <c r="KSO1015" s="135"/>
      <c r="KSP1015" s="135"/>
      <c r="KSQ1015" s="135"/>
      <c r="KSR1015" s="135"/>
      <c r="KSS1015" s="135"/>
      <c r="KST1015" s="135"/>
      <c r="KSU1015" s="135"/>
      <c r="KSV1015" s="135"/>
      <c r="KSW1015" s="135"/>
      <c r="KSX1015" s="135"/>
      <c r="KSY1015" s="135"/>
      <c r="KSZ1015" s="135"/>
      <c r="KTA1015" s="135"/>
      <c r="KTB1015" s="135"/>
      <c r="KTC1015" s="135"/>
      <c r="KTD1015" s="135"/>
      <c r="KTE1015" s="135"/>
      <c r="KTF1015" s="135"/>
      <c r="KTG1015" s="135"/>
      <c r="KTH1015" s="135"/>
      <c r="KTI1015" s="135"/>
      <c r="KTJ1015" s="135"/>
      <c r="KTK1015" s="135"/>
      <c r="KTL1015" s="135"/>
      <c r="KTM1015" s="135"/>
      <c r="KTN1015" s="135"/>
      <c r="KTO1015" s="135"/>
      <c r="KTP1015" s="135"/>
      <c r="KTQ1015" s="135"/>
      <c r="KTR1015" s="135"/>
      <c r="KTS1015" s="135"/>
      <c r="KTT1015" s="135"/>
      <c r="KTU1015" s="135"/>
      <c r="KTV1015" s="135"/>
      <c r="KTW1015" s="135"/>
      <c r="KTX1015" s="135"/>
      <c r="KTY1015" s="135"/>
      <c r="KTZ1015" s="135"/>
      <c r="KUA1015" s="135"/>
      <c r="KUB1015" s="135"/>
      <c r="KUC1015" s="135"/>
      <c r="KUD1015" s="135"/>
      <c r="KUE1015" s="135"/>
      <c r="KUF1015" s="135"/>
      <c r="KUG1015" s="135"/>
      <c r="KUH1015" s="135"/>
      <c r="KUI1015" s="135"/>
      <c r="KUJ1015" s="135"/>
      <c r="KUK1015" s="135"/>
      <c r="KUL1015" s="135"/>
      <c r="KUM1015" s="135"/>
      <c r="KUN1015" s="135"/>
      <c r="KUO1015" s="135"/>
      <c r="KUP1015" s="135"/>
      <c r="KUQ1015" s="135"/>
      <c r="KUR1015" s="135"/>
      <c r="KUS1015" s="135"/>
      <c r="KUT1015" s="135"/>
      <c r="KUU1015" s="135"/>
      <c r="KUV1015" s="135"/>
      <c r="KUW1015" s="135"/>
      <c r="KUX1015" s="135"/>
      <c r="KUY1015" s="135"/>
      <c r="KUZ1015" s="135"/>
      <c r="KVA1015" s="135"/>
      <c r="KVB1015" s="135"/>
      <c r="KVC1015" s="135"/>
      <c r="KVD1015" s="135"/>
      <c r="KVE1015" s="135"/>
      <c r="KVF1015" s="135"/>
      <c r="KVG1015" s="135"/>
      <c r="KVH1015" s="135"/>
      <c r="KVI1015" s="135"/>
      <c r="KVJ1015" s="135"/>
      <c r="KVK1015" s="135"/>
      <c r="KVL1015" s="135"/>
      <c r="KVM1015" s="135"/>
      <c r="KVN1015" s="135"/>
      <c r="KVO1015" s="135"/>
      <c r="KVP1015" s="135"/>
      <c r="KVQ1015" s="135"/>
      <c r="KVR1015" s="135"/>
      <c r="KVS1015" s="135"/>
      <c r="KVT1015" s="135"/>
      <c r="KVU1015" s="135"/>
      <c r="KVV1015" s="135"/>
      <c r="KVW1015" s="135"/>
      <c r="KVX1015" s="135"/>
      <c r="KVY1015" s="135"/>
      <c r="KVZ1015" s="135"/>
      <c r="KWA1015" s="135"/>
      <c r="KWB1015" s="135"/>
      <c r="KWC1015" s="135"/>
      <c r="KWD1015" s="135"/>
      <c r="KWE1015" s="135"/>
      <c r="KWF1015" s="135"/>
      <c r="KWG1015" s="135"/>
      <c r="KWH1015" s="135"/>
      <c r="KWI1015" s="135"/>
      <c r="KWJ1015" s="135"/>
      <c r="KWK1015" s="135"/>
      <c r="KWL1015" s="135"/>
      <c r="KWM1015" s="135"/>
      <c r="KWN1015" s="135"/>
      <c r="KWO1015" s="135"/>
      <c r="KWP1015" s="135"/>
      <c r="KWQ1015" s="135"/>
      <c r="KWR1015" s="135"/>
      <c r="KWS1015" s="135"/>
      <c r="KWT1015" s="135"/>
      <c r="KWU1015" s="135"/>
      <c r="KWV1015" s="135"/>
      <c r="KWW1015" s="135"/>
      <c r="KWX1015" s="135"/>
      <c r="KWY1015" s="135"/>
      <c r="KWZ1015" s="135"/>
      <c r="KXA1015" s="135"/>
      <c r="KXB1015" s="135"/>
      <c r="KXC1015" s="135"/>
      <c r="KXD1015" s="135"/>
      <c r="KXE1015" s="135"/>
      <c r="KXF1015" s="135"/>
      <c r="KXG1015" s="135"/>
      <c r="KXH1015" s="135"/>
      <c r="KXI1015" s="135"/>
      <c r="KXJ1015" s="135"/>
      <c r="KXK1015" s="135"/>
      <c r="KXL1015" s="135"/>
      <c r="KXM1015" s="135"/>
      <c r="KXN1015" s="135"/>
      <c r="KXO1015" s="135"/>
      <c r="KXP1015" s="135"/>
      <c r="KXQ1015" s="135"/>
      <c r="KXR1015" s="135"/>
      <c r="KXS1015" s="135"/>
      <c r="KXT1015" s="135"/>
      <c r="KXU1015" s="135"/>
      <c r="KXV1015" s="135"/>
      <c r="KXW1015" s="135"/>
      <c r="KXX1015" s="135"/>
      <c r="KXY1015" s="135"/>
      <c r="KXZ1015" s="135"/>
      <c r="KYA1015" s="135"/>
      <c r="KYB1015" s="135"/>
      <c r="KYC1015" s="135"/>
      <c r="KYD1015" s="135"/>
      <c r="KYE1015" s="135"/>
      <c r="KYF1015" s="135"/>
      <c r="KYG1015" s="135"/>
      <c r="KYH1015" s="135"/>
      <c r="KYI1015" s="135"/>
      <c r="KYJ1015" s="135"/>
      <c r="KYK1015" s="135"/>
      <c r="KYL1015" s="135"/>
      <c r="KYM1015" s="135"/>
      <c r="KYN1015" s="135"/>
      <c r="KYO1015" s="135"/>
      <c r="KYP1015" s="135"/>
      <c r="KYQ1015" s="135"/>
      <c r="KYR1015" s="135"/>
      <c r="KYS1015" s="135"/>
      <c r="KYT1015" s="135"/>
      <c r="KYU1015" s="135"/>
      <c r="KYV1015" s="135"/>
      <c r="KYW1015" s="135"/>
      <c r="KYX1015" s="135"/>
      <c r="KYY1015" s="135"/>
      <c r="KYZ1015" s="135"/>
      <c r="KZA1015" s="135"/>
      <c r="KZB1015" s="135"/>
      <c r="KZC1015" s="135"/>
      <c r="KZD1015" s="135"/>
      <c r="KZE1015" s="135"/>
      <c r="KZF1015" s="135"/>
      <c r="KZG1015" s="135"/>
      <c r="KZH1015" s="135"/>
      <c r="KZI1015" s="135"/>
      <c r="KZJ1015" s="135"/>
      <c r="KZK1015" s="135"/>
      <c r="KZL1015" s="135"/>
      <c r="KZM1015" s="135"/>
      <c r="KZN1015" s="135"/>
      <c r="KZO1015" s="135"/>
      <c r="KZP1015" s="135"/>
      <c r="KZQ1015" s="135"/>
      <c r="KZR1015" s="135"/>
      <c r="KZS1015" s="135"/>
      <c r="KZT1015" s="135"/>
      <c r="KZU1015" s="135"/>
      <c r="KZV1015" s="135"/>
      <c r="KZW1015" s="135"/>
      <c r="KZX1015" s="135"/>
      <c r="KZY1015" s="135"/>
      <c r="KZZ1015" s="135"/>
      <c r="LAA1015" s="135"/>
      <c r="LAB1015" s="135"/>
      <c r="LAC1015" s="135"/>
      <c r="LAD1015" s="135"/>
      <c r="LAE1015" s="135"/>
      <c r="LAF1015" s="135"/>
      <c r="LAG1015" s="135"/>
      <c r="LAH1015" s="135"/>
      <c r="LAI1015" s="135"/>
      <c r="LAJ1015" s="135"/>
      <c r="LAK1015" s="135"/>
      <c r="LAL1015" s="135"/>
      <c r="LAM1015" s="135"/>
      <c r="LAN1015" s="135"/>
      <c r="LAO1015" s="135"/>
      <c r="LAP1015" s="135"/>
      <c r="LAQ1015" s="135"/>
      <c r="LAR1015" s="135"/>
      <c r="LAS1015" s="135"/>
      <c r="LAT1015" s="135"/>
      <c r="LAU1015" s="135"/>
      <c r="LAV1015" s="135"/>
      <c r="LAW1015" s="135"/>
      <c r="LAX1015" s="135"/>
      <c r="LAY1015" s="135"/>
      <c r="LAZ1015" s="135"/>
      <c r="LBA1015" s="135"/>
      <c r="LBB1015" s="135"/>
      <c r="LBC1015" s="135"/>
      <c r="LBD1015" s="135"/>
      <c r="LBE1015" s="135"/>
      <c r="LBF1015" s="135"/>
      <c r="LBG1015" s="135"/>
      <c r="LBH1015" s="135"/>
      <c r="LBI1015" s="135"/>
      <c r="LBJ1015" s="135"/>
      <c r="LBK1015" s="135"/>
      <c r="LBL1015" s="135"/>
      <c r="LBM1015" s="135"/>
      <c r="LBN1015" s="135"/>
      <c r="LBO1015" s="135"/>
      <c r="LBP1015" s="135"/>
      <c r="LBQ1015" s="135"/>
      <c r="LBR1015" s="135"/>
      <c r="LBS1015" s="135"/>
      <c r="LBT1015" s="135"/>
      <c r="LBU1015" s="135"/>
      <c r="LBV1015" s="135"/>
      <c r="LBW1015" s="135"/>
      <c r="LBX1015" s="135"/>
      <c r="LBY1015" s="135"/>
      <c r="LBZ1015" s="135"/>
      <c r="LCA1015" s="135"/>
      <c r="LCB1015" s="135"/>
      <c r="LCC1015" s="135"/>
      <c r="LCD1015" s="135"/>
      <c r="LCE1015" s="135"/>
      <c r="LCF1015" s="135"/>
      <c r="LCG1015" s="135"/>
      <c r="LCH1015" s="135"/>
      <c r="LCI1015" s="135"/>
      <c r="LCJ1015" s="135"/>
      <c r="LCK1015" s="135"/>
      <c r="LCL1015" s="135"/>
      <c r="LCM1015" s="135"/>
      <c r="LCN1015" s="135"/>
      <c r="LCO1015" s="135"/>
      <c r="LCP1015" s="135"/>
      <c r="LCQ1015" s="135"/>
      <c r="LCR1015" s="135"/>
      <c r="LCS1015" s="135"/>
      <c r="LCT1015" s="135"/>
      <c r="LCU1015" s="135"/>
      <c r="LCV1015" s="135"/>
      <c r="LCW1015" s="135"/>
      <c r="LCX1015" s="135"/>
      <c r="LCY1015" s="135"/>
      <c r="LCZ1015" s="135"/>
      <c r="LDA1015" s="135"/>
      <c r="LDB1015" s="135"/>
      <c r="LDC1015" s="135"/>
      <c r="LDD1015" s="135"/>
      <c r="LDE1015" s="135"/>
      <c r="LDF1015" s="135"/>
      <c r="LDG1015" s="135"/>
      <c r="LDH1015" s="135"/>
      <c r="LDI1015" s="135"/>
      <c r="LDJ1015" s="135"/>
      <c r="LDK1015" s="135"/>
      <c r="LDL1015" s="135"/>
      <c r="LDM1015" s="135"/>
      <c r="LDN1015" s="135"/>
      <c r="LDO1015" s="135"/>
      <c r="LDP1015" s="135"/>
      <c r="LDQ1015" s="135"/>
      <c r="LDR1015" s="135"/>
      <c r="LDS1015" s="135"/>
      <c r="LDT1015" s="135"/>
      <c r="LDU1015" s="135"/>
      <c r="LDV1015" s="135"/>
      <c r="LDW1015" s="135"/>
      <c r="LDX1015" s="135"/>
      <c r="LDY1015" s="135"/>
      <c r="LDZ1015" s="135"/>
      <c r="LEA1015" s="135"/>
      <c r="LEB1015" s="135"/>
      <c r="LEC1015" s="135"/>
      <c r="LED1015" s="135"/>
      <c r="LEE1015" s="135"/>
      <c r="LEF1015" s="135"/>
      <c r="LEG1015" s="135"/>
      <c r="LEH1015" s="135"/>
      <c r="LEI1015" s="135"/>
      <c r="LEJ1015" s="135"/>
      <c r="LEK1015" s="135"/>
      <c r="LEL1015" s="135"/>
      <c r="LEM1015" s="135"/>
      <c r="LEN1015" s="135"/>
      <c r="LEO1015" s="135"/>
      <c r="LEP1015" s="135"/>
      <c r="LEQ1015" s="135"/>
      <c r="LER1015" s="135"/>
      <c r="LES1015" s="135"/>
      <c r="LET1015" s="135"/>
      <c r="LEU1015" s="135"/>
      <c r="LEV1015" s="135"/>
      <c r="LEW1015" s="135"/>
      <c r="LEX1015" s="135"/>
      <c r="LEY1015" s="135"/>
      <c r="LEZ1015" s="135"/>
      <c r="LFA1015" s="135"/>
      <c r="LFB1015" s="135"/>
      <c r="LFC1015" s="135"/>
      <c r="LFD1015" s="135"/>
      <c r="LFE1015" s="135"/>
      <c r="LFF1015" s="135"/>
      <c r="LFG1015" s="135"/>
      <c r="LFH1015" s="135"/>
      <c r="LFI1015" s="135"/>
      <c r="LFJ1015" s="135"/>
      <c r="LFK1015" s="135"/>
      <c r="LFL1015" s="135"/>
      <c r="LFM1015" s="135"/>
      <c r="LFN1015" s="135"/>
      <c r="LFO1015" s="135"/>
      <c r="LFP1015" s="135"/>
      <c r="LFQ1015" s="135"/>
      <c r="LFR1015" s="135"/>
      <c r="LFS1015" s="135"/>
      <c r="LFT1015" s="135"/>
      <c r="LFU1015" s="135"/>
      <c r="LFV1015" s="135"/>
      <c r="LFW1015" s="135"/>
      <c r="LFX1015" s="135"/>
      <c r="LFY1015" s="135"/>
      <c r="LFZ1015" s="135"/>
      <c r="LGA1015" s="135"/>
      <c r="LGB1015" s="135"/>
      <c r="LGC1015" s="135"/>
      <c r="LGD1015" s="135"/>
      <c r="LGE1015" s="135"/>
      <c r="LGF1015" s="135"/>
      <c r="LGG1015" s="135"/>
      <c r="LGH1015" s="135"/>
      <c r="LGI1015" s="135"/>
      <c r="LGJ1015" s="135"/>
      <c r="LGK1015" s="135"/>
      <c r="LGL1015" s="135"/>
      <c r="LGM1015" s="135"/>
      <c r="LGN1015" s="135"/>
      <c r="LGO1015" s="135"/>
      <c r="LGP1015" s="135"/>
      <c r="LGQ1015" s="135"/>
      <c r="LGR1015" s="135"/>
      <c r="LGS1015" s="135"/>
      <c r="LGT1015" s="135"/>
      <c r="LGU1015" s="135"/>
      <c r="LGV1015" s="135"/>
      <c r="LGW1015" s="135"/>
      <c r="LGX1015" s="135"/>
      <c r="LGY1015" s="135"/>
      <c r="LGZ1015" s="135"/>
      <c r="LHA1015" s="135"/>
      <c r="LHB1015" s="135"/>
      <c r="LHC1015" s="135"/>
      <c r="LHD1015" s="135"/>
      <c r="LHE1015" s="135"/>
      <c r="LHF1015" s="135"/>
      <c r="LHG1015" s="135"/>
      <c r="LHH1015" s="135"/>
      <c r="LHI1015" s="135"/>
      <c r="LHJ1015" s="135"/>
      <c r="LHK1015" s="135"/>
      <c r="LHL1015" s="135"/>
      <c r="LHM1015" s="135"/>
      <c r="LHN1015" s="135"/>
      <c r="LHO1015" s="135"/>
      <c r="LHP1015" s="135"/>
      <c r="LHQ1015" s="135"/>
      <c r="LHR1015" s="135"/>
      <c r="LHS1015" s="135"/>
      <c r="LHT1015" s="135"/>
      <c r="LHU1015" s="135"/>
      <c r="LHV1015" s="135"/>
      <c r="LHW1015" s="135"/>
      <c r="LHX1015" s="135"/>
      <c r="LHY1015" s="135"/>
      <c r="LHZ1015" s="135"/>
      <c r="LIA1015" s="135"/>
      <c r="LIB1015" s="135"/>
      <c r="LIC1015" s="135"/>
      <c r="LID1015" s="135"/>
      <c r="LIE1015" s="135"/>
      <c r="LIF1015" s="135"/>
      <c r="LIG1015" s="135"/>
      <c r="LIH1015" s="135"/>
      <c r="LII1015" s="135"/>
      <c r="LIJ1015" s="135"/>
      <c r="LIK1015" s="135"/>
      <c r="LIL1015" s="135"/>
      <c r="LIM1015" s="135"/>
      <c r="LIN1015" s="135"/>
      <c r="LIO1015" s="135"/>
      <c r="LIP1015" s="135"/>
      <c r="LIQ1015" s="135"/>
      <c r="LIR1015" s="135"/>
      <c r="LIS1015" s="135"/>
      <c r="LIT1015" s="135"/>
      <c r="LIU1015" s="135"/>
      <c r="LIV1015" s="135"/>
      <c r="LIW1015" s="135"/>
      <c r="LIX1015" s="135"/>
      <c r="LIY1015" s="135"/>
      <c r="LIZ1015" s="135"/>
      <c r="LJA1015" s="135"/>
      <c r="LJB1015" s="135"/>
      <c r="LJC1015" s="135"/>
      <c r="LJD1015" s="135"/>
      <c r="LJE1015" s="135"/>
      <c r="LJF1015" s="135"/>
      <c r="LJG1015" s="135"/>
      <c r="LJH1015" s="135"/>
      <c r="LJI1015" s="135"/>
      <c r="LJJ1015" s="135"/>
      <c r="LJK1015" s="135"/>
      <c r="LJL1015" s="135"/>
      <c r="LJM1015" s="135"/>
      <c r="LJN1015" s="135"/>
      <c r="LJO1015" s="135"/>
      <c r="LJP1015" s="135"/>
      <c r="LJQ1015" s="135"/>
      <c r="LJR1015" s="135"/>
      <c r="LJS1015" s="135"/>
      <c r="LJT1015" s="135"/>
      <c r="LJU1015" s="135"/>
      <c r="LJV1015" s="135"/>
      <c r="LJW1015" s="135"/>
      <c r="LJX1015" s="135"/>
      <c r="LJY1015" s="135"/>
      <c r="LJZ1015" s="135"/>
      <c r="LKA1015" s="135"/>
      <c r="LKB1015" s="135"/>
      <c r="LKC1015" s="135"/>
      <c r="LKD1015" s="135"/>
      <c r="LKE1015" s="135"/>
      <c r="LKF1015" s="135"/>
      <c r="LKG1015" s="135"/>
      <c r="LKH1015" s="135"/>
      <c r="LKI1015" s="135"/>
      <c r="LKJ1015" s="135"/>
      <c r="LKK1015" s="135"/>
      <c r="LKL1015" s="135"/>
      <c r="LKM1015" s="135"/>
      <c r="LKN1015" s="135"/>
      <c r="LKO1015" s="135"/>
      <c r="LKP1015" s="135"/>
      <c r="LKQ1015" s="135"/>
      <c r="LKR1015" s="135"/>
      <c r="LKS1015" s="135"/>
      <c r="LKT1015" s="135"/>
      <c r="LKU1015" s="135"/>
      <c r="LKV1015" s="135"/>
      <c r="LKW1015" s="135"/>
      <c r="LKX1015" s="135"/>
      <c r="LKY1015" s="135"/>
      <c r="LKZ1015" s="135"/>
      <c r="LLA1015" s="135"/>
      <c r="LLB1015" s="135"/>
      <c r="LLC1015" s="135"/>
      <c r="LLD1015" s="135"/>
      <c r="LLE1015" s="135"/>
      <c r="LLF1015" s="135"/>
      <c r="LLG1015" s="135"/>
      <c r="LLH1015" s="135"/>
      <c r="LLI1015" s="135"/>
      <c r="LLJ1015" s="135"/>
      <c r="LLK1015" s="135"/>
      <c r="LLL1015" s="135"/>
      <c r="LLM1015" s="135"/>
      <c r="LLN1015" s="135"/>
      <c r="LLO1015" s="135"/>
      <c r="LLP1015" s="135"/>
      <c r="LLQ1015" s="135"/>
      <c r="LLR1015" s="135"/>
      <c r="LLS1015" s="135"/>
      <c r="LLT1015" s="135"/>
      <c r="LLU1015" s="135"/>
      <c r="LLV1015" s="135"/>
      <c r="LLW1015" s="135"/>
      <c r="LLX1015" s="135"/>
      <c r="LLY1015" s="135"/>
      <c r="LLZ1015" s="135"/>
      <c r="LMA1015" s="135"/>
      <c r="LMB1015" s="135"/>
      <c r="LMC1015" s="135"/>
      <c r="LMD1015" s="135"/>
      <c r="LME1015" s="135"/>
      <c r="LMF1015" s="135"/>
      <c r="LMG1015" s="135"/>
      <c r="LMH1015" s="135"/>
      <c r="LMI1015" s="135"/>
      <c r="LMJ1015" s="135"/>
      <c r="LMK1015" s="135"/>
      <c r="LML1015" s="135"/>
      <c r="LMM1015" s="135"/>
      <c r="LMN1015" s="135"/>
      <c r="LMO1015" s="135"/>
      <c r="LMP1015" s="135"/>
      <c r="LMQ1015" s="135"/>
      <c r="LMR1015" s="135"/>
      <c r="LMS1015" s="135"/>
      <c r="LMT1015" s="135"/>
      <c r="LMU1015" s="135"/>
      <c r="LMV1015" s="135"/>
      <c r="LMW1015" s="135"/>
      <c r="LMX1015" s="135"/>
      <c r="LMY1015" s="135"/>
      <c r="LMZ1015" s="135"/>
      <c r="LNA1015" s="135"/>
      <c r="LNB1015" s="135"/>
      <c r="LNC1015" s="135"/>
      <c r="LND1015" s="135"/>
      <c r="LNE1015" s="135"/>
      <c r="LNF1015" s="135"/>
      <c r="LNG1015" s="135"/>
      <c r="LNH1015" s="135"/>
      <c r="LNI1015" s="135"/>
      <c r="LNJ1015" s="135"/>
      <c r="LNK1015" s="135"/>
      <c r="LNL1015" s="135"/>
      <c r="LNM1015" s="135"/>
      <c r="LNN1015" s="135"/>
      <c r="LNO1015" s="135"/>
      <c r="LNP1015" s="135"/>
      <c r="LNQ1015" s="135"/>
      <c r="LNR1015" s="135"/>
      <c r="LNS1015" s="135"/>
      <c r="LNT1015" s="135"/>
      <c r="LNU1015" s="135"/>
      <c r="LNV1015" s="135"/>
      <c r="LNW1015" s="135"/>
      <c r="LNX1015" s="135"/>
      <c r="LNY1015" s="135"/>
      <c r="LNZ1015" s="135"/>
      <c r="LOA1015" s="135"/>
      <c r="LOB1015" s="135"/>
      <c r="LOC1015" s="135"/>
      <c r="LOD1015" s="135"/>
      <c r="LOE1015" s="135"/>
      <c r="LOF1015" s="135"/>
      <c r="LOG1015" s="135"/>
      <c r="LOH1015" s="135"/>
      <c r="LOI1015" s="135"/>
      <c r="LOJ1015" s="135"/>
      <c r="LOK1015" s="135"/>
      <c r="LOL1015" s="135"/>
      <c r="LOM1015" s="135"/>
      <c r="LON1015" s="135"/>
      <c r="LOO1015" s="135"/>
      <c r="LOP1015" s="135"/>
      <c r="LOQ1015" s="135"/>
      <c r="LOR1015" s="135"/>
      <c r="LOS1015" s="135"/>
      <c r="LOT1015" s="135"/>
      <c r="LOU1015" s="135"/>
      <c r="LOV1015" s="135"/>
      <c r="LOW1015" s="135"/>
      <c r="LOX1015" s="135"/>
      <c r="LOY1015" s="135"/>
      <c r="LOZ1015" s="135"/>
      <c r="LPA1015" s="135"/>
      <c r="LPB1015" s="135"/>
      <c r="LPC1015" s="135"/>
      <c r="LPD1015" s="135"/>
      <c r="LPE1015" s="135"/>
      <c r="LPF1015" s="135"/>
      <c r="LPG1015" s="135"/>
      <c r="LPH1015" s="135"/>
      <c r="LPI1015" s="135"/>
      <c r="LPJ1015" s="135"/>
      <c r="LPK1015" s="135"/>
      <c r="LPL1015" s="135"/>
      <c r="LPM1015" s="135"/>
      <c r="LPN1015" s="135"/>
      <c r="LPO1015" s="135"/>
      <c r="LPP1015" s="135"/>
      <c r="LPQ1015" s="135"/>
      <c r="LPR1015" s="135"/>
      <c r="LPS1015" s="135"/>
      <c r="LPT1015" s="135"/>
      <c r="LPU1015" s="135"/>
      <c r="LPV1015" s="135"/>
      <c r="LPW1015" s="135"/>
      <c r="LPX1015" s="135"/>
      <c r="LPY1015" s="135"/>
      <c r="LPZ1015" s="135"/>
      <c r="LQA1015" s="135"/>
      <c r="LQB1015" s="135"/>
      <c r="LQC1015" s="135"/>
      <c r="LQD1015" s="135"/>
      <c r="LQE1015" s="135"/>
      <c r="LQF1015" s="135"/>
      <c r="LQG1015" s="135"/>
      <c r="LQH1015" s="135"/>
      <c r="LQI1015" s="135"/>
      <c r="LQJ1015" s="135"/>
      <c r="LQK1015" s="135"/>
      <c r="LQL1015" s="135"/>
      <c r="LQM1015" s="135"/>
      <c r="LQN1015" s="135"/>
      <c r="LQO1015" s="135"/>
      <c r="LQP1015" s="135"/>
      <c r="LQQ1015" s="135"/>
      <c r="LQR1015" s="135"/>
      <c r="LQS1015" s="135"/>
      <c r="LQT1015" s="135"/>
      <c r="LQU1015" s="135"/>
      <c r="LQV1015" s="135"/>
      <c r="LQW1015" s="135"/>
      <c r="LQX1015" s="135"/>
      <c r="LQY1015" s="135"/>
      <c r="LQZ1015" s="135"/>
      <c r="LRA1015" s="135"/>
      <c r="LRB1015" s="135"/>
      <c r="LRC1015" s="135"/>
      <c r="LRD1015" s="135"/>
      <c r="LRE1015" s="135"/>
      <c r="LRF1015" s="135"/>
      <c r="LRG1015" s="135"/>
      <c r="LRH1015" s="135"/>
      <c r="LRI1015" s="135"/>
      <c r="LRJ1015" s="135"/>
      <c r="LRK1015" s="135"/>
      <c r="LRL1015" s="135"/>
      <c r="LRM1015" s="135"/>
      <c r="LRN1015" s="135"/>
      <c r="LRO1015" s="135"/>
      <c r="LRP1015" s="135"/>
      <c r="LRQ1015" s="135"/>
      <c r="LRR1015" s="135"/>
      <c r="LRS1015" s="135"/>
      <c r="LRT1015" s="135"/>
      <c r="LRU1015" s="135"/>
      <c r="LRV1015" s="135"/>
      <c r="LRW1015" s="135"/>
      <c r="LRX1015" s="135"/>
      <c r="LRY1015" s="135"/>
      <c r="LRZ1015" s="135"/>
      <c r="LSA1015" s="135"/>
      <c r="LSB1015" s="135"/>
      <c r="LSC1015" s="135"/>
      <c r="LSD1015" s="135"/>
      <c r="LSE1015" s="135"/>
      <c r="LSF1015" s="135"/>
      <c r="LSG1015" s="135"/>
      <c r="LSH1015" s="135"/>
      <c r="LSI1015" s="135"/>
      <c r="LSJ1015" s="135"/>
      <c r="LSK1015" s="135"/>
      <c r="LSL1015" s="135"/>
      <c r="LSM1015" s="135"/>
      <c r="LSN1015" s="135"/>
      <c r="LSO1015" s="135"/>
      <c r="LSP1015" s="135"/>
      <c r="LSQ1015" s="135"/>
      <c r="LSR1015" s="135"/>
      <c r="LSS1015" s="135"/>
      <c r="LST1015" s="135"/>
      <c r="LSU1015" s="135"/>
      <c r="LSV1015" s="135"/>
      <c r="LSW1015" s="135"/>
      <c r="LSX1015" s="135"/>
      <c r="LSY1015" s="135"/>
      <c r="LSZ1015" s="135"/>
      <c r="LTA1015" s="135"/>
      <c r="LTB1015" s="135"/>
      <c r="LTC1015" s="135"/>
      <c r="LTD1015" s="135"/>
      <c r="LTE1015" s="135"/>
      <c r="LTF1015" s="135"/>
      <c r="LTG1015" s="135"/>
      <c r="LTH1015" s="135"/>
      <c r="LTI1015" s="135"/>
      <c r="LTJ1015" s="135"/>
      <c r="LTK1015" s="135"/>
      <c r="LTL1015" s="135"/>
      <c r="LTM1015" s="135"/>
      <c r="LTN1015" s="135"/>
      <c r="LTO1015" s="135"/>
      <c r="LTP1015" s="135"/>
      <c r="LTQ1015" s="135"/>
      <c r="LTR1015" s="135"/>
      <c r="LTS1015" s="135"/>
      <c r="LTT1015" s="135"/>
      <c r="LTU1015" s="135"/>
      <c r="LTV1015" s="135"/>
      <c r="LTW1015" s="135"/>
      <c r="LTX1015" s="135"/>
      <c r="LTY1015" s="135"/>
      <c r="LTZ1015" s="135"/>
      <c r="LUA1015" s="135"/>
      <c r="LUB1015" s="135"/>
      <c r="LUC1015" s="135"/>
      <c r="LUD1015" s="135"/>
      <c r="LUE1015" s="135"/>
      <c r="LUF1015" s="135"/>
      <c r="LUG1015" s="135"/>
      <c r="LUH1015" s="135"/>
      <c r="LUI1015" s="135"/>
      <c r="LUJ1015" s="135"/>
      <c r="LUK1015" s="135"/>
      <c r="LUL1015" s="135"/>
      <c r="LUM1015" s="135"/>
      <c r="LUN1015" s="135"/>
      <c r="LUO1015" s="135"/>
      <c r="LUP1015" s="135"/>
      <c r="LUQ1015" s="135"/>
      <c r="LUR1015" s="135"/>
      <c r="LUS1015" s="135"/>
      <c r="LUT1015" s="135"/>
      <c r="LUU1015" s="135"/>
      <c r="LUV1015" s="135"/>
      <c r="LUW1015" s="135"/>
      <c r="LUX1015" s="135"/>
      <c r="LUY1015" s="135"/>
      <c r="LUZ1015" s="135"/>
      <c r="LVA1015" s="135"/>
      <c r="LVB1015" s="135"/>
      <c r="LVC1015" s="135"/>
      <c r="LVD1015" s="135"/>
      <c r="LVE1015" s="135"/>
      <c r="LVF1015" s="135"/>
      <c r="LVG1015" s="135"/>
      <c r="LVH1015" s="135"/>
      <c r="LVI1015" s="135"/>
      <c r="LVJ1015" s="135"/>
      <c r="LVK1015" s="135"/>
      <c r="LVL1015" s="135"/>
      <c r="LVM1015" s="135"/>
      <c r="LVN1015" s="135"/>
      <c r="LVO1015" s="135"/>
      <c r="LVP1015" s="135"/>
      <c r="LVQ1015" s="135"/>
      <c r="LVR1015" s="135"/>
      <c r="LVS1015" s="135"/>
      <c r="LVT1015" s="135"/>
      <c r="LVU1015" s="135"/>
      <c r="LVV1015" s="135"/>
      <c r="LVW1015" s="135"/>
      <c r="LVX1015" s="135"/>
      <c r="LVY1015" s="135"/>
      <c r="LVZ1015" s="135"/>
      <c r="LWA1015" s="135"/>
      <c r="LWB1015" s="135"/>
      <c r="LWC1015" s="135"/>
      <c r="LWD1015" s="135"/>
      <c r="LWE1015" s="135"/>
      <c r="LWF1015" s="135"/>
      <c r="LWG1015" s="135"/>
      <c r="LWH1015" s="135"/>
      <c r="LWI1015" s="135"/>
      <c r="LWJ1015" s="135"/>
      <c r="LWK1015" s="135"/>
      <c r="LWL1015" s="135"/>
      <c r="LWM1015" s="135"/>
      <c r="LWN1015" s="135"/>
      <c r="LWO1015" s="135"/>
      <c r="LWP1015" s="135"/>
      <c r="LWQ1015" s="135"/>
      <c r="LWR1015" s="135"/>
      <c r="LWS1015" s="135"/>
      <c r="LWT1015" s="135"/>
      <c r="LWU1015" s="135"/>
      <c r="LWV1015" s="135"/>
      <c r="LWW1015" s="135"/>
      <c r="LWX1015" s="135"/>
      <c r="LWY1015" s="135"/>
      <c r="LWZ1015" s="135"/>
      <c r="LXA1015" s="135"/>
      <c r="LXB1015" s="135"/>
      <c r="LXC1015" s="135"/>
      <c r="LXD1015" s="135"/>
      <c r="LXE1015" s="135"/>
      <c r="LXF1015" s="135"/>
      <c r="LXG1015" s="135"/>
      <c r="LXH1015" s="135"/>
      <c r="LXI1015" s="135"/>
      <c r="LXJ1015" s="135"/>
      <c r="LXK1015" s="135"/>
      <c r="LXL1015" s="135"/>
      <c r="LXM1015" s="135"/>
      <c r="LXN1015" s="135"/>
      <c r="LXO1015" s="135"/>
      <c r="LXP1015" s="135"/>
      <c r="LXQ1015" s="135"/>
      <c r="LXR1015" s="135"/>
      <c r="LXS1015" s="135"/>
      <c r="LXT1015" s="135"/>
      <c r="LXU1015" s="135"/>
      <c r="LXV1015" s="135"/>
      <c r="LXW1015" s="135"/>
      <c r="LXX1015" s="135"/>
      <c r="LXY1015" s="135"/>
      <c r="LXZ1015" s="135"/>
      <c r="LYA1015" s="135"/>
      <c r="LYB1015" s="135"/>
      <c r="LYC1015" s="135"/>
      <c r="LYD1015" s="135"/>
      <c r="LYE1015" s="135"/>
      <c r="LYF1015" s="135"/>
      <c r="LYG1015" s="135"/>
      <c r="LYH1015" s="135"/>
      <c r="LYI1015" s="135"/>
      <c r="LYJ1015" s="135"/>
      <c r="LYK1015" s="135"/>
      <c r="LYL1015" s="135"/>
      <c r="LYM1015" s="135"/>
      <c r="LYN1015" s="135"/>
      <c r="LYO1015" s="135"/>
      <c r="LYP1015" s="135"/>
      <c r="LYQ1015" s="135"/>
      <c r="LYR1015" s="135"/>
      <c r="LYS1015" s="135"/>
      <c r="LYT1015" s="135"/>
      <c r="LYU1015" s="135"/>
      <c r="LYV1015" s="135"/>
      <c r="LYW1015" s="135"/>
      <c r="LYX1015" s="135"/>
      <c r="LYY1015" s="135"/>
      <c r="LYZ1015" s="135"/>
      <c r="LZA1015" s="135"/>
      <c r="LZB1015" s="135"/>
      <c r="LZC1015" s="135"/>
      <c r="LZD1015" s="135"/>
      <c r="LZE1015" s="135"/>
      <c r="LZF1015" s="135"/>
      <c r="LZG1015" s="135"/>
      <c r="LZH1015" s="135"/>
      <c r="LZI1015" s="135"/>
      <c r="LZJ1015" s="135"/>
      <c r="LZK1015" s="135"/>
      <c r="LZL1015" s="135"/>
      <c r="LZM1015" s="135"/>
      <c r="LZN1015" s="135"/>
      <c r="LZO1015" s="135"/>
      <c r="LZP1015" s="135"/>
      <c r="LZQ1015" s="135"/>
      <c r="LZR1015" s="135"/>
      <c r="LZS1015" s="135"/>
      <c r="LZT1015" s="135"/>
      <c r="LZU1015" s="135"/>
      <c r="LZV1015" s="135"/>
      <c r="LZW1015" s="135"/>
      <c r="LZX1015" s="135"/>
      <c r="LZY1015" s="135"/>
      <c r="LZZ1015" s="135"/>
      <c r="MAA1015" s="135"/>
      <c r="MAB1015" s="135"/>
      <c r="MAC1015" s="135"/>
      <c r="MAD1015" s="135"/>
      <c r="MAE1015" s="135"/>
      <c r="MAF1015" s="135"/>
      <c r="MAG1015" s="135"/>
      <c r="MAH1015" s="135"/>
      <c r="MAI1015" s="135"/>
      <c r="MAJ1015" s="135"/>
      <c r="MAK1015" s="135"/>
      <c r="MAL1015" s="135"/>
      <c r="MAM1015" s="135"/>
      <c r="MAN1015" s="135"/>
      <c r="MAO1015" s="135"/>
      <c r="MAP1015" s="135"/>
      <c r="MAQ1015" s="135"/>
      <c r="MAR1015" s="135"/>
      <c r="MAS1015" s="135"/>
      <c r="MAT1015" s="135"/>
      <c r="MAU1015" s="135"/>
      <c r="MAV1015" s="135"/>
      <c r="MAW1015" s="135"/>
      <c r="MAX1015" s="135"/>
      <c r="MAY1015" s="135"/>
      <c r="MAZ1015" s="135"/>
      <c r="MBA1015" s="135"/>
      <c r="MBB1015" s="135"/>
      <c r="MBC1015" s="135"/>
      <c r="MBD1015" s="135"/>
      <c r="MBE1015" s="135"/>
      <c r="MBF1015" s="135"/>
      <c r="MBG1015" s="135"/>
      <c r="MBH1015" s="135"/>
      <c r="MBI1015" s="135"/>
      <c r="MBJ1015" s="135"/>
      <c r="MBK1015" s="135"/>
      <c r="MBL1015" s="135"/>
      <c r="MBM1015" s="135"/>
      <c r="MBN1015" s="135"/>
      <c r="MBO1015" s="135"/>
      <c r="MBP1015" s="135"/>
      <c r="MBQ1015" s="135"/>
      <c r="MBR1015" s="135"/>
      <c r="MBS1015" s="135"/>
      <c r="MBT1015" s="135"/>
      <c r="MBU1015" s="135"/>
      <c r="MBV1015" s="135"/>
      <c r="MBW1015" s="135"/>
      <c r="MBX1015" s="135"/>
      <c r="MBY1015" s="135"/>
      <c r="MBZ1015" s="135"/>
      <c r="MCA1015" s="135"/>
      <c r="MCB1015" s="135"/>
      <c r="MCC1015" s="135"/>
      <c r="MCD1015" s="135"/>
      <c r="MCE1015" s="135"/>
      <c r="MCF1015" s="135"/>
      <c r="MCG1015" s="135"/>
      <c r="MCH1015" s="135"/>
      <c r="MCI1015" s="135"/>
      <c r="MCJ1015" s="135"/>
      <c r="MCK1015" s="135"/>
      <c r="MCL1015" s="135"/>
      <c r="MCM1015" s="135"/>
      <c r="MCN1015" s="135"/>
      <c r="MCO1015" s="135"/>
      <c r="MCP1015" s="135"/>
      <c r="MCQ1015" s="135"/>
      <c r="MCR1015" s="135"/>
      <c r="MCS1015" s="135"/>
      <c r="MCT1015" s="135"/>
      <c r="MCU1015" s="135"/>
      <c r="MCV1015" s="135"/>
      <c r="MCW1015" s="135"/>
      <c r="MCX1015" s="135"/>
      <c r="MCY1015" s="135"/>
      <c r="MCZ1015" s="135"/>
      <c r="MDA1015" s="135"/>
      <c r="MDB1015" s="135"/>
      <c r="MDC1015" s="135"/>
      <c r="MDD1015" s="135"/>
      <c r="MDE1015" s="135"/>
      <c r="MDF1015" s="135"/>
      <c r="MDG1015" s="135"/>
      <c r="MDH1015" s="135"/>
      <c r="MDI1015" s="135"/>
      <c r="MDJ1015" s="135"/>
      <c r="MDK1015" s="135"/>
      <c r="MDL1015" s="135"/>
      <c r="MDM1015" s="135"/>
      <c r="MDN1015" s="135"/>
      <c r="MDO1015" s="135"/>
      <c r="MDP1015" s="135"/>
      <c r="MDQ1015" s="135"/>
      <c r="MDR1015" s="135"/>
      <c r="MDS1015" s="135"/>
      <c r="MDT1015" s="135"/>
      <c r="MDU1015" s="135"/>
      <c r="MDV1015" s="135"/>
      <c r="MDW1015" s="135"/>
      <c r="MDX1015" s="135"/>
      <c r="MDY1015" s="135"/>
      <c r="MDZ1015" s="135"/>
      <c r="MEA1015" s="135"/>
      <c r="MEB1015" s="135"/>
      <c r="MEC1015" s="135"/>
      <c r="MED1015" s="135"/>
      <c r="MEE1015" s="135"/>
      <c r="MEF1015" s="135"/>
      <c r="MEG1015" s="135"/>
      <c r="MEH1015" s="135"/>
      <c r="MEI1015" s="135"/>
      <c r="MEJ1015" s="135"/>
      <c r="MEK1015" s="135"/>
      <c r="MEL1015" s="135"/>
      <c r="MEM1015" s="135"/>
      <c r="MEN1015" s="135"/>
      <c r="MEO1015" s="135"/>
      <c r="MEP1015" s="135"/>
      <c r="MEQ1015" s="135"/>
      <c r="MER1015" s="135"/>
      <c r="MES1015" s="135"/>
      <c r="MET1015" s="135"/>
      <c r="MEU1015" s="135"/>
      <c r="MEV1015" s="135"/>
      <c r="MEW1015" s="135"/>
      <c r="MEX1015" s="135"/>
      <c r="MEY1015" s="135"/>
      <c r="MEZ1015" s="135"/>
      <c r="MFA1015" s="135"/>
      <c r="MFB1015" s="135"/>
      <c r="MFC1015" s="135"/>
      <c r="MFD1015" s="135"/>
      <c r="MFE1015" s="135"/>
      <c r="MFF1015" s="135"/>
      <c r="MFG1015" s="135"/>
      <c r="MFH1015" s="135"/>
      <c r="MFI1015" s="135"/>
      <c r="MFJ1015" s="135"/>
      <c r="MFK1015" s="135"/>
      <c r="MFL1015" s="135"/>
      <c r="MFM1015" s="135"/>
      <c r="MFN1015" s="135"/>
      <c r="MFO1015" s="135"/>
      <c r="MFP1015" s="135"/>
      <c r="MFQ1015" s="135"/>
      <c r="MFR1015" s="135"/>
      <c r="MFS1015" s="135"/>
      <c r="MFT1015" s="135"/>
      <c r="MFU1015" s="135"/>
      <c r="MFV1015" s="135"/>
      <c r="MFW1015" s="135"/>
      <c r="MFX1015" s="135"/>
      <c r="MFY1015" s="135"/>
      <c r="MFZ1015" s="135"/>
      <c r="MGA1015" s="135"/>
      <c r="MGB1015" s="135"/>
      <c r="MGC1015" s="135"/>
      <c r="MGD1015" s="135"/>
      <c r="MGE1015" s="135"/>
      <c r="MGF1015" s="135"/>
      <c r="MGG1015" s="135"/>
      <c r="MGH1015" s="135"/>
      <c r="MGI1015" s="135"/>
      <c r="MGJ1015" s="135"/>
      <c r="MGK1015" s="135"/>
      <c r="MGL1015" s="135"/>
      <c r="MGM1015" s="135"/>
      <c r="MGN1015" s="135"/>
      <c r="MGO1015" s="135"/>
      <c r="MGP1015" s="135"/>
      <c r="MGQ1015" s="135"/>
      <c r="MGR1015" s="135"/>
      <c r="MGS1015" s="135"/>
      <c r="MGT1015" s="135"/>
      <c r="MGU1015" s="135"/>
      <c r="MGV1015" s="135"/>
      <c r="MGW1015" s="135"/>
      <c r="MGX1015" s="135"/>
      <c r="MGY1015" s="135"/>
      <c r="MGZ1015" s="135"/>
      <c r="MHA1015" s="135"/>
      <c r="MHB1015" s="135"/>
      <c r="MHC1015" s="135"/>
      <c r="MHD1015" s="135"/>
      <c r="MHE1015" s="135"/>
      <c r="MHF1015" s="135"/>
      <c r="MHG1015" s="135"/>
      <c r="MHH1015" s="135"/>
      <c r="MHI1015" s="135"/>
      <c r="MHJ1015" s="135"/>
      <c r="MHK1015" s="135"/>
      <c r="MHL1015" s="135"/>
      <c r="MHM1015" s="135"/>
      <c r="MHN1015" s="135"/>
      <c r="MHO1015" s="135"/>
      <c r="MHP1015" s="135"/>
      <c r="MHQ1015" s="135"/>
      <c r="MHR1015" s="135"/>
      <c r="MHS1015" s="135"/>
      <c r="MHT1015" s="135"/>
      <c r="MHU1015" s="135"/>
      <c r="MHV1015" s="135"/>
      <c r="MHW1015" s="135"/>
      <c r="MHX1015" s="135"/>
      <c r="MHY1015" s="135"/>
      <c r="MHZ1015" s="135"/>
      <c r="MIA1015" s="135"/>
      <c r="MIB1015" s="135"/>
      <c r="MIC1015" s="135"/>
      <c r="MID1015" s="135"/>
      <c r="MIE1015" s="135"/>
      <c r="MIF1015" s="135"/>
      <c r="MIG1015" s="135"/>
      <c r="MIH1015" s="135"/>
      <c r="MII1015" s="135"/>
      <c r="MIJ1015" s="135"/>
      <c r="MIK1015" s="135"/>
      <c r="MIL1015" s="135"/>
      <c r="MIM1015" s="135"/>
      <c r="MIN1015" s="135"/>
      <c r="MIO1015" s="135"/>
      <c r="MIP1015" s="135"/>
      <c r="MIQ1015" s="135"/>
      <c r="MIR1015" s="135"/>
      <c r="MIS1015" s="135"/>
      <c r="MIT1015" s="135"/>
      <c r="MIU1015" s="135"/>
      <c r="MIV1015" s="135"/>
      <c r="MIW1015" s="135"/>
      <c r="MIX1015" s="135"/>
      <c r="MIY1015" s="135"/>
      <c r="MIZ1015" s="135"/>
      <c r="MJA1015" s="135"/>
      <c r="MJB1015" s="135"/>
      <c r="MJC1015" s="135"/>
      <c r="MJD1015" s="135"/>
      <c r="MJE1015" s="135"/>
      <c r="MJF1015" s="135"/>
      <c r="MJG1015" s="135"/>
      <c r="MJH1015" s="135"/>
      <c r="MJI1015" s="135"/>
      <c r="MJJ1015" s="135"/>
      <c r="MJK1015" s="135"/>
      <c r="MJL1015" s="135"/>
      <c r="MJM1015" s="135"/>
      <c r="MJN1015" s="135"/>
      <c r="MJO1015" s="135"/>
      <c r="MJP1015" s="135"/>
      <c r="MJQ1015" s="135"/>
      <c r="MJR1015" s="135"/>
      <c r="MJS1015" s="135"/>
      <c r="MJT1015" s="135"/>
      <c r="MJU1015" s="135"/>
      <c r="MJV1015" s="135"/>
      <c r="MJW1015" s="135"/>
      <c r="MJX1015" s="135"/>
      <c r="MJY1015" s="135"/>
      <c r="MJZ1015" s="135"/>
      <c r="MKA1015" s="135"/>
      <c r="MKB1015" s="135"/>
      <c r="MKC1015" s="135"/>
      <c r="MKD1015" s="135"/>
      <c r="MKE1015" s="135"/>
      <c r="MKF1015" s="135"/>
      <c r="MKG1015" s="135"/>
      <c r="MKH1015" s="135"/>
      <c r="MKI1015" s="135"/>
      <c r="MKJ1015" s="135"/>
      <c r="MKK1015" s="135"/>
      <c r="MKL1015" s="135"/>
      <c r="MKM1015" s="135"/>
      <c r="MKN1015" s="135"/>
      <c r="MKO1015" s="135"/>
      <c r="MKP1015" s="135"/>
      <c r="MKQ1015" s="135"/>
      <c r="MKR1015" s="135"/>
      <c r="MKS1015" s="135"/>
      <c r="MKT1015" s="135"/>
      <c r="MKU1015" s="135"/>
      <c r="MKV1015" s="135"/>
      <c r="MKW1015" s="135"/>
      <c r="MKX1015" s="135"/>
      <c r="MKY1015" s="135"/>
      <c r="MKZ1015" s="135"/>
      <c r="MLA1015" s="135"/>
      <c r="MLB1015" s="135"/>
      <c r="MLC1015" s="135"/>
      <c r="MLD1015" s="135"/>
      <c r="MLE1015" s="135"/>
      <c r="MLF1015" s="135"/>
      <c r="MLG1015" s="135"/>
      <c r="MLH1015" s="135"/>
      <c r="MLI1015" s="135"/>
      <c r="MLJ1015" s="135"/>
      <c r="MLK1015" s="135"/>
      <c r="MLL1015" s="135"/>
      <c r="MLM1015" s="135"/>
      <c r="MLN1015" s="135"/>
      <c r="MLO1015" s="135"/>
      <c r="MLP1015" s="135"/>
      <c r="MLQ1015" s="135"/>
      <c r="MLR1015" s="135"/>
      <c r="MLS1015" s="135"/>
      <c r="MLT1015" s="135"/>
      <c r="MLU1015" s="135"/>
      <c r="MLV1015" s="135"/>
      <c r="MLW1015" s="135"/>
      <c r="MLX1015" s="135"/>
      <c r="MLY1015" s="135"/>
      <c r="MLZ1015" s="135"/>
      <c r="MMA1015" s="135"/>
      <c r="MMB1015" s="135"/>
      <c r="MMC1015" s="135"/>
      <c r="MMD1015" s="135"/>
      <c r="MME1015" s="135"/>
      <c r="MMF1015" s="135"/>
      <c r="MMG1015" s="135"/>
      <c r="MMH1015" s="135"/>
      <c r="MMI1015" s="135"/>
      <c r="MMJ1015" s="135"/>
      <c r="MMK1015" s="135"/>
      <c r="MML1015" s="135"/>
      <c r="MMM1015" s="135"/>
      <c r="MMN1015" s="135"/>
      <c r="MMO1015" s="135"/>
      <c r="MMP1015" s="135"/>
      <c r="MMQ1015" s="135"/>
      <c r="MMR1015" s="135"/>
      <c r="MMS1015" s="135"/>
      <c r="MMT1015" s="135"/>
      <c r="MMU1015" s="135"/>
      <c r="MMV1015" s="135"/>
      <c r="MMW1015" s="135"/>
      <c r="MMX1015" s="135"/>
      <c r="MMY1015" s="135"/>
      <c r="MMZ1015" s="135"/>
      <c r="MNA1015" s="135"/>
      <c r="MNB1015" s="135"/>
      <c r="MNC1015" s="135"/>
      <c r="MND1015" s="135"/>
      <c r="MNE1015" s="135"/>
      <c r="MNF1015" s="135"/>
      <c r="MNG1015" s="135"/>
      <c r="MNH1015" s="135"/>
      <c r="MNI1015" s="135"/>
      <c r="MNJ1015" s="135"/>
      <c r="MNK1015" s="135"/>
      <c r="MNL1015" s="135"/>
      <c r="MNM1015" s="135"/>
      <c r="MNN1015" s="135"/>
      <c r="MNO1015" s="135"/>
      <c r="MNP1015" s="135"/>
      <c r="MNQ1015" s="135"/>
      <c r="MNR1015" s="135"/>
      <c r="MNS1015" s="135"/>
      <c r="MNT1015" s="135"/>
      <c r="MNU1015" s="135"/>
      <c r="MNV1015" s="135"/>
      <c r="MNW1015" s="135"/>
      <c r="MNX1015" s="135"/>
      <c r="MNY1015" s="135"/>
      <c r="MNZ1015" s="135"/>
      <c r="MOA1015" s="135"/>
      <c r="MOB1015" s="135"/>
      <c r="MOC1015" s="135"/>
      <c r="MOD1015" s="135"/>
      <c r="MOE1015" s="135"/>
      <c r="MOF1015" s="135"/>
      <c r="MOG1015" s="135"/>
      <c r="MOH1015" s="135"/>
      <c r="MOI1015" s="135"/>
      <c r="MOJ1015" s="135"/>
      <c r="MOK1015" s="135"/>
      <c r="MOL1015" s="135"/>
      <c r="MOM1015" s="135"/>
      <c r="MON1015" s="135"/>
      <c r="MOO1015" s="135"/>
      <c r="MOP1015" s="135"/>
      <c r="MOQ1015" s="135"/>
      <c r="MOR1015" s="135"/>
      <c r="MOS1015" s="135"/>
      <c r="MOT1015" s="135"/>
      <c r="MOU1015" s="135"/>
      <c r="MOV1015" s="135"/>
      <c r="MOW1015" s="135"/>
      <c r="MOX1015" s="135"/>
      <c r="MOY1015" s="135"/>
      <c r="MOZ1015" s="135"/>
      <c r="MPA1015" s="135"/>
      <c r="MPB1015" s="135"/>
      <c r="MPC1015" s="135"/>
      <c r="MPD1015" s="135"/>
      <c r="MPE1015" s="135"/>
      <c r="MPF1015" s="135"/>
      <c r="MPG1015" s="135"/>
      <c r="MPH1015" s="135"/>
      <c r="MPI1015" s="135"/>
      <c r="MPJ1015" s="135"/>
      <c r="MPK1015" s="135"/>
      <c r="MPL1015" s="135"/>
      <c r="MPM1015" s="135"/>
      <c r="MPN1015" s="135"/>
      <c r="MPO1015" s="135"/>
      <c r="MPP1015" s="135"/>
      <c r="MPQ1015" s="135"/>
      <c r="MPR1015" s="135"/>
      <c r="MPS1015" s="135"/>
      <c r="MPT1015" s="135"/>
      <c r="MPU1015" s="135"/>
      <c r="MPV1015" s="135"/>
      <c r="MPW1015" s="135"/>
      <c r="MPX1015" s="135"/>
      <c r="MPY1015" s="135"/>
      <c r="MPZ1015" s="135"/>
      <c r="MQA1015" s="135"/>
      <c r="MQB1015" s="135"/>
      <c r="MQC1015" s="135"/>
      <c r="MQD1015" s="135"/>
      <c r="MQE1015" s="135"/>
      <c r="MQF1015" s="135"/>
      <c r="MQG1015" s="135"/>
      <c r="MQH1015" s="135"/>
      <c r="MQI1015" s="135"/>
      <c r="MQJ1015" s="135"/>
      <c r="MQK1015" s="135"/>
      <c r="MQL1015" s="135"/>
      <c r="MQM1015" s="135"/>
      <c r="MQN1015" s="135"/>
      <c r="MQO1015" s="135"/>
      <c r="MQP1015" s="135"/>
      <c r="MQQ1015" s="135"/>
      <c r="MQR1015" s="135"/>
      <c r="MQS1015" s="135"/>
      <c r="MQT1015" s="135"/>
      <c r="MQU1015" s="135"/>
      <c r="MQV1015" s="135"/>
      <c r="MQW1015" s="135"/>
      <c r="MQX1015" s="135"/>
      <c r="MQY1015" s="135"/>
      <c r="MQZ1015" s="135"/>
      <c r="MRA1015" s="135"/>
      <c r="MRB1015" s="135"/>
      <c r="MRC1015" s="135"/>
      <c r="MRD1015" s="135"/>
      <c r="MRE1015" s="135"/>
      <c r="MRF1015" s="135"/>
      <c r="MRG1015" s="135"/>
      <c r="MRH1015" s="135"/>
      <c r="MRI1015" s="135"/>
      <c r="MRJ1015" s="135"/>
      <c r="MRK1015" s="135"/>
      <c r="MRL1015" s="135"/>
      <c r="MRM1015" s="135"/>
      <c r="MRN1015" s="135"/>
      <c r="MRO1015" s="135"/>
      <c r="MRP1015" s="135"/>
      <c r="MRQ1015" s="135"/>
      <c r="MRR1015" s="135"/>
      <c r="MRS1015" s="135"/>
      <c r="MRT1015" s="135"/>
      <c r="MRU1015" s="135"/>
      <c r="MRV1015" s="135"/>
      <c r="MRW1015" s="135"/>
      <c r="MRX1015" s="135"/>
      <c r="MRY1015" s="135"/>
      <c r="MRZ1015" s="135"/>
      <c r="MSA1015" s="135"/>
      <c r="MSB1015" s="135"/>
      <c r="MSC1015" s="135"/>
      <c r="MSD1015" s="135"/>
      <c r="MSE1015" s="135"/>
      <c r="MSF1015" s="135"/>
      <c r="MSG1015" s="135"/>
      <c r="MSH1015" s="135"/>
      <c r="MSI1015" s="135"/>
      <c r="MSJ1015" s="135"/>
      <c r="MSK1015" s="135"/>
      <c r="MSL1015" s="135"/>
      <c r="MSM1015" s="135"/>
      <c r="MSN1015" s="135"/>
      <c r="MSO1015" s="135"/>
      <c r="MSP1015" s="135"/>
      <c r="MSQ1015" s="135"/>
      <c r="MSR1015" s="135"/>
      <c r="MSS1015" s="135"/>
      <c r="MST1015" s="135"/>
      <c r="MSU1015" s="135"/>
      <c r="MSV1015" s="135"/>
      <c r="MSW1015" s="135"/>
      <c r="MSX1015" s="135"/>
      <c r="MSY1015" s="135"/>
      <c r="MSZ1015" s="135"/>
      <c r="MTA1015" s="135"/>
      <c r="MTB1015" s="135"/>
      <c r="MTC1015" s="135"/>
      <c r="MTD1015" s="135"/>
      <c r="MTE1015" s="135"/>
      <c r="MTF1015" s="135"/>
      <c r="MTG1015" s="135"/>
      <c r="MTH1015" s="135"/>
      <c r="MTI1015" s="135"/>
      <c r="MTJ1015" s="135"/>
      <c r="MTK1015" s="135"/>
      <c r="MTL1015" s="135"/>
      <c r="MTM1015" s="135"/>
      <c r="MTN1015" s="135"/>
      <c r="MTO1015" s="135"/>
      <c r="MTP1015" s="135"/>
      <c r="MTQ1015" s="135"/>
      <c r="MTR1015" s="135"/>
      <c r="MTS1015" s="135"/>
      <c r="MTT1015" s="135"/>
      <c r="MTU1015" s="135"/>
      <c r="MTV1015" s="135"/>
      <c r="MTW1015" s="135"/>
      <c r="MTX1015" s="135"/>
      <c r="MTY1015" s="135"/>
      <c r="MTZ1015" s="135"/>
      <c r="MUA1015" s="135"/>
      <c r="MUB1015" s="135"/>
      <c r="MUC1015" s="135"/>
      <c r="MUD1015" s="135"/>
      <c r="MUE1015" s="135"/>
      <c r="MUF1015" s="135"/>
      <c r="MUG1015" s="135"/>
      <c r="MUH1015" s="135"/>
      <c r="MUI1015" s="135"/>
      <c r="MUJ1015" s="135"/>
      <c r="MUK1015" s="135"/>
      <c r="MUL1015" s="135"/>
      <c r="MUM1015" s="135"/>
      <c r="MUN1015" s="135"/>
      <c r="MUO1015" s="135"/>
      <c r="MUP1015" s="135"/>
      <c r="MUQ1015" s="135"/>
      <c r="MUR1015" s="135"/>
      <c r="MUS1015" s="135"/>
      <c r="MUT1015" s="135"/>
      <c r="MUU1015" s="135"/>
      <c r="MUV1015" s="135"/>
      <c r="MUW1015" s="135"/>
      <c r="MUX1015" s="135"/>
      <c r="MUY1015" s="135"/>
      <c r="MUZ1015" s="135"/>
      <c r="MVA1015" s="135"/>
      <c r="MVB1015" s="135"/>
      <c r="MVC1015" s="135"/>
      <c r="MVD1015" s="135"/>
      <c r="MVE1015" s="135"/>
      <c r="MVF1015" s="135"/>
      <c r="MVG1015" s="135"/>
      <c r="MVH1015" s="135"/>
      <c r="MVI1015" s="135"/>
      <c r="MVJ1015" s="135"/>
      <c r="MVK1015" s="135"/>
      <c r="MVL1015" s="135"/>
      <c r="MVM1015" s="135"/>
      <c r="MVN1015" s="135"/>
      <c r="MVO1015" s="135"/>
      <c r="MVP1015" s="135"/>
      <c r="MVQ1015" s="135"/>
      <c r="MVR1015" s="135"/>
      <c r="MVS1015" s="135"/>
      <c r="MVT1015" s="135"/>
      <c r="MVU1015" s="135"/>
      <c r="MVV1015" s="135"/>
      <c r="MVW1015" s="135"/>
      <c r="MVX1015" s="135"/>
      <c r="MVY1015" s="135"/>
      <c r="MVZ1015" s="135"/>
      <c r="MWA1015" s="135"/>
      <c r="MWB1015" s="135"/>
      <c r="MWC1015" s="135"/>
      <c r="MWD1015" s="135"/>
      <c r="MWE1015" s="135"/>
      <c r="MWF1015" s="135"/>
      <c r="MWG1015" s="135"/>
      <c r="MWH1015" s="135"/>
      <c r="MWI1015" s="135"/>
      <c r="MWJ1015" s="135"/>
      <c r="MWK1015" s="135"/>
      <c r="MWL1015" s="135"/>
      <c r="MWM1015" s="135"/>
      <c r="MWN1015" s="135"/>
      <c r="MWO1015" s="135"/>
      <c r="MWP1015" s="135"/>
      <c r="MWQ1015" s="135"/>
      <c r="MWR1015" s="135"/>
      <c r="MWS1015" s="135"/>
      <c r="MWT1015" s="135"/>
      <c r="MWU1015" s="135"/>
      <c r="MWV1015" s="135"/>
      <c r="MWW1015" s="135"/>
      <c r="MWX1015" s="135"/>
      <c r="MWY1015" s="135"/>
      <c r="MWZ1015" s="135"/>
      <c r="MXA1015" s="135"/>
      <c r="MXB1015" s="135"/>
      <c r="MXC1015" s="135"/>
      <c r="MXD1015" s="135"/>
      <c r="MXE1015" s="135"/>
      <c r="MXF1015" s="135"/>
      <c r="MXG1015" s="135"/>
      <c r="MXH1015" s="135"/>
      <c r="MXI1015" s="135"/>
      <c r="MXJ1015" s="135"/>
      <c r="MXK1015" s="135"/>
      <c r="MXL1015" s="135"/>
      <c r="MXM1015" s="135"/>
      <c r="MXN1015" s="135"/>
      <c r="MXO1015" s="135"/>
      <c r="MXP1015" s="135"/>
      <c r="MXQ1015" s="135"/>
      <c r="MXR1015" s="135"/>
      <c r="MXS1015" s="135"/>
      <c r="MXT1015" s="135"/>
      <c r="MXU1015" s="135"/>
      <c r="MXV1015" s="135"/>
      <c r="MXW1015" s="135"/>
      <c r="MXX1015" s="135"/>
      <c r="MXY1015" s="135"/>
      <c r="MXZ1015" s="135"/>
      <c r="MYA1015" s="135"/>
      <c r="MYB1015" s="135"/>
      <c r="MYC1015" s="135"/>
      <c r="MYD1015" s="135"/>
      <c r="MYE1015" s="135"/>
      <c r="MYF1015" s="135"/>
      <c r="MYG1015" s="135"/>
      <c r="MYH1015" s="135"/>
      <c r="MYI1015" s="135"/>
      <c r="MYJ1015" s="135"/>
      <c r="MYK1015" s="135"/>
      <c r="MYL1015" s="135"/>
      <c r="MYM1015" s="135"/>
      <c r="MYN1015" s="135"/>
      <c r="MYO1015" s="135"/>
      <c r="MYP1015" s="135"/>
      <c r="MYQ1015" s="135"/>
      <c r="MYR1015" s="135"/>
      <c r="MYS1015" s="135"/>
      <c r="MYT1015" s="135"/>
      <c r="MYU1015" s="135"/>
      <c r="MYV1015" s="135"/>
      <c r="MYW1015" s="135"/>
      <c r="MYX1015" s="135"/>
      <c r="MYY1015" s="135"/>
      <c r="MYZ1015" s="135"/>
      <c r="MZA1015" s="135"/>
      <c r="MZB1015" s="135"/>
      <c r="MZC1015" s="135"/>
      <c r="MZD1015" s="135"/>
      <c r="MZE1015" s="135"/>
      <c r="MZF1015" s="135"/>
      <c r="MZG1015" s="135"/>
      <c r="MZH1015" s="135"/>
      <c r="MZI1015" s="135"/>
      <c r="MZJ1015" s="135"/>
      <c r="MZK1015" s="135"/>
      <c r="MZL1015" s="135"/>
      <c r="MZM1015" s="135"/>
      <c r="MZN1015" s="135"/>
      <c r="MZO1015" s="135"/>
      <c r="MZP1015" s="135"/>
      <c r="MZQ1015" s="135"/>
      <c r="MZR1015" s="135"/>
      <c r="MZS1015" s="135"/>
      <c r="MZT1015" s="135"/>
      <c r="MZU1015" s="135"/>
      <c r="MZV1015" s="135"/>
      <c r="MZW1015" s="135"/>
      <c r="MZX1015" s="135"/>
      <c r="MZY1015" s="135"/>
      <c r="MZZ1015" s="135"/>
      <c r="NAA1015" s="135"/>
      <c r="NAB1015" s="135"/>
      <c r="NAC1015" s="135"/>
      <c r="NAD1015" s="135"/>
      <c r="NAE1015" s="135"/>
      <c r="NAF1015" s="135"/>
      <c r="NAG1015" s="135"/>
      <c r="NAH1015" s="135"/>
      <c r="NAI1015" s="135"/>
      <c r="NAJ1015" s="135"/>
      <c r="NAK1015" s="135"/>
      <c r="NAL1015" s="135"/>
      <c r="NAM1015" s="135"/>
      <c r="NAN1015" s="135"/>
      <c r="NAO1015" s="135"/>
      <c r="NAP1015" s="135"/>
      <c r="NAQ1015" s="135"/>
      <c r="NAR1015" s="135"/>
      <c r="NAS1015" s="135"/>
      <c r="NAT1015" s="135"/>
      <c r="NAU1015" s="135"/>
      <c r="NAV1015" s="135"/>
      <c r="NAW1015" s="135"/>
      <c r="NAX1015" s="135"/>
      <c r="NAY1015" s="135"/>
      <c r="NAZ1015" s="135"/>
      <c r="NBA1015" s="135"/>
      <c r="NBB1015" s="135"/>
      <c r="NBC1015" s="135"/>
      <c r="NBD1015" s="135"/>
      <c r="NBE1015" s="135"/>
      <c r="NBF1015" s="135"/>
      <c r="NBG1015" s="135"/>
      <c r="NBH1015" s="135"/>
      <c r="NBI1015" s="135"/>
      <c r="NBJ1015" s="135"/>
      <c r="NBK1015" s="135"/>
      <c r="NBL1015" s="135"/>
      <c r="NBM1015" s="135"/>
      <c r="NBN1015" s="135"/>
      <c r="NBO1015" s="135"/>
      <c r="NBP1015" s="135"/>
      <c r="NBQ1015" s="135"/>
      <c r="NBR1015" s="135"/>
      <c r="NBS1015" s="135"/>
      <c r="NBT1015" s="135"/>
      <c r="NBU1015" s="135"/>
      <c r="NBV1015" s="135"/>
      <c r="NBW1015" s="135"/>
      <c r="NBX1015" s="135"/>
      <c r="NBY1015" s="135"/>
      <c r="NBZ1015" s="135"/>
      <c r="NCA1015" s="135"/>
      <c r="NCB1015" s="135"/>
      <c r="NCC1015" s="135"/>
      <c r="NCD1015" s="135"/>
      <c r="NCE1015" s="135"/>
      <c r="NCF1015" s="135"/>
      <c r="NCG1015" s="135"/>
      <c r="NCH1015" s="135"/>
      <c r="NCI1015" s="135"/>
      <c r="NCJ1015" s="135"/>
      <c r="NCK1015" s="135"/>
      <c r="NCL1015" s="135"/>
      <c r="NCM1015" s="135"/>
      <c r="NCN1015" s="135"/>
      <c r="NCO1015" s="135"/>
      <c r="NCP1015" s="135"/>
      <c r="NCQ1015" s="135"/>
      <c r="NCR1015" s="135"/>
      <c r="NCS1015" s="135"/>
      <c r="NCT1015" s="135"/>
      <c r="NCU1015" s="135"/>
      <c r="NCV1015" s="135"/>
      <c r="NCW1015" s="135"/>
      <c r="NCX1015" s="135"/>
      <c r="NCY1015" s="135"/>
      <c r="NCZ1015" s="135"/>
      <c r="NDA1015" s="135"/>
      <c r="NDB1015" s="135"/>
      <c r="NDC1015" s="135"/>
      <c r="NDD1015" s="135"/>
      <c r="NDE1015" s="135"/>
      <c r="NDF1015" s="135"/>
      <c r="NDG1015" s="135"/>
      <c r="NDH1015" s="135"/>
      <c r="NDI1015" s="135"/>
      <c r="NDJ1015" s="135"/>
      <c r="NDK1015" s="135"/>
      <c r="NDL1015" s="135"/>
      <c r="NDM1015" s="135"/>
      <c r="NDN1015" s="135"/>
      <c r="NDO1015" s="135"/>
      <c r="NDP1015" s="135"/>
      <c r="NDQ1015" s="135"/>
      <c r="NDR1015" s="135"/>
      <c r="NDS1015" s="135"/>
      <c r="NDT1015" s="135"/>
      <c r="NDU1015" s="135"/>
      <c r="NDV1015" s="135"/>
      <c r="NDW1015" s="135"/>
      <c r="NDX1015" s="135"/>
      <c r="NDY1015" s="135"/>
      <c r="NDZ1015" s="135"/>
      <c r="NEA1015" s="135"/>
      <c r="NEB1015" s="135"/>
      <c r="NEC1015" s="135"/>
      <c r="NED1015" s="135"/>
      <c r="NEE1015" s="135"/>
      <c r="NEF1015" s="135"/>
      <c r="NEG1015" s="135"/>
      <c r="NEH1015" s="135"/>
      <c r="NEI1015" s="135"/>
      <c r="NEJ1015" s="135"/>
      <c r="NEK1015" s="135"/>
      <c r="NEL1015" s="135"/>
      <c r="NEM1015" s="135"/>
      <c r="NEN1015" s="135"/>
      <c r="NEO1015" s="135"/>
      <c r="NEP1015" s="135"/>
      <c r="NEQ1015" s="135"/>
      <c r="NER1015" s="135"/>
      <c r="NES1015" s="135"/>
      <c r="NET1015" s="135"/>
      <c r="NEU1015" s="135"/>
      <c r="NEV1015" s="135"/>
      <c r="NEW1015" s="135"/>
      <c r="NEX1015" s="135"/>
      <c r="NEY1015" s="135"/>
      <c r="NEZ1015" s="135"/>
      <c r="NFA1015" s="135"/>
      <c r="NFB1015" s="135"/>
      <c r="NFC1015" s="135"/>
      <c r="NFD1015" s="135"/>
      <c r="NFE1015" s="135"/>
      <c r="NFF1015" s="135"/>
      <c r="NFG1015" s="135"/>
      <c r="NFH1015" s="135"/>
      <c r="NFI1015" s="135"/>
      <c r="NFJ1015" s="135"/>
      <c r="NFK1015" s="135"/>
      <c r="NFL1015" s="135"/>
      <c r="NFM1015" s="135"/>
      <c r="NFN1015" s="135"/>
      <c r="NFO1015" s="135"/>
      <c r="NFP1015" s="135"/>
      <c r="NFQ1015" s="135"/>
      <c r="NFR1015" s="135"/>
      <c r="NFS1015" s="135"/>
      <c r="NFT1015" s="135"/>
      <c r="NFU1015" s="135"/>
      <c r="NFV1015" s="135"/>
      <c r="NFW1015" s="135"/>
      <c r="NFX1015" s="135"/>
      <c r="NFY1015" s="135"/>
      <c r="NFZ1015" s="135"/>
      <c r="NGA1015" s="135"/>
      <c r="NGB1015" s="135"/>
      <c r="NGC1015" s="135"/>
      <c r="NGD1015" s="135"/>
      <c r="NGE1015" s="135"/>
      <c r="NGF1015" s="135"/>
      <c r="NGG1015" s="135"/>
      <c r="NGH1015" s="135"/>
      <c r="NGI1015" s="135"/>
      <c r="NGJ1015" s="135"/>
      <c r="NGK1015" s="135"/>
      <c r="NGL1015" s="135"/>
      <c r="NGM1015" s="135"/>
      <c r="NGN1015" s="135"/>
      <c r="NGO1015" s="135"/>
      <c r="NGP1015" s="135"/>
      <c r="NGQ1015" s="135"/>
      <c r="NGR1015" s="135"/>
      <c r="NGS1015" s="135"/>
      <c r="NGT1015" s="135"/>
      <c r="NGU1015" s="135"/>
      <c r="NGV1015" s="135"/>
      <c r="NGW1015" s="135"/>
      <c r="NGX1015" s="135"/>
      <c r="NGY1015" s="135"/>
      <c r="NGZ1015" s="135"/>
      <c r="NHA1015" s="135"/>
      <c r="NHB1015" s="135"/>
      <c r="NHC1015" s="135"/>
      <c r="NHD1015" s="135"/>
      <c r="NHE1015" s="135"/>
      <c r="NHF1015" s="135"/>
      <c r="NHG1015" s="135"/>
      <c r="NHH1015" s="135"/>
      <c r="NHI1015" s="135"/>
      <c r="NHJ1015" s="135"/>
      <c r="NHK1015" s="135"/>
      <c r="NHL1015" s="135"/>
      <c r="NHM1015" s="135"/>
      <c r="NHN1015" s="135"/>
      <c r="NHO1015" s="135"/>
      <c r="NHP1015" s="135"/>
      <c r="NHQ1015" s="135"/>
      <c r="NHR1015" s="135"/>
      <c r="NHS1015" s="135"/>
      <c r="NHT1015" s="135"/>
      <c r="NHU1015" s="135"/>
      <c r="NHV1015" s="135"/>
      <c r="NHW1015" s="135"/>
      <c r="NHX1015" s="135"/>
      <c r="NHY1015" s="135"/>
      <c r="NHZ1015" s="135"/>
      <c r="NIA1015" s="135"/>
      <c r="NIB1015" s="135"/>
      <c r="NIC1015" s="135"/>
      <c r="NID1015" s="135"/>
      <c r="NIE1015" s="135"/>
      <c r="NIF1015" s="135"/>
      <c r="NIG1015" s="135"/>
      <c r="NIH1015" s="135"/>
      <c r="NII1015" s="135"/>
      <c r="NIJ1015" s="135"/>
      <c r="NIK1015" s="135"/>
      <c r="NIL1015" s="135"/>
      <c r="NIM1015" s="135"/>
      <c r="NIN1015" s="135"/>
      <c r="NIO1015" s="135"/>
      <c r="NIP1015" s="135"/>
      <c r="NIQ1015" s="135"/>
      <c r="NIR1015" s="135"/>
      <c r="NIS1015" s="135"/>
      <c r="NIT1015" s="135"/>
      <c r="NIU1015" s="135"/>
      <c r="NIV1015" s="135"/>
      <c r="NIW1015" s="135"/>
      <c r="NIX1015" s="135"/>
      <c r="NIY1015" s="135"/>
      <c r="NIZ1015" s="135"/>
      <c r="NJA1015" s="135"/>
      <c r="NJB1015" s="135"/>
      <c r="NJC1015" s="135"/>
      <c r="NJD1015" s="135"/>
      <c r="NJE1015" s="135"/>
      <c r="NJF1015" s="135"/>
      <c r="NJG1015" s="135"/>
      <c r="NJH1015" s="135"/>
      <c r="NJI1015" s="135"/>
      <c r="NJJ1015" s="135"/>
      <c r="NJK1015" s="135"/>
      <c r="NJL1015" s="135"/>
      <c r="NJM1015" s="135"/>
      <c r="NJN1015" s="135"/>
      <c r="NJO1015" s="135"/>
      <c r="NJP1015" s="135"/>
      <c r="NJQ1015" s="135"/>
      <c r="NJR1015" s="135"/>
      <c r="NJS1015" s="135"/>
      <c r="NJT1015" s="135"/>
      <c r="NJU1015" s="135"/>
      <c r="NJV1015" s="135"/>
      <c r="NJW1015" s="135"/>
      <c r="NJX1015" s="135"/>
      <c r="NJY1015" s="135"/>
      <c r="NJZ1015" s="135"/>
      <c r="NKA1015" s="135"/>
      <c r="NKB1015" s="135"/>
      <c r="NKC1015" s="135"/>
      <c r="NKD1015" s="135"/>
      <c r="NKE1015" s="135"/>
      <c r="NKF1015" s="135"/>
      <c r="NKG1015" s="135"/>
      <c r="NKH1015" s="135"/>
      <c r="NKI1015" s="135"/>
      <c r="NKJ1015" s="135"/>
      <c r="NKK1015" s="135"/>
      <c r="NKL1015" s="135"/>
      <c r="NKM1015" s="135"/>
      <c r="NKN1015" s="135"/>
      <c r="NKO1015" s="135"/>
      <c r="NKP1015" s="135"/>
      <c r="NKQ1015" s="135"/>
      <c r="NKR1015" s="135"/>
      <c r="NKS1015" s="135"/>
      <c r="NKT1015" s="135"/>
      <c r="NKU1015" s="135"/>
      <c r="NKV1015" s="135"/>
      <c r="NKW1015" s="135"/>
      <c r="NKX1015" s="135"/>
      <c r="NKY1015" s="135"/>
      <c r="NKZ1015" s="135"/>
      <c r="NLA1015" s="135"/>
      <c r="NLB1015" s="135"/>
      <c r="NLC1015" s="135"/>
      <c r="NLD1015" s="135"/>
      <c r="NLE1015" s="135"/>
      <c r="NLF1015" s="135"/>
      <c r="NLG1015" s="135"/>
      <c r="NLH1015" s="135"/>
      <c r="NLI1015" s="135"/>
      <c r="NLJ1015" s="135"/>
      <c r="NLK1015" s="135"/>
      <c r="NLL1015" s="135"/>
      <c r="NLM1015" s="135"/>
      <c r="NLN1015" s="135"/>
      <c r="NLO1015" s="135"/>
      <c r="NLP1015" s="135"/>
      <c r="NLQ1015" s="135"/>
      <c r="NLR1015" s="135"/>
      <c r="NLS1015" s="135"/>
      <c r="NLT1015" s="135"/>
      <c r="NLU1015" s="135"/>
      <c r="NLV1015" s="135"/>
      <c r="NLW1015" s="135"/>
      <c r="NLX1015" s="135"/>
      <c r="NLY1015" s="135"/>
      <c r="NLZ1015" s="135"/>
      <c r="NMA1015" s="135"/>
      <c r="NMB1015" s="135"/>
      <c r="NMC1015" s="135"/>
      <c r="NMD1015" s="135"/>
      <c r="NME1015" s="135"/>
      <c r="NMF1015" s="135"/>
      <c r="NMG1015" s="135"/>
      <c r="NMH1015" s="135"/>
      <c r="NMI1015" s="135"/>
      <c r="NMJ1015" s="135"/>
      <c r="NMK1015" s="135"/>
      <c r="NML1015" s="135"/>
      <c r="NMM1015" s="135"/>
      <c r="NMN1015" s="135"/>
      <c r="NMO1015" s="135"/>
      <c r="NMP1015" s="135"/>
      <c r="NMQ1015" s="135"/>
      <c r="NMR1015" s="135"/>
      <c r="NMS1015" s="135"/>
      <c r="NMT1015" s="135"/>
      <c r="NMU1015" s="135"/>
      <c r="NMV1015" s="135"/>
      <c r="NMW1015" s="135"/>
      <c r="NMX1015" s="135"/>
      <c r="NMY1015" s="135"/>
      <c r="NMZ1015" s="135"/>
      <c r="NNA1015" s="135"/>
      <c r="NNB1015" s="135"/>
      <c r="NNC1015" s="135"/>
      <c r="NND1015" s="135"/>
      <c r="NNE1015" s="135"/>
      <c r="NNF1015" s="135"/>
      <c r="NNG1015" s="135"/>
      <c r="NNH1015" s="135"/>
      <c r="NNI1015" s="135"/>
      <c r="NNJ1015" s="135"/>
      <c r="NNK1015" s="135"/>
      <c r="NNL1015" s="135"/>
      <c r="NNM1015" s="135"/>
      <c r="NNN1015" s="135"/>
      <c r="NNO1015" s="135"/>
      <c r="NNP1015" s="135"/>
      <c r="NNQ1015" s="135"/>
      <c r="NNR1015" s="135"/>
      <c r="NNS1015" s="135"/>
      <c r="NNT1015" s="135"/>
      <c r="NNU1015" s="135"/>
      <c r="NNV1015" s="135"/>
      <c r="NNW1015" s="135"/>
      <c r="NNX1015" s="135"/>
      <c r="NNY1015" s="135"/>
      <c r="NNZ1015" s="135"/>
      <c r="NOA1015" s="135"/>
      <c r="NOB1015" s="135"/>
      <c r="NOC1015" s="135"/>
      <c r="NOD1015" s="135"/>
      <c r="NOE1015" s="135"/>
      <c r="NOF1015" s="135"/>
      <c r="NOG1015" s="135"/>
      <c r="NOH1015" s="135"/>
      <c r="NOI1015" s="135"/>
      <c r="NOJ1015" s="135"/>
      <c r="NOK1015" s="135"/>
      <c r="NOL1015" s="135"/>
      <c r="NOM1015" s="135"/>
      <c r="NON1015" s="135"/>
      <c r="NOO1015" s="135"/>
      <c r="NOP1015" s="135"/>
      <c r="NOQ1015" s="135"/>
      <c r="NOR1015" s="135"/>
      <c r="NOS1015" s="135"/>
      <c r="NOT1015" s="135"/>
      <c r="NOU1015" s="135"/>
      <c r="NOV1015" s="135"/>
      <c r="NOW1015" s="135"/>
      <c r="NOX1015" s="135"/>
      <c r="NOY1015" s="135"/>
      <c r="NOZ1015" s="135"/>
      <c r="NPA1015" s="135"/>
      <c r="NPB1015" s="135"/>
      <c r="NPC1015" s="135"/>
      <c r="NPD1015" s="135"/>
      <c r="NPE1015" s="135"/>
      <c r="NPF1015" s="135"/>
      <c r="NPG1015" s="135"/>
      <c r="NPH1015" s="135"/>
      <c r="NPI1015" s="135"/>
      <c r="NPJ1015" s="135"/>
      <c r="NPK1015" s="135"/>
      <c r="NPL1015" s="135"/>
      <c r="NPM1015" s="135"/>
      <c r="NPN1015" s="135"/>
      <c r="NPO1015" s="135"/>
      <c r="NPP1015" s="135"/>
      <c r="NPQ1015" s="135"/>
      <c r="NPR1015" s="135"/>
      <c r="NPS1015" s="135"/>
      <c r="NPT1015" s="135"/>
      <c r="NPU1015" s="135"/>
      <c r="NPV1015" s="135"/>
      <c r="NPW1015" s="135"/>
      <c r="NPX1015" s="135"/>
      <c r="NPY1015" s="135"/>
      <c r="NPZ1015" s="135"/>
      <c r="NQA1015" s="135"/>
      <c r="NQB1015" s="135"/>
      <c r="NQC1015" s="135"/>
      <c r="NQD1015" s="135"/>
      <c r="NQE1015" s="135"/>
      <c r="NQF1015" s="135"/>
      <c r="NQG1015" s="135"/>
      <c r="NQH1015" s="135"/>
      <c r="NQI1015" s="135"/>
      <c r="NQJ1015" s="135"/>
      <c r="NQK1015" s="135"/>
      <c r="NQL1015" s="135"/>
      <c r="NQM1015" s="135"/>
      <c r="NQN1015" s="135"/>
      <c r="NQO1015" s="135"/>
      <c r="NQP1015" s="135"/>
      <c r="NQQ1015" s="135"/>
      <c r="NQR1015" s="135"/>
      <c r="NQS1015" s="135"/>
      <c r="NQT1015" s="135"/>
      <c r="NQU1015" s="135"/>
      <c r="NQV1015" s="135"/>
      <c r="NQW1015" s="135"/>
      <c r="NQX1015" s="135"/>
      <c r="NQY1015" s="135"/>
      <c r="NQZ1015" s="135"/>
      <c r="NRA1015" s="135"/>
      <c r="NRB1015" s="135"/>
      <c r="NRC1015" s="135"/>
      <c r="NRD1015" s="135"/>
      <c r="NRE1015" s="135"/>
      <c r="NRF1015" s="135"/>
      <c r="NRG1015" s="135"/>
      <c r="NRH1015" s="135"/>
      <c r="NRI1015" s="135"/>
      <c r="NRJ1015" s="135"/>
      <c r="NRK1015" s="135"/>
      <c r="NRL1015" s="135"/>
      <c r="NRM1015" s="135"/>
      <c r="NRN1015" s="135"/>
      <c r="NRO1015" s="135"/>
      <c r="NRP1015" s="135"/>
      <c r="NRQ1015" s="135"/>
      <c r="NRR1015" s="135"/>
      <c r="NRS1015" s="135"/>
      <c r="NRT1015" s="135"/>
      <c r="NRU1015" s="135"/>
      <c r="NRV1015" s="135"/>
      <c r="NRW1015" s="135"/>
      <c r="NRX1015" s="135"/>
      <c r="NRY1015" s="135"/>
      <c r="NRZ1015" s="135"/>
      <c r="NSA1015" s="135"/>
      <c r="NSB1015" s="135"/>
      <c r="NSC1015" s="135"/>
      <c r="NSD1015" s="135"/>
      <c r="NSE1015" s="135"/>
      <c r="NSF1015" s="135"/>
      <c r="NSG1015" s="135"/>
      <c r="NSH1015" s="135"/>
      <c r="NSI1015" s="135"/>
      <c r="NSJ1015" s="135"/>
      <c r="NSK1015" s="135"/>
      <c r="NSL1015" s="135"/>
      <c r="NSM1015" s="135"/>
      <c r="NSN1015" s="135"/>
      <c r="NSO1015" s="135"/>
      <c r="NSP1015" s="135"/>
      <c r="NSQ1015" s="135"/>
      <c r="NSR1015" s="135"/>
      <c r="NSS1015" s="135"/>
      <c r="NST1015" s="135"/>
      <c r="NSU1015" s="135"/>
      <c r="NSV1015" s="135"/>
      <c r="NSW1015" s="135"/>
      <c r="NSX1015" s="135"/>
      <c r="NSY1015" s="135"/>
      <c r="NSZ1015" s="135"/>
      <c r="NTA1015" s="135"/>
      <c r="NTB1015" s="135"/>
      <c r="NTC1015" s="135"/>
      <c r="NTD1015" s="135"/>
      <c r="NTE1015" s="135"/>
      <c r="NTF1015" s="135"/>
      <c r="NTG1015" s="135"/>
      <c r="NTH1015" s="135"/>
      <c r="NTI1015" s="135"/>
      <c r="NTJ1015" s="135"/>
      <c r="NTK1015" s="135"/>
      <c r="NTL1015" s="135"/>
      <c r="NTM1015" s="135"/>
      <c r="NTN1015" s="135"/>
      <c r="NTO1015" s="135"/>
      <c r="NTP1015" s="135"/>
      <c r="NTQ1015" s="135"/>
      <c r="NTR1015" s="135"/>
      <c r="NTS1015" s="135"/>
      <c r="NTT1015" s="135"/>
      <c r="NTU1015" s="135"/>
      <c r="NTV1015" s="135"/>
      <c r="NTW1015" s="135"/>
      <c r="NTX1015" s="135"/>
      <c r="NTY1015" s="135"/>
      <c r="NTZ1015" s="135"/>
      <c r="NUA1015" s="135"/>
      <c r="NUB1015" s="135"/>
      <c r="NUC1015" s="135"/>
      <c r="NUD1015" s="135"/>
      <c r="NUE1015" s="135"/>
      <c r="NUF1015" s="135"/>
      <c r="NUG1015" s="135"/>
      <c r="NUH1015" s="135"/>
      <c r="NUI1015" s="135"/>
      <c r="NUJ1015" s="135"/>
      <c r="NUK1015" s="135"/>
      <c r="NUL1015" s="135"/>
      <c r="NUM1015" s="135"/>
      <c r="NUN1015" s="135"/>
      <c r="NUO1015" s="135"/>
      <c r="NUP1015" s="135"/>
      <c r="NUQ1015" s="135"/>
      <c r="NUR1015" s="135"/>
      <c r="NUS1015" s="135"/>
      <c r="NUT1015" s="135"/>
      <c r="NUU1015" s="135"/>
      <c r="NUV1015" s="135"/>
      <c r="NUW1015" s="135"/>
      <c r="NUX1015" s="135"/>
      <c r="NUY1015" s="135"/>
      <c r="NUZ1015" s="135"/>
      <c r="NVA1015" s="135"/>
      <c r="NVB1015" s="135"/>
      <c r="NVC1015" s="135"/>
      <c r="NVD1015" s="135"/>
      <c r="NVE1015" s="135"/>
      <c r="NVF1015" s="135"/>
      <c r="NVG1015" s="135"/>
      <c r="NVH1015" s="135"/>
      <c r="NVI1015" s="135"/>
      <c r="NVJ1015" s="135"/>
      <c r="NVK1015" s="135"/>
      <c r="NVL1015" s="135"/>
      <c r="NVM1015" s="135"/>
      <c r="NVN1015" s="135"/>
      <c r="NVO1015" s="135"/>
      <c r="NVP1015" s="135"/>
      <c r="NVQ1015" s="135"/>
      <c r="NVR1015" s="135"/>
      <c r="NVS1015" s="135"/>
      <c r="NVT1015" s="135"/>
      <c r="NVU1015" s="135"/>
      <c r="NVV1015" s="135"/>
      <c r="NVW1015" s="135"/>
      <c r="NVX1015" s="135"/>
      <c r="NVY1015" s="135"/>
      <c r="NVZ1015" s="135"/>
      <c r="NWA1015" s="135"/>
      <c r="NWB1015" s="135"/>
      <c r="NWC1015" s="135"/>
      <c r="NWD1015" s="135"/>
      <c r="NWE1015" s="135"/>
      <c r="NWF1015" s="135"/>
      <c r="NWG1015" s="135"/>
      <c r="NWH1015" s="135"/>
      <c r="NWI1015" s="135"/>
      <c r="NWJ1015" s="135"/>
      <c r="NWK1015" s="135"/>
      <c r="NWL1015" s="135"/>
      <c r="NWM1015" s="135"/>
      <c r="NWN1015" s="135"/>
      <c r="NWO1015" s="135"/>
      <c r="NWP1015" s="135"/>
      <c r="NWQ1015" s="135"/>
      <c r="NWR1015" s="135"/>
      <c r="NWS1015" s="135"/>
      <c r="NWT1015" s="135"/>
      <c r="NWU1015" s="135"/>
      <c r="NWV1015" s="135"/>
      <c r="NWW1015" s="135"/>
      <c r="NWX1015" s="135"/>
      <c r="NWY1015" s="135"/>
      <c r="NWZ1015" s="135"/>
      <c r="NXA1015" s="135"/>
      <c r="NXB1015" s="135"/>
      <c r="NXC1015" s="135"/>
      <c r="NXD1015" s="135"/>
      <c r="NXE1015" s="135"/>
      <c r="NXF1015" s="135"/>
      <c r="NXG1015" s="135"/>
      <c r="NXH1015" s="135"/>
      <c r="NXI1015" s="135"/>
      <c r="NXJ1015" s="135"/>
      <c r="NXK1015" s="135"/>
      <c r="NXL1015" s="135"/>
      <c r="NXM1015" s="135"/>
      <c r="NXN1015" s="135"/>
      <c r="NXO1015" s="135"/>
      <c r="NXP1015" s="135"/>
      <c r="NXQ1015" s="135"/>
      <c r="NXR1015" s="135"/>
      <c r="NXS1015" s="135"/>
      <c r="NXT1015" s="135"/>
      <c r="NXU1015" s="135"/>
      <c r="NXV1015" s="135"/>
      <c r="NXW1015" s="135"/>
      <c r="NXX1015" s="135"/>
      <c r="NXY1015" s="135"/>
      <c r="NXZ1015" s="135"/>
      <c r="NYA1015" s="135"/>
      <c r="NYB1015" s="135"/>
      <c r="NYC1015" s="135"/>
      <c r="NYD1015" s="135"/>
      <c r="NYE1015" s="135"/>
      <c r="NYF1015" s="135"/>
      <c r="NYG1015" s="135"/>
      <c r="NYH1015" s="135"/>
      <c r="NYI1015" s="135"/>
      <c r="NYJ1015" s="135"/>
      <c r="NYK1015" s="135"/>
      <c r="NYL1015" s="135"/>
      <c r="NYM1015" s="135"/>
      <c r="NYN1015" s="135"/>
      <c r="NYO1015" s="135"/>
      <c r="NYP1015" s="135"/>
      <c r="NYQ1015" s="135"/>
      <c r="NYR1015" s="135"/>
      <c r="NYS1015" s="135"/>
      <c r="NYT1015" s="135"/>
      <c r="NYU1015" s="135"/>
      <c r="NYV1015" s="135"/>
      <c r="NYW1015" s="135"/>
      <c r="NYX1015" s="135"/>
      <c r="NYY1015" s="135"/>
      <c r="NYZ1015" s="135"/>
      <c r="NZA1015" s="135"/>
      <c r="NZB1015" s="135"/>
      <c r="NZC1015" s="135"/>
      <c r="NZD1015" s="135"/>
      <c r="NZE1015" s="135"/>
      <c r="NZF1015" s="135"/>
      <c r="NZG1015" s="135"/>
      <c r="NZH1015" s="135"/>
      <c r="NZI1015" s="135"/>
      <c r="NZJ1015" s="135"/>
      <c r="NZK1015" s="135"/>
      <c r="NZL1015" s="135"/>
      <c r="NZM1015" s="135"/>
      <c r="NZN1015" s="135"/>
      <c r="NZO1015" s="135"/>
      <c r="NZP1015" s="135"/>
      <c r="NZQ1015" s="135"/>
      <c r="NZR1015" s="135"/>
      <c r="NZS1015" s="135"/>
      <c r="NZT1015" s="135"/>
      <c r="NZU1015" s="135"/>
      <c r="NZV1015" s="135"/>
      <c r="NZW1015" s="135"/>
      <c r="NZX1015" s="135"/>
      <c r="NZY1015" s="135"/>
      <c r="NZZ1015" s="135"/>
      <c r="OAA1015" s="135"/>
      <c r="OAB1015" s="135"/>
      <c r="OAC1015" s="135"/>
      <c r="OAD1015" s="135"/>
      <c r="OAE1015" s="135"/>
      <c r="OAF1015" s="135"/>
      <c r="OAG1015" s="135"/>
      <c r="OAH1015" s="135"/>
      <c r="OAI1015" s="135"/>
      <c r="OAJ1015" s="135"/>
      <c r="OAK1015" s="135"/>
      <c r="OAL1015" s="135"/>
      <c r="OAM1015" s="135"/>
      <c r="OAN1015" s="135"/>
      <c r="OAO1015" s="135"/>
      <c r="OAP1015" s="135"/>
      <c r="OAQ1015" s="135"/>
      <c r="OAR1015" s="135"/>
      <c r="OAS1015" s="135"/>
      <c r="OAT1015" s="135"/>
      <c r="OAU1015" s="135"/>
      <c r="OAV1015" s="135"/>
      <c r="OAW1015" s="135"/>
      <c r="OAX1015" s="135"/>
      <c r="OAY1015" s="135"/>
      <c r="OAZ1015" s="135"/>
      <c r="OBA1015" s="135"/>
      <c r="OBB1015" s="135"/>
      <c r="OBC1015" s="135"/>
      <c r="OBD1015" s="135"/>
      <c r="OBE1015" s="135"/>
      <c r="OBF1015" s="135"/>
      <c r="OBG1015" s="135"/>
      <c r="OBH1015" s="135"/>
      <c r="OBI1015" s="135"/>
      <c r="OBJ1015" s="135"/>
      <c r="OBK1015" s="135"/>
      <c r="OBL1015" s="135"/>
      <c r="OBM1015" s="135"/>
      <c r="OBN1015" s="135"/>
      <c r="OBO1015" s="135"/>
      <c r="OBP1015" s="135"/>
      <c r="OBQ1015" s="135"/>
      <c r="OBR1015" s="135"/>
      <c r="OBS1015" s="135"/>
      <c r="OBT1015" s="135"/>
      <c r="OBU1015" s="135"/>
      <c r="OBV1015" s="135"/>
      <c r="OBW1015" s="135"/>
      <c r="OBX1015" s="135"/>
      <c r="OBY1015" s="135"/>
      <c r="OBZ1015" s="135"/>
      <c r="OCA1015" s="135"/>
      <c r="OCB1015" s="135"/>
      <c r="OCC1015" s="135"/>
      <c r="OCD1015" s="135"/>
      <c r="OCE1015" s="135"/>
      <c r="OCF1015" s="135"/>
      <c r="OCG1015" s="135"/>
      <c r="OCH1015" s="135"/>
      <c r="OCI1015" s="135"/>
      <c r="OCJ1015" s="135"/>
      <c r="OCK1015" s="135"/>
      <c r="OCL1015" s="135"/>
      <c r="OCM1015" s="135"/>
      <c r="OCN1015" s="135"/>
      <c r="OCO1015" s="135"/>
      <c r="OCP1015" s="135"/>
      <c r="OCQ1015" s="135"/>
      <c r="OCR1015" s="135"/>
      <c r="OCS1015" s="135"/>
      <c r="OCT1015" s="135"/>
      <c r="OCU1015" s="135"/>
      <c r="OCV1015" s="135"/>
      <c r="OCW1015" s="135"/>
      <c r="OCX1015" s="135"/>
      <c r="OCY1015" s="135"/>
      <c r="OCZ1015" s="135"/>
      <c r="ODA1015" s="135"/>
      <c r="ODB1015" s="135"/>
      <c r="ODC1015" s="135"/>
      <c r="ODD1015" s="135"/>
      <c r="ODE1015" s="135"/>
      <c r="ODF1015" s="135"/>
      <c r="ODG1015" s="135"/>
      <c r="ODH1015" s="135"/>
      <c r="ODI1015" s="135"/>
      <c r="ODJ1015" s="135"/>
      <c r="ODK1015" s="135"/>
      <c r="ODL1015" s="135"/>
      <c r="ODM1015" s="135"/>
      <c r="ODN1015" s="135"/>
      <c r="ODO1015" s="135"/>
      <c r="ODP1015" s="135"/>
      <c r="ODQ1015" s="135"/>
      <c r="ODR1015" s="135"/>
      <c r="ODS1015" s="135"/>
      <c r="ODT1015" s="135"/>
      <c r="ODU1015" s="135"/>
      <c r="ODV1015" s="135"/>
      <c r="ODW1015" s="135"/>
      <c r="ODX1015" s="135"/>
      <c r="ODY1015" s="135"/>
      <c r="ODZ1015" s="135"/>
      <c r="OEA1015" s="135"/>
      <c r="OEB1015" s="135"/>
      <c r="OEC1015" s="135"/>
      <c r="OED1015" s="135"/>
      <c r="OEE1015" s="135"/>
      <c r="OEF1015" s="135"/>
      <c r="OEG1015" s="135"/>
      <c r="OEH1015" s="135"/>
      <c r="OEI1015" s="135"/>
      <c r="OEJ1015" s="135"/>
      <c r="OEK1015" s="135"/>
      <c r="OEL1015" s="135"/>
      <c r="OEM1015" s="135"/>
      <c r="OEN1015" s="135"/>
      <c r="OEO1015" s="135"/>
      <c r="OEP1015" s="135"/>
      <c r="OEQ1015" s="135"/>
      <c r="OER1015" s="135"/>
      <c r="OES1015" s="135"/>
      <c r="OET1015" s="135"/>
      <c r="OEU1015" s="135"/>
      <c r="OEV1015" s="135"/>
      <c r="OEW1015" s="135"/>
      <c r="OEX1015" s="135"/>
      <c r="OEY1015" s="135"/>
      <c r="OEZ1015" s="135"/>
      <c r="OFA1015" s="135"/>
      <c r="OFB1015" s="135"/>
      <c r="OFC1015" s="135"/>
      <c r="OFD1015" s="135"/>
      <c r="OFE1015" s="135"/>
      <c r="OFF1015" s="135"/>
      <c r="OFG1015" s="135"/>
      <c r="OFH1015" s="135"/>
      <c r="OFI1015" s="135"/>
      <c r="OFJ1015" s="135"/>
      <c r="OFK1015" s="135"/>
      <c r="OFL1015" s="135"/>
      <c r="OFM1015" s="135"/>
      <c r="OFN1015" s="135"/>
      <c r="OFO1015" s="135"/>
      <c r="OFP1015" s="135"/>
      <c r="OFQ1015" s="135"/>
      <c r="OFR1015" s="135"/>
      <c r="OFS1015" s="135"/>
      <c r="OFT1015" s="135"/>
      <c r="OFU1015" s="135"/>
      <c r="OFV1015" s="135"/>
      <c r="OFW1015" s="135"/>
      <c r="OFX1015" s="135"/>
      <c r="OFY1015" s="135"/>
      <c r="OFZ1015" s="135"/>
      <c r="OGA1015" s="135"/>
      <c r="OGB1015" s="135"/>
      <c r="OGC1015" s="135"/>
      <c r="OGD1015" s="135"/>
      <c r="OGE1015" s="135"/>
      <c r="OGF1015" s="135"/>
      <c r="OGG1015" s="135"/>
      <c r="OGH1015" s="135"/>
      <c r="OGI1015" s="135"/>
      <c r="OGJ1015" s="135"/>
      <c r="OGK1015" s="135"/>
      <c r="OGL1015" s="135"/>
      <c r="OGM1015" s="135"/>
      <c r="OGN1015" s="135"/>
      <c r="OGO1015" s="135"/>
      <c r="OGP1015" s="135"/>
      <c r="OGQ1015" s="135"/>
      <c r="OGR1015" s="135"/>
      <c r="OGS1015" s="135"/>
      <c r="OGT1015" s="135"/>
      <c r="OGU1015" s="135"/>
      <c r="OGV1015" s="135"/>
      <c r="OGW1015" s="135"/>
      <c r="OGX1015" s="135"/>
      <c r="OGY1015" s="135"/>
      <c r="OGZ1015" s="135"/>
      <c r="OHA1015" s="135"/>
      <c r="OHB1015" s="135"/>
      <c r="OHC1015" s="135"/>
      <c r="OHD1015" s="135"/>
      <c r="OHE1015" s="135"/>
      <c r="OHF1015" s="135"/>
      <c r="OHG1015" s="135"/>
      <c r="OHH1015" s="135"/>
      <c r="OHI1015" s="135"/>
      <c r="OHJ1015" s="135"/>
      <c r="OHK1015" s="135"/>
      <c r="OHL1015" s="135"/>
      <c r="OHM1015" s="135"/>
      <c r="OHN1015" s="135"/>
      <c r="OHO1015" s="135"/>
      <c r="OHP1015" s="135"/>
      <c r="OHQ1015" s="135"/>
      <c r="OHR1015" s="135"/>
      <c r="OHS1015" s="135"/>
      <c r="OHT1015" s="135"/>
      <c r="OHU1015" s="135"/>
      <c r="OHV1015" s="135"/>
      <c r="OHW1015" s="135"/>
      <c r="OHX1015" s="135"/>
      <c r="OHY1015" s="135"/>
      <c r="OHZ1015" s="135"/>
      <c r="OIA1015" s="135"/>
      <c r="OIB1015" s="135"/>
      <c r="OIC1015" s="135"/>
      <c r="OID1015" s="135"/>
      <c r="OIE1015" s="135"/>
      <c r="OIF1015" s="135"/>
      <c r="OIG1015" s="135"/>
      <c r="OIH1015" s="135"/>
      <c r="OII1015" s="135"/>
      <c r="OIJ1015" s="135"/>
      <c r="OIK1015" s="135"/>
      <c r="OIL1015" s="135"/>
      <c r="OIM1015" s="135"/>
      <c r="OIN1015" s="135"/>
      <c r="OIO1015" s="135"/>
      <c r="OIP1015" s="135"/>
      <c r="OIQ1015" s="135"/>
      <c r="OIR1015" s="135"/>
      <c r="OIS1015" s="135"/>
      <c r="OIT1015" s="135"/>
      <c r="OIU1015" s="135"/>
      <c r="OIV1015" s="135"/>
      <c r="OIW1015" s="135"/>
      <c r="OIX1015" s="135"/>
      <c r="OIY1015" s="135"/>
      <c r="OIZ1015" s="135"/>
      <c r="OJA1015" s="135"/>
      <c r="OJB1015" s="135"/>
      <c r="OJC1015" s="135"/>
      <c r="OJD1015" s="135"/>
      <c r="OJE1015" s="135"/>
      <c r="OJF1015" s="135"/>
      <c r="OJG1015" s="135"/>
      <c r="OJH1015" s="135"/>
      <c r="OJI1015" s="135"/>
      <c r="OJJ1015" s="135"/>
      <c r="OJK1015" s="135"/>
      <c r="OJL1015" s="135"/>
      <c r="OJM1015" s="135"/>
      <c r="OJN1015" s="135"/>
      <c r="OJO1015" s="135"/>
      <c r="OJP1015" s="135"/>
      <c r="OJQ1015" s="135"/>
      <c r="OJR1015" s="135"/>
      <c r="OJS1015" s="135"/>
      <c r="OJT1015" s="135"/>
      <c r="OJU1015" s="135"/>
      <c r="OJV1015" s="135"/>
      <c r="OJW1015" s="135"/>
      <c r="OJX1015" s="135"/>
      <c r="OJY1015" s="135"/>
      <c r="OJZ1015" s="135"/>
      <c r="OKA1015" s="135"/>
      <c r="OKB1015" s="135"/>
      <c r="OKC1015" s="135"/>
      <c r="OKD1015" s="135"/>
      <c r="OKE1015" s="135"/>
      <c r="OKF1015" s="135"/>
      <c r="OKG1015" s="135"/>
      <c r="OKH1015" s="135"/>
      <c r="OKI1015" s="135"/>
      <c r="OKJ1015" s="135"/>
      <c r="OKK1015" s="135"/>
      <c r="OKL1015" s="135"/>
      <c r="OKM1015" s="135"/>
      <c r="OKN1015" s="135"/>
      <c r="OKO1015" s="135"/>
      <c r="OKP1015" s="135"/>
      <c r="OKQ1015" s="135"/>
      <c r="OKR1015" s="135"/>
      <c r="OKS1015" s="135"/>
      <c r="OKT1015" s="135"/>
      <c r="OKU1015" s="135"/>
      <c r="OKV1015" s="135"/>
      <c r="OKW1015" s="135"/>
      <c r="OKX1015" s="135"/>
      <c r="OKY1015" s="135"/>
      <c r="OKZ1015" s="135"/>
      <c r="OLA1015" s="135"/>
      <c r="OLB1015" s="135"/>
      <c r="OLC1015" s="135"/>
      <c r="OLD1015" s="135"/>
      <c r="OLE1015" s="135"/>
      <c r="OLF1015" s="135"/>
      <c r="OLG1015" s="135"/>
      <c r="OLH1015" s="135"/>
      <c r="OLI1015" s="135"/>
      <c r="OLJ1015" s="135"/>
      <c r="OLK1015" s="135"/>
      <c r="OLL1015" s="135"/>
      <c r="OLM1015" s="135"/>
      <c r="OLN1015" s="135"/>
      <c r="OLO1015" s="135"/>
      <c r="OLP1015" s="135"/>
      <c r="OLQ1015" s="135"/>
      <c r="OLR1015" s="135"/>
      <c r="OLS1015" s="135"/>
      <c r="OLT1015" s="135"/>
      <c r="OLU1015" s="135"/>
      <c r="OLV1015" s="135"/>
      <c r="OLW1015" s="135"/>
      <c r="OLX1015" s="135"/>
      <c r="OLY1015" s="135"/>
      <c r="OLZ1015" s="135"/>
      <c r="OMA1015" s="135"/>
      <c r="OMB1015" s="135"/>
      <c r="OMC1015" s="135"/>
      <c r="OMD1015" s="135"/>
      <c r="OME1015" s="135"/>
      <c r="OMF1015" s="135"/>
      <c r="OMG1015" s="135"/>
      <c r="OMH1015" s="135"/>
      <c r="OMI1015" s="135"/>
      <c r="OMJ1015" s="135"/>
      <c r="OMK1015" s="135"/>
      <c r="OML1015" s="135"/>
      <c r="OMM1015" s="135"/>
      <c r="OMN1015" s="135"/>
      <c r="OMO1015" s="135"/>
      <c r="OMP1015" s="135"/>
      <c r="OMQ1015" s="135"/>
      <c r="OMR1015" s="135"/>
      <c r="OMS1015" s="135"/>
      <c r="OMT1015" s="135"/>
      <c r="OMU1015" s="135"/>
      <c r="OMV1015" s="135"/>
      <c r="OMW1015" s="135"/>
      <c r="OMX1015" s="135"/>
      <c r="OMY1015" s="135"/>
      <c r="OMZ1015" s="135"/>
      <c r="ONA1015" s="135"/>
      <c r="ONB1015" s="135"/>
      <c r="ONC1015" s="135"/>
      <c r="OND1015" s="135"/>
      <c r="ONE1015" s="135"/>
      <c r="ONF1015" s="135"/>
      <c r="ONG1015" s="135"/>
      <c r="ONH1015" s="135"/>
      <c r="ONI1015" s="135"/>
      <c r="ONJ1015" s="135"/>
      <c r="ONK1015" s="135"/>
      <c r="ONL1015" s="135"/>
      <c r="ONM1015" s="135"/>
      <c r="ONN1015" s="135"/>
      <c r="ONO1015" s="135"/>
      <c r="ONP1015" s="135"/>
      <c r="ONQ1015" s="135"/>
      <c r="ONR1015" s="135"/>
      <c r="ONS1015" s="135"/>
      <c r="ONT1015" s="135"/>
      <c r="ONU1015" s="135"/>
      <c r="ONV1015" s="135"/>
      <c r="ONW1015" s="135"/>
      <c r="ONX1015" s="135"/>
      <c r="ONY1015" s="135"/>
      <c r="ONZ1015" s="135"/>
      <c r="OOA1015" s="135"/>
      <c r="OOB1015" s="135"/>
      <c r="OOC1015" s="135"/>
      <c r="OOD1015" s="135"/>
      <c r="OOE1015" s="135"/>
      <c r="OOF1015" s="135"/>
      <c r="OOG1015" s="135"/>
      <c r="OOH1015" s="135"/>
      <c r="OOI1015" s="135"/>
      <c r="OOJ1015" s="135"/>
      <c r="OOK1015" s="135"/>
      <c r="OOL1015" s="135"/>
      <c r="OOM1015" s="135"/>
      <c r="OON1015" s="135"/>
      <c r="OOO1015" s="135"/>
      <c r="OOP1015" s="135"/>
      <c r="OOQ1015" s="135"/>
      <c r="OOR1015" s="135"/>
      <c r="OOS1015" s="135"/>
      <c r="OOT1015" s="135"/>
      <c r="OOU1015" s="135"/>
      <c r="OOV1015" s="135"/>
      <c r="OOW1015" s="135"/>
      <c r="OOX1015" s="135"/>
      <c r="OOY1015" s="135"/>
      <c r="OOZ1015" s="135"/>
      <c r="OPA1015" s="135"/>
      <c r="OPB1015" s="135"/>
      <c r="OPC1015" s="135"/>
      <c r="OPD1015" s="135"/>
      <c r="OPE1015" s="135"/>
      <c r="OPF1015" s="135"/>
      <c r="OPG1015" s="135"/>
      <c r="OPH1015" s="135"/>
      <c r="OPI1015" s="135"/>
      <c r="OPJ1015" s="135"/>
      <c r="OPK1015" s="135"/>
      <c r="OPL1015" s="135"/>
      <c r="OPM1015" s="135"/>
      <c r="OPN1015" s="135"/>
      <c r="OPO1015" s="135"/>
      <c r="OPP1015" s="135"/>
      <c r="OPQ1015" s="135"/>
      <c r="OPR1015" s="135"/>
      <c r="OPS1015" s="135"/>
      <c r="OPT1015" s="135"/>
      <c r="OPU1015" s="135"/>
      <c r="OPV1015" s="135"/>
      <c r="OPW1015" s="135"/>
      <c r="OPX1015" s="135"/>
      <c r="OPY1015" s="135"/>
      <c r="OPZ1015" s="135"/>
      <c r="OQA1015" s="135"/>
      <c r="OQB1015" s="135"/>
      <c r="OQC1015" s="135"/>
      <c r="OQD1015" s="135"/>
      <c r="OQE1015" s="135"/>
      <c r="OQF1015" s="135"/>
      <c r="OQG1015" s="135"/>
      <c r="OQH1015" s="135"/>
      <c r="OQI1015" s="135"/>
      <c r="OQJ1015" s="135"/>
      <c r="OQK1015" s="135"/>
      <c r="OQL1015" s="135"/>
      <c r="OQM1015" s="135"/>
      <c r="OQN1015" s="135"/>
      <c r="OQO1015" s="135"/>
      <c r="OQP1015" s="135"/>
      <c r="OQQ1015" s="135"/>
      <c r="OQR1015" s="135"/>
      <c r="OQS1015" s="135"/>
      <c r="OQT1015" s="135"/>
      <c r="OQU1015" s="135"/>
      <c r="OQV1015" s="135"/>
      <c r="OQW1015" s="135"/>
      <c r="OQX1015" s="135"/>
      <c r="OQY1015" s="135"/>
      <c r="OQZ1015" s="135"/>
      <c r="ORA1015" s="135"/>
      <c r="ORB1015" s="135"/>
      <c r="ORC1015" s="135"/>
      <c r="ORD1015" s="135"/>
      <c r="ORE1015" s="135"/>
      <c r="ORF1015" s="135"/>
      <c r="ORG1015" s="135"/>
      <c r="ORH1015" s="135"/>
      <c r="ORI1015" s="135"/>
      <c r="ORJ1015" s="135"/>
      <c r="ORK1015" s="135"/>
      <c r="ORL1015" s="135"/>
      <c r="ORM1015" s="135"/>
      <c r="ORN1015" s="135"/>
      <c r="ORO1015" s="135"/>
      <c r="ORP1015" s="135"/>
      <c r="ORQ1015" s="135"/>
      <c r="ORR1015" s="135"/>
      <c r="ORS1015" s="135"/>
      <c r="ORT1015" s="135"/>
      <c r="ORU1015" s="135"/>
      <c r="ORV1015" s="135"/>
      <c r="ORW1015" s="135"/>
      <c r="ORX1015" s="135"/>
      <c r="ORY1015" s="135"/>
      <c r="ORZ1015" s="135"/>
      <c r="OSA1015" s="135"/>
      <c r="OSB1015" s="135"/>
      <c r="OSC1015" s="135"/>
      <c r="OSD1015" s="135"/>
      <c r="OSE1015" s="135"/>
      <c r="OSF1015" s="135"/>
      <c r="OSG1015" s="135"/>
      <c r="OSH1015" s="135"/>
      <c r="OSI1015" s="135"/>
      <c r="OSJ1015" s="135"/>
      <c r="OSK1015" s="135"/>
      <c r="OSL1015" s="135"/>
      <c r="OSM1015" s="135"/>
      <c r="OSN1015" s="135"/>
      <c r="OSO1015" s="135"/>
      <c r="OSP1015" s="135"/>
      <c r="OSQ1015" s="135"/>
      <c r="OSR1015" s="135"/>
      <c r="OSS1015" s="135"/>
      <c r="OST1015" s="135"/>
      <c r="OSU1015" s="135"/>
      <c r="OSV1015" s="135"/>
      <c r="OSW1015" s="135"/>
      <c r="OSX1015" s="135"/>
      <c r="OSY1015" s="135"/>
      <c r="OSZ1015" s="135"/>
      <c r="OTA1015" s="135"/>
      <c r="OTB1015" s="135"/>
      <c r="OTC1015" s="135"/>
      <c r="OTD1015" s="135"/>
      <c r="OTE1015" s="135"/>
      <c r="OTF1015" s="135"/>
      <c r="OTG1015" s="135"/>
      <c r="OTH1015" s="135"/>
      <c r="OTI1015" s="135"/>
      <c r="OTJ1015" s="135"/>
      <c r="OTK1015" s="135"/>
      <c r="OTL1015" s="135"/>
      <c r="OTM1015" s="135"/>
      <c r="OTN1015" s="135"/>
      <c r="OTO1015" s="135"/>
      <c r="OTP1015" s="135"/>
      <c r="OTQ1015" s="135"/>
      <c r="OTR1015" s="135"/>
      <c r="OTS1015" s="135"/>
      <c r="OTT1015" s="135"/>
      <c r="OTU1015" s="135"/>
      <c r="OTV1015" s="135"/>
      <c r="OTW1015" s="135"/>
      <c r="OTX1015" s="135"/>
      <c r="OTY1015" s="135"/>
      <c r="OTZ1015" s="135"/>
      <c r="OUA1015" s="135"/>
      <c r="OUB1015" s="135"/>
      <c r="OUC1015" s="135"/>
      <c r="OUD1015" s="135"/>
      <c r="OUE1015" s="135"/>
      <c r="OUF1015" s="135"/>
      <c r="OUG1015" s="135"/>
      <c r="OUH1015" s="135"/>
      <c r="OUI1015" s="135"/>
      <c r="OUJ1015" s="135"/>
      <c r="OUK1015" s="135"/>
      <c r="OUL1015" s="135"/>
      <c r="OUM1015" s="135"/>
      <c r="OUN1015" s="135"/>
      <c r="OUO1015" s="135"/>
      <c r="OUP1015" s="135"/>
      <c r="OUQ1015" s="135"/>
      <c r="OUR1015" s="135"/>
      <c r="OUS1015" s="135"/>
      <c r="OUT1015" s="135"/>
      <c r="OUU1015" s="135"/>
      <c r="OUV1015" s="135"/>
      <c r="OUW1015" s="135"/>
      <c r="OUX1015" s="135"/>
      <c r="OUY1015" s="135"/>
      <c r="OUZ1015" s="135"/>
      <c r="OVA1015" s="135"/>
      <c r="OVB1015" s="135"/>
      <c r="OVC1015" s="135"/>
      <c r="OVD1015" s="135"/>
      <c r="OVE1015" s="135"/>
      <c r="OVF1015" s="135"/>
      <c r="OVG1015" s="135"/>
      <c r="OVH1015" s="135"/>
      <c r="OVI1015" s="135"/>
      <c r="OVJ1015" s="135"/>
      <c r="OVK1015" s="135"/>
      <c r="OVL1015" s="135"/>
      <c r="OVM1015" s="135"/>
      <c r="OVN1015" s="135"/>
      <c r="OVO1015" s="135"/>
      <c r="OVP1015" s="135"/>
      <c r="OVQ1015" s="135"/>
      <c r="OVR1015" s="135"/>
      <c r="OVS1015" s="135"/>
      <c r="OVT1015" s="135"/>
      <c r="OVU1015" s="135"/>
      <c r="OVV1015" s="135"/>
      <c r="OVW1015" s="135"/>
      <c r="OVX1015" s="135"/>
      <c r="OVY1015" s="135"/>
      <c r="OVZ1015" s="135"/>
      <c r="OWA1015" s="135"/>
      <c r="OWB1015" s="135"/>
      <c r="OWC1015" s="135"/>
      <c r="OWD1015" s="135"/>
      <c r="OWE1015" s="135"/>
      <c r="OWF1015" s="135"/>
      <c r="OWG1015" s="135"/>
      <c r="OWH1015" s="135"/>
      <c r="OWI1015" s="135"/>
      <c r="OWJ1015" s="135"/>
      <c r="OWK1015" s="135"/>
      <c r="OWL1015" s="135"/>
      <c r="OWM1015" s="135"/>
      <c r="OWN1015" s="135"/>
      <c r="OWO1015" s="135"/>
      <c r="OWP1015" s="135"/>
      <c r="OWQ1015" s="135"/>
      <c r="OWR1015" s="135"/>
      <c r="OWS1015" s="135"/>
      <c r="OWT1015" s="135"/>
      <c r="OWU1015" s="135"/>
      <c r="OWV1015" s="135"/>
      <c r="OWW1015" s="135"/>
      <c r="OWX1015" s="135"/>
      <c r="OWY1015" s="135"/>
      <c r="OWZ1015" s="135"/>
      <c r="OXA1015" s="135"/>
      <c r="OXB1015" s="135"/>
      <c r="OXC1015" s="135"/>
      <c r="OXD1015" s="135"/>
      <c r="OXE1015" s="135"/>
      <c r="OXF1015" s="135"/>
      <c r="OXG1015" s="135"/>
      <c r="OXH1015" s="135"/>
      <c r="OXI1015" s="135"/>
      <c r="OXJ1015" s="135"/>
      <c r="OXK1015" s="135"/>
      <c r="OXL1015" s="135"/>
      <c r="OXM1015" s="135"/>
      <c r="OXN1015" s="135"/>
      <c r="OXO1015" s="135"/>
      <c r="OXP1015" s="135"/>
      <c r="OXQ1015" s="135"/>
      <c r="OXR1015" s="135"/>
      <c r="OXS1015" s="135"/>
      <c r="OXT1015" s="135"/>
      <c r="OXU1015" s="135"/>
      <c r="OXV1015" s="135"/>
      <c r="OXW1015" s="135"/>
      <c r="OXX1015" s="135"/>
      <c r="OXY1015" s="135"/>
      <c r="OXZ1015" s="135"/>
      <c r="OYA1015" s="135"/>
      <c r="OYB1015" s="135"/>
      <c r="OYC1015" s="135"/>
      <c r="OYD1015" s="135"/>
      <c r="OYE1015" s="135"/>
      <c r="OYF1015" s="135"/>
      <c r="OYG1015" s="135"/>
      <c r="OYH1015" s="135"/>
      <c r="OYI1015" s="135"/>
      <c r="OYJ1015" s="135"/>
      <c r="OYK1015" s="135"/>
      <c r="OYL1015" s="135"/>
      <c r="OYM1015" s="135"/>
      <c r="OYN1015" s="135"/>
      <c r="OYO1015" s="135"/>
      <c r="OYP1015" s="135"/>
      <c r="OYQ1015" s="135"/>
      <c r="OYR1015" s="135"/>
      <c r="OYS1015" s="135"/>
      <c r="OYT1015" s="135"/>
      <c r="OYU1015" s="135"/>
      <c r="OYV1015" s="135"/>
      <c r="OYW1015" s="135"/>
      <c r="OYX1015" s="135"/>
      <c r="OYY1015" s="135"/>
      <c r="OYZ1015" s="135"/>
      <c r="OZA1015" s="135"/>
      <c r="OZB1015" s="135"/>
      <c r="OZC1015" s="135"/>
      <c r="OZD1015" s="135"/>
      <c r="OZE1015" s="135"/>
      <c r="OZF1015" s="135"/>
      <c r="OZG1015" s="135"/>
      <c r="OZH1015" s="135"/>
      <c r="OZI1015" s="135"/>
      <c r="OZJ1015" s="135"/>
      <c r="OZK1015" s="135"/>
      <c r="OZL1015" s="135"/>
      <c r="OZM1015" s="135"/>
      <c r="OZN1015" s="135"/>
      <c r="OZO1015" s="135"/>
      <c r="OZP1015" s="135"/>
      <c r="OZQ1015" s="135"/>
      <c r="OZR1015" s="135"/>
      <c r="OZS1015" s="135"/>
      <c r="OZT1015" s="135"/>
      <c r="OZU1015" s="135"/>
      <c r="OZV1015" s="135"/>
      <c r="OZW1015" s="135"/>
      <c r="OZX1015" s="135"/>
      <c r="OZY1015" s="135"/>
      <c r="OZZ1015" s="135"/>
      <c r="PAA1015" s="135"/>
      <c r="PAB1015" s="135"/>
      <c r="PAC1015" s="135"/>
      <c r="PAD1015" s="135"/>
      <c r="PAE1015" s="135"/>
      <c r="PAF1015" s="135"/>
      <c r="PAG1015" s="135"/>
      <c r="PAH1015" s="135"/>
      <c r="PAI1015" s="135"/>
      <c r="PAJ1015" s="135"/>
      <c r="PAK1015" s="135"/>
      <c r="PAL1015" s="135"/>
      <c r="PAM1015" s="135"/>
      <c r="PAN1015" s="135"/>
      <c r="PAO1015" s="135"/>
      <c r="PAP1015" s="135"/>
      <c r="PAQ1015" s="135"/>
      <c r="PAR1015" s="135"/>
      <c r="PAS1015" s="135"/>
      <c r="PAT1015" s="135"/>
      <c r="PAU1015" s="135"/>
      <c r="PAV1015" s="135"/>
      <c r="PAW1015" s="135"/>
      <c r="PAX1015" s="135"/>
      <c r="PAY1015" s="135"/>
      <c r="PAZ1015" s="135"/>
      <c r="PBA1015" s="135"/>
      <c r="PBB1015" s="135"/>
      <c r="PBC1015" s="135"/>
      <c r="PBD1015" s="135"/>
      <c r="PBE1015" s="135"/>
      <c r="PBF1015" s="135"/>
      <c r="PBG1015" s="135"/>
      <c r="PBH1015" s="135"/>
      <c r="PBI1015" s="135"/>
      <c r="PBJ1015" s="135"/>
      <c r="PBK1015" s="135"/>
      <c r="PBL1015" s="135"/>
      <c r="PBM1015" s="135"/>
      <c r="PBN1015" s="135"/>
      <c r="PBO1015" s="135"/>
      <c r="PBP1015" s="135"/>
      <c r="PBQ1015" s="135"/>
      <c r="PBR1015" s="135"/>
      <c r="PBS1015" s="135"/>
      <c r="PBT1015" s="135"/>
      <c r="PBU1015" s="135"/>
      <c r="PBV1015" s="135"/>
      <c r="PBW1015" s="135"/>
      <c r="PBX1015" s="135"/>
      <c r="PBY1015" s="135"/>
      <c r="PBZ1015" s="135"/>
      <c r="PCA1015" s="135"/>
      <c r="PCB1015" s="135"/>
      <c r="PCC1015" s="135"/>
      <c r="PCD1015" s="135"/>
      <c r="PCE1015" s="135"/>
      <c r="PCF1015" s="135"/>
      <c r="PCG1015" s="135"/>
      <c r="PCH1015" s="135"/>
      <c r="PCI1015" s="135"/>
      <c r="PCJ1015" s="135"/>
      <c r="PCK1015" s="135"/>
      <c r="PCL1015" s="135"/>
      <c r="PCM1015" s="135"/>
      <c r="PCN1015" s="135"/>
      <c r="PCO1015" s="135"/>
      <c r="PCP1015" s="135"/>
      <c r="PCQ1015" s="135"/>
      <c r="PCR1015" s="135"/>
      <c r="PCS1015" s="135"/>
      <c r="PCT1015" s="135"/>
      <c r="PCU1015" s="135"/>
      <c r="PCV1015" s="135"/>
      <c r="PCW1015" s="135"/>
      <c r="PCX1015" s="135"/>
      <c r="PCY1015" s="135"/>
      <c r="PCZ1015" s="135"/>
      <c r="PDA1015" s="135"/>
      <c r="PDB1015" s="135"/>
      <c r="PDC1015" s="135"/>
      <c r="PDD1015" s="135"/>
      <c r="PDE1015" s="135"/>
      <c r="PDF1015" s="135"/>
      <c r="PDG1015" s="135"/>
      <c r="PDH1015" s="135"/>
      <c r="PDI1015" s="135"/>
      <c r="PDJ1015" s="135"/>
      <c r="PDK1015" s="135"/>
      <c r="PDL1015" s="135"/>
      <c r="PDM1015" s="135"/>
      <c r="PDN1015" s="135"/>
      <c r="PDO1015" s="135"/>
      <c r="PDP1015" s="135"/>
      <c r="PDQ1015" s="135"/>
      <c r="PDR1015" s="135"/>
      <c r="PDS1015" s="135"/>
      <c r="PDT1015" s="135"/>
      <c r="PDU1015" s="135"/>
      <c r="PDV1015" s="135"/>
      <c r="PDW1015" s="135"/>
      <c r="PDX1015" s="135"/>
      <c r="PDY1015" s="135"/>
      <c r="PDZ1015" s="135"/>
      <c r="PEA1015" s="135"/>
      <c r="PEB1015" s="135"/>
      <c r="PEC1015" s="135"/>
      <c r="PED1015" s="135"/>
      <c r="PEE1015" s="135"/>
      <c r="PEF1015" s="135"/>
      <c r="PEG1015" s="135"/>
      <c r="PEH1015" s="135"/>
      <c r="PEI1015" s="135"/>
      <c r="PEJ1015" s="135"/>
      <c r="PEK1015" s="135"/>
      <c r="PEL1015" s="135"/>
      <c r="PEM1015" s="135"/>
      <c r="PEN1015" s="135"/>
      <c r="PEO1015" s="135"/>
      <c r="PEP1015" s="135"/>
      <c r="PEQ1015" s="135"/>
      <c r="PER1015" s="135"/>
      <c r="PES1015" s="135"/>
      <c r="PET1015" s="135"/>
      <c r="PEU1015" s="135"/>
      <c r="PEV1015" s="135"/>
      <c r="PEW1015" s="135"/>
      <c r="PEX1015" s="135"/>
      <c r="PEY1015" s="135"/>
      <c r="PEZ1015" s="135"/>
      <c r="PFA1015" s="135"/>
      <c r="PFB1015" s="135"/>
      <c r="PFC1015" s="135"/>
      <c r="PFD1015" s="135"/>
      <c r="PFE1015" s="135"/>
      <c r="PFF1015" s="135"/>
      <c r="PFG1015" s="135"/>
      <c r="PFH1015" s="135"/>
      <c r="PFI1015" s="135"/>
      <c r="PFJ1015" s="135"/>
      <c r="PFK1015" s="135"/>
      <c r="PFL1015" s="135"/>
      <c r="PFM1015" s="135"/>
      <c r="PFN1015" s="135"/>
      <c r="PFO1015" s="135"/>
      <c r="PFP1015" s="135"/>
      <c r="PFQ1015" s="135"/>
      <c r="PFR1015" s="135"/>
      <c r="PFS1015" s="135"/>
      <c r="PFT1015" s="135"/>
      <c r="PFU1015" s="135"/>
      <c r="PFV1015" s="135"/>
      <c r="PFW1015" s="135"/>
      <c r="PFX1015" s="135"/>
      <c r="PFY1015" s="135"/>
      <c r="PFZ1015" s="135"/>
      <c r="PGA1015" s="135"/>
      <c r="PGB1015" s="135"/>
      <c r="PGC1015" s="135"/>
      <c r="PGD1015" s="135"/>
      <c r="PGE1015" s="135"/>
      <c r="PGF1015" s="135"/>
      <c r="PGG1015" s="135"/>
      <c r="PGH1015" s="135"/>
      <c r="PGI1015" s="135"/>
      <c r="PGJ1015" s="135"/>
      <c r="PGK1015" s="135"/>
      <c r="PGL1015" s="135"/>
      <c r="PGM1015" s="135"/>
      <c r="PGN1015" s="135"/>
      <c r="PGO1015" s="135"/>
      <c r="PGP1015" s="135"/>
      <c r="PGQ1015" s="135"/>
      <c r="PGR1015" s="135"/>
      <c r="PGS1015" s="135"/>
      <c r="PGT1015" s="135"/>
      <c r="PGU1015" s="135"/>
      <c r="PGV1015" s="135"/>
      <c r="PGW1015" s="135"/>
      <c r="PGX1015" s="135"/>
      <c r="PGY1015" s="135"/>
      <c r="PGZ1015" s="135"/>
      <c r="PHA1015" s="135"/>
      <c r="PHB1015" s="135"/>
      <c r="PHC1015" s="135"/>
      <c r="PHD1015" s="135"/>
      <c r="PHE1015" s="135"/>
      <c r="PHF1015" s="135"/>
      <c r="PHG1015" s="135"/>
      <c r="PHH1015" s="135"/>
      <c r="PHI1015" s="135"/>
      <c r="PHJ1015" s="135"/>
      <c r="PHK1015" s="135"/>
      <c r="PHL1015" s="135"/>
      <c r="PHM1015" s="135"/>
      <c r="PHN1015" s="135"/>
      <c r="PHO1015" s="135"/>
      <c r="PHP1015" s="135"/>
      <c r="PHQ1015" s="135"/>
      <c r="PHR1015" s="135"/>
      <c r="PHS1015" s="135"/>
      <c r="PHT1015" s="135"/>
      <c r="PHU1015" s="135"/>
      <c r="PHV1015" s="135"/>
      <c r="PHW1015" s="135"/>
      <c r="PHX1015" s="135"/>
      <c r="PHY1015" s="135"/>
      <c r="PHZ1015" s="135"/>
      <c r="PIA1015" s="135"/>
      <c r="PIB1015" s="135"/>
      <c r="PIC1015" s="135"/>
      <c r="PID1015" s="135"/>
      <c r="PIE1015" s="135"/>
      <c r="PIF1015" s="135"/>
      <c r="PIG1015" s="135"/>
      <c r="PIH1015" s="135"/>
      <c r="PII1015" s="135"/>
      <c r="PIJ1015" s="135"/>
      <c r="PIK1015" s="135"/>
      <c r="PIL1015" s="135"/>
      <c r="PIM1015" s="135"/>
      <c r="PIN1015" s="135"/>
      <c r="PIO1015" s="135"/>
      <c r="PIP1015" s="135"/>
      <c r="PIQ1015" s="135"/>
      <c r="PIR1015" s="135"/>
      <c r="PIS1015" s="135"/>
      <c r="PIT1015" s="135"/>
      <c r="PIU1015" s="135"/>
      <c r="PIV1015" s="135"/>
      <c r="PIW1015" s="135"/>
      <c r="PIX1015" s="135"/>
      <c r="PIY1015" s="135"/>
      <c r="PIZ1015" s="135"/>
      <c r="PJA1015" s="135"/>
      <c r="PJB1015" s="135"/>
      <c r="PJC1015" s="135"/>
      <c r="PJD1015" s="135"/>
      <c r="PJE1015" s="135"/>
      <c r="PJF1015" s="135"/>
      <c r="PJG1015" s="135"/>
      <c r="PJH1015" s="135"/>
      <c r="PJI1015" s="135"/>
      <c r="PJJ1015" s="135"/>
      <c r="PJK1015" s="135"/>
      <c r="PJL1015" s="135"/>
      <c r="PJM1015" s="135"/>
      <c r="PJN1015" s="135"/>
      <c r="PJO1015" s="135"/>
      <c r="PJP1015" s="135"/>
      <c r="PJQ1015" s="135"/>
      <c r="PJR1015" s="135"/>
      <c r="PJS1015" s="135"/>
      <c r="PJT1015" s="135"/>
      <c r="PJU1015" s="135"/>
      <c r="PJV1015" s="135"/>
      <c r="PJW1015" s="135"/>
      <c r="PJX1015" s="135"/>
      <c r="PJY1015" s="135"/>
      <c r="PJZ1015" s="135"/>
      <c r="PKA1015" s="135"/>
      <c r="PKB1015" s="135"/>
      <c r="PKC1015" s="135"/>
      <c r="PKD1015" s="135"/>
      <c r="PKE1015" s="135"/>
      <c r="PKF1015" s="135"/>
      <c r="PKG1015" s="135"/>
      <c r="PKH1015" s="135"/>
      <c r="PKI1015" s="135"/>
      <c r="PKJ1015" s="135"/>
      <c r="PKK1015" s="135"/>
      <c r="PKL1015" s="135"/>
      <c r="PKM1015" s="135"/>
      <c r="PKN1015" s="135"/>
      <c r="PKO1015" s="135"/>
      <c r="PKP1015" s="135"/>
      <c r="PKQ1015" s="135"/>
      <c r="PKR1015" s="135"/>
      <c r="PKS1015" s="135"/>
      <c r="PKT1015" s="135"/>
      <c r="PKU1015" s="135"/>
      <c r="PKV1015" s="135"/>
      <c r="PKW1015" s="135"/>
      <c r="PKX1015" s="135"/>
      <c r="PKY1015" s="135"/>
      <c r="PKZ1015" s="135"/>
      <c r="PLA1015" s="135"/>
      <c r="PLB1015" s="135"/>
      <c r="PLC1015" s="135"/>
      <c r="PLD1015" s="135"/>
      <c r="PLE1015" s="135"/>
      <c r="PLF1015" s="135"/>
      <c r="PLG1015" s="135"/>
      <c r="PLH1015" s="135"/>
      <c r="PLI1015" s="135"/>
      <c r="PLJ1015" s="135"/>
      <c r="PLK1015" s="135"/>
      <c r="PLL1015" s="135"/>
      <c r="PLM1015" s="135"/>
      <c r="PLN1015" s="135"/>
      <c r="PLO1015" s="135"/>
      <c r="PLP1015" s="135"/>
      <c r="PLQ1015" s="135"/>
      <c r="PLR1015" s="135"/>
      <c r="PLS1015" s="135"/>
      <c r="PLT1015" s="135"/>
      <c r="PLU1015" s="135"/>
      <c r="PLV1015" s="135"/>
      <c r="PLW1015" s="135"/>
      <c r="PLX1015" s="135"/>
      <c r="PLY1015" s="135"/>
      <c r="PLZ1015" s="135"/>
      <c r="PMA1015" s="135"/>
      <c r="PMB1015" s="135"/>
      <c r="PMC1015" s="135"/>
      <c r="PMD1015" s="135"/>
      <c r="PME1015" s="135"/>
      <c r="PMF1015" s="135"/>
      <c r="PMG1015" s="135"/>
      <c r="PMH1015" s="135"/>
      <c r="PMI1015" s="135"/>
      <c r="PMJ1015" s="135"/>
      <c r="PMK1015" s="135"/>
      <c r="PML1015" s="135"/>
      <c r="PMM1015" s="135"/>
      <c r="PMN1015" s="135"/>
      <c r="PMO1015" s="135"/>
      <c r="PMP1015" s="135"/>
      <c r="PMQ1015" s="135"/>
      <c r="PMR1015" s="135"/>
      <c r="PMS1015" s="135"/>
      <c r="PMT1015" s="135"/>
      <c r="PMU1015" s="135"/>
      <c r="PMV1015" s="135"/>
      <c r="PMW1015" s="135"/>
      <c r="PMX1015" s="135"/>
      <c r="PMY1015" s="135"/>
      <c r="PMZ1015" s="135"/>
      <c r="PNA1015" s="135"/>
      <c r="PNB1015" s="135"/>
      <c r="PNC1015" s="135"/>
      <c r="PND1015" s="135"/>
      <c r="PNE1015" s="135"/>
      <c r="PNF1015" s="135"/>
      <c r="PNG1015" s="135"/>
      <c r="PNH1015" s="135"/>
      <c r="PNI1015" s="135"/>
      <c r="PNJ1015" s="135"/>
      <c r="PNK1015" s="135"/>
      <c r="PNL1015" s="135"/>
      <c r="PNM1015" s="135"/>
      <c r="PNN1015" s="135"/>
      <c r="PNO1015" s="135"/>
      <c r="PNP1015" s="135"/>
      <c r="PNQ1015" s="135"/>
      <c r="PNR1015" s="135"/>
      <c r="PNS1015" s="135"/>
      <c r="PNT1015" s="135"/>
      <c r="PNU1015" s="135"/>
      <c r="PNV1015" s="135"/>
      <c r="PNW1015" s="135"/>
      <c r="PNX1015" s="135"/>
      <c r="PNY1015" s="135"/>
      <c r="PNZ1015" s="135"/>
      <c r="POA1015" s="135"/>
      <c r="POB1015" s="135"/>
      <c r="POC1015" s="135"/>
      <c r="POD1015" s="135"/>
      <c r="POE1015" s="135"/>
      <c r="POF1015" s="135"/>
      <c r="POG1015" s="135"/>
      <c r="POH1015" s="135"/>
      <c r="POI1015" s="135"/>
      <c r="POJ1015" s="135"/>
      <c r="POK1015" s="135"/>
      <c r="POL1015" s="135"/>
      <c r="POM1015" s="135"/>
      <c r="PON1015" s="135"/>
      <c r="POO1015" s="135"/>
      <c r="POP1015" s="135"/>
      <c r="POQ1015" s="135"/>
      <c r="POR1015" s="135"/>
      <c r="POS1015" s="135"/>
      <c r="POT1015" s="135"/>
      <c r="POU1015" s="135"/>
      <c r="POV1015" s="135"/>
      <c r="POW1015" s="135"/>
      <c r="POX1015" s="135"/>
      <c r="POY1015" s="135"/>
      <c r="POZ1015" s="135"/>
      <c r="PPA1015" s="135"/>
      <c r="PPB1015" s="135"/>
      <c r="PPC1015" s="135"/>
      <c r="PPD1015" s="135"/>
      <c r="PPE1015" s="135"/>
      <c r="PPF1015" s="135"/>
      <c r="PPG1015" s="135"/>
      <c r="PPH1015" s="135"/>
      <c r="PPI1015" s="135"/>
      <c r="PPJ1015" s="135"/>
      <c r="PPK1015" s="135"/>
      <c r="PPL1015" s="135"/>
      <c r="PPM1015" s="135"/>
      <c r="PPN1015" s="135"/>
      <c r="PPO1015" s="135"/>
      <c r="PPP1015" s="135"/>
      <c r="PPQ1015" s="135"/>
      <c r="PPR1015" s="135"/>
      <c r="PPS1015" s="135"/>
      <c r="PPT1015" s="135"/>
      <c r="PPU1015" s="135"/>
      <c r="PPV1015" s="135"/>
      <c r="PPW1015" s="135"/>
      <c r="PPX1015" s="135"/>
      <c r="PPY1015" s="135"/>
      <c r="PPZ1015" s="135"/>
      <c r="PQA1015" s="135"/>
      <c r="PQB1015" s="135"/>
      <c r="PQC1015" s="135"/>
      <c r="PQD1015" s="135"/>
      <c r="PQE1015" s="135"/>
      <c r="PQF1015" s="135"/>
      <c r="PQG1015" s="135"/>
      <c r="PQH1015" s="135"/>
      <c r="PQI1015" s="135"/>
      <c r="PQJ1015" s="135"/>
      <c r="PQK1015" s="135"/>
      <c r="PQL1015" s="135"/>
      <c r="PQM1015" s="135"/>
      <c r="PQN1015" s="135"/>
      <c r="PQO1015" s="135"/>
      <c r="PQP1015" s="135"/>
      <c r="PQQ1015" s="135"/>
      <c r="PQR1015" s="135"/>
      <c r="PQS1015" s="135"/>
      <c r="PQT1015" s="135"/>
      <c r="PQU1015" s="135"/>
      <c r="PQV1015" s="135"/>
      <c r="PQW1015" s="135"/>
      <c r="PQX1015" s="135"/>
      <c r="PQY1015" s="135"/>
      <c r="PQZ1015" s="135"/>
      <c r="PRA1015" s="135"/>
      <c r="PRB1015" s="135"/>
      <c r="PRC1015" s="135"/>
      <c r="PRD1015" s="135"/>
      <c r="PRE1015" s="135"/>
      <c r="PRF1015" s="135"/>
      <c r="PRG1015" s="135"/>
      <c r="PRH1015" s="135"/>
      <c r="PRI1015" s="135"/>
      <c r="PRJ1015" s="135"/>
      <c r="PRK1015" s="135"/>
      <c r="PRL1015" s="135"/>
      <c r="PRM1015" s="135"/>
      <c r="PRN1015" s="135"/>
      <c r="PRO1015" s="135"/>
      <c r="PRP1015" s="135"/>
      <c r="PRQ1015" s="135"/>
      <c r="PRR1015" s="135"/>
      <c r="PRS1015" s="135"/>
      <c r="PRT1015" s="135"/>
      <c r="PRU1015" s="135"/>
      <c r="PRV1015" s="135"/>
      <c r="PRW1015" s="135"/>
      <c r="PRX1015" s="135"/>
      <c r="PRY1015" s="135"/>
      <c r="PRZ1015" s="135"/>
      <c r="PSA1015" s="135"/>
      <c r="PSB1015" s="135"/>
      <c r="PSC1015" s="135"/>
      <c r="PSD1015" s="135"/>
      <c r="PSE1015" s="135"/>
      <c r="PSF1015" s="135"/>
      <c r="PSG1015" s="135"/>
      <c r="PSH1015" s="135"/>
      <c r="PSI1015" s="135"/>
      <c r="PSJ1015" s="135"/>
      <c r="PSK1015" s="135"/>
      <c r="PSL1015" s="135"/>
      <c r="PSM1015" s="135"/>
      <c r="PSN1015" s="135"/>
      <c r="PSO1015" s="135"/>
      <c r="PSP1015" s="135"/>
      <c r="PSQ1015" s="135"/>
      <c r="PSR1015" s="135"/>
      <c r="PSS1015" s="135"/>
      <c r="PST1015" s="135"/>
      <c r="PSU1015" s="135"/>
      <c r="PSV1015" s="135"/>
      <c r="PSW1015" s="135"/>
      <c r="PSX1015" s="135"/>
      <c r="PSY1015" s="135"/>
      <c r="PSZ1015" s="135"/>
      <c r="PTA1015" s="135"/>
      <c r="PTB1015" s="135"/>
      <c r="PTC1015" s="135"/>
      <c r="PTD1015" s="135"/>
      <c r="PTE1015" s="135"/>
      <c r="PTF1015" s="135"/>
      <c r="PTG1015" s="135"/>
      <c r="PTH1015" s="135"/>
      <c r="PTI1015" s="135"/>
      <c r="PTJ1015" s="135"/>
      <c r="PTK1015" s="135"/>
      <c r="PTL1015" s="135"/>
      <c r="PTM1015" s="135"/>
      <c r="PTN1015" s="135"/>
      <c r="PTO1015" s="135"/>
      <c r="PTP1015" s="135"/>
      <c r="PTQ1015" s="135"/>
      <c r="PTR1015" s="135"/>
      <c r="PTS1015" s="135"/>
      <c r="PTT1015" s="135"/>
      <c r="PTU1015" s="135"/>
      <c r="PTV1015" s="135"/>
      <c r="PTW1015" s="135"/>
      <c r="PTX1015" s="135"/>
      <c r="PTY1015" s="135"/>
      <c r="PTZ1015" s="135"/>
      <c r="PUA1015" s="135"/>
      <c r="PUB1015" s="135"/>
      <c r="PUC1015" s="135"/>
      <c r="PUD1015" s="135"/>
      <c r="PUE1015" s="135"/>
      <c r="PUF1015" s="135"/>
      <c r="PUG1015" s="135"/>
      <c r="PUH1015" s="135"/>
      <c r="PUI1015" s="135"/>
      <c r="PUJ1015" s="135"/>
      <c r="PUK1015" s="135"/>
      <c r="PUL1015" s="135"/>
      <c r="PUM1015" s="135"/>
      <c r="PUN1015" s="135"/>
      <c r="PUO1015" s="135"/>
      <c r="PUP1015" s="135"/>
      <c r="PUQ1015" s="135"/>
      <c r="PUR1015" s="135"/>
      <c r="PUS1015" s="135"/>
      <c r="PUT1015" s="135"/>
      <c r="PUU1015" s="135"/>
      <c r="PUV1015" s="135"/>
      <c r="PUW1015" s="135"/>
      <c r="PUX1015" s="135"/>
      <c r="PUY1015" s="135"/>
      <c r="PUZ1015" s="135"/>
      <c r="PVA1015" s="135"/>
      <c r="PVB1015" s="135"/>
      <c r="PVC1015" s="135"/>
      <c r="PVD1015" s="135"/>
      <c r="PVE1015" s="135"/>
      <c r="PVF1015" s="135"/>
      <c r="PVG1015" s="135"/>
      <c r="PVH1015" s="135"/>
      <c r="PVI1015" s="135"/>
      <c r="PVJ1015" s="135"/>
      <c r="PVK1015" s="135"/>
      <c r="PVL1015" s="135"/>
      <c r="PVM1015" s="135"/>
      <c r="PVN1015" s="135"/>
      <c r="PVO1015" s="135"/>
      <c r="PVP1015" s="135"/>
      <c r="PVQ1015" s="135"/>
      <c r="PVR1015" s="135"/>
      <c r="PVS1015" s="135"/>
      <c r="PVT1015" s="135"/>
      <c r="PVU1015" s="135"/>
      <c r="PVV1015" s="135"/>
      <c r="PVW1015" s="135"/>
      <c r="PVX1015" s="135"/>
      <c r="PVY1015" s="135"/>
      <c r="PVZ1015" s="135"/>
      <c r="PWA1015" s="135"/>
      <c r="PWB1015" s="135"/>
      <c r="PWC1015" s="135"/>
      <c r="PWD1015" s="135"/>
      <c r="PWE1015" s="135"/>
      <c r="PWF1015" s="135"/>
      <c r="PWG1015" s="135"/>
      <c r="PWH1015" s="135"/>
      <c r="PWI1015" s="135"/>
      <c r="PWJ1015" s="135"/>
      <c r="PWK1015" s="135"/>
      <c r="PWL1015" s="135"/>
      <c r="PWM1015" s="135"/>
      <c r="PWN1015" s="135"/>
      <c r="PWO1015" s="135"/>
      <c r="PWP1015" s="135"/>
      <c r="PWQ1015" s="135"/>
      <c r="PWR1015" s="135"/>
      <c r="PWS1015" s="135"/>
      <c r="PWT1015" s="135"/>
      <c r="PWU1015" s="135"/>
      <c r="PWV1015" s="135"/>
      <c r="PWW1015" s="135"/>
      <c r="PWX1015" s="135"/>
      <c r="PWY1015" s="135"/>
      <c r="PWZ1015" s="135"/>
      <c r="PXA1015" s="135"/>
      <c r="PXB1015" s="135"/>
      <c r="PXC1015" s="135"/>
      <c r="PXD1015" s="135"/>
      <c r="PXE1015" s="135"/>
      <c r="PXF1015" s="135"/>
      <c r="PXG1015" s="135"/>
      <c r="PXH1015" s="135"/>
      <c r="PXI1015" s="135"/>
      <c r="PXJ1015" s="135"/>
      <c r="PXK1015" s="135"/>
      <c r="PXL1015" s="135"/>
      <c r="PXM1015" s="135"/>
      <c r="PXN1015" s="135"/>
      <c r="PXO1015" s="135"/>
      <c r="PXP1015" s="135"/>
      <c r="PXQ1015" s="135"/>
      <c r="PXR1015" s="135"/>
      <c r="PXS1015" s="135"/>
      <c r="PXT1015" s="135"/>
      <c r="PXU1015" s="135"/>
      <c r="PXV1015" s="135"/>
      <c r="PXW1015" s="135"/>
      <c r="PXX1015" s="135"/>
      <c r="PXY1015" s="135"/>
      <c r="PXZ1015" s="135"/>
      <c r="PYA1015" s="135"/>
      <c r="PYB1015" s="135"/>
      <c r="PYC1015" s="135"/>
      <c r="PYD1015" s="135"/>
      <c r="PYE1015" s="135"/>
      <c r="PYF1015" s="135"/>
      <c r="PYG1015" s="135"/>
      <c r="PYH1015" s="135"/>
      <c r="PYI1015" s="135"/>
      <c r="PYJ1015" s="135"/>
      <c r="PYK1015" s="135"/>
      <c r="PYL1015" s="135"/>
      <c r="PYM1015" s="135"/>
      <c r="PYN1015" s="135"/>
      <c r="PYO1015" s="135"/>
      <c r="PYP1015" s="135"/>
      <c r="PYQ1015" s="135"/>
      <c r="PYR1015" s="135"/>
      <c r="PYS1015" s="135"/>
      <c r="PYT1015" s="135"/>
      <c r="PYU1015" s="135"/>
      <c r="PYV1015" s="135"/>
      <c r="PYW1015" s="135"/>
      <c r="PYX1015" s="135"/>
      <c r="PYY1015" s="135"/>
      <c r="PYZ1015" s="135"/>
      <c r="PZA1015" s="135"/>
      <c r="PZB1015" s="135"/>
      <c r="PZC1015" s="135"/>
      <c r="PZD1015" s="135"/>
      <c r="PZE1015" s="135"/>
      <c r="PZF1015" s="135"/>
      <c r="PZG1015" s="135"/>
      <c r="PZH1015" s="135"/>
      <c r="PZI1015" s="135"/>
      <c r="PZJ1015" s="135"/>
      <c r="PZK1015" s="135"/>
      <c r="PZL1015" s="135"/>
      <c r="PZM1015" s="135"/>
      <c r="PZN1015" s="135"/>
      <c r="PZO1015" s="135"/>
      <c r="PZP1015" s="135"/>
      <c r="PZQ1015" s="135"/>
      <c r="PZR1015" s="135"/>
      <c r="PZS1015" s="135"/>
      <c r="PZT1015" s="135"/>
      <c r="PZU1015" s="135"/>
      <c r="PZV1015" s="135"/>
      <c r="PZW1015" s="135"/>
      <c r="PZX1015" s="135"/>
      <c r="PZY1015" s="135"/>
      <c r="PZZ1015" s="135"/>
      <c r="QAA1015" s="135"/>
      <c r="QAB1015" s="135"/>
      <c r="QAC1015" s="135"/>
      <c r="QAD1015" s="135"/>
      <c r="QAE1015" s="135"/>
      <c r="QAF1015" s="135"/>
      <c r="QAG1015" s="135"/>
      <c r="QAH1015" s="135"/>
      <c r="QAI1015" s="135"/>
      <c r="QAJ1015" s="135"/>
      <c r="QAK1015" s="135"/>
      <c r="QAL1015" s="135"/>
      <c r="QAM1015" s="135"/>
      <c r="QAN1015" s="135"/>
      <c r="QAO1015" s="135"/>
      <c r="QAP1015" s="135"/>
      <c r="QAQ1015" s="135"/>
      <c r="QAR1015" s="135"/>
      <c r="QAS1015" s="135"/>
      <c r="QAT1015" s="135"/>
      <c r="QAU1015" s="135"/>
      <c r="QAV1015" s="135"/>
      <c r="QAW1015" s="135"/>
      <c r="QAX1015" s="135"/>
      <c r="QAY1015" s="135"/>
      <c r="QAZ1015" s="135"/>
      <c r="QBA1015" s="135"/>
      <c r="QBB1015" s="135"/>
      <c r="QBC1015" s="135"/>
      <c r="QBD1015" s="135"/>
      <c r="QBE1015" s="135"/>
      <c r="QBF1015" s="135"/>
      <c r="QBG1015" s="135"/>
      <c r="QBH1015" s="135"/>
      <c r="QBI1015" s="135"/>
      <c r="QBJ1015" s="135"/>
      <c r="QBK1015" s="135"/>
      <c r="QBL1015" s="135"/>
      <c r="QBM1015" s="135"/>
      <c r="QBN1015" s="135"/>
      <c r="QBO1015" s="135"/>
      <c r="QBP1015" s="135"/>
      <c r="QBQ1015" s="135"/>
      <c r="QBR1015" s="135"/>
      <c r="QBS1015" s="135"/>
      <c r="QBT1015" s="135"/>
      <c r="QBU1015" s="135"/>
      <c r="QBV1015" s="135"/>
      <c r="QBW1015" s="135"/>
      <c r="QBX1015" s="135"/>
      <c r="QBY1015" s="135"/>
      <c r="QBZ1015" s="135"/>
      <c r="QCA1015" s="135"/>
      <c r="QCB1015" s="135"/>
      <c r="QCC1015" s="135"/>
      <c r="QCD1015" s="135"/>
      <c r="QCE1015" s="135"/>
      <c r="QCF1015" s="135"/>
      <c r="QCG1015" s="135"/>
      <c r="QCH1015" s="135"/>
      <c r="QCI1015" s="135"/>
      <c r="QCJ1015" s="135"/>
      <c r="QCK1015" s="135"/>
      <c r="QCL1015" s="135"/>
      <c r="QCM1015" s="135"/>
      <c r="QCN1015" s="135"/>
      <c r="QCO1015" s="135"/>
      <c r="QCP1015" s="135"/>
      <c r="QCQ1015" s="135"/>
      <c r="QCR1015" s="135"/>
      <c r="QCS1015" s="135"/>
      <c r="QCT1015" s="135"/>
      <c r="QCU1015" s="135"/>
      <c r="QCV1015" s="135"/>
      <c r="QCW1015" s="135"/>
      <c r="QCX1015" s="135"/>
      <c r="QCY1015" s="135"/>
      <c r="QCZ1015" s="135"/>
      <c r="QDA1015" s="135"/>
      <c r="QDB1015" s="135"/>
      <c r="QDC1015" s="135"/>
      <c r="QDD1015" s="135"/>
      <c r="QDE1015" s="135"/>
      <c r="QDF1015" s="135"/>
      <c r="QDG1015" s="135"/>
      <c r="QDH1015" s="135"/>
      <c r="QDI1015" s="135"/>
      <c r="QDJ1015" s="135"/>
      <c r="QDK1015" s="135"/>
      <c r="QDL1015" s="135"/>
      <c r="QDM1015" s="135"/>
      <c r="QDN1015" s="135"/>
      <c r="QDO1015" s="135"/>
      <c r="QDP1015" s="135"/>
      <c r="QDQ1015" s="135"/>
      <c r="QDR1015" s="135"/>
      <c r="QDS1015" s="135"/>
      <c r="QDT1015" s="135"/>
      <c r="QDU1015" s="135"/>
      <c r="QDV1015" s="135"/>
      <c r="QDW1015" s="135"/>
      <c r="QDX1015" s="135"/>
      <c r="QDY1015" s="135"/>
      <c r="QDZ1015" s="135"/>
      <c r="QEA1015" s="135"/>
      <c r="QEB1015" s="135"/>
      <c r="QEC1015" s="135"/>
      <c r="QED1015" s="135"/>
      <c r="QEE1015" s="135"/>
      <c r="QEF1015" s="135"/>
      <c r="QEG1015" s="135"/>
      <c r="QEH1015" s="135"/>
      <c r="QEI1015" s="135"/>
      <c r="QEJ1015" s="135"/>
      <c r="QEK1015" s="135"/>
      <c r="QEL1015" s="135"/>
      <c r="QEM1015" s="135"/>
      <c r="QEN1015" s="135"/>
      <c r="QEO1015" s="135"/>
      <c r="QEP1015" s="135"/>
      <c r="QEQ1015" s="135"/>
      <c r="QER1015" s="135"/>
      <c r="QES1015" s="135"/>
      <c r="QET1015" s="135"/>
      <c r="QEU1015" s="135"/>
      <c r="QEV1015" s="135"/>
      <c r="QEW1015" s="135"/>
      <c r="QEX1015" s="135"/>
      <c r="QEY1015" s="135"/>
      <c r="QEZ1015" s="135"/>
      <c r="QFA1015" s="135"/>
      <c r="QFB1015" s="135"/>
      <c r="QFC1015" s="135"/>
      <c r="QFD1015" s="135"/>
      <c r="QFE1015" s="135"/>
      <c r="QFF1015" s="135"/>
      <c r="QFG1015" s="135"/>
      <c r="QFH1015" s="135"/>
      <c r="QFI1015" s="135"/>
      <c r="QFJ1015" s="135"/>
      <c r="QFK1015" s="135"/>
      <c r="QFL1015" s="135"/>
      <c r="QFM1015" s="135"/>
      <c r="QFN1015" s="135"/>
      <c r="QFO1015" s="135"/>
      <c r="QFP1015" s="135"/>
      <c r="QFQ1015" s="135"/>
      <c r="QFR1015" s="135"/>
      <c r="QFS1015" s="135"/>
      <c r="QFT1015" s="135"/>
      <c r="QFU1015" s="135"/>
      <c r="QFV1015" s="135"/>
      <c r="QFW1015" s="135"/>
      <c r="QFX1015" s="135"/>
      <c r="QFY1015" s="135"/>
      <c r="QFZ1015" s="135"/>
      <c r="QGA1015" s="135"/>
      <c r="QGB1015" s="135"/>
      <c r="QGC1015" s="135"/>
      <c r="QGD1015" s="135"/>
      <c r="QGE1015" s="135"/>
      <c r="QGF1015" s="135"/>
      <c r="QGG1015" s="135"/>
      <c r="QGH1015" s="135"/>
      <c r="QGI1015" s="135"/>
      <c r="QGJ1015" s="135"/>
      <c r="QGK1015" s="135"/>
      <c r="QGL1015" s="135"/>
      <c r="QGM1015" s="135"/>
      <c r="QGN1015" s="135"/>
      <c r="QGO1015" s="135"/>
      <c r="QGP1015" s="135"/>
      <c r="QGQ1015" s="135"/>
      <c r="QGR1015" s="135"/>
      <c r="QGS1015" s="135"/>
      <c r="QGT1015" s="135"/>
      <c r="QGU1015" s="135"/>
      <c r="QGV1015" s="135"/>
      <c r="QGW1015" s="135"/>
      <c r="QGX1015" s="135"/>
      <c r="QGY1015" s="135"/>
      <c r="QGZ1015" s="135"/>
      <c r="QHA1015" s="135"/>
      <c r="QHB1015" s="135"/>
      <c r="QHC1015" s="135"/>
      <c r="QHD1015" s="135"/>
      <c r="QHE1015" s="135"/>
      <c r="QHF1015" s="135"/>
      <c r="QHG1015" s="135"/>
      <c r="QHH1015" s="135"/>
      <c r="QHI1015" s="135"/>
      <c r="QHJ1015" s="135"/>
      <c r="QHK1015" s="135"/>
      <c r="QHL1015" s="135"/>
      <c r="QHM1015" s="135"/>
      <c r="QHN1015" s="135"/>
      <c r="QHO1015" s="135"/>
      <c r="QHP1015" s="135"/>
      <c r="QHQ1015" s="135"/>
      <c r="QHR1015" s="135"/>
      <c r="QHS1015" s="135"/>
      <c r="QHT1015" s="135"/>
      <c r="QHU1015" s="135"/>
      <c r="QHV1015" s="135"/>
      <c r="QHW1015" s="135"/>
      <c r="QHX1015" s="135"/>
      <c r="QHY1015" s="135"/>
      <c r="QHZ1015" s="135"/>
      <c r="QIA1015" s="135"/>
      <c r="QIB1015" s="135"/>
      <c r="QIC1015" s="135"/>
      <c r="QID1015" s="135"/>
      <c r="QIE1015" s="135"/>
      <c r="QIF1015" s="135"/>
      <c r="QIG1015" s="135"/>
      <c r="QIH1015" s="135"/>
      <c r="QII1015" s="135"/>
      <c r="QIJ1015" s="135"/>
      <c r="QIK1015" s="135"/>
      <c r="QIL1015" s="135"/>
      <c r="QIM1015" s="135"/>
      <c r="QIN1015" s="135"/>
      <c r="QIO1015" s="135"/>
      <c r="QIP1015" s="135"/>
      <c r="QIQ1015" s="135"/>
      <c r="QIR1015" s="135"/>
      <c r="QIS1015" s="135"/>
      <c r="QIT1015" s="135"/>
      <c r="QIU1015" s="135"/>
      <c r="QIV1015" s="135"/>
      <c r="QIW1015" s="135"/>
      <c r="QIX1015" s="135"/>
      <c r="QIY1015" s="135"/>
      <c r="QIZ1015" s="135"/>
      <c r="QJA1015" s="135"/>
      <c r="QJB1015" s="135"/>
      <c r="QJC1015" s="135"/>
      <c r="QJD1015" s="135"/>
      <c r="QJE1015" s="135"/>
      <c r="QJF1015" s="135"/>
      <c r="QJG1015" s="135"/>
      <c r="QJH1015" s="135"/>
      <c r="QJI1015" s="135"/>
      <c r="QJJ1015" s="135"/>
      <c r="QJK1015" s="135"/>
      <c r="QJL1015" s="135"/>
      <c r="QJM1015" s="135"/>
      <c r="QJN1015" s="135"/>
      <c r="QJO1015" s="135"/>
      <c r="QJP1015" s="135"/>
      <c r="QJQ1015" s="135"/>
      <c r="QJR1015" s="135"/>
      <c r="QJS1015" s="135"/>
      <c r="QJT1015" s="135"/>
      <c r="QJU1015" s="135"/>
      <c r="QJV1015" s="135"/>
      <c r="QJW1015" s="135"/>
      <c r="QJX1015" s="135"/>
      <c r="QJY1015" s="135"/>
      <c r="QJZ1015" s="135"/>
      <c r="QKA1015" s="135"/>
      <c r="QKB1015" s="135"/>
      <c r="QKC1015" s="135"/>
      <c r="QKD1015" s="135"/>
      <c r="QKE1015" s="135"/>
      <c r="QKF1015" s="135"/>
      <c r="QKG1015" s="135"/>
      <c r="QKH1015" s="135"/>
      <c r="QKI1015" s="135"/>
      <c r="QKJ1015" s="135"/>
      <c r="QKK1015" s="135"/>
      <c r="QKL1015" s="135"/>
      <c r="QKM1015" s="135"/>
      <c r="QKN1015" s="135"/>
      <c r="QKO1015" s="135"/>
      <c r="QKP1015" s="135"/>
      <c r="QKQ1015" s="135"/>
      <c r="QKR1015" s="135"/>
      <c r="QKS1015" s="135"/>
      <c r="QKT1015" s="135"/>
      <c r="QKU1015" s="135"/>
      <c r="QKV1015" s="135"/>
      <c r="QKW1015" s="135"/>
      <c r="QKX1015" s="135"/>
      <c r="QKY1015" s="135"/>
      <c r="QKZ1015" s="135"/>
      <c r="QLA1015" s="135"/>
      <c r="QLB1015" s="135"/>
      <c r="QLC1015" s="135"/>
      <c r="QLD1015" s="135"/>
      <c r="QLE1015" s="135"/>
      <c r="QLF1015" s="135"/>
      <c r="QLG1015" s="135"/>
      <c r="QLH1015" s="135"/>
      <c r="QLI1015" s="135"/>
      <c r="QLJ1015" s="135"/>
      <c r="QLK1015" s="135"/>
      <c r="QLL1015" s="135"/>
      <c r="QLM1015" s="135"/>
      <c r="QLN1015" s="135"/>
      <c r="QLO1015" s="135"/>
      <c r="QLP1015" s="135"/>
      <c r="QLQ1015" s="135"/>
      <c r="QLR1015" s="135"/>
      <c r="QLS1015" s="135"/>
      <c r="QLT1015" s="135"/>
      <c r="QLU1015" s="135"/>
      <c r="QLV1015" s="135"/>
      <c r="QLW1015" s="135"/>
      <c r="QLX1015" s="135"/>
      <c r="QLY1015" s="135"/>
      <c r="QLZ1015" s="135"/>
      <c r="QMA1015" s="135"/>
      <c r="QMB1015" s="135"/>
      <c r="QMC1015" s="135"/>
      <c r="QMD1015" s="135"/>
      <c r="QME1015" s="135"/>
      <c r="QMF1015" s="135"/>
      <c r="QMG1015" s="135"/>
      <c r="QMH1015" s="135"/>
      <c r="QMI1015" s="135"/>
      <c r="QMJ1015" s="135"/>
      <c r="QMK1015" s="135"/>
      <c r="QML1015" s="135"/>
      <c r="QMM1015" s="135"/>
      <c r="QMN1015" s="135"/>
      <c r="QMO1015" s="135"/>
      <c r="QMP1015" s="135"/>
      <c r="QMQ1015" s="135"/>
      <c r="QMR1015" s="135"/>
      <c r="QMS1015" s="135"/>
      <c r="QMT1015" s="135"/>
      <c r="QMU1015" s="135"/>
      <c r="QMV1015" s="135"/>
      <c r="QMW1015" s="135"/>
      <c r="QMX1015" s="135"/>
      <c r="QMY1015" s="135"/>
      <c r="QMZ1015" s="135"/>
      <c r="QNA1015" s="135"/>
      <c r="QNB1015" s="135"/>
      <c r="QNC1015" s="135"/>
      <c r="QND1015" s="135"/>
      <c r="QNE1015" s="135"/>
      <c r="QNF1015" s="135"/>
      <c r="QNG1015" s="135"/>
      <c r="QNH1015" s="135"/>
      <c r="QNI1015" s="135"/>
      <c r="QNJ1015" s="135"/>
      <c r="QNK1015" s="135"/>
      <c r="QNL1015" s="135"/>
      <c r="QNM1015" s="135"/>
      <c r="QNN1015" s="135"/>
      <c r="QNO1015" s="135"/>
      <c r="QNP1015" s="135"/>
      <c r="QNQ1015" s="135"/>
      <c r="QNR1015" s="135"/>
      <c r="QNS1015" s="135"/>
      <c r="QNT1015" s="135"/>
      <c r="QNU1015" s="135"/>
      <c r="QNV1015" s="135"/>
      <c r="QNW1015" s="135"/>
      <c r="QNX1015" s="135"/>
      <c r="QNY1015" s="135"/>
      <c r="QNZ1015" s="135"/>
      <c r="QOA1015" s="135"/>
      <c r="QOB1015" s="135"/>
      <c r="QOC1015" s="135"/>
      <c r="QOD1015" s="135"/>
      <c r="QOE1015" s="135"/>
      <c r="QOF1015" s="135"/>
      <c r="QOG1015" s="135"/>
      <c r="QOH1015" s="135"/>
      <c r="QOI1015" s="135"/>
      <c r="QOJ1015" s="135"/>
      <c r="QOK1015" s="135"/>
      <c r="QOL1015" s="135"/>
      <c r="QOM1015" s="135"/>
      <c r="QON1015" s="135"/>
      <c r="QOO1015" s="135"/>
      <c r="QOP1015" s="135"/>
      <c r="QOQ1015" s="135"/>
      <c r="QOR1015" s="135"/>
      <c r="QOS1015" s="135"/>
      <c r="QOT1015" s="135"/>
      <c r="QOU1015" s="135"/>
      <c r="QOV1015" s="135"/>
      <c r="QOW1015" s="135"/>
      <c r="QOX1015" s="135"/>
      <c r="QOY1015" s="135"/>
      <c r="QOZ1015" s="135"/>
      <c r="QPA1015" s="135"/>
      <c r="QPB1015" s="135"/>
      <c r="QPC1015" s="135"/>
      <c r="QPD1015" s="135"/>
      <c r="QPE1015" s="135"/>
      <c r="QPF1015" s="135"/>
      <c r="QPG1015" s="135"/>
      <c r="QPH1015" s="135"/>
      <c r="QPI1015" s="135"/>
      <c r="QPJ1015" s="135"/>
      <c r="QPK1015" s="135"/>
      <c r="QPL1015" s="135"/>
      <c r="QPM1015" s="135"/>
      <c r="QPN1015" s="135"/>
      <c r="QPO1015" s="135"/>
      <c r="QPP1015" s="135"/>
      <c r="QPQ1015" s="135"/>
      <c r="QPR1015" s="135"/>
      <c r="QPS1015" s="135"/>
      <c r="QPT1015" s="135"/>
      <c r="QPU1015" s="135"/>
      <c r="QPV1015" s="135"/>
      <c r="QPW1015" s="135"/>
      <c r="QPX1015" s="135"/>
      <c r="QPY1015" s="135"/>
      <c r="QPZ1015" s="135"/>
      <c r="QQA1015" s="135"/>
      <c r="QQB1015" s="135"/>
      <c r="QQC1015" s="135"/>
      <c r="QQD1015" s="135"/>
      <c r="QQE1015" s="135"/>
      <c r="QQF1015" s="135"/>
      <c r="QQG1015" s="135"/>
      <c r="QQH1015" s="135"/>
      <c r="QQI1015" s="135"/>
      <c r="QQJ1015" s="135"/>
      <c r="QQK1015" s="135"/>
      <c r="QQL1015" s="135"/>
      <c r="QQM1015" s="135"/>
      <c r="QQN1015" s="135"/>
      <c r="QQO1015" s="135"/>
      <c r="QQP1015" s="135"/>
      <c r="QQQ1015" s="135"/>
      <c r="QQR1015" s="135"/>
      <c r="QQS1015" s="135"/>
      <c r="QQT1015" s="135"/>
      <c r="QQU1015" s="135"/>
      <c r="QQV1015" s="135"/>
      <c r="QQW1015" s="135"/>
      <c r="QQX1015" s="135"/>
      <c r="QQY1015" s="135"/>
      <c r="QQZ1015" s="135"/>
      <c r="QRA1015" s="135"/>
      <c r="QRB1015" s="135"/>
      <c r="QRC1015" s="135"/>
      <c r="QRD1015" s="135"/>
      <c r="QRE1015" s="135"/>
      <c r="QRF1015" s="135"/>
      <c r="QRG1015" s="135"/>
      <c r="QRH1015" s="135"/>
      <c r="QRI1015" s="135"/>
      <c r="QRJ1015" s="135"/>
      <c r="QRK1015" s="135"/>
      <c r="QRL1015" s="135"/>
      <c r="QRM1015" s="135"/>
      <c r="QRN1015" s="135"/>
      <c r="QRO1015" s="135"/>
      <c r="QRP1015" s="135"/>
      <c r="QRQ1015" s="135"/>
      <c r="QRR1015" s="135"/>
      <c r="QRS1015" s="135"/>
      <c r="QRT1015" s="135"/>
      <c r="QRU1015" s="135"/>
      <c r="QRV1015" s="135"/>
      <c r="QRW1015" s="135"/>
      <c r="QRX1015" s="135"/>
      <c r="QRY1015" s="135"/>
      <c r="QRZ1015" s="135"/>
      <c r="QSA1015" s="135"/>
      <c r="QSB1015" s="135"/>
      <c r="QSC1015" s="135"/>
      <c r="QSD1015" s="135"/>
      <c r="QSE1015" s="135"/>
      <c r="QSF1015" s="135"/>
      <c r="QSG1015" s="135"/>
      <c r="QSH1015" s="135"/>
      <c r="QSI1015" s="135"/>
      <c r="QSJ1015" s="135"/>
      <c r="QSK1015" s="135"/>
      <c r="QSL1015" s="135"/>
      <c r="QSM1015" s="135"/>
      <c r="QSN1015" s="135"/>
      <c r="QSO1015" s="135"/>
      <c r="QSP1015" s="135"/>
      <c r="QSQ1015" s="135"/>
      <c r="QSR1015" s="135"/>
      <c r="QSS1015" s="135"/>
      <c r="QST1015" s="135"/>
      <c r="QSU1015" s="135"/>
      <c r="QSV1015" s="135"/>
      <c r="QSW1015" s="135"/>
      <c r="QSX1015" s="135"/>
      <c r="QSY1015" s="135"/>
      <c r="QSZ1015" s="135"/>
      <c r="QTA1015" s="135"/>
      <c r="QTB1015" s="135"/>
      <c r="QTC1015" s="135"/>
      <c r="QTD1015" s="135"/>
      <c r="QTE1015" s="135"/>
      <c r="QTF1015" s="135"/>
      <c r="QTG1015" s="135"/>
      <c r="QTH1015" s="135"/>
      <c r="QTI1015" s="135"/>
      <c r="QTJ1015" s="135"/>
      <c r="QTK1015" s="135"/>
      <c r="QTL1015" s="135"/>
      <c r="QTM1015" s="135"/>
      <c r="QTN1015" s="135"/>
      <c r="QTO1015" s="135"/>
      <c r="QTP1015" s="135"/>
      <c r="QTQ1015" s="135"/>
      <c r="QTR1015" s="135"/>
      <c r="QTS1015" s="135"/>
      <c r="QTT1015" s="135"/>
      <c r="QTU1015" s="135"/>
      <c r="QTV1015" s="135"/>
      <c r="QTW1015" s="135"/>
      <c r="QTX1015" s="135"/>
      <c r="QTY1015" s="135"/>
      <c r="QTZ1015" s="135"/>
      <c r="QUA1015" s="135"/>
      <c r="QUB1015" s="135"/>
      <c r="QUC1015" s="135"/>
      <c r="QUD1015" s="135"/>
      <c r="QUE1015" s="135"/>
      <c r="QUF1015" s="135"/>
      <c r="QUG1015" s="135"/>
      <c r="QUH1015" s="135"/>
      <c r="QUI1015" s="135"/>
      <c r="QUJ1015" s="135"/>
      <c r="QUK1015" s="135"/>
      <c r="QUL1015" s="135"/>
      <c r="QUM1015" s="135"/>
      <c r="QUN1015" s="135"/>
      <c r="QUO1015" s="135"/>
      <c r="QUP1015" s="135"/>
      <c r="QUQ1015" s="135"/>
      <c r="QUR1015" s="135"/>
      <c r="QUS1015" s="135"/>
      <c r="QUT1015" s="135"/>
      <c r="QUU1015" s="135"/>
      <c r="QUV1015" s="135"/>
      <c r="QUW1015" s="135"/>
      <c r="QUX1015" s="135"/>
      <c r="QUY1015" s="135"/>
      <c r="QUZ1015" s="135"/>
      <c r="QVA1015" s="135"/>
      <c r="QVB1015" s="135"/>
      <c r="QVC1015" s="135"/>
      <c r="QVD1015" s="135"/>
      <c r="QVE1015" s="135"/>
      <c r="QVF1015" s="135"/>
      <c r="QVG1015" s="135"/>
      <c r="QVH1015" s="135"/>
      <c r="QVI1015" s="135"/>
      <c r="QVJ1015" s="135"/>
      <c r="QVK1015" s="135"/>
      <c r="QVL1015" s="135"/>
      <c r="QVM1015" s="135"/>
      <c r="QVN1015" s="135"/>
      <c r="QVO1015" s="135"/>
      <c r="QVP1015" s="135"/>
      <c r="QVQ1015" s="135"/>
      <c r="QVR1015" s="135"/>
      <c r="QVS1015" s="135"/>
      <c r="QVT1015" s="135"/>
      <c r="QVU1015" s="135"/>
      <c r="QVV1015" s="135"/>
      <c r="QVW1015" s="135"/>
      <c r="QVX1015" s="135"/>
      <c r="QVY1015" s="135"/>
      <c r="QVZ1015" s="135"/>
      <c r="QWA1015" s="135"/>
      <c r="QWB1015" s="135"/>
      <c r="QWC1015" s="135"/>
      <c r="QWD1015" s="135"/>
      <c r="QWE1015" s="135"/>
      <c r="QWF1015" s="135"/>
      <c r="QWG1015" s="135"/>
      <c r="QWH1015" s="135"/>
      <c r="QWI1015" s="135"/>
      <c r="QWJ1015" s="135"/>
      <c r="QWK1015" s="135"/>
      <c r="QWL1015" s="135"/>
      <c r="QWM1015" s="135"/>
      <c r="QWN1015" s="135"/>
      <c r="QWO1015" s="135"/>
      <c r="QWP1015" s="135"/>
      <c r="QWQ1015" s="135"/>
      <c r="QWR1015" s="135"/>
      <c r="QWS1015" s="135"/>
      <c r="QWT1015" s="135"/>
      <c r="QWU1015" s="135"/>
      <c r="QWV1015" s="135"/>
      <c r="QWW1015" s="135"/>
      <c r="QWX1015" s="135"/>
      <c r="QWY1015" s="135"/>
      <c r="QWZ1015" s="135"/>
      <c r="QXA1015" s="135"/>
      <c r="QXB1015" s="135"/>
      <c r="QXC1015" s="135"/>
      <c r="QXD1015" s="135"/>
      <c r="QXE1015" s="135"/>
      <c r="QXF1015" s="135"/>
      <c r="QXG1015" s="135"/>
      <c r="QXH1015" s="135"/>
      <c r="QXI1015" s="135"/>
      <c r="QXJ1015" s="135"/>
      <c r="QXK1015" s="135"/>
      <c r="QXL1015" s="135"/>
      <c r="QXM1015" s="135"/>
      <c r="QXN1015" s="135"/>
      <c r="QXO1015" s="135"/>
      <c r="QXP1015" s="135"/>
      <c r="QXQ1015" s="135"/>
      <c r="QXR1015" s="135"/>
      <c r="QXS1015" s="135"/>
      <c r="QXT1015" s="135"/>
      <c r="QXU1015" s="135"/>
      <c r="QXV1015" s="135"/>
      <c r="QXW1015" s="135"/>
      <c r="QXX1015" s="135"/>
      <c r="QXY1015" s="135"/>
      <c r="QXZ1015" s="135"/>
      <c r="QYA1015" s="135"/>
      <c r="QYB1015" s="135"/>
      <c r="QYC1015" s="135"/>
      <c r="QYD1015" s="135"/>
      <c r="QYE1015" s="135"/>
      <c r="QYF1015" s="135"/>
      <c r="QYG1015" s="135"/>
      <c r="QYH1015" s="135"/>
      <c r="QYI1015" s="135"/>
      <c r="QYJ1015" s="135"/>
      <c r="QYK1015" s="135"/>
      <c r="QYL1015" s="135"/>
      <c r="QYM1015" s="135"/>
      <c r="QYN1015" s="135"/>
      <c r="QYO1015" s="135"/>
      <c r="QYP1015" s="135"/>
      <c r="QYQ1015" s="135"/>
      <c r="QYR1015" s="135"/>
      <c r="QYS1015" s="135"/>
      <c r="QYT1015" s="135"/>
      <c r="QYU1015" s="135"/>
      <c r="QYV1015" s="135"/>
      <c r="QYW1015" s="135"/>
      <c r="QYX1015" s="135"/>
      <c r="QYY1015" s="135"/>
      <c r="QYZ1015" s="135"/>
      <c r="QZA1015" s="135"/>
      <c r="QZB1015" s="135"/>
      <c r="QZC1015" s="135"/>
      <c r="QZD1015" s="135"/>
      <c r="QZE1015" s="135"/>
      <c r="QZF1015" s="135"/>
      <c r="QZG1015" s="135"/>
      <c r="QZH1015" s="135"/>
      <c r="QZI1015" s="135"/>
      <c r="QZJ1015" s="135"/>
      <c r="QZK1015" s="135"/>
      <c r="QZL1015" s="135"/>
      <c r="QZM1015" s="135"/>
      <c r="QZN1015" s="135"/>
      <c r="QZO1015" s="135"/>
      <c r="QZP1015" s="135"/>
      <c r="QZQ1015" s="135"/>
      <c r="QZR1015" s="135"/>
      <c r="QZS1015" s="135"/>
      <c r="QZT1015" s="135"/>
      <c r="QZU1015" s="135"/>
      <c r="QZV1015" s="135"/>
      <c r="QZW1015" s="135"/>
      <c r="QZX1015" s="135"/>
      <c r="QZY1015" s="135"/>
      <c r="QZZ1015" s="135"/>
      <c r="RAA1015" s="135"/>
      <c r="RAB1015" s="135"/>
      <c r="RAC1015" s="135"/>
      <c r="RAD1015" s="135"/>
      <c r="RAE1015" s="135"/>
      <c r="RAF1015" s="135"/>
      <c r="RAG1015" s="135"/>
      <c r="RAH1015" s="135"/>
      <c r="RAI1015" s="135"/>
      <c r="RAJ1015" s="135"/>
      <c r="RAK1015" s="135"/>
      <c r="RAL1015" s="135"/>
      <c r="RAM1015" s="135"/>
      <c r="RAN1015" s="135"/>
      <c r="RAO1015" s="135"/>
      <c r="RAP1015" s="135"/>
      <c r="RAQ1015" s="135"/>
      <c r="RAR1015" s="135"/>
      <c r="RAS1015" s="135"/>
      <c r="RAT1015" s="135"/>
      <c r="RAU1015" s="135"/>
      <c r="RAV1015" s="135"/>
      <c r="RAW1015" s="135"/>
      <c r="RAX1015" s="135"/>
      <c r="RAY1015" s="135"/>
      <c r="RAZ1015" s="135"/>
      <c r="RBA1015" s="135"/>
      <c r="RBB1015" s="135"/>
      <c r="RBC1015" s="135"/>
      <c r="RBD1015" s="135"/>
      <c r="RBE1015" s="135"/>
      <c r="RBF1015" s="135"/>
      <c r="RBG1015" s="135"/>
      <c r="RBH1015" s="135"/>
      <c r="RBI1015" s="135"/>
      <c r="RBJ1015" s="135"/>
      <c r="RBK1015" s="135"/>
      <c r="RBL1015" s="135"/>
      <c r="RBM1015" s="135"/>
      <c r="RBN1015" s="135"/>
      <c r="RBO1015" s="135"/>
      <c r="RBP1015" s="135"/>
      <c r="RBQ1015" s="135"/>
      <c r="RBR1015" s="135"/>
      <c r="RBS1015" s="135"/>
      <c r="RBT1015" s="135"/>
      <c r="RBU1015" s="135"/>
      <c r="RBV1015" s="135"/>
      <c r="RBW1015" s="135"/>
      <c r="RBX1015" s="135"/>
      <c r="RBY1015" s="135"/>
      <c r="RBZ1015" s="135"/>
      <c r="RCA1015" s="135"/>
      <c r="RCB1015" s="135"/>
      <c r="RCC1015" s="135"/>
      <c r="RCD1015" s="135"/>
      <c r="RCE1015" s="135"/>
      <c r="RCF1015" s="135"/>
      <c r="RCG1015" s="135"/>
      <c r="RCH1015" s="135"/>
      <c r="RCI1015" s="135"/>
      <c r="RCJ1015" s="135"/>
      <c r="RCK1015" s="135"/>
      <c r="RCL1015" s="135"/>
      <c r="RCM1015" s="135"/>
      <c r="RCN1015" s="135"/>
      <c r="RCO1015" s="135"/>
      <c r="RCP1015" s="135"/>
      <c r="RCQ1015" s="135"/>
      <c r="RCR1015" s="135"/>
      <c r="RCS1015" s="135"/>
      <c r="RCT1015" s="135"/>
      <c r="RCU1015" s="135"/>
      <c r="RCV1015" s="135"/>
      <c r="RCW1015" s="135"/>
      <c r="RCX1015" s="135"/>
      <c r="RCY1015" s="135"/>
      <c r="RCZ1015" s="135"/>
      <c r="RDA1015" s="135"/>
      <c r="RDB1015" s="135"/>
      <c r="RDC1015" s="135"/>
      <c r="RDD1015" s="135"/>
      <c r="RDE1015" s="135"/>
      <c r="RDF1015" s="135"/>
      <c r="RDG1015" s="135"/>
      <c r="RDH1015" s="135"/>
      <c r="RDI1015" s="135"/>
      <c r="RDJ1015" s="135"/>
      <c r="RDK1015" s="135"/>
      <c r="RDL1015" s="135"/>
      <c r="RDM1015" s="135"/>
      <c r="RDN1015" s="135"/>
      <c r="RDO1015" s="135"/>
      <c r="RDP1015" s="135"/>
      <c r="RDQ1015" s="135"/>
      <c r="RDR1015" s="135"/>
      <c r="RDS1015" s="135"/>
      <c r="RDT1015" s="135"/>
      <c r="RDU1015" s="135"/>
      <c r="RDV1015" s="135"/>
      <c r="RDW1015" s="135"/>
      <c r="RDX1015" s="135"/>
      <c r="RDY1015" s="135"/>
      <c r="RDZ1015" s="135"/>
      <c r="REA1015" s="135"/>
      <c r="REB1015" s="135"/>
      <c r="REC1015" s="135"/>
      <c r="RED1015" s="135"/>
      <c r="REE1015" s="135"/>
      <c r="REF1015" s="135"/>
      <c r="REG1015" s="135"/>
      <c r="REH1015" s="135"/>
      <c r="REI1015" s="135"/>
      <c r="REJ1015" s="135"/>
      <c r="REK1015" s="135"/>
      <c r="REL1015" s="135"/>
      <c r="REM1015" s="135"/>
      <c r="REN1015" s="135"/>
      <c r="REO1015" s="135"/>
      <c r="REP1015" s="135"/>
      <c r="REQ1015" s="135"/>
      <c r="RER1015" s="135"/>
      <c r="RES1015" s="135"/>
      <c r="RET1015" s="135"/>
      <c r="REU1015" s="135"/>
      <c r="REV1015" s="135"/>
      <c r="REW1015" s="135"/>
      <c r="REX1015" s="135"/>
      <c r="REY1015" s="135"/>
      <c r="REZ1015" s="135"/>
      <c r="RFA1015" s="135"/>
      <c r="RFB1015" s="135"/>
      <c r="RFC1015" s="135"/>
      <c r="RFD1015" s="135"/>
      <c r="RFE1015" s="135"/>
      <c r="RFF1015" s="135"/>
      <c r="RFG1015" s="135"/>
      <c r="RFH1015" s="135"/>
      <c r="RFI1015" s="135"/>
      <c r="RFJ1015" s="135"/>
      <c r="RFK1015" s="135"/>
      <c r="RFL1015" s="135"/>
      <c r="RFM1015" s="135"/>
      <c r="RFN1015" s="135"/>
      <c r="RFO1015" s="135"/>
      <c r="RFP1015" s="135"/>
      <c r="RFQ1015" s="135"/>
      <c r="RFR1015" s="135"/>
      <c r="RFS1015" s="135"/>
      <c r="RFT1015" s="135"/>
      <c r="RFU1015" s="135"/>
      <c r="RFV1015" s="135"/>
      <c r="RFW1015" s="135"/>
      <c r="RFX1015" s="135"/>
      <c r="RFY1015" s="135"/>
      <c r="RFZ1015" s="135"/>
      <c r="RGA1015" s="135"/>
      <c r="RGB1015" s="135"/>
      <c r="RGC1015" s="135"/>
      <c r="RGD1015" s="135"/>
      <c r="RGE1015" s="135"/>
      <c r="RGF1015" s="135"/>
      <c r="RGG1015" s="135"/>
      <c r="RGH1015" s="135"/>
      <c r="RGI1015" s="135"/>
      <c r="RGJ1015" s="135"/>
      <c r="RGK1015" s="135"/>
      <c r="RGL1015" s="135"/>
      <c r="RGM1015" s="135"/>
      <c r="RGN1015" s="135"/>
      <c r="RGO1015" s="135"/>
      <c r="RGP1015" s="135"/>
      <c r="RGQ1015" s="135"/>
      <c r="RGR1015" s="135"/>
      <c r="RGS1015" s="135"/>
      <c r="RGT1015" s="135"/>
      <c r="RGU1015" s="135"/>
      <c r="RGV1015" s="135"/>
      <c r="RGW1015" s="135"/>
      <c r="RGX1015" s="135"/>
      <c r="RGY1015" s="135"/>
      <c r="RGZ1015" s="135"/>
      <c r="RHA1015" s="135"/>
      <c r="RHB1015" s="135"/>
      <c r="RHC1015" s="135"/>
      <c r="RHD1015" s="135"/>
      <c r="RHE1015" s="135"/>
      <c r="RHF1015" s="135"/>
      <c r="RHG1015" s="135"/>
      <c r="RHH1015" s="135"/>
      <c r="RHI1015" s="135"/>
      <c r="RHJ1015" s="135"/>
      <c r="RHK1015" s="135"/>
      <c r="RHL1015" s="135"/>
      <c r="RHM1015" s="135"/>
      <c r="RHN1015" s="135"/>
      <c r="RHO1015" s="135"/>
      <c r="RHP1015" s="135"/>
      <c r="RHQ1015" s="135"/>
      <c r="RHR1015" s="135"/>
      <c r="RHS1015" s="135"/>
      <c r="RHT1015" s="135"/>
      <c r="RHU1015" s="135"/>
      <c r="RHV1015" s="135"/>
      <c r="RHW1015" s="135"/>
      <c r="RHX1015" s="135"/>
      <c r="RHY1015" s="135"/>
      <c r="RHZ1015" s="135"/>
      <c r="RIA1015" s="135"/>
      <c r="RIB1015" s="135"/>
      <c r="RIC1015" s="135"/>
      <c r="RID1015" s="135"/>
      <c r="RIE1015" s="135"/>
      <c r="RIF1015" s="135"/>
      <c r="RIG1015" s="135"/>
      <c r="RIH1015" s="135"/>
      <c r="RII1015" s="135"/>
      <c r="RIJ1015" s="135"/>
      <c r="RIK1015" s="135"/>
      <c r="RIL1015" s="135"/>
      <c r="RIM1015" s="135"/>
      <c r="RIN1015" s="135"/>
      <c r="RIO1015" s="135"/>
      <c r="RIP1015" s="135"/>
      <c r="RIQ1015" s="135"/>
      <c r="RIR1015" s="135"/>
      <c r="RIS1015" s="135"/>
      <c r="RIT1015" s="135"/>
      <c r="RIU1015" s="135"/>
      <c r="RIV1015" s="135"/>
      <c r="RIW1015" s="135"/>
      <c r="RIX1015" s="135"/>
      <c r="RIY1015" s="135"/>
      <c r="RIZ1015" s="135"/>
      <c r="RJA1015" s="135"/>
      <c r="RJB1015" s="135"/>
      <c r="RJC1015" s="135"/>
      <c r="RJD1015" s="135"/>
      <c r="RJE1015" s="135"/>
      <c r="RJF1015" s="135"/>
      <c r="RJG1015" s="135"/>
      <c r="RJH1015" s="135"/>
      <c r="RJI1015" s="135"/>
      <c r="RJJ1015" s="135"/>
      <c r="RJK1015" s="135"/>
      <c r="RJL1015" s="135"/>
      <c r="RJM1015" s="135"/>
      <c r="RJN1015" s="135"/>
      <c r="RJO1015" s="135"/>
      <c r="RJP1015" s="135"/>
      <c r="RJQ1015" s="135"/>
      <c r="RJR1015" s="135"/>
      <c r="RJS1015" s="135"/>
      <c r="RJT1015" s="135"/>
      <c r="RJU1015" s="135"/>
      <c r="RJV1015" s="135"/>
      <c r="RJW1015" s="135"/>
      <c r="RJX1015" s="135"/>
      <c r="RJY1015" s="135"/>
      <c r="RJZ1015" s="135"/>
      <c r="RKA1015" s="135"/>
      <c r="RKB1015" s="135"/>
      <c r="RKC1015" s="135"/>
      <c r="RKD1015" s="135"/>
      <c r="RKE1015" s="135"/>
      <c r="RKF1015" s="135"/>
      <c r="RKG1015" s="135"/>
      <c r="RKH1015" s="135"/>
      <c r="RKI1015" s="135"/>
      <c r="RKJ1015" s="135"/>
      <c r="RKK1015" s="135"/>
      <c r="RKL1015" s="135"/>
      <c r="RKM1015" s="135"/>
      <c r="RKN1015" s="135"/>
      <c r="RKO1015" s="135"/>
      <c r="RKP1015" s="135"/>
      <c r="RKQ1015" s="135"/>
      <c r="RKR1015" s="135"/>
      <c r="RKS1015" s="135"/>
      <c r="RKT1015" s="135"/>
      <c r="RKU1015" s="135"/>
      <c r="RKV1015" s="135"/>
      <c r="RKW1015" s="135"/>
      <c r="RKX1015" s="135"/>
      <c r="RKY1015" s="135"/>
      <c r="RKZ1015" s="135"/>
      <c r="RLA1015" s="135"/>
      <c r="RLB1015" s="135"/>
      <c r="RLC1015" s="135"/>
      <c r="RLD1015" s="135"/>
      <c r="RLE1015" s="135"/>
      <c r="RLF1015" s="135"/>
      <c r="RLG1015" s="135"/>
      <c r="RLH1015" s="135"/>
      <c r="RLI1015" s="135"/>
      <c r="RLJ1015" s="135"/>
      <c r="RLK1015" s="135"/>
      <c r="RLL1015" s="135"/>
      <c r="RLM1015" s="135"/>
      <c r="RLN1015" s="135"/>
      <c r="RLO1015" s="135"/>
      <c r="RLP1015" s="135"/>
      <c r="RLQ1015" s="135"/>
      <c r="RLR1015" s="135"/>
      <c r="RLS1015" s="135"/>
      <c r="RLT1015" s="135"/>
      <c r="RLU1015" s="135"/>
      <c r="RLV1015" s="135"/>
      <c r="RLW1015" s="135"/>
      <c r="RLX1015" s="135"/>
      <c r="RLY1015" s="135"/>
      <c r="RLZ1015" s="135"/>
      <c r="RMA1015" s="135"/>
      <c r="RMB1015" s="135"/>
      <c r="RMC1015" s="135"/>
      <c r="RMD1015" s="135"/>
      <c r="RME1015" s="135"/>
      <c r="RMF1015" s="135"/>
      <c r="RMG1015" s="135"/>
      <c r="RMH1015" s="135"/>
      <c r="RMI1015" s="135"/>
      <c r="RMJ1015" s="135"/>
      <c r="RMK1015" s="135"/>
      <c r="RML1015" s="135"/>
      <c r="RMM1015" s="135"/>
      <c r="RMN1015" s="135"/>
      <c r="RMO1015" s="135"/>
      <c r="RMP1015" s="135"/>
      <c r="RMQ1015" s="135"/>
      <c r="RMR1015" s="135"/>
      <c r="RMS1015" s="135"/>
      <c r="RMT1015" s="135"/>
      <c r="RMU1015" s="135"/>
      <c r="RMV1015" s="135"/>
      <c r="RMW1015" s="135"/>
      <c r="RMX1015" s="135"/>
      <c r="RMY1015" s="135"/>
      <c r="RMZ1015" s="135"/>
      <c r="RNA1015" s="135"/>
      <c r="RNB1015" s="135"/>
      <c r="RNC1015" s="135"/>
      <c r="RND1015" s="135"/>
      <c r="RNE1015" s="135"/>
      <c r="RNF1015" s="135"/>
      <c r="RNG1015" s="135"/>
      <c r="RNH1015" s="135"/>
      <c r="RNI1015" s="135"/>
      <c r="RNJ1015" s="135"/>
      <c r="RNK1015" s="135"/>
      <c r="RNL1015" s="135"/>
      <c r="RNM1015" s="135"/>
      <c r="RNN1015" s="135"/>
      <c r="RNO1015" s="135"/>
      <c r="RNP1015" s="135"/>
      <c r="RNQ1015" s="135"/>
      <c r="RNR1015" s="135"/>
      <c r="RNS1015" s="135"/>
      <c r="RNT1015" s="135"/>
      <c r="RNU1015" s="135"/>
      <c r="RNV1015" s="135"/>
      <c r="RNW1015" s="135"/>
      <c r="RNX1015" s="135"/>
      <c r="RNY1015" s="135"/>
      <c r="RNZ1015" s="135"/>
      <c r="ROA1015" s="135"/>
      <c r="ROB1015" s="135"/>
      <c r="ROC1015" s="135"/>
      <c r="ROD1015" s="135"/>
      <c r="ROE1015" s="135"/>
      <c r="ROF1015" s="135"/>
      <c r="ROG1015" s="135"/>
      <c r="ROH1015" s="135"/>
      <c r="ROI1015" s="135"/>
      <c r="ROJ1015" s="135"/>
      <c r="ROK1015" s="135"/>
      <c r="ROL1015" s="135"/>
      <c r="ROM1015" s="135"/>
      <c r="RON1015" s="135"/>
      <c r="ROO1015" s="135"/>
      <c r="ROP1015" s="135"/>
      <c r="ROQ1015" s="135"/>
      <c r="ROR1015" s="135"/>
      <c r="ROS1015" s="135"/>
      <c r="ROT1015" s="135"/>
      <c r="ROU1015" s="135"/>
      <c r="ROV1015" s="135"/>
      <c r="ROW1015" s="135"/>
      <c r="ROX1015" s="135"/>
      <c r="ROY1015" s="135"/>
      <c r="ROZ1015" s="135"/>
      <c r="RPA1015" s="135"/>
      <c r="RPB1015" s="135"/>
      <c r="RPC1015" s="135"/>
      <c r="RPD1015" s="135"/>
      <c r="RPE1015" s="135"/>
      <c r="RPF1015" s="135"/>
      <c r="RPG1015" s="135"/>
      <c r="RPH1015" s="135"/>
      <c r="RPI1015" s="135"/>
      <c r="RPJ1015" s="135"/>
      <c r="RPK1015" s="135"/>
      <c r="RPL1015" s="135"/>
      <c r="RPM1015" s="135"/>
      <c r="RPN1015" s="135"/>
      <c r="RPO1015" s="135"/>
      <c r="RPP1015" s="135"/>
      <c r="RPQ1015" s="135"/>
      <c r="RPR1015" s="135"/>
      <c r="RPS1015" s="135"/>
      <c r="RPT1015" s="135"/>
      <c r="RPU1015" s="135"/>
      <c r="RPV1015" s="135"/>
      <c r="RPW1015" s="135"/>
      <c r="RPX1015" s="135"/>
      <c r="RPY1015" s="135"/>
      <c r="RPZ1015" s="135"/>
      <c r="RQA1015" s="135"/>
      <c r="RQB1015" s="135"/>
      <c r="RQC1015" s="135"/>
      <c r="RQD1015" s="135"/>
      <c r="RQE1015" s="135"/>
      <c r="RQF1015" s="135"/>
      <c r="RQG1015" s="135"/>
      <c r="RQH1015" s="135"/>
      <c r="RQI1015" s="135"/>
      <c r="RQJ1015" s="135"/>
      <c r="RQK1015" s="135"/>
      <c r="RQL1015" s="135"/>
      <c r="RQM1015" s="135"/>
      <c r="RQN1015" s="135"/>
      <c r="RQO1015" s="135"/>
      <c r="RQP1015" s="135"/>
      <c r="RQQ1015" s="135"/>
      <c r="RQR1015" s="135"/>
      <c r="RQS1015" s="135"/>
      <c r="RQT1015" s="135"/>
      <c r="RQU1015" s="135"/>
      <c r="RQV1015" s="135"/>
      <c r="RQW1015" s="135"/>
      <c r="RQX1015" s="135"/>
      <c r="RQY1015" s="135"/>
      <c r="RQZ1015" s="135"/>
      <c r="RRA1015" s="135"/>
      <c r="RRB1015" s="135"/>
      <c r="RRC1015" s="135"/>
      <c r="RRD1015" s="135"/>
      <c r="RRE1015" s="135"/>
      <c r="RRF1015" s="135"/>
      <c r="RRG1015" s="135"/>
      <c r="RRH1015" s="135"/>
      <c r="RRI1015" s="135"/>
      <c r="RRJ1015" s="135"/>
      <c r="RRK1015" s="135"/>
      <c r="RRL1015" s="135"/>
      <c r="RRM1015" s="135"/>
      <c r="RRN1015" s="135"/>
      <c r="RRO1015" s="135"/>
      <c r="RRP1015" s="135"/>
      <c r="RRQ1015" s="135"/>
      <c r="RRR1015" s="135"/>
      <c r="RRS1015" s="135"/>
      <c r="RRT1015" s="135"/>
      <c r="RRU1015" s="135"/>
      <c r="RRV1015" s="135"/>
      <c r="RRW1015" s="135"/>
      <c r="RRX1015" s="135"/>
      <c r="RRY1015" s="135"/>
      <c r="RRZ1015" s="135"/>
      <c r="RSA1015" s="135"/>
      <c r="RSB1015" s="135"/>
      <c r="RSC1015" s="135"/>
      <c r="RSD1015" s="135"/>
      <c r="RSE1015" s="135"/>
      <c r="RSF1015" s="135"/>
      <c r="RSG1015" s="135"/>
      <c r="RSH1015" s="135"/>
      <c r="RSI1015" s="135"/>
      <c r="RSJ1015" s="135"/>
      <c r="RSK1015" s="135"/>
      <c r="RSL1015" s="135"/>
      <c r="RSM1015" s="135"/>
      <c r="RSN1015" s="135"/>
      <c r="RSO1015" s="135"/>
      <c r="RSP1015" s="135"/>
      <c r="RSQ1015" s="135"/>
      <c r="RSR1015" s="135"/>
      <c r="RSS1015" s="135"/>
      <c r="RST1015" s="135"/>
      <c r="RSU1015" s="135"/>
      <c r="RSV1015" s="135"/>
      <c r="RSW1015" s="135"/>
      <c r="RSX1015" s="135"/>
      <c r="RSY1015" s="135"/>
      <c r="RSZ1015" s="135"/>
      <c r="RTA1015" s="135"/>
      <c r="RTB1015" s="135"/>
      <c r="RTC1015" s="135"/>
      <c r="RTD1015" s="135"/>
      <c r="RTE1015" s="135"/>
      <c r="RTF1015" s="135"/>
      <c r="RTG1015" s="135"/>
      <c r="RTH1015" s="135"/>
      <c r="RTI1015" s="135"/>
      <c r="RTJ1015" s="135"/>
      <c r="RTK1015" s="135"/>
      <c r="RTL1015" s="135"/>
      <c r="RTM1015" s="135"/>
      <c r="RTN1015" s="135"/>
      <c r="RTO1015" s="135"/>
      <c r="RTP1015" s="135"/>
      <c r="RTQ1015" s="135"/>
      <c r="RTR1015" s="135"/>
      <c r="RTS1015" s="135"/>
      <c r="RTT1015" s="135"/>
      <c r="RTU1015" s="135"/>
      <c r="RTV1015" s="135"/>
      <c r="RTW1015" s="135"/>
      <c r="RTX1015" s="135"/>
      <c r="RTY1015" s="135"/>
      <c r="RTZ1015" s="135"/>
      <c r="RUA1015" s="135"/>
      <c r="RUB1015" s="135"/>
      <c r="RUC1015" s="135"/>
      <c r="RUD1015" s="135"/>
      <c r="RUE1015" s="135"/>
      <c r="RUF1015" s="135"/>
      <c r="RUG1015" s="135"/>
      <c r="RUH1015" s="135"/>
      <c r="RUI1015" s="135"/>
      <c r="RUJ1015" s="135"/>
      <c r="RUK1015" s="135"/>
      <c r="RUL1015" s="135"/>
      <c r="RUM1015" s="135"/>
      <c r="RUN1015" s="135"/>
      <c r="RUO1015" s="135"/>
      <c r="RUP1015" s="135"/>
      <c r="RUQ1015" s="135"/>
      <c r="RUR1015" s="135"/>
      <c r="RUS1015" s="135"/>
      <c r="RUT1015" s="135"/>
      <c r="RUU1015" s="135"/>
      <c r="RUV1015" s="135"/>
      <c r="RUW1015" s="135"/>
      <c r="RUX1015" s="135"/>
      <c r="RUY1015" s="135"/>
      <c r="RUZ1015" s="135"/>
      <c r="RVA1015" s="135"/>
      <c r="RVB1015" s="135"/>
      <c r="RVC1015" s="135"/>
      <c r="RVD1015" s="135"/>
      <c r="RVE1015" s="135"/>
      <c r="RVF1015" s="135"/>
      <c r="RVG1015" s="135"/>
      <c r="RVH1015" s="135"/>
      <c r="RVI1015" s="135"/>
      <c r="RVJ1015" s="135"/>
      <c r="RVK1015" s="135"/>
      <c r="RVL1015" s="135"/>
      <c r="RVM1015" s="135"/>
      <c r="RVN1015" s="135"/>
      <c r="RVO1015" s="135"/>
      <c r="RVP1015" s="135"/>
      <c r="RVQ1015" s="135"/>
      <c r="RVR1015" s="135"/>
      <c r="RVS1015" s="135"/>
      <c r="RVT1015" s="135"/>
      <c r="RVU1015" s="135"/>
      <c r="RVV1015" s="135"/>
      <c r="RVW1015" s="135"/>
      <c r="RVX1015" s="135"/>
      <c r="RVY1015" s="135"/>
      <c r="RVZ1015" s="135"/>
      <c r="RWA1015" s="135"/>
      <c r="RWB1015" s="135"/>
      <c r="RWC1015" s="135"/>
      <c r="RWD1015" s="135"/>
      <c r="RWE1015" s="135"/>
      <c r="RWF1015" s="135"/>
      <c r="RWG1015" s="135"/>
      <c r="RWH1015" s="135"/>
      <c r="RWI1015" s="135"/>
      <c r="RWJ1015" s="135"/>
      <c r="RWK1015" s="135"/>
      <c r="RWL1015" s="135"/>
      <c r="RWM1015" s="135"/>
      <c r="RWN1015" s="135"/>
      <c r="RWO1015" s="135"/>
      <c r="RWP1015" s="135"/>
      <c r="RWQ1015" s="135"/>
      <c r="RWR1015" s="135"/>
      <c r="RWS1015" s="135"/>
      <c r="RWT1015" s="135"/>
      <c r="RWU1015" s="135"/>
      <c r="RWV1015" s="135"/>
      <c r="RWW1015" s="135"/>
      <c r="RWX1015" s="135"/>
      <c r="RWY1015" s="135"/>
      <c r="RWZ1015" s="135"/>
      <c r="RXA1015" s="135"/>
      <c r="RXB1015" s="135"/>
      <c r="RXC1015" s="135"/>
      <c r="RXD1015" s="135"/>
      <c r="RXE1015" s="135"/>
      <c r="RXF1015" s="135"/>
      <c r="RXG1015" s="135"/>
      <c r="RXH1015" s="135"/>
      <c r="RXI1015" s="135"/>
      <c r="RXJ1015" s="135"/>
      <c r="RXK1015" s="135"/>
      <c r="RXL1015" s="135"/>
      <c r="RXM1015" s="135"/>
      <c r="RXN1015" s="135"/>
      <c r="RXO1015" s="135"/>
      <c r="RXP1015" s="135"/>
      <c r="RXQ1015" s="135"/>
      <c r="RXR1015" s="135"/>
      <c r="RXS1015" s="135"/>
      <c r="RXT1015" s="135"/>
      <c r="RXU1015" s="135"/>
      <c r="RXV1015" s="135"/>
      <c r="RXW1015" s="135"/>
      <c r="RXX1015" s="135"/>
      <c r="RXY1015" s="135"/>
      <c r="RXZ1015" s="135"/>
      <c r="RYA1015" s="135"/>
      <c r="RYB1015" s="135"/>
      <c r="RYC1015" s="135"/>
      <c r="RYD1015" s="135"/>
      <c r="RYE1015" s="135"/>
      <c r="RYF1015" s="135"/>
      <c r="RYG1015" s="135"/>
      <c r="RYH1015" s="135"/>
      <c r="RYI1015" s="135"/>
      <c r="RYJ1015" s="135"/>
      <c r="RYK1015" s="135"/>
      <c r="RYL1015" s="135"/>
      <c r="RYM1015" s="135"/>
      <c r="RYN1015" s="135"/>
      <c r="RYO1015" s="135"/>
      <c r="RYP1015" s="135"/>
      <c r="RYQ1015" s="135"/>
      <c r="RYR1015" s="135"/>
      <c r="RYS1015" s="135"/>
      <c r="RYT1015" s="135"/>
      <c r="RYU1015" s="135"/>
      <c r="RYV1015" s="135"/>
      <c r="RYW1015" s="135"/>
      <c r="RYX1015" s="135"/>
      <c r="RYY1015" s="135"/>
      <c r="RYZ1015" s="135"/>
      <c r="RZA1015" s="135"/>
      <c r="RZB1015" s="135"/>
      <c r="RZC1015" s="135"/>
      <c r="RZD1015" s="135"/>
      <c r="RZE1015" s="135"/>
      <c r="RZF1015" s="135"/>
      <c r="RZG1015" s="135"/>
      <c r="RZH1015" s="135"/>
      <c r="RZI1015" s="135"/>
      <c r="RZJ1015" s="135"/>
      <c r="RZK1015" s="135"/>
      <c r="RZL1015" s="135"/>
      <c r="RZM1015" s="135"/>
      <c r="RZN1015" s="135"/>
      <c r="RZO1015" s="135"/>
      <c r="RZP1015" s="135"/>
      <c r="RZQ1015" s="135"/>
      <c r="RZR1015" s="135"/>
      <c r="RZS1015" s="135"/>
      <c r="RZT1015" s="135"/>
      <c r="RZU1015" s="135"/>
      <c r="RZV1015" s="135"/>
      <c r="RZW1015" s="135"/>
      <c r="RZX1015" s="135"/>
      <c r="RZY1015" s="135"/>
      <c r="RZZ1015" s="135"/>
      <c r="SAA1015" s="135"/>
      <c r="SAB1015" s="135"/>
      <c r="SAC1015" s="135"/>
      <c r="SAD1015" s="135"/>
      <c r="SAE1015" s="135"/>
      <c r="SAF1015" s="135"/>
      <c r="SAG1015" s="135"/>
      <c r="SAH1015" s="135"/>
      <c r="SAI1015" s="135"/>
      <c r="SAJ1015" s="135"/>
      <c r="SAK1015" s="135"/>
      <c r="SAL1015" s="135"/>
      <c r="SAM1015" s="135"/>
      <c r="SAN1015" s="135"/>
      <c r="SAO1015" s="135"/>
      <c r="SAP1015" s="135"/>
      <c r="SAQ1015" s="135"/>
      <c r="SAR1015" s="135"/>
      <c r="SAS1015" s="135"/>
      <c r="SAT1015" s="135"/>
      <c r="SAU1015" s="135"/>
      <c r="SAV1015" s="135"/>
      <c r="SAW1015" s="135"/>
      <c r="SAX1015" s="135"/>
      <c r="SAY1015" s="135"/>
      <c r="SAZ1015" s="135"/>
      <c r="SBA1015" s="135"/>
      <c r="SBB1015" s="135"/>
      <c r="SBC1015" s="135"/>
      <c r="SBD1015" s="135"/>
      <c r="SBE1015" s="135"/>
      <c r="SBF1015" s="135"/>
      <c r="SBG1015" s="135"/>
      <c r="SBH1015" s="135"/>
      <c r="SBI1015" s="135"/>
      <c r="SBJ1015" s="135"/>
      <c r="SBK1015" s="135"/>
      <c r="SBL1015" s="135"/>
      <c r="SBM1015" s="135"/>
      <c r="SBN1015" s="135"/>
      <c r="SBO1015" s="135"/>
      <c r="SBP1015" s="135"/>
      <c r="SBQ1015" s="135"/>
      <c r="SBR1015" s="135"/>
      <c r="SBS1015" s="135"/>
      <c r="SBT1015" s="135"/>
      <c r="SBU1015" s="135"/>
      <c r="SBV1015" s="135"/>
      <c r="SBW1015" s="135"/>
      <c r="SBX1015" s="135"/>
      <c r="SBY1015" s="135"/>
      <c r="SBZ1015" s="135"/>
      <c r="SCA1015" s="135"/>
      <c r="SCB1015" s="135"/>
      <c r="SCC1015" s="135"/>
      <c r="SCD1015" s="135"/>
      <c r="SCE1015" s="135"/>
      <c r="SCF1015" s="135"/>
      <c r="SCG1015" s="135"/>
      <c r="SCH1015" s="135"/>
      <c r="SCI1015" s="135"/>
      <c r="SCJ1015" s="135"/>
      <c r="SCK1015" s="135"/>
      <c r="SCL1015" s="135"/>
      <c r="SCM1015" s="135"/>
      <c r="SCN1015" s="135"/>
      <c r="SCO1015" s="135"/>
      <c r="SCP1015" s="135"/>
      <c r="SCQ1015" s="135"/>
      <c r="SCR1015" s="135"/>
      <c r="SCS1015" s="135"/>
      <c r="SCT1015" s="135"/>
      <c r="SCU1015" s="135"/>
      <c r="SCV1015" s="135"/>
      <c r="SCW1015" s="135"/>
      <c r="SCX1015" s="135"/>
      <c r="SCY1015" s="135"/>
      <c r="SCZ1015" s="135"/>
      <c r="SDA1015" s="135"/>
      <c r="SDB1015" s="135"/>
      <c r="SDC1015" s="135"/>
      <c r="SDD1015" s="135"/>
      <c r="SDE1015" s="135"/>
      <c r="SDF1015" s="135"/>
      <c r="SDG1015" s="135"/>
      <c r="SDH1015" s="135"/>
      <c r="SDI1015" s="135"/>
      <c r="SDJ1015" s="135"/>
      <c r="SDK1015" s="135"/>
      <c r="SDL1015" s="135"/>
      <c r="SDM1015" s="135"/>
      <c r="SDN1015" s="135"/>
      <c r="SDO1015" s="135"/>
      <c r="SDP1015" s="135"/>
      <c r="SDQ1015" s="135"/>
      <c r="SDR1015" s="135"/>
      <c r="SDS1015" s="135"/>
      <c r="SDT1015" s="135"/>
      <c r="SDU1015" s="135"/>
      <c r="SDV1015" s="135"/>
      <c r="SDW1015" s="135"/>
      <c r="SDX1015" s="135"/>
      <c r="SDY1015" s="135"/>
      <c r="SDZ1015" s="135"/>
      <c r="SEA1015" s="135"/>
      <c r="SEB1015" s="135"/>
      <c r="SEC1015" s="135"/>
      <c r="SED1015" s="135"/>
      <c r="SEE1015" s="135"/>
      <c r="SEF1015" s="135"/>
      <c r="SEG1015" s="135"/>
      <c r="SEH1015" s="135"/>
      <c r="SEI1015" s="135"/>
      <c r="SEJ1015" s="135"/>
      <c r="SEK1015" s="135"/>
      <c r="SEL1015" s="135"/>
      <c r="SEM1015" s="135"/>
      <c r="SEN1015" s="135"/>
      <c r="SEO1015" s="135"/>
      <c r="SEP1015" s="135"/>
      <c r="SEQ1015" s="135"/>
      <c r="SER1015" s="135"/>
      <c r="SES1015" s="135"/>
      <c r="SET1015" s="135"/>
      <c r="SEU1015" s="135"/>
      <c r="SEV1015" s="135"/>
      <c r="SEW1015" s="135"/>
      <c r="SEX1015" s="135"/>
      <c r="SEY1015" s="135"/>
      <c r="SEZ1015" s="135"/>
      <c r="SFA1015" s="135"/>
      <c r="SFB1015" s="135"/>
      <c r="SFC1015" s="135"/>
      <c r="SFD1015" s="135"/>
      <c r="SFE1015" s="135"/>
      <c r="SFF1015" s="135"/>
      <c r="SFG1015" s="135"/>
      <c r="SFH1015" s="135"/>
      <c r="SFI1015" s="135"/>
      <c r="SFJ1015" s="135"/>
      <c r="SFK1015" s="135"/>
      <c r="SFL1015" s="135"/>
      <c r="SFM1015" s="135"/>
      <c r="SFN1015" s="135"/>
      <c r="SFO1015" s="135"/>
      <c r="SFP1015" s="135"/>
      <c r="SFQ1015" s="135"/>
      <c r="SFR1015" s="135"/>
      <c r="SFS1015" s="135"/>
      <c r="SFT1015" s="135"/>
      <c r="SFU1015" s="135"/>
      <c r="SFV1015" s="135"/>
      <c r="SFW1015" s="135"/>
      <c r="SFX1015" s="135"/>
      <c r="SFY1015" s="135"/>
      <c r="SFZ1015" s="135"/>
      <c r="SGA1015" s="135"/>
      <c r="SGB1015" s="135"/>
      <c r="SGC1015" s="135"/>
      <c r="SGD1015" s="135"/>
      <c r="SGE1015" s="135"/>
      <c r="SGF1015" s="135"/>
      <c r="SGG1015" s="135"/>
      <c r="SGH1015" s="135"/>
      <c r="SGI1015" s="135"/>
      <c r="SGJ1015" s="135"/>
      <c r="SGK1015" s="135"/>
      <c r="SGL1015" s="135"/>
      <c r="SGM1015" s="135"/>
      <c r="SGN1015" s="135"/>
      <c r="SGO1015" s="135"/>
      <c r="SGP1015" s="135"/>
      <c r="SGQ1015" s="135"/>
      <c r="SGR1015" s="135"/>
      <c r="SGS1015" s="135"/>
      <c r="SGT1015" s="135"/>
      <c r="SGU1015" s="135"/>
      <c r="SGV1015" s="135"/>
      <c r="SGW1015" s="135"/>
      <c r="SGX1015" s="135"/>
      <c r="SGY1015" s="135"/>
      <c r="SGZ1015" s="135"/>
      <c r="SHA1015" s="135"/>
      <c r="SHB1015" s="135"/>
      <c r="SHC1015" s="135"/>
      <c r="SHD1015" s="135"/>
      <c r="SHE1015" s="135"/>
      <c r="SHF1015" s="135"/>
      <c r="SHG1015" s="135"/>
      <c r="SHH1015" s="135"/>
      <c r="SHI1015" s="135"/>
      <c r="SHJ1015" s="135"/>
      <c r="SHK1015" s="135"/>
      <c r="SHL1015" s="135"/>
      <c r="SHM1015" s="135"/>
      <c r="SHN1015" s="135"/>
      <c r="SHO1015" s="135"/>
      <c r="SHP1015" s="135"/>
      <c r="SHQ1015" s="135"/>
      <c r="SHR1015" s="135"/>
      <c r="SHS1015" s="135"/>
      <c r="SHT1015" s="135"/>
      <c r="SHU1015" s="135"/>
      <c r="SHV1015" s="135"/>
      <c r="SHW1015" s="135"/>
      <c r="SHX1015" s="135"/>
      <c r="SHY1015" s="135"/>
      <c r="SHZ1015" s="135"/>
      <c r="SIA1015" s="135"/>
      <c r="SIB1015" s="135"/>
      <c r="SIC1015" s="135"/>
      <c r="SID1015" s="135"/>
      <c r="SIE1015" s="135"/>
      <c r="SIF1015" s="135"/>
      <c r="SIG1015" s="135"/>
      <c r="SIH1015" s="135"/>
      <c r="SII1015" s="135"/>
      <c r="SIJ1015" s="135"/>
      <c r="SIK1015" s="135"/>
      <c r="SIL1015" s="135"/>
      <c r="SIM1015" s="135"/>
      <c r="SIN1015" s="135"/>
      <c r="SIO1015" s="135"/>
      <c r="SIP1015" s="135"/>
      <c r="SIQ1015" s="135"/>
      <c r="SIR1015" s="135"/>
      <c r="SIS1015" s="135"/>
      <c r="SIT1015" s="135"/>
      <c r="SIU1015" s="135"/>
      <c r="SIV1015" s="135"/>
      <c r="SIW1015" s="135"/>
      <c r="SIX1015" s="135"/>
      <c r="SIY1015" s="135"/>
      <c r="SIZ1015" s="135"/>
      <c r="SJA1015" s="135"/>
      <c r="SJB1015" s="135"/>
      <c r="SJC1015" s="135"/>
      <c r="SJD1015" s="135"/>
      <c r="SJE1015" s="135"/>
      <c r="SJF1015" s="135"/>
      <c r="SJG1015" s="135"/>
      <c r="SJH1015" s="135"/>
      <c r="SJI1015" s="135"/>
      <c r="SJJ1015" s="135"/>
      <c r="SJK1015" s="135"/>
      <c r="SJL1015" s="135"/>
      <c r="SJM1015" s="135"/>
      <c r="SJN1015" s="135"/>
      <c r="SJO1015" s="135"/>
      <c r="SJP1015" s="135"/>
      <c r="SJQ1015" s="135"/>
      <c r="SJR1015" s="135"/>
      <c r="SJS1015" s="135"/>
      <c r="SJT1015" s="135"/>
      <c r="SJU1015" s="135"/>
      <c r="SJV1015" s="135"/>
      <c r="SJW1015" s="135"/>
      <c r="SJX1015" s="135"/>
      <c r="SJY1015" s="135"/>
      <c r="SJZ1015" s="135"/>
      <c r="SKA1015" s="135"/>
      <c r="SKB1015" s="135"/>
      <c r="SKC1015" s="135"/>
      <c r="SKD1015" s="135"/>
      <c r="SKE1015" s="135"/>
      <c r="SKF1015" s="135"/>
      <c r="SKG1015" s="135"/>
      <c r="SKH1015" s="135"/>
      <c r="SKI1015" s="135"/>
      <c r="SKJ1015" s="135"/>
      <c r="SKK1015" s="135"/>
      <c r="SKL1015" s="135"/>
      <c r="SKM1015" s="135"/>
      <c r="SKN1015" s="135"/>
      <c r="SKO1015" s="135"/>
      <c r="SKP1015" s="135"/>
      <c r="SKQ1015" s="135"/>
      <c r="SKR1015" s="135"/>
      <c r="SKS1015" s="135"/>
      <c r="SKT1015" s="135"/>
      <c r="SKU1015" s="135"/>
      <c r="SKV1015" s="135"/>
      <c r="SKW1015" s="135"/>
      <c r="SKX1015" s="135"/>
      <c r="SKY1015" s="135"/>
      <c r="SKZ1015" s="135"/>
      <c r="SLA1015" s="135"/>
      <c r="SLB1015" s="135"/>
      <c r="SLC1015" s="135"/>
      <c r="SLD1015" s="135"/>
      <c r="SLE1015" s="135"/>
      <c r="SLF1015" s="135"/>
      <c r="SLG1015" s="135"/>
      <c r="SLH1015" s="135"/>
      <c r="SLI1015" s="135"/>
      <c r="SLJ1015" s="135"/>
      <c r="SLK1015" s="135"/>
      <c r="SLL1015" s="135"/>
      <c r="SLM1015" s="135"/>
      <c r="SLN1015" s="135"/>
      <c r="SLO1015" s="135"/>
      <c r="SLP1015" s="135"/>
      <c r="SLQ1015" s="135"/>
      <c r="SLR1015" s="135"/>
      <c r="SLS1015" s="135"/>
      <c r="SLT1015" s="135"/>
      <c r="SLU1015" s="135"/>
      <c r="SLV1015" s="135"/>
      <c r="SLW1015" s="135"/>
      <c r="SLX1015" s="135"/>
      <c r="SLY1015" s="135"/>
      <c r="SLZ1015" s="135"/>
      <c r="SMA1015" s="135"/>
      <c r="SMB1015" s="135"/>
      <c r="SMC1015" s="135"/>
      <c r="SMD1015" s="135"/>
      <c r="SME1015" s="135"/>
      <c r="SMF1015" s="135"/>
      <c r="SMG1015" s="135"/>
      <c r="SMH1015" s="135"/>
      <c r="SMI1015" s="135"/>
      <c r="SMJ1015" s="135"/>
      <c r="SMK1015" s="135"/>
      <c r="SML1015" s="135"/>
      <c r="SMM1015" s="135"/>
      <c r="SMN1015" s="135"/>
      <c r="SMO1015" s="135"/>
      <c r="SMP1015" s="135"/>
      <c r="SMQ1015" s="135"/>
      <c r="SMR1015" s="135"/>
      <c r="SMS1015" s="135"/>
      <c r="SMT1015" s="135"/>
      <c r="SMU1015" s="135"/>
      <c r="SMV1015" s="135"/>
      <c r="SMW1015" s="135"/>
      <c r="SMX1015" s="135"/>
      <c r="SMY1015" s="135"/>
      <c r="SMZ1015" s="135"/>
      <c r="SNA1015" s="135"/>
      <c r="SNB1015" s="135"/>
      <c r="SNC1015" s="135"/>
      <c r="SND1015" s="135"/>
      <c r="SNE1015" s="135"/>
      <c r="SNF1015" s="135"/>
      <c r="SNG1015" s="135"/>
      <c r="SNH1015" s="135"/>
      <c r="SNI1015" s="135"/>
      <c r="SNJ1015" s="135"/>
      <c r="SNK1015" s="135"/>
      <c r="SNL1015" s="135"/>
      <c r="SNM1015" s="135"/>
      <c r="SNN1015" s="135"/>
      <c r="SNO1015" s="135"/>
      <c r="SNP1015" s="135"/>
      <c r="SNQ1015" s="135"/>
      <c r="SNR1015" s="135"/>
      <c r="SNS1015" s="135"/>
      <c r="SNT1015" s="135"/>
      <c r="SNU1015" s="135"/>
      <c r="SNV1015" s="135"/>
      <c r="SNW1015" s="135"/>
      <c r="SNX1015" s="135"/>
      <c r="SNY1015" s="135"/>
      <c r="SNZ1015" s="135"/>
      <c r="SOA1015" s="135"/>
      <c r="SOB1015" s="135"/>
      <c r="SOC1015" s="135"/>
      <c r="SOD1015" s="135"/>
      <c r="SOE1015" s="135"/>
      <c r="SOF1015" s="135"/>
      <c r="SOG1015" s="135"/>
      <c r="SOH1015" s="135"/>
      <c r="SOI1015" s="135"/>
      <c r="SOJ1015" s="135"/>
      <c r="SOK1015" s="135"/>
      <c r="SOL1015" s="135"/>
      <c r="SOM1015" s="135"/>
      <c r="SON1015" s="135"/>
      <c r="SOO1015" s="135"/>
      <c r="SOP1015" s="135"/>
      <c r="SOQ1015" s="135"/>
      <c r="SOR1015" s="135"/>
      <c r="SOS1015" s="135"/>
      <c r="SOT1015" s="135"/>
      <c r="SOU1015" s="135"/>
      <c r="SOV1015" s="135"/>
      <c r="SOW1015" s="135"/>
      <c r="SOX1015" s="135"/>
      <c r="SOY1015" s="135"/>
      <c r="SOZ1015" s="135"/>
      <c r="SPA1015" s="135"/>
      <c r="SPB1015" s="135"/>
      <c r="SPC1015" s="135"/>
      <c r="SPD1015" s="135"/>
      <c r="SPE1015" s="135"/>
      <c r="SPF1015" s="135"/>
      <c r="SPG1015" s="135"/>
      <c r="SPH1015" s="135"/>
      <c r="SPI1015" s="135"/>
      <c r="SPJ1015" s="135"/>
      <c r="SPK1015" s="135"/>
      <c r="SPL1015" s="135"/>
      <c r="SPM1015" s="135"/>
      <c r="SPN1015" s="135"/>
      <c r="SPO1015" s="135"/>
      <c r="SPP1015" s="135"/>
      <c r="SPQ1015" s="135"/>
      <c r="SPR1015" s="135"/>
      <c r="SPS1015" s="135"/>
      <c r="SPT1015" s="135"/>
      <c r="SPU1015" s="135"/>
      <c r="SPV1015" s="135"/>
      <c r="SPW1015" s="135"/>
      <c r="SPX1015" s="135"/>
      <c r="SPY1015" s="135"/>
      <c r="SPZ1015" s="135"/>
      <c r="SQA1015" s="135"/>
      <c r="SQB1015" s="135"/>
      <c r="SQC1015" s="135"/>
      <c r="SQD1015" s="135"/>
      <c r="SQE1015" s="135"/>
      <c r="SQF1015" s="135"/>
      <c r="SQG1015" s="135"/>
      <c r="SQH1015" s="135"/>
      <c r="SQI1015" s="135"/>
      <c r="SQJ1015" s="135"/>
      <c r="SQK1015" s="135"/>
      <c r="SQL1015" s="135"/>
      <c r="SQM1015" s="135"/>
      <c r="SQN1015" s="135"/>
      <c r="SQO1015" s="135"/>
      <c r="SQP1015" s="135"/>
      <c r="SQQ1015" s="135"/>
      <c r="SQR1015" s="135"/>
      <c r="SQS1015" s="135"/>
      <c r="SQT1015" s="135"/>
      <c r="SQU1015" s="135"/>
      <c r="SQV1015" s="135"/>
      <c r="SQW1015" s="135"/>
      <c r="SQX1015" s="135"/>
      <c r="SQY1015" s="135"/>
      <c r="SQZ1015" s="135"/>
      <c r="SRA1015" s="135"/>
      <c r="SRB1015" s="135"/>
      <c r="SRC1015" s="135"/>
      <c r="SRD1015" s="135"/>
      <c r="SRE1015" s="135"/>
      <c r="SRF1015" s="135"/>
      <c r="SRG1015" s="135"/>
      <c r="SRH1015" s="135"/>
      <c r="SRI1015" s="135"/>
      <c r="SRJ1015" s="135"/>
      <c r="SRK1015" s="135"/>
      <c r="SRL1015" s="135"/>
      <c r="SRM1015" s="135"/>
      <c r="SRN1015" s="135"/>
      <c r="SRO1015" s="135"/>
      <c r="SRP1015" s="135"/>
      <c r="SRQ1015" s="135"/>
      <c r="SRR1015" s="135"/>
      <c r="SRS1015" s="135"/>
      <c r="SRT1015" s="135"/>
      <c r="SRU1015" s="135"/>
      <c r="SRV1015" s="135"/>
      <c r="SRW1015" s="135"/>
      <c r="SRX1015" s="135"/>
      <c r="SRY1015" s="135"/>
      <c r="SRZ1015" s="135"/>
      <c r="SSA1015" s="135"/>
      <c r="SSB1015" s="135"/>
      <c r="SSC1015" s="135"/>
      <c r="SSD1015" s="135"/>
      <c r="SSE1015" s="135"/>
      <c r="SSF1015" s="135"/>
      <c r="SSG1015" s="135"/>
      <c r="SSH1015" s="135"/>
      <c r="SSI1015" s="135"/>
      <c r="SSJ1015" s="135"/>
      <c r="SSK1015" s="135"/>
      <c r="SSL1015" s="135"/>
      <c r="SSM1015" s="135"/>
      <c r="SSN1015" s="135"/>
      <c r="SSO1015" s="135"/>
      <c r="SSP1015" s="135"/>
      <c r="SSQ1015" s="135"/>
      <c r="SSR1015" s="135"/>
      <c r="SSS1015" s="135"/>
      <c r="SST1015" s="135"/>
      <c r="SSU1015" s="135"/>
      <c r="SSV1015" s="135"/>
      <c r="SSW1015" s="135"/>
      <c r="SSX1015" s="135"/>
      <c r="SSY1015" s="135"/>
      <c r="SSZ1015" s="135"/>
      <c r="STA1015" s="135"/>
      <c r="STB1015" s="135"/>
      <c r="STC1015" s="135"/>
      <c r="STD1015" s="135"/>
      <c r="STE1015" s="135"/>
      <c r="STF1015" s="135"/>
      <c r="STG1015" s="135"/>
      <c r="STH1015" s="135"/>
      <c r="STI1015" s="135"/>
      <c r="STJ1015" s="135"/>
      <c r="STK1015" s="135"/>
      <c r="STL1015" s="135"/>
      <c r="STM1015" s="135"/>
      <c r="STN1015" s="135"/>
      <c r="STO1015" s="135"/>
      <c r="STP1015" s="135"/>
      <c r="STQ1015" s="135"/>
      <c r="STR1015" s="135"/>
      <c r="STS1015" s="135"/>
      <c r="STT1015" s="135"/>
      <c r="STU1015" s="135"/>
      <c r="STV1015" s="135"/>
      <c r="STW1015" s="135"/>
      <c r="STX1015" s="135"/>
      <c r="STY1015" s="135"/>
      <c r="STZ1015" s="135"/>
      <c r="SUA1015" s="135"/>
      <c r="SUB1015" s="135"/>
      <c r="SUC1015" s="135"/>
      <c r="SUD1015" s="135"/>
      <c r="SUE1015" s="135"/>
      <c r="SUF1015" s="135"/>
      <c r="SUG1015" s="135"/>
      <c r="SUH1015" s="135"/>
      <c r="SUI1015" s="135"/>
      <c r="SUJ1015" s="135"/>
      <c r="SUK1015" s="135"/>
      <c r="SUL1015" s="135"/>
      <c r="SUM1015" s="135"/>
      <c r="SUN1015" s="135"/>
      <c r="SUO1015" s="135"/>
      <c r="SUP1015" s="135"/>
      <c r="SUQ1015" s="135"/>
      <c r="SUR1015" s="135"/>
      <c r="SUS1015" s="135"/>
      <c r="SUT1015" s="135"/>
      <c r="SUU1015" s="135"/>
      <c r="SUV1015" s="135"/>
      <c r="SUW1015" s="135"/>
      <c r="SUX1015" s="135"/>
      <c r="SUY1015" s="135"/>
      <c r="SUZ1015" s="135"/>
      <c r="SVA1015" s="135"/>
      <c r="SVB1015" s="135"/>
      <c r="SVC1015" s="135"/>
      <c r="SVD1015" s="135"/>
      <c r="SVE1015" s="135"/>
      <c r="SVF1015" s="135"/>
      <c r="SVG1015" s="135"/>
      <c r="SVH1015" s="135"/>
      <c r="SVI1015" s="135"/>
      <c r="SVJ1015" s="135"/>
      <c r="SVK1015" s="135"/>
      <c r="SVL1015" s="135"/>
      <c r="SVM1015" s="135"/>
      <c r="SVN1015" s="135"/>
      <c r="SVO1015" s="135"/>
      <c r="SVP1015" s="135"/>
      <c r="SVQ1015" s="135"/>
      <c r="SVR1015" s="135"/>
      <c r="SVS1015" s="135"/>
      <c r="SVT1015" s="135"/>
      <c r="SVU1015" s="135"/>
      <c r="SVV1015" s="135"/>
      <c r="SVW1015" s="135"/>
      <c r="SVX1015" s="135"/>
      <c r="SVY1015" s="135"/>
      <c r="SVZ1015" s="135"/>
      <c r="SWA1015" s="135"/>
      <c r="SWB1015" s="135"/>
      <c r="SWC1015" s="135"/>
      <c r="SWD1015" s="135"/>
      <c r="SWE1015" s="135"/>
      <c r="SWF1015" s="135"/>
      <c r="SWG1015" s="135"/>
      <c r="SWH1015" s="135"/>
      <c r="SWI1015" s="135"/>
      <c r="SWJ1015" s="135"/>
      <c r="SWK1015" s="135"/>
      <c r="SWL1015" s="135"/>
      <c r="SWM1015" s="135"/>
      <c r="SWN1015" s="135"/>
      <c r="SWO1015" s="135"/>
      <c r="SWP1015" s="135"/>
      <c r="SWQ1015" s="135"/>
      <c r="SWR1015" s="135"/>
      <c r="SWS1015" s="135"/>
      <c r="SWT1015" s="135"/>
      <c r="SWU1015" s="135"/>
      <c r="SWV1015" s="135"/>
      <c r="SWW1015" s="135"/>
      <c r="SWX1015" s="135"/>
      <c r="SWY1015" s="135"/>
      <c r="SWZ1015" s="135"/>
      <c r="SXA1015" s="135"/>
      <c r="SXB1015" s="135"/>
      <c r="SXC1015" s="135"/>
      <c r="SXD1015" s="135"/>
      <c r="SXE1015" s="135"/>
      <c r="SXF1015" s="135"/>
      <c r="SXG1015" s="135"/>
      <c r="SXH1015" s="135"/>
      <c r="SXI1015" s="135"/>
      <c r="SXJ1015" s="135"/>
      <c r="SXK1015" s="135"/>
      <c r="SXL1015" s="135"/>
      <c r="SXM1015" s="135"/>
      <c r="SXN1015" s="135"/>
      <c r="SXO1015" s="135"/>
      <c r="SXP1015" s="135"/>
      <c r="SXQ1015" s="135"/>
      <c r="SXR1015" s="135"/>
      <c r="SXS1015" s="135"/>
      <c r="SXT1015" s="135"/>
      <c r="SXU1015" s="135"/>
      <c r="SXV1015" s="135"/>
      <c r="SXW1015" s="135"/>
      <c r="SXX1015" s="135"/>
      <c r="SXY1015" s="135"/>
      <c r="SXZ1015" s="135"/>
      <c r="SYA1015" s="135"/>
      <c r="SYB1015" s="135"/>
      <c r="SYC1015" s="135"/>
      <c r="SYD1015" s="135"/>
      <c r="SYE1015" s="135"/>
      <c r="SYF1015" s="135"/>
      <c r="SYG1015" s="135"/>
      <c r="SYH1015" s="135"/>
      <c r="SYI1015" s="135"/>
      <c r="SYJ1015" s="135"/>
      <c r="SYK1015" s="135"/>
      <c r="SYL1015" s="135"/>
      <c r="SYM1015" s="135"/>
      <c r="SYN1015" s="135"/>
      <c r="SYO1015" s="135"/>
      <c r="SYP1015" s="135"/>
      <c r="SYQ1015" s="135"/>
      <c r="SYR1015" s="135"/>
      <c r="SYS1015" s="135"/>
      <c r="SYT1015" s="135"/>
      <c r="SYU1015" s="135"/>
      <c r="SYV1015" s="135"/>
      <c r="SYW1015" s="135"/>
      <c r="SYX1015" s="135"/>
      <c r="SYY1015" s="135"/>
      <c r="SYZ1015" s="135"/>
      <c r="SZA1015" s="135"/>
      <c r="SZB1015" s="135"/>
      <c r="SZC1015" s="135"/>
      <c r="SZD1015" s="135"/>
      <c r="SZE1015" s="135"/>
      <c r="SZF1015" s="135"/>
      <c r="SZG1015" s="135"/>
      <c r="SZH1015" s="135"/>
      <c r="SZI1015" s="135"/>
      <c r="SZJ1015" s="135"/>
      <c r="SZK1015" s="135"/>
      <c r="SZL1015" s="135"/>
      <c r="SZM1015" s="135"/>
      <c r="SZN1015" s="135"/>
      <c r="SZO1015" s="135"/>
      <c r="SZP1015" s="135"/>
      <c r="SZQ1015" s="135"/>
      <c r="SZR1015" s="135"/>
      <c r="SZS1015" s="135"/>
      <c r="SZT1015" s="135"/>
      <c r="SZU1015" s="135"/>
      <c r="SZV1015" s="135"/>
      <c r="SZW1015" s="135"/>
      <c r="SZX1015" s="135"/>
      <c r="SZY1015" s="135"/>
      <c r="SZZ1015" s="135"/>
      <c r="TAA1015" s="135"/>
      <c r="TAB1015" s="135"/>
      <c r="TAC1015" s="135"/>
      <c r="TAD1015" s="135"/>
      <c r="TAE1015" s="135"/>
      <c r="TAF1015" s="135"/>
      <c r="TAG1015" s="135"/>
      <c r="TAH1015" s="135"/>
      <c r="TAI1015" s="135"/>
      <c r="TAJ1015" s="135"/>
      <c r="TAK1015" s="135"/>
      <c r="TAL1015" s="135"/>
      <c r="TAM1015" s="135"/>
      <c r="TAN1015" s="135"/>
      <c r="TAO1015" s="135"/>
      <c r="TAP1015" s="135"/>
      <c r="TAQ1015" s="135"/>
      <c r="TAR1015" s="135"/>
      <c r="TAS1015" s="135"/>
      <c r="TAT1015" s="135"/>
      <c r="TAU1015" s="135"/>
      <c r="TAV1015" s="135"/>
      <c r="TAW1015" s="135"/>
      <c r="TAX1015" s="135"/>
      <c r="TAY1015" s="135"/>
      <c r="TAZ1015" s="135"/>
      <c r="TBA1015" s="135"/>
      <c r="TBB1015" s="135"/>
      <c r="TBC1015" s="135"/>
      <c r="TBD1015" s="135"/>
      <c r="TBE1015" s="135"/>
      <c r="TBF1015" s="135"/>
      <c r="TBG1015" s="135"/>
      <c r="TBH1015" s="135"/>
      <c r="TBI1015" s="135"/>
      <c r="TBJ1015" s="135"/>
      <c r="TBK1015" s="135"/>
      <c r="TBL1015" s="135"/>
      <c r="TBM1015" s="135"/>
      <c r="TBN1015" s="135"/>
      <c r="TBO1015" s="135"/>
      <c r="TBP1015" s="135"/>
      <c r="TBQ1015" s="135"/>
      <c r="TBR1015" s="135"/>
      <c r="TBS1015" s="135"/>
      <c r="TBT1015" s="135"/>
      <c r="TBU1015" s="135"/>
      <c r="TBV1015" s="135"/>
      <c r="TBW1015" s="135"/>
      <c r="TBX1015" s="135"/>
      <c r="TBY1015" s="135"/>
      <c r="TBZ1015" s="135"/>
      <c r="TCA1015" s="135"/>
      <c r="TCB1015" s="135"/>
      <c r="TCC1015" s="135"/>
      <c r="TCD1015" s="135"/>
      <c r="TCE1015" s="135"/>
      <c r="TCF1015" s="135"/>
      <c r="TCG1015" s="135"/>
      <c r="TCH1015" s="135"/>
      <c r="TCI1015" s="135"/>
      <c r="TCJ1015" s="135"/>
      <c r="TCK1015" s="135"/>
      <c r="TCL1015" s="135"/>
      <c r="TCM1015" s="135"/>
      <c r="TCN1015" s="135"/>
      <c r="TCO1015" s="135"/>
      <c r="TCP1015" s="135"/>
      <c r="TCQ1015" s="135"/>
      <c r="TCR1015" s="135"/>
      <c r="TCS1015" s="135"/>
      <c r="TCT1015" s="135"/>
      <c r="TCU1015" s="135"/>
      <c r="TCV1015" s="135"/>
      <c r="TCW1015" s="135"/>
      <c r="TCX1015" s="135"/>
      <c r="TCY1015" s="135"/>
      <c r="TCZ1015" s="135"/>
      <c r="TDA1015" s="135"/>
      <c r="TDB1015" s="135"/>
      <c r="TDC1015" s="135"/>
      <c r="TDD1015" s="135"/>
      <c r="TDE1015" s="135"/>
      <c r="TDF1015" s="135"/>
      <c r="TDG1015" s="135"/>
      <c r="TDH1015" s="135"/>
      <c r="TDI1015" s="135"/>
      <c r="TDJ1015" s="135"/>
      <c r="TDK1015" s="135"/>
      <c r="TDL1015" s="135"/>
      <c r="TDM1015" s="135"/>
      <c r="TDN1015" s="135"/>
      <c r="TDO1015" s="135"/>
      <c r="TDP1015" s="135"/>
      <c r="TDQ1015" s="135"/>
      <c r="TDR1015" s="135"/>
      <c r="TDS1015" s="135"/>
      <c r="TDT1015" s="135"/>
      <c r="TDU1015" s="135"/>
      <c r="TDV1015" s="135"/>
      <c r="TDW1015" s="135"/>
      <c r="TDX1015" s="135"/>
      <c r="TDY1015" s="135"/>
      <c r="TDZ1015" s="135"/>
      <c r="TEA1015" s="135"/>
      <c r="TEB1015" s="135"/>
      <c r="TEC1015" s="135"/>
      <c r="TED1015" s="135"/>
      <c r="TEE1015" s="135"/>
      <c r="TEF1015" s="135"/>
      <c r="TEG1015" s="135"/>
      <c r="TEH1015" s="135"/>
      <c r="TEI1015" s="135"/>
      <c r="TEJ1015" s="135"/>
      <c r="TEK1015" s="135"/>
      <c r="TEL1015" s="135"/>
      <c r="TEM1015" s="135"/>
      <c r="TEN1015" s="135"/>
      <c r="TEO1015" s="135"/>
      <c r="TEP1015" s="135"/>
      <c r="TEQ1015" s="135"/>
      <c r="TER1015" s="135"/>
      <c r="TES1015" s="135"/>
      <c r="TET1015" s="135"/>
      <c r="TEU1015" s="135"/>
      <c r="TEV1015" s="135"/>
      <c r="TEW1015" s="135"/>
      <c r="TEX1015" s="135"/>
      <c r="TEY1015" s="135"/>
      <c r="TEZ1015" s="135"/>
      <c r="TFA1015" s="135"/>
      <c r="TFB1015" s="135"/>
      <c r="TFC1015" s="135"/>
      <c r="TFD1015" s="135"/>
      <c r="TFE1015" s="135"/>
      <c r="TFF1015" s="135"/>
      <c r="TFG1015" s="135"/>
      <c r="TFH1015" s="135"/>
      <c r="TFI1015" s="135"/>
      <c r="TFJ1015" s="135"/>
      <c r="TFK1015" s="135"/>
      <c r="TFL1015" s="135"/>
      <c r="TFM1015" s="135"/>
      <c r="TFN1015" s="135"/>
      <c r="TFO1015" s="135"/>
      <c r="TFP1015" s="135"/>
      <c r="TFQ1015" s="135"/>
      <c r="TFR1015" s="135"/>
      <c r="TFS1015" s="135"/>
      <c r="TFT1015" s="135"/>
      <c r="TFU1015" s="135"/>
      <c r="TFV1015" s="135"/>
      <c r="TFW1015" s="135"/>
      <c r="TFX1015" s="135"/>
      <c r="TFY1015" s="135"/>
      <c r="TFZ1015" s="135"/>
      <c r="TGA1015" s="135"/>
      <c r="TGB1015" s="135"/>
      <c r="TGC1015" s="135"/>
      <c r="TGD1015" s="135"/>
      <c r="TGE1015" s="135"/>
      <c r="TGF1015" s="135"/>
      <c r="TGG1015" s="135"/>
      <c r="TGH1015" s="135"/>
      <c r="TGI1015" s="135"/>
      <c r="TGJ1015" s="135"/>
      <c r="TGK1015" s="135"/>
      <c r="TGL1015" s="135"/>
      <c r="TGM1015" s="135"/>
      <c r="TGN1015" s="135"/>
      <c r="TGO1015" s="135"/>
      <c r="TGP1015" s="135"/>
      <c r="TGQ1015" s="135"/>
      <c r="TGR1015" s="135"/>
      <c r="TGS1015" s="135"/>
      <c r="TGT1015" s="135"/>
      <c r="TGU1015" s="135"/>
      <c r="TGV1015" s="135"/>
      <c r="TGW1015" s="135"/>
      <c r="TGX1015" s="135"/>
      <c r="TGY1015" s="135"/>
      <c r="TGZ1015" s="135"/>
      <c r="THA1015" s="135"/>
      <c r="THB1015" s="135"/>
      <c r="THC1015" s="135"/>
      <c r="THD1015" s="135"/>
      <c r="THE1015" s="135"/>
      <c r="THF1015" s="135"/>
      <c r="THG1015" s="135"/>
      <c r="THH1015" s="135"/>
      <c r="THI1015" s="135"/>
      <c r="THJ1015" s="135"/>
      <c r="THK1015" s="135"/>
      <c r="THL1015" s="135"/>
      <c r="THM1015" s="135"/>
      <c r="THN1015" s="135"/>
      <c r="THO1015" s="135"/>
      <c r="THP1015" s="135"/>
      <c r="THQ1015" s="135"/>
      <c r="THR1015" s="135"/>
      <c r="THS1015" s="135"/>
      <c r="THT1015" s="135"/>
      <c r="THU1015" s="135"/>
      <c r="THV1015" s="135"/>
      <c r="THW1015" s="135"/>
      <c r="THX1015" s="135"/>
      <c r="THY1015" s="135"/>
      <c r="THZ1015" s="135"/>
      <c r="TIA1015" s="135"/>
      <c r="TIB1015" s="135"/>
      <c r="TIC1015" s="135"/>
      <c r="TID1015" s="135"/>
      <c r="TIE1015" s="135"/>
      <c r="TIF1015" s="135"/>
      <c r="TIG1015" s="135"/>
      <c r="TIH1015" s="135"/>
      <c r="TII1015" s="135"/>
      <c r="TIJ1015" s="135"/>
      <c r="TIK1015" s="135"/>
      <c r="TIL1015" s="135"/>
      <c r="TIM1015" s="135"/>
      <c r="TIN1015" s="135"/>
      <c r="TIO1015" s="135"/>
      <c r="TIP1015" s="135"/>
      <c r="TIQ1015" s="135"/>
      <c r="TIR1015" s="135"/>
      <c r="TIS1015" s="135"/>
      <c r="TIT1015" s="135"/>
      <c r="TIU1015" s="135"/>
      <c r="TIV1015" s="135"/>
      <c r="TIW1015" s="135"/>
      <c r="TIX1015" s="135"/>
      <c r="TIY1015" s="135"/>
      <c r="TIZ1015" s="135"/>
      <c r="TJA1015" s="135"/>
      <c r="TJB1015" s="135"/>
      <c r="TJC1015" s="135"/>
      <c r="TJD1015" s="135"/>
      <c r="TJE1015" s="135"/>
      <c r="TJF1015" s="135"/>
      <c r="TJG1015" s="135"/>
      <c r="TJH1015" s="135"/>
      <c r="TJI1015" s="135"/>
      <c r="TJJ1015" s="135"/>
      <c r="TJK1015" s="135"/>
      <c r="TJL1015" s="135"/>
      <c r="TJM1015" s="135"/>
      <c r="TJN1015" s="135"/>
      <c r="TJO1015" s="135"/>
      <c r="TJP1015" s="135"/>
      <c r="TJQ1015" s="135"/>
      <c r="TJR1015" s="135"/>
      <c r="TJS1015" s="135"/>
      <c r="TJT1015" s="135"/>
      <c r="TJU1015" s="135"/>
      <c r="TJV1015" s="135"/>
      <c r="TJW1015" s="135"/>
      <c r="TJX1015" s="135"/>
      <c r="TJY1015" s="135"/>
      <c r="TJZ1015" s="135"/>
      <c r="TKA1015" s="135"/>
      <c r="TKB1015" s="135"/>
      <c r="TKC1015" s="135"/>
      <c r="TKD1015" s="135"/>
      <c r="TKE1015" s="135"/>
      <c r="TKF1015" s="135"/>
      <c r="TKG1015" s="135"/>
      <c r="TKH1015" s="135"/>
      <c r="TKI1015" s="135"/>
      <c r="TKJ1015" s="135"/>
      <c r="TKK1015" s="135"/>
      <c r="TKL1015" s="135"/>
      <c r="TKM1015" s="135"/>
      <c r="TKN1015" s="135"/>
      <c r="TKO1015" s="135"/>
      <c r="TKP1015" s="135"/>
      <c r="TKQ1015" s="135"/>
      <c r="TKR1015" s="135"/>
      <c r="TKS1015" s="135"/>
      <c r="TKT1015" s="135"/>
      <c r="TKU1015" s="135"/>
      <c r="TKV1015" s="135"/>
      <c r="TKW1015" s="135"/>
      <c r="TKX1015" s="135"/>
      <c r="TKY1015" s="135"/>
      <c r="TKZ1015" s="135"/>
      <c r="TLA1015" s="135"/>
      <c r="TLB1015" s="135"/>
      <c r="TLC1015" s="135"/>
      <c r="TLD1015" s="135"/>
      <c r="TLE1015" s="135"/>
      <c r="TLF1015" s="135"/>
      <c r="TLG1015" s="135"/>
      <c r="TLH1015" s="135"/>
      <c r="TLI1015" s="135"/>
      <c r="TLJ1015" s="135"/>
      <c r="TLK1015" s="135"/>
      <c r="TLL1015" s="135"/>
      <c r="TLM1015" s="135"/>
      <c r="TLN1015" s="135"/>
      <c r="TLO1015" s="135"/>
      <c r="TLP1015" s="135"/>
      <c r="TLQ1015" s="135"/>
      <c r="TLR1015" s="135"/>
      <c r="TLS1015" s="135"/>
      <c r="TLT1015" s="135"/>
      <c r="TLU1015" s="135"/>
      <c r="TLV1015" s="135"/>
      <c r="TLW1015" s="135"/>
      <c r="TLX1015" s="135"/>
      <c r="TLY1015" s="135"/>
      <c r="TLZ1015" s="135"/>
      <c r="TMA1015" s="135"/>
      <c r="TMB1015" s="135"/>
      <c r="TMC1015" s="135"/>
      <c r="TMD1015" s="135"/>
      <c r="TME1015" s="135"/>
      <c r="TMF1015" s="135"/>
      <c r="TMG1015" s="135"/>
      <c r="TMH1015" s="135"/>
      <c r="TMI1015" s="135"/>
      <c r="TMJ1015" s="135"/>
      <c r="TMK1015" s="135"/>
      <c r="TML1015" s="135"/>
      <c r="TMM1015" s="135"/>
      <c r="TMN1015" s="135"/>
      <c r="TMO1015" s="135"/>
      <c r="TMP1015" s="135"/>
      <c r="TMQ1015" s="135"/>
      <c r="TMR1015" s="135"/>
      <c r="TMS1015" s="135"/>
      <c r="TMT1015" s="135"/>
      <c r="TMU1015" s="135"/>
      <c r="TMV1015" s="135"/>
      <c r="TMW1015" s="135"/>
      <c r="TMX1015" s="135"/>
      <c r="TMY1015" s="135"/>
      <c r="TMZ1015" s="135"/>
      <c r="TNA1015" s="135"/>
      <c r="TNB1015" s="135"/>
      <c r="TNC1015" s="135"/>
      <c r="TND1015" s="135"/>
      <c r="TNE1015" s="135"/>
      <c r="TNF1015" s="135"/>
      <c r="TNG1015" s="135"/>
      <c r="TNH1015" s="135"/>
      <c r="TNI1015" s="135"/>
      <c r="TNJ1015" s="135"/>
      <c r="TNK1015" s="135"/>
      <c r="TNL1015" s="135"/>
      <c r="TNM1015" s="135"/>
      <c r="TNN1015" s="135"/>
      <c r="TNO1015" s="135"/>
      <c r="TNP1015" s="135"/>
      <c r="TNQ1015" s="135"/>
      <c r="TNR1015" s="135"/>
      <c r="TNS1015" s="135"/>
      <c r="TNT1015" s="135"/>
      <c r="TNU1015" s="135"/>
      <c r="TNV1015" s="135"/>
      <c r="TNW1015" s="135"/>
      <c r="TNX1015" s="135"/>
      <c r="TNY1015" s="135"/>
      <c r="TNZ1015" s="135"/>
      <c r="TOA1015" s="135"/>
      <c r="TOB1015" s="135"/>
      <c r="TOC1015" s="135"/>
      <c r="TOD1015" s="135"/>
      <c r="TOE1015" s="135"/>
      <c r="TOF1015" s="135"/>
      <c r="TOG1015" s="135"/>
      <c r="TOH1015" s="135"/>
      <c r="TOI1015" s="135"/>
      <c r="TOJ1015" s="135"/>
      <c r="TOK1015" s="135"/>
      <c r="TOL1015" s="135"/>
      <c r="TOM1015" s="135"/>
      <c r="TON1015" s="135"/>
      <c r="TOO1015" s="135"/>
      <c r="TOP1015" s="135"/>
      <c r="TOQ1015" s="135"/>
      <c r="TOR1015" s="135"/>
      <c r="TOS1015" s="135"/>
      <c r="TOT1015" s="135"/>
      <c r="TOU1015" s="135"/>
      <c r="TOV1015" s="135"/>
      <c r="TOW1015" s="135"/>
      <c r="TOX1015" s="135"/>
      <c r="TOY1015" s="135"/>
      <c r="TOZ1015" s="135"/>
      <c r="TPA1015" s="135"/>
      <c r="TPB1015" s="135"/>
      <c r="TPC1015" s="135"/>
      <c r="TPD1015" s="135"/>
      <c r="TPE1015" s="135"/>
      <c r="TPF1015" s="135"/>
      <c r="TPG1015" s="135"/>
      <c r="TPH1015" s="135"/>
      <c r="TPI1015" s="135"/>
      <c r="TPJ1015" s="135"/>
      <c r="TPK1015" s="135"/>
      <c r="TPL1015" s="135"/>
      <c r="TPM1015" s="135"/>
      <c r="TPN1015" s="135"/>
      <c r="TPO1015" s="135"/>
      <c r="TPP1015" s="135"/>
      <c r="TPQ1015" s="135"/>
      <c r="TPR1015" s="135"/>
      <c r="TPS1015" s="135"/>
      <c r="TPT1015" s="135"/>
      <c r="TPU1015" s="135"/>
      <c r="TPV1015" s="135"/>
      <c r="TPW1015" s="135"/>
      <c r="TPX1015" s="135"/>
      <c r="TPY1015" s="135"/>
      <c r="TPZ1015" s="135"/>
      <c r="TQA1015" s="135"/>
      <c r="TQB1015" s="135"/>
      <c r="TQC1015" s="135"/>
      <c r="TQD1015" s="135"/>
      <c r="TQE1015" s="135"/>
      <c r="TQF1015" s="135"/>
      <c r="TQG1015" s="135"/>
      <c r="TQH1015" s="135"/>
      <c r="TQI1015" s="135"/>
      <c r="TQJ1015" s="135"/>
      <c r="TQK1015" s="135"/>
      <c r="TQL1015" s="135"/>
      <c r="TQM1015" s="135"/>
      <c r="TQN1015" s="135"/>
      <c r="TQO1015" s="135"/>
      <c r="TQP1015" s="135"/>
      <c r="TQQ1015" s="135"/>
      <c r="TQR1015" s="135"/>
      <c r="TQS1015" s="135"/>
      <c r="TQT1015" s="135"/>
      <c r="TQU1015" s="135"/>
      <c r="TQV1015" s="135"/>
      <c r="TQW1015" s="135"/>
      <c r="TQX1015" s="135"/>
      <c r="TQY1015" s="135"/>
      <c r="TQZ1015" s="135"/>
      <c r="TRA1015" s="135"/>
      <c r="TRB1015" s="135"/>
      <c r="TRC1015" s="135"/>
      <c r="TRD1015" s="135"/>
      <c r="TRE1015" s="135"/>
      <c r="TRF1015" s="135"/>
      <c r="TRG1015" s="135"/>
      <c r="TRH1015" s="135"/>
      <c r="TRI1015" s="135"/>
      <c r="TRJ1015" s="135"/>
      <c r="TRK1015" s="135"/>
      <c r="TRL1015" s="135"/>
      <c r="TRM1015" s="135"/>
      <c r="TRN1015" s="135"/>
      <c r="TRO1015" s="135"/>
      <c r="TRP1015" s="135"/>
      <c r="TRQ1015" s="135"/>
      <c r="TRR1015" s="135"/>
      <c r="TRS1015" s="135"/>
      <c r="TRT1015" s="135"/>
      <c r="TRU1015" s="135"/>
      <c r="TRV1015" s="135"/>
      <c r="TRW1015" s="135"/>
      <c r="TRX1015" s="135"/>
      <c r="TRY1015" s="135"/>
      <c r="TRZ1015" s="135"/>
      <c r="TSA1015" s="135"/>
      <c r="TSB1015" s="135"/>
      <c r="TSC1015" s="135"/>
      <c r="TSD1015" s="135"/>
      <c r="TSE1015" s="135"/>
      <c r="TSF1015" s="135"/>
      <c r="TSG1015" s="135"/>
      <c r="TSH1015" s="135"/>
      <c r="TSI1015" s="135"/>
      <c r="TSJ1015" s="135"/>
      <c r="TSK1015" s="135"/>
      <c r="TSL1015" s="135"/>
      <c r="TSM1015" s="135"/>
      <c r="TSN1015" s="135"/>
      <c r="TSO1015" s="135"/>
      <c r="TSP1015" s="135"/>
      <c r="TSQ1015" s="135"/>
      <c r="TSR1015" s="135"/>
      <c r="TSS1015" s="135"/>
      <c r="TST1015" s="135"/>
      <c r="TSU1015" s="135"/>
      <c r="TSV1015" s="135"/>
      <c r="TSW1015" s="135"/>
      <c r="TSX1015" s="135"/>
      <c r="TSY1015" s="135"/>
      <c r="TSZ1015" s="135"/>
      <c r="TTA1015" s="135"/>
      <c r="TTB1015" s="135"/>
      <c r="TTC1015" s="135"/>
      <c r="TTD1015" s="135"/>
      <c r="TTE1015" s="135"/>
      <c r="TTF1015" s="135"/>
      <c r="TTG1015" s="135"/>
      <c r="TTH1015" s="135"/>
      <c r="TTI1015" s="135"/>
      <c r="TTJ1015" s="135"/>
      <c r="TTK1015" s="135"/>
      <c r="TTL1015" s="135"/>
      <c r="TTM1015" s="135"/>
      <c r="TTN1015" s="135"/>
      <c r="TTO1015" s="135"/>
      <c r="TTP1015" s="135"/>
      <c r="TTQ1015" s="135"/>
      <c r="TTR1015" s="135"/>
      <c r="TTS1015" s="135"/>
      <c r="TTT1015" s="135"/>
      <c r="TTU1015" s="135"/>
      <c r="TTV1015" s="135"/>
      <c r="TTW1015" s="135"/>
      <c r="TTX1015" s="135"/>
      <c r="TTY1015" s="135"/>
      <c r="TTZ1015" s="135"/>
      <c r="TUA1015" s="135"/>
      <c r="TUB1015" s="135"/>
      <c r="TUC1015" s="135"/>
      <c r="TUD1015" s="135"/>
      <c r="TUE1015" s="135"/>
      <c r="TUF1015" s="135"/>
      <c r="TUG1015" s="135"/>
      <c r="TUH1015" s="135"/>
      <c r="TUI1015" s="135"/>
      <c r="TUJ1015" s="135"/>
      <c r="TUK1015" s="135"/>
      <c r="TUL1015" s="135"/>
      <c r="TUM1015" s="135"/>
      <c r="TUN1015" s="135"/>
      <c r="TUO1015" s="135"/>
      <c r="TUP1015" s="135"/>
      <c r="TUQ1015" s="135"/>
      <c r="TUR1015" s="135"/>
      <c r="TUS1015" s="135"/>
      <c r="TUT1015" s="135"/>
      <c r="TUU1015" s="135"/>
      <c r="TUV1015" s="135"/>
      <c r="TUW1015" s="135"/>
      <c r="TUX1015" s="135"/>
      <c r="TUY1015" s="135"/>
      <c r="TUZ1015" s="135"/>
      <c r="TVA1015" s="135"/>
      <c r="TVB1015" s="135"/>
      <c r="TVC1015" s="135"/>
      <c r="TVD1015" s="135"/>
      <c r="TVE1015" s="135"/>
      <c r="TVF1015" s="135"/>
      <c r="TVG1015" s="135"/>
      <c r="TVH1015" s="135"/>
      <c r="TVI1015" s="135"/>
      <c r="TVJ1015" s="135"/>
      <c r="TVK1015" s="135"/>
      <c r="TVL1015" s="135"/>
      <c r="TVM1015" s="135"/>
      <c r="TVN1015" s="135"/>
      <c r="TVO1015" s="135"/>
      <c r="TVP1015" s="135"/>
      <c r="TVQ1015" s="135"/>
      <c r="TVR1015" s="135"/>
      <c r="TVS1015" s="135"/>
      <c r="TVT1015" s="135"/>
      <c r="TVU1015" s="135"/>
      <c r="TVV1015" s="135"/>
      <c r="TVW1015" s="135"/>
      <c r="TVX1015" s="135"/>
      <c r="TVY1015" s="135"/>
      <c r="TVZ1015" s="135"/>
      <c r="TWA1015" s="135"/>
      <c r="TWB1015" s="135"/>
      <c r="TWC1015" s="135"/>
      <c r="TWD1015" s="135"/>
      <c r="TWE1015" s="135"/>
      <c r="TWF1015" s="135"/>
      <c r="TWG1015" s="135"/>
      <c r="TWH1015" s="135"/>
      <c r="TWI1015" s="135"/>
      <c r="TWJ1015" s="135"/>
      <c r="TWK1015" s="135"/>
      <c r="TWL1015" s="135"/>
      <c r="TWM1015" s="135"/>
      <c r="TWN1015" s="135"/>
      <c r="TWO1015" s="135"/>
      <c r="TWP1015" s="135"/>
      <c r="TWQ1015" s="135"/>
      <c r="TWR1015" s="135"/>
      <c r="TWS1015" s="135"/>
      <c r="TWT1015" s="135"/>
      <c r="TWU1015" s="135"/>
      <c r="TWV1015" s="135"/>
      <c r="TWW1015" s="135"/>
      <c r="TWX1015" s="135"/>
      <c r="TWY1015" s="135"/>
      <c r="TWZ1015" s="135"/>
      <c r="TXA1015" s="135"/>
      <c r="TXB1015" s="135"/>
      <c r="TXC1015" s="135"/>
      <c r="TXD1015" s="135"/>
      <c r="TXE1015" s="135"/>
      <c r="TXF1015" s="135"/>
      <c r="TXG1015" s="135"/>
      <c r="TXH1015" s="135"/>
      <c r="TXI1015" s="135"/>
      <c r="TXJ1015" s="135"/>
      <c r="TXK1015" s="135"/>
      <c r="TXL1015" s="135"/>
      <c r="TXM1015" s="135"/>
      <c r="TXN1015" s="135"/>
      <c r="TXO1015" s="135"/>
      <c r="TXP1015" s="135"/>
      <c r="TXQ1015" s="135"/>
      <c r="TXR1015" s="135"/>
      <c r="TXS1015" s="135"/>
      <c r="TXT1015" s="135"/>
      <c r="TXU1015" s="135"/>
      <c r="TXV1015" s="135"/>
      <c r="TXW1015" s="135"/>
      <c r="TXX1015" s="135"/>
      <c r="TXY1015" s="135"/>
      <c r="TXZ1015" s="135"/>
      <c r="TYA1015" s="135"/>
      <c r="TYB1015" s="135"/>
      <c r="TYC1015" s="135"/>
      <c r="TYD1015" s="135"/>
      <c r="TYE1015" s="135"/>
      <c r="TYF1015" s="135"/>
      <c r="TYG1015" s="135"/>
      <c r="TYH1015" s="135"/>
      <c r="TYI1015" s="135"/>
      <c r="TYJ1015" s="135"/>
      <c r="TYK1015" s="135"/>
      <c r="TYL1015" s="135"/>
      <c r="TYM1015" s="135"/>
      <c r="TYN1015" s="135"/>
      <c r="TYO1015" s="135"/>
      <c r="TYP1015" s="135"/>
      <c r="TYQ1015" s="135"/>
      <c r="TYR1015" s="135"/>
      <c r="TYS1015" s="135"/>
      <c r="TYT1015" s="135"/>
      <c r="TYU1015" s="135"/>
      <c r="TYV1015" s="135"/>
      <c r="TYW1015" s="135"/>
      <c r="TYX1015" s="135"/>
      <c r="TYY1015" s="135"/>
      <c r="TYZ1015" s="135"/>
      <c r="TZA1015" s="135"/>
      <c r="TZB1015" s="135"/>
      <c r="TZC1015" s="135"/>
      <c r="TZD1015" s="135"/>
      <c r="TZE1015" s="135"/>
      <c r="TZF1015" s="135"/>
      <c r="TZG1015" s="135"/>
      <c r="TZH1015" s="135"/>
      <c r="TZI1015" s="135"/>
      <c r="TZJ1015" s="135"/>
      <c r="TZK1015" s="135"/>
      <c r="TZL1015" s="135"/>
      <c r="TZM1015" s="135"/>
      <c r="TZN1015" s="135"/>
      <c r="TZO1015" s="135"/>
      <c r="TZP1015" s="135"/>
      <c r="TZQ1015" s="135"/>
      <c r="TZR1015" s="135"/>
      <c r="TZS1015" s="135"/>
      <c r="TZT1015" s="135"/>
      <c r="TZU1015" s="135"/>
      <c r="TZV1015" s="135"/>
      <c r="TZW1015" s="135"/>
      <c r="TZX1015" s="135"/>
      <c r="TZY1015" s="135"/>
      <c r="TZZ1015" s="135"/>
      <c r="UAA1015" s="135"/>
      <c r="UAB1015" s="135"/>
      <c r="UAC1015" s="135"/>
      <c r="UAD1015" s="135"/>
      <c r="UAE1015" s="135"/>
      <c r="UAF1015" s="135"/>
      <c r="UAG1015" s="135"/>
      <c r="UAH1015" s="135"/>
      <c r="UAI1015" s="135"/>
      <c r="UAJ1015" s="135"/>
      <c r="UAK1015" s="135"/>
      <c r="UAL1015" s="135"/>
      <c r="UAM1015" s="135"/>
      <c r="UAN1015" s="135"/>
      <c r="UAO1015" s="135"/>
      <c r="UAP1015" s="135"/>
      <c r="UAQ1015" s="135"/>
      <c r="UAR1015" s="135"/>
      <c r="UAS1015" s="135"/>
      <c r="UAT1015" s="135"/>
      <c r="UAU1015" s="135"/>
      <c r="UAV1015" s="135"/>
      <c r="UAW1015" s="135"/>
      <c r="UAX1015" s="135"/>
      <c r="UAY1015" s="135"/>
      <c r="UAZ1015" s="135"/>
      <c r="UBA1015" s="135"/>
      <c r="UBB1015" s="135"/>
      <c r="UBC1015" s="135"/>
      <c r="UBD1015" s="135"/>
      <c r="UBE1015" s="135"/>
      <c r="UBF1015" s="135"/>
      <c r="UBG1015" s="135"/>
      <c r="UBH1015" s="135"/>
      <c r="UBI1015" s="135"/>
      <c r="UBJ1015" s="135"/>
      <c r="UBK1015" s="135"/>
      <c r="UBL1015" s="135"/>
      <c r="UBM1015" s="135"/>
      <c r="UBN1015" s="135"/>
      <c r="UBO1015" s="135"/>
      <c r="UBP1015" s="135"/>
      <c r="UBQ1015" s="135"/>
      <c r="UBR1015" s="135"/>
      <c r="UBS1015" s="135"/>
      <c r="UBT1015" s="135"/>
      <c r="UBU1015" s="135"/>
      <c r="UBV1015" s="135"/>
      <c r="UBW1015" s="135"/>
      <c r="UBX1015" s="135"/>
      <c r="UBY1015" s="135"/>
      <c r="UBZ1015" s="135"/>
      <c r="UCA1015" s="135"/>
      <c r="UCB1015" s="135"/>
      <c r="UCC1015" s="135"/>
      <c r="UCD1015" s="135"/>
      <c r="UCE1015" s="135"/>
      <c r="UCF1015" s="135"/>
      <c r="UCG1015" s="135"/>
      <c r="UCH1015" s="135"/>
      <c r="UCI1015" s="135"/>
      <c r="UCJ1015" s="135"/>
      <c r="UCK1015" s="135"/>
      <c r="UCL1015" s="135"/>
      <c r="UCM1015" s="135"/>
      <c r="UCN1015" s="135"/>
      <c r="UCO1015" s="135"/>
      <c r="UCP1015" s="135"/>
      <c r="UCQ1015" s="135"/>
      <c r="UCR1015" s="135"/>
      <c r="UCS1015" s="135"/>
      <c r="UCT1015" s="135"/>
      <c r="UCU1015" s="135"/>
      <c r="UCV1015" s="135"/>
      <c r="UCW1015" s="135"/>
      <c r="UCX1015" s="135"/>
      <c r="UCY1015" s="135"/>
      <c r="UCZ1015" s="135"/>
      <c r="UDA1015" s="135"/>
      <c r="UDB1015" s="135"/>
      <c r="UDC1015" s="135"/>
      <c r="UDD1015" s="135"/>
      <c r="UDE1015" s="135"/>
      <c r="UDF1015" s="135"/>
      <c r="UDG1015" s="135"/>
      <c r="UDH1015" s="135"/>
      <c r="UDI1015" s="135"/>
      <c r="UDJ1015" s="135"/>
      <c r="UDK1015" s="135"/>
      <c r="UDL1015" s="135"/>
      <c r="UDM1015" s="135"/>
      <c r="UDN1015" s="135"/>
      <c r="UDO1015" s="135"/>
      <c r="UDP1015" s="135"/>
      <c r="UDQ1015" s="135"/>
      <c r="UDR1015" s="135"/>
      <c r="UDS1015" s="135"/>
      <c r="UDT1015" s="135"/>
      <c r="UDU1015" s="135"/>
      <c r="UDV1015" s="135"/>
      <c r="UDW1015" s="135"/>
      <c r="UDX1015" s="135"/>
      <c r="UDY1015" s="135"/>
      <c r="UDZ1015" s="135"/>
      <c r="UEA1015" s="135"/>
      <c r="UEB1015" s="135"/>
      <c r="UEC1015" s="135"/>
      <c r="UED1015" s="135"/>
      <c r="UEE1015" s="135"/>
      <c r="UEF1015" s="135"/>
      <c r="UEG1015" s="135"/>
      <c r="UEH1015" s="135"/>
      <c r="UEI1015" s="135"/>
      <c r="UEJ1015" s="135"/>
      <c r="UEK1015" s="135"/>
      <c r="UEL1015" s="135"/>
      <c r="UEM1015" s="135"/>
      <c r="UEN1015" s="135"/>
      <c r="UEO1015" s="135"/>
      <c r="UEP1015" s="135"/>
      <c r="UEQ1015" s="135"/>
      <c r="UER1015" s="135"/>
      <c r="UES1015" s="135"/>
      <c r="UET1015" s="135"/>
      <c r="UEU1015" s="135"/>
      <c r="UEV1015" s="135"/>
      <c r="UEW1015" s="135"/>
      <c r="UEX1015" s="135"/>
      <c r="UEY1015" s="135"/>
      <c r="UEZ1015" s="135"/>
      <c r="UFA1015" s="135"/>
      <c r="UFB1015" s="135"/>
      <c r="UFC1015" s="135"/>
      <c r="UFD1015" s="135"/>
      <c r="UFE1015" s="135"/>
      <c r="UFF1015" s="135"/>
      <c r="UFG1015" s="135"/>
      <c r="UFH1015" s="135"/>
      <c r="UFI1015" s="135"/>
      <c r="UFJ1015" s="135"/>
      <c r="UFK1015" s="135"/>
      <c r="UFL1015" s="135"/>
      <c r="UFM1015" s="135"/>
      <c r="UFN1015" s="135"/>
      <c r="UFO1015" s="135"/>
      <c r="UFP1015" s="135"/>
      <c r="UFQ1015" s="135"/>
      <c r="UFR1015" s="135"/>
      <c r="UFS1015" s="135"/>
      <c r="UFT1015" s="135"/>
      <c r="UFU1015" s="135"/>
      <c r="UFV1015" s="135"/>
      <c r="UFW1015" s="135"/>
      <c r="UFX1015" s="135"/>
      <c r="UFY1015" s="135"/>
      <c r="UFZ1015" s="135"/>
      <c r="UGA1015" s="135"/>
      <c r="UGB1015" s="135"/>
      <c r="UGC1015" s="135"/>
      <c r="UGD1015" s="135"/>
      <c r="UGE1015" s="135"/>
      <c r="UGF1015" s="135"/>
      <c r="UGG1015" s="135"/>
      <c r="UGH1015" s="135"/>
      <c r="UGI1015" s="135"/>
      <c r="UGJ1015" s="135"/>
      <c r="UGK1015" s="135"/>
      <c r="UGL1015" s="135"/>
      <c r="UGM1015" s="135"/>
      <c r="UGN1015" s="135"/>
      <c r="UGO1015" s="135"/>
      <c r="UGP1015" s="135"/>
      <c r="UGQ1015" s="135"/>
      <c r="UGR1015" s="135"/>
      <c r="UGS1015" s="135"/>
      <c r="UGT1015" s="135"/>
      <c r="UGU1015" s="135"/>
      <c r="UGV1015" s="135"/>
      <c r="UGW1015" s="135"/>
      <c r="UGX1015" s="135"/>
      <c r="UGY1015" s="135"/>
      <c r="UGZ1015" s="135"/>
      <c r="UHA1015" s="135"/>
      <c r="UHB1015" s="135"/>
      <c r="UHC1015" s="135"/>
      <c r="UHD1015" s="135"/>
      <c r="UHE1015" s="135"/>
      <c r="UHF1015" s="135"/>
      <c r="UHG1015" s="135"/>
      <c r="UHH1015" s="135"/>
      <c r="UHI1015" s="135"/>
      <c r="UHJ1015" s="135"/>
      <c r="UHK1015" s="135"/>
      <c r="UHL1015" s="135"/>
      <c r="UHM1015" s="135"/>
      <c r="UHN1015" s="135"/>
      <c r="UHO1015" s="135"/>
      <c r="UHP1015" s="135"/>
      <c r="UHQ1015" s="135"/>
      <c r="UHR1015" s="135"/>
      <c r="UHS1015" s="135"/>
      <c r="UHT1015" s="135"/>
      <c r="UHU1015" s="135"/>
      <c r="UHV1015" s="135"/>
      <c r="UHW1015" s="135"/>
      <c r="UHX1015" s="135"/>
      <c r="UHY1015" s="135"/>
      <c r="UHZ1015" s="135"/>
      <c r="UIA1015" s="135"/>
      <c r="UIB1015" s="135"/>
      <c r="UIC1015" s="135"/>
      <c r="UID1015" s="135"/>
      <c r="UIE1015" s="135"/>
      <c r="UIF1015" s="135"/>
      <c r="UIG1015" s="135"/>
      <c r="UIH1015" s="135"/>
      <c r="UII1015" s="135"/>
      <c r="UIJ1015" s="135"/>
      <c r="UIK1015" s="135"/>
      <c r="UIL1015" s="135"/>
      <c r="UIM1015" s="135"/>
      <c r="UIN1015" s="135"/>
      <c r="UIO1015" s="135"/>
      <c r="UIP1015" s="135"/>
      <c r="UIQ1015" s="135"/>
      <c r="UIR1015" s="135"/>
      <c r="UIS1015" s="135"/>
      <c r="UIT1015" s="135"/>
      <c r="UIU1015" s="135"/>
      <c r="UIV1015" s="135"/>
      <c r="UIW1015" s="135"/>
      <c r="UIX1015" s="135"/>
      <c r="UIY1015" s="135"/>
      <c r="UIZ1015" s="135"/>
      <c r="UJA1015" s="135"/>
      <c r="UJB1015" s="135"/>
      <c r="UJC1015" s="135"/>
      <c r="UJD1015" s="135"/>
      <c r="UJE1015" s="135"/>
      <c r="UJF1015" s="135"/>
      <c r="UJG1015" s="135"/>
      <c r="UJH1015" s="135"/>
      <c r="UJI1015" s="135"/>
      <c r="UJJ1015" s="135"/>
      <c r="UJK1015" s="135"/>
      <c r="UJL1015" s="135"/>
      <c r="UJM1015" s="135"/>
      <c r="UJN1015" s="135"/>
      <c r="UJO1015" s="135"/>
      <c r="UJP1015" s="135"/>
      <c r="UJQ1015" s="135"/>
      <c r="UJR1015" s="135"/>
      <c r="UJS1015" s="135"/>
      <c r="UJT1015" s="135"/>
      <c r="UJU1015" s="135"/>
      <c r="UJV1015" s="135"/>
      <c r="UJW1015" s="135"/>
      <c r="UJX1015" s="135"/>
      <c r="UJY1015" s="135"/>
      <c r="UJZ1015" s="135"/>
      <c r="UKA1015" s="135"/>
      <c r="UKB1015" s="135"/>
      <c r="UKC1015" s="135"/>
      <c r="UKD1015" s="135"/>
      <c r="UKE1015" s="135"/>
      <c r="UKF1015" s="135"/>
      <c r="UKG1015" s="135"/>
      <c r="UKH1015" s="135"/>
      <c r="UKI1015" s="135"/>
      <c r="UKJ1015" s="135"/>
      <c r="UKK1015" s="135"/>
      <c r="UKL1015" s="135"/>
      <c r="UKM1015" s="135"/>
      <c r="UKN1015" s="135"/>
      <c r="UKO1015" s="135"/>
      <c r="UKP1015" s="135"/>
      <c r="UKQ1015" s="135"/>
      <c r="UKR1015" s="135"/>
      <c r="UKS1015" s="135"/>
      <c r="UKT1015" s="135"/>
      <c r="UKU1015" s="135"/>
      <c r="UKV1015" s="135"/>
      <c r="UKW1015" s="135"/>
      <c r="UKX1015" s="135"/>
      <c r="UKY1015" s="135"/>
      <c r="UKZ1015" s="135"/>
      <c r="ULA1015" s="135"/>
      <c r="ULB1015" s="135"/>
      <c r="ULC1015" s="135"/>
      <c r="ULD1015" s="135"/>
      <c r="ULE1015" s="135"/>
      <c r="ULF1015" s="135"/>
      <c r="ULG1015" s="135"/>
      <c r="ULH1015" s="135"/>
      <c r="ULI1015" s="135"/>
      <c r="ULJ1015" s="135"/>
      <c r="ULK1015" s="135"/>
      <c r="ULL1015" s="135"/>
      <c r="ULM1015" s="135"/>
      <c r="ULN1015" s="135"/>
      <c r="ULO1015" s="135"/>
      <c r="ULP1015" s="135"/>
      <c r="ULQ1015" s="135"/>
      <c r="ULR1015" s="135"/>
      <c r="ULS1015" s="135"/>
      <c r="ULT1015" s="135"/>
      <c r="ULU1015" s="135"/>
      <c r="ULV1015" s="135"/>
      <c r="ULW1015" s="135"/>
      <c r="ULX1015" s="135"/>
      <c r="ULY1015" s="135"/>
      <c r="ULZ1015" s="135"/>
      <c r="UMA1015" s="135"/>
      <c r="UMB1015" s="135"/>
      <c r="UMC1015" s="135"/>
      <c r="UMD1015" s="135"/>
      <c r="UME1015" s="135"/>
      <c r="UMF1015" s="135"/>
      <c r="UMG1015" s="135"/>
      <c r="UMH1015" s="135"/>
      <c r="UMI1015" s="135"/>
      <c r="UMJ1015" s="135"/>
      <c r="UMK1015" s="135"/>
      <c r="UML1015" s="135"/>
      <c r="UMM1015" s="135"/>
      <c r="UMN1015" s="135"/>
      <c r="UMO1015" s="135"/>
      <c r="UMP1015" s="135"/>
      <c r="UMQ1015" s="135"/>
      <c r="UMR1015" s="135"/>
      <c r="UMS1015" s="135"/>
      <c r="UMT1015" s="135"/>
      <c r="UMU1015" s="135"/>
      <c r="UMV1015" s="135"/>
      <c r="UMW1015" s="135"/>
      <c r="UMX1015" s="135"/>
      <c r="UMY1015" s="135"/>
      <c r="UMZ1015" s="135"/>
      <c r="UNA1015" s="135"/>
      <c r="UNB1015" s="135"/>
      <c r="UNC1015" s="135"/>
      <c r="UND1015" s="135"/>
      <c r="UNE1015" s="135"/>
      <c r="UNF1015" s="135"/>
      <c r="UNG1015" s="135"/>
      <c r="UNH1015" s="135"/>
      <c r="UNI1015" s="135"/>
      <c r="UNJ1015" s="135"/>
      <c r="UNK1015" s="135"/>
      <c r="UNL1015" s="135"/>
      <c r="UNM1015" s="135"/>
      <c r="UNN1015" s="135"/>
      <c r="UNO1015" s="135"/>
      <c r="UNP1015" s="135"/>
      <c r="UNQ1015" s="135"/>
      <c r="UNR1015" s="135"/>
      <c r="UNS1015" s="135"/>
      <c r="UNT1015" s="135"/>
      <c r="UNU1015" s="135"/>
      <c r="UNV1015" s="135"/>
      <c r="UNW1015" s="135"/>
      <c r="UNX1015" s="135"/>
      <c r="UNY1015" s="135"/>
      <c r="UNZ1015" s="135"/>
      <c r="UOA1015" s="135"/>
      <c r="UOB1015" s="135"/>
      <c r="UOC1015" s="135"/>
      <c r="UOD1015" s="135"/>
      <c r="UOE1015" s="135"/>
      <c r="UOF1015" s="135"/>
      <c r="UOG1015" s="135"/>
      <c r="UOH1015" s="135"/>
      <c r="UOI1015" s="135"/>
      <c r="UOJ1015" s="135"/>
      <c r="UOK1015" s="135"/>
      <c r="UOL1015" s="135"/>
      <c r="UOM1015" s="135"/>
      <c r="UON1015" s="135"/>
      <c r="UOO1015" s="135"/>
      <c r="UOP1015" s="135"/>
      <c r="UOQ1015" s="135"/>
      <c r="UOR1015" s="135"/>
      <c r="UOS1015" s="135"/>
      <c r="UOT1015" s="135"/>
      <c r="UOU1015" s="135"/>
      <c r="UOV1015" s="135"/>
      <c r="UOW1015" s="135"/>
      <c r="UOX1015" s="135"/>
      <c r="UOY1015" s="135"/>
      <c r="UOZ1015" s="135"/>
      <c r="UPA1015" s="135"/>
      <c r="UPB1015" s="135"/>
      <c r="UPC1015" s="135"/>
      <c r="UPD1015" s="135"/>
      <c r="UPE1015" s="135"/>
      <c r="UPF1015" s="135"/>
      <c r="UPG1015" s="135"/>
      <c r="UPH1015" s="135"/>
      <c r="UPI1015" s="135"/>
      <c r="UPJ1015" s="135"/>
      <c r="UPK1015" s="135"/>
      <c r="UPL1015" s="135"/>
      <c r="UPM1015" s="135"/>
      <c r="UPN1015" s="135"/>
      <c r="UPO1015" s="135"/>
      <c r="UPP1015" s="135"/>
      <c r="UPQ1015" s="135"/>
      <c r="UPR1015" s="135"/>
      <c r="UPS1015" s="135"/>
      <c r="UPT1015" s="135"/>
      <c r="UPU1015" s="135"/>
      <c r="UPV1015" s="135"/>
      <c r="UPW1015" s="135"/>
      <c r="UPX1015" s="135"/>
      <c r="UPY1015" s="135"/>
      <c r="UPZ1015" s="135"/>
      <c r="UQA1015" s="135"/>
      <c r="UQB1015" s="135"/>
      <c r="UQC1015" s="135"/>
      <c r="UQD1015" s="135"/>
      <c r="UQE1015" s="135"/>
      <c r="UQF1015" s="135"/>
      <c r="UQG1015" s="135"/>
      <c r="UQH1015" s="135"/>
      <c r="UQI1015" s="135"/>
      <c r="UQJ1015" s="135"/>
      <c r="UQK1015" s="135"/>
      <c r="UQL1015" s="135"/>
      <c r="UQM1015" s="135"/>
      <c r="UQN1015" s="135"/>
      <c r="UQO1015" s="135"/>
      <c r="UQP1015" s="135"/>
      <c r="UQQ1015" s="135"/>
      <c r="UQR1015" s="135"/>
      <c r="UQS1015" s="135"/>
      <c r="UQT1015" s="135"/>
      <c r="UQU1015" s="135"/>
      <c r="UQV1015" s="135"/>
      <c r="UQW1015" s="135"/>
      <c r="UQX1015" s="135"/>
      <c r="UQY1015" s="135"/>
      <c r="UQZ1015" s="135"/>
      <c r="URA1015" s="135"/>
      <c r="URB1015" s="135"/>
      <c r="URC1015" s="135"/>
      <c r="URD1015" s="135"/>
      <c r="URE1015" s="135"/>
      <c r="URF1015" s="135"/>
      <c r="URG1015" s="135"/>
      <c r="URH1015" s="135"/>
      <c r="URI1015" s="135"/>
      <c r="URJ1015" s="135"/>
      <c r="URK1015" s="135"/>
      <c r="URL1015" s="135"/>
      <c r="URM1015" s="135"/>
      <c r="URN1015" s="135"/>
      <c r="URO1015" s="135"/>
      <c r="URP1015" s="135"/>
      <c r="URQ1015" s="135"/>
      <c r="URR1015" s="135"/>
      <c r="URS1015" s="135"/>
      <c r="URT1015" s="135"/>
      <c r="URU1015" s="135"/>
      <c r="URV1015" s="135"/>
      <c r="URW1015" s="135"/>
      <c r="URX1015" s="135"/>
      <c r="URY1015" s="135"/>
      <c r="URZ1015" s="135"/>
      <c r="USA1015" s="135"/>
      <c r="USB1015" s="135"/>
      <c r="USC1015" s="135"/>
      <c r="USD1015" s="135"/>
      <c r="USE1015" s="135"/>
      <c r="USF1015" s="135"/>
      <c r="USG1015" s="135"/>
      <c r="USH1015" s="135"/>
      <c r="USI1015" s="135"/>
      <c r="USJ1015" s="135"/>
      <c r="USK1015" s="135"/>
      <c r="USL1015" s="135"/>
      <c r="USM1015" s="135"/>
      <c r="USN1015" s="135"/>
      <c r="USO1015" s="135"/>
      <c r="USP1015" s="135"/>
      <c r="USQ1015" s="135"/>
      <c r="USR1015" s="135"/>
      <c r="USS1015" s="135"/>
      <c r="UST1015" s="135"/>
      <c r="USU1015" s="135"/>
      <c r="USV1015" s="135"/>
      <c r="USW1015" s="135"/>
      <c r="USX1015" s="135"/>
      <c r="USY1015" s="135"/>
      <c r="USZ1015" s="135"/>
      <c r="UTA1015" s="135"/>
      <c r="UTB1015" s="135"/>
      <c r="UTC1015" s="135"/>
      <c r="UTD1015" s="135"/>
      <c r="UTE1015" s="135"/>
      <c r="UTF1015" s="135"/>
      <c r="UTG1015" s="135"/>
      <c r="UTH1015" s="135"/>
      <c r="UTI1015" s="135"/>
      <c r="UTJ1015" s="135"/>
      <c r="UTK1015" s="135"/>
      <c r="UTL1015" s="135"/>
      <c r="UTM1015" s="135"/>
      <c r="UTN1015" s="135"/>
      <c r="UTO1015" s="135"/>
      <c r="UTP1015" s="135"/>
      <c r="UTQ1015" s="135"/>
      <c r="UTR1015" s="135"/>
      <c r="UTS1015" s="135"/>
      <c r="UTT1015" s="135"/>
      <c r="UTU1015" s="135"/>
      <c r="UTV1015" s="135"/>
      <c r="UTW1015" s="135"/>
      <c r="UTX1015" s="135"/>
      <c r="UTY1015" s="135"/>
      <c r="UTZ1015" s="135"/>
      <c r="UUA1015" s="135"/>
      <c r="UUB1015" s="135"/>
      <c r="UUC1015" s="135"/>
      <c r="UUD1015" s="135"/>
      <c r="UUE1015" s="135"/>
      <c r="UUF1015" s="135"/>
      <c r="UUG1015" s="135"/>
      <c r="UUH1015" s="135"/>
      <c r="UUI1015" s="135"/>
      <c r="UUJ1015" s="135"/>
      <c r="UUK1015" s="135"/>
      <c r="UUL1015" s="135"/>
      <c r="UUM1015" s="135"/>
      <c r="UUN1015" s="135"/>
      <c r="UUO1015" s="135"/>
      <c r="UUP1015" s="135"/>
      <c r="UUQ1015" s="135"/>
      <c r="UUR1015" s="135"/>
      <c r="UUS1015" s="135"/>
      <c r="UUT1015" s="135"/>
      <c r="UUU1015" s="135"/>
      <c r="UUV1015" s="135"/>
      <c r="UUW1015" s="135"/>
      <c r="UUX1015" s="135"/>
      <c r="UUY1015" s="135"/>
      <c r="UUZ1015" s="135"/>
      <c r="UVA1015" s="135"/>
      <c r="UVB1015" s="135"/>
      <c r="UVC1015" s="135"/>
      <c r="UVD1015" s="135"/>
      <c r="UVE1015" s="135"/>
      <c r="UVF1015" s="135"/>
      <c r="UVG1015" s="135"/>
      <c r="UVH1015" s="135"/>
      <c r="UVI1015" s="135"/>
      <c r="UVJ1015" s="135"/>
      <c r="UVK1015" s="135"/>
      <c r="UVL1015" s="135"/>
      <c r="UVM1015" s="135"/>
      <c r="UVN1015" s="135"/>
      <c r="UVO1015" s="135"/>
      <c r="UVP1015" s="135"/>
      <c r="UVQ1015" s="135"/>
      <c r="UVR1015" s="135"/>
      <c r="UVS1015" s="135"/>
      <c r="UVT1015" s="135"/>
      <c r="UVU1015" s="135"/>
      <c r="UVV1015" s="135"/>
      <c r="UVW1015" s="135"/>
      <c r="UVX1015" s="135"/>
      <c r="UVY1015" s="135"/>
      <c r="UVZ1015" s="135"/>
      <c r="UWA1015" s="135"/>
      <c r="UWB1015" s="135"/>
      <c r="UWC1015" s="135"/>
      <c r="UWD1015" s="135"/>
      <c r="UWE1015" s="135"/>
      <c r="UWF1015" s="135"/>
      <c r="UWG1015" s="135"/>
      <c r="UWH1015" s="135"/>
      <c r="UWI1015" s="135"/>
      <c r="UWJ1015" s="135"/>
      <c r="UWK1015" s="135"/>
      <c r="UWL1015" s="135"/>
      <c r="UWM1015" s="135"/>
      <c r="UWN1015" s="135"/>
      <c r="UWO1015" s="135"/>
      <c r="UWP1015" s="135"/>
      <c r="UWQ1015" s="135"/>
      <c r="UWR1015" s="135"/>
      <c r="UWS1015" s="135"/>
      <c r="UWT1015" s="135"/>
      <c r="UWU1015" s="135"/>
      <c r="UWV1015" s="135"/>
      <c r="UWW1015" s="135"/>
      <c r="UWX1015" s="135"/>
      <c r="UWY1015" s="135"/>
      <c r="UWZ1015" s="135"/>
      <c r="UXA1015" s="135"/>
      <c r="UXB1015" s="135"/>
      <c r="UXC1015" s="135"/>
      <c r="UXD1015" s="135"/>
      <c r="UXE1015" s="135"/>
      <c r="UXF1015" s="135"/>
      <c r="UXG1015" s="135"/>
      <c r="UXH1015" s="135"/>
      <c r="UXI1015" s="135"/>
      <c r="UXJ1015" s="135"/>
      <c r="UXK1015" s="135"/>
      <c r="UXL1015" s="135"/>
      <c r="UXM1015" s="135"/>
      <c r="UXN1015" s="135"/>
      <c r="UXO1015" s="135"/>
      <c r="UXP1015" s="135"/>
      <c r="UXQ1015" s="135"/>
      <c r="UXR1015" s="135"/>
      <c r="UXS1015" s="135"/>
      <c r="UXT1015" s="135"/>
      <c r="UXU1015" s="135"/>
      <c r="UXV1015" s="135"/>
      <c r="UXW1015" s="135"/>
      <c r="UXX1015" s="135"/>
      <c r="UXY1015" s="135"/>
      <c r="UXZ1015" s="135"/>
      <c r="UYA1015" s="135"/>
      <c r="UYB1015" s="135"/>
      <c r="UYC1015" s="135"/>
      <c r="UYD1015" s="135"/>
      <c r="UYE1015" s="135"/>
      <c r="UYF1015" s="135"/>
      <c r="UYG1015" s="135"/>
      <c r="UYH1015" s="135"/>
      <c r="UYI1015" s="135"/>
      <c r="UYJ1015" s="135"/>
      <c r="UYK1015" s="135"/>
      <c r="UYL1015" s="135"/>
      <c r="UYM1015" s="135"/>
      <c r="UYN1015" s="135"/>
      <c r="UYO1015" s="135"/>
      <c r="UYP1015" s="135"/>
      <c r="UYQ1015" s="135"/>
      <c r="UYR1015" s="135"/>
      <c r="UYS1015" s="135"/>
      <c r="UYT1015" s="135"/>
      <c r="UYU1015" s="135"/>
      <c r="UYV1015" s="135"/>
      <c r="UYW1015" s="135"/>
      <c r="UYX1015" s="135"/>
      <c r="UYY1015" s="135"/>
      <c r="UYZ1015" s="135"/>
      <c r="UZA1015" s="135"/>
      <c r="UZB1015" s="135"/>
      <c r="UZC1015" s="135"/>
      <c r="UZD1015" s="135"/>
      <c r="UZE1015" s="135"/>
      <c r="UZF1015" s="135"/>
      <c r="UZG1015" s="135"/>
      <c r="UZH1015" s="135"/>
      <c r="UZI1015" s="135"/>
      <c r="UZJ1015" s="135"/>
      <c r="UZK1015" s="135"/>
      <c r="UZL1015" s="135"/>
      <c r="UZM1015" s="135"/>
      <c r="UZN1015" s="135"/>
      <c r="UZO1015" s="135"/>
      <c r="UZP1015" s="135"/>
      <c r="UZQ1015" s="135"/>
      <c r="UZR1015" s="135"/>
      <c r="UZS1015" s="135"/>
      <c r="UZT1015" s="135"/>
      <c r="UZU1015" s="135"/>
      <c r="UZV1015" s="135"/>
      <c r="UZW1015" s="135"/>
      <c r="UZX1015" s="135"/>
      <c r="UZY1015" s="135"/>
      <c r="UZZ1015" s="135"/>
      <c r="VAA1015" s="135"/>
      <c r="VAB1015" s="135"/>
      <c r="VAC1015" s="135"/>
      <c r="VAD1015" s="135"/>
      <c r="VAE1015" s="135"/>
      <c r="VAF1015" s="135"/>
      <c r="VAG1015" s="135"/>
      <c r="VAH1015" s="135"/>
      <c r="VAI1015" s="135"/>
      <c r="VAJ1015" s="135"/>
      <c r="VAK1015" s="135"/>
      <c r="VAL1015" s="135"/>
      <c r="VAM1015" s="135"/>
      <c r="VAN1015" s="135"/>
      <c r="VAO1015" s="135"/>
      <c r="VAP1015" s="135"/>
      <c r="VAQ1015" s="135"/>
      <c r="VAR1015" s="135"/>
      <c r="VAS1015" s="135"/>
      <c r="VAT1015" s="135"/>
      <c r="VAU1015" s="135"/>
      <c r="VAV1015" s="135"/>
      <c r="VAW1015" s="135"/>
      <c r="VAX1015" s="135"/>
      <c r="VAY1015" s="135"/>
      <c r="VAZ1015" s="135"/>
      <c r="VBA1015" s="135"/>
      <c r="VBB1015" s="135"/>
      <c r="VBC1015" s="135"/>
      <c r="VBD1015" s="135"/>
      <c r="VBE1015" s="135"/>
      <c r="VBF1015" s="135"/>
      <c r="VBG1015" s="135"/>
      <c r="VBH1015" s="135"/>
      <c r="VBI1015" s="135"/>
      <c r="VBJ1015" s="135"/>
      <c r="VBK1015" s="135"/>
      <c r="VBL1015" s="135"/>
      <c r="VBM1015" s="135"/>
      <c r="VBN1015" s="135"/>
      <c r="VBO1015" s="135"/>
      <c r="VBP1015" s="135"/>
      <c r="VBQ1015" s="135"/>
      <c r="VBR1015" s="135"/>
      <c r="VBS1015" s="135"/>
      <c r="VBT1015" s="135"/>
      <c r="VBU1015" s="135"/>
      <c r="VBV1015" s="135"/>
      <c r="VBW1015" s="135"/>
      <c r="VBX1015" s="135"/>
      <c r="VBY1015" s="135"/>
      <c r="VBZ1015" s="135"/>
      <c r="VCA1015" s="135"/>
      <c r="VCB1015" s="135"/>
      <c r="VCC1015" s="135"/>
      <c r="VCD1015" s="135"/>
      <c r="VCE1015" s="135"/>
      <c r="VCF1015" s="135"/>
      <c r="VCG1015" s="135"/>
      <c r="VCH1015" s="135"/>
      <c r="VCI1015" s="135"/>
      <c r="VCJ1015" s="135"/>
      <c r="VCK1015" s="135"/>
      <c r="VCL1015" s="135"/>
      <c r="VCM1015" s="135"/>
      <c r="VCN1015" s="135"/>
      <c r="VCO1015" s="135"/>
      <c r="VCP1015" s="135"/>
      <c r="VCQ1015" s="135"/>
      <c r="VCR1015" s="135"/>
      <c r="VCS1015" s="135"/>
      <c r="VCT1015" s="135"/>
      <c r="VCU1015" s="135"/>
      <c r="VCV1015" s="135"/>
      <c r="VCW1015" s="135"/>
      <c r="VCX1015" s="135"/>
      <c r="VCY1015" s="135"/>
      <c r="VCZ1015" s="135"/>
      <c r="VDA1015" s="135"/>
      <c r="VDB1015" s="135"/>
      <c r="VDC1015" s="135"/>
      <c r="VDD1015" s="135"/>
      <c r="VDE1015" s="135"/>
      <c r="VDF1015" s="135"/>
      <c r="VDG1015" s="135"/>
      <c r="VDH1015" s="135"/>
      <c r="VDI1015" s="135"/>
      <c r="VDJ1015" s="135"/>
      <c r="VDK1015" s="135"/>
      <c r="VDL1015" s="135"/>
      <c r="VDM1015" s="135"/>
      <c r="VDN1015" s="135"/>
      <c r="VDO1015" s="135"/>
      <c r="VDP1015" s="135"/>
      <c r="VDQ1015" s="135"/>
      <c r="VDR1015" s="135"/>
      <c r="VDS1015" s="135"/>
      <c r="VDT1015" s="135"/>
      <c r="VDU1015" s="135"/>
      <c r="VDV1015" s="135"/>
      <c r="VDW1015" s="135"/>
      <c r="VDX1015" s="135"/>
      <c r="VDY1015" s="135"/>
      <c r="VDZ1015" s="135"/>
      <c r="VEA1015" s="135"/>
      <c r="VEB1015" s="135"/>
      <c r="VEC1015" s="135"/>
      <c r="VED1015" s="135"/>
      <c r="VEE1015" s="135"/>
      <c r="VEF1015" s="135"/>
      <c r="VEG1015" s="135"/>
      <c r="VEH1015" s="135"/>
      <c r="VEI1015" s="135"/>
      <c r="VEJ1015" s="135"/>
      <c r="VEK1015" s="135"/>
      <c r="VEL1015" s="135"/>
      <c r="VEM1015" s="135"/>
      <c r="VEN1015" s="135"/>
      <c r="VEO1015" s="135"/>
      <c r="VEP1015" s="135"/>
      <c r="VEQ1015" s="135"/>
      <c r="VER1015" s="135"/>
      <c r="VES1015" s="135"/>
      <c r="VET1015" s="135"/>
      <c r="VEU1015" s="135"/>
      <c r="VEV1015" s="135"/>
      <c r="VEW1015" s="135"/>
      <c r="VEX1015" s="135"/>
      <c r="VEY1015" s="135"/>
      <c r="VEZ1015" s="135"/>
      <c r="VFA1015" s="135"/>
      <c r="VFB1015" s="135"/>
      <c r="VFC1015" s="135"/>
      <c r="VFD1015" s="135"/>
      <c r="VFE1015" s="135"/>
      <c r="VFF1015" s="135"/>
      <c r="VFG1015" s="135"/>
      <c r="VFH1015" s="135"/>
      <c r="VFI1015" s="135"/>
      <c r="VFJ1015" s="135"/>
      <c r="VFK1015" s="135"/>
      <c r="VFL1015" s="135"/>
      <c r="VFM1015" s="135"/>
      <c r="VFN1015" s="135"/>
      <c r="VFO1015" s="135"/>
      <c r="VFP1015" s="135"/>
      <c r="VFQ1015" s="135"/>
      <c r="VFR1015" s="135"/>
      <c r="VFS1015" s="135"/>
      <c r="VFT1015" s="135"/>
      <c r="VFU1015" s="135"/>
      <c r="VFV1015" s="135"/>
      <c r="VFW1015" s="135"/>
      <c r="VFX1015" s="135"/>
      <c r="VFY1015" s="135"/>
      <c r="VFZ1015" s="135"/>
      <c r="VGA1015" s="135"/>
      <c r="VGB1015" s="135"/>
      <c r="VGC1015" s="135"/>
      <c r="VGD1015" s="135"/>
      <c r="VGE1015" s="135"/>
      <c r="VGF1015" s="135"/>
      <c r="VGG1015" s="135"/>
      <c r="VGH1015" s="135"/>
      <c r="VGI1015" s="135"/>
      <c r="VGJ1015" s="135"/>
      <c r="VGK1015" s="135"/>
      <c r="VGL1015" s="135"/>
      <c r="VGM1015" s="135"/>
      <c r="VGN1015" s="135"/>
      <c r="VGO1015" s="135"/>
      <c r="VGP1015" s="135"/>
      <c r="VGQ1015" s="135"/>
      <c r="VGR1015" s="135"/>
      <c r="VGS1015" s="135"/>
      <c r="VGT1015" s="135"/>
      <c r="VGU1015" s="135"/>
      <c r="VGV1015" s="135"/>
      <c r="VGW1015" s="135"/>
      <c r="VGX1015" s="135"/>
      <c r="VGY1015" s="135"/>
      <c r="VGZ1015" s="135"/>
      <c r="VHA1015" s="135"/>
      <c r="VHB1015" s="135"/>
      <c r="VHC1015" s="135"/>
      <c r="VHD1015" s="135"/>
      <c r="VHE1015" s="135"/>
      <c r="VHF1015" s="135"/>
      <c r="VHG1015" s="135"/>
      <c r="VHH1015" s="135"/>
      <c r="VHI1015" s="135"/>
      <c r="VHJ1015" s="135"/>
      <c r="VHK1015" s="135"/>
      <c r="VHL1015" s="135"/>
      <c r="VHM1015" s="135"/>
      <c r="VHN1015" s="135"/>
      <c r="VHO1015" s="135"/>
      <c r="VHP1015" s="135"/>
      <c r="VHQ1015" s="135"/>
      <c r="VHR1015" s="135"/>
      <c r="VHS1015" s="135"/>
      <c r="VHT1015" s="135"/>
      <c r="VHU1015" s="135"/>
      <c r="VHV1015" s="135"/>
      <c r="VHW1015" s="135"/>
      <c r="VHX1015" s="135"/>
      <c r="VHY1015" s="135"/>
      <c r="VHZ1015" s="135"/>
      <c r="VIA1015" s="135"/>
      <c r="VIB1015" s="135"/>
      <c r="VIC1015" s="135"/>
      <c r="VID1015" s="135"/>
      <c r="VIE1015" s="135"/>
      <c r="VIF1015" s="135"/>
      <c r="VIG1015" s="135"/>
      <c r="VIH1015" s="135"/>
      <c r="VII1015" s="135"/>
      <c r="VIJ1015" s="135"/>
      <c r="VIK1015" s="135"/>
      <c r="VIL1015" s="135"/>
      <c r="VIM1015" s="135"/>
      <c r="VIN1015" s="135"/>
      <c r="VIO1015" s="135"/>
      <c r="VIP1015" s="135"/>
      <c r="VIQ1015" s="135"/>
      <c r="VIR1015" s="135"/>
      <c r="VIS1015" s="135"/>
      <c r="VIT1015" s="135"/>
      <c r="VIU1015" s="135"/>
      <c r="VIV1015" s="135"/>
      <c r="VIW1015" s="135"/>
      <c r="VIX1015" s="135"/>
      <c r="VIY1015" s="135"/>
      <c r="VIZ1015" s="135"/>
      <c r="VJA1015" s="135"/>
      <c r="VJB1015" s="135"/>
      <c r="VJC1015" s="135"/>
      <c r="VJD1015" s="135"/>
      <c r="VJE1015" s="135"/>
      <c r="VJF1015" s="135"/>
      <c r="VJG1015" s="135"/>
      <c r="VJH1015" s="135"/>
      <c r="VJI1015" s="135"/>
      <c r="VJJ1015" s="135"/>
      <c r="VJK1015" s="135"/>
      <c r="VJL1015" s="135"/>
      <c r="VJM1015" s="135"/>
      <c r="VJN1015" s="135"/>
      <c r="VJO1015" s="135"/>
      <c r="VJP1015" s="135"/>
      <c r="VJQ1015" s="135"/>
      <c r="VJR1015" s="135"/>
      <c r="VJS1015" s="135"/>
      <c r="VJT1015" s="135"/>
      <c r="VJU1015" s="135"/>
      <c r="VJV1015" s="135"/>
      <c r="VJW1015" s="135"/>
      <c r="VJX1015" s="135"/>
      <c r="VJY1015" s="135"/>
      <c r="VJZ1015" s="135"/>
      <c r="VKA1015" s="135"/>
      <c r="VKB1015" s="135"/>
      <c r="VKC1015" s="135"/>
      <c r="VKD1015" s="135"/>
      <c r="VKE1015" s="135"/>
      <c r="VKF1015" s="135"/>
      <c r="VKG1015" s="135"/>
      <c r="VKH1015" s="135"/>
      <c r="VKI1015" s="135"/>
      <c r="VKJ1015" s="135"/>
      <c r="VKK1015" s="135"/>
      <c r="VKL1015" s="135"/>
      <c r="VKM1015" s="135"/>
      <c r="VKN1015" s="135"/>
      <c r="VKO1015" s="135"/>
      <c r="VKP1015" s="135"/>
      <c r="VKQ1015" s="135"/>
      <c r="VKR1015" s="135"/>
      <c r="VKS1015" s="135"/>
      <c r="VKT1015" s="135"/>
      <c r="VKU1015" s="135"/>
      <c r="VKV1015" s="135"/>
      <c r="VKW1015" s="135"/>
      <c r="VKX1015" s="135"/>
      <c r="VKY1015" s="135"/>
      <c r="VKZ1015" s="135"/>
      <c r="VLA1015" s="135"/>
      <c r="VLB1015" s="135"/>
      <c r="VLC1015" s="135"/>
      <c r="VLD1015" s="135"/>
      <c r="VLE1015" s="135"/>
      <c r="VLF1015" s="135"/>
      <c r="VLG1015" s="135"/>
      <c r="VLH1015" s="135"/>
      <c r="VLI1015" s="135"/>
      <c r="VLJ1015" s="135"/>
      <c r="VLK1015" s="135"/>
      <c r="VLL1015" s="135"/>
      <c r="VLM1015" s="135"/>
      <c r="VLN1015" s="135"/>
      <c r="VLO1015" s="135"/>
      <c r="VLP1015" s="135"/>
      <c r="VLQ1015" s="135"/>
      <c r="VLR1015" s="135"/>
      <c r="VLS1015" s="135"/>
      <c r="VLT1015" s="135"/>
      <c r="VLU1015" s="135"/>
      <c r="VLV1015" s="135"/>
      <c r="VLW1015" s="135"/>
      <c r="VLX1015" s="135"/>
      <c r="VLY1015" s="135"/>
      <c r="VLZ1015" s="135"/>
      <c r="VMA1015" s="135"/>
      <c r="VMB1015" s="135"/>
      <c r="VMC1015" s="135"/>
      <c r="VMD1015" s="135"/>
      <c r="VME1015" s="135"/>
      <c r="VMF1015" s="135"/>
      <c r="VMG1015" s="135"/>
      <c r="VMH1015" s="135"/>
      <c r="VMI1015" s="135"/>
      <c r="VMJ1015" s="135"/>
      <c r="VMK1015" s="135"/>
      <c r="VML1015" s="135"/>
      <c r="VMM1015" s="135"/>
      <c r="VMN1015" s="135"/>
      <c r="VMO1015" s="135"/>
      <c r="VMP1015" s="135"/>
      <c r="VMQ1015" s="135"/>
      <c r="VMR1015" s="135"/>
      <c r="VMS1015" s="135"/>
      <c r="VMT1015" s="135"/>
      <c r="VMU1015" s="135"/>
      <c r="VMV1015" s="135"/>
      <c r="VMW1015" s="135"/>
      <c r="VMX1015" s="135"/>
      <c r="VMY1015" s="135"/>
      <c r="VMZ1015" s="135"/>
      <c r="VNA1015" s="135"/>
      <c r="VNB1015" s="135"/>
      <c r="VNC1015" s="135"/>
      <c r="VND1015" s="135"/>
      <c r="VNE1015" s="135"/>
      <c r="VNF1015" s="135"/>
      <c r="VNG1015" s="135"/>
      <c r="VNH1015" s="135"/>
      <c r="VNI1015" s="135"/>
      <c r="VNJ1015" s="135"/>
      <c r="VNK1015" s="135"/>
      <c r="VNL1015" s="135"/>
      <c r="VNM1015" s="135"/>
      <c r="VNN1015" s="135"/>
      <c r="VNO1015" s="135"/>
      <c r="VNP1015" s="135"/>
      <c r="VNQ1015" s="135"/>
      <c r="VNR1015" s="135"/>
      <c r="VNS1015" s="135"/>
      <c r="VNT1015" s="135"/>
      <c r="VNU1015" s="135"/>
      <c r="VNV1015" s="135"/>
      <c r="VNW1015" s="135"/>
      <c r="VNX1015" s="135"/>
      <c r="VNY1015" s="135"/>
      <c r="VNZ1015" s="135"/>
      <c r="VOA1015" s="135"/>
      <c r="VOB1015" s="135"/>
      <c r="VOC1015" s="135"/>
      <c r="VOD1015" s="135"/>
      <c r="VOE1015" s="135"/>
      <c r="VOF1015" s="135"/>
      <c r="VOG1015" s="135"/>
      <c r="VOH1015" s="135"/>
      <c r="VOI1015" s="135"/>
      <c r="VOJ1015" s="135"/>
      <c r="VOK1015" s="135"/>
      <c r="VOL1015" s="135"/>
      <c r="VOM1015" s="135"/>
      <c r="VON1015" s="135"/>
      <c r="VOO1015" s="135"/>
      <c r="VOP1015" s="135"/>
      <c r="VOQ1015" s="135"/>
      <c r="VOR1015" s="135"/>
      <c r="VOS1015" s="135"/>
      <c r="VOT1015" s="135"/>
      <c r="VOU1015" s="135"/>
      <c r="VOV1015" s="135"/>
      <c r="VOW1015" s="135"/>
      <c r="VOX1015" s="135"/>
      <c r="VOY1015" s="135"/>
      <c r="VOZ1015" s="135"/>
      <c r="VPA1015" s="135"/>
      <c r="VPB1015" s="135"/>
      <c r="VPC1015" s="135"/>
      <c r="VPD1015" s="135"/>
      <c r="VPE1015" s="135"/>
      <c r="VPF1015" s="135"/>
      <c r="VPG1015" s="135"/>
      <c r="VPH1015" s="135"/>
      <c r="VPI1015" s="135"/>
      <c r="VPJ1015" s="135"/>
      <c r="VPK1015" s="135"/>
      <c r="VPL1015" s="135"/>
      <c r="VPM1015" s="135"/>
      <c r="VPN1015" s="135"/>
      <c r="VPO1015" s="135"/>
      <c r="VPP1015" s="135"/>
      <c r="VPQ1015" s="135"/>
      <c r="VPR1015" s="135"/>
      <c r="VPS1015" s="135"/>
      <c r="VPT1015" s="135"/>
      <c r="VPU1015" s="135"/>
      <c r="VPV1015" s="135"/>
      <c r="VPW1015" s="135"/>
      <c r="VPX1015" s="135"/>
      <c r="VPY1015" s="135"/>
      <c r="VPZ1015" s="135"/>
      <c r="VQA1015" s="135"/>
      <c r="VQB1015" s="135"/>
      <c r="VQC1015" s="135"/>
      <c r="VQD1015" s="135"/>
      <c r="VQE1015" s="135"/>
      <c r="VQF1015" s="135"/>
      <c r="VQG1015" s="135"/>
      <c r="VQH1015" s="135"/>
      <c r="VQI1015" s="135"/>
      <c r="VQJ1015" s="135"/>
      <c r="VQK1015" s="135"/>
      <c r="VQL1015" s="135"/>
      <c r="VQM1015" s="135"/>
      <c r="VQN1015" s="135"/>
      <c r="VQO1015" s="135"/>
      <c r="VQP1015" s="135"/>
      <c r="VQQ1015" s="135"/>
      <c r="VQR1015" s="135"/>
      <c r="VQS1015" s="135"/>
      <c r="VQT1015" s="135"/>
      <c r="VQU1015" s="135"/>
      <c r="VQV1015" s="135"/>
      <c r="VQW1015" s="135"/>
      <c r="VQX1015" s="135"/>
      <c r="VQY1015" s="135"/>
      <c r="VQZ1015" s="135"/>
      <c r="VRA1015" s="135"/>
      <c r="VRB1015" s="135"/>
      <c r="VRC1015" s="135"/>
      <c r="VRD1015" s="135"/>
      <c r="VRE1015" s="135"/>
      <c r="VRF1015" s="135"/>
      <c r="VRG1015" s="135"/>
      <c r="VRH1015" s="135"/>
      <c r="VRI1015" s="135"/>
      <c r="VRJ1015" s="135"/>
      <c r="VRK1015" s="135"/>
      <c r="VRL1015" s="135"/>
      <c r="VRM1015" s="135"/>
      <c r="VRN1015" s="135"/>
      <c r="VRO1015" s="135"/>
      <c r="VRP1015" s="135"/>
      <c r="VRQ1015" s="135"/>
      <c r="VRR1015" s="135"/>
      <c r="VRS1015" s="135"/>
      <c r="VRT1015" s="135"/>
      <c r="VRU1015" s="135"/>
      <c r="VRV1015" s="135"/>
      <c r="VRW1015" s="135"/>
      <c r="VRX1015" s="135"/>
      <c r="VRY1015" s="135"/>
      <c r="VRZ1015" s="135"/>
      <c r="VSA1015" s="135"/>
      <c r="VSB1015" s="135"/>
      <c r="VSC1015" s="135"/>
      <c r="VSD1015" s="135"/>
      <c r="VSE1015" s="135"/>
      <c r="VSF1015" s="135"/>
      <c r="VSG1015" s="135"/>
      <c r="VSH1015" s="135"/>
      <c r="VSI1015" s="135"/>
      <c r="VSJ1015" s="135"/>
      <c r="VSK1015" s="135"/>
      <c r="VSL1015" s="135"/>
      <c r="VSM1015" s="135"/>
      <c r="VSN1015" s="135"/>
      <c r="VSO1015" s="135"/>
      <c r="VSP1015" s="135"/>
      <c r="VSQ1015" s="135"/>
      <c r="VSR1015" s="135"/>
      <c r="VSS1015" s="135"/>
      <c r="VST1015" s="135"/>
      <c r="VSU1015" s="135"/>
      <c r="VSV1015" s="135"/>
      <c r="VSW1015" s="135"/>
      <c r="VSX1015" s="135"/>
      <c r="VSY1015" s="135"/>
      <c r="VSZ1015" s="135"/>
      <c r="VTA1015" s="135"/>
      <c r="VTB1015" s="135"/>
      <c r="VTC1015" s="135"/>
      <c r="VTD1015" s="135"/>
      <c r="VTE1015" s="135"/>
      <c r="VTF1015" s="135"/>
      <c r="VTG1015" s="135"/>
      <c r="VTH1015" s="135"/>
      <c r="VTI1015" s="135"/>
      <c r="VTJ1015" s="135"/>
      <c r="VTK1015" s="135"/>
      <c r="VTL1015" s="135"/>
      <c r="VTM1015" s="135"/>
      <c r="VTN1015" s="135"/>
      <c r="VTO1015" s="135"/>
      <c r="VTP1015" s="135"/>
      <c r="VTQ1015" s="135"/>
      <c r="VTR1015" s="135"/>
      <c r="VTS1015" s="135"/>
      <c r="VTT1015" s="135"/>
      <c r="VTU1015" s="135"/>
      <c r="VTV1015" s="135"/>
      <c r="VTW1015" s="135"/>
      <c r="VTX1015" s="135"/>
      <c r="VTY1015" s="135"/>
      <c r="VTZ1015" s="135"/>
      <c r="VUA1015" s="135"/>
      <c r="VUB1015" s="135"/>
      <c r="VUC1015" s="135"/>
      <c r="VUD1015" s="135"/>
      <c r="VUE1015" s="135"/>
      <c r="VUF1015" s="135"/>
      <c r="VUG1015" s="135"/>
      <c r="VUH1015" s="135"/>
      <c r="VUI1015" s="135"/>
      <c r="VUJ1015" s="135"/>
      <c r="VUK1015" s="135"/>
      <c r="VUL1015" s="135"/>
      <c r="VUM1015" s="135"/>
      <c r="VUN1015" s="135"/>
      <c r="VUO1015" s="135"/>
      <c r="VUP1015" s="135"/>
      <c r="VUQ1015" s="135"/>
      <c r="VUR1015" s="135"/>
      <c r="VUS1015" s="135"/>
      <c r="VUT1015" s="135"/>
      <c r="VUU1015" s="135"/>
      <c r="VUV1015" s="135"/>
      <c r="VUW1015" s="135"/>
      <c r="VUX1015" s="135"/>
      <c r="VUY1015" s="135"/>
      <c r="VUZ1015" s="135"/>
      <c r="VVA1015" s="135"/>
      <c r="VVB1015" s="135"/>
      <c r="VVC1015" s="135"/>
      <c r="VVD1015" s="135"/>
      <c r="VVE1015" s="135"/>
      <c r="VVF1015" s="135"/>
      <c r="VVG1015" s="135"/>
      <c r="VVH1015" s="135"/>
      <c r="VVI1015" s="135"/>
      <c r="VVJ1015" s="135"/>
      <c r="VVK1015" s="135"/>
      <c r="VVL1015" s="135"/>
      <c r="VVM1015" s="135"/>
      <c r="VVN1015" s="135"/>
      <c r="VVO1015" s="135"/>
      <c r="VVP1015" s="135"/>
      <c r="VVQ1015" s="135"/>
      <c r="VVR1015" s="135"/>
      <c r="VVS1015" s="135"/>
      <c r="VVT1015" s="135"/>
      <c r="VVU1015" s="135"/>
      <c r="VVV1015" s="135"/>
      <c r="VVW1015" s="135"/>
      <c r="VVX1015" s="135"/>
      <c r="VVY1015" s="135"/>
      <c r="VVZ1015" s="135"/>
      <c r="VWA1015" s="135"/>
      <c r="VWB1015" s="135"/>
      <c r="VWC1015" s="135"/>
      <c r="VWD1015" s="135"/>
      <c r="VWE1015" s="135"/>
      <c r="VWF1015" s="135"/>
      <c r="VWG1015" s="135"/>
      <c r="VWH1015" s="135"/>
      <c r="VWI1015" s="135"/>
      <c r="VWJ1015" s="135"/>
      <c r="VWK1015" s="135"/>
      <c r="VWL1015" s="135"/>
      <c r="VWM1015" s="135"/>
      <c r="VWN1015" s="135"/>
      <c r="VWO1015" s="135"/>
      <c r="VWP1015" s="135"/>
      <c r="VWQ1015" s="135"/>
      <c r="VWR1015" s="135"/>
      <c r="VWS1015" s="135"/>
      <c r="VWT1015" s="135"/>
      <c r="VWU1015" s="135"/>
      <c r="VWV1015" s="135"/>
      <c r="VWW1015" s="135"/>
      <c r="VWX1015" s="135"/>
      <c r="VWY1015" s="135"/>
      <c r="VWZ1015" s="135"/>
      <c r="VXA1015" s="135"/>
      <c r="VXB1015" s="135"/>
      <c r="VXC1015" s="135"/>
      <c r="VXD1015" s="135"/>
      <c r="VXE1015" s="135"/>
      <c r="VXF1015" s="135"/>
      <c r="VXG1015" s="135"/>
      <c r="VXH1015" s="135"/>
      <c r="VXI1015" s="135"/>
      <c r="VXJ1015" s="135"/>
      <c r="VXK1015" s="135"/>
      <c r="VXL1015" s="135"/>
      <c r="VXM1015" s="135"/>
      <c r="VXN1015" s="135"/>
      <c r="VXO1015" s="135"/>
      <c r="VXP1015" s="135"/>
      <c r="VXQ1015" s="135"/>
      <c r="VXR1015" s="135"/>
      <c r="VXS1015" s="135"/>
      <c r="VXT1015" s="135"/>
      <c r="VXU1015" s="135"/>
      <c r="VXV1015" s="135"/>
      <c r="VXW1015" s="135"/>
      <c r="VXX1015" s="135"/>
      <c r="VXY1015" s="135"/>
      <c r="VXZ1015" s="135"/>
      <c r="VYA1015" s="135"/>
      <c r="VYB1015" s="135"/>
      <c r="VYC1015" s="135"/>
      <c r="VYD1015" s="135"/>
      <c r="VYE1015" s="135"/>
      <c r="VYF1015" s="135"/>
      <c r="VYG1015" s="135"/>
      <c r="VYH1015" s="135"/>
      <c r="VYI1015" s="135"/>
      <c r="VYJ1015" s="135"/>
      <c r="VYK1015" s="135"/>
      <c r="VYL1015" s="135"/>
      <c r="VYM1015" s="135"/>
      <c r="VYN1015" s="135"/>
      <c r="VYO1015" s="135"/>
      <c r="VYP1015" s="135"/>
      <c r="VYQ1015" s="135"/>
      <c r="VYR1015" s="135"/>
      <c r="VYS1015" s="135"/>
      <c r="VYT1015" s="135"/>
      <c r="VYU1015" s="135"/>
      <c r="VYV1015" s="135"/>
      <c r="VYW1015" s="135"/>
      <c r="VYX1015" s="135"/>
      <c r="VYY1015" s="135"/>
      <c r="VYZ1015" s="135"/>
      <c r="VZA1015" s="135"/>
      <c r="VZB1015" s="135"/>
      <c r="VZC1015" s="135"/>
      <c r="VZD1015" s="135"/>
      <c r="VZE1015" s="135"/>
      <c r="VZF1015" s="135"/>
      <c r="VZG1015" s="135"/>
      <c r="VZH1015" s="135"/>
      <c r="VZI1015" s="135"/>
      <c r="VZJ1015" s="135"/>
      <c r="VZK1015" s="135"/>
      <c r="VZL1015" s="135"/>
      <c r="VZM1015" s="135"/>
      <c r="VZN1015" s="135"/>
      <c r="VZO1015" s="135"/>
      <c r="VZP1015" s="135"/>
      <c r="VZQ1015" s="135"/>
      <c r="VZR1015" s="135"/>
      <c r="VZS1015" s="135"/>
      <c r="VZT1015" s="135"/>
      <c r="VZU1015" s="135"/>
      <c r="VZV1015" s="135"/>
      <c r="VZW1015" s="135"/>
      <c r="VZX1015" s="135"/>
      <c r="VZY1015" s="135"/>
      <c r="VZZ1015" s="135"/>
      <c r="WAA1015" s="135"/>
      <c r="WAB1015" s="135"/>
      <c r="WAC1015" s="135"/>
      <c r="WAD1015" s="135"/>
      <c r="WAE1015" s="135"/>
      <c r="WAF1015" s="135"/>
      <c r="WAG1015" s="135"/>
      <c r="WAH1015" s="135"/>
      <c r="WAI1015" s="135"/>
      <c r="WAJ1015" s="135"/>
      <c r="WAK1015" s="135"/>
      <c r="WAL1015" s="135"/>
      <c r="WAM1015" s="135"/>
      <c r="WAN1015" s="135"/>
      <c r="WAO1015" s="135"/>
      <c r="WAP1015" s="135"/>
      <c r="WAQ1015" s="135"/>
      <c r="WAR1015" s="135"/>
      <c r="WAS1015" s="135"/>
      <c r="WAT1015" s="135"/>
      <c r="WAU1015" s="135"/>
      <c r="WAV1015" s="135"/>
      <c r="WAW1015" s="135"/>
      <c r="WAX1015" s="135"/>
      <c r="WAY1015" s="135"/>
      <c r="WAZ1015" s="135"/>
      <c r="WBA1015" s="135"/>
      <c r="WBB1015" s="135"/>
      <c r="WBC1015" s="135"/>
      <c r="WBD1015" s="135"/>
      <c r="WBE1015" s="135"/>
      <c r="WBF1015" s="135"/>
      <c r="WBG1015" s="135"/>
      <c r="WBH1015" s="135"/>
      <c r="WBI1015" s="135"/>
      <c r="WBJ1015" s="135"/>
      <c r="WBK1015" s="135"/>
      <c r="WBL1015" s="135"/>
      <c r="WBM1015" s="135"/>
      <c r="WBN1015" s="135"/>
      <c r="WBO1015" s="135"/>
      <c r="WBP1015" s="135"/>
      <c r="WBQ1015" s="135"/>
      <c r="WBR1015" s="135"/>
      <c r="WBS1015" s="135"/>
      <c r="WBT1015" s="135"/>
      <c r="WBU1015" s="135"/>
      <c r="WBV1015" s="135"/>
      <c r="WBW1015" s="135"/>
      <c r="WBX1015" s="135"/>
      <c r="WBY1015" s="135"/>
      <c r="WBZ1015" s="135"/>
      <c r="WCA1015" s="135"/>
      <c r="WCB1015" s="135"/>
      <c r="WCC1015" s="135"/>
      <c r="WCD1015" s="135"/>
      <c r="WCE1015" s="135"/>
      <c r="WCF1015" s="135"/>
      <c r="WCG1015" s="135"/>
      <c r="WCH1015" s="135"/>
      <c r="WCI1015" s="135"/>
      <c r="WCJ1015" s="135"/>
      <c r="WCK1015" s="135"/>
      <c r="WCL1015" s="135"/>
      <c r="WCM1015" s="135"/>
      <c r="WCN1015" s="135"/>
      <c r="WCO1015" s="135"/>
      <c r="WCP1015" s="135"/>
      <c r="WCQ1015" s="135"/>
      <c r="WCR1015" s="135"/>
      <c r="WCS1015" s="135"/>
      <c r="WCT1015" s="135"/>
      <c r="WCU1015" s="135"/>
      <c r="WCV1015" s="135"/>
      <c r="WCW1015" s="135"/>
      <c r="WCX1015" s="135"/>
      <c r="WCY1015" s="135"/>
      <c r="WCZ1015" s="135"/>
      <c r="WDA1015" s="135"/>
      <c r="WDB1015" s="135"/>
      <c r="WDC1015" s="135"/>
      <c r="WDD1015" s="135"/>
      <c r="WDE1015" s="135"/>
      <c r="WDF1015" s="135"/>
      <c r="WDG1015" s="135"/>
      <c r="WDH1015" s="135"/>
      <c r="WDI1015" s="135"/>
      <c r="WDJ1015" s="135"/>
      <c r="WDK1015" s="135"/>
      <c r="WDL1015" s="135"/>
      <c r="WDM1015" s="135"/>
      <c r="WDN1015" s="135"/>
      <c r="WDO1015" s="135"/>
      <c r="WDP1015" s="135"/>
      <c r="WDQ1015" s="135"/>
      <c r="WDR1015" s="135"/>
      <c r="WDS1015" s="135"/>
      <c r="WDT1015" s="135"/>
      <c r="WDU1015" s="135"/>
      <c r="WDV1015" s="135"/>
      <c r="WDW1015" s="135"/>
      <c r="WDX1015" s="135"/>
      <c r="WDY1015" s="135"/>
      <c r="WDZ1015" s="135"/>
      <c r="WEA1015" s="135"/>
      <c r="WEB1015" s="135"/>
      <c r="WEC1015" s="135"/>
      <c r="WED1015" s="135"/>
      <c r="WEE1015" s="135"/>
      <c r="WEF1015" s="135"/>
      <c r="WEG1015" s="135"/>
      <c r="WEH1015" s="135"/>
      <c r="WEI1015" s="135"/>
      <c r="WEJ1015" s="135"/>
      <c r="WEK1015" s="135"/>
      <c r="WEL1015" s="135"/>
      <c r="WEM1015" s="135"/>
      <c r="WEN1015" s="135"/>
      <c r="WEO1015" s="135"/>
      <c r="WEP1015" s="135"/>
      <c r="WEQ1015" s="135"/>
      <c r="WER1015" s="135"/>
      <c r="WES1015" s="135"/>
      <c r="WET1015" s="135"/>
      <c r="WEU1015" s="135"/>
      <c r="WEV1015" s="135"/>
      <c r="WEW1015" s="135"/>
      <c r="WEX1015" s="135"/>
      <c r="WEY1015" s="135"/>
      <c r="WEZ1015" s="135"/>
      <c r="WFA1015" s="135"/>
      <c r="WFB1015" s="135"/>
      <c r="WFC1015" s="135"/>
      <c r="WFD1015" s="135"/>
      <c r="WFE1015" s="135"/>
      <c r="WFF1015" s="135"/>
      <c r="WFG1015" s="135"/>
      <c r="WFH1015" s="135"/>
      <c r="WFI1015" s="135"/>
      <c r="WFJ1015" s="135"/>
      <c r="WFK1015" s="135"/>
      <c r="WFL1015" s="135"/>
      <c r="WFM1015" s="135"/>
      <c r="WFN1015" s="135"/>
      <c r="WFO1015" s="135"/>
      <c r="WFP1015" s="135"/>
      <c r="WFQ1015" s="135"/>
      <c r="WFR1015" s="135"/>
      <c r="WFS1015" s="135"/>
      <c r="WFT1015" s="135"/>
      <c r="WFU1015" s="135"/>
      <c r="WFV1015" s="135"/>
      <c r="WFW1015" s="135"/>
      <c r="WFX1015" s="135"/>
      <c r="WFY1015" s="135"/>
      <c r="WFZ1015" s="135"/>
      <c r="WGA1015" s="135"/>
      <c r="WGB1015" s="135"/>
      <c r="WGC1015" s="135"/>
      <c r="WGD1015" s="135"/>
      <c r="WGE1015" s="135"/>
      <c r="WGF1015" s="135"/>
      <c r="WGG1015" s="135"/>
      <c r="WGH1015" s="135"/>
      <c r="WGI1015" s="135"/>
      <c r="WGJ1015" s="135"/>
      <c r="WGK1015" s="135"/>
      <c r="WGL1015" s="135"/>
      <c r="WGM1015" s="135"/>
      <c r="WGN1015" s="135"/>
      <c r="WGO1015" s="135"/>
      <c r="WGP1015" s="135"/>
      <c r="WGQ1015" s="135"/>
      <c r="WGR1015" s="135"/>
      <c r="WGS1015" s="135"/>
      <c r="WGT1015" s="135"/>
      <c r="WGU1015" s="135"/>
      <c r="WGV1015" s="135"/>
      <c r="WGW1015" s="135"/>
      <c r="WGX1015" s="135"/>
      <c r="WGY1015" s="135"/>
      <c r="WGZ1015" s="135"/>
      <c r="WHA1015" s="135"/>
      <c r="WHB1015" s="135"/>
      <c r="WHC1015" s="135"/>
      <c r="WHD1015" s="135"/>
      <c r="WHE1015" s="135"/>
      <c r="WHF1015" s="135"/>
      <c r="WHG1015" s="135"/>
      <c r="WHH1015" s="135"/>
      <c r="WHI1015" s="135"/>
      <c r="WHJ1015" s="135"/>
      <c r="WHK1015" s="135"/>
      <c r="WHL1015" s="135"/>
      <c r="WHM1015" s="135"/>
      <c r="WHN1015" s="135"/>
      <c r="WHO1015" s="135"/>
      <c r="WHP1015" s="135"/>
      <c r="WHQ1015" s="135"/>
      <c r="WHR1015" s="135"/>
      <c r="WHS1015" s="135"/>
      <c r="WHT1015" s="135"/>
      <c r="WHU1015" s="135"/>
      <c r="WHV1015" s="135"/>
      <c r="WHW1015" s="135"/>
      <c r="WHX1015" s="135"/>
      <c r="WHY1015" s="135"/>
      <c r="WHZ1015" s="135"/>
      <c r="WIA1015" s="135"/>
      <c r="WIB1015" s="135"/>
      <c r="WIC1015" s="135"/>
      <c r="WID1015" s="135"/>
      <c r="WIE1015" s="135"/>
      <c r="WIF1015" s="135"/>
      <c r="WIG1015" s="135"/>
      <c r="WIH1015" s="135"/>
      <c r="WII1015" s="135"/>
      <c r="WIJ1015" s="135"/>
      <c r="WIK1015" s="135"/>
      <c r="WIL1015" s="135"/>
      <c r="WIM1015" s="135"/>
      <c r="WIN1015" s="135"/>
      <c r="WIO1015" s="135"/>
      <c r="WIP1015" s="135"/>
      <c r="WIQ1015" s="135"/>
      <c r="WIR1015" s="135"/>
      <c r="WIS1015" s="135"/>
      <c r="WIT1015" s="135"/>
      <c r="WIU1015" s="135"/>
      <c r="WIV1015" s="135"/>
      <c r="WIW1015" s="135"/>
      <c r="WIX1015" s="135"/>
      <c r="WIY1015" s="135"/>
      <c r="WIZ1015" s="135"/>
      <c r="WJA1015" s="135"/>
      <c r="WJB1015" s="135"/>
      <c r="WJC1015" s="135"/>
      <c r="WJD1015" s="135"/>
      <c r="WJE1015" s="135"/>
      <c r="WJF1015" s="135"/>
      <c r="WJG1015" s="135"/>
      <c r="WJH1015" s="135"/>
      <c r="WJI1015" s="135"/>
      <c r="WJJ1015" s="135"/>
      <c r="WJK1015" s="135"/>
      <c r="WJL1015" s="135"/>
      <c r="WJM1015" s="135"/>
      <c r="WJN1015" s="135"/>
      <c r="WJO1015" s="135"/>
      <c r="WJP1015" s="135"/>
      <c r="WJQ1015" s="135"/>
      <c r="WJR1015" s="135"/>
      <c r="WJS1015" s="135"/>
      <c r="WJT1015" s="135"/>
      <c r="WJU1015" s="135"/>
      <c r="WJV1015" s="135"/>
      <c r="WJW1015" s="135"/>
      <c r="WJX1015" s="135"/>
      <c r="WJY1015" s="135"/>
      <c r="WJZ1015" s="135"/>
      <c r="WKA1015" s="135"/>
      <c r="WKB1015" s="135"/>
      <c r="WKC1015" s="135"/>
      <c r="WKD1015" s="135"/>
      <c r="WKE1015" s="135"/>
      <c r="WKF1015" s="135"/>
      <c r="WKG1015" s="135"/>
      <c r="WKH1015" s="135"/>
      <c r="WKI1015" s="135"/>
      <c r="WKJ1015" s="135"/>
      <c r="WKK1015" s="135"/>
      <c r="WKL1015" s="135"/>
      <c r="WKM1015" s="135"/>
      <c r="WKN1015" s="135"/>
      <c r="WKO1015" s="135"/>
      <c r="WKP1015" s="135"/>
      <c r="WKQ1015" s="135"/>
      <c r="WKR1015" s="135"/>
      <c r="WKS1015" s="135"/>
      <c r="WKT1015" s="135"/>
      <c r="WKU1015" s="135"/>
      <c r="WKV1015" s="135"/>
      <c r="WKW1015" s="135"/>
      <c r="WKX1015" s="135"/>
      <c r="WKY1015" s="135"/>
      <c r="WKZ1015" s="135"/>
      <c r="WLA1015" s="135"/>
      <c r="WLB1015" s="135"/>
      <c r="WLC1015" s="135"/>
      <c r="WLD1015" s="135"/>
      <c r="WLE1015" s="135"/>
      <c r="WLF1015" s="135"/>
      <c r="WLG1015" s="135"/>
      <c r="WLH1015" s="135"/>
      <c r="WLI1015" s="135"/>
      <c r="WLJ1015" s="135"/>
      <c r="WLK1015" s="135"/>
      <c r="WLL1015" s="135"/>
      <c r="WLM1015" s="135"/>
      <c r="WLN1015" s="135"/>
      <c r="WLO1015" s="135"/>
      <c r="WLP1015" s="135"/>
      <c r="WLQ1015" s="135"/>
      <c r="WLR1015" s="135"/>
      <c r="WLS1015" s="135"/>
      <c r="WLT1015" s="135"/>
      <c r="WLU1015" s="135"/>
      <c r="WLV1015" s="135"/>
      <c r="WLW1015" s="135"/>
      <c r="WLX1015" s="135"/>
      <c r="WLY1015" s="135"/>
      <c r="WLZ1015" s="135"/>
      <c r="WMA1015" s="135"/>
      <c r="WMB1015" s="135"/>
      <c r="WMC1015" s="135"/>
      <c r="WMD1015" s="135"/>
      <c r="WME1015" s="135"/>
      <c r="WMF1015" s="135"/>
      <c r="WMG1015" s="135"/>
      <c r="WMH1015" s="135"/>
      <c r="WMI1015" s="135"/>
      <c r="WMJ1015" s="135"/>
      <c r="WMK1015" s="135"/>
      <c r="WML1015" s="135"/>
      <c r="WMM1015" s="135"/>
      <c r="WMN1015" s="135"/>
      <c r="WMO1015" s="135"/>
      <c r="WMP1015" s="135"/>
      <c r="WMQ1015" s="135"/>
      <c r="WMR1015" s="135"/>
      <c r="WMS1015" s="135"/>
      <c r="WMT1015" s="135"/>
      <c r="WMU1015" s="135"/>
      <c r="WMV1015" s="135"/>
      <c r="WMW1015" s="135"/>
      <c r="WMX1015" s="135"/>
      <c r="WMY1015" s="135"/>
      <c r="WMZ1015" s="135"/>
      <c r="WNA1015" s="135"/>
      <c r="WNB1015" s="135"/>
      <c r="WNC1015" s="135"/>
      <c r="WND1015" s="135"/>
      <c r="WNE1015" s="135"/>
      <c r="WNF1015" s="135"/>
      <c r="WNG1015" s="135"/>
      <c r="WNH1015" s="135"/>
      <c r="WNI1015" s="135"/>
      <c r="WNJ1015" s="135"/>
      <c r="WNK1015" s="135"/>
      <c r="WNL1015" s="135"/>
      <c r="WNM1015" s="135"/>
      <c r="WNN1015" s="135"/>
      <c r="WNO1015" s="135"/>
      <c r="WNP1015" s="135"/>
      <c r="WNQ1015" s="135"/>
      <c r="WNR1015" s="135"/>
      <c r="WNS1015" s="135"/>
      <c r="WNT1015" s="135"/>
      <c r="WNU1015" s="135"/>
      <c r="WNV1015" s="135"/>
      <c r="WNW1015" s="135"/>
      <c r="WNX1015" s="135"/>
      <c r="WNY1015" s="135"/>
      <c r="WNZ1015" s="135"/>
      <c r="WOA1015" s="135"/>
      <c r="WOB1015" s="135"/>
      <c r="WOC1015" s="135"/>
      <c r="WOD1015" s="135"/>
      <c r="WOE1015" s="135"/>
      <c r="WOF1015" s="135"/>
      <c r="WOG1015" s="135"/>
      <c r="WOH1015" s="135"/>
      <c r="WOI1015" s="135"/>
      <c r="WOJ1015" s="135"/>
      <c r="WOK1015" s="135"/>
      <c r="WOL1015" s="135"/>
      <c r="WOM1015" s="135"/>
      <c r="WON1015" s="135"/>
      <c r="WOO1015" s="135"/>
      <c r="WOP1015" s="135"/>
      <c r="WOQ1015" s="135"/>
      <c r="WOR1015" s="135"/>
      <c r="WOS1015" s="135"/>
      <c r="WOT1015" s="135"/>
      <c r="WOU1015" s="135"/>
      <c r="WOV1015" s="135"/>
      <c r="WOW1015" s="135"/>
      <c r="WOX1015" s="135"/>
      <c r="WOY1015" s="135"/>
      <c r="WOZ1015" s="135"/>
      <c r="WPA1015" s="135"/>
      <c r="WPB1015" s="135"/>
      <c r="WPC1015" s="135"/>
      <c r="WPD1015" s="135"/>
      <c r="WPE1015" s="135"/>
      <c r="WPF1015" s="135"/>
      <c r="WPG1015" s="135"/>
      <c r="WPH1015" s="135"/>
      <c r="WPI1015" s="135"/>
      <c r="WPJ1015" s="135"/>
      <c r="WPK1015" s="135"/>
      <c r="WPL1015" s="135"/>
      <c r="WPM1015" s="135"/>
      <c r="WPN1015" s="135"/>
      <c r="WPO1015" s="135"/>
      <c r="WPP1015" s="135"/>
      <c r="WPQ1015" s="135"/>
      <c r="WPR1015" s="135"/>
      <c r="WPS1015" s="135"/>
      <c r="WPT1015" s="135"/>
      <c r="WPU1015" s="135"/>
      <c r="WPV1015" s="135"/>
      <c r="WPW1015" s="135"/>
      <c r="WPX1015" s="135"/>
      <c r="WPY1015" s="135"/>
      <c r="WPZ1015" s="135"/>
      <c r="WQA1015" s="135"/>
      <c r="WQB1015" s="135"/>
      <c r="WQC1015" s="135"/>
      <c r="WQD1015" s="135"/>
      <c r="WQE1015" s="135"/>
      <c r="WQF1015" s="135"/>
      <c r="WQG1015" s="135"/>
      <c r="WQH1015" s="135"/>
      <c r="WQI1015" s="135"/>
      <c r="WQJ1015" s="135"/>
      <c r="WQK1015" s="135"/>
      <c r="WQL1015" s="135"/>
      <c r="WQM1015" s="135"/>
      <c r="WQN1015" s="135"/>
      <c r="WQO1015" s="135"/>
      <c r="WQP1015" s="135"/>
      <c r="WQQ1015" s="135"/>
      <c r="WQR1015" s="135"/>
      <c r="WQS1015" s="135"/>
      <c r="WQT1015" s="135"/>
      <c r="WQU1015" s="135"/>
      <c r="WQV1015" s="135"/>
      <c r="WQW1015" s="135"/>
      <c r="WQX1015" s="135"/>
      <c r="WQY1015" s="135"/>
      <c r="WQZ1015" s="135"/>
      <c r="WRA1015" s="135"/>
      <c r="WRB1015" s="135"/>
      <c r="WRC1015" s="135"/>
      <c r="WRD1015" s="135"/>
      <c r="WRE1015" s="135"/>
      <c r="WRF1015" s="135"/>
      <c r="WRG1015" s="135"/>
      <c r="WRH1015" s="135"/>
      <c r="WRI1015" s="135"/>
      <c r="WRJ1015" s="135"/>
      <c r="WRK1015" s="135"/>
      <c r="WRL1015" s="135"/>
      <c r="WRM1015" s="135"/>
      <c r="WRN1015" s="135"/>
      <c r="WRO1015" s="135"/>
      <c r="WRP1015" s="135"/>
      <c r="WRQ1015" s="135"/>
      <c r="WRR1015" s="135"/>
      <c r="WRS1015" s="135"/>
      <c r="WRT1015" s="135"/>
      <c r="WRU1015" s="135"/>
      <c r="WRV1015" s="135"/>
      <c r="WRW1015" s="135"/>
      <c r="WRX1015" s="135"/>
      <c r="WRY1015" s="135"/>
      <c r="WRZ1015" s="135"/>
      <c r="WSA1015" s="135"/>
      <c r="WSB1015" s="135"/>
      <c r="WSC1015" s="135"/>
      <c r="WSD1015" s="135"/>
      <c r="WSE1015" s="135"/>
      <c r="WSF1015" s="135"/>
      <c r="WSG1015" s="135"/>
      <c r="WSH1015" s="135"/>
      <c r="WSI1015" s="135"/>
      <c r="WSJ1015" s="135"/>
      <c r="WSK1015" s="135"/>
      <c r="WSL1015" s="135"/>
      <c r="WSM1015" s="135"/>
      <c r="WSN1015" s="135"/>
      <c r="WSO1015" s="135"/>
      <c r="WSP1015" s="135"/>
      <c r="WSQ1015" s="135"/>
      <c r="WSR1015" s="135"/>
      <c r="WSS1015" s="135"/>
      <c r="WST1015" s="135"/>
      <c r="WSU1015" s="135"/>
      <c r="WSV1015" s="135"/>
      <c r="WSW1015" s="135"/>
      <c r="WSX1015" s="135"/>
      <c r="WSY1015" s="135"/>
      <c r="WSZ1015" s="135"/>
      <c r="WTA1015" s="135"/>
      <c r="WTB1015" s="135"/>
      <c r="WTC1015" s="135"/>
      <c r="WTD1015" s="135"/>
      <c r="WTE1015" s="135"/>
      <c r="WTF1015" s="135"/>
      <c r="WTG1015" s="135"/>
      <c r="WTH1015" s="135"/>
      <c r="WTI1015" s="135"/>
      <c r="WTJ1015" s="135"/>
      <c r="WTK1015" s="135"/>
      <c r="WTL1015" s="135"/>
      <c r="WTM1015" s="135"/>
      <c r="WTN1015" s="135"/>
      <c r="WTO1015" s="135"/>
      <c r="WTP1015" s="135"/>
      <c r="WTQ1015" s="135"/>
      <c r="WTR1015" s="135"/>
      <c r="WTS1015" s="135"/>
      <c r="WTT1015" s="135"/>
      <c r="WTU1015" s="135"/>
      <c r="WTV1015" s="135"/>
      <c r="WTW1015" s="135"/>
      <c r="WTX1015" s="135"/>
      <c r="WTY1015" s="135"/>
      <c r="WTZ1015" s="135"/>
      <c r="WUA1015" s="135"/>
      <c r="WUB1015" s="135"/>
      <c r="WUC1015" s="135"/>
      <c r="WUD1015" s="135"/>
      <c r="WUE1015" s="135"/>
      <c r="WUF1015" s="135"/>
      <c r="WUG1015" s="135"/>
      <c r="WUH1015" s="135"/>
      <c r="WUI1015" s="135"/>
      <c r="WUJ1015" s="135"/>
      <c r="WUK1015" s="135"/>
      <c r="WUL1015" s="135"/>
      <c r="WUM1015" s="135"/>
      <c r="WUN1015" s="135"/>
      <c r="WUO1015" s="135"/>
      <c r="WUP1015" s="135"/>
      <c r="WUQ1015" s="135"/>
      <c r="WUR1015" s="135"/>
      <c r="WUS1015" s="135"/>
      <c r="WUT1015" s="135"/>
      <c r="WUU1015" s="135"/>
      <c r="WUV1015" s="135"/>
      <c r="WUW1015" s="135"/>
      <c r="WUX1015" s="135"/>
      <c r="WUY1015" s="135"/>
      <c r="WUZ1015" s="135"/>
      <c r="WVA1015" s="135"/>
      <c r="WVB1015" s="135"/>
      <c r="WVC1015" s="135"/>
      <c r="WVD1015" s="135"/>
      <c r="WVE1015" s="135"/>
      <c r="WVF1015" s="135"/>
      <c r="WVG1015" s="135"/>
      <c r="WVH1015" s="135"/>
      <c r="WVI1015" s="135"/>
      <c r="WVJ1015" s="135"/>
      <c r="WVK1015" s="135"/>
      <c r="WVL1015" s="135"/>
      <c r="WVM1015" s="135"/>
      <c r="WVN1015" s="135"/>
      <c r="WVO1015" s="135"/>
      <c r="WVP1015" s="135"/>
      <c r="WVQ1015" s="135"/>
      <c r="WVR1015" s="135"/>
      <c r="WVS1015" s="135"/>
      <c r="WVT1015" s="135"/>
      <c r="WVU1015" s="135"/>
      <c r="WVV1015" s="135"/>
      <c r="WVW1015" s="135"/>
      <c r="WVX1015" s="135"/>
      <c r="WVY1015" s="135"/>
      <c r="WVZ1015" s="135"/>
      <c r="WWA1015" s="135"/>
      <c r="WWB1015" s="135"/>
      <c r="WWC1015" s="135"/>
      <c r="WWD1015" s="135"/>
      <c r="WWE1015" s="135"/>
      <c r="WWF1015" s="135"/>
      <c r="WWG1015" s="135"/>
      <c r="WWH1015" s="135"/>
      <c r="WWI1015" s="135"/>
      <c r="WWJ1015" s="135"/>
      <c r="WWK1015" s="135"/>
      <c r="WWL1015" s="135"/>
      <c r="WWM1015" s="135"/>
      <c r="WWN1015" s="135"/>
      <c r="WWO1015" s="135"/>
      <c r="WWP1015" s="135"/>
      <c r="WWQ1015" s="135"/>
      <c r="WWR1015" s="135"/>
      <c r="WWS1015" s="135"/>
      <c r="WWT1015" s="135"/>
      <c r="WWU1015" s="135"/>
      <c r="WWV1015" s="135"/>
      <c r="WWW1015" s="135"/>
      <c r="WWX1015" s="135"/>
      <c r="WWY1015" s="135"/>
      <c r="WWZ1015" s="135"/>
      <c r="WXA1015" s="135"/>
      <c r="WXB1015" s="135"/>
      <c r="WXC1015" s="135"/>
      <c r="WXD1015" s="135"/>
      <c r="WXE1015" s="135"/>
      <c r="WXF1015" s="135"/>
      <c r="WXG1015" s="135"/>
      <c r="WXH1015" s="135"/>
      <c r="WXI1015" s="135"/>
      <c r="WXJ1015" s="135"/>
      <c r="WXK1015" s="135"/>
      <c r="WXL1015" s="135"/>
      <c r="WXM1015" s="135"/>
      <c r="WXN1015" s="135"/>
      <c r="WXO1015" s="135"/>
      <c r="WXP1015" s="135"/>
      <c r="WXQ1015" s="135"/>
      <c r="WXR1015" s="135"/>
      <c r="WXS1015" s="135"/>
      <c r="WXT1015" s="135"/>
      <c r="WXU1015" s="135"/>
      <c r="WXV1015" s="135"/>
      <c r="WXW1015" s="135"/>
      <c r="WXX1015" s="135"/>
      <c r="WXY1015" s="135"/>
      <c r="WXZ1015" s="135"/>
      <c r="WYA1015" s="135"/>
      <c r="WYB1015" s="135"/>
      <c r="WYC1015" s="135"/>
      <c r="WYD1015" s="135"/>
      <c r="WYE1015" s="135"/>
      <c r="WYF1015" s="135"/>
      <c r="WYG1015" s="135"/>
      <c r="WYH1015" s="135"/>
      <c r="WYI1015" s="135"/>
      <c r="WYJ1015" s="135"/>
      <c r="WYK1015" s="135"/>
      <c r="WYL1015" s="135"/>
      <c r="WYM1015" s="135"/>
      <c r="WYN1015" s="135"/>
      <c r="WYO1015" s="135"/>
      <c r="WYP1015" s="135"/>
      <c r="WYQ1015" s="135"/>
      <c r="WYR1015" s="135"/>
      <c r="WYS1015" s="135"/>
      <c r="WYT1015" s="135"/>
      <c r="WYU1015" s="135"/>
      <c r="WYV1015" s="135"/>
      <c r="WYW1015" s="135"/>
      <c r="WYX1015" s="135"/>
      <c r="WYY1015" s="135"/>
      <c r="WYZ1015" s="135"/>
      <c r="WZA1015" s="135"/>
      <c r="WZB1015" s="135"/>
      <c r="WZC1015" s="135"/>
      <c r="WZD1015" s="135"/>
      <c r="WZE1015" s="135"/>
      <c r="WZF1015" s="135"/>
      <c r="WZG1015" s="135"/>
      <c r="WZH1015" s="135"/>
      <c r="WZI1015" s="135"/>
      <c r="WZJ1015" s="135"/>
      <c r="WZK1015" s="135"/>
      <c r="WZL1015" s="135"/>
      <c r="WZM1015" s="135"/>
      <c r="WZN1015" s="135"/>
      <c r="WZO1015" s="135"/>
      <c r="WZP1015" s="135"/>
      <c r="WZQ1015" s="135"/>
      <c r="WZR1015" s="135"/>
      <c r="WZS1015" s="135"/>
      <c r="WZT1015" s="135"/>
      <c r="WZU1015" s="135"/>
      <c r="WZV1015" s="135"/>
      <c r="WZW1015" s="135"/>
      <c r="WZX1015" s="135"/>
      <c r="WZY1015" s="135"/>
      <c r="WZZ1015" s="135"/>
      <c r="XAA1015" s="135"/>
      <c r="XAB1015" s="135"/>
      <c r="XAC1015" s="135"/>
      <c r="XAD1015" s="135"/>
      <c r="XAE1015" s="135"/>
      <c r="XAF1015" s="135"/>
      <c r="XAG1015" s="135"/>
      <c r="XAH1015" s="135"/>
      <c r="XAI1015" s="135"/>
      <c r="XAJ1015" s="135"/>
      <c r="XAK1015" s="135"/>
      <c r="XAL1015" s="135"/>
      <c r="XAM1015" s="135"/>
      <c r="XAN1015" s="135"/>
      <c r="XAO1015" s="135"/>
      <c r="XAP1015" s="135"/>
      <c r="XAQ1015" s="135"/>
      <c r="XAR1015" s="135"/>
      <c r="XAS1015" s="135"/>
      <c r="XAT1015" s="135"/>
      <c r="XAU1015" s="135"/>
      <c r="XAV1015" s="135"/>
      <c r="XAW1015" s="135"/>
      <c r="XAX1015" s="135"/>
      <c r="XAY1015" s="135"/>
      <c r="XAZ1015" s="135"/>
      <c r="XBA1015" s="135"/>
      <c r="XBB1015" s="135"/>
      <c r="XBC1015" s="135"/>
      <c r="XBD1015" s="135"/>
      <c r="XBE1015" s="135"/>
      <c r="XBF1015" s="135"/>
      <c r="XBG1015" s="135"/>
      <c r="XBH1015" s="135"/>
      <c r="XBI1015" s="135"/>
      <c r="XBJ1015" s="135"/>
      <c r="XBK1015" s="135"/>
      <c r="XBL1015" s="135"/>
      <c r="XBM1015" s="135"/>
      <c r="XBN1015" s="135"/>
      <c r="XBO1015" s="135"/>
      <c r="XBP1015" s="135"/>
      <c r="XBQ1015" s="135"/>
      <c r="XBR1015" s="135"/>
      <c r="XBS1015" s="135"/>
      <c r="XBT1015" s="135"/>
      <c r="XBU1015" s="135"/>
      <c r="XBV1015" s="135"/>
      <c r="XBW1015" s="135"/>
      <c r="XBX1015" s="135"/>
      <c r="XBY1015" s="135"/>
      <c r="XBZ1015" s="135"/>
      <c r="XCA1015" s="135"/>
      <c r="XCB1015" s="135"/>
      <c r="XCC1015" s="135"/>
      <c r="XCD1015" s="135"/>
      <c r="XCE1015" s="135"/>
      <c r="XCF1015" s="135"/>
      <c r="XCG1015" s="135"/>
      <c r="XCH1015" s="135"/>
      <c r="XCI1015" s="135"/>
      <c r="XCJ1015" s="135"/>
      <c r="XCK1015" s="135"/>
      <c r="XCL1015" s="135"/>
      <c r="XCM1015" s="135"/>
      <c r="XCN1015" s="135"/>
      <c r="XCO1015" s="135"/>
      <c r="XCP1015" s="135"/>
      <c r="XCQ1015" s="135"/>
      <c r="XCR1015" s="135"/>
      <c r="XCS1015" s="135"/>
      <c r="XCT1015" s="135"/>
      <c r="XCU1015" s="135"/>
      <c r="XCV1015" s="135"/>
      <c r="XCW1015" s="135"/>
      <c r="XCX1015" s="135"/>
      <c r="XCY1015" s="135"/>
      <c r="XCZ1015" s="135"/>
      <c r="XDA1015" s="135"/>
      <c r="XDB1015" s="135"/>
      <c r="XDC1015" s="135"/>
      <c r="XDD1015" s="135"/>
      <c r="XDE1015" s="135"/>
      <c r="XDF1015" s="135"/>
      <c r="XDG1015" s="135"/>
      <c r="XDH1015" s="135"/>
      <c r="XDI1015" s="135"/>
      <c r="XDJ1015" s="135"/>
      <c r="XDK1015" s="135"/>
      <c r="XDL1015" s="135"/>
      <c r="XDM1015" s="135"/>
      <c r="XDN1015" s="135"/>
      <c r="XDO1015" s="135"/>
      <c r="XDP1015" s="135"/>
      <c r="XDQ1015" s="135"/>
      <c r="XDR1015" s="135"/>
      <c r="XDS1015" s="135"/>
      <c r="XDT1015" s="135"/>
      <c r="XDU1015" s="135"/>
      <c r="XDV1015" s="135"/>
      <c r="XDW1015" s="135"/>
      <c r="XDX1015" s="135"/>
      <c r="XDY1015" s="135"/>
      <c r="XDZ1015" s="135"/>
      <c r="XEA1015" s="135"/>
      <c r="XEB1015" s="135"/>
      <c r="XEC1015" s="135"/>
      <c r="XED1015" s="135"/>
      <c r="XEE1015" s="135"/>
      <c r="XEF1015" s="135"/>
      <c r="XEG1015" s="135"/>
      <c r="XEH1015" s="135"/>
      <c r="XEI1015" s="135"/>
      <c r="XEJ1015" s="135"/>
      <c r="XEK1015" s="135"/>
      <c r="XEL1015" s="135"/>
      <c r="XEM1015" s="135"/>
      <c r="XEN1015" s="135"/>
      <c r="XEO1015" s="135"/>
      <c r="XEP1015" s="135"/>
      <c r="XEQ1015" s="135"/>
      <c r="XER1015" s="135"/>
      <c r="XES1015" s="135"/>
    </row>
    <row r="1016" spans="1:16373" hidden="1">
      <c r="A1016" s="47" t="s">
        <v>44</v>
      </c>
      <c r="B1016" s="47" t="str">
        <f t="shared" si="234"/>
        <v>July</v>
      </c>
      <c r="C1016" s="59">
        <v>45500</v>
      </c>
      <c r="D1016" s="47" t="s">
        <v>45</v>
      </c>
      <c r="E1016" s="47" t="s">
        <v>142</v>
      </c>
      <c r="F1016" s="47" t="s">
        <v>143</v>
      </c>
      <c r="G1016" s="91" t="s">
        <v>206</v>
      </c>
      <c r="H1016" s="47" t="s">
        <v>207</v>
      </c>
      <c r="I1016" s="47" t="s">
        <v>50</v>
      </c>
      <c r="J1016" s="47" t="s">
        <v>51</v>
      </c>
      <c r="K1016" s="48">
        <v>45135</v>
      </c>
      <c r="L1016" s="48">
        <v>45135</v>
      </c>
      <c r="M1016" s="48">
        <v>45500</v>
      </c>
      <c r="N1016" s="47" t="s">
        <v>52</v>
      </c>
      <c r="O1016" s="55" t="s">
        <v>53</v>
      </c>
      <c r="P1016" s="62">
        <v>16440</v>
      </c>
      <c r="Q1016" s="62">
        <v>1370</v>
      </c>
      <c r="R1016" s="96">
        <v>17040</v>
      </c>
      <c r="S1016" s="62">
        <f t="shared" si="235"/>
        <v>1420</v>
      </c>
      <c r="T1016" s="62">
        <v>16440</v>
      </c>
      <c r="U1016" s="62">
        <f t="shared" si="240"/>
        <v>1370</v>
      </c>
      <c r="V1016" s="69">
        <v>16020</v>
      </c>
      <c r="W1016" s="71">
        <v>1435</v>
      </c>
      <c r="X1016" s="105">
        <f t="shared" ref="X1016:X1023" si="248">W1016-(W1016*4%)</f>
        <v>1377.6</v>
      </c>
      <c r="Y1016" s="176">
        <f t="shared" si="247"/>
        <v>5.5474452554743862E-3</v>
      </c>
      <c r="Z1016" s="64">
        <f t="shared" si="236"/>
        <v>4.7445255474452552E-2</v>
      </c>
      <c r="AA1016" s="64">
        <f t="shared" si="242"/>
        <v>1.0563380281690141E-2</v>
      </c>
      <c r="AB1016" s="71">
        <f t="shared" si="244"/>
        <v>1435</v>
      </c>
      <c r="AC1016" s="64">
        <f t="shared" si="237"/>
        <v>4.7445255474452552E-2</v>
      </c>
      <c r="AD1016" s="64">
        <f t="shared" si="245"/>
        <v>1.0563380281690141E-2</v>
      </c>
      <c r="AE1016" s="71">
        <v>1425</v>
      </c>
      <c r="AF1016" s="64">
        <f t="shared" si="238"/>
        <v>4.0145985401459854E-2</v>
      </c>
      <c r="AG1016" s="64">
        <f t="shared" si="246"/>
        <v>3.5211267605633804E-3</v>
      </c>
      <c r="AH1016" s="67"/>
      <c r="AI1016" s="47" t="s">
        <v>54</v>
      </c>
      <c r="AJ1016" s="47">
        <v>678.1</v>
      </c>
      <c r="AK1016" s="101" t="s">
        <v>65</v>
      </c>
      <c r="AL1016" s="101" t="s">
        <v>65</v>
      </c>
      <c r="AM1016" s="47" t="s">
        <v>208</v>
      </c>
      <c r="AN1016" s="50">
        <v>1435</v>
      </c>
      <c r="AO1016" s="211">
        <f t="shared" si="239"/>
        <v>4.7445255474452552E-2</v>
      </c>
      <c r="AP1016" s="47" t="s">
        <v>57</v>
      </c>
      <c r="AQ1016" s="47" t="s">
        <v>58</v>
      </c>
      <c r="AR1016" s="47"/>
    </row>
    <row r="1017" spans="1:16373" hidden="1">
      <c r="A1017" s="47" t="s">
        <v>44</v>
      </c>
      <c r="B1017" s="47" t="str">
        <f t="shared" si="234"/>
        <v>July</v>
      </c>
      <c r="C1017" s="59">
        <v>45486</v>
      </c>
      <c r="D1017" s="47" t="s">
        <v>45</v>
      </c>
      <c r="E1017" s="47" t="s">
        <v>142</v>
      </c>
      <c r="F1017" s="47" t="s">
        <v>143</v>
      </c>
      <c r="G1017" s="91" t="s">
        <v>218</v>
      </c>
      <c r="H1017" s="47" t="s">
        <v>219</v>
      </c>
      <c r="I1017" s="47" t="s">
        <v>50</v>
      </c>
      <c r="J1017" s="47" t="s">
        <v>51</v>
      </c>
      <c r="K1017" s="48">
        <v>45121</v>
      </c>
      <c r="L1017" s="48">
        <v>45121</v>
      </c>
      <c r="M1017" s="48">
        <v>45486</v>
      </c>
      <c r="N1017" s="47" t="s">
        <v>52</v>
      </c>
      <c r="O1017" s="55" t="s">
        <v>53</v>
      </c>
      <c r="P1017" s="62">
        <v>13140</v>
      </c>
      <c r="Q1017" s="62">
        <v>1095</v>
      </c>
      <c r="R1017" s="96">
        <v>13620</v>
      </c>
      <c r="S1017" s="62">
        <f t="shared" si="235"/>
        <v>1135</v>
      </c>
      <c r="T1017" s="62">
        <v>13140</v>
      </c>
      <c r="U1017" s="62">
        <f t="shared" si="240"/>
        <v>1095</v>
      </c>
      <c r="V1017" s="69">
        <v>11760</v>
      </c>
      <c r="W1017" s="71">
        <v>1150</v>
      </c>
      <c r="X1017" s="105">
        <f t="shared" si="248"/>
        <v>1104</v>
      </c>
      <c r="Y1017" s="176">
        <f t="shared" si="247"/>
        <v>8.21917808219178E-3</v>
      </c>
      <c r="Z1017" s="64">
        <f t="shared" si="236"/>
        <v>5.0228310502283102E-2</v>
      </c>
      <c r="AA1017" s="64">
        <f t="shared" si="242"/>
        <v>1.3215859030837005E-2</v>
      </c>
      <c r="AB1017" s="71">
        <f t="shared" si="244"/>
        <v>1150</v>
      </c>
      <c r="AC1017" s="64">
        <f t="shared" si="237"/>
        <v>5.0228310502283102E-2</v>
      </c>
      <c r="AD1017" s="64">
        <f t="shared" si="245"/>
        <v>1.3215859030837005E-2</v>
      </c>
      <c r="AE1017" s="71">
        <v>1140</v>
      </c>
      <c r="AF1017" s="64">
        <f t="shared" si="238"/>
        <v>4.1095890410958902E-2</v>
      </c>
      <c r="AG1017" s="64">
        <f t="shared" si="246"/>
        <v>4.4052863436123352E-3</v>
      </c>
      <c r="AH1017" s="67"/>
      <c r="AI1017" s="47" t="s">
        <v>54</v>
      </c>
      <c r="AJ1017" s="47">
        <v>483.2</v>
      </c>
      <c r="AK1017" s="101" t="s">
        <v>55</v>
      </c>
      <c r="AL1017" s="101" t="s">
        <v>55</v>
      </c>
      <c r="AM1017" s="47" t="s">
        <v>220</v>
      </c>
      <c r="AN1017" s="50"/>
      <c r="AO1017" s="211">
        <f t="shared" si="239"/>
        <v>-1</v>
      </c>
      <c r="AP1017" s="47" t="s">
        <v>57</v>
      </c>
      <c r="AQ1017" s="47" t="s">
        <v>58</v>
      </c>
      <c r="AR1017" s="47"/>
    </row>
    <row r="1018" spans="1:16373" hidden="1">
      <c r="A1018" s="47" t="s">
        <v>44</v>
      </c>
      <c r="B1018" s="47" t="str">
        <f t="shared" si="234"/>
        <v>July</v>
      </c>
      <c r="C1018" s="59">
        <v>45503</v>
      </c>
      <c r="D1018" s="47" t="s">
        <v>45</v>
      </c>
      <c r="E1018" s="47" t="s">
        <v>142</v>
      </c>
      <c r="F1018" s="47" t="s">
        <v>143</v>
      </c>
      <c r="G1018" s="91" t="s">
        <v>221</v>
      </c>
      <c r="H1018" s="47" t="s">
        <v>222</v>
      </c>
      <c r="I1018" s="47" t="s">
        <v>50</v>
      </c>
      <c r="J1018" s="47" t="s">
        <v>51</v>
      </c>
      <c r="K1018" s="48">
        <v>45138</v>
      </c>
      <c r="L1018" s="48">
        <v>45138</v>
      </c>
      <c r="M1018" s="48">
        <v>45503</v>
      </c>
      <c r="N1018" s="47" t="s">
        <v>52</v>
      </c>
      <c r="O1018" s="55" t="s">
        <v>53</v>
      </c>
      <c r="P1018" s="62">
        <v>13020</v>
      </c>
      <c r="Q1018" s="62">
        <v>1085</v>
      </c>
      <c r="R1018" s="96">
        <v>13500</v>
      </c>
      <c r="S1018" s="62">
        <f t="shared" si="235"/>
        <v>1125</v>
      </c>
      <c r="T1018" s="62">
        <v>13020</v>
      </c>
      <c r="U1018" s="62">
        <f t="shared" si="240"/>
        <v>1085</v>
      </c>
      <c r="V1018" s="69">
        <v>11940</v>
      </c>
      <c r="W1018" s="71">
        <v>1140</v>
      </c>
      <c r="X1018" s="105">
        <f t="shared" si="248"/>
        <v>1094.4000000000001</v>
      </c>
      <c r="Y1018" s="176">
        <f t="shared" si="247"/>
        <v>8.6635944700461671E-3</v>
      </c>
      <c r="Z1018" s="64">
        <f t="shared" si="236"/>
        <v>5.0691244239631339E-2</v>
      </c>
      <c r="AA1018" s="64">
        <f t="shared" si="242"/>
        <v>1.3333333333333334E-2</v>
      </c>
      <c r="AB1018" s="71">
        <f t="shared" si="244"/>
        <v>1140</v>
      </c>
      <c r="AC1018" s="64">
        <f t="shared" si="237"/>
        <v>5.0691244239631339E-2</v>
      </c>
      <c r="AD1018" s="64">
        <f t="shared" si="245"/>
        <v>1.3333333333333334E-2</v>
      </c>
      <c r="AE1018" s="71">
        <v>1130</v>
      </c>
      <c r="AF1018" s="64">
        <f t="shared" si="238"/>
        <v>4.1474654377880185E-2</v>
      </c>
      <c r="AG1018" s="64">
        <f t="shared" si="246"/>
        <v>4.4444444444444444E-3</v>
      </c>
      <c r="AH1018" s="67"/>
      <c r="AI1018" s="47" t="s">
        <v>54</v>
      </c>
      <c r="AJ1018" s="47">
        <v>483.2</v>
      </c>
      <c r="AK1018" s="101" t="s">
        <v>55</v>
      </c>
      <c r="AL1018" s="101" t="s">
        <v>55</v>
      </c>
      <c r="AM1018" s="47" t="s">
        <v>223</v>
      </c>
      <c r="AN1018" s="50"/>
      <c r="AO1018" s="211">
        <f t="shared" si="239"/>
        <v>-1</v>
      </c>
      <c r="AP1018" s="47" t="s">
        <v>57</v>
      </c>
      <c r="AQ1018" s="47" t="s">
        <v>58</v>
      </c>
      <c r="AR1018" s="47"/>
    </row>
    <row r="1019" spans="1:16373" hidden="1">
      <c r="A1019" s="47" t="s">
        <v>44</v>
      </c>
      <c r="B1019" s="47" t="str">
        <f t="shared" si="234"/>
        <v>July</v>
      </c>
      <c r="C1019" s="59">
        <v>45487</v>
      </c>
      <c r="D1019" s="47" t="s">
        <v>45</v>
      </c>
      <c r="E1019" s="47" t="s">
        <v>142</v>
      </c>
      <c r="F1019" s="47" t="s">
        <v>143</v>
      </c>
      <c r="G1019" s="91" t="s">
        <v>224</v>
      </c>
      <c r="H1019" s="47" t="s">
        <v>225</v>
      </c>
      <c r="I1019" s="47" t="s">
        <v>50</v>
      </c>
      <c r="J1019" s="47" t="s">
        <v>51</v>
      </c>
      <c r="K1019" s="48">
        <v>45122</v>
      </c>
      <c r="L1019" s="48">
        <v>45122</v>
      </c>
      <c r="M1019" s="48">
        <v>45487</v>
      </c>
      <c r="N1019" s="47" t="s">
        <v>52</v>
      </c>
      <c r="O1019" s="55" t="s">
        <v>53</v>
      </c>
      <c r="P1019" s="62">
        <v>13020</v>
      </c>
      <c r="Q1019" s="62">
        <v>1085</v>
      </c>
      <c r="R1019" s="96">
        <v>13500</v>
      </c>
      <c r="S1019" s="62">
        <f t="shared" si="235"/>
        <v>1125</v>
      </c>
      <c r="T1019" s="62">
        <v>13020</v>
      </c>
      <c r="U1019" s="62">
        <f t="shared" si="240"/>
        <v>1085</v>
      </c>
      <c r="V1019" s="69">
        <v>11700</v>
      </c>
      <c r="W1019" s="71">
        <v>1140</v>
      </c>
      <c r="X1019" s="105">
        <f t="shared" si="248"/>
        <v>1094.4000000000001</v>
      </c>
      <c r="Y1019" s="176">
        <f t="shared" si="247"/>
        <v>8.6635944700461671E-3</v>
      </c>
      <c r="Z1019" s="64">
        <f t="shared" si="236"/>
        <v>5.0691244239631339E-2</v>
      </c>
      <c r="AA1019" s="64">
        <f t="shared" si="242"/>
        <v>1.3333333333333334E-2</v>
      </c>
      <c r="AB1019" s="71">
        <f t="shared" si="244"/>
        <v>1140</v>
      </c>
      <c r="AC1019" s="64">
        <f t="shared" si="237"/>
        <v>5.0691244239631339E-2</v>
      </c>
      <c r="AD1019" s="64">
        <f t="shared" si="245"/>
        <v>1.3333333333333334E-2</v>
      </c>
      <c r="AE1019" s="71">
        <v>1140</v>
      </c>
      <c r="AF1019" s="64">
        <f t="shared" si="238"/>
        <v>5.0691244239631339E-2</v>
      </c>
      <c r="AG1019" s="64">
        <f t="shared" si="246"/>
        <v>1.3333333333333334E-2</v>
      </c>
      <c r="AH1019" s="67"/>
      <c r="AI1019" s="47" t="s">
        <v>54</v>
      </c>
      <c r="AJ1019" s="47">
        <v>483.2</v>
      </c>
      <c r="AK1019" s="101" t="s">
        <v>55</v>
      </c>
      <c r="AL1019" s="101" t="s">
        <v>55</v>
      </c>
      <c r="AM1019" s="47" t="s">
        <v>226</v>
      </c>
      <c r="AN1019" s="50">
        <v>1140</v>
      </c>
      <c r="AO1019" s="211">
        <f t="shared" si="239"/>
        <v>5.0691244239631339E-2</v>
      </c>
      <c r="AP1019" s="47" t="s">
        <v>57</v>
      </c>
      <c r="AQ1019" s="47" t="s">
        <v>58</v>
      </c>
      <c r="AR1019" s="47"/>
    </row>
    <row r="1020" spans="1:16373">
      <c r="A1020" s="47" t="s">
        <v>44</v>
      </c>
      <c r="B1020" s="47" t="str">
        <f t="shared" si="234"/>
        <v>July</v>
      </c>
      <c r="C1020" s="59">
        <v>45487</v>
      </c>
      <c r="D1020" s="47" t="s">
        <v>45</v>
      </c>
      <c r="E1020" s="47" t="s">
        <v>142</v>
      </c>
      <c r="F1020" s="47" t="s">
        <v>143</v>
      </c>
      <c r="G1020" s="91" t="s">
        <v>227</v>
      </c>
      <c r="H1020" s="47" t="s">
        <v>228</v>
      </c>
      <c r="I1020" s="47" t="s">
        <v>50</v>
      </c>
      <c r="J1020" s="47" t="s">
        <v>51</v>
      </c>
      <c r="K1020" s="48">
        <v>44757</v>
      </c>
      <c r="L1020" s="48">
        <v>45122</v>
      </c>
      <c r="M1020" s="48">
        <v>45487</v>
      </c>
      <c r="N1020" s="47" t="s">
        <v>64</v>
      </c>
      <c r="O1020" s="55" t="s">
        <v>53</v>
      </c>
      <c r="P1020" s="62">
        <v>13020</v>
      </c>
      <c r="Q1020" s="62">
        <v>1085</v>
      </c>
      <c r="R1020" s="96">
        <v>13500</v>
      </c>
      <c r="S1020" s="62">
        <f t="shared" si="235"/>
        <v>1125</v>
      </c>
      <c r="T1020" s="62">
        <v>13020</v>
      </c>
      <c r="U1020" s="62">
        <f t="shared" si="240"/>
        <v>1085</v>
      </c>
      <c r="V1020" s="69">
        <v>11700</v>
      </c>
      <c r="W1020" s="71">
        <v>1140</v>
      </c>
      <c r="X1020" s="105">
        <f t="shared" si="248"/>
        <v>1094.4000000000001</v>
      </c>
      <c r="Y1020" s="176">
        <f t="shared" si="247"/>
        <v>8.6635944700461671E-3</v>
      </c>
      <c r="Z1020" s="64">
        <f t="shared" si="236"/>
        <v>5.0691244239631339E-2</v>
      </c>
      <c r="AA1020" s="64">
        <f t="shared" si="242"/>
        <v>1.3333333333333334E-2</v>
      </c>
      <c r="AB1020" s="71">
        <f t="shared" si="244"/>
        <v>1140</v>
      </c>
      <c r="AC1020" s="64">
        <f t="shared" si="237"/>
        <v>5.0691244239631339E-2</v>
      </c>
      <c r="AD1020" s="64">
        <f t="shared" si="245"/>
        <v>1.3333333333333334E-2</v>
      </c>
      <c r="AE1020" s="71">
        <v>1130</v>
      </c>
      <c r="AF1020" s="64">
        <f t="shared" si="238"/>
        <v>4.1474654377880185E-2</v>
      </c>
      <c r="AG1020" s="64">
        <f t="shared" si="246"/>
        <v>4.4444444444444444E-3</v>
      </c>
      <c r="AH1020" s="67"/>
      <c r="AI1020" s="47" t="s">
        <v>54</v>
      </c>
      <c r="AJ1020" s="47">
        <v>483.2</v>
      </c>
      <c r="AK1020" s="101" t="s">
        <v>55</v>
      </c>
      <c r="AL1020" s="101" t="s">
        <v>55</v>
      </c>
      <c r="AM1020" s="47" t="s">
        <v>223</v>
      </c>
      <c r="AN1020" s="50"/>
      <c r="AO1020" s="211">
        <f t="shared" si="239"/>
        <v>-1</v>
      </c>
      <c r="AP1020" s="47" t="s">
        <v>57</v>
      </c>
      <c r="AQ1020" s="144" t="s">
        <v>58</v>
      </c>
      <c r="AR1020" s="47"/>
    </row>
    <row r="1021" spans="1:16373" hidden="1">
      <c r="A1021" s="47" t="s">
        <v>44</v>
      </c>
      <c r="B1021" s="47" t="str">
        <f t="shared" si="234"/>
        <v>July</v>
      </c>
      <c r="C1021" s="59">
        <v>45485</v>
      </c>
      <c r="D1021" s="47" t="s">
        <v>45</v>
      </c>
      <c r="E1021" s="47" t="s">
        <v>142</v>
      </c>
      <c r="F1021" s="47" t="s">
        <v>143</v>
      </c>
      <c r="G1021" s="91" t="s">
        <v>229</v>
      </c>
      <c r="H1021" s="47" t="s">
        <v>230</v>
      </c>
      <c r="I1021" s="47" t="s">
        <v>50</v>
      </c>
      <c r="J1021" s="47" t="s">
        <v>51</v>
      </c>
      <c r="K1021" s="48">
        <v>45120</v>
      </c>
      <c r="L1021" s="48">
        <v>45120</v>
      </c>
      <c r="M1021" s="48">
        <v>45485</v>
      </c>
      <c r="N1021" s="47" t="s">
        <v>52</v>
      </c>
      <c r="O1021" s="55" t="s">
        <v>53</v>
      </c>
      <c r="P1021" s="62">
        <v>16560</v>
      </c>
      <c r="Q1021" s="62">
        <v>1380</v>
      </c>
      <c r="R1021" s="96">
        <v>17160</v>
      </c>
      <c r="S1021" s="62">
        <f t="shared" si="235"/>
        <v>1430</v>
      </c>
      <c r="T1021" s="62">
        <v>16560</v>
      </c>
      <c r="U1021" s="62">
        <f t="shared" si="240"/>
        <v>1380</v>
      </c>
      <c r="V1021" s="69">
        <v>15180</v>
      </c>
      <c r="W1021" s="71">
        <v>1450</v>
      </c>
      <c r="X1021" s="105">
        <f t="shared" si="248"/>
        <v>1392</v>
      </c>
      <c r="Y1021" s="176">
        <f t="shared" si="247"/>
        <v>8.6956521739130436E-3</v>
      </c>
      <c r="Z1021" s="64">
        <f t="shared" si="236"/>
        <v>5.0724637681159424E-2</v>
      </c>
      <c r="AA1021" s="64">
        <f t="shared" si="242"/>
        <v>1.3986013986013986E-2</v>
      </c>
      <c r="AB1021" s="71">
        <f t="shared" si="244"/>
        <v>1450</v>
      </c>
      <c r="AC1021" s="64">
        <f t="shared" si="237"/>
        <v>5.0724637681159424E-2</v>
      </c>
      <c r="AD1021" s="64">
        <f t="shared" si="245"/>
        <v>1.3986013986013986E-2</v>
      </c>
      <c r="AE1021" s="71">
        <v>1435</v>
      </c>
      <c r="AF1021" s="64">
        <f t="shared" si="238"/>
        <v>3.9855072463768113E-2</v>
      </c>
      <c r="AG1021" s="64">
        <f t="shared" si="246"/>
        <v>3.4965034965034965E-3</v>
      </c>
      <c r="AH1021" s="67"/>
      <c r="AI1021" s="47" t="s">
        <v>54</v>
      </c>
      <c r="AJ1021" s="47">
        <v>709.3</v>
      </c>
      <c r="AK1021" s="101" t="s">
        <v>65</v>
      </c>
      <c r="AL1021" s="101" t="s">
        <v>65</v>
      </c>
      <c r="AM1021" s="47" t="s">
        <v>231</v>
      </c>
      <c r="AN1021" s="50"/>
      <c r="AO1021" s="211">
        <f t="shared" si="239"/>
        <v>-1</v>
      </c>
      <c r="AP1021" s="47" t="s">
        <v>57</v>
      </c>
      <c r="AQ1021" s="47" t="s">
        <v>58</v>
      </c>
      <c r="AR1021" s="47"/>
    </row>
    <row r="1022" spans="1:16373">
      <c r="A1022" s="47" t="s">
        <v>44</v>
      </c>
      <c r="B1022" s="47" t="str">
        <f t="shared" si="234"/>
        <v>August</v>
      </c>
      <c r="C1022" s="59">
        <v>45508</v>
      </c>
      <c r="D1022" s="47" t="s">
        <v>45</v>
      </c>
      <c r="E1022" s="47" t="s">
        <v>142</v>
      </c>
      <c r="F1022" s="47" t="s">
        <v>143</v>
      </c>
      <c r="G1022" s="91" t="s">
        <v>264</v>
      </c>
      <c r="H1022" s="47" t="s">
        <v>265</v>
      </c>
      <c r="I1022" s="47" t="s">
        <v>50</v>
      </c>
      <c r="J1022" s="47" t="s">
        <v>51</v>
      </c>
      <c r="K1022" s="48">
        <v>44778</v>
      </c>
      <c r="L1022" s="48">
        <v>45143</v>
      </c>
      <c r="M1022" s="48">
        <v>45508</v>
      </c>
      <c r="N1022" s="47" t="s">
        <v>64</v>
      </c>
      <c r="O1022" s="55" t="s">
        <v>53</v>
      </c>
      <c r="P1022" s="62">
        <v>16200</v>
      </c>
      <c r="Q1022" s="62">
        <v>1350</v>
      </c>
      <c r="R1022" s="96">
        <v>17100</v>
      </c>
      <c r="S1022" s="62">
        <f t="shared" si="235"/>
        <v>1425</v>
      </c>
      <c r="T1022" s="62">
        <v>17100</v>
      </c>
      <c r="U1022" s="62">
        <f t="shared" si="240"/>
        <v>1425</v>
      </c>
      <c r="V1022" s="69">
        <v>15480</v>
      </c>
      <c r="W1022" s="71">
        <v>1490</v>
      </c>
      <c r="X1022" s="105">
        <f t="shared" si="248"/>
        <v>1430.4</v>
      </c>
      <c r="Y1022" s="176">
        <f t="shared" si="247"/>
        <v>3.7894736842105903E-3</v>
      </c>
      <c r="Z1022" s="64">
        <f t="shared" si="236"/>
        <v>4.5614035087719301E-2</v>
      </c>
      <c r="AA1022" s="64">
        <f t="shared" si="242"/>
        <v>4.5614035087719301E-2</v>
      </c>
      <c r="AB1022" s="71">
        <f t="shared" si="244"/>
        <v>1490</v>
      </c>
      <c r="AC1022" s="64">
        <f t="shared" si="237"/>
        <v>4.5614035087719301E-2</v>
      </c>
      <c r="AD1022" s="64">
        <f t="shared" si="245"/>
        <v>4.5614035087719301E-2</v>
      </c>
      <c r="AE1022" s="71">
        <v>1490</v>
      </c>
      <c r="AF1022" s="64">
        <f t="shared" si="238"/>
        <v>4.5614035087719301E-2</v>
      </c>
      <c r="AG1022" s="64">
        <f t="shared" si="246"/>
        <v>4.5614035087719301E-2</v>
      </c>
      <c r="AH1022" s="67"/>
      <c r="AI1022" s="47" t="s">
        <v>54</v>
      </c>
      <c r="AJ1022" s="47">
        <v>709.3</v>
      </c>
      <c r="AK1022" s="47" t="s">
        <v>65</v>
      </c>
      <c r="AL1022" s="47" t="s">
        <v>65</v>
      </c>
      <c r="AM1022" s="47" t="s">
        <v>266</v>
      </c>
      <c r="AN1022" s="50"/>
      <c r="AO1022" s="211">
        <f t="shared" si="239"/>
        <v>-1</v>
      </c>
      <c r="AP1022" s="47" t="s">
        <v>57</v>
      </c>
      <c r="AQ1022" s="47" t="s">
        <v>58</v>
      </c>
      <c r="AR1022" s="47"/>
    </row>
    <row r="1023" spans="1:16373" hidden="1">
      <c r="A1023" s="47" t="s">
        <v>44</v>
      </c>
      <c r="B1023" s="47" t="str">
        <f t="shared" si="234"/>
        <v>August</v>
      </c>
      <c r="C1023" s="59">
        <v>45508</v>
      </c>
      <c r="D1023" s="47" t="s">
        <v>45</v>
      </c>
      <c r="E1023" s="47" t="s">
        <v>142</v>
      </c>
      <c r="F1023" s="47" t="s">
        <v>143</v>
      </c>
      <c r="G1023" s="91" t="s">
        <v>269</v>
      </c>
      <c r="H1023" s="47" t="s">
        <v>270</v>
      </c>
      <c r="I1023" s="47" t="s">
        <v>50</v>
      </c>
      <c r="J1023" s="47" t="s">
        <v>51</v>
      </c>
      <c r="K1023" s="48">
        <v>45143</v>
      </c>
      <c r="L1023" s="48">
        <v>45143</v>
      </c>
      <c r="M1023" s="48">
        <v>45508</v>
      </c>
      <c r="N1023" s="47" t="s">
        <v>52</v>
      </c>
      <c r="O1023" s="55" t="s">
        <v>53</v>
      </c>
      <c r="P1023" s="62">
        <v>13140</v>
      </c>
      <c r="Q1023" s="62">
        <v>1095</v>
      </c>
      <c r="R1023" s="96">
        <v>13620</v>
      </c>
      <c r="S1023" s="62">
        <f t="shared" si="235"/>
        <v>1135</v>
      </c>
      <c r="T1023" s="62">
        <v>13140</v>
      </c>
      <c r="U1023" s="62">
        <f t="shared" si="240"/>
        <v>1095</v>
      </c>
      <c r="V1023" s="69">
        <v>11880</v>
      </c>
      <c r="W1023" s="71">
        <v>1145</v>
      </c>
      <c r="X1023" s="105">
        <f t="shared" si="248"/>
        <v>1099.2</v>
      </c>
      <c r="Y1023" s="176">
        <f t="shared" si="247"/>
        <v>3.835616438356206E-3</v>
      </c>
      <c r="Z1023" s="64">
        <f t="shared" si="236"/>
        <v>4.5662100456621002E-2</v>
      </c>
      <c r="AA1023" s="64">
        <f t="shared" si="242"/>
        <v>8.8105726872246704E-3</v>
      </c>
      <c r="AB1023" s="71">
        <f t="shared" si="244"/>
        <v>1145</v>
      </c>
      <c r="AC1023" s="64">
        <f t="shared" si="237"/>
        <v>4.5662100456621002E-2</v>
      </c>
      <c r="AD1023" s="64">
        <f t="shared" si="245"/>
        <v>8.8105726872246704E-3</v>
      </c>
      <c r="AE1023" s="71">
        <v>1145</v>
      </c>
      <c r="AF1023" s="64">
        <f t="shared" si="238"/>
        <v>4.5662100456621002E-2</v>
      </c>
      <c r="AG1023" s="64">
        <f t="shared" si="246"/>
        <v>8.8105726872246704E-3</v>
      </c>
      <c r="AH1023" s="67"/>
      <c r="AI1023" s="47" t="s">
        <v>54</v>
      </c>
      <c r="AJ1023" s="47">
        <v>483.2</v>
      </c>
      <c r="AK1023" s="47" t="s">
        <v>55</v>
      </c>
      <c r="AL1023" s="47" t="s">
        <v>55</v>
      </c>
      <c r="AM1023" s="47" t="s">
        <v>271</v>
      </c>
      <c r="AN1023" s="50"/>
      <c r="AO1023" s="211">
        <f t="shared" si="239"/>
        <v>-1</v>
      </c>
      <c r="AP1023" s="47" t="s">
        <v>57</v>
      </c>
      <c r="AQ1023" s="47" t="s">
        <v>58</v>
      </c>
      <c r="AR1023" s="47"/>
    </row>
    <row r="1024" spans="1:16373">
      <c r="A1024" s="47" t="s">
        <v>44</v>
      </c>
      <c r="B1024" s="47" t="str">
        <f t="shared" si="234"/>
        <v>July</v>
      </c>
      <c r="C1024" s="59">
        <v>45497</v>
      </c>
      <c r="D1024" s="47" t="s">
        <v>45</v>
      </c>
      <c r="E1024" s="47" t="s">
        <v>142</v>
      </c>
      <c r="F1024" s="47" t="s">
        <v>143</v>
      </c>
      <c r="G1024" s="91" t="s">
        <v>315</v>
      </c>
      <c r="H1024" s="47" t="s">
        <v>316</v>
      </c>
      <c r="I1024" s="47" t="s">
        <v>50</v>
      </c>
      <c r="J1024" s="47" t="s">
        <v>51</v>
      </c>
      <c r="K1024" s="48">
        <v>44676</v>
      </c>
      <c r="L1024" s="48">
        <v>45132</v>
      </c>
      <c r="M1024" s="48">
        <v>45497</v>
      </c>
      <c r="N1024" s="47" t="s">
        <v>64</v>
      </c>
      <c r="O1024" s="55" t="s">
        <v>53</v>
      </c>
      <c r="P1024" s="62">
        <v>17400</v>
      </c>
      <c r="Q1024" s="62">
        <v>1450</v>
      </c>
      <c r="R1024" s="96">
        <v>18000</v>
      </c>
      <c r="S1024" s="62">
        <f t="shared" si="235"/>
        <v>1500</v>
      </c>
      <c r="T1024" s="62">
        <v>17280</v>
      </c>
      <c r="U1024" s="62">
        <f t="shared" si="240"/>
        <v>1440</v>
      </c>
      <c r="V1024" s="69">
        <v>15900</v>
      </c>
      <c r="W1024" s="71">
        <v>1525</v>
      </c>
      <c r="X1024" s="105">
        <v>1467</v>
      </c>
      <c r="Y1024" s="176">
        <f t="shared" si="247"/>
        <v>1.8749999999999999E-2</v>
      </c>
      <c r="Z1024" s="64">
        <f t="shared" si="236"/>
        <v>5.9027777777777776E-2</v>
      </c>
      <c r="AA1024" s="64">
        <f t="shared" si="242"/>
        <v>1.6666666666666666E-2</v>
      </c>
      <c r="AB1024" s="71">
        <f t="shared" si="244"/>
        <v>1525</v>
      </c>
      <c r="AC1024" s="64">
        <f t="shared" si="237"/>
        <v>5.9027777777777776E-2</v>
      </c>
      <c r="AD1024" s="64">
        <f t="shared" si="245"/>
        <v>1.6666666666666666E-2</v>
      </c>
      <c r="AE1024" s="71">
        <f>AB1024-20</f>
        <v>1505</v>
      </c>
      <c r="AF1024" s="64">
        <f t="shared" si="238"/>
        <v>4.5138888888888888E-2</v>
      </c>
      <c r="AG1024" s="64">
        <f t="shared" si="246"/>
        <v>3.3333333333333335E-3</v>
      </c>
      <c r="AH1024" s="67"/>
      <c r="AI1024" s="47" t="s">
        <v>54</v>
      </c>
      <c r="AJ1024" s="47">
        <v>695.3</v>
      </c>
      <c r="AK1024" s="101" t="s">
        <v>65</v>
      </c>
      <c r="AL1024" s="101" t="s">
        <v>55</v>
      </c>
      <c r="AM1024" s="47" t="s">
        <v>317</v>
      </c>
      <c r="AN1024" s="50">
        <v>1480</v>
      </c>
      <c r="AO1024" s="211">
        <f t="shared" si="239"/>
        <v>2.7777777777777776E-2</v>
      </c>
      <c r="AP1024" s="47" t="s">
        <v>57</v>
      </c>
      <c r="AQ1024" s="47" t="s">
        <v>58</v>
      </c>
      <c r="AR1024" s="47"/>
    </row>
    <row r="1025" spans="1:44" hidden="1">
      <c r="A1025" s="47" t="s">
        <v>44</v>
      </c>
      <c r="B1025" s="47" t="str">
        <f t="shared" si="234"/>
        <v>July</v>
      </c>
      <c r="C1025" s="59">
        <v>45489</v>
      </c>
      <c r="D1025" s="47" t="s">
        <v>45</v>
      </c>
      <c r="E1025" s="47" t="s">
        <v>142</v>
      </c>
      <c r="F1025" s="47" t="s">
        <v>143</v>
      </c>
      <c r="G1025" s="91" t="s">
        <v>401</v>
      </c>
      <c r="H1025" s="47" t="s">
        <v>402</v>
      </c>
      <c r="I1025" s="47" t="s">
        <v>50</v>
      </c>
      <c r="J1025" s="47" t="s">
        <v>51</v>
      </c>
      <c r="K1025" s="48">
        <v>45124</v>
      </c>
      <c r="L1025" s="48">
        <v>45124</v>
      </c>
      <c r="M1025" s="48">
        <v>45489</v>
      </c>
      <c r="N1025" s="47" t="s">
        <v>52</v>
      </c>
      <c r="O1025" s="55" t="s">
        <v>53</v>
      </c>
      <c r="P1025" s="62">
        <v>19680</v>
      </c>
      <c r="Q1025" s="62">
        <v>1640</v>
      </c>
      <c r="R1025" s="96">
        <v>20340</v>
      </c>
      <c r="S1025" s="62">
        <f t="shared" si="235"/>
        <v>1695</v>
      </c>
      <c r="T1025" s="62">
        <v>19140</v>
      </c>
      <c r="U1025" s="62">
        <f t="shared" si="240"/>
        <v>1595</v>
      </c>
      <c r="V1025" s="69">
        <v>18240</v>
      </c>
      <c r="W1025" s="71">
        <v>1715</v>
      </c>
      <c r="X1025" s="105">
        <f>W1025-(W1025*4%)</f>
        <v>1646.4</v>
      </c>
      <c r="Y1025" s="171">
        <f t="shared" si="247"/>
        <v>3.2225705329153663E-2</v>
      </c>
      <c r="Z1025" s="64">
        <f t="shared" si="236"/>
        <v>7.5235109717868343E-2</v>
      </c>
      <c r="AA1025" s="64">
        <f t="shared" si="242"/>
        <v>1.1799410029498525E-2</v>
      </c>
      <c r="AB1025" s="71">
        <f t="shared" si="244"/>
        <v>1715</v>
      </c>
      <c r="AC1025" s="64">
        <f t="shared" si="237"/>
        <v>7.5235109717868343E-2</v>
      </c>
      <c r="AD1025" s="64">
        <f t="shared" si="245"/>
        <v>1.1799410029498525E-2</v>
      </c>
      <c r="AE1025" s="71">
        <f>AB1025-20</f>
        <v>1695</v>
      </c>
      <c r="AF1025" s="64">
        <f t="shared" si="238"/>
        <v>6.2695924764890276E-2</v>
      </c>
      <c r="AG1025" s="64">
        <f t="shared" si="246"/>
        <v>0</v>
      </c>
      <c r="AH1025" s="67"/>
      <c r="AI1025" s="47" t="s">
        <v>54</v>
      </c>
      <c r="AJ1025" s="47">
        <v>709.3</v>
      </c>
      <c r="AK1025" s="101" t="s">
        <v>65</v>
      </c>
      <c r="AL1025" s="101" t="s">
        <v>65</v>
      </c>
      <c r="AM1025" s="47" t="s">
        <v>403</v>
      </c>
      <c r="AN1025" s="50"/>
      <c r="AO1025" s="211">
        <f t="shared" si="239"/>
        <v>-1</v>
      </c>
      <c r="AP1025" s="47" t="s">
        <v>57</v>
      </c>
      <c r="AQ1025" s="47" t="s">
        <v>58</v>
      </c>
      <c r="AR1025" s="47"/>
    </row>
    <row r="1026" spans="1:44">
      <c r="A1026" s="47" t="s">
        <v>44</v>
      </c>
      <c r="B1026" s="47" t="str">
        <f t="shared" ref="B1026:B1089" si="249">TEXT(C1026,"mmmm")</f>
        <v>August</v>
      </c>
      <c r="C1026" s="59">
        <v>45511</v>
      </c>
      <c r="D1026" s="47" t="s">
        <v>45</v>
      </c>
      <c r="E1026" s="47" t="s">
        <v>142</v>
      </c>
      <c r="F1026" s="47" t="s">
        <v>143</v>
      </c>
      <c r="G1026" s="91" t="s">
        <v>417</v>
      </c>
      <c r="H1026" s="47" t="s">
        <v>418</v>
      </c>
      <c r="I1026" s="47" t="s">
        <v>50</v>
      </c>
      <c r="J1026" s="47" t="s">
        <v>51</v>
      </c>
      <c r="K1026" s="48">
        <v>44477</v>
      </c>
      <c r="L1026" s="48">
        <v>45146</v>
      </c>
      <c r="M1026" s="48">
        <v>45511</v>
      </c>
      <c r="N1026" s="47" t="s">
        <v>64</v>
      </c>
      <c r="O1026" s="55" t="s">
        <v>53</v>
      </c>
      <c r="P1026" s="62">
        <v>16140</v>
      </c>
      <c r="Q1026" s="62">
        <v>1345</v>
      </c>
      <c r="R1026" s="96">
        <v>16680</v>
      </c>
      <c r="S1026" s="62">
        <f t="shared" ref="S1026:S1089" si="250">R1026/12</f>
        <v>1390</v>
      </c>
      <c r="T1026" s="62">
        <v>16620</v>
      </c>
      <c r="U1026" s="62">
        <f t="shared" si="240"/>
        <v>1385</v>
      </c>
      <c r="V1026" s="69">
        <v>15180</v>
      </c>
      <c r="W1026" s="71">
        <v>1445</v>
      </c>
      <c r="X1026" s="105">
        <f>W1026-(W1026*4%)</f>
        <v>1387.2</v>
      </c>
      <c r="Y1026" s="176">
        <f t="shared" si="247"/>
        <v>1.5884476534296357E-3</v>
      </c>
      <c r="Z1026" s="64">
        <f t="shared" ref="Z1026:Z1089" si="251">(W1026-U1026)/U1026</f>
        <v>4.3321299638989168E-2</v>
      </c>
      <c r="AA1026" s="64">
        <f t="shared" si="242"/>
        <v>3.9568345323741004E-2</v>
      </c>
      <c r="AB1026" s="71">
        <f t="shared" si="244"/>
        <v>1445</v>
      </c>
      <c r="AC1026" s="64">
        <f t="shared" ref="AC1026:AC1089" si="252">(AB1026-U1026)/U1026</f>
        <v>4.3321299638989168E-2</v>
      </c>
      <c r="AD1026" s="64">
        <f t="shared" si="245"/>
        <v>3.9568345323741004E-2</v>
      </c>
      <c r="AE1026" s="71">
        <v>1445</v>
      </c>
      <c r="AF1026" s="64">
        <f t="shared" ref="AF1026:AF1089" si="253">(AE1026-U1026)/U1026</f>
        <v>4.3321299638989168E-2</v>
      </c>
      <c r="AG1026" s="64">
        <f t="shared" si="246"/>
        <v>3.9568345323741004E-2</v>
      </c>
      <c r="AH1026" s="67"/>
      <c r="AI1026" s="47" t="s">
        <v>54</v>
      </c>
      <c r="AJ1026" s="47">
        <v>678.1</v>
      </c>
      <c r="AK1026" s="47" t="s">
        <v>65</v>
      </c>
      <c r="AL1026" s="47" t="s">
        <v>65</v>
      </c>
      <c r="AM1026" s="47" t="s">
        <v>419</v>
      </c>
      <c r="AN1026" s="50">
        <v>1445</v>
      </c>
      <c r="AO1026" s="211">
        <f t="shared" ref="AO1026:AO1089" si="254">SUM(AN1026-U1026)/U1026</f>
        <v>4.3321299638989168E-2</v>
      </c>
      <c r="AP1026" s="47" t="s">
        <v>57</v>
      </c>
      <c r="AQ1026" s="47" t="s">
        <v>58</v>
      </c>
      <c r="AR1026" s="47"/>
    </row>
    <row r="1027" spans="1:44" hidden="1">
      <c r="A1027" s="47" t="s">
        <v>44</v>
      </c>
      <c r="B1027" s="47" t="str">
        <f t="shared" si="249"/>
        <v>July</v>
      </c>
      <c r="C1027" s="59">
        <v>45475</v>
      </c>
      <c r="D1027" s="47" t="s">
        <v>45</v>
      </c>
      <c r="E1027" s="47" t="s">
        <v>142</v>
      </c>
      <c r="F1027" s="47" t="s">
        <v>143</v>
      </c>
      <c r="G1027" s="91" t="s">
        <v>473</v>
      </c>
      <c r="H1027" s="47" t="s">
        <v>474</v>
      </c>
      <c r="I1027" s="47" t="s">
        <v>50</v>
      </c>
      <c r="J1027" s="47" t="s">
        <v>51</v>
      </c>
      <c r="K1027" s="48">
        <v>45110</v>
      </c>
      <c r="L1027" s="48">
        <v>45110</v>
      </c>
      <c r="M1027" s="48">
        <v>45475</v>
      </c>
      <c r="N1027" s="47" t="s">
        <v>52</v>
      </c>
      <c r="O1027" s="55" t="s">
        <v>53</v>
      </c>
      <c r="P1027" s="62">
        <v>18420</v>
      </c>
      <c r="Q1027" s="62">
        <v>1535</v>
      </c>
      <c r="R1027" s="96">
        <v>19080</v>
      </c>
      <c r="S1027" s="62">
        <f t="shared" si="250"/>
        <v>1590</v>
      </c>
      <c r="T1027" s="62">
        <v>17940</v>
      </c>
      <c r="U1027" s="62">
        <f t="shared" si="240"/>
        <v>1495</v>
      </c>
      <c r="V1027" s="69">
        <v>17580</v>
      </c>
      <c r="W1027" s="71">
        <v>1620</v>
      </c>
      <c r="X1027" s="105">
        <f>W1027-(W1027*4%)</f>
        <v>1555.2</v>
      </c>
      <c r="Y1027" s="171">
        <f t="shared" si="247"/>
        <v>4.0267558528428123E-2</v>
      </c>
      <c r="Z1027" s="64">
        <f t="shared" si="251"/>
        <v>8.3612040133779264E-2</v>
      </c>
      <c r="AA1027" s="64">
        <f t="shared" si="242"/>
        <v>1.8867924528301886E-2</v>
      </c>
      <c r="AB1027" s="71">
        <f t="shared" si="244"/>
        <v>1620</v>
      </c>
      <c r="AC1027" s="64">
        <f t="shared" si="252"/>
        <v>8.3612040133779264E-2</v>
      </c>
      <c r="AD1027" s="64">
        <f t="shared" si="245"/>
        <v>1.8867924528301886E-2</v>
      </c>
      <c r="AE1027" s="71">
        <f>AB1027-20</f>
        <v>1600</v>
      </c>
      <c r="AF1027" s="64">
        <f t="shared" si="253"/>
        <v>7.0234113712374577E-2</v>
      </c>
      <c r="AG1027" s="64">
        <f t="shared" si="246"/>
        <v>6.2893081761006293E-3</v>
      </c>
      <c r="AH1027" s="67"/>
      <c r="AI1027" s="47" t="s">
        <v>54</v>
      </c>
      <c r="AJ1027" s="47">
        <v>709.3</v>
      </c>
      <c r="AK1027" s="101" t="s">
        <v>65</v>
      </c>
      <c r="AL1027" s="101" t="s">
        <v>65</v>
      </c>
      <c r="AM1027" s="47" t="s">
        <v>475</v>
      </c>
      <c r="AN1027" s="50"/>
      <c r="AO1027" s="211">
        <f t="shared" si="254"/>
        <v>-1</v>
      </c>
      <c r="AP1027" s="47" t="s">
        <v>57</v>
      </c>
      <c r="AQ1027" s="47" t="s">
        <v>58</v>
      </c>
      <c r="AR1027" s="47"/>
    </row>
    <row r="1028" spans="1:44" hidden="1">
      <c r="A1028" s="47" t="s">
        <v>44</v>
      </c>
      <c r="B1028" s="47" t="str">
        <f t="shared" si="249"/>
        <v>July</v>
      </c>
      <c r="C1028" s="59">
        <v>45482</v>
      </c>
      <c r="D1028" s="47" t="s">
        <v>45</v>
      </c>
      <c r="E1028" s="47" t="s">
        <v>142</v>
      </c>
      <c r="F1028" s="47" t="s">
        <v>143</v>
      </c>
      <c r="G1028" s="91" t="s">
        <v>504</v>
      </c>
      <c r="H1028" s="47" t="s">
        <v>505</v>
      </c>
      <c r="I1028" s="47" t="s">
        <v>50</v>
      </c>
      <c r="J1028" s="47" t="s">
        <v>51</v>
      </c>
      <c r="K1028" s="48">
        <v>45117</v>
      </c>
      <c r="L1028" s="48">
        <v>45117</v>
      </c>
      <c r="M1028" s="48">
        <v>45482</v>
      </c>
      <c r="N1028" s="47" t="s">
        <v>52</v>
      </c>
      <c r="O1028" s="55" t="s">
        <v>53</v>
      </c>
      <c r="P1028" s="62">
        <v>18420</v>
      </c>
      <c r="Q1028" s="62">
        <v>1535</v>
      </c>
      <c r="R1028" s="96">
        <v>19080</v>
      </c>
      <c r="S1028" s="62">
        <f t="shared" si="250"/>
        <v>1590</v>
      </c>
      <c r="T1028" s="62">
        <v>17520</v>
      </c>
      <c r="U1028" s="62">
        <f t="shared" si="240"/>
        <v>1460</v>
      </c>
      <c r="V1028" s="69">
        <v>16620</v>
      </c>
      <c r="W1028" s="71">
        <v>1585</v>
      </c>
      <c r="X1028" s="105">
        <f>W1028-(W1028*4%)</f>
        <v>1521.6</v>
      </c>
      <c r="Y1028" s="171">
        <f t="shared" si="247"/>
        <v>4.2191780821917747E-2</v>
      </c>
      <c r="Z1028" s="64">
        <f t="shared" si="251"/>
        <v>8.5616438356164379E-2</v>
      </c>
      <c r="AA1028" s="64">
        <f t="shared" si="242"/>
        <v>-3.1446540880503146E-3</v>
      </c>
      <c r="AB1028" s="71">
        <f t="shared" si="244"/>
        <v>1585</v>
      </c>
      <c r="AC1028" s="64">
        <f t="shared" si="252"/>
        <v>8.5616438356164379E-2</v>
      </c>
      <c r="AD1028" s="64">
        <f t="shared" si="245"/>
        <v>-3.1446540880503146E-3</v>
      </c>
      <c r="AE1028" s="71">
        <f>AB1028-20</f>
        <v>1565</v>
      </c>
      <c r="AF1028" s="64">
        <f t="shared" si="253"/>
        <v>7.1917808219178078E-2</v>
      </c>
      <c r="AG1028" s="64">
        <f t="shared" si="246"/>
        <v>-1.5723270440251572E-2</v>
      </c>
      <c r="AH1028" s="67"/>
      <c r="AI1028" s="47" t="s">
        <v>54</v>
      </c>
      <c r="AJ1028" s="47">
        <v>709.3</v>
      </c>
      <c r="AK1028" s="101" t="s">
        <v>65</v>
      </c>
      <c r="AL1028" s="101" t="s">
        <v>65</v>
      </c>
      <c r="AM1028" s="47" t="s">
        <v>506</v>
      </c>
      <c r="AN1028" s="50">
        <v>1585</v>
      </c>
      <c r="AO1028" s="211">
        <f t="shared" si="254"/>
        <v>8.5616438356164379E-2</v>
      </c>
      <c r="AP1028" s="47" t="s">
        <v>57</v>
      </c>
      <c r="AQ1028" s="47" t="s">
        <v>58</v>
      </c>
      <c r="AR1028" s="47"/>
    </row>
    <row r="1029" spans="1:44" hidden="1">
      <c r="A1029" s="47" t="s">
        <v>44</v>
      </c>
      <c r="B1029" s="47" t="str">
        <f t="shared" si="249"/>
        <v>August</v>
      </c>
      <c r="C1029" s="59">
        <v>45514</v>
      </c>
      <c r="D1029" s="47" t="s">
        <v>45</v>
      </c>
      <c r="E1029" s="47" t="s">
        <v>142</v>
      </c>
      <c r="F1029" s="47" t="s">
        <v>143</v>
      </c>
      <c r="G1029" s="91" t="s">
        <v>1491</v>
      </c>
      <c r="H1029" s="47" t="s">
        <v>1492</v>
      </c>
      <c r="I1029" s="47" t="s">
        <v>50</v>
      </c>
      <c r="J1029" s="47" t="s">
        <v>51</v>
      </c>
      <c r="K1029" s="48">
        <v>45149</v>
      </c>
      <c r="L1029" s="48">
        <v>45149</v>
      </c>
      <c r="M1029" s="48">
        <v>45514</v>
      </c>
      <c r="N1029" s="47" t="s">
        <v>52</v>
      </c>
      <c r="O1029" s="55" t="s">
        <v>53</v>
      </c>
      <c r="P1029" s="62">
        <v>16620</v>
      </c>
      <c r="Q1029" s="62">
        <v>1385</v>
      </c>
      <c r="R1029" s="96">
        <v>17220</v>
      </c>
      <c r="S1029" s="62">
        <f t="shared" si="250"/>
        <v>1435</v>
      </c>
      <c r="T1029" s="62">
        <v>16620</v>
      </c>
      <c r="U1029" s="62">
        <f t="shared" si="240"/>
        <v>1385</v>
      </c>
      <c r="V1029" s="69">
        <v>15180</v>
      </c>
      <c r="W1029" s="71">
        <v>1450</v>
      </c>
      <c r="X1029" s="105">
        <v>1415</v>
      </c>
      <c r="Y1029" s="176">
        <f t="shared" si="247"/>
        <v>2.1660649819494584E-2</v>
      </c>
      <c r="Z1029" s="64">
        <f t="shared" si="251"/>
        <v>4.6931407942238268E-2</v>
      </c>
      <c r="AA1029" s="64">
        <f t="shared" si="242"/>
        <v>1.0452961672473868E-2</v>
      </c>
      <c r="AB1029" s="71">
        <f t="shared" si="244"/>
        <v>1450</v>
      </c>
      <c r="AC1029" s="64">
        <f t="shared" si="252"/>
        <v>4.6931407942238268E-2</v>
      </c>
      <c r="AD1029" s="64">
        <f t="shared" si="245"/>
        <v>1.0452961672473868E-2</v>
      </c>
      <c r="AE1029" s="71">
        <v>1450</v>
      </c>
      <c r="AF1029" s="64">
        <f t="shared" si="253"/>
        <v>4.6931407942238268E-2</v>
      </c>
      <c r="AG1029" s="64">
        <f t="shared" si="246"/>
        <v>1.0452961672473868E-2</v>
      </c>
      <c r="AH1029" s="67"/>
      <c r="AI1029" s="47" t="s">
        <v>54</v>
      </c>
      <c r="AJ1029" s="47">
        <v>684.5</v>
      </c>
      <c r="AK1029" s="47" t="s">
        <v>65</v>
      </c>
      <c r="AL1029" s="47" t="s">
        <v>65</v>
      </c>
      <c r="AM1029" s="47" t="s">
        <v>1493</v>
      </c>
      <c r="AN1029" s="50">
        <v>1400</v>
      </c>
      <c r="AO1029" s="211">
        <f t="shared" si="254"/>
        <v>1.0830324909747292E-2</v>
      </c>
      <c r="AP1029" s="47" t="s">
        <v>57</v>
      </c>
      <c r="AQ1029" s="47" t="s">
        <v>1132</v>
      </c>
      <c r="AR1029" s="47"/>
    </row>
    <row r="1030" spans="1:44" hidden="1">
      <c r="A1030" s="47" t="s">
        <v>44</v>
      </c>
      <c r="B1030" s="47" t="str">
        <f t="shared" si="249"/>
        <v>August</v>
      </c>
      <c r="C1030" s="59">
        <v>45514</v>
      </c>
      <c r="D1030" s="47" t="s">
        <v>45</v>
      </c>
      <c r="E1030" s="47" t="s">
        <v>142</v>
      </c>
      <c r="F1030" s="47" t="s">
        <v>143</v>
      </c>
      <c r="G1030" s="91" t="s">
        <v>1518</v>
      </c>
      <c r="H1030" s="47" t="s">
        <v>1519</v>
      </c>
      <c r="I1030" s="47" t="s">
        <v>50</v>
      </c>
      <c r="J1030" s="47" t="s">
        <v>51</v>
      </c>
      <c r="K1030" s="48">
        <v>45149</v>
      </c>
      <c r="L1030" s="48">
        <v>45149</v>
      </c>
      <c r="M1030" s="48">
        <v>45514</v>
      </c>
      <c r="N1030" s="47" t="s">
        <v>52</v>
      </c>
      <c r="O1030" s="55" t="s">
        <v>53</v>
      </c>
      <c r="P1030" s="62">
        <v>18720</v>
      </c>
      <c r="Q1030" s="62">
        <v>1560</v>
      </c>
      <c r="R1030" s="96">
        <v>19380</v>
      </c>
      <c r="S1030" s="62">
        <f t="shared" si="250"/>
        <v>1615</v>
      </c>
      <c r="T1030" s="62">
        <v>17940</v>
      </c>
      <c r="U1030" s="62">
        <f t="shared" ref="U1030:U1093" si="255">T1030/12</f>
        <v>1495</v>
      </c>
      <c r="V1030" s="69">
        <v>17400</v>
      </c>
      <c r="W1030" s="71">
        <v>1650</v>
      </c>
      <c r="X1030" s="105">
        <f>W1030-(W1030*4%)</f>
        <v>1584</v>
      </c>
      <c r="Y1030" s="171">
        <f t="shared" si="247"/>
        <v>5.9531772575250837E-2</v>
      </c>
      <c r="Z1030" s="64">
        <f t="shared" si="251"/>
        <v>0.10367892976588629</v>
      </c>
      <c r="AA1030" s="64">
        <f t="shared" si="242"/>
        <v>2.1671826625386997E-2</v>
      </c>
      <c r="AB1030" s="71">
        <f t="shared" si="244"/>
        <v>1650</v>
      </c>
      <c r="AC1030" s="64">
        <f t="shared" si="252"/>
        <v>0.10367892976588629</v>
      </c>
      <c r="AD1030" s="64">
        <f t="shared" si="245"/>
        <v>2.1671826625386997E-2</v>
      </c>
      <c r="AE1030" s="71">
        <v>1620</v>
      </c>
      <c r="AF1030" s="64">
        <f t="shared" si="253"/>
        <v>8.3612040133779264E-2</v>
      </c>
      <c r="AG1030" s="64">
        <f t="shared" si="246"/>
        <v>3.0959752321981426E-3</v>
      </c>
      <c r="AH1030" s="67"/>
      <c r="AI1030" s="47" t="s">
        <v>54</v>
      </c>
      <c r="AJ1030" s="47">
        <v>695.3</v>
      </c>
      <c r="AK1030" s="47" t="s">
        <v>65</v>
      </c>
      <c r="AL1030" s="47" t="s">
        <v>55</v>
      </c>
      <c r="AM1030" s="47" t="s">
        <v>1520</v>
      </c>
      <c r="AN1030" s="50"/>
      <c r="AO1030" s="211">
        <f t="shared" si="254"/>
        <v>-1</v>
      </c>
      <c r="AP1030" s="47" t="s">
        <v>57</v>
      </c>
      <c r="AQ1030" s="47" t="s">
        <v>1132</v>
      </c>
      <c r="AR1030" s="47"/>
    </row>
    <row r="1031" spans="1:44">
      <c r="A1031" s="47" t="s">
        <v>44</v>
      </c>
      <c r="B1031" s="47" t="str">
        <f t="shared" si="249"/>
        <v>August</v>
      </c>
      <c r="C1031" s="59">
        <v>45515</v>
      </c>
      <c r="D1031" s="47" t="s">
        <v>45</v>
      </c>
      <c r="E1031" s="47" t="s">
        <v>142</v>
      </c>
      <c r="F1031" s="47" t="s">
        <v>143</v>
      </c>
      <c r="G1031" s="91" t="s">
        <v>1575</v>
      </c>
      <c r="H1031" s="47" t="s">
        <v>1576</v>
      </c>
      <c r="I1031" s="47" t="s">
        <v>50</v>
      </c>
      <c r="J1031" s="47" t="s">
        <v>51</v>
      </c>
      <c r="K1031" s="48">
        <v>44816</v>
      </c>
      <c r="L1031" s="48">
        <v>45181</v>
      </c>
      <c r="M1031" s="48">
        <v>45515</v>
      </c>
      <c r="N1031" s="47" t="s">
        <v>64</v>
      </c>
      <c r="O1031" s="55" t="s">
        <v>53</v>
      </c>
      <c r="P1031" s="62">
        <v>12480</v>
      </c>
      <c r="Q1031" s="62">
        <v>1040</v>
      </c>
      <c r="R1031" s="96">
        <v>12900</v>
      </c>
      <c r="S1031" s="62">
        <f t="shared" si="250"/>
        <v>1075</v>
      </c>
      <c r="T1031" s="62">
        <v>12900</v>
      </c>
      <c r="U1031" s="62">
        <f t="shared" si="255"/>
        <v>1075</v>
      </c>
      <c r="V1031" s="69">
        <v>11880</v>
      </c>
      <c r="W1031" s="71">
        <v>1140</v>
      </c>
      <c r="X1031" s="105">
        <f>W1031-(W1031*4%)</f>
        <v>1094.4000000000001</v>
      </c>
      <c r="Y1031" s="176">
        <f t="shared" si="247"/>
        <v>1.8046511627907061E-2</v>
      </c>
      <c r="Z1031" s="64">
        <f t="shared" si="251"/>
        <v>6.0465116279069767E-2</v>
      </c>
      <c r="AA1031" s="64">
        <f t="shared" si="242"/>
        <v>6.0465116279069767E-2</v>
      </c>
      <c r="AB1031" s="71">
        <f t="shared" si="244"/>
        <v>1140</v>
      </c>
      <c r="AC1031" s="64">
        <f t="shared" si="252"/>
        <v>6.0465116279069767E-2</v>
      </c>
      <c r="AD1031" s="64">
        <f t="shared" si="245"/>
        <v>6.0465116279069767E-2</v>
      </c>
      <c r="AE1031" s="71">
        <v>1120</v>
      </c>
      <c r="AF1031" s="64">
        <f t="shared" si="253"/>
        <v>4.1860465116279069E-2</v>
      </c>
      <c r="AG1031" s="64">
        <f t="shared" si="246"/>
        <v>4.1860465116279069E-2</v>
      </c>
      <c r="AH1031" s="67"/>
      <c r="AI1031" s="47" t="s">
        <v>54</v>
      </c>
      <c r="AJ1031" s="47">
        <v>483.2</v>
      </c>
      <c r="AK1031" s="47" t="s">
        <v>55</v>
      </c>
      <c r="AL1031" s="47" t="s">
        <v>55</v>
      </c>
      <c r="AM1031" s="47" t="s">
        <v>226</v>
      </c>
      <c r="AN1031" s="50"/>
      <c r="AO1031" s="211">
        <f t="shared" si="254"/>
        <v>-1</v>
      </c>
      <c r="AP1031" s="47" t="s">
        <v>57</v>
      </c>
      <c r="AQ1031" s="47" t="s">
        <v>1132</v>
      </c>
      <c r="AR1031" s="47"/>
    </row>
    <row r="1032" spans="1:44" hidden="1">
      <c r="A1032" s="47" t="s">
        <v>44</v>
      </c>
      <c r="B1032" s="47" t="str">
        <f t="shared" si="249"/>
        <v>August</v>
      </c>
      <c r="C1032" s="59">
        <v>45527</v>
      </c>
      <c r="D1032" s="47" t="s">
        <v>45</v>
      </c>
      <c r="E1032" s="47" t="s">
        <v>142</v>
      </c>
      <c r="F1032" s="47" t="s">
        <v>143</v>
      </c>
      <c r="G1032" s="91" t="s">
        <v>2735</v>
      </c>
      <c r="H1032" s="47" t="s">
        <v>2736</v>
      </c>
      <c r="I1032" s="47" t="s">
        <v>50</v>
      </c>
      <c r="J1032" s="47" t="s">
        <v>51</v>
      </c>
      <c r="K1032" s="48">
        <v>45162</v>
      </c>
      <c r="L1032" s="48">
        <v>45162</v>
      </c>
      <c r="M1032" s="48">
        <v>45527</v>
      </c>
      <c r="N1032" s="47" t="s">
        <v>52</v>
      </c>
      <c r="O1032" s="55" t="s">
        <v>53</v>
      </c>
      <c r="P1032" s="62">
        <v>16680</v>
      </c>
      <c r="Q1032" s="62">
        <v>1390</v>
      </c>
      <c r="R1032" s="96">
        <v>17280</v>
      </c>
      <c r="S1032" s="62">
        <f t="shared" si="250"/>
        <v>1440</v>
      </c>
      <c r="T1032" s="62">
        <v>16680</v>
      </c>
      <c r="U1032" s="62">
        <f t="shared" si="255"/>
        <v>1390</v>
      </c>
      <c r="V1032" s="69">
        <v>15420</v>
      </c>
      <c r="W1032" s="71">
        <v>1450</v>
      </c>
      <c r="X1032" s="105">
        <v>1392</v>
      </c>
      <c r="Y1032" s="176">
        <f t="shared" si="247"/>
        <v>1.4388489208633094E-3</v>
      </c>
      <c r="Z1032" s="64">
        <f t="shared" si="251"/>
        <v>4.3165467625899283E-2</v>
      </c>
      <c r="AA1032" s="64">
        <f t="shared" si="242"/>
        <v>6.9444444444444441E-3</v>
      </c>
      <c r="AB1032" s="71">
        <f t="shared" si="244"/>
        <v>1450</v>
      </c>
      <c r="AC1032" s="64">
        <f t="shared" si="252"/>
        <v>4.3165467625899283E-2</v>
      </c>
      <c r="AD1032" s="64">
        <f t="shared" si="245"/>
        <v>6.9444444444444441E-3</v>
      </c>
      <c r="AE1032" s="71">
        <v>1450</v>
      </c>
      <c r="AF1032" s="64">
        <f t="shared" si="253"/>
        <v>4.3165467625899283E-2</v>
      </c>
      <c r="AG1032" s="64">
        <f t="shared" si="246"/>
        <v>6.9444444444444441E-3</v>
      </c>
      <c r="AH1032" s="67"/>
      <c r="AI1032" s="47" t="s">
        <v>54</v>
      </c>
      <c r="AJ1032" s="47">
        <v>684.5</v>
      </c>
      <c r="AK1032" s="47" t="s">
        <v>65</v>
      </c>
      <c r="AL1032" s="47" t="s">
        <v>65</v>
      </c>
      <c r="AM1032" s="47" t="s">
        <v>2737</v>
      </c>
      <c r="AN1032" s="50">
        <v>1405</v>
      </c>
      <c r="AO1032" s="211">
        <f t="shared" si="254"/>
        <v>1.0791366906474821E-2</v>
      </c>
      <c r="AP1032" s="47" t="s">
        <v>57</v>
      </c>
      <c r="AQ1032" s="47" t="s">
        <v>1132</v>
      </c>
      <c r="AR1032" s="47"/>
    </row>
    <row r="1033" spans="1:44">
      <c r="A1033" s="47" t="s">
        <v>44</v>
      </c>
      <c r="B1033" s="47" t="str">
        <f t="shared" si="249"/>
        <v>August</v>
      </c>
      <c r="C1033" s="59">
        <v>45530</v>
      </c>
      <c r="D1033" s="47" t="s">
        <v>45</v>
      </c>
      <c r="E1033" s="47" t="s">
        <v>142</v>
      </c>
      <c r="F1033" s="47" t="s">
        <v>143</v>
      </c>
      <c r="G1033" s="91" t="s">
        <v>3129</v>
      </c>
      <c r="H1033" s="47" t="s">
        <v>3130</v>
      </c>
      <c r="I1033" s="47" t="s">
        <v>50</v>
      </c>
      <c r="J1033" s="47" t="s">
        <v>51</v>
      </c>
      <c r="K1033" s="48">
        <v>44800</v>
      </c>
      <c r="L1033" s="48">
        <v>45165</v>
      </c>
      <c r="M1033" s="48">
        <v>45530</v>
      </c>
      <c r="N1033" s="47" t="s">
        <v>64</v>
      </c>
      <c r="O1033" s="55" t="s">
        <v>53</v>
      </c>
      <c r="P1033" s="62">
        <v>15540</v>
      </c>
      <c r="Q1033" s="62">
        <v>1295</v>
      </c>
      <c r="R1033" s="96">
        <v>16320</v>
      </c>
      <c r="S1033" s="62">
        <f t="shared" si="250"/>
        <v>1360</v>
      </c>
      <c r="T1033" s="62">
        <v>16320</v>
      </c>
      <c r="U1033" s="62">
        <f t="shared" si="255"/>
        <v>1360</v>
      </c>
      <c r="V1033" s="69">
        <v>14820</v>
      </c>
      <c r="W1033" s="71">
        <v>1420</v>
      </c>
      <c r="X1033" s="105">
        <f t="shared" ref="X1033:X1038" si="256">W1033-(W1033*4%)</f>
        <v>1363.2</v>
      </c>
      <c r="Y1033" s="176">
        <f t="shared" si="247"/>
        <v>2.3529411764706219E-3</v>
      </c>
      <c r="Z1033" s="64">
        <f t="shared" si="251"/>
        <v>4.4117647058823532E-2</v>
      </c>
      <c r="AA1033" s="64">
        <f t="shared" si="242"/>
        <v>4.4117647058823532E-2</v>
      </c>
      <c r="AB1033" s="71">
        <f t="shared" si="244"/>
        <v>1420</v>
      </c>
      <c r="AC1033" s="64">
        <f t="shared" si="252"/>
        <v>4.4117647058823532E-2</v>
      </c>
      <c r="AD1033" s="64">
        <f t="shared" si="245"/>
        <v>4.4117647058823532E-2</v>
      </c>
      <c r="AE1033" s="71">
        <v>1420</v>
      </c>
      <c r="AF1033" s="64">
        <f t="shared" si="253"/>
        <v>4.4117647058823532E-2</v>
      </c>
      <c r="AG1033" s="64">
        <f t="shared" si="246"/>
        <v>4.4117647058823532E-2</v>
      </c>
      <c r="AH1033" s="67"/>
      <c r="AI1033" s="47" t="s">
        <v>54</v>
      </c>
      <c r="AJ1033" s="47">
        <v>709.3</v>
      </c>
      <c r="AK1033" s="47" t="s">
        <v>65</v>
      </c>
      <c r="AL1033" s="47" t="s">
        <v>65</v>
      </c>
      <c r="AM1033" s="47" t="s">
        <v>3131</v>
      </c>
      <c r="AN1033" s="50">
        <v>1420</v>
      </c>
      <c r="AO1033" s="211">
        <f t="shared" si="254"/>
        <v>4.4117647058823532E-2</v>
      </c>
      <c r="AP1033" s="47" t="s">
        <v>57</v>
      </c>
      <c r="AQ1033" s="47" t="s">
        <v>116</v>
      </c>
      <c r="AR1033" s="47"/>
    </row>
    <row r="1034" spans="1:44" hidden="1">
      <c r="A1034" s="47" t="s">
        <v>44</v>
      </c>
      <c r="B1034" s="47" t="str">
        <f t="shared" si="249"/>
        <v>August</v>
      </c>
      <c r="C1034" s="59">
        <v>45531</v>
      </c>
      <c r="D1034" s="47" t="s">
        <v>45</v>
      </c>
      <c r="E1034" s="47" t="s">
        <v>142</v>
      </c>
      <c r="F1034" s="47" t="s">
        <v>143</v>
      </c>
      <c r="G1034" s="94" t="s">
        <v>3179</v>
      </c>
      <c r="H1034" s="47" t="s">
        <v>3180</v>
      </c>
      <c r="I1034" s="47" t="s">
        <v>50</v>
      </c>
      <c r="J1034" s="47" t="s">
        <v>51</v>
      </c>
      <c r="K1034" s="48">
        <v>45166</v>
      </c>
      <c r="L1034" s="48">
        <v>45166</v>
      </c>
      <c r="M1034" s="48">
        <v>45531</v>
      </c>
      <c r="N1034" s="47" t="s">
        <v>52</v>
      </c>
      <c r="O1034" s="55" t="s">
        <v>53</v>
      </c>
      <c r="P1034" s="62">
        <v>14520</v>
      </c>
      <c r="Q1034" s="62">
        <v>1210</v>
      </c>
      <c r="R1034" s="96">
        <v>15000</v>
      </c>
      <c r="S1034" s="62">
        <f t="shared" si="250"/>
        <v>1250</v>
      </c>
      <c r="T1034" s="62">
        <v>14460</v>
      </c>
      <c r="U1034" s="62">
        <f t="shared" si="255"/>
        <v>1205</v>
      </c>
      <c r="V1034" s="69">
        <v>13440</v>
      </c>
      <c r="W1034" s="71">
        <v>1255</v>
      </c>
      <c r="X1034" s="172">
        <f t="shared" si="256"/>
        <v>1204.8</v>
      </c>
      <c r="Y1034" s="173">
        <f t="shared" si="247"/>
        <v>-1.6597510373447756E-4</v>
      </c>
      <c r="Z1034" s="64">
        <f t="shared" si="251"/>
        <v>4.1493775933609957E-2</v>
      </c>
      <c r="AA1034" s="64">
        <f t="shared" si="242"/>
        <v>4.0000000000000001E-3</v>
      </c>
      <c r="AB1034" s="71">
        <f t="shared" si="244"/>
        <v>1255</v>
      </c>
      <c r="AC1034" s="64">
        <f t="shared" si="252"/>
        <v>4.1493775933609957E-2</v>
      </c>
      <c r="AD1034" s="64">
        <f t="shared" si="245"/>
        <v>4.0000000000000001E-3</v>
      </c>
      <c r="AE1034" s="71">
        <v>1255</v>
      </c>
      <c r="AF1034" s="64">
        <f t="shared" si="253"/>
        <v>4.1493775933609957E-2</v>
      </c>
      <c r="AG1034" s="64">
        <f t="shared" si="246"/>
        <v>4.0000000000000001E-3</v>
      </c>
      <c r="AH1034" s="67"/>
      <c r="AI1034" s="47" t="s">
        <v>54</v>
      </c>
      <c r="AJ1034" s="47">
        <v>483.2</v>
      </c>
      <c r="AK1034" s="47" t="s">
        <v>55</v>
      </c>
      <c r="AL1034" s="47" t="s">
        <v>55</v>
      </c>
      <c r="AM1034" s="47" t="s">
        <v>3181</v>
      </c>
      <c r="AN1034" s="50"/>
      <c r="AO1034" s="211">
        <f t="shared" si="254"/>
        <v>-1</v>
      </c>
      <c r="AP1034" s="47" t="s">
        <v>57</v>
      </c>
      <c r="AQ1034" s="47" t="s">
        <v>131</v>
      </c>
      <c r="AR1034" s="47"/>
    </row>
    <row r="1035" spans="1:44" hidden="1">
      <c r="A1035" s="47" t="s">
        <v>44</v>
      </c>
      <c r="B1035" s="47" t="str">
        <f t="shared" si="249"/>
        <v>August</v>
      </c>
      <c r="C1035" s="59">
        <v>45532</v>
      </c>
      <c r="D1035" s="47" t="s">
        <v>45</v>
      </c>
      <c r="E1035" s="47" t="s">
        <v>142</v>
      </c>
      <c r="F1035" s="47" t="s">
        <v>143</v>
      </c>
      <c r="G1035" s="94" t="s">
        <v>3331</v>
      </c>
      <c r="H1035" s="47" t="s">
        <v>3332</v>
      </c>
      <c r="I1035" s="47" t="s">
        <v>50</v>
      </c>
      <c r="J1035" s="47" t="s">
        <v>51</v>
      </c>
      <c r="K1035" s="48">
        <v>45167</v>
      </c>
      <c r="L1035" s="48">
        <v>45167</v>
      </c>
      <c r="M1035" s="48">
        <v>45532</v>
      </c>
      <c r="N1035" s="47" t="s">
        <v>52</v>
      </c>
      <c r="O1035" s="55" t="s">
        <v>53</v>
      </c>
      <c r="P1035" s="62">
        <v>17520</v>
      </c>
      <c r="Q1035" s="62">
        <v>1460</v>
      </c>
      <c r="R1035" s="96">
        <v>18120</v>
      </c>
      <c r="S1035" s="62">
        <f t="shared" si="250"/>
        <v>1510</v>
      </c>
      <c r="T1035" s="62">
        <v>17520</v>
      </c>
      <c r="U1035" s="62">
        <f t="shared" si="255"/>
        <v>1460</v>
      </c>
      <c r="V1035" s="69">
        <v>17340</v>
      </c>
      <c r="W1035" s="71">
        <v>1515</v>
      </c>
      <c r="X1035" s="172">
        <f t="shared" si="256"/>
        <v>1454.4</v>
      </c>
      <c r="Y1035" s="173">
        <f t="shared" si="247"/>
        <v>-3.8356164383561019E-3</v>
      </c>
      <c r="Z1035" s="64">
        <f t="shared" si="251"/>
        <v>3.7671232876712327E-2</v>
      </c>
      <c r="AA1035" s="64">
        <f t="shared" si="242"/>
        <v>3.3112582781456954E-3</v>
      </c>
      <c r="AB1035" s="71">
        <f t="shared" si="244"/>
        <v>1515</v>
      </c>
      <c r="AC1035" s="64">
        <f t="shared" si="252"/>
        <v>3.7671232876712327E-2</v>
      </c>
      <c r="AD1035" s="64">
        <f t="shared" si="245"/>
        <v>3.3112582781456954E-3</v>
      </c>
      <c r="AE1035" s="71">
        <v>1515</v>
      </c>
      <c r="AF1035" s="64">
        <f t="shared" si="253"/>
        <v>3.7671232876712327E-2</v>
      </c>
      <c r="AG1035" s="64">
        <f t="shared" si="246"/>
        <v>3.3112582781456954E-3</v>
      </c>
      <c r="AH1035" s="67"/>
      <c r="AI1035" s="47" t="s">
        <v>54</v>
      </c>
      <c r="AJ1035" s="47">
        <v>684.5</v>
      </c>
      <c r="AK1035" s="47" t="s">
        <v>65</v>
      </c>
      <c r="AL1035" s="47" t="s">
        <v>65</v>
      </c>
      <c r="AM1035" s="47" t="s">
        <v>3333</v>
      </c>
      <c r="AN1035" s="50"/>
      <c r="AO1035" s="211">
        <f t="shared" si="254"/>
        <v>-1</v>
      </c>
      <c r="AP1035" s="47" t="s">
        <v>57</v>
      </c>
      <c r="AQ1035" s="144" t="s">
        <v>131</v>
      </c>
      <c r="AR1035" s="47"/>
    </row>
    <row r="1036" spans="1:44" hidden="1">
      <c r="A1036" s="47" t="s">
        <v>44</v>
      </c>
      <c r="B1036" s="47" t="str">
        <f t="shared" si="249"/>
        <v>August</v>
      </c>
      <c r="C1036" s="59">
        <v>45534</v>
      </c>
      <c r="D1036" s="47" t="s">
        <v>45</v>
      </c>
      <c r="E1036" s="47" t="s">
        <v>142</v>
      </c>
      <c r="F1036" s="47" t="s">
        <v>143</v>
      </c>
      <c r="G1036" s="91" t="s">
        <v>3489</v>
      </c>
      <c r="H1036" s="47" t="s">
        <v>3490</v>
      </c>
      <c r="I1036" s="47" t="s">
        <v>50</v>
      </c>
      <c r="J1036" s="47" t="s">
        <v>51</v>
      </c>
      <c r="K1036" s="48">
        <v>45169</v>
      </c>
      <c r="L1036" s="48">
        <v>45169</v>
      </c>
      <c r="M1036" s="48">
        <v>45534</v>
      </c>
      <c r="N1036" s="47" t="s">
        <v>52</v>
      </c>
      <c r="O1036" s="55" t="s">
        <v>53</v>
      </c>
      <c r="P1036" s="62">
        <v>17880</v>
      </c>
      <c r="Q1036" s="62">
        <v>1490</v>
      </c>
      <c r="R1036" s="96">
        <v>18480</v>
      </c>
      <c r="S1036" s="62">
        <f t="shared" si="250"/>
        <v>1540</v>
      </c>
      <c r="T1036" s="62">
        <v>17880</v>
      </c>
      <c r="U1036" s="62">
        <f t="shared" si="255"/>
        <v>1490</v>
      </c>
      <c r="V1036" s="69">
        <v>16680</v>
      </c>
      <c r="W1036" s="71">
        <v>1550</v>
      </c>
      <c r="X1036" s="172">
        <f t="shared" si="256"/>
        <v>1488</v>
      </c>
      <c r="Y1036" s="173">
        <f t="shared" si="247"/>
        <v>-1.3422818791946308E-3</v>
      </c>
      <c r="Z1036" s="64">
        <f t="shared" si="251"/>
        <v>4.0268456375838924E-2</v>
      </c>
      <c r="AA1036" s="64">
        <f t="shared" si="242"/>
        <v>6.4935064935064939E-3</v>
      </c>
      <c r="AB1036" s="71">
        <f t="shared" si="244"/>
        <v>1550</v>
      </c>
      <c r="AC1036" s="64">
        <f t="shared" si="252"/>
        <v>4.0268456375838924E-2</v>
      </c>
      <c r="AD1036" s="64">
        <f t="shared" si="245"/>
        <v>6.4935064935064939E-3</v>
      </c>
      <c r="AE1036" s="71">
        <v>1550</v>
      </c>
      <c r="AF1036" s="64">
        <f t="shared" si="253"/>
        <v>4.0268456375838924E-2</v>
      </c>
      <c r="AG1036" s="64">
        <f t="shared" si="246"/>
        <v>6.4935064935064939E-3</v>
      </c>
      <c r="AH1036" s="67"/>
      <c r="AI1036" s="47" t="s">
        <v>54</v>
      </c>
      <c r="AJ1036" s="47">
        <v>678.1</v>
      </c>
      <c r="AK1036" s="47" t="s">
        <v>65</v>
      </c>
      <c r="AL1036" s="47" t="s">
        <v>65</v>
      </c>
      <c r="AM1036" s="47" t="s">
        <v>3491</v>
      </c>
      <c r="AN1036" s="50"/>
      <c r="AO1036" s="211">
        <f t="shared" si="254"/>
        <v>-1</v>
      </c>
      <c r="AP1036" s="47" t="s">
        <v>57</v>
      </c>
      <c r="AQ1036" s="47" t="s">
        <v>131</v>
      </c>
      <c r="AR1036" s="47"/>
    </row>
    <row r="1037" spans="1:44" hidden="1">
      <c r="A1037" s="47" t="s">
        <v>44</v>
      </c>
      <c r="B1037" s="47" t="str">
        <f t="shared" si="249"/>
        <v>August</v>
      </c>
      <c r="C1037" s="59">
        <v>45534</v>
      </c>
      <c r="D1037" s="47" t="s">
        <v>45</v>
      </c>
      <c r="E1037" s="47" t="s">
        <v>142</v>
      </c>
      <c r="F1037" s="47" t="s">
        <v>143</v>
      </c>
      <c r="G1037" s="91" t="s">
        <v>3492</v>
      </c>
      <c r="H1037" s="47" t="s">
        <v>3493</v>
      </c>
      <c r="I1037" s="47" t="s">
        <v>50</v>
      </c>
      <c r="J1037" s="47" t="s">
        <v>51</v>
      </c>
      <c r="K1037" s="48">
        <v>45169</v>
      </c>
      <c r="L1037" s="48">
        <v>45169</v>
      </c>
      <c r="M1037" s="48">
        <v>45534</v>
      </c>
      <c r="N1037" s="47" t="s">
        <v>52</v>
      </c>
      <c r="O1037" s="55" t="s">
        <v>53</v>
      </c>
      <c r="P1037" s="62">
        <v>15960</v>
      </c>
      <c r="Q1037" s="62">
        <v>1330</v>
      </c>
      <c r="R1037" s="96">
        <v>16500</v>
      </c>
      <c r="S1037" s="62">
        <f t="shared" si="250"/>
        <v>1375</v>
      </c>
      <c r="T1037" s="62">
        <v>15960</v>
      </c>
      <c r="U1037" s="62">
        <f t="shared" si="255"/>
        <v>1330</v>
      </c>
      <c r="V1037" s="69">
        <v>14100</v>
      </c>
      <c r="W1037" s="71">
        <v>1390</v>
      </c>
      <c r="X1037" s="105">
        <f t="shared" si="256"/>
        <v>1334.4</v>
      </c>
      <c r="Y1037" s="176">
        <f t="shared" si="247"/>
        <v>3.3082706766917975E-3</v>
      </c>
      <c r="Z1037" s="64">
        <f t="shared" si="251"/>
        <v>4.5112781954887216E-2</v>
      </c>
      <c r="AA1037" s="64">
        <f t="shared" si="242"/>
        <v>1.090909090909091E-2</v>
      </c>
      <c r="AB1037" s="71">
        <f t="shared" si="244"/>
        <v>1390</v>
      </c>
      <c r="AC1037" s="64">
        <f t="shared" si="252"/>
        <v>4.5112781954887216E-2</v>
      </c>
      <c r="AD1037" s="64">
        <f t="shared" si="245"/>
        <v>1.090909090909091E-2</v>
      </c>
      <c r="AE1037" s="71">
        <v>1390</v>
      </c>
      <c r="AF1037" s="64">
        <f t="shared" si="253"/>
        <v>4.5112781954887216E-2</v>
      </c>
      <c r="AG1037" s="64">
        <f t="shared" si="246"/>
        <v>1.090909090909091E-2</v>
      </c>
      <c r="AH1037" s="67"/>
      <c r="AI1037" s="47" t="s">
        <v>54</v>
      </c>
      <c r="AJ1037" s="47">
        <v>684.5</v>
      </c>
      <c r="AK1037" s="47" t="s">
        <v>65</v>
      </c>
      <c r="AL1037" s="47" t="s">
        <v>65</v>
      </c>
      <c r="AM1037" s="47" t="s">
        <v>3494</v>
      </c>
      <c r="AN1037" s="50">
        <v>1390</v>
      </c>
      <c r="AO1037" s="211">
        <f t="shared" si="254"/>
        <v>4.5112781954887216E-2</v>
      </c>
      <c r="AP1037" s="47" t="s">
        <v>57</v>
      </c>
      <c r="AQ1037" s="144" t="s">
        <v>131</v>
      </c>
      <c r="AR1037" s="47"/>
    </row>
    <row r="1038" spans="1:44">
      <c r="A1038" s="47" t="s">
        <v>44</v>
      </c>
      <c r="B1038" s="47" t="str">
        <f t="shared" si="249"/>
        <v>August</v>
      </c>
      <c r="C1038" s="59">
        <v>45535</v>
      </c>
      <c r="D1038" s="47" t="s">
        <v>45</v>
      </c>
      <c r="E1038" s="47" t="s">
        <v>142</v>
      </c>
      <c r="F1038" s="47" t="s">
        <v>143</v>
      </c>
      <c r="G1038" s="91" t="s">
        <v>3674</v>
      </c>
      <c r="H1038" s="47" t="s">
        <v>3675</v>
      </c>
      <c r="I1038" s="47" t="s">
        <v>50</v>
      </c>
      <c r="J1038" s="47" t="s">
        <v>51</v>
      </c>
      <c r="K1038" s="48">
        <v>44440</v>
      </c>
      <c r="L1038" s="48">
        <v>45170</v>
      </c>
      <c r="M1038" s="48">
        <v>45535</v>
      </c>
      <c r="N1038" s="47" t="s">
        <v>64</v>
      </c>
      <c r="O1038" s="55" t="s">
        <v>53</v>
      </c>
      <c r="P1038" s="62">
        <v>13440</v>
      </c>
      <c r="Q1038" s="62">
        <v>1120</v>
      </c>
      <c r="R1038" s="96">
        <v>13920</v>
      </c>
      <c r="S1038" s="62">
        <f t="shared" si="250"/>
        <v>1160</v>
      </c>
      <c r="T1038" s="62">
        <v>13680</v>
      </c>
      <c r="U1038" s="62">
        <f t="shared" si="255"/>
        <v>1140</v>
      </c>
      <c r="V1038" s="69">
        <v>12420</v>
      </c>
      <c r="W1038" s="71">
        <v>1190</v>
      </c>
      <c r="X1038" s="105">
        <f t="shared" si="256"/>
        <v>1142.4000000000001</v>
      </c>
      <c r="Y1038" s="176">
        <f t="shared" si="247"/>
        <v>2.1052631578948166E-3</v>
      </c>
      <c r="Z1038" s="64">
        <f t="shared" si="251"/>
        <v>4.3859649122807015E-2</v>
      </c>
      <c r="AA1038" s="64">
        <f t="shared" si="242"/>
        <v>2.5862068965517241E-2</v>
      </c>
      <c r="AB1038" s="71">
        <f t="shared" si="244"/>
        <v>1190</v>
      </c>
      <c r="AC1038" s="64">
        <f t="shared" si="252"/>
        <v>4.3859649122807015E-2</v>
      </c>
      <c r="AD1038" s="64">
        <f t="shared" si="245"/>
        <v>2.5862068965517241E-2</v>
      </c>
      <c r="AE1038" s="71">
        <v>1190</v>
      </c>
      <c r="AF1038" s="64">
        <f t="shared" si="253"/>
        <v>4.3859649122807015E-2</v>
      </c>
      <c r="AG1038" s="64">
        <f t="shared" si="246"/>
        <v>2.5862068965517241E-2</v>
      </c>
      <c r="AH1038" s="67"/>
      <c r="AI1038" s="47" t="s">
        <v>54</v>
      </c>
      <c r="AJ1038" s="47">
        <v>483.2</v>
      </c>
      <c r="AK1038" s="47" t="s">
        <v>55</v>
      </c>
      <c r="AL1038" s="47" t="s">
        <v>55</v>
      </c>
      <c r="AM1038" s="47" t="s">
        <v>3676</v>
      </c>
      <c r="AN1038" s="50"/>
      <c r="AO1038" s="211">
        <f t="shared" si="254"/>
        <v>-1</v>
      </c>
      <c r="AP1038" s="47" t="s">
        <v>57</v>
      </c>
      <c r="AQ1038" s="52" t="s">
        <v>131</v>
      </c>
      <c r="AR1038" s="47"/>
    </row>
    <row r="1039" spans="1:44" hidden="1">
      <c r="A1039" s="47" t="s">
        <v>44</v>
      </c>
      <c r="B1039" s="47" t="str">
        <f t="shared" si="249"/>
        <v>August</v>
      </c>
      <c r="C1039" s="59">
        <v>45517</v>
      </c>
      <c r="D1039" s="47" t="s">
        <v>109</v>
      </c>
      <c r="E1039" s="47" t="s">
        <v>1041</v>
      </c>
      <c r="F1039" s="47" t="s">
        <v>1042</v>
      </c>
      <c r="G1039" s="47" t="s">
        <v>1043</v>
      </c>
      <c r="H1039" s="47" t="s">
        <v>1044</v>
      </c>
      <c r="I1039" s="47" t="s">
        <v>50</v>
      </c>
      <c r="J1039" s="47" t="s">
        <v>51</v>
      </c>
      <c r="K1039" s="48">
        <v>45152</v>
      </c>
      <c r="L1039" s="48">
        <v>45152</v>
      </c>
      <c r="M1039" s="48">
        <v>45517</v>
      </c>
      <c r="N1039" s="47" t="s">
        <v>52</v>
      </c>
      <c r="O1039" s="55" t="s">
        <v>53</v>
      </c>
      <c r="P1039" s="62">
        <v>19920</v>
      </c>
      <c r="Q1039" s="62">
        <v>1660</v>
      </c>
      <c r="R1039" s="96">
        <v>20040</v>
      </c>
      <c r="S1039" s="62">
        <f t="shared" si="250"/>
        <v>1670</v>
      </c>
      <c r="T1039" s="62">
        <v>19980</v>
      </c>
      <c r="U1039" s="62">
        <f t="shared" si="255"/>
        <v>1665</v>
      </c>
      <c r="V1039" s="69">
        <v>19920</v>
      </c>
      <c r="W1039" s="71">
        <v>1770</v>
      </c>
      <c r="X1039" s="71"/>
      <c r="Y1039" s="71"/>
      <c r="Z1039" s="64">
        <f t="shared" si="251"/>
        <v>6.3063063063063057E-2</v>
      </c>
      <c r="AA1039" s="64">
        <f t="shared" si="242"/>
        <v>5.9880239520958084E-2</v>
      </c>
      <c r="AB1039" s="71">
        <v>1775</v>
      </c>
      <c r="AC1039" s="64">
        <f t="shared" si="252"/>
        <v>6.6066066066066062E-2</v>
      </c>
      <c r="AD1039" s="64">
        <f t="shared" si="245"/>
        <v>6.2874251497005984E-2</v>
      </c>
      <c r="AE1039" s="71">
        <v>1750</v>
      </c>
      <c r="AF1039" s="64">
        <f t="shared" si="253"/>
        <v>5.1051051051051052E-2</v>
      </c>
      <c r="AG1039" s="64">
        <f t="shared" si="246"/>
        <v>4.790419161676647E-2</v>
      </c>
      <c r="AH1039" s="67"/>
      <c r="AI1039" s="47" t="s">
        <v>54</v>
      </c>
      <c r="AJ1039" s="47">
        <v>575.08000000000004</v>
      </c>
      <c r="AK1039" s="47" t="s">
        <v>55</v>
      </c>
      <c r="AL1039" s="47" t="s">
        <v>55</v>
      </c>
      <c r="AM1039" s="47" t="s">
        <v>1045</v>
      </c>
      <c r="AN1039" s="47">
        <v>1775</v>
      </c>
      <c r="AO1039" s="211">
        <f t="shared" si="254"/>
        <v>6.6066066066066062E-2</v>
      </c>
      <c r="AP1039" s="47" t="s">
        <v>90</v>
      </c>
      <c r="AQ1039" s="91" t="s">
        <v>116</v>
      </c>
      <c r="AR1039" s="47"/>
    </row>
    <row r="1040" spans="1:44" hidden="1">
      <c r="A1040" s="47" t="s">
        <v>44</v>
      </c>
      <c r="B1040" s="47" t="str">
        <f t="shared" si="249"/>
        <v>August</v>
      </c>
      <c r="C1040" s="59">
        <v>45521</v>
      </c>
      <c r="D1040" s="47" t="s">
        <v>109</v>
      </c>
      <c r="E1040" s="47" t="s">
        <v>1041</v>
      </c>
      <c r="F1040" s="47" t="s">
        <v>1042</v>
      </c>
      <c r="G1040" s="47" t="s">
        <v>1233</v>
      </c>
      <c r="H1040" s="47" t="s">
        <v>1234</v>
      </c>
      <c r="I1040" s="47" t="s">
        <v>50</v>
      </c>
      <c r="J1040" s="47" t="s">
        <v>51</v>
      </c>
      <c r="K1040" s="48">
        <v>45156</v>
      </c>
      <c r="L1040" s="48">
        <v>45156</v>
      </c>
      <c r="M1040" s="48">
        <v>45521</v>
      </c>
      <c r="N1040" s="47" t="s">
        <v>52</v>
      </c>
      <c r="O1040" s="55" t="s">
        <v>53</v>
      </c>
      <c r="P1040" s="62">
        <v>19140</v>
      </c>
      <c r="Q1040" s="62">
        <v>1595</v>
      </c>
      <c r="R1040" s="96">
        <v>19260</v>
      </c>
      <c r="S1040" s="62">
        <f t="shared" si="250"/>
        <v>1605</v>
      </c>
      <c r="T1040" s="62">
        <v>19620</v>
      </c>
      <c r="U1040" s="62">
        <f t="shared" si="255"/>
        <v>1635</v>
      </c>
      <c r="V1040" s="69">
        <v>19140</v>
      </c>
      <c r="W1040" s="71">
        <v>1740</v>
      </c>
      <c r="X1040" s="71"/>
      <c r="Y1040" s="71"/>
      <c r="Z1040" s="64">
        <f t="shared" si="251"/>
        <v>6.4220183486238536E-2</v>
      </c>
      <c r="AA1040" s="64">
        <f t="shared" si="242"/>
        <v>8.4112149532710276E-2</v>
      </c>
      <c r="AB1040" s="71">
        <v>1750</v>
      </c>
      <c r="AC1040" s="64">
        <f t="shared" si="252"/>
        <v>7.0336391437308868E-2</v>
      </c>
      <c r="AD1040" s="64">
        <f t="shared" si="245"/>
        <v>9.0342679127725853E-2</v>
      </c>
      <c r="AE1040" s="71">
        <v>1720</v>
      </c>
      <c r="AF1040" s="64">
        <f t="shared" si="253"/>
        <v>5.1987767584097858E-2</v>
      </c>
      <c r="AG1040" s="64">
        <f t="shared" si="246"/>
        <v>7.1651090342679122E-2</v>
      </c>
      <c r="AH1040" s="67"/>
      <c r="AI1040" s="47" t="s">
        <v>54</v>
      </c>
      <c r="AJ1040" s="47">
        <v>562.22</v>
      </c>
      <c r="AK1040" s="47" t="s">
        <v>55</v>
      </c>
      <c r="AL1040" s="47" t="s">
        <v>55</v>
      </c>
      <c r="AM1040" s="47" t="s">
        <v>1235</v>
      </c>
      <c r="AN1040" s="47"/>
      <c r="AO1040" s="211">
        <f t="shared" si="254"/>
        <v>-1</v>
      </c>
      <c r="AP1040" s="47" t="s">
        <v>90</v>
      </c>
      <c r="AQ1040" s="91" t="s">
        <v>116</v>
      </c>
      <c r="AR1040" s="47"/>
    </row>
    <row r="1041" spans="1:44" hidden="1">
      <c r="A1041" s="47" t="s">
        <v>44</v>
      </c>
      <c r="B1041" s="47" t="str">
        <f t="shared" si="249"/>
        <v>August</v>
      </c>
      <c r="C1041" s="59">
        <v>45521</v>
      </c>
      <c r="D1041" s="47" t="s">
        <v>109</v>
      </c>
      <c r="E1041" s="47" t="s">
        <v>1041</v>
      </c>
      <c r="F1041" s="47" t="s">
        <v>1042</v>
      </c>
      <c r="G1041" s="47" t="s">
        <v>1238</v>
      </c>
      <c r="H1041" s="47" t="s">
        <v>1239</v>
      </c>
      <c r="I1041" s="47" t="s">
        <v>50</v>
      </c>
      <c r="J1041" s="47" t="s">
        <v>51</v>
      </c>
      <c r="K1041" s="48">
        <v>45156</v>
      </c>
      <c r="L1041" s="48">
        <v>45156</v>
      </c>
      <c r="M1041" s="48">
        <v>45521</v>
      </c>
      <c r="N1041" s="47" t="s">
        <v>52</v>
      </c>
      <c r="O1041" s="55" t="s">
        <v>53</v>
      </c>
      <c r="P1041" s="62">
        <v>19920</v>
      </c>
      <c r="Q1041" s="62">
        <v>1660</v>
      </c>
      <c r="R1041" s="96">
        <v>20040</v>
      </c>
      <c r="S1041" s="62">
        <f t="shared" si="250"/>
        <v>1670</v>
      </c>
      <c r="T1041" s="62">
        <v>19680</v>
      </c>
      <c r="U1041" s="62">
        <f t="shared" si="255"/>
        <v>1640</v>
      </c>
      <c r="V1041" s="69">
        <v>19920</v>
      </c>
      <c r="W1041" s="71">
        <v>1745</v>
      </c>
      <c r="X1041" s="71"/>
      <c r="Y1041" s="71"/>
      <c r="Z1041" s="64">
        <f t="shared" si="251"/>
        <v>6.402439024390244E-2</v>
      </c>
      <c r="AA1041" s="64">
        <f t="shared" si="242"/>
        <v>4.4910179640718563E-2</v>
      </c>
      <c r="AB1041" s="71">
        <v>1750</v>
      </c>
      <c r="AC1041" s="64">
        <f t="shared" si="252"/>
        <v>6.7073170731707321E-2</v>
      </c>
      <c r="AD1041" s="64">
        <f t="shared" si="245"/>
        <v>4.790419161676647E-2</v>
      </c>
      <c r="AE1041" s="71">
        <v>1720</v>
      </c>
      <c r="AF1041" s="64">
        <f t="shared" si="253"/>
        <v>4.878048780487805E-2</v>
      </c>
      <c r="AG1041" s="64">
        <f t="shared" si="246"/>
        <v>2.9940119760479042E-2</v>
      </c>
      <c r="AH1041" s="67"/>
      <c r="AI1041" s="47" t="s">
        <v>54</v>
      </c>
      <c r="AJ1041" s="47">
        <v>592.73</v>
      </c>
      <c r="AK1041" s="47" t="s">
        <v>55</v>
      </c>
      <c r="AL1041" s="47" t="s">
        <v>55</v>
      </c>
      <c r="AM1041" s="47" t="s">
        <v>1240</v>
      </c>
      <c r="AN1041" s="47"/>
      <c r="AO1041" s="211">
        <f t="shared" si="254"/>
        <v>-1</v>
      </c>
      <c r="AP1041" s="47" t="s">
        <v>90</v>
      </c>
      <c r="AQ1041" s="91" t="s">
        <v>116</v>
      </c>
      <c r="AR1041" s="47"/>
    </row>
    <row r="1042" spans="1:44" hidden="1">
      <c r="A1042" s="47" t="s">
        <v>44</v>
      </c>
      <c r="B1042" s="47" t="str">
        <f t="shared" si="249"/>
        <v>August</v>
      </c>
      <c r="C1042" s="59">
        <v>45521</v>
      </c>
      <c r="D1042" s="47" t="s">
        <v>109</v>
      </c>
      <c r="E1042" s="47" t="s">
        <v>1041</v>
      </c>
      <c r="F1042" s="47" t="s">
        <v>1042</v>
      </c>
      <c r="G1042" s="47" t="s">
        <v>1818</v>
      </c>
      <c r="H1042" s="47" t="s">
        <v>1819</v>
      </c>
      <c r="I1042" s="47" t="s">
        <v>50</v>
      </c>
      <c r="J1042" s="47" t="s">
        <v>51</v>
      </c>
      <c r="K1042" s="48">
        <v>45156</v>
      </c>
      <c r="L1042" s="48">
        <v>45156</v>
      </c>
      <c r="M1042" s="48">
        <v>45521</v>
      </c>
      <c r="N1042" s="47" t="s">
        <v>52</v>
      </c>
      <c r="O1042" s="55" t="s">
        <v>53</v>
      </c>
      <c r="P1042" s="62">
        <v>19920</v>
      </c>
      <c r="Q1042" s="62">
        <v>1660</v>
      </c>
      <c r="R1042" s="96">
        <v>20040</v>
      </c>
      <c r="S1042" s="62">
        <f t="shared" si="250"/>
        <v>1670</v>
      </c>
      <c r="T1042" s="62">
        <v>19920</v>
      </c>
      <c r="U1042" s="62">
        <f t="shared" si="255"/>
        <v>1660</v>
      </c>
      <c r="V1042" s="69">
        <v>19920</v>
      </c>
      <c r="W1042" s="71">
        <v>1765</v>
      </c>
      <c r="X1042" s="71"/>
      <c r="Y1042" s="71"/>
      <c r="Z1042" s="64">
        <f t="shared" si="251"/>
        <v>6.3253012048192767E-2</v>
      </c>
      <c r="AA1042" s="64">
        <f t="shared" si="242"/>
        <v>5.6886227544910177E-2</v>
      </c>
      <c r="AB1042" s="71">
        <v>1775</v>
      </c>
      <c r="AC1042" s="64">
        <f t="shared" si="252"/>
        <v>6.9277108433734941E-2</v>
      </c>
      <c r="AD1042" s="64">
        <f t="shared" si="245"/>
        <v>6.2874251497005984E-2</v>
      </c>
      <c r="AE1042" s="71">
        <v>1750</v>
      </c>
      <c r="AF1042" s="64">
        <f t="shared" si="253"/>
        <v>5.4216867469879519E-2</v>
      </c>
      <c r="AG1042" s="64">
        <f t="shared" si="246"/>
        <v>4.790419161676647E-2</v>
      </c>
      <c r="AH1042" s="67"/>
      <c r="AI1042" s="47" t="s">
        <v>54</v>
      </c>
      <c r="AJ1042" s="47">
        <v>576.63</v>
      </c>
      <c r="AK1042" s="47" t="s">
        <v>55</v>
      </c>
      <c r="AL1042" s="47" t="s">
        <v>55</v>
      </c>
      <c r="AM1042" s="47" t="s">
        <v>1820</v>
      </c>
      <c r="AN1042" s="47"/>
      <c r="AO1042" s="211">
        <f t="shared" si="254"/>
        <v>-1</v>
      </c>
      <c r="AP1042" s="47" t="s">
        <v>90</v>
      </c>
      <c r="AQ1042" s="91" t="s">
        <v>116</v>
      </c>
      <c r="AR1042" s="47"/>
    </row>
    <row r="1043" spans="1:44" hidden="1">
      <c r="A1043" s="47" t="s">
        <v>44</v>
      </c>
      <c r="B1043" s="47" t="str">
        <f t="shared" si="249"/>
        <v>August</v>
      </c>
      <c r="C1043" s="59">
        <v>45524</v>
      </c>
      <c r="D1043" s="47" t="s">
        <v>109</v>
      </c>
      <c r="E1043" s="47" t="s">
        <v>1041</v>
      </c>
      <c r="F1043" s="47" t="s">
        <v>1042</v>
      </c>
      <c r="G1043" s="47" t="s">
        <v>2184</v>
      </c>
      <c r="H1043" s="47" t="s">
        <v>2185</v>
      </c>
      <c r="I1043" s="47" t="s">
        <v>50</v>
      </c>
      <c r="J1043" s="47" t="s">
        <v>51</v>
      </c>
      <c r="K1043" s="48">
        <v>45159</v>
      </c>
      <c r="L1043" s="48">
        <v>45159</v>
      </c>
      <c r="M1043" s="48">
        <v>45524</v>
      </c>
      <c r="N1043" s="47" t="s">
        <v>52</v>
      </c>
      <c r="O1043" s="55" t="s">
        <v>53</v>
      </c>
      <c r="P1043" s="62">
        <v>19140</v>
      </c>
      <c r="Q1043" s="62">
        <v>1595</v>
      </c>
      <c r="R1043" s="96">
        <v>19260</v>
      </c>
      <c r="S1043" s="62">
        <f t="shared" si="250"/>
        <v>1605</v>
      </c>
      <c r="T1043" s="62">
        <v>19620</v>
      </c>
      <c r="U1043" s="62">
        <f t="shared" si="255"/>
        <v>1635</v>
      </c>
      <c r="V1043" s="69">
        <v>19140</v>
      </c>
      <c r="W1043" s="71">
        <v>1740</v>
      </c>
      <c r="X1043" s="71"/>
      <c r="Y1043" s="71"/>
      <c r="Z1043" s="64">
        <f t="shared" si="251"/>
        <v>6.4220183486238536E-2</v>
      </c>
      <c r="AA1043" s="64">
        <f t="shared" si="242"/>
        <v>8.4112149532710276E-2</v>
      </c>
      <c r="AB1043" s="71">
        <v>1750</v>
      </c>
      <c r="AC1043" s="64">
        <f t="shared" si="252"/>
        <v>7.0336391437308868E-2</v>
      </c>
      <c r="AD1043" s="64">
        <f t="shared" si="245"/>
        <v>9.0342679127725853E-2</v>
      </c>
      <c r="AE1043" s="71">
        <v>1720</v>
      </c>
      <c r="AF1043" s="64">
        <f t="shared" si="253"/>
        <v>5.1987767584097858E-2</v>
      </c>
      <c r="AG1043" s="64">
        <f t="shared" si="246"/>
        <v>7.1651090342679122E-2</v>
      </c>
      <c r="AH1043" s="67"/>
      <c r="AI1043" s="47" t="s">
        <v>54</v>
      </c>
      <c r="AJ1043" s="47">
        <v>588</v>
      </c>
      <c r="AK1043" s="47" t="s">
        <v>55</v>
      </c>
      <c r="AL1043" s="47" t="s">
        <v>55</v>
      </c>
      <c r="AM1043" s="47" t="s">
        <v>2186</v>
      </c>
      <c r="AN1043" s="47"/>
      <c r="AO1043" s="211">
        <f t="shared" si="254"/>
        <v>-1</v>
      </c>
      <c r="AP1043" s="47" t="s">
        <v>90</v>
      </c>
      <c r="AQ1043" s="91" t="s">
        <v>116</v>
      </c>
      <c r="AR1043" s="47"/>
    </row>
    <row r="1044" spans="1:44" hidden="1">
      <c r="A1044" s="47" t="s">
        <v>44</v>
      </c>
      <c r="B1044" s="47" t="str">
        <f t="shared" si="249"/>
        <v>August</v>
      </c>
      <c r="C1044" s="59">
        <v>45524</v>
      </c>
      <c r="D1044" s="47" t="s">
        <v>109</v>
      </c>
      <c r="E1044" s="47" t="s">
        <v>1041</v>
      </c>
      <c r="F1044" s="47" t="s">
        <v>1042</v>
      </c>
      <c r="G1044" s="47" t="s">
        <v>2187</v>
      </c>
      <c r="H1044" s="47" t="s">
        <v>2188</v>
      </c>
      <c r="I1044" s="47" t="s">
        <v>50</v>
      </c>
      <c r="J1044" s="47" t="s">
        <v>51</v>
      </c>
      <c r="K1044" s="48">
        <v>45159</v>
      </c>
      <c r="L1044" s="48">
        <v>45159</v>
      </c>
      <c r="M1044" s="48">
        <v>45524</v>
      </c>
      <c r="N1044" s="47" t="s">
        <v>52</v>
      </c>
      <c r="O1044" s="55" t="s">
        <v>53</v>
      </c>
      <c r="P1044" s="62">
        <v>19920</v>
      </c>
      <c r="Q1044" s="62">
        <v>1660</v>
      </c>
      <c r="R1044" s="96">
        <v>20040</v>
      </c>
      <c r="S1044" s="62">
        <f t="shared" si="250"/>
        <v>1670</v>
      </c>
      <c r="T1044" s="62">
        <v>19680</v>
      </c>
      <c r="U1044" s="62">
        <f t="shared" si="255"/>
        <v>1640</v>
      </c>
      <c r="V1044" s="69">
        <v>19920</v>
      </c>
      <c r="W1044" s="71">
        <v>1745</v>
      </c>
      <c r="X1044" s="71"/>
      <c r="Y1044" s="71"/>
      <c r="Z1044" s="64">
        <f t="shared" si="251"/>
        <v>6.402439024390244E-2</v>
      </c>
      <c r="AA1044" s="64">
        <f t="shared" si="242"/>
        <v>4.4910179640718563E-2</v>
      </c>
      <c r="AB1044" s="71">
        <v>1750</v>
      </c>
      <c r="AC1044" s="64">
        <f t="shared" si="252"/>
        <v>6.7073170731707321E-2</v>
      </c>
      <c r="AD1044" s="64">
        <f t="shared" si="245"/>
        <v>4.790419161676647E-2</v>
      </c>
      <c r="AE1044" s="71">
        <v>1720</v>
      </c>
      <c r="AF1044" s="64">
        <f t="shared" si="253"/>
        <v>4.878048780487805E-2</v>
      </c>
      <c r="AG1044" s="64">
        <f t="shared" si="246"/>
        <v>2.9940119760479042E-2</v>
      </c>
      <c r="AH1044" s="67"/>
      <c r="AI1044" s="47" t="s">
        <v>54</v>
      </c>
      <c r="AJ1044" s="47">
        <v>562.71</v>
      </c>
      <c r="AK1044" s="47" t="s">
        <v>55</v>
      </c>
      <c r="AL1044" s="47" t="s">
        <v>55</v>
      </c>
      <c r="AM1044" s="47" t="s">
        <v>1235</v>
      </c>
      <c r="AN1044" s="47">
        <v>1720</v>
      </c>
      <c r="AO1044" s="211">
        <f t="shared" si="254"/>
        <v>4.878048780487805E-2</v>
      </c>
      <c r="AP1044" s="47" t="s">
        <v>90</v>
      </c>
      <c r="AQ1044" s="91" t="s">
        <v>116</v>
      </c>
      <c r="AR1044" s="47"/>
    </row>
    <row r="1045" spans="1:44" hidden="1">
      <c r="A1045" s="47" t="s">
        <v>44</v>
      </c>
      <c r="B1045" s="47" t="str">
        <f t="shared" si="249"/>
        <v>August</v>
      </c>
      <c r="C1045" s="59">
        <v>45524</v>
      </c>
      <c r="D1045" s="47" t="s">
        <v>109</v>
      </c>
      <c r="E1045" s="47" t="s">
        <v>1041</v>
      </c>
      <c r="F1045" s="47" t="s">
        <v>1042</v>
      </c>
      <c r="G1045" s="47" t="s">
        <v>2189</v>
      </c>
      <c r="H1045" s="47" t="s">
        <v>2190</v>
      </c>
      <c r="I1045" s="47" t="s">
        <v>50</v>
      </c>
      <c r="J1045" s="47" t="s">
        <v>51</v>
      </c>
      <c r="K1045" s="48">
        <v>45159</v>
      </c>
      <c r="L1045" s="48">
        <v>45159</v>
      </c>
      <c r="M1045" s="48">
        <v>45524</v>
      </c>
      <c r="N1045" s="47" t="s">
        <v>52</v>
      </c>
      <c r="O1045" s="55" t="s">
        <v>53</v>
      </c>
      <c r="P1045" s="62">
        <v>19920</v>
      </c>
      <c r="Q1045" s="62">
        <v>1660</v>
      </c>
      <c r="R1045" s="96">
        <v>20040</v>
      </c>
      <c r="S1045" s="62">
        <f t="shared" si="250"/>
        <v>1670</v>
      </c>
      <c r="T1045" s="62">
        <v>19980</v>
      </c>
      <c r="U1045" s="62">
        <f t="shared" si="255"/>
        <v>1665</v>
      </c>
      <c r="V1045" s="69">
        <v>19920</v>
      </c>
      <c r="W1045" s="71">
        <v>1770</v>
      </c>
      <c r="X1045" s="71"/>
      <c r="Y1045" s="71"/>
      <c r="Z1045" s="64">
        <f t="shared" si="251"/>
        <v>6.3063063063063057E-2</v>
      </c>
      <c r="AA1045" s="64">
        <f t="shared" si="242"/>
        <v>5.9880239520958084E-2</v>
      </c>
      <c r="AB1045" s="71">
        <v>1775</v>
      </c>
      <c r="AC1045" s="64">
        <f t="shared" si="252"/>
        <v>6.6066066066066062E-2</v>
      </c>
      <c r="AD1045" s="64">
        <f t="shared" si="245"/>
        <v>6.2874251497005984E-2</v>
      </c>
      <c r="AE1045" s="71">
        <v>1750</v>
      </c>
      <c r="AF1045" s="64">
        <f t="shared" si="253"/>
        <v>5.1051051051051052E-2</v>
      </c>
      <c r="AG1045" s="64">
        <f t="shared" si="246"/>
        <v>4.790419161676647E-2</v>
      </c>
      <c r="AH1045" s="67"/>
      <c r="AI1045" s="47" t="s">
        <v>54</v>
      </c>
      <c r="AJ1045" s="47">
        <v>574.78</v>
      </c>
      <c r="AK1045" s="47" t="s">
        <v>55</v>
      </c>
      <c r="AL1045" s="47" t="s">
        <v>55</v>
      </c>
      <c r="AM1045" s="47" t="s">
        <v>1045</v>
      </c>
      <c r="AN1045" s="47"/>
      <c r="AO1045" s="211">
        <f t="shared" si="254"/>
        <v>-1</v>
      </c>
      <c r="AP1045" s="47" t="s">
        <v>90</v>
      </c>
      <c r="AQ1045" s="135" t="s">
        <v>116</v>
      </c>
      <c r="AR1045" s="47"/>
    </row>
    <row r="1046" spans="1:44" hidden="1">
      <c r="A1046" s="47" t="s">
        <v>44</v>
      </c>
      <c r="B1046" s="47" t="str">
        <f t="shared" si="249"/>
        <v>August</v>
      </c>
      <c r="C1046" s="59">
        <v>45528</v>
      </c>
      <c r="D1046" s="47" t="s">
        <v>109</v>
      </c>
      <c r="E1046" s="47" t="s">
        <v>1041</v>
      </c>
      <c r="F1046" s="47" t="s">
        <v>1042</v>
      </c>
      <c r="G1046" s="47" t="s">
        <v>2296</v>
      </c>
      <c r="H1046" s="47" t="s">
        <v>2297</v>
      </c>
      <c r="I1046" s="47" t="s">
        <v>50</v>
      </c>
      <c r="J1046" s="47" t="s">
        <v>51</v>
      </c>
      <c r="K1046" s="48">
        <v>45163</v>
      </c>
      <c r="L1046" s="48">
        <v>45163</v>
      </c>
      <c r="M1046" s="48">
        <v>45528</v>
      </c>
      <c r="N1046" s="47" t="s">
        <v>52</v>
      </c>
      <c r="O1046" s="55" t="s">
        <v>53</v>
      </c>
      <c r="P1046" s="62">
        <v>20700</v>
      </c>
      <c r="Q1046" s="62">
        <v>1725</v>
      </c>
      <c r="R1046" s="96">
        <v>20820</v>
      </c>
      <c r="S1046" s="62">
        <f t="shared" si="250"/>
        <v>1735</v>
      </c>
      <c r="T1046" s="62">
        <v>20040</v>
      </c>
      <c r="U1046" s="62">
        <f t="shared" si="255"/>
        <v>1670</v>
      </c>
      <c r="V1046" s="69">
        <v>20700</v>
      </c>
      <c r="W1046" s="71">
        <v>1775</v>
      </c>
      <c r="X1046" s="71"/>
      <c r="Y1046" s="71"/>
      <c r="Z1046" s="64">
        <f t="shared" si="251"/>
        <v>6.2874251497005984E-2</v>
      </c>
      <c r="AA1046" s="64">
        <f t="shared" si="242"/>
        <v>2.3054755043227664E-2</v>
      </c>
      <c r="AB1046" s="71">
        <v>1775</v>
      </c>
      <c r="AC1046" s="64">
        <f t="shared" si="252"/>
        <v>6.2874251497005984E-2</v>
      </c>
      <c r="AD1046" s="64">
        <f t="shared" si="245"/>
        <v>2.3054755043227664E-2</v>
      </c>
      <c r="AE1046" s="71">
        <v>1750</v>
      </c>
      <c r="AF1046" s="64">
        <f t="shared" si="253"/>
        <v>4.790419161676647E-2</v>
      </c>
      <c r="AG1046" s="64">
        <f t="shared" si="246"/>
        <v>8.6455331412103754E-3</v>
      </c>
      <c r="AH1046" s="67"/>
      <c r="AI1046" s="47" t="s">
        <v>54</v>
      </c>
      <c r="AJ1046" s="47">
        <v>575.08000000000004</v>
      </c>
      <c r="AK1046" s="47" t="s">
        <v>55</v>
      </c>
      <c r="AL1046" s="47" t="s">
        <v>55</v>
      </c>
      <c r="AM1046" s="47" t="s">
        <v>1045</v>
      </c>
      <c r="AN1046" s="47"/>
      <c r="AO1046" s="211">
        <f t="shared" si="254"/>
        <v>-1</v>
      </c>
      <c r="AP1046" s="47" t="s">
        <v>90</v>
      </c>
      <c r="AQ1046" s="91" t="s">
        <v>116</v>
      </c>
      <c r="AR1046" s="47"/>
    </row>
    <row r="1047" spans="1:44" hidden="1">
      <c r="A1047" s="47" t="s">
        <v>44</v>
      </c>
      <c r="B1047" s="47" t="str">
        <f t="shared" si="249"/>
        <v>August</v>
      </c>
      <c r="C1047" s="59">
        <v>45532</v>
      </c>
      <c r="D1047" s="47" t="s">
        <v>109</v>
      </c>
      <c r="E1047" s="47" t="s">
        <v>1041</v>
      </c>
      <c r="F1047" s="47" t="s">
        <v>1042</v>
      </c>
      <c r="G1047" s="47" t="s">
        <v>2472</v>
      </c>
      <c r="H1047" s="47" t="s">
        <v>2473</v>
      </c>
      <c r="I1047" s="47" t="s">
        <v>50</v>
      </c>
      <c r="J1047" s="47" t="s">
        <v>51</v>
      </c>
      <c r="K1047" s="48">
        <v>45167</v>
      </c>
      <c r="L1047" s="48">
        <v>45167</v>
      </c>
      <c r="M1047" s="48">
        <v>45532</v>
      </c>
      <c r="N1047" s="47" t="s">
        <v>52</v>
      </c>
      <c r="O1047" s="55" t="s">
        <v>53</v>
      </c>
      <c r="P1047" s="62">
        <v>19920</v>
      </c>
      <c r="Q1047" s="62">
        <v>1660</v>
      </c>
      <c r="R1047" s="96">
        <v>20040</v>
      </c>
      <c r="S1047" s="62">
        <f t="shared" si="250"/>
        <v>1670</v>
      </c>
      <c r="T1047" s="62">
        <v>19500</v>
      </c>
      <c r="U1047" s="62">
        <f t="shared" si="255"/>
        <v>1625</v>
      </c>
      <c r="V1047" s="69">
        <v>19920</v>
      </c>
      <c r="W1047" s="71">
        <v>1730</v>
      </c>
      <c r="X1047" s="71"/>
      <c r="Y1047" s="71"/>
      <c r="Z1047" s="64">
        <f t="shared" si="251"/>
        <v>6.4615384615384616E-2</v>
      </c>
      <c r="AA1047" s="64">
        <f t="shared" si="242"/>
        <v>3.5928143712574849E-2</v>
      </c>
      <c r="AB1047" s="71">
        <v>1750</v>
      </c>
      <c r="AC1047" s="64">
        <f t="shared" si="252"/>
        <v>7.6923076923076927E-2</v>
      </c>
      <c r="AD1047" s="64">
        <f t="shared" si="245"/>
        <v>4.790419161676647E-2</v>
      </c>
      <c r="AE1047" s="71">
        <v>1720</v>
      </c>
      <c r="AF1047" s="64">
        <f t="shared" si="253"/>
        <v>5.8461538461538461E-2</v>
      </c>
      <c r="AG1047" s="64">
        <f t="shared" si="246"/>
        <v>2.9940119760479042E-2</v>
      </c>
      <c r="AH1047" s="67"/>
      <c r="AI1047" s="47" t="s">
        <v>54</v>
      </c>
      <c r="AJ1047" s="47">
        <v>573.63</v>
      </c>
      <c r="AK1047" s="47" t="s">
        <v>55</v>
      </c>
      <c r="AL1047" s="47" t="s">
        <v>55</v>
      </c>
      <c r="AM1047" s="47" t="s">
        <v>2474</v>
      </c>
      <c r="AN1047" s="47"/>
      <c r="AO1047" s="211">
        <f t="shared" si="254"/>
        <v>-1</v>
      </c>
      <c r="AP1047" s="47" t="s">
        <v>90</v>
      </c>
      <c r="AQ1047" s="91" t="s">
        <v>116</v>
      </c>
      <c r="AR1047" s="47"/>
    </row>
    <row r="1048" spans="1:44" hidden="1">
      <c r="A1048" s="47" t="s">
        <v>44</v>
      </c>
      <c r="B1048" s="47" t="str">
        <f t="shared" si="249"/>
        <v>August</v>
      </c>
      <c r="C1048" s="59">
        <v>45533</v>
      </c>
      <c r="D1048" s="47" t="s">
        <v>109</v>
      </c>
      <c r="E1048" s="47" t="s">
        <v>1041</v>
      </c>
      <c r="F1048" s="47" t="s">
        <v>1042</v>
      </c>
      <c r="G1048" s="47" t="s">
        <v>2475</v>
      </c>
      <c r="H1048" s="47" t="s">
        <v>2476</v>
      </c>
      <c r="I1048" s="47" t="s">
        <v>50</v>
      </c>
      <c r="J1048" s="47" t="s">
        <v>51</v>
      </c>
      <c r="K1048" s="48">
        <v>45168</v>
      </c>
      <c r="L1048" s="48">
        <v>45168</v>
      </c>
      <c r="M1048" s="48">
        <v>45533</v>
      </c>
      <c r="N1048" s="47" t="s">
        <v>52</v>
      </c>
      <c r="O1048" s="55" t="s">
        <v>53</v>
      </c>
      <c r="P1048" s="62">
        <v>19920</v>
      </c>
      <c r="Q1048" s="62">
        <v>1660</v>
      </c>
      <c r="R1048" s="96">
        <v>20040</v>
      </c>
      <c r="S1048" s="62">
        <f t="shared" si="250"/>
        <v>1670</v>
      </c>
      <c r="T1048" s="62">
        <v>19800</v>
      </c>
      <c r="U1048" s="62">
        <f t="shared" si="255"/>
        <v>1650</v>
      </c>
      <c r="V1048" s="69">
        <v>19920</v>
      </c>
      <c r="W1048" s="71">
        <v>1755</v>
      </c>
      <c r="X1048" s="71"/>
      <c r="Y1048" s="71"/>
      <c r="Z1048" s="64">
        <f t="shared" si="251"/>
        <v>6.363636363636363E-2</v>
      </c>
      <c r="AA1048" s="64">
        <f t="shared" si="242"/>
        <v>5.089820359281437E-2</v>
      </c>
      <c r="AB1048" s="71">
        <v>1750</v>
      </c>
      <c r="AC1048" s="64">
        <f t="shared" si="252"/>
        <v>6.0606060606060608E-2</v>
      </c>
      <c r="AD1048" s="64">
        <f t="shared" si="245"/>
        <v>4.790419161676647E-2</v>
      </c>
      <c r="AE1048" s="71">
        <v>1725</v>
      </c>
      <c r="AF1048" s="64">
        <f t="shared" si="253"/>
        <v>4.5454545454545456E-2</v>
      </c>
      <c r="AG1048" s="64">
        <f t="shared" si="246"/>
        <v>3.2934131736526949E-2</v>
      </c>
      <c r="AH1048" s="67"/>
      <c r="AI1048" s="47" t="s">
        <v>54</v>
      </c>
      <c r="AJ1048" s="47">
        <v>587.19000000000005</v>
      </c>
      <c r="AK1048" s="47" t="s">
        <v>55</v>
      </c>
      <c r="AL1048" s="47" t="s">
        <v>55</v>
      </c>
      <c r="AM1048" s="47" t="s">
        <v>2477</v>
      </c>
      <c r="AN1048" s="47"/>
      <c r="AO1048" s="211">
        <f t="shared" si="254"/>
        <v>-1</v>
      </c>
      <c r="AP1048" s="47" t="s">
        <v>90</v>
      </c>
      <c r="AQ1048" s="91" t="s">
        <v>116</v>
      </c>
      <c r="AR1048" s="47"/>
    </row>
    <row r="1049" spans="1:44" hidden="1">
      <c r="A1049" s="47" t="s">
        <v>44</v>
      </c>
      <c r="B1049" s="47" t="str">
        <f t="shared" si="249"/>
        <v>August</v>
      </c>
      <c r="C1049" s="59">
        <v>45533</v>
      </c>
      <c r="D1049" s="47" t="s">
        <v>109</v>
      </c>
      <c r="E1049" s="47" t="s">
        <v>1041</v>
      </c>
      <c r="F1049" s="47" t="s">
        <v>1042</v>
      </c>
      <c r="G1049" s="47" t="s">
        <v>2478</v>
      </c>
      <c r="H1049" s="47" t="s">
        <v>2479</v>
      </c>
      <c r="I1049" s="47" t="s">
        <v>50</v>
      </c>
      <c r="J1049" s="47" t="s">
        <v>51</v>
      </c>
      <c r="K1049" s="48">
        <v>45168</v>
      </c>
      <c r="L1049" s="48">
        <v>45168</v>
      </c>
      <c r="M1049" s="48">
        <v>45533</v>
      </c>
      <c r="N1049" s="47" t="s">
        <v>52</v>
      </c>
      <c r="O1049" s="55" t="s">
        <v>53</v>
      </c>
      <c r="P1049" s="62">
        <v>20700</v>
      </c>
      <c r="Q1049" s="62">
        <v>1725</v>
      </c>
      <c r="R1049" s="96">
        <v>20820</v>
      </c>
      <c r="S1049" s="62">
        <f t="shared" si="250"/>
        <v>1735</v>
      </c>
      <c r="T1049" s="62">
        <v>20040</v>
      </c>
      <c r="U1049" s="62">
        <f t="shared" si="255"/>
        <v>1670</v>
      </c>
      <c r="V1049" s="69">
        <v>20700</v>
      </c>
      <c r="W1049" s="71">
        <v>1775</v>
      </c>
      <c r="X1049" s="71"/>
      <c r="Y1049" s="71"/>
      <c r="Z1049" s="64">
        <f t="shared" si="251"/>
        <v>6.2874251497005984E-2</v>
      </c>
      <c r="AA1049" s="64">
        <f t="shared" si="242"/>
        <v>2.3054755043227664E-2</v>
      </c>
      <c r="AB1049" s="71">
        <v>1775</v>
      </c>
      <c r="AC1049" s="64">
        <f t="shared" si="252"/>
        <v>6.2874251497005984E-2</v>
      </c>
      <c r="AD1049" s="64">
        <f t="shared" si="245"/>
        <v>2.3054755043227664E-2</v>
      </c>
      <c r="AE1049" s="71">
        <v>1750</v>
      </c>
      <c r="AF1049" s="64">
        <f t="shared" si="253"/>
        <v>4.790419161676647E-2</v>
      </c>
      <c r="AG1049" s="64">
        <f t="shared" si="246"/>
        <v>8.6455331412103754E-3</v>
      </c>
      <c r="AH1049" s="67"/>
      <c r="AI1049" s="47" t="s">
        <v>54</v>
      </c>
      <c r="AJ1049" s="47">
        <v>574.78</v>
      </c>
      <c r="AK1049" s="47" t="s">
        <v>55</v>
      </c>
      <c r="AL1049" s="47" t="s">
        <v>55</v>
      </c>
      <c r="AM1049" s="47" t="s">
        <v>1045</v>
      </c>
      <c r="AN1049" s="47"/>
      <c r="AO1049" s="211">
        <f t="shared" si="254"/>
        <v>-1</v>
      </c>
      <c r="AP1049" s="47" t="s">
        <v>90</v>
      </c>
      <c r="AQ1049" s="91" t="s">
        <v>116</v>
      </c>
      <c r="AR1049" s="47"/>
    </row>
    <row r="1050" spans="1:44" hidden="1">
      <c r="A1050" s="47" t="s">
        <v>44</v>
      </c>
      <c r="B1050" s="47" t="str">
        <f t="shared" si="249"/>
        <v>August</v>
      </c>
      <c r="C1050" s="59">
        <v>45534</v>
      </c>
      <c r="D1050" s="47" t="s">
        <v>109</v>
      </c>
      <c r="E1050" s="47" t="s">
        <v>1041</v>
      </c>
      <c r="F1050" s="47" t="s">
        <v>1042</v>
      </c>
      <c r="G1050" s="47" t="s">
        <v>2480</v>
      </c>
      <c r="H1050" s="47" t="s">
        <v>2481</v>
      </c>
      <c r="I1050" s="47" t="s">
        <v>50</v>
      </c>
      <c r="J1050" s="47" t="s">
        <v>51</v>
      </c>
      <c r="K1050" s="48">
        <v>45169</v>
      </c>
      <c r="L1050" s="48">
        <v>45169</v>
      </c>
      <c r="M1050" s="48">
        <v>45534</v>
      </c>
      <c r="N1050" s="47" t="s">
        <v>52</v>
      </c>
      <c r="O1050" s="55" t="s">
        <v>53</v>
      </c>
      <c r="P1050" s="62">
        <v>19140</v>
      </c>
      <c r="Q1050" s="62">
        <v>1595</v>
      </c>
      <c r="R1050" s="96">
        <v>19260</v>
      </c>
      <c r="S1050" s="62">
        <f t="shared" si="250"/>
        <v>1605</v>
      </c>
      <c r="T1050" s="62">
        <v>19620</v>
      </c>
      <c r="U1050" s="62">
        <f t="shared" si="255"/>
        <v>1635</v>
      </c>
      <c r="V1050" s="69">
        <v>19140</v>
      </c>
      <c r="W1050" s="71">
        <v>1740</v>
      </c>
      <c r="X1050" s="71"/>
      <c r="Y1050" s="71"/>
      <c r="Z1050" s="64">
        <f t="shared" si="251"/>
        <v>6.4220183486238536E-2</v>
      </c>
      <c r="AA1050" s="64">
        <f t="shared" ref="AA1050:AA1113" si="257">(W1050-S1050)/S1050</f>
        <v>8.4112149532710276E-2</v>
      </c>
      <c r="AB1050" s="71">
        <v>1750</v>
      </c>
      <c r="AC1050" s="64">
        <f t="shared" si="252"/>
        <v>7.0336391437308868E-2</v>
      </c>
      <c r="AD1050" s="64">
        <f t="shared" si="245"/>
        <v>9.0342679127725853E-2</v>
      </c>
      <c r="AE1050" s="71">
        <v>1720</v>
      </c>
      <c r="AF1050" s="64">
        <f t="shared" si="253"/>
        <v>5.1987767584097858E-2</v>
      </c>
      <c r="AG1050" s="64">
        <f t="shared" si="246"/>
        <v>7.1651090342679122E-2</v>
      </c>
      <c r="AH1050" s="67"/>
      <c r="AI1050" s="47" t="s">
        <v>54</v>
      </c>
      <c r="AJ1050" s="47">
        <v>587.02</v>
      </c>
      <c r="AK1050" s="47" t="s">
        <v>55</v>
      </c>
      <c r="AL1050" s="47" t="s">
        <v>55</v>
      </c>
      <c r="AM1050" s="47" t="s">
        <v>2477</v>
      </c>
      <c r="AN1050" s="47"/>
      <c r="AO1050" s="211">
        <f t="shared" si="254"/>
        <v>-1</v>
      </c>
      <c r="AP1050" s="47" t="s">
        <v>90</v>
      </c>
      <c r="AQ1050" s="91" t="s">
        <v>116</v>
      </c>
      <c r="AR1050" s="47" t="s">
        <v>1766</v>
      </c>
    </row>
    <row r="1051" spans="1:44" hidden="1">
      <c r="A1051" s="47" t="s">
        <v>44</v>
      </c>
      <c r="B1051" s="47" t="str">
        <f t="shared" si="249"/>
        <v>July</v>
      </c>
      <c r="C1051" s="59">
        <v>45501</v>
      </c>
      <c r="D1051" s="47" t="s">
        <v>109</v>
      </c>
      <c r="E1051" s="47" t="s">
        <v>1041</v>
      </c>
      <c r="F1051" s="47" t="s">
        <v>1042</v>
      </c>
      <c r="G1051" s="47" t="s">
        <v>2875</v>
      </c>
      <c r="H1051" s="47" t="s">
        <v>2876</v>
      </c>
      <c r="I1051" s="47" t="s">
        <v>50</v>
      </c>
      <c r="J1051" s="47" t="s">
        <v>51</v>
      </c>
      <c r="K1051" s="48">
        <v>45320</v>
      </c>
      <c r="L1051" s="48">
        <v>45320</v>
      </c>
      <c r="M1051" s="48">
        <v>45501</v>
      </c>
      <c r="N1051" s="47" t="s">
        <v>52</v>
      </c>
      <c r="O1051" s="55" t="s">
        <v>53</v>
      </c>
      <c r="P1051" s="62">
        <v>25980</v>
      </c>
      <c r="Q1051" s="62">
        <v>2165</v>
      </c>
      <c r="R1051" s="96">
        <v>25980</v>
      </c>
      <c r="S1051" s="62">
        <f t="shared" si="250"/>
        <v>2165</v>
      </c>
      <c r="T1051" s="62">
        <v>25680</v>
      </c>
      <c r="U1051" s="62">
        <f t="shared" si="255"/>
        <v>2140</v>
      </c>
      <c r="V1051" s="69">
        <v>25980</v>
      </c>
      <c r="W1051" s="71">
        <v>2215</v>
      </c>
      <c r="X1051" s="71"/>
      <c r="Y1051" s="71"/>
      <c r="Z1051" s="64">
        <f t="shared" si="251"/>
        <v>3.5046728971962614E-2</v>
      </c>
      <c r="AA1051" s="64">
        <f t="shared" si="257"/>
        <v>2.3094688221709007E-2</v>
      </c>
      <c r="AB1051" s="71">
        <v>2250</v>
      </c>
      <c r="AC1051" s="64">
        <f t="shared" si="252"/>
        <v>5.1401869158878503E-2</v>
      </c>
      <c r="AD1051" s="64">
        <f t="shared" si="245"/>
        <v>3.9260969976905313E-2</v>
      </c>
      <c r="AE1051" s="71">
        <v>2225</v>
      </c>
      <c r="AF1051" s="64">
        <f t="shared" si="253"/>
        <v>3.9719626168224297E-2</v>
      </c>
      <c r="AG1051" s="64">
        <f t="shared" si="246"/>
        <v>2.771362586605081E-2</v>
      </c>
      <c r="AH1051" s="67"/>
      <c r="AI1051" s="47" t="s">
        <v>54</v>
      </c>
      <c r="AJ1051" s="47">
        <v>754</v>
      </c>
      <c r="AK1051" s="101" t="s">
        <v>65</v>
      </c>
      <c r="AL1051" s="101" t="s">
        <v>65</v>
      </c>
      <c r="AM1051" s="47" t="s">
        <v>2877</v>
      </c>
      <c r="AN1051" s="47"/>
      <c r="AO1051" s="211">
        <f t="shared" si="254"/>
        <v>-1</v>
      </c>
      <c r="AP1051" s="47" t="s">
        <v>90</v>
      </c>
      <c r="AQ1051" s="91" t="s">
        <v>116</v>
      </c>
      <c r="AR1051" s="47"/>
    </row>
    <row r="1052" spans="1:44" hidden="1">
      <c r="A1052" s="47" t="s">
        <v>44</v>
      </c>
      <c r="B1052" s="47" t="str">
        <f t="shared" si="249"/>
        <v>July</v>
      </c>
      <c r="C1052" s="59">
        <v>45497</v>
      </c>
      <c r="D1052" s="47" t="s">
        <v>109</v>
      </c>
      <c r="E1052" s="47" t="s">
        <v>1041</v>
      </c>
      <c r="F1052" s="47" t="s">
        <v>1042</v>
      </c>
      <c r="G1052" s="47" t="s">
        <v>2878</v>
      </c>
      <c r="H1052" s="47" t="s">
        <v>2879</v>
      </c>
      <c r="I1052" s="47" t="s">
        <v>50</v>
      </c>
      <c r="J1052" s="47" t="s">
        <v>51</v>
      </c>
      <c r="K1052" s="48">
        <v>45132</v>
      </c>
      <c r="L1052" s="48">
        <v>45132</v>
      </c>
      <c r="M1052" s="48">
        <v>45497</v>
      </c>
      <c r="N1052" s="47" t="s">
        <v>52</v>
      </c>
      <c r="O1052" s="55" t="s">
        <v>53</v>
      </c>
      <c r="P1052" s="62">
        <v>19920</v>
      </c>
      <c r="Q1052" s="62">
        <v>1660</v>
      </c>
      <c r="R1052" s="96">
        <v>20040</v>
      </c>
      <c r="S1052" s="62">
        <f t="shared" si="250"/>
        <v>1670</v>
      </c>
      <c r="T1052" s="62">
        <v>19080</v>
      </c>
      <c r="U1052" s="62">
        <f t="shared" si="255"/>
        <v>1590</v>
      </c>
      <c r="V1052" s="69">
        <v>19920</v>
      </c>
      <c r="W1052" s="71">
        <v>1745</v>
      </c>
      <c r="X1052" s="71"/>
      <c r="Y1052" s="71"/>
      <c r="Z1052" s="64">
        <f t="shared" si="251"/>
        <v>9.7484276729559755E-2</v>
      </c>
      <c r="AA1052" s="64">
        <f t="shared" si="257"/>
        <v>4.4910179640718563E-2</v>
      </c>
      <c r="AB1052" s="71">
        <v>1720</v>
      </c>
      <c r="AC1052" s="64">
        <f t="shared" si="252"/>
        <v>8.1761006289308172E-2</v>
      </c>
      <c r="AD1052" s="64">
        <f t="shared" si="245"/>
        <v>2.9940119760479042E-2</v>
      </c>
      <c r="AE1052" s="71">
        <v>1675</v>
      </c>
      <c r="AF1052" s="64">
        <f t="shared" si="253"/>
        <v>5.3459119496855348E-2</v>
      </c>
      <c r="AG1052" s="64">
        <f t="shared" si="246"/>
        <v>2.9940119760479044E-3</v>
      </c>
      <c r="AH1052" s="67"/>
      <c r="AI1052" s="47" t="s">
        <v>54</v>
      </c>
      <c r="AJ1052" s="47">
        <v>592.89</v>
      </c>
      <c r="AK1052" s="101" t="s">
        <v>55</v>
      </c>
      <c r="AL1052" s="101" t="s">
        <v>55</v>
      </c>
      <c r="AM1052" s="47" t="s">
        <v>1240</v>
      </c>
      <c r="AN1052" s="47"/>
      <c r="AO1052" s="211">
        <f t="shared" si="254"/>
        <v>-1</v>
      </c>
      <c r="AP1052" s="47" t="s">
        <v>90</v>
      </c>
      <c r="AQ1052" s="91" t="s">
        <v>116</v>
      </c>
      <c r="AR1052" s="47"/>
    </row>
    <row r="1053" spans="1:44" hidden="1">
      <c r="A1053" s="47" t="s">
        <v>44</v>
      </c>
      <c r="B1053" s="47" t="str">
        <f t="shared" si="249"/>
        <v>August</v>
      </c>
      <c r="C1053" s="59">
        <v>45534</v>
      </c>
      <c r="D1053" s="47" t="s">
        <v>109</v>
      </c>
      <c r="E1053" s="47" t="s">
        <v>1041</v>
      </c>
      <c r="F1053" s="47" t="s">
        <v>1042</v>
      </c>
      <c r="G1053" s="47" t="s">
        <v>2962</v>
      </c>
      <c r="H1053" s="47" t="s">
        <v>2963</v>
      </c>
      <c r="I1053" s="47" t="s">
        <v>50</v>
      </c>
      <c r="J1053" s="47" t="s">
        <v>51</v>
      </c>
      <c r="K1053" s="48">
        <v>45169</v>
      </c>
      <c r="L1053" s="48">
        <v>45169</v>
      </c>
      <c r="M1053" s="48">
        <v>45534</v>
      </c>
      <c r="N1053" s="47" t="s">
        <v>52</v>
      </c>
      <c r="O1053" s="55" t="s">
        <v>53</v>
      </c>
      <c r="P1053" s="62">
        <v>20700</v>
      </c>
      <c r="Q1053" s="62">
        <v>1725</v>
      </c>
      <c r="R1053" s="96">
        <v>20820</v>
      </c>
      <c r="S1053" s="62">
        <f t="shared" si="250"/>
        <v>1735</v>
      </c>
      <c r="T1053" s="62">
        <v>20040</v>
      </c>
      <c r="U1053" s="62">
        <f t="shared" si="255"/>
        <v>1670</v>
      </c>
      <c r="V1053" s="69">
        <v>20700</v>
      </c>
      <c r="W1053" s="71">
        <v>1775</v>
      </c>
      <c r="X1053" s="71"/>
      <c r="Y1053" s="71"/>
      <c r="Z1053" s="64">
        <f t="shared" si="251"/>
        <v>6.2874251497005984E-2</v>
      </c>
      <c r="AA1053" s="64">
        <f t="shared" si="257"/>
        <v>2.3054755043227664E-2</v>
      </c>
      <c r="AB1053" s="71">
        <v>1775</v>
      </c>
      <c r="AC1053" s="64">
        <f t="shared" si="252"/>
        <v>6.2874251497005984E-2</v>
      </c>
      <c r="AD1053" s="64">
        <f t="shared" si="245"/>
        <v>2.3054755043227664E-2</v>
      </c>
      <c r="AE1053" s="71">
        <v>1750</v>
      </c>
      <c r="AF1053" s="64">
        <f t="shared" si="253"/>
        <v>4.790419161676647E-2</v>
      </c>
      <c r="AG1053" s="64">
        <f t="shared" si="246"/>
        <v>8.6455331412103754E-3</v>
      </c>
      <c r="AH1053" s="67"/>
      <c r="AI1053" s="47" t="s">
        <v>54</v>
      </c>
      <c r="AJ1053" s="47">
        <v>575.03</v>
      </c>
      <c r="AK1053" s="47" t="s">
        <v>55</v>
      </c>
      <c r="AL1053" s="47" t="s">
        <v>55</v>
      </c>
      <c r="AM1053" s="47" t="s">
        <v>1820</v>
      </c>
      <c r="AN1053" s="47">
        <v>1775</v>
      </c>
      <c r="AO1053" s="211">
        <f t="shared" si="254"/>
        <v>6.2874251497005984E-2</v>
      </c>
      <c r="AP1053" s="47" t="s">
        <v>90</v>
      </c>
      <c r="AQ1053" s="91" t="s">
        <v>116</v>
      </c>
      <c r="AR1053" s="47"/>
    </row>
    <row r="1054" spans="1:44" hidden="1">
      <c r="A1054" s="47" t="s">
        <v>74</v>
      </c>
      <c r="B1054" s="47" t="str">
        <f t="shared" si="249"/>
        <v>July</v>
      </c>
      <c r="C1054" s="59">
        <v>45500</v>
      </c>
      <c r="D1054" s="47" t="s">
        <v>109</v>
      </c>
      <c r="E1054" s="47" t="s">
        <v>1041</v>
      </c>
      <c r="F1054" s="47" t="s">
        <v>1042</v>
      </c>
      <c r="G1054" s="47" t="s">
        <v>2968</v>
      </c>
      <c r="H1054" s="47" t="s">
        <v>2969</v>
      </c>
      <c r="I1054" s="47" t="s">
        <v>50</v>
      </c>
      <c r="J1054" s="47" t="s">
        <v>51</v>
      </c>
      <c r="K1054" s="48">
        <v>45135</v>
      </c>
      <c r="L1054" s="48">
        <v>45135</v>
      </c>
      <c r="M1054" s="48">
        <v>45500</v>
      </c>
      <c r="N1054" s="47" t="s">
        <v>52</v>
      </c>
      <c r="O1054" s="55" t="s">
        <v>53</v>
      </c>
      <c r="P1054" s="62">
        <v>26580</v>
      </c>
      <c r="Q1054" s="62">
        <v>2215</v>
      </c>
      <c r="R1054" s="96">
        <v>26580</v>
      </c>
      <c r="S1054" s="62">
        <f t="shared" si="250"/>
        <v>2215</v>
      </c>
      <c r="T1054" s="62">
        <v>25740</v>
      </c>
      <c r="U1054" s="62">
        <f t="shared" si="255"/>
        <v>2145</v>
      </c>
      <c r="V1054" s="69">
        <v>26580</v>
      </c>
      <c r="W1054" s="71">
        <v>2230</v>
      </c>
      <c r="X1054" s="71"/>
      <c r="Y1054" s="71"/>
      <c r="Z1054" s="64">
        <f t="shared" si="251"/>
        <v>3.9627039627039624E-2</v>
      </c>
      <c r="AA1054" s="64">
        <f t="shared" si="257"/>
        <v>6.7720090293453723E-3</v>
      </c>
      <c r="AB1054" s="71">
        <v>2255</v>
      </c>
      <c r="AC1054" s="64">
        <f t="shared" si="252"/>
        <v>5.128205128205128E-2</v>
      </c>
      <c r="AD1054" s="64">
        <f t="shared" si="245"/>
        <v>1.8058690744920992E-2</v>
      </c>
      <c r="AE1054" s="71">
        <v>2230</v>
      </c>
      <c r="AF1054" s="64">
        <f t="shared" si="253"/>
        <v>3.9627039627039624E-2</v>
      </c>
      <c r="AG1054" s="64">
        <f t="shared" si="246"/>
        <v>6.7720090293453723E-3</v>
      </c>
      <c r="AH1054" s="67"/>
      <c r="AI1054" s="47" t="s">
        <v>54</v>
      </c>
      <c r="AJ1054" s="47">
        <v>721.97</v>
      </c>
      <c r="AK1054" s="101" t="s">
        <v>65</v>
      </c>
      <c r="AL1054" s="101" t="s">
        <v>65</v>
      </c>
      <c r="AM1054" s="47" t="s">
        <v>2970</v>
      </c>
      <c r="AN1054" s="47">
        <v>2230</v>
      </c>
      <c r="AO1054" s="211">
        <f t="shared" si="254"/>
        <v>3.9627039627039624E-2</v>
      </c>
      <c r="AP1054" s="47" t="s">
        <v>90</v>
      </c>
      <c r="AQ1054" s="91" t="s">
        <v>116</v>
      </c>
      <c r="AR1054" s="47"/>
    </row>
    <row r="1055" spans="1:44" hidden="1">
      <c r="A1055" s="47" t="s">
        <v>74</v>
      </c>
      <c r="B1055" s="47" t="str">
        <f t="shared" si="249"/>
        <v>July</v>
      </c>
      <c r="C1055" s="59">
        <v>45503</v>
      </c>
      <c r="D1055" s="47" t="s">
        <v>109</v>
      </c>
      <c r="E1055" s="47" t="s">
        <v>1041</v>
      </c>
      <c r="F1055" s="47" t="s">
        <v>1042</v>
      </c>
      <c r="G1055" s="47" t="s">
        <v>2971</v>
      </c>
      <c r="H1055" s="47" t="s">
        <v>2972</v>
      </c>
      <c r="I1055" s="47" t="s">
        <v>2973</v>
      </c>
      <c r="J1055" s="47" t="s">
        <v>51</v>
      </c>
      <c r="K1055" s="48">
        <v>45322</v>
      </c>
      <c r="L1055" s="48">
        <v>45322</v>
      </c>
      <c r="M1055" s="48">
        <v>45503</v>
      </c>
      <c r="N1055" s="47" t="s">
        <v>52</v>
      </c>
      <c r="O1055" s="55" t="s">
        <v>53</v>
      </c>
      <c r="P1055" s="62">
        <v>19920</v>
      </c>
      <c r="Q1055" s="62">
        <v>1660</v>
      </c>
      <c r="R1055" s="96">
        <v>20040</v>
      </c>
      <c r="S1055" s="62">
        <f t="shared" si="250"/>
        <v>1670</v>
      </c>
      <c r="T1055" s="62">
        <v>20640</v>
      </c>
      <c r="U1055" s="62">
        <f t="shared" si="255"/>
        <v>1720</v>
      </c>
      <c r="V1055" s="69">
        <v>19740</v>
      </c>
      <c r="W1055" s="71">
        <v>1745</v>
      </c>
      <c r="X1055" s="71"/>
      <c r="Y1055" s="71"/>
      <c r="Z1055" s="64">
        <f t="shared" si="251"/>
        <v>1.4534883720930232E-2</v>
      </c>
      <c r="AA1055" s="64">
        <f t="shared" si="257"/>
        <v>4.4910179640718563E-2</v>
      </c>
      <c r="AB1055" s="71">
        <v>1775</v>
      </c>
      <c r="AC1055" s="64">
        <f t="shared" si="252"/>
        <v>3.1976744186046513E-2</v>
      </c>
      <c r="AD1055" s="64">
        <f t="shared" si="245"/>
        <v>6.2874251497005984E-2</v>
      </c>
      <c r="AE1055" s="71">
        <f>AB1055</f>
        <v>1775</v>
      </c>
      <c r="AF1055" s="64">
        <f t="shared" si="253"/>
        <v>3.1976744186046513E-2</v>
      </c>
      <c r="AG1055" s="64">
        <f t="shared" si="246"/>
        <v>6.2874251497005984E-2</v>
      </c>
      <c r="AH1055" s="67"/>
      <c r="AI1055" s="47" t="s">
        <v>54</v>
      </c>
      <c r="AJ1055" s="47">
        <v>561.39</v>
      </c>
      <c r="AK1055" s="101" t="s">
        <v>55</v>
      </c>
      <c r="AL1055" s="101" t="s">
        <v>55</v>
      </c>
      <c r="AM1055" s="47" t="s">
        <v>1235</v>
      </c>
      <c r="AN1055" s="47">
        <v>1775</v>
      </c>
      <c r="AO1055" s="211">
        <f t="shared" si="254"/>
        <v>3.1976744186046513E-2</v>
      </c>
      <c r="AP1055" s="47" t="s">
        <v>90</v>
      </c>
      <c r="AQ1055" s="91" t="s">
        <v>116</v>
      </c>
      <c r="AR1055" s="47"/>
    </row>
    <row r="1056" spans="1:44" hidden="1">
      <c r="A1056" s="47" t="s">
        <v>44</v>
      </c>
      <c r="B1056" s="47" t="str">
        <f t="shared" si="249"/>
        <v>July</v>
      </c>
      <c r="C1056" s="59">
        <v>45482</v>
      </c>
      <c r="D1056" s="47" t="s">
        <v>109</v>
      </c>
      <c r="E1056" s="47" t="s">
        <v>1041</v>
      </c>
      <c r="F1056" s="47" t="s">
        <v>1042</v>
      </c>
      <c r="G1056" s="47" t="s">
        <v>2974</v>
      </c>
      <c r="H1056" s="47" t="s">
        <v>2975</v>
      </c>
      <c r="I1056" s="47" t="s">
        <v>50</v>
      </c>
      <c r="J1056" s="47" t="s">
        <v>51</v>
      </c>
      <c r="K1056" s="48">
        <v>45117</v>
      </c>
      <c r="L1056" s="48">
        <v>45117</v>
      </c>
      <c r="M1056" s="48">
        <v>45482</v>
      </c>
      <c r="N1056" s="47" t="s">
        <v>52</v>
      </c>
      <c r="O1056" s="55" t="s">
        <v>53</v>
      </c>
      <c r="P1056" s="62">
        <v>32100</v>
      </c>
      <c r="Q1056" s="62">
        <v>2675</v>
      </c>
      <c r="R1056" s="96">
        <v>31980</v>
      </c>
      <c r="S1056" s="62">
        <f t="shared" si="250"/>
        <v>2665</v>
      </c>
      <c r="T1056" s="62">
        <v>34260</v>
      </c>
      <c r="U1056" s="62">
        <f t="shared" si="255"/>
        <v>2855</v>
      </c>
      <c r="V1056" s="69">
        <v>32100</v>
      </c>
      <c r="W1056" s="71">
        <v>3000</v>
      </c>
      <c r="X1056" s="71"/>
      <c r="Y1056" s="71"/>
      <c r="Z1056" s="64">
        <f t="shared" si="251"/>
        <v>5.0788091068301226E-2</v>
      </c>
      <c r="AA1056" s="64">
        <f t="shared" si="257"/>
        <v>0.12570356472795496</v>
      </c>
      <c r="AB1056" s="71">
        <v>3025</v>
      </c>
      <c r="AC1056" s="64">
        <f t="shared" si="252"/>
        <v>5.9544658493870403E-2</v>
      </c>
      <c r="AD1056" s="64">
        <f t="shared" si="245"/>
        <v>0.1350844277673546</v>
      </c>
      <c r="AE1056" s="71">
        <v>2985</v>
      </c>
      <c r="AF1056" s="64">
        <f t="shared" si="253"/>
        <v>4.553415061295972E-2</v>
      </c>
      <c r="AG1056" s="64">
        <f t="shared" si="246"/>
        <v>0.1200750469043152</v>
      </c>
      <c r="AH1056" s="67"/>
      <c r="AI1056" s="47" t="s">
        <v>54</v>
      </c>
      <c r="AJ1056" s="47">
        <v>1091.53</v>
      </c>
      <c r="AK1056" s="101" t="s">
        <v>140</v>
      </c>
      <c r="AL1056" s="101" t="s">
        <v>65</v>
      </c>
      <c r="AM1056" s="47" t="s">
        <v>2976</v>
      </c>
      <c r="AN1056" s="47">
        <v>3025</v>
      </c>
      <c r="AO1056" s="211">
        <f t="shared" si="254"/>
        <v>5.9544658493870403E-2</v>
      </c>
      <c r="AP1056" s="47" t="s">
        <v>90</v>
      </c>
      <c r="AQ1056" s="91" t="s">
        <v>116</v>
      </c>
    </row>
    <row r="1057" spans="1:44" hidden="1">
      <c r="A1057" s="47" t="s">
        <v>44</v>
      </c>
      <c r="B1057" s="47" t="str">
        <f t="shared" si="249"/>
        <v>July</v>
      </c>
      <c r="C1057" s="59">
        <v>45500</v>
      </c>
      <c r="D1057" s="47" t="s">
        <v>109</v>
      </c>
      <c r="E1057" s="47" t="s">
        <v>1041</v>
      </c>
      <c r="F1057" s="47" t="s">
        <v>1042</v>
      </c>
      <c r="G1057" s="47" t="s">
        <v>2977</v>
      </c>
      <c r="H1057" s="47" t="s">
        <v>2978</v>
      </c>
      <c r="I1057" s="47" t="s">
        <v>50</v>
      </c>
      <c r="J1057" s="47" t="s">
        <v>51</v>
      </c>
      <c r="K1057" s="48">
        <v>45135</v>
      </c>
      <c r="L1057" s="48">
        <v>45135</v>
      </c>
      <c r="M1057" s="48">
        <v>45500</v>
      </c>
      <c r="N1057" s="47" t="s">
        <v>52</v>
      </c>
      <c r="O1057" s="55" t="s">
        <v>53</v>
      </c>
      <c r="P1057" s="62">
        <v>28140</v>
      </c>
      <c r="Q1057" s="62">
        <v>2345</v>
      </c>
      <c r="R1057" s="96">
        <v>28140</v>
      </c>
      <c r="S1057" s="62">
        <f t="shared" si="250"/>
        <v>2345</v>
      </c>
      <c r="T1057" s="62">
        <v>27300</v>
      </c>
      <c r="U1057" s="62">
        <f t="shared" si="255"/>
        <v>2275</v>
      </c>
      <c r="V1057" s="69">
        <v>28140</v>
      </c>
      <c r="W1057" s="71">
        <v>2390</v>
      </c>
      <c r="X1057" s="71"/>
      <c r="Y1057" s="71"/>
      <c r="Z1057" s="64">
        <f t="shared" si="251"/>
        <v>5.054945054945055E-2</v>
      </c>
      <c r="AA1057" s="64">
        <f t="shared" si="257"/>
        <v>1.9189765458422176E-2</v>
      </c>
      <c r="AB1057" s="71">
        <v>2395</v>
      </c>
      <c r="AC1057" s="64">
        <f t="shared" si="252"/>
        <v>5.2747252747252747E-2</v>
      </c>
      <c r="AD1057" s="64">
        <f t="shared" si="245"/>
        <v>2.1321961620469083E-2</v>
      </c>
      <c r="AE1057" s="71">
        <v>2375</v>
      </c>
      <c r="AF1057" s="64">
        <f t="shared" si="253"/>
        <v>4.3956043956043959E-2</v>
      </c>
      <c r="AG1057" s="64">
        <f t="shared" si="246"/>
        <v>1.279317697228145E-2</v>
      </c>
      <c r="AH1057" s="67"/>
      <c r="AI1057" s="47" t="s">
        <v>54</v>
      </c>
      <c r="AJ1057" s="47">
        <v>1022.82</v>
      </c>
      <c r="AK1057" s="101" t="s">
        <v>65</v>
      </c>
      <c r="AL1057" s="101" t="s">
        <v>65</v>
      </c>
      <c r="AM1057" s="47" t="s">
        <v>2979</v>
      </c>
      <c r="AN1057" s="47"/>
      <c r="AO1057" s="211">
        <f t="shared" si="254"/>
        <v>-1</v>
      </c>
      <c r="AP1057" s="47" t="s">
        <v>90</v>
      </c>
      <c r="AQ1057" s="91" t="s">
        <v>116</v>
      </c>
      <c r="AR1057" s="47"/>
    </row>
    <row r="1058" spans="1:44" hidden="1">
      <c r="A1058" s="47" t="s">
        <v>44</v>
      </c>
      <c r="B1058" s="47" t="str">
        <f t="shared" si="249"/>
        <v>July</v>
      </c>
      <c r="C1058" s="59">
        <v>45487</v>
      </c>
      <c r="D1058" s="47" t="s">
        <v>109</v>
      </c>
      <c r="E1058" s="47" t="s">
        <v>1041</v>
      </c>
      <c r="F1058" s="47" t="s">
        <v>1042</v>
      </c>
      <c r="G1058" s="47" t="s">
        <v>2980</v>
      </c>
      <c r="H1058" s="47" t="s">
        <v>2981</v>
      </c>
      <c r="I1058" s="47" t="s">
        <v>50</v>
      </c>
      <c r="J1058" s="47" t="s">
        <v>51</v>
      </c>
      <c r="K1058" s="48">
        <v>45306</v>
      </c>
      <c r="L1058" s="48">
        <v>45306</v>
      </c>
      <c r="M1058" s="48">
        <v>45487</v>
      </c>
      <c r="N1058" s="47" t="s">
        <v>52</v>
      </c>
      <c r="O1058" s="55" t="s">
        <v>53</v>
      </c>
      <c r="P1058" s="62">
        <v>27360</v>
      </c>
      <c r="Q1058" s="62">
        <v>2280</v>
      </c>
      <c r="R1058" s="96">
        <v>27360</v>
      </c>
      <c r="S1058" s="62">
        <f t="shared" si="250"/>
        <v>2280</v>
      </c>
      <c r="T1058" s="62">
        <v>25860</v>
      </c>
      <c r="U1058" s="62">
        <f t="shared" si="255"/>
        <v>2155</v>
      </c>
      <c r="V1058" s="69">
        <v>27360</v>
      </c>
      <c r="W1058" s="71">
        <v>2240</v>
      </c>
      <c r="X1058" s="71"/>
      <c r="Y1058" s="71"/>
      <c r="Z1058" s="64">
        <f t="shared" si="251"/>
        <v>3.9443155452436193E-2</v>
      </c>
      <c r="AA1058" s="64">
        <f t="shared" si="257"/>
        <v>-1.7543859649122806E-2</v>
      </c>
      <c r="AB1058" s="71">
        <v>2295</v>
      </c>
      <c r="AC1058" s="64">
        <f t="shared" si="252"/>
        <v>6.4965197215777259E-2</v>
      </c>
      <c r="AD1058" s="64">
        <f t="shared" si="245"/>
        <v>6.5789473684210523E-3</v>
      </c>
      <c r="AE1058" s="71">
        <v>2280</v>
      </c>
      <c r="AF1058" s="64">
        <f t="shared" si="253"/>
        <v>5.8004640371229696E-2</v>
      </c>
      <c r="AG1058" s="64">
        <f t="shared" si="246"/>
        <v>0</v>
      </c>
      <c r="AH1058" s="67"/>
      <c r="AI1058" s="47" t="s">
        <v>54</v>
      </c>
      <c r="AJ1058" s="47">
        <v>719.49</v>
      </c>
      <c r="AK1058" s="101" t="s">
        <v>65</v>
      </c>
      <c r="AL1058" s="101" t="s">
        <v>65</v>
      </c>
      <c r="AM1058" s="47" t="s">
        <v>2970</v>
      </c>
      <c r="AN1058" s="47"/>
      <c r="AO1058" s="211">
        <f t="shared" si="254"/>
        <v>-1</v>
      </c>
      <c r="AP1058" s="47" t="s">
        <v>90</v>
      </c>
      <c r="AQ1058" s="91" t="s">
        <v>116</v>
      </c>
      <c r="AR1058" s="47"/>
    </row>
    <row r="1059" spans="1:44" hidden="1">
      <c r="A1059" s="47" t="s">
        <v>74</v>
      </c>
      <c r="B1059" s="47" t="str">
        <f t="shared" si="249"/>
        <v>July</v>
      </c>
      <c r="C1059" s="59">
        <v>45494</v>
      </c>
      <c r="D1059" s="47" t="s">
        <v>109</v>
      </c>
      <c r="E1059" s="47" t="s">
        <v>1041</v>
      </c>
      <c r="F1059" s="47" t="s">
        <v>1042</v>
      </c>
      <c r="G1059" s="47" t="s">
        <v>2982</v>
      </c>
      <c r="H1059" s="47" t="s">
        <v>2983</v>
      </c>
      <c r="I1059" s="47" t="s">
        <v>50</v>
      </c>
      <c r="J1059" s="47" t="s">
        <v>51</v>
      </c>
      <c r="K1059" s="48">
        <v>45313</v>
      </c>
      <c r="L1059" s="48">
        <v>45313</v>
      </c>
      <c r="M1059" s="48">
        <v>45494</v>
      </c>
      <c r="N1059" s="47" t="s">
        <v>52</v>
      </c>
      <c r="O1059" s="55" t="s">
        <v>53</v>
      </c>
      <c r="P1059" s="62">
        <v>27360</v>
      </c>
      <c r="Q1059" s="62">
        <v>2280</v>
      </c>
      <c r="R1059" s="96">
        <v>27360</v>
      </c>
      <c r="S1059" s="62">
        <f t="shared" si="250"/>
        <v>2280</v>
      </c>
      <c r="T1059" s="62">
        <v>25980</v>
      </c>
      <c r="U1059" s="62">
        <f t="shared" si="255"/>
        <v>2165</v>
      </c>
      <c r="V1059" s="69">
        <v>27360</v>
      </c>
      <c r="W1059" s="71">
        <v>2240</v>
      </c>
      <c r="X1059" s="71"/>
      <c r="Y1059" s="71"/>
      <c r="Z1059" s="64">
        <f t="shared" si="251"/>
        <v>3.4642032332563508E-2</v>
      </c>
      <c r="AA1059" s="64">
        <f t="shared" si="257"/>
        <v>-1.7543859649122806E-2</v>
      </c>
      <c r="AB1059" s="71">
        <v>2295</v>
      </c>
      <c r="AC1059" s="64">
        <f t="shared" si="252"/>
        <v>6.0046189376443418E-2</v>
      </c>
      <c r="AD1059" s="64">
        <f t="shared" si="245"/>
        <v>6.5789473684210523E-3</v>
      </c>
      <c r="AE1059" s="71">
        <v>2280</v>
      </c>
      <c r="AF1059" s="64">
        <f t="shared" si="253"/>
        <v>5.3117782909930716E-2</v>
      </c>
      <c r="AG1059" s="64">
        <f t="shared" si="246"/>
        <v>0</v>
      </c>
      <c r="AH1059" s="67"/>
      <c r="AI1059" s="47" t="s">
        <v>54</v>
      </c>
      <c r="AJ1059" s="47">
        <v>719.93</v>
      </c>
      <c r="AK1059" s="101" t="s">
        <v>65</v>
      </c>
      <c r="AL1059" s="101" t="s">
        <v>65</v>
      </c>
      <c r="AM1059" s="47" t="s">
        <v>2970</v>
      </c>
      <c r="AN1059" s="47"/>
      <c r="AO1059" s="211">
        <f t="shared" si="254"/>
        <v>-1</v>
      </c>
      <c r="AP1059" s="47" t="s">
        <v>90</v>
      </c>
      <c r="AQ1059" s="91" t="s">
        <v>116</v>
      </c>
      <c r="AR1059" s="47"/>
    </row>
    <row r="1060" spans="1:44" hidden="1">
      <c r="A1060" s="47" t="s">
        <v>74</v>
      </c>
      <c r="B1060" s="47" t="str">
        <f t="shared" si="249"/>
        <v>July</v>
      </c>
      <c r="C1060" s="59">
        <v>45489</v>
      </c>
      <c r="D1060" s="47" t="s">
        <v>109</v>
      </c>
      <c r="E1060" s="47" t="s">
        <v>1041</v>
      </c>
      <c r="F1060" s="47" t="s">
        <v>1042</v>
      </c>
      <c r="G1060" s="47" t="s">
        <v>2984</v>
      </c>
      <c r="H1060" s="47" t="s">
        <v>2985</v>
      </c>
      <c r="I1060" s="47" t="s">
        <v>2986</v>
      </c>
      <c r="J1060" s="47" t="s">
        <v>51</v>
      </c>
      <c r="K1060" s="48">
        <v>45124</v>
      </c>
      <c r="L1060" s="48">
        <v>45124</v>
      </c>
      <c r="M1060" s="48">
        <v>45489</v>
      </c>
      <c r="N1060" s="47" t="s">
        <v>52</v>
      </c>
      <c r="O1060" s="55" t="s">
        <v>53</v>
      </c>
      <c r="P1060" s="62">
        <v>28140</v>
      </c>
      <c r="Q1060" s="62">
        <v>2345</v>
      </c>
      <c r="R1060" s="96">
        <v>28140</v>
      </c>
      <c r="S1060" s="62">
        <f t="shared" si="250"/>
        <v>2345</v>
      </c>
      <c r="T1060" s="62">
        <v>26700</v>
      </c>
      <c r="U1060" s="62">
        <f t="shared" si="255"/>
        <v>2225</v>
      </c>
      <c r="V1060" s="69">
        <v>28140</v>
      </c>
      <c r="W1060" s="71">
        <v>2395</v>
      </c>
      <c r="X1060" s="71"/>
      <c r="Y1060" s="71"/>
      <c r="Z1060" s="64">
        <f t="shared" si="251"/>
        <v>7.6404494382022473E-2</v>
      </c>
      <c r="AA1060" s="64">
        <f t="shared" si="257"/>
        <v>2.1321961620469083E-2</v>
      </c>
      <c r="AB1060" s="71">
        <v>2385</v>
      </c>
      <c r="AC1060" s="64">
        <f t="shared" si="252"/>
        <v>7.1910112359550568E-2</v>
      </c>
      <c r="AD1060" s="64">
        <f t="shared" si="245"/>
        <v>1.7057569296375266E-2</v>
      </c>
      <c r="AE1060" s="71">
        <v>2350</v>
      </c>
      <c r="AF1060" s="64">
        <f t="shared" si="253"/>
        <v>5.6179775280898875E-2</v>
      </c>
      <c r="AG1060" s="64">
        <f t="shared" si="246"/>
        <v>2.1321961620469083E-3</v>
      </c>
      <c r="AH1060" s="67"/>
      <c r="AI1060" s="47" t="s">
        <v>54</v>
      </c>
      <c r="AJ1060" s="47">
        <v>957.45</v>
      </c>
      <c r="AK1060" s="101" t="s">
        <v>65</v>
      </c>
      <c r="AL1060" s="101" t="s">
        <v>65</v>
      </c>
      <c r="AM1060" s="47" t="s">
        <v>2987</v>
      </c>
      <c r="AN1060" s="47"/>
      <c r="AO1060" s="211">
        <f t="shared" si="254"/>
        <v>-1</v>
      </c>
      <c r="AP1060" s="47" t="s">
        <v>90</v>
      </c>
      <c r="AQ1060" s="91" t="s">
        <v>116</v>
      </c>
      <c r="AR1060" s="47"/>
    </row>
    <row r="1061" spans="1:44" hidden="1">
      <c r="A1061" s="47" t="s">
        <v>44</v>
      </c>
      <c r="B1061" s="47" t="str">
        <f t="shared" si="249"/>
        <v>August</v>
      </c>
      <c r="C1061" s="59">
        <v>45507</v>
      </c>
      <c r="D1061" s="47" t="s">
        <v>109</v>
      </c>
      <c r="E1061" s="47" t="s">
        <v>1041</v>
      </c>
      <c r="F1061" s="47" t="s">
        <v>1042</v>
      </c>
      <c r="G1061" s="47" t="s">
        <v>3353</v>
      </c>
      <c r="H1061" s="47" t="s">
        <v>3354</v>
      </c>
      <c r="I1061" s="47" t="s">
        <v>50</v>
      </c>
      <c r="J1061" s="47" t="s">
        <v>51</v>
      </c>
      <c r="K1061" s="48">
        <v>45142</v>
      </c>
      <c r="L1061" s="48">
        <v>45142</v>
      </c>
      <c r="M1061" s="48">
        <v>45507</v>
      </c>
      <c r="N1061" s="47" t="s">
        <v>52</v>
      </c>
      <c r="O1061" s="55" t="s">
        <v>53</v>
      </c>
      <c r="P1061" s="62">
        <v>28140</v>
      </c>
      <c r="Q1061" s="62">
        <v>2345</v>
      </c>
      <c r="R1061" s="96">
        <v>28140</v>
      </c>
      <c r="S1061" s="62">
        <f t="shared" si="250"/>
        <v>2345</v>
      </c>
      <c r="T1061" s="62">
        <v>27660</v>
      </c>
      <c r="U1061" s="62">
        <f t="shared" si="255"/>
        <v>2305</v>
      </c>
      <c r="V1061" s="69">
        <v>28140</v>
      </c>
      <c r="W1061" s="71">
        <v>2400</v>
      </c>
      <c r="X1061" s="71"/>
      <c r="Y1061" s="71"/>
      <c r="Z1061" s="64">
        <f t="shared" si="251"/>
        <v>4.1214750542299353E-2</v>
      </c>
      <c r="AA1061" s="64">
        <f t="shared" si="257"/>
        <v>2.3454157782515993E-2</v>
      </c>
      <c r="AB1061" s="71">
        <v>2395</v>
      </c>
      <c r="AC1061" s="64">
        <f t="shared" si="252"/>
        <v>3.9045553145336226E-2</v>
      </c>
      <c r="AD1061" s="64">
        <f t="shared" ref="AD1061:AD1124" si="258">(AB1061-S1061)/S1061</f>
        <v>2.1321961620469083E-2</v>
      </c>
      <c r="AE1061" s="71">
        <v>2390</v>
      </c>
      <c r="AF1061" s="64">
        <f t="shared" si="253"/>
        <v>3.6876355748373099E-2</v>
      </c>
      <c r="AG1061" s="64">
        <f t="shared" ref="AG1061:AG1124" si="259">(AE1061-S1061)/S1061</f>
        <v>1.9189765458422176E-2</v>
      </c>
      <c r="AH1061" s="67"/>
      <c r="AI1061" s="47" t="s">
        <v>54</v>
      </c>
      <c r="AJ1061" s="47">
        <v>910.26</v>
      </c>
      <c r="AK1061" s="47" t="s">
        <v>65</v>
      </c>
      <c r="AL1061" s="47" t="s">
        <v>65</v>
      </c>
      <c r="AM1061" s="47" t="s">
        <v>3355</v>
      </c>
      <c r="AN1061" s="47">
        <v>2400</v>
      </c>
      <c r="AO1061" s="211">
        <f t="shared" si="254"/>
        <v>4.1214750542299353E-2</v>
      </c>
      <c r="AP1061" s="47" t="s">
        <v>90</v>
      </c>
      <c r="AQ1061" s="91" t="s">
        <v>116</v>
      </c>
      <c r="AR1061" s="47"/>
    </row>
    <row r="1062" spans="1:44" hidden="1">
      <c r="A1062" s="47" t="s">
        <v>44</v>
      </c>
      <c r="B1062" s="47" t="str">
        <f t="shared" si="249"/>
        <v>August</v>
      </c>
      <c r="C1062" s="59">
        <v>45510</v>
      </c>
      <c r="D1062" s="47" t="s">
        <v>109</v>
      </c>
      <c r="E1062" s="47" t="s">
        <v>1041</v>
      </c>
      <c r="F1062" s="47" t="s">
        <v>1042</v>
      </c>
      <c r="G1062" s="47" t="s">
        <v>3356</v>
      </c>
      <c r="H1062" s="47" t="s">
        <v>3357</v>
      </c>
      <c r="I1062" s="47" t="s">
        <v>50</v>
      </c>
      <c r="J1062" s="47" t="s">
        <v>51</v>
      </c>
      <c r="K1062" s="48">
        <v>45145</v>
      </c>
      <c r="L1062" s="48">
        <v>45145</v>
      </c>
      <c r="M1062" s="48">
        <v>45510</v>
      </c>
      <c r="N1062" s="47" t="s">
        <v>52</v>
      </c>
      <c r="O1062" s="55" t="s">
        <v>889</v>
      </c>
      <c r="P1062" s="62">
        <v>28140</v>
      </c>
      <c r="Q1062" s="62">
        <v>2345</v>
      </c>
      <c r="R1062" s="96">
        <v>28140</v>
      </c>
      <c r="S1062" s="62">
        <f t="shared" si="250"/>
        <v>2345</v>
      </c>
      <c r="T1062" s="62">
        <v>27540</v>
      </c>
      <c r="U1062" s="62">
        <f t="shared" si="255"/>
        <v>2295</v>
      </c>
      <c r="V1062" s="69">
        <v>28140</v>
      </c>
      <c r="W1062" s="71">
        <v>2390</v>
      </c>
      <c r="X1062" s="71"/>
      <c r="Y1062" s="71"/>
      <c r="Z1062" s="64">
        <f t="shared" si="251"/>
        <v>4.1394335511982572E-2</v>
      </c>
      <c r="AA1062" s="64">
        <f t="shared" si="257"/>
        <v>1.9189765458422176E-2</v>
      </c>
      <c r="AB1062" s="71">
        <v>2420</v>
      </c>
      <c r="AC1062" s="64">
        <f t="shared" si="252"/>
        <v>5.4466230936819175E-2</v>
      </c>
      <c r="AD1062" s="64">
        <f t="shared" si="258"/>
        <v>3.1982942430703626E-2</v>
      </c>
      <c r="AE1062" s="71">
        <v>2390</v>
      </c>
      <c r="AF1062" s="64">
        <f t="shared" si="253"/>
        <v>4.1394335511982572E-2</v>
      </c>
      <c r="AG1062" s="64">
        <f t="shared" si="259"/>
        <v>1.9189765458422176E-2</v>
      </c>
      <c r="AH1062" s="67"/>
      <c r="AI1062" s="47" t="s">
        <v>250</v>
      </c>
      <c r="AJ1062" s="47">
        <v>1026.01</v>
      </c>
      <c r="AK1062" s="47" t="s">
        <v>65</v>
      </c>
      <c r="AL1062" s="47" t="s">
        <v>65</v>
      </c>
      <c r="AM1062" s="47" t="s">
        <v>3358</v>
      </c>
      <c r="AN1062" s="47"/>
      <c r="AO1062" s="211">
        <f t="shared" si="254"/>
        <v>-1</v>
      </c>
      <c r="AP1062" s="47" t="s">
        <v>90</v>
      </c>
      <c r="AQ1062" s="91" t="s">
        <v>116</v>
      </c>
      <c r="AR1062" s="47"/>
    </row>
    <row r="1063" spans="1:44" hidden="1">
      <c r="A1063" s="47" t="s">
        <v>44</v>
      </c>
      <c r="B1063" s="47" t="str">
        <f t="shared" si="249"/>
        <v>August</v>
      </c>
      <c r="C1063" s="59">
        <v>45510</v>
      </c>
      <c r="D1063" s="47" t="s">
        <v>109</v>
      </c>
      <c r="E1063" s="47" t="s">
        <v>1041</v>
      </c>
      <c r="F1063" s="47" t="s">
        <v>1042</v>
      </c>
      <c r="G1063" s="47" t="s">
        <v>3459</v>
      </c>
      <c r="H1063" s="47" t="s">
        <v>3460</v>
      </c>
      <c r="I1063" s="47" t="s">
        <v>50</v>
      </c>
      <c r="J1063" s="47" t="s">
        <v>51</v>
      </c>
      <c r="K1063" s="48">
        <v>45152</v>
      </c>
      <c r="L1063" s="48">
        <v>45145</v>
      </c>
      <c r="M1063" s="48">
        <v>45510</v>
      </c>
      <c r="N1063" s="47" t="s">
        <v>52</v>
      </c>
      <c r="O1063" s="55" t="s">
        <v>53</v>
      </c>
      <c r="P1063" s="62">
        <v>29160</v>
      </c>
      <c r="Q1063" s="62">
        <v>2430</v>
      </c>
      <c r="R1063" s="96">
        <v>29160</v>
      </c>
      <c r="S1063" s="62">
        <f t="shared" si="250"/>
        <v>2430</v>
      </c>
      <c r="T1063" s="62">
        <v>27120</v>
      </c>
      <c r="U1063" s="62">
        <f t="shared" si="255"/>
        <v>2260</v>
      </c>
      <c r="V1063" s="69">
        <v>29160</v>
      </c>
      <c r="W1063" s="71">
        <v>2355</v>
      </c>
      <c r="X1063" s="71"/>
      <c r="Y1063" s="71"/>
      <c r="Z1063" s="64">
        <f t="shared" si="251"/>
        <v>4.2035398230088498E-2</v>
      </c>
      <c r="AA1063" s="64">
        <f t="shared" si="257"/>
        <v>-3.0864197530864196E-2</v>
      </c>
      <c r="AB1063" s="71">
        <v>2450</v>
      </c>
      <c r="AC1063" s="64">
        <f t="shared" si="252"/>
        <v>8.4070796460176997E-2</v>
      </c>
      <c r="AD1063" s="64">
        <f t="shared" si="258"/>
        <v>8.23045267489712E-3</v>
      </c>
      <c r="AE1063" s="71">
        <v>2425</v>
      </c>
      <c r="AF1063" s="64">
        <f t="shared" si="253"/>
        <v>7.3008849557522126E-2</v>
      </c>
      <c r="AG1063" s="64">
        <f t="shared" si="259"/>
        <v>-2.05761316872428E-3</v>
      </c>
      <c r="AH1063" s="67"/>
      <c r="AI1063" s="47" t="s">
        <v>54</v>
      </c>
      <c r="AJ1063" s="47">
        <v>957.45</v>
      </c>
      <c r="AK1063" s="47" t="s">
        <v>65</v>
      </c>
      <c r="AL1063" s="47" t="s">
        <v>65</v>
      </c>
      <c r="AM1063" s="47" t="s">
        <v>2987</v>
      </c>
      <c r="AN1063" s="47"/>
      <c r="AO1063" s="211">
        <f t="shared" si="254"/>
        <v>-1</v>
      </c>
      <c r="AP1063" s="47" t="s">
        <v>90</v>
      </c>
      <c r="AQ1063" s="91" t="s">
        <v>116</v>
      </c>
      <c r="AR1063" s="47" t="s">
        <v>117</v>
      </c>
    </row>
    <row r="1064" spans="1:44" hidden="1">
      <c r="A1064" s="47" t="s">
        <v>44</v>
      </c>
      <c r="B1064" s="47" t="str">
        <f t="shared" si="249"/>
        <v>August</v>
      </c>
      <c r="C1064" s="59">
        <v>45522</v>
      </c>
      <c r="D1064" s="47" t="s">
        <v>109</v>
      </c>
      <c r="E1064" s="47" t="s">
        <v>1041</v>
      </c>
      <c r="F1064" s="47" t="s">
        <v>1042</v>
      </c>
      <c r="G1064" s="47" t="s">
        <v>3461</v>
      </c>
      <c r="H1064" s="47" t="s">
        <v>3462</v>
      </c>
      <c r="I1064" s="47" t="s">
        <v>50</v>
      </c>
      <c r="J1064" s="47" t="s">
        <v>51</v>
      </c>
      <c r="K1064" s="48">
        <v>45157</v>
      </c>
      <c r="L1064" s="48">
        <v>45157</v>
      </c>
      <c r="M1064" s="48">
        <v>45522</v>
      </c>
      <c r="N1064" s="47" t="s">
        <v>52</v>
      </c>
      <c r="O1064" s="55" t="s">
        <v>53</v>
      </c>
      <c r="P1064" s="62">
        <v>26760</v>
      </c>
      <c r="Q1064" s="62">
        <v>2230</v>
      </c>
      <c r="R1064" s="96">
        <v>26760</v>
      </c>
      <c r="S1064" s="62">
        <f t="shared" si="250"/>
        <v>2230</v>
      </c>
      <c r="T1064" s="62">
        <v>26160</v>
      </c>
      <c r="U1064" s="62">
        <f t="shared" si="255"/>
        <v>2180</v>
      </c>
      <c r="V1064" s="69">
        <v>26760</v>
      </c>
      <c r="W1064" s="71">
        <v>2275</v>
      </c>
      <c r="X1064" s="71"/>
      <c r="Y1064" s="71"/>
      <c r="Z1064" s="64">
        <f t="shared" si="251"/>
        <v>4.3577981651376149E-2</v>
      </c>
      <c r="AA1064" s="64">
        <f t="shared" si="257"/>
        <v>2.0179372197309416E-2</v>
      </c>
      <c r="AB1064" s="71">
        <v>2330</v>
      </c>
      <c r="AC1064" s="64">
        <f t="shared" si="252"/>
        <v>6.8807339449541288E-2</v>
      </c>
      <c r="AD1064" s="64">
        <f t="shared" si="258"/>
        <v>4.4843049327354258E-2</v>
      </c>
      <c r="AE1064" s="71">
        <v>2275</v>
      </c>
      <c r="AF1064" s="64">
        <f t="shared" si="253"/>
        <v>4.3577981651376149E-2</v>
      </c>
      <c r="AG1064" s="64">
        <f t="shared" si="259"/>
        <v>2.0179372197309416E-2</v>
      </c>
      <c r="AH1064" s="67"/>
      <c r="AI1064" s="47" t="s">
        <v>54</v>
      </c>
      <c r="AJ1064" s="47">
        <v>781.19</v>
      </c>
      <c r="AK1064" s="47" t="s">
        <v>65</v>
      </c>
      <c r="AL1064" s="47" t="s">
        <v>65</v>
      </c>
      <c r="AM1064" s="47" t="s">
        <v>3463</v>
      </c>
      <c r="AN1064" s="47">
        <v>2275</v>
      </c>
      <c r="AO1064" s="211">
        <f t="shared" si="254"/>
        <v>4.3577981651376149E-2</v>
      </c>
      <c r="AP1064" s="47" t="s">
        <v>90</v>
      </c>
      <c r="AQ1064" s="135" t="s">
        <v>116</v>
      </c>
      <c r="AR1064" s="47" t="s">
        <v>1766</v>
      </c>
    </row>
    <row r="1065" spans="1:44" hidden="1">
      <c r="A1065" s="47" t="s">
        <v>44</v>
      </c>
      <c r="B1065" s="47" t="str">
        <f t="shared" si="249"/>
        <v>August</v>
      </c>
      <c r="C1065" s="59">
        <v>45524</v>
      </c>
      <c r="D1065" s="47" t="s">
        <v>109</v>
      </c>
      <c r="E1065" s="47" t="s">
        <v>1041</v>
      </c>
      <c r="F1065" s="47" t="s">
        <v>1042</v>
      </c>
      <c r="G1065" s="47" t="s">
        <v>3560</v>
      </c>
      <c r="H1065" s="47" t="s">
        <v>3561</v>
      </c>
      <c r="I1065" s="47" t="s">
        <v>50</v>
      </c>
      <c r="J1065" s="47" t="s">
        <v>51</v>
      </c>
      <c r="K1065" s="48">
        <v>45159</v>
      </c>
      <c r="L1065" s="48">
        <v>45159</v>
      </c>
      <c r="M1065" s="48">
        <v>45524</v>
      </c>
      <c r="N1065" s="47" t="s">
        <v>52</v>
      </c>
      <c r="O1065" s="55" t="s">
        <v>53</v>
      </c>
      <c r="P1065" s="62">
        <v>28140</v>
      </c>
      <c r="Q1065" s="62">
        <v>2345</v>
      </c>
      <c r="R1065" s="96">
        <v>28140</v>
      </c>
      <c r="S1065" s="62">
        <f t="shared" si="250"/>
        <v>2345</v>
      </c>
      <c r="T1065" s="62">
        <v>27660</v>
      </c>
      <c r="U1065" s="62">
        <f t="shared" si="255"/>
        <v>2305</v>
      </c>
      <c r="V1065" s="69">
        <v>28140</v>
      </c>
      <c r="W1065" s="71">
        <v>2400</v>
      </c>
      <c r="X1065" s="71"/>
      <c r="Y1065" s="71"/>
      <c r="Z1065" s="64">
        <f t="shared" si="251"/>
        <v>4.1214750542299353E-2</v>
      </c>
      <c r="AA1065" s="64">
        <f t="shared" si="257"/>
        <v>2.3454157782515993E-2</v>
      </c>
      <c r="AB1065" s="71">
        <v>2395</v>
      </c>
      <c r="AC1065" s="64">
        <f t="shared" si="252"/>
        <v>3.9045553145336226E-2</v>
      </c>
      <c r="AD1065" s="64">
        <f t="shared" si="258"/>
        <v>2.1321961620469083E-2</v>
      </c>
      <c r="AE1065" s="71">
        <v>2390</v>
      </c>
      <c r="AF1065" s="64">
        <f t="shared" si="253"/>
        <v>3.6876355748373099E-2</v>
      </c>
      <c r="AG1065" s="64">
        <f t="shared" si="259"/>
        <v>1.9189765458422176E-2</v>
      </c>
      <c r="AH1065" s="67"/>
      <c r="AI1065" s="47" t="s">
        <v>54</v>
      </c>
      <c r="AJ1065" s="47">
        <v>950.98</v>
      </c>
      <c r="AK1065" s="47" t="s">
        <v>65</v>
      </c>
      <c r="AL1065" s="47" t="s">
        <v>65</v>
      </c>
      <c r="AM1065" s="47" t="s">
        <v>3562</v>
      </c>
      <c r="AN1065" s="47">
        <v>2400</v>
      </c>
      <c r="AO1065" s="211">
        <f t="shared" si="254"/>
        <v>4.1214750542299353E-2</v>
      </c>
      <c r="AP1065" s="47" t="s">
        <v>90</v>
      </c>
      <c r="AQ1065" s="91" t="s">
        <v>116</v>
      </c>
      <c r="AR1065" s="47"/>
    </row>
    <row r="1066" spans="1:44" hidden="1">
      <c r="A1066" s="47" t="s">
        <v>44</v>
      </c>
      <c r="B1066" s="47" t="str">
        <f t="shared" si="249"/>
        <v>August</v>
      </c>
      <c r="C1066" s="59">
        <v>45532</v>
      </c>
      <c r="D1066" s="47" t="s">
        <v>109</v>
      </c>
      <c r="E1066" s="47" t="s">
        <v>1041</v>
      </c>
      <c r="F1066" s="47" t="s">
        <v>1042</v>
      </c>
      <c r="G1066" s="47" t="s">
        <v>3563</v>
      </c>
      <c r="H1066" s="47" t="s">
        <v>3564</v>
      </c>
      <c r="I1066" s="47" t="s">
        <v>50</v>
      </c>
      <c r="J1066" s="47" t="s">
        <v>51</v>
      </c>
      <c r="K1066" s="48">
        <v>45167</v>
      </c>
      <c r="L1066" s="48">
        <v>45167</v>
      </c>
      <c r="M1066" s="48">
        <v>45532</v>
      </c>
      <c r="N1066" s="47" t="s">
        <v>52</v>
      </c>
      <c r="O1066" s="55" t="s">
        <v>53</v>
      </c>
      <c r="P1066" s="62">
        <v>27360</v>
      </c>
      <c r="Q1066" s="62">
        <v>2280</v>
      </c>
      <c r="R1066" s="96">
        <v>27360</v>
      </c>
      <c r="S1066" s="62">
        <f t="shared" si="250"/>
        <v>2280</v>
      </c>
      <c r="T1066" s="62">
        <v>27840</v>
      </c>
      <c r="U1066" s="62">
        <f t="shared" si="255"/>
        <v>2320</v>
      </c>
      <c r="V1066" s="69">
        <v>27360</v>
      </c>
      <c r="W1066" s="71">
        <v>2420</v>
      </c>
      <c r="X1066" s="71"/>
      <c r="Y1066" s="71"/>
      <c r="Z1066" s="64">
        <f t="shared" si="251"/>
        <v>4.3103448275862072E-2</v>
      </c>
      <c r="AA1066" s="64">
        <f t="shared" si="257"/>
        <v>6.1403508771929821E-2</v>
      </c>
      <c r="AB1066" s="71">
        <v>2410</v>
      </c>
      <c r="AC1066" s="64">
        <f t="shared" si="252"/>
        <v>3.8793103448275863E-2</v>
      </c>
      <c r="AD1066" s="64">
        <f t="shared" si="258"/>
        <v>5.701754385964912E-2</v>
      </c>
      <c r="AE1066" s="71">
        <v>2395</v>
      </c>
      <c r="AF1066" s="64">
        <f t="shared" si="253"/>
        <v>3.2327586206896554E-2</v>
      </c>
      <c r="AG1066" s="64">
        <f t="shared" si="259"/>
        <v>5.0438596491228067E-2</v>
      </c>
      <c r="AH1066" s="67"/>
      <c r="AI1066" s="47" t="s">
        <v>54</v>
      </c>
      <c r="AJ1066" s="47">
        <v>1027.6099999999999</v>
      </c>
      <c r="AK1066" s="47" t="s">
        <v>65</v>
      </c>
      <c r="AL1066" s="47" t="s">
        <v>65</v>
      </c>
      <c r="AM1066" s="47" t="s">
        <v>3565</v>
      </c>
      <c r="AN1066" s="47">
        <v>2420</v>
      </c>
      <c r="AO1066" s="211">
        <f t="shared" si="254"/>
        <v>4.3103448275862072E-2</v>
      </c>
      <c r="AP1066" s="47" t="s">
        <v>90</v>
      </c>
      <c r="AQ1066" s="91" t="s">
        <v>116</v>
      </c>
      <c r="AR1066" s="47"/>
    </row>
    <row r="1067" spans="1:44" hidden="1">
      <c r="A1067" s="47" t="s">
        <v>44</v>
      </c>
      <c r="B1067" s="47" t="str">
        <f t="shared" si="249"/>
        <v>August</v>
      </c>
      <c r="C1067" s="59">
        <v>45534</v>
      </c>
      <c r="D1067" s="47" t="s">
        <v>109</v>
      </c>
      <c r="E1067" s="47" t="s">
        <v>1041</v>
      </c>
      <c r="F1067" s="47" t="s">
        <v>1042</v>
      </c>
      <c r="G1067" s="47" t="s">
        <v>3570</v>
      </c>
      <c r="H1067" s="47" t="s">
        <v>3571</v>
      </c>
      <c r="I1067" s="47" t="s">
        <v>50</v>
      </c>
      <c r="J1067" s="47" t="s">
        <v>51</v>
      </c>
      <c r="K1067" s="48">
        <v>45169</v>
      </c>
      <c r="L1067" s="48">
        <v>45169</v>
      </c>
      <c r="M1067" s="48">
        <v>45534</v>
      </c>
      <c r="N1067" s="47" t="s">
        <v>52</v>
      </c>
      <c r="O1067" s="55" t="s">
        <v>53</v>
      </c>
      <c r="P1067" s="62">
        <v>27060</v>
      </c>
      <c r="Q1067" s="62">
        <v>2255</v>
      </c>
      <c r="R1067" s="96">
        <v>27060</v>
      </c>
      <c r="S1067" s="62">
        <f t="shared" si="250"/>
        <v>2255</v>
      </c>
      <c r="T1067" s="62">
        <v>27300</v>
      </c>
      <c r="U1067" s="62">
        <f t="shared" si="255"/>
        <v>2275</v>
      </c>
      <c r="V1067" s="69">
        <v>27060</v>
      </c>
      <c r="W1067" s="71">
        <v>2370</v>
      </c>
      <c r="X1067" s="71"/>
      <c r="Y1067" s="71"/>
      <c r="Z1067" s="64">
        <f t="shared" si="251"/>
        <v>4.1758241758241756E-2</v>
      </c>
      <c r="AA1067" s="64">
        <f t="shared" si="257"/>
        <v>5.0997782705099776E-2</v>
      </c>
      <c r="AB1067" s="71">
        <v>2375</v>
      </c>
      <c r="AC1067" s="64">
        <f t="shared" si="252"/>
        <v>4.3956043956043959E-2</v>
      </c>
      <c r="AD1067" s="64">
        <f t="shared" si="258"/>
        <v>5.3215077605321508E-2</v>
      </c>
      <c r="AE1067" s="71">
        <v>2365</v>
      </c>
      <c r="AF1067" s="64">
        <f t="shared" si="253"/>
        <v>3.9560439560439559E-2</v>
      </c>
      <c r="AG1067" s="64">
        <f t="shared" si="259"/>
        <v>4.878048780487805E-2</v>
      </c>
      <c r="AH1067" s="67"/>
      <c r="AI1067" s="47" t="s">
        <v>54</v>
      </c>
      <c r="AJ1067" s="47">
        <v>820.13</v>
      </c>
      <c r="AK1067" s="47" t="s">
        <v>65</v>
      </c>
      <c r="AL1067" s="47" t="s">
        <v>65</v>
      </c>
      <c r="AM1067" s="47" t="s">
        <v>3572</v>
      </c>
      <c r="AN1067" s="47"/>
      <c r="AO1067" s="211">
        <f t="shared" si="254"/>
        <v>-1</v>
      </c>
      <c r="AP1067" s="47" t="s">
        <v>90</v>
      </c>
      <c r="AQ1067" s="91" t="s">
        <v>116</v>
      </c>
      <c r="AR1067" s="47"/>
    </row>
    <row r="1068" spans="1:44" hidden="1">
      <c r="A1068" s="47" t="s">
        <v>44</v>
      </c>
      <c r="B1068" s="47" t="str">
        <f t="shared" si="249"/>
        <v>August</v>
      </c>
      <c r="C1068" s="59">
        <v>45505</v>
      </c>
      <c r="D1068" s="47" t="s">
        <v>103</v>
      </c>
      <c r="E1068" s="47" t="s">
        <v>104</v>
      </c>
      <c r="F1068" s="47" t="s">
        <v>105</v>
      </c>
      <c r="G1068" s="91" t="s">
        <v>106</v>
      </c>
      <c r="H1068" s="47" t="s">
        <v>107</v>
      </c>
      <c r="I1068" s="47" t="s">
        <v>50</v>
      </c>
      <c r="J1068" s="47" t="s">
        <v>51</v>
      </c>
      <c r="K1068" s="48">
        <v>45140</v>
      </c>
      <c r="L1068" s="48">
        <v>45140</v>
      </c>
      <c r="M1068" s="48">
        <v>45505</v>
      </c>
      <c r="N1068" s="47" t="s">
        <v>52</v>
      </c>
      <c r="O1068" s="55" t="s">
        <v>53</v>
      </c>
      <c r="P1068" s="62">
        <v>11400</v>
      </c>
      <c r="Q1068" s="62">
        <v>950</v>
      </c>
      <c r="R1068" s="103">
        <v>11400</v>
      </c>
      <c r="S1068" s="62">
        <f t="shared" si="250"/>
        <v>950</v>
      </c>
      <c r="T1068" s="62">
        <v>12180</v>
      </c>
      <c r="U1068" s="62">
        <f t="shared" si="255"/>
        <v>1015</v>
      </c>
      <c r="V1068" s="69">
        <v>10800</v>
      </c>
      <c r="W1068" s="71">
        <v>1060</v>
      </c>
      <c r="X1068" s="71"/>
      <c r="Y1068" s="71"/>
      <c r="Z1068" s="64">
        <f t="shared" si="251"/>
        <v>4.4334975369458129E-2</v>
      </c>
      <c r="AA1068" s="64">
        <f t="shared" si="257"/>
        <v>0.11578947368421053</v>
      </c>
      <c r="AB1068" s="71">
        <f t="shared" ref="AB1068:AB1090" si="260">W1068</f>
        <v>1060</v>
      </c>
      <c r="AC1068" s="64">
        <f t="shared" si="252"/>
        <v>4.4334975369458129E-2</v>
      </c>
      <c r="AD1068" s="64">
        <f t="shared" si="258"/>
        <v>0.11578947368421053</v>
      </c>
      <c r="AE1068" s="71">
        <f t="shared" ref="AE1068:AE1097" si="261">AB1068</f>
        <v>1060</v>
      </c>
      <c r="AF1068" s="64">
        <f t="shared" si="253"/>
        <v>4.4334975369458129E-2</v>
      </c>
      <c r="AG1068" s="64">
        <f t="shared" si="259"/>
        <v>0.11578947368421053</v>
      </c>
      <c r="AH1068" s="67"/>
      <c r="AI1068" s="47" t="s">
        <v>54</v>
      </c>
      <c r="AJ1068" s="47">
        <v>968.75</v>
      </c>
      <c r="AK1068" s="55" t="s">
        <v>65</v>
      </c>
      <c r="AL1068" s="55" t="s">
        <v>55</v>
      </c>
      <c r="AM1068" s="47" t="s">
        <v>108</v>
      </c>
      <c r="AN1068" s="47"/>
      <c r="AO1068" s="211">
        <f t="shared" si="254"/>
        <v>-1</v>
      </c>
      <c r="AP1068" s="47" t="s">
        <v>57</v>
      </c>
      <c r="AQ1068" s="47" t="s">
        <v>58</v>
      </c>
      <c r="AR1068" s="47"/>
    </row>
    <row r="1069" spans="1:44" hidden="1">
      <c r="A1069" s="47" t="s">
        <v>44</v>
      </c>
      <c r="B1069" s="47" t="str">
        <f t="shared" si="249"/>
        <v>August</v>
      </c>
      <c r="C1069" s="59">
        <v>45507</v>
      </c>
      <c r="D1069" s="47" t="s">
        <v>103</v>
      </c>
      <c r="E1069" s="47" t="s">
        <v>104</v>
      </c>
      <c r="F1069" s="47" t="s">
        <v>105</v>
      </c>
      <c r="G1069" s="91" t="s">
        <v>197</v>
      </c>
      <c r="H1069" s="47" t="s">
        <v>198</v>
      </c>
      <c r="I1069" s="47" t="s">
        <v>50</v>
      </c>
      <c r="J1069" s="47" t="s">
        <v>51</v>
      </c>
      <c r="K1069" s="48">
        <v>45142</v>
      </c>
      <c r="L1069" s="48">
        <v>45142</v>
      </c>
      <c r="M1069" s="48">
        <v>45507</v>
      </c>
      <c r="N1069" s="47" t="s">
        <v>52</v>
      </c>
      <c r="O1069" s="55" t="s">
        <v>53</v>
      </c>
      <c r="P1069" s="62">
        <v>11340</v>
      </c>
      <c r="Q1069" s="62">
        <v>945</v>
      </c>
      <c r="R1069" s="103">
        <v>11340</v>
      </c>
      <c r="S1069" s="62">
        <f t="shared" si="250"/>
        <v>945</v>
      </c>
      <c r="T1069" s="62">
        <v>10800</v>
      </c>
      <c r="U1069" s="62">
        <f t="shared" si="255"/>
        <v>900</v>
      </c>
      <c r="V1069" s="69">
        <v>9660</v>
      </c>
      <c r="W1069" s="71">
        <v>945</v>
      </c>
      <c r="X1069" s="71"/>
      <c r="Y1069" s="71"/>
      <c r="Z1069" s="64">
        <f t="shared" si="251"/>
        <v>0.05</v>
      </c>
      <c r="AA1069" s="64">
        <f t="shared" si="257"/>
        <v>0</v>
      </c>
      <c r="AB1069" s="71">
        <f t="shared" si="260"/>
        <v>945</v>
      </c>
      <c r="AC1069" s="64">
        <f t="shared" si="252"/>
        <v>0.05</v>
      </c>
      <c r="AD1069" s="64">
        <f t="shared" si="258"/>
        <v>0</v>
      </c>
      <c r="AE1069" s="71">
        <f t="shared" si="261"/>
        <v>945</v>
      </c>
      <c r="AF1069" s="64">
        <f t="shared" si="253"/>
        <v>0.05</v>
      </c>
      <c r="AG1069" s="64">
        <f t="shared" si="259"/>
        <v>0</v>
      </c>
      <c r="AH1069" s="67"/>
      <c r="AI1069" s="47" t="s">
        <v>54</v>
      </c>
      <c r="AJ1069" s="47">
        <v>731.95</v>
      </c>
      <c r="AK1069" s="55" t="s">
        <v>65</v>
      </c>
      <c r="AL1069" s="55" t="s">
        <v>55</v>
      </c>
      <c r="AM1069" s="47" t="s">
        <v>199</v>
      </c>
      <c r="AN1069" s="47"/>
      <c r="AO1069" s="211">
        <f t="shared" si="254"/>
        <v>-1</v>
      </c>
      <c r="AP1069" s="47" t="s">
        <v>57</v>
      </c>
      <c r="AQ1069" s="47" t="s">
        <v>58</v>
      </c>
      <c r="AR1069" s="47"/>
    </row>
    <row r="1070" spans="1:44">
      <c r="A1070" s="47" t="s">
        <v>44</v>
      </c>
      <c r="B1070" s="47" t="str">
        <f t="shared" si="249"/>
        <v>August</v>
      </c>
      <c r="C1070" s="59">
        <v>45508</v>
      </c>
      <c r="D1070" s="47" t="s">
        <v>103</v>
      </c>
      <c r="E1070" s="47" t="s">
        <v>104</v>
      </c>
      <c r="F1070" s="47" t="s">
        <v>105</v>
      </c>
      <c r="G1070" s="91" t="s">
        <v>309</v>
      </c>
      <c r="H1070" s="47" t="s">
        <v>310</v>
      </c>
      <c r="I1070" s="47" t="s">
        <v>50</v>
      </c>
      <c r="J1070" s="47" t="s">
        <v>51</v>
      </c>
      <c r="K1070" s="48">
        <v>44778</v>
      </c>
      <c r="L1070" s="48">
        <v>45143</v>
      </c>
      <c r="M1070" s="48">
        <v>45508</v>
      </c>
      <c r="N1070" s="47" t="s">
        <v>64</v>
      </c>
      <c r="O1070" s="55" t="s">
        <v>53</v>
      </c>
      <c r="P1070" s="62">
        <v>9900</v>
      </c>
      <c r="Q1070" s="62">
        <v>825</v>
      </c>
      <c r="R1070" s="103">
        <v>9900</v>
      </c>
      <c r="S1070" s="62">
        <f t="shared" si="250"/>
        <v>825</v>
      </c>
      <c r="T1070" s="62">
        <v>11040</v>
      </c>
      <c r="U1070" s="62">
        <f t="shared" si="255"/>
        <v>920</v>
      </c>
      <c r="V1070" s="69">
        <v>10080</v>
      </c>
      <c r="W1070" s="71">
        <v>960</v>
      </c>
      <c r="X1070" s="71"/>
      <c r="Y1070" s="71"/>
      <c r="Z1070" s="64">
        <f t="shared" si="251"/>
        <v>4.3478260869565216E-2</v>
      </c>
      <c r="AA1070" s="64">
        <f t="shared" si="257"/>
        <v>0.16363636363636364</v>
      </c>
      <c r="AB1070" s="71">
        <f t="shared" si="260"/>
        <v>960</v>
      </c>
      <c r="AC1070" s="64">
        <f t="shared" si="252"/>
        <v>4.3478260869565216E-2</v>
      </c>
      <c r="AD1070" s="64">
        <f t="shared" si="258"/>
        <v>0.16363636363636364</v>
      </c>
      <c r="AE1070" s="71">
        <f t="shared" si="261"/>
        <v>960</v>
      </c>
      <c r="AF1070" s="64">
        <f t="shared" si="253"/>
        <v>4.3478260869565216E-2</v>
      </c>
      <c r="AG1070" s="64">
        <f t="shared" si="259"/>
        <v>0.16363636363636364</v>
      </c>
      <c r="AH1070" s="67"/>
      <c r="AI1070" s="47" t="s">
        <v>54</v>
      </c>
      <c r="AJ1070" s="47">
        <v>645.83000000000004</v>
      </c>
      <c r="AK1070" s="55" t="s">
        <v>65</v>
      </c>
      <c r="AL1070" s="55" t="s">
        <v>55</v>
      </c>
      <c r="AM1070" s="47" t="s">
        <v>311</v>
      </c>
      <c r="AN1070" s="47"/>
      <c r="AO1070" s="211">
        <f t="shared" si="254"/>
        <v>-1</v>
      </c>
      <c r="AP1070" s="47" t="s">
        <v>57</v>
      </c>
      <c r="AQ1070" s="47" t="s">
        <v>58</v>
      </c>
      <c r="AR1070" s="47"/>
    </row>
    <row r="1071" spans="1:44">
      <c r="A1071" s="47" t="s">
        <v>44</v>
      </c>
      <c r="B1071" s="47" t="str">
        <f t="shared" si="249"/>
        <v>August</v>
      </c>
      <c r="C1071" s="59">
        <v>45508</v>
      </c>
      <c r="D1071" s="47" t="s">
        <v>103</v>
      </c>
      <c r="E1071" s="47" t="s">
        <v>104</v>
      </c>
      <c r="F1071" s="47" t="s">
        <v>105</v>
      </c>
      <c r="G1071" s="91" t="s">
        <v>312</v>
      </c>
      <c r="H1071" s="47" t="s">
        <v>313</v>
      </c>
      <c r="I1071" s="47" t="s">
        <v>50</v>
      </c>
      <c r="J1071" s="47" t="s">
        <v>51</v>
      </c>
      <c r="K1071" s="48">
        <v>44778</v>
      </c>
      <c r="L1071" s="48">
        <v>45143</v>
      </c>
      <c r="M1071" s="48">
        <v>45508</v>
      </c>
      <c r="N1071" s="47" t="s">
        <v>64</v>
      </c>
      <c r="O1071" s="55" t="s">
        <v>53</v>
      </c>
      <c r="P1071" s="62">
        <v>11340</v>
      </c>
      <c r="Q1071" s="62">
        <v>945</v>
      </c>
      <c r="R1071" s="103">
        <v>11340</v>
      </c>
      <c r="S1071" s="62">
        <f t="shared" si="250"/>
        <v>945</v>
      </c>
      <c r="T1071" s="62">
        <v>10860</v>
      </c>
      <c r="U1071" s="62">
        <f t="shared" si="255"/>
        <v>905</v>
      </c>
      <c r="V1071" s="69">
        <v>10020</v>
      </c>
      <c r="W1071" s="71">
        <v>970</v>
      </c>
      <c r="X1071" s="71"/>
      <c r="Y1071" s="71"/>
      <c r="Z1071" s="64">
        <f t="shared" si="251"/>
        <v>7.18232044198895E-2</v>
      </c>
      <c r="AA1071" s="64">
        <f t="shared" si="257"/>
        <v>2.6455026455026454E-2</v>
      </c>
      <c r="AB1071" s="71">
        <f t="shared" si="260"/>
        <v>970</v>
      </c>
      <c r="AC1071" s="64">
        <f t="shared" si="252"/>
        <v>7.18232044198895E-2</v>
      </c>
      <c r="AD1071" s="64">
        <f t="shared" si="258"/>
        <v>2.6455026455026454E-2</v>
      </c>
      <c r="AE1071" s="71">
        <f t="shared" si="261"/>
        <v>970</v>
      </c>
      <c r="AF1071" s="64">
        <f t="shared" si="253"/>
        <v>7.18232044198895E-2</v>
      </c>
      <c r="AG1071" s="64">
        <f t="shared" si="259"/>
        <v>2.6455026455026454E-2</v>
      </c>
      <c r="AH1071" s="67"/>
      <c r="AI1071" s="47" t="s">
        <v>54</v>
      </c>
      <c r="AJ1071" s="47">
        <v>710.42</v>
      </c>
      <c r="AK1071" s="55" t="s">
        <v>65</v>
      </c>
      <c r="AL1071" s="55" t="s">
        <v>55</v>
      </c>
      <c r="AM1071" s="47" t="s">
        <v>314</v>
      </c>
      <c r="AN1071" s="47"/>
      <c r="AO1071" s="211">
        <f t="shared" si="254"/>
        <v>-1</v>
      </c>
      <c r="AP1071" s="47" t="s">
        <v>57</v>
      </c>
      <c r="AQ1071" s="47" t="s">
        <v>58</v>
      </c>
      <c r="AR1071" s="47"/>
    </row>
    <row r="1072" spans="1:44">
      <c r="A1072" s="47" t="s">
        <v>44</v>
      </c>
      <c r="B1072" s="47" t="str">
        <f t="shared" si="249"/>
        <v>August</v>
      </c>
      <c r="C1072" s="59">
        <v>45509</v>
      </c>
      <c r="D1072" s="47" t="s">
        <v>103</v>
      </c>
      <c r="E1072" s="47" t="s">
        <v>104</v>
      </c>
      <c r="F1072" s="47" t="s">
        <v>105</v>
      </c>
      <c r="G1072" s="91" t="s">
        <v>353</v>
      </c>
      <c r="H1072" s="47" t="s">
        <v>354</v>
      </c>
      <c r="I1072" s="47" t="s">
        <v>50</v>
      </c>
      <c r="J1072" s="47" t="s">
        <v>51</v>
      </c>
      <c r="K1072" s="48">
        <v>44049</v>
      </c>
      <c r="L1072" s="48">
        <v>45144</v>
      </c>
      <c r="M1072" s="48">
        <v>45509</v>
      </c>
      <c r="N1072" s="47" t="s">
        <v>64</v>
      </c>
      <c r="O1072" s="55" t="s">
        <v>53</v>
      </c>
      <c r="P1072" s="62">
        <v>11340</v>
      </c>
      <c r="Q1072" s="62">
        <v>945</v>
      </c>
      <c r="R1072" s="103">
        <v>11340</v>
      </c>
      <c r="S1072" s="62">
        <f t="shared" si="250"/>
        <v>945</v>
      </c>
      <c r="T1072" s="62">
        <v>11100</v>
      </c>
      <c r="U1072" s="62">
        <f t="shared" si="255"/>
        <v>925</v>
      </c>
      <c r="V1072" s="69">
        <v>10260</v>
      </c>
      <c r="W1072" s="71">
        <v>995</v>
      </c>
      <c r="X1072" s="71"/>
      <c r="Y1072" s="71"/>
      <c r="Z1072" s="64">
        <f t="shared" si="251"/>
        <v>7.567567567567568E-2</v>
      </c>
      <c r="AA1072" s="64">
        <f t="shared" si="257"/>
        <v>5.2910052910052907E-2</v>
      </c>
      <c r="AB1072" s="71">
        <f t="shared" si="260"/>
        <v>995</v>
      </c>
      <c r="AC1072" s="64">
        <f t="shared" si="252"/>
        <v>7.567567567567568E-2</v>
      </c>
      <c r="AD1072" s="64">
        <f t="shared" si="258"/>
        <v>5.2910052910052907E-2</v>
      </c>
      <c r="AE1072" s="71">
        <f t="shared" si="261"/>
        <v>995</v>
      </c>
      <c r="AF1072" s="64">
        <f t="shared" si="253"/>
        <v>7.567567567567568E-2</v>
      </c>
      <c r="AG1072" s="64">
        <f t="shared" si="259"/>
        <v>5.2910052910052907E-2</v>
      </c>
      <c r="AH1072" s="67"/>
      <c r="AI1072" s="47" t="s">
        <v>54</v>
      </c>
      <c r="AJ1072" s="47">
        <v>742.71</v>
      </c>
      <c r="AK1072" s="55" t="s">
        <v>65</v>
      </c>
      <c r="AL1072" s="55" t="s">
        <v>55</v>
      </c>
      <c r="AM1072" s="47" t="s">
        <v>355</v>
      </c>
      <c r="AN1072" s="47">
        <v>995</v>
      </c>
      <c r="AO1072" s="211">
        <f t="shared" si="254"/>
        <v>7.567567567567568E-2</v>
      </c>
      <c r="AP1072" s="47" t="s">
        <v>57</v>
      </c>
      <c r="AQ1072" s="47" t="s">
        <v>58</v>
      </c>
      <c r="AR1072" s="47"/>
    </row>
    <row r="1073" spans="1:44" hidden="1">
      <c r="A1073" s="47" t="s">
        <v>44</v>
      </c>
      <c r="B1073" s="47" t="str">
        <f t="shared" si="249"/>
        <v>August</v>
      </c>
      <c r="C1073" s="59">
        <v>45510</v>
      </c>
      <c r="D1073" s="47" t="s">
        <v>103</v>
      </c>
      <c r="E1073" s="47" t="s">
        <v>104</v>
      </c>
      <c r="F1073" s="47" t="s">
        <v>105</v>
      </c>
      <c r="G1073" s="91" t="s">
        <v>398</v>
      </c>
      <c r="H1073" s="47" t="s">
        <v>399</v>
      </c>
      <c r="I1073" s="47" t="s">
        <v>50</v>
      </c>
      <c r="J1073" s="47" t="s">
        <v>51</v>
      </c>
      <c r="K1073" s="48">
        <v>45145</v>
      </c>
      <c r="L1073" s="48">
        <v>45145</v>
      </c>
      <c r="M1073" s="48">
        <v>45510</v>
      </c>
      <c r="N1073" s="47" t="s">
        <v>52</v>
      </c>
      <c r="O1073" s="55" t="s">
        <v>53</v>
      </c>
      <c r="P1073" s="62">
        <v>11340</v>
      </c>
      <c r="Q1073" s="62">
        <v>945</v>
      </c>
      <c r="R1073" s="103">
        <v>11340</v>
      </c>
      <c r="S1073" s="62">
        <f t="shared" si="250"/>
        <v>945</v>
      </c>
      <c r="T1073" s="62">
        <v>11220</v>
      </c>
      <c r="U1073" s="62">
        <f t="shared" si="255"/>
        <v>935</v>
      </c>
      <c r="V1073" s="69">
        <v>10020</v>
      </c>
      <c r="W1073" s="71">
        <v>975</v>
      </c>
      <c r="X1073" s="71"/>
      <c r="Y1073" s="71"/>
      <c r="Z1073" s="64">
        <f t="shared" si="251"/>
        <v>4.2780748663101602E-2</v>
      </c>
      <c r="AA1073" s="64">
        <f t="shared" si="257"/>
        <v>3.1746031746031744E-2</v>
      </c>
      <c r="AB1073" s="71">
        <f t="shared" si="260"/>
        <v>975</v>
      </c>
      <c r="AC1073" s="64">
        <f t="shared" si="252"/>
        <v>4.2780748663101602E-2</v>
      </c>
      <c r="AD1073" s="64">
        <f t="shared" si="258"/>
        <v>3.1746031746031744E-2</v>
      </c>
      <c r="AE1073" s="71">
        <f t="shared" si="261"/>
        <v>975</v>
      </c>
      <c r="AF1073" s="64">
        <f t="shared" si="253"/>
        <v>4.2780748663101602E-2</v>
      </c>
      <c r="AG1073" s="64">
        <f t="shared" si="259"/>
        <v>3.1746031746031744E-2</v>
      </c>
      <c r="AH1073" s="67"/>
      <c r="AI1073" s="47" t="s">
        <v>54</v>
      </c>
      <c r="AJ1073" s="47">
        <v>731.95</v>
      </c>
      <c r="AK1073" s="55" t="s">
        <v>65</v>
      </c>
      <c r="AL1073" s="55" t="s">
        <v>55</v>
      </c>
      <c r="AM1073" s="47" t="s">
        <v>400</v>
      </c>
      <c r="AN1073" s="47"/>
      <c r="AO1073" s="211">
        <f t="shared" si="254"/>
        <v>-1</v>
      </c>
      <c r="AP1073" s="47" t="s">
        <v>57</v>
      </c>
      <c r="AQ1073" s="47" t="s">
        <v>58</v>
      </c>
      <c r="AR1073" s="47"/>
    </row>
    <row r="1074" spans="1:44" hidden="1">
      <c r="A1074" s="47" t="s">
        <v>44</v>
      </c>
      <c r="B1074" s="47" t="str">
        <f t="shared" si="249"/>
        <v>August</v>
      </c>
      <c r="C1074" s="59">
        <v>45510</v>
      </c>
      <c r="D1074" s="47" t="s">
        <v>103</v>
      </c>
      <c r="E1074" s="47" t="s">
        <v>104</v>
      </c>
      <c r="F1074" s="47" t="s">
        <v>105</v>
      </c>
      <c r="G1074" s="204" t="s">
        <v>404</v>
      </c>
      <c r="H1074" s="47" t="s">
        <v>405</v>
      </c>
      <c r="I1074" s="47" t="s">
        <v>50</v>
      </c>
      <c r="J1074" s="47" t="s">
        <v>51</v>
      </c>
      <c r="K1074" s="48">
        <v>45145</v>
      </c>
      <c r="L1074" s="48">
        <v>45145</v>
      </c>
      <c r="M1074" s="48">
        <v>45510</v>
      </c>
      <c r="N1074" s="47" t="s">
        <v>52</v>
      </c>
      <c r="O1074" s="55" t="s">
        <v>53</v>
      </c>
      <c r="P1074" s="62">
        <v>9540</v>
      </c>
      <c r="Q1074" s="62">
        <v>795</v>
      </c>
      <c r="R1074" s="103">
        <v>9540</v>
      </c>
      <c r="S1074" s="62">
        <f t="shared" si="250"/>
        <v>795</v>
      </c>
      <c r="T1074" s="62">
        <v>9720</v>
      </c>
      <c r="U1074" s="62">
        <f t="shared" si="255"/>
        <v>810</v>
      </c>
      <c r="V1074" s="69">
        <v>8460</v>
      </c>
      <c r="W1074" s="71">
        <v>845</v>
      </c>
      <c r="X1074" s="71"/>
      <c r="Y1074" s="71"/>
      <c r="Z1074" s="64">
        <f t="shared" si="251"/>
        <v>4.3209876543209874E-2</v>
      </c>
      <c r="AA1074" s="64">
        <f t="shared" si="257"/>
        <v>6.2893081761006289E-2</v>
      </c>
      <c r="AB1074" s="71">
        <f t="shared" si="260"/>
        <v>845</v>
      </c>
      <c r="AC1074" s="64">
        <f t="shared" si="252"/>
        <v>4.3209876543209874E-2</v>
      </c>
      <c r="AD1074" s="64">
        <f t="shared" si="258"/>
        <v>6.2893081761006289E-2</v>
      </c>
      <c r="AE1074" s="71">
        <f t="shared" si="261"/>
        <v>845</v>
      </c>
      <c r="AF1074" s="64">
        <f t="shared" si="253"/>
        <v>4.3209876543209874E-2</v>
      </c>
      <c r="AG1074" s="64">
        <f t="shared" si="259"/>
        <v>6.2893081761006289E-2</v>
      </c>
      <c r="AH1074" s="67"/>
      <c r="AI1074" s="47" t="s">
        <v>54</v>
      </c>
      <c r="AJ1074" s="47">
        <v>538.20000000000005</v>
      </c>
      <c r="AK1074" s="55" t="s">
        <v>55</v>
      </c>
      <c r="AL1074" s="55" t="s">
        <v>55</v>
      </c>
      <c r="AM1074" s="47" t="s">
        <v>406</v>
      </c>
      <c r="AN1074" s="47"/>
      <c r="AO1074" s="211">
        <f t="shared" si="254"/>
        <v>-1</v>
      </c>
      <c r="AP1074" s="47" t="s">
        <v>57</v>
      </c>
      <c r="AQ1074" s="47" t="s">
        <v>58</v>
      </c>
      <c r="AR1074" s="47"/>
    </row>
    <row r="1075" spans="1:44" hidden="1">
      <c r="A1075" s="47" t="s">
        <v>44</v>
      </c>
      <c r="B1075" s="47" t="str">
        <f t="shared" si="249"/>
        <v>August</v>
      </c>
      <c r="C1075" s="59">
        <v>45511</v>
      </c>
      <c r="D1075" s="47" t="s">
        <v>103</v>
      </c>
      <c r="E1075" s="47" t="s">
        <v>104</v>
      </c>
      <c r="F1075" s="47" t="s">
        <v>105</v>
      </c>
      <c r="G1075" s="91" t="s">
        <v>462</v>
      </c>
      <c r="H1075" s="47" t="s">
        <v>463</v>
      </c>
      <c r="I1075" s="47" t="s">
        <v>50</v>
      </c>
      <c r="J1075" s="47" t="s">
        <v>51</v>
      </c>
      <c r="K1075" s="48">
        <v>45146</v>
      </c>
      <c r="L1075" s="48">
        <v>45146</v>
      </c>
      <c r="M1075" s="48">
        <v>45511</v>
      </c>
      <c r="N1075" s="47" t="s">
        <v>52</v>
      </c>
      <c r="O1075" s="55" t="s">
        <v>53</v>
      </c>
      <c r="P1075" s="62">
        <v>11340</v>
      </c>
      <c r="Q1075" s="62">
        <v>945</v>
      </c>
      <c r="R1075" s="103">
        <v>11340</v>
      </c>
      <c r="S1075" s="62">
        <f t="shared" si="250"/>
        <v>945</v>
      </c>
      <c r="T1075" s="62">
        <v>11220</v>
      </c>
      <c r="U1075" s="62">
        <f t="shared" si="255"/>
        <v>935</v>
      </c>
      <c r="V1075" s="69">
        <v>11040</v>
      </c>
      <c r="W1075" s="71">
        <v>975</v>
      </c>
      <c r="X1075" s="71"/>
      <c r="Y1075" s="71"/>
      <c r="Z1075" s="64">
        <f t="shared" si="251"/>
        <v>4.2780748663101602E-2</v>
      </c>
      <c r="AA1075" s="64">
        <f t="shared" si="257"/>
        <v>3.1746031746031744E-2</v>
      </c>
      <c r="AB1075" s="71">
        <f t="shared" si="260"/>
        <v>975</v>
      </c>
      <c r="AC1075" s="64">
        <f t="shared" si="252"/>
        <v>4.2780748663101602E-2</v>
      </c>
      <c r="AD1075" s="64">
        <f t="shared" si="258"/>
        <v>3.1746031746031744E-2</v>
      </c>
      <c r="AE1075" s="71">
        <f t="shared" si="261"/>
        <v>975</v>
      </c>
      <c r="AF1075" s="64">
        <f t="shared" si="253"/>
        <v>4.2780748663101602E-2</v>
      </c>
      <c r="AG1075" s="64">
        <f t="shared" si="259"/>
        <v>3.1746031746031744E-2</v>
      </c>
      <c r="AH1075" s="67"/>
      <c r="AI1075" s="47" t="s">
        <v>54</v>
      </c>
      <c r="AJ1075" s="47">
        <v>710.42</v>
      </c>
      <c r="AK1075" s="55" t="s">
        <v>65</v>
      </c>
      <c r="AL1075" s="55" t="s">
        <v>55</v>
      </c>
      <c r="AM1075" s="47" t="s">
        <v>464</v>
      </c>
      <c r="AN1075" s="47"/>
      <c r="AO1075" s="211">
        <f t="shared" si="254"/>
        <v>-1</v>
      </c>
      <c r="AP1075" s="47" t="s">
        <v>57</v>
      </c>
      <c r="AQ1075" s="47" t="s">
        <v>58</v>
      </c>
      <c r="AR1075" s="47"/>
    </row>
    <row r="1076" spans="1:44">
      <c r="A1076" s="47" t="s">
        <v>44</v>
      </c>
      <c r="B1076" s="47" t="str">
        <f t="shared" si="249"/>
        <v>July</v>
      </c>
      <c r="C1076" s="59">
        <v>45490</v>
      </c>
      <c r="D1076" s="47" t="s">
        <v>103</v>
      </c>
      <c r="E1076" s="47" t="s">
        <v>104</v>
      </c>
      <c r="F1076" s="47" t="s">
        <v>105</v>
      </c>
      <c r="G1076" s="91" t="s">
        <v>618</v>
      </c>
      <c r="H1076" s="47" t="s">
        <v>619</v>
      </c>
      <c r="I1076" s="47" t="s">
        <v>50</v>
      </c>
      <c r="J1076" s="47" t="s">
        <v>51</v>
      </c>
      <c r="K1076" s="48">
        <v>44760</v>
      </c>
      <c r="L1076" s="48">
        <v>45125</v>
      </c>
      <c r="M1076" s="48">
        <v>45490</v>
      </c>
      <c r="N1076" s="47" t="s">
        <v>64</v>
      </c>
      <c r="O1076" s="55" t="s">
        <v>53</v>
      </c>
      <c r="P1076" s="62">
        <v>9480</v>
      </c>
      <c r="Q1076" s="62">
        <v>790</v>
      </c>
      <c r="R1076" s="103">
        <v>9480</v>
      </c>
      <c r="S1076" s="62">
        <f t="shared" si="250"/>
        <v>790</v>
      </c>
      <c r="T1076" s="62">
        <v>9300</v>
      </c>
      <c r="U1076" s="62">
        <f t="shared" si="255"/>
        <v>775</v>
      </c>
      <c r="V1076" s="69">
        <v>8220</v>
      </c>
      <c r="W1076" s="71">
        <v>845</v>
      </c>
      <c r="X1076" s="71"/>
      <c r="Y1076" s="71"/>
      <c r="Z1076" s="64">
        <f t="shared" si="251"/>
        <v>9.0322580645161285E-2</v>
      </c>
      <c r="AA1076" s="64">
        <f t="shared" si="257"/>
        <v>6.9620253164556958E-2</v>
      </c>
      <c r="AB1076" s="71">
        <f t="shared" si="260"/>
        <v>845</v>
      </c>
      <c r="AC1076" s="64">
        <f t="shared" si="252"/>
        <v>9.0322580645161285E-2</v>
      </c>
      <c r="AD1076" s="64">
        <f t="shared" si="258"/>
        <v>6.9620253164556958E-2</v>
      </c>
      <c r="AE1076" s="71">
        <f t="shared" si="261"/>
        <v>845</v>
      </c>
      <c r="AF1076" s="64">
        <f t="shared" si="253"/>
        <v>9.0322580645161285E-2</v>
      </c>
      <c r="AG1076" s="64">
        <f t="shared" si="259"/>
        <v>6.9620253164556958E-2</v>
      </c>
      <c r="AH1076" s="67"/>
      <c r="AI1076" s="47" t="s">
        <v>54</v>
      </c>
      <c r="AJ1076" s="47">
        <v>624.30999999999995</v>
      </c>
      <c r="AK1076" s="101" t="s">
        <v>55</v>
      </c>
      <c r="AL1076" s="101" t="s">
        <v>55</v>
      </c>
      <c r="AM1076" s="47" t="s">
        <v>620</v>
      </c>
      <c r="AN1076" s="47"/>
      <c r="AO1076" s="211">
        <f t="shared" si="254"/>
        <v>-1</v>
      </c>
      <c r="AP1076" s="47" t="s">
        <v>57</v>
      </c>
      <c r="AQ1076" s="47" t="s">
        <v>58</v>
      </c>
      <c r="AR1076" s="47"/>
    </row>
    <row r="1077" spans="1:44" hidden="1">
      <c r="A1077" s="47" t="s">
        <v>44</v>
      </c>
      <c r="B1077" s="47" t="str">
        <f t="shared" si="249"/>
        <v>July</v>
      </c>
      <c r="C1077" s="59">
        <v>45494</v>
      </c>
      <c r="D1077" s="47" t="s">
        <v>103</v>
      </c>
      <c r="E1077" s="47" t="s">
        <v>104</v>
      </c>
      <c r="F1077" s="47" t="s">
        <v>105</v>
      </c>
      <c r="G1077" s="91" t="s">
        <v>621</v>
      </c>
      <c r="H1077" s="47" t="s">
        <v>622</v>
      </c>
      <c r="I1077" s="47" t="s">
        <v>50</v>
      </c>
      <c r="J1077" s="47" t="s">
        <v>51</v>
      </c>
      <c r="K1077" s="48">
        <v>45129</v>
      </c>
      <c r="L1077" s="48">
        <v>45129</v>
      </c>
      <c r="M1077" s="48">
        <v>45494</v>
      </c>
      <c r="N1077" s="47" t="s">
        <v>52</v>
      </c>
      <c r="O1077" s="55" t="s">
        <v>53</v>
      </c>
      <c r="P1077" s="62">
        <v>9660</v>
      </c>
      <c r="Q1077" s="62">
        <v>805</v>
      </c>
      <c r="R1077" s="103">
        <v>9660</v>
      </c>
      <c r="S1077" s="62">
        <f t="shared" si="250"/>
        <v>805</v>
      </c>
      <c r="T1077" s="62">
        <v>9480</v>
      </c>
      <c r="U1077" s="62">
        <f t="shared" si="255"/>
        <v>790</v>
      </c>
      <c r="V1077" s="69">
        <v>7620</v>
      </c>
      <c r="W1077" s="71">
        <v>830</v>
      </c>
      <c r="X1077" s="71"/>
      <c r="Y1077" s="71"/>
      <c r="Z1077" s="64">
        <f t="shared" si="251"/>
        <v>5.0632911392405063E-2</v>
      </c>
      <c r="AA1077" s="64">
        <f t="shared" si="257"/>
        <v>3.1055900621118012E-2</v>
      </c>
      <c r="AB1077" s="71">
        <f t="shared" si="260"/>
        <v>830</v>
      </c>
      <c r="AC1077" s="64">
        <f t="shared" si="252"/>
        <v>5.0632911392405063E-2</v>
      </c>
      <c r="AD1077" s="64">
        <f t="shared" si="258"/>
        <v>3.1055900621118012E-2</v>
      </c>
      <c r="AE1077" s="71">
        <f t="shared" si="261"/>
        <v>830</v>
      </c>
      <c r="AF1077" s="64">
        <f t="shared" si="253"/>
        <v>5.0632911392405063E-2</v>
      </c>
      <c r="AG1077" s="64">
        <f t="shared" si="259"/>
        <v>3.1055900621118012E-2</v>
      </c>
      <c r="AH1077" s="67"/>
      <c r="AI1077" s="47" t="s">
        <v>54</v>
      </c>
      <c r="AJ1077" s="47">
        <v>548.96</v>
      </c>
      <c r="AK1077" s="101" t="s">
        <v>55</v>
      </c>
      <c r="AL1077" s="101" t="s">
        <v>55</v>
      </c>
      <c r="AM1077" s="47" t="s">
        <v>623</v>
      </c>
      <c r="AN1077" s="47">
        <v>830</v>
      </c>
      <c r="AO1077" s="211">
        <f t="shared" si="254"/>
        <v>5.0632911392405063E-2</v>
      </c>
      <c r="AP1077" s="47" t="s">
        <v>57</v>
      </c>
      <c r="AQ1077" s="47" t="s">
        <v>58</v>
      </c>
      <c r="AR1077" s="47"/>
    </row>
    <row r="1078" spans="1:44" hidden="1">
      <c r="A1078" s="47" t="s">
        <v>44</v>
      </c>
      <c r="B1078" s="47" t="str">
        <f t="shared" si="249"/>
        <v>July</v>
      </c>
      <c r="C1078" s="59">
        <v>45492</v>
      </c>
      <c r="D1078" s="47" t="s">
        <v>103</v>
      </c>
      <c r="E1078" s="47" t="s">
        <v>104</v>
      </c>
      <c r="F1078" s="47" t="s">
        <v>105</v>
      </c>
      <c r="G1078" s="91" t="s">
        <v>624</v>
      </c>
      <c r="H1078" s="47" t="s">
        <v>625</v>
      </c>
      <c r="I1078" s="47" t="s">
        <v>50</v>
      </c>
      <c r="J1078" s="47" t="s">
        <v>51</v>
      </c>
      <c r="K1078" s="48">
        <v>45127</v>
      </c>
      <c r="L1078" s="48">
        <v>45127</v>
      </c>
      <c r="M1078" s="48">
        <v>45492</v>
      </c>
      <c r="N1078" s="47" t="s">
        <v>52</v>
      </c>
      <c r="O1078" s="55" t="s">
        <v>53</v>
      </c>
      <c r="P1078" s="62">
        <v>9660</v>
      </c>
      <c r="Q1078" s="62">
        <v>805</v>
      </c>
      <c r="R1078" s="103">
        <v>9660</v>
      </c>
      <c r="S1078" s="62">
        <f t="shared" si="250"/>
        <v>805</v>
      </c>
      <c r="T1078" s="62">
        <v>9480</v>
      </c>
      <c r="U1078" s="62">
        <f t="shared" si="255"/>
        <v>790</v>
      </c>
      <c r="V1078" s="69">
        <v>8520</v>
      </c>
      <c r="W1078" s="71">
        <v>830</v>
      </c>
      <c r="X1078" s="71"/>
      <c r="Y1078" s="71"/>
      <c r="Z1078" s="64">
        <f t="shared" si="251"/>
        <v>5.0632911392405063E-2</v>
      </c>
      <c r="AA1078" s="64">
        <f t="shared" si="257"/>
        <v>3.1055900621118012E-2</v>
      </c>
      <c r="AB1078" s="71">
        <f t="shared" si="260"/>
        <v>830</v>
      </c>
      <c r="AC1078" s="64">
        <f t="shared" si="252"/>
        <v>5.0632911392405063E-2</v>
      </c>
      <c r="AD1078" s="64">
        <f t="shared" si="258"/>
        <v>3.1055900621118012E-2</v>
      </c>
      <c r="AE1078" s="71">
        <f t="shared" si="261"/>
        <v>830</v>
      </c>
      <c r="AF1078" s="64">
        <f t="shared" si="253"/>
        <v>5.0632911392405063E-2</v>
      </c>
      <c r="AG1078" s="64">
        <f t="shared" si="259"/>
        <v>3.1055900621118012E-2</v>
      </c>
      <c r="AH1078" s="67"/>
      <c r="AI1078" s="47" t="s">
        <v>54</v>
      </c>
      <c r="AJ1078" s="47">
        <v>548.96</v>
      </c>
      <c r="AK1078" s="101" t="s">
        <v>55</v>
      </c>
      <c r="AL1078" s="101" t="s">
        <v>55</v>
      </c>
      <c r="AM1078" s="47" t="s">
        <v>623</v>
      </c>
      <c r="AN1078" s="47">
        <v>830</v>
      </c>
      <c r="AO1078" s="211">
        <f t="shared" si="254"/>
        <v>5.0632911392405063E-2</v>
      </c>
      <c r="AP1078" s="47" t="s">
        <v>57</v>
      </c>
      <c r="AQ1078" s="47" t="s">
        <v>58</v>
      </c>
      <c r="AR1078" s="47"/>
    </row>
    <row r="1079" spans="1:44">
      <c r="A1079" s="47" t="s">
        <v>44</v>
      </c>
      <c r="B1079" s="47" t="str">
        <f t="shared" si="249"/>
        <v>July</v>
      </c>
      <c r="C1079" s="59">
        <v>45493</v>
      </c>
      <c r="D1079" s="47" t="s">
        <v>103</v>
      </c>
      <c r="E1079" s="47" t="s">
        <v>104</v>
      </c>
      <c r="F1079" s="47" t="s">
        <v>105</v>
      </c>
      <c r="G1079" s="91" t="s">
        <v>626</v>
      </c>
      <c r="H1079" s="47" t="s">
        <v>627</v>
      </c>
      <c r="I1079" s="47" t="s">
        <v>50</v>
      </c>
      <c r="J1079" s="47" t="s">
        <v>51</v>
      </c>
      <c r="K1079" s="48">
        <v>44763</v>
      </c>
      <c r="L1079" s="48">
        <v>45128</v>
      </c>
      <c r="M1079" s="48">
        <v>45493</v>
      </c>
      <c r="N1079" s="47" t="s">
        <v>64</v>
      </c>
      <c r="O1079" s="55" t="s">
        <v>53</v>
      </c>
      <c r="P1079" s="62">
        <v>9000</v>
      </c>
      <c r="Q1079" s="62">
        <v>750</v>
      </c>
      <c r="R1079" s="103">
        <v>9000</v>
      </c>
      <c r="S1079" s="62">
        <f t="shared" si="250"/>
        <v>750</v>
      </c>
      <c r="T1079" s="62">
        <v>9480</v>
      </c>
      <c r="U1079" s="62">
        <f t="shared" si="255"/>
        <v>790</v>
      </c>
      <c r="V1079" s="69">
        <v>8700</v>
      </c>
      <c r="W1079" s="71">
        <v>830</v>
      </c>
      <c r="X1079" s="71"/>
      <c r="Y1079" s="71"/>
      <c r="Z1079" s="64">
        <f t="shared" si="251"/>
        <v>5.0632911392405063E-2</v>
      </c>
      <c r="AA1079" s="64">
        <f t="shared" si="257"/>
        <v>0.10666666666666667</v>
      </c>
      <c r="AB1079" s="71">
        <f t="shared" si="260"/>
        <v>830</v>
      </c>
      <c r="AC1079" s="64">
        <f t="shared" si="252"/>
        <v>5.0632911392405063E-2</v>
      </c>
      <c r="AD1079" s="64">
        <f t="shared" si="258"/>
        <v>0.10666666666666667</v>
      </c>
      <c r="AE1079" s="71">
        <f t="shared" si="261"/>
        <v>830</v>
      </c>
      <c r="AF1079" s="64">
        <f t="shared" si="253"/>
        <v>5.0632911392405063E-2</v>
      </c>
      <c r="AG1079" s="64">
        <f t="shared" si="259"/>
        <v>0.10666666666666667</v>
      </c>
      <c r="AH1079" s="67"/>
      <c r="AI1079" s="47" t="s">
        <v>54</v>
      </c>
      <c r="AJ1079" s="47">
        <v>527.42999999999995</v>
      </c>
      <c r="AK1079" s="101" t="s">
        <v>55</v>
      </c>
      <c r="AL1079" s="101" t="s">
        <v>55</v>
      </c>
      <c r="AM1079" s="47" t="s">
        <v>628</v>
      </c>
      <c r="AN1079" s="47">
        <v>830</v>
      </c>
      <c r="AO1079" s="211">
        <f t="shared" si="254"/>
        <v>5.0632911392405063E-2</v>
      </c>
      <c r="AP1079" s="47" t="s">
        <v>57</v>
      </c>
      <c r="AQ1079" s="47" t="s">
        <v>58</v>
      </c>
      <c r="AR1079" s="47"/>
    </row>
    <row r="1080" spans="1:44" hidden="1">
      <c r="A1080" s="47" t="s">
        <v>44</v>
      </c>
      <c r="B1080" s="47" t="str">
        <f t="shared" si="249"/>
        <v>July</v>
      </c>
      <c r="C1080" s="59">
        <v>45485</v>
      </c>
      <c r="D1080" s="47" t="s">
        <v>103</v>
      </c>
      <c r="E1080" s="47" t="s">
        <v>104</v>
      </c>
      <c r="F1080" s="47" t="s">
        <v>105</v>
      </c>
      <c r="G1080" s="91" t="s">
        <v>629</v>
      </c>
      <c r="H1080" s="47" t="s">
        <v>630</v>
      </c>
      <c r="I1080" s="47" t="s">
        <v>50</v>
      </c>
      <c r="J1080" s="47" t="s">
        <v>51</v>
      </c>
      <c r="K1080" s="48">
        <v>45120</v>
      </c>
      <c r="L1080" s="48">
        <v>45120</v>
      </c>
      <c r="M1080" s="48">
        <v>45485</v>
      </c>
      <c r="N1080" s="47" t="s">
        <v>52</v>
      </c>
      <c r="O1080" s="55" t="s">
        <v>53</v>
      </c>
      <c r="P1080" s="62">
        <v>9660</v>
      </c>
      <c r="Q1080" s="62">
        <v>805</v>
      </c>
      <c r="R1080" s="103">
        <v>9660</v>
      </c>
      <c r="S1080" s="62">
        <f t="shared" si="250"/>
        <v>805</v>
      </c>
      <c r="T1080" s="62">
        <v>9600</v>
      </c>
      <c r="U1080" s="62">
        <f t="shared" si="255"/>
        <v>800</v>
      </c>
      <c r="V1080" s="69">
        <v>8100</v>
      </c>
      <c r="W1080" s="71">
        <v>970</v>
      </c>
      <c r="X1080" s="71"/>
      <c r="Y1080" s="71"/>
      <c r="Z1080" s="64">
        <f t="shared" si="251"/>
        <v>0.21249999999999999</v>
      </c>
      <c r="AA1080" s="64">
        <f t="shared" si="257"/>
        <v>0.20496894409937888</v>
      </c>
      <c r="AB1080" s="71">
        <f t="shared" si="260"/>
        <v>970</v>
      </c>
      <c r="AC1080" s="64">
        <f t="shared" si="252"/>
        <v>0.21249999999999999</v>
      </c>
      <c r="AD1080" s="64">
        <f t="shared" si="258"/>
        <v>0.20496894409937888</v>
      </c>
      <c r="AE1080" s="71">
        <f t="shared" si="261"/>
        <v>970</v>
      </c>
      <c r="AF1080" s="64">
        <f t="shared" si="253"/>
        <v>0.21249999999999999</v>
      </c>
      <c r="AG1080" s="64">
        <f t="shared" si="259"/>
        <v>0.20496894409937888</v>
      </c>
      <c r="AH1080" s="67" t="s">
        <v>631</v>
      </c>
      <c r="AI1080" s="47" t="s">
        <v>54</v>
      </c>
      <c r="AJ1080" s="47">
        <v>548.96</v>
      </c>
      <c r="AK1080" s="101" t="s">
        <v>55</v>
      </c>
      <c r="AL1080" s="101" t="s">
        <v>55</v>
      </c>
      <c r="AM1080" s="47" t="s">
        <v>632</v>
      </c>
      <c r="AN1080" s="47"/>
      <c r="AO1080" s="211">
        <f t="shared" si="254"/>
        <v>-1</v>
      </c>
      <c r="AP1080" s="47" t="s">
        <v>57</v>
      </c>
      <c r="AQ1080" s="47" t="s">
        <v>58</v>
      </c>
      <c r="AR1080" s="47"/>
    </row>
    <row r="1081" spans="1:44">
      <c r="A1081" s="47" t="s">
        <v>44</v>
      </c>
      <c r="B1081" s="47" t="str">
        <f t="shared" si="249"/>
        <v>July</v>
      </c>
      <c r="C1081" s="59">
        <v>45487</v>
      </c>
      <c r="D1081" s="47" t="s">
        <v>103</v>
      </c>
      <c r="E1081" s="47" t="s">
        <v>104</v>
      </c>
      <c r="F1081" s="47" t="s">
        <v>105</v>
      </c>
      <c r="G1081" s="91" t="s">
        <v>633</v>
      </c>
      <c r="H1081" s="47" t="s">
        <v>634</v>
      </c>
      <c r="I1081" s="47" t="s">
        <v>50</v>
      </c>
      <c r="J1081" s="47" t="s">
        <v>51</v>
      </c>
      <c r="K1081" s="48">
        <v>43661</v>
      </c>
      <c r="L1081" s="48">
        <v>45122</v>
      </c>
      <c r="M1081" s="48">
        <v>45487</v>
      </c>
      <c r="N1081" s="47" t="s">
        <v>64</v>
      </c>
      <c r="O1081" s="55" t="s">
        <v>53</v>
      </c>
      <c r="P1081" s="62">
        <v>9660</v>
      </c>
      <c r="Q1081" s="62">
        <v>805</v>
      </c>
      <c r="R1081" s="103">
        <v>9660</v>
      </c>
      <c r="S1081" s="62">
        <f t="shared" si="250"/>
        <v>805</v>
      </c>
      <c r="T1081" s="62">
        <v>9420</v>
      </c>
      <c r="U1081" s="62">
        <f t="shared" si="255"/>
        <v>785</v>
      </c>
      <c r="V1081" s="69">
        <v>8580</v>
      </c>
      <c r="W1081" s="71">
        <v>845</v>
      </c>
      <c r="X1081" s="71"/>
      <c r="Y1081" s="71"/>
      <c r="Z1081" s="64">
        <f t="shared" si="251"/>
        <v>7.6433121019108277E-2</v>
      </c>
      <c r="AA1081" s="64">
        <f t="shared" si="257"/>
        <v>4.9689440993788817E-2</v>
      </c>
      <c r="AB1081" s="71">
        <f t="shared" si="260"/>
        <v>845</v>
      </c>
      <c r="AC1081" s="64">
        <f t="shared" si="252"/>
        <v>7.6433121019108277E-2</v>
      </c>
      <c r="AD1081" s="64">
        <f t="shared" si="258"/>
        <v>4.9689440993788817E-2</v>
      </c>
      <c r="AE1081" s="71">
        <f t="shared" si="261"/>
        <v>845</v>
      </c>
      <c r="AF1081" s="64">
        <f t="shared" si="253"/>
        <v>7.6433121019108277E-2</v>
      </c>
      <c r="AG1081" s="64">
        <f t="shared" si="259"/>
        <v>4.9689440993788817E-2</v>
      </c>
      <c r="AH1081" s="67"/>
      <c r="AI1081" s="47" t="s">
        <v>54</v>
      </c>
      <c r="AJ1081" s="47">
        <v>548.96</v>
      </c>
      <c r="AK1081" s="101" t="s">
        <v>55</v>
      </c>
      <c r="AL1081" s="101" t="s">
        <v>55</v>
      </c>
      <c r="AM1081" s="47" t="s">
        <v>635</v>
      </c>
      <c r="AN1081" s="47"/>
      <c r="AO1081" s="211">
        <f t="shared" si="254"/>
        <v>-1</v>
      </c>
      <c r="AP1081" s="47" t="s">
        <v>57</v>
      </c>
      <c r="AQ1081" s="47" t="s">
        <v>58</v>
      </c>
      <c r="AR1081" s="47"/>
    </row>
    <row r="1082" spans="1:44">
      <c r="A1082" s="47" t="s">
        <v>44</v>
      </c>
      <c r="B1082" s="47" t="str">
        <f t="shared" si="249"/>
        <v>July</v>
      </c>
      <c r="C1082" s="59">
        <v>45494</v>
      </c>
      <c r="D1082" s="47" t="s">
        <v>103</v>
      </c>
      <c r="E1082" s="47" t="s">
        <v>104</v>
      </c>
      <c r="F1082" s="47" t="s">
        <v>105</v>
      </c>
      <c r="G1082" s="91" t="s">
        <v>636</v>
      </c>
      <c r="H1082" s="47" t="s">
        <v>637</v>
      </c>
      <c r="I1082" s="47" t="s">
        <v>50</v>
      </c>
      <c r="J1082" s="47" t="s">
        <v>51</v>
      </c>
      <c r="K1082" s="48">
        <v>44034</v>
      </c>
      <c r="L1082" s="48">
        <v>45129</v>
      </c>
      <c r="M1082" s="48">
        <v>45494</v>
      </c>
      <c r="N1082" s="47" t="s">
        <v>64</v>
      </c>
      <c r="O1082" s="55" t="s">
        <v>53</v>
      </c>
      <c r="P1082" s="62">
        <v>11220</v>
      </c>
      <c r="Q1082" s="62">
        <v>935</v>
      </c>
      <c r="R1082" s="103">
        <v>11220</v>
      </c>
      <c r="S1082" s="62">
        <f t="shared" si="250"/>
        <v>935</v>
      </c>
      <c r="T1082" s="62">
        <v>10620</v>
      </c>
      <c r="U1082" s="62">
        <f t="shared" si="255"/>
        <v>885</v>
      </c>
      <c r="V1082" s="69">
        <v>9360</v>
      </c>
      <c r="W1082" s="71">
        <v>960</v>
      </c>
      <c r="X1082" s="71"/>
      <c r="Y1082" s="71"/>
      <c r="Z1082" s="64">
        <f t="shared" si="251"/>
        <v>8.4745762711864403E-2</v>
      </c>
      <c r="AA1082" s="64">
        <f t="shared" si="257"/>
        <v>2.6737967914438502E-2</v>
      </c>
      <c r="AB1082" s="71">
        <f t="shared" si="260"/>
        <v>960</v>
      </c>
      <c r="AC1082" s="64">
        <f t="shared" si="252"/>
        <v>8.4745762711864403E-2</v>
      </c>
      <c r="AD1082" s="64">
        <f t="shared" si="258"/>
        <v>2.6737967914438502E-2</v>
      </c>
      <c r="AE1082" s="71">
        <f t="shared" si="261"/>
        <v>960</v>
      </c>
      <c r="AF1082" s="64">
        <f t="shared" si="253"/>
        <v>8.4745762711864403E-2</v>
      </c>
      <c r="AG1082" s="64">
        <f t="shared" si="259"/>
        <v>2.6737967914438502E-2</v>
      </c>
      <c r="AH1082" s="67" t="s">
        <v>611</v>
      </c>
      <c r="AI1082" s="47" t="s">
        <v>250</v>
      </c>
      <c r="AJ1082" s="47">
        <v>656.6</v>
      </c>
      <c r="AK1082" s="101" t="s">
        <v>65</v>
      </c>
      <c r="AL1082" s="101" t="s">
        <v>55</v>
      </c>
      <c r="AM1082" s="47" t="s">
        <v>638</v>
      </c>
      <c r="AN1082" s="47">
        <v>960</v>
      </c>
      <c r="AO1082" s="211">
        <f t="shared" si="254"/>
        <v>8.4745762711864403E-2</v>
      </c>
      <c r="AP1082" s="47" t="s">
        <v>57</v>
      </c>
      <c r="AQ1082" s="47" t="s">
        <v>58</v>
      </c>
      <c r="AR1082" s="47"/>
    </row>
    <row r="1083" spans="1:44">
      <c r="A1083" s="47" t="s">
        <v>44</v>
      </c>
      <c r="B1083" s="47" t="str">
        <f t="shared" si="249"/>
        <v>July</v>
      </c>
      <c r="C1083" s="59">
        <v>45497</v>
      </c>
      <c r="D1083" s="47" t="s">
        <v>103</v>
      </c>
      <c r="E1083" s="47" t="s">
        <v>104</v>
      </c>
      <c r="F1083" s="47" t="s">
        <v>105</v>
      </c>
      <c r="G1083" s="91" t="s">
        <v>695</v>
      </c>
      <c r="H1083" s="47" t="s">
        <v>696</v>
      </c>
      <c r="I1083" s="47" t="s">
        <v>50</v>
      </c>
      <c r="J1083" s="47" t="s">
        <v>51</v>
      </c>
      <c r="K1083" s="48">
        <v>44767</v>
      </c>
      <c r="L1083" s="48">
        <v>45132</v>
      </c>
      <c r="M1083" s="48">
        <v>45497</v>
      </c>
      <c r="N1083" s="47" t="s">
        <v>64</v>
      </c>
      <c r="O1083" s="55" t="s">
        <v>53</v>
      </c>
      <c r="P1083" s="62">
        <v>9000</v>
      </c>
      <c r="Q1083" s="62">
        <v>750</v>
      </c>
      <c r="R1083" s="103">
        <v>9000</v>
      </c>
      <c r="S1083" s="62">
        <f t="shared" si="250"/>
        <v>750</v>
      </c>
      <c r="T1083" s="62">
        <v>9360</v>
      </c>
      <c r="U1083" s="62">
        <f t="shared" si="255"/>
        <v>780</v>
      </c>
      <c r="V1083" s="69">
        <v>8340</v>
      </c>
      <c r="W1083" s="71">
        <v>820</v>
      </c>
      <c r="X1083" s="71"/>
      <c r="Y1083" s="71"/>
      <c r="Z1083" s="64">
        <f t="shared" si="251"/>
        <v>5.128205128205128E-2</v>
      </c>
      <c r="AA1083" s="64">
        <f t="shared" si="257"/>
        <v>9.3333333333333338E-2</v>
      </c>
      <c r="AB1083" s="71">
        <f t="shared" si="260"/>
        <v>820</v>
      </c>
      <c r="AC1083" s="64">
        <f t="shared" si="252"/>
        <v>5.128205128205128E-2</v>
      </c>
      <c r="AD1083" s="64">
        <f t="shared" si="258"/>
        <v>9.3333333333333338E-2</v>
      </c>
      <c r="AE1083" s="71">
        <f t="shared" si="261"/>
        <v>820</v>
      </c>
      <c r="AF1083" s="64">
        <f t="shared" si="253"/>
        <v>5.128205128205128E-2</v>
      </c>
      <c r="AG1083" s="64">
        <f t="shared" si="259"/>
        <v>9.3333333333333338E-2</v>
      </c>
      <c r="AH1083" s="67"/>
      <c r="AI1083" s="47" t="s">
        <v>54</v>
      </c>
      <c r="AJ1083" s="47">
        <v>527.42999999999995</v>
      </c>
      <c r="AK1083" s="101" t="s">
        <v>55</v>
      </c>
      <c r="AL1083" s="101" t="s">
        <v>55</v>
      </c>
      <c r="AM1083" s="47" t="s">
        <v>697</v>
      </c>
      <c r="AN1083" s="47">
        <v>820</v>
      </c>
      <c r="AO1083" s="211">
        <f t="shared" si="254"/>
        <v>5.128205128205128E-2</v>
      </c>
      <c r="AP1083" s="47" t="s">
        <v>57</v>
      </c>
      <c r="AQ1083" s="47" t="s">
        <v>58</v>
      </c>
      <c r="AR1083" s="47"/>
    </row>
    <row r="1084" spans="1:44" hidden="1">
      <c r="A1084" s="47" t="s">
        <v>44</v>
      </c>
      <c r="B1084" s="47" t="str">
        <f t="shared" si="249"/>
        <v>July</v>
      </c>
      <c r="C1084" s="59">
        <v>45496</v>
      </c>
      <c r="D1084" s="47" t="s">
        <v>103</v>
      </c>
      <c r="E1084" s="47" t="s">
        <v>104</v>
      </c>
      <c r="F1084" s="47" t="s">
        <v>105</v>
      </c>
      <c r="G1084" s="91" t="s">
        <v>698</v>
      </c>
      <c r="H1084" s="47" t="s">
        <v>699</v>
      </c>
      <c r="I1084" s="47" t="s">
        <v>50</v>
      </c>
      <c r="J1084" s="47" t="s">
        <v>51</v>
      </c>
      <c r="K1084" s="48">
        <v>45131</v>
      </c>
      <c r="L1084" s="48">
        <v>45131</v>
      </c>
      <c r="M1084" s="48">
        <v>45496</v>
      </c>
      <c r="N1084" s="47" t="s">
        <v>52</v>
      </c>
      <c r="O1084" s="55" t="s">
        <v>53</v>
      </c>
      <c r="P1084" s="62">
        <v>11220</v>
      </c>
      <c r="Q1084" s="62">
        <v>935</v>
      </c>
      <c r="R1084" s="103">
        <v>11220</v>
      </c>
      <c r="S1084" s="62">
        <f t="shared" si="250"/>
        <v>935</v>
      </c>
      <c r="T1084" s="62">
        <v>11100</v>
      </c>
      <c r="U1084" s="62">
        <f t="shared" si="255"/>
        <v>925</v>
      </c>
      <c r="V1084" s="69">
        <v>10620</v>
      </c>
      <c r="W1084" s="71">
        <v>970</v>
      </c>
      <c r="X1084" s="71"/>
      <c r="Y1084" s="71"/>
      <c r="Z1084" s="64">
        <f t="shared" si="251"/>
        <v>4.8648648648648651E-2</v>
      </c>
      <c r="AA1084" s="64">
        <f t="shared" si="257"/>
        <v>3.7433155080213901E-2</v>
      </c>
      <c r="AB1084" s="71">
        <f t="shared" si="260"/>
        <v>970</v>
      </c>
      <c r="AC1084" s="64">
        <f t="shared" si="252"/>
        <v>4.8648648648648651E-2</v>
      </c>
      <c r="AD1084" s="64">
        <f t="shared" si="258"/>
        <v>3.7433155080213901E-2</v>
      </c>
      <c r="AE1084" s="71">
        <f t="shared" si="261"/>
        <v>970</v>
      </c>
      <c r="AF1084" s="64">
        <f t="shared" si="253"/>
        <v>4.8648648648648651E-2</v>
      </c>
      <c r="AG1084" s="64">
        <f t="shared" si="259"/>
        <v>3.7433155080213901E-2</v>
      </c>
      <c r="AH1084" s="67"/>
      <c r="AI1084" s="47" t="s">
        <v>54</v>
      </c>
      <c r="AJ1084" s="47">
        <v>688.89</v>
      </c>
      <c r="AK1084" s="101" t="s">
        <v>65</v>
      </c>
      <c r="AL1084" s="101" t="s">
        <v>55</v>
      </c>
      <c r="AM1084" s="47" t="s">
        <v>638</v>
      </c>
      <c r="AN1084" s="47"/>
      <c r="AO1084" s="211">
        <f t="shared" si="254"/>
        <v>-1</v>
      </c>
      <c r="AP1084" s="47" t="s">
        <v>57</v>
      </c>
      <c r="AQ1084" s="47" t="s">
        <v>58</v>
      </c>
      <c r="AR1084" s="47"/>
    </row>
    <row r="1085" spans="1:44">
      <c r="A1085" s="47" t="s">
        <v>44</v>
      </c>
      <c r="B1085" s="47" t="str">
        <f t="shared" si="249"/>
        <v>July</v>
      </c>
      <c r="C1085" s="59">
        <v>45498</v>
      </c>
      <c r="D1085" s="47" t="s">
        <v>103</v>
      </c>
      <c r="E1085" s="47" t="s">
        <v>104</v>
      </c>
      <c r="F1085" s="47" t="s">
        <v>105</v>
      </c>
      <c r="G1085" s="91" t="s">
        <v>700</v>
      </c>
      <c r="H1085" s="47" t="s">
        <v>701</v>
      </c>
      <c r="I1085" s="47" t="s">
        <v>50</v>
      </c>
      <c r="J1085" s="47" t="s">
        <v>51</v>
      </c>
      <c r="K1085" s="48">
        <v>43672</v>
      </c>
      <c r="L1085" s="48">
        <v>44768</v>
      </c>
      <c r="M1085" s="48">
        <v>45498</v>
      </c>
      <c r="N1085" s="47" t="s">
        <v>64</v>
      </c>
      <c r="O1085" s="55" t="s">
        <v>53</v>
      </c>
      <c r="P1085" s="62">
        <v>9540</v>
      </c>
      <c r="Q1085" s="62">
        <v>795</v>
      </c>
      <c r="R1085" s="103">
        <v>9540</v>
      </c>
      <c r="S1085" s="62">
        <f t="shared" si="250"/>
        <v>795</v>
      </c>
      <c r="T1085" s="62">
        <v>8880.24</v>
      </c>
      <c r="U1085" s="62">
        <f t="shared" si="255"/>
        <v>740.02</v>
      </c>
      <c r="V1085" s="69">
        <v>8580</v>
      </c>
      <c r="W1085" s="71">
        <v>870</v>
      </c>
      <c r="X1085" s="71"/>
      <c r="Y1085" s="71"/>
      <c r="Z1085" s="64">
        <f t="shared" si="251"/>
        <v>0.17564390151617526</v>
      </c>
      <c r="AA1085" s="64">
        <f t="shared" si="257"/>
        <v>9.4339622641509441E-2</v>
      </c>
      <c r="AB1085" s="71">
        <f t="shared" si="260"/>
        <v>870</v>
      </c>
      <c r="AC1085" s="64">
        <f t="shared" si="252"/>
        <v>0.17564390151617526</v>
      </c>
      <c r="AD1085" s="64">
        <f t="shared" si="258"/>
        <v>9.4339622641509441E-2</v>
      </c>
      <c r="AE1085" s="71">
        <f t="shared" si="261"/>
        <v>870</v>
      </c>
      <c r="AF1085" s="64">
        <f t="shared" si="253"/>
        <v>0.17564390151617526</v>
      </c>
      <c r="AG1085" s="64">
        <f t="shared" si="259"/>
        <v>9.4339622641509441E-2</v>
      </c>
      <c r="AH1085" s="67" t="s">
        <v>631</v>
      </c>
      <c r="AI1085" s="47" t="s">
        <v>54</v>
      </c>
      <c r="AJ1085" s="47">
        <v>538.20000000000005</v>
      </c>
      <c r="AK1085" s="101" t="s">
        <v>55</v>
      </c>
      <c r="AL1085" s="101" t="s">
        <v>55</v>
      </c>
      <c r="AM1085" s="47" t="s">
        <v>702</v>
      </c>
      <c r="AN1085" s="47">
        <v>870</v>
      </c>
      <c r="AO1085" s="211">
        <f t="shared" si="254"/>
        <v>0.17564390151617526</v>
      </c>
      <c r="AP1085" s="47" t="s">
        <v>57</v>
      </c>
      <c r="AQ1085" s="47" t="s">
        <v>58</v>
      </c>
      <c r="AR1085" s="47"/>
    </row>
    <row r="1086" spans="1:44">
      <c r="A1086" s="47" t="s">
        <v>44</v>
      </c>
      <c r="B1086" s="47" t="str">
        <f t="shared" si="249"/>
        <v>July</v>
      </c>
      <c r="C1086" s="59">
        <v>45504</v>
      </c>
      <c r="D1086" s="47" t="s">
        <v>103</v>
      </c>
      <c r="E1086" s="47" t="s">
        <v>104</v>
      </c>
      <c r="F1086" s="47" t="s">
        <v>105</v>
      </c>
      <c r="G1086" s="91" t="s">
        <v>723</v>
      </c>
      <c r="H1086" s="47" t="s">
        <v>724</v>
      </c>
      <c r="I1086" s="47" t="s">
        <v>50</v>
      </c>
      <c r="J1086" s="47" t="s">
        <v>51</v>
      </c>
      <c r="K1086" s="48">
        <v>42976</v>
      </c>
      <c r="L1086" s="48">
        <v>45139</v>
      </c>
      <c r="M1086" s="48">
        <v>45504</v>
      </c>
      <c r="N1086" s="47" t="s">
        <v>64</v>
      </c>
      <c r="O1086" s="55" t="s">
        <v>725</v>
      </c>
      <c r="P1086" s="62">
        <v>9540</v>
      </c>
      <c r="Q1086" s="62">
        <v>795</v>
      </c>
      <c r="R1086" s="103">
        <v>9540</v>
      </c>
      <c r="S1086" s="62">
        <f t="shared" si="250"/>
        <v>795</v>
      </c>
      <c r="T1086" s="62">
        <v>9240</v>
      </c>
      <c r="U1086" s="62">
        <f t="shared" si="255"/>
        <v>770</v>
      </c>
      <c r="V1086" s="69">
        <v>8383.56</v>
      </c>
      <c r="W1086" s="71">
        <v>810</v>
      </c>
      <c r="X1086" s="71"/>
      <c r="Y1086" s="71"/>
      <c r="Z1086" s="64">
        <f t="shared" si="251"/>
        <v>5.1948051948051951E-2</v>
      </c>
      <c r="AA1086" s="64">
        <f t="shared" si="257"/>
        <v>1.8867924528301886E-2</v>
      </c>
      <c r="AB1086" s="71">
        <f t="shared" si="260"/>
        <v>810</v>
      </c>
      <c r="AC1086" s="64">
        <f t="shared" si="252"/>
        <v>5.1948051948051951E-2</v>
      </c>
      <c r="AD1086" s="64">
        <f t="shared" si="258"/>
        <v>1.8867924528301886E-2</v>
      </c>
      <c r="AE1086" s="71">
        <f t="shared" si="261"/>
        <v>810</v>
      </c>
      <c r="AF1086" s="64">
        <f t="shared" si="253"/>
        <v>5.1948051948051951E-2</v>
      </c>
      <c r="AG1086" s="64">
        <f t="shared" si="259"/>
        <v>1.8867924528301886E-2</v>
      </c>
      <c r="AH1086" s="67" t="s">
        <v>631</v>
      </c>
      <c r="AI1086" s="47" t="s">
        <v>54</v>
      </c>
      <c r="AJ1086" s="47">
        <v>538.20000000000005</v>
      </c>
      <c r="AK1086" s="157" t="s">
        <v>55</v>
      </c>
      <c r="AL1086" s="101" t="s">
        <v>55</v>
      </c>
      <c r="AM1086" s="47" t="s">
        <v>726</v>
      </c>
      <c r="AN1086" s="47">
        <v>810</v>
      </c>
      <c r="AO1086" s="211">
        <f t="shared" si="254"/>
        <v>5.1948051948051951E-2</v>
      </c>
      <c r="AP1086" s="47" t="s">
        <v>57</v>
      </c>
      <c r="AQ1086" s="47" t="s">
        <v>58</v>
      </c>
      <c r="AR1086" s="47"/>
    </row>
    <row r="1087" spans="1:44">
      <c r="A1087" s="47" t="s">
        <v>44</v>
      </c>
      <c r="B1087" s="47" t="str">
        <f t="shared" si="249"/>
        <v>July</v>
      </c>
      <c r="C1087" s="59">
        <v>45502</v>
      </c>
      <c r="D1087" s="47" t="s">
        <v>103</v>
      </c>
      <c r="E1087" s="47" t="s">
        <v>104</v>
      </c>
      <c r="F1087" s="47" t="s">
        <v>105</v>
      </c>
      <c r="G1087" s="91" t="s">
        <v>727</v>
      </c>
      <c r="H1087" s="47" t="s">
        <v>728</v>
      </c>
      <c r="I1087" s="47" t="s">
        <v>50</v>
      </c>
      <c r="J1087" s="47" t="s">
        <v>51</v>
      </c>
      <c r="K1087" s="48">
        <v>44408</v>
      </c>
      <c r="L1087" s="48">
        <v>45137</v>
      </c>
      <c r="M1087" s="48">
        <v>45502</v>
      </c>
      <c r="N1087" s="47" t="s">
        <v>64</v>
      </c>
      <c r="O1087" s="55" t="s">
        <v>53</v>
      </c>
      <c r="P1087" s="62">
        <v>6900</v>
      </c>
      <c r="Q1087" s="62">
        <v>575</v>
      </c>
      <c r="R1087" s="103">
        <v>6900</v>
      </c>
      <c r="S1087" s="62">
        <f t="shared" si="250"/>
        <v>575</v>
      </c>
      <c r="T1087" s="62">
        <v>7860</v>
      </c>
      <c r="U1087" s="62">
        <f t="shared" si="255"/>
        <v>655</v>
      </c>
      <c r="V1087" s="69">
        <v>6600</v>
      </c>
      <c r="W1087" s="71">
        <v>685</v>
      </c>
      <c r="X1087" s="71"/>
      <c r="Y1087" s="71"/>
      <c r="Z1087" s="64">
        <f t="shared" si="251"/>
        <v>4.5801526717557252E-2</v>
      </c>
      <c r="AA1087" s="64">
        <f t="shared" si="257"/>
        <v>0.19130434782608696</v>
      </c>
      <c r="AB1087" s="71">
        <f t="shared" si="260"/>
        <v>685</v>
      </c>
      <c r="AC1087" s="64">
        <f t="shared" si="252"/>
        <v>4.5801526717557252E-2</v>
      </c>
      <c r="AD1087" s="64">
        <f t="shared" si="258"/>
        <v>0.19130434782608696</v>
      </c>
      <c r="AE1087" s="71">
        <f t="shared" si="261"/>
        <v>685</v>
      </c>
      <c r="AF1087" s="64">
        <f t="shared" si="253"/>
        <v>4.5801526717557252E-2</v>
      </c>
      <c r="AG1087" s="64">
        <f t="shared" si="259"/>
        <v>0.19130434782608696</v>
      </c>
      <c r="AH1087" s="67"/>
      <c r="AI1087" s="47" t="s">
        <v>54</v>
      </c>
      <c r="AJ1087" s="47">
        <v>344.44</v>
      </c>
      <c r="AK1087" s="101" t="s">
        <v>93</v>
      </c>
      <c r="AL1087" s="101" t="s">
        <v>55</v>
      </c>
      <c r="AM1087" s="47" t="s">
        <v>729</v>
      </c>
      <c r="AN1087" s="47">
        <v>685</v>
      </c>
      <c r="AO1087" s="211">
        <f t="shared" si="254"/>
        <v>4.5801526717557252E-2</v>
      </c>
      <c r="AP1087" s="47" t="s">
        <v>57</v>
      </c>
      <c r="AQ1087" s="47" t="s">
        <v>58</v>
      </c>
      <c r="AR1087" s="47"/>
    </row>
    <row r="1088" spans="1:44">
      <c r="A1088" s="47" t="s">
        <v>44</v>
      </c>
      <c r="B1088" s="47" t="str">
        <f t="shared" si="249"/>
        <v>July</v>
      </c>
      <c r="C1088" s="59">
        <v>45503</v>
      </c>
      <c r="D1088" s="47" t="s">
        <v>103</v>
      </c>
      <c r="E1088" s="47" t="s">
        <v>104</v>
      </c>
      <c r="F1088" s="47" t="s">
        <v>105</v>
      </c>
      <c r="G1088" s="91" t="s">
        <v>730</v>
      </c>
      <c r="H1088" s="47" t="s">
        <v>731</v>
      </c>
      <c r="I1088" s="47" t="s">
        <v>50</v>
      </c>
      <c r="J1088" s="47" t="s">
        <v>51</v>
      </c>
      <c r="K1088" s="48">
        <v>44408</v>
      </c>
      <c r="L1088" s="48">
        <v>45138</v>
      </c>
      <c r="M1088" s="48">
        <v>45503</v>
      </c>
      <c r="N1088" s="47" t="s">
        <v>64</v>
      </c>
      <c r="O1088" s="55" t="s">
        <v>53</v>
      </c>
      <c r="P1088" s="62">
        <v>9660</v>
      </c>
      <c r="Q1088" s="62">
        <v>805</v>
      </c>
      <c r="R1088" s="103">
        <v>9660</v>
      </c>
      <c r="S1088" s="62">
        <f t="shared" si="250"/>
        <v>805</v>
      </c>
      <c r="T1088" s="62">
        <v>9180</v>
      </c>
      <c r="U1088" s="62">
        <f t="shared" si="255"/>
        <v>765</v>
      </c>
      <c r="V1088" s="69">
        <v>8400</v>
      </c>
      <c r="W1088" s="71">
        <v>835</v>
      </c>
      <c r="X1088" s="71"/>
      <c r="Y1088" s="71"/>
      <c r="Z1088" s="64">
        <f t="shared" si="251"/>
        <v>9.1503267973856203E-2</v>
      </c>
      <c r="AA1088" s="64">
        <f t="shared" si="257"/>
        <v>3.7267080745341616E-2</v>
      </c>
      <c r="AB1088" s="71">
        <f t="shared" si="260"/>
        <v>835</v>
      </c>
      <c r="AC1088" s="64">
        <f t="shared" si="252"/>
        <v>9.1503267973856203E-2</v>
      </c>
      <c r="AD1088" s="64">
        <f t="shared" si="258"/>
        <v>3.7267080745341616E-2</v>
      </c>
      <c r="AE1088" s="71">
        <f t="shared" si="261"/>
        <v>835</v>
      </c>
      <c r="AF1088" s="64">
        <f t="shared" si="253"/>
        <v>9.1503267973856203E-2</v>
      </c>
      <c r="AG1088" s="64">
        <f t="shared" si="259"/>
        <v>3.7267080745341616E-2</v>
      </c>
      <c r="AH1088" s="67"/>
      <c r="AI1088" s="47" t="s">
        <v>54</v>
      </c>
      <c r="AJ1088" s="47">
        <v>548.96</v>
      </c>
      <c r="AK1088" s="101" t="s">
        <v>55</v>
      </c>
      <c r="AL1088" s="101" t="s">
        <v>55</v>
      </c>
      <c r="AM1088" s="47" t="s">
        <v>406</v>
      </c>
      <c r="AN1088" s="47"/>
      <c r="AO1088" s="211">
        <f t="shared" si="254"/>
        <v>-1</v>
      </c>
      <c r="AP1088" s="47" t="s">
        <v>57</v>
      </c>
      <c r="AQ1088" s="47" t="s">
        <v>58</v>
      </c>
      <c r="AR1088" s="47"/>
    </row>
    <row r="1089" spans="1:44">
      <c r="A1089" s="47" t="s">
        <v>44</v>
      </c>
      <c r="B1089" s="47" t="str">
        <f t="shared" si="249"/>
        <v>July</v>
      </c>
      <c r="C1089" s="59">
        <v>45485</v>
      </c>
      <c r="D1089" s="47" t="s">
        <v>103</v>
      </c>
      <c r="E1089" s="47" t="s">
        <v>104</v>
      </c>
      <c r="F1089" s="47" t="s">
        <v>105</v>
      </c>
      <c r="G1089" s="91" t="s">
        <v>797</v>
      </c>
      <c r="H1089" s="47" t="s">
        <v>798</v>
      </c>
      <c r="I1089" s="47" t="s">
        <v>50</v>
      </c>
      <c r="J1089" s="47" t="s">
        <v>51</v>
      </c>
      <c r="K1089" s="48">
        <v>43294</v>
      </c>
      <c r="L1089" s="48">
        <v>45120</v>
      </c>
      <c r="M1089" s="48">
        <v>45485</v>
      </c>
      <c r="N1089" s="47" t="s">
        <v>64</v>
      </c>
      <c r="O1089" s="55" t="s">
        <v>53</v>
      </c>
      <c r="P1089" s="62">
        <v>9480</v>
      </c>
      <c r="Q1089" s="62">
        <v>790</v>
      </c>
      <c r="R1089" s="103">
        <v>9480</v>
      </c>
      <c r="S1089" s="62">
        <f t="shared" si="250"/>
        <v>790</v>
      </c>
      <c r="T1089" s="62">
        <v>9420</v>
      </c>
      <c r="U1089" s="62">
        <f t="shared" si="255"/>
        <v>785</v>
      </c>
      <c r="V1089" s="69">
        <v>7920</v>
      </c>
      <c r="W1089" s="71">
        <v>825</v>
      </c>
      <c r="X1089" s="71"/>
      <c r="Y1089" s="71"/>
      <c r="Z1089" s="64">
        <f t="shared" si="251"/>
        <v>5.0955414012738856E-2</v>
      </c>
      <c r="AA1089" s="64">
        <f t="shared" si="257"/>
        <v>4.4303797468354431E-2</v>
      </c>
      <c r="AB1089" s="71">
        <f t="shared" si="260"/>
        <v>825</v>
      </c>
      <c r="AC1089" s="64">
        <f t="shared" si="252"/>
        <v>5.0955414012738856E-2</v>
      </c>
      <c r="AD1089" s="64">
        <f t="shared" si="258"/>
        <v>4.4303797468354431E-2</v>
      </c>
      <c r="AE1089" s="71">
        <f t="shared" si="261"/>
        <v>825</v>
      </c>
      <c r="AF1089" s="64">
        <f t="shared" si="253"/>
        <v>5.0955414012738856E-2</v>
      </c>
      <c r="AG1089" s="64">
        <f t="shared" si="259"/>
        <v>4.4303797468354431E-2</v>
      </c>
      <c r="AH1089" s="67"/>
      <c r="AI1089" s="47" t="s">
        <v>54</v>
      </c>
      <c r="AJ1089" s="47">
        <v>656.6</v>
      </c>
      <c r="AK1089" s="101" t="s">
        <v>55</v>
      </c>
      <c r="AL1089" s="101" t="s">
        <v>55</v>
      </c>
      <c r="AM1089" s="47" t="s">
        <v>799</v>
      </c>
      <c r="AN1089" s="47">
        <v>825</v>
      </c>
      <c r="AO1089" s="211">
        <f t="shared" si="254"/>
        <v>5.0955414012738856E-2</v>
      </c>
      <c r="AP1089" s="47" t="s">
        <v>57</v>
      </c>
      <c r="AQ1089" s="47" t="s">
        <v>58</v>
      </c>
      <c r="AR1089" s="47"/>
    </row>
    <row r="1090" spans="1:44">
      <c r="A1090" s="47" t="s">
        <v>44</v>
      </c>
      <c r="B1090" s="47" t="str">
        <f t="shared" ref="B1090:B1118" si="262">TEXT(C1090,"mmmm")</f>
        <v>July</v>
      </c>
      <c r="C1090" s="59">
        <v>45477</v>
      </c>
      <c r="D1090" s="47" t="s">
        <v>103</v>
      </c>
      <c r="E1090" s="47" t="s">
        <v>104</v>
      </c>
      <c r="F1090" s="47" t="s">
        <v>105</v>
      </c>
      <c r="G1090" s="91" t="s">
        <v>800</v>
      </c>
      <c r="H1090" s="47" t="s">
        <v>801</v>
      </c>
      <c r="I1090" s="47" t="s">
        <v>50</v>
      </c>
      <c r="J1090" s="47" t="s">
        <v>51</v>
      </c>
      <c r="K1090" s="48">
        <v>44747</v>
      </c>
      <c r="L1090" s="48">
        <v>45112</v>
      </c>
      <c r="M1090" s="48">
        <v>45477</v>
      </c>
      <c r="N1090" s="47" t="s">
        <v>64</v>
      </c>
      <c r="O1090" s="55" t="s">
        <v>53</v>
      </c>
      <c r="P1090" s="62">
        <v>9540</v>
      </c>
      <c r="Q1090" s="62">
        <v>795</v>
      </c>
      <c r="R1090" s="103">
        <v>9540</v>
      </c>
      <c r="S1090" s="62">
        <f t="shared" ref="S1090:S1153" si="263">R1090/12</f>
        <v>795</v>
      </c>
      <c r="T1090" s="62">
        <v>9240</v>
      </c>
      <c r="U1090" s="62">
        <f t="shared" si="255"/>
        <v>770</v>
      </c>
      <c r="V1090" s="69">
        <v>8460</v>
      </c>
      <c r="W1090" s="71">
        <v>830</v>
      </c>
      <c r="X1090" s="71"/>
      <c r="Y1090" s="71"/>
      <c r="Z1090" s="64">
        <f t="shared" ref="Z1090:Z1153" si="264">(W1090-U1090)/U1090</f>
        <v>7.792207792207792E-2</v>
      </c>
      <c r="AA1090" s="64">
        <f t="shared" si="257"/>
        <v>4.40251572327044E-2</v>
      </c>
      <c r="AB1090" s="71">
        <f t="shared" si="260"/>
        <v>830</v>
      </c>
      <c r="AC1090" s="64">
        <f t="shared" ref="AC1090:AC1153" si="265">(AB1090-U1090)/U1090</f>
        <v>7.792207792207792E-2</v>
      </c>
      <c r="AD1090" s="64">
        <f t="shared" si="258"/>
        <v>4.40251572327044E-2</v>
      </c>
      <c r="AE1090" s="71">
        <f t="shared" si="261"/>
        <v>830</v>
      </c>
      <c r="AF1090" s="64">
        <f t="shared" ref="AF1090:AF1153" si="266">(AE1090-U1090)/U1090</f>
        <v>7.792207792207792E-2</v>
      </c>
      <c r="AG1090" s="64">
        <f t="shared" si="259"/>
        <v>4.40251572327044E-2</v>
      </c>
      <c r="AH1090" s="67"/>
      <c r="AI1090" s="47" t="s">
        <v>54</v>
      </c>
      <c r="AJ1090" s="47">
        <v>538.20000000000005</v>
      </c>
      <c r="AK1090" s="101" t="s">
        <v>55</v>
      </c>
      <c r="AL1090" s="101" t="s">
        <v>55</v>
      </c>
      <c r="AM1090" s="47" t="s">
        <v>802</v>
      </c>
      <c r="AN1090" s="47"/>
      <c r="AO1090" s="211">
        <f t="shared" ref="AO1090:AO1153" si="267">SUM(AN1090-U1090)/U1090</f>
        <v>-1</v>
      </c>
      <c r="AP1090" s="47" t="s">
        <v>57</v>
      </c>
      <c r="AQ1090" s="47" t="s">
        <v>58</v>
      </c>
      <c r="AR1090" s="47"/>
    </row>
    <row r="1091" spans="1:44">
      <c r="A1091" s="47" t="s">
        <v>44</v>
      </c>
      <c r="B1091" s="47" t="str">
        <f t="shared" si="262"/>
        <v>July</v>
      </c>
      <c r="C1091" s="59">
        <v>45484</v>
      </c>
      <c r="D1091" s="47" t="s">
        <v>103</v>
      </c>
      <c r="E1091" s="47" t="s">
        <v>104</v>
      </c>
      <c r="F1091" s="47" t="s">
        <v>105</v>
      </c>
      <c r="G1091" s="91" t="s">
        <v>803</v>
      </c>
      <c r="H1091" s="47" t="s">
        <v>804</v>
      </c>
      <c r="I1091" s="47" t="s">
        <v>50</v>
      </c>
      <c r="J1091" s="47" t="s">
        <v>51</v>
      </c>
      <c r="K1091" s="48">
        <v>44389</v>
      </c>
      <c r="L1091" s="48">
        <v>44754</v>
      </c>
      <c r="M1091" s="48">
        <v>45484</v>
      </c>
      <c r="N1091" s="47" t="s">
        <v>64</v>
      </c>
      <c r="O1091" s="55" t="s">
        <v>53</v>
      </c>
      <c r="P1091" s="62">
        <v>11340</v>
      </c>
      <c r="Q1091" s="62">
        <v>945</v>
      </c>
      <c r="R1091" s="103">
        <v>11340</v>
      </c>
      <c r="S1091" s="62">
        <f t="shared" si="263"/>
        <v>945</v>
      </c>
      <c r="T1091" s="62">
        <v>9998.16</v>
      </c>
      <c r="U1091" s="62">
        <f t="shared" si="255"/>
        <v>833.18</v>
      </c>
      <c r="V1091" s="69">
        <v>9660</v>
      </c>
      <c r="W1091" s="71">
        <v>818</v>
      </c>
      <c r="X1091" s="71"/>
      <c r="Y1091" s="71"/>
      <c r="Z1091" s="64">
        <f t="shared" si="264"/>
        <v>-1.8219352360834336E-2</v>
      </c>
      <c r="AA1091" s="64">
        <f t="shared" si="257"/>
        <v>-0.1343915343915344</v>
      </c>
      <c r="AB1091" s="71">
        <v>835</v>
      </c>
      <c r="AC1091" s="64">
        <f t="shared" si="265"/>
        <v>2.1844019299551718E-3</v>
      </c>
      <c r="AD1091" s="64">
        <f t="shared" si="258"/>
        <v>-0.1164021164021164</v>
      </c>
      <c r="AE1091" s="71">
        <f t="shared" si="261"/>
        <v>835</v>
      </c>
      <c r="AF1091" s="64">
        <f t="shared" si="266"/>
        <v>2.1844019299551718E-3</v>
      </c>
      <c r="AG1091" s="64">
        <f t="shared" si="259"/>
        <v>-0.1164021164021164</v>
      </c>
      <c r="AH1091" s="67"/>
      <c r="AI1091" s="47" t="s">
        <v>54</v>
      </c>
      <c r="AJ1091" s="47">
        <v>710.42</v>
      </c>
      <c r="AK1091" s="101" t="s">
        <v>65</v>
      </c>
      <c r="AL1091" s="101" t="s">
        <v>55</v>
      </c>
      <c r="AM1091" s="47" t="s">
        <v>805</v>
      </c>
      <c r="AN1091" s="47"/>
      <c r="AO1091" s="211">
        <f t="shared" si="267"/>
        <v>-1</v>
      </c>
      <c r="AP1091" s="47" t="s">
        <v>57</v>
      </c>
      <c r="AQ1091" s="47" t="s">
        <v>58</v>
      </c>
      <c r="AR1091" s="47"/>
    </row>
    <row r="1092" spans="1:44">
      <c r="A1092" s="47" t="s">
        <v>44</v>
      </c>
      <c r="B1092" s="47" t="str">
        <f t="shared" si="262"/>
        <v>July</v>
      </c>
      <c r="C1092" s="59">
        <v>45481</v>
      </c>
      <c r="D1092" s="47" t="s">
        <v>103</v>
      </c>
      <c r="E1092" s="47" t="s">
        <v>104</v>
      </c>
      <c r="F1092" s="47" t="s">
        <v>105</v>
      </c>
      <c r="G1092" s="91" t="s">
        <v>806</v>
      </c>
      <c r="H1092" s="47" t="s">
        <v>807</v>
      </c>
      <c r="I1092" s="47" t="s">
        <v>50</v>
      </c>
      <c r="J1092" s="47" t="s">
        <v>51</v>
      </c>
      <c r="K1092" s="48">
        <v>43839</v>
      </c>
      <c r="L1092" s="48">
        <v>45116</v>
      </c>
      <c r="M1092" s="48">
        <v>45481</v>
      </c>
      <c r="N1092" s="47" t="s">
        <v>64</v>
      </c>
      <c r="O1092" s="55" t="s">
        <v>53</v>
      </c>
      <c r="P1092" s="62">
        <v>11340</v>
      </c>
      <c r="Q1092" s="62">
        <v>945</v>
      </c>
      <c r="R1092" s="103">
        <v>11340</v>
      </c>
      <c r="S1092" s="62">
        <f t="shared" si="263"/>
        <v>945</v>
      </c>
      <c r="T1092" s="62">
        <v>11280</v>
      </c>
      <c r="U1092" s="62">
        <f t="shared" si="255"/>
        <v>940</v>
      </c>
      <c r="V1092" s="69">
        <v>9660</v>
      </c>
      <c r="W1092" s="71">
        <v>985</v>
      </c>
      <c r="X1092" s="71"/>
      <c r="Y1092" s="71"/>
      <c r="Z1092" s="64">
        <f t="shared" si="264"/>
        <v>4.7872340425531915E-2</v>
      </c>
      <c r="AA1092" s="64">
        <f t="shared" si="257"/>
        <v>4.2328042328042326E-2</v>
      </c>
      <c r="AB1092" s="71">
        <f t="shared" ref="AB1092:AB1097" si="268">W1092</f>
        <v>985</v>
      </c>
      <c r="AC1092" s="64">
        <f t="shared" si="265"/>
        <v>4.7872340425531915E-2</v>
      </c>
      <c r="AD1092" s="64">
        <f t="shared" si="258"/>
        <v>4.2328042328042326E-2</v>
      </c>
      <c r="AE1092" s="71">
        <f t="shared" si="261"/>
        <v>985</v>
      </c>
      <c r="AF1092" s="64">
        <f t="shared" si="266"/>
        <v>4.7872340425531915E-2</v>
      </c>
      <c r="AG1092" s="64">
        <f t="shared" si="259"/>
        <v>4.2328042328042326E-2</v>
      </c>
      <c r="AH1092" s="67"/>
      <c r="AI1092" s="47" t="s">
        <v>54</v>
      </c>
      <c r="AJ1092" s="47">
        <v>710.42</v>
      </c>
      <c r="AK1092" s="101" t="s">
        <v>65</v>
      </c>
      <c r="AL1092" s="101" t="s">
        <v>55</v>
      </c>
      <c r="AM1092" s="47" t="s">
        <v>464</v>
      </c>
      <c r="AN1092" s="47">
        <v>985</v>
      </c>
      <c r="AO1092" s="211">
        <f t="shared" si="267"/>
        <v>4.7872340425531915E-2</v>
      </c>
      <c r="AP1092" s="47" t="s">
        <v>57</v>
      </c>
      <c r="AQ1092" s="47" t="s">
        <v>58</v>
      </c>
      <c r="AR1092" s="47"/>
    </row>
    <row r="1093" spans="1:44" hidden="1">
      <c r="A1093" s="47" t="s">
        <v>44</v>
      </c>
      <c r="B1093" s="47" t="str">
        <f t="shared" si="262"/>
        <v>July</v>
      </c>
      <c r="C1093" s="59">
        <v>45475</v>
      </c>
      <c r="D1093" s="47" t="s">
        <v>103</v>
      </c>
      <c r="E1093" s="47" t="s">
        <v>104</v>
      </c>
      <c r="F1093" s="47" t="s">
        <v>105</v>
      </c>
      <c r="G1093" s="91" t="s">
        <v>808</v>
      </c>
      <c r="H1093" s="47" t="s">
        <v>809</v>
      </c>
      <c r="I1093" s="47" t="s">
        <v>50</v>
      </c>
      <c r="J1093" s="47" t="s">
        <v>51</v>
      </c>
      <c r="K1093" s="48">
        <v>45110</v>
      </c>
      <c r="L1093" s="48">
        <v>45110</v>
      </c>
      <c r="M1093" s="48">
        <v>45475</v>
      </c>
      <c r="N1093" s="47" t="s">
        <v>52</v>
      </c>
      <c r="O1093" s="55" t="s">
        <v>53</v>
      </c>
      <c r="P1093" s="62">
        <v>11340</v>
      </c>
      <c r="Q1093" s="62">
        <v>945</v>
      </c>
      <c r="R1093" s="103">
        <v>11340</v>
      </c>
      <c r="S1093" s="62">
        <f t="shared" si="263"/>
        <v>945</v>
      </c>
      <c r="T1093" s="62">
        <v>10980</v>
      </c>
      <c r="U1093" s="62">
        <f t="shared" si="255"/>
        <v>915</v>
      </c>
      <c r="V1093" s="69">
        <v>10140</v>
      </c>
      <c r="W1093" s="71">
        <v>960</v>
      </c>
      <c r="X1093" s="71"/>
      <c r="Y1093" s="71"/>
      <c r="Z1093" s="64">
        <f t="shared" si="264"/>
        <v>4.9180327868852458E-2</v>
      </c>
      <c r="AA1093" s="64">
        <f t="shared" si="257"/>
        <v>1.5873015873015872E-2</v>
      </c>
      <c r="AB1093" s="71">
        <f t="shared" si="268"/>
        <v>960</v>
      </c>
      <c r="AC1093" s="64">
        <f t="shared" si="265"/>
        <v>4.9180327868852458E-2</v>
      </c>
      <c r="AD1093" s="64">
        <f t="shared" si="258"/>
        <v>1.5873015873015872E-2</v>
      </c>
      <c r="AE1093" s="71">
        <f t="shared" si="261"/>
        <v>960</v>
      </c>
      <c r="AF1093" s="64">
        <f t="shared" si="266"/>
        <v>4.9180327868852458E-2</v>
      </c>
      <c r="AG1093" s="64">
        <f t="shared" si="259"/>
        <v>1.5873015873015872E-2</v>
      </c>
      <c r="AH1093" s="67"/>
      <c r="AI1093" s="47" t="s">
        <v>54</v>
      </c>
      <c r="AJ1093" s="47">
        <v>775</v>
      </c>
      <c r="AK1093" s="101" t="s">
        <v>65</v>
      </c>
      <c r="AL1093" s="101" t="s">
        <v>55</v>
      </c>
      <c r="AM1093" s="47" t="s">
        <v>810</v>
      </c>
      <c r="AN1093" s="47"/>
      <c r="AO1093" s="211">
        <f t="shared" si="267"/>
        <v>-1</v>
      </c>
      <c r="AP1093" s="47" t="s">
        <v>57</v>
      </c>
      <c r="AQ1093" s="47" t="s">
        <v>58</v>
      </c>
      <c r="AR1093" s="47"/>
    </row>
    <row r="1094" spans="1:44" hidden="1">
      <c r="A1094" s="47" t="s">
        <v>44</v>
      </c>
      <c r="B1094" s="47" t="str">
        <f t="shared" si="262"/>
        <v>July</v>
      </c>
      <c r="C1094" s="59">
        <v>45482</v>
      </c>
      <c r="D1094" s="47" t="s">
        <v>103</v>
      </c>
      <c r="E1094" s="47" t="s">
        <v>104</v>
      </c>
      <c r="F1094" s="47" t="s">
        <v>105</v>
      </c>
      <c r="G1094" s="91" t="s">
        <v>811</v>
      </c>
      <c r="H1094" s="47" t="s">
        <v>812</v>
      </c>
      <c r="I1094" s="47" t="s">
        <v>50</v>
      </c>
      <c r="J1094" s="47" t="s">
        <v>51</v>
      </c>
      <c r="K1094" s="48">
        <v>45117</v>
      </c>
      <c r="L1094" s="48">
        <v>45117</v>
      </c>
      <c r="M1094" s="48">
        <v>45482</v>
      </c>
      <c r="N1094" s="47" t="s">
        <v>52</v>
      </c>
      <c r="O1094" s="55" t="s">
        <v>53</v>
      </c>
      <c r="P1094" s="62">
        <v>6900</v>
      </c>
      <c r="Q1094" s="62">
        <v>575</v>
      </c>
      <c r="R1094" s="103">
        <v>6900</v>
      </c>
      <c r="S1094" s="62">
        <f t="shared" si="263"/>
        <v>575</v>
      </c>
      <c r="T1094" s="62">
        <v>7560</v>
      </c>
      <c r="U1094" s="62">
        <f t="shared" ref="U1094:U1097" si="269">T1094/12</f>
        <v>630</v>
      </c>
      <c r="V1094" s="69">
        <v>6540</v>
      </c>
      <c r="W1094" s="71">
        <v>665</v>
      </c>
      <c r="X1094" s="71"/>
      <c r="Y1094" s="71"/>
      <c r="Z1094" s="64">
        <f t="shared" si="264"/>
        <v>5.5555555555555552E-2</v>
      </c>
      <c r="AA1094" s="64">
        <f t="shared" si="257"/>
        <v>0.15652173913043479</v>
      </c>
      <c r="AB1094" s="71">
        <f t="shared" si="268"/>
        <v>665</v>
      </c>
      <c r="AC1094" s="64">
        <f t="shared" si="265"/>
        <v>5.5555555555555552E-2</v>
      </c>
      <c r="AD1094" s="64">
        <f t="shared" si="258"/>
        <v>0.15652173913043479</v>
      </c>
      <c r="AE1094" s="71">
        <f t="shared" si="261"/>
        <v>665</v>
      </c>
      <c r="AF1094" s="64">
        <f t="shared" si="266"/>
        <v>5.5555555555555552E-2</v>
      </c>
      <c r="AG1094" s="64">
        <f t="shared" si="259"/>
        <v>0.15652173913043479</v>
      </c>
      <c r="AH1094" s="67"/>
      <c r="AI1094" s="47" t="s">
        <v>54</v>
      </c>
      <c r="AJ1094" s="47">
        <v>344.44</v>
      </c>
      <c r="AK1094" s="101" t="s">
        <v>93</v>
      </c>
      <c r="AL1094" s="101" t="s">
        <v>55</v>
      </c>
      <c r="AM1094" s="47" t="s">
        <v>813</v>
      </c>
      <c r="AN1094" s="47">
        <v>665</v>
      </c>
      <c r="AO1094" s="211">
        <f t="shared" si="267"/>
        <v>5.5555555555555552E-2</v>
      </c>
      <c r="AP1094" s="47" t="s">
        <v>57</v>
      </c>
      <c r="AQ1094" s="47" t="s">
        <v>58</v>
      </c>
      <c r="AR1094" s="47"/>
    </row>
    <row r="1095" spans="1:44" hidden="1">
      <c r="A1095" s="47" t="s">
        <v>44</v>
      </c>
      <c r="B1095" s="47" t="str">
        <f t="shared" si="262"/>
        <v>July</v>
      </c>
      <c r="C1095" s="59">
        <v>45479</v>
      </c>
      <c r="D1095" s="47" t="s">
        <v>103</v>
      </c>
      <c r="E1095" s="47" t="s">
        <v>104</v>
      </c>
      <c r="F1095" s="47" t="s">
        <v>105</v>
      </c>
      <c r="G1095" s="91" t="s">
        <v>814</v>
      </c>
      <c r="H1095" s="47" t="s">
        <v>815</v>
      </c>
      <c r="I1095" s="47" t="s">
        <v>50</v>
      </c>
      <c r="J1095" s="47" t="s">
        <v>51</v>
      </c>
      <c r="K1095" s="48">
        <v>45114</v>
      </c>
      <c r="L1095" s="48">
        <v>45114</v>
      </c>
      <c r="M1095" s="48">
        <v>45479</v>
      </c>
      <c r="N1095" s="47" t="s">
        <v>52</v>
      </c>
      <c r="O1095" s="55" t="s">
        <v>53</v>
      </c>
      <c r="P1095" s="62">
        <v>9660</v>
      </c>
      <c r="Q1095" s="62">
        <v>805</v>
      </c>
      <c r="R1095" s="103">
        <v>9660</v>
      </c>
      <c r="S1095" s="62">
        <f t="shared" si="263"/>
        <v>805</v>
      </c>
      <c r="T1095" s="62">
        <v>9480</v>
      </c>
      <c r="U1095" s="62">
        <f t="shared" si="269"/>
        <v>790</v>
      </c>
      <c r="V1095" s="69">
        <v>7920</v>
      </c>
      <c r="W1095" s="71">
        <v>830</v>
      </c>
      <c r="X1095" s="71"/>
      <c r="Y1095" s="71"/>
      <c r="Z1095" s="64">
        <f t="shared" si="264"/>
        <v>5.0632911392405063E-2</v>
      </c>
      <c r="AA1095" s="64">
        <f t="shared" si="257"/>
        <v>3.1055900621118012E-2</v>
      </c>
      <c r="AB1095" s="71">
        <f t="shared" si="268"/>
        <v>830</v>
      </c>
      <c r="AC1095" s="64">
        <f t="shared" si="265"/>
        <v>5.0632911392405063E-2</v>
      </c>
      <c r="AD1095" s="64">
        <f t="shared" si="258"/>
        <v>3.1055900621118012E-2</v>
      </c>
      <c r="AE1095" s="71">
        <f t="shared" si="261"/>
        <v>830</v>
      </c>
      <c r="AF1095" s="64">
        <f t="shared" si="266"/>
        <v>5.0632911392405063E-2</v>
      </c>
      <c r="AG1095" s="64">
        <f t="shared" si="259"/>
        <v>3.1055900621118012E-2</v>
      </c>
      <c r="AH1095" s="67"/>
      <c r="AI1095" s="47" t="s">
        <v>54</v>
      </c>
      <c r="AJ1095" s="47">
        <v>548.96</v>
      </c>
      <c r="AK1095" s="101" t="s">
        <v>55</v>
      </c>
      <c r="AL1095" s="101" t="s">
        <v>55</v>
      </c>
      <c r="AM1095" s="47" t="s">
        <v>726</v>
      </c>
      <c r="AN1095" s="47"/>
      <c r="AO1095" s="211">
        <f t="shared" si="267"/>
        <v>-1</v>
      </c>
      <c r="AP1095" s="47" t="s">
        <v>57</v>
      </c>
      <c r="AQ1095" s="47" t="s">
        <v>58</v>
      </c>
      <c r="AR1095" s="47"/>
    </row>
    <row r="1096" spans="1:44" hidden="1">
      <c r="A1096" s="47" t="s">
        <v>44</v>
      </c>
      <c r="B1096" s="47" t="str">
        <f t="shared" si="262"/>
        <v>July</v>
      </c>
      <c r="C1096" s="59">
        <v>45476</v>
      </c>
      <c r="D1096" s="47" t="s">
        <v>103</v>
      </c>
      <c r="E1096" s="47" t="s">
        <v>104</v>
      </c>
      <c r="F1096" s="47" t="s">
        <v>105</v>
      </c>
      <c r="G1096" s="91" t="s">
        <v>816</v>
      </c>
      <c r="H1096" s="47" t="s">
        <v>817</v>
      </c>
      <c r="I1096" s="47" t="s">
        <v>50</v>
      </c>
      <c r="J1096" s="47" t="s">
        <v>51</v>
      </c>
      <c r="K1096" s="48">
        <v>45111</v>
      </c>
      <c r="L1096" s="48">
        <v>45111</v>
      </c>
      <c r="M1096" s="48">
        <v>45476</v>
      </c>
      <c r="N1096" s="47" t="s">
        <v>52</v>
      </c>
      <c r="O1096" s="55" t="s">
        <v>53</v>
      </c>
      <c r="P1096" s="62">
        <v>9480</v>
      </c>
      <c r="Q1096" s="62">
        <v>790</v>
      </c>
      <c r="R1096" s="103">
        <v>9480</v>
      </c>
      <c r="S1096" s="62">
        <f t="shared" si="263"/>
        <v>790</v>
      </c>
      <c r="T1096" s="62">
        <v>9780</v>
      </c>
      <c r="U1096" s="62">
        <f t="shared" si="269"/>
        <v>815</v>
      </c>
      <c r="V1096" s="69">
        <v>8400</v>
      </c>
      <c r="W1096" s="71">
        <v>860</v>
      </c>
      <c r="X1096" s="71"/>
      <c r="Y1096" s="71"/>
      <c r="Z1096" s="64">
        <f t="shared" si="264"/>
        <v>5.5214723926380369E-2</v>
      </c>
      <c r="AA1096" s="64">
        <f t="shared" si="257"/>
        <v>8.8607594936708861E-2</v>
      </c>
      <c r="AB1096" s="71">
        <f t="shared" si="268"/>
        <v>860</v>
      </c>
      <c r="AC1096" s="64">
        <f t="shared" si="265"/>
        <v>5.5214723926380369E-2</v>
      </c>
      <c r="AD1096" s="64">
        <f t="shared" si="258"/>
        <v>8.8607594936708861E-2</v>
      </c>
      <c r="AE1096" s="71">
        <f t="shared" si="261"/>
        <v>860</v>
      </c>
      <c r="AF1096" s="64">
        <f t="shared" si="266"/>
        <v>5.5214723926380369E-2</v>
      </c>
      <c r="AG1096" s="64">
        <f t="shared" si="259"/>
        <v>8.8607594936708861E-2</v>
      </c>
      <c r="AH1096" s="67"/>
      <c r="AI1096" s="47" t="s">
        <v>54</v>
      </c>
      <c r="AJ1096" s="47">
        <v>624.30999999999995</v>
      </c>
      <c r="AK1096" s="101" t="s">
        <v>55</v>
      </c>
      <c r="AL1096" s="101" t="s">
        <v>55</v>
      </c>
      <c r="AM1096" s="47" t="s">
        <v>818</v>
      </c>
      <c r="AN1096" s="47"/>
      <c r="AO1096" s="211">
        <f t="shared" si="267"/>
        <v>-1</v>
      </c>
      <c r="AP1096" s="47" t="s">
        <v>57</v>
      </c>
      <c r="AQ1096" s="47" t="s">
        <v>58</v>
      </c>
      <c r="AR1096" s="47"/>
    </row>
    <row r="1097" spans="1:44">
      <c r="A1097" s="47" t="s">
        <v>44</v>
      </c>
      <c r="B1097" s="47" t="str">
        <f t="shared" si="262"/>
        <v>July</v>
      </c>
      <c r="C1097" s="59">
        <v>45477</v>
      </c>
      <c r="D1097" s="47" t="s">
        <v>103</v>
      </c>
      <c r="E1097" s="47" t="s">
        <v>104</v>
      </c>
      <c r="F1097" s="47" t="s">
        <v>105</v>
      </c>
      <c r="G1097" s="91" t="s">
        <v>819</v>
      </c>
      <c r="H1097" s="47" t="s">
        <v>820</v>
      </c>
      <c r="I1097" s="47" t="s">
        <v>50</v>
      </c>
      <c r="J1097" s="47" t="s">
        <v>51</v>
      </c>
      <c r="K1097" s="48">
        <v>44382</v>
      </c>
      <c r="L1097" s="48">
        <v>45112</v>
      </c>
      <c r="M1097" s="48">
        <v>45477</v>
      </c>
      <c r="N1097" s="47" t="s">
        <v>64</v>
      </c>
      <c r="O1097" s="55" t="s">
        <v>53</v>
      </c>
      <c r="P1097" s="62">
        <v>11220</v>
      </c>
      <c r="Q1097" s="62">
        <v>935</v>
      </c>
      <c r="R1097" s="103">
        <v>11220</v>
      </c>
      <c r="S1097" s="62">
        <f t="shared" si="263"/>
        <v>935</v>
      </c>
      <c r="T1097" s="62">
        <v>10800</v>
      </c>
      <c r="U1097" s="62">
        <f t="shared" si="269"/>
        <v>900</v>
      </c>
      <c r="V1097" s="69">
        <v>9660</v>
      </c>
      <c r="W1097" s="71">
        <v>955</v>
      </c>
      <c r="X1097" s="71"/>
      <c r="Y1097" s="71"/>
      <c r="Z1097" s="64">
        <f t="shared" si="264"/>
        <v>6.1111111111111109E-2</v>
      </c>
      <c r="AA1097" s="64">
        <f t="shared" si="257"/>
        <v>2.1390374331550801E-2</v>
      </c>
      <c r="AB1097" s="71">
        <f t="shared" si="268"/>
        <v>955</v>
      </c>
      <c r="AC1097" s="64">
        <f t="shared" si="265"/>
        <v>6.1111111111111109E-2</v>
      </c>
      <c r="AD1097" s="64">
        <f t="shared" si="258"/>
        <v>2.1390374331550801E-2</v>
      </c>
      <c r="AE1097" s="71">
        <f t="shared" si="261"/>
        <v>955</v>
      </c>
      <c r="AF1097" s="64">
        <f t="shared" si="266"/>
        <v>6.1111111111111109E-2</v>
      </c>
      <c r="AG1097" s="64">
        <f t="shared" si="259"/>
        <v>2.1390374331550801E-2</v>
      </c>
      <c r="AH1097" s="67"/>
      <c r="AI1097" s="47" t="s">
        <v>54</v>
      </c>
      <c r="AJ1097" s="47">
        <v>656.6</v>
      </c>
      <c r="AK1097" s="101" t="s">
        <v>65</v>
      </c>
      <c r="AL1097" s="101" t="s">
        <v>55</v>
      </c>
      <c r="AM1097" s="47" t="s">
        <v>821</v>
      </c>
      <c r="AN1097" s="47"/>
      <c r="AO1097" s="211">
        <f t="shared" si="267"/>
        <v>-1</v>
      </c>
      <c r="AP1097" s="47" t="s">
        <v>57</v>
      </c>
      <c r="AQ1097" s="47" t="s">
        <v>58</v>
      </c>
      <c r="AR1097" s="47"/>
    </row>
    <row r="1098" spans="1:44">
      <c r="A1098" s="47"/>
      <c r="B1098" s="47" t="str">
        <f t="shared" si="262"/>
        <v>December</v>
      </c>
      <c r="C1098" s="59">
        <v>45633</v>
      </c>
      <c r="D1098" s="47" t="s">
        <v>103</v>
      </c>
      <c r="E1098" s="47" t="s">
        <v>104</v>
      </c>
      <c r="F1098" s="47"/>
      <c r="G1098" s="91" t="s">
        <v>840</v>
      </c>
      <c r="H1098" s="47"/>
      <c r="I1098" s="47" t="s">
        <v>841</v>
      </c>
      <c r="J1098" s="47"/>
      <c r="K1098" s="47"/>
      <c r="L1098" s="47"/>
      <c r="M1098" s="47"/>
      <c r="N1098" s="47"/>
      <c r="O1098" s="55" t="s">
        <v>53</v>
      </c>
      <c r="P1098" s="62">
        <v>6900</v>
      </c>
      <c r="Q1098" s="62">
        <v>575</v>
      </c>
      <c r="R1098" s="103">
        <v>6900</v>
      </c>
      <c r="S1098" s="62">
        <f t="shared" si="263"/>
        <v>575</v>
      </c>
      <c r="T1098" s="55"/>
      <c r="U1098" s="62">
        <v>625</v>
      </c>
      <c r="V1098" s="69"/>
      <c r="W1098" s="71">
        <v>680</v>
      </c>
      <c r="X1098" s="71"/>
      <c r="Y1098" s="71"/>
      <c r="Z1098" s="90">
        <f t="shared" si="264"/>
        <v>8.7999999999999995E-2</v>
      </c>
      <c r="AA1098" s="90">
        <f t="shared" si="257"/>
        <v>0.18260869565217391</v>
      </c>
      <c r="AB1098" s="71">
        <v>680</v>
      </c>
      <c r="AC1098" s="90">
        <f t="shared" si="265"/>
        <v>8.7999999999999995E-2</v>
      </c>
      <c r="AD1098" s="90">
        <f t="shared" si="258"/>
        <v>0.18260869565217391</v>
      </c>
      <c r="AE1098" s="71">
        <v>660</v>
      </c>
      <c r="AF1098" s="90">
        <f t="shared" si="266"/>
        <v>5.6000000000000001E-2</v>
      </c>
      <c r="AG1098" s="90">
        <f t="shared" si="259"/>
        <v>0.14782608695652175</v>
      </c>
      <c r="AH1098" s="67"/>
      <c r="AI1098" s="47"/>
      <c r="AJ1098" s="47" t="s">
        <v>842</v>
      </c>
      <c r="AK1098" s="47">
        <v>0</v>
      </c>
      <c r="AL1098" s="47">
        <v>1</v>
      </c>
      <c r="AM1098" s="47" t="s">
        <v>843</v>
      </c>
      <c r="AN1098" s="47">
        <v>680</v>
      </c>
      <c r="AO1098" s="211">
        <f t="shared" si="267"/>
        <v>8.7999999999999995E-2</v>
      </c>
      <c r="AP1098" s="47" t="s">
        <v>57</v>
      </c>
      <c r="AQ1098" s="47" t="s">
        <v>58</v>
      </c>
      <c r="AR1098" s="47"/>
    </row>
    <row r="1099" spans="1:44">
      <c r="A1099" s="47" t="s">
        <v>44</v>
      </c>
      <c r="B1099" s="47" t="str">
        <f t="shared" si="262"/>
        <v>August</v>
      </c>
      <c r="C1099" s="59">
        <v>45509</v>
      </c>
      <c r="D1099" s="47" t="s">
        <v>103</v>
      </c>
      <c r="E1099" s="47" t="s">
        <v>104</v>
      </c>
      <c r="F1099" s="47" t="s">
        <v>105</v>
      </c>
      <c r="G1099" s="94" t="s">
        <v>1129</v>
      </c>
      <c r="H1099" s="47" t="s">
        <v>1130</v>
      </c>
      <c r="I1099" s="47" t="s">
        <v>50</v>
      </c>
      <c r="J1099" s="47" t="s">
        <v>51</v>
      </c>
      <c r="K1099" s="48">
        <v>44049</v>
      </c>
      <c r="L1099" s="48">
        <v>45144</v>
      </c>
      <c r="M1099" s="48">
        <v>45509</v>
      </c>
      <c r="N1099" s="47" t="s">
        <v>64</v>
      </c>
      <c r="O1099" s="55" t="s">
        <v>53</v>
      </c>
      <c r="P1099" s="62">
        <v>9660</v>
      </c>
      <c r="Q1099" s="62">
        <v>805</v>
      </c>
      <c r="R1099" s="103">
        <v>9660</v>
      </c>
      <c r="S1099" s="62">
        <f t="shared" si="263"/>
        <v>805</v>
      </c>
      <c r="T1099" s="62">
        <v>9360</v>
      </c>
      <c r="U1099" s="62">
        <f t="shared" ref="U1099:U1130" si="270">T1099/12</f>
        <v>780</v>
      </c>
      <c r="V1099" s="69">
        <v>8760</v>
      </c>
      <c r="W1099" s="71">
        <v>835</v>
      </c>
      <c r="X1099" s="71"/>
      <c r="Y1099" s="71"/>
      <c r="Z1099" s="64">
        <f t="shared" si="264"/>
        <v>7.0512820512820512E-2</v>
      </c>
      <c r="AA1099" s="64">
        <f t="shared" si="257"/>
        <v>3.7267080745341616E-2</v>
      </c>
      <c r="AB1099" s="71">
        <f t="shared" ref="AB1099:AB1109" si="271">W1099</f>
        <v>835</v>
      </c>
      <c r="AC1099" s="64">
        <f t="shared" si="265"/>
        <v>7.0512820512820512E-2</v>
      </c>
      <c r="AD1099" s="64">
        <f t="shared" si="258"/>
        <v>3.7267080745341616E-2</v>
      </c>
      <c r="AE1099" s="71">
        <f t="shared" ref="AE1099:AE1122" si="272">AB1099</f>
        <v>835</v>
      </c>
      <c r="AF1099" s="64">
        <f t="shared" si="266"/>
        <v>7.0512820512820512E-2</v>
      </c>
      <c r="AG1099" s="64">
        <f t="shared" si="259"/>
        <v>3.7267080745341616E-2</v>
      </c>
      <c r="AH1099" s="67"/>
      <c r="AI1099" s="47" t="s">
        <v>54</v>
      </c>
      <c r="AJ1099" s="47">
        <v>548.96</v>
      </c>
      <c r="AK1099" s="55" t="s">
        <v>55</v>
      </c>
      <c r="AL1099" s="55" t="s">
        <v>55</v>
      </c>
      <c r="AM1099" s="47" t="s">
        <v>1131</v>
      </c>
      <c r="AN1099" s="47"/>
      <c r="AO1099" s="211">
        <f t="shared" si="267"/>
        <v>-1</v>
      </c>
      <c r="AP1099" s="47" t="s">
        <v>57</v>
      </c>
      <c r="AQ1099" s="47" t="s">
        <v>1132</v>
      </c>
      <c r="AR1099" s="47"/>
    </row>
    <row r="1100" spans="1:44" hidden="1">
      <c r="A1100" s="47" t="s">
        <v>44</v>
      </c>
      <c r="B1100" s="47" t="str">
        <f t="shared" si="262"/>
        <v>August</v>
      </c>
      <c r="C1100" s="59">
        <v>45510</v>
      </c>
      <c r="D1100" s="47" t="s">
        <v>103</v>
      </c>
      <c r="E1100" s="47" t="s">
        <v>104</v>
      </c>
      <c r="F1100" s="47" t="s">
        <v>105</v>
      </c>
      <c r="G1100" s="94" t="s">
        <v>1200</v>
      </c>
      <c r="H1100" s="47" t="s">
        <v>1201</v>
      </c>
      <c r="I1100" s="47" t="s">
        <v>50</v>
      </c>
      <c r="J1100" s="47" t="s">
        <v>51</v>
      </c>
      <c r="K1100" s="48">
        <v>45145</v>
      </c>
      <c r="L1100" s="48">
        <v>45145</v>
      </c>
      <c r="M1100" s="48">
        <v>45510</v>
      </c>
      <c r="N1100" s="47" t="s">
        <v>52</v>
      </c>
      <c r="O1100" s="55" t="s">
        <v>53</v>
      </c>
      <c r="P1100" s="62">
        <v>11340</v>
      </c>
      <c r="Q1100" s="62">
        <v>945</v>
      </c>
      <c r="R1100" s="103">
        <v>11340</v>
      </c>
      <c r="S1100" s="62">
        <f t="shared" si="263"/>
        <v>945</v>
      </c>
      <c r="T1100" s="62">
        <v>11220</v>
      </c>
      <c r="U1100" s="62">
        <f t="shared" si="270"/>
        <v>935</v>
      </c>
      <c r="V1100" s="69">
        <v>9833.85</v>
      </c>
      <c r="W1100" s="71">
        <v>975</v>
      </c>
      <c r="X1100" s="71"/>
      <c r="Y1100" s="71"/>
      <c r="Z1100" s="64">
        <f t="shared" si="264"/>
        <v>4.2780748663101602E-2</v>
      </c>
      <c r="AA1100" s="64">
        <f t="shared" si="257"/>
        <v>3.1746031746031744E-2</v>
      </c>
      <c r="AB1100" s="71">
        <f t="shared" si="271"/>
        <v>975</v>
      </c>
      <c r="AC1100" s="64">
        <f t="shared" si="265"/>
        <v>4.2780748663101602E-2</v>
      </c>
      <c r="AD1100" s="64">
        <f t="shared" si="258"/>
        <v>3.1746031746031744E-2</v>
      </c>
      <c r="AE1100" s="71">
        <f t="shared" si="272"/>
        <v>975</v>
      </c>
      <c r="AF1100" s="64">
        <f t="shared" si="266"/>
        <v>4.2780748663101602E-2</v>
      </c>
      <c r="AG1100" s="64">
        <f t="shared" si="259"/>
        <v>3.1746031746031744E-2</v>
      </c>
      <c r="AH1100" s="67"/>
      <c r="AI1100" s="47" t="s">
        <v>54</v>
      </c>
      <c r="AJ1100" s="47">
        <v>731.95</v>
      </c>
      <c r="AK1100" s="55" t="s">
        <v>65</v>
      </c>
      <c r="AL1100" s="55" t="s">
        <v>55</v>
      </c>
      <c r="AM1100" s="47" t="s">
        <v>1202</v>
      </c>
      <c r="AN1100" s="47"/>
      <c r="AO1100" s="211">
        <f t="shared" si="267"/>
        <v>-1</v>
      </c>
      <c r="AP1100" s="47" t="s">
        <v>57</v>
      </c>
      <c r="AQ1100" s="47" t="s">
        <v>1132</v>
      </c>
      <c r="AR1100" s="47"/>
    </row>
    <row r="1101" spans="1:44" hidden="1">
      <c r="A1101" s="47" t="s">
        <v>74</v>
      </c>
      <c r="B1101" s="47" t="str">
        <f t="shared" si="262"/>
        <v>August</v>
      </c>
      <c r="C1101" s="59">
        <v>45519</v>
      </c>
      <c r="D1101" s="47" t="s">
        <v>103</v>
      </c>
      <c r="E1101" s="47" t="s">
        <v>104</v>
      </c>
      <c r="F1101" s="47" t="s">
        <v>105</v>
      </c>
      <c r="G1101" s="91" t="s">
        <v>1993</v>
      </c>
      <c r="H1101" s="47" t="s">
        <v>1994</v>
      </c>
      <c r="I1101" s="47" t="s">
        <v>50</v>
      </c>
      <c r="J1101" s="47" t="s">
        <v>51</v>
      </c>
      <c r="K1101" s="48">
        <v>45338</v>
      </c>
      <c r="L1101" s="48">
        <v>45338</v>
      </c>
      <c r="M1101" s="48">
        <v>45519</v>
      </c>
      <c r="N1101" s="47" t="s">
        <v>52</v>
      </c>
      <c r="O1101" s="55" t="s">
        <v>53</v>
      </c>
      <c r="P1101" s="62">
        <v>9480</v>
      </c>
      <c r="Q1101" s="62">
        <v>790</v>
      </c>
      <c r="R1101" s="103">
        <v>9480</v>
      </c>
      <c r="S1101" s="62">
        <f t="shared" si="263"/>
        <v>790</v>
      </c>
      <c r="T1101" s="62">
        <v>9780</v>
      </c>
      <c r="U1101" s="62">
        <f t="shared" si="270"/>
        <v>815</v>
      </c>
      <c r="V1101" s="69">
        <v>9240</v>
      </c>
      <c r="W1101" s="71">
        <v>825</v>
      </c>
      <c r="X1101" s="71"/>
      <c r="Y1101" s="71"/>
      <c r="Z1101" s="64">
        <f t="shared" si="264"/>
        <v>1.2269938650306749E-2</v>
      </c>
      <c r="AA1101" s="64">
        <f t="shared" si="257"/>
        <v>4.4303797468354431E-2</v>
      </c>
      <c r="AB1101" s="71">
        <f t="shared" si="271"/>
        <v>825</v>
      </c>
      <c r="AC1101" s="198">
        <f t="shared" si="265"/>
        <v>1.2269938650306749E-2</v>
      </c>
      <c r="AD1101" s="198">
        <f t="shared" si="258"/>
        <v>4.4303797468354431E-2</v>
      </c>
      <c r="AE1101" s="199">
        <f t="shared" si="272"/>
        <v>825</v>
      </c>
      <c r="AF1101" s="198">
        <f t="shared" si="266"/>
        <v>1.2269938650306749E-2</v>
      </c>
      <c r="AG1101" s="198">
        <f t="shared" si="259"/>
        <v>4.4303797468354431E-2</v>
      </c>
      <c r="AH1101" s="288"/>
      <c r="AI1101" s="47" t="s">
        <v>395</v>
      </c>
      <c r="AJ1101" s="144">
        <v>688.89</v>
      </c>
      <c r="AK1101" s="283" t="s">
        <v>55</v>
      </c>
      <c r="AL1101" s="283" t="s">
        <v>55</v>
      </c>
      <c r="AM1101" s="144" t="s">
        <v>1995</v>
      </c>
      <c r="AN1101" s="144"/>
      <c r="AO1101" s="211">
        <f t="shared" si="267"/>
        <v>-1</v>
      </c>
      <c r="AP1101" s="47" t="s">
        <v>57</v>
      </c>
      <c r="AQ1101" s="47" t="s">
        <v>1132</v>
      </c>
      <c r="AR1101" s="47"/>
    </row>
    <row r="1102" spans="1:44" hidden="1">
      <c r="A1102" s="47" t="s">
        <v>44</v>
      </c>
      <c r="B1102" s="47" t="str">
        <f t="shared" si="262"/>
        <v>August</v>
      </c>
      <c r="C1102" s="59">
        <v>45520</v>
      </c>
      <c r="D1102" s="47" t="s">
        <v>103</v>
      </c>
      <c r="E1102" s="47" t="s">
        <v>104</v>
      </c>
      <c r="F1102" s="47" t="s">
        <v>105</v>
      </c>
      <c r="G1102" s="91" t="s">
        <v>2069</v>
      </c>
      <c r="H1102" s="47" t="s">
        <v>2070</v>
      </c>
      <c r="I1102" s="47" t="s">
        <v>50</v>
      </c>
      <c r="J1102" s="47" t="s">
        <v>51</v>
      </c>
      <c r="K1102" s="48">
        <v>45155</v>
      </c>
      <c r="L1102" s="48">
        <v>45155</v>
      </c>
      <c r="M1102" s="48">
        <v>45520</v>
      </c>
      <c r="N1102" s="47" t="s">
        <v>52</v>
      </c>
      <c r="O1102" s="55" t="s">
        <v>53</v>
      </c>
      <c r="P1102" s="62">
        <v>9660</v>
      </c>
      <c r="Q1102" s="62">
        <v>805</v>
      </c>
      <c r="R1102" s="103">
        <v>9660</v>
      </c>
      <c r="S1102" s="62">
        <f t="shared" si="263"/>
        <v>805</v>
      </c>
      <c r="T1102" s="62">
        <v>9300</v>
      </c>
      <c r="U1102" s="62">
        <f t="shared" si="270"/>
        <v>775</v>
      </c>
      <c r="V1102" s="69">
        <v>9000</v>
      </c>
      <c r="W1102" s="71">
        <v>815</v>
      </c>
      <c r="X1102" s="71"/>
      <c r="Y1102" s="71"/>
      <c r="Z1102" s="64">
        <f t="shared" si="264"/>
        <v>5.1612903225806452E-2</v>
      </c>
      <c r="AA1102" s="64">
        <f t="shared" si="257"/>
        <v>1.2422360248447204E-2</v>
      </c>
      <c r="AB1102" s="194">
        <f t="shared" si="271"/>
        <v>815</v>
      </c>
      <c r="AC1102" s="64">
        <f t="shared" si="265"/>
        <v>5.1612903225806452E-2</v>
      </c>
      <c r="AD1102" s="64">
        <f t="shared" si="258"/>
        <v>1.2422360248447204E-2</v>
      </c>
      <c r="AE1102" s="71">
        <f t="shared" si="272"/>
        <v>815</v>
      </c>
      <c r="AF1102" s="64">
        <f t="shared" si="266"/>
        <v>5.1612903225806452E-2</v>
      </c>
      <c r="AG1102" s="64">
        <f t="shared" si="259"/>
        <v>1.2422360248447204E-2</v>
      </c>
      <c r="AH1102" s="67"/>
      <c r="AI1102" s="197" t="s">
        <v>54</v>
      </c>
      <c r="AJ1102" s="47">
        <v>548.96</v>
      </c>
      <c r="AK1102" s="55" t="s">
        <v>55</v>
      </c>
      <c r="AL1102" s="55" t="s">
        <v>55</v>
      </c>
      <c r="AM1102" s="47" t="s">
        <v>2071</v>
      </c>
      <c r="AN1102" s="47"/>
      <c r="AO1102" s="211">
        <f t="shared" si="267"/>
        <v>-1</v>
      </c>
      <c r="AP1102" s="47" t="s">
        <v>57</v>
      </c>
      <c r="AQ1102" s="47" t="s">
        <v>1132</v>
      </c>
      <c r="AR1102" s="47"/>
    </row>
    <row r="1103" spans="1:44">
      <c r="A1103" s="47" t="s">
        <v>44</v>
      </c>
      <c r="B1103" s="47" t="str">
        <f t="shared" si="262"/>
        <v>August</v>
      </c>
      <c r="C1103" s="59">
        <v>45520</v>
      </c>
      <c r="D1103" s="47" t="s">
        <v>103</v>
      </c>
      <c r="E1103" s="47" t="s">
        <v>104</v>
      </c>
      <c r="F1103" s="47" t="s">
        <v>105</v>
      </c>
      <c r="G1103" s="91" t="s">
        <v>2072</v>
      </c>
      <c r="H1103" s="47" t="s">
        <v>2073</v>
      </c>
      <c r="I1103" s="47" t="s">
        <v>50</v>
      </c>
      <c r="J1103" s="47" t="s">
        <v>51</v>
      </c>
      <c r="K1103" s="48">
        <v>44609</v>
      </c>
      <c r="L1103" s="48">
        <v>45155</v>
      </c>
      <c r="M1103" s="48">
        <v>45520</v>
      </c>
      <c r="N1103" s="47" t="s">
        <v>64</v>
      </c>
      <c r="O1103" s="55" t="s">
        <v>53</v>
      </c>
      <c r="P1103" s="62">
        <v>9480</v>
      </c>
      <c r="Q1103" s="62">
        <v>790</v>
      </c>
      <c r="R1103" s="103">
        <v>9480</v>
      </c>
      <c r="S1103" s="62">
        <f t="shared" si="263"/>
        <v>790</v>
      </c>
      <c r="T1103" s="62">
        <v>9240</v>
      </c>
      <c r="U1103" s="62">
        <f t="shared" si="270"/>
        <v>770</v>
      </c>
      <c r="V1103" s="69">
        <v>8220</v>
      </c>
      <c r="W1103" s="71">
        <v>825</v>
      </c>
      <c r="X1103" s="71"/>
      <c r="Y1103" s="71"/>
      <c r="Z1103" s="64">
        <f t="shared" si="264"/>
        <v>7.1428571428571425E-2</v>
      </c>
      <c r="AA1103" s="64">
        <f t="shared" si="257"/>
        <v>4.4303797468354431E-2</v>
      </c>
      <c r="AB1103" s="71">
        <f t="shared" si="271"/>
        <v>825</v>
      </c>
      <c r="AC1103" s="195">
        <f t="shared" si="265"/>
        <v>7.1428571428571425E-2</v>
      </c>
      <c r="AD1103" s="195">
        <f t="shared" si="258"/>
        <v>4.4303797468354431E-2</v>
      </c>
      <c r="AE1103" s="196">
        <f t="shared" si="272"/>
        <v>825</v>
      </c>
      <c r="AF1103" s="195">
        <f t="shared" si="266"/>
        <v>7.1428571428571425E-2</v>
      </c>
      <c r="AG1103" s="195">
        <f t="shared" si="259"/>
        <v>4.4303797468354431E-2</v>
      </c>
      <c r="AH1103" s="289" t="s">
        <v>611</v>
      </c>
      <c r="AI1103" s="47" t="s">
        <v>250</v>
      </c>
      <c r="AJ1103" s="193">
        <v>570.49</v>
      </c>
      <c r="AK1103" s="282" t="s">
        <v>55</v>
      </c>
      <c r="AL1103" s="282" t="s">
        <v>55</v>
      </c>
      <c r="AM1103" s="193" t="s">
        <v>2074</v>
      </c>
      <c r="AN1103" s="193">
        <v>825</v>
      </c>
      <c r="AO1103" s="211">
        <f t="shared" si="267"/>
        <v>7.1428571428571425E-2</v>
      </c>
      <c r="AP1103" s="47" t="s">
        <v>57</v>
      </c>
      <c r="AQ1103" s="47" t="s">
        <v>1132</v>
      </c>
      <c r="AR1103" s="47"/>
    </row>
    <row r="1104" spans="1:44">
      <c r="A1104" s="47" t="s">
        <v>44</v>
      </c>
      <c r="B1104" s="47" t="str">
        <f t="shared" si="262"/>
        <v>August</v>
      </c>
      <c r="C1104" s="59">
        <v>45522</v>
      </c>
      <c r="D1104" s="47" t="s">
        <v>103</v>
      </c>
      <c r="E1104" s="47" t="s">
        <v>104</v>
      </c>
      <c r="F1104" s="47" t="s">
        <v>105</v>
      </c>
      <c r="G1104" s="91" t="s">
        <v>2282</v>
      </c>
      <c r="H1104" s="47" t="s">
        <v>2283</v>
      </c>
      <c r="I1104" s="47" t="s">
        <v>50</v>
      </c>
      <c r="J1104" s="47" t="s">
        <v>51</v>
      </c>
      <c r="K1104" s="48">
        <v>42966</v>
      </c>
      <c r="L1104" s="48">
        <v>45157</v>
      </c>
      <c r="M1104" s="48">
        <v>45522</v>
      </c>
      <c r="N1104" s="47" t="s">
        <v>64</v>
      </c>
      <c r="O1104" s="55" t="s">
        <v>53</v>
      </c>
      <c r="P1104" s="62">
        <v>11340</v>
      </c>
      <c r="Q1104" s="62">
        <v>945</v>
      </c>
      <c r="R1104" s="103">
        <v>11340</v>
      </c>
      <c r="S1104" s="62">
        <f t="shared" si="263"/>
        <v>945</v>
      </c>
      <c r="T1104" s="62">
        <v>10740</v>
      </c>
      <c r="U1104" s="62">
        <f t="shared" si="270"/>
        <v>895</v>
      </c>
      <c r="V1104" s="69">
        <v>9780</v>
      </c>
      <c r="W1104" s="71">
        <v>965</v>
      </c>
      <c r="X1104" s="71"/>
      <c r="Y1104" s="71"/>
      <c r="Z1104" s="64">
        <f t="shared" si="264"/>
        <v>7.8212290502793297E-2</v>
      </c>
      <c r="AA1104" s="64">
        <f t="shared" si="257"/>
        <v>2.1164021164021163E-2</v>
      </c>
      <c r="AB1104" s="71">
        <f t="shared" si="271"/>
        <v>965</v>
      </c>
      <c r="AC1104" s="64">
        <f t="shared" si="265"/>
        <v>7.8212290502793297E-2</v>
      </c>
      <c r="AD1104" s="64">
        <f t="shared" si="258"/>
        <v>2.1164021164021163E-2</v>
      </c>
      <c r="AE1104" s="71">
        <f t="shared" si="272"/>
        <v>965</v>
      </c>
      <c r="AF1104" s="64">
        <f t="shared" si="266"/>
        <v>7.8212290502793297E-2</v>
      </c>
      <c r="AG1104" s="64">
        <f t="shared" si="259"/>
        <v>2.1164021164021163E-2</v>
      </c>
      <c r="AH1104" s="67"/>
      <c r="AI1104" s="47" t="s">
        <v>54</v>
      </c>
      <c r="AJ1104" s="47">
        <v>710.42</v>
      </c>
      <c r="AK1104" s="55" t="s">
        <v>65</v>
      </c>
      <c r="AL1104" s="55" t="s">
        <v>55</v>
      </c>
      <c r="AM1104" s="47" t="s">
        <v>464</v>
      </c>
      <c r="AN1104" s="47">
        <v>965</v>
      </c>
      <c r="AO1104" s="211">
        <f t="shared" si="267"/>
        <v>7.8212290502793297E-2</v>
      </c>
      <c r="AP1104" s="47" t="s">
        <v>57</v>
      </c>
      <c r="AQ1104" s="47" t="s">
        <v>1132</v>
      </c>
      <c r="AR1104" s="47"/>
    </row>
    <row r="1105" spans="1:44" hidden="1">
      <c r="A1105" s="47" t="s">
        <v>44</v>
      </c>
      <c r="B1105" s="47" t="str">
        <f t="shared" si="262"/>
        <v>August</v>
      </c>
      <c r="C1105" s="59">
        <v>45526</v>
      </c>
      <c r="D1105" s="47" t="s">
        <v>103</v>
      </c>
      <c r="E1105" s="47" t="s">
        <v>104</v>
      </c>
      <c r="F1105" s="47" t="s">
        <v>105</v>
      </c>
      <c r="G1105" s="91" t="s">
        <v>2698</v>
      </c>
      <c r="H1105" s="47" t="s">
        <v>2699</v>
      </c>
      <c r="I1105" s="47" t="s">
        <v>50</v>
      </c>
      <c r="J1105" s="47" t="s">
        <v>51</v>
      </c>
      <c r="K1105" s="48">
        <v>45161</v>
      </c>
      <c r="L1105" s="48">
        <v>45161</v>
      </c>
      <c r="M1105" s="48">
        <v>45526</v>
      </c>
      <c r="N1105" s="47" t="s">
        <v>52</v>
      </c>
      <c r="O1105" s="55" t="s">
        <v>53</v>
      </c>
      <c r="P1105" s="62">
        <v>9480</v>
      </c>
      <c r="Q1105" s="62">
        <v>790</v>
      </c>
      <c r="R1105" s="103">
        <v>9480</v>
      </c>
      <c r="S1105" s="62">
        <f t="shared" si="263"/>
        <v>790</v>
      </c>
      <c r="T1105" s="62">
        <v>9600</v>
      </c>
      <c r="U1105" s="62">
        <f t="shared" si="270"/>
        <v>800</v>
      </c>
      <c r="V1105" s="69">
        <v>8640</v>
      </c>
      <c r="W1105" s="71">
        <v>840</v>
      </c>
      <c r="X1105" s="71"/>
      <c r="Y1105" s="71"/>
      <c r="Z1105" s="64">
        <f t="shared" si="264"/>
        <v>0.05</v>
      </c>
      <c r="AA1105" s="64">
        <f t="shared" si="257"/>
        <v>6.3291139240506333E-2</v>
      </c>
      <c r="AB1105" s="71">
        <f t="shared" si="271"/>
        <v>840</v>
      </c>
      <c r="AC1105" s="64">
        <f t="shared" si="265"/>
        <v>0.05</v>
      </c>
      <c r="AD1105" s="64">
        <f t="shared" si="258"/>
        <v>6.3291139240506333E-2</v>
      </c>
      <c r="AE1105" s="71">
        <f t="shared" si="272"/>
        <v>840</v>
      </c>
      <c r="AF1105" s="64">
        <f t="shared" si="266"/>
        <v>0.05</v>
      </c>
      <c r="AG1105" s="64">
        <f t="shared" si="259"/>
        <v>6.3291139240506333E-2</v>
      </c>
      <c r="AH1105" s="67"/>
      <c r="AI1105" s="47" t="s">
        <v>54</v>
      </c>
      <c r="AJ1105" s="47">
        <v>624.30999999999995</v>
      </c>
      <c r="AK1105" s="55" t="s">
        <v>55</v>
      </c>
      <c r="AL1105" s="55" t="s">
        <v>55</v>
      </c>
      <c r="AM1105" s="47" t="s">
        <v>2700</v>
      </c>
      <c r="AN1105" s="47"/>
      <c r="AO1105" s="211">
        <f t="shared" si="267"/>
        <v>-1</v>
      </c>
      <c r="AP1105" s="47" t="s">
        <v>57</v>
      </c>
      <c r="AQ1105" s="47" t="s">
        <v>1132</v>
      </c>
      <c r="AR1105" s="47"/>
    </row>
    <row r="1106" spans="1:44">
      <c r="A1106" s="47" t="s">
        <v>44</v>
      </c>
      <c r="B1106" s="47" t="str">
        <f t="shared" si="262"/>
        <v>August</v>
      </c>
      <c r="C1106" s="59">
        <v>45527</v>
      </c>
      <c r="D1106" s="47" t="s">
        <v>103</v>
      </c>
      <c r="E1106" s="47" t="s">
        <v>104</v>
      </c>
      <c r="F1106" s="47" t="s">
        <v>105</v>
      </c>
      <c r="G1106" s="91" t="s">
        <v>2821</v>
      </c>
      <c r="H1106" s="47" t="s">
        <v>2822</v>
      </c>
      <c r="I1106" s="47" t="s">
        <v>50</v>
      </c>
      <c r="J1106" s="47" t="s">
        <v>51</v>
      </c>
      <c r="K1106" s="48">
        <v>44067</v>
      </c>
      <c r="L1106" s="48">
        <v>45162</v>
      </c>
      <c r="M1106" s="48">
        <v>45527</v>
      </c>
      <c r="N1106" s="47" t="s">
        <v>64</v>
      </c>
      <c r="O1106" s="55" t="s">
        <v>53</v>
      </c>
      <c r="P1106" s="62">
        <v>9660</v>
      </c>
      <c r="Q1106" s="62">
        <v>805</v>
      </c>
      <c r="R1106" s="103">
        <v>9660</v>
      </c>
      <c r="S1106" s="62">
        <f t="shared" si="263"/>
        <v>805</v>
      </c>
      <c r="T1106" s="62">
        <v>9300</v>
      </c>
      <c r="U1106" s="62">
        <f t="shared" si="270"/>
        <v>775</v>
      </c>
      <c r="V1106" s="69">
        <v>8220</v>
      </c>
      <c r="W1106" s="71">
        <v>835</v>
      </c>
      <c r="X1106" s="71"/>
      <c r="Y1106" s="71"/>
      <c r="Z1106" s="64">
        <f t="shared" si="264"/>
        <v>7.7419354838709681E-2</v>
      </c>
      <c r="AA1106" s="64">
        <f t="shared" si="257"/>
        <v>3.7267080745341616E-2</v>
      </c>
      <c r="AB1106" s="71">
        <f t="shared" si="271"/>
        <v>835</v>
      </c>
      <c r="AC1106" s="64">
        <f t="shared" si="265"/>
        <v>7.7419354838709681E-2</v>
      </c>
      <c r="AD1106" s="64">
        <f t="shared" si="258"/>
        <v>3.7267080745341616E-2</v>
      </c>
      <c r="AE1106" s="71">
        <f t="shared" si="272"/>
        <v>835</v>
      </c>
      <c r="AF1106" s="64">
        <f t="shared" si="266"/>
        <v>7.7419354838709681E-2</v>
      </c>
      <c r="AG1106" s="64">
        <f t="shared" si="259"/>
        <v>3.7267080745341616E-2</v>
      </c>
      <c r="AH1106" s="67" t="s">
        <v>611</v>
      </c>
      <c r="AI1106" s="47" t="s">
        <v>250</v>
      </c>
      <c r="AJ1106" s="47">
        <v>548.96</v>
      </c>
      <c r="AK1106" s="55" t="s">
        <v>55</v>
      </c>
      <c r="AL1106" s="55" t="s">
        <v>55</v>
      </c>
      <c r="AM1106" s="47" t="s">
        <v>406</v>
      </c>
      <c r="AN1106" s="47"/>
      <c r="AO1106" s="211">
        <f t="shared" si="267"/>
        <v>-1</v>
      </c>
      <c r="AP1106" s="47" t="s">
        <v>57</v>
      </c>
      <c r="AQ1106" s="47" t="s">
        <v>1132</v>
      </c>
      <c r="AR1106" s="47"/>
    </row>
    <row r="1107" spans="1:44">
      <c r="A1107" s="47" t="s">
        <v>44</v>
      </c>
      <c r="B1107" s="47" t="str">
        <f t="shared" si="262"/>
        <v>August</v>
      </c>
      <c r="C1107" s="59">
        <v>45531</v>
      </c>
      <c r="D1107" s="47" t="s">
        <v>103</v>
      </c>
      <c r="E1107" s="47" t="s">
        <v>104</v>
      </c>
      <c r="F1107" s="47" t="s">
        <v>105</v>
      </c>
      <c r="G1107" s="91" t="s">
        <v>3325</v>
      </c>
      <c r="H1107" s="47" t="s">
        <v>3326</v>
      </c>
      <c r="I1107" s="47" t="s">
        <v>50</v>
      </c>
      <c r="J1107" s="47" t="s">
        <v>51</v>
      </c>
      <c r="K1107" s="48">
        <v>44436</v>
      </c>
      <c r="L1107" s="48">
        <v>45166</v>
      </c>
      <c r="M1107" s="48">
        <v>45531</v>
      </c>
      <c r="N1107" s="47" t="s">
        <v>64</v>
      </c>
      <c r="O1107" s="55" t="s">
        <v>53</v>
      </c>
      <c r="P1107" s="62">
        <v>9480</v>
      </c>
      <c r="Q1107" s="62">
        <v>790</v>
      </c>
      <c r="R1107" s="103">
        <v>9480</v>
      </c>
      <c r="S1107" s="62">
        <f t="shared" si="263"/>
        <v>790</v>
      </c>
      <c r="T1107" s="62">
        <v>9360</v>
      </c>
      <c r="U1107" s="62">
        <f t="shared" si="270"/>
        <v>780</v>
      </c>
      <c r="V1107" s="69">
        <v>8700</v>
      </c>
      <c r="W1107" s="71">
        <v>850</v>
      </c>
      <c r="X1107" s="71"/>
      <c r="Y1107" s="71"/>
      <c r="Z1107" s="64">
        <f t="shared" si="264"/>
        <v>8.9743589743589744E-2</v>
      </c>
      <c r="AA1107" s="64">
        <f t="shared" si="257"/>
        <v>7.5949367088607597E-2</v>
      </c>
      <c r="AB1107" s="71">
        <f t="shared" si="271"/>
        <v>850</v>
      </c>
      <c r="AC1107" s="64">
        <f t="shared" si="265"/>
        <v>8.9743589743589744E-2</v>
      </c>
      <c r="AD1107" s="64">
        <f t="shared" si="258"/>
        <v>7.5949367088607597E-2</v>
      </c>
      <c r="AE1107" s="71">
        <f t="shared" si="272"/>
        <v>850</v>
      </c>
      <c r="AF1107" s="64">
        <f t="shared" si="266"/>
        <v>8.9743589743589744E-2</v>
      </c>
      <c r="AG1107" s="64">
        <f t="shared" si="259"/>
        <v>7.5949367088607597E-2</v>
      </c>
      <c r="AH1107" s="67"/>
      <c r="AI1107" s="47" t="s">
        <v>54</v>
      </c>
      <c r="AJ1107" s="47">
        <v>624.30999999999995</v>
      </c>
      <c r="AK1107" s="55" t="s">
        <v>55</v>
      </c>
      <c r="AL1107" s="55" t="s">
        <v>55</v>
      </c>
      <c r="AM1107" s="47" t="s">
        <v>3327</v>
      </c>
      <c r="AN1107" s="47"/>
      <c r="AO1107" s="211">
        <f t="shared" si="267"/>
        <v>-1</v>
      </c>
      <c r="AP1107" s="47" t="s">
        <v>57</v>
      </c>
      <c r="AQ1107" s="47" t="s">
        <v>131</v>
      </c>
      <c r="AR1107" s="47"/>
    </row>
    <row r="1108" spans="1:44" hidden="1">
      <c r="A1108" s="47" t="s">
        <v>44</v>
      </c>
      <c r="B1108" s="47" t="str">
        <f t="shared" si="262"/>
        <v>August</v>
      </c>
      <c r="C1108" s="59">
        <v>45532</v>
      </c>
      <c r="D1108" s="47" t="s">
        <v>103</v>
      </c>
      <c r="E1108" s="47" t="s">
        <v>104</v>
      </c>
      <c r="F1108" s="47" t="s">
        <v>105</v>
      </c>
      <c r="G1108" s="91" t="s">
        <v>3398</v>
      </c>
      <c r="H1108" s="47" t="s">
        <v>3399</v>
      </c>
      <c r="I1108" s="47" t="s">
        <v>50</v>
      </c>
      <c r="J1108" s="47" t="s">
        <v>51</v>
      </c>
      <c r="K1108" s="48">
        <v>45167</v>
      </c>
      <c r="L1108" s="48">
        <v>45167</v>
      </c>
      <c r="M1108" s="48">
        <v>45532</v>
      </c>
      <c r="N1108" s="47" t="s">
        <v>52</v>
      </c>
      <c r="O1108" s="55" t="s">
        <v>53</v>
      </c>
      <c r="P1108" s="62">
        <v>11340</v>
      </c>
      <c r="Q1108" s="62">
        <v>945</v>
      </c>
      <c r="R1108" s="103">
        <v>11340</v>
      </c>
      <c r="S1108" s="62">
        <f t="shared" si="263"/>
        <v>945</v>
      </c>
      <c r="T1108" s="62">
        <v>10980</v>
      </c>
      <c r="U1108" s="62">
        <f t="shared" si="270"/>
        <v>915</v>
      </c>
      <c r="V1108" s="69">
        <v>10920</v>
      </c>
      <c r="W1108" s="71">
        <v>960</v>
      </c>
      <c r="X1108" s="71"/>
      <c r="Y1108" s="71"/>
      <c r="Z1108" s="64">
        <f t="shared" si="264"/>
        <v>4.9180327868852458E-2</v>
      </c>
      <c r="AA1108" s="64">
        <f t="shared" si="257"/>
        <v>1.5873015873015872E-2</v>
      </c>
      <c r="AB1108" s="71">
        <f t="shared" si="271"/>
        <v>960</v>
      </c>
      <c r="AC1108" s="64">
        <f t="shared" si="265"/>
        <v>4.9180327868852458E-2</v>
      </c>
      <c r="AD1108" s="64">
        <f t="shared" si="258"/>
        <v>1.5873015873015872E-2</v>
      </c>
      <c r="AE1108" s="71">
        <f t="shared" si="272"/>
        <v>960</v>
      </c>
      <c r="AF1108" s="64">
        <f t="shared" si="266"/>
        <v>4.9180327868852458E-2</v>
      </c>
      <c r="AG1108" s="64">
        <f t="shared" si="259"/>
        <v>1.5873015873015872E-2</v>
      </c>
      <c r="AH1108" s="67"/>
      <c r="AI1108" s="47" t="s">
        <v>54</v>
      </c>
      <c r="AJ1108" s="47">
        <v>710.42</v>
      </c>
      <c r="AK1108" s="55" t="s">
        <v>65</v>
      </c>
      <c r="AL1108" s="55" t="s">
        <v>55</v>
      </c>
      <c r="AM1108" s="47" t="s">
        <v>3400</v>
      </c>
      <c r="AN1108" s="47"/>
      <c r="AO1108" s="211">
        <f t="shared" si="267"/>
        <v>-1</v>
      </c>
      <c r="AP1108" s="47" t="s">
        <v>57</v>
      </c>
      <c r="AQ1108" s="47" t="s">
        <v>131</v>
      </c>
      <c r="AR1108" s="47"/>
    </row>
    <row r="1109" spans="1:44" hidden="1">
      <c r="A1109" s="47" t="s">
        <v>44</v>
      </c>
      <c r="B1109" s="47" t="str">
        <f t="shared" si="262"/>
        <v>August</v>
      </c>
      <c r="C1109" s="59">
        <v>45533</v>
      </c>
      <c r="D1109" s="47" t="s">
        <v>103</v>
      </c>
      <c r="E1109" s="47" t="s">
        <v>104</v>
      </c>
      <c r="F1109" s="47" t="s">
        <v>105</v>
      </c>
      <c r="G1109" s="91" t="s">
        <v>3473</v>
      </c>
      <c r="H1109" s="47" t="s">
        <v>3474</v>
      </c>
      <c r="I1109" s="47" t="s">
        <v>50</v>
      </c>
      <c r="J1109" s="47" t="s">
        <v>51</v>
      </c>
      <c r="K1109" s="48">
        <v>45168</v>
      </c>
      <c r="L1109" s="48">
        <v>45168</v>
      </c>
      <c r="M1109" s="48">
        <v>45533</v>
      </c>
      <c r="N1109" s="47" t="s">
        <v>52</v>
      </c>
      <c r="O1109" s="55" t="s">
        <v>53</v>
      </c>
      <c r="P1109" s="62">
        <v>11220</v>
      </c>
      <c r="Q1109" s="62">
        <v>935</v>
      </c>
      <c r="R1109" s="103">
        <v>11220</v>
      </c>
      <c r="S1109" s="62">
        <f t="shared" si="263"/>
        <v>935</v>
      </c>
      <c r="T1109" s="62">
        <v>10920</v>
      </c>
      <c r="U1109" s="62">
        <f t="shared" si="270"/>
        <v>910</v>
      </c>
      <c r="V1109" s="69">
        <v>9780</v>
      </c>
      <c r="W1109" s="71">
        <v>980</v>
      </c>
      <c r="X1109" s="71"/>
      <c r="Y1109" s="71"/>
      <c r="Z1109" s="64">
        <f t="shared" si="264"/>
        <v>7.6923076923076927E-2</v>
      </c>
      <c r="AA1109" s="64">
        <f t="shared" si="257"/>
        <v>4.8128342245989303E-2</v>
      </c>
      <c r="AB1109" s="71">
        <f t="shared" si="271"/>
        <v>980</v>
      </c>
      <c r="AC1109" s="64">
        <f t="shared" si="265"/>
        <v>7.6923076923076927E-2</v>
      </c>
      <c r="AD1109" s="64">
        <f t="shared" si="258"/>
        <v>4.8128342245989303E-2</v>
      </c>
      <c r="AE1109" s="71">
        <f t="shared" si="272"/>
        <v>980</v>
      </c>
      <c r="AF1109" s="64">
        <f t="shared" si="266"/>
        <v>7.6923076923076927E-2</v>
      </c>
      <c r="AG1109" s="64">
        <f t="shared" si="259"/>
        <v>4.8128342245989303E-2</v>
      </c>
      <c r="AH1109" s="67"/>
      <c r="AI1109" s="47" t="s">
        <v>54</v>
      </c>
      <c r="AJ1109" s="47">
        <v>656.6</v>
      </c>
      <c r="AK1109" s="55" t="s">
        <v>65</v>
      </c>
      <c r="AL1109" s="55" t="s">
        <v>55</v>
      </c>
      <c r="AM1109" s="47" t="s">
        <v>3475</v>
      </c>
      <c r="AN1109" s="47">
        <v>980</v>
      </c>
      <c r="AO1109" s="211">
        <f t="shared" si="267"/>
        <v>7.6923076923076927E-2</v>
      </c>
      <c r="AP1109" s="47" t="s">
        <v>57</v>
      </c>
      <c r="AQ1109" s="47" t="s">
        <v>131</v>
      </c>
      <c r="AR1109" s="47"/>
    </row>
    <row r="1110" spans="1:44" hidden="1">
      <c r="A1110" s="47" t="s">
        <v>44</v>
      </c>
      <c r="B1110" s="47" t="str">
        <f t="shared" si="262"/>
        <v>August</v>
      </c>
      <c r="C1110" s="59">
        <v>45506</v>
      </c>
      <c r="D1110" s="47" t="s">
        <v>45</v>
      </c>
      <c r="E1110" s="47" t="s">
        <v>133</v>
      </c>
      <c r="F1110" s="47" t="s">
        <v>134</v>
      </c>
      <c r="G1110" s="47" t="s">
        <v>135</v>
      </c>
      <c r="H1110" s="47" t="s">
        <v>136</v>
      </c>
      <c r="I1110" s="47" t="s">
        <v>63</v>
      </c>
      <c r="J1110" s="47" t="s">
        <v>51</v>
      </c>
      <c r="K1110" s="48">
        <v>45202</v>
      </c>
      <c r="L1110" s="48">
        <v>45202</v>
      </c>
      <c r="M1110" s="48">
        <v>45506</v>
      </c>
      <c r="N1110" s="47" t="s">
        <v>52</v>
      </c>
      <c r="O1110" s="55" t="s">
        <v>53</v>
      </c>
      <c r="P1110" s="62">
        <v>13737</v>
      </c>
      <c r="Q1110" s="62">
        <v>1144.75</v>
      </c>
      <c r="R1110" s="96">
        <v>14220</v>
      </c>
      <c r="S1110" s="62">
        <f t="shared" si="263"/>
        <v>1185</v>
      </c>
      <c r="T1110" s="62">
        <v>13800</v>
      </c>
      <c r="U1110" s="62">
        <f t="shared" si="270"/>
        <v>1150</v>
      </c>
      <c r="V1110" s="69">
        <v>13737</v>
      </c>
      <c r="W1110" s="71">
        <v>1190</v>
      </c>
      <c r="X1110" s="172">
        <f t="shared" ref="X1110:X1123" si="273">W1110-(W1110*4%)</f>
        <v>1142.4000000000001</v>
      </c>
      <c r="Y1110" s="173">
        <f t="shared" ref="Y1110:Y1123" si="274">(X1110-U1110)/U1110</f>
        <v>-6.6086956521738335E-3</v>
      </c>
      <c r="Z1110" s="64">
        <f t="shared" si="264"/>
        <v>3.4782608695652174E-2</v>
      </c>
      <c r="AA1110" s="64">
        <f t="shared" si="257"/>
        <v>4.2194092827004216E-3</v>
      </c>
      <c r="AB1110" s="71">
        <v>1190</v>
      </c>
      <c r="AC1110" s="64">
        <f t="shared" si="265"/>
        <v>3.4782608695652174E-2</v>
      </c>
      <c r="AD1110" s="64">
        <f t="shared" si="258"/>
        <v>4.2194092827004216E-3</v>
      </c>
      <c r="AE1110" s="71">
        <f t="shared" si="272"/>
        <v>1190</v>
      </c>
      <c r="AF1110" s="64">
        <f t="shared" si="266"/>
        <v>3.4782608695652174E-2</v>
      </c>
      <c r="AG1110" s="64">
        <f t="shared" si="259"/>
        <v>4.2194092827004216E-3</v>
      </c>
      <c r="AH1110" s="67" t="s">
        <v>137</v>
      </c>
      <c r="AI1110" s="47" t="s">
        <v>54</v>
      </c>
      <c r="AJ1110" s="47">
        <v>644</v>
      </c>
      <c r="AK1110" s="47" t="s">
        <v>65</v>
      </c>
      <c r="AL1110" s="47" t="s">
        <v>65</v>
      </c>
      <c r="AM1110" s="47" t="s">
        <v>131</v>
      </c>
      <c r="AN1110" s="50"/>
      <c r="AO1110" s="211">
        <f t="shared" si="267"/>
        <v>-1</v>
      </c>
      <c r="AP1110" s="47" t="s">
        <v>90</v>
      </c>
      <c r="AQ1110" s="91" t="s">
        <v>58</v>
      </c>
      <c r="AR1110" s="47"/>
    </row>
    <row r="1111" spans="1:44" hidden="1">
      <c r="A1111" s="47" t="s">
        <v>44</v>
      </c>
      <c r="B1111" s="47" t="str">
        <f t="shared" si="262"/>
        <v>July</v>
      </c>
      <c r="C1111" s="59">
        <v>45477</v>
      </c>
      <c r="D1111" s="47" t="s">
        <v>45</v>
      </c>
      <c r="E1111" s="47" t="s">
        <v>133</v>
      </c>
      <c r="F1111" s="47" t="s">
        <v>134</v>
      </c>
      <c r="G1111" s="47" t="s">
        <v>858</v>
      </c>
      <c r="H1111" s="47" t="s">
        <v>859</v>
      </c>
      <c r="I1111" s="47" t="s">
        <v>63</v>
      </c>
      <c r="J1111" s="47" t="s">
        <v>51</v>
      </c>
      <c r="K1111" s="48">
        <v>45296</v>
      </c>
      <c r="L1111" s="48">
        <v>45296</v>
      </c>
      <c r="M1111" s="48">
        <v>45477</v>
      </c>
      <c r="N1111" s="47" t="s">
        <v>52</v>
      </c>
      <c r="O1111" s="55" t="s">
        <v>53</v>
      </c>
      <c r="P1111" s="62">
        <v>14334</v>
      </c>
      <c r="Q1111" s="62">
        <v>1194.5</v>
      </c>
      <c r="R1111" s="96">
        <v>14340</v>
      </c>
      <c r="S1111" s="62">
        <f t="shared" si="263"/>
        <v>1195</v>
      </c>
      <c r="T1111" s="62">
        <v>14160</v>
      </c>
      <c r="U1111" s="62">
        <f t="shared" si="270"/>
        <v>1180</v>
      </c>
      <c r="V1111" s="69">
        <v>14334</v>
      </c>
      <c r="W1111" s="71">
        <v>1175</v>
      </c>
      <c r="X1111" s="172">
        <f t="shared" si="273"/>
        <v>1128</v>
      </c>
      <c r="Y1111" s="173">
        <f t="shared" si="274"/>
        <v>-4.4067796610169491E-2</v>
      </c>
      <c r="Z1111" s="64">
        <f t="shared" si="264"/>
        <v>-4.2372881355932203E-3</v>
      </c>
      <c r="AA1111" s="64">
        <f t="shared" si="257"/>
        <v>-1.6736401673640166E-2</v>
      </c>
      <c r="AB1111" s="71">
        <v>1180</v>
      </c>
      <c r="AC1111" s="64">
        <f t="shared" si="265"/>
        <v>0</v>
      </c>
      <c r="AD1111" s="64">
        <f t="shared" si="258"/>
        <v>-1.2552301255230125E-2</v>
      </c>
      <c r="AE1111" s="71">
        <f t="shared" si="272"/>
        <v>1180</v>
      </c>
      <c r="AF1111" s="180">
        <f t="shared" si="266"/>
        <v>0</v>
      </c>
      <c r="AG1111" s="64">
        <f t="shared" si="259"/>
        <v>-1.2552301255230125E-2</v>
      </c>
      <c r="AH1111" s="67" t="s">
        <v>137</v>
      </c>
      <c r="AI1111" s="47" t="s">
        <v>54</v>
      </c>
      <c r="AJ1111" s="47">
        <v>672</v>
      </c>
      <c r="AK1111" s="47" t="s">
        <v>65</v>
      </c>
      <c r="AL1111" s="47" t="s">
        <v>65</v>
      </c>
      <c r="AM1111" s="47" t="s">
        <v>131</v>
      </c>
      <c r="AN1111" s="50"/>
      <c r="AO1111" s="211">
        <f t="shared" si="267"/>
        <v>-1</v>
      </c>
      <c r="AP1111" s="47" t="s">
        <v>90</v>
      </c>
      <c r="AQ1111" s="91" t="s">
        <v>116</v>
      </c>
      <c r="AR1111" s="47"/>
    </row>
    <row r="1112" spans="1:44" hidden="1">
      <c r="A1112" s="47" t="s">
        <v>74</v>
      </c>
      <c r="B1112" s="47" t="str">
        <f t="shared" si="262"/>
        <v>July</v>
      </c>
      <c r="C1112" s="59">
        <v>45476</v>
      </c>
      <c r="D1112" s="47" t="s">
        <v>45</v>
      </c>
      <c r="E1112" s="47" t="s">
        <v>133</v>
      </c>
      <c r="F1112" s="47" t="s">
        <v>134</v>
      </c>
      <c r="G1112" s="47" t="s">
        <v>909</v>
      </c>
      <c r="H1112" s="47" t="s">
        <v>910</v>
      </c>
      <c r="I1112" s="47" t="s">
        <v>63</v>
      </c>
      <c r="J1112" s="47" t="s">
        <v>51</v>
      </c>
      <c r="K1112" s="48">
        <v>45295</v>
      </c>
      <c r="L1112" s="48">
        <v>45295</v>
      </c>
      <c r="M1112" s="48">
        <v>45476</v>
      </c>
      <c r="N1112" s="47" t="s">
        <v>52</v>
      </c>
      <c r="O1112" s="55" t="s">
        <v>53</v>
      </c>
      <c r="P1112" s="62">
        <v>13353</v>
      </c>
      <c r="Q1112" s="62">
        <v>1112.75</v>
      </c>
      <c r="R1112" s="96">
        <v>14340</v>
      </c>
      <c r="S1112" s="62">
        <f t="shared" si="263"/>
        <v>1195</v>
      </c>
      <c r="T1112" s="62">
        <v>13680</v>
      </c>
      <c r="U1112" s="62">
        <f t="shared" si="270"/>
        <v>1140</v>
      </c>
      <c r="V1112" s="69">
        <v>13353</v>
      </c>
      <c r="W1112" s="71">
        <v>1165</v>
      </c>
      <c r="X1112" s="172">
        <f t="shared" si="273"/>
        <v>1118.4000000000001</v>
      </c>
      <c r="Y1112" s="173">
        <f t="shared" si="274"/>
        <v>-1.8947368421052553E-2</v>
      </c>
      <c r="Z1112" s="64">
        <f t="shared" si="264"/>
        <v>2.1929824561403508E-2</v>
      </c>
      <c r="AA1112" s="64">
        <f t="shared" si="257"/>
        <v>-2.5104602510460251E-2</v>
      </c>
      <c r="AB1112" s="71">
        <v>1165</v>
      </c>
      <c r="AC1112" s="180">
        <f t="shared" si="265"/>
        <v>2.1929824561403508E-2</v>
      </c>
      <c r="AD1112" s="64">
        <f t="shared" si="258"/>
        <v>-2.5104602510460251E-2</v>
      </c>
      <c r="AE1112" s="71">
        <f t="shared" si="272"/>
        <v>1165</v>
      </c>
      <c r="AF1112" s="180">
        <f t="shared" si="266"/>
        <v>2.1929824561403508E-2</v>
      </c>
      <c r="AG1112" s="64">
        <f t="shared" si="259"/>
        <v>-2.5104602510460251E-2</v>
      </c>
      <c r="AH1112" s="67" t="s">
        <v>137</v>
      </c>
      <c r="AI1112" s="47" t="s">
        <v>54</v>
      </c>
      <c r="AJ1112" s="47">
        <v>626</v>
      </c>
      <c r="AK1112" s="47" t="s">
        <v>65</v>
      </c>
      <c r="AL1112" s="47" t="s">
        <v>65</v>
      </c>
      <c r="AM1112" s="47" t="s">
        <v>131</v>
      </c>
      <c r="AN1112" s="50">
        <v>1165</v>
      </c>
      <c r="AO1112" s="211">
        <f t="shared" si="267"/>
        <v>2.1929824561403508E-2</v>
      </c>
      <c r="AP1112" s="47" t="s">
        <v>90</v>
      </c>
      <c r="AQ1112" s="91" t="s">
        <v>116</v>
      </c>
      <c r="AR1112" s="47"/>
    </row>
    <row r="1113" spans="1:44" hidden="1">
      <c r="A1113" s="47" t="s">
        <v>44</v>
      </c>
      <c r="B1113" s="47" t="str">
        <f t="shared" si="262"/>
        <v>July</v>
      </c>
      <c r="C1113" s="59">
        <v>45493</v>
      </c>
      <c r="D1113" s="47" t="s">
        <v>45</v>
      </c>
      <c r="E1113" s="47" t="s">
        <v>133</v>
      </c>
      <c r="F1113" s="47" t="s">
        <v>134</v>
      </c>
      <c r="G1113" s="47" t="s">
        <v>915</v>
      </c>
      <c r="H1113" s="47" t="s">
        <v>916</v>
      </c>
      <c r="I1113" s="47" t="s">
        <v>63</v>
      </c>
      <c r="J1113" s="47" t="s">
        <v>51</v>
      </c>
      <c r="K1113" s="48">
        <v>45311</v>
      </c>
      <c r="L1113" s="48">
        <v>45311</v>
      </c>
      <c r="M1113" s="48">
        <v>45492</v>
      </c>
      <c r="N1113" s="47" t="s">
        <v>52</v>
      </c>
      <c r="O1113" s="55" t="s">
        <v>53</v>
      </c>
      <c r="P1113" s="62">
        <v>12369</v>
      </c>
      <c r="Q1113" s="62">
        <v>1030.75</v>
      </c>
      <c r="R1113" s="96">
        <v>12120</v>
      </c>
      <c r="S1113" s="62">
        <f t="shared" si="263"/>
        <v>1010</v>
      </c>
      <c r="T1113" s="62">
        <v>11460</v>
      </c>
      <c r="U1113" s="62">
        <f t="shared" si="270"/>
        <v>955</v>
      </c>
      <c r="V1113" s="69">
        <v>12369</v>
      </c>
      <c r="W1113" s="71">
        <v>980</v>
      </c>
      <c r="X1113" s="172">
        <f t="shared" si="273"/>
        <v>940.8</v>
      </c>
      <c r="Y1113" s="173">
        <f t="shared" si="274"/>
        <v>-1.4869109947644026E-2</v>
      </c>
      <c r="Z1113" s="64">
        <f t="shared" si="264"/>
        <v>2.6178010471204188E-2</v>
      </c>
      <c r="AA1113" s="64">
        <f t="shared" si="257"/>
        <v>-2.9702970297029702E-2</v>
      </c>
      <c r="AB1113" s="71">
        <v>980</v>
      </c>
      <c r="AC1113" s="180">
        <f t="shared" si="265"/>
        <v>2.6178010471204188E-2</v>
      </c>
      <c r="AD1113" s="64">
        <f t="shared" si="258"/>
        <v>-2.9702970297029702E-2</v>
      </c>
      <c r="AE1113" s="71">
        <f t="shared" si="272"/>
        <v>980</v>
      </c>
      <c r="AF1113" s="180">
        <f t="shared" si="266"/>
        <v>2.6178010471204188E-2</v>
      </c>
      <c r="AG1113" s="64">
        <f t="shared" si="259"/>
        <v>-2.9702970297029702E-2</v>
      </c>
      <c r="AH1113" s="67" t="s">
        <v>137</v>
      </c>
      <c r="AI1113" s="47" t="s">
        <v>54</v>
      </c>
      <c r="AJ1113" s="47">
        <v>502</v>
      </c>
      <c r="AK1113" s="47" t="s">
        <v>55</v>
      </c>
      <c r="AL1113" s="47" t="s">
        <v>55</v>
      </c>
      <c r="AM1113" s="47" t="s">
        <v>131</v>
      </c>
      <c r="AN1113" s="50">
        <v>980</v>
      </c>
      <c r="AO1113" s="211">
        <f t="shared" si="267"/>
        <v>2.6178010471204188E-2</v>
      </c>
      <c r="AP1113" s="47" t="s">
        <v>90</v>
      </c>
      <c r="AQ1113" s="91" t="s">
        <v>116</v>
      </c>
      <c r="AR1113" s="47"/>
    </row>
    <row r="1114" spans="1:44" hidden="1">
      <c r="A1114" s="47" t="s">
        <v>44</v>
      </c>
      <c r="B1114" s="47" t="str">
        <f t="shared" si="262"/>
        <v>July</v>
      </c>
      <c r="C1114" s="59">
        <v>45476</v>
      </c>
      <c r="D1114" s="47" t="s">
        <v>45</v>
      </c>
      <c r="E1114" s="47" t="s">
        <v>133</v>
      </c>
      <c r="F1114" s="47" t="s">
        <v>134</v>
      </c>
      <c r="G1114" s="47" t="s">
        <v>917</v>
      </c>
      <c r="H1114" s="47" t="s">
        <v>918</v>
      </c>
      <c r="I1114" s="47" t="s">
        <v>63</v>
      </c>
      <c r="J1114" s="47" t="s">
        <v>51</v>
      </c>
      <c r="K1114" s="48">
        <v>45295</v>
      </c>
      <c r="L1114" s="48">
        <v>45295</v>
      </c>
      <c r="M1114" s="48">
        <v>45476</v>
      </c>
      <c r="N1114" s="47" t="s">
        <v>52</v>
      </c>
      <c r="O1114" s="55" t="s">
        <v>53</v>
      </c>
      <c r="P1114" s="62">
        <v>11950</v>
      </c>
      <c r="Q1114" s="62">
        <v>995.83333333333337</v>
      </c>
      <c r="R1114" s="96">
        <v>11400</v>
      </c>
      <c r="S1114" s="62">
        <f t="shared" si="263"/>
        <v>950</v>
      </c>
      <c r="T1114" s="62">
        <v>11340</v>
      </c>
      <c r="U1114" s="62">
        <f t="shared" si="270"/>
        <v>945</v>
      </c>
      <c r="V1114" s="69">
        <v>11950</v>
      </c>
      <c r="W1114" s="71">
        <v>970</v>
      </c>
      <c r="X1114" s="172">
        <f t="shared" si="273"/>
        <v>931.2</v>
      </c>
      <c r="Y1114" s="173">
        <f t="shared" si="274"/>
        <v>-1.4603174603174555E-2</v>
      </c>
      <c r="Z1114" s="64">
        <f t="shared" si="264"/>
        <v>2.6455026455026454E-2</v>
      </c>
      <c r="AA1114" s="64">
        <f t="shared" ref="AA1114:AA1177" si="275">(W1114-S1114)/S1114</f>
        <v>2.1052631578947368E-2</v>
      </c>
      <c r="AB1114" s="71">
        <v>970</v>
      </c>
      <c r="AC1114" s="180">
        <f t="shared" si="265"/>
        <v>2.6455026455026454E-2</v>
      </c>
      <c r="AD1114" s="64">
        <f t="shared" si="258"/>
        <v>2.1052631578947368E-2</v>
      </c>
      <c r="AE1114" s="71">
        <f t="shared" si="272"/>
        <v>970</v>
      </c>
      <c r="AF1114" s="180">
        <f t="shared" si="266"/>
        <v>2.6455026455026454E-2</v>
      </c>
      <c r="AG1114" s="64">
        <f t="shared" si="259"/>
        <v>2.1052631578947368E-2</v>
      </c>
      <c r="AH1114" s="67" t="s">
        <v>137</v>
      </c>
      <c r="AI1114" s="47" t="s">
        <v>54</v>
      </c>
      <c r="AJ1114" s="47">
        <v>485</v>
      </c>
      <c r="AK1114" s="47" t="s">
        <v>55</v>
      </c>
      <c r="AL1114" s="47" t="s">
        <v>55</v>
      </c>
      <c r="AM1114" s="47" t="s">
        <v>131</v>
      </c>
      <c r="AN1114" s="50">
        <v>970</v>
      </c>
      <c r="AO1114" s="211">
        <f t="shared" si="267"/>
        <v>2.6455026455026454E-2</v>
      </c>
      <c r="AP1114" s="47" t="s">
        <v>90</v>
      </c>
      <c r="AQ1114" s="91" t="s">
        <v>116</v>
      </c>
      <c r="AR1114" s="47"/>
    </row>
    <row r="1115" spans="1:44" hidden="1">
      <c r="A1115" s="47" t="s">
        <v>44</v>
      </c>
      <c r="B1115" s="47" t="str">
        <f t="shared" si="262"/>
        <v>July</v>
      </c>
      <c r="C1115" s="59">
        <v>45476</v>
      </c>
      <c r="D1115" s="47" t="s">
        <v>45</v>
      </c>
      <c r="E1115" s="47" t="s">
        <v>133</v>
      </c>
      <c r="F1115" s="47" t="s">
        <v>134</v>
      </c>
      <c r="G1115" s="47" t="s">
        <v>919</v>
      </c>
      <c r="H1115" s="47" t="s">
        <v>920</v>
      </c>
      <c r="I1115" s="47" t="s">
        <v>63</v>
      </c>
      <c r="J1115" s="47" t="s">
        <v>51</v>
      </c>
      <c r="K1115" s="48">
        <v>45295</v>
      </c>
      <c r="L1115" s="48">
        <v>45295</v>
      </c>
      <c r="M1115" s="48">
        <v>45476</v>
      </c>
      <c r="N1115" s="47" t="s">
        <v>52</v>
      </c>
      <c r="O1115" s="55" t="s">
        <v>53</v>
      </c>
      <c r="P1115" s="62">
        <v>12123</v>
      </c>
      <c r="Q1115" s="62">
        <v>1010.25</v>
      </c>
      <c r="R1115" s="96">
        <v>12000</v>
      </c>
      <c r="S1115" s="62">
        <f t="shared" si="263"/>
        <v>1000</v>
      </c>
      <c r="T1115" s="62">
        <v>11340</v>
      </c>
      <c r="U1115" s="62">
        <f t="shared" si="270"/>
        <v>945</v>
      </c>
      <c r="V1115" s="69">
        <v>12123</v>
      </c>
      <c r="W1115" s="71">
        <v>970</v>
      </c>
      <c r="X1115" s="172">
        <f t="shared" si="273"/>
        <v>931.2</v>
      </c>
      <c r="Y1115" s="173">
        <f t="shared" si="274"/>
        <v>-1.4603174603174555E-2</v>
      </c>
      <c r="Z1115" s="64">
        <f t="shared" si="264"/>
        <v>2.6455026455026454E-2</v>
      </c>
      <c r="AA1115" s="64">
        <f t="shared" si="275"/>
        <v>-0.03</v>
      </c>
      <c r="AB1115" s="71">
        <v>970</v>
      </c>
      <c r="AC1115" s="180">
        <f t="shared" si="265"/>
        <v>2.6455026455026454E-2</v>
      </c>
      <c r="AD1115" s="64">
        <f t="shared" si="258"/>
        <v>-0.03</v>
      </c>
      <c r="AE1115" s="71">
        <f t="shared" si="272"/>
        <v>970</v>
      </c>
      <c r="AF1115" s="180">
        <f t="shared" si="266"/>
        <v>2.6455026455026454E-2</v>
      </c>
      <c r="AG1115" s="64">
        <f t="shared" si="259"/>
        <v>-0.03</v>
      </c>
      <c r="AH1115" s="67" t="s">
        <v>137</v>
      </c>
      <c r="AI1115" s="47" t="s">
        <v>54</v>
      </c>
      <c r="AJ1115" s="47">
        <v>492</v>
      </c>
      <c r="AK1115" s="47" t="s">
        <v>55</v>
      </c>
      <c r="AL1115" s="47" t="s">
        <v>55</v>
      </c>
      <c r="AM1115" s="47" t="s">
        <v>131</v>
      </c>
      <c r="AN1115" s="50">
        <v>970</v>
      </c>
      <c r="AO1115" s="211">
        <f t="shared" si="267"/>
        <v>2.6455026455026454E-2</v>
      </c>
      <c r="AP1115" s="47" t="s">
        <v>90</v>
      </c>
      <c r="AQ1115" s="91" t="s">
        <v>116</v>
      </c>
      <c r="AR1115" s="47"/>
    </row>
    <row r="1116" spans="1:44" hidden="1">
      <c r="A1116" s="47" t="s">
        <v>74</v>
      </c>
      <c r="B1116" s="47" t="str">
        <f t="shared" si="262"/>
        <v>July</v>
      </c>
      <c r="C1116" s="59">
        <v>45495</v>
      </c>
      <c r="D1116" s="47" t="s">
        <v>45</v>
      </c>
      <c r="E1116" s="47" t="s">
        <v>133</v>
      </c>
      <c r="F1116" s="47" t="s">
        <v>134</v>
      </c>
      <c r="G1116" s="47" t="s">
        <v>921</v>
      </c>
      <c r="H1116" s="47" t="s">
        <v>922</v>
      </c>
      <c r="I1116" s="47" t="s">
        <v>63</v>
      </c>
      <c r="J1116" s="47" t="s">
        <v>51</v>
      </c>
      <c r="K1116" s="48">
        <v>45253</v>
      </c>
      <c r="L1116" s="48">
        <v>45253</v>
      </c>
      <c r="M1116" s="48">
        <v>45495</v>
      </c>
      <c r="N1116" s="47" t="s">
        <v>52</v>
      </c>
      <c r="O1116" s="55" t="s">
        <v>53</v>
      </c>
      <c r="P1116" s="62">
        <v>10718</v>
      </c>
      <c r="Q1116" s="62">
        <v>893.16666666666663</v>
      </c>
      <c r="R1116" s="96">
        <v>11940</v>
      </c>
      <c r="S1116" s="62">
        <f t="shared" si="263"/>
        <v>995</v>
      </c>
      <c r="T1116" s="62">
        <v>11100</v>
      </c>
      <c r="U1116" s="62">
        <f t="shared" si="270"/>
        <v>925</v>
      </c>
      <c r="V1116" s="69">
        <v>10718</v>
      </c>
      <c r="W1116" s="71">
        <v>950</v>
      </c>
      <c r="X1116" s="172">
        <f t="shared" si="273"/>
        <v>912</v>
      </c>
      <c r="Y1116" s="173">
        <f t="shared" si="274"/>
        <v>-1.4054054054054054E-2</v>
      </c>
      <c r="Z1116" s="64">
        <f t="shared" si="264"/>
        <v>2.7027027027027029E-2</v>
      </c>
      <c r="AA1116" s="64">
        <f t="shared" si="275"/>
        <v>-4.5226130653266333E-2</v>
      </c>
      <c r="AB1116" s="71">
        <v>950</v>
      </c>
      <c r="AC1116" s="180">
        <f t="shared" si="265"/>
        <v>2.7027027027027029E-2</v>
      </c>
      <c r="AD1116" s="64">
        <f t="shared" si="258"/>
        <v>-4.5226130653266333E-2</v>
      </c>
      <c r="AE1116" s="71">
        <f t="shared" si="272"/>
        <v>950</v>
      </c>
      <c r="AF1116" s="180">
        <f t="shared" si="266"/>
        <v>2.7027027027027029E-2</v>
      </c>
      <c r="AG1116" s="64">
        <f t="shared" si="259"/>
        <v>-4.5226130653266333E-2</v>
      </c>
      <c r="AH1116" s="67" t="s">
        <v>137</v>
      </c>
      <c r="AI1116" s="47" t="s">
        <v>54</v>
      </c>
      <c r="AJ1116" s="47">
        <v>435</v>
      </c>
      <c r="AK1116" s="47" t="s">
        <v>55</v>
      </c>
      <c r="AL1116" s="47" t="s">
        <v>55</v>
      </c>
      <c r="AM1116" s="47" t="s">
        <v>131</v>
      </c>
      <c r="AN1116" s="50"/>
      <c r="AO1116" s="211">
        <f t="shared" si="267"/>
        <v>-1</v>
      </c>
      <c r="AP1116" s="47" t="s">
        <v>90</v>
      </c>
      <c r="AQ1116" s="135" t="s">
        <v>116</v>
      </c>
      <c r="AR1116" s="47"/>
    </row>
    <row r="1117" spans="1:44" hidden="1">
      <c r="A1117" s="47" t="s">
        <v>44</v>
      </c>
      <c r="B1117" s="47" t="str">
        <f t="shared" si="262"/>
        <v>July</v>
      </c>
      <c r="C1117" s="59">
        <v>45502</v>
      </c>
      <c r="D1117" s="47" t="s">
        <v>45</v>
      </c>
      <c r="E1117" s="47" t="s">
        <v>133</v>
      </c>
      <c r="F1117" s="47" t="s">
        <v>134</v>
      </c>
      <c r="G1117" s="47" t="s">
        <v>926</v>
      </c>
      <c r="H1117" s="47" t="s">
        <v>927</v>
      </c>
      <c r="I1117" s="47" t="s">
        <v>63</v>
      </c>
      <c r="J1117" s="47" t="s">
        <v>51</v>
      </c>
      <c r="K1117" s="48">
        <v>45199</v>
      </c>
      <c r="L1117" s="48">
        <v>45199</v>
      </c>
      <c r="M1117" s="48">
        <v>45502</v>
      </c>
      <c r="N1117" s="47" t="s">
        <v>52</v>
      </c>
      <c r="O1117" s="55" t="s">
        <v>53</v>
      </c>
      <c r="P1117" s="62">
        <v>12074</v>
      </c>
      <c r="Q1117" s="62">
        <v>1006.1666666666666</v>
      </c>
      <c r="R1117" s="280">
        <v>12120</v>
      </c>
      <c r="S1117" s="62">
        <f t="shared" si="263"/>
        <v>1010</v>
      </c>
      <c r="T1117" s="62">
        <v>11280</v>
      </c>
      <c r="U1117" s="62">
        <f t="shared" si="270"/>
        <v>940</v>
      </c>
      <c r="V1117" s="69">
        <v>12074</v>
      </c>
      <c r="W1117" s="71">
        <v>970</v>
      </c>
      <c r="X1117" s="172">
        <f t="shared" si="273"/>
        <v>931.2</v>
      </c>
      <c r="Y1117" s="173">
        <f t="shared" si="274"/>
        <v>-9.3617021276595266E-3</v>
      </c>
      <c r="Z1117" s="64">
        <f t="shared" si="264"/>
        <v>3.1914893617021274E-2</v>
      </c>
      <c r="AA1117" s="64">
        <f t="shared" si="275"/>
        <v>-3.9603960396039604E-2</v>
      </c>
      <c r="AB1117" s="71">
        <v>970</v>
      </c>
      <c r="AC1117" s="180">
        <f t="shared" si="265"/>
        <v>3.1914893617021274E-2</v>
      </c>
      <c r="AD1117" s="64">
        <f t="shared" si="258"/>
        <v>-3.9603960396039604E-2</v>
      </c>
      <c r="AE1117" s="71">
        <f t="shared" si="272"/>
        <v>970</v>
      </c>
      <c r="AF1117" s="180">
        <f t="shared" si="266"/>
        <v>3.1914893617021274E-2</v>
      </c>
      <c r="AG1117" s="64">
        <f t="shared" si="259"/>
        <v>-3.9603960396039604E-2</v>
      </c>
      <c r="AH1117" s="67" t="s">
        <v>137</v>
      </c>
      <c r="AI1117" s="47" t="s">
        <v>54</v>
      </c>
      <c r="AJ1117" s="47">
        <v>490</v>
      </c>
      <c r="AK1117" s="47" t="s">
        <v>55</v>
      </c>
      <c r="AL1117" s="47" t="s">
        <v>55</v>
      </c>
      <c r="AM1117" s="47" t="s">
        <v>131</v>
      </c>
      <c r="AN1117" s="50"/>
      <c r="AO1117" s="211">
        <f t="shared" si="267"/>
        <v>-1</v>
      </c>
      <c r="AP1117" s="47" t="s">
        <v>90</v>
      </c>
      <c r="AQ1117" s="91" t="s">
        <v>116</v>
      </c>
      <c r="AR1117" s="47"/>
    </row>
    <row r="1118" spans="1:44" hidden="1">
      <c r="A1118" s="47" t="s">
        <v>74</v>
      </c>
      <c r="B1118" s="47" t="str">
        <f t="shared" si="262"/>
        <v>August</v>
      </c>
      <c r="C1118" s="59">
        <v>45526</v>
      </c>
      <c r="D1118" s="47" t="s">
        <v>45</v>
      </c>
      <c r="E1118" s="47" t="s">
        <v>133</v>
      </c>
      <c r="F1118" s="47" t="s">
        <v>134</v>
      </c>
      <c r="G1118" s="47" t="s">
        <v>2640</v>
      </c>
      <c r="H1118" s="47" t="s">
        <v>2641</v>
      </c>
      <c r="I1118" s="47" t="s">
        <v>63</v>
      </c>
      <c r="J1118" s="47" t="s">
        <v>51</v>
      </c>
      <c r="K1118" s="48">
        <v>45345</v>
      </c>
      <c r="L1118" s="48">
        <v>45345</v>
      </c>
      <c r="M1118" s="48">
        <v>45526</v>
      </c>
      <c r="N1118" s="47" t="s">
        <v>52</v>
      </c>
      <c r="O1118" s="55" t="s">
        <v>53</v>
      </c>
      <c r="P1118" s="62">
        <v>12123</v>
      </c>
      <c r="Q1118" s="62">
        <v>1010.25</v>
      </c>
      <c r="R1118" s="96">
        <v>12000</v>
      </c>
      <c r="S1118" s="62">
        <f t="shared" si="263"/>
        <v>1000</v>
      </c>
      <c r="T1118" s="62">
        <v>11640</v>
      </c>
      <c r="U1118" s="62">
        <f t="shared" si="270"/>
        <v>970</v>
      </c>
      <c r="V1118" s="69">
        <v>12123</v>
      </c>
      <c r="W1118" s="71">
        <v>990</v>
      </c>
      <c r="X1118" s="172">
        <f t="shared" si="273"/>
        <v>950.4</v>
      </c>
      <c r="Y1118" s="173">
        <f t="shared" si="274"/>
        <v>-2.0206185567010333E-2</v>
      </c>
      <c r="Z1118" s="64">
        <f t="shared" si="264"/>
        <v>2.0618556701030927E-2</v>
      </c>
      <c r="AA1118" s="64">
        <f t="shared" si="275"/>
        <v>-0.01</v>
      </c>
      <c r="AB1118" s="71">
        <v>990</v>
      </c>
      <c r="AC1118" s="64">
        <f t="shared" si="265"/>
        <v>2.0618556701030927E-2</v>
      </c>
      <c r="AD1118" s="64">
        <f t="shared" si="258"/>
        <v>-0.01</v>
      </c>
      <c r="AE1118" s="71">
        <f t="shared" si="272"/>
        <v>990</v>
      </c>
      <c r="AF1118" s="64">
        <f t="shared" si="266"/>
        <v>2.0618556701030927E-2</v>
      </c>
      <c r="AG1118" s="64">
        <f t="shared" si="259"/>
        <v>-0.01</v>
      </c>
      <c r="AH1118" s="67" t="s">
        <v>137</v>
      </c>
      <c r="AI1118" s="47" t="s">
        <v>54</v>
      </c>
      <c r="AJ1118" s="47">
        <v>492</v>
      </c>
      <c r="AK1118" s="47" t="s">
        <v>55</v>
      </c>
      <c r="AL1118" s="47" t="s">
        <v>55</v>
      </c>
      <c r="AM1118" s="47" t="s">
        <v>131</v>
      </c>
      <c r="AN1118" s="50"/>
      <c r="AO1118" s="211">
        <f t="shared" si="267"/>
        <v>-1</v>
      </c>
      <c r="AP1118" s="47" t="s">
        <v>90</v>
      </c>
      <c r="AQ1118" s="91" t="s">
        <v>116</v>
      </c>
      <c r="AR1118" s="47"/>
    </row>
    <row r="1119" spans="1:44" hidden="1">
      <c r="A1119" s="47" t="s">
        <v>44</v>
      </c>
      <c r="B1119" s="47" t="s">
        <v>2711</v>
      </c>
      <c r="C1119" s="59">
        <v>45527</v>
      </c>
      <c r="D1119" s="47" t="s">
        <v>45</v>
      </c>
      <c r="E1119" s="47" t="s">
        <v>133</v>
      </c>
      <c r="F1119" s="47" t="s">
        <v>134</v>
      </c>
      <c r="G1119" s="47" t="s">
        <v>2712</v>
      </c>
      <c r="H1119" s="47" t="s">
        <v>2713</v>
      </c>
      <c r="I1119" s="47" t="s">
        <v>63</v>
      </c>
      <c r="J1119" s="47" t="s">
        <v>51</v>
      </c>
      <c r="K1119" s="48">
        <v>45254</v>
      </c>
      <c r="L1119" s="48">
        <v>45223</v>
      </c>
      <c r="M1119" s="48">
        <v>45527</v>
      </c>
      <c r="N1119" s="47" t="s">
        <v>52</v>
      </c>
      <c r="O1119" s="55" t="s">
        <v>53</v>
      </c>
      <c r="P1119" s="62">
        <v>12369</v>
      </c>
      <c r="Q1119" s="62">
        <v>1030.75</v>
      </c>
      <c r="R1119" s="96">
        <v>12120</v>
      </c>
      <c r="S1119" s="62">
        <f t="shared" si="263"/>
        <v>1010</v>
      </c>
      <c r="T1119" s="62">
        <v>11400</v>
      </c>
      <c r="U1119" s="62">
        <f t="shared" si="270"/>
        <v>950</v>
      </c>
      <c r="V1119" s="69">
        <v>12369</v>
      </c>
      <c r="W1119" s="71">
        <v>990</v>
      </c>
      <c r="X1119" s="172">
        <f t="shared" si="273"/>
        <v>950.4</v>
      </c>
      <c r="Y1119" s="176">
        <f t="shared" si="274"/>
        <v>4.2105263157892343E-4</v>
      </c>
      <c r="Z1119" s="64">
        <f t="shared" si="264"/>
        <v>4.2105263157894736E-2</v>
      </c>
      <c r="AA1119" s="64">
        <f t="shared" si="275"/>
        <v>-1.9801980198019802E-2</v>
      </c>
      <c r="AB1119" s="71">
        <v>990</v>
      </c>
      <c r="AC1119" s="64">
        <f t="shared" si="265"/>
        <v>4.2105263157894736E-2</v>
      </c>
      <c r="AD1119" s="64">
        <f t="shared" si="258"/>
        <v>-1.9801980198019802E-2</v>
      </c>
      <c r="AE1119" s="71">
        <f t="shared" si="272"/>
        <v>990</v>
      </c>
      <c r="AF1119" s="64">
        <f t="shared" si="266"/>
        <v>4.2105263157894736E-2</v>
      </c>
      <c r="AG1119" s="64">
        <f t="shared" si="259"/>
        <v>-1.9801980198019802E-2</v>
      </c>
      <c r="AH1119" s="67" t="s">
        <v>137</v>
      </c>
      <c r="AI1119" s="47" t="s">
        <v>54</v>
      </c>
      <c r="AJ1119" s="47">
        <v>502</v>
      </c>
      <c r="AK1119" s="47" t="s">
        <v>55</v>
      </c>
      <c r="AL1119" s="47" t="s">
        <v>55</v>
      </c>
      <c r="AM1119" s="47" t="s">
        <v>131</v>
      </c>
      <c r="AN1119" s="50"/>
      <c r="AO1119" s="211">
        <f t="shared" si="267"/>
        <v>-1</v>
      </c>
      <c r="AP1119" s="47" t="s">
        <v>90</v>
      </c>
      <c r="AQ1119" s="91" t="s">
        <v>116</v>
      </c>
      <c r="AR1119" s="47"/>
    </row>
    <row r="1120" spans="1:44" hidden="1">
      <c r="A1120" s="47" t="s">
        <v>44</v>
      </c>
      <c r="B1120" s="47" t="str">
        <f t="shared" ref="B1120:B1151" si="276">TEXT(C1120,"mmmm")</f>
        <v>August</v>
      </c>
      <c r="C1120" s="59">
        <v>45531</v>
      </c>
      <c r="D1120" s="47" t="s">
        <v>45</v>
      </c>
      <c r="E1120" s="47" t="s">
        <v>133</v>
      </c>
      <c r="F1120" s="47" t="s">
        <v>134</v>
      </c>
      <c r="G1120" s="47" t="s">
        <v>3172</v>
      </c>
      <c r="H1120" s="47" t="s">
        <v>3173</v>
      </c>
      <c r="I1120" s="47" t="s">
        <v>63</v>
      </c>
      <c r="J1120" s="47" t="s">
        <v>51</v>
      </c>
      <c r="K1120" s="48">
        <v>45227</v>
      </c>
      <c r="L1120" s="48">
        <v>45227</v>
      </c>
      <c r="M1120" s="48">
        <v>45531</v>
      </c>
      <c r="N1120" s="47" t="s">
        <v>52</v>
      </c>
      <c r="O1120" s="55" t="s">
        <v>53</v>
      </c>
      <c r="P1120" s="62">
        <v>13609</v>
      </c>
      <c r="Q1120" s="62">
        <v>1134.0833333333333</v>
      </c>
      <c r="R1120" s="96">
        <v>14160</v>
      </c>
      <c r="S1120" s="62">
        <f t="shared" si="263"/>
        <v>1180</v>
      </c>
      <c r="T1120" s="62">
        <v>14160</v>
      </c>
      <c r="U1120" s="62">
        <f t="shared" si="270"/>
        <v>1180</v>
      </c>
      <c r="V1120" s="69">
        <v>13609</v>
      </c>
      <c r="W1120" s="71">
        <v>1180</v>
      </c>
      <c r="X1120" s="172">
        <f t="shared" si="273"/>
        <v>1132.8</v>
      </c>
      <c r="Y1120" s="173">
        <f t="shared" si="274"/>
        <v>-4.0000000000000036E-2</v>
      </c>
      <c r="Z1120" s="64">
        <f t="shared" si="264"/>
        <v>0</v>
      </c>
      <c r="AA1120" s="64">
        <f t="shared" si="275"/>
        <v>0</v>
      </c>
      <c r="AB1120" s="71">
        <v>1180</v>
      </c>
      <c r="AC1120" s="64">
        <f t="shared" si="265"/>
        <v>0</v>
      </c>
      <c r="AD1120" s="64">
        <f t="shared" si="258"/>
        <v>0</v>
      </c>
      <c r="AE1120" s="71">
        <f t="shared" si="272"/>
        <v>1180</v>
      </c>
      <c r="AF1120" s="64">
        <f t="shared" si="266"/>
        <v>0</v>
      </c>
      <c r="AG1120" s="64">
        <f t="shared" si="259"/>
        <v>0</v>
      </c>
      <c r="AH1120" s="67" t="s">
        <v>137</v>
      </c>
      <c r="AI1120" s="47" t="s">
        <v>54</v>
      </c>
      <c r="AJ1120" s="47">
        <v>638</v>
      </c>
      <c r="AK1120" s="47" t="s">
        <v>65</v>
      </c>
      <c r="AL1120" s="47" t="s">
        <v>65</v>
      </c>
      <c r="AM1120" s="47" t="s">
        <v>131</v>
      </c>
      <c r="AN1120" s="50">
        <v>1200</v>
      </c>
      <c r="AO1120" s="211">
        <f t="shared" si="267"/>
        <v>1.6949152542372881E-2</v>
      </c>
      <c r="AP1120" s="47" t="s">
        <v>90</v>
      </c>
      <c r="AQ1120" s="91" t="s">
        <v>116</v>
      </c>
      <c r="AR1120" s="47"/>
    </row>
    <row r="1121" spans="1:44" hidden="1">
      <c r="A1121" s="47" t="s">
        <v>74</v>
      </c>
      <c r="B1121" s="47" t="str">
        <f t="shared" si="276"/>
        <v>August</v>
      </c>
      <c r="C1121" s="59">
        <v>45534</v>
      </c>
      <c r="D1121" s="47" t="s">
        <v>45</v>
      </c>
      <c r="E1121" s="47" t="s">
        <v>133</v>
      </c>
      <c r="F1121" s="47" t="s">
        <v>134</v>
      </c>
      <c r="G1121" s="47" t="s">
        <v>3497</v>
      </c>
      <c r="H1121" s="47" t="s">
        <v>3498</v>
      </c>
      <c r="I1121" s="47" t="s">
        <v>63</v>
      </c>
      <c r="J1121" s="47" t="s">
        <v>51</v>
      </c>
      <c r="K1121" s="48">
        <v>45351</v>
      </c>
      <c r="L1121" s="48">
        <v>45351</v>
      </c>
      <c r="M1121" s="48">
        <v>45532</v>
      </c>
      <c r="N1121" s="47" t="s">
        <v>52</v>
      </c>
      <c r="O1121" s="55" t="s">
        <v>53</v>
      </c>
      <c r="P1121" s="62">
        <v>11950</v>
      </c>
      <c r="Q1121" s="62">
        <v>995.83333333333337</v>
      </c>
      <c r="R1121" s="96">
        <v>11400</v>
      </c>
      <c r="S1121" s="62">
        <f t="shared" si="263"/>
        <v>950</v>
      </c>
      <c r="T1121" s="62">
        <v>11220</v>
      </c>
      <c r="U1121" s="62">
        <f t="shared" si="270"/>
        <v>935</v>
      </c>
      <c r="V1121" s="69">
        <v>11950</v>
      </c>
      <c r="W1121" s="71">
        <v>990</v>
      </c>
      <c r="X1121" s="172">
        <f t="shared" si="273"/>
        <v>950.4</v>
      </c>
      <c r="Y1121" s="176">
        <f t="shared" si="274"/>
        <v>1.6470588235294095E-2</v>
      </c>
      <c r="Z1121" s="64">
        <f t="shared" si="264"/>
        <v>5.8823529411764705E-2</v>
      </c>
      <c r="AA1121" s="64">
        <f t="shared" si="275"/>
        <v>4.2105263157894736E-2</v>
      </c>
      <c r="AB1121" s="71">
        <v>990</v>
      </c>
      <c r="AC1121" s="64">
        <f t="shared" si="265"/>
        <v>5.8823529411764705E-2</v>
      </c>
      <c r="AD1121" s="64">
        <f t="shared" si="258"/>
        <v>4.2105263157894736E-2</v>
      </c>
      <c r="AE1121" s="71">
        <f t="shared" si="272"/>
        <v>990</v>
      </c>
      <c r="AF1121" s="64">
        <f t="shared" si="266"/>
        <v>5.8823529411764705E-2</v>
      </c>
      <c r="AG1121" s="64">
        <f t="shared" si="259"/>
        <v>4.2105263157894736E-2</v>
      </c>
      <c r="AH1121" s="67" t="s">
        <v>137</v>
      </c>
      <c r="AI1121" s="47" t="s">
        <v>54</v>
      </c>
      <c r="AJ1121" s="47">
        <v>485</v>
      </c>
      <c r="AK1121" s="47" t="s">
        <v>55</v>
      </c>
      <c r="AL1121" s="47" t="s">
        <v>55</v>
      </c>
      <c r="AM1121" s="47" t="s">
        <v>131</v>
      </c>
      <c r="AN1121" s="50"/>
      <c r="AO1121" s="211">
        <f t="shared" si="267"/>
        <v>-1</v>
      </c>
      <c r="AP1121" s="47" t="s">
        <v>90</v>
      </c>
      <c r="AQ1121" s="91" t="s">
        <v>116</v>
      </c>
      <c r="AR1121" s="47"/>
    </row>
    <row r="1122" spans="1:44" hidden="1">
      <c r="A1122" s="47" t="s">
        <v>44</v>
      </c>
      <c r="B1122" s="47" t="str">
        <f t="shared" si="276"/>
        <v>August</v>
      </c>
      <c r="C1122" s="59">
        <v>45535</v>
      </c>
      <c r="D1122" s="47" t="s">
        <v>45</v>
      </c>
      <c r="E1122" s="47" t="s">
        <v>133</v>
      </c>
      <c r="F1122" s="47" t="s">
        <v>134</v>
      </c>
      <c r="G1122" s="47" t="s">
        <v>3607</v>
      </c>
      <c r="H1122" s="47" t="s">
        <v>3608</v>
      </c>
      <c r="I1122" s="47" t="s">
        <v>63</v>
      </c>
      <c r="J1122" s="47" t="s">
        <v>51</v>
      </c>
      <c r="K1122" s="48">
        <v>45231</v>
      </c>
      <c r="L1122" s="48">
        <v>45231</v>
      </c>
      <c r="M1122" s="48">
        <v>45535</v>
      </c>
      <c r="N1122" s="47" t="s">
        <v>52</v>
      </c>
      <c r="O1122" s="55" t="s">
        <v>53</v>
      </c>
      <c r="P1122" s="62">
        <v>9050</v>
      </c>
      <c r="Q1122" s="62">
        <v>754.16666666666663</v>
      </c>
      <c r="R1122" s="96">
        <v>9480</v>
      </c>
      <c r="S1122" s="62">
        <f t="shared" si="263"/>
        <v>790</v>
      </c>
      <c r="T1122" s="62">
        <v>9120</v>
      </c>
      <c r="U1122" s="62">
        <f t="shared" si="270"/>
        <v>760</v>
      </c>
      <c r="V1122" s="69">
        <v>9050</v>
      </c>
      <c r="W1122" s="71">
        <v>785</v>
      </c>
      <c r="X1122" s="172">
        <f t="shared" si="273"/>
        <v>753.6</v>
      </c>
      <c r="Y1122" s="173">
        <f t="shared" si="274"/>
        <v>-8.4210526315789177E-3</v>
      </c>
      <c r="Z1122" s="64">
        <f t="shared" si="264"/>
        <v>3.2894736842105261E-2</v>
      </c>
      <c r="AA1122" s="64">
        <f t="shared" si="275"/>
        <v>-6.3291139240506328E-3</v>
      </c>
      <c r="AB1122" s="71">
        <v>785</v>
      </c>
      <c r="AC1122" s="64">
        <f t="shared" si="265"/>
        <v>3.2894736842105261E-2</v>
      </c>
      <c r="AD1122" s="64">
        <f t="shared" si="258"/>
        <v>-6.3291139240506328E-3</v>
      </c>
      <c r="AE1122" s="71">
        <f t="shared" si="272"/>
        <v>785</v>
      </c>
      <c r="AF1122" s="64">
        <f t="shared" si="266"/>
        <v>3.2894736842105261E-2</v>
      </c>
      <c r="AG1122" s="64">
        <f t="shared" si="259"/>
        <v>-6.3291139240506328E-3</v>
      </c>
      <c r="AH1122" s="67" t="s">
        <v>137</v>
      </c>
      <c r="AI1122" s="47" t="s">
        <v>54</v>
      </c>
      <c r="AJ1122" s="47">
        <v>332</v>
      </c>
      <c r="AK1122" s="47" t="s">
        <v>93</v>
      </c>
      <c r="AL1122" s="47" t="s">
        <v>55</v>
      </c>
      <c r="AM1122" s="47" t="s">
        <v>131</v>
      </c>
      <c r="AN1122" s="50"/>
      <c r="AO1122" s="211">
        <f t="shared" si="267"/>
        <v>-1</v>
      </c>
      <c r="AP1122" s="47" t="s">
        <v>90</v>
      </c>
      <c r="AQ1122" s="91" t="s">
        <v>116</v>
      </c>
      <c r="AR1122" s="47" t="s">
        <v>1766</v>
      </c>
    </row>
    <row r="1123" spans="1:44" hidden="1">
      <c r="A1123" s="47" t="s">
        <v>44</v>
      </c>
      <c r="B1123" s="47" t="str">
        <f t="shared" si="276"/>
        <v>August</v>
      </c>
      <c r="C1123" s="59">
        <v>45535</v>
      </c>
      <c r="D1123" s="47" t="s">
        <v>45</v>
      </c>
      <c r="E1123" s="47" t="s">
        <v>133</v>
      </c>
      <c r="F1123" s="47" t="s">
        <v>134</v>
      </c>
      <c r="G1123" s="47" t="s">
        <v>3609</v>
      </c>
      <c r="H1123" s="47" t="s">
        <v>3610</v>
      </c>
      <c r="I1123" s="47" t="s">
        <v>63</v>
      </c>
      <c r="J1123" s="47" t="s">
        <v>51</v>
      </c>
      <c r="K1123" s="48">
        <v>45231</v>
      </c>
      <c r="L1123" s="48">
        <v>45231</v>
      </c>
      <c r="M1123" s="48">
        <v>45535</v>
      </c>
      <c r="N1123" s="47" t="s">
        <v>52</v>
      </c>
      <c r="O1123" s="55" t="s">
        <v>53</v>
      </c>
      <c r="P1123" s="62">
        <v>9050</v>
      </c>
      <c r="Q1123" s="62">
        <v>754.16666666666663</v>
      </c>
      <c r="R1123" s="96">
        <v>9360</v>
      </c>
      <c r="S1123" s="62">
        <f t="shared" si="263"/>
        <v>780</v>
      </c>
      <c r="T1123" s="62">
        <v>8880</v>
      </c>
      <c r="U1123" s="62">
        <f t="shared" si="270"/>
        <v>740</v>
      </c>
      <c r="V1123" s="69">
        <v>9050</v>
      </c>
      <c r="W1123" s="71">
        <v>765</v>
      </c>
      <c r="X1123" s="172">
        <f t="shared" si="273"/>
        <v>734.4</v>
      </c>
      <c r="Y1123" s="173">
        <f t="shared" si="274"/>
        <v>-7.5675675675675987E-3</v>
      </c>
      <c r="Z1123" s="64">
        <f t="shared" si="264"/>
        <v>3.3783783783783786E-2</v>
      </c>
      <c r="AA1123" s="64">
        <f t="shared" si="275"/>
        <v>-1.9230769230769232E-2</v>
      </c>
      <c r="AB1123" s="71">
        <v>765</v>
      </c>
      <c r="AC1123" s="64">
        <f t="shared" si="265"/>
        <v>3.3783783783783786E-2</v>
      </c>
      <c r="AD1123" s="64">
        <f t="shared" si="258"/>
        <v>-1.9230769230769232E-2</v>
      </c>
      <c r="AE1123" s="71">
        <v>750</v>
      </c>
      <c r="AF1123" s="64">
        <f t="shared" si="266"/>
        <v>1.3513513513513514E-2</v>
      </c>
      <c r="AG1123" s="64">
        <f t="shared" si="259"/>
        <v>-3.8461538461538464E-2</v>
      </c>
      <c r="AH1123" s="67" t="s">
        <v>137</v>
      </c>
      <c r="AI1123" s="47" t="s">
        <v>54</v>
      </c>
      <c r="AJ1123" s="47">
        <v>332</v>
      </c>
      <c r="AK1123" s="47" t="s">
        <v>93</v>
      </c>
      <c r="AL1123" s="47" t="s">
        <v>55</v>
      </c>
      <c r="AM1123" s="47" t="s">
        <v>131</v>
      </c>
      <c r="AN1123" s="50"/>
      <c r="AO1123" s="211">
        <f t="shared" si="267"/>
        <v>-1</v>
      </c>
      <c r="AP1123" s="47" t="s">
        <v>90</v>
      </c>
      <c r="AQ1123" s="91" t="s">
        <v>116</v>
      </c>
      <c r="AR1123" s="47"/>
    </row>
    <row r="1124" spans="1:44">
      <c r="A1124" s="47" t="s">
        <v>44</v>
      </c>
      <c r="B1124" s="47" t="str">
        <f t="shared" si="276"/>
        <v>August</v>
      </c>
      <c r="C1124" s="59">
        <v>45505</v>
      </c>
      <c r="D1124" s="47" t="s">
        <v>83</v>
      </c>
      <c r="E1124" s="47" t="s">
        <v>118</v>
      </c>
      <c r="F1124" s="47" t="s">
        <v>119</v>
      </c>
      <c r="G1124" s="47" t="s">
        <v>120</v>
      </c>
      <c r="H1124" s="47" t="s">
        <v>121</v>
      </c>
      <c r="I1124" s="47" t="s">
        <v>122</v>
      </c>
      <c r="J1124" s="47" t="s">
        <v>51</v>
      </c>
      <c r="K1124" s="48">
        <v>44228</v>
      </c>
      <c r="L1124" s="48">
        <v>45140</v>
      </c>
      <c r="M1124" s="48">
        <v>45505</v>
      </c>
      <c r="N1124" s="47" t="s">
        <v>64</v>
      </c>
      <c r="O1124" s="55" t="s">
        <v>53</v>
      </c>
      <c r="P1124" s="62">
        <v>22500</v>
      </c>
      <c r="Q1124" s="62">
        <v>1875</v>
      </c>
      <c r="R1124" s="103">
        <v>23220</v>
      </c>
      <c r="S1124" s="62">
        <f t="shared" si="263"/>
        <v>1935</v>
      </c>
      <c r="T1124" s="62">
        <v>23400</v>
      </c>
      <c r="U1124" s="62">
        <f t="shared" si="270"/>
        <v>1950</v>
      </c>
      <c r="V1124" s="69">
        <v>21360</v>
      </c>
      <c r="W1124" s="71" t="s">
        <v>123</v>
      </c>
      <c r="X1124" s="71"/>
      <c r="Y1124" s="71"/>
      <c r="Z1124" s="64" t="e">
        <f t="shared" si="264"/>
        <v>#VALUE!</v>
      </c>
      <c r="AA1124" s="64" t="e">
        <f t="shared" si="275"/>
        <v>#VALUE!</v>
      </c>
      <c r="AB1124" s="71">
        <v>2050</v>
      </c>
      <c r="AC1124" s="64">
        <f t="shared" si="265"/>
        <v>5.128205128205128E-2</v>
      </c>
      <c r="AD1124" s="64">
        <f t="shared" si="258"/>
        <v>5.9431524547803614E-2</v>
      </c>
      <c r="AE1124" s="71">
        <v>2025</v>
      </c>
      <c r="AF1124" s="64">
        <f t="shared" si="266"/>
        <v>3.8461538461538464E-2</v>
      </c>
      <c r="AG1124" s="64">
        <f t="shared" si="259"/>
        <v>4.6511627906976744E-2</v>
      </c>
      <c r="AH1124" s="67"/>
      <c r="AI1124" s="47" t="s">
        <v>54</v>
      </c>
      <c r="AJ1124" s="47">
        <v>657</v>
      </c>
      <c r="AK1124" s="47" t="s">
        <v>65</v>
      </c>
      <c r="AL1124" s="47" t="s">
        <v>55</v>
      </c>
      <c r="AM1124" s="47" t="s">
        <v>124</v>
      </c>
      <c r="AN1124" s="47">
        <v>2050</v>
      </c>
      <c r="AO1124" s="211">
        <f t="shared" si="267"/>
        <v>5.128205128205128E-2</v>
      </c>
      <c r="AP1124" s="47" t="s">
        <v>90</v>
      </c>
      <c r="AQ1124" s="111" t="s">
        <v>125</v>
      </c>
      <c r="AR1124" s="47"/>
    </row>
    <row r="1125" spans="1:44">
      <c r="A1125" s="47" t="s">
        <v>44</v>
      </c>
      <c r="B1125" s="47" t="str">
        <f t="shared" si="276"/>
        <v>August</v>
      </c>
      <c r="C1125" s="59">
        <v>45507</v>
      </c>
      <c r="D1125" s="47" t="s">
        <v>83</v>
      </c>
      <c r="E1125" s="47" t="s">
        <v>118</v>
      </c>
      <c r="F1125" s="47" t="s">
        <v>119</v>
      </c>
      <c r="G1125" s="47" t="s">
        <v>238</v>
      </c>
      <c r="H1125" s="47" t="s">
        <v>239</v>
      </c>
      <c r="I1125" s="47" t="s">
        <v>240</v>
      </c>
      <c r="J1125" s="47" t="s">
        <v>51</v>
      </c>
      <c r="K1125" s="48">
        <v>41855</v>
      </c>
      <c r="L1125" s="48">
        <v>45142</v>
      </c>
      <c r="M1125" s="48">
        <v>45507</v>
      </c>
      <c r="N1125" s="47" t="s">
        <v>64</v>
      </c>
      <c r="O1125" s="55" t="s">
        <v>53</v>
      </c>
      <c r="P1125" s="62">
        <v>14700</v>
      </c>
      <c r="Q1125" s="62">
        <v>1225</v>
      </c>
      <c r="R1125" s="103">
        <v>16140</v>
      </c>
      <c r="S1125" s="62">
        <f t="shared" si="263"/>
        <v>1345</v>
      </c>
      <c r="T1125" s="62">
        <v>13620</v>
      </c>
      <c r="U1125" s="62">
        <f t="shared" si="270"/>
        <v>1135</v>
      </c>
      <c r="V1125" s="69">
        <v>12540</v>
      </c>
      <c r="W1125" s="71" t="s">
        <v>123</v>
      </c>
      <c r="X1125" s="71"/>
      <c r="Y1125" s="71"/>
      <c r="Z1125" s="64" t="e">
        <f t="shared" si="264"/>
        <v>#VALUE!</v>
      </c>
      <c r="AA1125" s="64" t="e">
        <f t="shared" si="275"/>
        <v>#VALUE!</v>
      </c>
      <c r="AB1125" s="71">
        <v>1350</v>
      </c>
      <c r="AC1125" s="64">
        <f t="shared" si="265"/>
        <v>0.1894273127753304</v>
      </c>
      <c r="AD1125" s="64">
        <f t="shared" ref="AD1125:AD1188" si="277">(AB1125-S1125)/S1125</f>
        <v>3.7174721189591076E-3</v>
      </c>
      <c r="AE1125" s="71">
        <v>1300</v>
      </c>
      <c r="AF1125" s="64">
        <f t="shared" si="266"/>
        <v>0.14537444933920704</v>
      </c>
      <c r="AG1125" s="64">
        <f t="shared" ref="AG1125:AG1188" si="278">(AE1125-S1125)/S1125</f>
        <v>-3.3457249070631967E-2</v>
      </c>
      <c r="AH1125" s="67" t="s">
        <v>241</v>
      </c>
      <c r="AI1125" s="47" t="s">
        <v>54</v>
      </c>
      <c r="AJ1125" s="47">
        <v>347</v>
      </c>
      <c r="AK1125" s="47" t="s">
        <v>93</v>
      </c>
      <c r="AL1125" s="47" t="s">
        <v>55</v>
      </c>
      <c r="AM1125" s="47" t="s">
        <v>242</v>
      </c>
      <c r="AN1125" s="47">
        <v>1350</v>
      </c>
      <c r="AO1125" s="211">
        <f t="shared" si="267"/>
        <v>0.1894273127753304</v>
      </c>
      <c r="AP1125" s="47" t="s">
        <v>90</v>
      </c>
      <c r="AQ1125" s="91" t="s">
        <v>58</v>
      </c>
      <c r="AR1125" s="47"/>
    </row>
    <row r="1126" spans="1:44">
      <c r="A1126" s="47" t="s">
        <v>44</v>
      </c>
      <c r="B1126" s="47" t="str">
        <f t="shared" si="276"/>
        <v>August</v>
      </c>
      <c r="C1126" s="59">
        <v>45507</v>
      </c>
      <c r="D1126" s="47" t="s">
        <v>83</v>
      </c>
      <c r="E1126" s="47" t="s">
        <v>118</v>
      </c>
      <c r="F1126" s="47" t="s">
        <v>119</v>
      </c>
      <c r="G1126" s="47" t="s">
        <v>245</v>
      </c>
      <c r="H1126" s="47" t="s">
        <v>246</v>
      </c>
      <c r="I1126" s="47" t="s">
        <v>50</v>
      </c>
      <c r="J1126" s="47" t="s">
        <v>51</v>
      </c>
      <c r="K1126" s="48">
        <v>44412</v>
      </c>
      <c r="L1126" s="48">
        <v>45142</v>
      </c>
      <c r="M1126" s="48">
        <v>45507</v>
      </c>
      <c r="N1126" s="47" t="s">
        <v>64</v>
      </c>
      <c r="O1126" s="55" t="s">
        <v>53</v>
      </c>
      <c r="P1126" s="62">
        <v>17580</v>
      </c>
      <c r="Q1126" s="62">
        <v>1465</v>
      </c>
      <c r="R1126" s="103">
        <v>18780</v>
      </c>
      <c r="S1126" s="62">
        <f t="shared" si="263"/>
        <v>1565</v>
      </c>
      <c r="T1126" s="62">
        <v>17280</v>
      </c>
      <c r="U1126" s="62">
        <f t="shared" si="270"/>
        <v>1440</v>
      </c>
      <c r="V1126" s="69">
        <v>15960</v>
      </c>
      <c r="W1126" s="71" t="s">
        <v>123</v>
      </c>
      <c r="X1126" s="71"/>
      <c r="Y1126" s="71"/>
      <c r="Z1126" s="64" t="e">
        <f t="shared" si="264"/>
        <v>#VALUE!</v>
      </c>
      <c r="AA1126" s="64" t="e">
        <f t="shared" si="275"/>
        <v>#VALUE!</v>
      </c>
      <c r="AB1126" s="71">
        <v>1600</v>
      </c>
      <c r="AC1126" s="64">
        <f t="shared" si="265"/>
        <v>0.1111111111111111</v>
      </c>
      <c r="AD1126" s="64">
        <f t="shared" si="277"/>
        <v>2.2364217252396165E-2</v>
      </c>
      <c r="AE1126" s="71">
        <v>1585</v>
      </c>
      <c r="AF1126" s="64">
        <f t="shared" si="266"/>
        <v>0.10069444444444445</v>
      </c>
      <c r="AG1126" s="64">
        <f t="shared" si="278"/>
        <v>1.2779552715654952E-2</v>
      </c>
      <c r="AH1126" s="67"/>
      <c r="AI1126" s="47" t="s">
        <v>54</v>
      </c>
      <c r="AJ1126" s="47">
        <v>499</v>
      </c>
      <c r="AK1126" s="47" t="s">
        <v>55</v>
      </c>
      <c r="AL1126" s="47" t="s">
        <v>55</v>
      </c>
      <c r="AM1126" s="47" t="s">
        <v>247</v>
      </c>
      <c r="AN1126" s="47">
        <v>1600</v>
      </c>
      <c r="AO1126" s="211">
        <f t="shared" si="267"/>
        <v>0.1111111111111111</v>
      </c>
      <c r="AP1126" s="47" t="s">
        <v>90</v>
      </c>
      <c r="AQ1126" s="91" t="s">
        <v>58</v>
      </c>
      <c r="AR1126" s="47"/>
    </row>
    <row r="1127" spans="1:44" hidden="1">
      <c r="A1127" s="47" t="s">
        <v>44</v>
      </c>
      <c r="B1127" s="47" t="str">
        <f t="shared" si="276"/>
        <v>August</v>
      </c>
      <c r="C1127" s="59">
        <v>45511</v>
      </c>
      <c r="D1127" s="47" t="s">
        <v>83</v>
      </c>
      <c r="E1127" s="47" t="s">
        <v>118</v>
      </c>
      <c r="F1127" s="47" t="s">
        <v>119</v>
      </c>
      <c r="G1127" s="47" t="s">
        <v>1332</v>
      </c>
      <c r="H1127" s="47" t="s">
        <v>1333</v>
      </c>
      <c r="I1127" s="47" t="s">
        <v>50</v>
      </c>
      <c r="J1127" s="47" t="s">
        <v>51</v>
      </c>
      <c r="K1127" s="48">
        <v>45146</v>
      </c>
      <c r="L1127" s="48">
        <v>45146</v>
      </c>
      <c r="M1127" s="48">
        <v>45511</v>
      </c>
      <c r="N1127" s="47" t="s">
        <v>52</v>
      </c>
      <c r="O1127" s="55" t="s">
        <v>53</v>
      </c>
      <c r="P1127" s="62">
        <v>14700</v>
      </c>
      <c r="Q1127" s="62">
        <v>1225</v>
      </c>
      <c r="R1127" s="103">
        <v>16140</v>
      </c>
      <c r="S1127" s="62">
        <f t="shared" si="263"/>
        <v>1345</v>
      </c>
      <c r="T1127" s="62">
        <v>15000</v>
      </c>
      <c r="U1127" s="62">
        <f t="shared" si="270"/>
        <v>1250</v>
      </c>
      <c r="V1127" s="69">
        <v>14100</v>
      </c>
      <c r="W1127" s="71" t="s">
        <v>123</v>
      </c>
      <c r="X1127" s="71"/>
      <c r="Y1127" s="71"/>
      <c r="Z1127" s="64" t="e">
        <f t="shared" si="264"/>
        <v>#VALUE!</v>
      </c>
      <c r="AA1127" s="64" t="e">
        <f t="shared" si="275"/>
        <v>#VALUE!</v>
      </c>
      <c r="AB1127" s="71">
        <v>1350</v>
      </c>
      <c r="AC1127" s="64">
        <f t="shared" si="265"/>
        <v>0.08</v>
      </c>
      <c r="AD1127" s="64">
        <f t="shared" si="277"/>
        <v>3.7174721189591076E-3</v>
      </c>
      <c r="AE1127" s="175">
        <v>1335</v>
      </c>
      <c r="AF1127" s="64">
        <f t="shared" si="266"/>
        <v>6.8000000000000005E-2</v>
      </c>
      <c r="AG1127" s="64">
        <f t="shared" si="278"/>
        <v>-7.4349442379182153E-3</v>
      </c>
      <c r="AH1127" s="67"/>
      <c r="AI1127" s="47" t="s">
        <v>54</v>
      </c>
      <c r="AJ1127" s="47">
        <v>312</v>
      </c>
      <c r="AK1127" s="47" t="s">
        <v>131</v>
      </c>
      <c r="AL1127" s="47" t="s">
        <v>131</v>
      </c>
      <c r="AM1127" s="47" t="s">
        <v>1334</v>
      </c>
      <c r="AN1127" s="47"/>
      <c r="AO1127" s="211">
        <f t="shared" si="267"/>
        <v>-1</v>
      </c>
      <c r="AP1127" s="47" t="s">
        <v>90</v>
      </c>
      <c r="AQ1127" s="91" t="s">
        <v>116</v>
      </c>
      <c r="AR1127" s="47"/>
    </row>
    <row r="1128" spans="1:44">
      <c r="A1128" s="47" t="s">
        <v>44</v>
      </c>
      <c r="B1128" s="47" t="str">
        <f t="shared" si="276"/>
        <v>August</v>
      </c>
      <c r="C1128" s="59">
        <v>45512</v>
      </c>
      <c r="D1128" s="47" t="s">
        <v>83</v>
      </c>
      <c r="E1128" s="47" t="s">
        <v>118</v>
      </c>
      <c r="F1128" s="47" t="s">
        <v>119</v>
      </c>
      <c r="G1128" s="47" t="s">
        <v>1402</v>
      </c>
      <c r="H1128" s="47" t="s">
        <v>1403</v>
      </c>
      <c r="I1128" s="47" t="s">
        <v>1404</v>
      </c>
      <c r="J1128" s="47" t="s">
        <v>51</v>
      </c>
      <c r="K1128" s="48">
        <v>44051</v>
      </c>
      <c r="L1128" s="48">
        <v>45147</v>
      </c>
      <c r="M1128" s="48">
        <v>45512</v>
      </c>
      <c r="N1128" s="47" t="s">
        <v>64</v>
      </c>
      <c r="O1128" s="55" t="s">
        <v>53</v>
      </c>
      <c r="P1128" s="62">
        <v>14700</v>
      </c>
      <c r="Q1128" s="62">
        <v>1225</v>
      </c>
      <c r="R1128" s="103">
        <v>16140</v>
      </c>
      <c r="S1128" s="62">
        <f t="shared" si="263"/>
        <v>1345</v>
      </c>
      <c r="T1128" s="62">
        <v>13500</v>
      </c>
      <c r="U1128" s="62">
        <f t="shared" si="270"/>
        <v>1125</v>
      </c>
      <c r="V1128" s="69">
        <v>12420</v>
      </c>
      <c r="W1128" s="71" t="s">
        <v>123</v>
      </c>
      <c r="X1128" s="71"/>
      <c r="Y1128" s="71"/>
      <c r="Z1128" s="64" t="e">
        <f t="shared" si="264"/>
        <v>#VALUE!</v>
      </c>
      <c r="AA1128" s="64" t="e">
        <f t="shared" si="275"/>
        <v>#VALUE!</v>
      </c>
      <c r="AB1128" s="71">
        <v>1200</v>
      </c>
      <c r="AC1128" s="64">
        <f t="shared" si="265"/>
        <v>6.6666666666666666E-2</v>
      </c>
      <c r="AD1128" s="64">
        <f t="shared" si="277"/>
        <v>-0.10780669144981413</v>
      </c>
      <c r="AE1128" s="175">
        <v>1200</v>
      </c>
      <c r="AF1128" s="64">
        <f t="shared" si="266"/>
        <v>6.6666666666666666E-2</v>
      </c>
      <c r="AG1128" s="64">
        <f t="shared" si="278"/>
        <v>-0.10780669144981413</v>
      </c>
      <c r="AH1128" s="67" t="s">
        <v>241</v>
      </c>
      <c r="AI1128" s="47" t="s">
        <v>54</v>
      </c>
      <c r="AJ1128" s="47">
        <v>331</v>
      </c>
      <c r="AK1128" s="47" t="s">
        <v>93</v>
      </c>
      <c r="AL1128" s="47" t="s">
        <v>55</v>
      </c>
      <c r="AM1128" s="47" t="s">
        <v>242</v>
      </c>
      <c r="AN1128" s="47"/>
      <c r="AO1128" s="211">
        <f t="shared" si="267"/>
        <v>-1</v>
      </c>
      <c r="AP1128" s="47" t="s">
        <v>90</v>
      </c>
      <c r="AQ1128" s="91" t="s">
        <v>116</v>
      </c>
      <c r="AR1128" s="47"/>
    </row>
    <row r="1129" spans="1:44" hidden="1">
      <c r="A1129" s="47" t="s">
        <v>44</v>
      </c>
      <c r="B1129" s="47" t="str">
        <f t="shared" si="276"/>
        <v>August</v>
      </c>
      <c r="C1129" s="59">
        <v>45513</v>
      </c>
      <c r="D1129" s="47" t="s">
        <v>83</v>
      </c>
      <c r="E1129" s="47" t="s">
        <v>118</v>
      </c>
      <c r="F1129" s="47" t="s">
        <v>119</v>
      </c>
      <c r="G1129" s="47" t="s">
        <v>1453</v>
      </c>
      <c r="H1129" s="47" t="s">
        <v>1454</v>
      </c>
      <c r="I1129" s="47" t="s">
        <v>1455</v>
      </c>
      <c r="J1129" s="47" t="s">
        <v>51</v>
      </c>
      <c r="K1129" s="48">
        <v>45148</v>
      </c>
      <c r="L1129" s="48">
        <v>45148</v>
      </c>
      <c r="M1129" s="48">
        <v>45513</v>
      </c>
      <c r="N1129" s="47" t="s">
        <v>52</v>
      </c>
      <c r="O1129" s="55" t="s">
        <v>53</v>
      </c>
      <c r="P1129" s="62">
        <v>21180</v>
      </c>
      <c r="Q1129" s="62">
        <v>1765</v>
      </c>
      <c r="R1129" s="103">
        <v>22380</v>
      </c>
      <c r="S1129" s="62">
        <f t="shared" si="263"/>
        <v>1865</v>
      </c>
      <c r="T1129" s="62">
        <v>22080</v>
      </c>
      <c r="U1129" s="62">
        <f t="shared" si="270"/>
        <v>1840</v>
      </c>
      <c r="V1129" s="69">
        <v>20400</v>
      </c>
      <c r="W1129" s="71" t="s">
        <v>123</v>
      </c>
      <c r="X1129" s="71"/>
      <c r="Y1129" s="71"/>
      <c r="Z1129" s="64" t="e">
        <f t="shared" si="264"/>
        <v>#VALUE!</v>
      </c>
      <c r="AA1129" s="64" t="e">
        <f t="shared" si="275"/>
        <v>#VALUE!</v>
      </c>
      <c r="AB1129" s="71">
        <v>1950</v>
      </c>
      <c r="AC1129" s="64">
        <f t="shared" si="265"/>
        <v>5.9782608695652176E-2</v>
      </c>
      <c r="AD1129" s="64">
        <f t="shared" si="277"/>
        <v>4.5576407506702415E-2</v>
      </c>
      <c r="AE1129" s="71">
        <v>1925</v>
      </c>
      <c r="AF1129" s="64">
        <f t="shared" si="266"/>
        <v>4.619565217391304E-2</v>
      </c>
      <c r="AG1129" s="64">
        <f t="shared" si="278"/>
        <v>3.2171581769436998E-2</v>
      </c>
      <c r="AH1129" s="67" t="s">
        <v>1456</v>
      </c>
      <c r="AI1129" s="47" t="s">
        <v>54</v>
      </c>
      <c r="AJ1129" s="47">
        <v>649</v>
      </c>
      <c r="AK1129" s="47" t="s">
        <v>55</v>
      </c>
      <c r="AL1129" s="47" t="s">
        <v>55</v>
      </c>
      <c r="AM1129" s="47" t="s">
        <v>1457</v>
      </c>
      <c r="AN1129" s="47">
        <v>1910</v>
      </c>
      <c r="AO1129" s="211">
        <f t="shared" si="267"/>
        <v>3.8043478260869568E-2</v>
      </c>
      <c r="AP1129" s="47" t="s">
        <v>90</v>
      </c>
      <c r="AQ1129" s="91" t="s">
        <v>116</v>
      </c>
      <c r="AR1129" s="47"/>
    </row>
    <row r="1130" spans="1:44">
      <c r="A1130" s="47" t="s">
        <v>44</v>
      </c>
      <c r="B1130" s="47" t="str">
        <f t="shared" si="276"/>
        <v>August</v>
      </c>
      <c r="C1130" s="59">
        <v>45514</v>
      </c>
      <c r="D1130" s="47" t="s">
        <v>83</v>
      </c>
      <c r="E1130" s="47" t="s">
        <v>118</v>
      </c>
      <c r="F1130" s="47" t="s">
        <v>119</v>
      </c>
      <c r="G1130" s="47" t="s">
        <v>1563</v>
      </c>
      <c r="H1130" s="47" t="s">
        <v>1564</v>
      </c>
      <c r="I1130" s="47" t="s">
        <v>50</v>
      </c>
      <c r="J1130" s="47" t="s">
        <v>51</v>
      </c>
      <c r="K1130" s="48">
        <v>43323</v>
      </c>
      <c r="L1130" s="48">
        <v>45149</v>
      </c>
      <c r="M1130" s="48">
        <v>45514</v>
      </c>
      <c r="N1130" s="47" t="s">
        <v>64</v>
      </c>
      <c r="O1130" s="55" t="s">
        <v>53</v>
      </c>
      <c r="P1130" s="62">
        <v>16080</v>
      </c>
      <c r="Q1130" s="62">
        <v>1340</v>
      </c>
      <c r="R1130" s="103">
        <v>17280</v>
      </c>
      <c r="S1130" s="62">
        <f t="shared" si="263"/>
        <v>1440</v>
      </c>
      <c r="T1130" s="62">
        <v>16200</v>
      </c>
      <c r="U1130" s="62">
        <f t="shared" si="270"/>
        <v>1350</v>
      </c>
      <c r="V1130" s="69">
        <v>14880</v>
      </c>
      <c r="W1130" s="71" t="s">
        <v>123</v>
      </c>
      <c r="X1130" s="71"/>
      <c r="Y1130" s="71"/>
      <c r="Z1130" s="64" t="e">
        <f t="shared" si="264"/>
        <v>#VALUE!</v>
      </c>
      <c r="AA1130" s="64" t="e">
        <f t="shared" si="275"/>
        <v>#VALUE!</v>
      </c>
      <c r="AB1130" s="71">
        <v>1500</v>
      </c>
      <c r="AC1130" s="64">
        <f t="shared" si="265"/>
        <v>0.1111111111111111</v>
      </c>
      <c r="AD1130" s="64">
        <f t="shared" si="277"/>
        <v>4.1666666666666664E-2</v>
      </c>
      <c r="AE1130" s="71">
        <v>1475</v>
      </c>
      <c r="AF1130" s="64">
        <f t="shared" si="266"/>
        <v>9.2592592592592587E-2</v>
      </c>
      <c r="AG1130" s="64">
        <f t="shared" si="278"/>
        <v>2.4305555555555556E-2</v>
      </c>
      <c r="AH1130" s="67"/>
      <c r="AI1130" s="47" t="s">
        <v>54</v>
      </c>
      <c r="AJ1130" s="47">
        <v>481</v>
      </c>
      <c r="AK1130" s="47" t="s">
        <v>55</v>
      </c>
      <c r="AL1130" s="47" t="s">
        <v>55</v>
      </c>
      <c r="AM1130" s="47" t="s">
        <v>1565</v>
      </c>
      <c r="AN1130" s="47">
        <v>1475</v>
      </c>
      <c r="AO1130" s="211">
        <f t="shared" si="267"/>
        <v>9.2592592592592587E-2</v>
      </c>
      <c r="AP1130" s="47" t="s">
        <v>90</v>
      </c>
      <c r="AQ1130" s="91" t="s">
        <v>116</v>
      </c>
      <c r="AR1130" s="47"/>
    </row>
    <row r="1131" spans="1:44" hidden="1">
      <c r="A1131" s="47" t="s">
        <v>44</v>
      </c>
      <c r="B1131" s="47" t="str">
        <f t="shared" si="276"/>
        <v>August</v>
      </c>
      <c r="C1131" s="59">
        <v>45515</v>
      </c>
      <c r="D1131" s="47" t="s">
        <v>83</v>
      </c>
      <c r="E1131" s="47" t="s">
        <v>118</v>
      </c>
      <c r="F1131" s="47" t="s">
        <v>119</v>
      </c>
      <c r="G1131" s="47" t="s">
        <v>1625</v>
      </c>
      <c r="H1131" s="47" t="s">
        <v>1626</v>
      </c>
      <c r="I1131" s="47" t="s">
        <v>50</v>
      </c>
      <c r="J1131" s="47" t="s">
        <v>51</v>
      </c>
      <c r="K1131" s="48">
        <v>45150</v>
      </c>
      <c r="L1131" s="48">
        <v>45150</v>
      </c>
      <c r="M1131" s="48">
        <v>45515</v>
      </c>
      <c r="N1131" s="47" t="s">
        <v>52</v>
      </c>
      <c r="O1131" s="55" t="s">
        <v>53</v>
      </c>
      <c r="P1131" s="62">
        <v>14700</v>
      </c>
      <c r="Q1131" s="62">
        <v>1225</v>
      </c>
      <c r="R1131" s="103">
        <v>16140</v>
      </c>
      <c r="S1131" s="62">
        <f t="shared" si="263"/>
        <v>1345</v>
      </c>
      <c r="T1131" s="62">
        <v>15600</v>
      </c>
      <c r="U1131" s="62">
        <f t="shared" ref="U1131:U1162" si="279">T1131/12</f>
        <v>1300</v>
      </c>
      <c r="V1131" s="69">
        <v>13620</v>
      </c>
      <c r="W1131" s="71" t="s">
        <v>123</v>
      </c>
      <c r="X1131" s="71"/>
      <c r="Y1131" s="71"/>
      <c r="Z1131" s="64" t="e">
        <f t="shared" si="264"/>
        <v>#VALUE!</v>
      </c>
      <c r="AA1131" s="64" t="e">
        <f t="shared" si="275"/>
        <v>#VALUE!</v>
      </c>
      <c r="AB1131" s="71">
        <v>1375</v>
      </c>
      <c r="AC1131" s="64">
        <f t="shared" si="265"/>
        <v>5.7692307692307696E-2</v>
      </c>
      <c r="AD1131" s="64">
        <f t="shared" si="277"/>
        <v>2.2304832713754646E-2</v>
      </c>
      <c r="AE1131" s="71">
        <v>1360</v>
      </c>
      <c r="AF1131" s="64">
        <f t="shared" si="266"/>
        <v>4.6153846153846156E-2</v>
      </c>
      <c r="AG1131" s="64">
        <f t="shared" si="278"/>
        <v>1.1152416356877323E-2</v>
      </c>
      <c r="AH1131" s="67"/>
      <c r="AI1131" s="47" t="s">
        <v>54</v>
      </c>
      <c r="AJ1131" s="47">
        <v>338</v>
      </c>
      <c r="AK1131" s="47" t="s">
        <v>93</v>
      </c>
      <c r="AL1131" s="47" t="s">
        <v>55</v>
      </c>
      <c r="AM1131" s="47" t="s">
        <v>1627</v>
      </c>
      <c r="AN1131" s="47">
        <v>1375</v>
      </c>
      <c r="AO1131" s="211">
        <f t="shared" si="267"/>
        <v>5.7692307692307696E-2</v>
      </c>
      <c r="AP1131" s="47" t="s">
        <v>90</v>
      </c>
      <c r="AQ1131" s="111" t="s">
        <v>125</v>
      </c>
      <c r="AR1131" s="47"/>
    </row>
    <row r="1132" spans="1:44">
      <c r="A1132" s="47" t="s">
        <v>44</v>
      </c>
      <c r="B1132" s="47" t="str">
        <f t="shared" si="276"/>
        <v>August</v>
      </c>
      <c r="C1132" s="59">
        <v>45524</v>
      </c>
      <c r="D1132" s="47" t="s">
        <v>83</v>
      </c>
      <c r="E1132" s="47" t="s">
        <v>118</v>
      </c>
      <c r="F1132" s="47" t="s">
        <v>119</v>
      </c>
      <c r="G1132" s="47" t="s">
        <v>2502</v>
      </c>
      <c r="H1132" s="47" t="s">
        <v>2503</v>
      </c>
      <c r="I1132" s="47" t="s">
        <v>2504</v>
      </c>
      <c r="J1132" s="47" t="s">
        <v>51</v>
      </c>
      <c r="K1132" s="48">
        <v>41507</v>
      </c>
      <c r="L1132" s="48">
        <v>44794</v>
      </c>
      <c r="M1132" s="48">
        <v>45524</v>
      </c>
      <c r="N1132" s="47" t="s">
        <v>64</v>
      </c>
      <c r="O1132" s="55" t="s">
        <v>53</v>
      </c>
      <c r="P1132" s="62">
        <v>23040</v>
      </c>
      <c r="Q1132" s="62">
        <v>1920</v>
      </c>
      <c r="R1132" s="103">
        <v>23760</v>
      </c>
      <c r="S1132" s="62">
        <f t="shared" si="263"/>
        <v>1980</v>
      </c>
      <c r="T1132" s="62">
        <v>21797.16</v>
      </c>
      <c r="U1132" s="62">
        <f t="shared" si="279"/>
        <v>1816.43</v>
      </c>
      <c r="V1132" s="69">
        <v>21300</v>
      </c>
      <c r="W1132" s="71" t="s">
        <v>123</v>
      </c>
      <c r="X1132" s="71"/>
      <c r="Y1132" s="71"/>
      <c r="Z1132" s="64" t="e">
        <f t="shared" si="264"/>
        <v>#VALUE!</v>
      </c>
      <c r="AA1132" s="64" t="e">
        <f t="shared" si="275"/>
        <v>#VALUE!</v>
      </c>
      <c r="AB1132" s="71">
        <v>1985</v>
      </c>
      <c r="AC1132" s="64">
        <f t="shared" si="265"/>
        <v>9.2802915609189421E-2</v>
      </c>
      <c r="AD1132" s="64">
        <f t="shared" si="277"/>
        <v>2.5252525252525255E-3</v>
      </c>
      <c r="AE1132" s="175">
        <v>1925</v>
      </c>
      <c r="AF1132" s="64">
        <f t="shared" si="266"/>
        <v>5.977108944467991E-2</v>
      </c>
      <c r="AG1132" s="64">
        <f t="shared" si="278"/>
        <v>-2.7777777777777776E-2</v>
      </c>
      <c r="AH1132" s="67" t="s">
        <v>2505</v>
      </c>
      <c r="AI1132" s="47" t="s">
        <v>54</v>
      </c>
      <c r="AJ1132" s="47">
        <v>676</v>
      </c>
      <c r="AK1132" s="91" t="s">
        <v>93</v>
      </c>
      <c r="AL1132" s="47" t="s">
        <v>55</v>
      </c>
      <c r="AM1132" s="47" t="s">
        <v>2506</v>
      </c>
      <c r="AN1132" s="47"/>
      <c r="AO1132" s="211">
        <f t="shared" si="267"/>
        <v>-1</v>
      </c>
      <c r="AP1132" s="47" t="s">
        <v>90</v>
      </c>
      <c r="AQ1132" s="94" t="s">
        <v>959</v>
      </c>
      <c r="AR1132" s="47"/>
    </row>
    <row r="1133" spans="1:44">
      <c r="A1133" s="47" t="s">
        <v>74</v>
      </c>
      <c r="B1133" s="47" t="str">
        <f t="shared" si="276"/>
        <v>July</v>
      </c>
      <c r="C1133" s="59">
        <v>45479</v>
      </c>
      <c r="D1133" s="47" t="s">
        <v>83</v>
      </c>
      <c r="E1133" s="47" t="s">
        <v>118</v>
      </c>
      <c r="F1133" s="47" t="s">
        <v>119</v>
      </c>
      <c r="G1133" s="47" t="s">
        <v>3082</v>
      </c>
      <c r="H1133" s="47" t="s">
        <v>3083</v>
      </c>
      <c r="I1133" s="47" t="s">
        <v>50</v>
      </c>
      <c r="J1133" s="47" t="s">
        <v>51</v>
      </c>
      <c r="K1133" s="48">
        <v>42558</v>
      </c>
      <c r="L1133" s="48">
        <v>45114</v>
      </c>
      <c r="M1133" s="48">
        <v>45479</v>
      </c>
      <c r="N1133" s="47" t="s">
        <v>64</v>
      </c>
      <c r="O1133" s="55" t="s">
        <v>53</v>
      </c>
      <c r="P1133" s="62">
        <v>14280</v>
      </c>
      <c r="Q1133" s="62">
        <v>1190</v>
      </c>
      <c r="R1133" s="103">
        <v>15720</v>
      </c>
      <c r="S1133" s="62">
        <f t="shared" si="263"/>
        <v>1310</v>
      </c>
      <c r="T1133" s="62">
        <v>14100</v>
      </c>
      <c r="U1133" s="62">
        <f t="shared" si="279"/>
        <v>1175</v>
      </c>
      <c r="V1133" s="69">
        <v>12720</v>
      </c>
      <c r="W1133" s="71" t="s">
        <v>123</v>
      </c>
      <c r="X1133" s="71"/>
      <c r="Y1133" s="71"/>
      <c r="Z1133" s="64" t="e">
        <f t="shared" si="264"/>
        <v>#VALUE!</v>
      </c>
      <c r="AA1133" s="64" t="e">
        <f t="shared" si="275"/>
        <v>#VALUE!</v>
      </c>
      <c r="AB1133" s="71">
        <v>1300</v>
      </c>
      <c r="AC1133" s="64">
        <f t="shared" si="265"/>
        <v>0.10638297872340426</v>
      </c>
      <c r="AD1133" s="64">
        <f t="shared" si="277"/>
        <v>-7.6335877862595417E-3</v>
      </c>
      <c r="AE1133" s="71">
        <v>1285</v>
      </c>
      <c r="AF1133" s="64">
        <f t="shared" si="266"/>
        <v>9.3617021276595741E-2</v>
      </c>
      <c r="AG1133" s="64">
        <f t="shared" si="278"/>
        <v>-1.9083969465648856E-2</v>
      </c>
      <c r="AH1133" s="67" t="s">
        <v>3084</v>
      </c>
      <c r="AI1133" s="47" t="s">
        <v>54</v>
      </c>
      <c r="AJ1133" s="47">
        <v>348</v>
      </c>
      <c r="AK1133" s="101" t="s">
        <v>93</v>
      </c>
      <c r="AL1133" s="101" t="s">
        <v>55</v>
      </c>
      <c r="AM1133" s="47" t="s">
        <v>3085</v>
      </c>
      <c r="AN1133" s="47">
        <v>1275</v>
      </c>
      <c r="AO1133" s="211">
        <f t="shared" si="267"/>
        <v>8.5106382978723402E-2</v>
      </c>
      <c r="AP1133" s="47" t="s">
        <v>90</v>
      </c>
      <c r="AQ1133" s="91" t="s">
        <v>116</v>
      </c>
      <c r="AR1133" s="47" t="s">
        <v>3086</v>
      </c>
    </row>
    <row r="1134" spans="1:44">
      <c r="A1134" s="47" t="s">
        <v>74</v>
      </c>
      <c r="B1134" s="47" t="str">
        <f t="shared" si="276"/>
        <v>July</v>
      </c>
      <c r="C1134" s="59">
        <v>45497</v>
      </c>
      <c r="D1134" s="47" t="s">
        <v>83</v>
      </c>
      <c r="E1134" s="47" t="s">
        <v>118</v>
      </c>
      <c r="F1134" s="47" t="s">
        <v>119</v>
      </c>
      <c r="G1134" s="47" t="s">
        <v>3087</v>
      </c>
      <c r="H1134" s="47" t="s">
        <v>3088</v>
      </c>
      <c r="I1134" s="47" t="s">
        <v>50</v>
      </c>
      <c r="J1134" s="47" t="s">
        <v>51</v>
      </c>
      <c r="K1134" s="48">
        <v>43306</v>
      </c>
      <c r="L1134" s="48">
        <v>45132</v>
      </c>
      <c r="M1134" s="48">
        <v>45497</v>
      </c>
      <c r="N1134" s="47" t="s">
        <v>64</v>
      </c>
      <c r="O1134" s="55" t="s">
        <v>53</v>
      </c>
      <c r="P1134" s="62">
        <v>14280</v>
      </c>
      <c r="Q1134" s="62">
        <v>1190</v>
      </c>
      <c r="R1134" s="103">
        <v>15720</v>
      </c>
      <c r="S1134" s="62">
        <f t="shared" si="263"/>
        <v>1310</v>
      </c>
      <c r="T1134" s="62">
        <v>14700</v>
      </c>
      <c r="U1134" s="62">
        <f t="shared" si="279"/>
        <v>1225</v>
      </c>
      <c r="V1134" s="69">
        <v>13530</v>
      </c>
      <c r="W1134" s="71" t="s">
        <v>123</v>
      </c>
      <c r="X1134" s="71"/>
      <c r="Y1134" s="71"/>
      <c r="Z1134" s="64" t="e">
        <f t="shared" si="264"/>
        <v>#VALUE!</v>
      </c>
      <c r="AA1134" s="64" t="e">
        <f t="shared" si="275"/>
        <v>#VALUE!</v>
      </c>
      <c r="AB1134" s="71">
        <v>1305</v>
      </c>
      <c r="AC1134" s="64">
        <f t="shared" si="265"/>
        <v>6.5306122448979598E-2</v>
      </c>
      <c r="AD1134" s="64">
        <f t="shared" si="277"/>
        <v>-3.8167938931297708E-3</v>
      </c>
      <c r="AE1134" s="71">
        <v>1300</v>
      </c>
      <c r="AF1134" s="64">
        <f t="shared" si="266"/>
        <v>6.1224489795918366E-2</v>
      </c>
      <c r="AG1134" s="64">
        <f t="shared" si="278"/>
        <v>-7.6335877862595417E-3</v>
      </c>
      <c r="AH1134" s="67"/>
      <c r="AI1134" s="47" t="s">
        <v>54</v>
      </c>
      <c r="AJ1134" s="47">
        <v>350</v>
      </c>
      <c r="AK1134" s="101" t="s">
        <v>93</v>
      </c>
      <c r="AL1134" s="101" t="s">
        <v>55</v>
      </c>
      <c r="AM1134" s="47" t="s">
        <v>3089</v>
      </c>
      <c r="AN1134" s="47"/>
      <c r="AO1134" s="211">
        <f t="shared" si="267"/>
        <v>-1</v>
      </c>
      <c r="AP1134" s="47" t="s">
        <v>90</v>
      </c>
      <c r="AQ1134" s="91" t="s">
        <v>116</v>
      </c>
      <c r="AR1134" s="47"/>
    </row>
    <row r="1135" spans="1:44">
      <c r="A1135" s="47" t="s">
        <v>74</v>
      </c>
      <c r="B1135" s="47" t="str">
        <f t="shared" si="276"/>
        <v>July</v>
      </c>
      <c r="C1135" s="59">
        <v>45487</v>
      </c>
      <c r="D1135" s="47" t="s">
        <v>83</v>
      </c>
      <c r="E1135" s="47" t="s">
        <v>118</v>
      </c>
      <c r="F1135" s="47" t="s">
        <v>119</v>
      </c>
      <c r="G1135" s="47" t="s">
        <v>3090</v>
      </c>
      <c r="H1135" s="47" t="s">
        <v>3091</v>
      </c>
      <c r="I1135" s="47" t="s">
        <v>50</v>
      </c>
      <c r="J1135" s="47" t="s">
        <v>51</v>
      </c>
      <c r="K1135" s="48">
        <v>44757</v>
      </c>
      <c r="L1135" s="48">
        <v>45122</v>
      </c>
      <c r="M1135" s="48">
        <v>45487</v>
      </c>
      <c r="N1135" s="47" t="s">
        <v>64</v>
      </c>
      <c r="O1135" s="55" t="s">
        <v>53</v>
      </c>
      <c r="P1135" s="62">
        <v>14700</v>
      </c>
      <c r="Q1135" s="62">
        <v>1225</v>
      </c>
      <c r="R1135" s="103">
        <v>16140</v>
      </c>
      <c r="S1135" s="62">
        <f t="shared" si="263"/>
        <v>1345</v>
      </c>
      <c r="T1135" s="62">
        <v>15420</v>
      </c>
      <c r="U1135" s="62">
        <f t="shared" si="279"/>
        <v>1285</v>
      </c>
      <c r="V1135" s="69">
        <v>14160</v>
      </c>
      <c r="W1135" s="71" t="s">
        <v>123</v>
      </c>
      <c r="X1135" s="71"/>
      <c r="Y1135" s="71"/>
      <c r="Z1135" s="64" t="e">
        <f t="shared" si="264"/>
        <v>#VALUE!</v>
      </c>
      <c r="AA1135" s="64" t="e">
        <f t="shared" si="275"/>
        <v>#VALUE!</v>
      </c>
      <c r="AB1135" s="71">
        <v>1350</v>
      </c>
      <c r="AC1135" s="64">
        <f t="shared" si="265"/>
        <v>5.0583657587548639E-2</v>
      </c>
      <c r="AD1135" s="64">
        <f t="shared" si="277"/>
        <v>3.7174721189591076E-3</v>
      </c>
      <c r="AE1135" s="71">
        <v>1345</v>
      </c>
      <c r="AF1135" s="64">
        <f t="shared" si="266"/>
        <v>4.6692607003891051E-2</v>
      </c>
      <c r="AG1135" s="64">
        <f t="shared" si="278"/>
        <v>0</v>
      </c>
      <c r="AH1135" s="67"/>
      <c r="AI1135" s="47" t="s">
        <v>54</v>
      </c>
      <c r="AJ1135" s="47">
        <v>415</v>
      </c>
      <c r="AK1135" s="101" t="s">
        <v>93</v>
      </c>
      <c r="AL1135" s="101" t="s">
        <v>55</v>
      </c>
      <c r="AM1135" s="47" t="s">
        <v>3092</v>
      </c>
      <c r="AN1135" s="47">
        <v>1350</v>
      </c>
      <c r="AO1135" s="211">
        <f t="shared" si="267"/>
        <v>5.0583657587548639E-2</v>
      </c>
      <c r="AP1135" s="47" t="s">
        <v>90</v>
      </c>
      <c r="AQ1135" s="91" t="s">
        <v>116</v>
      </c>
      <c r="AR1135" s="47"/>
    </row>
    <row r="1136" spans="1:44">
      <c r="A1136" s="47" t="s">
        <v>74</v>
      </c>
      <c r="B1136" s="47" t="str">
        <f t="shared" si="276"/>
        <v>July</v>
      </c>
      <c r="C1136" s="59">
        <v>45504</v>
      </c>
      <c r="D1136" s="47" t="s">
        <v>83</v>
      </c>
      <c r="E1136" s="47" t="s">
        <v>118</v>
      </c>
      <c r="F1136" s="47" t="s">
        <v>119</v>
      </c>
      <c r="G1136" s="47" t="s">
        <v>3093</v>
      </c>
      <c r="H1136" s="47" t="s">
        <v>3094</v>
      </c>
      <c r="I1136" s="47" t="s">
        <v>3095</v>
      </c>
      <c r="J1136" s="47" t="s">
        <v>51</v>
      </c>
      <c r="K1136" s="48">
        <v>43405</v>
      </c>
      <c r="L1136" s="48">
        <v>44774</v>
      </c>
      <c r="M1136" s="48">
        <v>45504</v>
      </c>
      <c r="N1136" s="47" t="s">
        <v>64</v>
      </c>
      <c r="O1136" s="55" t="s">
        <v>53</v>
      </c>
      <c r="P1136" s="62">
        <v>19680</v>
      </c>
      <c r="Q1136" s="62">
        <v>1640</v>
      </c>
      <c r="R1136" s="103">
        <v>20880</v>
      </c>
      <c r="S1136" s="62">
        <f t="shared" si="263"/>
        <v>1740</v>
      </c>
      <c r="T1136" s="62">
        <v>16895.400000000001</v>
      </c>
      <c r="U1136" s="62">
        <f t="shared" si="279"/>
        <v>1407.95</v>
      </c>
      <c r="V1136" s="69">
        <v>16440</v>
      </c>
      <c r="W1136" s="71" t="s">
        <v>123</v>
      </c>
      <c r="X1136" s="71"/>
      <c r="Y1136" s="71"/>
      <c r="Z1136" s="64" t="e">
        <f t="shared" si="264"/>
        <v>#VALUE!</v>
      </c>
      <c r="AA1136" s="64" t="e">
        <f t="shared" si="275"/>
        <v>#VALUE!</v>
      </c>
      <c r="AB1136" s="71">
        <v>1650</v>
      </c>
      <c r="AC1136" s="64">
        <f t="shared" si="265"/>
        <v>0.17191661635711492</v>
      </c>
      <c r="AD1136" s="64">
        <f t="shared" si="277"/>
        <v>-5.1724137931034482E-2</v>
      </c>
      <c r="AE1136" s="71">
        <v>1600</v>
      </c>
      <c r="AF1136" s="64">
        <f t="shared" si="266"/>
        <v>0.13640399161902053</v>
      </c>
      <c r="AG1136" s="64">
        <f t="shared" si="278"/>
        <v>-8.0459770114942528E-2</v>
      </c>
      <c r="AH1136" s="67" t="s">
        <v>2599</v>
      </c>
      <c r="AI1136" s="47" t="s">
        <v>54</v>
      </c>
      <c r="AJ1136" s="47">
        <v>574</v>
      </c>
      <c r="AK1136" s="101" t="s">
        <v>55</v>
      </c>
      <c r="AL1136" s="101" t="s">
        <v>55</v>
      </c>
      <c r="AM1136" s="47" t="s">
        <v>3096</v>
      </c>
      <c r="AN1136" s="47">
        <v>1600</v>
      </c>
      <c r="AO1136" s="211">
        <f t="shared" si="267"/>
        <v>0.13640399161902053</v>
      </c>
      <c r="AP1136" s="47" t="s">
        <v>90</v>
      </c>
      <c r="AQ1136" s="91" t="s">
        <v>116</v>
      </c>
      <c r="AR1136" s="47" t="s">
        <v>3097</v>
      </c>
    </row>
    <row r="1137" spans="1:44">
      <c r="A1137" s="47" t="s">
        <v>74</v>
      </c>
      <c r="B1137" s="47" t="str">
        <f t="shared" si="276"/>
        <v>July</v>
      </c>
      <c r="C1137" s="59">
        <v>45481</v>
      </c>
      <c r="D1137" s="47" t="s">
        <v>83</v>
      </c>
      <c r="E1137" s="47" t="s">
        <v>118</v>
      </c>
      <c r="F1137" s="47" t="s">
        <v>119</v>
      </c>
      <c r="G1137" s="47" t="s">
        <v>3098</v>
      </c>
      <c r="H1137" s="47" t="s">
        <v>3099</v>
      </c>
      <c r="I1137" s="47" t="s">
        <v>50</v>
      </c>
      <c r="J1137" s="47" t="s">
        <v>51</v>
      </c>
      <c r="K1137" s="48">
        <v>44751</v>
      </c>
      <c r="L1137" s="48">
        <v>45116</v>
      </c>
      <c r="M1137" s="48">
        <v>45481</v>
      </c>
      <c r="N1137" s="47" t="s">
        <v>64</v>
      </c>
      <c r="O1137" s="55" t="s">
        <v>53</v>
      </c>
      <c r="P1137" s="62">
        <v>22980</v>
      </c>
      <c r="Q1137" s="62">
        <v>1915</v>
      </c>
      <c r="R1137" s="103">
        <v>24180</v>
      </c>
      <c r="S1137" s="62">
        <f t="shared" si="263"/>
        <v>2015</v>
      </c>
      <c r="T1137" s="62">
        <v>22620</v>
      </c>
      <c r="U1137" s="62">
        <f t="shared" si="279"/>
        <v>1885</v>
      </c>
      <c r="V1137" s="69">
        <v>21120</v>
      </c>
      <c r="W1137" s="71" t="s">
        <v>123</v>
      </c>
      <c r="X1137" s="71"/>
      <c r="Y1137" s="71"/>
      <c r="Z1137" s="64" t="e">
        <f t="shared" si="264"/>
        <v>#VALUE!</v>
      </c>
      <c r="AA1137" s="64" t="e">
        <f t="shared" si="275"/>
        <v>#VALUE!</v>
      </c>
      <c r="AB1137" s="71">
        <v>2025</v>
      </c>
      <c r="AC1137" s="64">
        <f t="shared" si="265"/>
        <v>7.4270557029177717E-2</v>
      </c>
      <c r="AD1137" s="64">
        <f t="shared" si="277"/>
        <v>4.9627791563275434E-3</v>
      </c>
      <c r="AE1137" s="71">
        <v>2015</v>
      </c>
      <c r="AF1137" s="64">
        <f t="shared" si="266"/>
        <v>6.8965517241379309E-2</v>
      </c>
      <c r="AG1137" s="64">
        <f t="shared" si="278"/>
        <v>0</v>
      </c>
      <c r="AH1137" s="67"/>
      <c r="AI1137" s="47" t="s">
        <v>54</v>
      </c>
      <c r="AJ1137" s="47">
        <v>697</v>
      </c>
      <c r="AK1137" s="101" t="s">
        <v>55</v>
      </c>
      <c r="AL1137" s="101" t="s">
        <v>55</v>
      </c>
      <c r="AM1137" s="47" t="s">
        <v>3100</v>
      </c>
      <c r="AN1137" s="47">
        <v>2025</v>
      </c>
      <c r="AO1137" s="211">
        <f t="shared" si="267"/>
        <v>7.4270557029177717E-2</v>
      </c>
      <c r="AP1137" s="47" t="s">
        <v>90</v>
      </c>
      <c r="AQ1137" s="91" t="s">
        <v>116</v>
      </c>
      <c r="AR1137" s="47"/>
    </row>
    <row r="1138" spans="1:44" hidden="1">
      <c r="A1138" s="47" t="s">
        <v>74</v>
      </c>
      <c r="B1138" s="47" t="str">
        <f t="shared" si="276"/>
        <v>July</v>
      </c>
      <c r="C1138" s="59">
        <v>45500</v>
      </c>
      <c r="D1138" s="47" t="s">
        <v>83</v>
      </c>
      <c r="E1138" s="47" t="s">
        <v>118</v>
      </c>
      <c r="F1138" s="47" t="s">
        <v>119</v>
      </c>
      <c r="G1138" s="47" t="s">
        <v>3101</v>
      </c>
      <c r="H1138" s="47" t="s">
        <v>3102</v>
      </c>
      <c r="I1138" s="47" t="s">
        <v>50</v>
      </c>
      <c r="J1138" s="47" t="s">
        <v>51</v>
      </c>
      <c r="K1138" s="48">
        <v>45135</v>
      </c>
      <c r="L1138" s="48">
        <v>45135</v>
      </c>
      <c r="M1138" s="48">
        <v>45500</v>
      </c>
      <c r="N1138" s="47" t="s">
        <v>52</v>
      </c>
      <c r="O1138" s="55" t="s">
        <v>53</v>
      </c>
      <c r="P1138" s="62">
        <v>23100</v>
      </c>
      <c r="Q1138" s="62">
        <v>1925</v>
      </c>
      <c r="R1138" s="103">
        <v>23820</v>
      </c>
      <c r="S1138" s="62">
        <f t="shared" si="263"/>
        <v>1985</v>
      </c>
      <c r="T1138" s="62">
        <v>24600</v>
      </c>
      <c r="U1138" s="62">
        <f t="shared" si="279"/>
        <v>2050</v>
      </c>
      <c r="V1138" s="69">
        <v>22440</v>
      </c>
      <c r="W1138" s="71" t="s">
        <v>123</v>
      </c>
      <c r="X1138" s="71"/>
      <c r="Y1138" s="71"/>
      <c r="Z1138" s="64" t="e">
        <f t="shared" si="264"/>
        <v>#VALUE!</v>
      </c>
      <c r="AA1138" s="64" t="e">
        <f t="shared" si="275"/>
        <v>#VALUE!</v>
      </c>
      <c r="AB1138" s="71">
        <v>2075</v>
      </c>
      <c r="AC1138" s="64">
        <f t="shared" si="265"/>
        <v>1.2195121951219513E-2</v>
      </c>
      <c r="AD1138" s="64">
        <f t="shared" si="277"/>
        <v>4.534005037783375E-2</v>
      </c>
      <c r="AE1138" s="71">
        <v>2075</v>
      </c>
      <c r="AF1138" s="64">
        <f t="shared" si="266"/>
        <v>1.2195121951219513E-2</v>
      </c>
      <c r="AG1138" s="64">
        <f t="shared" si="278"/>
        <v>4.534005037783375E-2</v>
      </c>
      <c r="AH1138" s="67" t="s">
        <v>3103</v>
      </c>
      <c r="AI1138" s="47" t="s">
        <v>54</v>
      </c>
      <c r="AJ1138" s="47">
        <v>652</v>
      </c>
      <c r="AK1138" s="101" t="s">
        <v>65</v>
      </c>
      <c r="AL1138" s="101" t="s">
        <v>55</v>
      </c>
      <c r="AM1138" s="47" t="s">
        <v>3104</v>
      </c>
      <c r="AN1138" s="47">
        <v>2075</v>
      </c>
      <c r="AO1138" s="211">
        <f t="shared" si="267"/>
        <v>1.2195121951219513E-2</v>
      </c>
      <c r="AP1138" s="47" t="s">
        <v>90</v>
      </c>
      <c r="AQ1138" s="91" t="s">
        <v>116</v>
      </c>
      <c r="AR1138" s="47" t="s">
        <v>899</v>
      </c>
    </row>
    <row r="1139" spans="1:44">
      <c r="A1139" s="47" t="s">
        <v>74</v>
      </c>
      <c r="B1139" s="47" t="str">
        <f t="shared" si="276"/>
        <v>July</v>
      </c>
      <c r="C1139" s="59">
        <v>45503</v>
      </c>
      <c r="D1139" s="47" t="s">
        <v>83</v>
      </c>
      <c r="E1139" s="47" t="s">
        <v>118</v>
      </c>
      <c r="F1139" s="47" t="s">
        <v>119</v>
      </c>
      <c r="G1139" s="47" t="s">
        <v>3105</v>
      </c>
      <c r="H1139" s="47" t="s">
        <v>3106</v>
      </c>
      <c r="I1139" s="47" t="s">
        <v>50</v>
      </c>
      <c r="J1139" s="47" t="s">
        <v>51</v>
      </c>
      <c r="K1139" s="48">
        <v>41493</v>
      </c>
      <c r="L1139" s="48">
        <v>45138</v>
      </c>
      <c r="M1139" s="48">
        <v>45503</v>
      </c>
      <c r="N1139" s="47" t="s">
        <v>64</v>
      </c>
      <c r="O1139" s="55" t="s">
        <v>53</v>
      </c>
      <c r="P1139" s="62">
        <v>23040</v>
      </c>
      <c r="Q1139" s="62">
        <v>1920</v>
      </c>
      <c r="R1139" s="103">
        <v>23760</v>
      </c>
      <c r="S1139" s="62">
        <f t="shared" si="263"/>
        <v>1980</v>
      </c>
      <c r="T1139" s="62">
        <v>20160</v>
      </c>
      <c r="U1139" s="62">
        <f t="shared" si="279"/>
        <v>1680</v>
      </c>
      <c r="V1139" s="69">
        <v>18600</v>
      </c>
      <c r="W1139" s="71" t="s">
        <v>123</v>
      </c>
      <c r="X1139" s="71"/>
      <c r="Y1139" s="71"/>
      <c r="Z1139" s="64" t="e">
        <f t="shared" si="264"/>
        <v>#VALUE!</v>
      </c>
      <c r="AA1139" s="64" t="e">
        <f t="shared" si="275"/>
        <v>#VALUE!</v>
      </c>
      <c r="AB1139" s="71">
        <v>1950</v>
      </c>
      <c r="AC1139" s="64">
        <f t="shared" si="265"/>
        <v>0.16071428571428573</v>
      </c>
      <c r="AD1139" s="64">
        <f t="shared" si="277"/>
        <v>-1.5151515151515152E-2</v>
      </c>
      <c r="AE1139" s="71">
        <v>1875</v>
      </c>
      <c r="AF1139" s="64">
        <f t="shared" si="266"/>
        <v>0.11607142857142858</v>
      </c>
      <c r="AG1139" s="64">
        <f t="shared" si="278"/>
        <v>-5.3030303030303032E-2</v>
      </c>
      <c r="AH1139" s="67" t="s">
        <v>3107</v>
      </c>
      <c r="AI1139" s="47" t="s">
        <v>54</v>
      </c>
      <c r="AJ1139" s="47">
        <v>676</v>
      </c>
      <c r="AK1139" s="101" t="s">
        <v>65</v>
      </c>
      <c r="AL1139" s="101" t="s">
        <v>55</v>
      </c>
      <c r="AM1139" s="47" t="s">
        <v>2506</v>
      </c>
      <c r="AN1139" s="47"/>
      <c r="AO1139" s="211">
        <f t="shared" si="267"/>
        <v>-1</v>
      </c>
      <c r="AP1139" s="47" t="s">
        <v>90</v>
      </c>
      <c r="AQ1139" s="91" t="s">
        <v>116</v>
      </c>
      <c r="AR1139" s="47"/>
    </row>
    <row r="1140" spans="1:44">
      <c r="A1140" s="47" t="s">
        <v>44</v>
      </c>
      <c r="B1140" s="47" t="str">
        <f t="shared" si="276"/>
        <v>July</v>
      </c>
      <c r="C1140" s="59">
        <v>45497</v>
      </c>
      <c r="D1140" s="47" t="s">
        <v>83</v>
      </c>
      <c r="E1140" s="47" t="s">
        <v>118</v>
      </c>
      <c r="F1140" s="47" t="s">
        <v>119</v>
      </c>
      <c r="G1140" s="47" t="s">
        <v>3108</v>
      </c>
      <c r="H1140" s="47" t="s">
        <v>3109</v>
      </c>
      <c r="I1140" s="47" t="s">
        <v>50</v>
      </c>
      <c r="J1140" s="47" t="s">
        <v>51</v>
      </c>
      <c r="K1140" s="48">
        <v>44037</v>
      </c>
      <c r="L1140" s="48">
        <v>45132</v>
      </c>
      <c r="M1140" s="48">
        <v>45497</v>
      </c>
      <c r="N1140" s="47" t="s">
        <v>64</v>
      </c>
      <c r="O1140" s="55" t="s">
        <v>53</v>
      </c>
      <c r="P1140" s="62">
        <v>23700</v>
      </c>
      <c r="Q1140" s="62">
        <v>1975</v>
      </c>
      <c r="R1140" s="103">
        <v>24420</v>
      </c>
      <c r="S1140" s="62">
        <f t="shared" si="263"/>
        <v>2035</v>
      </c>
      <c r="T1140" s="62">
        <v>24600</v>
      </c>
      <c r="U1140" s="62">
        <f t="shared" si="279"/>
        <v>2050</v>
      </c>
      <c r="V1140" s="69">
        <v>22380</v>
      </c>
      <c r="W1140" s="71" t="s">
        <v>123</v>
      </c>
      <c r="X1140" s="71"/>
      <c r="Y1140" s="71"/>
      <c r="Z1140" s="64" t="e">
        <f t="shared" si="264"/>
        <v>#VALUE!</v>
      </c>
      <c r="AA1140" s="64" t="e">
        <f t="shared" si="275"/>
        <v>#VALUE!</v>
      </c>
      <c r="AB1140" s="71">
        <v>2175</v>
      </c>
      <c r="AC1140" s="64">
        <f t="shared" si="265"/>
        <v>6.097560975609756E-2</v>
      </c>
      <c r="AD1140" s="64">
        <f t="shared" si="277"/>
        <v>6.8796068796068796E-2</v>
      </c>
      <c r="AE1140" s="71">
        <v>2145</v>
      </c>
      <c r="AF1140" s="64">
        <f t="shared" si="266"/>
        <v>4.6341463414634146E-2</v>
      </c>
      <c r="AG1140" s="64">
        <f t="shared" si="278"/>
        <v>5.4054054054054057E-2</v>
      </c>
      <c r="AH1140" s="67"/>
      <c r="AI1140" s="47" t="s">
        <v>54</v>
      </c>
      <c r="AJ1140" s="47">
        <v>814</v>
      </c>
      <c r="AK1140" s="101" t="s">
        <v>65</v>
      </c>
      <c r="AL1140" s="101" t="s">
        <v>55</v>
      </c>
      <c r="AM1140" s="47" t="s">
        <v>3110</v>
      </c>
      <c r="AN1140" s="47">
        <v>2175</v>
      </c>
      <c r="AO1140" s="211">
        <f t="shared" si="267"/>
        <v>6.097560975609756E-2</v>
      </c>
      <c r="AP1140" s="47" t="s">
        <v>90</v>
      </c>
      <c r="AQ1140" s="91" t="s">
        <v>116</v>
      </c>
      <c r="AR1140" s="47"/>
    </row>
    <row r="1141" spans="1:44">
      <c r="A1141" s="47" t="s">
        <v>44</v>
      </c>
      <c r="B1141" s="47" t="str">
        <f t="shared" si="276"/>
        <v>July</v>
      </c>
      <c r="C1141" s="59">
        <v>45490</v>
      </c>
      <c r="D1141" s="47" t="s">
        <v>83</v>
      </c>
      <c r="E1141" s="47" t="s">
        <v>118</v>
      </c>
      <c r="F1141" s="47" t="s">
        <v>119</v>
      </c>
      <c r="G1141" s="47" t="s">
        <v>3225</v>
      </c>
      <c r="H1141" s="47" t="s">
        <v>3226</v>
      </c>
      <c r="I1141" s="47" t="s">
        <v>50</v>
      </c>
      <c r="J1141" s="47" t="s">
        <v>51</v>
      </c>
      <c r="K1141" s="48">
        <v>44030</v>
      </c>
      <c r="L1141" s="48">
        <v>45125</v>
      </c>
      <c r="M1141" s="48">
        <v>45490</v>
      </c>
      <c r="N1141" s="47" t="s">
        <v>64</v>
      </c>
      <c r="O1141" s="55" t="s">
        <v>53</v>
      </c>
      <c r="P1141" s="62">
        <v>30360</v>
      </c>
      <c r="Q1141" s="62">
        <v>2530</v>
      </c>
      <c r="R1141" s="103">
        <v>30360</v>
      </c>
      <c r="S1141" s="62">
        <f t="shared" si="263"/>
        <v>2530</v>
      </c>
      <c r="T1141" s="62">
        <v>29400</v>
      </c>
      <c r="U1141" s="62">
        <f t="shared" si="279"/>
        <v>2450</v>
      </c>
      <c r="V1141" s="69">
        <v>27000</v>
      </c>
      <c r="W1141" s="71" t="s">
        <v>123</v>
      </c>
      <c r="X1141" s="71"/>
      <c r="Y1141" s="71"/>
      <c r="Z1141" s="64" t="e">
        <f t="shared" si="264"/>
        <v>#VALUE!</v>
      </c>
      <c r="AA1141" s="64" t="e">
        <f t="shared" si="275"/>
        <v>#VALUE!</v>
      </c>
      <c r="AB1141" s="71">
        <v>2600</v>
      </c>
      <c r="AC1141" s="64">
        <f t="shared" si="265"/>
        <v>6.1224489795918366E-2</v>
      </c>
      <c r="AD1141" s="64">
        <f t="shared" si="277"/>
        <v>2.766798418972332E-2</v>
      </c>
      <c r="AE1141" s="71">
        <v>2550</v>
      </c>
      <c r="AF1141" s="64">
        <f t="shared" si="266"/>
        <v>4.0816326530612242E-2</v>
      </c>
      <c r="AG1141" s="64">
        <f t="shared" si="278"/>
        <v>7.9051383399209481E-3</v>
      </c>
      <c r="AH1141" s="67"/>
      <c r="AI1141" s="47" t="s">
        <v>54</v>
      </c>
      <c r="AJ1141" s="47">
        <v>825</v>
      </c>
      <c r="AK1141" s="101" t="s">
        <v>140</v>
      </c>
      <c r="AL1141" s="101" t="s">
        <v>55</v>
      </c>
      <c r="AM1141" s="47" t="s">
        <v>3227</v>
      </c>
      <c r="AN1141" s="47"/>
      <c r="AO1141" s="211">
        <f t="shared" si="267"/>
        <v>-1</v>
      </c>
      <c r="AP1141" s="47" t="s">
        <v>90</v>
      </c>
      <c r="AQ1141" s="91" t="s">
        <v>116</v>
      </c>
      <c r="AR1141" s="47"/>
    </row>
    <row r="1142" spans="1:44">
      <c r="A1142" s="47" t="s">
        <v>44</v>
      </c>
      <c r="B1142" s="47" t="str">
        <f t="shared" si="276"/>
        <v>August</v>
      </c>
      <c r="C1142" s="59">
        <v>45533</v>
      </c>
      <c r="D1142" s="47" t="s">
        <v>83</v>
      </c>
      <c r="E1142" s="47" t="s">
        <v>118</v>
      </c>
      <c r="F1142" s="47" t="s">
        <v>119</v>
      </c>
      <c r="G1142" s="47" t="s">
        <v>3476</v>
      </c>
      <c r="H1142" s="47" t="s">
        <v>3477</v>
      </c>
      <c r="I1142" s="47" t="s">
        <v>50</v>
      </c>
      <c r="J1142" s="47" t="s">
        <v>51</v>
      </c>
      <c r="K1142" s="48">
        <v>44803</v>
      </c>
      <c r="L1142" s="48">
        <v>45168</v>
      </c>
      <c r="M1142" s="48">
        <v>45533</v>
      </c>
      <c r="N1142" s="47" t="s">
        <v>64</v>
      </c>
      <c r="O1142" s="55" t="s">
        <v>53</v>
      </c>
      <c r="P1142" s="62">
        <v>14700</v>
      </c>
      <c r="Q1142" s="62">
        <v>1225</v>
      </c>
      <c r="R1142" s="103">
        <v>16140</v>
      </c>
      <c r="S1142" s="62">
        <f t="shared" si="263"/>
        <v>1345</v>
      </c>
      <c r="T1142" s="62">
        <v>15000</v>
      </c>
      <c r="U1142" s="62">
        <f t="shared" si="279"/>
        <v>1250</v>
      </c>
      <c r="V1142" s="69">
        <v>14124</v>
      </c>
      <c r="W1142" s="71" t="s">
        <v>123</v>
      </c>
      <c r="X1142" s="71"/>
      <c r="Y1142" s="71"/>
      <c r="Z1142" s="64" t="e">
        <f t="shared" si="264"/>
        <v>#VALUE!</v>
      </c>
      <c r="AA1142" s="64" t="e">
        <f t="shared" si="275"/>
        <v>#VALUE!</v>
      </c>
      <c r="AB1142" s="71">
        <v>1350</v>
      </c>
      <c r="AC1142" s="64">
        <f t="shared" si="265"/>
        <v>0.08</v>
      </c>
      <c r="AD1142" s="64">
        <f t="shared" si="277"/>
        <v>3.7174721189591076E-3</v>
      </c>
      <c r="AE1142" s="71">
        <v>1345</v>
      </c>
      <c r="AF1142" s="64">
        <f t="shared" si="266"/>
        <v>7.5999999999999998E-2</v>
      </c>
      <c r="AG1142" s="64">
        <f t="shared" si="278"/>
        <v>0</v>
      </c>
      <c r="AH1142" s="67"/>
      <c r="AI1142" s="47" t="s">
        <v>250</v>
      </c>
      <c r="AJ1142" s="47">
        <v>363</v>
      </c>
      <c r="AK1142" s="47" t="s">
        <v>93</v>
      </c>
      <c r="AL1142" s="47" t="s">
        <v>55</v>
      </c>
      <c r="AM1142" s="47" t="s">
        <v>3085</v>
      </c>
      <c r="AN1142" s="47"/>
      <c r="AO1142" s="211">
        <f t="shared" si="267"/>
        <v>-1</v>
      </c>
      <c r="AP1142" s="47" t="s">
        <v>90</v>
      </c>
      <c r="AQ1142" s="91" t="s">
        <v>116</v>
      </c>
      <c r="AR1142" s="47"/>
    </row>
    <row r="1143" spans="1:44" hidden="1">
      <c r="A1143" s="47" t="s">
        <v>44</v>
      </c>
      <c r="B1143" s="47" t="str">
        <f t="shared" si="276"/>
        <v>August</v>
      </c>
      <c r="C1143" s="59">
        <v>45534</v>
      </c>
      <c r="D1143" s="47" t="s">
        <v>83</v>
      </c>
      <c r="E1143" s="47" t="s">
        <v>118</v>
      </c>
      <c r="F1143" s="47" t="s">
        <v>119</v>
      </c>
      <c r="G1143" s="47" t="s">
        <v>3586</v>
      </c>
      <c r="H1143" s="47" t="s">
        <v>3587</v>
      </c>
      <c r="I1143" s="47" t="s">
        <v>3588</v>
      </c>
      <c r="J1143" s="47" t="s">
        <v>51</v>
      </c>
      <c r="K1143" s="48">
        <v>45168</v>
      </c>
      <c r="L1143" s="48">
        <v>45169</v>
      </c>
      <c r="M1143" s="48">
        <v>45534</v>
      </c>
      <c r="N1143" s="47" t="s">
        <v>52</v>
      </c>
      <c r="O1143" s="55" t="s">
        <v>53</v>
      </c>
      <c r="P1143" s="62">
        <v>17580</v>
      </c>
      <c r="Q1143" s="62">
        <v>1465</v>
      </c>
      <c r="R1143" s="103">
        <v>18780</v>
      </c>
      <c r="S1143" s="62">
        <f t="shared" si="263"/>
        <v>1565</v>
      </c>
      <c r="T1143" s="62">
        <v>18300</v>
      </c>
      <c r="U1143" s="62">
        <f t="shared" si="279"/>
        <v>1525</v>
      </c>
      <c r="V1143" s="69">
        <v>15600</v>
      </c>
      <c r="W1143" s="71" t="s">
        <v>123</v>
      </c>
      <c r="X1143" s="71"/>
      <c r="Y1143" s="71"/>
      <c r="Z1143" s="64" t="e">
        <f t="shared" si="264"/>
        <v>#VALUE!</v>
      </c>
      <c r="AA1143" s="64" t="e">
        <f t="shared" si="275"/>
        <v>#VALUE!</v>
      </c>
      <c r="AB1143" s="71">
        <v>1600</v>
      </c>
      <c r="AC1143" s="64">
        <f t="shared" si="265"/>
        <v>4.9180327868852458E-2</v>
      </c>
      <c r="AD1143" s="64">
        <f t="shared" si="277"/>
        <v>2.2364217252396165E-2</v>
      </c>
      <c r="AE1143" s="175">
        <v>1590</v>
      </c>
      <c r="AF1143" s="64">
        <f t="shared" si="266"/>
        <v>4.2622950819672129E-2</v>
      </c>
      <c r="AG1143" s="64">
        <f t="shared" si="278"/>
        <v>1.5974440894568689E-2</v>
      </c>
      <c r="AH1143" s="67"/>
      <c r="AI1143" s="47" t="s">
        <v>54</v>
      </c>
      <c r="AJ1143" s="47">
        <v>486</v>
      </c>
      <c r="AK1143" s="47" t="s">
        <v>55</v>
      </c>
      <c r="AL1143" s="47" t="s">
        <v>55</v>
      </c>
      <c r="AM1143" s="47" t="s">
        <v>3589</v>
      </c>
      <c r="AN1143" s="47"/>
      <c r="AO1143" s="211">
        <f t="shared" si="267"/>
        <v>-1</v>
      </c>
      <c r="AP1143" s="47" t="s">
        <v>90</v>
      </c>
      <c r="AQ1143" s="91" t="s">
        <v>116</v>
      </c>
      <c r="AR1143" s="47"/>
    </row>
    <row r="1144" spans="1:44">
      <c r="A1144" s="47" t="s">
        <v>44</v>
      </c>
      <c r="B1144" s="47" t="str">
        <f t="shared" si="276"/>
        <v>August</v>
      </c>
      <c r="C1144" s="59">
        <v>45535</v>
      </c>
      <c r="D1144" s="47" t="s">
        <v>83</v>
      </c>
      <c r="E1144" s="47" t="s">
        <v>118</v>
      </c>
      <c r="F1144" s="47" t="s">
        <v>119</v>
      </c>
      <c r="G1144" s="47" t="s">
        <v>3788</v>
      </c>
      <c r="H1144" s="47" t="s">
        <v>3789</v>
      </c>
      <c r="I1144" s="47" t="s">
        <v>3790</v>
      </c>
      <c r="J1144" s="47" t="s">
        <v>51</v>
      </c>
      <c r="K1144" s="48">
        <v>44440</v>
      </c>
      <c r="L1144" s="48">
        <v>45170</v>
      </c>
      <c r="M1144" s="48">
        <v>45535</v>
      </c>
      <c r="N1144" s="47" t="s">
        <v>64</v>
      </c>
      <c r="O1144" s="55" t="s">
        <v>53</v>
      </c>
      <c r="P1144" s="62">
        <v>17580</v>
      </c>
      <c r="Q1144" s="62">
        <v>1465</v>
      </c>
      <c r="R1144" s="103">
        <v>18780</v>
      </c>
      <c r="S1144" s="62">
        <f t="shared" si="263"/>
        <v>1565</v>
      </c>
      <c r="T1144" s="62">
        <v>18000</v>
      </c>
      <c r="U1144" s="62">
        <f t="shared" si="279"/>
        <v>1500</v>
      </c>
      <c r="V1144" s="69">
        <v>16740</v>
      </c>
      <c r="W1144" s="71" t="s">
        <v>123</v>
      </c>
      <c r="X1144" s="71"/>
      <c r="Y1144" s="71"/>
      <c r="Z1144" s="64" t="e">
        <f t="shared" si="264"/>
        <v>#VALUE!</v>
      </c>
      <c r="AA1144" s="64" t="e">
        <f t="shared" si="275"/>
        <v>#VALUE!</v>
      </c>
      <c r="AB1144" s="71">
        <v>1600</v>
      </c>
      <c r="AC1144" s="64">
        <f t="shared" si="265"/>
        <v>6.6666666666666666E-2</v>
      </c>
      <c r="AD1144" s="64">
        <f t="shared" si="277"/>
        <v>2.2364217252396165E-2</v>
      </c>
      <c r="AE1144" s="175">
        <v>1595</v>
      </c>
      <c r="AF1144" s="64">
        <f t="shared" si="266"/>
        <v>6.3333333333333339E-2</v>
      </c>
      <c r="AG1144" s="64">
        <f t="shared" si="278"/>
        <v>1.9169329073482427E-2</v>
      </c>
      <c r="AH1144" s="67"/>
      <c r="AI1144" s="47" t="s">
        <v>54</v>
      </c>
      <c r="AJ1144" s="47">
        <v>485</v>
      </c>
      <c r="AK1144" s="47" t="s">
        <v>55</v>
      </c>
      <c r="AL1144" s="47" t="s">
        <v>55</v>
      </c>
      <c r="AM1144" s="47" t="s">
        <v>3791</v>
      </c>
      <c r="AN1144" s="47"/>
      <c r="AO1144" s="211">
        <f t="shared" si="267"/>
        <v>-1</v>
      </c>
      <c r="AP1144" s="47" t="s">
        <v>90</v>
      </c>
      <c r="AQ1144" s="94" t="s">
        <v>891</v>
      </c>
      <c r="AR1144" s="47"/>
    </row>
    <row r="1145" spans="1:44">
      <c r="A1145" s="47" t="s">
        <v>74</v>
      </c>
      <c r="B1145" s="47" t="str">
        <f t="shared" si="276"/>
        <v>July</v>
      </c>
      <c r="C1145" s="59">
        <v>45501</v>
      </c>
      <c r="D1145" s="47" t="s">
        <v>83</v>
      </c>
      <c r="E1145" s="47" t="s">
        <v>3228</v>
      </c>
      <c r="F1145" s="47" t="s">
        <v>119</v>
      </c>
      <c r="G1145" s="47" t="s">
        <v>3229</v>
      </c>
      <c r="H1145" s="47" t="s">
        <v>3230</v>
      </c>
      <c r="I1145" s="47" t="s">
        <v>3231</v>
      </c>
      <c r="J1145" s="47" t="s">
        <v>51</v>
      </c>
      <c r="K1145" s="48">
        <v>44772</v>
      </c>
      <c r="L1145" s="48">
        <v>45136</v>
      </c>
      <c r="M1145" s="48">
        <v>45501</v>
      </c>
      <c r="N1145" s="47" t="s">
        <v>64</v>
      </c>
      <c r="O1145" s="55" t="s">
        <v>53</v>
      </c>
      <c r="P1145" s="62">
        <v>22200</v>
      </c>
      <c r="Q1145" s="62">
        <v>1850</v>
      </c>
      <c r="R1145" s="103">
        <v>22500</v>
      </c>
      <c r="S1145" s="62">
        <f t="shared" si="263"/>
        <v>1875</v>
      </c>
      <c r="T1145" s="62">
        <v>22500</v>
      </c>
      <c r="U1145" s="62">
        <f t="shared" si="279"/>
        <v>1875</v>
      </c>
      <c r="V1145" s="69">
        <v>20520</v>
      </c>
      <c r="W1145" s="71" t="s">
        <v>123</v>
      </c>
      <c r="X1145" s="71"/>
      <c r="Y1145" s="71"/>
      <c r="Z1145" s="64" t="e">
        <f t="shared" si="264"/>
        <v>#VALUE!</v>
      </c>
      <c r="AA1145" s="64" t="e">
        <f t="shared" si="275"/>
        <v>#VALUE!</v>
      </c>
      <c r="AB1145" s="71">
        <v>1950</v>
      </c>
      <c r="AC1145" s="64">
        <f t="shared" si="265"/>
        <v>0.04</v>
      </c>
      <c r="AD1145" s="64">
        <f t="shared" si="277"/>
        <v>0.04</v>
      </c>
      <c r="AE1145" s="71">
        <v>1950</v>
      </c>
      <c r="AF1145" s="64">
        <f t="shared" si="266"/>
        <v>0.04</v>
      </c>
      <c r="AG1145" s="64">
        <f t="shared" si="278"/>
        <v>0.04</v>
      </c>
      <c r="AH1145" s="67"/>
      <c r="AI1145" s="47" t="s">
        <v>54</v>
      </c>
      <c r="AJ1145" s="47">
        <v>631</v>
      </c>
      <c r="AK1145" s="101" t="s">
        <v>65</v>
      </c>
      <c r="AL1145" s="101" t="s">
        <v>55</v>
      </c>
      <c r="AM1145" s="47" t="s">
        <v>3110</v>
      </c>
      <c r="AN1145" s="47">
        <v>1950</v>
      </c>
      <c r="AO1145" s="211">
        <f t="shared" si="267"/>
        <v>0.04</v>
      </c>
      <c r="AP1145" s="47" t="s">
        <v>90</v>
      </c>
      <c r="AQ1145" s="91" t="s">
        <v>116</v>
      </c>
      <c r="AR1145" s="47"/>
    </row>
    <row r="1146" spans="1:44" hidden="1">
      <c r="A1146" s="47" t="s">
        <v>44</v>
      </c>
      <c r="B1146" s="47" t="str">
        <f t="shared" si="276"/>
        <v>July</v>
      </c>
      <c r="C1146" s="59">
        <v>45503</v>
      </c>
      <c r="D1146" s="47" t="s">
        <v>83</v>
      </c>
      <c r="E1146" s="47" t="s">
        <v>3228</v>
      </c>
      <c r="F1146" s="47" t="s">
        <v>119</v>
      </c>
      <c r="G1146" s="47" t="s">
        <v>3232</v>
      </c>
      <c r="H1146" s="47" t="s">
        <v>3233</v>
      </c>
      <c r="I1146" s="47" t="s">
        <v>3234</v>
      </c>
      <c r="J1146" s="47" t="s">
        <v>51</v>
      </c>
      <c r="K1146" s="48">
        <v>45138</v>
      </c>
      <c r="L1146" s="48">
        <v>45138</v>
      </c>
      <c r="M1146" s="48">
        <v>45503</v>
      </c>
      <c r="N1146" s="47" t="s">
        <v>52</v>
      </c>
      <c r="O1146" s="55" t="s">
        <v>53</v>
      </c>
      <c r="P1146" s="62">
        <v>25800</v>
      </c>
      <c r="Q1146" s="62">
        <v>2150</v>
      </c>
      <c r="R1146" s="103">
        <v>34740</v>
      </c>
      <c r="S1146" s="62">
        <f t="shared" si="263"/>
        <v>2895</v>
      </c>
      <c r="T1146" s="62">
        <v>34740</v>
      </c>
      <c r="U1146" s="62">
        <f t="shared" si="279"/>
        <v>2895</v>
      </c>
      <c r="V1146" s="69">
        <v>23520</v>
      </c>
      <c r="W1146" s="71" t="s">
        <v>123</v>
      </c>
      <c r="X1146" s="71"/>
      <c r="Y1146" s="71"/>
      <c r="Z1146" s="64" t="e">
        <f t="shared" si="264"/>
        <v>#VALUE!</v>
      </c>
      <c r="AA1146" s="64" t="e">
        <f t="shared" si="275"/>
        <v>#VALUE!</v>
      </c>
      <c r="AB1146" s="71">
        <v>3000</v>
      </c>
      <c r="AC1146" s="64">
        <f t="shared" si="265"/>
        <v>3.6269430051813469E-2</v>
      </c>
      <c r="AD1146" s="64">
        <f t="shared" si="277"/>
        <v>3.6269430051813469E-2</v>
      </c>
      <c r="AE1146" s="71">
        <v>2950</v>
      </c>
      <c r="AF1146" s="64">
        <f t="shared" si="266"/>
        <v>1.8998272884283247E-2</v>
      </c>
      <c r="AG1146" s="64">
        <f t="shared" si="278"/>
        <v>1.8998272884283247E-2</v>
      </c>
      <c r="AH1146" s="67"/>
      <c r="AI1146" s="47" t="s">
        <v>54</v>
      </c>
      <c r="AJ1146" s="47">
        <v>1012</v>
      </c>
      <c r="AK1146" s="101" t="s">
        <v>140</v>
      </c>
      <c r="AL1146" s="101" t="s">
        <v>55</v>
      </c>
      <c r="AM1146" s="47" t="s">
        <v>3235</v>
      </c>
      <c r="AN1146" s="47">
        <v>3000</v>
      </c>
      <c r="AO1146" s="211">
        <f t="shared" si="267"/>
        <v>3.6269430051813469E-2</v>
      </c>
      <c r="AP1146" s="47" t="s">
        <v>90</v>
      </c>
      <c r="AQ1146" s="223" t="s">
        <v>125</v>
      </c>
      <c r="AR1146" s="47"/>
    </row>
    <row r="1147" spans="1:44">
      <c r="A1147" s="47" t="s">
        <v>74</v>
      </c>
      <c r="B1147" s="47" t="str">
        <f t="shared" si="276"/>
        <v>July</v>
      </c>
      <c r="C1147" s="59">
        <v>45486</v>
      </c>
      <c r="D1147" s="47" t="s">
        <v>83</v>
      </c>
      <c r="E1147" s="47" t="s">
        <v>3228</v>
      </c>
      <c r="F1147" s="47" t="s">
        <v>119</v>
      </c>
      <c r="G1147" s="47" t="s">
        <v>3236</v>
      </c>
      <c r="H1147" s="47" t="s">
        <v>3237</v>
      </c>
      <c r="I1147" s="47" t="s">
        <v>3238</v>
      </c>
      <c r="J1147" s="47" t="s">
        <v>51</v>
      </c>
      <c r="K1147" s="48">
        <v>44756</v>
      </c>
      <c r="L1147" s="48">
        <v>45121</v>
      </c>
      <c r="M1147" s="48">
        <v>45486</v>
      </c>
      <c r="N1147" s="47" t="s">
        <v>64</v>
      </c>
      <c r="O1147" s="55" t="s">
        <v>53</v>
      </c>
      <c r="P1147" s="62">
        <v>25800</v>
      </c>
      <c r="Q1147" s="62">
        <v>2150</v>
      </c>
      <c r="R1147" s="103">
        <v>27960</v>
      </c>
      <c r="S1147" s="62">
        <f t="shared" si="263"/>
        <v>2330</v>
      </c>
      <c r="T1147" s="62">
        <v>27960</v>
      </c>
      <c r="U1147" s="62">
        <f t="shared" si="279"/>
        <v>2330</v>
      </c>
      <c r="V1147" s="69">
        <v>25800</v>
      </c>
      <c r="W1147" s="71" t="s">
        <v>123</v>
      </c>
      <c r="X1147" s="71"/>
      <c r="Y1147" s="71"/>
      <c r="Z1147" s="64" t="e">
        <f t="shared" si="264"/>
        <v>#VALUE!</v>
      </c>
      <c r="AA1147" s="64" t="e">
        <f t="shared" si="275"/>
        <v>#VALUE!</v>
      </c>
      <c r="AB1147" s="71">
        <v>2500</v>
      </c>
      <c r="AC1147" s="64">
        <f t="shared" si="265"/>
        <v>7.2961373390557943E-2</v>
      </c>
      <c r="AD1147" s="64">
        <f t="shared" si="277"/>
        <v>7.2961373390557943E-2</v>
      </c>
      <c r="AE1147" s="71">
        <v>2485</v>
      </c>
      <c r="AF1147" s="64">
        <f t="shared" si="266"/>
        <v>6.652360515021459E-2</v>
      </c>
      <c r="AG1147" s="64">
        <f t="shared" si="278"/>
        <v>6.652360515021459E-2</v>
      </c>
      <c r="AH1147" s="67" t="s">
        <v>328</v>
      </c>
      <c r="AI1147" s="47" t="s">
        <v>54</v>
      </c>
      <c r="AJ1147" s="47">
        <v>1026</v>
      </c>
      <c r="AK1147" s="101" t="s">
        <v>140</v>
      </c>
      <c r="AL1147" s="101" t="s">
        <v>55</v>
      </c>
      <c r="AM1147" s="47" t="s">
        <v>3239</v>
      </c>
      <c r="AN1147" s="47"/>
      <c r="AO1147" s="211">
        <f t="shared" si="267"/>
        <v>-1</v>
      </c>
      <c r="AP1147" s="47" t="s">
        <v>90</v>
      </c>
      <c r="AQ1147" s="91" t="s">
        <v>116</v>
      </c>
      <c r="AR1147" s="47"/>
    </row>
    <row r="1148" spans="1:44">
      <c r="A1148" s="47" t="s">
        <v>44</v>
      </c>
      <c r="B1148" s="47" t="str">
        <f t="shared" si="276"/>
        <v>August</v>
      </c>
      <c r="C1148" s="59">
        <v>45508</v>
      </c>
      <c r="D1148" s="47" t="s">
        <v>103</v>
      </c>
      <c r="E1148" s="47" t="s">
        <v>656</v>
      </c>
      <c r="F1148" s="47" t="s">
        <v>657</v>
      </c>
      <c r="G1148" s="91" t="s">
        <v>658</v>
      </c>
      <c r="H1148" s="47" t="s">
        <v>659</v>
      </c>
      <c r="I1148" s="47" t="s">
        <v>660</v>
      </c>
      <c r="J1148" s="47" t="s">
        <v>51</v>
      </c>
      <c r="K1148" s="48">
        <v>44413</v>
      </c>
      <c r="L1148" s="48">
        <v>45143</v>
      </c>
      <c r="M1148" s="48">
        <v>45508</v>
      </c>
      <c r="N1148" s="47" t="s">
        <v>64</v>
      </c>
      <c r="O1148" s="55" t="s">
        <v>53</v>
      </c>
      <c r="P1148" s="62">
        <v>9960</v>
      </c>
      <c r="Q1148" s="62">
        <v>830</v>
      </c>
      <c r="R1148" s="103">
        <v>9960</v>
      </c>
      <c r="S1148" s="62">
        <f t="shared" si="263"/>
        <v>830</v>
      </c>
      <c r="T1148" s="62">
        <v>8880</v>
      </c>
      <c r="U1148" s="62">
        <f t="shared" si="279"/>
        <v>740</v>
      </c>
      <c r="V1148" s="69">
        <v>8580</v>
      </c>
      <c r="W1148" s="71">
        <v>835</v>
      </c>
      <c r="X1148" s="71"/>
      <c r="Y1148" s="71"/>
      <c r="Z1148" s="64">
        <f t="shared" si="264"/>
        <v>0.12837837837837837</v>
      </c>
      <c r="AA1148" s="64">
        <f t="shared" si="275"/>
        <v>6.024096385542169E-3</v>
      </c>
      <c r="AB1148" s="71">
        <v>770</v>
      </c>
      <c r="AC1148" s="64">
        <f t="shared" si="265"/>
        <v>4.0540540540540543E-2</v>
      </c>
      <c r="AD1148" s="64">
        <f t="shared" si="277"/>
        <v>-7.2289156626506021E-2</v>
      </c>
      <c r="AE1148" s="71">
        <v>770</v>
      </c>
      <c r="AF1148" s="64">
        <f t="shared" si="266"/>
        <v>4.0540540540540543E-2</v>
      </c>
      <c r="AG1148" s="64">
        <f t="shared" si="278"/>
        <v>-7.2289156626506021E-2</v>
      </c>
      <c r="AH1148" s="67"/>
      <c r="AI1148" s="47" t="s">
        <v>54</v>
      </c>
      <c r="AJ1148" s="47">
        <v>403.65</v>
      </c>
      <c r="AK1148" s="55" t="s">
        <v>55</v>
      </c>
      <c r="AL1148" s="55" t="s">
        <v>55</v>
      </c>
      <c r="AM1148" s="47" t="s">
        <v>661</v>
      </c>
      <c r="AN1148" s="47">
        <v>770</v>
      </c>
      <c r="AO1148" s="211">
        <f t="shared" si="267"/>
        <v>4.0540540540540543E-2</v>
      </c>
      <c r="AP1148" s="47" t="s">
        <v>57</v>
      </c>
      <c r="AQ1148" s="47" t="s">
        <v>58</v>
      </c>
      <c r="AR1148" s="47"/>
    </row>
    <row r="1149" spans="1:44">
      <c r="A1149" s="47" t="s">
        <v>44</v>
      </c>
      <c r="B1149" s="47" t="str">
        <f t="shared" si="276"/>
        <v>August</v>
      </c>
      <c r="C1149" s="59">
        <v>45509</v>
      </c>
      <c r="D1149" s="47" t="s">
        <v>103</v>
      </c>
      <c r="E1149" s="47" t="s">
        <v>656</v>
      </c>
      <c r="F1149" s="47" t="s">
        <v>657</v>
      </c>
      <c r="G1149" s="91" t="s">
        <v>662</v>
      </c>
      <c r="H1149" s="47" t="s">
        <v>663</v>
      </c>
      <c r="I1149" s="47" t="s">
        <v>660</v>
      </c>
      <c r="J1149" s="47" t="s">
        <v>51</v>
      </c>
      <c r="K1149" s="48">
        <v>44049</v>
      </c>
      <c r="L1149" s="48">
        <v>45144</v>
      </c>
      <c r="M1149" s="48">
        <v>45509</v>
      </c>
      <c r="N1149" s="47" t="s">
        <v>64</v>
      </c>
      <c r="O1149" s="55" t="s">
        <v>53</v>
      </c>
      <c r="P1149" s="62">
        <v>11400</v>
      </c>
      <c r="Q1149" s="62">
        <v>950</v>
      </c>
      <c r="R1149" s="103">
        <v>11400</v>
      </c>
      <c r="S1149" s="62">
        <f t="shared" si="263"/>
        <v>950</v>
      </c>
      <c r="T1149" s="62">
        <v>9840</v>
      </c>
      <c r="U1149" s="62">
        <f t="shared" si="279"/>
        <v>820</v>
      </c>
      <c r="V1149" s="69">
        <v>9540</v>
      </c>
      <c r="W1149" s="71">
        <v>960</v>
      </c>
      <c r="X1149" s="71"/>
      <c r="Y1149" s="71"/>
      <c r="Z1149" s="64">
        <f t="shared" si="264"/>
        <v>0.17073170731707318</v>
      </c>
      <c r="AA1149" s="64">
        <f t="shared" si="275"/>
        <v>1.0526315789473684E-2</v>
      </c>
      <c r="AB1149" s="71">
        <v>855</v>
      </c>
      <c r="AC1149" s="64">
        <f t="shared" si="265"/>
        <v>4.2682926829268296E-2</v>
      </c>
      <c r="AD1149" s="64">
        <f t="shared" si="277"/>
        <v>-0.1</v>
      </c>
      <c r="AE1149" s="71">
        <v>855</v>
      </c>
      <c r="AF1149" s="64">
        <f t="shared" si="266"/>
        <v>4.2682926829268296E-2</v>
      </c>
      <c r="AG1149" s="64">
        <f t="shared" si="278"/>
        <v>-0.1</v>
      </c>
      <c r="AH1149" s="67"/>
      <c r="AI1149" s="47" t="s">
        <v>54</v>
      </c>
      <c r="AJ1149" s="47">
        <v>612.47</v>
      </c>
      <c r="AK1149" s="55" t="s">
        <v>55</v>
      </c>
      <c r="AL1149" s="55" t="s">
        <v>55</v>
      </c>
      <c r="AM1149" s="47" t="s">
        <v>664</v>
      </c>
      <c r="AN1149" s="47">
        <v>855</v>
      </c>
      <c r="AO1149" s="211">
        <f t="shared" si="267"/>
        <v>4.2682926829268296E-2</v>
      </c>
      <c r="AP1149" s="47" t="s">
        <v>57</v>
      </c>
      <c r="AQ1149" s="47" t="s">
        <v>58</v>
      </c>
      <c r="AR1149" s="47"/>
    </row>
    <row r="1150" spans="1:44">
      <c r="A1150" s="47" t="s">
        <v>44</v>
      </c>
      <c r="B1150" s="47" t="str">
        <f t="shared" si="276"/>
        <v>August</v>
      </c>
      <c r="C1150" s="59">
        <v>45509</v>
      </c>
      <c r="D1150" s="47" t="s">
        <v>103</v>
      </c>
      <c r="E1150" s="47" t="s">
        <v>656</v>
      </c>
      <c r="F1150" s="47" t="s">
        <v>657</v>
      </c>
      <c r="G1150" s="91" t="s">
        <v>665</v>
      </c>
      <c r="H1150" s="47" t="s">
        <v>666</v>
      </c>
      <c r="I1150" s="47" t="s">
        <v>660</v>
      </c>
      <c r="J1150" s="47" t="s">
        <v>51</v>
      </c>
      <c r="K1150" s="48">
        <v>44779</v>
      </c>
      <c r="L1150" s="48">
        <v>45144</v>
      </c>
      <c r="M1150" s="48">
        <v>45509</v>
      </c>
      <c r="N1150" s="47" t="s">
        <v>64</v>
      </c>
      <c r="O1150" s="55" t="s">
        <v>53</v>
      </c>
      <c r="P1150" s="62">
        <v>12780</v>
      </c>
      <c r="Q1150" s="62">
        <v>1065</v>
      </c>
      <c r="R1150" s="103">
        <v>12780</v>
      </c>
      <c r="S1150" s="62">
        <f t="shared" si="263"/>
        <v>1065</v>
      </c>
      <c r="T1150" s="62">
        <v>12300</v>
      </c>
      <c r="U1150" s="62">
        <f t="shared" si="279"/>
        <v>1025</v>
      </c>
      <c r="V1150" s="69">
        <v>11940</v>
      </c>
      <c r="W1150" s="71">
        <v>1120</v>
      </c>
      <c r="X1150" s="71"/>
      <c r="Y1150" s="71"/>
      <c r="Z1150" s="64">
        <f t="shared" si="264"/>
        <v>9.2682926829268292E-2</v>
      </c>
      <c r="AA1150" s="64">
        <f t="shared" si="275"/>
        <v>5.1643192488262914E-2</v>
      </c>
      <c r="AB1150" s="71">
        <v>1070</v>
      </c>
      <c r="AC1150" s="64">
        <f t="shared" si="265"/>
        <v>4.3902439024390241E-2</v>
      </c>
      <c r="AD1150" s="64">
        <f t="shared" si="277"/>
        <v>4.6948356807511738E-3</v>
      </c>
      <c r="AE1150" s="71">
        <v>1070</v>
      </c>
      <c r="AF1150" s="64">
        <f t="shared" si="266"/>
        <v>4.3902439024390241E-2</v>
      </c>
      <c r="AG1150" s="64">
        <f t="shared" si="278"/>
        <v>4.6948356807511738E-3</v>
      </c>
      <c r="AH1150" s="67"/>
      <c r="AI1150" s="47" t="s">
        <v>54</v>
      </c>
      <c r="AJ1150" s="47">
        <v>652.29</v>
      </c>
      <c r="AK1150" s="55" t="s">
        <v>65</v>
      </c>
      <c r="AL1150" s="55" t="s">
        <v>55</v>
      </c>
      <c r="AM1150" s="47" t="s">
        <v>667</v>
      </c>
      <c r="AN1150" s="47"/>
      <c r="AO1150" s="211">
        <f t="shared" si="267"/>
        <v>-1</v>
      </c>
      <c r="AP1150" s="47" t="s">
        <v>57</v>
      </c>
      <c r="AQ1150" s="47" t="s">
        <v>58</v>
      </c>
      <c r="AR1150" s="47"/>
    </row>
    <row r="1151" spans="1:44">
      <c r="A1151" s="47" t="s">
        <v>44</v>
      </c>
      <c r="B1151" s="47" t="str">
        <f t="shared" si="276"/>
        <v>August</v>
      </c>
      <c r="C1151" s="59">
        <v>45509</v>
      </c>
      <c r="D1151" s="47" t="s">
        <v>103</v>
      </c>
      <c r="E1151" s="47" t="s">
        <v>656</v>
      </c>
      <c r="F1151" s="47" t="s">
        <v>657</v>
      </c>
      <c r="G1151" s="91" t="s">
        <v>668</v>
      </c>
      <c r="H1151" s="47" t="s">
        <v>669</v>
      </c>
      <c r="I1151" s="47" t="s">
        <v>660</v>
      </c>
      <c r="J1151" s="47" t="s">
        <v>51</v>
      </c>
      <c r="K1151" s="48">
        <v>44779</v>
      </c>
      <c r="L1151" s="48">
        <v>45144</v>
      </c>
      <c r="M1151" s="48">
        <v>45509</v>
      </c>
      <c r="N1151" s="47" t="s">
        <v>64</v>
      </c>
      <c r="O1151" s="55" t="s">
        <v>53</v>
      </c>
      <c r="P1151" s="62">
        <v>11340</v>
      </c>
      <c r="Q1151" s="62">
        <v>945</v>
      </c>
      <c r="R1151" s="103">
        <v>11340</v>
      </c>
      <c r="S1151" s="62">
        <f t="shared" si="263"/>
        <v>945</v>
      </c>
      <c r="T1151" s="62">
        <v>11160</v>
      </c>
      <c r="U1151" s="62">
        <f t="shared" si="279"/>
        <v>930</v>
      </c>
      <c r="V1151" s="69">
        <v>10800</v>
      </c>
      <c r="W1151" s="71">
        <v>1010</v>
      </c>
      <c r="X1151" s="71"/>
      <c r="Y1151" s="71"/>
      <c r="Z1151" s="64">
        <f t="shared" si="264"/>
        <v>8.6021505376344093E-2</v>
      </c>
      <c r="AA1151" s="64">
        <f t="shared" si="275"/>
        <v>6.8783068783068779E-2</v>
      </c>
      <c r="AB1151" s="71">
        <v>970</v>
      </c>
      <c r="AC1151" s="64">
        <f t="shared" si="265"/>
        <v>4.3010752688172046E-2</v>
      </c>
      <c r="AD1151" s="64">
        <f t="shared" si="277"/>
        <v>2.6455026455026454E-2</v>
      </c>
      <c r="AE1151" s="71">
        <v>970</v>
      </c>
      <c r="AF1151" s="64">
        <f t="shared" si="266"/>
        <v>4.3010752688172046E-2</v>
      </c>
      <c r="AG1151" s="64">
        <f t="shared" si="278"/>
        <v>2.6455026455026454E-2</v>
      </c>
      <c r="AH1151" s="67"/>
      <c r="AI1151" s="47" t="s">
        <v>54</v>
      </c>
      <c r="AJ1151" s="47">
        <v>540.35</v>
      </c>
      <c r="AK1151" s="55" t="s">
        <v>55</v>
      </c>
      <c r="AL1151" s="55" t="s">
        <v>55</v>
      </c>
      <c r="AM1151" s="47" t="s">
        <v>670</v>
      </c>
      <c r="AN1151" s="47"/>
      <c r="AO1151" s="211">
        <f t="shared" si="267"/>
        <v>-1</v>
      </c>
      <c r="AP1151" s="47" t="s">
        <v>57</v>
      </c>
      <c r="AQ1151" s="47" t="s">
        <v>58</v>
      </c>
      <c r="AR1151" s="47"/>
    </row>
    <row r="1152" spans="1:44">
      <c r="A1152" s="47" t="s">
        <v>44</v>
      </c>
      <c r="B1152" s="47" t="str">
        <f t="shared" ref="B1152:B1183" si="280">TEXT(C1152,"mmmm")</f>
        <v>August</v>
      </c>
      <c r="C1152" s="59">
        <v>45510</v>
      </c>
      <c r="D1152" s="47" t="s">
        <v>103</v>
      </c>
      <c r="E1152" s="47" t="s">
        <v>656</v>
      </c>
      <c r="F1152" s="47" t="s">
        <v>657</v>
      </c>
      <c r="G1152" s="91" t="s">
        <v>671</v>
      </c>
      <c r="H1152" s="47" t="s">
        <v>672</v>
      </c>
      <c r="I1152" s="47" t="s">
        <v>660</v>
      </c>
      <c r="J1152" s="47" t="s">
        <v>51</v>
      </c>
      <c r="K1152" s="48">
        <v>44415</v>
      </c>
      <c r="L1152" s="48">
        <v>45145</v>
      </c>
      <c r="M1152" s="48">
        <v>45510</v>
      </c>
      <c r="N1152" s="47" t="s">
        <v>64</v>
      </c>
      <c r="O1152" s="55" t="s">
        <v>53</v>
      </c>
      <c r="P1152" s="62">
        <v>12780</v>
      </c>
      <c r="Q1152" s="62">
        <v>1065</v>
      </c>
      <c r="R1152" s="103">
        <v>12780</v>
      </c>
      <c r="S1152" s="62">
        <f t="shared" si="263"/>
        <v>1065</v>
      </c>
      <c r="T1152" s="62">
        <v>11760</v>
      </c>
      <c r="U1152" s="62">
        <f t="shared" si="279"/>
        <v>980</v>
      </c>
      <c r="V1152" s="69">
        <v>11400</v>
      </c>
      <c r="W1152" s="71">
        <v>1090</v>
      </c>
      <c r="X1152" s="71"/>
      <c r="Y1152" s="71"/>
      <c r="Z1152" s="64">
        <f t="shared" si="264"/>
        <v>0.11224489795918367</v>
      </c>
      <c r="AA1152" s="64">
        <f t="shared" si="275"/>
        <v>2.3474178403755867E-2</v>
      </c>
      <c r="AB1152" s="71">
        <v>1025</v>
      </c>
      <c r="AC1152" s="64">
        <f t="shared" si="265"/>
        <v>4.5918367346938778E-2</v>
      </c>
      <c r="AD1152" s="64">
        <f t="shared" si="277"/>
        <v>-3.7558685446009391E-2</v>
      </c>
      <c r="AE1152" s="71">
        <v>1025</v>
      </c>
      <c r="AF1152" s="64">
        <f t="shared" si="266"/>
        <v>4.5918367346938778E-2</v>
      </c>
      <c r="AG1152" s="64">
        <f t="shared" si="278"/>
        <v>-3.7558685446009391E-2</v>
      </c>
      <c r="AH1152" s="67"/>
      <c r="AI1152" s="47" t="s">
        <v>54</v>
      </c>
      <c r="AJ1152" s="47">
        <v>652.29</v>
      </c>
      <c r="AK1152" s="55" t="s">
        <v>65</v>
      </c>
      <c r="AL1152" s="55" t="s">
        <v>55</v>
      </c>
      <c r="AM1152" s="47" t="s">
        <v>673</v>
      </c>
      <c r="AN1152" s="47">
        <v>1025</v>
      </c>
      <c r="AO1152" s="211">
        <f t="shared" si="267"/>
        <v>4.5918367346938778E-2</v>
      </c>
      <c r="AP1152" s="47" t="s">
        <v>57</v>
      </c>
      <c r="AQ1152" s="47" t="s">
        <v>58</v>
      </c>
      <c r="AR1152" s="47"/>
    </row>
    <row r="1153" spans="1:44">
      <c r="A1153" s="47" t="s">
        <v>44</v>
      </c>
      <c r="B1153" s="47" t="str">
        <f t="shared" si="280"/>
        <v>August</v>
      </c>
      <c r="C1153" s="59">
        <v>45511</v>
      </c>
      <c r="D1153" s="47" t="s">
        <v>103</v>
      </c>
      <c r="E1153" s="47" t="s">
        <v>656</v>
      </c>
      <c r="F1153" s="47" t="s">
        <v>657</v>
      </c>
      <c r="G1153" s="91" t="s">
        <v>674</v>
      </c>
      <c r="H1153" s="47" t="s">
        <v>675</v>
      </c>
      <c r="I1153" s="47" t="s">
        <v>660</v>
      </c>
      <c r="J1153" s="47" t="s">
        <v>51</v>
      </c>
      <c r="K1153" s="48">
        <v>44781</v>
      </c>
      <c r="L1153" s="48">
        <v>45146</v>
      </c>
      <c r="M1153" s="48">
        <v>45511</v>
      </c>
      <c r="N1153" s="47" t="s">
        <v>64</v>
      </c>
      <c r="O1153" s="55" t="s">
        <v>53</v>
      </c>
      <c r="P1153" s="62">
        <v>12780</v>
      </c>
      <c r="Q1153" s="62">
        <v>1065</v>
      </c>
      <c r="R1153" s="103">
        <v>12780</v>
      </c>
      <c r="S1153" s="62">
        <f t="shared" si="263"/>
        <v>1065</v>
      </c>
      <c r="T1153" s="62">
        <v>12480</v>
      </c>
      <c r="U1153" s="62">
        <f t="shared" si="279"/>
        <v>1040</v>
      </c>
      <c r="V1153" s="69">
        <v>12060</v>
      </c>
      <c r="W1153" s="71">
        <v>1130</v>
      </c>
      <c r="X1153" s="71"/>
      <c r="Y1153" s="71"/>
      <c r="Z1153" s="64">
        <f t="shared" si="264"/>
        <v>8.6538461538461536E-2</v>
      </c>
      <c r="AA1153" s="64">
        <f t="shared" si="275"/>
        <v>6.1032863849765258E-2</v>
      </c>
      <c r="AB1153" s="71">
        <v>1085</v>
      </c>
      <c r="AC1153" s="64">
        <f t="shared" si="265"/>
        <v>4.3269230769230768E-2</v>
      </c>
      <c r="AD1153" s="64">
        <f t="shared" si="277"/>
        <v>1.8779342723004695E-2</v>
      </c>
      <c r="AE1153" s="71">
        <v>1085</v>
      </c>
      <c r="AF1153" s="64">
        <f t="shared" si="266"/>
        <v>4.3269230769230768E-2</v>
      </c>
      <c r="AG1153" s="64">
        <f t="shared" si="278"/>
        <v>1.8779342723004695E-2</v>
      </c>
      <c r="AH1153" s="67"/>
      <c r="AI1153" s="47" t="s">
        <v>54</v>
      </c>
      <c r="AJ1153" s="47">
        <v>652.29</v>
      </c>
      <c r="AK1153" s="55" t="s">
        <v>65</v>
      </c>
      <c r="AL1153" s="55" t="s">
        <v>55</v>
      </c>
      <c r="AM1153" s="47" t="s">
        <v>676</v>
      </c>
      <c r="AN1153" s="47">
        <v>1085</v>
      </c>
      <c r="AO1153" s="211">
        <f t="shared" si="267"/>
        <v>4.3269230769230768E-2</v>
      </c>
      <c r="AP1153" s="47" t="s">
        <v>57</v>
      </c>
      <c r="AQ1153" s="47" t="s">
        <v>58</v>
      </c>
      <c r="AR1153" s="47"/>
    </row>
    <row r="1154" spans="1:44">
      <c r="A1154" s="47" t="s">
        <v>44</v>
      </c>
      <c r="B1154" s="47" t="str">
        <f t="shared" si="280"/>
        <v>July</v>
      </c>
      <c r="C1154" s="59">
        <v>45488</v>
      </c>
      <c r="D1154" s="47" t="s">
        <v>103</v>
      </c>
      <c r="E1154" s="47" t="s">
        <v>656</v>
      </c>
      <c r="F1154" s="47" t="s">
        <v>657</v>
      </c>
      <c r="G1154" s="91" t="s">
        <v>703</v>
      </c>
      <c r="H1154" s="47" t="s">
        <v>704</v>
      </c>
      <c r="I1154" s="47" t="s">
        <v>660</v>
      </c>
      <c r="J1154" s="47" t="s">
        <v>51</v>
      </c>
      <c r="K1154" s="48">
        <v>44758</v>
      </c>
      <c r="L1154" s="48">
        <v>45123</v>
      </c>
      <c r="M1154" s="48">
        <v>45488</v>
      </c>
      <c r="N1154" s="47" t="s">
        <v>64</v>
      </c>
      <c r="O1154" s="55" t="s">
        <v>53</v>
      </c>
      <c r="P1154" s="62">
        <v>9960</v>
      </c>
      <c r="Q1154" s="62">
        <v>830</v>
      </c>
      <c r="R1154" s="103">
        <v>9960</v>
      </c>
      <c r="S1154" s="62">
        <f t="shared" ref="S1154:S1199" si="281">R1154/12</f>
        <v>830</v>
      </c>
      <c r="T1154" s="62">
        <v>9060</v>
      </c>
      <c r="U1154" s="62">
        <f t="shared" si="279"/>
        <v>755</v>
      </c>
      <c r="V1154" s="69">
        <v>8760</v>
      </c>
      <c r="W1154" s="71">
        <v>830</v>
      </c>
      <c r="X1154" s="71"/>
      <c r="Y1154" s="71"/>
      <c r="Z1154" s="64">
        <f t="shared" ref="Z1154:Z1217" si="282">(W1154-U1154)/U1154</f>
        <v>9.9337748344370855E-2</v>
      </c>
      <c r="AA1154" s="64">
        <f t="shared" si="275"/>
        <v>0</v>
      </c>
      <c r="AB1154" s="71">
        <v>790</v>
      </c>
      <c r="AC1154" s="64">
        <f t="shared" ref="AC1154:AC1217" si="283">(AB1154-U1154)/U1154</f>
        <v>4.6357615894039736E-2</v>
      </c>
      <c r="AD1154" s="64">
        <f t="shared" si="277"/>
        <v>-4.8192771084337352E-2</v>
      </c>
      <c r="AE1154" s="71">
        <v>790</v>
      </c>
      <c r="AF1154" s="64">
        <f t="shared" ref="AF1154:AF1217" si="284">(AE1154-U1154)/U1154</f>
        <v>4.6357615894039736E-2</v>
      </c>
      <c r="AG1154" s="64">
        <f t="shared" si="278"/>
        <v>-4.8192771084337352E-2</v>
      </c>
      <c r="AH1154" s="67"/>
      <c r="AI1154" s="47" t="s">
        <v>54</v>
      </c>
      <c r="AJ1154" s="47">
        <v>403.65</v>
      </c>
      <c r="AK1154" s="101" t="s">
        <v>55</v>
      </c>
      <c r="AL1154" s="101" t="s">
        <v>55</v>
      </c>
      <c r="AM1154" s="47" t="s">
        <v>705</v>
      </c>
      <c r="AN1154" s="47">
        <v>790</v>
      </c>
      <c r="AO1154" s="211">
        <f t="shared" ref="AO1154:AO1217" si="285">SUM(AN1154-U1154)/U1154</f>
        <v>4.6357615894039736E-2</v>
      </c>
      <c r="AP1154" s="47" t="s">
        <v>57</v>
      </c>
      <c r="AQ1154" s="47" t="s">
        <v>58</v>
      </c>
      <c r="AR1154" s="47"/>
    </row>
    <row r="1155" spans="1:44">
      <c r="A1155" s="47" t="s">
        <v>44</v>
      </c>
      <c r="B1155" s="47" t="str">
        <f t="shared" si="280"/>
        <v>July</v>
      </c>
      <c r="C1155" s="59">
        <v>45491</v>
      </c>
      <c r="D1155" s="47" t="s">
        <v>103</v>
      </c>
      <c r="E1155" s="47" t="s">
        <v>656</v>
      </c>
      <c r="F1155" s="47" t="s">
        <v>657</v>
      </c>
      <c r="G1155" s="91" t="s">
        <v>706</v>
      </c>
      <c r="H1155" s="47" t="s">
        <v>707</v>
      </c>
      <c r="I1155" s="47" t="s">
        <v>660</v>
      </c>
      <c r="J1155" s="47" t="s">
        <v>51</v>
      </c>
      <c r="K1155" s="48">
        <v>44580</v>
      </c>
      <c r="L1155" s="48">
        <v>45126</v>
      </c>
      <c r="M1155" s="48">
        <v>45491</v>
      </c>
      <c r="N1155" s="47" t="s">
        <v>64</v>
      </c>
      <c r="O1155" s="55" t="s">
        <v>53</v>
      </c>
      <c r="P1155" s="62">
        <v>11400</v>
      </c>
      <c r="Q1155" s="62">
        <v>950</v>
      </c>
      <c r="R1155" s="103">
        <v>11400</v>
      </c>
      <c r="S1155" s="62">
        <f t="shared" si="281"/>
        <v>950</v>
      </c>
      <c r="T1155" s="62">
        <v>9960</v>
      </c>
      <c r="U1155" s="62">
        <f t="shared" si="279"/>
        <v>830</v>
      </c>
      <c r="V1155" s="69">
        <v>9660</v>
      </c>
      <c r="W1155" s="71">
        <v>945</v>
      </c>
      <c r="X1155" s="71"/>
      <c r="Y1155" s="71"/>
      <c r="Z1155" s="64">
        <f t="shared" si="282"/>
        <v>0.13855421686746988</v>
      </c>
      <c r="AA1155" s="64">
        <f t="shared" si="275"/>
        <v>-5.263157894736842E-3</v>
      </c>
      <c r="AB1155" s="71">
        <v>865</v>
      </c>
      <c r="AC1155" s="64">
        <f t="shared" si="283"/>
        <v>4.2168674698795178E-2</v>
      </c>
      <c r="AD1155" s="64">
        <f t="shared" si="277"/>
        <v>-8.9473684210526316E-2</v>
      </c>
      <c r="AE1155" s="71">
        <v>865</v>
      </c>
      <c r="AF1155" s="64">
        <f t="shared" si="284"/>
        <v>4.2168674698795178E-2</v>
      </c>
      <c r="AG1155" s="64">
        <f t="shared" si="278"/>
        <v>-8.9473684210526316E-2</v>
      </c>
      <c r="AH1155" s="67"/>
      <c r="AI1155" s="47" t="s">
        <v>54</v>
      </c>
      <c r="AJ1155" s="47">
        <v>609.24</v>
      </c>
      <c r="AK1155" s="101" t="s">
        <v>55</v>
      </c>
      <c r="AL1155" s="101" t="s">
        <v>55</v>
      </c>
      <c r="AM1155" s="47" t="s">
        <v>708</v>
      </c>
      <c r="AN1155" s="47">
        <v>865</v>
      </c>
      <c r="AO1155" s="211">
        <f t="shared" si="285"/>
        <v>4.2168674698795178E-2</v>
      </c>
      <c r="AP1155" s="47" t="s">
        <v>57</v>
      </c>
      <c r="AQ1155" s="47" t="s">
        <v>58</v>
      </c>
      <c r="AR1155" s="47"/>
    </row>
    <row r="1156" spans="1:44">
      <c r="A1156" s="47" t="s">
        <v>44</v>
      </c>
      <c r="B1156" s="47" t="str">
        <f t="shared" si="280"/>
        <v>July</v>
      </c>
      <c r="C1156" s="59">
        <v>45488</v>
      </c>
      <c r="D1156" s="47" t="s">
        <v>103</v>
      </c>
      <c r="E1156" s="47" t="s">
        <v>656</v>
      </c>
      <c r="F1156" s="47" t="s">
        <v>657</v>
      </c>
      <c r="G1156" s="91" t="s">
        <v>717</v>
      </c>
      <c r="H1156" s="47" t="s">
        <v>718</v>
      </c>
      <c r="I1156" s="47" t="s">
        <v>660</v>
      </c>
      <c r="J1156" s="47" t="s">
        <v>51</v>
      </c>
      <c r="K1156" s="48">
        <v>44758</v>
      </c>
      <c r="L1156" s="48">
        <v>45123</v>
      </c>
      <c r="M1156" s="48">
        <v>45488</v>
      </c>
      <c r="N1156" s="47" t="s">
        <v>64</v>
      </c>
      <c r="O1156" s="55" t="s">
        <v>53</v>
      </c>
      <c r="P1156" s="62">
        <v>13020</v>
      </c>
      <c r="Q1156" s="62">
        <v>1085</v>
      </c>
      <c r="R1156" s="103">
        <v>13020</v>
      </c>
      <c r="S1156" s="62">
        <f t="shared" si="281"/>
        <v>1085</v>
      </c>
      <c r="T1156" s="62">
        <v>11880</v>
      </c>
      <c r="U1156" s="62">
        <f t="shared" si="279"/>
        <v>990</v>
      </c>
      <c r="V1156" s="69">
        <v>11520</v>
      </c>
      <c r="W1156" s="71">
        <v>1085</v>
      </c>
      <c r="X1156" s="71"/>
      <c r="Y1156" s="71"/>
      <c r="Z1156" s="64">
        <f t="shared" si="282"/>
        <v>9.5959595959595953E-2</v>
      </c>
      <c r="AA1156" s="64">
        <f t="shared" si="275"/>
        <v>0</v>
      </c>
      <c r="AB1156" s="71">
        <f>(U1156/100)*4.5+U1156</f>
        <v>1034.55</v>
      </c>
      <c r="AC1156" s="64">
        <f t="shared" si="283"/>
        <v>4.4999999999999957E-2</v>
      </c>
      <c r="AD1156" s="64">
        <f t="shared" si="277"/>
        <v>-4.6497695852534604E-2</v>
      </c>
      <c r="AE1156" s="71">
        <v>1034.55</v>
      </c>
      <c r="AF1156" s="64">
        <f t="shared" si="284"/>
        <v>4.4999999999999957E-2</v>
      </c>
      <c r="AG1156" s="64">
        <f t="shared" si="278"/>
        <v>-4.6497695852534604E-2</v>
      </c>
      <c r="AH1156" s="67"/>
      <c r="AI1156" s="47" t="s">
        <v>54</v>
      </c>
      <c r="AJ1156" s="47">
        <v>727.64</v>
      </c>
      <c r="AK1156" s="101" t="s">
        <v>65</v>
      </c>
      <c r="AL1156" s="101" t="s">
        <v>55</v>
      </c>
      <c r="AM1156" s="47" t="s">
        <v>719</v>
      </c>
      <c r="AN1156" s="47">
        <v>1035</v>
      </c>
      <c r="AO1156" s="211">
        <f t="shared" si="285"/>
        <v>4.5454545454545456E-2</v>
      </c>
      <c r="AP1156" s="47" t="s">
        <v>57</v>
      </c>
      <c r="AQ1156" s="47" t="s">
        <v>58</v>
      </c>
      <c r="AR1156" s="47"/>
    </row>
    <row r="1157" spans="1:44" hidden="1">
      <c r="A1157" s="47" t="s">
        <v>44</v>
      </c>
      <c r="B1157" s="47" t="str">
        <f t="shared" si="280"/>
        <v>July</v>
      </c>
      <c r="C1157" s="59">
        <v>45491</v>
      </c>
      <c r="D1157" s="47" t="s">
        <v>103</v>
      </c>
      <c r="E1157" s="47" t="s">
        <v>656</v>
      </c>
      <c r="F1157" s="47" t="s">
        <v>657</v>
      </c>
      <c r="G1157" s="91" t="s">
        <v>720</v>
      </c>
      <c r="H1157" s="47" t="s">
        <v>721</v>
      </c>
      <c r="I1157" s="47" t="s">
        <v>660</v>
      </c>
      <c r="J1157" s="47" t="s">
        <v>51</v>
      </c>
      <c r="K1157" s="48">
        <v>45126</v>
      </c>
      <c r="L1157" s="48">
        <v>45126</v>
      </c>
      <c r="M1157" s="48">
        <v>45491</v>
      </c>
      <c r="N1157" s="47" t="s">
        <v>52</v>
      </c>
      <c r="O1157" s="55" t="s">
        <v>53</v>
      </c>
      <c r="P1157" s="62">
        <v>11400</v>
      </c>
      <c r="Q1157" s="62">
        <v>950</v>
      </c>
      <c r="R1157" s="103">
        <v>11400</v>
      </c>
      <c r="S1157" s="62">
        <f t="shared" si="281"/>
        <v>950</v>
      </c>
      <c r="T1157" s="62">
        <v>11040</v>
      </c>
      <c r="U1157" s="62">
        <f t="shared" si="279"/>
        <v>920</v>
      </c>
      <c r="V1157" s="69">
        <v>9840</v>
      </c>
      <c r="W1157" s="71">
        <v>965</v>
      </c>
      <c r="X1157" s="71"/>
      <c r="Y1157" s="71"/>
      <c r="Z1157" s="64">
        <f t="shared" si="282"/>
        <v>4.8913043478260872E-2</v>
      </c>
      <c r="AA1157" s="64">
        <f t="shared" si="275"/>
        <v>1.5789473684210527E-2</v>
      </c>
      <c r="AB1157" s="71">
        <v>960</v>
      </c>
      <c r="AC1157" s="64">
        <f t="shared" si="283"/>
        <v>4.3478260869565216E-2</v>
      </c>
      <c r="AD1157" s="64">
        <f t="shared" si="277"/>
        <v>1.0526315789473684E-2</v>
      </c>
      <c r="AE1157" s="71">
        <v>960</v>
      </c>
      <c r="AF1157" s="64">
        <f t="shared" si="284"/>
        <v>4.3478260869565216E-2</v>
      </c>
      <c r="AG1157" s="64">
        <f t="shared" si="278"/>
        <v>1.0526315789473684E-2</v>
      </c>
      <c r="AH1157" s="67"/>
      <c r="AI1157" s="47" t="s">
        <v>54</v>
      </c>
      <c r="AJ1157" s="47">
        <v>612.47</v>
      </c>
      <c r="AK1157" s="101" t="s">
        <v>55</v>
      </c>
      <c r="AL1157" s="101" t="s">
        <v>55</v>
      </c>
      <c r="AM1157" s="47" t="s">
        <v>722</v>
      </c>
      <c r="AN1157" s="47">
        <v>960</v>
      </c>
      <c r="AO1157" s="211">
        <f t="shared" si="285"/>
        <v>4.3478260869565216E-2</v>
      </c>
      <c r="AP1157" s="47" t="s">
        <v>57</v>
      </c>
      <c r="AQ1157" s="47" t="s">
        <v>58</v>
      </c>
      <c r="AR1157" s="47"/>
    </row>
    <row r="1158" spans="1:44" hidden="1">
      <c r="A1158" s="47" t="s">
        <v>44</v>
      </c>
      <c r="B1158" s="47" t="str">
        <f t="shared" si="280"/>
        <v>July</v>
      </c>
      <c r="C1158" s="59">
        <v>45489</v>
      </c>
      <c r="D1158" s="47" t="s">
        <v>103</v>
      </c>
      <c r="E1158" s="47" t="s">
        <v>656</v>
      </c>
      <c r="F1158" s="47" t="s">
        <v>657</v>
      </c>
      <c r="G1158" s="91" t="s">
        <v>732</v>
      </c>
      <c r="H1158" s="47" t="s">
        <v>733</v>
      </c>
      <c r="I1158" s="47" t="s">
        <v>660</v>
      </c>
      <c r="J1158" s="47" t="s">
        <v>51</v>
      </c>
      <c r="K1158" s="48">
        <v>45124</v>
      </c>
      <c r="L1158" s="48">
        <v>45124</v>
      </c>
      <c r="M1158" s="48">
        <v>45489</v>
      </c>
      <c r="N1158" s="47" t="s">
        <v>52</v>
      </c>
      <c r="O1158" s="55" t="s">
        <v>53</v>
      </c>
      <c r="P1158" s="62">
        <v>13020</v>
      </c>
      <c r="Q1158" s="62">
        <v>1085</v>
      </c>
      <c r="R1158" s="103">
        <v>13020</v>
      </c>
      <c r="S1158" s="62">
        <f t="shared" si="281"/>
        <v>1085</v>
      </c>
      <c r="T1158" s="62">
        <v>12720</v>
      </c>
      <c r="U1158" s="62">
        <f t="shared" si="279"/>
        <v>1060</v>
      </c>
      <c r="V1158" s="69">
        <v>11760</v>
      </c>
      <c r="W1158" s="71">
        <v>1105</v>
      </c>
      <c r="X1158" s="71"/>
      <c r="Y1158" s="71"/>
      <c r="Z1158" s="64">
        <f t="shared" si="282"/>
        <v>4.2452830188679243E-2</v>
      </c>
      <c r="AA1158" s="64">
        <f t="shared" si="275"/>
        <v>1.8433179723502304E-2</v>
      </c>
      <c r="AB1158" s="71">
        <v>1105</v>
      </c>
      <c r="AC1158" s="64">
        <f t="shared" si="283"/>
        <v>4.2452830188679243E-2</v>
      </c>
      <c r="AD1158" s="64">
        <f t="shared" si="277"/>
        <v>1.8433179723502304E-2</v>
      </c>
      <c r="AE1158" s="71">
        <v>1105</v>
      </c>
      <c r="AF1158" s="64">
        <f t="shared" si="284"/>
        <v>4.2452830188679243E-2</v>
      </c>
      <c r="AG1158" s="64">
        <f t="shared" si="278"/>
        <v>1.8433179723502304E-2</v>
      </c>
      <c r="AH1158" s="67"/>
      <c r="AI1158" s="47" t="s">
        <v>54</v>
      </c>
      <c r="AJ1158" s="47">
        <v>723.33</v>
      </c>
      <c r="AK1158" s="101" t="s">
        <v>65</v>
      </c>
      <c r="AL1158" s="101" t="s">
        <v>55</v>
      </c>
      <c r="AM1158" s="47" t="s">
        <v>734</v>
      </c>
      <c r="AN1158" s="47"/>
      <c r="AO1158" s="211">
        <f t="shared" si="285"/>
        <v>-1</v>
      </c>
      <c r="AP1158" s="47" t="s">
        <v>57</v>
      </c>
      <c r="AQ1158" s="47" t="s">
        <v>58</v>
      </c>
      <c r="AR1158" s="47"/>
    </row>
    <row r="1159" spans="1:44" hidden="1">
      <c r="A1159" s="47" t="s">
        <v>44</v>
      </c>
      <c r="B1159" s="47" t="str">
        <f t="shared" si="280"/>
        <v>July</v>
      </c>
      <c r="C1159" s="59">
        <v>45485</v>
      </c>
      <c r="D1159" s="47" t="s">
        <v>103</v>
      </c>
      <c r="E1159" s="47" t="s">
        <v>656</v>
      </c>
      <c r="F1159" s="47" t="s">
        <v>657</v>
      </c>
      <c r="G1159" s="91" t="s">
        <v>735</v>
      </c>
      <c r="H1159" s="47" t="s">
        <v>736</v>
      </c>
      <c r="I1159" s="47" t="s">
        <v>660</v>
      </c>
      <c r="J1159" s="47" t="s">
        <v>51</v>
      </c>
      <c r="K1159" s="48">
        <v>45304</v>
      </c>
      <c r="L1159" s="48">
        <v>45304</v>
      </c>
      <c r="M1159" s="48">
        <v>45485</v>
      </c>
      <c r="N1159" s="47" t="s">
        <v>52</v>
      </c>
      <c r="O1159" s="55" t="s">
        <v>53</v>
      </c>
      <c r="P1159" s="62">
        <v>11400</v>
      </c>
      <c r="Q1159" s="62">
        <v>950</v>
      </c>
      <c r="R1159" s="103">
        <v>11400</v>
      </c>
      <c r="S1159" s="62">
        <f t="shared" si="281"/>
        <v>950</v>
      </c>
      <c r="T1159" s="62">
        <v>11460</v>
      </c>
      <c r="U1159" s="62">
        <f t="shared" si="279"/>
        <v>955</v>
      </c>
      <c r="V1159" s="69">
        <v>9780</v>
      </c>
      <c r="W1159" s="71">
        <v>975</v>
      </c>
      <c r="X1159" s="71"/>
      <c r="Y1159" s="71"/>
      <c r="Z1159" s="64">
        <f t="shared" si="282"/>
        <v>2.0942408376963352E-2</v>
      </c>
      <c r="AA1159" s="64">
        <f t="shared" si="275"/>
        <v>2.6315789473684209E-2</v>
      </c>
      <c r="AB1159" s="71">
        <v>995</v>
      </c>
      <c r="AC1159" s="64">
        <f t="shared" si="283"/>
        <v>4.1884816753926704E-2</v>
      </c>
      <c r="AD1159" s="64">
        <f t="shared" si="277"/>
        <v>4.736842105263158E-2</v>
      </c>
      <c r="AE1159" s="71">
        <v>995</v>
      </c>
      <c r="AF1159" s="64">
        <f t="shared" si="284"/>
        <v>4.1884816753926704E-2</v>
      </c>
      <c r="AG1159" s="64">
        <f t="shared" si="278"/>
        <v>4.736842105263158E-2</v>
      </c>
      <c r="AH1159" s="67"/>
      <c r="AI1159" s="47" t="s">
        <v>54</v>
      </c>
      <c r="AJ1159" s="47">
        <v>612.47</v>
      </c>
      <c r="AK1159" s="101" t="s">
        <v>55</v>
      </c>
      <c r="AL1159" s="101" t="s">
        <v>55</v>
      </c>
      <c r="AM1159" s="47" t="s">
        <v>737</v>
      </c>
      <c r="AN1159" s="47">
        <v>995</v>
      </c>
      <c r="AO1159" s="211">
        <f t="shared" si="285"/>
        <v>4.1884816753926704E-2</v>
      </c>
      <c r="AP1159" s="47" t="s">
        <v>57</v>
      </c>
      <c r="AQ1159" s="47" t="s">
        <v>58</v>
      </c>
      <c r="AR1159" s="47"/>
    </row>
    <row r="1160" spans="1:44">
      <c r="A1160" s="47" t="s">
        <v>44</v>
      </c>
      <c r="B1160" s="47" t="str">
        <f t="shared" si="280"/>
        <v>July</v>
      </c>
      <c r="C1160" s="59">
        <v>45490</v>
      </c>
      <c r="D1160" s="47" t="s">
        <v>103</v>
      </c>
      <c r="E1160" s="47" t="s">
        <v>656</v>
      </c>
      <c r="F1160" s="47" t="s">
        <v>657</v>
      </c>
      <c r="G1160" s="91" t="s">
        <v>747</v>
      </c>
      <c r="H1160" s="47" t="s">
        <v>748</v>
      </c>
      <c r="I1160" s="47" t="s">
        <v>660</v>
      </c>
      <c r="J1160" s="47" t="s">
        <v>51</v>
      </c>
      <c r="K1160" s="48">
        <v>44760</v>
      </c>
      <c r="L1160" s="48">
        <v>45125</v>
      </c>
      <c r="M1160" s="48">
        <v>45490</v>
      </c>
      <c r="N1160" s="47" t="s">
        <v>64</v>
      </c>
      <c r="O1160" s="55" t="s">
        <v>53</v>
      </c>
      <c r="P1160" s="62">
        <v>12780</v>
      </c>
      <c r="Q1160" s="62">
        <v>1065</v>
      </c>
      <c r="R1160" s="103">
        <v>12780</v>
      </c>
      <c r="S1160" s="62">
        <f t="shared" si="281"/>
        <v>1065</v>
      </c>
      <c r="T1160" s="62">
        <v>12780</v>
      </c>
      <c r="U1160" s="62">
        <f t="shared" si="279"/>
        <v>1065</v>
      </c>
      <c r="V1160" s="69">
        <v>12360</v>
      </c>
      <c r="W1160" s="71">
        <v>1160</v>
      </c>
      <c r="X1160" s="71"/>
      <c r="Y1160" s="71"/>
      <c r="Z1160" s="64">
        <f t="shared" si="282"/>
        <v>8.9201877934272297E-2</v>
      </c>
      <c r="AA1160" s="64">
        <f t="shared" si="275"/>
        <v>8.9201877934272297E-2</v>
      </c>
      <c r="AB1160" s="71">
        <v>1115</v>
      </c>
      <c r="AC1160" s="64">
        <f t="shared" si="283"/>
        <v>4.6948356807511735E-2</v>
      </c>
      <c r="AD1160" s="64">
        <f t="shared" si="277"/>
        <v>4.6948356807511735E-2</v>
      </c>
      <c r="AE1160" s="71">
        <v>1115</v>
      </c>
      <c r="AF1160" s="64">
        <f t="shared" si="284"/>
        <v>4.6948356807511735E-2</v>
      </c>
      <c r="AG1160" s="64">
        <f t="shared" si="278"/>
        <v>4.6948356807511735E-2</v>
      </c>
      <c r="AH1160" s="67"/>
      <c r="AI1160" s="47" t="s">
        <v>54</v>
      </c>
      <c r="AJ1160" s="47">
        <v>652.29</v>
      </c>
      <c r="AK1160" s="101" t="s">
        <v>65</v>
      </c>
      <c r="AL1160" s="101" t="s">
        <v>55</v>
      </c>
      <c r="AM1160" s="47" t="s">
        <v>749</v>
      </c>
      <c r="AN1160" s="47">
        <v>1115</v>
      </c>
      <c r="AO1160" s="211">
        <f t="shared" si="285"/>
        <v>4.6948356807511735E-2</v>
      </c>
      <c r="AP1160" s="47" t="s">
        <v>57</v>
      </c>
      <c r="AQ1160" s="47" t="s">
        <v>58</v>
      </c>
      <c r="AR1160" s="47"/>
    </row>
    <row r="1161" spans="1:44" hidden="1">
      <c r="A1161" s="47" t="s">
        <v>44</v>
      </c>
      <c r="B1161" s="47" t="str">
        <f t="shared" si="280"/>
        <v>July</v>
      </c>
      <c r="C1161" s="59">
        <v>45496</v>
      </c>
      <c r="D1161" s="47" t="s">
        <v>103</v>
      </c>
      <c r="E1161" s="47" t="s">
        <v>656</v>
      </c>
      <c r="F1161" s="47" t="s">
        <v>657</v>
      </c>
      <c r="G1161" s="91" t="s">
        <v>822</v>
      </c>
      <c r="H1161" s="47" t="s">
        <v>823</v>
      </c>
      <c r="I1161" s="47" t="s">
        <v>660</v>
      </c>
      <c r="J1161" s="47" t="s">
        <v>51</v>
      </c>
      <c r="K1161" s="48">
        <v>45131</v>
      </c>
      <c r="L1161" s="48">
        <v>45131</v>
      </c>
      <c r="M1161" s="48">
        <v>45496</v>
      </c>
      <c r="N1161" s="47" t="s">
        <v>52</v>
      </c>
      <c r="O1161" s="55" t="s">
        <v>53</v>
      </c>
      <c r="P1161" s="62">
        <v>12780</v>
      </c>
      <c r="Q1161" s="62">
        <v>1065</v>
      </c>
      <c r="R1161" s="103">
        <v>12780</v>
      </c>
      <c r="S1161" s="62">
        <f t="shared" si="281"/>
        <v>1065</v>
      </c>
      <c r="T1161" s="62">
        <v>13620</v>
      </c>
      <c r="U1161" s="62">
        <f t="shared" si="279"/>
        <v>1135</v>
      </c>
      <c r="V1161" s="69">
        <v>11700</v>
      </c>
      <c r="W1161" s="71">
        <v>1180</v>
      </c>
      <c r="X1161" s="71"/>
      <c r="Y1161" s="71"/>
      <c r="Z1161" s="64">
        <f t="shared" si="282"/>
        <v>3.9647577092511016E-2</v>
      </c>
      <c r="AA1161" s="64">
        <f t="shared" si="275"/>
        <v>0.107981220657277</v>
      </c>
      <c r="AB1161" s="71">
        <v>1185</v>
      </c>
      <c r="AC1161" s="64">
        <f t="shared" si="283"/>
        <v>4.405286343612335E-2</v>
      </c>
      <c r="AD1161" s="64">
        <f t="shared" si="277"/>
        <v>0.11267605633802817</v>
      </c>
      <c r="AE1161" s="71">
        <v>1185</v>
      </c>
      <c r="AF1161" s="64">
        <f t="shared" si="284"/>
        <v>4.405286343612335E-2</v>
      </c>
      <c r="AG1161" s="64">
        <f t="shared" si="278"/>
        <v>0.11267605633802817</v>
      </c>
      <c r="AH1161" s="67"/>
      <c r="AI1161" s="47" t="s">
        <v>54</v>
      </c>
      <c r="AJ1161" s="47">
        <v>652.29</v>
      </c>
      <c r="AK1161" s="101" t="s">
        <v>65</v>
      </c>
      <c r="AL1161" s="101" t="s">
        <v>55</v>
      </c>
      <c r="AM1161" s="47" t="s">
        <v>824</v>
      </c>
      <c r="AN1161" s="47">
        <v>1185</v>
      </c>
      <c r="AO1161" s="211">
        <f t="shared" si="285"/>
        <v>4.405286343612335E-2</v>
      </c>
      <c r="AP1161" s="47" t="s">
        <v>57</v>
      </c>
      <c r="AQ1161" s="47" t="s">
        <v>58</v>
      </c>
      <c r="AR1161" s="47"/>
    </row>
    <row r="1162" spans="1:44" hidden="1">
      <c r="A1162" s="47" t="s">
        <v>44</v>
      </c>
      <c r="B1162" s="47" t="str">
        <f t="shared" si="280"/>
        <v>July</v>
      </c>
      <c r="C1162" s="59">
        <v>45486</v>
      </c>
      <c r="D1162" s="47" t="s">
        <v>103</v>
      </c>
      <c r="E1162" s="47" t="s">
        <v>656</v>
      </c>
      <c r="F1162" s="47" t="s">
        <v>657</v>
      </c>
      <c r="G1162" s="91" t="s">
        <v>825</v>
      </c>
      <c r="H1162" s="47" t="s">
        <v>826</v>
      </c>
      <c r="I1162" s="47" t="s">
        <v>660</v>
      </c>
      <c r="J1162" s="47" t="s">
        <v>51</v>
      </c>
      <c r="K1162" s="48">
        <v>45121</v>
      </c>
      <c r="L1162" s="48">
        <v>45121</v>
      </c>
      <c r="M1162" s="48">
        <v>45486</v>
      </c>
      <c r="N1162" s="47" t="s">
        <v>52</v>
      </c>
      <c r="O1162" s="55" t="s">
        <v>53</v>
      </c>
      <c r="P1162" s="62">
        <v>9960</v>
      </c>
      <c r="Q1162" s="62">
        <v>830</v>
      </c>
      <c r="R1162" s="103">
        <v>9960</v>
      </c>
      <c r="S1162" s="62">
        <f t="shared" si="281"/>
        <v>830</v>
      </c>
      <c r="T1162" s="62">
        <v>9360</v>
      </c>
      <c r="U1162" s="62">
        <f t="shared" si="279"/>
        <v>780</v>
      </c>
      <c r="V1162" s="69">
        <v>8640</v>
      </c>
      <c r="W1162" s="71">
        <v>815</v>
      </c>
      <c r="X1162" s="71"/>
      <c r="Y1162" s="71"/>
      <c r="Z1162" s="64">
        <f t="shared" si="282"/>
        <v>4.4871794871794872E-2</v>
      </c>
      <c r="AA1162" s="64">
        <f t="shared" si="275"/>
        <v>-1.8072289156626505E-2</v>
      </c>
      <c r="AB1162" s="71">
        <f>(U1162/100)*4.5+U1162</f>
        <v>815.1</v>
      </c>
      <c r="AC1162" s="64">
        <f t="shared" si="283"/>
        <v>4.5000000000000026E-2</v>
      </c>
      <c r="AD1162" s="64">
        <f t="shared" si="277"/>
        <v>-1.7951807228915637E-2</v>
      </c>
      <c r="AE1162" s="71">
        <v>815.1</v>
      </c>
      <c r="AF1162" s="64">
        <f t="shared" si="284"/>
        <v>4.5000000000000026E-2</v>
      </c>
      <c r="AG1162" s="64">
        <f t="shared" si="278"/>
        <v>-1.7951807228915637E-2</v>
      </c>
      <c r="AH1162" s="67"/>
      <c r="AI1162" s="47" t="s">
        <v>395</v>
      </c>
      <c r="AJ1162" s="47">
        <v>400.42</v>
      </c>
      <c r="AK1162" s="101" t="s">
        <v>55</v>
      </c>
      <c r="AL1162" s="101" t="s">
        <v>55</v>
      </c>
      <c r="AM1162" s="47" t="s">
        <v>827</v>
      </c>
      <c r="AN1162" s="47">
        <v>815</v>
      </c>
      <c r="AO1162" s="211">
        <f t="shared" si="285"/>
        <v>4.4871794871794872E-2</v>
      </c>
      <c r="AP1162" s="47" t="s">
        <v>57</v>
      </c>
      <c r="AQ1162" s="47" t="s">
        <v>58</v>
      </c>
      <c r="AR1162" s="47"/>
    </row>
    <row r="1163" spans="1:44">
      <c r="A1163" s="47" t="s">
        <v>44</v>
      </c>
      <c r="B1163" s="47" t="str">
        <f t="shared" si="280"/>
        <v>July</v>
      </c>
      <c r="C1163" s="59">
        <v>45494</v>
      </c>
      <c r="D1163" s="47" t="s">
        <v>103</v>
      </c>
      <c r="E1163" s="47" t="s">
        <v>656</v>
      </c>
      <c r="F1163" s="47" t="s">
        <v>657</v>
      </c>
      <c r="G1163" s="91" t="s">
        <v>828</v>
      </c>
      <c r="H1163" s="47" t="s">
        <v>829</v>
      </c>
      <c r="I1163" s="47" t="s">
        <v>660</v>
      </c>
      <c r="J1163" s="47" t="s">
        <v>51</v>
      </c>
      <c r="K1163" s="48">
        <v>44396</v>
      </c>
      <c r="L1163" s="48">
        <v>45129</v>
      </c>
      <c r="M1163" s="48">
        <v>45494</v>
      </c>
      <c r="N1163" s="47" t="s">
        <v>64</v>
      </c>
      <c r="O1163" s="55" t="s">
        <v>53</v>
      </c>
      <c r="P1163" s="62">
        <v>11400</v>
      </c>
      <c r="Q1163" s="62">
        <v>950</v>
      </c>
      <c r="R1163" s="103">
        <v>11400</v>
      </c>
      <c r="S1163" s="62">
        <f t="shared" si="281"/>
        <v>950</v>
      </c>
      <c r="T1163" s="62">
        <v>11040</v>
      </c>
      <c r="U1163" s="62">
        <f t="shared" ref="U1163:U1194" si="286">T1163/12</f>
        <v>920</v>
      </c>
      <c r="V1163" s="69">
        <v>10680</v>
      </c>
      <c r="W1163" s="71">
        <v>1040</v>
      </c>
      <c r="X1163" s="71"/>
      <c r="Y1163" s="71"/>
      <c r="Z1163" s="64">
        <f t="shared" si="282"/>
        <v>0.13043478260869565</v>
      </c>
      <c r="AA1163" s="64">
        <f t="shared" si="275"/>
        <v>9.4736842105263161E-2</v>
      </c>
      <c r="AB1163" s="71">
        <v>960</v>
      </c>
      <c r="AC1163" s="64">
        <f t="shared" si="283"/>
        <v>4.3478260869565216E-2</v>
      </c>
      <c r="AD1163" s="64">
        <f t="shared" si="277"/>
        <v>1.0526315789473684E-2</v>
      </c>
      <c r="AE1163" s="71">
        <v>960</v>
      </c>
      <c r="AF1163" s="64">
        <f t="shared" si="284"/>
        <v>4.3478260869565216E-2</v>
      </c>
      <c r="AG1163" s="64">
        <f t="shared" si="278"/>
        <v>1.0526315789473684E-2</v>
      </c>
      <c r="AH1163" s="67"/>
      <c r="AI1163" s="47" t="s">
        <v>54</v>
      </c>
      <c r="AJ1163" s="47">
        <v>612.47</v>
      </c>
      <c r="AK1163" s="101" t="s">
        <v>55</v>
      </c>
      <c r="AL1163" s="101" t="s">
        <v>55</v>
      </c>
      <c r="AM1163" s="47" t="s">
        <v>830</v>
      </c>
      <c r="AN1163" s="47"/>
      <c r="AO1163" s="211">
        <f t="shared" si="285"/>
        <v>-1</v>
      </c>
      <c r="AP1163" s="47" t="s">
        <v>57</v>
      </c>
      <c r="AQ1163" s="47" t="s">
        <v>58</v>
      </c>
      <c r="AR1163" s="47"/>
    </row>
    <row r="1164" spans="1:44">
      <c r="A1164" s="47" t="s">
        <v>44</v>
      </c>
      <c r="B1164" s="47" t="str">
        <f t="shared" si="280"/>
        <v>July</v>
      </c>
      <c r="C1164" s="59">
        <v>45496</v>
      </c>
      <c r="D1164" s="47" t="s">
        <v>103</v>
      </c>
      <c r="E1164" s="47" t="s">
        <v>656</v>
      </c>
      <c r="F1164" s="47" t="s">
        <v>657</v>
      </c>
      <c r="G1164" s="91" t="s">
        <v>831</v>
      </c>
      <c r="H1164" s="47" t="s">
        <v>832</v>
      </c>
      <c r="I1164" s="47" t="s">
        <v>660</v>
      </c>
      <c r="J1164" s="47" t="s">
        <v>51</v>
      </c>
      <c r="K1164" s="48">
        <v>44401</v>
      </c>
      <c r="L1164" s="48">
        <v>45131</v>
      </c>
      <c r="M1164" s="48">
        <v>45496</v>
      </c>
      <c r="N1164" s="47" t="s">
        <v>64</v>
      </c>
      <c r="O1164" s="55" t="s">
        <v>53</v>
      </c>
      <c r="P1164" s="62">
        <v>11640</v>
      </c>
      <c r="Q1164" s="62">
        <v>970</v>
      </c>
      <c r="R1164" s="103">
        <v>11640</v>
      </c>
      <c r="S1164" s="62">
        <f t="shared" si="281"/>
        <v>970</v>
      </c>
      <c r="T1164" s="62">
        <v>10920</v>
      </c>
      <c r="U1164" s="62">
        <f t="shared" si="286"/>
        <v>910</v>
      </c>
      <c r="V1164" s="69">
        <v>10560</v>
      </c>
      <c r="W1164" s="71">
        <v>1055</v>
      </c>
      <c r="X1164" s="71"/>
      <c r="Y1164" s="71"/>
      <c r="Z1164" s="64">
        <f t="shared" si="282"/>
        <v>0.15934065934065933</v>
      </c>
      <c r="AA1164" s="64">
        <f t="shared" si="275"/>
        <v>8.7628865979381437E-2</v>
      </c>
      <c r="AB1164" s="71">
        <v>950</v>
      </c>
      <c r="AC1164" s="64">
        <f t="shared" si="283"/>
        <v>4.3956043956043959E-2</v>
      </c>
      <c r="AD1164" s="64">
        <f t="shared" si="277"/>
        <v>-2.0618556701030927E-2</v>
      </c>
      <c r="AE1164" s="71">
        <v>950</v>
      </c>
      <c r="AF1164" s="64">
        <f t="shared" si="284"/>
        <v>4.3956043956043959E-2</v>
      </c>
      <c r="AG1164" s="64">
        <f t="shared" si="278"/>
        <v>-2.0618556701030927E-2</v>
      </c>
      <c r="AH1164" s="67"/>
      <c r="AI1164" s="47" t="s">
        <v>54</v>
      </c>
      <c r="AJ1164" s="47">
        <v>618.91999999999996</v>
      </c>
      <c r="AK1164" s="101" t="s">
        <v>65</v>
      </c>
      <c r="AL1164" s="101" t="s">
        <v>55</v>
      </c>
      <c r="AM1164" s="47" t="s">
        <v>833</v>
      </c>
      <c r="AN1164" s="47"/>
      <c r="AO1164" s="211">
        <f t="shared" si="285"/>
        <v>-1</v>
      </c>
      <c r="AP1164" s="47" t="s">
        <v>57</v>
      </c>
      <c r="AQ1164" s="52" t="s">
        <v>58</v>
      </c>
      <c r="AR1164" s="47"/>
    </row>
    <row r="1165" spans="1:44" hidden="1">
      <c r="A1165" s="47" t="s">
        <v>44</v>
      </c>
      <c r="B1165" s="47" t="str">
        <f t="shared" si="280"/>
        <v>July</v>
      </c>
      <c r="C1165" s="59">
        <v>45499</v>
      </c>
      <c r="D1165" s="47" t="s">
        <v>103</v>
      </c>
      <c r="E1165" s="47" t="s">
        <v>656</v>
      </c>
      <c r="F1165" s="47" t="s">
        <v>657</v>
      </c>
      <c r="G1165" s="91" t="s">
        <v>834</v>
      </c>
      <c r="H1165" s="47" t="s">
        <v>835</v>
      </c>
      <c r="I1165" s="47" t="s">
        <v>660</v>
      </c>
      <c r="J1165" s="47" t="s">
        <v>51</v>
      </c>
      <c r="K1165" s="48">
        <v>45134</v>
      </c>
      <c r="L1165" s="48">
        <v>45134</v>
      </c>
      <c r="M1165" s="48">
        <v>45499</v>
      </c>
      <c r="N1165" s="47" t="s">
        <v>52</v>
      </c>
      <c r="O1165" s="55" t="s">
        <v>53</v>
      </c>
      <c r="P1165" s="62">
        <v>11400</v>
      </c>
      <c r="Q1165" s="62">
        <v>950</v>
      </c>
      <c r="R1165" s="103">
        <v>11400</v>
      </c>
      <c r="S1165" s="62">
        <f t="shared" si="281"/>
        <v>950</v>
      </c>
      <c r="T1165" s="62">
        <v>10920</v>
      </c>
      <c r="U1165" s="62">
        <f t="shared" si="286"/>
        <v>910</v>
      </c>
      <c r="V1165" s="69">
        <v>10020</v>
      </c>
      <c r="W1165" s="71">
        <v>955</v>
      </c>
      <c r="X1165" s="71"/>
      <c r="Y1165" s="71"/>
      <c r="Z1165" s="64">
        <f t="shared" si="282"/>
        <v>4.9450549450549448E-2</v>
      </c>
      <c r="AA1165" s="64">
        <f t="shared" si="275"/>
        <v>5.263157894736842E-3</v>
      </c>
      <c r="AB1165" s="71">
        <v>950</v>
      </c>
      <c r="AC1165" s="64">
        <f t="shared" si="283"/>
        <v>4.3956043956043959E-2</v>
      </c>
      <c r="AD1165" s="64">
        <f t="shared" si="277"/>
        <v>0</v>
      </c>
      <c r="AE1165" s="71">
        <v>950</v>
      </c>
      <c r="AF1165" s="64">
        <f t="shared" si="284"/>
        <v>4.3956043956043959E-2</v>
      </c>
      <c r="AG1165" s="64">
        <f t="shared" si="278"/>
        <v>0</v>
      </c>
      <c r="AH1165" s="67"/>
      <c r="AI1165" s="47" t="s">
        <v>54</v>
      </c>
      <c r="AJ1165" s="47">
        <v>609.24</v>
      </c>
      <c r="AK1165" s="101" t="s">
        <v>55</v>
      </c>
      <c r="AL1165" s="101" t="s">
        <v>55</v>
      </c>
      <c r="AM1165" s="47" t="s">
        <v>836</v>
      </c>
      <c r="AN1165" s="47"/>
      <c r="AO1165" s="211">
        <f t="shared" si="285"/>
        <v>-1</v>
      </c>
      <c r="AP1165" s="47" t="s">
        <v>57</v>
      </c>
      <c r="AQ1165" s="47" t="s">
        <v>58</v>
      </c>
      <c r="AR1165" s="47"/>
    </row>
    <row r="1166" spans="1:44">
      <c r="A1166" s="47" t="s">
        <v>44</v>
      </c>
      <c r="B1166" s="47" t="str">
        <f t="shared" si="280"/>
        <v>July</v>
      </c>
      <c r="C1166" s="59">
        <v>45498</v>
      </c>
      <c r="D1166" s="47" t="s">
        <v>103</v>
      </c>
      <c r="E1166" s="47" t="s">
        <v>656</v>
      </c>
      <c r="F1166" s="47" t="s">
        <v>657</v>
      </c>
      <c r="G1166" s="91" t="s">
        <v>837</v>
      </c>
      <c r="H1166" s="47" t="s">
        <v>838</v>
      </c>
      <c r="I1166" s="47" t="s">
        <v>660</v>
      </c>
      <c r="J1166" s="47" t="s">
        <v>51</v>
      </c>
      <c r="K1166" s="48">
        <v>44587</v>
      </c>
      <c r="L1166" s="48">
        <v>45133</v>
      </c>
      <c r="M1166" s="48">
        <v>45498</v>
      </c>
      <c r="N1166" s="47" t="s">
        <v>64</v>
      </c>
      <c r="O1166" s="55" t="s">
        <v>53</v>
      </c>
      <c r="P1166" s="62">
        <v>11340</v>
      </c>
      <c r="Q1166" s="62">
        <v>945</v>
      </c>
      <c r="R1166" s="103">
        <v>11340</v>
      </c>
      <c r="S1166" s="62">
        <f t="shared" si="281"/>
        <v>945</v>
      </c>
      <c r="T1166" s="62">
        <v>10920</v>
      </c>
      <c r="U1166" s="62">
        <f t="shared" si="286"/>
        <v>910</v>
      </c>
      <c r="V1166" s="69">
        <v>10560</v>
      </c>
      <c r="W1166" s="71">
        <v>1040</v>
      </c>
      <c r="X1166" s="71"/>
      <c r="Y1166" s="71"/>
      <c r="Z1166" s="64">
        <f t="shared" si="282"/>
        <v>0.14285714285714285</v>
      </c>
      <c r="AA1166" s="64">
        <f t="shared" si="275"/>
        <v>0.10052910052910052</v>
      </c>
      <c r="AB1166" s="71">
        <v>950</v>
      </c>
      <c r="AC1166" s="64">
        <f t="shared" si="283"/>
        <v>4.3956043956043959E-2</v>
      </c>
      <c r="AD1166" s="64">
        <f t="shared" si="277"/>
        <v>5.2910052910052907E-3</v>
      </c>
      <c r="AE1166" s="71">
        <v>950</v>
      </c>
      <c r="AF1166" s="64">
        <f t="shared" si="284"/>
        <v>4.3956043956043959E-2</v>
      </c>
      <c r="AG1166" s="64">
        <f t="shared" si="278"/>
        <v>5.2910052910052907E-3</v>
      </c>
      <c r="AH1166" s="67"/>
      <c r="AI1166" s="47" t="s">
        <v>54</v>
      </c>
      <c r="AJ1166" s="47">
        <v>540.35</v>
      </c>
      <c r="AK1166" s="101" t="s">
        <v>55</v>
      </c>
      <c r="AL1166" s="101" t="s">
        <v>55</v>
      </c>
      <c r="AM1166" s="47" t="s">
        <v>839</v>
      </c>
      <c r="AN1166" s="47"/>
      <c r="AO1166" s="211">
        <f t="shared" si="285"/>
        <v>-1</v>
      </c>
      <c r="AP1166" s="47" t="s">
        <v>57</v>
      </c>
      <c r="AQ1166" s="47" t="s">
        <v>58</v>
      </c>
      <c r="AR1166" s="47"/>
    </row>
    <row r="1167" spans="1:44">
      <c r="A1167" s="47" t="s">
        <v>74</v>
      </c>
      <c r="B1167" s="47" t="str">
        <f t="shared" si="280"/>
        <v>July</v>
      </c>
      <c r="C1167" s="59">
        <v>45486</v>
      </c>
      <c r="D1167" s="47" t="s">
        <v>103</v>
      </c>
      <c r="E1167" s="47" t="s">
        <v>656</v>
      </c>
      <c r="F1167" s="47" t="s">
        <v>657</v>
      </c>
      <c r="G1167" s="91" t="s">
        <v>923</v>
      </c>
      <c r="H1167" s="47" t="s">
        <v>924</v>
      </c>
      <c r="I1167" s="47" t="s">
        <v>660</v>
      </c>
      <c r="J1167" s="47" t="s">
        <v>51</v>
      </c>
      <c r="K1167" s="48">
        <v>44391</v>
      </c>
      <c r="L1167" s="48">
        <v>45121</v>
      </c>
      <c r="M1167" s="48">
        <v>45486</v>
      </c>
      <c r="N1167" s="47" t="s">
        <v>64</v>
      </c>
      <c r="O1167" s="55" t="s">
        <v>53</v>
      </c>
      <c r="P1167" s="62">
        <v>10140</v>
      </c>
      <c r="Q1167" s="62">
        <v>845</v>
      </c>
      <c r="R1167" s="103">
        <v>10140</v>
      </c>
      <c r="S1167" s="62">
        <f t="shared" si="281"/>
        <v>845</v>
      </c>
      <c r="T1167" s="62">
        <v>9660</v>
      </c>
      <c r="U1167" s="62">
        <f t="shared" si="286"/>
        <v>805</v>
      </c>
      <c r="V1167" s="69">
        <v>9360</v>
      </c>
      <c r="W1167" s="71">
        <v>875</v>
      </c>
      <c r="X1167" s="71"/>
      <c r="Y1167" s="71"/>
      <c r="Z1167" s="64">
        <f t="shared" si="282"/>
        <v>8.6956521739130432E-2</v>
      </c>
      <c r="AA1167" s="64">
        <f t="shared" si="275"/>
        <v>3.5502958579881658E-2</v>
      </c>
      <c r="AB1167" s="71">
        <v>840</v>
      </c>
      <c r="AC1167" s="64">
        <f t="shared" si="283"/>
        <v>4.3478260869565216E-2</v>
      </c>
      <c r="AD1167" s="64">
        <f t="shared" si="277"/>
        <v>-5.9171597633136093E-3</v>
      </c>
      <c r="AE1167" s="71">
        <v>840</v>
      </c>
      <c r="AF1167" s="64">
        <f t="shared" si="284"/>
        <v>4.3478260869565216E-2</v>
      </c>
      <c r="AG1167" s="64">
        <f t="shared" si="278"/>
        <v>-5.9171597633136093E-3</v>
      </c>
      <c r="AH1167" s="67"/>
      <c r="AI1167" s="47" t="s">
        <v>54</v>
      </c>
      <c r="AJ1167" s="47">
        <v>512.36</v>
      </c>
      <c r="AK1167" s="55" t="s">
        <v>55</v>
      </c>
      <c r="AL1167" s="55" t="s">
        <v>55</v>
      </c>
      <c r="AM1167" s="47" t="s">
        <v>925</v>
      </c>
      <c r="AN1167" s="47"/>
      <c r="AO1167" s="211">
        <f t="shared" si="285"/>
        <v>-1</v>
      </c>
      <c r="AP1167" s="47" t="s">
        <v>57</v>
      </c>
      <c r="AQ1167" s="47" t="s">
        <v>58</v>
      </c>
      <c r="AR1167" s="47"/>
    </row>
    <row r="1168" spans="1:44">
      <c r="A1168" s="47" t="s">
        <v>44</v>
      </c>
      <c r="B1168" s="47" t="str">
        <f t="shared" si="280"/>
        <v>July</v>
      </c>
      <c r="C1168" s="59">
        <v>45477</v>
      </c>
      <c r="D1168" s="47" t="s">
        <v>103</v>
      </c>
      <c r="E1168" s="47" t="s">
        <v>656</v>
      </c>
      <c r="F1168" s="47" t="s">
        <v>657</v>
      </c>
      <c r="G1168" s="91" t="s">
        <v>953</v>
      </c>
      <c r="H1168" s="47" t="s">
        <v>954</v>
      </c>
      <c r="I1168" s="47" t="s">
        <v>660</v>
      </c>
      <c r="J1168" s="47" t="s">
        <v>51</v>
      </c>
      <c r="K1168" s="48">
        <v>44747</v>
      </c>
      <c r="L1168" s="48">
        <v>45112</v>
      </c>
      <c r="M1168" s="48">
        <v>45477</v>
      </c>
      <c r="N1168" s="47" t="s">
        <v>64</v>
      </c>
      <c r="O1168" s="55" t="s">
        <v>53</v>
      </c>
      <c r="P1168" s="62">
        <v>13020</v>
      </c>
      <c r="Q1168" s="62">
        <v>1085</v>
      </c>
      <c r="R1168" s="103">
        <v>13020</v>
      </c>
      <c r="S1168" s="62">
        <f t="shared" si="281"/>
        <v>1085</v>
      </c>
      <c r="T1168" s="62">
        <v>12720</v>
      </c>
      <c r="U1168" s="62">
        <f t="shared" si="286"/>
        <v>1060</v>
      </c>
      <c r="V1168" s="69">
        <v>12300</v>
      </c>
      <c r="W1168" s="71">
        <v>1150</v>
      </c>
      <c r="X1168" s="71"/>
      <c r="Y1168" s="71"/>
      <c r="Z1168" s="64">
        <f t="shared" si="282"/>
        <v>8.4905660377358486E-2</v>
      </c>
      <c r="AA1168" s="64">
        <f t="shared" si="275"/>
        <v>5.9907834101382486E-2</v>
      </c>
      <c r="AB1168" s="71">
        <v>1105</v>
      </c>
      <c r="AC1168" s="64">
        <f t="shared" si="283"/>
        <v>4.2452830188679243E-2</v>
      </c>
      <c r="AD1168" s="64">
        <f t="shared" si="277"/>
        <v>1.8433179723502304E-2</v>
      </c>
      <c r="AE1168" s="71">
        <v>1105</v>
      </c>
      <c r="AF1168" s="64">
        <f t="shared" si="284"/>
        <v>4.2452830188679243E-2</v>
      </c>
      <c r="AG1168" s="64">
        <f t="shared" si="278"/>
        <v>1.8433179723502304E-2</v>
      </c>
      <c r="AH1168" s="67"/>
      <c r="AI1168" s="47" t="s">
        <v>54</v>
      </c>
      <c r="AJ1168" s="47">
        <v>727.64</v>
      </c>
      <c r="AK1168" s="55" t="s">
        <v>65</v>
      </c>
      <c r="AL1168" s="55" t="s">
        <v>55</v>
      </c>
      <c r="AM1168" s="47" t="s">
        <v>955</v>
      </c>
      <c r="AN1168" s="47">
        <v>1105</v>
      </c>
      <c r="AO1168" s="211">
        <f t="shared" si="285"/>
        <v>4.2452830188679243E-2</v>
      </c>
      <c r="AP1168" s="47" t="s">
        <v>57</v>
      </c>
      <c r="AQ1168" s="47" t="s">
        <v>58</v>
      </c>
      <c r="AR1168" s="47"/>
    </row>
    <row r="1169" spans="1:16373">
      <c r="A1169" s="47" t="s">
        <v>44</v>
      </c>
      <c r="B1169" s="47" t="str">
        <f t="shared" si="280"/>
        <v>July</v>
      </c>
      <c r="C1169" s="59">
        <v>45500</v>
      </c>
      <c r="D1169" s="47" t="s">
        <v>103</v>
      </c>
      <c r="E1169" s="47" t="s">
        <v>656</v>
      </c>
      <c r="F1169" s="47" t="s">
        <v>657</v>
      </c>
      <c r="G1169" s="91" t="s">
        <v>1288</v>
      </c>
      <c r="H1169" s="47" t="s">
        <v>1289</v>
      </c>
      <c r="I1169" s="47" t="s">
        <v>660</v>
      </c>
      <c r="J1169" s="47" t="s">
        <v>51</v>
      </c>
      <c r="K1169" s="48">
        <v>44405</v>
      </c>
      <c r="L1169" s="48">
        <v>45135</v>
      </c>
      <c r="M1169" s="48">
        <v>45500</v>
      </c>
      <c r="N1169" s="47" t="s">
        <v>64</v>
      </c>
      <c r="O1169" s="55" t="s">
        <v>53</v>
      </c>
      <c r="P1169" s="62">
        <v>13020</v>
      </c>
      <c r="Q1169" s="62">
        <v>1085</v>
      </c>
      <c r="R1169" s="103">
        <v>13020</v>
      </c>
      <c r="S1169" s="62">
        <f t="shared" si="281"/>
        <v>1085</v>
      </c>
      <c r="T1169" s="62">
        <v>11580</v>
      </c>
      <c r="U1169" s="62">
        <f t="shared" si="286"/>
        <v>965</v>
      </c>
      <c r="V1169" s="69">
        <v>11220</v>
      </c>
      <c r="W1169" s="71">
        <v>1105</v>
      </c>
      <c r="X1169" s="71"/>
      <c r="Y1169" s="71"/>
      <c r="Z1169" s="64">
        <f t="shared" si="282"/>
        <v>0.14507772020725387</v>
      </c>
      <c r="AA1169" s="64">
        <f t="shared" si="275"/>
        <v>1.8433179723502304E-2</v>
      </c>
      <c r="AB1169" s="71">
        <v>1010</v>
      </c>
      <c r="AC1169" s="64">
        <f t="shared" si="283"/>
        <v>4.6632124352331605E-2</v>
      </c>
      <c r="AD1169" s="64">
        <f t="shared" si="277"/>
        <v>-6.9124423963133647E-2</v>
      </c>
      <c r="AE1169" s="71">
        <v>1010</v>
      </c>
      <c r="AF1169" s="64">
        <f t="shared" si="284"/>
        <v>4.6632124352331605E-2</v>
      </c>
      <c r="AG1169" s="64">
        <f t="shared" si="278"/>
        <v>-6.9124423963133647E-2</v>
      </c>
      <c r="AH1169" s="67"/>
      <c r="AI1169" s="47" t="s">
        <v>395</v>
      </c>
      <c r="AJ1169" s="47">
        <v>727.64</v>
      </c>
      <c r="AK1169" s="101" t="s">
        <v>65</v>
      </c>
      <c r="AL1169" s="101" t="s">
        <v>55</v>
      </c>
      <c r="AM1169" s="47" t="s">
        <v>1290</v>
      </c>
      <c r="AN1169" s="47"/>
      <c r="AO1169" s="211">
        <f t="shared" si="285"/>
        <v>-1</v>
      </c>
      <c r="AP1169" s="47" t="s">
        <v>57</v>
      </c>
      <c r="AQ1169" s="47" t="s">
        <v>58</v>
      </c>
      <c r="AR1169" s="47"/>
    </row>
    <row r="1170" spans="1:16373">
      <c r="A1170" s="47" t="s">
        <v>44</v>
      </c>
      <c r="B1170" s="47" t="str">
        <f t="shared" si="280"/>
        <v>July</v>
      </c>
      <c r="C1170" s="59">
        <v>45503</v>
      </c>
      <c r="D1170" s="47" t="s">
        <v>103</v>
      </c>
      <c r="E1170" s="47" t="s">
        <v>656</v>
      </c>
      <c r="F1170" s="47" t="s">
        <v>657</v>
      </c>
      <c r="G1170" s="91" t="s">
        <v>1431</v>
      </c>
      <c r="H1170" s="47" t="s">
        <v>1432</v>
      </c>
      <c r="I1170" s="47" t="s">
        <v>660</v>
      </c>
      <c r="J1170" s="47" t="s">
        <v>51</v>
      </c>
      <c r="K1170" s="48">
        <v>44408</v>
      </c>
      <c r="L1170" s="48">
        <v>45138</v>
      </c>
      <c r="M1170" s="48">
        <v>45503</v>
      </c>
      <c r="N1170" s="47" t="s">
        <v>64</v>
      </c>
      <c r="O1170" s="55" t="s">
        <v>53</v>
      </c>
      <c r="P1170" s="62">
        <v>11400</v>
      </c>
      <c r="Q1170" s="62">
        <v>950</v>
      </c>
      <c r="R1170" s="103">
        <v>11400</v>
      </c>
      <c r="S1170" s="62">
        <f t="shared" si="281"/>
        <v>950</v>
      </c>
      <c r="T1170" s="62">
        <v>10440</v>
      </c>
      <c r="U1170" s="62">
        <f t="shared" si="286"/>
        <v>870</v>
      </c>
      <c r="V1170" s="69">
        <v>10080</v>
      </c>
      <c r="W1170" s="71">
        <v>990</v>
      </c>
      <c r="X1170" s="71"/>
      <c r="Y1170" s="71"/>
      <c r="Z1170" s="64">
        <f t="shared" si="282"/>
        <v>0.13793103448275862</v>
      </c>
      <c r="AA1170" s="64">
        <f t="shared" si="275"/>
        <v>4.2105263157894736E-2</v>
      </c>
      <c r="AB1170" s="71">
        <v>910</v>
      </c>
      <c r="AC1170" s="64">
        <f t="shared" si="283"/>
        <v>4.5977011494252873E-2</v>
      </c>
      <c r="AD1170" s="64">
        <f t="shared" si="277"/>
        <v>-4.2105263157894736E-2</v>
      </c>
      <c r="AE1170" s="71">
        <v>910</v>
      </c>
      <c r="AF1170" s="64">
        <f t="shared" si="284"/>
        <v>4.5977011494252873E-2</v>
      </c>
      <c r="AG1170" s="64">
        <f t="shared" si="278"/>
        <v>-4.2105263157894736E-2</v>
      </c>
      <c r="AH1170" s="67"/>
      <c r="AI1170" s="47" t="s">
        <v>54</v>
      </c>
      <c r="AJ1170" s="47">
        <v>612.47</v>
      </c>
      <c r="AK1170" s="101" t="s">
        <v>55</v>
      </c>
      <c r="AL1170" s="101" t="s">
        <v>55</v>
      </c>
      <c r="AM1170" s="47" t="s">
        <v>1433</v>
      </c>
      <c r="AN1170" s="47"/>
      <c r="AO1170" s="211">
        <f t="shared" si="285"/>
        <v>-1</v>
      </c>
      <c r="AP1170" s="47" t="s">
        <v>57</v>
      </c>
      <c r="AQ1170" s="47" t="s">
        <v>58</v>
      </c>
      <c r="AR1170" s="47"/>
    </row>
    <row r="1171" spans="1:16373" hidden="1">
      <c r="A1171" s="47" t="s">
        <v>44</v>
      </c>
      <c r="B1171" s="47" t="str">
        <f t="shared" si="280"/>
        <v>July</v>
      </c>
      <c r="C1171" s="59">
        <v>45500</v>
      </c>
      <c r="D1171" s="47" t="s">
        <v>103</v>
      </c>
      <c r="E1171" s="47" t="s">
        <v>656</v>
      </c>
      <c r="F1171" s="47" t="s">
        <v>657</v>
      </c>
      <c r="G1171" s="91" t="s">
        <v>1536</v>
      </c>
      <c r="H1171" s="47" t="s">
        <v>1537</v>
      </c>
      <c r="I1171" s="47" t="s">
        <v>660</v>
      </c>
      <c r="J1171" s="47" t="s">
        <v>51</v>
      </c>
      <c r="K1171" s="48">
        <v>45135</v>
      </c>
      <c r="L1171" s="48">
        <v>45135</v>
      </c>
      <c r="M1171" s="48">
        <v>45500</v>
      </c>
      <c r="N1171" s="47" t="s">
        <v>52</v>
      </c>
      <c r="O1171" s="55" t="s">
        <v>53</v>
      </c>
      <c r="P1171" s="62">
        <v>11400</v>
      </c>
      <c r="Q1171" s="62">
        <v>950</v>
      </c>
      <c r="R1171" s="103">
        <v>11400</v>
      </c>
      <c r="S1171" s="62">
        <f t="shared" si="281"/>
        <v>950</v>
      </c>
      <c r="T1171" s="62">
        <v>12000</v>
      </c>
      <c r="U1171" s="62">
        <f t="shared" si="286"/>
        <v>1000</v>
      </c>
      <c r="V1171" s="69">
        <v>10560</v>
      </c>
      <c r="W1171" s="71">
        <v>1040</v>
      </c>
      <c r="X1171" s="71"/>
      <c r="Y1171" s="71"/>
      <c r="Z1171" s="64">
        <f t="shared" si="282"/>
        <v>0.04</v>
      </c>
      <c r="AA1171" s="64">
        <f t="shared" si="275"/>
        <v>9.4736842105263161E-2</v>
      </c>
      <c r="AB1171" s="71">
        <f>(U1171/100)*4.5+U1171</f>
        <v>1045</v>
      </c>
      <c r="AC1171" s="64">
        <f t="shared" si="283"/>
        <v>4.4999999999999998E-2</v>
      </c>
      <c r="AD1171" s="64">
        <f t="shared" si="277"/>
        <v>0.1</v>
      </c>
      <c r="AE1171" s="71">
        <v>1045</v>
      </c>
      <c r="AF1171" s="64">
        <f t="shared" si="284"/>
        <v>4.4999999999999998E-2</v>
      </c>
      <c r="AG1171" s="64">
        <f t="shared" si="278"/>
        <v>0.1</v>
      </c>
      <c r="AH1171" s="67"/>
      <c r="AI1171" s="47" t="s">
        <v>54</v>
      </c>
      <c r="AJ1171" s="47">
        <v>609.24</v>
      </c>
      <c r="AK1171" s="101" t="s">
        <v>55</v>
      </c>
      <c r="AL1171" s="101" t="s">
        <v>55</v>
      </c>
      <c r="AM1171" s="47" t="s">
        <v>1538</v>
      </c>
      <c r="AN1171" s="47">
        <v>1045</v>
      </c>
      <c r="AO1171" s="211">
        <f t="shared" si="285"/>
        <v>4.4999999999999998E-2</v>
      </c>
      <c r="AP1171" s="47" t="s">
        <v>57</v>
      </c>
      <c r="AQ1171" s="47" t="s">
        <v>58</v>
      </c>
      <c r="AR1171" s="47"/>
    </row>
    <row r="1172" spans="1:16373" hidden="1">
      <c r="A1172" s="47" t="s">
        <v>44</v>
      </c>
      <c r="B1172" s="47" t="str">
        <f t="shared" si="280"/>
        <v>July</v>
      </c>
      <c r="C1172" s="59">
        <v>45476</v>
      </c>
      <c r="D1172" s="47" t="s">
        <v>103</v>
      </c>
      <c r="E1172" s="47" t="s">
        <v>656</v>
      </c>
      <c r="F1172" s="47" t="s">
        <v>657</v>
      </c>
      <c r="G1172" s="91" t="s">
        <v>1615</v>
      </c>
      <c r="H1172" s="47" t="s">
        <v>1616</v>
      </c>
      <c r="I1172" s="47" t="s">
        <v>660</v>
      </c>
      <c r="J1172" s="47" t="s">
        <v>51</v>
      </c>
      <c r="K1172" s="48">
        <v>45111</v>
      </c>
      <c r="L1172" s="48">
        <v>45111</v>
      </c>
      <c r="M1172" s="48">
        <v>45476</v>
      </c>
      <c r="N1172" s="47" t="s">
        <v>52</v>
      </c>
      <c r="O1172" s="55" t="s">
        <v>53</v>
      </c>
      <c r="P1172" s="62">
        <v>9840</v>
      </c>
      <c r="Q1172" s="62">
        <v>820</v>
      </c>
      <c r="R1172" s="103">
        <v>9840</v>
      </c>
      <c r="S1172" s="62">
        <f t="shared" si="281"/>
        <v>820</v>
      </c>
      <c r="T1172" s="62">
        <v>9720</v>
      </c>
      <c r="U1172" s="62">
        <f t="shared" si="286"/>
        <v>810</v>
      </c>
      <c r="V1172" s="69">
        <v>8940</v>
      </c>
      <c r="W1172" s="71">
        <v>850</v>
      </c>
      <c r="X1172" s="71"/>
      <c r="Y1172" s="71"/>
      <c r="Z1172" s="64">
        <f t="shared" si="282"/>
        <v>4.9382716049382713E-2</v>
      </c>
      <c r="AA1172" s="64">
        <f t="shared" si="275"/>
        <v>3.6585365853658534E-2</v>
      </c>
      <c r="AB1172" s="71">
        <v>845</v>
      </c>
      <c r="AC1172" s="64">
        <f t="shared" si="283"/>
        <v>4.3209876543209874E-2</v>
      </c>
      <c r="AD1172" s="64">
        <f t="shared" si="277"/>
        <v>3.048780487804878E-2</v>
      </c>
      <c r="AE1172" s="71">
        <v>845</v>
      </c>
      <c r="AF1172" s="64">
        <f t="shared" si="284"/>
        <v>4.3209876543209874E-2</v>
      </c>
      <c r="AG1172" s="64">
        <f t="shared" si="278"/>
        <v>3.048780487804878E-2</v>
      </c>
      <c r="AH1172" s="67"/>
      <c r="AI1172" s="47" t="s">
        <v>54</v>
      </c>
      <c r="AJ1172" s="47">
        <v>362.74</v>
      </c>
      <c r="AK1172" s="101" t="s">
        <v>55</v>
      </c>
      <c r="AL1172" s="101" t="s">
        <v>55</v>
      </c>
      <c r="AM1172" s="47" t="s">
        <v>1617</v>
      </c>
      <c r="AN1172" s="47">
        <v>845</v>
      </c>
      <c r="AO1172" s="211">
        <f t="shared" si="285"/>
        <v>4.3209876543209874E-2</v>
      </c>
      <c r="AP1172" s="47" t="s">
        <v>57</v>
      </c>
      <c r="AQ1172" s="47" t="s">
        <v>58</v>
      </c>
      <c r="AR1172" s="47"/>
    </row>
    <row r="1173" spans="1:16373">
      <c r="A1173" s="47" t="s">
        <v>44</v>
      </c>
      <c r="B1173" s="47" t="str">
        <f t="shared" si="280"/>
        <v>July</v>
      </c>
      <c r="C1173" s="59">
        <v>45482</v>
      </c>
      <c r="D1173" s="47" t="s">
        <v>103</v>
      </c>
      <c r="E1173" s="47" t="s">
        <v>656</v>
      </c>
      <c r="F1173" s="47" t="s">
        <v>657</v>
      </c>
      <c r="G1173" s="91" t="s">
        <v>1809</v>
      </c>
      <c r="H1173" s="47" t="s">
        <v>1810</v>
      </c>
      <c r="I1173" s="47" t="s">
        <v>660</v>
      </c>
      <c r="J1173" s="47" t="s">
        <v>51</v>
      </c>
      <c r="K1173" s="48">
        <v>44753</v>
      </c>
      <c r="L1173" s="48">
        <v>45117</v>
      </c>
      <c r="M1173" s="48">
        <v>45482</v>
      </c>
      <c r="N1173" s="47" t="s">
        <v>64</v>
      </c>
      <c r="O1173" s="55" t="s">
        <v>53</v>
      </c>
      <c r="P1173" s="62">
        <v>12780</v>
      </c>
      <c r="Q1173" s="62">
        <v>1065</v>
      </c>
      <c r="R1173" s="103">
        <v>12780</v>
      </c>
      <c r="S1173" s="62">
        <f t="shared" si="281"/>
        <v>1065</v>
      </c>
      <c r="T1173" s="62">
        <v>12840</v>
      </c>
      <c r="U1173" s="62">
        <f t="shared" si="286"/>
        <v>1070</v>
      </c>
      <c r="V1173" s="69">
        <v>12420</v>
      </c>
      <c r="W1173" s="71">
        <v>1160</v>
      </c>
      <c r="X1173" s="71"/>
      <c r="Y1173" s="71"/>
      <c r="Z1173" s="64">
        <f t="shared" si="282"/>
        <v>8.4112149532710276E-2</v>
      </c>
      <c r="AA1173" s="64">
        <f t="shared" si="275"/>
        <v>8.9201877934272297E-2</v>
      </c>
      <c r="AB1173" s="71">
        <v>1115</v>
      </c>
      <c r="AC1173" s="64">
        <f t="shared" si="283"/>
        <v>4.2056074766355138E-2</v>
      </c>
      <c r="AD1173" s="64">
        <f t="shared" si="277"/>
        <v>4.6948356807511735E-2</v>
      </c>
      <c r="AE1173" s="71">
        <v>1115</v>
      </c>
      <c r="AF1173" s="64">
        <f t="shared" si="284"/>
        <v>4.2056074766355138E-2</v>
      </c>
      <c r="AG1173" s="64">
        <f t="shared" si="278"/>
        <v>4.6948356807511735E-2</v>
      </c>
      <c r="AH1173" s="67"/>
      <c r="AI1173" s="47" t="s">
        <v>54</v>
      </c>
      <c r="AJ1173" s="47">
        <v>649.05999999999995</v>
      </c>
      <c r="AK1173" s="101" t="s">
        <v>65</v>
      </c>
      <c r="AL1173" s="101" t="s">
        <v>55</v>
      </c>
      <c r="AM1173" s="47" t="s">
        <v>1811</v>
      </c>
      <c r="AN1173" s="47"/>
      <c r="AO1173" s="211">
        <f t="shared" si="285"/>
        <v>-1</v>
      </c>
      <c r="AP1173" s="47" t="s">
        <v>57</v>
      </c>
      <c r="AQ1173" s="47" t="s">
        <v>58</v>
      </c>
      <c r="AR1173" s="47"/>
    </row>
    <row r="1174" spans="1:16373">
      <c r="A1174" s="47" t="s">
        <v>44</v>
      </c>
      <c r="B1174" s="47" t="str">
        <f t="shared" si="280"/>
        <v>July</v>
      </c>
      <c r="C1174" s="59">
        <v>45476</v>
      </c>
      <c r="D1174" s="47" t="s">
        <v>103</v>
      </c>
      <c r="E1174" s="47" t="s">
        <v>656</v>
      </c>
      <c r="F1174" s="47" t="s">
        <v>657</v>
      </c>
      <c r="G1174" s="91" t="s">
        <v>1916</v>
      </c>
      <c r="H1174" s="47" t="s">
        <v>1917</v>
      </c>
      <c r="I1174" s="47" t="s">
        <v>660</v>
      </c>
      <c r="J1174" s="47" t="s">
        <v>51</v>
      </c>
      <c r="K1174" s="48">
        <v>44746</v>
      </c>
      <c r="L1174" s="48">
        <v>45111</v>
      </c>
      <c r="M1174" s="48">
        <v>45476</v>
      </c>
      <c r="N1174" s="47" t="s">
        <v>64</v>
      </c>
      <c r="O1174" s="55" t="s">
        <v>53</v>
      </c>
      <c r="P1174" s="62">
        <v>11640</v>
      </c>
      <c r="Q1174" s="62">
        <v>970</v>
      </c>
      <c r="R1174" s="103">
        <v>11640</v>
      </c>
      <c r="S1174" s="62">
        <f t="shared" si="281"/>
        <v>970</v>
      </c>
      <c r="T1174" s="62">
        <v>11520</v>
      </c>
      <c r="U1174" s="62">
        <f t="shared" si="286"/>
        <v>960</v>
      </c>
      <c r="V1174" s="69">
        <v>11160</v>
      </c>
      <c r="W1174" s="71">
        <v>1055</v>
      </c>
      <c r="X1174" s="71"/>
      <c r="Y1174" s="71"/>
      <c r="Z1174" s="64">
        <f t="shared" si="282"/>
        <v>9.8958333333333329E-2</v>
      </c>
      <c r="AA1174" s="64">
        <f t="shared" si="275"/>
        <v>8.7628865979381437E-2</v>
      </c>
      <c r="AB1174" s="71">
        <v>1000</v>
      </c>
      <c r="AC1174" s="64">
        <f t="shared" si="283"/>
        <v>4.1666666666666664E-2</v>
      </c>
      <c r="AD1174" s="64">
        <f t="shared" si="277"/>
        <v>3.0927835051546393E-2</v>
      </c>
      <c r="AE1174" s="71">
        <v>1000</v>
      </c>
      <c r="AF1174" s="64">
        <f t="shared" si="284"/>
        <v>4.1666666666666664E-2</v>
      </c>
      <c r="AG1174" s="64">
        <f t="shared" si="278"/>
        <v>3.0927835051546393E-2</v>
      </c>
      <c r="AH1174" s="67"/>
      <c r="AI1174" s="47" t="s">
        <v>54</v>
      </c>
      <c r="AJ1174" s="47">
        <v>629.69000000000005</v>
      </c>
      <c r="AK1174" s="101" t="s">
        <v>65</v>
      </c>
      <c r="AL1174" s="101" t="s">
        <v>55</v>
      </c>
      <c r="AM1174" s="47" t="s">
        <v>1918</v>
      </c>
      <c r="AN1174" s="47"/>
      <c r="AO1174" s="211">
        <f t="shared" si="285"/>
        <v>-1</v>
      </c>
      <c r="AP1174" s="47" t="s">
        <v>57</v>
      </c>
      <c r="AQ1174" s="47" t="s">
        <v>58</v>
      </c>
      <c r="AR1174" s="47"/>
    </row>
    <row r="1175" spans="1:16373">
      <c r="A1175" s="47" t="s">
        <v>44</v>
      </c>
      <c r="B1175" s="47" t="str">
        <f t="shared" si="280"/>
        <v>July</v>
      </c>
      <c r="C1175" s="59">
        <v>45475</v>
      </c>
      <c r="D1175" s="47" t="s">
        <v>103</v>
      </c>
      <c r="E1175" s="47" t="s">
        <v>656</v>
      </c>
      <c r="F1175" s="47" t="s">
        <v>657</v>
      </c>
      <c r="G1175" s="91" t="s">
        <v>1930</v>
      </c>
      <c r="H1175" s="47" t="s">
        <v>1931</v>
      </c>
      <c r="I1175" s="47" t="s">
        <v>660</v>
      </c>
      <c r="J1175" s="47" t="s">
        <v>51</v>
      </c>
      <c r="K1175" s="48">
        <v>44380</v>
      </c>
      <c r="L1175" s="48">
        <v>45110</v>
      </c>
      <c r="M1175" s="48">
        <v>45475</v>
      </c>
      <c r="N1175" s="47" t="s">
        <v>64</v>
      </c>
      <c r="O1175" s="55" t="s">
        <v>53</v>
      </c>
      <c r="P1175" s="62">
        <v>13020</v>
      </c>
      <c r="Q1175" s="62">
        <v>1085</v>
      </c>
      <c r="R1175" s="103">
        <v>13020</v>
      </c>
      <c r="S1175" s="62">
        <f t="shared" si="281"/>
        <v>1085</v>
      </c>
      <c r="T1175" s="62">
        <v>12060</v>
      </c>
      <c r="U1175" s="62">
        <f t="shared" si="286"/>
        <v>1005</v>
      </c>
      <c r="V1175" s="69">
        <v>11700</v>
      </c>
      <c r="W1175" s="71">
        <v>1150</v>
      </c>
      <c r="X1175" s="71"/>
      <c r="Y1175" s="71"/>
      <c r="Z1175" s="64">
        <f t="shared" si="282"/>
        <v>0.14427860696517414</v>
      </c>
      <c r="AA1175" s="64">
        <f t="shared" si="275"/>
        <v>5.9907834101382486E-2</v>
      </c>
      <c r="AB1175" s="71">
        <f>(U1175/100)*4.5+U1175</f>
        <v>1050.2249999999999</v>
      </c>
      <c r="AC1175" s="64">
        <f t="shared" si="283"/>
        <v>4.4999999999999908E-2</v>
      </c>
      <c r="AD1175" s="64">
        <f t="shared" si="277"/>
        <v>-3.2050691244239718E-2</v>
      </c>
      <c r="AE1175" s="71">
        <v>1050.2249999999999</v>
      </c>
      <c r="AF1175" s="64">
        <f t="shared" si="284"/>
        <v>4.4999999999999908E-2</v>
      </c>
      <c r="AG1175" s="64">
        <f t="shared" si="278"/>
        <v>-3.2050691244239718E-2</v>
      </c>
      <c r="AH1175" s="67"/>
      <c r="AI1175" s="47" t="s">
        <v>54</v>
      </c>
      <c r="AJ1175" s="47">
        <v>723.33</v>
      </c>
      <c r="AK1175" s="101" t="s">
        <v>65</v>
      </c>
      <c r="AL1175" s="101" t="s">
        <v>55</v>
      </c>
      <c r="AM1175" s="47" t="s">
        <v>1932</v>
      </c>
      <c r="AN1175" s="47">
        <v>1050</v>
      </c>
      <c r="AO1175" s="211">
        <f t="shared" si="285"/>
        <v>4.4776119402985072E-2</v>
      </c>
      <c r="AP1175" s="47" t="s">
        <v>57</v>
      </c>
      <c r="AQ1175" s="47" t="s">
        <v>58</v>
      </c>
      <c r="AR1175" s="47"/>
    </row>
    <row r="1176" spans="1:16373">
      <c r="A1176" s="47" t="s">
        <v>44</v>
      </c>
      <c r="B1176" s="47" t="str">
        <f t="shared" si="280"/>
        <v>July</v>
      </c>
      <c r="C1176" s="59">
        <v>45483</v>
      </c>
      <c r="D1176" s="47" t="s">
        <v>103</v>
      </c>
      <c r="E1176" s="47" t="s">
        <v>656</v>
      </c>
      <c r="F1176" s="47" t="s">
        <v>657</v>
      </c>
      <c r="G1176" s="91" t="s">
        <v>1996</v>
      </c>
      <c r="H1176" s="47" t="s">
        <v>1997</v>
      </c>
      <c r="I1176" s="47" t="s">
        <v>660</v>
      </c>
      <c r="J1176" s="47" t="s">
        <v>51</v>
      </c>
      <c r="K1176" s="48">
        <v>44754</v>
      </c>
      <c r="L1176" s="48">
        <v>45118</v>
      </c>
      <c r="M1176" s="48">
        <v>45483</v>
      </c>
      <c r="N1176" s="47" t="s">
        <v>64</v>
      </c>
      <c r="O1176" s="55" t="s">
        <v>53</v>
      </c>
      <c r="P1176" s="62">
        <v>13020</v>
      </c>
      <c r="Q1176" s="62">
        <v>1085</v>
      </c>
      <c r="R1176" s="103">
        <v>13020</v>
      </c>
      <c r="S1176" s="62">
        <f t="shared" si="281"/>
        <v>1085</v>
      </c>
      <c r="T1176" s="62">
        <v>13320</v>
      </c>
      <c r="U1176" s="62">
        <f t="shared" si="286"/>
        <v>1110</v>
      </c>
      <c r="V1176" s="69">
        <v>12420</v>
      </c>
      <c r="W1176" s="71">
        <v>1160</v>
      </c>
      <c r="X1176" s="71"/>
      <c r="Y1176" s="71"/>
      <c r="Z1176" s="64">
        <f t="shared" si="282"/>
        <v>4.5045045045045043E-2</v>
      </c>
      <c r="AA1176" s="64">
        <f t="shared" si="275"/>
        <v>6.9124423963133647E-2</v>
      </c>
      <c r="AB1176" s="71">
        <f>(U1176/100)*4.5+U1176</f>
        <v>1159.95</v>
      </c>
      <c r="AC1176" s="64">
        <f t="shared" si="283"/>
        <v>4.500000000000004E-2</v>
      </c>
      <c r="AD1176" s="64">
        <f t="shared" si="277"/>
        <v>6.9078341013824929E-2</v>
      </c>
      <c r="AE1176" s="71">
        <v>1159.95</v>
      </c>
      <c r="AF1176" s="64">
        <f t="shared" si="284"/>
        <v>4.500000000000004E-2</v>
      </c>
      <c r="AG1176" s="64">
        <f t="shared" si="278"/>
        <v>6.9078341013824929E-2</v>
      </c>
      <c r="AH1176" s="67"/>
      <c r="AI1176" s="47" t="s">
        <v>54</v>
      </c>
      <c r="AJ1176" s="47">
        <v>727.64</v>
      </c>
      <c r="AK1176" s="101" t="s">
        <v>65</v>
      </c>
      <c r="AL1176" s="101" t="s">
        <v>55</v>
      </c>
      <c r="AM1176" s="47" t="s">
        <v>1998</v>
      </c>
      <c r="AN1176" s="47">
        <v>1160</v>
      </c>
      <c r="AO1176" s="211">
        <f t="shared" si="285"/>
        <v>4.5045045045045043E-2</v>
      </c>
      <c r="AP1176" s="47" t="s">
        <v>57</v>
      </c>
      <c r="AQ1176" s="47" t="s">
        <v>58</v>
      </c>
      <c r="AR1176" s="47"/>
    </row>
    <row r="1177" spans="1:16373" ht="15">
      <c r="A1177" s="47" t="s">
        <v>44</v>
      </c>
      <c r="B1177" s="47" t="str">
        <f t="shared" si="280"/>
        <v>July</v>
      </c>
      <c r="C1177" s="59">
        <v>45478</v>
      </c>
      <c r="D1177" s="47" t="s">
        <v>103</v>
      </c>
      <c r="E1177" s="47" t="s">
        <v>656</v>
      </c>
      <c r="F1177" s="47" t="s">
        <v>657</v>
      </c>
      <c r="G1177" s="91" t="s">
        <v>2134</v>
      </c>
      <c r="H1177" s="47" t="s">
        <v>2135</v>
      </c>
      <c r="I1177" s="47" t="s">
        <v>660</v>
      </c>
      <c r="J1177" s="47" t="s">
        <v>51</v>
      </c>
      <c r="K1177" s="48">
        <v>43652</v>
      </c>
      <c r="L1177" s="48">
        <v>45113</v>
      </c>
      <c r="M1177" s="48">
        <v>45478</v>
      </c>
      <c r="N1177" s="47" t="s">
        <v>64</v>
      </c>
      <c r="O1177" s="55" t="s">
        <v>53</v>
      </c>
      <c r="P1177" s="62">
        <v>9960</v>
      </c>
      <c r="Q1177" s="62">
        <v>830</v>
      </c>
      <c r="R1177" s="103">
        <v>9960</v>
      </c>
      <c r="S1177" s="62">
        <f t="shared" si="281"/>
        <v>830</v>
      </c>
      <c r="T1177" s="62">
        <v>9360</v>
      </c>
      <c r="U1177" s="62">
        <f t="shared" si="286"/>
        <v>780</v>
      </c>
      <c r="V1177" s="69">
        <v>8100</v>
      </c>
      <c r="W1177" s="71">
        <v>815</v>
      </c>
      <c r="X1177" s="71"/>
      <c r="Y1177" s="71"/>
      <c r="Z1177" s="64">
        <f t="shared" si="282"/>
        <v>4.4871794871794872E-2</v>
      </c>
      <c r="AA1177" s="64">
        <f t="shared" si="275"/>
        <v>-1.8072289156626505E-2</v>
      </c>
      <c r="AB1177" s="71">
        <f>(U1177/100)*4.5+U1177</f>
        <v>815.1</v>
      </c>
      <c r="AC1177" s="64">
        <f t="shared" si="283"/>
        <v>4.5000000000000026E-2</v>
      </c>
      <c r="AD1177" s="64">
        <f t="shared" si="277"/>
        <v>-1.7951807228915637E-2</v>
      </c>
      <c r="AE1177" s="71">
        <v>815.1</v>
      </c>
      <c r="AF1177" s="64">
        <f t="shared" si="284"/>
        <v>4.5000000000000026E-2</v>
      </c>
      <c r="AG1177" s="64">
        <f t="shared" si="278"/>
        <v>-1.7951807228915637E-2</v>
      </c>
      <c r="AH1177" s="67"/>
      <c r="AI1177" s="47" t="s">
        <v>54</v>
      </c>
      <c r="AJ1177" s="47">
        <v>400.42</v>
      </c>
      <c r="AK1177" s="101" t="s">
        <v>55</v>
      </c>
      <c r="AL1177" s="101" t="s">
        <v>55</v>
      </c>
      <c r="AM1177" s="47" t="s">
        <v>827</v>
      </c>
      <c r="AN1177" s="47">
        <v>815</v>
      </c>
      <c r="AO1177" s="211">
        <f t="shared" si="285"/>
        <v>4.4871794871794872E-2</v>
      </c>
      <c r="AP1177" s="47" t="s">
        <v>57</v>
      </c>
      <c r="AQ1177" s="47" t="s">
        <v>58</v>
      </c>
      <c r="AR1177" s="47"/>
      <c r="AT1177"/>
      <c r="AU1177"/>
      <c r="AV1177"/>
      <c r="AW1177"/>
      <c r="AX1177"/>
      <c r="AY1177"/>
      <c r="AZ1177"/>
      <c r="BA1177"/>
      <c r="BB1177"/>
      <c r="BC1177"/>
      <c r="BD1177"/>
      <c r="BE1177"/>
      <c r="BF1177"/>
      <c r="BG1177"/>
      <c r="BH1177"/>
      <c r="BI1177"/>
      <c r="BJ1177"/>
      <c r="BK1177"/>
      <c r="BL1177"/>
      <c r="BM1177"/>
      <c r="BN1177"/>
      <c r="BO1177"/>
      <c r="BP1177"/>
      <c r="BQ1177"/>
      <c r="BR1177"/>
      <c r="BS1177"/>
      <c r="BT1177"/>
      <c r="BU1177"/>
      <c r="BV1177"/>
      <c r="BW1177"/>
      <c r="BX1177"/>
      <c r="BY1177"/>
      <c r="BZ1177"/>
      <c r="CA1177"/>
      <c r="CB1177"/>
      <c r="CC1177"/>
      <c r="CD1177"/>
      <c r="CE1177"/>
      <c r="CF1177"/>
      <c r="CG1177"/>
      <c r="CH1177"/>
      <c r="CI1177"/>
      <c r="CJ1177"/>
      <c r="CK1177"/>
      <c r="CL1177"/>
      <c r="CM1177"/>
      <c r="CN1177"/>
      <c r="CO1177"/>
      <c r="CP1177"/>
      <c r="CQ1177"/>
      <c r="CR1177"/>
      <c r="CS1177"/>
      <c r="CT1177"/>
      <c r="CU1177"/>
      <c r="CV1177"/>
      <c r="CW1177"/>
      <c r="CX1177"/>
      <c r="CY1177"/>
      <c r="CZ1177"/>
      <c r="DA1177"/>
      <c r="DB1177"/>
      <c r="DC1177"/>
      <c r="DD1177"/>
      <c r="DE1177"/>
      <c r="DF1177"/>
      <c r="DG1177"/>
      <c r="DH1177"/>
      <c r="DI1177"/>
      <c r="DJ1177"/>
      <c r="DK1177"/>
      <c r="DL1177"/>
      <c r="DM1177"/>
      <c r="DN1177"/>
      <c r="DO1177"/>
      <c r="DP1177"/>
      <c r="DQ1177"/>
      <c r="DR1177"/>
      <c r="DS1177"/>
      <c r="DT1177"/>
      <c r="DU1177"/>
      <c r="DV1177"/>
      <c r="DW1177"/>
      <c r="DX1177"/>
      <c r="DY1177"/>
      <c r="DZ1177"/>
      <c r="EA1177"/>
      <c r="EB1177"/>
      <c r="EC1177"/>
      <c r="ED1177"/>
      <c r="EE1177"/>
      <c r="EF1177"/>
      <c r="EG1177"/>
      <c r="EH1177"/>
      <c r="EI1177"/>
      <c r="EJ1177"/>
      <c r="EK1177"/>
      <c r="EL1177"/>
      <c r="EM1177"/>
      <c r="EN1177"/>
      <c r="EO1177"/>
      <c r="EP1177"/>
      <c r="EQ1177"/>
      <c r="ER1177"/>
      <c r="ES1177"/>
      <c r="ET1177"/>
      <c r="EU1177"/>
      <c r="EV1177"/>
      <c r="EW1177"/>
      <c r="EX1177"/>
      <c r="EY1177"/>
      <c r="EZ1177"/>
      <c r="FA1177"/>
      <c r="FB1177"/>
      <c r="FC1177"/>
      <c r="FD1177"/>
      <c r="FE1177"/>
      <c r="FF1177"/>
      <c r="FG1177"/>
      <c r="FH1177"/>
      <c r="FI1177"/>
      <c r="FJ1177"/>
      <c r="FK1177"/>
      <c r="FL1177"/>
      <c r="FM1177"/>
      <c r="FN1177"/>
      <c r="FO1177"/>
      <c r="FP1177"/>
      <c r="FQ1177"/>
      <c r="FR1177"/>
      <c r="FS1177"/>
      <c r="FT1177"/>
      <c r="FU1177"/>
      <c r="FV1177"/>
      <c r="FW1177"/>
      <c r="FX1177"/>
      <c r="FY1177"/>
      <c r="FZ1177"/>
      <c r="GA1177"/>
      <c r="GB1177"/>
      <c r="GC1177"/>
      <c r="GD1177"/>
      <c r="GE1177"/>
      <c r="GF1177"/>
      <c r="GG1177"/>
      <c r="GH1177"/>
      <c r="GI1177"/>
      <c r="GJ1177"/>
      <c r="GK1177"/>
      <c r="GL1177"/>
      <c r="GM1177"/>
      <c r="GN1177"/>
      <c r="GO1177"/>
      <c r="GP1177"/>
      <c r="GQ1177"/>
      <c r="GR1177"/>
      <c r="GS1177"/>
      <c r="GT1177"/>
      <c r="GU1177"/>
      <c r="GV1177"/>
      <c r="GW1177"/>
      <c r="GX1177"/>
      <c r="GY1177"/>
      <c r="GZ1177"/>
      <c r="HA1177"/>
      <c r="HB1177"/>
      <c r="HC1177"/>
      <c r="HD1177"/>
      <c r="HE1177"/>
      <c r="HF1177"/>
      <c r="HG1177"/>
      <c r="HH1177"/>
      <c r="HI1177"/>
      <c r="HJ1177"/>
      <c r="HK1177"/>
      <c r="HL1177"/>
      <c r="HM1177"/>
      <c r="HN1177"/>
      <c r="HO1177"/>
      <c r="HP1177"/>
      <c r="HQ1177"/>
      <c r="HR1177"/>
      <c r="HS1177"/>
      <c r="HT1177"/>
      <c r="HU1177"/>
      <c r="HV1177"/>
      <c r="HW1177"/>
      <c r="HX1177"/>
      <c r="HY1177"/>
      <c r="HZ1177"/>
      <c r="IA1177"/>
      <c r="IB1177"/>
      <c r="IC1177"/>
      <c r="ID1177"/>
      <c r="IE1177"/>
      <c r="IF1177"/>
      <c r="IG1177"/>
      <c r="IH1177"/>
      <c r="II1177"/>
      <c r="IJ1177"/>
      <c r="IK1177"/>
      <c r="IL1177"/>
      <c r="IM1177"/>
      <c r="IN1177"/>
      <c r="IO1177"/>
      <c r="IP1177"/>
      <c r="IQ1177"/>
      <c r="IR1177"/>
      <c r="IS1177"/>
      <c r="IT1177"/>
      <c r="IU1177"/>
      <c r="IV1177"/>
      <c r="IW1177"/>
      <c r="IX1177"/>
      <c r="IY1177"/>
      <c r="IZ1177"/>
      <c r="JA1177"/>
      <c r="JB1177"/>
      <c r="JC1177"/>
      <c r="JD1177"/>
      <c r="JE1177"/>
      <c r="JF1177"/>
      <c r="JG1177"/>
      <c r="JH1177"/>
      <c r="JI1177"/>
      <c r="JJ1177"/>
      <c r="JK1177"/>
      <c r="JL1177"/>
      <c r="JM1177"/>
      <c r="JN1177"/>
      <c r="JO1177"/>
      <c r="JP1177"/>
      <c r="JQ1177"/>
      <c r="JR1177"/>
      <c r="JS1177"/>
      <c r="JT1177"/>
      <c r="JU1177"/>
      <c r="JV1177"/>
      <c r="JW1177"/>
      <c r="JX1177"/>
      <c r="JY1177"/>
      <c r="JZ1177"/>
      <c r="KA1177"/>
      <c r="KB1177"/>
      <c r="KC1177"/>
      <c r="KD1177"/>
      <c r="KE1177"/>
      <c r="KF1177"/>
      <c r="KG1177"/>
      <c r="KH1177"/>
      <c r="KI1177"/>
      <c r="KJ1177"/>
      <c r="KK1177"/>
      <c r="KL1177"/>
      <c r="KM1177"/>
      <c r="KN1177"/>
      <c r="KO1177"/>
      <c r="KP1177"/>
      <c r="KQ1177"/>
      <c r="KR1177"/>
      <c r="KS1177"/>
      <c r="KT1177"/>
      <c r="KU1177"/>
      <c r="KV1177"/>
      <c r="KW1177"/>
      <c r="KX1177"/>
      <c r="KY1177"/>
      <c r="KZ1177"/>
      <c r="LA1177"/>
      <c r="LB1177"/>
      <c r="LC1177"/>
      <c r="LD1177"/>
      <c r="LE1177"/>
      <c r="LF1177"/>
      <c r="LG1177"/>
      <c r="LH1177"/>
      <c r="LI1177"/>
      <c r="LJ1177"/>
      <c r="LK1177"/>
      <c r="LL1177"/>
      <c r="LM1177"/>
      <c r="LN1177"/>
      <c r="LO1177"/>
      <c r="LP1177"/>
      <c r="LQ1177"/>
      <c r="LR1177"/>
      <c r="LS1177"/>
      <c r="LT1177"/>
      <c r="LU1177"/>
      <c r="LV1177"/>
      <c r="LW1177"/>
      <c r="LX1177"/>
      <c r="LY1177"/>
      <c r="LZ1177"/>
      <c r="MA1177"/>
      <c r="MB1177"/>
      <c r="MC1177"/>
      <c r="MD1177"/>
      <c r="ME1177"/>
      <c r="MF1177"/>
      <c r="MG1177"/>
      <c r="MH1177"/>
      <c r="MI1177"/>
      <c r="MJ1177"/>
      <c r="MK1177"/>
      <c r="ML1177"/>
      <c r="MM1177"/>
      <c r="MN1177"/>
      <c r="MO1177"/>
      <c r="MP1177"/>
      <c r="MQ1177"/>
      <c r="MR1177"/>
      <c r="MS1177"/>
      <c r="MT1177"/>
      <c r="MU1177"/>
      <c r="MV1177"/>
      <c r="MW1177"/>
      <c r="MX1177"/>
      <c r="MY1177"/>
      <c r="MZ1177"/>
      <c r="NA1177"/>
      <c r="NB1177"/>
      <c r="NC1177"/>
      <c r="ND1177"/>
      <c r="NE1177"/>
      <c r="NF1177"/>
      <c r="NG1177"/>
      <c r="NH1177"/>
      <c r="NI1177"/>
      <c r="NJ1177"/>
      <c r="NK1177"/>
      <c r="NL1177"/>
      <c r="NM1177"/>
      <c r="NN1177"/>
      <c r="NO1177"/>
      <c r="NP1177"/>
      <c r="NQ1177"/>
      <c r="NR1177"/>
      <c r="NS1177"/>
      <c r="NT1177"/>
      <c r="NU1177"/>
      <c r="NV1177"/>
      <c r="NW1177"/>
      <c r="NX1177"/>
      <c r="NY1177"/>
      <c r="NZ1177"/>
      <c r="OA1177"/>
      <c r="OB1177"/>
      <c r="OC1177"/>
      <c r="OD1177"/>
      <c r="OE1177"/>
      <c r="OF1177"/>
      <c r="OG1177"/>
      <c r="OH1177"/>
      <c r="OI1177"/>
      <c r="OJ1177"/>
      <c r="OK1177"/>
      <c r="OL1177"/>
      <c r="OM1177"/>
      <c r="ON1177"/>
      <c r="OO1177"/>
      <c r="OP1177"/>
      <c r="OQ1177"/>
      <c r="OR1177"/>
      <c r="OS1177"/>
      <c r="OT1177"/>
      <c r="OU1177"/>
      <c r="OV1177"/>
      <c r="OW1177"/>
      <c r="OX1177"/>
      <c r="OY1177"/>
      <c r="OZ1177"/>
      <c r="PA1177"/>
      <c r="PB1177"/>
      <c r="PC1177"/>
      <c r="PD1177"/>
      <c r="PE1177"/>
      <c r="PF1177"/>
      <c r="PG1177"/>
      <c r="PH1177"/>
      <c r="PI1177"/>
      <c r="PJ1177"/>
      <c r="PK1177"/>
      <c r="PL1177"/>
      <c r="PM1177"/>
      <c r="PN1177"/>
      <c r="PO1177"/>
      <c r="PP1177"/>
      <c r="PQ1177"/>
      <c r="PR1177"/>
      <c r="PS1177"/>
      <c r="PT1177"/>
      <c r="PU1177"/>
      <c r="PV1177"/>
      <c r="PW1177"/>
      <c r="PX1177"/>
      <c r="PY1177"/>
      <c r="PZ1177"/>
      <c r="QA1177"/>
      <c r="QB1177"/>
      <c r="QC1177"/>
      <c r="QD1177"/>
      <c r="QE1177"/>
      <c r="QF1177"/>
      <c r="QG1177"/>
      <c r="QH1177"/>
      <c r="QI1177"/>
      <c r="QJ1177"/>
      <c r="QK1177"/>
      <c r="QL1177"/>
      <c r="QM1177"/>
      <c r="QN1177"/>
      <c r="QO1177"/>
      <c r="QP1177"/>
      <c r="QQ1177"/>
      <c r="QR1177"/>
      <c r="QS1177"/>
      <c r="QT1177"/>
      <c r="QU1177"/>
      <c r="QV1177"/>
      <c r="QW1177"/>
      <c r="QX1177"/>
      <c r="QY1177"/>
      <c r="QZ1177"/>
      <c r="RA1177"/>
      <c r="RB1177"/>
      <c r="RC1177"/>
      <c r="RD1177"/>
      <c r="RE1177"/>
      <c r="RF1177"/>
      <c r="RG1177"/>
      <c r="RH1177"/>
      <c r="RI1177"/>
      <c r="RJ1177"/>
      <c r="RK1177"/>
      <c r="RL1177"/>
      <c r="RM1177"/>
      <c r="RN1177"/>
      <c r="RO1177"/>
      <c r="RP1177"/>
      <c r="RQ1177"/>
      <c r="RR1177"/>
      <c r="RS1177"/>
      <c r="RT1177"/>
      <c r="RU1177"/>
      <c r="RV1177"/>
      <c r="RW1177"/>
      <c r="RX1177"/>
      <c r="RY1177"/>
      <c r="RZ1177"/>
      <c r="SA1177"/>
      <c r="SB1177"/>
      <c r="SC1177"/>
      <c r="SD1177"/>
      <c r="SE1177"/>
      <c r="SF1177"/>
      <c r="SG1177"/>
      <c r="SH1177"/>
      <c r="SI1177"/>
      <c r="SJ1177"/>
      <c r="SK1177"/>
      <c r="SL1177"/>
      <c r="SM1177"/>
      <c r="SN1177"/>
      <c r="SO1177"/>
      <c r="SP1177"/>
      <c r="SQ1177"/>
      <c r="SR1177"/>
      <c r="SS1177"/>
      <c r="ST1177"/>
      <c r="SU1177"/>
      <c r="SV1177"/>
      <c r="SW1177"/>
      <c r="SX1177"/>
      <c r="SY1177"/>
      <c r="SZ1177"/>
      <c r="TA1177"/>
      <c r="TB1177"/>
      <c r="TC1177"/>
      <c r="TD1177"/>
      <c r="TE1177"/>
      <c r="TF1177"/>
      <c r="TG1177"/>
      <c r="TH1177"/>
      <c r="TI1177"/>
      <c r="TJ1177"/>
      <c r="TK1177"/>
      <c r="TL1177"/>
      <c r="TM1177"/>
      <c r="TN1177"/>
      <c r="TO1177"/>
      <c r="TP1177"/>
      <c r="TQ1177"/>
      <c r="TR1177"/>
      <c r="TS1177"/>
      <c r="TT1177"/>
      <c r="TU1177"/>
      <c r="TV1177"/>
      <c r="TW1177"/>
      <c r="TX1177"/>
      <c r="TY1177"/>
      <c r="TZ1177"/>
      <c r="UA1177"/>
      <c r="UB1177"/>
      <c r="UC1177"/>
      <c r="UD1177"/>
      <c r="UE1177"/>
      <c r="UF1177"/>
      <c r="UG1177"/>
      <c r="UH1177"/>
      <c r="UI1177"/>
      <c r="UJ1177"/>
      <c r="UK1177"/>
      <c r="UL1177"/>
      <c r="UM1177"/>
      <c r="UN1177"/>
      <c r="UO1177"/>
      <c r="UP1177"/>
      <c r="UQ1177"/>
      <c r="UR1177"/>
      <c r="US1177"/>
      <c r="UT1177"/>
      <c r="UU1177"/>
      <c r="UV1177"/>
      <c r="UW1177"/>
      <c r="UX1177"/>
      <c r="UY1177"/>
      <c r="UZ1177"/>
      <c r="VA1177"/>
      <c r="VB1177"/>
      <c r="VC1177"/>
      <c r="VD1177"/>
      <c r="VE1177"/>
      <c r="VF1177"/>
      <c r="VG1177"/>
      <c r="VH1177"/>
      <c r="VI1177"/>
      <c r="VJ1177"/>
      <c r="VK1177"/>
      <c r="VL1177"/>
      <c r="VM1177"/>
      <c r="VN1177"/>
      <c r="VO1177"/>
      <c r="VP1177"/>
      <c r="VQ1177"/>
      <c r="VR1177"/>
      <c r="VS1177"/>
      <c r="VT1177"/>
      <c r="VU1177"/>
      <c r="VV1177"/>
      <c r="VW1177"/>
      <c r="VX1177"/>
      <c r="VY1177"/>
      <c r="VZ1177"/>
      <c r="WA1177"/>
      <c r="WB1177"/>
      <c r="WC1177"/>
      <c r="WD1177"/>
      <c r="WE1177"/>
      <c r="WF1177"/>
      <c r="WG1177"/>
      <c r="WH1177"/>
      <c r="WI1177"/>
      <c r="WJ1177"/>
      <c r="WK1177"/>
      <c r="WL1177"/>
      <c r="WM1177"/>
      <c r="WN1177"/>
      <c r="WO1177"/>
      <c r="WP1177"/>
      <c r="WQ1177"/>
      <c r="WR1177"/>
      <c r="WS1177"/>
      <c r="WT1177"/>
      <c r="WU1177"/>
      <c r="WV1177"/>
      <c r="WW1177"/>
      <c r="WX1177"/>
      <c r="WY1177"/>
      <c r="WZ1177"/>
      <c r="XA1177"/>
      <c r="XB1177"/>
      <c r="XC1177"/>
      <c r="XD1177"/>
      <c r="XE1177"/>
      <c r="XF1177"/>
      <c r="XG1177"/>
      <c r="XH1177"/>
      <c r="XI1177"/>
      <c r="XJ1177"/>
      <c r="XK1177"/>
      <c r="XL1177"/>
      <c r="XM1177"/>
      <c r="XN1177"/>
      <c r="XO1177"/>
      <c r="XP1177"/>
      <c r="XQ1177"/>
      <c r="XR1177"/>
      <c r="XS1177"/>
      <c r="XT1177"/>
      <c r="XU1177"/>
      <c r="XV1177"/>
      <c r="XW1177"/>
      <c r="XX1177"/>
      <c r="XY1177"/>
      <c r="XZ1177"/>
      <c r="YA1177"/>
      <c r="YB1177"/>
      <c r="YC1177"/>
      <c r="YD1177"/>
      <c r="YE1177"/>
      <c r="YF1177"/>
      <c r="YG1177"/>
      <c r="YH1177"/>
      <c r="YI1177"/>
      <c r="YJ1177"/>
      <c r="YK1177"/>
      <c r="YL1177"/>
      <c r="YM1177"/>
      <c r="YN1177"/>
      <c r="YO1177"/>
      <c r="YP1177"/>
      <c r="YQ1177"/>
      <c r="YR1177"/>
      <c r="YS1177"/>
      <c r="YT1177"/>
      <c r="YU1177"/>
      <c r="YV1177"/>
      <c r="YW1177"/>
      <c r="YX1177"/>
      <c r="YY1177"/>
      <c r="YZ1177"/>
      <c r="ZA1177"/>
      <c r="ZB1177"/>
      <c r="ZC1177"/>
      <c r="ZD1177"/>
      <c r="ZE1177"/>
      <c r="ZF1177"/>
      <c r="ZG1177"/>
      <c r="ZH1177"/>
      <c r="ZI1177"/>
      <c r="ZJ1177"/>
      <c r="ZK1177"/>
      <c r="ZL1177"/>
      <c r="ZM1177"/>
      <c r="ZN1177"/>
      <c r="ZO1177"/>
      <c r="ZP1177"/>
      <c r="ZQ1177"/>
      <c r="ZR1177"/>
      <c r="ZS1177"/>
      <c r="ZT1177"/>
      <c r="ZU1177"/>
      <c r="ZV1177"/>
      <c r="ZW1177"/>
      <c r="ZX1177"/>
      <c r="ZY1177"/>
      <c r="ZZ1177"/>
      <c r="AAA1177"/>
      <c r="AAB1177"/>
      <c r="AAC1177"/>
      <c r="AAD1177"/>
      <c r="AAE1177"/>
      <c r="AAF1177"/>
      <c r="AAG1177"/>
      <c r="AAH1177"/>
      <c r="AAI1177"/>
      <c r="AAJ1177"/>
      <c r="AAK1177"/>
      <c r="AAL1177"/>
      <c r="AAM1177"/>
      <c r="AAN1177"/>
      <c r="AAO1177"/>
      <c r="AAP1177"/>
      <c r="AAQ1177"/>
      <c r="AAR1177"/>
      <c r="AAS1177"/>
      <c r="AAT1177"/>
      <c r="AAU1177"/>
      <c r="AAV1177"/>
      <c r="AAW1177"/>
      <c r="AAX1177"/>
      <c r="AAY1177"/>
      <c r="AAZ1177"/>
      <c r="ABA1177"/>
      <c r="ABB1177"/>
      <c r="ABC1177"/>
      <c r="ABD1177"/>
      <c r="ABE1177"/>
      <c r="ABF1177"/>
      <c r="ABG1177"/>
      <c r="ABH1177"/>
      <c r="ABI1177"/>
      <c r="ABJ1177"/>
      <c r="ABK1177"/>
      <c r="ABL1177"/>
      <c r="ABM1177"/>
      <c r="ABN1177"/>
      <c r="ABO1177"/>
      <c r="ABP1177"/>
      <c r="ABQ1177"/>
      <c r="ABR1177"/>
      <c r="ABS1177"/>
      <c r="ABT1177"/>
      <c r="ABU1177"/>
      <c r="ABV1177"/>
      <c r="ABW1177"/>
      <c r="ABX1177"/>
      <c r="ABY1177"/>
      <c r="ABZ1177"/>
      <c r="ACA1177"/>
      <c r="ACB1177"/>
      <c r="ACC1177"/>
      <c r="ACD1177"/>
      <c r="ACE1177"/>
      <c r="ACF1177"/>
      <c r="ACG1177"/>
      <c r="ACH1177"/>
      <c r="ACI1177"/>
      <c r="ACJ1177"/>
      <c r="ACK1177"/>
      <c r="ACL1177"/>
      <c r="ACM1177"/>
      <c r="ACN1177"/>
      <c r="ACO1177"/>
      <c r="ACP1177"/>
      <c r="ACQ1177"/>
      <c r="ACR1177"/>
      <c r="ACS1177"/>
      <c r="ACT1177"/>
      <c r="ACU1177"/>
      <c r="ACV1177"/>
      <c r="ACW1177"/>
      <c r="ACX1177"/>
      <c r="ACY1177"/>
      <c r="ACZ1177"/>
      <c r="ADA1177"/>
      <c r="ADB1177"/>
      <c r="ADC1177"/>
      <c r="ADD1177"/>
      <c r="ADE1177"/>
      <c r="ADF1177"/>
      <c r="ADG1177"/>
      <c r="ADH1177"/>
      <c r="ADI1177"/>
      <c r="ADJ1177"/>
      <c r="ADK1177"/>
      <c r="ADL1177"/>
      <c r="ADM1177"/>
      <c r="ADN1177"/>
      <c r="ADO1177"/>
      <c r="ADP1177"/>
      <c r="ADQ1177"/>
      <c r="ADR1177"/>
      <c r="ADS1177"/>
      <c r="ADT1177"/>
      <c r="ADU1177"/>
      <c r="ADV1177"/>
      <c r="ADW1177"/>
      <c r="ADX1177"/>
      <c r="ADY1177"/>
      <c r="ADZ1177"/>
      <c r="AEA1177"/>
      <c r="AEB1177"/>
      <c r="AEC1177"/>
      <c r="AED1177"/>
      <c r="AEE1177"/>
      <c r="AEF1177"/>
      <c r="AEG1177"/>
      <c r="AEH1177"/>
      <c r="AEI1177"/>
      <c r="AEJ1177"/>
      <c r="AEK1177"/>
      <c r="AEL1177"/>
      <c r="AEM1177"/>
      <c r="AEN1177"/>
      <c r="AEO1177"/>
      <c r="AEP1177"/>
      <c r="AEQ1177"/>
      <c r="AER1177"/>
      <c r="AES1177"/>
      <c r="AET1177"/>
      <c r="AEU1177"/>
      <c r="AEV1177"/>
      <c r="AEW1177"/>
      <c r="AEX1177"/>
      <c r="AEY1177"/>
      <c r="AEZ1177"/>
      <c r="AFA1177"/>
      <c r="AFB1177"/>
      <c r="AFC1177"/>
      <c r="AFD1177"/>
      <c r="AFE1177"/>
      <c r="AFF1177"/>
      <c r="AFG1177"/>
      <c r="AFH1177"/>
      <c r="AFI1177"/>
      <c r="AFJ1177"/>
      <c r="AFK1177"/>
      <c r="AFL1177"/>
      <c r="AFM1177"/>
      <c r="AFN1177"/>
      <c r="AFO1177"/>
      <c r="AFP1177"/>
      <c r="AFQ1177"/>
      <c r="AFR1177"/>
      <c r="AFS1177"/>
      <c r="AFT1177"/>
      <c r="AFU1177"/>
      <c r="AFV1177"/>
      <c r="AFW1177"/>
      <c r="AFX1177"/>
      <c r="AFY1177"/>
      <c r="AFZ1177"/>
      <c r="AGA1177"/>
      <c r="AGB1177"/>
      <c r="AGC1177"/>
      <c r="AGD1177"/>
      <c r="AGE1177"/>
      <c r="AGF1177"/>
      <c r="AGG1177"/>
      <c r="AGH1177"/>
      <c r="AGI1177"/>
      <c r="AGJ1177"/>
      <c r="AGK1177"/>
      <c r="AGL1177"/>
      <c r="AGM1177"/>
      <c r="AGN1177"/>
      <c r="AGO1177"/>
      <c r="AGP1177"/>
      <c r="AGQ1177"/>
      <c r="AGR1177"/>
      <c r="AGS1177"/>
      <c r="AGT1177"/>
      <c r="AGU1177"/>
      <c r="AGV1177"/>
      <c r="AGW1177"/>
      <c r="AGX1177"/>
      <c r="AGY1177"/>
      <c r="AGZ1177"/>
      <c r="AHA1177"/>
      <c r="AHB1177"/>
      <c r="AHC1177"/>
      <c r="AHD1177"/>
      <c r="AHE1177"/>
      <c r="AHF1177"/>
      <c r="AHG1177"/>
      <c r="AHH1177"/>
      <c r="AHI1177"/>
      <c r="AHJ1177"/>
      <c r="AHK1177"/>
      <c r="AHL1177"/>
      <c r="AHM1177"/>
      <c r="AHN1177"/>
      <c r="AHO1177"/>
      <c r="AHP1177"/>
      <c r="AHQ1177"/>
      <c r="AHR1177"/>
      <c r="AHS1177"/>
      <c r="AHT1177"/>
      <c r="AHU1177"/>
      <c r="AHV1177"/>
      <c r="AHW1177"/>
      <c r="AHX1177"/>
      <c r="AHY1177"/>
      <c r="AHZ1177"/>
      <c r="AIA1177"/>
      <c r="AIB1177"/>
      <c r="AIC1177"/>
      <c r="AID1177"/>
      <c r="AIE1177"/>
      <c r="AIF1177"/>
      <c r="AIG1177"/>
      <c r="AIH1177"/>
      <c r="AII1177"/>
      <c r="AIJ1177"/>
      <c r="AIK1177"/>
      <c r="AIL1177"/>
      <c r="AIM1177"/>
      <c r="AIN1177"/>
      <c r="AIO1177"/>
      <c r="AIP1177"/>
      <c r="AIQ1177"/>
      <c r="AIR1177"/>
      <c r="AIS1177"/>
      <c r="AIT1177"/>
      <c r="AIU1177"/>
      <c r="AIV1177"/>
      <c r="AIW1177"/>
      <c r="AIX1177"/>
      <c r="AIY1177"/>
      <c r="AIZ1177"/>
      <c r="AJA1177"/>
      <c r="AJB1177"/>
      <c r="AJC1177"/>
      <c r="AJD1177"/>
      <c r="AJE1177"/>
      <c r="AJF1177"/>
      <c r="AJG1177"/>
      <c r="AJH1177"/>
      <c r="AJI1177"/>
      <c r="AJJ1177"/>
      <c r="AJK1177"/>
      <c r="AJL1177"/>
      <c r="AJM1177"/>
      <c r="AJN1177"/>
      <c r="AJO1177"/>
      <c r="AJP1177"/>
      <c r="AJQ1177"/>
      <c r="AJR1177"/>
      <c r="AJS1177"/>
      <c r="AJT1177"/>
      <c r="AJU1177"/>
      <c r="AJV1177"/>
      <c r="AJW1177"/>
      <c r="AJX1177"/>
      <c r="AJY1177"/>
      <c r="AJZ1177"/>
      <c r="AKA1177"/>
      <c r="AKB1177"/>
      <c r="AKC1177"/>
      <c r="AKD1177"/>
      <c r="AKE1177"/>
      <c r="AKF1177"/>
      <c r="AKG1177"/>
      <c r="AKH1177"/>
      <c r="AKI1177"/>
      <c r="AKJ1177"/>
      <c r="AKK1177"/>
      <c r="AKL1177"/>
      <c r="AKM1177"/>
      <c r="AKN1177"/>
      <c r="AKO1177"/>
      <c r="AKP1177"/>
      <c r="AKQ1177"/>
      <c r="AKR1177"/>
      <c r="AKS1177"/>
      <c r="AKT1177"/>
      <c r="AKU1177"/>
      <c r="AKV1177"/>
      <c r="AKW1177"/>
      <c r="AKX1177"/>
      <c r="AKY1177"/>
      <c r="AKZ1177"/>
      <c r="ALA1177"/>
      <c r="ALB1177"/>
      <c r="ALC1177"/>
      <c r="ALD1177"/>
      <c r="ALE1177"/>
      <c r="ALF1177"/>
      <c r="ALG1177"/>
      <c r="ALH1177"/>
      <c r="ALI1177"/>
      <c r="ALJ1177"/>
      <c r="ALK1177"/>
      <c r="ALL1177"/>
      <c r="ALM1177"/>
      <c r="ALN1177"/>
      <c r="ALO1177"/>
      <c r="ALP1177"/>
      <c r="ALQ1177"/>
      <c r="ALR1177"/>
      <c r="ALS1177"/>
      <c r="ALT1177"/>
      <c r="ALU1177"/>
      <c r="ALV1177"/>
      <c r="ALW1177"/>
      <c r="ALX1177"/>
      <c r="ALY1177"/>
      <c r="ALZ1177"/>
      <c r="AMA1177"/>
      <c r="AMB1177"/>
      <c r="AMC1177"/>
      <c r="AMD1177"/>
      <c r="AME1177"/>
      <c r="AMF1177"/>
      <c r="AMG1177"/>
      <c r="AMH1177"/>
      <c r="AMI1177"/>
      <c r="AMJ1177"/>
      <c r="AMK1177"/>
      <c r="AML1177"/>
      <c r="AMM1177"/>
      <c r="AMN1177"/>
      <c r="AMO1177"/>
      <c r="AMP1177"/>
      <c r="AMQ1177"/>
      <c r="AMR1177"/>
      <c r="AMS1177"/>
      <c r="AMT1177"/>
      <c r="AMU1177"/>
      <c r="AMV1177"/>
      <c r="AMW1177"/>
      <c r="AMX1177"/>
      <c r="AMY1177"/>
      <c r="AMZ1177"/>
      <c r="ANA1177"/>
      <c r="ANB1177"/>
      <c r="ANC1177"/>
      <c r="AND1177"/>
      <c r="ANE1177"/>
      <c r="ANF1177"/>
      <c r="ANG1177"/>
      <c r="ANH1177"/>
      <c r="ANI1177"/>
      <c r="ANJ1177"/>
      <c r="ANK1177"/>
      <c r="ANL1177"/>
      <c r="ANM1177"/>
      <c r="ANN1177"/>
      <c r="ANO1177"/>
      <c r="ANP1177"/>
      <c r="ANQ1177"/>
      <c r="ANR1177"/>
      <c r="ANS1177"/>
      <c r="ANT1177"/>
      <c r="ANU1177"/>
      <c r="ANV1177"/>
      <c r="ANW1177"/>
      <c r="ANX1177"/>
      <c r="ANY1177"/>
      <c r="ANZ1177"/>
      <c r="AOA1177"/>
      <c r="AOB1177"/>
      <c r="AOC1177"/>
      <c r="AOD1177"/>
      <c r="AOE1177"/>
      <c r="AOF1177"/>
      <c r="AOG1177"/>
      <c r="AOH1177"/>
      <c r="AOI1177"/>
      <c r="AOJ1177"/>
      <c r="AOK1177"/>
      <c r="AOL1177"/>
      <c r="AOM1177"/>
      <c r="AON1177"/>
      <c r="AOO1177"/>
      <c r="AOP1177"/>
      <c r="AOQ1177"/>
      <c r="AOR1177"/>
      <c r="AOS1177"/>
      <c r="AOT1177"/>
      <c r="AOU1177"/>
      <c r="AOV1177"/>
      <c r="AOW1177"/>
      <c r="AOX1177"/>
      <c r="AOY1177"/>
      <c r="AOZ1177"/>
      <c r="APA1177"/>
      <c r="APB1177"/>
      <c r="APC1177"/>
      <c r="APD1177"/>
      <c r="APE1177"/>
      <c r="APF1177"/>
      <c r="APG1177"/>
      <c r="APH1177"/>
      <c r="API1177"/>
      <c r="APJ1177"/>
      <c r="APK1177"/>
      <c r="APL1177"/>
      <c r="APM1177"/>
      <c r="APN1177"/>
      <c r="APO1177"/>
      <c r="APP1177"/>
      <c r="APQ1177"/>
      <c r="APR1177"/>
      <c r="APS1177"/>
      <c r="APT1177"/>
      <c r="APU1177"/>
      <c r="APV1177"/>
      <c r="APW1177"/>
      <c r="APX1177"/>
      <c r="APY1177"/>
      <c r="APZ1177"/>
      <c r="AQA1177"/>
      <c r="AQB1177"/>
      <c r="AQC1177"/>
      <c r="AQD1177"/>
      <c r="AQE1177"/>
      <c r="AQF1177"/>
      <c r="AQG1177"/>
      <c r="AQH1177"/>
      <c r="AQI1177"/>
      <c r="AQJ1177"/>
      <c r="AQK1177"/>
      <c r="AQL1177"/>
      <c r="AQM1177"/>
      <c r="AQN1177"/>
      <c r="AQO1177"/>
      <c r="AQP1177"/>
      <c r="AQQ1177"/>
      <c r="AQR1177"/>
      <c r="AQS1177"/>
      <c r="AQT1177"/>
      <c r="AQU1177"/>
      <c r="AQV1177"/>
      <c r="AQW1177"/>
      <c r="AQX1177"/>
      <c r="AQY1177"/>
      <c r="AQZ1177"/>
      <c r="ARA1177"/>
      <c r="ARB1177"/>
      <c r="ARC1177"/>
      <c r="ARD1177"/>
      <c r="ARE1177"/>
      <c r="ARF1177"/>
      <c r="ARG1177"/>
      <c r="ARH1177"/>
      <c r="ARI1177"/>
      <c r="ARJ1177"/>
      <c r="ARK1177"/>
      <c r="ARL1177"/>
      <c r="ARM1177"/>
      <c r="ARN1177"/>
      <c r="ARO1177"/>
      <c r="ARP1177"/>
      <c r="ARQ1177"/>
      <c r="ARR1177"/>
      <c r="ARS1177"/>
      <c r="ART1177"/>
      <c r="ARU1177"/>
      <c r="ARV1177"/>
      <c r="ARW1177"/>
      <c r="ARX1177"/>
      <c r="ARY1177"/>
      <c r="ARZ1177"/>
      <c r="ASA1177"/>
      <c r="ASB1177"/>
      <c r="ASC1177"/>
      <c r="ASD1177"/>
      <c r="ASE1177"/>
      <c r="ASF1177"/>
      <c r="ASG1177"/>
      <c r="ASH1177"/>
      <c r="ASI1177"/>
      <c r="ASJ1177"/>
      <c r="ASK1177"/>
      <c r="ASL1177"/>
      <c r="ASM1177"/>
      <c r="ASN1177"/>
      <c r="ASO1177"/>
      <c r="ASP1177"/>
      <c r="ASQ1177"/>
      <c r="ASR1177"/>
      <c r="ASS1177"/>
      <c r="AST1177"/>
      <c r="ASU1177"/>
      <c r="ASV1177"/>
      <c r="ASW1177"/>
      <c r="ASX1177"/>
      <c r="ASY1177"/>
      <c r="ASZ1177"/>
      <c r="ATA1177"/>
      <c r="ATB1177"/>
      <c r="ATC1177"/>
      <c r="ATD1177"/>
      <c r="ATE1177"/>
      <c r="ATF1177"/>
      <c r="ATG1177"/>
      <c r="ATH1177"/>
      <c r="ATI1177"/>
      <c r="ATJ1177"/>
      <c r="ATK1177"/>
      <c r="ATL1177"/>
      <c r="ATM1177"/>
      <c r="ATN1177"/>
      <c r="ATO1177"/>
      <c r="ATP1177"/>
      <c r="ATQ1177"/>
      <c r="ATR1177"/>
      <c r="ATS1177"/>
      <c r="ATT1177"/>
      <c r="ATU1177"/>
      <c r="ATV1177"/>
      <c r="ATW1177"/>
      <c r="ATX1177"/>
      <c r="ATY1177"/>
      <c r="ATZ1177"/>
      <c r="AUA1177"/>
      <c r="AUB1177"/>
      <c r="AUC1177"/>
      <c r="AUD1177"/>
      <c r="AUE1177"/>
      <c r="AUF1177"/>
      <c r="AUG1177"/>
      <c r="AUH1177"/>
      <c r="AUI1177"/>
      <c r="AUJ1177"/>
      <c r="AUK1177"/>
      <c r="AUL1177"/>
      <c r="AUM1177"/>
      <c r="AUN1177"/>
      <c r="AUO1177"/>
      <c r="AUP1177"/>
      <c r="AUQ1177"/>
      <c r="AUR1177"/>
      <c r="AUS1177"/>
      <c r="AUT1177"/>
      <c r="AUU1177"/>
      <c r="AUV1177"/>
      <c r="AUW1177"/>
      <c r="AUX1177"/>
      <c r="AUY1177"/>
      <c r="AUZ1177"/>
      <c r="AVA1177"/>
      <c r="AVB1177"/>
      <c r="AVC1177"/>
      <c r="AVD1177"/>
      <c r="AVE1177"/>
      <c r="AVF1177"/>
      <c r="AVG1177"/>
      <c r="AVH1177"/>
      <c r="AVI1177"/>
      <c r="AVJ1177"/>
      <c r="AVK1177"/>
      <c r="AVL1177"/>
      <c r="AVM1177"/>
      <c r="AVN1177"/>
      <c r="AVO1177"/>
      <c r="AVP1177"/>
      <c r="AVQ1177"/>
      <c r="AVR1177"/>
      <c r="AVS1177"/>
      <c r="AVT1177"/>
      <c r="AVU1177"/>
      <c r="AVV1177"/>
      <c r="AVW1177"/>
      <c r="AVX1177"/>
      <c r="AVY1177"/>
      <c r="AVZ1177"/>
      <c r="AWA1177"/>
      <c r="AWB1177"/>
      <c r="AWC1177"/>
      <c r="AWD1177"/>
      <c r="AWE1177"/>
      <c r="AWF1177"/>
      <c r="AWG1177"/>
      <c r="AWH1177"/>
      <c r="AWI1177"/>
      <c r="AWJ1177"/>
      <c r="AWK1177"/>
      <c r="AWL1177"/>
      <c r="AWM1177"/>
      <c r="AWN1177"/>
      <c r="AWO1177"/>
      <c r="AWP1177"/>
      <c r="AWQ1177"/>
      <c r="AWR1177"/>
      <c r="AWS1177"/>
      <c r="AWT1177"/>
      <c r="AWU1177"/>
      <c r="AWV1177"/>
      <c r="AWW1177"/>
      <c r="AWX1177"/>
      <c r="AWY1177"/>
      <c r="AWZ1177"/>
      <c r="AXA1177"/>
      <c r="AXB1177"/>
      <c r="AXC1177"/>
      <c r="AXD1177"/>
      <c r="AXE1177"/>
      <c r="AXF1177"/>
      <c r="AXG1177"/>
      <c r="AXH1177"/>
      <c r="AXI1177"/>
      <c r="AXJ1177"/>
      <c r="AXK1177"/>
      <c r="AXL1177"/>
      <c r="AXM1177"/>
      <c r="AXN1177"/>
      <c r="AXO1177"/>
      <c r="AXP1177"/>
      <c r="AXQ1177"/>
      <c r="AXR1177"/>
      <c r="AXS1177"/>
      <c r="AXT1177"/>
      <c r="AXU1177"/>
      <c r="AXV1177"/>
      <c r="AXW1177"/>
      <c r="AXX1177"/>
      <c r="AXY1177"/>
      <c r="AXZ1177"/>
      <c r="AYA1177"/>
      <c r="AYB1177"/>
      <c r="AYC1177"/>
      <c r="AYD1177"/>
      <c r="AYE1177"/>
      <c r="AYF1177"/>
      <c r="AYG1177"/>
      <c r="AYH1177"/>
      <c r="AYI1177"/>
      <c r="AYJ1177"/>
      <c r="AYK1177"/>
      <c r="AYL1177"/>
      <c r="AYM1177"/>
      <c r="AYN1177"/>
      <c r="AYO1177"/>
      <c r="AYP1177"/>
      <c r="AYQ1177"/>
      <c r="AYR1177"/>
      <c r="AYS1177"/>
      <c r="AYT1177"/>
      <c r="AYU1177"/>
      <c r="AYV1177"/>
      <c r="AYW1177"/>
      <c r="AYX1177"/>
      <c r="AYY1177"/>
      <c r="AYZ1177"/>
      <c r="AZA1177"/>
      <c r="AZB1177"/>
      <c r="AZC1177"/>
      <c r="AZD1177"/>
      <c r="AZE1177"/>
      <c r="AZF1177"/>
      <c r="AZG1177"/>
      <c r="AZH1177"/>
      <c r="AZI1177"/>
      <c r="AZJ1177"/>
      <c r="AZK1177"/>
      <c r="AZL1177"/>
      <c r="AZM1177"/>
      <c r="AZN1177"/>
      <c r="AZO1177"/>
      <c r="AZP1177"/>
      <c r="AZQ1177"/>
      <c r="AZR1177"/>
      <c r="AZS1177"/>
      <c r="AZT1177"/>
      <c r="AZU1177"/>
      <c r="AZV1177"/>
      <c r="AZW1177"/>
      <c r="AZX1177"/>
      <c r="AZY1177"/>
      <c r="AZZ1177"/>
      <c r="BAA1177"/>
      <c r="BAB1177"/>
      <c r="BAC1177"/>
      <c r="BAD1177"/>
      <c r="BAE1177"/>
      <c r="BAF1177"/>
      <c r="BAG1177"/>
      <c r="BAH1177"/>
      <c r="BAI1177"/>
      <c r="BAJ1177"/>
      <c r="BAK1177"/>
      <c r="BAL1177"/>
      <c r="BAM1177"/>
      <c r="BAN1177"/>
      <c r="BAO1177"/>
      <c r="BAP1177"/>
      <c r="BAQ1177"/>
      <c r="BAR1177"/>
      <c r="BAS1177"/>
      <c r="BAT1177"/>
      <c r="BAU1177"/>
      <c r="BAV1177"/>
      <c r="BAW1177"/>
      <c r="BAX1177"/>
      <c r="BAY1177"/>
      <c r="BAZ1177"/>
      <c r="BBA1177"/>
      <c r="BBB1177"/>
      <c r="BBC1177"/>
      <c r="BBD1177"/>
      <c r="BBE1177"/>
      <c r="BBF1177"/>
      <c r="BBG1177"/>
      <c r="BBH1177"/>
      <c r="BBI1177"/>
      <c r="BBJ1177"/>
      <c r="BBK1177"/>
      <c r="BBL1177"/>
      <c r="BBM1177"/>
      <c r="BBN1177"/>
      <c r="BBO1177"/>
      <c r="BBP1177"/>
      <c r="BBQ1177"/>
      <c r="BBR1177"/>
      <c r="BBS1177"/>
      <c r="BBT1177"/>
      <c r="BBU1177"/>
      <c r="BBV1177"/>
      <c r="BBW1177"/>
      <c r="BBX1177"/>
      <c r="BBY1177"/>
      <c r="BBZ1177"/>
      <c r="BCA1177"/>
      <c r="BCB1177"/>
      <c r="BCC1177"/>
      <c r="BCD1177"/>
      <c r="BCE1177"/>
      <c r="BCF1177"/>
      <c r="BCG1177"/>
      <c r="BCH1177"/>
      <c r="BCI1177"/>
      <c r="BCJ1177"/>
      <c r="BCK1177"/>
      <c r="BCL1177"/>
      <c r="BCM1177"/>
      <c r="BCN1177"/>
      <c r="BCO1177"/>
      <c r="BCP1177"/>
      <c r="BCQ1177"/>
      <c r="BCR1177"/>
      <c r="BCS1177"/>
      <c r="BCT1177"/>
      <c r="BCU1177"/>
      <c r="BCV1177"/>
      <c r="BCW1177"/>
      <c r="BCX1177"/>
      <c r="BCY1177"/>
      <c r="BCZ1177"/>
      <c r="BDA1177"/>
      <c r="BDB1177"/>
      <c r="BDC1177"/>
      <c r="BDD1177"/>
      <c r="BDE1177"/>
      <c r="BDF1177"/>
      <c r="BDG1177"/>
      <c r="BDH1177"/>
      <c r="BDI1177"/>
      <c r="BDJ1177"/>
      <c r="BDK1177"/>
      <c r="BDL1177"/>
      <c r="BDM1177"/>
      <c r="BDN1177"/>
      <c r="BDO1177"/>
      <c r="BDP1177"/>
      <c r="BDQ1177"/>
      <c r="BDR1177"/>
      <c r="BDS1177"/>
      <c r="BDT1177"/>
      <c r="BDU1177"/>
      <c r="BDV1177"/>
      <c r="BDW1177"/>
      <c r="BDX1177"/>
      <c r="BDY1177"/>
      <c r="BDZ1177"/>
      <c r="BEA1177"/>
      <c r="BEB1177"/>
      <c r="BEC1177"/>
      <c r="BED1177"/>
      <c r="BEE1177"/>
      <c r="BEF1177"/>
      <c r="BEG1177"/>
      <c r="BEH1177"/>
      <c r="BEI1177"/>
      <c r="BEJ1177"/>
      <c r="BEK1177"/>
      <c r="BEL1177"/>
      <c r="BEM1177"/>
      <c r="BEN1177"/>
      <c r="BEO1177"/>
      <c r="BEP1177"/>
      <c r="BEQ1177"/>
      <c r="BER1177"/>
      <c r="BES1177"/>
      <c r="BET1177"/>
      <c r="BEU1177"/>
      <c r="BEV1177"/>
      <c r="BEW1177"/>
      <c r="BEX1177"/>
      <c r="BEY1177"/>
      <c r="BEZ1177"/>
      <c r="BFA1177"/>
      <c r="BFB1177"/>
      <c r="BFC1177"/>
      <c r="BFD1177"/>
      <c r="BFE1177"/>
      <c r="BFF1177"/>
      <c r="BFG1177"/>
      <c r="BFH1177"/>
      <c r="BFI1177"/>
      <c r="BFJ1177"/>
      <c r="BFK1177"/>
      <c r="BFL1177"/>
      <c r="BFM1177"/>
      <c r="BFN1177"/>
      <c r="BFO1177"/>
      <c r="BFP1177"/>
      <c r="BFQ1177"/>
      <c r="BFR1177"/>
      <c r="BFS1177"/>
      <c r="BFT1177"/>
      <c r="BFU1177"/>
      <c r="BFV1177"/>
      <c r="BFW1177"/>
      <c r="BFX1177"/>
      <c r="BFY1177"/>
      <c r="BFZ1177"/>
      <c r="BGA1177"/>
      <c r="BGB1177"/>
      <c r="BGC1177"/>
      <c r="BGD1177"/>
      <c r="BGE1177"/>
      <c r="BGF1177"/>
      <c r="BGG1177"/>
      <c r="BGH1177"/>
      <c r="BGI1177"/>
      <c r="BGJ1177"/>
      <c r="BGK1177"/>
      <c r="BGL1177"/>
      <c r="BGM1177"/>
      <c r="BGN1177"/>
      <c r="BGO1177"/>
      <c r="BGP1177"/>
      <c r="BGQ1177"/>
      <c r="BGR1177"/>
      <c r="BGS1177"/>
      <c r="BGT1177"/>
      <c r="BGU1177"/>
      <c r="BGV1177"/>
      <c r="BGW1177"/>
      <c r="BGX1177"/>
      <c r="BGY1177"/>
      <c r="BGZ1177"/>
      <c r="BHA1177"/>
      <c r="BHB1177"/>
      <c r="BHC1177"/>
      <c r="BHD1177"/>
      <c r="BHE1177"/>
      <c r="BHF1177"/>
      <c r="BHG1177"/>
      <c r="BHH1177"/>
      <c r="BHI1177"/>
      <c r="BHJ1177"/>
      <c r="BHK1177"/>
      <c r="BHL1177"/>
      <c r="BHM1177"/>
      <c r="BHN1177"/>
      <c r="BHO1177"/>
      <c r="BHP1177"/>
      <c r="BHQ1177"/>
      <c r="BHR1177"/>
      <c r="BHS1177"/>
      <c r="BHT1177"/>
      <c r="BHU1177"/>
      <c r="BHV1177"/>
      <c r="BHW1177"/>
      <c r="BHX1177"/>
      <c r="BHY1177"/>
      <c r="BHZ1177"/>
      <c r="BIA1177"/>
      <c r="BIB1177"/>
      <c r="BIC1177"/>
      <c r="BID1177"/>
      <c r="BIE1177"/>
      <c r="BIF1177"/>
      <c r="BIG1177"/>
      <c r="BIH1177"/>
      <c r="BII1177"/>
      <c r="BIJ1177"/>
      <c r="BIK1177"/>
      <c r="BIL1177"/>
      <c r="BIM1177"/>
      <c r="BIN1177"/>
      <c r="BIO1177"/>
      <c r="BIP1177"/>
      <c r="BIQ1177"/>
      <c r="BIR1177"/>
      <c r="BIS1177"/>
      <c r="BIT1177"/>
      <c r="BIU1177"/>
      <c r="BIV1177"/>
      <c r="BIW1177"/>
      <c r="BIX1177"/>
      <c r="BIY1177"/>
      <c r="BIZ1177"/>
      <c r="BJA1177"/>
      <c r="BJB1177"/>
      <c r="BJC1177"/>
      <c r="BJD1177"/>
      <c r="BJE1177"/>
      <c r="BJF1177"/>
      <c r="BJG1177"/>
      <c r="BJH1177"/>
      <c r="BJI1177"/>
      <c r="BJJ1177"/>
      <c r="BJK1177"/>
      <c r="BJL1177"/>
      <c r="BJM1177"/>
      <c r="BJN1177"/>
      <c r="BJO1177"/>
      <c r="BJP1177"/>
      <c r="BJQ1177"/>
      <c r="BJR1177"/>
      <c r="BJS1177"/>
      <c r="BJT1177"/>
      <c r="BJU1177"/>
      <c r="BJV1177"/>
      <c r="BJW1177"/>
      <c r="BJX1177"/>
      <c r="BJY1177"/>
      <c r="BJZ1177"/>
      <c r="BKA1177"/>
      <c r="BKB1177"/>
      <c r="BKC1177"/>
      <c r="BKD1177"/>
      <c r="BKE1177"/>
      <c r="BKF1177"/>
      <c r="BKG1177"/>
      <c r="BKH1177"/>
      <c r="BKI1177"/>
      <c r="BKJ1177"/>
      <c r="BKK1177"/>
      <c r="BKL1177"/>
      <c r="BKM1177"/>
      <c r="BKN1177"/>
      <c r="BKO1177"/>
      <c r="BKP1177"/>
      <c r="BKQ1177"/>
      <c r="BKR1177"/>
      <c r="BKS1177"/>
      <c r="BKT1177"/>
      <c r="BKU1177"/>
      <c r="BKV1177"/>
      <c r="BKW1177"/>
      <c r="BKX1177"/>
      <c r="BKY1177"/>
      <c r="BKZ1177"/>
      <c r="BLA1177"/>
      <c r="BLB1177"/>
      <c r="BLC1177"/>
      <c r="BLD1177"/>
      <c r="BLE1177"/>
      <c r="BLF1177"/>
      <c r="BLG1177"/>
      <c r="BLH1177"/>
      <c r="BLI1177"/>
      <c r="BLJ1177"/>
      <c r="BLK1177"/>
      <c r="BLL1177"/>
      <c r="BLM1177"/>
      <c r="BLN1177"/>
      <c r="BLO1177"/>
      <c r="BLP1177"/>
      <c r="BLQ1177"/>
      <c r="BLR1177"/>
      <c r="BLS1177"/>
      <c r="BLT1177"/>
      <c r="BLU1177"/>
      <c r="BLV1177"/>
      <c r="BLW1177"/>
      <c r="BLX1177"/>
      <c r="BLY1177"/>
      <c r="BLZ1177"/>
      <c r="BMA1177"/>
      <c r="BMB1177"/>
      <c r="BMC1177"/>
      <c r="BMD1177"/>
      <c r="BME1177"/>
      <c r="BMF1177"/>
      <c r="BMG1177"/>
      <c r="BMH1177"/>
      <c r="BMI1177"/>
      <c r="BMJ1177"/>
      <c r="BMK1177"/>
      <c r="BML1177"/>
      <c r="BMM1177"/>
      <c r="BMN1177"/>
      <c r="BMO1177"/>
      <c r="BMP1177"/>
      <c r="BMQ1177"/>
      <c r="BMR1177"/>
      <c r="BMS1177"/>
      <c r="BMT1177"/>
      <c r="BMU1177"/>
      <c r="BMV1177"/>
      <c r="BMW1177"/>
      <c r="BMX1177"/>
      <c r="BMY1177"/>
      <c r="BMZ1177"/>
      <c r="BNA1177"/>
      <c r="BNB1177"/>
      <c r="BNC1177"/>
      <c r="BND1177"/>
      <c r="BNE1177"/>
      <c r="BNF1177"/>
      <c r="BNG1177"/>
      <c r="BNH1177"/>
      <c r="BNI1177"/>
      <c r="BNJ1177"/>
      <c r="BNK1177"/>
      <c r="BNL1177"/>
      <c r="BNM1177"/>
      <c r="BNN1177"/>
      <c r="BNO1177"/>
      <c r="BNP1177"/>
      <c r="BNQ1177"/>
      <c r="BNR1177"/>
      <c r="BNS1177"/>
      <c r="BNT1177"/>
      <c r="BNU1177"/>
      <c r="BNV1177"/>
      <c r="BNW1177"/>
      <c r="BNX1177"/>
      <c r="BNY1177"/>
      <c r="BNZ1177"/>
      <c r="BOA1177"/>
      <c r="BOB1177"/>
      <c r="BOC1177"/>
      <c r="BOD1177"/>
      <c r="BOE1177"/>
      <c r="BOF1177"/>
      <c r="BOG1177"/>
      <c r="BOH1177"/>
      <c r="BOI1177"/>
      <c r="BOJ1177"/>
      <c r="BOK1177"/>
      <c r="BOL1177"/>
      <c r="BOM1177"/>
      <c r="BON1177"/>
      <c r="BOO1177"/>
      <c r="BOP1177"/>
      <c r="BOQ1177"/>
      <c r="BOR1177"/>
      <c r="BOS1177"/>
      <c r="BOT1177"/>
      <c r="BOU1177"/>
      <c r="BOV1177"/>
      <c r="BOW1177"/>
      <c r="BOX1177"/>
      <c r="BOY1177"/>
      <c r="BOZ1177"/>
      <c r="BPA1177"/>
      <c r="BPB1177"/>
      <c r="BPC1177"/>
      <c r="BPD1177"/>
      <c r="BPE1177"/>
      <c r="BPF1177"/>
      <c r="BPG1177"/>
      <c r="BPH1177"/>
      <c r="BPI1177"/>
      <c r="BPJ1177"/>
      <c r="BPK1177"/>
      <c r="BPL1177"/>
      <c r="BPM1177"/>
      <c r="BPN1177"/>
      <c r="BPO1177"/>
      <c r="BPP1177"/>
      <c r="BPQ1177"/>
      <c r="BPR1177"/>
      <c r="BPS1177"/>
      <c r="BPT1177"/>
      <c r="BPU1177"/>
      <c r="BPV1177"/>
      <c r="BPW1177"/>
      <c r="BPX1177"/>
      <c r="BPY1177"/>
      <c r="BPZ1177"/>
      <c r="BQA1177"/>
      <c r="BQB1177"/>
      <c r="BQC1177"/>
      <c r="BQD1177"/>
      <c r="BQE1177"/>
      <c r="BQF1177"/>
      <c r="BQG1177"/>
      <c r="BQH1177"/>
      <c r="BQI1177"/>
      <c r="BQJ1177"/>
      <c r="BQK1177"/>
      <c r="BQL1177"/>
      <c r="BQM1177"/>
      <c r="BQN1177"/>
      <c r="BQO1177"/>
      <c r="BQP1177"/>
      <c r="BQQ1177"/>
      <c r="BQR1177"/>
      <c r="BQS1177"/>
      <c r="BQT1177"/>
      <c r="BQU1177"/>
      <c r="BQV1177"/>
      <c r="BQW1177"/>
      <c r="BQX1177"/>
      <c r="BQY1177"/>
      <c r="BQZ1177"/>
      <c r="BRA1177"/>
      <c r="BRB1177"/>
      <c r="BRC1177"/>
      <c r="BRD1177"/>
      <c r="BRE1177"/>
      <c r="BRF1177"/>
      <c r="BRG1177"/>
      <c r="BRH1177"/>
      <c r="BRI1177"/>
      <c r="BRJ1177"/>
      <c r="BRK1177"/>
      <c r="BRL1177"/>
      <c r="BRM1177"/>
      <c r="BRN1177"/>
      <c r="BRO1177"/>
      <c r="BRP1177"/>
      <c r="BRQ1177"/>
      <c r="BRR1177"/>
      <c r="BRS1177"/>
      <c r="BRT1177"/>
      <c r="BRU1177"/>
      <c r="BRV1177"/>
      <c r="BRW1177"/>
      <c r="BRX1177"/>
      <c r="BRY1177"/>
      <c r="BRZ1177"/>
      <c r="BSA1177"/>
      <c r="BSB1177"/>
      <c r="BSC1177"/>
      <c r="BSD1177"/>
      <c r="BSE1177"/>
      <c r="BSF1177"/>
      <c r="BSG1177"/>
      <c r="BSH1177"/>
      <c r="BSI1177"/>
      <c r="BSJ1177"/>
      <c r="BSK1177"/>
      <c r="BSL1177"/>
      <c r="BSM1177"/>
      <c r="BSN1177"/>
      <c r="BSO1177"/>
      <c r="BSP1177"/>
      <c r="BSQ1177"/>
      <c r="BSR1177"/>
      <c r="BSS1177"/>
      <c r="BST1177"/>
      <c r="BSU1177"/>
      <c r="BSV1177"/>
      <c r="BSW1177"/>
      <c r="BSX1177"/>
      <c r="BSY1177"/>
      <c r="BSZ1177"/>
      <c r="BTA1177"/>
      <c r="BTB1177"/>
      <c r="BTC1177"/>
      <c r="BTD1177"/>
      <c r="BTE1177"/>
      <c r="BTF1177"/>
      <c r="BTG1177"/>
      <c r="BTH1177"/>
      <c r="BTI1177"/>
      <c r="BTJ1177"/>
      <c r="BTK1177"/>
      <c r="BTL1177"/>
      <c r="BTM1177"/>
      <c r="BTN1177"/>
      <c r="BTO1177"/>
      <c r="BTP1177"/>
      <c r="BTQ1177"/>
      <c r="BTR1177"/>
      <c r="BTS1177"/>
      <c r="BTT1177"/>
      <c r="BTU1177"/>
      <c r="BTV1177"/>
      <c r="BTW1177"/>
      <c r="BTX1177"/>
      <c r="BTY1177"/>
      <c r="BTZ1177"/>
      <c r="BUA1177"/>
      <c r="BUB1177"/>
      <c r="BUC1177"/>
      <c r="BUD1177"/>
      <c r="BUE1177"/>
      <c r="BUF1177"/>
      <c r="BUG1177"/>
      <c r="BUH1177"/>
      <c r="BUI1177"/>
      <c r="BUJ1177"/>
      <c r="BUK1177"/>
      <c r="BUL1177"/>
      <c r="BUM1177"/>
      <c r="BUN1177"/>
      <c r="BUO1177"/>
      <c r="BUP1177"/>
      <c r="BUQ1177"/>
      <c r="BUR1177"/>
      <c r="BUS1177"/>
      <c r="BUT1177"/>
      <c r="BUU1177"/>
      <c r="BUV1177"/>
      <c r="BUW1177"/>
      <c r="BUX1177"/>
      <c r="BUY1177"/>
      <c r="BUZ1177"/>
      <c r="BVA1177"/>
      <c r="BVB1177"/>
      <c r="BVC1177"/>
      <c r="BVD1177"/>
      <c r="BVE1177"/>
      <c r="BVF1177"/>
      <c r="BVG1177"/>
      <c r="BVH1177"/>
      <c r="BVI1177"/>
      <c r="BVJ1177"/>
      <c r="BVK1177"/>
      <c r="BVL1177"/>
      <c r="BVM1177"/>
      <c r="BVN1177"/>
      <c r="BVO1177"/>
      <c r="BVP1177"/>
      <c r="BVQ1177"/>
      <c r="BVR1177"/>
      <c r="BVS1177"/>
      <c r="BVT1177"/>
      <c r="BVU1177"/>
      <c r="BVV1177"/>
      <c r="BVW1177"/>
      <c r="BVX1177"/>
      <c r="BVY1177"/>
      <c r="BVZ1177"/>
      <c r="BWA1177"/>
      <c r="BWB1177"/>
      <c r="BWC1177"/>
      <c r="BWD1177"/>
      <c r="BWE1177"/>
      <c r="BWF1177"/>
      <c r="BWG1177"/>
      <c r="BWH1177"/>
      <c r="BWI1177"/>
      <c r="BWJ1177"/>
      <c r="BWK1177"/>
      <c r="BWL1177"/>
      <c r="BWM1177"/>
      <c r="BWN1177"/>
      <c r="BWO1177"/>
      <c r="BWP1177"/>
      <c r="BWQ1177"/>
      <c r="BWR1177"/>
      <c r="BWS1177"/>
      <c r="BWT1177"/>
      <c r="BWU1177"/>
      <c r="BWV1177"/>
      <c r="BWW1177"/>
      <c r="BWX1177"/>
      <c r="BWY1177"/>
      <c r="BWZ1177"/>
      <c r="BXA1177"/>
      <c r="BXB1177"/>
      <c r="BXC1177"/>
      <c r="BXD1177"/>
      <c r="BXE1177"/>
      <c r="BXF1177"/>
      <c r="BXG1177"/>
      <c r="BXH1177"/>
      <c r="BXI1177"/>
      <c r="BXJ1177"/>
      <c r="BXK1177"/>
      <c r="BXL1177"/>
      <c r="BXM1177"/>
      <c r="BXN1177"/>
      <c r="BXO1177"/>
      <c r="BXP1177"/>
      <c r="BXQ1177"/>
      <c r="BXR1177"/>
      <c r="BXS1177"/>
      <c r="BXT1177"/>
      <c r="BXU1177"/>
      <c r="BXV1177"/>
      <c r="BXW1177"/>
      <c r="BXX1177"/>
      <c r="BXY1177"/>
      <c r="BXZ1177"/>
      <c r="BYA1177"/>
      <c r="BYB1177"/>
      <c r="BYC1177"/>
      <c r="BYD1177"/>
      <c r="BYE1177"/>
      <c r="BYF1177"/>
      <c r="BYG1177"/>
      <c r="BYH1177"/>
      <c r="BYI1177"/>
      <c r="BYJ1177"/>
      <c r="BYK1177"/>
      <c r="BYL1177"/>
      <c r="BYM1177"/>
      <c r="BYN1177"/>
      <c r="BYO1177"/>
      <c r="BYP1177"/>
      <c r="BYQ1177"/>
      <c r="BYR1177"/>
      <c r="BYS1177"/>
      <c r="BYT1177"/>
      <c r="BYU1177"/>
      <c r="BYV1177"/>
      <c r="BYW1177"/>
      <c r="BYX1177"/>
      <c r="BYY1177"/>
      <c r="BYZ1177"/>
      <c r="BZA1177"/>
      <c r="BZB1177"/>
      <c r="BZC1177"/>
      <c r="BZD1177"/>
      <c r="BZE1177"/>
      <c r="BZF1177"/>
      <c r="BZG1177"/>
      <c r="BZH1177"/>
      <c r="BZI1177"/>
      <c r="BZJ1177"/>
      <c r="BZK1177"/>
      <c r="BZL1177"/>
      <c r="BZM1177"/>
      <c r="BZN1177"/>
      <c r="BZO1177"/>
      <c r="BZP1177"/>
      <c r="BZQ1177"/>
      <c r="BZR1177"/>
      <c r="BZS1177"/>
      <c r="BZT1177"/>
      <c r="BZU1177"/>
      <c r="BZV1177"/>
      <c r="BZW1177"/>
      <c r="BZX1177"/>
      <c r="BZY1177"/>
      <c r="BZZ1177"/>
      <c r="CAA1177"/>
      <c r="CAB1177"/>
      <c r="CAC1177"/>
      <c r="CAD1177"/>
      <c r="CAE1177"/>
      <c r="CAF1177"/>
      <c r="CAG1177"/>
      <c r="CAH1177"/>
      <c r="CAI1177"/>
      <c r="CAJ1177"/>
      <c r="CAK1177"/>
      <c r="CAL1177"/>
      <c r="CAM1177"/>
      <c r="CAN1177"/>
      <c r="CAO1177"/>
      <c r="CAP1177"/>
      <c r="CAQ1177"/>
      <c r="CAR1177"/>
      <c r="CAS1177"/>
      <c r="CAT1177"/>
      <c r="CAU1177"/>
      <c r="CAV1177"/>
      <c r="CAW1177"/>
      <c r="CAX1177"/>
      <c r="CAY1177"/>
      <c r="CAZ1177"/>
      <c r="CBA1177"/>
      <c r="CBB1177"/>
      <c r="CBC1177"/>
      <c r="CBD1177"/>
      <c r="CBE1177"/>
      <c r="CBF1177"/>
      <c r="CBG1177"/>
      <c r="CBH1177"/>
      <c r="CBI1177"/>
      <c r="CBJ1177"/>
      <c r="CBK1177"/>
      <c r="CBL1177"/>
      <c r="CBM1177"/>
      <c r="CBN1177"/>
      <c r="CBO1177"/>
      <c r="CBP1177"/>
      <c r="CBQ1177"/>
      <c r="CBR1177"/>
      <c r="CBS1177"/>
      <c r="CBT1177"/>
      <c r="CBU1177"/>
      <c r="CBV1177"/>
      <c r="CBW1177"/>
      <c r="CBX1177"/>
      <c r="CBY1177"/>
      <c r="CBZ1177"/>
      <c r="CCA1177"/>
      <c r="CCB1177"/>
      <c r="CCC1177"/>
      <c r="CCD1177"/>
      <c r="CCE1177"/>
      <c r="CCF1177"/>
      <c r="CCG1177"/>
      <c r="CCH1177"/>
      <c r="CCI1177"/>
      <c r="CCJ1177"/>
      <c r="CCK1177"/>
      <c r="CCL1177"/>
      <c r="CCM1177"/>
      <c r="CCN1177"/>
      <c r="CCO1177"/>
      <c r="CCP1177"/>
      <c r="CCQ1177"/>
      <c r="CCR1177"/>
      <c r="CCS1177"/>
      <c r="CCT1177"/>
      <c r="CCU1177"/>
      <c r="CCV1177"/>
      <c r="CCW1177"/>
      <c r="CCX1177"/>
      <c r="CCY1177"/>
      <c r="CCZ1177"/>
      <c r="CDA1177"/>
      <c r="CDB1177"/>
      <c r="CDC1177"/>
      <c r="CDD1177"/>
      <c r="CDE1177"/>
      <c r="CDF1177"/>
      <c r="CDG1177"/>
      <c r="CDH1177"/>
      <c r="CDI1177"/>
      <c r="CDJ1177"/>
      <c r="CDK1177"/>
      <c r="CDL1177"/>
      <c r="CDM1177"/>
      <c r="CDN1177"/>
      <c r="CDO1177"/>
      <c r="CDP1177"/>
      <c r="CDQ1177"/>
      <c r="CDR1177"/>
      <c r="CDS1177"/>
      <c r="CDT1177"/>
      <c r="CDU1177"/>
      <c r="CDV1177"/>
      <c r="CDW1177"/>
      <c r="CDX1177"/>
      <c r="CDY1177"/>
      <c r="CDZ1177"/>
      <c r="CEA1177"/>
      <c r="CEB1177"/>
      <c r="CEC1177"/>
      <c r="CED1177"/>
      <c r="CEE1177"/>
      <c r="CEF1177"/>
      <c r="CEG1177"/>
      <c r="CEH1177"/>
      <c r="CEI1177"/>
      <c r="CEJ1177"/>
      <c r="CEK1177"/>
      <c r="CEL1177"/>
      <c r="CEM1177"/>
      <c r="CEN1177"/>
      <c r="CEO1177"/>
      <c r="CEP1177"/>
      <c r="CEQ1177"/>
      <c r="CER1177"/>
      <c r="CES1177"/>
      <c r="CET1177"/>
      <c r="CEU1177"/>
      <c r="CEV1177"/>
      <c r="CEW1177"/>
      <c r="CEX1177"/>
      <c r="CEY1177"/>
      <c r="CEZ1177"/>
      <c r="CFA1177"/>
      <c r="CFB1177"/>
      <c r="CFC1177"/>
      <c r="CFD1177"/>
      <c r="CFE1177"/>
      <c r="CFF1177"/>
      <c r="CFG1177"/>
      <c r="CFH1177"/>
      <c r="CFI1177"/>
      <c r="CFJ1177"/>
      <c r="CFK1177"/>
      <c r="CFL1177"/>
      <c r="CFM1177"/>
      <c r="CFN1177"/>
      <c r="CFO1177"/>
      <c r="CFP1177"/>
      <c r="CFQ1177"/>
      <c r="CFR1177"/>
      <c r="CFS1177"/>
      <c r="CFT1177"/>
      <c r="CFU1177"/>
      <c r="CFV1177"/>
      <c r="CFW1177"/>
      <c r="CFX1177"/>
      <c r="CFY1177"/>
      <c r="CFZ1177"/>
      <c r="CGA1177"/>
      <c r="CGB1177"/>
      <c r="CGC1177"/>
      <c r="CGD1177"/>
      <c r="CGE1177"/>
      <c r="CGF1177"/>
      <c r="CGG1177"/>
      <c r="CGH1177"/>
      <c r="CGI1177"/>
      <c r="CGJ1177"/>
      <c r="CGK1177"/>
      <c r="CGL1177"/>
      <c r="CGM1177"/>
      <c r="CGN1177"/>
      <c r="CGO1177"/>
      <c r="CGP1177"/>
      <c r="CGQ1177"/>
      <c r="CGR1177"/>
      <c r="CGS1177"/>
      <c r="CGT1177"/>
      <c r="CGU1177"/>
      <c r="CGV1177"/>
      <c r="CGW1177"/>
      <c r="CGX1177"/>
      <c r="CGY1177"/>
      <c r="CGZ1177"/>
      <c r="CHA1177"/>
      <c r="CHB1177"/>
      <c r="CHC1177"/>
      <c r="CHD1177"/>
      <c r="CHE1177"/>
      <c r="CHF1177"/>
      <c r="CHG1177"/>
      <c r="CHH1177"/>
      <c r="CHI1177"/>
      <c r="CHJ1177"/>
      <c r="CHK1177"/>
      <c r="CHL1177"/>
      <c r="CHM1177"/>
      <c r="CHN1177"/>
      <c r="CHO1177"/>
      <c r="CHP1177"/>
      <c r="CHQ1177"/>
      <c r="CHR1177"/>
      <c r="CHS1177"/>
      <c r="CHT1177"/>
      <c r="CHU1177"/>
      <c r="CHV1177"/>
      <c r="CHW1177"/>
      <c r="CHX1177"/>
      <c r="CHY1177"/>
      <c r="CHZ1177"/>
      <c r="CIA1177"/>
      <c r="CIB1177"/>
      <c r="CIC1177"/>
      <c r="CID1177"/>
      <c r="CIE1177"/>
      <c r="CIF1177"/>
      <c r="CIG1177"/>
      <c r="CIH1177"/>
      <c r="CII1177"/>
      <c r="CIJ1177"/>
      <c r="CIK1177"/>
      <c r="CIL1177"/>
      <c r="CIM1177"/>
      <c r="CIN1177"/>
      <c r="CIO1177"/>
      <c r="CIP1177"/>
      <c r="CIQ1177"/>
      <c r="CIR1177"/>
      <c r="CIS1177"/>
      <c r="CIT1177"/>
      <c r="CIU1177"/>
      <c r="CIV1177"/>
      <c r="CIW1177"/>
      <c r="CIX1177"/>
      <c r="CIY1177"/>
      <c r="CIZ1177"/>
      <c r="CJA1177"/>
      <c r="CJB1177"/>
      <c r="CJC1177"/>
      <c r="CJD1177"/>
      <c r="CJE1177"/>
      <c r="CJF1177"/>
      <c r="CJG1177"/>
      <c r="CJH1177"/>
      <c r="CJI1177"/>
      <c r="CJJ1177"/>
      <c r="CJK1177"/>
      <c r="CJL1177"/>
      <c r="CJM1177"/>
      <c r="CJN1177"/>
      <c r="CJO1177"/>
      <c r="CJP1177"/>
      <c r="CJQ1177"/>
      <c r="CJR1177"/>
      <c r="CJS1177"/>
      <c r="CJT1177"/>
      <c r="CJU1177"/>
      <c r="CJV1177"/>
      <c r="CJW1177"/>
      <c r="CJX1177"/>
      <c r="CJY1177"/>
      <c r="CJZ1177"/>
      <c r="CKA1177"/>
      <c r="CKB1177"/>
      <c r="CKC1177"/>
      <c r="CKD1177"/>
      <c r="CKE1177"/>
      <c r="CKF1177"/>
      <c r="CKG1177"/>
      <c r="CKH1177"/>
      <c r="CKI1177"/>
      <c r="CKJ1177"/>
      <c r="CKK1177"/>
      <c r="CKL1177"/>
      <c r="CKM1177"/>
      <c r="CKN1177"/>
      <c r="CKO1177"/>
      <c r="CKP1177"/>
      <c r="CKQ1177"/>
      <c r="CKR1177"/>
      <c r="CKS1177"/>
      <c r="CKT1177"/>
      <c r="CKU1177"/>
      <c r="CKV1177"/>
      <c r="CKW1177"/>
      <c r="CKX1177"/>
      <c r="CKY1177"/>
      <c r="CKZ1177"/>
      <c r="CLA1177"/>
      <c r="CLB1177"/>
      <c r="CLC1177"/>
      <c r="CLD1177"/>
      <c r="CLE1177"/>
      <c r="CLF1177"/>
      <c r="CLG1177"/>
      <c r="CLH1177"/>
      <c r="CLI1177"/>
      <c r="CLJ1177"/>
      <c r="CLK1177"/>
      <c r="CLL1177"/>
      <c r="CLM1177"/>
      <c r="CLN1177"/>
      <c r="CLO1177"/>
      <c r="CLP1177"/>
      <c r="CLQ1177"/>
      <c r="CLR1177"/>
      <c r="CLS1177"/>
      <c r="CLT1177"/>
      <c r="CLU1177"/>
      <c r="CLV1177"/>
      <c r="CLW1177"/>
      <c r="CLX1177"/>
      <c r="CLY1177"/>
      <c r="CLZ1177"/>
      <c r="CMA1177"/>
      <c r="CMB1177"/>
      <c r="CMC1177"/>
      <c r="CMD1177"/>
      <c r="CME1177"/>
      <c r="CMF1177"/>
      <c r="CMG1177"/>
      <c r="CMH1177"/>
      <c r="CMI1177"/>
      <c r="CMJ1177"/>
      <c r="CMK1177"/>
      <c r="CML1177"/>
      <c r="CMM1177"/>
      <c r="CMN1177"/>
      <c r="CMO1177"/>
      <c r="CMP1177"/>
      <c r="CMQ1177"/>
      <c r="CMR1177"/>
      <c r="CMS1177"/>
      <c r="CMT1177"/>
      <c r="CMU1177"/>
      <c r="CMV1177"/>
      <c r="CMW1177"/>
      <c r="CMX1177"/>
      <c r="CMY1177"/>
      <c r="CMZ1177"/>
      <c r="CNA1177"/>
      <c r="CNB1177"/>
      <c r="CNC1177"/>
      <c r="CND1177"/>
      <c r="CNE1177"/>
      <c r="CNF1177"/>
      <c r="CNG1177"/>
      <c r="CNH1177"/>
      <c r="CNI1177"/>
      <c r="CNJ1177"/>
      <c r="CNK1177"/>
      <c r="CNL1177"/>
      <c r="CNM1177"/>
      <c r="CNN1177"/>
      <c r="CNO1177"/>
      <c r="CNP1177"/>
      <c r="CNQ1177"/>
      <c r="CNR1177"/>
      <c r="CNS1177"/>
      <c r="CNT1177"/>
      <c r="CNU1177"/>
      <c r="CNV1177"/>
      <c r="CNW1177"/>
      <c r="CNX1177"/>
      <c r="CNY1177"/>
      <c r="CNZ1177"/>
      <c r="COA1177"/>
      <c r="COB1177"/>
      <c r="COC1177"/>
      <c r="COD1177"/>
      <c r="COE1177"/>
      <c r="COF1177"/>
      <c r="COG1177"/>
      <c r="COH1177"/>
      <c r="COI1177"/>
      <c r="COJ1177"/>
      <c r="COK1177"/>
      <c r="COL1177"/>
      <c r="COM1177"/>
      <c r="CON1177"/>
      <c r="COO1177"/>
      <c r="COP1177"/>
      <c r="COQ1177"/>
      <c r="COR1177"/>
      <c r="COS1177"/>
      <c r="COT1177"/>
      <c r="COU1177"/>
      <c r="COV1177"/>
      <c r="COW1177"/>
      <c r="COX1177"/>
      <c r="COY1177"/>
      <c r="COZ1177"/>
      <c r="CPA1177"/>
      <c r="CPB1177"/>
      <c r="CPC1177"/>
      <c r="CPD1177"/>
      <c r="CPE1177"/>
      <c r="CPF1177"/>
      <c r="CPG1177"/>
      <c r="CPH1177"/>
      <c r="CPI1177"/>
      <c r="CPJ1177"/>
      <c r="CPK1177"/>
      <c r="CPL1177"/>
      <c r="CPM1177"/>
      <c r="CPN1177"/>
      <c r="CPO1177"/>
      <c r="CPP1177"/>
      <c r="CPQ1177"/>
      <c r="CPR1177"/>
      <c r="CPS1177"/>
      <c r="CPT1177"/>
      <c r="CPU1177"/>
      <c r="CPV1177"/>
      <c r="CPW1177"/>
      <c r="CPX1177"/>
      <c r="CPY1177"/>
      <c r="CPZ1177"/>
      <c r="CQA1177"/>
      <c r="CQB1177"/>
      <c r="CQC1177"/>
      <c r="CQD1177"/>
      <c r="CQE1177"/>
      <c r="CQF1177"/>
      <c r="CQG1177"/>
      <c r="CQH1177"/>
      <c r="CQI1177"/>
      <c r="CQJ1177"/>
      <c r="CQK1177"/>
      <c r="CQL1177"/>
      <c r="CQM1177"/>
      <c r="CQN1177"/>
      <c r="CQO1177"/>
      <c r="CQP1177"/>
      <c r="CQQ1177"/>
      <c r="CQR1177"/>
      <c r="CQS1177"/>
      <c r="CQT1177"/>
      <c r="CQU1177"/>
      <c r="CQV1177"/>
      <c r="CQW1177"/>
      <c r="CQX1177"/>
      <c r="CQY1177"/>
      <c r="CQZ1177"/>
      <c r="CRA1177"/>
      <c r="CRB1177"/>
      <c r="CRC1177"/>
      <c r="CRD1177"/>
      <c r="CRE1177"/>
      <c r="CRF1177"/>
      <c r="CRG1177"/>
      <c r="CRH1177"/>
      <c r="CRI1177"/>
      <c r="CRJ1177"/>
      <c r="CRK1177"/>
      <c r="CRL1177"/>
      <c r="CRM1177"/>
      <c r="CRN1177"/>
      <c r="CRO1177"/>
      <c r="CRP1177"/>
      <c r="CRQ1177"/>
      <c r="CRR1177"/>
      <c r="CRS1177"/>
      <c r="CRT1177"/>
      <c r="CRU1177"/>
      <c r="CRV1177"/>
      <c r="CRW1177"/>
      <c r="CRX1177"/>
      <c r="CRY1177"/>
      <c r="CRZ1177"/>
      <c r="CSA1177"/>
      <c r="CSB1177"/>
      <c r="CSC1177"/>
      <c r="CSD1177"/>
      <c r="CSE1177"/>
      <c r="CSF1177"/>
      <c r="CSG1177"/>
      <c r="CSH1177"/>
      <c r="CSI1177"/>
      <c r="CSJ1177"/>
      <c r="CSK1177"/>
      <c r="CSL1177"/>
      <c r="CSM1177"/>
      <c r="CSN1177"/>
      <c r="CSO1177"/>
      <c r="CSP1177"/>
      <c r="CSQ1177"/>
      <c r="CSR1177"/>
      <c r="CSS1177"/>
      <c r="CST1177"/>
      <c r="CSU1177"/>
      <c r="CSV1177"/>
      <c r="CSW1177"/>
      <c r="CSX1177"/>
      <c r="CSY1177"/>
      <c r="CSZ1177"/>
      <c r="CTA1177"/>
      <c r="CTB1177"/>
      <c r="CTC1177"/>
      <c r="CTD1177"/>
      <c r="CTE1177"/>
      <c r="CTF1177"/>
      <c r="CTG1177"/>
      <c r="CTH1177"/>
      <c r="CTI1177"/>
      <c r="CTJ1177"/>
      <c r="CTK1177"/>
      <c r="CTL1177"/>
      <c r="CTM1177"/>
      <c r="CTN1177"/>
      <c r="CTO1177"/>
      <c r="CTP1177"/>
      <c r="CTQ1177"/>
      <c r="CTR1177"/>
      <c r="CTS1177"/>
      <c r="CTT1177"/>
      <c r="CTU1177"/>
      <c r="CTV1177"/>
      <c r="CTW1177"/>
      <c r="CTX1177"/>
      <c r="CTY1177"/>
      <c r="CTZ1177"/>
      <c r="CUA1177"/>
      <c r="CUB1177"/>
      <c r="CUC1177"/>
      <c r="CUD1177"/>
      <c r="CUE1177"/>
      <c r="CUF1177"/>
      <c r="CUG1177"/>
      <c r="CUH1177"/>
      <c r="CUI1177"/>
      <c r="CUJ1177"/>
      <c r="CUK1177"/>
      <c r="CUL1177"/>
      <c r="CUM1177"/>
      <c r="CUN1177"/>
      <c r="CUO1177"/>
      <c r="CUP1177"/>
      <c r="CUQ1177"/>
      <c r="CUR1177"/>
      <c r="CUS1177"/>
      <c r="CUT1177"/>
      <c r="CUU1177"/>
      <c r="CUV1177"/>
      <c r="CUW1177"/>
      <c r="CUX1177"/>
      <c r="CUY1177"/>
      <c r="CUZ1177"/>
      <c r="CVA1177"/>
      <c r="CVB1177"/>
      <c r="CVC1177"/>
      <c r="CVD1177"/>
      <c r="CVE1177"/>
      <c r="CVF1177"/>
      <c r="CVG1177"/>
      <c r="CVH1177"/>
      <c r="CVI1177"/>
      <c r="CVJ1177"/>
      <c r="CVK1177"/>
      <c r="CVL1177"/>
      <c r="CVM1177"/>
      <c r="CVN1177"/>
      <c r="CVO1177"/>
      <c r="CVP1177"/>
      <c r="CVQ1177"/>
      <c r="CVR1177"/>
      <c r="CVS1177"/>
      <c r="CVT1177"/>
      <c r="CVU1177"/>
      <c r="CVV1177"/>
      <c r="CVW1177"/>
      <c r="CVX1177"/>
      <c r="CVY1177"/>
      <c r="CVZ1177"/>
      <c r="CWA1177"/>
      <c r="CWB1177"/>
      <c r="CWC1177"/>
      <c r="CWD1177"/>
      <c r="CWE1177"/>
      <c r="CWF1177"/>
      <c r="CWG1177"/>
      <c r="CWH1177"/>
      <c r="CWI1177"/>
      <c r="CWJ1177"/>
      <c r="CWK1177"/>
      <c r="CWL1177"/>
      <c r="CWM1177"/>
      <c r="CWN1177"/>
      <c r="CWO1177"/>
      <c r="CWP1177"/>
      <c r="CWQ1177"/>
      <c r="CWR1177"/>
      <c r="CWS1177"/>
      <c r="CWT1177"/>
      <c r="CWU1177"/>
      <c r="CWV1177"/>
      <c r="CWW1177"/>
      <c r="CWX1177"/>
      <c r="CWY1177"/>
      <c r="CWZ1177"/>
      <c r="CXA1177"/>
      <c r="CXB1177"/>
      <c r="CXC1177"/>
      <c r="CXD1177"/>
      <c r="CXE1177"/>
      <c r="CXF1177"/>
      <c r="CXG1177"/>
      <c r="CXH1177"/>
      <c r="CXI1177"/>
      <c r="CXJ1177"/>
      <c r="CXK1177"/>
      <c r="CXL1177"/>
      <c r="CXM1177"/>
      <c r="CXN1177"/>
      <c r="CXO1177"/>
      <c r="CXP1177"/>
      <c r="CXQ1177"/>
      <c r="CXR1177"/>
      <c r="CXS1177"/>
      <c r="CXT1177"/>
      <c r="CXU1177"/>
      <c r="CXV1177"/>
      <c r="CXW1177"/>
      <c r="CXX1177"/>
      <c r="CXY1177"/>
      <c r="CXZ1177"/>
      <c r="CYA1177"/>
      <c r="CYB1177"/>
      <c r="CYC1177"/>
      <c r="CYD1177"/>
      <c r="CYE1177"/>
      <c r="CYF1177"/>
      <c r="CYG1177"/>
      <c r="CYH1177"/>
      <c r="CYI1177"/>
      <c r="CYJ1177"/>
      <c r="CYK1177"/>
      <c r="CYL1177"/>
      <c r="CYM1177"/>
      <c r="CYN1177"/>
      <c r="CYO1177"/>
      <c r="CYP1177"/>
      <c r="CYQ1177"/>
      <c r="CYR1177"/>
      <c r="CYS1177"/>
      <c r="CYT1177"/>
      <c r="CYU1177"/>
      <c r="CYV1177"/>
      <c r="CYW1177"/>
      <c r="CYX1177"/>
      <c r="CYY1177"/>
      <c r="CYZ1177"/>
      <c r="CZA1177"/>
      <c r="CZB1177"/>
      <c r="CZC1177"/>
      <c r="CZD1177"/>
      <c r="CZE1177"/>
      <c r="CZF1177"/>
      <c r="CZG1177"/>
      <c r="CZH1177"/>
      <c r="CZI1177"/>
      <c r="CZJ1177"/>
      <c r="CZK1177"/>
      <c r="CZL1177"/>
      <c r="CZM1177"/>
      <c r="CZN1177"/>
      <c r="CZO1177"/>
      <c r="CZP1177"/>
      <c r="CZQ1177"/>
      <c r="CZR1177"/>
      <c r="CZS1177"/>
      <c r="CZT1177"/>
      <c r="CZU1177"/>
      <c r="CZV1177"/>
      <c r="CZW1177"/>
      <c r="CZX1177"/>
      <c r="CZY1177"/>
      <c r="CZZ1177"/>
      <c r="DAA1177"/>
      <c r="DAB1177"/>
      <c r="DAC1177"/>
      <c r="DAD1177"/>
      <c r="DAE1177"/>
      <c r="DAF1177"/>
      <c r="DAG1177"/>
      <c r="DAH1177"/>
      <c r="DAI1177"/>
      <c r="DAJ1177"/>
      <c r="DAK1177"/>
      <c r="DAL1177"/>
      <c r="DAM1177"/>
      <c r="DAN1177"/>
      <c r="DAO1177"/>
      <c r="DAP1177"/>
      <c r="DAQ1177"/>
      <c r="DAR1177"/>
      <c r="DAS1177"/>
      <c r="DAT1177"/>
      <c r="DAU1177"/>
      <c r="DAV1177"/>
      <c r="DAW1177"/>
      <c r="DAX1177"/>
      <c r="DAY1177"/>
      <c r="DAZ1177"/>
      <c r="DBA1177"/>
      <c r="DBB1177"/>
      <c r="DBC1177"/>
      <c r="DBD1177"/>
      <c r="DBE1177"/>
      <c r="DBF1177"/>
      <c r="DBG1177"/>
      <c r="DBH1177"/>
      <c r="DBI1177"/>
      <c r="DBJ1177"/>
      <c r="DBK1177"/>
      <c r="DBL1177"/>
      <c r="DBM1177"/>
      <c r="DBN1177"/>
      <c r="DBO1177"/>
      <c r="DBP1177"/>
      <c r="DBQ1177"/>
      <c r="DBR1177"/>
      <c r="DBS1177"/>
      <c r="DBT1177"/>
      <c r="DBU1177"/>
      <c r="DBV1177"/>
      <c r="DBW1177"/>
      <c r="DBX1177"/>
      <c r="DBY1177"/>
      <c r="DBZ1177"/>
      <c r="DCA1177"/>
      <c r="DCB1177"/>
      <c r="DCC1177"/>
      <c r="DCD1177"/>
      <c r="DCE1177"/>
      <c r="DCF1177"/>
      <c r="DCG1177"/>
      <c r="DCH1177"/>
      <c r="DCI1177"/>
      <c r="DCJ1177"/>
      <c r="DCK1177"/>
      <c r="DCL1177"/>
      <c r="DCM1177"/>
      <c r="DCN1177"/>
      <c r="DCO1177"/>
      <c r="DCP1177"/>
      <c r="DCQ1177"/>
      <c r="DCR1177"/>
      <c r="DCS1177"/>
      <c r="DCT1177"/>
      <c r="DCU1177"/>
      <c r="DCV1177"/>
      <c r="DCW1177"/>
      <c r="DCX1177"/>
      <c r="DCY1177"/>
      <c r="DCZ1177"/>
      <c r="DDA1177"/>
      <c r="DDB1177"/>
      <c r="DDC1177"/>
      <c r="DDD1177"/>
      <c r="DDE1177"/>
      <c r="DDF1177"/>
      <c r="DDG1177"/>
      <c r="DDH1177"/>
      <c r="DDI1177"/>
      <c r="DDJ1177"/>
      <c r="DDK1177"/>
      <c r="DDL1177"/>
      <c r="DDM1177"/>
      <c r="DDN1177"/>
      <c r="DDO1177"/>
      <c r="DDP1177"/>
      <c r="DDQ1177"/>
      <c r="DDR1177"/>
      <c r="DDS1177"/>
      <c r="DDT1177"/>
      <c r="DDU1177"/>
      <c r="DDV1177"/>
      <c r="DDW1177"/>
      <c r="DDX1177"/>
      <c r="DDY1177"/>
      <c r="DDZ1177"/>
      <c r="DEA1177"/>
      <c r="DEB1177"/>
      <c r="DEC1177"/>
      <c r="DED1177"/>
      <c r="DEE1177"/>
      <c r="DEF1177"/>
      <c r="DEG1177"/>
      <c r="DEH1177"/>
      <c r="DEI1177"/>
      <c r="DEJ1177"/>
      <c r="DEK1177"/>
      <c r="DEL1177"/>
      <c r="DEM1177"/>
      <c r="DEN1177"/>
      <c r="DEO1177"/>
      <c r="DEP1177"/>
      <c r="DEQ1177"/>
      <c r="DER1177"/>
      <c r="DES1177"/>
      <c r="DET1177"/>
      <c r="DEU1177"/>
      <c r="DEV1177"/>
      <c r="DEW1177"/>
      <c r="DEX1177"/>
      <c r="DEY1177"/>
      <c r="DEZ1177"/>
      <c r="DFA1177"/>
      <c r="DFB1177"/>
      <c r="DFC1177"/>
      <c r="DFD1177"/>
      <c r="DFE1177"/>
      <c r="DFF1177"/>
      <c r="DFG1177"/>
      <c r="DFH1177"/>
      <c r="DFI1177"/>
      <c r="DFJ1177"/>
      <c r="DFK1177"/>
      <c r="DFL1177"/>
      <c r="DFM1177"/>
      <c r="DFN1177"/>
      <c r="DFO1177"/>
      <c r="DFP1177"/>
      <c r="DFQ1177"/>
      <c r="DFR1177"/>
      <c r="DFS1177"/>
      <c r="DFT1177"/>
      <c r="DFU1177"/>
      <c r="DFV1177"/>
      <c r="DFW1177"/>
      <c r="DFX1177"/>
      <c r="DFY1177"/>
      <c r="DFZ1177"/>
      <c r="DGA1177"/>
      <c r="DGB1177"/>
      <c r="DGC1177"/>
      <c r="DGD1177"/>
      <c r="DGE1177"/>
      <c r="DGF1177"/>
      <c r="DGG1177"/>
      <c r="DGH1177"/>
      <c r="DGI1177"/>
      <c r="DGJ1177"/>
      <c r="DGK1177"/>
      <c r="DGL1177"/>
      <c r="DGM1177"/>
      <c r="DGN1177"/>
      <c r="DGO1177"/>
      <c r="DGP1177"/>
      <c r="DGQ1177"/>
      <c r="DGR1177"/>
      <c r="DGS1177"/>
      <c r="DGT1177"/>
      <c r="DGU1177"/>
      <c r="DGV1177"/>
      <c r="DGW1177"/>
      <c r="DGX1177"/>
      <c r="DGY1177"/>
      <c r="DGZ1177"/>
      <c r="DHA1177"/>
      <c r="DHB1177"/>
      <c r="DHC1177"/>
      <c r="DHD1177"/>
      <c r="DHE1177"/>
      <c r="DHF1177"/>
      <c r="DHG1177"/>
      <c r="DHH1177"/>
      <c r="DHI1177"/>
      <c r="DHJ1177"/>
      <c r="DHK1177"/>
      <c r="DHL1177"/>
      <c r="DHM1177"/>
      <c r="DHN1177"/>
      <c r="DHO1177"/>
      <c r="DHP1177"/>
      <c r="DHQ1177"/>
      <c r="DHR1177"/>
      <c r="DHS1177"/>
      <c r="DHT1177"/>
      <c r="DHU1177"/>
      <c r="DHV1177"/>
      <c r="DHW1177"/>
      <c r="DHX1177"/>
      <c r="DHY1177"/>
      <c r="DHZ1177"/>
      <c r="DIA1177"/>
      <c r="DIB1177"/>
      <c r="DIC1177"/>
      <c r="DID1177"/>
      <c r="DIE1177"/>
      <c r="DIF1177"/>
      <c r="DIG1177"/>
      <c r="DIH1177"/>
      <c r="DII1177"/>
      <c r="DIJ1177"/>
      <c r="DIK1177"/>
      <c r="DIL1177"/>
      <c r="DIM1177"/>
      <c r="DIN1177"/>
      <c r="DIO1177"/>
      <c r="DIP1177"/>
      <c r="DIQ1177"/>
      <c r="DIR1177"/>
      <c r="DIS1177"/>
      <c r="DIT1177"/>
      <c r="DIU1177"/>
      <c r="DIV1177"/>
      <c r="DIW1177"/>
      <c r="DIX1177"/>
      <c r="DIY1177"/>
      <c r="DIZ1177"/>
      <c r="DJA1177"/>
      <c r="DJB1177"/>
      <c r="DJC1177"/>
      <c r="DJD1177"/>
      <c r="DJE1177"/>
      <c r="DJF1177"/>
      <c r="DJG1177"/>
      <c r="DJH1177"/>
      <c r="DJI1177"/>
      <c r="DJJ1177"/>
      <c r="DJK1177"/>
      <c r="DJL1177"/>
      <c r="DJM1177"/>
      <c r="DJN1177"/>
      <c r="DJO1177"/>
      <c r="DJP1177"/>
      <c r="DJQ1177"/>
      <c r="DJR1177"/>
      <c r="DJS1177"/>
      <c r="DJT1177"/>
      <c r="DJU1177"/>
      <c r="DJV1177"/>
      <c r="DJW1177"/>
      <c r="DJX1177"/>
      <c r="DJY1177"/>
      <c r="DJZ1177"/>
      <c r="DKA1177"/>
      <c r="DKB1177"/>
      <c r="DKC1177"/>
      <c r="DKD1177"/>
      <c r="DKE1177"/>
      <c r="DKF1177"/>
      <c r="DKG1177"/>
      <c r="DKH1177"/>
      <c r="DKI1177"/>
      <c r="DKJ1177"/>
      <c r="DKK1177"/>
      <c r="DKL1177"/>
      <c r="DKM1177"/>
      <c r="DKN1177"/>
      <c r="DKO1177"/>
      <c r="DKP1177"/>
      <c r="DKQ1177"/>
      <c r="DKR1177"/>
      <c r="DKS1177"/>
      <c r="DKT1177"/>
      <c r="DKU1177"/>
      <c r="DKV1177"/>
      <c r="DKW1177"/>
      <c r="DKX1177"/>
      <c r="DKY1177"/>
      <c r="DKZ1177"/>
      <c r="DLA1177"/>
      <c r="DLB1177"/>
      <c r="DLC1177"/>
      <c r="DLD1177"/>
      <c r="DLE1177"/>
      <c r="DLF1177"/>
      <c r="DLG1177"/>
      <c r="DLH1177"/>
      <c r="DLI1177"/>
      <c r="DLJ1177"/>
      <c r="DLK1177"/>
      <c r="DLL1177"/>
      <c r="DLM1177"/>
      <c r="DLN1177"/>
      <c r="DLO1177"/>
      <c r="DLP1177"/>
      <c r="DLQ1177"/>
      <c r="DLR1177"/>
      <c r="DLS1177"/>
      <c r="DLT1177"/>
      <c r="DLU1177"/>
      <c r="DLV1177"/>
      <c r="DLW1177"/>
      <c r="DLX1177"/>
      <c r="DLY1177"/>
      <c r="DLZ1177"/>
      <c r="DMA1177"/>
      <c r="DMB1177"/>
      <c r="DMC1177"/>
      <c r="DMD1177"/>
      <c r="DME1177"/>
      <c r="DMF1177"/>
      <c r="DMG1177"/>
      <c r="DMH1177"/>
      <c r="DMI1177"/>
      <c r="DMJ1177"/>
      <c r="DMK1177"/>
      <c r="DML1177"/>
      <c r="DMM1177"/>
      <c r="DMN1177"/>
      <c r="DMO1177"/>
      <c r="DMP1177"/>
      <c r="DMQ1177"/>
      <c r="DMR1177"/>
      <c r="DMS1177"/>
      <c r="DMT1177"/>
      <c r="DMU1177"/>
      <c r="DMV1177"/>
      <c r="DMW1177"/>
      <c r="DMX1177"/>
      <c r="DMY1177"/>
      <c r="DMZ1177"/>
      <c r="DNA1177"/>
      <c r="DNB1177"/>
      <c r="DNC1177"/>
      <c r="DND1177"/>
      <c r="DNE1177"/>
      <c r="DNF1177"/>
      <c r="DNG1177"/>
      <c r="DNH1177"/>
      <c r="DNI1177"/>
      <c r="DNJ1177"/>
      <c r="DNK1177"/>
      <c r="DNL1177"/>
      <c r="DNM1177"/>
      <c r="DNN1177"/>
      <c r="DNO1177"/>
      <c r="DNP1177"/>
      <c r="DNQ1177"/>
      <c r="DNR1177"/>
      <c r="DNS1177"/>
      <c r="DNT1177"/>
      <c r="DNU1177"/>
      <c r="DNV1177"/>
      <c r="DNW1177"/>
      <c r="DNX1177"/>
      <c r="DNY1177"/>
      <c r="DNZ1177"/>
      <c r="DOA1177"/>
      <c r="DOB1177"/>
      <c r="DOC1177"/>
      <c r="DOD1177"/>
      <c r="DOE1177"/>
      <c r="DOF1177"/>
      <c r="DOG1177"/>
      <c r="DOH1177"/>
      <c r="DOI1177"/>
      <c r="DOJ1177"/>
      <c r="DOK1177"/>
      <c r="DOL1177"/>
      <c r="DOM1177"/>
      <c r="DON1177"/>
      <c r="DOO1177"/>
      <c r="DOP1177"/>
      <c r="DOQ1177"/>
      <c r="DOR1177"/>
      <c r="DOS1177"/>
      <c r="DOT1177"/>
      <c r="DOU1177"/>
      <c r="DOV1177"/>
      <c r="DOW1177"/>
      <c r="DOX1177"/>
      <c r="DOY1177"/>
      <c r="DOZ1177"/>
      <c r="DPA1177"/>
      <c r="DPB1177"/>
      <c r="DPC1177"/>
      <c r="DPD1177"/>
      <c r="DPE1177"/>
      <c r="DPF1177"/>
      <c r="DPG1177"/>
      <c r="DPH1177"/>
      <c r="DPI1177"/>
      <c r="DPJ1177"/>
      <c r="DPK1177"/>
      <c r="DPL1177"/>
      <c r="DPM1177"/>
      <c r="DPN1177"/>
      <c r="DPO1177"/>
      <c r="DPP1177"/>
      <c r="DPQ1177"/>
      <c r="DPR1177"/>
      <c r="DPS1177"/>
      <c r="DPT1177"/>
      <c r="DPU1177"/>
      <c r="DPV1177"/>
      <c r="DPW1177"/>
      <c r="DPX1177"/>
      <c r="DPY1177"/>
      <c r="DPZ1177"/>
      <c r="DQA1177"/>
      <c r="DQB1177"/>
      <c r="DQC1177"/>
      <c r="DQD1177"/>
      <c r="DQE1177"/>
      <c r="DQF1177"/>
      <c r="DQG1177"/>
      <c r="DQH1177"/>
      <c r="DQI1177"/>
      <c r="DQJ1177"/>
      <c r="DQK1177"/>
      <c r="DQL1177"/>
      <c r="DQM1177"/>
      <c r="DQN1177"/>
      <c r="DQO1177"/>
      <c r="DQP1177"/>
      <c r="DQQ1177"/>
      <c r="DQR1177"/>
      <c r="DQS1177"/>
      <c r="DQT1177"/>
      <c r="DQU1177"/>
      <c r="DQV1177"/>
      <c r="DQW1177"/>
      <c r="DQX1177"/>
      <c r="DQY1177"/>
      <c r="DQZ1177"/>
      <c r="DRA1177"/>
      <c r="DRB1177"/>
      <c r="DRC1177"/>
      <c r="DRD1177"/>
      <c r="DRE1177"/>
      <c r="DRF1177"/>
      <c r="DRG1177"/>
      <c r="DRH1177"/>
      <c r="DRI1177"/>
      <c r="DRJ1177"/>
      <c r="DRK1177"/>
      <c r="DRL1177"/>
      <c r="DRM1177"/>
      <c r="DRN1177"/>
      <c r="DRO1177"/>
      <c r="DRP1177"/>
      <c r="DRQ1177"/>
      <c r="DRR1177"/>
      <c r="DRS1177"/>
      <c r="DRT1177"/>
      <c r="DRU1177"/>
      <c r="DRV1177"/>
      <c r="DRW1177"/>
      <c r="DRX1177"/>
      <c r="DRY1177"/>
      <c r="DRZ1177"/>
      <c r="DSA1177"/>
      <c r="DSB1177"/>
      <c r="DSC1177"/>
      <c r="DSD1177"/>
      <c r="DSE1177"/>
      <c r="DSF1177"/>
      <c r="DSG1177"/>
      <c r="DSH1177"/>
      <c r="DSI1177"/>
      <c r="DSJ1177"/>
      <c r="DSK1177"/>
      <c r="DSL1177"/>
      <c r="DSM1177"/>
      <c r="DSN1177"/>
      <c r="DSO1177"/>
      <c r="DSP1177"/>
      <c r="DSQ1177"/>
      <c r="DSR1177"/>
      <c r="DSS1177"/>
      <c r="DST1177"/>
      <c r="DSU1177"/>
      <c r="DSV1177"/>
      <c r="DSW1177"/>
      <c r="DSX1177"/>
      <c r="DSY1177"/>
      <c r="DSZ1177"/>
      <c r="DTA1177"/>
      <c r="DTB1177"/>
      <c r="DTC1177"/>
      <c r="DTD1177"/>
      <c r="DTE1177"/>
      <c r="DTF1177"/>
      <c r="DTG1177"/>
      <c r="DTH1177"/>
      <c r="DTI1177"/>
      <c r="DTJ1177"/>
      <c r="DTK1177"/>
      <c r="DTL1177"/>
      <c r="DTM1177"/>
      <c r="DTN1177"/>
      <c r="DTO1177"/>
      <c r="DTP1177"/>
      <c r="DTQ1177"/>
      <c r="DTR1177"/>
      <c r="DTS1177"/>
      <c r="DTT1177"/>
      <c r="DTU1177"/>
      <c r="DTV1177"/>
      <c r="DTW1177"/>
      <c r="DTX1177"/>
      <c r="DTY1177"/>
      <c r="DTZ1177"/>
      <c r="DUA1177"/>
      <c r="DUB1177"/>
      <c r="DUC1177"/>
      <c r="DUD1177"/>
      <c r="DUE1177"/>
      <c r="DUF1177"/>
      <c r="DUG1177"/>
      <c r="DUH1177"/>
      <c r="DUI1177"/>
      <c r="DUJ1177"/>
      <c r="DUK1177"/>
      <c r="DUL1177"/>
      <c r="DUM1177"/>
      <c r="DUN1177"/>
      <c r="DUO1177"/>
      <c r="DUP1177"/>
      <c r="DUQ1177"/>
      <c r="DUR1177"/>
      <c r="DUS1177"/>
      <c r="DUT1177"/>
      <c r="DUU1177"/>
      <c r="DUV1177"/>
      <c r="DUW1177"/>
      <c r="DUX1177"/>
      <c r="DUY1177"/>
      <c r="DUZ1177"/>
      <c r="DVA1177"/>
      <c r="DVB1177"/>
      <c r="DVC1177"/>
      <c r="DVD1177"/>
      <c r="DVE1177"/>
      <c r="DVF1177"/>
      <c r="DVG1177"/>
      <c r="DVH1177"/>
      <c r="DVI1177"/>
      <c r="DVJ1177"/>
      <c r="DVK1177"/>
      <c r="DVL1177"/>
      <c r="DVM1177"/>
      <c r="DVN1177"/>
      <c r="DVO1177"/>
      <c r="DVP1177"/>
      <c r="DVQ1177"/>
      <c r="DVR1177"/>
      <c r="DVS1177"/>
      <c r="DVT1177"/>
      <c r="DVU1177"/>
      <c r="DVV1177"/>
      <c r="DVW1177"/>
      <c r="DVX1177"/>
      <c r="DVY1177"/>
      <c r="DVZ1177"/>
      <c r="DWA1177"/>
      <c r="DWB1177"/>
      <c r="DWC1177"/>
      <c r="DWD1177"/>
      <c r="DWE1177"/>
      <c r="DWF1177"/>
      <c r="DWG1177"/>
      <c r="DWH1177"/>
      <c r="DWI1177"/>
      <c r="DWJ1177"/>
      <c r="DWK1177"/>
      <c r="DWL1177"/>
      <c r="DWM1177"/>
      <c r="DWN1177"/>
      <c r="DWO1177"/>
      <c r="DWP1177"/>
      <c r="DWQ1177"/>
      <c r="DWR1177"/>
      <c r="DWS1177"/>
      <c r="DWT1177"/>
      <c r="DWU1177"/>
      <c r="DWV1177"/>
      <c r="DWW1177"/>
      <c r="DWX1177"/>
      <c r="DWY1177"/>
      <c r="DWZ1177"/>
      <c r="DXA1177"/>
      <c r="DXB1177"/>
      <c r="DXC1177"/>
      <c r="DXD1177"/>
      <c r="DXE1177"/>
      <c r="DXF1177"/>
      <c r="DXG1177"/>
      <c r="DXH1177"/>
      <c r="DXI1177"/>
      <c r="DXJ1177"/>
      <c r="DXK1177"/>
      <c r="DXL1177"/>
      <c r="DXM1177"/>
      <c r="DXN1177"/>
      <c r="DXO1177"/>
      <c r="DXP1177"/>
      <c r="DXQ1177"/>
      <c r="DXR1177"/>
      <c r="DXS1177"/>
      <c r="DXT1177"/>
      <c r="DXU1177"/>
      <c r="DXV1177"/>
      <c r="DXW1177"/>
      <c r="DXX1177"/>
      <c r="DXY1177"/>
      <c r="DXZ1177"/>
      <c r="DYA1177"/>
      <c r="DYB1177"/>
      <c r="DYC1177"/>
      <c r="DYD1177"/>
      <c r="DYE1177"/>
      <c r="DYF1177"/>
      <c r="DYG1177"/>
      <c r="DYH1177"/>
      <c r="DYI1177"/>
      <c r="DYJ1177"/>
      <c r="DYK1177"/>
      <c r="DYL1177"/>
      <c r="DYM1177"/>
      <c r="DYN1177"/>
      <c r="DYO1177"/>
      <c r="DYP1177"/>
      <c r="DYQ1177"/>
      <c r="DYR1177"/>
      <c r="DYS1177"/>
      <c r="DYT1177"/>
      <c r="DYU1177"/>
      <c r="DYV1177"/>
      <c r="DYW1177"/>
      <c r="DYX1177"/>
      <c r="DYY1177"/>
      <c r="DYZ1177"/>
      <c r="DZA1177"/>
      <c r="DZB1177"/>
      <c r="DZC1177"/>
      <c r="DZD1177"/>
      <c r="DZE1177"/>
      <c r="DZF1177"/>
      <c r="DZG1177"/>
      <c r="DZH1177"/>
      <c r="DZI1177"/>
      <c r="DZJ1177"/>
      <c r="DZK1177"/>
      <c r="DZL1177"/>
      <c r="DZM1177"/>
      <c r="DZN1177"/>
      <c r="DZO1177"/>
      <c r="DZP1177"/>
      <c r="DZQ1177"/>
      <c r="DZR1177"/>
      <c r="DZS1177"/>
      <c r="DZT1177"/>
      <c r="DZU1177"/>
      <c r="DZV1177"/>
      <c r="DZW1177"/>
      <c r="DZX1177"/>
      <c r="DZY1177"/>
      <c r="DZZ1177"/>
      <c r="EAA1177"/>
      <c r="EAB1177"/>
      <c r="EAC1177"/>
      <c r="EAD1177"/>
      <c r="EAE1177"/>
      <c r="EAF1177"/>
      <c r="EAG1177"/>
      <c r="EAH1177"/>
      <c r="EAI1177"/>
      <c r="EAJ1177"/>
      <c r="EAK1177"/>
      <c r="EAL1177"/>
      <c r="EAM1177"/>
      <c r="EAN1177"/>
      <c r="EAO1177"/>
      <c r="EAP1177"/>
      <c r="EAQ1177"/>
      <c r="EAR1177"/>
      <c r="EAS1177"/>
      <c r="EAT1177"/>
      <c r="EAU1177"/>
      <c r="EAV1177"/>
      <c r="EAW1177"/>
      <c r="EAX1177"/>
      <c r="EAY1177"/>
      <c r="EAZ1177"/>
      <c r="EBA1177"/>
      <c r="EBB1177"/>
      <c r="EBC1177"/>
      <c r="EBD1177"/>
      <c r="EBE1177"/>
      <c r="EBF1177"/>
      <c r="EBG1177"/>
      <c r="EBH1177"/>
      <c r="EBI1177"/>
      <c r="EBJ1177"/>
      <c r="EBK1177"/>
      <c r="EBL1177"/>
      <c r="EBM1177"/>
      <c r="EBN1177"/>
      <c r="EBO1177"/>
      <c r="EBP1177"/>
      <c r="EBQ1177"/>
      <c r="EBR1177"/>
      <c r="EBS1177"/>
      <c r="EBT1177"/>
      <c r="EBU1177"/>
      <c r="EBV1177"/>
      <c r="EBW1177"/>
      <c r="EBX1177"/>
      <c r="EBY1177"/>
      <c r="EBZ1177"/>
      <c r="ECA1177"/>
      <c r="ECB1177"/>
      <c r="ECC1177"/>
      <c r="ECD1177"/>
      <c r="ECE1177"/>
      <c r="ECF1177"/>
      <c r="ECG1177"/>
      <c r="ECH1177"/>
      <c r="ECI1177"/>
      <c r="ECJ1177"/>
      <c r="ECK1177"/>
      <c r="ECL1177"/>
      <c r="ECM1177"/>
      <c r="ECN1177"/>
      <c r="ECO1177"/>
      <c r="ECP1177"/>
      <c r="ECQ1177"/>
      <c r="ECR1177"/>
      <c r="ECS1177"/>
      <c r="ECT1177"/>
      <c r="ECU1177"/>
      <c r="ECV1177"/>
      <c r="ECW1177"/>
      <c r="ECX1177"/>
      <c r="ECY1177"/>
      <c r="ECZ1177"/>
      <c r="EDA1177"/>
      <c r="EDB1177"/>
      <c r="EDC1177"/>
      <c r="EDD1177"/>
      <c r="EDE1177"/>
      <c r="EDF1177"/>
      <c r="EDG1177"/>
      <c r="EDH1177"/>
      <c r="EDI1177"/>
      <c r="EDJ1177"/>
      <c r="EDK1177"/>
      <c r="EDL1177"/>
      <c r="EDM1177"/>
      <c r="EDN1177"/>
      <c r="EDO1177"/>
      <c r="EDP1177"/>
      <c r="EDQ1177"/>
      <c r="EDR1177"/>
      <c r="EDS1177"/>
      <c r="EDT1177"/>
      <c r="EDU1177"/>
      <c r="EDV1177"/>
      <c r="EDW1177"/>
      <c r="EDX1177"/>
      <c r="EDY1177"/>
      <c r="EDZ1177"/>
      <c r="EEA1177"/>
      <c r="EEB1177"/>
      <c r="EEC1177"/>
      <c r="EED1177"/>
      <c r="EEE1177"/>
      <c r="EEF1177"/>
      <c r="EEG1177"/>
      <c r="EEH1177"/>
      <c r="EEI1177"/>
      <c r="EEJ1177"/>
      <c r="EEK1177"/>
      <c r="EEL1177"/>
      <c r="EEM1177"/>
      <c r="EEN1177"/>
      <c r="EEO1177"/>
      <c r="EEP1177"/>
      <c r="EEQ1177"/>
      <c r="EER1177"/>
      <c r="EES1177"/>
      <c r="EET1177"/>
      <c r="EEU1177"/>
      <c r="EEV1177"/>
      <c r="EEW1177"/>
      <c r="EEX1177"/>
      <c r="EEY1177"/>
      <c r="EEZ1177"/>
      <c r="EFA1177"/>
      <c r="EFB1177"/>
      <c r="EFC1177"/>
      <c r="EFD1177"/>
      <c r="EFE1177"/>
      <c r="EFF1177"/>
      <c r="EFG1177"/>
      <c r="EFH1177"/>
      <c r="EFI1177"/>
      <c r="EFJ1177"/>
      <c r="EFK1177"/>
      <c r="EFL1177"/>
      <c r="EFM1177"/>
      <c r="EFN1177"/>
      <c r="EFO1177"/>
      <c r="EFP1177"/>
      <c r="EFQ1177"/>
      <c r="EFR1177"/>
      <c r="EFS1177"/>
      <c r="EFT1177"/>
      <c r="EFU1177"/>
      <c r="EFV1177"/>
      <c r="EFW1177"/>
      <c r="EFX1177"/>
      <c r="EFY1177"/>
      <c r="EFZ1177"/>
      <c r="EGA1177"/>
      <c r="EGB1177"/>
      <c r="EGC1177"/>
      <c r="EGD1177"/>
      <c r="EGE1177"/>
      <c r="EGF1177"/>
      <c r="EGG1177"/>
      <c r="EGH1177"/>
      <c r="EGI1177"/>
      <c r="EGJ1177"/>
      <c r="EGK1177"/>
      <c r="EGL1177"/>
      <c r="EGM1177"/>
      <c r="EGN1177"/>
      <c r="EGO1177"/>
      <c r="EGP1177"/>
      <c r="EGQ1177"/>
      <c r="EGR1177"/>
      <c r="EGS1177"/>
      <c r="EGT1177"/>
      <c r="EGU1177"/>
      <c r="EGV1177"/>
      <c r="EGW1177"/>
      <c r="EGX1177"/>
      <c r="EGY1177"/>
      <c r="EGZ1177"/>
      <c r="EHA1177"/>
      <c r="EHB1177"/>
      <c r="EHC1177"/>
      <c r="EHD1177"/>
      <c r="EHE1177"/>
      <c r="EHF1177"/>
      <c r="EHG1177"/>
      <c r="EHH1177"/>
      <c r="EHI1177"/>
      <c r="EHJ1177"/>
      <c r="EHK1177"/>
      <c r="EHL1177"/>
      <c r="EHM1177"/>
      <c r="EHN1177"/>
      <c r="EHO1177"/>
      <c r="EHP1177"/>
      <c r="EHQ1177"/>
      <c r="EHR1177"/>
      <c r="EHS1177"/>
      <c r="EHT1177"/>
      <c r="EHU1177"/>
      <c r="EHV1177"/>
      <c r="EHW1177"/>
      <c r="EHX1177"/>
      <c r="EHY1177"/>
      <c r="EHZ1177"/>
      <c r="EIA1177"/>
      <c r="EIB1177"/>
      <c r="EIC1177"/>
      <c r="EID1177"/>
      <c r="EIE1177"/>
      <c r="EIF1177"/>
      <c r="EIG1177"/>
      <c r="EIH1177"/>
      <c r="EII1177"/>
      <c r="EIJ1177"/>
      <c r="EIK1177"/>
      <c r="EIL1177"/>
      <c r="EIM1177"/>
      <c r="EIN1177"/>
      <c r="EIO1177"/>
      <c r="EIP1177"/>
      <c r="EIQ1177"/>
      <c r="EIR1177"/>
      <c r="EIS1177"/>
      <c r="EIT1177"/>
      <c r="EIU1177"/>
      <c r="EIV1177"/>
      <c r="EIW1177"/>
      <c r="EIX1177"/>
      <c r="EIY1177"/>
      <c r="EIZ1177"/>
      <c r="EJA1177"/>
      <c r="EJB1177"/>
      <c r="EJC1177"/>
      <c r="EJD1177"/>
      <c r="EJE1177"/>
      <c r="EJF1177"/>
      <c r="EJG1177"/>
      <c r="EJH1177"/>
      <c r="EJI1177"/>
      <c r="EJJ1177"/>
      <c r="EJK1177"/>
      <c r="EJL1177"/>
      <c r="EJM1177"/>
      <c r="EJN1177"/>
      <c r="EJO1177"/>
      <c r="EJP1177"/>
      <c r="EJQ1177"/>
      <c r="EJR1177"/>
      <c r="EJS1177"/>
      <c r="EJT1177"/>
      <c r="EJU1177"/>
      <c r="EJV1177"/>
      <c r="EJW1177"/>
      <c r="EJX1177"/>
      <c r="EJY1177"/>
      <c r="EJZ1177"/>
      <c r="EKA1177"/>
      <c r="EKB1177"/>
      <c r="EKC1177"/>
      <c r="EKD1177"/>
      <c r="EKE1177"/>
      <c r="EKF1177"/>
      <c r="EKG1177"/>
      <c r="EKH1177"/>
      <c r="EKI1177"/>
      <c r="EKJ1177"/>
      <c r="EKK1177"/>
      <c r="EKL1177"/>
      <c r="EKM1177"/>
      <c r="EKN1177"/>
      <c r="EKO1177"/>
      <c r="EKP1177"/>
      <c r="EKQ1177"/>
      <c r="EKR1177"/>
      <c r="EKS1177"/>
      <c r="EKT1177"/>
      <c r="EKU1177"/>
      <c r="EKV1177"/>
      <c r="EKW1177"/>
      <c r="EKX1177"/>
      <c r="EKY1177"/>
      <c r="EKZ1177"/>
      <c r="ELA1177"/>
      <c r="ELB1177"/>
      <c r="ELC1177"/>
      <c r="ELD1177"/>
      <c r="ELE1177"/>
      <c r="ELF1177"/>
      <c r="ELG1177"/>
      <c r="ELH1177"/>
      <c r="ELI1177"/>
      <c r="ELJ1177"/>
      <c r="ELK1177"/>
      <c r="ELL1177"/>
      <c r="ELM1177"/>
      <c r="ELN1177"/>
      <c r="ELO1177"/>
      <c r="ELP1177"/>
      <c r="ELQ1177"/>
      <c r="ELR1177"/>
      <c r="ELS1177"/>
      <c r="ELT1177"/>
      <c r="ELU1177"/>
      <c r="ELV1177"/>
      <c r="ELW1177"/>
      <c r="ELX1177"/>
      <c r="ELY1177"/>
      <c r="ELZ1177"/>
      <c r="EMA1177"/>
      <c r="EMB1177"/>
      <c r="EMC1177"/>
      <c r="EMD1177"/>
      <c r="EME1177"/>
      <c r="EMF1177"/>
      <c r="EMG1177"/>
      <c r="EMH1177"/>
      <c r="EMI1177"/>
      <c r="EMJ1177"/>
      <c r="EMK1177"/>
      <c r="EML1177"/>
      <c r="EMM1177"/>
      <c r="EMN1177"/>
      <c r="EMO1177"/>
      <c r="EMP1177"/>
      <c r="EMQ1177"/>
      <c r="EMR1177"/>
      <c r="EMS1177"/>
      <c r="EMT1177"/>
      <c r="EMU1177"/>
      <c r="EMV1177"/>
      <c r="EMW1177"/>
      <c r="EMX1177"/>
      <c r="EMY1177"/>
      <c r="EMZ1177"/>
      <c r="ENA1177"/>
      <c r="ENB1177"/>
      <c r="ENC1177"/>
      <c r="END1177"/>
      <c r="ENE1177"/>
      <c r="ENF1177"/>
      <c r="ENG1177"/>
      <c r="ENH1177"/>
      <c r="ENI1177"/>
      <c r="ENJ1177"/>
      <c r="ENK1177"/>
      <c r="ENL1177"/>
      <c r="ENM1177"/>
      <c r="ENN1177"/>
      <c r="ENO1177"/>
      <c r="ENP1177"/>
      <c r="ENQ1177"/>
      <c r="ENR1177"/>
      <c r="ENS1177"/>
      <c r="ENT1177"/>
      <c r="ENU1177"/>
      <c r="ENV1177"/>
      <c r="ENW1177"/>
      <c r="ENX1177"/>
      <c r="ENY1177"/>
      <c r="ENZ1177"/>
      <c r="EOA1177"/>
      <c r="EOB1177"/>
      <c r="EOC1177"/>
      <c r="EOD1177"/>
      <c r="EOE1177"/>
      <c r="EOF1177"/>
      <c r="EOG1177"/>
      <c r="EOH1177"/>
      <c r="EOI1177"/>
      <c r="EOJ1177"/>
      <c r="EOK1177"/>
      <c r="EOL1177"/>
      <c r="EOM1177"/>
      <c r="EON1177"/>
      <c r="EOO1177"/>
      <c r="EOP1177"/>
      <c r="EOQ1177"/>
      <c r="EOR1177"/>
      <c r="EOS1177"/>
      <c r="EOT1177"/>
      <c r="EOU1177"/>
      <c r="EOV1177"/>
      <c r="EOW1177"/>
      <c r="EOX1177"/>
      <c r="EOY1177"/>
      <c r="EOZ1177"/>
      <c r="EPA1177"/>
      <c r="EPB1177"/>
      <c r="EPC1177"/>
      <c r="EPD1177"/>
      <c r="EPE1177"/>
      <c r="EPF1177"/>
      <c r="EPG1177"/>
      <c r="EPH1177"/>
      <c r="EPI1177"/>
      <c r="EPJ1177"/>
      <c r="EPK1177"/>
      <c r="EPL1177"/>
      <c r="EPM1177"/>
      <c r="EPN1177"/>
      <c r="EPO1177"/>
      <c r="EPP1177"/>
      <c r="EPQ1177"/>
      <c r="EPR1177"/>
      <c r="EPS1177"/>
      <c r="EPT1177"/>
      <c r="EPU1177"/>
      <c r="EPV1177"/>
      <c r="EPW1177"/>
      <c r="EPX1177"/>
      <c r="EPY1177"/>
      <c r="EPZ1177"/>
      <c r="EQA1177"/>
      <c r="EQB1177"/>
      <c r="EQC1177"/>
      <c r="EQD1177"/>
      <c r="EQE1177"/>
      <c r="EQF1177"/>
      <c r="EQG1177"/>
      <c r="EQH1177"/>
      <c r="EQI1177"/>
      <c r="EQJ1177"/>
      <c r="EQK1177"/>
      <c r="EQL1177"/>
      <c r="EQM1177"/>
      <c r="EQN1177"/>
      <c r="EQO1177"/>
      <c r="EQP1177"/>
      <c r="EQQ1177"/>
      <c r="EQR1177"/>
      <c r="EQS1177"/>
      <c r="EQT1177"/>
      <c r="EQU1177"/>
      <c r="EQV1177"/>
      <c r="EQW1177"/>
      <c r="EQX1177"/>
      <c r="EQY1177"/>
      <c r="EQZ1177"/>
      <c r="ERA1177"/>
      <c r="ERB1177"/>
      <c r="ERC1177"/>
      <c r="ERD1177"/>
      <c r="ERE1177"/>
      <c r="ERF1177"/>
      <c r="ERG1177"/>
      <c r="ERH1177"/>
      <c r="ERI1177"/>
      <c r="ERJ1177"/>
      <c r="ERK1177"/>
      <c r="ERL1177"/>
      <c r="ERM1177"/>
      <c r="ERN1177"/>
      <c r="ERO1177"/>
      <c r="ERP1177"/>
      <c r="ERQ1177"/>
      <c r="ERR1177"/>
      <c r="ERS1177"/>
      <c r="ERT1177"/>
      <c r="ERU1177"/>
      <c r="ERV1177"/>
      <c r="ERW1177"/>
      <c r="ERX1177"/>
      <c r="ERY1177"/>
      <c r="ERZ1177"/>
      <c r="ESA1177"/>
      <c r="ESB1177"/>
      <c r="ESC1177"/>
      <c r="ESD1177"/>
      <c r="ESE1177"/>
      <c r="ESF1177"/>
      <c r="ESG1177"/>
      <c r="ESH1177"/>
      <c r="ESI1177"/>
      <c r="ESJ1177"/>
      <c r="ESK1177"/>
      <c r="ESL1177"/>
      <c r="ESM1177"/>
      <c r="ESN1177"/>
      <c r="ESO1177"/>
      <c r="ESP1177"/>
      <c r="ESQ1177"/>
      <c r="ESR1177"/>
      <c r="ESS1177"/>
      <c r="EST1177"/>
      <c r="ESU1177"/>
      <c r="ESV1177"/>
      <c r="ESW1177"/>
      <c r="ESX1177"/>
      <c r="ESY1177"/>
      <c r="ESZ1177"/>
      <c r="ETA1177"/>
      <c r="ETB1177"/>
      <c r="ETC1177"/>
      <c r="ETD1177"/>
      <c r="ETE1177"/>
      <c r="ETF1177"/>
      <c r="ETG1177"/>
      <c r="ETH1177"/>
      <c r="ETI1177"/>
      <c r="ETJ1177"/>
      <c r="ETK1177"/>
      <c r="ETL1177"/>
      <c r="ETM1177"/>
      <c r="ETN1177"/>
      <c r="ETO1177"/>
      <c r="ETP1177"/>
      <c r="ETQ1177"/>
      <c r="ETR1177"/>
      <c r="ETS1177"/>
      <c r="ETT1177"/>
      <c r="ETU1177"/>
      <c r="ETV1177"/>
      <c r="ETW1177"/>
      <c r="ETX1177"/>
      <c r="ETY1177"/>
      <c r="ETZ1177"/>
      <c r="EUA1177"/>
      <c r="EUB1177"/>
      <c r="EUC1177"/>
      <c r="EUD1177"/>
      <c r="EUE1177"/>
      <c r="EUF1177"/>
      <c r="EUG1177"/>
      <c r="EUH1177"/>
      <c r="EUI1177"/>
      <c r="EUJ1177"/>
      <c r="EUK1177"/>
      <c r="EUL1177"/>
      <c r="EUM1177"/>
      <c r="EUN1177"/>
      <c r="EUO1177"/>
      <c r="EUP1177"/>
      <c r="EUQ1177"/>
      <c r="EUR1177"/>
      <c r="EUS1177"/>
      <c r="EUT1177"/>
      <c r="EUU1177"/>
      <c r="EUV1177"/>
      <c r="EUW1177"/>
      <c r="EUX1177"/>
      <c r="EUY1177"/>
      <c r="EUZ1177"/>
      <c r="EVA1177"/>
      <c r="EVB1177"/>
      <c r="EVC1177"/>
      <c r="EVD1177"/>
      <c r="EVE1177"/>
      <c r="EVF1177"/>
      <c r="EVG1177"/>
      <c r="EVH1177"/>
      <c r="EVI1177"/>
      <c r="EVJ1177"/>
      <c r="EVK1177"/>
      <c r="EVL1177"/>
      <c r="EVM1177"/>
      <c r="EVN1177"/>
      <c r="EVO1177"/>
      <c r="EVP1177"/>
      <c r="EVQ1177"/>
      <c r="EVR1177"/>
      <c r="EVS1177"/>
      <c r="EVT1177"/>
      <c r="EVU1177"/>
      <c r="EVV1177"/>
      <c r="EVW1177"/>
      <c r="EVX1177"/>
      <c r="EVY1177"/>
      <c r="EVZ1177"/>
      <c r="EWA1177"/>
      <c r="EWB1177"/>
      <c r="EWC1177"/>
      <c r="EWD1177"/>
      <c r="EWE1177"/>
      <c r="EWF1177"/>
      <c r="EWG1177"/>
      <c r="EWH1177"/>
      <c r="EWI1177"/>
      <c r="EWJ1177"/>
      <c r="EWK1177"/>
      <c r="EWL1177"/>
      <c r="EWM1177"/>
      <c r="EWN1177"/>
      <c r="EWO1177"/>
      <c r="EWP1177"/>
      <c r="EWQ1177"/>
      <c r="EWR1177"/>
      <c r="EWS1177"/>
      <c r="EWT1177"/>
      <c r="EWU1177"/>
      <c r="EWV1177"/>
      <c r="EWW1177"/>
      <c r="EWX1177"/>
      <c r="EWY1177"/>
      <c r="EWZ1177"/>
      <c r="EXA1177"/>
      <c r="EXB1177"/>
      <c r="EXC1177"/>
      <c r="EXD1177"/>
      <c r="EXE1177"/>
      <c r="EXF1177"/>
      <c r="EXG1177"/>
      <c r="EXH1177"/>
      <c r="EXI1177"/>
      <c r="EXJ1177"/>
      <c r="EXK1177"/>
      <c r="EXL1177"/>
      <c r="EXM1177"/>
      <c r="EXN1177"/>
      <c r="EXO1177"/>
      <c r="EXP1177"/>
      <c r="EXQ1177"/>
      <c r="EXR1177"/>
      <c r="EXS1177"/>
      <c r="EXT1177"/>
      <c r="EXU1177"/>
      <c r="EXV1177"/>
      <c r="EXW1177"/>
      <c r="EXX1177"/>
      <c r="EXY1177"/>
      <c r="EXZ1177"/>
      <c r="EYA1177"/>
      <c r="EYB1177"/>
      <c r="EYC1177"/>
      <c r="EYD1177"/>
      <c r="EYE1177"/>
      <c r="EYF1177"/>
      <c r="EYG1177"/>
      <c r="EYH1177"/>
      <c r="EYI1177"/>
      <c r="EYJ1177"/>
      <c r="EYK1177"/>
      <c r="EYL1177"/>
      <c r="EYM1177"/>
      <c r="EYN1177"/>
      <c r="EYO1177"/>
      <c r="EYP1177"/>
      <c r="EYQ1177"/>
      <c r="EYR1177"/>
      <c r="EYS1177"/>
      <c r="EYT1177"/>
      <c r="EYU1177"/>
      <c r="EYV1177"/>
      <c r="EYW1177"/>
      <c r="EYX1177"/>
      <c r="EYY1177"/>
      <c r="EYZ1177"/>
      <c r="EZA1177"/>
      <c r="EZB1177"/>
      <c r="EZC1177"/>
      <c r="EZD1177"/>
      <c r="EZE1177"/>
      <c r="EZF1177"/>
      <c r="EZG1177"/>
      <c r="EZH1177"/>
      <c r="EZI1177"/>
      <c r="EZJ1177"/>
      <c r="EZK1177"/>
      <c r="EZL1177"/>
      <c r="EZM1177"/>
      <c r="EZN1177"/>
      <c r="EZO1177"/>
      <c r="EZP1177"/>
      <c r="EZQ1177"/>
      <c r="EZR1177"/>
      <c r="EZS1177"/>
      <c r="EZT1177"/>
      <c r="EZU1177"/>
      <c r="EZV1177"/>
      <c r="EZW1177"/>
      <c r="EZX1177"/>
      <c r="EZY1177"/>
      <c r="EZZ1177"/>
      <c r="FAA1177"/>
      <c r="FAB1177"/>
      <c r="FAC1177"/>
      <c r="FAD1177"/>
      <c r="FAE1177"/>
      <c r="FAF1177"/>
      <c r="FAG1177"/>
      <c r="FAH1177"/>
      <c r="FAI1177"/>
      <c r="FAJ1177"/>
      <c r="FAK1177"/>
      <c r="FAL1177"/>
      <c r="FAM1177"/>
      <c r="FAN1177"/>
      <c r="FAO1177"/>
      <c r="FAP1177"/>
      <c r="FAQ1177"/>
      <c r="FAR1177"/>
      <c r="FAS1177"/>
      <c r="FAT1177"/>
      <c r="FAU1177"/>
      <c r="FAV1177"/>
      <c r="FAW1177"/>
      <c r="FAX1177"/>
      <c r="FAY1177"/>
      <c r="FAZ1177"/>
      <c r="FBA1177"/>
      <c r="FBB1177"/>
      <c r="FBC1177"/>
      <c r="FBD1177"/>
      <c r="FBE1177"/>
      <c r="FBF1177"/>
      <c r="FBG1177"/>
      <c r="FBH1177"/>
      <c r="FBI1177"/>
      <c r="FBJ1177"/>
      <c r="FBK1177"/>
      <c r="FBL1177"/>
      <c r="FBM1177"/>
      <c r="FBN1177"/>
      <c r="FBO1177"/>
      <c r="FBP1177"/>
      <c r="FBQ1177"/>
      <c r="FBR1177"/>
      <c r="FBS1177"/>
      <c r="FBT1177"/>
      <c r="FBU1177"/>
      <c r="FBV1177"/>
      <c r="FBW1177"/>
      <c r="FBX1177"/>
      <c r="FBY1177"/>
      <c r="FBZ1177"/>
      <c r="FCA1177"/>
      <c r="FCB1177"/>
      <c r="FCC1177"/>
      <c r="FCD1177"/>
      <c r="FCE1177"/>
      <c r="FCF1177"/>
      <c r="FCG1177"/>
      <c r="FCH1177"/>
      <c r="FCI1177"/>
      <c r="FCJ1177"/>
      <c r="FCK1177"/>
      <c r="FCL1177"/>
      <c r="FCM1177"/>
      <c r="FCN1177"/>
      <c r="FCO1177"/>
      <c r="FCP1177"/>
      <c r="FCQ1177"/>
      <c r="FCR1177"/>
      <c r="FCS1177"/>
      <c r="FCT1177"/>
      <c r="FCU1177"/>
      <c r="FCV1177"/>
      <c r="FCW1177"/>
      <c r="FCX1177"/>
      <c r="FCY1177"/>
      <c r="FCZ1177"/>
      <c r="FDA1177"/>
      <c r="FDB1177"/>
      <c r="FDC1177"/>
      <c r="FDD1177"/>
      <c r="FDE1177"/>
      <c r="FDF1177"/>
      <c r="FDG1177"/>
      <c r="FDH1177"/>
      <c r="FDI1177"/>
      <c r="FDJ1177"/>
      <c r="FDK1177"/>
      <c r="FDL1177"/>
      <c r="FDM1177"/>
      <c r="FDN1177"/>
      <c r="FDO1177"/>
      <c r="FDP1177"/>
      <c r="FDQ1177"/>
      <c r="FDR1177"/>
      <c r="FDS1177"/>
      <c r="FDT1177"/>
      <c r="FDU1177"/>
      <c r="FDV1177"/>
      <c r="FDW1177"/>
      <c r="FDX1177"/>
      <c r="FDY1177"/>
      <c r="FDZ1177"/>
      <c r="FEA1177"/>
      <c r="FEB1177"/>
      <c r="FEC1177"/>
      <c r="FED1177"/>
      <c r="FEE1177"/>
      <c r="FEF1177"/>
      <c r="FEG1177"/>
      <c r="FEH1177"/>
      <c r="FEI1177"/>
      <c r="FEJ1177"/>
      <c r="FEK1177"/>
      <c r="FEL1177"/>
      <c r="FEM1177"/>
      <c r="FEN1177"/>
      <c r="FEO1177"/>
      <c r="FEP1177"/>
      <c r="FEQ1177"/>
      <c r="FER1177"/>
      <c r="FES1177"/>
      <c r="FET1177"/>
      <c r="FEU1177"/>
      <c r="FEV1177"/>
      <c r="FEW1177"/>
      <c r="FEX1177"/>
      <c r="FEY1177"/>
      <c r="FEZ1177"/>
      <c r="FFA1177"/>
      <c r="FFB1177"/>
      <c r="FFC1177"/>
      <c r="FFD1177"/>
      <c r="FFE1177"/>
      <c r="FFF1177"/>
      <c r="FFG1177"/>
      <c r="FFH1177"/>
      <c r="FFI1177"/>
      <c r="FFJ1177"/>
      <c r="FFK1177"/>
      <c r="FFL1177"/>
      <c r="FFM1177"/>
      <c r="FFN1177"/>
      <c r="FFO1177"/>
      <c r="FFP1177"/>
      <c r="FFQ1177"/>
      <c r="FFR1177"/>
      <c r="FFS1177"/>
      <c r="FFT1177"/>
      <c r="FFU1177"/>
      <c r="FFV1177"/>
      <c r="FFW1177"/>
      <c r="FFX1177"/>
      <c r="FFY1177"/>
      <c r="FFZ1177"/>
      <c r="FGA1177"/>
      <c r="FGB1177"/>
      <c r="FGC1177"/>
      <c r="FGD1177"/>
      <c r="FGE1177"/>
      <c r="FGF1177"/>
      <c r="FGG1177"/>
      <c r="FGH1177"/>
      <c r="FGI1177"/>
      <c r="FGJ1177"/>
      <c r="FGK1177"/>
      <c r="FGL1177"/>
      <c r="FGM1177"/>
      <c r="FGN1177"/>
      <c r="FGO1177"/>
      <c r="FGP1177"/>
      <c r="FGQ1177"/>
      <c r="FGR1177"/>
      <c r="FGS1177"/>
      <c r="FGT1177"/>
      <c r="FGU1177"/>
      <c r="FGV1177"/>
      <c r="FGW1177"/>
      <c r="FGX1177"/>
      <c r="FGY1177"/>
      <c r="FGZ1177"/>
      <c r="FHA1177"/>
      <c r="FHB1177"/>
      <c r="FHC1177"/>
      <c r="FHD1177"/>
      <c r="FHE1177"/>
      <c r="FHF1177"/>
      <c r="FHG1177"/>
      <c r="FHH1177"/>
      <c r="FHI1177"/>
      <c r="FHJ1177"/>
      <c r="FHK1177"/>
      <c r="FHL1177"/>
      <c r="FHM1177"/>
      <c r="FHN1177"/>
      <c r="FHO1177"/>
      <c r="FHP1177"/>
      <c r="FHQ1177"/>
      <c r="FHR1177"/>
      <c r="FHS1177"/>
      <c r="FHT1177"/>
      <c r="FHU1177"/>
      <c r="FHV1177"/>
      <c r="FHW1177"/>
      <c r="FHX1177"/>
      <c r="FHY1177"/>
      <c r="FHZ1177"/>
      <c r="FIA1177"/>
      <c r="FIB1177"/>
      <c r="FIC1177"/>
      <c r="FID1177"/>
      <c r="FIE1177"/>
      <c r="FIF1177"/>
      <c r="FIG1177"/>
      <c r="FIH1177"/>
      <c r="FII1177"/>
      <c r="FIJ1177"/>
      <c r="FIK1177"/>
      <c r="FIL1177"/>
      <c r="FIM1177"/>
      <c r="FIN1177"/>
      <c r="FIO1177"/>
      <c r="FIP1177"/>
      <c r="FIQ1177"/>
      <c r="FIR1177"/>
      <c r="FIS1177"/>
      <c r="FIT1177"/>
      <c r="FIU1177"/>
      <c r="FIV1177"/>
      <c r="FIW1177"/>
      <c r="FIX1177"/>
      <c r="FIY1177"/>
      <c r="FIZ1177"/>
      <c r="FJA1177"/>
      <c r="FJB1177"/>
      <c r="FJC1177"/>
      <c r="FJD1177"/>
      <c r="FJE1177"/>
      <c r="FJF1177"/>
      <c r="FJG1177"/>
      <c r="FJH1177"/>
      <c r="FJI1177"/>
      <c r="FJJ1177"/>
      <c r="FJK1177"/>
      <c r="FJL1177"/>
      <c r="FJM1177"/>
      <c r="FJN1177"/>
      <c r="FJO1177"/>
      <c r="FJP1177"/>
      <c r="FJQ1177"/>
      <c r="FJR1177"/>
      <c r="FJS1177"/>
      <c r="FJT1177"/>
      <c r="FJU1177"/>
      <c r="FJV1177"/>
      <c r="FJW1177"/>
      <c r="FJX1177"/>
      <c r="FJY1177"/>
      <c r="FJZ1177"/>
      <c r="FKA1177"/>
      <c r="FKB1177"/>
      <c r="FKC1177"/>
      <c r="FKD1177"/>
      <c r="FKE1177"/>
      <c r="FKF1177"/>
      <c r="FKG1177"/>
      <c r="FKH1177"/>
      <c r="FKI1177"/>
      <c r="FKJ1177"/>
      <c r="FKK1177"/>
      <c r="FKL1177"/>
      <c r="FKM1177"/>
      <c r="FKN1177"/>
      <c r="FKO1177"/>
      <c r="FKP1177"/>
      <c r="FKQ1177"/>
      <c r="FKR1177"/>
      <c r="FKS1177"/>
      <c r="FKT1177"/>
      <c r="FKU1177"/>
      <c r="FKV1177"/>
      <c r="FKW1177"/>
      <c r="FKX1177"/>
      <c r="FKY1177"/>
      <c r="FKZ1177"/>
      <c r="FLA1177"/>
      <c r="FLB1177"/>
      <c r="FLC1177"/>
      <c r="FLD1177"/>
      <c r="FLE1177"/>
      <c r="FLF1177"/>
      <c r="FLG1177"/>
      <c r="FLH1177"/>
      <c r="FLI1177"/>
      <c r="FLJ1177"/>
      <c r="FLK1177"/>
      <c r="FLL1177"/>
      <c r="FLM1177"/>
      <c r="FLN1177"/>
      <c r="FLO1177"/>
      <c r="FLP1177"/>
      <c r="FLQ1177"/>
      <c r="FLR1177"/>
      <c r="FLS1177"/>
      <c r="FLT1177"/>
      <c r="FLU1177"/>
      <c r="FLV1177"/>
      <c r="FLW1177"/>
      <c r="FLX1177"/>
      <c r="FLY1177"/>
      <c r="FLZ1177"/>
      <c r="FMA1177"/>
      <c r="FMB1177"/>
      <c r="FMC1177"/>
      <c r="FMD1177"/>
      <c r="FME1177"/>
      <c r="FMF1177"/>
      <c r="FMG1177"/>
      <c r="FMH1177"/>
      <c r="FMI1177"/>
      <c r="FMJ1177"/>
      <c r="FMK1177"/>
      <c r="FML1177"/>
      <c r="FMM1177"/>
      <c r="FMN1177"/>
      <c r="FMO1177"/>
      <c r="FMP1177"/>
      <c r="FMQ1177"/>
      <c r="FMR1177"/>
      <c r="FMS1177"/>
      <c r="FMT1177"/>
      <c r="FMU1177"/>
      <c r="FMV1177"/>
      <c r="FMW1177"/>
      <c r="FMX1177"/>
      <c r="FMY1177"/>
      <c r="FMZ1177"/>
      <c r="FNA1177"/>
      <c r="FNB1177"/>
      <c r="FNC1177"/>
      <c r="FND1177"/>
      <c r="FNE1177"/>
      <c r="FNF1177"/>
      <c r="FNG1177"/>
      <c r="FNH1177"/>
      <c r="FNI1177"/>
      <c r="FNJ1177"/>
      <c r="FNK1177"/>
      <c r="FNL1177"/>
      <c r="FNM1177"/>
      <c r="FNN1177"/>
      <c r="FNO1177"/>
      <c r="FNP1177"/>
      <c r="FNQ1177"/>
      <c r="FNR1177"/>
      <c r="FNS1177"/>
      <c r="FNT1177"/>
      <c r="FNU1177"/>
      <c r="FNV1177"/>
      <c r="FNW1177"/>
      <c r="FNX1177"/>
      <c r="FNY1177"/>
      <c r="FNZ1177"/>
      <c r="FOA1177"/>
      <c r="FOB1177"/>
      <c r="FOC1177"/>
      <c r="FOD1177"/>
      <c r="FOE1177"/>
      <c r="FOF1177"/>
      <c r="FOG1177"/>
      <c r="FOH1177"/>
      <c r="FOI1177"/>
      <c r="FOJ1177"/>
      <c r="FOK1177"/>
      <c r="FOL1177"/>
      <c r="FOM1177"/>
      <c r="FON1177"/>
      <c r="FOO1177"/>
      <c r="FOP1177"/>
      <c r="FOQ1177"/>
      <c r="FOR1177"/>
      <c r="FOS1177"/>
      <c r="FOT1177"/>
      <c r="FOU1177"/>
      <c r="FOV1177"/>
      <c r="FOW1177"/>
      <c r="FOX1177"/>
      <c r="FOY1177"/>
      <c r="FOZ1177"/>
      <c r="FPA1177"/>
      <c r="FPB1177"/>
      <c r="FPC1177"/>
      <c r="FPD1177"/>
      <c r="FPE1177"/>
      <c r="FPF1177"/>
      <c r="FPG1177"/>
      <c r="FPH1177"/>
      <c r="FPI1177"/>
      <c r="FPJ1177"/>
      <c r="FPK1177"/>
      <c r="FPL1177"/>
      <c r="FPM1177"/>
      <c r="FPN1177"/>
      <c r="FPO1177"/>
      <c r="FPP1177"/>
      <c r="FPQ1177"/>
      <c r="FPR1177"/>
      <c r="FPS1177"/>
      <c r="FPT1177"/>
      <c r="FPU1177"/>
      <c r="FPV1177"/>
      <c r="FPW1177"/>
      <c r="FPX1177"/>
      <c r="FPY1177"/>
      <c r="FPZ1177"/>
      <c r="FQA1177"/>
      <c r="FQB1177"/>
      <c r="FQC1177"/>
      <c r="FQD1177"/>
      <c r="FQE1177"/>
      <c r="FQF1177"/>
      <c r="FQG1177"/>
      <c r="FQH1177"/>
      <c r="FQI1177"/>
      <c r="FQJ1177"/>
      <c r="FQK1177"/>
      <c r="FQL1177"/>
      <c r="FQM1177"/>
      <c r="FQN1177"/>
      <c r="FQO1177"/>
      <c r="FQP1177"/>
      <c r="FQQ1177"/>
      <c r="FQR1177"/>
      <c r="FQS1177"/>
      <c r="FQT1177"/>
      <c r="FQU1177"/>
      <c r="FQV1177"/>
      <c r="FQW1177"/>
      <c r="FQX1177"/>
      <c r="FQY1177"/>
      <c r="FQZ1177"/>
      <c r="FRA1177"/>
      <c r="FRB1177"/>
      <c r="FRC1177"/>
      <c r="FRD1177"/>
      <c r="FRE1177"/>
      <c r="FRF1177"/>
      <c r="FRG1177"/>
      <c r="FRH1177"/>
      <c r="FRI1177"/>
      <c r="FRJ1177"/>
      <c r="FRK1177"/>
      <c r="FRL1177"/>
      <c r="FRM1177"/>
      <c r="FRN1177"/>
      <c r="FRO1177"/>
      <c r="FRP1177"/>
      <c r="FRQ1177"/>
      <c r="FRR1177"/>
      <c r="FRS1177"/>
      <c r="FRT1177"/>
      <c r="FRU1177"/>
      <c r="FRV1177"/>
      <c r="FRW1177"/>
      <c r="FRX1177"/>
      <c r="FRY1177"/>
      <c r="FRZ1177"/>
      <c r="FSA1177"/>
      <c r="FSB1177"/>
      <c r="FSC1177"/>
      <c r="FSD1177"/>
      <c r="FSE1177"/>
      <c r="FSF1177"/>
      <c r="FSG1177"/>
      <c r="FSH1177"/>
      <c r="FSI1177"/>
      <c r="FSJ1177"/>
      <c r="FSK1177"/>
      <c r="FSL1177"/>
      <c r="FSM1177"/>
      <c r="FSN1177"/>
      <c r="FSO1177"/>
      <c r="FSP1177"/>
      <c r="FSQ1177"/>
      <c r="FSR1177"/>
      <c r="FSS1177"/>
      <c r="FST1177"/>
      <c r="FSU1177"/>
      <c r="FSV1177"/>
      <c r="FSW1177"/>
      <c r="FSX1177"/>
      <c r="FSY1177"/>
      <c r="FSZ1177"/>
      <c r="FTA1177"/>
      <c r="FTB1177"/>
      <c r="FTC1177"/>
      <c r="FTD1177"/>
      <c r="FTE1177"/>
      <c r="FTF1177"/>
      <c r="FTG1177"/>
      <c r="FTH1177"/>
      <c r="FTI1177"/>
      <c r="FTJ1177"/>
      <c r="FTK1177"/>
      <c r="FTL1177"/>
      <c r="FTM1177"/>
      <c r="FTN1177"/>
      <c r="FTO1177"/>
      <c r="FTP1177"/>
      <c r="FTQ1177"/>
      <c r="FTR1177"/>
      <c r="FTS1177"/>
      <c r="FTT1177"/>
      <c r="FTU1177"/>
      <c r="FTV1177"/>
      <c r="FTW1177"/>
      <c r="FTX1177"/>
      <c r="FTY1177"/>
      <c r="FTZ1177"/>
      <c r="FUA1177"/>
      <c r="FUB1177"/>
      <c r="FUC1177"/>
      <c r="FUD1177"/>
      <c r="FUE1177"/>
      <c r="FUF1177"/>
      <c r="FUG1177"/>
      <c r="FUH1177"/>
      <c r="FUI1177"/>
      <c r="FUJ1177"/>
      <c r="FUK1177"/>
      <c r="FUL1177"/>
      <c r="FUM1177"/>
      <c r="FUN1177"/>
      <c r="FUO1177"/>
      <c r="FUP1177"/>
      <c r="FUQ1177"/>
      <c r="FUR1177"/>
      <c r="FUS1177"/>
      <c r="FUT1177"/>
      <c r="FUU1177"/>
      <c r="FUV1177"/>
      <c r="FUW1177"/>
      <c r="FUX1177"/>
      <c r="FUY1177"/>
      <c r="FUZ1177"/>
      <c r="FVA1177"/>
      <c r="FVB1177"/>
      <c r="FVC1177"/>
      <c r="FVD1177"/>
      <c r="FVE1177"/>
      <c r="FVF1177"/>
      <c r="FVG1177"/>
      <c r="FVH1177"/>
      <c r="FVI1177"/>
      <c r="FVJ1177"/>
      <c r="FVK1177"/>
      <c r="FVL1177"/>
      <c r="FVM1177"/>
      <c r="FVN1177"/>
      <c r="FVO1177"/>
      <c r="FVP1177"/>
      <c r="FVQ1177"/>
      <c r="FVR1177"/>
      <c r="FVS1177"/>
      <c r="FVT1177"/>
      <c r="FVU1177"/>
      <c r="FVV1177"/>
      <c r="FVW1177"/>
      <c r="FVX1177"/>
      <c r="FVY1177"/>
      <c r="FVZ1177"/>
      <c r="FWA1177"/>
      <c r="FWB1177"/>
      <c r="FWC1177"/>
      <c r="FWD1177"/>
      <c r="FWE1177"/>
      <c r="FWF1177"/>
      <c r="FWG1177"/>
      <c r="FWH1177"/>
      <c r="FWI1177"/>
      <c r="FWJ1177"/>
      <c r="FWK1177"/>
      <c r="FWL1177"/>
      <c r="FWM1177"/>
      <c r="FWN1177"/>
      <c r="FWO1177"/>
      <c r="FWP1177"/>
      <c r="FWQ1177"/>
      <c r="FWR1177"/>
      <c r="FWS1177"/>
      <c r="FWT1177"/>
      <c r="FWU1177"/>
      <c r="FWV1177"/>
      <c r="FWW1177"/>
      <c r="FWX1177"/>
      <c r="FWY1177"/>
      <c r="FWZ1177"/>
      <c r="FXA1177"/>
      <c r="FXB1177"/>
      <c r="FXC1177"/>
      <c r="FXD1177"/>
      <c r="FXE1177"/>
      <c r="FXF1177"/>
      <c r="FXG1177"/>
      <c r="FXH1177"/>
      <c r="FXI1177"/>
      <c r="FXJ1177"/>
      <c r="FXK1177"/>
      <c r="FXL1177"/>
      <c r="FXM1177"/>
      <c r="FXN1177"/>
      <c r="FXO1177"/>
      <c r="FXP1177"/>
      <c r="FXQ1177"/>
      <c r="FXR1177"/>
      <c r="FXS1177"/>
      <c r="FXT1177"/>
      <c r="FXU1177"/>
      <c r="FXV1177"/>
      <c r="FXW1177"/>
      <c r="FXX1177"/>
      <c r="FXY1177"/>
      <c r="FXZ1177"/>
      <c r="FYA1177"/>
      <c r="FYB1177"/>
      <c r="FYC1177"/>
      <c r="FYD1177"/>
      <c r="FYE1177"/>
      <c r="FYF1177"/>
      <c r="FYG1177"/>
      <c r="FYH1177"/>
      <c r="FYI1177"/>
      <c r="FYJ1177"/>
      <c r="FYK1177"/>
      <c r="FYL1177"/>
      <c r="FYM1177"/>
      <c r="FYN1177"/>
      <c r="FYO1177"/>
      <c r="FYP1177"/>
      <c r="FYQ1177"/>
      <c r="FYR1177"/>
      <c r="FYS1177"/>
      <c r="FYT1177"/>
      <c r="FYU1177"/>
      <c r="FYV1177"/>
      <c r="FYW1177"/>
      <c r="FYX1177"/>
      <c r="FYY1177"/>
      <c r="FYZ1177"/>
      <c r="FZA1177"/>
      <c r="FZB1177"/>
      <c r="FZC1177"/>
      <c r="FZD1177"/>
      <c r="FZE1177"/>
      <c r="FZF1177"/>
      <c r="FZG1177"/>
      <c r="FZH1177"/>
      <c r="FZI1177"/>
      <c r="FZJ1177"/>
      <c r="FZK1177"/>
      <c r="FZL1177"/>
      <c r="FZM1177"/>
      <c r="FZN1177"/>
      <c r="FZO1177"/>
      <c r="FZP1177"/>
      <c r="FZQ1177"/>
      <c r="FZR1177"/>
      <c r="FZS1177"/>
      <c r="FZT1177"/>
      <c r="FZU1177"/>
      <c r="FZV1177"/>
      <c r="FZW1177"/>
      <c r="FZX1177"/>
      <c r="FZY1177"/>
      <c r="FZZ1177"/>
      <c r="GAA1177"/>
      <c r="GAB1177"/>
      <c r="GAC1177"/>
      <c r="GAD1177"/>
      <c r="GAE1177"/>
      <c r="GAF1177"/>
      <c r="GAG1177"/>
      <c r="GAH1177"/>
      <c r="GAI1177"/>
      <c r="GAJ1177"/>
      <c r="GAK1177"/>
      <c r="GAL1177"/>
      <c r="GAM1177"/>
      <c r="GAN1177"/>
      <c r="GAO1177"/>
      <c r="GAP1177"/>
      <c r="GAQ1177"/>
      <c r="GAR1177"/>
      <c r="GAS1177"/>
      <c r="GAT1177"/>
      <c r="GAU1177"/>
      <c r="GAV1177"/>
      <c r="GAW1177"/>
      <c r="GAX1177"/>
      <c r="GAY1177"/>
      <c r="GAZ1177"/>
      <c r="GBA1177"/>
      <c r="GBB1177"/>
      <c r="GBC1177"/>
      <c r="GBD1177"/>
      <c r="GBE1177"/>
      <c r="GBF1177"/>
      <c r="GBG1177"/>
      <c r="GBH1177"/>
      <c r="GBI1177"/>
      <c r="GBJ1177"/>
      <c r="GBK1177"/>
      <c r="GBL1177"/>
      <c r="GBM1177"/>
      <c r="GBN1177"/>
      <c r="GBO1177"/>
      <c r="GBP1177"/>
      <c r="GBQ1177"/>
      <c r="GBR1177"/>
      <c r="GBS1177"/>
      <c r="GBT1177"/>
      <c r="GBU1177"/>
      <c r="GBV1177"/>
      <c r="GBW1177"/>
      <c r="GBX1177"/>
      <c r="GBY1177"/>
      <c r="GBZ1177"/>
      <c r="GCA1177"/>
      <c r="GCB1177"/>
      <c r="GCC1177"/>
      <c r="GCD1177"/>
      <c r="GCE1177"/>
      <c r="GCF1177"/>
      <c r="GCG1177"/>
      <c r="GCH1177"/>
      <c r="GCI1177"/>
      <c r="GCJ1177"/>
      <c r="GCK1177"/>
      <c r="GCL1177"/>
      <c r="GCM1177"/>
      <c r="GCN1177"/>
      <c r="GCO1177"/>
      <c r="GCP1177"/>
      <c r="GCQ1177"/>
      <c r="GCR1177"/>
      <c r="GCS1177"/>
      <c r="GCT1177"/>
      <c r="GCU1177"/>
      <c r="GCV1177"/>
      <c r="GCW1177"/>
      <c r="GCX1177"/>
      <c r="GCY1177"/>
      <c r="GCZ1177"/>
      <c r="GDA1177"/>
      <c r="GDB1177"/>
      <c r="GDC1177"/>
      <c r="GDD1177"/>
      <c r="GDE1177"/>
      <c r="GDF1177"/>
      <c r="GDG1177"/>
      <c r="GDH1177"/>
      <c r="GDI1177"/>
      <c r="GDJ1177"/>
      <c r="GDK1177"/>
      <c r="GDL1177"/>
      <c r="GDM1177"/>
      <c r="GDN1177"/>
      <c r="GDO1177"/>
      <c r="GDP1177"/>
      <c r="GDQ1177"/>
      <c r="GDR1177"/>
      <c r="GDS1177"/>
      <c r="GDT1177"/>
      <c r="GDU1177"/>
      <c r="GDV1177"/>
      <c r="GDW1177"/>
      <c r="GDX1177"/>
      <c r="GDY1177"/>
      <c r="GDZ1177"/>
      <c r="GEA1177"/>
      <c r="GEB1177"/>
      <c r="GEC1177"/>
      <c r="GED1177"/>
      <c r="GEE1177"/>
      <c r="GEF1177"/>
      <c r="GEG1177"/>
      <c r="GEH1177"/>
      <c r="GEI1177"/>
      <c r="GEJ1177"/>
      <c r="GEK1177"/>
      <c r="GEL1177"/>
      <c r="GEM1177"/>
      <c r="GEN1177"/>
      <c r="GEO1177"/>
      <c r="GEP1177"/>
      <c r="GEQ1177"/>
      <c r="GER1177"/>
      <c r="GES1177"/>
      <c r="GET1177"/>
      <c r="GEU1177"/>
      <c r="GEV1177"/>
      <c r="GEW1177"/>
      <c r="GEX1177"/>
      <c r="GEY1177"/>
      <c r="GEZ1177"/>
      <c r="GFA1177"/>
      <c r="GFB1177"/>
      <c r="GFC1177"/>
      <c r="GFD1177"/>
      <c r="GFE1177"/>
      <c r="GFF1177"/>
      <c r="GFG1177"/>
      <c r="GFH1177"/>
      <c r="GFI1177"/>
      <c r="GFJ1177"/>
      <c r="GFK1177"/>
      <c r="GFL1177"/>
      <c r="GFM1177"/>
      <c r="GFN1177"/>
      <c r="GFO1177"/>
      <c r="GFP1177"/>
      <c r="GFQ1177"/>
      <c r="GFR1177"/>
      <c r="GFS1177"/>
      <c r="GFT1177"/>
      <c r="GFU1177"/>
      <c r="GFV1177"/>
      <c r="GFW1177"/>
      <c r="GFX1177"/>
      <c r="GFY1177"/>
      <c r="GFZ1177"/>
      <c r="GGA1177"/>
      <c r="GGB1177"/>
      <c r="GGC1177"/>
      <c r="GGD1177"/>
      <c r="GGE1177"/>
      <c r="GGF1177"/>
      <c r="GGG1177"/>
      <c r="GGH1177"/>
      <c r="GGI1177"/>
      <c r="GGJ1177"/>
      <c r="GGK1177"/>
      <c r="GGL1177"/>
      <c r="GGM1177"/>
      <c r="GGN1177"/>
      <c r="GGO1177"/>
      <c r="GGP1177"/>
      <c r="GGQ1177"/>
      <c r="GGR1177"/>
      <c r="GGS1177"/>
      <c r="GGT1177"/>
      <c r="GGU1177"/>
      <c r="GGV1177"/>
      <c r="GGW1177"/>
      <c r="GGX1177"/>
      <c r="GGY1177"/>
      <c r="GGZ1177"/>
      <c r="GHA1177"/>
      <c r="GHB1177"/>
      <c r="GHC1177"/>
      <c r="GHD1177"/>
      <c r="GHE1177"/>
      <c r="GHF1177"/>
      <c r="GHG1177"/>
      <c r="GHH1177"/>
      <c r="GHI1177"/>
      <c r="GHJ1177"/>
      <c r="GHK1177"/>
      <c r="GHL1177"/>
      <c r="GHM1177"/>
      <c r="GHN1177"/>
      <c r="GHO1177"/>
      <c r="GHP1177"/>
      <c r="GHQ1177"/>
      <c r="GHR1177"/>
      <c r="GHS1177"/>
      <c r="GHT1177"/>
      <c r="GHU1177"/>
      <c r="GHV1177"/>
      <c r="GHW1177"/>
      <c r="GHX1177"/>
      <c r="GHY1177"/>
      <c r="GHZ1177"/>
      <c r="GIA1177"/>
      <c r="GIB1177"/>
      <c r="GIC1177"/>
      <c r="GID1177"/>
      <c r="GIE1177"/>
      <c r="GIF1177"/>
      <c r="GIG1177"/>
      <c r="GIH1177"/>
      <c r="GII1177"/>
      <c r="GIJ1177"/>
      <c r="GIK1177"/>
      <c r="GIL1177"/>
      <c r="GIM1177"/>
      <c r="GIN1177"/>
      <c r="GIO1177"/>
      <c r="GIP1177"/>
      <c r="GIQ1177"/>
      <c r="GIR1177"/>
      <c r="GIS1177"/>
      <c r="GIT1177"/>
      <c r="GIU1177"/>
      <c r="GIV1177"/>
      <c r="GIW1177"/>
      <c r="GIX1177"/>
      <c r="GIY1177"/>
      <c r="GIZ1177"/>
      <c r="GJA1177"/>
      <c r="GJB1177"/>
      <c r="GJC1177"/>
      <c r="GJD1177"/>
      <c r="GJE1177"/>
      <c r="GJF1177"/>
      <c r="GJG1177"/>
      <c r="GJH1177"/>
      <c r="GJI1177"/>
      <c r="GJJ1177"/>
      <c r="GJK1177"/>
      <c r="GJL1177"/>
      <c r="GJM1177"/>
      <c r="GJN1177"/>
      <c r="GJO1177"/>
      <c r="GJP1177"/>
      <c r="GJQ1177"/>
      <c r="GJR1177"/>
      <c r="GJS1177"/>
      <c r="GJT1177"/>
      <c r="GJU1177"/>
      <c r="GJV1177"/>
      <c r="GJW1177"/>
      <c r="GJX1177"/>
      <c r="GJY1177"/>
      <c r="GJZ1177"/>
      <c r="GKA1177"/>
      <c r="GKB1177"/>
      <c r="GKC1177"/>
      <c r="GKD1177"/>
      <c r="GKE1177"/>
      <c r="GKF1177"/>
      <c r="GKG1177"/>
      <c r="GKH1177"/>
      <c r="GKI1177"/>
      <c r="GKJ1177"/>
      <c r="GKK1177"/>
      <c r="GKL1177"/>
      <c r="GKM1177"/>
      <c r="GKN1177"/>
      <c r="GKO1177"/>
      <c r="GKP1177"/>
      <c r="GKQ1177"/>
      <c r="GKR1177"/>
      <c r="GKS1177"/>
      <c r="GKT1177"/>
      <c r="GKU1177"/>
      <c r="GKV1177"/>
      <c r="GKW1177"/>
      <c r="GKX1177"/>
      <c r="GKY1177"/>
      <c r="GKZ1177"/>
      <c r="GLA1177"/>
      <c r="GLB1177"/>
      <c r="GLC1177"/>
      <c r="GLD1177"/>
      <c r="GLE1177"/>
      <c r="GLF1177"/>
      <c r="GLG1177"/>
      <c r="GLH1177"/>
      <c r="GLI1177"/>
      <c r="GLJ1177"/>
      <c r="GLK1177"/>
      <c r="GLL1177"/>
      <c r="GLM1177"/>
      <c r="GLN1177"/>
      <c r="GLO1177"/>
      <c r="GLP1177"/>
      <c r="GLQ1177"/>
      <c r="GLR1177"/>
      <c r="GLS1177"/>
      <c r="GLT1177"/>
      <c r="GLU1177"/>
      <c r="GLV1177"/>
      <c r="GLW1177"/>
      <c r="GLX1177"/>
      <c r="GLY1177"/>
      <c r="GLZ1177"/>
      <c r="GMA1177"/>
      <c r="GMB1177"/>
      <c r="GMC1177"/>
      <c r="GMD1177"/>
      <c r="GME1177"/>
      <c r="GMF1177"/>
      <c r="GMG1177"/>
      <c r="GMH1177"/>
      <c r="GMI1177"/>
      <c r="GMJ1177"/>
      <c r="GMK1177"/>
      <c r="GML1177"/>
      <c r="GMM1177"/>
      <c r="GMN1177"/>
      <c r="GMO1177"/>
      <c r="GMP1177"/>
      <c r="GMQ1177"/>
      <c r="GMR1177"/>
      <c r="GMS1177"/>
      <c r="GMT1177"/>
      <c r="GMU1177"/>
      <c r="GMV1177"/>
      <c r="GMW1177"/>
      <c r="GMX1177"/>
      <c r="GMY1177"/>
      <c r="GMZ1177"/>
      <c r="GNA1177"/>
      <c r="GNB1177"/>
      <c r="GNC1177"/>
      <c r="GND1177"/>
      <c r="GNE1177"/>
      <c r="GNF1177"/>
      <c r="GNG1177"/>
      <c r="GNH1177"/>
      <c r="GNI1177"/>
      <c r="GNJ1177"/>
      <c r="GNK1177"/>
      <c r="GNL1177"/>
      <c r="GNM1177"/>
      <c r="GNN1177"/>
      <c r="GNO1177"/>
      <c r="GNP1177"/>
      <c r="GNQ1177"/>
      <c r="GNR1177"/>
      <c r="GNS1177"/>
      <c r="GNT1177"/>
      <c r="GNU1177"/>
      <c r="GNV1177"/>
      <c r="GNW1177"/>
      <c r="GNX1177"/>
      <c r="GNY1177"/>
      <c r="GNZ1177"/>
      <c r="GOA1177"/>
      <c r="GOB1177"/>
      <c r="GOC1177"/>
      <c r="GOD1177"/>
      <c r="GOE1177"/>
      <c r="GOF1177"/>
      <c r="GOG1177"/>
      <c r="GOH1177"/>
      <c r="GOI1177"/>
      <c r="GOJ1177"/>
      <c r="GOK1177"/>
      <c r="GOL1177"/>
      <c r="GOM1177"/>
      <c r="GON1177"/>
      <c r="GOO1177"/>
      <c r="GOP1177"/>
      <c r="GOQ1177"/>
      <c r="GOR1177"/>
      <c r="GOS1177"/>
      <c r="GOT1177"/>
      <c r="GOU1177"/>
      <c r="GOV1177"/>
      <c r="GOW1177"/>
      <c r="GOX1177"/>
      <c r="GOY1177"/>
      <c r="GOZ1177"/>
      <c r="GPA1177"/>
      <c r="GPB1177"/>
      <c r="GPC1177"/>
      <c r="GPD1177"/>
      <c r="GPE1177"/>
      <c r="GPF1177"/>
      <c r="GPG1177"/>
      <c r="GPH1177"/>
      <c r="GPI1177"/>
      <c r="GPJ1177"/>
      <c r="GPK1177"/>
      <c r="GPL1177"/>
      <c r="GPM1177"/>
      <c r="GPN1177"/>
      <c r="GPO1177"/>
      <c r="GPP1177"/>
      <c r="GPQ1177"/>
      <c r="GPR1177"/>
      <c r="GPS1177"/>
      <c r="GPT1177"/>
      <c r="GPU1177"/>
      <c r="GPV1177"/>
      <c r="GPW1177"/>
      <c r="GPX1177"/>
      <c r="GPY1177"/>
      <c r="GPZ1177"/>
      <c r="GQA1177"/>
      <c r="GQB1177"/>
      <c r="GQC1177"/>
      <c r="GQD1177"/>
      <c r="GQE1177"/>
      <c r="GQF1177"/>
      <c r="GQG1177"/>
      <c r="GQH1177"/>
      <c r="GQI1177"/>
      <c r="GQJ1177"/>
      <c r="GQK1177"/>
      <c r="GQL1177"/>
      <c r="GQM1177"/>
      <c r="GQN1177"/>
      <c r="GQO1177"/>
      <c r="GQP1177"/>
      <c r="GQQ1177"/>
      <c r="GQR1177"/>
      <c r="GQS1177"/>
      <c r="GQT1177"/>
      <c r="GQU1177"/>
      <c r="GQV1177"/>
      <c r="GQW1177"/>
      <c r="GQX1177"/>
      <c r="GQY1177"/>
      <c r="GQZ1177"/>
      <c r="GRA1177"/>
      <c r="GRB1177"/>
      <c r="GRC1177"/>
      <c r="GRD1177"/>
      <c r="GRE1177"/>
      <c r="GRF1177"/>
      <c r="GRG1177"/>
      <c r="GRH1177"/>
      <c r="GRI1177"/>
      <c r="GRJ1177"/>
      <c r="GRK1177"/>
      <c r="GRL1177"/>
      <c r="GRM1177"/>
      <c r="GRN1177"/>
      <c r="GRO1177"/>
      <c r="GRP1177"/>
      <c r="GRQ1177"/>
      <c r="GRR1177"/>
      <c r="GRS1177"/>
      <c r="GRT1177"/>
      <c r="GRU1177"/>
      <c r="GRV1177"/>
      <c r="GRW1177"/>
      <c r="GRX1177"/>
      <c r="GRY1177"/>
      <c r="GRZ1177"/>
      <c r="GSA1177"/>
      <c r="GSB1177"/>
      <c r="GSC1177"/>
      <c r="GSD1177"/>
      <c r="GSE1177"/>
      <c r="GSF1177"/>
      <c r="GSG1177"/>
      <c r="GSH1177"/>
      <c r="GSI1177"/>
      <c r="GSJ1177"/>
      <c r="GSK1177"/>
      <c r="GSL1177"/>
      <c r="GSM1177"/>
      <c r="GSN1177"/>
      <c r="GSO1177"/>
      <c r="GSP1177"/>
      <c r="GSQ1177"/>
      <c r="GSR1177"/>
      <c r="GSS1177"/>
      <c r="GST1177"/>
      <c r="GSU1177"/>
      <c r="GSV1177"/>
      <c r="GSW1177"/>
      <c r="GSX1177"/>
      <c r="GSY1177"/>
      <c r="GSZ1177"/>
      <c r="GTA1177"/>
      <c r="GTB1177"/>
      <c r="GTC1177"/>
      <c r="GTD1177"/>
      <c r="GTE1177"/>
      <c r="GTF1177"/>
      <c r="GTG1177"/>
      <c r="GTH1177"/>
      <c r="GTI1177"/>
      <c r="GTJ1177"/>
      <c r="GTK1177"/>
      <c r="GTL1177"/>
      <c r="GTM1177"/>
      <c r="GTN1177"/>
      <c r="GTO1177"/>
      <c r="GTP1177"/>
      <c r="GTQ1177"/>
      <c r="GTR1177"/>
      <c r="GTS1177"/>
      <c r="GTT1177"/>
      <c r="GTU1177"/>
      <c r="GTV1177"/>
      <c r="GTW1177"/>
      <c r="GTX1177"/>
      <c r="GTY1177"/>
      <c r="GTZ1177"/>
      <c r="GUA1177"/>
      <c r="GUB1177"/>
      <c r="GUC1177"/>
      <c r="GUD1177"/>
      <c r="GUE1177"/>
      <c r="GUF1177"/>
      <c r="GUG1177"/>
      <c r="GUH1177"/>
      <c r="GUI1177"/>
      <c r="GUJ1177"/>
      <c r="GUK1177"/>
      <c r="GUL1177"/>
      <c r="GUM1177"/>
      <c r="GUN1177"/>
      <c r="GUO1177"/>
      <c r="GUP1177"/>
      <c r="GUQ1177"/>
      <c r="GUR1177"/>
      <c r="GUS1177"/>
      <c r="GUT1177"/>
      <c r="GUU1177"/>
      <c r="GUV1177"/>
      <c r="GUW1177"/>
      <c r="GUX1177"/>
      <c r="GUY1177"/>
      <c r="GUZ1177"/>
      <c r="GVA1177"/>
      <c r="GVB1177"/>
      <c r="GVC1177"/>
      <c r="GVD1177"/>
      <c r="GVE1177"/>
      <c r="GVF1177"/>
      <c r="GVG1177"/>
      <c r="GVH1177"/>
      <c r="GVI1177"/>
      <c r="GVJ1177"/>
      <c r="GVK1177"/>
      <c r="GVL1177"/>
      <c r="GVM1177"/>
      <c r="GVN1177"/>
      <c r="GVO1177"/>
      <c r="GVP1177"/>
      <c r="GVQ1177"/>
      <c r="GVR1177"/>
      <c r="GVS1177"/>
      <c r="GVT1177"/>
      <c r="GVU1177"/>
      <c r="GVV1177"/>
      <c r="GVW1177"/>
      <c r="GVX1177"/>
      <c r="GVY1177"/>
      <c r="GVZ1177"/>
      <c r="GWA1177"/>
      <c r="GWB1177"/>
      <c r="GWC1177"/>
      <c r="GWD1177"/>
      <c r="GWE1177"/>
      <c r="GWF1177"/>
      <c r="GWG1177"/>
      <c r="GWH1177"/>
      <c r="GWI1177"/>
      <c r="GWJ1177"/>
      <c r="GWK1177"/>
      <c r="GWL1177"/>
      <c r="GWM1177"/>
      <c r="GWN1177"/>
      <c r="GWO1177"/>
      <c r="GWP1177"/>
      <c r="GWQ1177"/>
      <c r="GWR1177"/>
      <c r="GWS1177"/>
      <c r="GWT1177"/>
      <c r="GWU1177"/>
      <c r="GWV1177"/>
      <c r="GWW1177"/>
      <c r="GWX1177"/>
      <c r="GWY1177"/>
      <c r="GWZ1177"/>
      <c r="GXA1177"/>
      <c r="GXB1177"/>
      <c r="GXC1177"/>
      <c r="GXD1177"/>
      <c r="GXE1177"/>
      <c r="GXF1177"/>
      <c r="GXG1177"/>
      <c r="GXH1177"/>
      <c r="GXI1177"/>
      <c r="GXJ1177"/>
      <c r="GXK1177"/>
      <c r="GXL1177"/>
      <c r="GXM1177"/>
      <c r="GXN1177"/>
      <c r="GXO1177"/>
      <c r="GXP1177"/>
      <c r="GXQ1177"/>
      <c r="GXR1177"/>
      <c r="GXS1177"/>
      <c r="GXT1177"/>
      <c r="GXU1177"/>
      <c r="GXV1177"/>
      <c r="GXW1177"/>
      <c r="GXX1177"/>
      <c r="GXY1177"/>
      <c r="GXZ1177"/>
      <c r="GYA1177"/>
      <c r="GYB1177"/>
      <c r="GYC1177"/>
      <c r="GYD1177"/>
      <c r="GYE1177"/>
      <c r="GYF1177"/>
      <c r="GYG1177"/>
      <c r="GYH1177"/>
      <c r="GYI1177"/>
      <c r="GYJ1177"/>
      <c r="GYK1177"/>
      <c r="GYL1177"/>
      <c r="GYM1177"/>
      <c r="GYN1177"/>
      <c r="GYO1177"/>
      <c r="GYP1177"/>
      <c r="GYQ1177"/>
      <c r="GYR1177"/>
      <c r="GYS1177"/>
      <c r="GYT1177"/>
      <c r="GYU1177"/>
      <c r="GYV1177"/>
      <c r="GYW1177"/>
      <c r="GYX1177"/>
      <c r="GYY1177"/>
      <c r="GYZ1177"/>
      <c r="GZA1177"/>
      <c r="GZB1177"/>
      <c r="GZC1177"/>
      <c r="GZD1177"/>
      <c r="GZE1177"/>
      <c r="GZF1177"/>
      <c r="GZG1177"/>
      <c r="GZH1177"/>
      <c r="GZI1177"/>
      <c r="GZJ1177"/>
      <c r="GZK1177"/>
      <c r="GZL1177"/>
      <c r="GZM1177"/>
      <c r="GZN1177"/>
      <c r="GZO1177"/>
      <c r="GZP1177"/>
      <c r="GZQ1177"/>
      <c r="GZR1177"/>
      <c r="GZS1177"/>
      <c r="GZT1177"/>
      <c r="GZU1177"/>
      <c r="GZV1177"/>
      <c r="GZW1177"/>
      <c r="GZX1177"/>
      <c r="GZY1177"/>
      <c r="GZZ1177"/>
      <c r="HAA1177"/>
      <c r="HAB1177"/>
      <c r="HAC1177"/>
      <c r="HAD1177"/>
      <c r="HAE1177"/>
      <c r="HAF1177"/>
      <c r="HAG1177"/>
      <c r="HAH1177"/>
      <c r="HAI1177"/>
      <c r="HAJ1177"/>
      <c r="HAK1177"/>
      <c r="HAL1177"/>
      <c r="HAM1177"/>
      <c r="HAN1177"/>
      <c r="HAO1177"/>
      <c r="HAP1177"/>
      <c r="HAQ1177"/>
      <c r="HAR1177"/>
      <c r="HAS1177"/>
      <c r="HAT1177"/>
      <c r="HAU1177"/>
      <c r="HAV1177"/>
      <c r="HAW1177"/>
      <c r="HAX1177"/>
      <c r="HAY1177"/>
      <c r="HAZ1177"/>
      <c r="HBA1177"/>
      <c r="HBB1177"/>
      <c r="HBC1177"/>
      <c r="HBD1177"/>
      <c r="HBE1177"/>
      <c r="HBF1177"/>
      <c r="HBG1177"/>
      <c r="HBH1177"/>
      <c r="HBI1177"/>
      <c r="HBJ1177"/>
      <c r="HBK1177"/>
      <c r="HBL1177"/>
      <c r="HBM1177"/>
      <c r="HBN1177"/>
      <c r="HBO1177"/>
      <c r="HBP1177"/>
      <c r="HBQ1177"/>
      <c r="HBR1177"/>
      <c r="HBS1177"/>
      <c r="HBT1177"/>
      <c r="HBU1177"/>
      <c r="HBV1177"/>
      <c r="HBW1177"/>
      <c r="HBX1177"/>
      <c r="HBY1177"/>
      <c r="HBZ1177"/>
      <c r="HCA1177"/>
      <c r="HCB1177"/>
      <c r="HCC1177"/>
      <c r="HCD1177"/>
      <c r="HCE1177"/>
      <c r="HCF1177"/>
      <c r="HCG1177"/>
      <c r="HCH1177"/>
      <c r="HCI1177"/>
      <c r="HCJ1177"/>
      <c r="HCK1177"/>
      <c r="HCL1177"/>
      <c r="HCM1177"/>
      <c r="HCN1177"/>
      <c r="HCO1177"/>
      <c r="HCP1177"/>
      <c r="HCQ1177"/>
      <c r="HCR1177"/>
      <c r="HCS1177"/>
      <c r="HCT1177"/>
      <c r="HCU1177"/>
      <c r="HCV1177"/>
      <c r="HCW1177"/>
      <c r="HCX1177"/>
      <c r="HCY1177"/>
      <c r="HCZ1177"/>
      <c r="HDA1177"/>
      <c r="HDB1177"/>
      <c r="HDC1177"/>
      <c r="HDD1177"/>
      <c r="HDE1177"/>
      <c r="HDF1177"/>
      <c r="HDG1177"/>
      <c r="HDH1177"/>
      <c r="HDI1177"/>
      <c r="HDJ1177"/>
      <c r="HDK1177"/>
      <c r="HDL1177"/>
      <c r="HDM1177"/>
      <c r="HDN1177"/>
      <c r="HDO1177"/>
      <c r="HDP1177"/>
      <c r="HDQ1177"/>
      <c r="HDR1177"/>
      <c r="HDS1177"/>
      <c r="HDT1177"/>
      <c r="HDU1177"/>
      <c r="HDV1177"/>
      <c r="HDW1177"/>
      <c r="HDX1177"/>
      <c r="HDY1177"/>
      <c r="HDZ1177"/>
      <c r="HEA1177"/>
      <c r="HEB1177"/>
      <c r="HEC1177"/>
      <c r="HED1177"/>
      <c r="HEE1177"/>
      <c r="HEF1177"/>
      <c r="HEG1177"/>
      <c r="HEH1177"/>
      <c r="HEI1177"/>
      <c r="HEJ1177"/>
      <c r="HEK1177"/>
      <c r="HEL1177"/>
      <c r="HEM1177"/>
      <c r="HEN1177"/>
      <c r="HEO1177"/>
      <c r="HEP1177"/>
      <c r="HEQ1177"/>
      <c r="HER1177"/>
      <c r="HES1177"/>
      <c r="HET1177"/>
      <c r="HEU1177"/>
      <c r="HEV1177"/>
      <c r="HEW1177"/>
      <c r="HEX1177"/>
      <c r="HEY1177"/>
      <c r="HEZ1177"/>
      <c r="HFA1177"/>
      <c r="HFB1177"/>
      <c r="HFC1177"/>
      <c r="HFD1177"/>
      <c r="HFE1177"/>
      <c r="HFF1177"/>
      <c r="HFG1177"/>
      <c r="HFH1177"/>
      <c r="HFI1177"/>
      <c r="HFJ1177"/>
      <c r="HFK1177"/>
      <c r="HFL1177"/>
      <c r="HFM1177"/>
      <c r="HFN1177"/>
      <c r="HFO1177"/>
      <c r="HFP1177"/>
      <c r="HFQ1177"/>
      <c r="HFR1177"/>
      <c r="HFS1177"/>
      <c r="HFT1177"/>
      <c r="HFU1177"/>
      <c r="HFV1177"/>
      <c r="HFW1177"/>
      <c r="HFX1177"/>
      <c r="HFY1177"/>
      <c r="HFZ1177"/>
      <c r="HGA1177"/>
      <c r="HGB1177"/>
      <c r="HGC1177"/>
      <c r="HGD1177"/>
      <c r="HGE1177"/>
      <c r="HGF1177"/>
      <c r="HGG1177"/>
      <c r="HGH1177"/>
      <c r="HGI1177"/>
      <c r="HGJ1177"/>
      <c r="HGK1177"/>
      <c r="HGL1177"/>
      <c r="HGM1177"/>
      <c r="HGN1177"/>
      <c r="HGO1177"/>
      <c r="HGP1177"/>
      <c r="HGQ1177"/>
      <c r="HGR1177"/>
      <c r="HGS1177"/>
      <c r="HGT1177"/>
      <c r="HGU1177"/>
      <c r="HGV1177"/>
      <c r="HGW1177"/>
      <c r="HGX1177"/>
      <c r="HGY1177"/>
      <c r="HGZ1177"/>
      <c r="HHA1177"/>
      <c r="HHB1177"/>
      <c r="HHC1177"/>
      <c r="HHD1177"/>
      <c r="HHE1177"/>
      <c r="HHF1177"/>
      <c r="HHG1177"/>
      <c r="HHH1177"/>
      <c r="HHI1177"/>
      <c r="HHJ1177"/>
      <c r="HHK1177"/>
      <c r="HHL1177"/>
      <c r="HHM1177"/>
      <c r="HHN1177"/>
      <c r="HHO1177"/>
      <c r="HHP1177"/>
      <c r="HHQ1177"/>
      <c r="HHR1177"/>
      <c r="HHS1177"/>
      <c r="HHT1177"/>
      <c r="HHU1177"/>
      <c r="HHV1177"/>
      <c r="HHW1177"/>
      <c r="HHX1177"/>
      <c r="HHY1177"/>
      <c r="HHZ1177"/>
      <c r="HIA1177"/>
      <c r="HIB1177"/>
      <c r="HIC1177"/>
      <c r="HID1177"/>
      <c r="HIE1177"/>
      <c r="HIF1177"/>
      <c r="HIG1177"/>
      <c r="HIH1177"/>
      <c r="HII1177"/>
      <c r="HIJ1177"/>
      <c r="HIK1177"/>
      <c r="HIL1177"/>
      <c r="HIM1177"/>
      <c r="HIN1177"/>
      <c r="HIO1177"/>
      <c r="HIP1177"/>
      <c r="HIQ1177"/>
      <c r="HIR1177"/>
      <c r="HIS1177"/>
      <c r="HIT1177"/>
      <c r="HIU1177"/>
      <c r="HIV1177"/>
      <c r="HIW1177"/>
      <c r="HIX1177"/>
      <c r="HIY1177"/>
      <c r="HIZ1177"/>
      <c r="HJA1177"/>
      <c r="HJB1177"/>
      <c r="HJC1177"/>
      <c r="HJD1177"/>
      <c r="HJE1177"/>
      <c r="HJF1177"/>
      <c r="HJG1177"/>
      <c r="HJH1177"/>
      <c r="HJI1177"/>
      <c r="HJJ1177"/>
      <c r="HJK1177"/>
      <c r="HJL1177"/>
      <c r="HJM1177"/>
      <c r="HJN1177"/>
      <c r="HJO1177"/>
      <c r="HJP1177"/>
      <c r="HJQ1177"/>
      <c r="HJR1177"/>
      <c r="HJS1177"/>
      <c r="HJT1177"/>
      <c r="HJU1177"/>
      <c r="HJV1177"/>
      <c r="HJW1177"/>
      <c r="HJX1177"/>
      <c r="HJY1177"/>
      <c r="HJZ1177"/>
      <c r="HKA1177"/>
      <c r="HKB1177"/>
      <c r="HKC1177"/>
      <c r="HKD1177"/>
      <c r="HKE1177"/>
      <c r="HKF1177"/>
      <c r="HKG1177"/>
      <c r="HKH1177"/>
      <c r="HKI1177"/>
      <c r="HKJ1177"/>
      <c r="HKK1177"/>
      <c r="HKL1177"/>
      <c r="HKM1177"/>
      <c r="HKN1177"/>
      <c r="HKO1177"/>
      <c r="HKP1177"/>
      <c r="HKQ1177"/>
      <c r="HKR1177"/>
      <c r="HKS1177"/>
      <c r="HKT1177"/>
      <c r="HKU1177"/>
      <c r="HKV1177"/>
      <c r="HKW1177"/>
      <c r="HKX1177"/>
      <c r="HKY1177"/>
      <c r="HKZ1177"/>
      <c r="HLA1177"/>
      <c r="HLB1177"/>
      <c r="HLC1177"/>
      <c r="HLD1177"/>
      <c r="HLE1177"/>
      <c r="HLF1177"/>
      <c r="HLG1177"/>
      <c r="HLH1177"/>
      <c r="HLI1177"/>
      <c r="HLJ1177"/>
      <c r="HLK1177"/>
      <c r="HLL1177"/>
      <c r="HLM1177"/>
      <c r="HLN1177"/>
      <c r="HLO1177"/>
      <c r="HLP1177"/>
      <c r="HLQ1177"/>
      <c r="HLR1177"/>
      <c r="HLS1177"/>
      <c r="HLT1177"/>
      <c r="HLU1177"/>
      <c r="HLV1177"/>
      <c r="HLW1177"/>
      <c r="HLX1177"/>
      <c r="HLY1177"/>
      <c r="HLZ1177"/>
      <c r="HMA1177"/>
      <c r="HMB1177"/>
      <c r="HMC1177"/>
      <c r="HMD1177"/>
      <c r="HME1177"/>
      <c r="HMF1177"/>
      <c r="HMG1177"/>
      <c r="HMH1177"/>
      <c r="HMI1177"/>
      <c r="HMJ1177"/>
      <c r="HMK1177"/>
      <c r="HML1177"/>
      <c r="HMM1177"/>
      <c r="HMN1177"/>
      <c r="HMO1177"/>
      <c r="HMP1177"/>
      <c r="HMQ1177"/>
      <c r="HMR1177"/>
      <c r="HMS1177"/>
      <c r="HMT1177"/>
      <c r="HMU1177"/>
      <c r="HMV1177"/>
      <c r="HMW1177"/>
      <c r="HMX1177"/>
      <c r="HMY1177"/>
      <c r="HMZ1177"/>
      <c r="HNA1177"/>
      <c r="HNB1177"/>
      <c r="HNC1177"/>
      <c r="HND1177"/>
      <c r="HNE1177"/>
      <c r="HNF1177"/>
      <c r="HNG1177"/>
      <c r="HNH1177"/>
      <c r="HNI1177"/>
      <c r="HNJ1177"/>
      <c r="HNK1177"/>
      <c r="HNL1177"/>
      <c r="HNM1177"/>
      <c r="HNN1177"/>
      <c r="HNO1177"/>
      <c r="HNP1177"/>
      <c r="HNQ1177"/>
      <c r="HNR1177"/>
      <c r="HNS1177"/>
      <c r="HNT1177"/>
      <c r="HNU1177"/>
      <c r="HNV1177"/>
      <c r="HNW1177"/>
      <c r="HNX1177"/>
      <c r="HNY1177"/>
      <c r="HNZ1177"/>
      <c r="HOA1177"/>
      <c r="HOB1177"/>
      <c r="HOC1177"/>
      <c r="HOD1177"/>
      <c r="HOE1177"/>
      <c r="HOF1177"/>
      <c r="HOG1177"/>
      <c r="HOH1177"/>
      <c r="HOI1177"/>
      <c r="HOJ1177"/>
      <c r="HOK1177"/>
      <c r="HOL1177"/>
      <c r="HOM1177"/>
      <c r="HON1177"/>
      <c r="HOO1177"/>
      <c r="HOP1177"/>
      <c r="HOQ1177"/>
      <c r="HOR1177"/>
      <c r="HOS1177"/>
      <c r="HOT1177"/>
      <c r="HOU1177"/>
      <c r="HOV1177"/>
      <c r="HOW1177"/>
      <c r="HOX1177"/>
      <c r="HOY1177"/>
      <c r="HOZ1177"/>
      <c r="HPA1177"/>
      <c r="HPB1177"/>
      <c r="HPC1177"/>
      <c r="HPD1177"/>
      <c r="HPE1177"/>
      <c r="HPF1177"/>
      <c r="HPG1177"/>
      <c r="HPH1177"/>
      <c r="HPI1177"/>
      <c r="HPJ1177"/>
      <c r="HPK1177"/>
      <c r="HPL1177"/>
      <c r="HPM1177"/>
      <c r="HPN1177"/>
      <c r="HPO1177"/>
      <c r="HPP1177"/>
      <c r="HPQ1177"/>
      <c r="HPR1177"/>
      <c r="HPS1177"/>
      <c r="HPT1177"/>
      <c r="HPU1177"/>
      <c r="HPV1177"/>
      <c r="HPW1177"/>
      <c r="HPX1177"/>
      <c r="HPY1177"/>
      <c r="HPZ1177"/>
      <c r="HQA1177"/>
      <c r="HQB1177"/>
      <c r="HQC1177"/>
      <c r="HQD1177"/>
      <c r="HQE1177"/>
      <c r="HQF1177"/>
      <c r="HQG1177"/>
      <c r="HQH1177"/>
      <c r="HQI1177"/>
      <c r="HQJ1177"/>
      <c r="HQK1177"/>
      <c r="HQL1177"/>
      <c r="HQM1177"/>
      <c r="HQN1177"/>
      <c r="HQO1177"/>
      <c r="HQP1177"/>
      <c r="HQQ1177"/>
      <c r="HQR1177"/>
      <c r="HQS1177"/>
      <c r="HQT1177"/>
      <c r="HQU1177"/>
      <c r="HQV1177"/>
      <c r="HQW1177"/>
      <c r="HQX1177"/>
      <c r="HQY1177"/>
      <c r="HQZ1177"/>
      <c r="HRA1177"/>
      <c r="HRB1177"/>
      <c r="HRC1177"/>
      <c r="HRD1177"/>
      <c r="HRE1177"/>
      <c r="HRF1177"/>
      <c r="HRG1177"/>
      <c r="HRH1177"/>
      <c r="HRI1177"/>
      <c r="HRJ1177"/>
      <c r="HRK1177"/>
      <c r="HRL1177"/>
      <c r="HRM1177"/>
      <c r="HRN1177"/>
      <c r="HRO1177"/>
      <c r="HRP1177"/>
      <c r="HRQ1177"/>
      <c r="HRR1177"/>
      <c r="HRS1177"/>
      <c r="HRT1177"/>
      <c r="HRU1177"/>
      <c r="HRV1177"/>
      <c r="HRW1177"/>
      <c r="HRX1177"/>
      <c r="HRY1177"/>
      <c r="HRZ1177"/>
      <c r="HSA1177"/>
      <c r="HSB1177"/>
      <c r="HSC1177"/>
      <c r="HSD1177"/>
      <c r="HSE1177"/>
      <c r="HSF1177"/>
      <c r="HSG1177"/>
      <c r="HSH1177"/>
      <c r="HSI1177"/>
      <c r="HSJ1177"/>
      <c r="HSK1177"/>
      <c r="HSL1177"/>
      <c r="HSM1177"/>
      <c r="HSN1177"/>
      <c r="HSO1177"/>
      <c r="HSP1177"/>
      <c r="HSQ1177"/>
      <c r="HSR1177"/>
      <c r="HSS1177"/>
      <c r="HST1177"/>
      <c r="HSU1177"/>
      <c r="HSV1177"/>
      <c r="HSW1177"/>
      <c r="HSX1177"/>
      <c r="HSY1177"/>
      <c r="HSZ1177"/>
      <c r="HTA1177"/>
      <c r="HTB1177"/>
      <c r="HTC1177"/>
      <c r="HTD1177"/>
      <c r="HTE1177"/>
      <c r="HTF1177"/>
      <c r="HTG1177"/>
      <c r="HTH1177"/>
      <c r="HTI1177"/>
      <c r="HTJ1177"/>
      <c r="HTK1177"/>
      <c r="HTL1177"/>
      <c r="HTM1177"/>
      <c r="HTN1177"/>
      <c r="HTO1177"/>
      <c r="HTP1177"/>
      <c r="HTQ1177"/>
      <c r="HTR1177"/>
      <c r="HTS1177"/>
      <c r="HTT1177"/>
      <c r="HTU1177"/>
      <c r="HTV1177"/>
      <c r="HTW1177"/>
      <c r="HTX1177"/>
      <c r="HTY1177"/>
      <c r="HTZ1177"/>
      <c r="HUA1177"/>
      <c r="HUB1177"/>
      <c r="HUC1177"/>
      <c r="HUD1177"/>
      <c r="HUE1177"/>
      <c r="HUF1177"/>
      <c r="HUG1177"/>
      <c r="HUH1177"/>
      <c r="HUI1177"/>
      <c r="HUJ1177"/>
      <c r="HUK1177"/>
      <c r="HUL1177"/>
      <c r="HUM1177"/>
      <c r="HUN1177"/>
      <c r="HUO1177"/>
      <c r="HUP1177"/>
      <c r="HUQ1177"/>
      <c r="HUR1177"/>
      <c r="HUS1177"/>
      <c r="HUT1177"/>
      <c r="HUU1177"/>
      <c r="HUV1177"/>
      <c r="HUW1177"/>
      <c r="HUX1177"/>
      <c r="HUY1177"/>
      <c r="HUZ1177"/>
      <c r="HVA1177"/>
      <c r="HVB1177"/>
      <c r="HVC1177"/>
      <c r="HVD1177"/>
      <c r="HVE1177"/>
      <c r="HVF1177"/>
      <c r="HVG1177"/>
      <c r="HVH1177"/>
      <c r="HVI1177"/>
      <c r="HVJ1177"/>
      <c r="HVK1177"/>
      <c r="HVL1177"/>
      <c r="HVM1177"/>
      <c r="HVN1177"/>
      <c r="HVO1177"/>
      <c r="HVP1177"/>
      <c r="HVQ1177"/>
      <c r="HVR1177"/>
      <c r="HVS1177"/>
      <c r="HVT1177"/>
      <c r="HVU1177"/>
      <c r="HVV1177"/>
      <c r="HVW1177"/>
      <c r="HVX1177"/>
      <c r="HVY1177"/>
      <c r="HVZ1177"/>
      <c r="HWA1177"/>
      <c r="HWB1177"/>
      <c r="HWC1177"/>
      <c r="HWD1177"/>
      <c r="HWE1177"/>
      <c r="HWF1177"/>
      <c r="HWG1177"/>
      <c r="HWH1177"/>
      <c r="HWI1177"/>
      <c r="HWJ1177"/>
      <c r="HWK1177"/>
      <c r="HWL1177"/>
      <c r="HWM1177"/>
      <c r="HWN1177"/>
      <c r="HWO1177"/>
      <c r="HWP1177"/>
      <c r="HWQ1177"/>
      <c r="HWR1177"/>
      <c r="HWS1177"/>
      <c r="HWT1177"/>
      <c r="HWU1177"/>
      <c r="HWV1177"/>
      <c r="HWW1177"/>
      <c r="HWX1177"/>
      <c r="HWY1177"/>
      <c r="HWZ1177"/>
      <c r="HXA1177"/>
      <c r="HXB1177"/>
      <c r="HXC1177"/>
      <c r="HXD1177"/>
      <c r="HXE1177"/>
      <c r="HXF1177"/>
      <c r="HXG1177"/>
      <c r="HXH1177"/>
      <c r="HXI1177"/>
      <c r="HXJ1177"/>
      <c r="HXK1177"/>
      <c r="HXL1177"/>
      <c r="HXM1177"/>
      <c r="HXN1177"/>
      <c r="HXO1177"/>
      <c r="HXP1177"/>
      <c r="HXQ1177"/>
      <c r="HXR1177"/>
      <c r="HXS1177"/>
      <c r="HXT1177"/>
      <c r="HXU1177"/>
      <c r="HXV1177"/>
      <c r="HXW1177"/>
      <c r="HXX1177"/>
      <c r="HXY1177"/>
      <c r="HXZ1177"/>
      <c r="HYA1177"/>
      <c r="HYB1177"/>
      <c r="HYC1177"/>
      <c r="HYD1177"/>
      <c r="HYE1177"/>
      <c r="HYF1177"/>
      <c r="HYG1177"/>
      <c r="HYH1177"/>
      <c r="HYI1177"/>
      <c r="HYJ1177"/>
      <c r="HYK1177"/>
      <c r="HYL1177"/>
      <c r="HYM1177"/>
      <c r="HYN1177"/>
      <c r="HYO1177"/>
      <c r="HYP1177"/>
      <c r="HYQ1177"/>
      <c r="HYR1177"/>
      <c r="HYS1177"/>
      <c r="HYT1177"/>
      <c r="HYU1177"/>
      <c r="HYV1177"/>
      <c r="HYW1177"/>
      <c r="HYX1177"/>
      <c r="HYY1177"/>
      <c r="HYZ1177"/>
      <c r="HZA1177"/>
      <c r="HZB1177"/>
      <c r="HZC1177"/>
      <c r="HZD1177"/>
      <c r="HZE1177"/>
      <c r="HZF1177"/>
      <c r="HZG1177"/>
      <c r="HZH1177"/>
      <c r="HZI1177"/>
      <c r="HZJ1177"/>
      <c r="HZK1177"/>
      <c r="HZL1177"/>
      <c r="HZM1177"/>
      <c r="HZN1177"/>
      <c r="HZO1177"/>
      <c r="HZP1177"/>
      <c r="HZQ1177"/>
      <c r="HZR1177"/>
      <c r="HZS1177"/>
      <c r="HZT1177"/>
      <c r="HZU1177"/>
      <c r="HZV1177"/>
      <c r="HZW1177"/>
      <c r="HZX1177"/>
      <c r="HZY1177"/>
      <c r="HZZ1177"/>
      <c r="IAA1177"/>
      <c r="IAB1177"/>
      <c r="IAC1177"/>
      <c r="IAD1177"/>
      <c r="IAE1177"/>
      <c r="IAF1177"/>
      <c r="IAG1177"/>
      <c r="IAH1177"/>
      <c r="IAI1177"/>
      <c r="IAJ1177"/>
      <c r="IAK1177"/>
      <c r="IAL1177"/>
      <c r="IAM1177"/>
      <c r="IAN1177"/>
      <c r="IAO1177"/>
      <c r="IAP1177"/>
      <c r="IAQ1177"/>
      <c r="IAR1177"/>
      <c r="IAS1177"/>
      <c r="IAT1177"/>
      <c r="IAU1177"/>
      <c r="IAV1177"/>
      <c r="IAW1177"/>
      <c r="IAX1177"/>
      <c r="IAY1177"/>
      <c r="IAZ1177"/>
      <c r="IBA1177"/>
      <c r="IBB1177"/>
      <c r="IBC1177"/>
      <c r="IBD1177"/>
      <c r="IBE1177"/>
      <c r="IBF1177"/>
      <c r="IBG1177"/>
      <c r="IBH1177"/>
      <c r="IBI1177"/>
      <c r="IBJ1177"/>
      <c r="IBK1177"/>
      <c r="IBL1177"/>
      <c r="IBM1177"/>
      <c r="IBN1177"/>
      <c r="IBO1177"/>
      <c r="IBP1177"/>
      <c r="IBQ1177"/>
      <c r="IBR1177"/>
      <c r="IBS1177"/>
      <c r="IBT1177"/>
      <c r="IBU1177"/>
      <c r="IBV1177"/>
      <c r="IBW1177"/>
      <c r="IBX1177"/>
      <c r="IBY1177"/>
      <c r="IBZ1177"/>
      <c r="ICA1177"/>
      <c r="ICB1177"/>
      <c r="ICC1177"/>
      <c r="ICD1177"/>
      <c r="ICE1177"/>
      <c r="ICF1177"/>
      <c r="ICG1177"/>
      <c r="ICH1177"/>
      <c r="ICI1177"/>
      <c r="ICJ1177"/>
      <c r="ICK1177"/>
      <c r="ICL1177"/>
      <c r="ICM1177"/>
      <c r="ICN1177"/>
      <c r="ICO1177"/>
      <c r="ICP1177"/>
      <c r="ICQ1177"/>
      <c r="ICR1177"/>
      <c r="ICS1177"/>
      <c r="ICT1177"/>
      <c r="ICU1177"/>
      <c r="ICV1177"/>
      <c r="ICW1177"/>
      <c r="ICX1177"/>
      <c r="ICY1177"/>
      <c r="ICZ1177"/>
      <c r="IDA1177"/>
      <c r="IDB1177"/>
      <c r="IDC1177"/>
      <c r="IDD1177"/>
      <c r="IDE1177"/>
      <c r="IDF1177"/>
      <c r="IDG1177"/>
      <c r="IDH1177"/>
      <c r="IDI1177"/>
      <c r="IDJ1177"/>
      <c r="IDK1177"/>
      <c r="IDL1177"/>
      <c r="IDM1177"/>
      <c r="IDN1177"/>
      <c r="IDO1177"/>
      <c r="IDP1177"/>
      <c r="IDQ1177"/>
      <c r="IDR1177"/>
      <c r="IDS1177"/>
      <c r="IDT1177"/>
      <c r="IDU1177"/>
      <c r="IDV1177"/>
      <c r="IDW1177"/>
      <c r="IDX1177"/>
      <c r="IDY1177"/>
      <c r="IDZ1177"/>
      <c r="IEA1177"/>
      <c r="IEB1177"/>
      <c r="IEC1177"/>
      <c r="IED1177"/>
      <c r="IEE1177"/>
      <c r="IEF1177"/>
      <c r="IEG1177"/>
      <c r="IEH1177"/>
      <c r="IEI1177"/>
      <c r="IEJ1177"/>
      <c r="IEK1177"/>
      <c r="IEL1177"/>
      <c r="IEM1177"/>
      <c r="IEN1177"/>
      <c r="IEO1177"/>
      <c r="IEP1177"/>
      <c r="IEQ1177"/>
      <c r="IER1177"/>
      <c r="IES1177"/>
      <c r="IET1177"/>
      <c r="IEU1177"/>
      <c r="IEV1177"/>
      <c r="IEW1177"/>
      <c r="IEX1177"/>
      <c r="IEY1177"/>
      <c r="IEZ1177"/>
      <c r="IFA1177"/>
      <c r="IFB1177"/>
      <c r="IFC1177"/>
      <c r="IFD1177"/>
      <c r="IFE1177"/>
      <c r="IFF1177"/>
      <c r="IFG1177"/>
      <c r="IFH1177"/>
      <c r="IFI1177"/>
      <c r="IFJ1177"/>
      <c r="IFK1177"/>
      <c r="IFL1177"/>
      <c r="IFM1177"/>
      <c r="IFN1177"/>
      <c r="IFO1177"/>
      <c r="IFP1177"/>
      <c r="IFQ1177"/>
      <c r="IFR1177"/>
      <c r="IFS1177"/>
      <c r="IFT1177"/>
      <c r="IFU1177"/>
      <c r="IFV1177"/>
      <c r="IFW1177"/>
      <c r="IFX1177"/>
      <c r="IFY1177"/>
      <c r="IFZ1177"/>
      <c r="IGA1177"/>
      <c r="IGB1177"/>
      <c r="IGC1177"/>
      <c r="IGD1177"/>
      <c r="IGE1177"/>
      <c r="IGF1177"/>
      <c r="IGG1177"/>
      <c r="IGH1177"/>
      <c r="IGI1177"/>
      <c r="IGJ1177"/>
      <c r="IGK1177"/>
      <c r="IGL1177"/>
      <c r="IGM1177"/>
      <c r="IGN1177"/>
      <c r="IGO1177"/>
      <c r="IGP1177"/>
      <c r="IGQ1177"/>
      <c r="IGR1177"/>
      <c r="IGS1177"/>
      <c r="IGT1177"/>
      <c r="IGU1177"/>
      <c r="IGV1177"/>
      <c r="IGW1177"/>
      <c r="IGX1177"/>
      <c r="IGY1177"/>
      <c r="IGZ1177"/>
      <c r="IHA1177"/>
      <c r="IHB1177"/>
      <c r="IHC1177"/>
      <c r="IHD1177"/>
      <c r="IHE1177"/>
      <c r="IHF1177"/>
      <c r="IHG1177"/>
      <c r="IHH1177"/>
      <c r="IHI1177"/>
      <c r="IHJ1177"/>
      <c r="IHK1177"/>
      <c r="IHL1177"/>
      <c r="IHM1177"/>
      <c r="IHN1177"/>
      <c r="IHO1177"/>
      <c r="IHP1177"/>
      <c r="IHQ1177"/>
      <c r="IHR1177"/>
      <c r="IHS1177"/>
      <c r="IHT1177"/>
      <c r="IHU1177"/>
      <c r="IHV1177"/>
      <c r="IHW1177"/>
      <c r="IHX1177"/>
      <c r="IHY1177"/>
      <c r="IHZ1177"/>
      <c r="IIA1177"/>
      <c r="IIB1177"/>
      <c r="IIC1177"/>
      <c r="IID1177"/>
      <c r="IIE1177"/>
      <c r="IIF1177"/>
      <c r="IIG1177"/>
      <c r="IIH1177"/>
      <c r="III1177"/>
      <c r="IIJ1177"/>
      <c r="IIK1177"/>
      <c r="IIL1177"/>
      <c r="IIM1177"/>
      <c r="IIN1177"/>
      <c r="IIO1177"/>
      <c r="IIP1177"/>
      <c r="IIQ1177"/>
      <c r="IIR1177"/>
      <c r="IIS1177"/>
      <c r="IIT1177"/>
      <c r="IIU1177"/>
      <c r="IIV1177"/>
      <c r="IIW1177"/>
      <c r="IIX1177"/>
      <c r="IIY1177"/>
      <c r="IIZ1177"/>
      <c r="IJA1177"/>
      <c r="IJB1177"/>
      <c r="IJC1177"/>
      <c r="IJD1177"/>
      <c r="IJE1177"/>
      <c r="IJF1177"/>
      <c r="IJG1177"/>
      <c r="IJH1177"/>
      <c r="IJI1177"/>
      <c r="IJJ1177"/>
      <c r="IJK1177"/>
      <c r="IJL1177"/>
      <c r="IJM1177"/>
      <c r="IJN1177"/>
      <c r="IJO1177"/>
      <c r="IJP1177"/>
      <c r="IJQ1177"/>
      <c r="IJR1177"/>
      <c r="IJS1177"/>
      <c r="IJT1177"/>
      <c r="IJU1177"/>
      <c r="IJV1177"/>
      <c r="IJW1177"/>
      <c r="IJX1177"/>
      <c r="IJY1177"/>
      <c r="IJZ1177"/>
      <c r="IKA1177"/>
      <c r="IKB1177"/>
      <c r="IKC1177"/>
      <c r="IKD1177"/>
      <c r="IKE1177"/>
      <c r="IKF1177"/>
      <c r="IKG1177"/>
      <c r="IKH1177"/>
      <c r="IKI1177"/>
      <c r="IKJ1177"/>
      <c r="IKK1177"/>
      <c r="IKL1177"/>
      <c r="IKM1177"/>
      <c r="IKN1177"/>
      <c r="IKO1177"/>
      <c r="IKP1177"/>
      <c r="IKQ1177"/>
      <c r="IKR1177"/>
      <c r="IKS1177"/>
      <c r="IKT1177"/>
      <c r="IKU1177"/>
      <c r="IKV1177"/>
      <c r="IKW1177"/>
      <c r="IKX1177"/>
      <c r="IKY1177"/>
      <c r="IKZ1177"/>
      <c r="ILA1177"/>
      <c r="ILB1177"/>
      <c r="ILC1177"/>
      <c r="ILD1177"/>
      <c r="ILE1177"/>
      <c r="ILF1177"/>
      <c r="ILG1177"/>
      <c r="ILH1177"/>
      <c r="ILI1177"/>
      <c r="ILJ1177"/>
      <c r="ILK1177"/>
      <c r="ILL1177"/>
      <c r="ILM1177"/>
      <c r="ILN1177"/>
      <c r="ILO1177"/>
      <c r="ILP1177"/>
      <c r="ILQ1177"/>
      <c r="ILR1177"/>
      <c r="ILS1177"/>
      <c r="ILT1177"/>
      <c r="ILU1177"/>
      <c r="ILV1177"/>
      <c r="ILW1177"/>
      <c r="ILX1177"/>
      <c r="ILY1177"/>
      <c r="ILZ1177"/>
      <c r="IMA1177"/>
      <c r="IMB1177"/>
      <c r="IMC1177"/>
      <c r="IMD1177"/>
      <c r="IME1177"/>
      <c r="IMF1177"/>
      <c r="IMG1177"/>
      <c r="IMH1177"/>
      <c r="IMI1177"/>
      <c r="IMJ1177"/>
      <c r="IMK1177"/>
      <c r="IML1177"/>
      <c r="IMM1177"/>
      <c r="IMN1177"/>
      <c r="IMO1177"/>
      <c r="IMP1177"/>
      <c r="IMQ1177"/>
      <c r="IMR1177"/>
      <c r="IMS1177"/>
      <c r="IMT1177"/>
      <c r="IMU1177"/>
      <c r="IMV1177"/>
      <c r="IMW1177"/>
      <c r="IMX1177"/>
      <c r="IMY1177"/>
      <c r="IMZ1177"/>
      <c r="INA1177"/>
      <c r="INB1177"/>
      <c r="INC1177"/>
      <c r="IND1177"/>
      <c r="INE1177"/>
      <c r="INF1177"/>
      <c r="ING1177"/>
      <c r="INH1177"/>
      <c r="INI1177"/>
      <c r="INJ1177"/>
      <c r="INK1177"/>
      <c r="INL1177"/>
      <c r="INM1177"/>
      <c r="INN1177"/>
      <c r="INO1177"/>
      <c r="INP1177"/>
      <c r="INQ1177"/>
      <c r="INR1177"/>
      <c r="INS1177"/>
      <c r="INT1177"/>
      <c r="INU1177"/>
      <c r="INV1177"/>
      <c r="INW1177"/>
      <c r="INX1177"/>
      <c r="INY1177"/>
      <c r="INZ1177"/>
      <c r="IOA1177"/>
      <c r="IOB1177"/>
      <c r="IOC1177"/>
      <c r="IOD1177"/>
      <c r="IOE1177"/>
      <c r="IOF1177"/>
      <c r="IOG1177"/>
      <c r="IOH1177"/>
      <c r="IOI1177"/>
      <c r="IOJ1177"/>
      <c r="IOK1177"/>
      <c r="IOL1177"/>
      <c r="IOM1177"/>
      <c r="ION1177"/>
      <c r="IOO1177"/>
      <c r="IOP1177"/>
      <c r="IOQ1177"/>
      <c r="IOR1177"/>
      <c r="IOS1177"/>
      <c r="IOT1177"/>
      <c r="IOU1177"/>
      <c r="IOV1177"/>
      <c r="IOW1177"/>
      <c r="IOX1177"/>
      <c r="IOY1177"/>
      <c r="IOZ1177"/>
      <c r="IPA1177"/>
      <c r="IPB1177"/>
      <c r="IPC1177"/>
      <c r="IPD1177"/>
      <c r="IPE1177"/>
      <c r="IPF1177"/>
      <c r="IPG1177"/>
      <c r="IPH1177"/>
      <c r="IPI1177"/>
      <c r="IPJ1177"/>
      <c r="IPK1177"/>
      <c r="IPL1177"/>
      <c r="IPM1177"/>
      <c r="IPN1177"/>
      <c r="IPO1177"/>
      <c r="IPP1177"/>
      <c r="IPQ1177"/>
      <c r="IPR1177"/>
      <c r="IPS1177"/>
      <c r="IPT1177"/>
      <c r="IPU1177"/>
      <c r="IPV1177"/>
      <c r="IPW1177"/>
      <c r="IPX1177"/>
      <c r="IPY1177"/>
      <c r="IPZ1177"/>
      <c r="IQA1177"/>
      <c r="IQB1177"/>
      <c r="IQC1177"/>
      <c r="IQD1177"/>
      <c r="IQE1177"/>
      <c r="IQF1177"/>
      <c r="IQG1177"/>
      <c r="IQH1177"/>
      <c r="IQI1177"/>
      <c r="IQJ1177"/>
      <c r="IQK1177"/>
      <c r="IQL1177"/>
      <c r="IQM1177"/>
      <c r="IQN1177"/>
      <c r="IQO1177"/>
      <c r="IQP1177"/>
      <c r="IQQ1177"/>
      <c r="IQR1177"/>
      <c r="IQS1177"/>
      <c r="IQT1177"/>
      <c r="IQU1177"/>
      <c r="IQV1177"/>
      <c r="IQW1177"/>
      <c r="IQX1177"/>
      <c r="IQY1177"/>
      <c r="IQZ1177"/>
      <c r="IRA1177"/>
      <c r="IRB1177"/>
      <c r="IRC1177"/>
      <c r="IRD1177"/>
      <c r="IRE1177"/>
      <c r="IRF1177"/>
      <c r="IRG1177"/>
      <c r="IRH1177"/>
      <c r="IRI1177"/>
      <c r="IRJ1177"/>
      <c r="IRK1177"/>
      <c r="IRL1177"/>
      <c r="IRM1177"/>
      <c r="IRN1177"/>
      <c r="IRO1177"/>
      <c r="IRP1177"/>
      <c r="IRQ1177"/>
      <c r="IRR1177"/>
      <c r="IRS1177"/>
      <c r="IRT1177"/>
      <c r="IRU1177"/>
      <c r="IRV1177"/>
      <c r="IRW1177"/>
      <c r="IRX1177"/>
      <c r="IRY1177"/>
      <c r="IRZ1177"/>
      <c r="ISA1177"/>
      <c r="ISB1177"/>
      <c r="ISC1177"/>
      <c r="ISD1177"/>
      <c r="ISE1177"/>
      <c r="ISF1177"/>
      <c r="ISG1177"/>
      <c r="ISH1177"/>
      <c r="ISI1177"/>
      <c r="ISJ1177"/>
      <c r="ISK1177"/>
      <c r="ISL1177"/>
      <c r="ISM1177"/>
      <c r="ISN1177"/>
      <c r="ISO1177"/>
      <c r="ISP1177"/>
      <c r="ISQ1177"/>
      <c r="ISR1177"/>
      <c r="ISS1177"/>
      <c r="IST1177"/>
      <c r="ISU1177"/>
      <c r="ISV1177"/>
      <c r="ISW1177"/>
      <c r="ISX1177"/>
      <c r="ISY1177"/>
      <c r="ISZ1177"/>
      <c r="ITA1177"/>
      <c r="ITB1177"/>
      <c r="ITC1177"/>
      <c r="ITD1177"/>
      <c r="ITE1177"/>
      <c r="ITF1177"/>
      <c r="ITG1177"/>
      <c r="ITH1177"/>
      <c r="ITI1177"/>
      <c r="ITJ1177"/>
      <c r="ITK1177"/>
      <c r="ITL1177"/>
      <c r="ITM1177"/>
      <c r="ITN1177"/>
      <c r="ITO1177"/>
      <c r="ITP1177"/>
      <c r="ITQ1177"/>
      <c r="ITR1177"/>
      <c r="ITS1177"/>
      <c r="ITT1177"/>
      <c r="ITU1177"/>
      <c r="ITV1177"/>
      <c r="ITW1177"/>
      <c r="ITX1177"/>
      <c r="ITY1177"/>
      <c r="ITZ1177"/>
      <c r="IUA1177"/>
      <c r="IUB1177"/>
      <c r="IUC1177"/>
      <c r="IUD1177"/>
      <c r="IUE1177"/>
      <c r="IUF1177"/>
      <c r="IUG1177"/>
      <c r="IUH1177"/>
      <c r="IUI1177"/>
      <c r="IUJ1177"/>
      <c r="IUK1177"/>
      <c r="IUL1177"/>
      <c r="IUM1177"/>
      <c r="IUN1177"/>
      <c r="IUO1177"/>
      <c r="IUP1177"/>
      <c r="IUQ1177"/>
      <c r="IUR1177"/>
      <c r="IUS1177"/>
      <c r="IUT1177"/>
      <c r="IUU1177"/>
      <c r="IUV1177"/>
      <c r="IUW1177"/>
      <c r="IUX1177"/>
      <c r="IUY1177"/>
      <c r="IUZ1177"/>
      <c r="IVA1177"/>
      <c r="IVB1177"/>
      <c r="IVC1177"/>
      <c r="IVD1177"/>
      <c r="IVE1177"/>
      <c r="IVF1177"/>
      <c r="IVG1177"/>
      <c r="IVH1177"/>
      <c r="IVI1177"/>
      <c r="IVJ1177"/>
      <c r="IVK1177"/>
      <c r="IVL1177"/>
      <c r="IVM1177"/>
      <c r="IVN1177"/>
      <c r="IVO1177"/>
      <c r="IVP1177"/>
      <c r="IVQ1177"/>
      <c r="IVR1177"/>
      <c r="IVS1177"/>
      <c r="IVT1177"/>
      <c r="IVU1177"/>
      <c r="IVV1177"/>
      <c r="IVW1177"/>
      <c r="IVX1177"/>
      <c r="IVY1177"/>
      <c r="IVZ1177"/>
      <c r="IWA1177"/>
      <c r="IWB1177"/>
      <c r="IWC1177"/>
      <c r="IWD1177"/>
      <c r="IWE1177"/>
      <c r="IWF1177"/>
      <c r="IWG1177"/>
      <c r="IWH1177"/>
      <c r="IWI1177"/>
      <c r="IWJ1177"/>
      <c r="IWK1177"/>
      <c r="IWL1177"/>
      <c r="IWM1177"/>
      <c r="IWN1177"/>
      <c r="IWO1177"/>
      <c r="IWP1177"/>
      <c r="IWQ1177"/>
      <c r="IWR1177"/>
      <c r="IWS1177"/>
      <c r="IWT1177"/>
      <c r="IWU1177"/>
      <c r="IWV1177"/>
      <c r="IWW1177"/>
      <c r="IWX1177"/>
      <c r="IWY1177"/>
      <c r="IWZ1177"/>
      <c r="IXA1177"/>
      <c r="IXB1177"/>
      <c r="IXC1177"/>
      <c r="IXD1177"/>
      <c r="IXE1177"/>
      <c r="IXF1177"/>
      <c r="IXG1177"/>
      <c r="IXH1177"/>
      <c r="IXI1177"/>
      <c r="IXJ1177"/>
      <c r="IXK1177"/>
      <c r="IXL1177"/>
      <c r="IXM1177"/>
      <c r="IXN1177"/>
      <c r="IXO1177"/>
      <c r="IXP1177"/>
      <c r="IXQ1177"/>
      <c r="IXR1177"/>
      <c r="IXS1177"/>
      <c r="IXT1177"/>
      <c r="IXU1177"/>
      <c r="IXV1177"/>
      <c r="IXW1177"/>
      <c r="IXX1177"/>
      <c r="IXY1177"/>
      <c r="IXZ1177"/>
      <c r="IYA1177"/>
      <c r="IYB1177"/>
      <c r="IYC1177"/>
      <c r="IYD1177"/>
      <c r="IYE1177"/>
      <c r="IYF1177"/>
      <c r="IYG1177"/>
      <c r="IYH1177"/>
      <c r="IYI1177"/>
      <c r="IYJ1177"/>
      <c r="IYK1177"/>
      <c r="IYL1177"/>
      <c r="IYM1177"/>
      <c r="IYN1177"/>
      <c r="IYO1177"/>
      <c r="IYP1177"/>
      <c r="IYQ1177"/>
      <c r="IYR1177"/>
      <c r="IYS1177"/>
      <c r="IYT1177"/>
      <c r="IYU1177"/>
      <c r="IYV1177"/>
      <c r="IYW1177"/>
      <c r="IYX1177"/>
      <c r="IYY1177"/>
      <c r="IYZ1177"/>
      <c r="IZA1177"/>
      <c r="IZB1177"/>
      <c r="IZC1177"/>
      <c r="IZD1177"/>
      <c r="IZE1177"/>
      <c r="IZF1177"/>
      <c r="IZG1177"/>
      <c r="IZH1177"/>
      <c r="IZI1177"/>
      <c r="IZJ1177"/>
      <c r="IZK1177"/>
      <c r="IZL1177"/>
      <c r="IZM1177"/>
      <c r="IZN1177"/>
      <c r="IZO1177"/>
      <c r="IZP1177"/>
      <c r="IZQ1177"/>
      <c r="IZR1177"/>
      <c r="IZS1177"/>
      <c r="IZT1177"/>
      <c r="IZU1177"/>
      <c r="IZV1177"/>
      <c r="IZW1177"/>
      <c r="IZX1177"/>
      <c r="IZY1177"/>
      <c r="IZZ1177"/>
      <c r="JAA1177"/>
      <c r="JAB1177"/>
      <c r="JAC1177"/>
      <c r="JAD1177"/>
      <c r="JAE1177"/>
      <c r="JAF1177"/>
      <c r="JAG1177"/>
      <c r="JAH1177"/>
      <c r="JAI1177"/>
      <c r="JAJ1177"/>
      <c r="JAK1177"/>
      <c r="JAL1177"/>
      <c r="JAM1177"/>
      <c r="JAN1177"/>
      <c r="JAO1177"/>
      <c r="JAP1177"/>
      <c r="JAQ1177"/>
      <c r="JAR1177"/>
      <c r="JAS1177"/>
      <c r="JAT1177"/>
      <c r="JAU1177"/>
      <c r="JAV1177"/>
      <c r="JAW1177"/>
      <c r="JAX1177"/>
      <c r="JAY1177"/>
      <c r="JAZ1177"/>
      <c r="JBA1177"/>
      <c r="JBB1177"/>
      <c r="JBC1177"/>
      <c r="JBD1177"/>
      <c r="JBE1177"/>
      <c r="JBF1177"/>
      <c r="JBG1177"/>
      <c r="JBH1177"/>
      <c r="JBI1177"/>
      <c r="JBJ1177"/>
      <c r="JBK1177"/>
      <c r="JBL1177"/>
      <c r="JBM1177"/>
      <c r="JBN1177"/>
      <c r="JBO1177"/>
      <c r="JBP1177"/>
      <c r="JBQ1177"/>
      <c r="JBR1177"/>
      <c r="JBS1177"/>
      <c r="JBT1177"/>
      <c r="JBU1177"/>
      <c r="JBV1177"/>
      <c r="JBW1177"/>
      <c r="JBX1177"/>
      <c r="JBY1177"/>
      <c r="JBZ1177"/>
      <c r="JCA1177"/>
      <c r="JCB1177"/>
      <c r="JCC1177"/>
      <c r="JCD1177"/>
      <c r="JCE1177"/>
      <c r="JCF1177"/>
      <c r="JCG1177"/>
      <c r="JCH1177"/>
      <c r="JCI1177"/>
      <c r="JCJ1177"/>
      <c r="JCK1177"/>
      <c r="JCL1177"/>
      <c r="JCM1177"/>
      <c r="JCN1177"/>
      <c r="JCO1177"/>
      <c r="JCP1177"/>
      <c r="JCQ1177"/>
      <c r="JCR1177"/>
      <c r="JCS1177"/>
      <c r="JCT1177"/>
      <c r="JCU1177"/>
      <c r="JCV1177"/>
      <c r="JCW1177"/>
      <c r="JCX1177"/>
      <c r="JCY1177"/>
      <c r="JCZ1177"/>
      <c r="JDA1177"/>
      <c r="JDB1177"/>
      <c r="JDC1177"/>
      <c r="JDD1177"/>
      <c r="JDE1177"/>
      <c r="JDF1177"/>
      <c r="JDG1177"/>
      <c r="JDH1177"/>
      <c r="JDI1177"/>
      <c r="JDJ1177"/>
      <c r="JDK1177"/>
      <c r="JDL1177"/>
      <c r="JDM1177"/>
      <c r="JDN1177"/>
      <c r="JDO1177"/>
      <c r="JDP1177"/>
      <c r="JDQ1177"/>
      <c r="JDR1177"/>
      <c r="JDS1177"/>
      <c r="JDT1177"/>
      <c r="JDU1177"/>
      <c r="JDV1177"/>
      <c r="JDW1177"/>
      <c r="JDX1177"/>
      <c r="JDY1177"/>
      <c r="JDZ1177"/>
      <c r="JEA1177"/>
      <c r="JEB1177"/>
      <c r="JEC1177"/>
      <c r="JED1177"/>
      <c r="JEE1177"/>
      <c r="JEF1177"/>
      <c r="JEG1177"/>
      <c r="JEH1177"/>
      <c r="JEI1177"/>
      <c r="JEJ1177"/>
      <c r="JEK1177"/>
      <c r="JEL1177"/>
      <c r="JEM1177"/>
      <c r="JEN1177"/>
      <c r="JEO1177"/>
      <c r="JEP1177"/>
      <c r="JEQ1177"/>
      <c r="JER1177"/>
      <c r="JES1177"/>
      <c r="JET1177"/>
      <c r="JEU1177"/>
      <c r="JEV1177"/>
      <c r="JEW1177"/>
      <c r="JEX1177"/>
      <c r="JEY1177"/>
      <c r="JEZ1177"/>
      <c r="JFA1177"/>
      <c r="JFB1177"/>
      <c r="JFC1177"/>
      <c r="JFD1177"/>
      <c r="JFE1177"/>
      <c r="JFF1177"/>
      <c r="JFG1177"/>
      <c r="JFH1177"/>
      <c r="JFI1177"/>
      <c r="JFJ1177"/>
      <c r="JFK1177"/>
      <c r="JFL1177"/>
      <c r="JFM1177"/>
      <c r="JFN1177"/>
      <c r="JFO1177"/>
      <c r="JFP1177"/>
      <c r="JFQ1177"/>
      <c r="JFR1177"/>
      <c r="JFS1177"/>
      <c r="JFT1177"/>
      <c r="JFU1177"/>
      <c r="JFV1177"/>
      <c r="JFW1177"/>
      <c r="JFX1177"/>
      <c r="JFY1177"/>
      <c r="JFZ1177"/>
      <c r="JGA1177"/>
      <c r="JGB1177"/>
      <c r="JGC1177"/>
      <c r="JGD1177"/>
      <c r="JGE1177"/>
      <c r="JGF1177"/>
      <c r="JGG1177"/>
      <c r="JGH1177"/>
      <c r="JGI1177"/>
      <c r="JGJ1177"/>
      <c r="JGK1177"/>
      <c r="JGL1177"/>
      <c r="JGM1177"/>
      <c r="JGN1177"/>
      <c r="JGO1177"/>
      <c r="JGP1177"/>
      <c r="JGQ1177"/>
      <c r="JGR1177"/>
      <c r="JGS1177"/>
      <c r="JGT1177"/>
      <c r="JGU1177"/>
      <c r="JGV1177"/>
      <c r="JGW1177"/>
      <c r="JGX1177"/>
      <c r="JGY1177"/>
      <c r="JGZ1177"/>
      <c r="JHA1177"/>
      <c r="JHB1177"/>
      <c r="JHC1177"/>
      <c r="JHD1177"/>
      <c r="JHE1177"/>
      <c r="JHF1177"/>
      <c r="JHG1177"/>
      <c r="JHH1177"/>
      <c r="JHI1177"/>
      <c r="JHJ1177"/>
      <c r="JHK1177"/>
      <c r="JHL1177"/>
      <c r="JHM1177"/>
      <c r="JHN1177"/>
      <c r="JHO1177"/>
      <c r="JHP1177"/>
      <c r="JHQ1177"/>
      <c r="JHR1177"/>
      <c r="JHS1177"/>
      <c r="JHT1177"/>
      <c r="JHU1177"/>
      <c r="JHV1177"/>
      <c r="JHW1177"/>
      <c r="JHX1177"/>
      <c r="JHY1177"/>
      <c r="JHZ1177"/>
      <c r="JIA1177"/>
      <c r="JIB1177"/>
      <c r="JIC1177"/>
      <c r="JID1177"/>
      <c r="JIE1177"/>
      <c r="JIF1177"/>
      <c r="JIG1177"/>
      <c r="JIH1177"/>
      <c r="JII1177"/>
      <c r="JIJ1177"/>
      <c r="JIK1177"/>
      <c r="JIL1177"/>
      <c r="JIM1177"/>
      <c r="JIN1177"/>
      <c r="JIO1177"/>
      <c r="JIP1177"/>
      <c r="JIQ1177"/>
      <c r="JIR1177"/>
      <c r="JIS1177"/>
      <c r="JIT1177"/>
      <c r="JIU1177"/>
      <c r="JIV1177"/>
      <c r="JIW1177"/>
      <c r="JIX1177"/>
      <c r="JIY1177"/>
      <c r="JIZ1177"/>
      <c r="JJA1177"/>
      <c r="JJB1177"/>
      <c r="JJC1177"/>
      <c r="JJD1177"/>
      <c r="JJE1177"/>
      <c r="JJF1177"/>
      <c r="JJG1177"/>
      <c r="JJH1177"/>
      <c r="JJI1177"/>
      <c r="JJJ1177"/>
      <c r="JJK1177"/>
      <c r="JJL1177"/>
      <c r="JJM1177"/>
      <c r="JJN1177"/>
      <c r="JJO1177"/>
      <c r="JJP1177"/>
      <c r="JJQ1177"/>
      <c r="JJR1177"/>
      <c r="JJS1177"/>
      <c r="JJT1177"/>
      <c r="JJU1177"/>
      <c r="JJV1177"/>
      <c r="JJW1177"/>
      <c r="JJX1177"/>
      <c r="JJY1177"/>
      <c r="JJZ1177"/>
      <c r="JKA1177"/>
      <c r="JKB1177"/>
      <c r="JKC1177"/>
      <c r="JKD1177"/>
      <c r="JKE1177"/>
      <c r="JKF1177"/>
      <c r="JKG1177"/>
      <c r="JKH1177"/>
      <c r="JKI1177"/>
      <c r="JKJ1177"/>
      <c r="JKK1177"/>
      <c r="JKL1177"/>
      <c r="JKM1177"/>
      <c r="JKN1177"/>
      <c r="JKO1177"/>
      <c r="JKP1177"/>
      <c r="JKQ1177"/>
      <c r="JKR1177"/>
      <c r="JKS1177"/>
      <c r="JKT1177"/>
      <c r="JKU1177"/>
      <c r="JKV1177"/>
      <c r="JKW1177"/>
      <c r="JKX1177"/>
      <c r="JKY1177"/>
      <c r="JKZ1177"/>
      <c r="JLA1177"/>
      <c r="JLB1177"/>
      <c r="JLC1177"/>
      <c r="JLD1177"/>
      <c r="JLE1177"/>
      <c r="JLF1177"/>
      <c r="JLG1177"/>
      <c r="JLH1177"/>
      <c r="JLI1177"/>
      <c r="JLJ1177"/>
      <c r="JLK1177"/>
      <c r="JLL1177"/>
      <c r="JLM1177"/>
      <c r="JLN1177"/>
      <c r="JLO1177"/>
      <c r="JLP1177"/>
      <c r="JLQ1177"/>
      <c r="JLR1177"/>
      <c r="JLS1177"/>
      <c r="JLT1177"/>
      <c r="JLU1177"/>
      <c r="JLV1177"/>
      <c r="JLW1177"/>
      <c r="JLX1177"/>
      <c r="JLY1177"/>
      <c r="JLZ1177"/>
      <c r="JMA1177"/>
      <c r="JMB1177"/>
      <c r="JMC1177"/>
      <c r="JMD1177"/>
      <c r="JME1177"/>
      <c r="JMF1177"/>
      <c r="JMG1177"/>
      <c r="JMH1177"/>
      <c r="JMI1177"/>
      <c r="JMJ1177"/>
      <c r="JMK1177"/>
      <c r="JML1177"/>
      <c r="JMM1177"/>
      <c r="JMN1177"/>
      <c r="JMO1177"/>
      <c r="JMP1177"/>
      <c r="JMQ1177"/>
      <c r="JMR1177"/>
      <c r="JMS1177"/>
      <c r="JMT1177"/>
      <c r="JMU1177"/>
      <c r="JMV1177"/>
      <c r="JMW1177"/>
      <c r="JMX1177"/>
      <c r="JMY1177"/>
      <c r="JMZ1177"/>
      <c r="JNA1177"/>
      <c r="JNB1177"/>
      <c r="JNC1177"/>
      <c r="JND1177"/>
      <c r="JNE1177"/>
      <c r="JNF1177"/>
      <c r="JNG1177"/>
      <c r="JNH1177"/>
      <c r="JNI1177"/>
      <c r="JNJ1177"/>
      <c r="JNK1177"/>
      <c r="JNL1177"/>
      <c r="JNM1177"/>
      <c r="JNN1177"/>
      <c r="JNO1177"/>
      <c r="JNP1177"/>
      <c r="JNQ1177"/>
      <c r="JNR1177"/>
      <c r="JNS1177"/>
      <c r="JNT1177"/>
      <c r="JNU1177"/>
      <c r="JNV1177"/>
      <c r="JNW1177"/>
      <c r="JNX1177"/>
      <c r="JNY1177"/>
      <c r="JNZ1177"/>
      <c r="JOA1177"/>
      <c r="JOB1177"/>
      <c r="JOC1177"/>
      <c r="JOD1177"/>
      <c r="JOE1177"/>
      <c r="JOF1177"/>
      <c r="JOG1177"/>
      <c r="JOH1177"/>
      <c r="JOI1177"/>
      <c r="JOJ1177"/>
      <c r="JOK1177"/>
      <c r="JOL1177"/>
      <c r="JOM1177"/>
      <c r="JON1177"/>
      <c r="JOO1177"/>
      <c r="JOP1177"/>
      <c r="JOQ1177"/>
      <c r="JOR1177"/>
      <c r="JOS1177"/>
      <c r="JOT1177"/>
      <c r="JOU1177"/>
      <c r="JOV1177"/>
      <c r="JOW1177"/>
      <c r="JOX1177"/>
      <c r="JOY1177"/>
      <c r="JOZ1177"/>
      <c r="JPA1177"/>
      <c r="JPB1177"/>
      <c r="JPC1177"/>
      <c r="JPD1177"/>
      <c r="JPE1177"/>
      <c r="JPF1177"/>
      <c r="JPG1177"/>
      <c r="JPH1177"/>
      <c r="JPI1177"/>
      <c r="JPJ1177"/>
      <c r="JPK1177"/>
      <c r="JPL1177"/>
      <c r="JPM1177"/>
      <c r="JPN1177"/>
      <c r="JPO1177"/>
      <c r="JPP1177"/>
      <c r="JPQ1177"/>
      <c r="JPR1177"/>
      <c r="JPS1177"/>
      <c r="JPT1177"/>
      <c r="JPU1177"/>
      <c r="JPV1177"/>
      <c r="JPW1177"/>
      <c r="JPX1177"/>
      <c r="JPY1177"/>
      <c r="JPZ1177"/>
      <c r="JQA1177"/>
      <c r="JQB1177"/>
      <c r="JQC1177"/>
      <c r="JQD1177"/>
      <c r="JQE1177"/>
      <c r="JQF1177"/>
      <c r="JQG1177"/>
      <c r="JQH1177"/>
      <c r="JQI1177"/>
      <c r="JQJ1177"/>
      <c r="JQK1177"/>
      <c r="JQL1177"/>
      <c r="JQM1177"/>
      <c r="JQN1177"/>
      <c r="JQO1177"/>
      <c r="JQP1177"/>
      <c r="JQQ1177"/>
      <c r="JQR1177"/>
      <c r="JQS1177"/>
      <c r="JQT1177"/>
      <c r="JQU1177"/>
      <c r="JQV1177"/>
      <c r="JQW1177"/>
      <c r="JQX1177"/>
      <c r="JQY1177"/>
      <c r="JQZ1177"/>
      <c r="JRA1177"/>
      <c r="JRB1177"/>
      <c r="JRC1177"/>
      <c r="JRD1177"/>
      <c r="JRE1177"/>
      <c r="JRF1177"/>
      <c r="JRG1177"/>
      <c r="JRH1177"/>
      <c r="JRI1177"/>
      <c r="JRJ1177"/>
      <c r="JRK1177"/>
      <c r="JRL1177"/>
      <c r="JRM1177"/>
      <c r="JRN1177"/>
      <c r="JRO1177"/>
      <c r="JRP1177"/>
      <c r="JRQ1177"/>
      <c r="JRR1177"/>
      <c r="JRS1177"/>
      <c r="JRT1177"/>
      <c r="JRU1177"/>
      <c r="JRV1177"/>
      <c r="JRW1177"/>
      <c r="JRX1177"/>
      <c r="JRY1177"/>
      <c r="JRZ1177"/>
      <c r="JSA1177"/>
      <c r="JSB1177"/>
      <c r="JSC1177"/>
      <c r="JSD1177"/>
      <c r="JSE1177"/>
      <c r="JSF1177"/>
      <c r="JSG1177"/>
      <c r="JSH1177"/>
      <c r="JSI1177"/>
      <c r="JSJ1177"/>
      <c r="JSK1177"/>
      <c r="JSL1177"/>
      <c r="JSM1177"/>
      <c r="JSN1177"/>
      <c r="JSO1177"/>
      <c r="JSP1177"/>
      <c r="JSQ1177"/>
      <c r="JSR1177"/>
      <c r="JSS1177"/>
      <c r="JST1177"/>
      <c r="JSU1177"/>
      <c r="JSV1177"/>
      <c r="JSW1177"/>
      <c r="JSX1177"/>
      <c r="JSY1177"/>
      <c r="JSZ1177"/>
      <c r="JTA1177"/>
      <c r="JTB1177"/>
      <c r="JTC1177"/>
      <c r="JTD1177"/>
      <c r="JTE1177"/>
      <c r="JTF1177"/>
      <c r="JTG1177"/>
      <c r="JTH1177"/>
      <c r="JTI1177"/>
      <c r="JTJ1177"/>
      <c r="JTK1177"/>
      <c r="JTL1177"/>
      <c r="JTM1177"/>
      <c r="JTN1177"/>
      <c r="JTO1177"/>
      <c r="JTP1177"/>
      <c r="JTQ1177"/>
      <c r="JTR1177"/>
      <c r="JTS1177"/>
      <c r="JTT1177"/>
      <c r="JTU1177"/>
      <c r="JTV1177"/>
      <c r="JTW1177"/>
      <c r="JTX1177"/>
      <c r="JTY1177"/>
      <c r="JTZ1177"/>
      <c r="JUA1177"/>
      <c r="JUB1177"/>
      <c r="JUC1177"/>
      <c r="JUD1177"/>
      <c r="JUE1177"/>
      <c r="JUF1177"/>
      <c r="JUG1177"/>
      <c r="JUH1177"/>
      <c r="JUI1177"/>
      <c r="JUJ1177"/>
      <c r="JUK1177"/>
      <c r="JUL1177"/>
      <c r="JUM1177"/>
      <c r="JUN1177"/>
      <c r="JUO1177"/>
      <c r="JUP1177"/>
      <c r="JUQ1177"/>
      <c r="JUR1177"/>
      <c r="JUS1177"/>
      <c r="JUT1177"/>
      <c r="JUU1177"/>
      <c r="JUV1177"/>
      <c r="JUW1177"/>
      <c r="JUX1177"/>
      <c r="JUY1177"/>
      <c r="JUZ1177"/>
      <c r="JVA1177"/>
      <c r="JVB1177"/>
      <c r="JVC1177"/>
      <c r="JVD1177"/>
      <c r="JVE1177"/>
      <c r="JVF1177"/>
      <c r="JVG1177"/>
      <c r="JVH1177"/>
      <c r="JVI1177"/>
      <c r="JVJ1177"/>
      <c r="JVK1177"/>
      <c r="JVL1177"/>
      <c r="JVM1177"/>
      <c r="JVN1177"/>
      <c r="JVO1177"/>
      <c r="JVP1177"/>
      <c r="JVQ1177"/>
      <c r="JVR1177"/>
      <c r="JVS1177"/>
      <c r="JVT1177"/>
      <c r="JVU1177"/>
      <c r="JVV1177"/>
      <c r="JVW1177"/>
      <c r="JVX1177"/>
      <c r="JVY1177"/>
      <c r="JVZ1177"/>
      <c r="JWA1177"/>
      <c r="JWB1177"/>
      <c r="JWC1177"/>
      <c r="JWD1177"/>
      <c r="JWE1177"/>
      <c r="JWF1177"/>
      <c r="JWG1177"/>
      <c r="JWH1177"/>
      <c r="JWI1177"/>
      <c r="JWJ1177"/>
      <c r="JWK1177"/>
      <c r="JWL1177"/>
      <c r="JWM1177"/>
      <c r="JWN1177"/>
      <c r="JWO1177"/>
      <c r="JWP1177"/>
      <c r="JWQ1177"/>
      <c r="JWR1177"/>
      <c r="JWS1177"/>
      <c r="JWT1177"/>
      <c r="JWU1177"/>
      <c r="JWV1177"/>
      <c r="JWW1177"/>
      <c r="JWX1177"/>
      <c r="JWY1177"/>
      <c r="JWZ1177"/>
      <c r="JXA1177"/>
      <c r="JXB1177"/>
      <c r="JXC1177"/>
      <c r="JXD1177"/>
      <c r="JXE1177"/>
      <c r="JXF1177"/>
      <c r="JXG1177"/>
      <c r="JXH1177"/>
      <c r="JXI1177"/>
      <c r="JXJ1177"/>
      <c r="JXK1177"/>
      <c r="JXL1177"/>
      <c r="JXM1177"/>
      <c r="JXN1177"/>
      <c r="JXO1177"/>
      <c r="JXP1177"/>
      <c r="JXQ1177"/>
      <c r="JXR1177"/>
      <c r="JXS1177"/>
      <c r="JXT1177"/>
      <c r="JXU1177"/>
      <c r="JXV1177"/>
      <c r="JXW1177"/>
      <c r="JXX1177"/>
      <c r="JXY1177"/>
      <c r="JXZ1177"/>
      <c r="JYA1177"/>
      <c r="JYB1177"/>
      <c r="JYC1177"/>
      <c r="JYD1177"/>
      <c r="JYE1177"/>
      <c r="JYF1177"/>
      <c r="JYG1177"/>
      <c r="JYH1177"/>
      <c r="JYI1177"/>
      <c r="JYJ1177"/>
      <c r="JYK1177"/>
      <c r="JYL1177"/>
      <c r="JYM1177"/>
      <c r="JYN1177"/>
      <c r="JYO1177"/>
      <c r="JYP1177"/>
      <c r="JYQ1177"/>
      <c r="JYR1177"/>
      <c r="JYS1177"/>
      <c r="JYT1177"/>
      <c r="JYU1177"/>
      <c r="JYV1177"/>
      <c r="JYW1177"/>
      <c r="JYX1177"/>
      <c r="JYY1177"/>
      <c r="JYZ1177"/>
      <c r="JZA1177"/>
      <c r="JZB1177"/>
      <c r="JZC1177"/>
      <c r="JZD1177"/>
      <c r="JZE1177"/>
      <c r="JZF1177"/>
      <c r="JZG1177"/>
      <c r="JZH1177"/>
      <c r="JZI1177"/>
      <c r="JZJ1177"/>
      <c r="JZK1177"/>
      <c r="JZL1177"/>
      <c r="JZM1177"/>
      <c r="JZN1177"/>
      <c r="JZO1177"/>
      <c r="JZP1177"/>
      <c r="JZQ1177"/>
      <c r="JZR1177"/>
      <c r="JZS1177"/>
      <c r="JZT1177"/>
      <c r="JZU1177"/>
      <c r="JZV1177"/>
      <c r="JZW1177"/>
      <c r="JZX1177"/>
      <c r="JZY1177"/>
      <c r="JZZ1177"/>
      <c r="KAA1177"/>
      <c r="KAB1177"/>
      <c r="KAC1177"/>
      <c r="KAD1177"/>
      <c r="KAE1177"/>
      <c r="KAF1177"/>
      <c r="KAG1177"/>
      <c r="KAH1177"/>
      <c r="KAI1177"/>
      <c r="KAJ1177"/>
      <c r="KAK1177"/>
      <c r="KAL1177"/>
      <c r="KAM1177"/>
      <c r="KAN1177"/>
      <c r="KAO1177"/>
      <c r="KAP1177"/>
      <c r="KAQ1177"/>
      <c r="KAR1177"/>
      <c r="KAS1177"/>
      <c r="KAT1177"/>
      <c r="KAU1177"/>
      <c r="KAV1177"/>
      <c r="KAW1177"/>
      <c r="KAX1177"/>
      <c r="KAY1177"/>
      <c r="KAZ1177"/>
      <c r="KBA1177"/>
      <c r="KBB1177"/>
      <c r="KBC1177"/>
      <c r="KBD1177"/>
      <c r="KBE1177"/>
      <c r="KBF1177"/>
      <c r="KBG1177"/>
      <c r="KBH1177"/>
      <c r="KBI1177"/>
      <c r="KBJ1177"/>
      <c r="KBK1177"/>
      <c r="KBL1177"/>
      <c r="KBM1177"/>
      <c r="KBN1177"/>
      <c r="KBO1177"/>
      <c r="KBP1177"/>
      <c r="KBQ1177"/>
      <c r="KBR1177"/>
      <c r="KBS1177"/>
      <c r="KBT1177"/>
      <c r="KBU1177"/>
      <c r="KBV1177"/>
      <c r="KBW1177"/>
      <c r="KBX1177"/>
      <c r="KBY1177"/>
      <c r="KBZ1177"/>
      <c r="KCA1177"/>
      <c r="KCB1177"/>
      <c r="KCC1177"/>
      <c r="KCD1177"/>
      <c r="KCE1177"/>
      <c r="KCF1177"/>
      <c r="KCG1177"/>
      <c r="KCH1177"/>
      <c r="KCI1177"/>
      <c r="KCJ1177"/>
      <c r="KCK1177"/>
      <c r="KCL1177"/>
      <c r="KCM1177"/>
      <c r="KCN1177"/>
      <c r="KCO1177"/>
      <c r="KCP1177"/>
      <c r="KCQ1177"/>
      <c r="KCR1177"/>
      <c r="KCS1177"/>
      <c r="KCT1177"/>
      <c r="KCU1177"/>
      <c r="KCV1177"/>
      <c r="KCW1177"/>
      <c r="KCX1177"/>
      <c r="KCY1177"/>
      <c r="KCZ1177"/>
      <c r="KDA1177"/>
      <c r="KDB1177"/>
      <c r="KDC1177"/>
      <c r="KDD1177"/>
      <c r="KDE1177"/>
      <c r="KDF1177"/>
      <c r="KDG1177"/>
      <c r="KDH1177"/>
      <c r="KDI1177"/>
      <c r="KDJ1177"/>
      <c r="KDK1177"/>
      <c r="KDL1177"/>
      <c r="KDM1177"/>
      <c r="KDN1177"/>
      <c r="KDO1177"/>
      <c r="KDP1177"/>
      <c r="KDQ1177"/>
      <c r="KDR1177"/>
      <c r="KDS1177"/>
      <c r="KDT1177"/>
      <c r="KDU1177"/>
      <c r="KDV1177"/>
      <c r="KDW1177"/>
      <c r="KDX1177"/>
      <c r="KDY1177"/>
      <c r="KDZ1177"/>
      <c r="KEA1177"/>
      <c r="KEB1177"/>
      <c r="KEC1177"/>
      <c r="KED1177"/>
      <c r="KEE1177"/>
      <c r="KEF1177"/>
      <c r="KEG1177"/>
      <c r="KEH1177"/>
      <c r="KEI1177"/>
      <c r="KEJ1177"/>
      <c r="KEK1177"/>
      <c r="KEL1177"/>
      <c r="KEM1177"/>
      <c r="KEN1177"/>
      <c r="KEO1177"/>
      <c r="KEP1177"/>
      <c r="KEQ1177"/>
      <c r="KER1177"/>
      <c r="KES1177"/>
      <c r="KET1177"/>
      <c r="KEU1177"/>
      <c r="KEV1177"/>
      <c r="KEW1177"/>
      <c r="KEX1177"/>
      <c r="KEY1177"/>
      <c r="KEZ1177"/>
      <c r="KFA1177"/>
      <c r="KFB1177"/>
      <c r="KFC1177"/>
      <c r="KFD1177"/>
      <c r="KFE1177"/>
      <c r="KFF1177"/>
      <c r="KFG1177"/>
      <c r="KFH1177"/>
      <c r="KFI1177"/>
      <c r="KFJ1177"/>
      <c r="KFK1177"/>
      <c r="KFL1177"/>
      <c r="KFM1177"/>
      <c r="KFN1177"/>
      <c r="KFO1177"/>
      <c r="KFP1177"/>
      <c r="KFQ1177"/>
      <c r="KFR1177"/>
      <c r="KFS1177"/>
      <c r="KFT1177"/>
      <c r="KFU1177"/>
      <c r="KFV1177"/>
      <c r="KFW1177"/>
      <c r="KFX1177"/>
      <c r="KFY1177"/>
      <c r="KFZ1177"/>
      <c r="KGA1177"/>
      <c r="KGB1177"/>
      <c r="KGC1177"/>
      <c r="KGD1177"/>
      <c r="KGE1177"/>
      <c r="KGF1177"/>
      <c r="KGG1177"/>
      <c r="KGH1177"/>
      <c r="KGI1177"/>
      <c r="KGJ1177"/>
      <c r="KGK1177"/>
      <c r="KGL1177"/>
      <c r="KGM1177"/>
      <c r="KGN1177"/>
      <c r="KGO1177"/>
      <c r="KGP1177"/>
      <c r="KGQ1177"/>
      <c r="KGR1177"/>
      <c r="KGS1177"/>
      <c r="KGT1177"/>
      <c r="KGU1177"/>
      <c r="KGV1177"/>
      <c r="KGW1177"/>
      <c r="KGX1177"/>
      <c r="KGY1177"/>
      <c r="KGZ1177"/>
      <c r="KHA1177"/>
      <c r="KHB1177"/>
      <c r="KHC1177"/>
      <c r="KHD1177"/>
      <c r="KHE1177"/>
      <c r="KHF1177"/>
      <c r="KHG1177"/>
      <c r="KHH1177"/>
      <c r="KHI1177"/>
      <c r="KHJ1177"/>
      <c r="KHK1177"/>
      <c r="KHL1177"/>
      <c r="KHM1177"/>
      <c r="KHN1177"/>
      <c r="KHO1177"/>
      <c r="KHP1177"/>
      <c r="KHQ1177"/>
      <c r="KHR1177"/>
      <c r="KHS1177"/>
      <c r="KHT1177"/>
      <c r="KHU1177"/>
      <c r="KHV1177"/>
      <c r="KHW1177"/>
      <c r="KHX1177"/>
      <c r="KHY1177"/>
      <c r="KHZ1177"/>
      <c r="KIA1177"/>
      <c r="KIB1177"/>
      <c r="KIC1177"/>
      <c r="KID1177"/>
      <c r="KIE1177"/>
      <c r="KIF1177"/>
      <c r="KIG1177"/>
      <c r="KIH1177"/>
      <c r="KII1177"/>
      <c r="KIJ1177"/>
      <c r="KIK1177"/>
      <c r="KIL1177"/>
      <c r="KIM1177"/>
      <c r="KIN1177"/>
      <c r="KIO1177"/>
      <c r="KIP1177"/>
      <c r="KIQ1177"/>
      <c r="KIR1177"/>
      <c r="KIS1177"/>
      <c r="KIT1177"/>
      <c r="KIU1177"/>
      <c r="KIV1177"/>
      <c r="KIW1177"/>
      <c r="KIX1177"/>
      <c r="KIY1177"/>
      <c r="KIZ1177"/>
      <c r="KJA1177"/>
      <c r="KJB1177"/>
      <c r="KJC1177"/>
      <c r="KJD1177"/>
      <c r="KJE1177"/>
      <c r="KJF1177"/>
      <c r="KJG1177"/>
      <c r="KJH1177"/>
      <c r="KJI1177"/>
      <c r="KJJ1177"/>
      <c r="KJK1177"/>
      <c r="KJL1177"/>
      <c r="KJM1177"/>
      <c r="KJN1177"/>
      <c r="KJO1177"/>
      <c r="KJP1177"/>
      <c r="KJQ1177"/>
      <c r="KJR1177"/>
      <c r="KJS1177"/>
      <c r="KJT1177"/>
      <c r="KJU1177"/>
      <c r="KJV1177"/>
      <c r="KJW1177"/>
      <c r="KJX1177"/>
      <c r="KJY1177"/>
      <c r="KJZ1177"/>
      <c r="KKA1177"/>
      <c r="KKB1177"/>
      <c r="KKC1177"/>
      <c r="KKD1177"/>
      <c r="KKE1177"/>
      <c r="KKF1177"/>
      <c r="KKG1177"/>
      <c r="KKH1177"/>
      <c r="KKI1177"/>
      <c r="KKJ1177"/>
      <c r="KKK1177"/>
      <c r="KKL1177"/>
      <c r="KKM1177"/>
      <c r="KKN1177"/>
      <c r="KKO1177"/>
      <c r="KKP1177"/>
      <c r="KKQ1177"/>
      <c r="KKR1177"/>
      <c r="KKS1177"/>
      <c r="KKT1177"/>
      <c r="KKU1177"/>
      <c r="KKV1177"/>
      <c r="KKW1177"/>
      <c r="KKX1177"/>
      <c r="KKY1177"/>
      <c r="KKZ1177"/>
      <c r="KLA1177"/>
      <c r="KLB1177"/>
      <c r="KLC1177"/>
      <c r="KLD1177"/>
      <c r="KLE1177"/>
      <c r="KLF1177"/>
      <c r="KLG1177"/>
      <c r="KLH1177"/>
      <c r="KLI1177"/>
      <c r="KLJ1177"/>
      <c r="KLK1177"/>
      <c r="KLL1177"/>
      <c r="KLM1177"/>
      <c r="KLN1177"/>
      <c r="KLO1177"/>
      <c r="KLP1177"/>
      <c r="KLQ1177"/>
      <c r="KLR1177"/>
      <c r="KLS1177"/>
      <c r="KLT1177"/>
      <c r="KLU1177"/>
      <c r="KLV1177"/>
      <c r="KLW1177"/>
      <c r="KLX1177"/>
      <c r="KLY1177"/>
      <c r="KLZ1177"/>
      <c r="KMA1177"/>
      <c r="KMB1177"/>
      <c r="KMC1177"/>
      <c r="KMD1177"/>
      <c r="KME1177"/>
      <c r="KMF1177"/>
      <c r="KMG1177"/>
      <c r="KMH1177"/>
      <c r="KMI1177"/>
      <c r="KMJ1177"/>
      <c r="KMK1177"/>
      <c r="KML1177"/>
      <c r="KMM1177"/>
      <c r="KMN1177"/>
      <c r="KMO1177"/>
      <c r="KMP1177"/>
      <c r="KMQ1177"/>
      <c r="KMR1177"/>
      <c r="KMS1177"/>
      <c r="KMT1177"/>
      <c r="KMU1177"/>
      <c r="KMV1177"/>
      <c r="KMW1177"/>
      <c r="KMX1177"/>
      <c r="KMY1177"/>
      <c r="KMZ1177"/>
      <c r="KNA1177"/>
      <c r="KNB1177"/>
      <c r="KNC1177"/>
      <c r="KND1177"/>
      <c r="KNE1177"/>
      <c r="KNF1177"/>
      <c r="KNG1177"/>
      <c r="KNH1177"/>
      <c r="KNI1177"/>
      <c r="KNJ1177"/>
      <c r="KNK1177"/>
      <c r="KNL1177"/>
      <c r="KNM1177"/>
      <c r="KNN1177"/>
      <c r="KNO1177"/>
      <c r="KNP1177"/>
      <c r="KNQ1177"/>
      <c r="KNR1177"/>
      <c r="KNS1177"/>
      <c r="KNT1177"/>
      <c r="KNU1177"/>
      <c r="KNV1177"/>
      <c r="KNW1177"/>
      <c r="KNX1177"/>
      <c r="KNY1177"/>
      <c r="KNZ1177"/>
      <c r="KOA1177"/>
      <c r="KOB1177"/>
      <c r="KOC1177"/>
      <c r="KOD1177"/>
      <c r="KOE1177"/>
      <c r="KOF1177"/>
      <c r="KOG1177"/>
      <c r="KOH1177"/>
      <c r="KOI1177"/>
      <c r="KOJ1177"/>
      <c r="KOK1177"/>
      <c r="KOL1177"/>
      <c r="KOM1177"/>
      <c r="KON1177"/>
      <c r="KOO1177"/>
      <c r="KOP1177"/>
      <c r="KOQ1177"/>
      <c r="KOR1177"/>
      <c r="KOS1177"/>
      <c r="KOT1177"/>
      <c r="KOU1177"/>
      <c r="KOV1177"/>
      <c r="KOW1177"/>
      <c r="KOX1177"/>
      <c r="KOY1177"/>
      <c r="KOZ1177"/>
      <c r="KPA1177"/>
      <c r="KPB1177"/>
      <c r="KPC1177"/>
      <c r="KPD1177"/>
      <c r="KPE1177"/>
      <c r="KPF1177"/>
      <c r="KPG1177"/>
      <c r="KPH1177"/>
      <c r="KPI1177"/>
      <c r="KPJ1177"/>
      <c r="KPK1177"/>
      <c r="KPL1177"/>
      <c r="KPM1177"/>
      <c r="KPN1177"/>
      <c r="KPO1177"/>
      <c r="KPP1177"/>
      <c r="KPQ1177"/>
      <c r="KPR1177"/>
      <c r="KPS1177"/>
      <c r="KPT1177"/>
      <c r="KPU1177"/>
      <c r="KPV1177"/>
      <c r="KPW1177"/>
      <c r="KPX1177"/>
      <c r="KPY1177"/>
      <c r="KPZ1177"/>
      <c r="KQA1177"/>
      <c r="KQB1177"/>
      <c r="KQC1177"/>
      <c r="KQD1177"/>
      <c r="KQE1177"/>
      <c r="KQF1177"/>
      <c r="KQG1177"/>
      <c r="KQH1177"/>
      <c r="KQI1177"/>
      <c r="KQJ1177"/>
      <c r="KQK1177"/>
      <c r="KQL1177"/>
      <c r="KQM1177"/>
      <c r="KQN1177"/>
      <c r="KQO1177"/>
      <c r="KQP1177"/>
      <c r="KQQ1177"/>
      <c r="KQR1177"/>
      <c r="KQS1177"/>
      <c r="KQT1177"/>
      <c r="KQU1177"/>
      <c r="KQV1177"/>
      <c r="KQW1177"/>
      <c r="KQX1177"/>
      <c r="KQY1177"/>
      <c r="KQZ1177"/>
      <c r="KRA1177"/>
      <c r="KRB1177"/>
      <c r="KRC1177"/>
      <c r="KRD1177"/>
      <c r="KRE1177"/>
      <c r="KRF1177"/>
      <c r="KRG1177"/>
      <c r="KRH1177"/>
      <c r="KRI1177"/>
      <c r="KRJ1177"/>
      <c r="KRK1177"/>
      <c r="KRL1177"/>
      <c r="KRM1177"/>
      <c r="KRN1177"/>
      <c r="KRO1177"/>
      <c r="KRP1177"/>
      <c r="KRQ1177"/>
      <c r="KRR1177"/>
      <c r="KRS1177"/>
      <c r="KRT1177"/>
      <c r="KRU1177"/>
      <c r="KRV1177"/>
      <c r="KRW1177"/>
      <c r="KRX1177"/>
      <c r="KRY1177"/>
      <c r="KRZ1177"/>
      <c r="KSA1177"/>
      <c r="KSB1177"/>
      <c r="KSC1177"/>
      <c r="KSD1177"/>
      <c r="KSE1177"/>
      <c r="KSF1177"/>
      <c r="KSG1177"/>
      <c r="KSH1177"/>
      <c r="KSI1177"/>
      <c r="KSJ1177"/>
      <c r="KSK1177"/>
      <c r="KSL1177"/>
      <c r="KSM1177"/>
      <c r="KSN1177"/>
      <c r="KSO1177"/>
      <c r="KSP1177"/>
      <c r="KSQ1177"/>
      <c r="KSR1177"/>
      <c r="KSS1177"/>
      <c r="KST1177"/>
      <c r="KSU1177"/>
      <c r="KSV1177"/>
      <c r="KSW1177"/>
      <c r="KSX1177"/>
      <c r="KSY1177"/>
      <c r="KSZ1177"/>
      <c r="KTA1177"/>
      <c r="KTB1177"/>
      <c r="KTC1177"/>
      <c r="KTD1177"/>
      <c r="KTE1177"/>
      <c r="KTF1177"/>
      <c r="KTG1177"/>
      <c r="KTH1177"/>
      <c r="KTI1177"/>
      <c r="KTJ1177"/>
      <c r="KTK1177"/>
      <c r="KTL1177"/>
      <c r="KTM1177"/>
      <c r="KTN1177"/>
      <c r="KTO1177"/>
      <c r="KTP1177"/>
      <c r="KTQ1177"/>
      <c r="KTR1177"/>
      <c r="KTS1177"/>
      <c r="KTT1177"/>
      <c r="KTU1177"/>
      <c r="KTV1177"/>
      <c r="KTW1177"/>
      <c r="KTX1177"/>
      <c r="KTY1177"/>
      <c r="KTZ1177"/>
      <c r="KUA1177"/>
      <c r="KUB1177"/>
      <c r="KUC1177"/>
      <c r="KUD1177"/>
      <c r="KUE1177"/>
      <c r="KUF1177"/>
      <c r="KUG1177"/>
      <c r="KUH1177"/>
      <c r="KUI1177"/>
      <c r="KUJ1177"/>
      <c r="KUK1177"/>
      <c r="KUL1177"/>
      <c r="KUM1177"/>
      <c r="KUN1177"/>
      <c r="KUO1177"/>
      <c r="KUP1177"/>
      <c r="KUQ1177"/>
      <c r="KUR1177"/>
      <c r="KUS1177"/>
      <c r="KUT1177"/>
      <c r="KUU1177"/>
      <c r="KUV1177"/>
      <c r="KUW1177"/>
      <c r="KUX1177"/>
      <c r="KUY1177"/>
      <c r="KUZ1177"/>
      <c r="KVA1177"/>
      <c r="KVB1177"/>
      <c r="KVC1177"/>
      <c r="KVD1177"/>
      <c r="KVE1177"/>
      <c r="KVF1177"/>
      <c r="KVG1177"/>
      <c r="KVH1177"/>
      <c r="KVI1177"/>
      <c r="KVJ1177"/>
      <c r="KVK1177"/>
      <c r="KVL1177"/>
      <c r="KVM1177"/>
      <c r="KVN1177"/>
      <c r="KVO1177"/>
      <c r="KVP1177"/>
      <c r="KVQ1177"/>
      <c r="KVR1177"/>
      <c r="KVS1177"/>
      <c r="KVT1177"/>
      <c r="KVU1177"/>
      <c r="KVV1177"/>
      <c r="KVW1177"/>
      <c r="KVX1177"/>
      <c r="KVY1177"/>
      <c r="KVZ1177"/>
      <c r="KWA1177"/>
      <c r="KWB1177"/>
      <c r="KWC1177"/>
      <c r="KWD1177"/>
      <c r="KWE1177"/>
      <c r="KWF1177"/>
      <c r="KWG1177"/>
      <c r="KWH1177"/>
      <c r="KWI1177"/>
      <c r="KWJ1177"/>
      <c r="KWK1177"/>
      <c r="KWL1177"/>
      <c r="KWM1177"/>
      <c r="KWN1177"/>
      <c r="KWO1177"/>
      <c r="KWP1177"/>
      <c r="KWQ1177"/>
      <c r="KWR1177"/>
      <c r="KWS1177"/>
      <c r="KWT1177"/>
      <c r="KWU1177"/>
      <c r="KWV1177"/>
      <c r="KWW1177"/>
      <c r="KWX1177"/>
      <c r="KWY1177"/>
      <c r="KWZ1177"/>
      <c r="KXA1177"/>
      <c r="KXB1177"/>
      <c r="KXC1177"/>
      <c r="KXD1177"/>
      <c r="KXE1177"/>
      <c r="KXF1177"/>
      <c r="KXG1177"/>
      <c r="KXH1177"/>
      <c r="KXI1177"/>
      <c r="KXJ1177"/>
      <c r="KXK1177"/>
      <c r="KXL1177"/>
      <c r="KXM1177"/>
      <c r="KXN1177"/>
      <c r="KXO1177"/>
      <c r="KXP1177"/>
      <c r="KXQ1177"/>
      <c r="KXR1177"/>
      <c r="KXS1177"/>
      <c r="KXT1177"/>
      <c r="KXU1177"/>
      <c r="KXV1177"/>
      <c r="KXW1177"/>
      <c r="KXX1177"/>
      <c r="KXY1177"/>
      <c r="KXZ1177"/>
      <c r="KYA1177"/>
      <c r="KYB1177"/>
      <c r="KYC1177"/>
      <c r="KYD1177"/>
      <c r="KYE1177"/>
      <c r="KYF1177"/>
      <c r="KYG1177"/>
      <c r="KYH1177"/>
      <c r="KYI1177"/>
      <c r="KYJ1177"/>
      <c r="KYK1177"/>
      <c r="KYL1177"/>
      <c r="KYM1177"/>
      <c r="KYN1177"/>
      <c r="KYO1177"/>
      <c r="KYP1177"/>
      <c r="KYQ1177"/>
      <c r="KYR1177"/>
      <c r="KYS1177"/>
      <c r="KYT1177"/>
      <c r="KYU1177"/>
      <c r="KYV1177"/>
      <c r="KYW1177"/>
      <c r="KYX1177"/>
      <c r="KYY1177"/>
      <c r="KYZ1177"/>
      <c r="KZA1177"/>
      <c r="KZB1177"/>
      <c r="KZC1177"/>
      <c r="KZD1177"/>
      <c r="KZE1177"/>
      <c r="KZF1177"/>
      <c r="KZG1177"/>
      <c r="KZH1177"/>
      <c r="KZI1177"/>
      <c r="KZJ1177"/>
      <c r="KZK1177"/>
      <c r="KZL1177"/>
      <c r="KZM1177"/>
      <c r="KZN1177"/>
      <c r="KZO1177"/>
      <c r="KZP1177"/>
      <c r="KZQ1177"/>
      <c r="KZR1177"/>
      <c r="KZS1177"/>
      <c r="KZT1177"/>
      <c r="KZU1177"/>
      <c r="KZV1177"/>
      <c r="KZW1177"/>
      <c r="KZX1177"/>
      <c r="KZY1177"/>
      <c r="KZZ1177"/>
      <c r="LAA1177"/>
      <c r="LAB1177"/>
      <c r="LAC1177"/>
      <c r="LAD1177"/>
      <c r="LAE1177"/>
      <c r="LAF1177"/>
      <c r="LAG1177"/>
      <c r="LAH1177"/>
      <c r="LAI1177"/>
      <c r="LAJ1177"/>
      <c r="LAK1177"/>
      <c r="LAL1177"/>
      <c r="LAM1177"/>
      <c r="LAN1177"/>
      <c r="LAO1177"/>
      <c r="LAP1177"/>
      <c r="LAQ1177"/>
      <c r="LAR1177"/>
      <c r="LAS1177"/>
      <c r="LAT1177"/>
      <c r="LAU1177"/>
      <c r="LAV1177"/>
      <c r="LAW1177"/>
      <c r="LAX1177"/>
      <c r="LAY1177"/>
      <c r="LAZ1177"/>
      <c r="LBA1177"/>
      <c r="LBB1177"/>
      <c r="LBC1177"/>
      <c r="LBD1177"/>
      <c r="LBE1177"/>
      <c r="LBF1177"/>
      <c r="LBG1177"/>
      <c r="LBH1177"/>
      <c r="LBI1177"/>
      <c r="LBJ1177"/>
      <c r="LBK1177"/>
      <c r="LBL1177"/>
      <c r="LBM1177"/>
      <c r="LBN1177"/>
      <c r="LBO1177"/>
      <c r="LBP1177"/>
      <c r="LBQ1177"/>
      <c r="LBR1177"/>
      <c r="LBS1177"/>
      <c r="LBT1177"/>
      <c r="LBU1177"/>
      <c r="LBV1177"/>
      <c r="LBW1177"/>
      <c r="LBX1177"/>
      <c r="LBY1177"/>
      <c r="LBZ1177"/>
      <c r="LCA1177"/>
      <c r="LCB1177"/>
      <c r="LCC1177"/>
      <c r="LCD1177"/>
      <c r="LCE1177"/>
      <c r="LCF1177"/>
      <c r="LCG1177"/>
      <c r="LCH1177"/>
      <c r="LCI1177"/>
      <c r="LCJ1177"/>
      <c r="LCK1177"/>
      <c r="LCL1177"/>
      <c r="LCM1177"/>
      <c r="LCN1177"/>
      <c r="LCO1177"/>
      <c r="LCP1177"/>
      <c r="LCQ1177"/>
      <c r="LCR1177"/>
      <c r="LCS1177"/>
      <c r="LCT1177"/>
      <c r="LCU1177"/>
      <c r="LCV1177"/>
      <c r="LCW1177"/>
      <c r="LCX1177"/>
      <c r="LCY1177"/>
      <c r="LCZ1177"/>
      <c r="LDA1177"/>
      <c r="LDB1177"/>
      <c r="LDC1177"/>
      <c r="LDD1177"/>
      <c r="LDE1177"/>
      <c r="LDF1177"/>
      <c r="LDG1177"/>
      <c r="LDH1177"/>
      <c r="LDI1177"/>
      <c r="LDJ1177"/>
      <c r="LDK1177"/>
      <c r="LDL1177"/>
      <c r="LDM1177"/>
      <c r="LDN1177"/>
      <c r="LDO1177"/>
      <c r="LDP1177"/>
      <c r="LDQ1177"/>
      <c r="LDR1177"/>
      <c r="LDS1177"/>
      <c r="LDT1177"/>
      <c r="LDU1177"/>
      <c r="LDV1177"/>
      <c r="LDW1177"/>
      <c r="LDX1177"/>
      <c r="LDY1177"/>
      <c r="LDZ1177"/>
      <c r="LEA1177"/>
      <c r="LEB1177"/>
      <c r="LEC1177"/>
      <c r="LED1177"/>
      <c r="LEE1177"/>
      <c r="LEF1177"/>
      <c r="LEG1177"/>
      <c r="LEH1177"/>
      <c r="LEI1177"/>
      <c r="LEJ1177"/>
      <c r="LEK1177"/>
      <c r="LEL1177"/>
      <c r="LEM1177"/>
      <c r="LEN1177"/>
      <c r="LEO1177"/>
      <c r="LEP1177"/>
      <c r="LEQ1177"/>
      <c r="LER1177"/>
      <c r="LES1177"/>
      <c r="LET1177"/>
      <c r="LEU1177"/>
      <c r="LEV1177"/>
      <c r="LEW1177"/>
      <c r="LEX1177"/>
      <c r="LEY1177"/>
      <c r="LEZ1177"/>
      <c r="LFA1177"/>
      <c r="LFB1177"/>
      <c r="LFC1177"/>
      <c r="LFD1177"/>
      <c r="LFE1177"/>
      <c r="LFF1177"/>
      <c r="LFG1177"/>
      <c r="LFH1177"/>
      <c r="LFI1177"/>
      <c r="LFJ1177"/>
      <c r="LFK1177"/>
      <c r="LFL1177"/>
      <c r="LFM1177"/>
      <c r="LFN1177"/>
      <c r="LFO1177"/>
      <c r="LFP1177"/>
      <c r="LFQ1177"/>
      <c r="LFR1177"/>
      <c r="LFS1177"/>
      <c r="LFT1177"/>
      <c r="LFU1177"/>
      <c r="LFV1177"/>
      <c r="LFW1177"/>
      <c r="LFX1177"/>
      <c r="LFY1177"/>
      <c r="LFZ1177"/>
      <c r="LGA1177"/>
      <c r="LGB1177"/>
      <c r="LGC1177"/>
      <c r="LGD1177"/>
      <c r="LGE1177"/>
      <c r="LGF1177"/>
      <c r="LGG1177"/>
      <c r="LGH1177"/>
      <c r="LGI1177"/>
      <c r="LGJ1177"/>
      <c r="LGK1177"/>
      <c r="LGL1177"/>
      <c r="LGM1177"/>
      <c r="LGN1177"/>
      <c r="LGO1177"/>
      <c r="LGP1177"/>
      <c r="LGQ1177"/>
      <c r="LGR1177"/>
      <c r="LGS1177"/>
      <c r="LGT1177"/>
      <c r="LGU1177"/>
      <c r="LGV1177"/>
      <c r="LGW1177"/>
      <c r="LGX1177"/>
      <c r="LGY1177"/>
      <c r="LGZ1177"/>
      <c r="LHA1177"/>
      <c r="LHB1177"/>
      <c r="LHC1177"/>
      <c r="LHD1177"/>
      <c r="LHE1177"/>
      <c r="LHF1177"/>
      <c r="LHG1177"/>
      <c r="LHH1177"/>
      <c r="LHI1177"/>
      <c r="LHJ1177"/>
      <c r="LHK1177"/>
      <c r="LHL1177"/>
      <c r="LHM1177"/>
      <c r="LHN1177"/>
      <c r="LHO1177"/>
      <c r="LHP1177"/>
      <c r="LHQ1177"/>
      <c r="LHR1177"/>
      <c r="LHS1177"/>
      <c r="LHT1177"/>
      <c r="LHU1177"/>
      <c r="LHV1177"/>
      <c r="LHW1177"/>
      <c r="LHX1177"/>
      <c r="LHY1177"/>
      <c r="LHZ1177"/>
      <c r="LIA1177"/>
      <c r="LIB1177"/>
      <c r="LIC1177"/>
      <c r="LID1177"/>
      <c r="LIE1177"/>
      <c r="LIF1177"/>
      <c r="LIG1177"/>
      <c r="LIH1177"/>
      <c r="LII1177"/>
      <c r="LIJ1177"/>
      <c r="LIK1177"/>
      <c r="LIL1177"/>
      <c r="LIM1177"/>
      <c r="LIN1177"/>
      <c r="LIO1177"/>
      <c r="LIP1177"/>
      <c r="LIQ1177"/>
      <c r="LIR1177"/>
      <c r="LIS1177"/>
      <c r="LIT1177"/>
      <c r="LIU1177"/>
      <c r="LIV1177"/>
      <c r="LIW1177"/>
      <c r="LIX1177"/>
      <c r="LIY1177"/>
      <c r="LIZ1177"/>
      <c r="LJA1177"/>
      <c r="LJB1177"/>
      <c r="LJC1177"/>
      <c r="LJD1177"/>
      <c r="LJE1177"/>
      <c r="LJF1177"/>
      <c r="LJG1177"/>
      <c r="LJH1177"/>
      <c r="LJI1177"/>
      <c r="LJJ1177"/>
      <c r="LJK1177"/>
      <c r="LJL1177"/>
      <c r="LJM1177"/>
      <c r="LJN1177"/>
      <c r="LJO1177"/>
      <c r="LJP1177"/>
      <c r="LJQ1177"/>
      <c r="LJR1177"/>
      <c r="LJS1177"/>
      <c r="LJT1177"/>
      <c r="LJU1177"/>
      <c r="LJV1177"/>
      <c r="LJW1177"/>
      <c r="LJX1177"/>
      <c r="LJY1177"/>
      <c r="LJZ1177"/>
      <c r="LKA1177"/>
      <c r="LKB1177"/>
      <c r="LKC1177"/>
      <c r="LKD1177"/>
      <c r="LKE1177"/>
      <c r="LKF1177"/>
      <c r="LKG1177"/>
      <c r="LKH1177"/>
      <c r="LKI1177"/>
      <c r="LKJ1177"/>
      <c r="LKK1177"/>
      <c r="LKL1177"/>
      <c r="LKM1177"/>
      <c r="LKN1177"/>
      <c r="LKO1177"/>
      <c r="LKP1177"/>
      <c r="LKQ1177"/>
      <c r="LKR1177"/>
      <c r="LKS1177"/>
      <c r="LKT1177"/>
      <c r="LKU1177"/>
      <c r="LKV1177"/>
      <c r="LKW1177"/>
      <c r="LKX1177"/>
      <c r="LKY1177"/>
      <c r="LKZ1177"/>
      <c r="LLA1177"/>
      <c r="LLB1177"/>
      <c r="LLC1177"/>
      <c r="LLD1177"/>
      <c r="LLE1177"/>
      <c r="LLF1177"/>
      <c r="LLG1177"/>
      <c r="LLH1177"/>
      <c r="LLI1177"/>
      <c r="LLJ1177"/>
      <c r="LLK1177"/>
      <c r="LLL1177"/>
      <c r="LLM1177"/>
      <c r="LLN1177"/>
      <c r="LLO1177"/>
      <c r="LLP1177"/>
      <c r="LLQ1177"/>
      <c r="LLR1177"/>
      <c r="LLS1177"/>
      <c r="LLT1177"/>
      <c r="LLU1177"/>
      <c r="LLV1177"/>
      <c r="LLW1177"/>
      <c r="LLX1177"/>
      <c r="LLY1177"/>
      <c r="LLZ1177"/>
      <c r="LMA1177"/>
      <c r="LMB1177"/>
      <c r="LMC1177"/>
      <c r="LMD1177"/>
      <c r="LME1177"/>
      <c r="LMF1177"/>
      <c r="LMG1177"/>
      <c r="LMH1177"/>
      <c r="LMI1177"/>
      <c r="LMJ1177"/>
      <c r="LMK1177"/>
      <c r="LML1177"/>
      <c r="LMM1177"/>
      <c r="LMN1177"/>
      <c r="LMO1177"/>
      <c r="LMP1177"/>
      <c r="LMQ1177"/>
      <c r="LMR1177"/>
      <c r="LMS1177"/>
      <c r="LMT1177"/>
      <c r="LMU1177"/>
      <c r="LMV1177"/>
      <c r="LMW1177"/>
      <c r="LMX1177"/>
      <c r="LMY1177"/>
      <c r="LMZ1177"/>
      <c r="LNA1177"/>
      <c r="LNB1177"/>
      <c r="LNC1177"/>
      <c r="LND1177"/>
      <c r="LNE1177"/>
      <c r="LNF1177"/>
      <c r="LNG1177"/>
      <c r="LNH1177"/>
      <c r="LNI1177"/>
      <c r="LNJ1177"/>
      <c r="LNK1177"/>
      <c r="LNL1177"/>
      <c r="LNM1177"/>
      <c r="LNN1177"/>
      <c r="LNO1177"/>
      <c r="LNP1177"/>
      <c r="LNQ1177"/>
      <c r="LNR1177"/>
      <c r="LNS1177"/>
      <c r="LNT1177"/>
      <c r="LNU1177"/>
      <c r="LNV1177"/>
      <c r="LNW1177"/>
      <c r="LNX1177"/>
      <c r="LNY1177"/>
      <c r="LNZ1177"/>
      <c r="LOA1177"/>
      <c r="LOB1177"/>
      <c r="LOC1177"/>
      <c r="LOD1177"/>
      <c r="LOE1177"/>
      <c r="LOF1177"/>
      <c r="LOG1177"/>
      <c r="LOH1177"/>
      <c r="LOI1177"/>
      <c r="LOJ1177"/>
      <c r="LOK1177"/>
      <c r="LOL1177"/>
      <c r="LOM1177"/>
      <c r="LON1177"/>
      <c r="LOO1177"/>
      <c r="LOP1177"/>
      <c r="LOQ1177"/>
      <c r="LOR1177"/>
      <c r="LOS1177"/>
      <c r="LOT1177"/>
      <c r="LOU1177"/>
      <c r="LOV1177"/>
      <c r="LOW1177"/>
      <c r="LOX1177"/>
      <c r="LOY1177"/>
      <c r="LOZ1177"/>
      <c r="LPA1177"/>
      <c r="LPB1177"/>
      <c r="LPC1177"/>
      <c r="LPD1177"/>
      <c r="LPE1177"/>
      <c r="LPF1177"/>
      <c r="LPG1177"/>
      <c r="LPH1177"/>
      <c r="LPI1177"/>
      <c r="LPJ1177"/>
      <c r="LPK1177"/>
      <c r="LPL1177"/>
      <c r="LPM1177"/>
      <c r="LPN1177"/>
      <c r="LPO1177"/>
      <c r="LPP1177"/>
      <c r="LPQ1177"/>
      <c r="LPR1177"/>
      <c r="LPS1177"/>
      <c r="LPT1177"/>
      <c r="LPU1177"/>
      <c r="LPV1177"/>
      <c r="LPW1177"/>
      <c r="LPX1177"/>
      <c r="LPY1177"/>
      <c r="LPZ1177"/>
      <c r="LQA1177"/>
      <c r="LQB1177"/>
      <c r="LQC1177"/>
      <c r="LQD1177"/>
      <c r="LQE1177"/>
      <c r="LQF1177"/>
      <c r="LQG1177"/>
      <c r="LQH1177"/>
      <c r="LQI1177"/>
      <c r="LQJ1177"/>
      <c r="LQK1177"/>
      <c r="LQL1177"/>
      <c r="LQM1177"/>
      <c r="LQN1177"/>
      <c r="LQO1177"/>
      <c r="LQP1177"/>
      <c r="LQQ1177"/>
      <c r="LQR1177"/>
      <c r="LQS1177"/>
      <c r="LQT1177"/>
      <c r="LQU1177"/>
      <c r="LQV1177"/>
      <c r="LQW1177"/>
      <c r="LQX1177"/>
      <c r="LQY1177"/>
      <c r="LQZ1177"/>
      <c r="LRA1177"/>
      <c r="LRB1177"/>
      <c r="LRC1177"/>
      <c r="LRD1177"/>
      <c r="LRE1177"/>
      <c r="LRF1177"/>
      <c r="LRG1177"/>
      <c r="LRH1177"/>
      <c r="LRI1177"/>
      <c r="LRJ1177"/>
      <c r="LRK1177"/>
      <c r="LRL1177"/>
      <c r="LRM1177"/>
      <c r="LRN1177"/>
      <c r="LRO1177"/>
      <c r="LRP1177"/>
      <c r="LRQ1177"/>
      <c r="LRR1177"/>
      <c r="LRS1177"/>
      <c r="LRT1177"/>
      <c r="LRU1177"/>
      <c r="LRV1177"/>
      <c r="LRW1177"/>
      <c r="LRX1177"/>
      <c r="LRY1177"/>
      <c r="LRZ1177"/>
      <c r="LSA1177"/>
      <c r="LSB1177"/>
      <c r="LSC1177"/>
      <c r="LSD1177"/>
      <c r="LSE1177"/>
      <c r="LSF1177"/>
      <c r="LSG1177"/>
      <c r="LSH1177"/>
      <c r="LSI1177"/>
      <c r="LSJ1177"/>
      <c r="LSK1177"/>
      <c r="LSL1177"/>
      <c r="LSM1177"/>
      <c r="LSN1177"/>
      <c r="LSO1177"/>
      <c r="LSP1177"/>
      <c r="LSQ1177"/>
      <c r="LSR1177"/>
      <c r="LSS1177"/>
      <c r="LST1177"/>
      <c r="LSU1177"/>
      <c r="LSV1177"/>
      <c r="LSW1177"/>
      <c r="LSX1177"/>
      <c r="LSY1177"/>
      <c r="LSZ1177"/>
      <c r="LTA1177"/>
      <c r="LTB1177"/>
      <c r="LTC1177"/>
      <c r="LTD1177"/>
      <c r="LTE1177"/>
      <c r="LTF1177"/>
      <c r="LTG1177"/>
      <c r="LTH1177"/>
      <c r="LTI1177"/>
      <c r="LTJ1177"/>
      <c r="LTK1177"/>
      <c r="LTL1177"/>
      <c r="LTM1177"/>
      <c r="LTN1177"/>
      <c r="LTO1177"/>
      <c r="LTP1177"/>
      <c r="LTQ1177"/>
      <c r="LTR1177"/>
      <c r="LTS1177"/>
      <c r="LTT1177"/>
      <c r="LTU1177"/>
      <c r="LTV1177"/>
      <c r="LTW1177"/>
      <c r="LTX1177"/>
      <c r="LTY1177"/>
      <c r="LTZ1177"/>
      <c r="LUA1177"/>
      <c r="LUB1177"/>
      <c r="LUC1177"/>
      <c r="LUD1177"/>
      <c r="LUE1177"/>
      <c r="LUF1177"/>
      <c r="LUG1177"/>
      <c r="LUH1177"/>
      <c r="LUI1177"/>
      <c r="LUJ1177"/>
      <c r="LUK1177"/>
      <c r="LUL1177"/>
      <c r="LUM1177"/>
      <c r="LUN1177"/>
      <c r="LUO1177"/>
      <c r="LUP1177"/>
      <c r="LUQ1177"/>
      <c r="LUR1177"/>
      <c r="LUS1177"/>
      <c r="LUT1177"/>
      <c r="LUU1177"/>
      <c r="LUV1177"/>
      <c r="LUW1177"/>
      <c r="LUX1177"/>
      <c r="LUY1177"/>
      <c r="LUZ1177"/>
      <c r="LVA1177"/>
      <c r="LVB1177"/>
      <c r="LVC1177"/>
      <c r="LVD1177"/>
      <c r="LVE1177"/>
      <c r="LVF1177"/>
      <c r="LVG1177"/>
      <c r="LVH1177"/>
      <c r="LVI1177"/>
      <c r="LVJ1177"/>
      <c r="LVK1177"/>
      <c r="LVL1177"/>
      <c r="LVM1177"/>
      <c r="LVN1177"/>
      <c r="LVO1177"/>
      <c r="LVP1177"/>
      <c r="LVQ1177"/>
      <c r="LVR1177"/>
      <c r="LVS1177"/>
      <c r="LVT1177"/>
      <c r="LVU1177"/>
      <c r="LVV1177"/>
      <c r="LVW1177"/>
      <c r="LVX1177"/>
      <c r="LVY1177"/>
      <c r="LVZ1177"/>
      <c r="LWA1177"/>
      <c r="LWB1177"/>
      <c r="LWC1177"/>
      <c r="LWD1177"/>
      <c r="LWE1177"/>
      <c r="LWF1177"/>
      <c r="LWG1177"/>
      <c r="LWH1177"/>
      <c r="LWI1177"/>
      <c r="LWJ1177"/>
      <c r="LWK1177"/>
      <c r="LWL1177"/>
      <c r="LWM1177"/>
      <c r="LWN1177"/>
      <c r="LWO1177"/>
      <c r="LWP1177"/>
      <c r="LWQ1177"/>
      <c r="LWR1177"/>
      <c r="LWS1177"/>
      <c r="LWT1177"/>
      <c r="LWU1177"/>
      <c r="LWV1177"/>
      <c r="LWW1177"/>
      <c r="LWX1177"/>
      <c r="LWY1177"/>
      <c r="LWZ1177"/>
      <c r="LXA1177"/>
      <c r="LXB1177"/>
      <c r="LXC1177"/>
      <c r="LXD1177"/>
      <c r="LXE1177"/>
      <c r="LXF1177"/>
      <c r="LXG1177"/>
      <c r="LXH1177"/>
      <c r="LXI1177"/>
      <c r="LXJ1177"/>
      <c r="LXK1177"/>
      <c r="LXL1177"/>
      <c r="LXM1177"/>
      <c r="LXN1177"/>
      <c r="LXO1177"/>
      <c r="LXP1177"/>
      <c r="LXQ1177"/>
      <c r="LXR1177"/>
      <c r="LXS1177"/>
      <c r="LXT1177"/>
      <c r="LXU1177"/>
      <c r="LXV1177"/>
      <c r="LXW1177"/>
      <c r="LXX1177"/>
      <c r="LXY1177"/>
      <c r="LXZ1177"/>
      <c r="LYA1177"/>
      <c r="LYB1177"/>
      <c r="LYC1177"/>
      <c r="LYD1177"/>
      <c r="LYE1177"/>
      <c r="LYF1177"/>
      <c r="LYG1177"/>
      <c r="LYH1177"/>
      <c r="LYI1177"/>
      <c r="LYJ1177"/>
      <c r="LYK1177"/>
      <c r="LYL1177"/>
      <c r="LYM1177"/>
      <c r="LYN1177"/>
      <c r="LYO1177"/>
      <c r="LYP1177"/>
      <c r="LYQ1177"/>
      <c r="LYR1177"/>
      <c r="LYS1177"/>
      <c r="LYT1177"/>
      <c r="LYU1177"/>
      <c r="LYV1177"/>
      <c r="LYW1177"/>
      <c r="LYX1177"/>
      <c r="LYY1177"/>
      <c r="LYZ1177"/>
      <c r="LZA1177"/>
      <c r="LZB1177"/>
      <c r="LZC1177"/>
      <c r="LZD1177"/>
      <c r="LZE1177"/>
      <c r="LZF1177"/>
      <c r="LZG1177"/>
      <c r="LZH1177"/>
      <c r="LZI1177"/>
      <c r="LZJ1177"/>
      <c r="LZK1177"/>
      <c r="LZL1177"/>
      <c r="LZM1177"/>
      <c r="LZN1177"/>
      <c r="LZO1177"/>
      <c r="LZP1177"/>
      <c r="LZQ1177"/>
      <c r="LZR1177"/>
      <c r="LZS1177"/>
      <c r="LZT1177"/>
      <c r="LZU1177"/>
      <c r="LZV1177"/>
      <c r="LZW1177"/>
      <c r="LZX1177"/>
      <c r="LZY1177"/>
      <c r="LZZ1177"/>
      <c r="MAA1177"/>
      <c r="MAB1177"/>
      <c r="MAC1177"/>
      <c r="MAD1177"/>
      <c r="MAE1177"/>
      <c r="MAF1177"/>
      <c r="MAG1177"/>
      <c r="MAH1177"/>
      <c r="MAI1177"/>
      <c r="MAJ1177"/>
      <c r="MAK1177"/>
      <c r="MAL1177"/>
      <c r="MAM1177"/>
      <c r="MAN1177"/>
      <c r="MAO1177"/>
      <c r="MAP1177"/>
      <c r="MAQ1177"/>
      <c r="MAR1177"/>
      <c r="MAS1177"/>
      <c r="MAT1177"/>
      <c r="MAU1177"/>
      <c r="MAV1177"/>
      <c r="MAW1177"/>
      <c r="MAX1177"/>
      <c r="MAY1177"/>
      <c r="MAZ1177"/>
      <c r="MBA1177"/>
      <c r="MBB1177"/>
      <c r="MBC1177"/>
      <c r="MBD1177"/>
      <c r="MBE1177"/>
      <c r="MBF1177"/>
      <c r="MBG1177"/>
      <c r="MBH1177"/>
      <c r="MBI1177"/>
      <c r="MBJ1177"/>
      <c r="MBK1177"/>
      <c r="MBL1177"/>
      <c r="MBM1177"/>
      <c r="MBN1177"/>
      <c r="MBO1177"/>
      <c r="MBP1177"/>
      <c r="MBQ1177"/>
      <c r="MBR1177"/>
      <c r="MBS1177"/>
      <c r="MBT1177"/>
      <c r="MBU1177"/>
      <c r="MBV1177"/>
      <c r="MBW1177"/>
      <c r="MBX1177"/>
      <c r="MBY1177"/>
      <c r="MBZ1177"/>
      <c r="MCA1177"/>
      <c r="MCB1177"/>
      <c r="MCC1177"/>
      <c r="MCD1177"/>
      <c r="MCE1177"/>
      <c r="MCF1177"/>
      <c r="MCG1177"/>
      <c r="MCH1177"/>
      <c r="MCI1177"/>
      <c r="MCJ1177"/>
      <c r="MCK1177"/>
      <c r="MCL1177"/>
      <c r="MCM1177"/>
      <c r="MCN1177"/>
      <c r="MCO1177"/>
      <c r="MCP1177"/>
      <c r="MCQ1177"/>
      <c r="MCR1177"/>
      <c r="MCS1177"/>
      <c r="MCT1177"/>
      <c r="MCU1177"/>
      <c r="MCV1177"/>
      <c r="MCW1177"/>
      <c r="MCX1177"/>
      <c r="MCY1177"/>
      <c r="MCZ1177"/>
      <c r="MDA1177"/>
      <c r="MDB1177"/>
      <c r="MDC1177"/>
      <c r="MDD1177"/>
      <c r="MDE1177"/>
      <c r="MDF1177"/>
      <c r="MDG1177"/>
      <c r="MDH1177"/>
      <c r="MDI1177"/>
      <c r="MDJ1177"/>
      <c r="MDK1177"/>
      <c r="MDL1177"/>
      <c r="MDM1177"/>
      <c r="MDN1177"/>
      <c r="MDO1177"/>
      <c r="MDP1177"/>
      <c r="MDQ1177"/>
      <c r="MDR1177"/>
      <c r="MDS1177"/>
      <c r="MDT1177"/>
      <c r="MDU1177"/>
      <c r="MDV1177"/>
      <c r="MDW1177"/>
      <c r="MDX1177"/>
      <c r="MDY1177"/>
      <c r="MDZ1177"/>
      <c r="MEA1177"/>
      <c r="MEB1177"/>
      <c r="MEC1177"/>
      <c r="MED1177"/>
      <c r="MEE1177"/>
      <c r="MEF1177"/>
      <c r="MEG1177"/>
      <c r="MEH1177"/>
      <c r="MEI1177"/>
      <c r="MEJ1177"/>
      <c r="MEK1177"/>
      <c r="MEL1177"/>
      <c r="MEM1177"/>
      <c r="MEN1177"/>
      <c r="MEO1177"/>
      <c r="MEP1177"/>
      <c r="MEQ1177"/>
      <c r="MER1177"/>
      <c r="MES1177"/>
      <c r="MET1177"/>
      <c r="MEU1177"/>
      <c r="MEV1177"/>
      <c r="MEW1177"/>
      <c r="MEX1177"/>
      <c r="MEY1177"/>
      <c r="MEZ1177"/>
      <c r="MFA1177"/>
      <c r="MFB1177"/>
      <c r="MFC1177"/>
      <c r="MFD1177"/>
      <c r="MFE1177"/>
      <c r="MFF1177"/>
      <c r="MFG1177"/>
      <c r="MFH1177"/>
      <c r="MFI1177"/>
      <c r="MFJ1177"/>
      <c r="MFK1177"/>
      <c r="MFL1177"/>
      <c r="MFM1177"/>
      <c r="MFN1177"/>
      <c r="MFO1177"/>
      <c r="MFP1177"/>
      <c r="MFQ1177"/>
      <c r="MFR1177"/>
      <c r="MFS1177"/>
      <c r="MFT1177"/>
      <c r="MFU1177"/>
      <c r="MFV1177"/>
      <c r="MFW1177"/>
      <c r="MFX1177"/>
      <c r="MFY1177"/>
      <c r="MFZ1177"/>
      <c r="MGA1177"/>
      <c r="MGB1177"/>
      <c r="MGC1177"/>
      <c r="MGD1177"/>
      <c r="MGE1177"/>
      <c r="MGF1177"/>
      <c r="MGG1177"/>
      <c r="MGH1177"/>
      <c r="MGI1177"/>
      <c r="MGJ1177"/>
      <c r="MGK1177"/>
      <c r="MGL1177"/>
      <c r="MGM1177"/>
      <c r="MGN1177"/>
      <c r="MGO1177"/>
      <c r="MGP1177"/>
      <c r="MGQ1177"/>
      <c r="MGR1177"/>
      <c r="MGS1177"/>
      <c r="MGT1177"/>
      <c r="MGU1177"/>
      <c r="MGV1177"/>
      <c r="MGW1177"/>
      <c r="MGX1177"/>
      <c r="MGY1177"/>
      <c r="MGZ1177"/>
      <c r="MHA1177"/>
      <c r="MHB1177"/>
      <c r="MHC1177"/>
      <c r="MHD1177"/>
      <c r="MHE1177"/>
      <c r="MHF1177"/>
      <c r="MHG1177"/>
      <c r="MHH1177"/>
      <c r="MHI1177"/>
      <c r="MHJ1177"/>
      <c r="MHK1177"/>
      <c r="MHL1177"/>
      <c r="MHM1177"/>
      <c r="MHN1177"/>
      <c r="MHO1177"/>
      <c r="MHP1177"/>
      <c r="MHQ1177"/>
      <c r="MHR1177"/>
      <c r="MHS1177"/>
      <c r="MHT1177"/>
      <c r="MHU1177"/>
      <c r="MHV1177"/>
      <c r="MHW1177"/>
      <c r="MHX1177"/>
      <c r="MHY1177"/>
      <c r="MHZ1177"/>
      <c r="MIA1177"/>
      <c r="MIB1177"/>
      <c r="MIC1177"/>
      <c r="MID1177"/>
      <c r="MIE1177"/>
      <c r="MIF1177"/>
      <c r="MIG1177"/>
      <c r="MIH1177"/>
      <c r="MII1177"/>
      <c r="MIJ1177"/>
      <c r="MIK1177"/>
      <c r="MIL1177"/>
      <c r="MIM1177"/>
      <c r="MIN1177"/>
      <c r="MIO1177"/>
      <c r="MIP1177"/>
      <c r="MIQ1177"/>
      <c r="MIR1177"/>
      <c r="MIS1177"/>
      <c r="MIT1177"/>
      <c r="MIU1177"/>
      <c r="MIV1177"/>
      <c r="MIW1177"/>
      <c r="MIX1177"/>
      <c r="MIY1177"/>
      <c r="MIZ1177"/>
      <c r="MJA1177"/>
      <c r="MJB1177"/>
      <c r="MJC1177"/>
      <c r="MJD1177"/>
      <c r="MJE1177"/>
      <c r="MJF1177"/>
      <c r="MJG1177"/>
      <c r="MJH1177"/>
      <c r="MJI1177"/>
      <c r="MJJ1177"/>
      <c r="MJK1177"/>
      <c r="MJL1177"/>
      <c r="MJM1177"/>
      <c r="MJN1177"/>
      <c r="MJO1177"/>
      <c r="MJP1177"/>
      <c r="MJQ1177"/>
      <c r="MJR1177"/>
      <c r="MJS1177"/>
      <c r="MJT1177"/>
      <c r="MJU1177"/>
      <c r="MJV1177"/>
      <c r="MJW1177"/>
      <c r="MJX1177"/>
      <c r="MJY1177"/>
      <c r="MJZ1177"/>
      <c r="MKA1177"/>
      <c r="MKB1177"/>
      <c r="MKC1177"/>
      <c r="MKD1177"/>
      <c r="MKE1177"/>
      <c r="MKF1177"/>
      <c r="MKG1177"/>
      <c r="MKH1177"/>
      <c r="MKI1177"/>
      <c r="MKJ1177"/>
      <c r="MKK1177"/>
      <c r="MKL1177"/>
      <c r="MKM1177"/>
      <c r="MKN1177"/>
      <c r="MKO1177"/>
      <c r="MKP1177"/>
      <c r="MKQ1177"/>
      <c r="MKR1177"/>
      <c r="MKS1177"/>
      <c r="MKT1177"/>
      <c r="MKU1177"/>
      <c r="MKV1177"/>
      <c r="MKW1177"/>
      <c r="MKX1177"/>
      <c r="MKY1177"/>
      <c r="MKZ1177"/>
      <c r="MLA1177"/>
      <c r="MLB1177"/>
      <c r="MLC1177"/>
      <c r="MLD1177"/>
      <c r="MLE1177"/>
      <c r="MLF1177"/>
      <c r="MLG1177"/>
      <c r="MLH1177"/>
      <c r="MLI1177"/>
      <c r="MLJ1177"/>
      <c r="MLK1177"/>
      <c r="MLL1177"/>
      <c r="MLM1177"/>
      <c r="MLN1177"/>
      <c r="MLO1177"/>
      <c r="MLP1177"/>
      <c r="MLQ1177"/>
      <c r="MLR1177"/>
      <c r="MLS1177"/>
      <c r="MLT1177"/>
      <c r="MLU1177"/>
      <c r="MLV1177"/>
      <c r="MLW1177"/>
      <c r="MLX1177"/>
      <c r="MLY1177"/>
      <c r="MLZ1177"/>
      <c r="MMA1177"/>
      <c r="MMB1177"/>
      <c r="MMC1177"/>
      <c r="MMD1177"/>
      <c r="MME1177"/>
      <c r="MMF1177"/>
      <c r="MMG1177"/>
      <c r="MMH1177"/>
      <c r="MMI1177"/>
      <c r="MMJ1177"/>
      <c r="MMK1177"/>
      <c r="MML1177"/>
      <c r="MMM1177"/>
      <c r="MMN1177"/>
      <c r="MMO1177"/>
      <c r="MMP1177"/>
      <c r="MMQ1177"/>
      <c r="MMR1177"/>
      <c r="MMS1177"/>
      <c r="MMT1177"/>
      <c r="MMU1177"/>
      <c r="MMV1177"/>
      <c r="MMW1177"/>
      <c r="MMX1177"/>
      <c r="MMY1177"/>
      <c r="MMZ1177"/>
      <c r="MNA1177"/>
      <c r="MNB1177"/>
      <c r="MNC1177"/>
      <c r="MND1177"/>
      <c r="MNE1177"/>
      <c r="MNF1177"/>
      <c r="MNG1177"/>
      <c r="MNH1177"/>
      <c r="MNI1177"/>
      <c r="MNJ1177"/>
      <c r="MNK1177"/>
      <c r="MNL1177"/>
      <c r="MNM1177"/>
      <c r="MNN1177"/>
      <c r="MNO1177"/>
      <c r="MNP1177"/>
      <c r="MNQ1177"/>
      <c r="MNR1177"/>
      <c r="MNS1177"/>
      <c r="MNT1177"/>
      <c r="MNU1177"/>
      <c r="MNV1177"/>
      <c r="MNW1177"/>
      <c r="MNX1177"/>
      <c r="MNY1177"/>
      <c r="MNZ1177"/>
      <c r="MOA1177"/>
      <c r="MOB1177"/>
      <c r="MOC1177"/>
      <c r="MOD1177"/>
      <c r="MOE1177"/>
      <c r="MOF1177"/>
      <c r="MOG1177"/>
      <c r="MOH1177"/>
      <c r="MOI1177"/>
      <c r="MOJ1177"/>
      <c r="MOK1177"/>
      <c r="MOL1177"/>
      <c r="MOM1177"/>
      <c r="MON1177"/>
      <c r="MOO1177"/>
      <c r="MOP1177"/>
      <c r="MOQ1177"/>
      <c r="MOR1177"/>
      <c r="MOS1177"/>
      <c r="MOT1177"/>
      <c r="MOU1177"/>
      <c r="MOV1177"/>
      <c r="MOW1177"/>
      <c r="MOX1177"/>
      <c r="MOY1177"/>
      <c r="MOZ1177"/>
      <c r="MPA1177"/>
      <c r="MPB1177"/>
      <c r="MPC1177"/>
      <c r="MPD1177"/>
      <c r="MPE1177"/>
      <c r="MPF1177"/>
      <c r="MPG1177"/>
      <c r="MPH1177"/>
      <c r="MPI1177"/>
      <c r="MPJ1177"/>
      <c r="MPK1177"/>
      <c r="MPL1177"/>
      <c r="MPM1177"/>
      <c r="MPN1177"/>
      <c r="MPO1177"/>
      <c r="MPP1177"/>
      <c r="MPQ1177"/>
      <c r="MPR1177"/>
      <c r="MPS1177"/>
      <c r="MPT1177"/>
      <c r="MPU1177"/>
      <c r="MPV1177"/>
      <c r="MPW1177"/>
      <c r="MPX1177"/>
      <c r="MPY1177"/>
      <c r="MPZ1177"/>
      <c r="MQA1177"/>
      <c r="MQB1177"/>
      <c r="MQC1177"/>
      <c r="MQD1177"/>
      <c r="MQE1177"/>
      <c r="MQF1177"/>
      <c r="MQG1177"/>
      <c r="MQH1177"/>
      <c r="MQI1177"/>
      <c r="MQJ1177"/>
      <c r="MQK1177"/>
      <c r="MQL1177"/>
      <c r="MQM1177"/>
      <c r="MQN1177"/>
      <c r="MQO1177"/>
      <c r="MQP1177"/>
      <c r="MQQ1177"/>
      <c r="MQR1177"/>
      <c r="MQS1177"/>
      <c r="MQT1177"/>
      <c r="MQU1177"/>
      <c r="MQV1177"/>
      <c r="MQW1177"/>
      <c r="MQX1177"/>
      <c r="MQY1177"/>
      <c r="MQZ1177"/>
      <c r="MRA1177"/>
      <c r="MRB1177"/>
      <c r="MRC1177"/>
      <c r="MRD1177"/>
      <c r="MRE1177"/>
      <c r="MRF1177"/>
      <c r="MRG1177"/>
      <c r="MRH1177"/>
      <c r="MRI1177"/>
      <c r="MRJ1177"/>
      <c r="MRK1177"/>
      <c r="MRL1177"/>
      <c r="MRM1177"/>
      <c r="MRN1177"/>
      <c r="MRO1177"/>
      <c r="MRP1177"/>
      <c r="MRQ1177"/>
      <c r="MRR1177"/>
      <c r="MRS1177"/>
      <c r="MRT1177"/>
      <c r="MRU1177"/>
      <c r="MRV1177"/>
      <c r="MRW1177"/>
      <c r="MRX1177"/>
      <c r="MRY1177"/>
      <c r="MRZ1177"/>
      <c r="MSA1177"/>
      <c r="MSB1177"/>
      <c r="MSC1177"/>
      <c r="MSD1177"/>
      <c r="MSE1177"/>
      <c r="MSF1177"/>
      <c r="MSG1177"/>
      <c r="MSH1177"/>
      <c r="MSI1177"/>
      <c r="MSJ1177"/>
      <c r="MSK1177"/>
      <c r="MSL1177"/>
      <c r="MSM1177"/>
      <c r="MSN1177"/>
      <c r="MSO1177"/>
      <c r="MSP1177"/>
      <c r="MSQ1177"/>
      <c r="MSR1177"/>
      <c r="MSS1177"/>
      <c r="MST1177"/>
      <c r="MSU1177"/>
      <c r="MSV1177"/>
      <c r="MSW1177"/>
      <c r="MSX1177"/>
      <c r="MSY1177"/>
      <c r="MSZ1177"/>
      <c r="MTA1177"/>
      <c r="MTB1177"/>
      <c r="MTC1177"/>
      <c r="MTD1177"/>
      <c r="MTE1177"/>
      <c r="MTF1177"/>
      <c r="MTG1177"/>
      <c r="MTH1177"/>
      <c r="MTI1177"/>
      <c r="MTJ1177"/>
      <c r="MTK1177"/>
      <c r="MTL1177"/>
      <c r="MTM1177"/>
      <c r="MTN1177"/>
      <c r="MTO1177"/>
      <c r="MTP1177"/>
      <c r="MTQ1177"/>
      <c r="MTR1177"/>
      <c r="MTS1177"/>
      <c r="MTT1177"/>
      <c r="MTU1177"/>
      <c r="MTV1177"/>
      <c r="MTW1177"/>
      <c r="MTX1177"/>
      <c r="MTY1177"/>
      <c r="MTZ1177"/>
      <c r="MUA1177"/>
      <c r="MUB1177"/>
      <c r="MUC1177"/>
      <c r="MUD1177"/>
      <c r="MUE1177"/>
      <c r="MUF1177"/>
      <c r="MUG1177"/>
      <c r="MUH1177"/>
      <c r="MUI1177"/>
      <c r="MUJ1177"/>
      <c r="MUK1177"/>
      <c r="MUL1177"/>
      <c r="MUM1177"/>
      <c r="MUN1177"/>
      <c r="MUO1177"/>
      <c r="MUP1177"/>
      <c r="MUQ1177"/>
      <c r="MUR1177"/>
      <c r="MUS1177"/>
      <c r="MUT1177"/>
      <c r="MUU1177"/>
      <c r="MUV1177"/>
      <c r="MUW1177"/>
      <c r="MUX1177"/>
      <c r="MUY1177"/>
      <c r="MUZ1177"/>
      <c r="MVA1177"/>
      <c r="MVB1177"/>
      <c r="MVC1177"/>
      <c r="MVD1177"/>
      <c r="MVE1177"/>
      <c r="MVF1177"/>
      <c r="MVG1177"/>
      <c r="MVH1177"/>
      <c r="MVI1177"/>
      <c r="MVJ1177"/>
      <c r="MVK1177"/>
      <c r="MVL1177"/>
      <c r="MVM1177"/>
      <c r="MVN1177"/>
      <c r="MVO1177"/>
      <c r="MVP1177"/>
      <c r="MVQ1177"/>
      <c r="MVR1177"/>
      <c r="MVS1177"/>
      <c r="MVT1177"/>
      <c r="MVU1177"/>
      <c r="MVV1177"/>
      <c r="MVW1177"/>
      <c r="MVX1177"/>
      <c r="MVY1177"/>
      <c r="MVZ1177"/>
      <c r="MWA1177"/>
      <c r="MWB1177"/>
      <c r="MWC1177"/>
      <c r="MWD1177"/>
      <c r="MWE1177"/>
      <c r="MWF1177"/>
      <c r="MWG1177"/>
      <c r="MWH1177"/>
      <c r="MWI1177"/>
      <c r="MWJ1177"/>
      <c r="MWK1177"/>
      <c r="MWL1177"/>
      <c r="MWM1177"/>
      <c r="MWN1177"/>
      <c r="MWO1177"/>
      <c r="MWP1177"/>
      <c r="MWQ1177"/>
      <c r="MWR1177"/>
      <c r="MWS1177"/>
      <c r="MWT1177"/>
      <c r="MWU1177"/>
      <c r="MWV1177"/>
      <c r="MWW1177"/>
      <c r="MWX1177"/>
      <c r="MWY1177"/>
      <c r="MWZ1177"/>
      <c r="MXA1177"/>
      <c r="MXB1177"/>
      <c r="MXC1177"/>
      <c r="MXD1177"/>
      <c r="MXE1177"/>
      <c r="MXF1177"/>
      <c r="MXG1177"/>
      <c r="MXH1177"/>
      <c r="MXI1177"/>
      <c r="MXJ1177"/>
      <c r="MXK1177"/>
      <c r="MXL1177"/>
      <c r="MXM1177"/>
      <c r="MXN1177"/>
      <c r="MXO1177"/>
      <c r="MXP1177"/>
      <c r="MXQ1177"/>
      <c r="MXR1177"/>
      <c r="MXS1177"/>
      <c r="MXT1177"/>
      <c r="MXU1177"/>
      <c r="MXV1177"/>
      <c r="MXW1177"/>
      <c r="MXX1177"/>
      <c r="MXY1177"/>
      <c r="MXZ1177"/>
      <c r="MYA1177"/>
      <c r="MYB1177"/>
      <c r="MYC1177"/>
      <c r="MYD1177"/>
      <c r="MYE1177"/>
      <c r="MYF1177"/>
      <c r="MYG1177"/>
      <c r="MYH1177"/>
      <c r="MYI1177"/>
      <c r="MYJ1177"/>
      <c r="MYK1177"/>
      <c r="MYL1177"/>
      <c r="MYM1177"/>
      <c r="MYN1177"/>
      <c r="MYO1177"/>
      <c r="MYP1177"/>
      <c r="MYQ1177"/>
      <c r="MYR1177"/>
      <c r="MYS1177"/>
      <c r="MYT1177"/>
      <c r="MYU1177"/>
      <c r="MYV1177"/>
      <c r="MYW1177"/>
      <c r="MYX1177"/>
      <c r="MYY1177"/>
      <c r="MYZ1177"/>
      <c r="MZA1177"/>
      <c r="MZB1177"/>
      <c r="MZC1177"/>
      <c r="MZD1177"/>
      <c r="MZE1177"/>
      <c r="MZF1177"/>
      <c r="MZG1177"/>
      <c r="MZH1177"/>
      <c r="MZI1177"/>
      <c r="MZJ1177"/>
      <c r="MZK1177"/>
      <c r="MZL1177"/>
      <c r="MZM1177"/>
      <c r="MZN1177"/>
      <c r="MZO1177"/>
      <c r="MZP1177"/>
      <c r="MZQ1177"/>
      <c r="MZR1177"/>
      <c r="MZS1177"/>
      <c r="MZT1177"/>
      <c r="MZU1177"/>
      <c r="MZV1177"/>
      <c r="MZW1177"/>
      <c r="MZX1177"/>
      <c r="MZY1177"/>
      <c r="MZZ1177"/>
      <c r="NAA1177"/>
      <c r="NAB1177"/>
      <c r="NAC1177"/>
      <c r="NAD1177"/>
      <c r="NAE1177"/>
      <c r="NAF1177"/>
      <c r="NAG1177"/>
      <c r="NAH1177"/>
      <c r="NAI1177"/>
      <c r="NAJ1177"/>
      <c r="NAK1177"/>
      <c r="NAL1177"/>
      <c r="NAM1177"/>
      <c r="NAN1177"/>
      <c r="NAO1177"/>
      <c r="NAP1177"/>
      <c r="NAQ1177"/>
      <c r="NAR1177"/>
      <c r="NAS1177"/>
      <c r="NAT1177"/>
      <c r="NAU1177"/>
      <c r="NAV1177"/>
      <c r="NAW1177"/>
      <c r="NAX1177"/>
      <c r="NAY1177"/>
      <c r="NAZ1177"/>
      <c r="NBA1177"/>
      <c r="NBB1177"/>
      <c r="NBC1177"/>
      <c r="NBD1177"/>
      <c r="NBE1177"/>
      <c r="NBF1177"/>
      <c r="NBG1177"/>
      <c r="NBH1177"/>
      <c r="NBI1177"/>
      <c r="NBJ1177"/>
      <c r="NBK1177"/>
      <c r="NBL1177"/>
      <c r="NBM1177"/>
      <c r="NBN1177"/>
      <c r="NBO1177"/>
      <c r="NBP1177"/>
      <c r="NBQ1177"/>
      <c r="NBR1177"/>
      <c r="NBS1177"/>
      <c r="NBT1177"/>
      <c r="NBU1177"/>
      <c r="NBV1177"/>
      <c r="NBW1177"/>
      <c r="NBX1177"/>
      <c r="NBY1177"/>
      <c r="NBZ1177"/>
      <c r="NCA1177"/>
      <c r="NCB1177"/>
      <c r="NCC1177"/>
      <c r="NCD1177"/>
      <c r="NCE1177"/>
      <c r="NCF1177"/>
      <c r="NCG1177"/>
      <c r="NCH1177"/>
      <c r="NCI1177"/>
      <c r="NCJ1177"/>
      <c r="NCK1177"/>
      <c r="NCL1177"/>
      <c r="NCM1177"/>
      <c r="NCN1177"/>
      <c r="NCO1177"/>
      <c r="NCP1177"/>
      <c r="NCQ1177"/>
      <c r="NCR1177"/>
      <c r="NCS1177"/>
      <c r="NCT1177"/>
      <c r="NCU1177"/>
      <c r="NCV1177"/>
      <c r="NCW1177"/>
      <c r="NCX1177"/>
      <c r="NCY1177"/>
      <c r="NCZ1177"/>
      <c r="NDA1177"/>
      <c r="NDB1177"/>
      <c r="NDC1177"/>
      <c r="NDD1177"/>
      <c r="NDE1177"/>
      <c r="NDF1177"/>
      <c r="NDG1177"/>
      <c r="NDH1177"/>
      <c r="NDI1177"/>
      <c r="NDJ1177"/>
      <c r="NDK1177"/>
      <c r="NDL1177"/>
      <c r="NDM1177"/>
      <c r="NDN1177"/>
      <c r="NDO1177"/>
      <c r="NDP1177"/>
      <c r="NDQ1177"/>
      <c r="NDR1177"/>
      <c r="NDS1177"/>
      <c r="NDT1177"/>
      <c r="NDU1177"/>
      <c r="NDV1177"/>
      <c r="NDW1177"/>
      <c r="NDX1177"/>
      <c r="NDY1177"/>
      <c r="NDZ1177"/>
      <c r="NEA1177"/>
      <c r="NEB1177"/>
      <c r="NEC1177"/>
      <c r="NED1177"/>
      <c r="NEE1177"/>
      <c r="NEF1177"/>
      <c r="NEG1177"/>
      <c r="NEH1177"/>
      <c r="NEI1177"/>
      <c r="NEJ1177"/>
      <c r="NEK1177"/>
      <c r="NEL1177"/>
      <c r="NEM1177"/>
      <c r="NEN1177"/>
      <c r="NEO1177"/>
      <c r="NEP1177"/>
      <c r="NEQ1177"/>
      <c r="NER1177"/>
      <c r="NES1177"/>
      <c r="NET1177"/>
      <c r="NEU1177"/>
      <c r="NEV1177"/>
      <c r="NEW1177"/>
      <c r="NEX1177"/>
      <c r="NEY1177"/>
      <c r="NEZ1177"/>
      <c r="NFA1177"/>
      <c r="NFB1177"/>
      <c r="NFC1177"/>
      <c r="NFD1177"/>
      <c r="NFE1177"/>
      <c r="NFF1177"/>
      <c r="NFG1177"/>
      <c r="NFH1177"/>
      <c r="NFI1177"/>
      <c r="NFJ1177"/>
      <c r="NFK1177"/>
      <c r="NFL1177"/>
      <c r="NFM1177"/>
      <c r="NFN1177"/>
      <c r="NFO1177"/>
      <c r="NFP1177"/>
      <c r="NFQ1177"/>
      <c r="NFR1177"/>
      <c r="NFS1177"/>
      <c r="NFT1177"/>
      <c r="NFU1177"/>
      <c r="NFV1177"/>
      <c r="NFW1177"/>
      <c r="NFX1177"/>
      <c r="NFY1177"/>
      <c r="NFZ1177"/>
      <c r="NGA1177"/>
      <c r="NGB1177"/>
      <c r="NGC1177"/>
      <c r="NGD1177"/>
      <c r="NGE1177"/>
      <c r="NGF1177"/>
      <c r="NGG1177"/>
      <c r="NGH1177"/>
      <c r="NGI1177"/>
      <c r="NGJ1177"/>
      <c r="NGK1177"/>
      <c r="NGL1177"/>
      <c r="NGM1177"/>
      <c r="NGN1177"/>
      <c r="NGO1177"/>
      <c r="NGP1177"/>
      <c r="NGQ1177"/>
      <c r="NGR1177"/>
      <c r="NGS1177"/>
      <c r="NGT1177"/>
      <c r="NGU1177"/>
      <c r="NGV1177"/>
      <c r="NGW1177"/>
      <c r="NGX1177"/>
      <c r="NGY1177"/>
      <c r="NGZ1177"/>
      <c r="NHA1177"/>
      <c r="NHB1177"/>
      <c r="NHC1177"/>
      <c r="NHD1177"/>
      <c r="NHE1177"/>
      <c r="NHF1177"/>
      <c r="NHG1177"/>
      <c r="NHH1177"/>
      <c r="NHI1177"/>
      <c r="NHJ1177"/>
      <c r="NHK1177"/>
      <c r="NHL1177"/>
      <c r="NHM1177"/>
      <c r="NHN1177"/>
      <c r="NHO1177"/>
      <c r="NHP1177"/>
      <c r="NHQ1177"/>
      <c r="NHR1177"/>
      <c r="NHS1177"/>
      <c r="NHT1177"/>
      <c r="NHU1177"/>
      <c r="NHV1177"/>
      <c r="NHW1177"/>
      <c r="NHX1177"/>
      <c r="NHY1177"/>
      <c r="NHZ1177"/>
      <c r="NIA1177"/>
      <c r="NIB1177"/>
      <c r="NIC1177"/>
      <c r="NID1177"/>
      <c r="NIE1177"/>
      <c r="NIF1177"/>
      <c r="NIG1177"/>
      <c r="NIH1177"/>
      <c r="NII1177"/>
      <c r="NIJ1177"/>
      <c r="NIK1177"/>
      <c r="NIL1177"/>
      <c r="NIM1177"/>
      <c r="NIN1177"/>
      <c r="NIO1177"/>
      <c r="NIP1177"/>
      <c r="NIQ1177"/>
      <c r="NIR1177"/>
      <c r="NIS1177"/>
      <c r="NIT1177"/>
      <c r="NIU1177"/>
      <c r="NIV1177"/>
      <c r="NIW1177"/>
      <c r="NIX1177"/>
      <c r="NIY1177"/>
      <c r="NIZ1177"/>
      <c r="NJA1177"/>
      <c r="NJB1177"/>
      <c r="NJC1177"/>
      <c r="NJD1177"/>
      <c r="NJE1177"/>
      <c r="NJF1177"/>
      <c r="NJG1177"/>
      <c r="NJH1177"/>
      <c r="NJI1177"/>
      <c r="NJJ1177"/>
      <c r="NJK1177"/>
      <c r="NJL1177"/>
      <c r="NJM1177"/>
      <c r="NJN1177"/>
      <c r="NJO1177"/>
      <c r="NJP1177"/>
      <c r="NJQ1177"/>
      <c r="NJR1177"/>
      <c r="NJS1177"/>
      <c r="NJT1177"/>
      <c r="NJU1177"/>
      <c r="NJV1177"/>
      <c r="NJW1177"/>
      <c r="NJX1177"/>
      <c r="NJY1177"/>
      <c r="NJZ1177"/>
      <c r="NKA1177"/>
      <c r="NKB1177"/>
      <c r="NKC1177"/>
      <c r="NKD1177"/>
      <c r="NKE1177"/>
      <c r="NKF1177"/>
      <c r="NKG1177"/>
      <c r="NKH1177"/>
      <c r="NKI1177"/>
      <c r="NKJ1177"/>
      <c r="NKK1177"/>
      <c r="NKL1177"/>
      <c r="NKM1177"/>
      <c r="NKN1177"/>
      <c r="NKO1177"/>
      <c r="NKP1177"/>
      <c r="NKQ1177"/>
      <c r="NKR1177"/>
      <c r="NKS1177"/>
      <c r="NKT1177"/>
      <c r="NKU1177"/>
      <c r="NKV1177"/>
      <c r="NKW1177"/>
      <c r="NKX1177"/>
      <c r="NKY1177"/>
      <c r="NKZ1177"/>
      <c r="NLA1177"/>
      <c r="NLB1177"/>
      <c r="NLC1177"/>
      <c r="NLD1177"/>
      <c r="NLE1177"/>
      <c r="NLF1177"/>
      <c r="NLG1177"/>
      <c r="NLH1177"/>
      <c r="NLI1177"/>
      <c r="NLJ1177"/>
      <c r="NLK1177"/>
      <c r="NLL1177"/>
      <c r="NLM1177"/>
      <c r="NLN1177"/>
      <c r="NLO1177"/>
      <c r="NLP1177"/>
      <c r="NLQ1177"/>
      <c r="NLR1177"/>
      <c r="NLS1177"/>
      <c r="NLT1177"/>
      <c r="NLU1177"/>
      <c r="NLV1177"/>
      <c r="NLW1177"/>
      <c r="NLX1177"/>
      <c r="NLY1177"/>
      <c r="NLZ1177"/>
      <c r="NMA1177"/>
      <c r="NMB1177"/>
      <c r="NMC1177"/>
      <c r="NMD1177"/>
      <c r="NME1177"/>
      <c r="NMF1177"/>
      <c r="NMG1177"/>
      <c r="NMH1177"/>
      <c r="NMI1177"/>
      <c r="NMJ1177"/>
      <c r="NMK1177"/>
      <c r="NML1177"/>
      <c r="NMM1177"/>
      <c r="NMN1177"/>
      <c r="NMO1177"/>
      <c r="NMP1177"/>
      <c r="NMQ1177"/>
      <c r="NMR1177"/>
      <c r="NMS1177"/>
      <c r="NMT1177"/>
      <c r="NMU1177"/>
      <c r="NMV1177"/>
      <c r="NMW1177"/>
      <c r="NMX1177"/>
      <c r="NMY1177"/>
      <c r="NMZ1177"/>
      <c r="NNA1177"/>
      <c r="NNB1177"/>
      <c r="NNC1177"/>
      <c r="NND1177"/>
      <c r="NNE1177"/>
      <c r="NNF1177"/>
      <c r="NNG1177"/>
      <c r="NNH1177"/>
      <c r="NNI1177"/>
      <c r="NNJ1177"/>
      <c r="NNK1177"/>
      <c r="NNL1177"/>
      <c r="NNM1177"/>
      <c r="NNN1177"/>
      <c r="NNO1177"/>
      <c r="NNP1177"/>
      <c r="NNQ1177"/>
      <c r="NNR1177"/>
      <c r="NNS1177"/>
      <c r="NNT1177"/>
      <c r="NNU1177"/>
      <c r="NNV1177"/>
      <c r="NNW1177"/>
      <c r="NNX1177"/>
      <c r="NNY1177"/>
      <c r="NNZ1177"/>
      <c r="NOA1177"/>
      <c r="NOB1177"/>
      <c r="NOC1177"/>
      <c r="NOD1177"/>
      <c r="NOE1177"/>
      <c r="NOF1177"/>
      <c r="NOG1177"/>
      <c r="NOH1177"/>
      <c r="NOI1177"/>
      <c r="NOJ1177"/>
      <c r="NOK1177"/>
      <c r="NOL1177"/>
      <c r="NOM1177"/>
      <c r="NON1177"/>
      <c r="NOO1177"/>
      <c r="NOP1177"/>
      <c r="NOQ1177"/>
      <c r="NOR1177"/>
      <c r="NOS1177"/>
      <c r="NOT1177"/>
      <c r="NOU1177"/>
      <c r="NOV1177"/>
      <c r="NOW1177"/>
      <c r="NOX1177"/>
      <c r="NOY1177"/>
      <c r="NOZ1177"/>
      <c r="NPA1177"/>
      <c r="NPB1177"/>
      <c r="NPC1177"/>
      <c r="NPD1177"/>
      <c r="NPE1177"/>
      <c r="NPF1177"/>
      <c r="NPG1177"/>
      <c r="NPH1177"/>
      <c r="NPI1177"/>
      <c r="NPJ1177"/>
      <c r="NPK1177"/>
      <c r="NPL1177"/>
      <c r="NPM1177"/>
      <c r="NPN1177"/>
      <c r="NPO1177"/>
      <c r="NPP1177"/>
      <c r="NPQ1177"/>
      <c r="NPR1177"/>
      <c r="NPS1177"/>
      <c r="NPT1177"/>
      <c r="NPU1177"/>
      <c r="NPV1177"/>
      <c r="NPW1177"/>
      <c r="NPX1177"/>
      <c r="NPY1177"/>
      <c r="NPZ1177"/>
      <c r="NQA1177"/>
      <c r="NQB1177"/>
      <c r="NQC1177"/>
      <c r="NQD1177"/>
      <c r="NQE1177"/>
      <c r="NQF1177"/>
      <c r="NQG1177"/>
      <c r="NQH1177"/>
      <c r="NQI1177"/>
      <c r="NQJ1177"/>
      <c r="NQK1177"/>
      <c r="NQL1177"/>
      <c r="NQM1177"/>
      <c r="NQN1177"/>
      <c r="NQO1177"/>
      <c r="NQP1177"/>
      <c r="NQQ1177"/>
      <c r="NQR1177"/>
      <c r="NQS1177"/>
      <c r="NQT1177"/>
      <c r="NQU1177"/>
      <c r="NQV1177"/>
      <c r="NQW1177"/>
      <c r="NQX1177"/>
      <c r="NQY1177"/>
      <c r="NQZ1177"/>
      <c r="NRA1177"/>
      <c r="NRB1177"/>
      <c r="NRC1177"/>
      <c r="NRD1177"/>
      <c r="NRE1177"/>
      <c r="NRF1177"/>
      <c r="NRG1177"/>
      <c r="NRH1177"/>
      <c r="NRI1177"/>
      <c r="NRJ1177"/>
      <c r="NRK1177"/>
      <c r="NRL1177"/>
      <c r="NRM1177"/>
      <c r="NRN1177"/>
      <c r="NRO1177"/>
      <c r="NRP1177"/>
      <c r="NRQ1177"/>
      <c r="NRR1177"/>
      <c r="NRS1177"/>
      <c r="NRT1177"/>
      <c r="NRU1177"/>
      <c r="NRV1177"/>
      <c r="NRW1177"/>
      <c r="NRX1177"/>
      <c r="NRY1177"/>
      <c r="NRZ1177"/>
      <c r="NSA1177"/>
      <c r="NSB1177"/>
      <c r="NSC1177"/>
      <c r="NSD1177"/>
      <c r="NSE1177"/>
      <c r="NSF1177"/>
      <c r="NSG1177"/>
      <c r="NSH1177"/>
      <c r="NSI1177"/>
      <c r="NSJ1177"/>
      <c r="NSK1177"/>
      <c r="NSL1177"/>
      <c r="NSM1177"/>
      <c r="NSN1177"/>
      <c r="NSO1177"/>
      <c r="NSP1177"/>
      <c r="NSQ1177"/>
      <c r="NSR1177"/>
      <c r="NSS1177"/>
      <c r="NST1177"/>
      <c r="NSU1177"/>
      <c r="NSV1177"/>
      <c r="NSW1177"/>
      <c r="NSX1177"/>
      <c r="NSY1177"/>
      <c r="NSZ1177"/>
      <c r="NTA1177"/>
      <c r="NTB1177"/>
      <c r="NTC1177"/>
      <c r="NTD1177"/>
      <c r="NTE1177"/>
      <c r="NTF1177"/>
      <c r="NTG1177"/>
      <c r="NTH1177"/>
      <c r="NTI1177"/>
      <c r="NTJ1177"/>
      <c r="NTK1177"/>
      <c r="NTL1177"/>
      <c r="NTM1177"/>
      <c r="NTN1177"/>
      <c r="NTO1177"/>
      <c r="NTP1177"/>
      <c r="NTQ1177"/>
      <c r="NTR1177"/>
      <c r="NTS1177"/>
      <c r="NTT1177"/>
      <c r="NTU1177"/>
      <c r="NTV1177"/>
      <c r="NTW1177"/>
      <c r="NTX1177"/>
      <c r="NTY1177"/>
      <c r="NTZ1177"/>
      <c r="NUA1177"/>
      <c r="NUB1177"/>
      <c r="NUC1177"/>
      <c r="NUD1177"/>
      <c r="NUE1177"/>
      <c r="NUF1177"/>
      <c r="NUG1177"/>
      <c r="NUH1177"/>
      <c r="NUI1177"/>
      <c r="NUJ1177"/>
      <c r="NUK1177"/>
      <c r="NUL1177"/>
      <c r="NUM1177"/>
      <c r="NUN1177"/>
      <c r="NUO1177"/>
      <c r="NUP1177"/>
      <c r="NUQ1177"/>
      <c r="NUR1177"/>
      <c r="NUS1177"/>
      <c r="NUT1177"/>
      <c r="NUU1177"/>
      <c r="NUV1177"/>
      <c r="NUW1177"/>
      <c r="NUX1177"/>
      <c r="NUY1177"/>
      <c r="NUZ1177"/>
      <c r="NVA1177"/>
      <c r="NVB1177"/>
      <c r="NVC1177"/>
      <c r="NVD1177"/>
      <c r="NVE1177"/>
      <c r="NVF1177"/>
      <c r="NVG1177"/>
      <c r="NVH1177"/>
      <c r="NVI1177"/>
      <c r="NVJ1177"/>
      <c r="NVK1177"/>
      <c r="NVL1177"/>
      <c r="NVM1177"/>
      <c r="NVN1177"/>
      <c r="NVO1177"/>
      <c r="NVP1177"/>
      <c r="NVQ1177"/>
      <c r="NVR1177"/>
      <c r="NVS1177"/>
      <c r="NVT1177"/>
      <c r="NVU1177"/>
      <c r="NVV1177"/>
      <c r="NVW1177"/>
      <c r="NVX1177"/>
      <c r="NVY1177"/>
      <c r="NVZ1177"/>
      <c r="NWA1177"/>
      <c r="NWB1177"/>
      <c r="NWC1177"/>
      <c r="NWD1177"/>
      <c r="NWE1177"/>
      <c r="NWF1177"/>
      <c r="NWG1177"/>
      <c r="NWH1177"/>
      <c r="NWI1177"/>
      <c r="NWJ1177"/>
      <c r="NWK1177"/>
      <c r="NWL1177"/>
      <c r="NWM1177"/>
      <c r="NWN1177"/>
      <c r="NWO1177"/>
      <c r="NWP1177"/>
      <c r="NWQ1177"/>
      <c r="NWR1177"/>
      <c r="NWS1177"/>
      <c r="NWT1177"/>
      <c r="NWU1177"/>
      <c r="NWV1177"/>
      <c r="NWW1177"/>
      <c r="NWX1177"/>
      <c r="NWY1177"/>
      <c r="NWZ1177"/>
      <c r="NXA1177"/>
      <c r="NXB1177"/>
      <c r="NXC1177"/>
      <c r="NXD1177"/>
      <c r="NXE1177"/>
      <c r="NXF1177"/>
      <c r="NXG1177"/>
      <c r="NXH1177"/>
      <c r="NXI1177"/>
      <c r="NXJ1177"/>
      <c r="NXK1177"/>
      <c r="NXL1177"/>
      <c r="NXM1177"/>
      <c r="NXN1177"/>
      <c r="NXO1177"/>
      <c r="NXP1177"/>
      <c r="NXQ1177"/>
      <c r="NXR1177"/>
      <c r="NXS1177"/>
      <c r="NXT1177"/>
      <c r="NXU1177"/>
      <c r="NXV1177"/>
      <c r="NXW1177"/>
      <c r="NXX1177"/>
      <c r="NXY1177"/>
      <c r="NXZ1177"/>
      <c r="NYA1177"/>
      <c r="NYB1177"/>
      <c r="NYC1177"/>
      <c r="NYD1177"/>
      <c r="NYE1177"/>
      <c r="NYF1177"/>
      <c r="NYG1177"/>
      <c r="NYH1177"/>
      <c r="NYI1177"/>
      <c r="NYJ1177"/>
      <c r="NYK1177"/>
      <c r="NYL1177"/>
      <c r="NYM1177"/>
      <c r="NYN1177"/>
      <c r="NYO1177"/>
      <c r="NYP1177"/>
      <c r="NYQ1177"/>
      <c r="NYR1177"/>
      <c r="NYS1177"/>
      <c r="NYT1177"/>
      <c r="NYU1177"/>
      <c r="NYV1177"/>
      <c r="NYW1177"/>
      <c r="NYX1177"/>
      <c r="NYY1177"/>
      <c r="NYZ1177"/>
      <c r="NZA1177"/>
      <c r="NZB1177"/>
      <c r="NZC1177"/>
      <c r="NZD1177"/>
      <c r="NZE1177"/>
      <c r="NZF1177"/>
      <c r="NZG1177"/>
      <c r="NZH1177"/>
      <c r="NZI1177"/>
      <c r="NZJ1177"/>
      <c r="NZK1177"/>
      <c r="NZL1177"/>
      <c r="NZM1177"/>
      <c r="NZN1177"/>
      <c r="NZO1177"/>
      <c r="NZP1177"/>
      <c r="NZQ1177"/>
      <c r="NZR1177"/>
      <c r="NZS1177"/>
      <c r="NZT1177"/>
      <c r="NZU1177"/>
      <c r="NZV1177"/>
      <c r="NZW1177"/>
      <c r="NZX1177"/>
      <c r="NZY1177"/>
      <c r="NZZ1177"/>
      <c r="OAA1177"/>
      <c r="OAB1177"/>
      <c r="OAC1177"/>
      <c r="OAD1177"/>
      <c r="OAE1177"/>
      <c r="OAF1177"/>
      <c r="OAG1177"/>
      <c r="OAH1177"/>
      <c r="OAI1177"/>
      <c r="OAJ1177"/>
      <c r="OAK1177"/>
      <c r="OAL1177"/>
      <c r="OAM1177"/>
      <c r="OAN1177"/>
      <c r="OAO1177"/>
      <c r="OAP1177"/>
      <c r="OAQ1177"/>
      <c r="OAR1177"/>
      <c r="OAS1177"/>
      <c r="OAT1177"/>
      <c r="OAU1177"/>
      <c r="OAV1177"/>
      <c r="OAW1177"/>
      <c r="OAX1177"/>
      <c r="OAY1177"/>
      <c r="OAZ1177"/>
      <c r="OBA1177"/>
      <c r="OBB1177"/>
      <c r="OBC1177"/>
      <c r="OBD1177"/>
      <c r="OBE1177"/>
      <c r="OBF1177"/>
      <c r="OBG1177"/>
      <c r="OBH1177"/>
      <c r="OBI1177"/>
      <c r="OBJ1177"/>
      <c r="OBK1177"/>
      <c r="OBL1177"/>
      <c r="OBM1177"/>
      <c r="OBN1177"/>
      <c r="OBO1177"/>
      <c r="OBP1177"/>
      <c r="OBQ1177"/>
      <c r="OBR1177"/>
      <c r="OBS1177"/>
      <c r="OBT1177"/>
      <c r="OBU1177"/>
      <c r="OBV1177"/>
      <c r="OBW1177"/>
      <c r="OBX1177"/>
      <c r="OBY1177"/>
      <c r="OBZ1177"/>
      <c r="OCA1177"/>
      <c r="OCB1177"/>
      <c r="OCC1177"/>
      <c r="OCD1177"/>
      <c r="OCE1177"/>
      <c r="OCF1177"/>
      <c r="OCG1177"/>
      <c r="OCH1177"/>
      <c r="OCI1177"/>
      <c r="OCJ1177"/>
      <c r="OCK1177"/>
      <c r="OCL1177"/>
      <c r="OCM1177"/>
      <c r="OCN1177"/>
      <c r="OCO1177"/>
      <c r="OCP1177"/>
      <c r="OCQ1177"/>
      <c r="OCR1177"/>
      <c r="OCS1177"/>
      <c r="OCT1177"/>
      <c r="OCU1177"/>
      <c r="OCV1177"/>
      <c r="OCW1177"/>
      <c r="OCX1177"/>
      <c r="OCY1177"/>
      <c r="OCZ1177"/>
      <c r="ODA1177"/>
      <c r="ODB1177"/>
      <c r="ODC1177"/>
      <c r="ODD1177"/>
      <c r="ODE1177"/>
      <c r="ODF1177"/>
      <c r="ODG1177"/>
      <c r="ODH1177"/>
      <c r="ODI1177"/>
      <c r="ODJ1177"/>
      <c r="ODK1177"/>
      <c r="ODL1177"/>
      <c r="ODM1177"/>
      <c r="ODN1177"/>
      <c r="ODO1177"/>
      <c r="ODP1177"/>
      <c r="ODQ1177"/>
      <c r="ODR1177"/>
      <c r="ODS1177"/>
      <c r="ODT1177"/>
      <c r="ODU1177"/>
      <c r="ODV1177"/>
      <c r="ODW1177"/>
      <c r="ODX1177"/>
      <c r="ODY1177"/>
      <c r="ODZ1177"/>
      <c r="OEA1177"/>
      <c r="OEB1177"/>
      <c r="OEC1177"/>
      <c r="OED1177"/>
      <c r="OEE1177"/>
      <c r="OEF1177"/>
      <c r="OEG1177"/>
      <c r="OEH1177"/>
      <c r="OEI1177"/>
      <c r="OEJ1177"/>
      <c r="OEK1177"/>
      <c r="OEL1177"/>
      <c r="OEM1177"/>
      <c r="OEN1177"/>
      <c r="OEO1177"/>
      <c r="OEP1177"/>
      <c r="OEQ1177"/>
      <c r="OER1177"/>
      <c r="OES1177"/>
      <c r="OET1177"/>
      <c r="OEU1177"/>
      <c r="OEV1177"/>
      <c r="OEW1177"/>
      <c r="OEX1177"/>
      <c r="OEY1177"/>
      <c r="OEZ1177"/>
      <c r="OFA1177"/>
      <c r="OFB1177"/>
      <c r="OFC1177"/>
      <c r="OFD1177"/>
      <c r="OFE1177"/>
      <c r="OFF1177"/>
      <c r="OFG1177"/>
      <c r="OFH1177"/>
      <c r="OFI1177"/>
      <c r="OFJ1177"/>
      <c r="OFK1177"/>
      <c r="OFL1177"/>
      <c r="OFM1177"/>
      <c r="OFN1177"/>
      <c r="OFO1177"/>
      <c r="OFP1177"/>
      <c r="OFQ1177"/>
      <c r="OFR1177"/>
      <c r="OFS1177"/>
      <c r="OFT1177"/>
      <c r="OFU1177"/>
      <c r="OFV1177"/>
      <c r="OFW1177"/>
      <c r="OFX1177"/>
      <c r="OFY1177"/>
      <c r="OFZ1177"/>
      <c r="OGA1177"/>
      <c r="OGB1177"/>
      <c r="OGC1177"/>
      <c r="OGD1177"/>
      <c r="OGE1177"/>
      <c r="OGF1177"/>
      <c r="OGG1177"/>
      <c r="OGH1177"/>
      <c r="OGI1177"/>
      <c r="OGJ1177"/>
      <c r="OGK1177"/>
      <c r="OGL1177"/>
      <c r="OGM1177"/>
      <c r="OGN1177"/>
      <c r="OGO1177"/>
      <c r="OGP1177"/>
      <c r="OGQ1177"/>
      <c r="OGR1177"/>
      <c r="OGS1177"/>
      <c r="OGT1177"/>
      <c r="OGU1177"/>
      <c r="OGV1177"/>
      <c r="OGW1177"/>
      <c r="OGX1177"/>
      <c r="OGY1177"/>
      <c r="OGZ1177"/>
      <c r="OHA1177"/>
      <c r="OHB1177"/>
      <c r="OHC1177"/>
      <c r="OHD1177"/>
      <c r="OHE1177"/>
      <c r="OHF1177"/>
      <c r="OHG1177"/>
      <c r="OHH1177"/>
      <c r="OHI1177"/>
      <c r="OHJ1177"/>
      <c r="OHK1177"/>
      <c r="OHL1177"/>
      <c r="OHM1177"/>
      <c r="OHN1177"/>
      <c r="OHO1177"/>
      <c r="OHP1177"/>
      <c r="OHQ1177"/>
      <c r="OHR1177"/>
      <c r="OHS1177"/>
      <c r="OHT1177"/>
      <c r="OHU1177"/>
      <c r="OHV1177"/>
      <c r="OHW1177"/>
      <c r="OHX1177"/>
      <c r="OHY1177"/>
      <c r="OHZ1177"/>
      <c r="OIA1177"/>
      <c r="OIB1177"/>
      <c r="OIC1177"/>
      <c r="OID1177"/>
      <c r="OIE1177"/>
      <c r="OIF1177"/>
      <c r="OIG1177"/>
      <c r="OIH1177"/>
      <c r="OII1177"/>
      <c r="OIJ1177"/>
      <c r="OIK1177"/>
      <c r="OIL1177"/>
      <c r="OIM1177"/>
      <c r="OIN1177"/>
      <c r="OIO1177"/>
      <c r="OIP1177"/>
      <c r="OIQ1177"/>
      <c r="OIR1177"/>
      <c r="OIS1177"/>
      <c r="OIT1177"/>
      <c r="OIU1177"/>
      <c r="OIV1177"/>
      <c r="OIW1177"/>
      <c r="OIX1177"/>
      <c r="OIY1177"/>
      <c r="OIZ1177"/>
      <c r="OJA1177"/>
      <c r="OJB1177"/>
      <c r="OJC1177"/>
      <c r="OJD1177"/>
      <c r="OJE1177"/>
      <c r="OJF1177"/>
      <c r="OJG1177"/>
      <c r="OJH1177"/>
      <c r="OJI1177"/>
      <c r="OJJ1177"/>
      <c r="OJK1177"/>
      <c r="OJL1177"/>
      <c r="OJM1177"/>
      <c r="OJN1177"/>
      <c r="OJO1177"/>
      <c r="OJP1177"/>
      <c r="OJQ1177"/>
      <c r="OJR1177"/>
      <c r="OJS1177"/>
      <c r="OJT1177"/>
      <c r="OJU1177"/>
      <c r="OJV1177"/>
      <c r="OJW1177"/>
      <c r="OJX1177"/>
      <c r="OJY1177"/>
      <c r="OJZ1177"/>
      <c r="OKA1177"/>
      <c r="OKB1177"/>
      <c r="OKC1177"/>
      <c r="OKD1177"/>
      <c r="OKE1177"/>
      <c r="OKF1177"/>
      <c r="OKG1177"/>
      <c r="OKH1177"/>
      <c r="OKI1177"/>
      <c r="OKJ1177"/>
      <c r="OKK1177"/>
      <c r="OKL1177"/>
      <c r="OKM1177"/>
      <c r="OKN1177"/>
      <c r="OKO1177"/>
      <c r="OKP1177"/>
      <c r="OKQ1177"/>
      <c r="OKR1177"/>
      <c r="OKS1177"/>
      <c r="OKT1177"/>
      <c r="OKU1177"/>
      <c r="OKV1177"/>
      <c r="OKW1177"/>
      <c r="OKX1177"/>
      <c r="OKY1177"/>
      <c r="OKZ1177"/>
      <c r="OLA1177"/>
      <c r="OLB1177"/>
      <c r="OLC1177"/>
      <c r="OLD1177"/>
      <c r="OLE1177"/>
      <c r="OLF1177"/>
      <c r="OLG1177"/>
      <c r="OLH1177"/>
      <c r="OLI1177"/>
      <c r="OLJ1177"/>
      <c r="OLK1177"/>
      <c r="OLL1177"/>
      <c r="OLM1177"/>
      <c r="OLN1177"/>
      <c r="OLO1177"/>
      <c r="OLP1177"/>
      <c r="OLQ1177"/>
      <c r="OLR1177"/>
      <c r="OLS1177"/>
      <c r="OLT1177"/>
      <c r="OLU1177"/>
      <c r="OLV1177"/>
      <c r="OLW1177"/>
      <c r="OLX1177"/>
      <c r="OLY1177"/>
      <c r="OLZ1177"/>
      <c r="OMA1177"/>
      <c r="OMB1177"/>
      <c r="OMC1177"/>
      <c r="OMD1177"/>
      <c r="OME1177"/>
      <c r="OMF1177"/>
      <c r="OMG1177"/>
      <c r="OMH1177"/>
      <c r="OMI1177"/>
      <c r="OMJ1177"/>
      <c r="OMK1177"/>
      <c r="OML1177"/>
      <c r="OMM1177"/>
      <c r="OMN1177"/>
      <c r="OMO1177"/>
      <c r="OMP1177"/>
      <c r="OMQ1177"/>
      <c r="OMR1177"/>
      <c r="OMS1177"/>
      <c r="OMT1177"/>
      <c r="OMU1177"/>
      <c r="OMV1177"/>
      <c r="OMW1177"/>
      <c r="OMX1177"/>
      <c r="OMY1177"/>
      <c r="OMZ1177"/>
      <c r="ONA1177"/>
      <c r="ONB1177"/>
      <c r="ONC1177"/>
      <c r="OND1177"/>
      <c r="ONE1177"/>
      <c r="ONF1177"/>
      <c r="ONG1177"/>
      <c r="ONH1177"/>
      <c r="ONI1177"/>
      <c r="ONJ1177"/>
      <c r="ONK1177"/>
      <c r="ONL1177"/>
      <c r="ONM1177"/>
      <c r="ONN1177"/>
      <c r="ONO1177"/>
      <c r="ONP1177"/>
      <c r="ONQ1177"/>
      <c r="ONR1177"/>
      <c r="ONS1177"/>
      <c r="ONT1177"/>
      <c r="ONU1177"/>
      <c r="ONV1177"/>
      <c r="ONW1177"/>
      <c r="ONX1177"/>
      <c r="ONY1177"/>
      <c r="ONZ1177"/>
      <c r="OOA1177"/>
      <c r="OOB1177"/>
      <c r="OOC1177"/>
      <c r="OOD1177"/>
      <c r="OOE1177"/>
      <c r="OOF1177"/>
      <c r="OOG1177"/>
      <c r="OOH1177"/>
      <c r="OOI1177"/>
      <c r="OOJ1177"/>
      <c r="OOK1177"/>
      <c r="OOL1177"/>
      <c r="OOM1177"/>
      <c r="OON1177"/>
      <c r="OOO1177"/>
      <c r="OOP1177"/>
      <c r="OOQ1177"/>
      <c r="OOR1177"/>
      <c r="OOS1177"/>
      <c r="OOT1177"/>
      <c r="OOU1177"/>
      <c r="OOV1177"/>
      <c r="OOW1177"/>
      <c r="OOX1177"/>
      <c r="OOY1177"/>
      <c r="OOZ1177"/>
      <c r="OPA1177"/>
      <c r="OPB1177"/>
      <c r="OPC1177"/>
      <c r="OPD1177"/>
      <c r="OPE1177"/>
      <c r="OPF1177"/>
      <c r="OPG1177"/>
      <c r="OPH1177"/>
      <c r="OPI1177"/>
      <c r="OPJ1177"/>
      <c r="OPK1177"/>
      <c r="OPL1177"/>
      <c r="OPM1177"/>
      <c r="OPN1177"/>
      <c r="OPO1177"/>
      <c r="OPP1177"/>
      <c r="OPQ1177"/>
      <c r="OPR1177"/>
      <c r="OPS1177"/>
      <c r="OPT1177"/>
      <c r="OPU1177"/>
      <c r="OPV1177"/>
      <c r="OPW1177"/>
      <c r="OPX1177"/>
      <c r="OPY1177"/>
      <c r="OPZ1177"/>
      <c r="OQA1177"/>
      <c r="OQB1177"/>
      <c r="OQC1177"/>
      <c r="OQD1177"/>
      <c r="OQE1177"/>
      <c r="OQF1177"/>
      <c r="OQG1177"/>
      <c r="OQH1177"/>
      <c r="OQI1177"/>
      <c r="OQJ1177"/>
      <c r="OQK1177"/>
      <c r="OQL1177"/>
      <c r="OQM1177"/>
      <c r="OQN1177"/>
      <c r="OQO1177"/>
      <c r="OQP1177"/>
      <c r="OQQ1177"/>
      <c r="OQR1177"/>
      <c r="OQS1177"/>
      <c r="OQT1177"/>
      <c r="OQU1177"/>
      <c r="OQV1177"/>
      <c r="OQW1177"/>
      <c r="OQX1177"/>
      <c r="OQY1177"/>
      <c r="OQZ1177"/>
      <c r="ORA1177"/>
      <c r="ORB1177"/>
      <c r="ORC1177"/>
      <c r="ORD1177"/>
      <c r="ORE1177"/>
      <c r="ORF1177"/>
      <c r="ORG1177"/>
      <c r="ORH1177"/>
      <c r="ORI1177"/>
      <c r="ORJ1177"/>
      <c r="ORK1177"/>
      <c r="ORL1177"/>
      <c r="ORM1177"/>
      <c r="ORN1177"/>
      <c r="ORO1177"/>
      <c r="ORP1177"/>
      <c r="ORQ1177"/>
      <c r="ORR1177"/>
      <c r="ORS1177"/>
      <c r="ORT1177"/>
      <c r="ORU1177"/>
      <c r="ORV1177"/>
      <c r="ORW1177"/>
      <c r="ORX1177"/>
      <c r="ORY1177"/>
      <c r="ORZ1177"/>
      <c r="OSA1177"/>
      <c r="OSB1177"/>
      <c r="OSC1177"/>
      <c r="OSD1177"/>
      <c r="OSE1177"/>
      <c r="OSF1177"/>
      <c r="OSG1177"/>
      <c r="OSH1177"/>
      <c r="OSI1177"/>
      <c r="OSJ1177"/>
      <c r="OSK1177"/>
      <c r="OSL1177"/>
      <c r="OSM1177"/>
      <c r="OSN1177"/>
      <c r="OSO1177"/>
      <c r="OSP1177"/>
      <c r="OSQ1177"/>
      <c r="OSR1177"/>
      <c r="OSS1177"/>
      <c r="OST1177"/>
      <c r="OSU1177"/>
      <c r="OSV1177"/>
      <c r="OSW1177"/>
      <c r="OSX1177"/>
      <c r="OSY1177"/>
      <c r="OSZ1177"/>
      <c r="OTA1177"/>
      <c r="OTB1177"/>
      <c r="OTC1177"/>
      <c r="OTD1177"/>
      <c r="OTE1177"/>
      <c r="OTF1177"/>
      <c r="OTG1177"/>
      <c r="OTH1177"/>
      <c r="OTI1177"/>
      <c r="OTJ1177"/>
      <c r="OTK1177"/>
      <c r="OTL1177"/>
      <c r="OTM1177"/>
      <c r="OTN1177"/>
      <c r="OTO1177"/>
      <c r="OTP1177"/>
      <c r="OTQ1177"/>
      <c r="OTR1177"/>
      <c r="OTS1177"/>
      <c r="OTT1177"/>
      <c r="OTU1177"/>
      <c r="OTV1177"/>
      <c r="OTW1177"/>
      <c r="OTX1177"/>
      <c r="OTY1177"/>
      <c r="OTZ1177"/>
      <c r="OUA1177"/>
      <c r="OUB1177"/>
      <c r="OUC1177"/>
      <c r="OUD1177"/>
      <c r="OUE1177"/>
      <c r="OUF1177"/>
      <c r="OUG1177"/>
      <c r="OUH1177"/>
      <c r="OUI1177"/>
      <c r="OUJ1177"/>
      <c r="OUK1177"/>
      <c r="OUL1177"/>
      <c r="OUM1177"/>
      <c r="OUN1177"/>
      <c r="OUO1177"/>
      <c r="OUP1177"/>
      <c r="OUQ1177"/>
      <c r="OUR1177"/>
      <c r="OUS1177"/>
      <c r="OUT1177"/>
      <c r="OUU1177"/>
      <c r="OUV1177"/>
      <c r="OUW1177"/>
      <c r="OUX1177"/>
      <c r="OUY1177"/>
      <c r="OUZ1177"/>
      <c r="OVA1177"/>
      <c r="OVB1177"/>
      <c r="OVC1177"/>
      <c r="OVD1177"/>
      <c r="OVE1177"/>
      <c r="OVF1177"/>
      <c r="OVG1177"/>
      <c r="OVH1177"/>
      <c r="OVI1177"/>
      <c r="OVJ1177"/>
      <c r="OVK1177"/>
      <c r="OVL1177"/>
      <c r="OVM1177"/>
      <c r="OVN1177"/>
      <c r="OVO1177"/>
      <c r="OVP1177"/>
      <c r="OVQ1177"/>
      <c r="OVR1177"/>
      <c r="OVS1177"/>
      <c r="OVT1177"/>
      <c r="OVU1177"/>
      <c r="OVV1177"/>
      <c r="OVW1177"/>
      <c r="OVX1177"/>
      <c r="OVY1177"/>
      <c r="OVZ1177"/>
      <c r="OWA1177"/>
      <c r="OWB1177"/>
      <c r="OWC1177"/>
      <c r="OWD1177"/>
      <c r="OWE1177"/>
      <c r="OWF1177"/>
      <c r="OWG1177"/>
      <c r="OWH1177"/>
      <c r="OWI1177"/>
      <c r="OWJ1177"/>
      <c r="OWK1177"/>
      <c r="OWL1177"/>
      <c r="OWM1177"/>
      <c r="OWN1177"/>
      <c r="OWO1177"/>
      <c r="OWP1177"/>
      <c r="OWQ1177"/>
      <c r="OWR1177"/>
      <c r="OWS1177"/>
      <c r="OWT1177"/>
      <c r="OWU1177"/>
      <c r="OWV1177"/>
      <c r="OWW1177"/>
      <c r="OWX1177"/>
      <c r="OWY1177"/>
      <c r="OWZ1177"/>
      <c r="OXA1177"/>
      <c r="OXB1177"/>
      <c r="OXC1177"/>
      <c r="OXD1177"/>
      <c r="OXE1177"/>
      <c r="OXF1177"/>
      <c r="OXG1177"/>
      <c r="OXH1177"/>
      <c r="OXI1177"/>
      <c r="OXJ1177"/>
      <c r="OXK1177"/>
      <c r="OXL1177"/>
      <c r="OXM1177"/>
      <c r="OXN1177"/>
      <c r="OXO1177"/>
      <c r="OXP1177"/>
      <c r="OXQ1177"/>
      <c r="OXR1177"/>
      <c r="OXS1177"/>
      <c r="OXT1177"/>
      <c r="OXU1177"/>
      <c r="OXV1177"/>
      <c r="OXW1177"/>
      <c r="OXX1177"/>
      <c r="OXY1177"/>
      <c r="OXZ1177"/>
      <c r="OYA1177"/>
      <c r="OYB1177"/>
      <c r="OYC1177"/>
      <c r="OYD1177"/>
      <c r="OYE1177"/>
      <c r="OYF1177"/>
      <c r="OYG1177"/>
      <c r="OYH1177"/>
      <c r="OYI1177"/>
      <c r="OYJ1177"/>
      <c r="OYK1177"/>
      <c r="OYL1177"/>
      <c r="OYM1177"/>
      <c r="OYN1177"/>
      <c r="OYO1177"/>
      <c r="OYP1177"/>
      <c r="OYQ1177"/>
      <c r="OYR1177"/>
      <c r="OYS1177"/>
      <c r="OYT1177"/>
      <c r="OYU1177"/>
      <c r="OYV1177"/>
      <c r="OYW1177"/>
      <c r="OYX1177"/>
      <c r="OYY1177"/>
      <c r="OYZ1177"/>
      <c r="OZA1177"/>
      <c r="OZB1177"/>
      <c r="OZC1177"/>
      <c r="OZD1177"/>
      <c r="OZE1177"/>
      <c r="OZF1177"/>
      <c r="OZG1177"/>
      <c r="OZH1177"/>
      <c r="OZI1177"/>
      <c r="OZJ1177"/>
      <c r="OZK1177"/>
      <c r="OZL1177"/>
      <c r="OZM1177"/>
      <c r="OZN1177"/>
      <c r="OZO1177"/>
      <c r="OZP1177"/>
      <c r="OZQ1177"/>
      <c r="OZR1177"/>
      <c r="OZS1177"/>
      <c r="OZT1177"/>
      <c r="OZU1177"/>
      <c r="OZV1177"/>
      <c r="OZW1177"/>
      <c r="OZX1177"/>
      <c r="OZY1177"/>
      <c r="OZZ1177"/>
      <c r="PAA1177"/>
      <c r="PAB1177"/>
      <c r="PAC1177"/>
      <c r="PAD1177"/>
      <c r="PAE1177"/>
      <c r="PAF1177"/>
      <c r="PAG1177"/>
      <c r="PAH1177"/>
      <c r="PAI1177"/>
      <c r="PAJ1177"/>
      <c r="PAK1177"/>
      <c r="PAL1177"/>
      <c r="PAM1177"/>
      <c r="PAN1177"/>
      <c r="PAO1177"/>
      <c r="PAP1177"/>
      <c r="PAQ1177"/>
      <c r="PAR1177"/>
      <c r="PAS1177"/>
      <c r="PAT1177"/>
      <c r="PAU1177"/>
      <c r="PAV1177"/>
      <c r="PAW1177"/>
      <c r="PAX1177"/>
      <c r="PAY1177"/>
      <c r="PAZ1177"/>
      <c r="PBA1177"/>
      <c r="PBB1177"/>
      <c r="PBC1177"/>
      <c r="PBD1177"/>
      <c r="PBE1177"/>
      <c r="PBF1177"/>
      <c r="PBG1177"/>
      <c r="PBH1177"/>
      <c r="PBI1177"/>
      <c r="PBJ1177"/>
      <c r="PBK1177"/>
      <c r="PBL1177"/>
      <c r="PBM1177"/>
      <c r="PBN1177"/>
      <c r="PBO1177"/>
      <c r="PBP1177"/>
      <c r="PBQ1177"/>
      <c r="PBR1177"/>
      <c r="PBS1177"/>
      <c r="PBT1177"/>
      <c r="PBU1177"/>
      <c r="PBV1177"/>
      <c r="PBW1177"/>
      <c r="PBX1177"/>
      <c r="PBY1177"/>
      <c r="PBZ1177"/>
      <c r="PCA1177"/>
      <c r="PCB1177"/>
      <c r="PCC1177"/>
      <c r="PCD1177"/>
      <c r="PCE1177"/>
      <c r="PCF1177"/>
      <c r="PCG1177"/>
      <c r="PCH1177"/>
      <c r="PCI1177"/>
      <c r="PCJ1177"/>
      <c r="PCK1177"/>
      <c r="PCL1177"/>
      <c r="PCM1177"/>
      <c r="PCN1177"/>
      <c r="PCO1177"/>
      <c r="PCP1177"/>
      <c r="PCQ1177"/>
      <c r="PCR1177"/>
      <c r="PCS1177"/>
      <c r="PCT1177"/>
      <c r="PCU1177"/>
      <c r="PCV1177"/>
      <c r="PCW1177"/>
      <c r="PCX1177"/>
      <c r="PCY1177"/>
      <c r="PCZ1177"/>
      <c r="PDA1177"/>
      <c r="PDB1177"/>
      <c r="PDC1177"/>
      <c r="PDD1177"/>
      <c r="PDE1177"/>
      <c r="PDF1177"/>
      <c r="PDG1177"/>
      <c r="PDH1177"/>
      <c r="PDI1177"/>
      <c r="PDJ1177"/>
      <c r="PDK1177"/>
      <c r="PDL1177"/>
      <c r="PDM1177"/>
      <c r="PDN1177"/>
      <c r="PDO1177"/>
      <c r="PDP1177"/>
      <c r="PDQ1177"/>
      <c r="PDR1177"/>
      <c r="PDS1177"/>
      <c r="PDT1177"/>
      <c r="PDU1177"/>
      <c r="PDV1177"/>
      <c r="PDW1177"/>
      <c r="PDX1177"/>
      <c r="PDY1177"/>
      <c r="PDZ1177"/>
      <c r="PEA1177"/>
      <c r="PEB1177"/>
      <c r="PEC1177"/>
      <c r="PED1177"/>
      <c r="PEE1177"/>
      <c r="PEF1177"/>
      <c r="PEG1177"/>
      <c r="PEH1177"/>
      <c r="PEI1177"/>
      <c r="PEJ1177"/>
      <c r="PEK1177"/>
      <c r="PEL1177"/>
      <c r="PEM1177"/>
      <c r="PEN1177"/>
      <c r="PEO1177"/>
      <c r="PEP1177"/>
      <c r="PEQ1177"/>
      <c r="PER1177"/>
      <c r="PES1177"/>
      <c r="PET1177"/>
      <c r="PEU1177"/>
      <c r="PEV1177"/>
      <c r="PEW1177"/>
      <c r="PEX1177"/>
      <c r="PEY1177"/>
      <c r="PEZ1177"/>
      <c r="PFA1177"/>
      <c r="PFB1177"/>
      <c r="PFC1177"/>
      <c r="PFD1177"/>
      <c r="PFE1177"/>
      <c r="PFF1177"/>
      <c r="PFG1177"/>
      <c r="PFH1177"/>
      <c r="PFI1177"/>
      <c r="PFJ1177"/>
      <c r="PFK1177"/>
      <c r="PFL1177"/>
      <c r="PFM1177"/>
      <c r="PFN1177"/>
      <c r="PFO1177"/>
      <c r="PFP1177"/>
      <c r="PFQ1177"/>
      <c r="PFR1177"/>
      <c r="PFS1177"/>
      <c r="PFT1177"/>
      <c r="PFU1177"/>
      <c r="PFV1177"/>
      <c r="PFW1177"/>
      <c r="PFX1177"/>
      <c r="PFY1177"/>
      <c r="PFZ1177"/>
      <c r="PGA1177"/>
      <c r="PGB1177"/>
      <c r="PGC1177"/>
      <c r="PGD1177"/>
      <c r="PGE1177"/>
      <c r="PGF1177"/>
      <c r="PGG1177"/>
      <c r="PGH1177"/>
      <c r="PGI1177"/>
      <c r="PGJ1177"/>
      <c r="PGK1177"/>
      <c r="PGL1177"/>
      <c r="PGM1177"/>
      <c r="PGN1177"/>
      <c r="PGO1177"/>
      <c r="PGP1177"/>
      <c r="PGQ1177"/>
      <c r="PGR1177"/>
      <c r="PGS1177"/>
      <c r="PGT1177"/>
      <c r="PGU1177"/>
      <c r="PGV1177"/>
      <c r="PGW1177"/>
      <c r="PGX1177"/>
      <c r="PGY1177"/>
      <c r="PGZ1177"/>
      <c r="PHA1177"/>
      <c r="PHB1177"/>
      <c r="PHC1177"/>
      <c r="PHD1177"/>
      <c r="PHE1177"/>
      <c r="PHF1177"/>
      <c r="PHG1177"/>
      <c r="PHH1177"/>
      <c r="PHI1177"/>
      <c r="PHJ1177"/>
      <c r="PHK1177"/>
      <c r="PHL1177"/>
      <c r="PHM1177"/>
      <c r="PHN1177"/>
      <c r="PHO1177"/>
      <c r="PHP1177"/>
      <c r="PHQ1177"/>
      <c r="PHR1177"/>
      <c r="PHS1177"/>
      <c r="PHT1177"/>
      <c r="PHU1177"/>
      <c r="PHV1177"/>
      <c r="PHW1177"/>
      <c r="PHX1177"/>
      <c r="PHY1177"/>
      <c r="PHZ1177"/>
      <c r="PIA1177"/>
      <c r="PIB1177"/>
      <c r="PIC1177"/>
      <c r="PID1177"/>
      <c r="PIE1177"/>
      <c r="PIF1177"/>
      <c r="PIG1177"/>
      <c r="PIH1177"/>
      <c r="PII1177"/>
      <c r="PIJ1177"/>
      <c r="PIK1177"/>
      <c r="PIL1177"/>
      <c r="PIM1177"/>
      <c r="PIN1177"/>
      <c r="PIO1177"/>
      <c r="PIP1177"/>
      <c r="PIQ1177"/>
      <c r="PIR1177"/>
      <c r="PIS1177"/>
      <c r="PIT1177"/>
      <c r="PIU1177"/>
      <c r="PIV1177"/>
      <c r="PIW1177"/>
      <c r="PIX1177"/>
      <c r="PIY1177"/>
      <c r="PIZ1177"/>
      <c r="PJA1177"/>
      <c r="PJB1177"/>
      <c r="PJC1177"/>
      <c r="PJD1177"/>
      <c r="PJE1177"/>
      <c r="PJF1177"/>
      <c r="PJG1177"/>
      <c r="PJH1177"/>
      <c r="PJI1177"/>
      <c r="PJJ1177"/>
      <c r="PJK1177"/>
      <c r="PJL1177"/>
      <c r="PJM1177"/>
      <c r="PJN1177"/>
      <c r="PJO1177"/>
      <c r="PJP1177"/>
      <c r="PJQ1177"/>
      <c r="PJR1177"/>
      <c r="PJS1177"/>
      <c r="PJT1177"/>
      <c r="PJU1177"/>
      <c r="PJV1177"/>
      <c r="PJW1177"/>
      <c r="PJX1177"/>
      <c r="PJY1177"/>
      <c r="PJZ1177"/>
      <c r="PKA1177"/>
      <c r="PKB1177"/>
      <c r="PKC1177"/>
      <c r="PKD1177"/>
      <c r="PKE1177"/>
      <c r="PKF1177"/>
      <c r="PKG1177"/>
      <c r="PKH1177"/>
      <c r="PKI1177"/>
      <c r="PKJ1177"/>
      <c r="PKK1177"/>
      <c r="PKL1177"/>
      <c r="PKM1177"/>
      <c r="PKN1177"/>
      <c r="PKO1177"/>
      <c r="PKP1177"/>
      <c r="PKQ1177"/>
      <c r="PKR1177"/>
      <c r="PKS1177"/>
      <c r="PKT1177"/>
      <c r="PKU1177"/>
      <c r="PKV1177"/>
      <c r="PKW1177"/>
      <c r="PKX1177"/>
      <c r="PKY1177"/>
      <c r="PKZ1177"/>
      <c r="PLA1177"/>
      <c r="PLB1177"/>
      <c r="PLC1177"/>
      <c r="PLD1177"/>
      <c r="PLE1177"/>
      <c r="PLF1177"/>
      <c r="PLG1177"/>
      <c r="PLH1177"/>
      <c r="PLI1177"/>
      <c r="PLJ1177"/>
      <c r="PLK1177"/>
      <c r="PLL1177"/>
      <c r="PLM1177"/>
      <c r="PLN1177"/>
      <c r="PLO1177"/>
      <c r="PLP1177"/>
      <c r="PLQ1177"/>
      <c r="PLR1177"/>
      <c r="PLS1177"/>
      <c r="PLT1177"/>
      <c r="PLU1177"/>
      <c r="PLV1177"/>
      <c r="PLW1177"/>
      <c r="PLX1177"/>
      <c r="PLY1177"/>
      <c r="PLZ1177"/>
      <c r="PMA1177"/>
      <c r="PMB1177"/>
      <c r="PMC1177"/>
      <c r="PMD1177"/>
      <c r="PME1177"/>
      <c r="PMF1177"/>
      <c r="PMG1177"/>
      <c r="PMH1177"/>
      <c r="PMI1177"/>
      <c r="PMJ1177"/>
      <c r="PMK1177"/>
      <c r="PML1177"/>
      <c r="PMM1177"/>
      <c r="PMN1177"/>
      <c r="PMO1177"/>
      <c r="PMP1177"/>
      <c r="PMQ1177"/>
      <c r="PMR1177"/>
      <c r="PMS1177"/>
      <c r="PMT1177"/>
      <c r="PMU1177"/>
      <c r="PMV1177"/>
      <c r="PMW1177"/>
      <c r="PMX1177"/>
      <c r="PMY1177"/>
      <c r="PMZ1177"/>
      <c r="PNA1177"/>
      <c r="PNB1177"/>
      <c r="PNC1177"/>
      <c r="PND1177"/>
      <c r="PNE1177"/>
      <c r="PNF1177"/>
      <c r="PNG1177"/>
      <c r="PNH1177"/>
      <c r="PNI1177"/>
      <c r="PNJ1177"/>
      <c r="PNK1177"/>
      <c r="PNL1177"/>
      <c r="PNM1177"/>
      <c r="PNN1177"/>
      <c r="PNO1177"/>
      <c r="PNP1177"/>
      <c r="PNQ1177"/>
      <c r="PNR1177"/>
      <c r="PNS1177"/>
      <c r="PNT1177"/>
      <c r="PNU1177"/>
      <c r="PNV1177"/>
      <c r="PNW1177"/>
      <c r="PNX1177"/>
      <c r="PNY1177"/>
      <c r="PNZ1177"/>
      <c r="POA1177"/>
      <c r="POB1177"/>
      <c r="POC1177"/>
      <c r="POD1177"/>
      <c r="POE1177"/>
      <c r="POF1177"/>
      <c r="POG1177"/>
      <c r="POH1177"/>
      <c r="POI1177"/>
      <c r="POJ1177"/>
      <c r="POK1177"/>
      <c r="POL1177"/>
      <c r="POM1177"/>
      <c r="PON1177"/>
      <c r="POO1177"/>
      <c r="POP1177"/>
      <c r="POQ1177"/>
      <c r="POR1177"/>
      <c r="POS1177"/>
      <c r="POT1177"/>
      <c r="POU1177"/>
      <c r="POV1177"/>
      <c r="POW1177"/>
      <c r="POX1177"/>
      <c r="POY1177"/>
      <c r="POZ1177"/>
      <c r="PPA1177"/>
      <c r="PPB1177"/>
      <c r="PPC1177"/>
      <c r="PPD1177"/>
      <c r="PPE1177"/>
      <c r="PPF1177"/>
      <c r="PPG1177"/>
      <c r="PPH1177"/>
      <c r="PPI1177"/>
      <c r="PPJ1177"/>
      <c r="PPK1177"/>
      <c r="PPL1177"/>
      <c r="PPM1177"/>
      <c r="PPN1177"/>
      <c r="PPO1177"/>
      <c r="PPP1177"/>
      <c r="PPQ1177"/>
      <c r="PPR1177"/>
      <c r="PPS1177"/>
      <c r="PPT1177"/>
      <c r="PPU1177"/>
      <c r="PPV1177"/>
      <c r="PPW1177"/>
      <c r="PPX1177"/>
      <c r="PPY1177"/>
      <c r="PPZ1177"/>
      <c r="PQA1177"/>
      <c r="PQB1177"/>
      <c r="PQC1177"/>
      <c r="PQD1177"/>
      <c r="PQE1177"/>
      <c r="PQF1177"/>
      <c r="PQG1177"/>
      <c r="PQH1177"/>
      <c r="PQI1177"/>
      <c r="PQJ1177"/>
      <c r="PQK1177"/>
      <c r="PQL1177"/>
      <c r="PQM1177"/>
      <c r="PQN1177"/>
      <c r="PQO1177"/>
      <c r="PQP1177"/>
      <c r="PQQ1177"/>
      <c r="PQR1177"/>
      <c r="PQS1177"/>
      <c r="PQT1177"/>
      <c r="PQU1177"/>
      <c r="PQV1177"/>
      <c r="PQW1177"/>
      <c r="PQX1177"/>
      <c r="PQY1177"/>
      <c r="PQZ1177"/>
      <c r="PRA1177"/>
      <c r="PRB1177"/>
      <c r="PRC1177"/>
      <c r="PRD1177"/>
      <c r="PRE1177"/>
      <c r="PRF1177"/>
      <c r="PRG1177"/>
      <c r="PRH1177"/>
      <c r="PRI1177"/>
      <c r="PRJ1177"/>
      <c r="PRK1177"/>
      <c r="PRL1177"/>
      <c r="PRM1177"/>
      <c r="PRN1177"/>
      <c r="PRO1177"/>
      <c r="PRP1177"/>
      <c r="PRQ1177"/>
      <c r="PRR1177"/>
      <c r="PRS1177"/>
      <c r="PRT1177"/>
      <c r="PRU1177"/>
      <c r="PRV1177"/>
      <c r="PRW1177"/>
      <c r="PRX1177"/>
      <c r="PRY1177"/>
      <c r="PRZ1177"/>
      <c r="PSA1177"/>
      <c r="PSB1177"/>
      <c r="PSC1177"/>
      <c r="PSD1177"/>
      <c r="PSE1177"/>
      <c r="PSF1177"/>
      <c r="PSG1177"/>
      <c r="PSH1177"/>
      <c r="PSI1177"/>
      <c r="PSJ1177"/>
      <c r="PSK1177"/>
      <c r="PSL1177"/>
      <c r="PSM1177"/>
      <c r="PSN1177"/>
      <c r="PSO1177"/>
      <c r="PSP1177"/>
      <c r="PSQ1177"/>
      <c r="PSR1177"/>
      <c r="PSS1177"/>
      <c r="PST1177"/>
      <c r="PSU1177"/>
      <c r="PSV1177"/>
      <c r="PSW1177"/>
      <c r="PSX1177"/>
      <c r="PSY1177"/>
      <c r="PSZ1177"/>
      <c r="PTA1177"/>
      <c r="PTB1177"/>
      <c r="PTC1177"/>
      <c r="PTD1177"/>
      <c r="PTE1177"/>
      <c r="PTF1177"/>
      <c r="PTG1177"/>
      <c r="PTH1177"/>
      <c r="PTI1177"/>
      <c r="PTJ1177"/>
      <c r="PTK1177"/>
      <c r="PTL1177"/>
      <c r="PTM1177"/>
      <c r="PTN1177"/>
      <c r="PTO1177"/>
      <c r="PTP1177"/>
      <c r="PTQ1177"/>
      <c r="PTR1177"/>
      <c r="PTS1177"/>
      <c r="PTT1177"/>
      <c r="PTU1177"/>
      <c r="PTV1177"/>
      <c r="PTW1177"/>
      <c r="PTX1177"/>
      <c r="PTY1177"/>
      <c r="PTZ1177"/>
      <c r="PUA1177"/>
      <c r="PUB1177"/>
      <c r="PUC1177"/>
      <c r="PUD1177"/>
      <c r="PUE1177"/>
      <c r="PUF1177"/>
      <c r="PUG1177"/>
      <c r="PUH1177"/>
      <c r="PUI1177"/>
      <c r="PUJ1177"/>
      <c r="PUK1177"/>
      <c r="PUL1177"/>
      <c r="PUM1177"/>
      <c r="PUN1177"/>
      <c r="PUO1177"/>
      <c r="PUP1177"/>
      <c r="PUQ1177"/>
      <c r="PUR1177"/>
      <c r="PUS1177"/>
      <c r="PUT1177"/>
      <c r="PUU1177"/>
      <c r="PUV1177"/>
      <c r="PUW1177"/>
      <c r="PUX1177"/>
      <c r="PUY1177"/>
      <c r="PUZ1177"/>
      <c r="PVA1177"/>
      <c r="PVB1177"/>
      <c r="PVC1177"/>
      <c r="PVD1177"/>
      <c r="PVE1177"/>
      <c r="PVF1177"/>
      <c r="PVG1177"/>
      <c r="PVH1177"/>
      <c r="PVI1177"/>
      <c r="PVJ1177"/>
      <c r="PVK1177"/>
      <c r="PVL1177"/>
      <c r="PVM1177"/>
      <c r="PVN1177"/>
      <c r="PVO1177"/>
      <c r="PVP1177"/>
      <c r="PVQ1177"/>
      <c r="PVR1177"/>
      <c r="PVS1177"/>
      <c r="PVT1177"/>
      <c r="PVU1177"/>
      <c r="PVV1177"/>
      <c r="PVW1177"/>
      <c r="PVX1177"/>
      <c r="PVY1177"/>
      <c r="PVZ1177"/>
      <c r="PWA1177"/>
      <c r="PWB1177"/>
      <c r="PWC1177"/>
      <c r="PWD1177"/>
      <c r="PWE1177"/>
      <c r="PWF1177"/>
      <c r="PWG1177"/>
      <c r="PWH1177"/>
      <c r="PWI1177"/>
      <c r="PWJ1177"/>
      <c r="PWK1177"/>
      <c r="PWL1177"/>
      <c r="PWM1177"/>
      <c r="PWN1177"/>
      <c r="PWO1177"/>
      <c r="PWP1177"/>
      <c r="PWQ1177"/>
      <c r="PWR1177"/>
      <c r="PWS1177"/>
      <c r="PWT1177"/>
      <c r="PWU1177"/>
      <c r="PWV1177"/>
      <c r="PWW1177"/>
      <c r="PWX1177"/>
      <c r="PWY1177"/>
      <c r="PWZ1177"/>
      <c r="PXA1177"/>
      <c r="PXB1177"/>
      <c r="PXC1177"/>
      <c r="PXD1177"/>
      <c r="PXE1177"/>
      <c r="PXF1177"/>
      <c r="PXG1177"/>
      <c r="PXH1177"/>
      <c r="PXI1177"/>
      <c r="PXJ1177"/>
      <c r="PXK1177"/>
      <c r="PXL1177"/>
      <c r="PXM1177"/>
      <c r="PXN1177"/>
      <c r="PXO1177"/>
      <c r="PXP1177"/>
      <c r="PXQ1177"/>
      <c r="PXR1177"/>
      <c r="PXS1177"/>
      <c r="PXT1177"/>
      <c r="PXU1177"/>
      <c r="PXV1177"/>
      <c r="PXW1177"/>
      <c r="PXX1177"/>
      <c r="PXY1177"/>
      <c r="PXZ1177"/>
      <c r="PYA1177"/>
      <c r="PYB1177"/>
      <c r="PYC1177"/>
      <c r="PYD1177"/>
      <c r="PYE1177"/>
      <c r="PYF1177"/>
      <c r="PYG1177"/>
      <c r="PYH1177"/>
      <c r="PYI1177"/>
      <c r="PYJ1177"/>
      <c r="PYK1177"/>
      <c r="PYL1177"/>
      <c r="PYM1177"/>
      <c r="PYN1177"/>
      <c r="PYO1177"/>
      <c r="PYP1177"/>
      <c r="PYQ1177"/>
      <c r="PYR1177"/>
      <c r="PYS1177"/>
      <c r="PYT1177"/>
      <c r="PYU1177"/>
      <c r="PYV1177"/>
      <c r="PYW1177"/>
      <c r="PYX1177"/>
      <c r="PYY1177"/>
      <c r="PYZ1177"/>
      <c r="PZA1177"/>
      <c r="PZB1177"/>
      <c r="PZC1177"/>
      <c r="PZD1177"/>
      <c r="PZE1177"/>
      <c r="PZF1177"/>
      <c r="PZG1177"/>
      <c r="PZH1177"/>
      <c r="PZI1177"/>
      <c r="PZJ1177"/>
      <c r="PZK1177"/>
      <c r="PZL1177"/>
      <c r="PZM1177"/>
      <c r="PZN1177"/>
      <c r="PZO1177"/>
      <c r="PZP1177"/>
      <c r="PZQ1177"/>
      <c r="PZR1177"/>
      <c r="PZS1177"/>
      <c r="PZT1177"/>
      <c r="PZU1177"/>
      <c r="PZV1177"/>
      <c r="PZW1177"/>
      <c r="PZX1177"/>
      <c r="PZY1177"/>
      <c r="PZZ1177"/>
      <c r="QAA1177"/>
      <c r="QAB1177"/>
      <c r="QAC1177"/>
      <c r="QAD1177"/>
      <c r="QAE1177"/>
      <c r="QAF1177"/>
      <c r="QAG1177"/>
      <c r="QAH1177"/>
      <c r="QAI1177"/>
      <c r="QAJ1177"/>
      <c r="QAK1177"/>
      <c r="QAL1177"/>
      <c r="QAM1177"/>
      <c r="QAN1177"/>
      <c r="QAO1177"/>
      <c r="QAP1177"/>
      <c r="QAQ1177"/>
      <c r="QAR1177"/>
      <c r="QAS1177"/>
      <c r="QAT1177"/>
      <c r="QAU1177"/>
      <c r="QAV1177"/>
      <c r="QAW1177"/>
      <c r="QAX1177"/>
      <c r="QAY1177"/>
      <c r="QAZ1177"/>
      <c r="QBA1177"/>
      <c r="QBB1177"/>
      <c r="QBC1177"/>
      <c r="QBD1177"/>
      <c r="QBE1177"/>
      <c r="QBF1177"/>
      <c r="QBG1177"/>
      <c r="QBH1177"/>
      <c r="QBI1177"/>
      <c r="QBJ1177"/>
      <c r="QBK1177"/>
      <c r="QBL1177"/>
      <c r="QBM1177"/>
      <c r="QBN1177"/>
      <c r="QBO1177"/>
      <c r="QBP1177"/>
      <c r="QBQ1177"/>
      <c r="QBR1177"/>
      <c r="QBS1177"/>
      <c r="QBT1177"/>
      <c r="QBU1177"/>
      <c r="QBV1177"/>
      <c r="QBW1177"/>
      <c r="QBX1177"/>
      <c r="QBY1177"/>
      <c r="QBZ1177"/>
      <c r="QCA1177"/>
      <c r="QCB1177"/>
      <c r="QCC1177"/>
      <c r="QCD1177"/>
      <c r="QCE1177"/>
      <c r="QCF1177"/>
      <c r="QCG1177"/>
      <c r="QCH1177"/>
      <c r="QCI1177"/>
      <c r="QCJ1177"/>
      <c r="QCK1177"/>
      <c r="QCL1177"/>
      <c r="QCM1177"/>
      <c r="QCN1177"/>
      <c r="QCO1177"/>
      <c r="QCP1177"/>
      <c r="QCQ1177"/>
      <c r="QCR1177"/>
      <c r="QCS1177"/>
      <c r="QCT1177"/>
      <c r="QCU1177"/>
      <c r="QCV1177"/>
      <c r="QCW1177"/>
      <c r="QCX1177"/>
      <c r="QCY1177"/>
      <c r="QCZ1177"/>
      <c r="QDA1177"/>
      <c r="QDB1177"/>
      <c r="QDC1177"/>
      <c r="QDD1177"/>
      <c r="QDE1177"/>
      <c r="QDF1177"/>
      <c r="QDG1177"/>
      <c r="QDH1177"/>
      <c r="QDI1177"/>
      <c r="QDJ1177"/>
      <c r="QDK1177"/>
      <c r="QDL1177"/>
      <c r="QDM1177"/>
      <c r="QDN1177"/>
      <c r="QDO1177"/>
      <c r="QDP1177"/>
      <c r="QDQ1177"/>
      <c r="QDR1177"/>
      <c r="QDS1177"/>
      <c r="QDT1177"/>
      <c r="QDU1177"/>
      <c r="QDV1177"/>
      <c r="QDW1177"/>
      <c r="QDX1177"/>
      <c r="QDY1177"/>
      <c r="QDZ1177"/>
      <c r="QEA1177"/>
      <c r="QEB1177"/>
      <c r="QEC1177"/>
      <c r="QED1177"/>
      <c r="QEE1177"/>
      <c r="QEF1177"/>
      <c r="QEG1177"/>
      <c r="QEH1177"/>
      <c r="QEI1177"/>
      <c r="QEJ1177"/>
      <c r="QEK1177"/>
      <c r="QEL1177"/>
      <c r="QEM1177"/>
      <c r="QEN1177"/>
      <c r="QEO1177"/>
      <c r="QEP1177"/>
      <c r="QEQ1177"/>
      <c r="QER1177"/>
      <c r="QES1177"/>
      <c r="QET1177"/>
      <c r="QEU1177"/>
      <c r="QEV1177"/>
      <c r="QEW1177"/>
      <c r="QEX1177"/>
      <c r="QEY1177"/>
      <c r="QEZ1177"/>
      <c r="QFA1177"/>
      <c r="QFB1177"/>
      <c r="QFC1177"/>
      <c r="QFD1177"/>
      <c r="QFE1177"/>
      <c r="QFF1177"/>
      <c r="QFG1177"/>
      <c r="QFH1177"/>
      <c r="QFI1177"/>
      <c r="QFJ1177"/>
      <c r="QFK1177"/>
      <c r="QFL1177"/>
      <c r="QFM1177"/>
      <c r="QFN1177"/>
      <c r="QFO1177"/>
      <c r="QFP1177"/>
      <c r="QFQ1177"/>
      <c r="QFR1177"/>
      <c r="QFS1177"/>
      <c r="QFT1177"/>
      <c r="QFU1177"/>
      <c r="QFV1177"/>
      <c r="QFW1177"/>
      <c r="QFX1177"/>
      <c r="QFY1177"/>
      <c r="QFZ1177"/>
      <c r="QGA1177"/>
      <c r="QGB1177"/>
      <c r="QGC1177"/>
      <c r="QGD1177"/>
      <c r="QGE1177"/>
      <c r="QGF1177"/>
      <c r="QGG1177"/>
      <c r="QGH1177"/>
      <c r="QGI1177"/>
      <c r="QGJ1177"/>
      <c r="QGK1177"/>
      <c r="QGL1177"/>
      <c r="QGM1177"/>
      <c r="QGN1177"/>
      <c r="QGO1177"/>
      <c r="QGP1177"/>
      <c r="QGQ1177"/>
      <c r="QGR1177"/>
      <c r="QGS1177"/>
      <c r="QGT1177"/>
      <c r="QGU1177"/>
      <c r="QGV1177"/>
      <c r="QGW1177"/>
      <c r="QGX1177"/>
      <c r="QGY1177"/>
      <c r="QGZ1177"/>
      <c r="QHA1177"/>
      <c r="QHB1177"/>
      <c r="QHC1177"/>
      <c r="QHD1177"/>
      <c r="QHE1177"/>
      <c r="QHF1177"/>
      <c r="QHG1177"/>
      <c r="QHH1177"/>
      <c r="QHI1177"/>
      <c r="QHJ1177"/>
      <c r="QHK1177"/>
      <c r="QHL1177"/>
      <c r="QHM1177"/>
      <c r="QHN1177"/>
      <c r="QHO1177"/>
      <c r="QHP1177"/>
      <c r="QHQ1177"/>
      <c r="QHR1177"/>
      <c r="QHS1177"/>
      <c r="QHT1177"/>
      <c r="QHU1177"/>
      <c r="QHV1177"/>
      <c r="QHW1177"/>
      <c r="QHX1177"/>
      <c r="QHY1177"/>
      <c r="QHZ1177"/>
      <c r="QIA1177"/>
      <c r="QIB1177"/>
      <c r="QIC1177"/>
      <c r="QID1177"/>
      <c r="QIE1177"/>
      <c r="QIF1177"/>
      <c r="QIG1177"/>
      <c r="QIH1177"/>
      <c r="QII1177"/>
      <c r="QIJ1177"/>
      <c r="QIK1177"/>
      <c r="QIL1177"/>
      <c r="QIM1177"/>
      <c r="QIN1177"/>
      <c r="QIO1177"/>
      <c r="QIP1177"/>
      <c r="QIQ1177"/>
      <c r="QIR1177"/>
      <c r="QIS1177"/>
      <c r="QIT1177"/>
      <c r="QIU1177"/>
      <c r="QIV1177"/>
      <c r="QIW1177"/>
      <c r="QIX1177"/>
      <c r="QIY1177"/>
      <c r="QIZ1177"/>
      <c r="QJA1177"/>
      <c r="QJB1177"/>
      <c r="QJC1177"/>
      <c r="QJD1177"/>
      <c r="QJE1177"/>
      <c r="QJF1177"/>
      <c r="QJG1177"/>
      <c r="QJH1177"/>
      <c r="QJI1177"/>
      <c r="QJJ1177"/>
      <c r="QJK1177"/>
      <c r="QJL1177"/>
      <c r="QJM1177"/>
      <c r="QJN1177"/>
      <c r="QJO1177"/>
      <c r="QJP1177"/>
      <c r="QJQ1177"/>
      <c r="QJR1177"/>
      <c r="QJS1177"/>
      <c r="QJT1177"/>
      <c r="QJU1177"/>
      <c r="QJV1177"/>
      <c r="QJW1177"/>
      <c r="QJX1177"/>
      <c r="QJY1177"/>
      <c r="QJZ1177"/>
      <c r="QKA1177"/>
      <c r="QKB1177"/>
      <c r="QKC1177"/>
      <c r="QKD1177"/>
      <c r="QKE1177"/>
      <c r="QKF1177"/>
      <c r="QKG1177"/>
      <c r="QKH1177"/>
      <c r="QKI1177"/>
      <c r="QKJ1177"/>
      <c r="QKK1177"/>
      <c r="QKL1177"/>
      <c r="QKM1177"/>
      <c r="QKN1177"/>
      <c r="QKO1177"/>
      <c r="QKP1177"/>
      <c r="QKQ1177"/>
      <c r="QKR1177"/>
      <c r="QKS1177"/>
      <c r="QKT1177"/>
      <c r="QKU1177"/>
      <c r="QKV1177"/>
      <c r="QKW1177"/>
      <c r="QKX1177"/>
      <c r="QKY1177"/>
      <c r="QKZ1177"/>
      <c r="QLA1177"/>
      <c r="QLB1177"/>
      <c r="QLC1177"/>
      <c r="QLD1177"/>
      <c r="QLE1177"/>
      <c r="QLF1177"/>
      <c r="QLG1177"/>
      <c r="QLH1177"/>
      <c r="QLI1177"/>
      <c r="QLJ1177"/>
      <c r="QLK1177"/>
      <c r="QLL1177"/>
      <c r="QLM1177"/>
      <c r="QLN1177"/>
      <c r="QLO1177"/>
      <c r="QLP1177"/>
      <c r="QLQ1177"/>
      <c r="QLR1177"/>
      <c r="QLS1177"/>
      <c r="QLT1177"/>
      <c r="QLU1177"/>
      <c r="QLV1177"/>
      <c r="QLW1177"/>
      <c r="QLX1177"/>
      <c r="QLY1177"/>
      <c r="QLZ1177"/>
      <c r="QMA1177"/>
      <c r="QMB1177"/>
      <c r="QMC1177"/>
      <c r="QMD1177"/>
      <c r="QME1177"/>
      <c r="QMF1177"/>
      <c r="QMG1177"/>
      <c r="QMH1177"/>
      <c r="QMI1177"/>
      <c r="QMJ1177"/>
      <c r="QMK1177"/>
      <c r="QML1177"/>
      <c r="QMM1177"/>
      <c r="QMN1177"/>
      <c r="QMO1177"/>
      <c r="QMP1177"/>
      <c r="QMQ1177"/>
      <c r="QMR1177"/>
      <c r="QMS1177"/>
      <c r="QMT1177"/>
      <c r="QMU1177"/>
      <c r="QMV1177"/>
      <c r="QMW1177"/>
      <c r="QMX1177"/>
      <c r="QMY1177"/>
      <c r="QMZ1177"/>
      <c r="QNA1177"/>
      <c r="QNB1177"/>
      <c r="QNC1177"/>
      <c r="QND1177"/>
      <c r="QNE1177"/>
      <c r="QNF1177"/>
      <c r="QNG1177"/>
      <c r="QNH1177"/>
      <c r="QNI1177"/>
      <c r="QNJ1177"/>
      <c r="QNK1177"/>
      <c r="QNL1177"/>
      <c r="QNM1177"/>
      <c r="QNN1177"/>
      <c r="QNO1177"/>
      <c r="QNP1177"/>
      <c r="QNQ1177"/>
      <c r="QNR1177"/>
      <c r="QNS1177"/>
      <c r="QNT1177"/>
      <c r="QNU1177"/>
      <c r="QNV1177"/>
      <c r="QNW1177"/>
      <c r="QNX1177"/>
      <c r="QNY1177"/>
      <c r="QNZ1177"/>
      <c r="QOA1177"/>
      <c r="QOB1177"/>
      <c r="QOC1177"/>
      <c r="QOD1177"/>
      <c r="QOE1177"/>
      <c r="QOF1177"/>
      <c r="QOG1177"/>
      <c r="QOH1177"/>
      <c r="QOI1177"/>
      <c r="QOJ1177"/>
      <c r="QOK1177"/>
      <c r="QOL1177"/>
      <c r="QOM1177"/>
      <c r="QON1177"/>
      <c r="QOO1177"/>
      <c r="QOP1177"/>
      <c r="QOQ1177"/>
      <c r="QOR1177"/>
      <c r="QOS1177"/>
      <c r="QOT1177"/>
      <c r="QOU1177"/>
      <c r="QOV1177"/>
      <c r="QOW1177"/>
      <c r="QOX1177"/>
      <c r="QOY1177"/>
      <c r="QOZ1177"/>
      <c r="QPA1177"/>
      <c r="QPB1177"/>
      <c r="QPC1177"/>
      <c r="QPD1177"/>
      <c r="QPE1177"/>
      <c r="QPF1177"/>
      <c r="QPG1177"/>
      <c r="QPH1177"/>
      <c r="QPI1177"/>
      <c r="QPJ1177"/>
      <c r="QPK1177"/>
      <c r="QPL1177"/>
      <c r="QPM1177"/>
      <c r="QPN1177"/>
      <c r="QPO1177"/>
      <c r="QPP1177"/>
      <c r="QPQ1177"/>
      <c r="QPR1177"/>
      <c r="QPS1177"/>
      <c r="QPT1177"/>
      <c r="QPU1177"/>
      <c r="QPV1177"/>
      <c r="QPW1177"/>
      <c r="QPX1177"/>
      <c r="QPY1177"/>
      <c r="QPZ1177"/>
      <c r="QQA1177"/>
      <c r="QQB1177"/>
      <c r="QQC1177"/>
      <c r="QQD1177"/>
      <c r="QQE1177"/>
      <c r="QQF1177"/>
      <c r="QQG1177"/>
      <c r="QQH1177"/>
      <c r="QQI1177"/>
      <c r="QQJ1177"/>
      <c r="QQK1177"/>
      <c r="QQL1177"/>
      <c r="QQM1177"/>
      <c r="QQN1177"/>
      <c r="QQO1177"/>
      <c r="QQP1177"/>
      <c r="QQQ1177"/>
      <c r="QQR1177"/>
      <c r="QQS1177"/>
      <c r="QQT1177"/>
      <c r="QQU1177"/>
      <c r="QQV1177"/>
      <c r="QQW1177"/>
      <c r="QQX1177"/>
      <c r="QQY1177"/>
      <c r="QQZ1177"/>
      <c r="QRA1177"/>
      <c r="QRB1177"/>
      <c r="QRC1177"/>
      <c r="QRD1177"/>
      <c r="QRE1177"/>
      <c r="QRF1177"/>
      <c r="QRG1177"/>
      <c r="QRH1177"/>
      <c r="QRI1177"/>
      <c r="QRJ1177"/>
      <c r="QRK1177"/>
      <c r="QRL1177"/>
      <c r="QRM1177"/>
      <c r="QRN1177"/>
      <c r="QRO1177"/>
      <c r="QRP1177"/>
      <c r="QRQ1177"/>
      <c r="QRR1177"/>
      <c r="QRS1177"/>
      <c r="QRT1177"/>
      <c r="QRU1177"/>
      <c r="QRV1177"/>
      <c r="QRW1177"/>
      <c r="QRX1177"/>
      <c r="QRY1177"/>
      <c r="QRZ1177"/>
      <c r="QSA1177"/>
      <c r="QSB1177"/>
      <c r="QSC1177"/>
      <c r="QSD1177"/>
      <c r="QSE1177"/>
      <c r="QSF1177"/>
      <c r="QSG1177"/>
      <c r="QSH1177"/>
      <c r="QSI1177"/>
      <c r="QSJ1177"/>
      <c r="QSK1177"/>
      <c r="QSL1177"/>
      <c r="QSM1177"/>
      <c r="QSN1177"/>
      <c r="QSO1177"/>
      <c r="QSP1177"/>
      <c r="QSQ1177"/>
      <c r="QSR1177"/>
      <c r="QSS1177"/>
      <c r="QST1177"/>
      <c r="QSU1177"/>
      <c r="QSV1177"/>
      <c r="QSW1177"/>
      <c r="QSX1177"/>
      <c r="QSY1177"/>
      <c r="QSZ1177"/>
      <c r="QTA1177"/>
      <c r="QTB1177"/>
      <c r="QTC1177"/>
      <c r="QTD1177"/>
      <c r="QTE1177"/>
      <c r="QTF1177"/>
      <c r="QTG1177"/>
      <c r="QTH1177"/>
      <c r="QTI1177"/>
      <c r="QTJ1177"/>
      <c r="QTK1177"/>
      <c r="QTL1177"/>
      <c r="QTM1177"/>
      <c r="QTN1177"/>
      <c r="QTO1177"/>
      <c r="QTP1177"/>
      <c r="QTQ1177"/>
      <c r="QTR1177"/>
      <c r="QTS1177"/>
      <c r="QTT1177"/>
      <c r="QTU1177"/>
      <c r="QTV1177"/>
      <c r="QTW1177"/>
      <c r="QTX1177"/>
      <c r="QTY1177"/>
      <c r="QTZ1177"/>
      <c r="QUA1177"/>
      <c r="QUB1177"/>
      <c r="QUC1177"/>
      <c r="QUD1177"/>
      <c r="QUE1177"/>
      <c r="QUF1177"/>
      <c r="QUG1177"/>
      <c r="QUH1177"/>
      <c r="QUI1177"/>
      <c r="QUJ1177"/>
      <c r="QUK1177"/>
      <c r="QUL1177"/>
      <c r="QUM1177"/>
      <c r="QUN1177"/>
      <c r="QUO1177"/>
      <c r="QUP1177"/>
      <c r="QUQ1177"/>
      <c r="QUR1177"/>
      <c r="QUS1177"/>
      <c r="QUT1177"/>
      <c r="QUU1177"/>
      <c r="QUV1177"/>
      <c r="QUW1177"/>
      <c r="QUX1177"/>
      <c r="QUY1177"/>
      <c r="QUZ1177"/>
      <c r="QVA1177"/>
      <c r="QVB1177"/>
      <c r="QVC1177"/>
      <c r="QVD1177"/>
      <c r="QVE1177"/>
      <c r="QVF1177"/>
      <c r="QVG1177"/>
      <c r="QVH1177"/>
      <c r="QVI1177"/>
      <c r="QVJ1177"/>
      <c r="QVK1177"/>
      <c r="QVL1177"/>
      <c r="QVM1177"/>
      <c r="QVN1177"/>
      <c r="QVO1177"/>
      <c r="QVP1177"/>
      <c r="QVQ1177"/>
      <c r="QVR1177"/>
      <c r="QVS1177"/>
      <c r="QVT1177"/>
      <c r="QVU1177"/>
      <c r="QVV1177"/>
      <c r="QVW1177"/>
      <c r="QVX1177"/>
      <c r="QVY1177"/>
      <c r="QVZ1177"/>
      <c r="QWA1177"/>
      <c r="QWB1177"/>
      <c r="QWC1177"/>
      <c r="QWD1177"/>
      <c r="QWE1177"/>
      <c r="QWF1177"/>
      <c r="QWG1177"/>
      <c r="QWH1177"/>
      <c r="QWI1177"/>
      <c r="QWJ1177"/>
      <c r="QWK1177"/>
      <c r="QWL1177"/>
      <c r="QWM1177"/>
      <c r="QWN1177"/>
      <c r="QWO1177"/>
      <c r="QWP1177"/>
      <c r="QWQ1177"/>
      <c r="QWR1177"/>
      <c r="QWS1177"/>
      <c r="QWT1177"/>
      <c r="QWU1177"/>
      <c r="QWV1177"/>
      <c r="QWW1177"/>
      <c r="QWX1177"/>
      <c r="QWY1177"/>
      <c r="QWZ1177"/>
      <c r="QXA1177"/>
      <c r="QXB1177"/>
      <c r="QXC1177"/>
      <c r="QXD1177"/>
      <c r="QXE1177"/>
      <c r="QXF1177"/>
      <c r="QXG1177"/>
      <c r="QXH1177"/>
      <c r="QXI1177"/>
      <c r="QXJ1177"/>
      <c r="QXK1177"/>
      <c r="QXL1177"/>
      <c r="QXM1177"/>
      <c r="QXN1177"/>
      <c r="QXO1177"/>
      <c r="QXP1177"/>
      <c r="QXQ1177"/>
      <c r="QXR1177"/>
      <c r="QXS1177"/>
      <c r="QXT1177"/>
      <c r="QXU1177"/>
      <c r="QXV1177"/>
      <c r="QXW1177"/>
      <c r="QXX1177"/>
      <c r="QXY1177"/>
      <c r="QXZ1177"/>
      <c r="QYA1177"/>
      <c r="QYB1177"/>
      <c r="QYC1177"/>
      <c r="QYD1177"/>
      <c r="QYE1177"/>
      <c r="QYF1177"/>
      <c r="QYG1177"/>
      <c r="QYH1177"/>
      <c r="QYI1177"/>
      <c r="QYJ1177"/>
      <c r="QYK1177"/>
      <c r="QYL1177"/>
      <c r="QYM1177"/>
      <c r="QYN1177"/>
      <c r="QYO1177"/>
      <c r="QYP1177"/>
      <c r="QYQ1177"/>
      <c r="QYR1177"/>
      <c r="QYS1177"/>
      <c r="QYT1177"/>
      <c r="QYU1177"/>
      <c r="QYV1177"/>
      <c r="QYW1177"/>
      <c r="QYX1177"/>
      <c r="QYY1177"/>
      <c r="QYZ1177"/>
      <c r="QZA1177"/>
      <c r="QZB1177"/>
      <c r="QZC1177"/>
      <c r="QZD1177"/>
      <c r="QZE1177"/>
      <c r="QZF1177"/>
      <c r="QZG1177"/>
      <c r="QZH1177"/>
      <c r="QZI1177"/>
      <c r="QZJ1177"/>
      <c r="QZK1177"/>
      <c r="QZL1177"/>
      <c r="QZM1177"/>
      <c r="QZN1177"/>
      <c r="QZO1177"/>
      <c r="QZP1177"/>
      <c r="QZQ1177"/>
      <c r="QZR1177"/>
      <c r="QZS1177"/>
      <c r="QZT1177"/>
      <c r="QZU1177"/>
      <c r="QZV1177"/>
      <c r="QZW1177"/>
      <c r="QZX1177"/>
      <c r="QZY1177"/>
      <c r="QZZ1177"/>
      <c r="RAA1177"/>
      <c r="RAB1177"/>
      <c r="RAC1177"/>
      <c r="RAD1177"/>
      <c r="RAE1177"/>
      <c r="RAF1177"/>
      <c r="RAG1177"/>
      <c r="RAH1177"/>
      <c r="RAI1177"/>
      <c r="RAJ1177"/>
      <c r="RAK1177"/>
      <c r="RAL1177"/>
      <c r="RAM1177"/>
      <c r="RAN1177"/>
      <c r="RAO1177"/>
      <c r="RAP1177"/>
      <c r="RAQ1177"/>
      <c r="RAR1177"/>
      <c r="RAS1177"/>
      <c r="RAT1177"/>
      <c r="RAU1177"/>
      <c r="RAV1177"/>
      <c r="RAW1177"/>
      <c r="RAX1177"/>
      <c r="RAY1177"/>
      <c r="RAZ1177"/>
      <c r="RBA1177"/>
      <c r="RBB1177"/>
      <c r="RBC1177"/>
      <c r="RBD1177"/>
      <c r="RBE1177"/>
      <c r="RBF1177"/>
      <c r="RBG1177"/>
      <c r="RBH1177"/>
      <c r="RBI1177"/>
      <c r="RBJ1177"/>
      <c r="RBK1177"/>
      <c r="RBL1177"/>
      <c r="RBM1177"/>
      <c r="RBN1177"/>
      <c r="RBO1177"/>
      <c r="RBP1177"/>
      <c r="RBQ1177"/>
      <c r="RBR1177"/>
      <c r="RBS1177"/>
      <c r="RBT1177"/>
      <c r="RBU1177"/>
      <c r="RBV1177"/>
      <c r="RBW1177"/>
      <c r="RBX1177"/>
      <c r="RBY1177"/>
      <c r="RBZ1177"/>
      <c r="RCA1177"/>
      <c r="RCB1177"/>
      <c r="RCC1177"/>
      <c r="RCD1177"/>
      <c r="RCE1177"/>
      <c r="RCF1177"/>
      <c r="RCG1177"/>
      <c r="RCH1177"/>
      <c r="RCI1177"/>
      <c r="RCJ1177"/>
      <c r="RCK1177"/>
      <c r="RCL1177"/>
      <c r="RCM1177"/>
      <c r="RCN1177"/>
      <c r="RCO1177"/>
      <c r="RCP1177"/>
      <c r="RCQ1177"/>
      <c r="RCR1177"/>
      <c r="RCS1177"/>
      <c r="RCT1177"/>
      <c r="RCU1177"/>
      <c r="RCV1177"/>
      <c r="RCW1177"/>
      <c r="RCX1177"/>
      <c r="RCY1177"/>
      <c r="RCZ1177"/>
      <c r="RDA1177"/>
      <c r="RDB1177"/>
      <c r="RDC1177"/>
      <c r="RDD1177"/>
      <c r="RDE1177"/>
      <c r="RDF1177"/>
      <c r="RDG1177"/>
      <c r="RDH1177"/>
      <c r="RDI1177"/>
      <c r="RDJ1177"/>
      <c r="RDK1177"/>
      <c r="RDL1177"/>
      <c r="RDM1177"/>
      <c r="RDN1177"/>
      <c r="RDO1177"/>
      <c r="RDP1177"/>
      <c r="RDQ1177"/>
      <c r="RDR1177"/>
      <c r="RDS1177"/>
      <c r="RDT1177"/>
      <c r="RDU1177"/>
      <c r="RDV1177"/>
      <c r="RDW1177"/>
      <c r="RDX1177"/>
      <c r="RDY1177"/>
      <c r="RDZ1177"/>
      <c r="REA1177"/>
      <c r="REB1177"/>
      <c r="REC1177"/>
      <c r="RED1177"/>
      <c r="REE1177"/>
      <c r="REF1177"/>
      <c r="REG1177"/>
      <c r="REH1177"/>
      <c r="REI1177"/>
      <c r="REJ1177"/>
      <c r="REK1177"/>
      <c r="REL1177"/>
      <c r="REM1177"/>
      <c r="REN1177"/>
      <c r="REO1177"/>
      <c r="REP1177"/>
      <c r="REQ1177"/>
      <c r="RER1177"/>
      <c r="RES1177"/>
      <c r="RET1177"/>
      <c r="REU1177"/>
      <c r="REV1177"/>
      <c r="REW1177"/>
      <c r="REX1177"/>
      <c r="REY1177"/>
      <c r="REZ1177"/>
      <c r="RFA1177"/>
      <c r="RFB1177"/>
      <c r="RFC1177"/>
      <c r="RFD1177"/>
      <c r="RFE1177"/>
      <c r="RFF1177"/>
      <c r="RFG1177"/>
      <c r="RFH1177"/>
      <c r="RFI1177"/>
      <c r="RFJ1177"/>
      <c r="RFK1177"/>
      <c r="RFL1177"/>
      <c r="RFM1177"/>
      <c r="RFN1177"/>
      <c r="RFO1177"/>
      <c r="RFP1177"/>
      <c r="RFQ1177"/>
      <c r="RFR1177"/>
      <c r="RFS1177"/>
      <c r="RFT1177"/>
      <c r="RFU1177"/>
      <c r="RFV1177"/>
      <c r="RFW1177"/>
      <c r="RFX1177"/>
      <c r="RFY1177"/>
      <c r="RFZ1177"/>
      <c r="RGA1177"/>
      <c r="RGB1177"/>
      <c r="RGC1177"/>
      <c r="RGD1177"/>
      <c r="RGE1177"/>
      <c r="RGF1177"/>
      <c r="RGG1177"/>
      <c r="RGH1177"/>
      <c r="RGI1177"/>
      <c r="RGJ1177"/>
      <c r="RGK1177"/>
      <c r="RGL1177"/>
      <c r="RGM1177"/>
      <c r="RGN1177"/>
      <c r="RGO1177"/>
      <c r="RGP1177"/>
      <c r="RGQ1177"/>
      <c r="RGR1177"/>
      <c r="RGS1177"/>
      <c r="RGT1177"/>
      <c r="RGU1177"/>
      <c r="RGV1177"/>
      <c r="RGW1177"/>
      <c r="RGX1177"/>
      <c r="RGY1177"/>
      <c r="RGZ1177"/>
      <c r="RHA1177"/>
      <c r="RHB1177"/>
      <c r="RHC1177"/>
      <c r="RHD1177"/>
      <c r="RHE1177"/>
      <c r="RHF1177"/>
      <c r="RHG1177"/>
      <c r="RHH1177"/>
      <c r="RHI1177"/>
      <c r="RHJ1177"/>
      <c r="RHK1177"/>
      <c r="RHL1177"/>
      <c r="RHM1177"/>
      <c r="RHN1177"/>
      <c r="RHO1177"/>
      <c r="RHP1177"/>
      <c r="RHQ1177"/>
      <c r="RHR1177"/>
      <c r="RHS1177"/>
      <c r="RHT1177"/>
      <c r="RHU1177"/>
      <c r="RHV1177"/>
      <c r="RHW1177"/>
      <c r="RHX1177"/>
      <c r="RHY1177"/>
      <c r="RHZ1177"/>
      <c r="RIA1177"/>
      <c r="RIB1177"/>
      <c r="RIC1177"/>
      <c r="RID1177"/>
      <c r="RIE1177"/>
      <c r="RIF1177"/>
      <c r="RIG1177"/>
      <c r="RIH1177"/>
      <c r="RII1177"/>
      <c r="RIJ1177"/>
      <c r="RIK1177"/>
      <c r="RIL1177"/>
      <c r="RIM1177"/>
      <c r="RIN1177"/>
      <c r="RIO1177"/>
      <c r="RIP1177"/>
      <c r="RIQ1177"/>
      <c r="RIR1177"/>
      <c r="RIS1177"/>
      <c r="RIT1177"/>
      <c r="RIU1177"/>
      <c r="RIV1177"/>
      <c r="RIW1177"/>
      <c r="RIX1177"/>
      <c r="RIY1177"/>
      <c r="RIZ1177"/>
      <c r="RJA1177"/>
      <c r="RJB1177"/>
      <c r="RJC1177"/>
      <c r="RJD1177"/>
      <c r="RJE1177"/>
      <c r="RJF1177"/>
      <c r="RJG1177"/>
      <c r="RJH1177"/>
      <c r="RJI1177"/>
      <c r="RJJ1177"/>
      <c r="RJK1177"/>
      <c r="RJL1177"/>
      <c r="RJM1177"/>
      <c r="RJN1177"/>
      <c r="RJO1177"/>
      <c r="RJP1177"/>
      <c r="RJQ1177"/>
      <c r="RJR1177"/>
      <c r="RJS1177"/>
      <c r="RJT1177"/>
      <c r="RJU1177"/>
      <c r="RJV1177"/>
      <c r="RJW1177"/>
      <c r="RJX1177"/>
      <c r="RJY1177"/>
      <c r="RJZ1177"/>
      <c r="RKA1177"/>
      <c r="RKB1177"/>
      <c r="RKC1177"/>
      <c r="RKD1177"/>
      <c r="RKE1177"/>
      <c r="RKF1177"/>
      <c r="RKG1177"/>
      <c r="RKH1177"/>
      <c r="RKI1177"/>
      <c r="RKJ1177"/>
      <c r="RKK1177"/>
      <c r="RKL1177"/>
      <c r="RKM1177"/>
      <c r="RKN1177"/>
      <c r="RKO1177"/>
      <c r="RKP1177"/>
      <c r="RKQ1177"/>
      <c r="RKR1177"/>
      <c r="RKS1177"/>
      <c r="RKT1177"/>
      <c r="RKU1177"/>
      <c r="RKV1177"/>
      <c r="RKW1177"/>
      <c r="RKX1177"/>
      <c r="RKY1177"/>
      <c r="RKZ1177"/>
      <c r="RLA1177"/>
      <c r="RLB1177"/>
      <c r="RLC1177"/>
      <c r="RLD1177"/>
      <c r="RLE1177"/>
      <c r="RLF1177"/>
      <c r="RLG1177"/>
      <c r="RLH1177"/>
      <c r="RLI1177"/>
      <c r="RLJ1177"/>
      <c r="RLK1177"/>
      <c r="RLL1177"/>
      <c r="RLM1177"/>
      <c r="RLN1177"/>
      <c r="RLO1177"/>
      <c r="RLP1177"/>
      <c r="RLQ1177"/>
      <c r="RLR1177"/>
      <c r="RLS1177"/>
      <c r="RLT1177"/>
      <c r="RLU1177"/>
      <c r="RLV1177"/>
      <c r="RLW1177"/>
      <c r="RLX1177"/>
      <c r="RLY1177"/>
      <c r="RLZ1177"/>
      <c r="RMA1177"/>
      <c r="RMB1177"/>
      <c r="RMC1177"/>
      <c r="RMD1177"/>
      <c r="RME1177"/>
      <c r="RMF1177"/>
      <c r="RMG1177"/>
      <c r="RMH1177"/>
      <c r="RMI1177"/>
      <c r="RMJ1177"/>
      <c r="RMK1177"/>
      <c r="RML1177"/>
      <c r="RMM1177"/>
      <c r="RMN1177"/>
      <c r="RMO1177"/>
      <c r="RMP1177"/>
      <c r="RMQ1177"/>
      <c r="RMR1177"/>
      <c r="RMS1177"/>
      <c r="RMT1177"/>
      <c r="RMU1177"/>
      <c r="RMV1177"/>
      <c r="RMW1177"/>
      <c r="RMX1177"/>
      <c r="RMY1177"/>
      <c r="RMZ1177"/>
      <c r="RNA1177"/>
      <c r="RNB1177"/>
      <c r="RNC1177"/>
      <c r="RND1177"/>
      <c r="RNE1177"/>
      <c r="RNF1177"/>
      <c r="RNG1177"/>
      <c r="RNH1177"/>
      <c r="RNI1177"/>
      <c r="RNJ1177"/>
      <c r="RNK1177"/>
      <c r="RNL1177"/>
      <c r="RNM1177"/>
      <c r="RNN1177"/>
      <c r="RNO1177"/>
      <c r="RNP1177"/>
      <c r="RNQ1177"/>
      <c r="RNR1177"/>
      <c r="RNS1177"/>
      <c r="RNT1177"/>
      <c r="RNU1177"/>
      <c r="RNV1177"/>
      <c r="RNW1177"/>
      <c r="RNX1177"/>
      <c r="RNY1177"/>
      <c r="RNZ1177"/>
      <c r="ROA1177"/>
      <c r="ROB1177"/>
      <c r="ROC1177"/>
      <c r="ROD1177"/>
      <c r="ROE1177"/>
      <c r="ROF1177"/>
      <c r="ROG1177"/>
      <c r="ROH1177"/>
      <c r="ROI1177"/>
      <c r="ROJ1177"/>
      <c r="ROK1177"/>
      <c r="ROL1177"/>
      <c r="ROM1177"/>
      <c r="RON1177"/>
      <c r="ROO1177"/>
      <c r="ROP1177"/>
      <c r="ROQ1177"/>
      <c r="ROR1177"/>
      <c r="ROS1177"/>
      <c r="ROT1177"/>
      <c r="ROU1177"/>
      <c r="ROV1177"/>
      <c r="ROW1177"/>
      <c r="ROX1177"/>
      <c r="ROY1177"/>
      <c r="ROZ1177"/>
      <c r="RPA1177"/>
      <c r="RPB1177"/>
      <c r="RPC1177"/>
      <c r="RPD1177"/>
      <c r="RPE1177"/>
      <c r="RPF1177"/>
      <c r="RPG1177"/>
      <c r="RPH1177"/>
      <c r="RPI1177"/>
      <c r="RPJ1177"/>
      <c r="RPK1177"/>
      <c r="RPL1177"/>
      <c r="RPM1177"/>
      <c r="RPN1177"/>
      <c r="RPO1177"/>
      <c r="RPP1177"/>
      <c r="RPQ1177"/>
      <c r="RPR1177"/>
      <c r="RPS1177"/>
      <c r="RPT1177"/>
      <c r="RPU1177"/>
      <c r="RPV1177"/>
      <c r="RPW1177"/>
      <c r="RPX1177"/>
      <c r="RPY1177"/>
      <c r="RPZ1177"/>
      <c r="RQA1177"/>
      <c r="RQB1177"/>
      <c r="RQC1177"/>
      <c r="RQD1177"/>
      <c r="RQE1177"/>
      <c r="RQF1177"/>
      <c r="RQG1177"/>
      <c r="RQH1177"/>
      <c r="RQI1177"/>
      <c r="RQJ1177"/>
      <c r="RQK1177"/>
      <c r="RQL1177"/>
      <c r="RQM1177"/>
      <c r="RQN1177"/>
      <c r="RQO1177"/>
      <c r="RQP1177"/>
      <c r="RQQ1177"/>
      <c r="RQR1177"/>
      <c r="RQS1177"/>
      <c r="RQT1177"/>
      <c r="RQU1177"/>
      <c r="RQV1177"/>
      <c r="RQW1177"/>
      <c r="RQX1177"/>
      <c r="RQY1177"/>
      <c r="RQZ1177"/>
      <c r="RRA1177"/>
      <c r="RRB1177"/>
      <c r="RRC1177"/>
      <c r="RRD1177"/>
      <c r="RRE1177"/>
      <c r="RRF1177"/>
      <c r="RRG1177"/>
      <c r="RRH1177"/>
      <c r="RRI1177"/>
      <c r="RRJ1177"/>
      <c r="RRK1177"/>
      <c r="RRL1177"/>
      <c r="RRM1177"/>
      <c r="RRN1177"/>
      <c r="RRO1177"/>
      <c r="RRP1177"/>
      <c r="RRQ1177"/>
      <c r="RRR1177"/>
      <c r="RRS1177"/>
      <c r="RRT1177"/>
      <c r="RRU1177"/>
      <c r="RRV1177"/>
      <c r="RRW1177"/>
      <c r="RRX1177"/>
      <c r="RRY1177"/>
      <c r="RRZ1177"/>
      <c r="RSA1177"/>
      <c r="RSB1177"/>
      <c r="RSC1177"/>
      <c r="RSD1177"/>
      <c r="RSE1177"/>
      <c r="RSF1177"/>
      <c r="RSG1177"/>
      <c r="RSH1177"/>
      <c r="RSI1177"/>
      <c r="RSJ1177"/>
      <c r="RSK1177"/>
      <c r="RSL1177"/>
      <c r="RSM1177"/>
      <c r="RSN1177"/>
      <c r="RSO1177"/>
      <c r="RSP1177"/>
      <c r="RSQ1177"/>
      <c r="RSR1177"/>
      <c r="RSS1177"/>
      <c r="RST1177"/>
      <c r="RSU1177"/>
      <c r="RSV1177"/>
      <c r="RSW1177"/>
      <c r="RSX1177"/>
      <c r="RSY1177"/>
      <c r="RSZ1177"/>
      <c r="RTA1177"/>
      <c r="RTB1177"/>
      <c r="RTC1177"/>
      <c r="RTD1177"/>
      <c r="RTE1177"/>
      <c r="RTF1177"/>
      <c r="RTG1177"/>
      <c r="RTH1177"/>
      <c r="RTI1177"/>
      <c r="RTJ1177"/>
      <c r="RTK1177"/>
      <c r="RTL1177"/>
      <c r="RTM1177"/>
      <c r="RTN1177"/>
      <c r="RTO1177"/>
      <c r="RTP1177"/>
      <c r="RTQ1177"/>
      <c r="RTR1177"/>
      <c r="RTS1177"/>
      <c r="RTT1177"/>
      <c r="RTU1177"/>
      <c r="RTV1177"/>
      <c r="RTW1177"/>
      <c r="RTX1177"/>
      <c r="RTY1177"/>
      <c r="RTZ1177"/>
      <c r="RUA1177"/>
      <c r="RUB1177"/>
      <c r="RUC1177"/>
      <c r="RUD1177"/>
      <c r="RUE1177"/>
      <c r="RUF1177"/>
      <c r="RUG1177"/>
      <c r="RUH1177"/>
      <c r="RUI1177"/>
      <c r="RUJ1177"/>
      <c r="RUK1177"/>
      <c r="RUL1177"/>
      <c r="RUM1177"/>
      <c r="RUN1177"/>
      <c r="RUO1177"/>
      <c r="RUP1177"/>
      <c r="RUQ1177"/>
      <c r="RUR1177"/>
      <c r="RUS1177"/>
      <c r="RUT1177"/>
      <c r="RUU1177"/>
      <c r="RUV1177"/>
      <c r="RUW1177"/>
      <c r="RUX1177"/>
      <c r="RUY1177"/>
      <c r="RUZ1177"/>
      <c r="RVA1177"/>
      <c r="RVB1177"/>
      <c r="RVC1177"/>
      <c r="RVD1177"/>
      <c r="RVE1177"/>
      <c r="RVF1177"/>
      <c r="RVG1177"/>
      <c r="RVH1177"/>
      <c r="RVI1177"/>
      <c r="RVJ1177"/>
      <c r="RVK1177"/>
      <c r="RVL1177"/>
      <c r="RVM1177"/>
      <c r="RVN1177"/>
      <c r="RVO1177"/>
      <c r="RVP1177"/>
      <c r="RVQ1177"/>
      <c r="RVR1177"/>
      <c r="RVS1177"/>
      <c r="RVT1177"/>
      <c r="RVU1177"/>
      <c r="RVV1177"/>
      <c r="RVW1177"/>
      <c r="RVX1177"/>
      <c r="RVY1177"/>
      <c r="RVZ1177"/>
      <c r="RWA1177"/>
      <c r="RWB1177"/>
      <c r="RWC1177"/>
      <c r="RWD1177"/>
      <c r="RWE1177"/>
      <c r="RWF1177"/>
      <c r="RWG1177"/>
      <c r="RWH1177"/>
      <c r="RWI1177"/>
      <c r="RWJ1177"/>
      <c r="RWK1177"/>
      <c r="RWL1177"/>
      <c r="RWM1177"/>
      <c r="RWN1177"/>
      <c r="RWO1177"/>
      <c r="RWP1177"/>
      <c r="RWQ1177"/>
      <c r="RWR1177"/>
      <c r="RWS1177"/>
      <c r="RWT1177"/>
      <c r="RWU1177"/>
      <c r="RWV1177"/>
      <c r="RWW1177"/>
      <c r="RWX1177"/>
      <c r="RWY1177"/>
      <c r="RWZ1177"/>
      <c r="RXA1177"/>
      <c r="RXB1177"/>
      <c r="RXC1177"/>
      <c r="RXD1177"/>
      <c r="RXE1177"/>
      <c r="RXF1177"/>
      <c r="RXG1177"/>
      <c r="RXH1177"/>
      <c r="RXI1177"/>
      <c r="RXJ1177"/>
      <c r="RXK1177"/>
      <c r="RXL1177"/>
      <c r="RXM1177"/>
      <c r="RXN1177"/>
      <c r="RXO1177"/>
      <c r="RXP1177"/>
      <c r="RXQ1177"/>
      <c r="RXR1177"/>
      <c r="RXS1177"/>
      <c r="RXT1177"/>
      <c r="RXU1177"/>
      <c r="RXV1177"/>
      <c r="RXW1177"/>
      <c r="RXX1177"/>
      <c r="RXY1177"/>
      <c r="RXZ1177"/>
      <c r="RYA1177"/>
      <c r="RYB1177"/>
      <c r="RYC1177"/>
      <c r="RYD1177"/>
      <c r="RYE1177"/>
      <c r="RYF1177"/>
      <c r="RYG1177"/>
      <c r="RYH1177"/>
      <c r="RYI1177"/>
      <c r="RYJ1177"/>
      <c r="RYK1177"/>
      <c r="RYL1177"/>
      <c r="RYM1177"/>
      <c r="RYN1177"/>
      <c r="RYO1177"/>
      <c r="RYP1177"/>
      <c r="RYQ1177"/>
      <c r="RYR1177"/>
      <c r="RYS1177"/>
      <c r="RYT1177"/>
      <c r="RYU1177"/>
      <c r="RYV1177"/>
      <c r="RYW1177"/>
      <c r="RYX1177"/>
      <c r="RYY1177"/>
      <c r="RYZ1177"/>
      <c r="RZA1177"/>
      <c r="RZB1177"/>
      <c r="RZC1177"/>
      <c r="RZD1177"/>
      <c r="RZE1177"/>
      <c r="RZF1177"/>
      <c r="RZG1177"/>
      <c r="RZH1177"/>
      <c r="RZI1177"/>
      <c r="RZJ1177"/>
      <c r="RZK1177"/>
      <c r="RZL1177"/>
      <c r="RZM1177"/>
      <c r="RZN1177"/>
      <c r="RZO1177"/>
      <c r="RZP1177"/>
      <c r="RZQ1177"/>
      <c r="RZR1177"/>
      <c r="RZS1177"/>
      <c r="RZT1177"/>
      <c r="RZU1177"/>
      <c r="RZV1177"/>
      <c r="RZW1177"/>
      <c r="RZX1177"/>
      <c r="RZY1177"/>
      <c r="RZZ1177"/>
      <c r="SAA1177"/>
      <c r="SAB1177"/>
      <c r="SAC1177"/>
      <c r="SAD1177"/>
      <c r="SAE1177"/>
      <c r="SAF1177"/>
      <c r="SAG1177"/>
      <c r="SAH1177"/>
      <c r="SAI1177"/>
      <c r="SAJ1177"/>
      <c r="SAK1177"/>
      <c r="SAL1177"/>
      <c r="SAM1177"/>
      <c r="SAN1177"/>
      <c r="SAO1177"/>
      <c r="SAP1177"/>
      <c r="SAQ1177"/>
      <c r="SAR1177"/>
      <c r="SAS1177"/>
      <c r="SAT1177"/>
      <c r="SAU1177"/>
      <c r="SAV1177"/>
      <c r="SAW1177"/>
      <c r="SAX1177"/>
      <c r="SAY1177"/>
      <c r="SAZ1177"/>
      <c r="SBA1177"/>
      <c r="SBB1177"/>
      <c r="SBC1177"/>
      <c r="SBD1177"/>
      <c r="SBE1177"/>
      <c r="SBF1177"/>
      <c r="SBG1177"/>
      <c r="SBH1177"/>
      <c r="SBI1177"/>
      <c r="SBJ1177"/>
      <c r="SBK1177"/>
      <c r="SBL1177"/>
      <c r="SBM1177"/>
      <c r="SBN1177"/>
      <c r="SBO1177"/>
      <c r="SBP1177"/>
      <c r="SBQ1177"/>
      <c r="SBR1177"/>
      <c r="SBS1177"/>
      <c r="SBT1177"/>
      <c r="SBU1177"/>
      <c r="SBV1177"/>
      <c r="SBW1177"/>
      <c r="SBX1177"/>
      <c r="SBY1177"/>
      <c r="SBZ1177"/>
      <c r="SCA1177"/>
      <c r="SCB1177"/>
      <c r="SCC1177"/>
      <c r="SCD1177"/>
      <c r="SCE1177"/>
      <c r="SCF1177"/>
      <c r="SCG1177"/>
      <c r="SCH1177"/>
      <c r="SCI1177"/>
      <c r="SCJ1177"/>
      <c r="SCK1177"/>
      <c r="SCL1177"/>
      <c r="SCM1177"/>
      <c r="SCN1177"/>
      <c r="SCO1177"/>
      <c r="SCP1177"/>
      <c r="SCQ1177"/>
      <c r="SCR1177"/>
      <c r="SCS1177"/>
      <c r="SCT1177"/>
      <c r="SCU1177"/>
      <c r="SCV1177"/>
      <c r="SCW1177"/>
      <c r="SCX1177"/>
      <c r="SCY1177"/>
      <c r="SCZ1177"/>
      <c r="SDA1177"/>
      <c r="SDB1177"/>
      <c r="SDC1177"/>
      <c r="SDD1177"/>
      <c r="SDE1177"/>
      <c r="SDF1177"/>
      <c r="SDG1177"/>
      <c r="SDH1177"/>
      <c r="SDI1177"/>
      <c r="SDJ1177"/>
      <c r="SDK1177"/>
      <c r="SDL1177"/>
      <c r="SDM1177"/>
      <c r="SDN1177"/>
      <c r="SDO1177"/>
      <c r="SDP1177"/>
      <c r="SDQ1177"/>
      <c r="SDR1177"/>
      <c r="SDS1177"/>
      <c r="SDT1177"/>
      <c r="SDU1177"/>
      <c r="SDV1177"/>
      <c r="SDW1177"/>
      <c r="SDX1177"/>
      <c r="SDY1177"/>
      <c r="SDZ1177"/>
      <c r="SEA1177"/>
      <c r="SEB1177"/>
      <c r="SEC1177"/>
      <c r="SED1177"/>
      <c r="SEE1177"/>
      <c r="SEF1177"/>
      <c r="SEG1177"/>
      <c r="SEH1177"/>
      <c r="SEI1177"/>
      <c r="SEJ1177"/>
      <c r="SEK1177"/>
      <c r="SEL1177"/>
      <c r="SEM1177"/>
      <c r="SEN1177"/>
      <c r="SEO1177"/>
      <c r="SEP1177"/>
      <c r="SEQ1177"/>
      <c r="SER1177"/>
      <c r="SES1177"/>
      <c r="SET1177"/>
      <c r="SEU1177"/>
      <c r="SEV1177"/>
      <c r="SEW1177"/>
      <c r="SEX1177"/>
      <c r="SEY1177"/>
      <c r="SEZ1177"/>
      <c r="SFA1177"/>
      <c r="SFB1177"/>
      <c r="SFC1177"/>
      <c r="SFD1177"/>
      <c r="SFE1177"/>
      <c r="SFF1177"/>
      <c r="SFG1177"/>
      <c r="SFH1177"/>
      <c r="SFI1177"/>
      <c r="SFJ1177"/>
      <c r="SFK1177"/>
      <c r="SFL1177"/>
      <c r="SFM1177"/>
      <c r="SFN1177"/>
      <c r="SFO1177"/>
      <c r="SFP1177"/>
      <c r="SFQ1177"/>
      <c r="SFR1177"/>
      <c r="SFS1177"/>
      <c r="SFT1177"/>
      <c r="SFU1177"/>
      <c r="SFV1177"/>
      <c r="SFW1177"/>
      <c r="SFX1177"/>
      <c r="SFY1177"/>
      <c r="SFZ1177"/>
      <c r="SGA1177"/>
      <c r="SGB1177"/>
      <c r="SGC1177"/>
      <c r="SGD1177"/>
      <c r="SGE1177"/>
      <c r="SGF1177"/>
      <c r="SGG1177"/>
      <c r="SGH1177"/>
      <c r="SGI1177"/>
      <c r="SGJ1177"/>
      <c r="SGK1177"/>
      <c r="SGL1177"/>
      <c r="SGM1177"/>
      <c r="SGN1177"/>
      <c r="SGO1177"/>
      <c r="SGP1177"/>
      <c r="SGQ1177"/>
      <c r="SGR1177"/>
      <c r="SGS1177"/>
      <c r="SGT1177"/>
      <c r="SGU1177"/>
      <c r="SGV1177"/>
      <c r="SGW1177"/>
      <c r="SGX1177"/>
      <c r="SGY1177"/>
      <c r="SGZ1177"/>
      <c r="SHA1177"/>
      <c r="SHB1177"/>
      <c r="SHC1177"/>
      <c r="SHD1177"/>
      <c r="SHE1177"/>
      <c r="SHF1177"/>
      <c r="SHG1177"/>
      <c r="SHH1177"/>
      <c r="SHI1177"/>
      <c r="SHJ1177"/>
      <c r="SHK1177"/>
      <c r="SHL1177"/>
      <c r="SHM1177"/>
      <c r="SHN1177"/>
      <c r="SHO1177"/>
      <c r="SHP1177"/>
      <c r="SHQ1177"/>
      <c r="SHR1177"/>
      <c r="SHS1177"/>
      <c r="SHT1177"/>
      <c r="SHU1177"/>
      <c r="SHV1177"/>
      <c r="SHW1177"/>
      <c r="SHX1177"/>
      <c r="SHY1177"/>
      <c r="SHZ1177"/>
      <c r="SIA1177"/>
      <c r="SIB1177"/>
      <c r="SIC1177"/>
      <c r="SID1177"/>
      <c r="SIE1177"/>
      <c r="SIF1177"/>
      <c r="SIG1177"/>
      <c r="SIH1177"/>
      <c r="SII1177"/>
      <c r="SIJ1177"/>
      <c r="SIK1177"/>
      <c r="SIL1177"/>
      <c r="SIM1177"/>
      <c r="SIN1177"/>
      <c r="SIO1177"/>
      <c r="SIP1177"/>
      <c r="SIQ1177"/>
      <c r="SIR1177"/>
      <c r="SIS1177"/>
      <c r="SIT1177"/>
      <c r="SIU1177"/>
      <c r="SIV1177"/>
      <c r="SIW1177"/>
      <c r="SIX1177"/>
      <c r="SIY1177"/>
      <c r="SIZ1177"/>
      <c r="SJA1177"/>
      <c r="SJB1177"/>
      <c r="SJC1177"/>
      <c r="SJD1177"/>
      <c r="SJE1177"/>
      <c r="SJF1177"/>
      <c r="SJG1177"/>
      <c r="SJH1177"/>
      <c r="SJI1177"/>
      <c r="SJJ1177"/>
      <c r="SJK1177"/>
      <c r="SJL1177"/>
      <c r="SJM1177"/>
      <c r="SJN1177"/>
      <c r="SJO1177"/>
      <c r="SJP1177"/>
      <c r="SJQ1177"/>
      <c r="SJR1177"/>
      <c r="SJS1177"/>
      <c r="SJT1177"/>
      <c r="SJU1177"/>
      <c r="SJV1177"/>
      <c r="SJW1177"/>
      <c r="SJX1177"/>
      <c r="SJY1177"/>
      <c r="SJZ1177"/>
      <c r="SKA1177"/>
      <c r="SKB1177"/>
      <c r="SKC1177"/>
      <c r="SKD1177"/>
      <c r="SKE1177"/>
      <c r="SKF1177"/>
      <c r="SKG1177"/>
      <c r="SKH1177"/>
      <c r="SKI1177"/>
      <c r="SKJ1177"/>
      <c r="SKK1177"/>
      <c r="SKL1177"/>
      <c r="SKM1177"/>
      <c r="SKN1177"/>
      <c r="SKO1177"/>
      <c r="SKP1177"/>
      <c r="SKQ1177"/>
      <c r="SKR1177"/>
      <c r="SKS1177"/>
      <c r="SKT1177"/>
      <c r="SKU1177"/>
      <c r="SKV1177"/>
      <c r="SKW1177"/>
      <c r="SKX1177"/>
      <c r="SKY1177"/>
      <c r="SKZ1177"/>
      <c r="SLA1177"/>
      <c r="SLB1177"/>
      <c r="SLC1177"/>
      <c r="SLD1177"/>
      <c r="SLE1177"/>
      <c r="SLF1177"/>
      <c r="SLG1177"/>
      <c r="SLH1177"/>
      <c r="SLI1177"/>
      <c r="SLJ1177"/>
      <c r="SLK1177"/>
      <c r="SLL1177"/>
      <c r="SLM1177"/>
      <c r="SLN1177"/>
      <c r="SLO1177"/>
      <c r="SLP1177"/>
      <c r="SLQ1177"/>
      <c r="SLR1177"/>
      <c r="SLS1177"/>
      <c r="SLT1177"/>
      <c r="SLU1177"/>
      <c r="SLV1177"/>
      <c r="SLW1177"/>
      <c r="SLX1177"/>
      <c r="SLY1177"/>
      <c r="SLZ1177"/>
      <c r="SMA1177"/>
      <c r="SMB1177"/>
      <c r="SMC1177"/>
      <c r="SMD1177"/>
      <c r="SME1177"/>
      <c r="SMF1177"/>
      <c r="SMG1177"/>
      <c r="SMH1177"/>
      <c r="SMI1177"/>
      <c r="SMJ1177"/>
      <c r="SMK1177"/>
      <c r="SML1177"/>
      <c r="SMM1177"/>
      <c r="SMN1177"/>
      <c r="SMO1177"/>
      <c r="SMP1177"/>
      <c r="SMQ1177"/>
      <c r="SMR1177"/>
      <c r="SMS1177"/>
      <c r="SMT1177"/>
      <c r="SMU1177"/>
      <c r="SMV1177"/>
      <c r="SMW1177"/>
      <c r="SMX1177"/>
      <c r="SMY1177"/>
      <c r="SMZ1177"/>
      <c r="SNA1177"/>
      <c r="SNB1177"/>
      <c r="SNC1177"/>
      <c r="SND1177"/>
      <c r="SNE1177"/>
      <c r="SNF1177"/>
      <c r="SNG1177"/>
      <c r="SNH1177"/>
      <c r="SNI1177"/>
      <c r="SNJ1177"/>
      <c r="SNK1177"/>
      <c r="SNL1177"/>
      <c r="SNM1177"/>
      <c r="SNN1177"/>
      <c r="SNO1177"/>
      <c r="SNP1177"/>
      <c r="SNQ1177"/>
      <c r="SNR1177"/>
      <c r="SNS1177"/>
      <c r="SNT1177"/>
      <c r="SNU1177"/>
      <c r="SNV1177"/>
      <c r="SNW1177"/>
      <c r="SNX1177"/>
      <c r="SNY1177"/>
      <c r="SNZ1177"/>
      <c r="SOA1177"/>
      <c r="SOB1177"/>
      <c r="SOC1177"/>
      <c r="SOD1177"/>
      <c r="SOE1177"/>
      <c r="SOF1177"/>
      <c r="SOG1177"/>
      <c r="SOH1177"/>
      <c r="SOI1177"/>
      <c r="SOJ1177"/>
      <c r="SOK1177"/>
      <c r="SOL1177"/>
      <c r="SOM1177"/>
      <c r="SON1177"/>
      <c r="SOO1177"/>
      <c r="SOP1177"/>
      <c r="SOQ1177"/>
      <c r="SOR1177"/>
      <c r="SOS1177"/>
      <c r="SOT1177"/>
      <c r="SOU1177"/>
      <c r="SOV1177"/>
      <c r="SOW1177"/>
      <c r="SOX1177"/>
      <c r="SOY1177"/>
      <c r="SOZ1177"/>
      <c r="SPA1177"/>
      <c r="SPB1177"/>
      <c r="SPC1177"/>
      <c r="SPD1177"/>
      <c r="SPE1177"/>
      <c r="SPF1177"/>
      <c r="SPG1177"/>
      <c r="SPH1177"/>
      <c r="SPI1177"/>
      <c r="SPJ1177"/>
      <c r="SPK1177"/>
      <c r="SPL1177"/>
      <c r="SPM1177"/>
      <c r="SPN1177"/>
      <c r="SPO1177"/>
      <c r="SPP1177"/>
      <c r="SPQ1177"/>
      <c r="SPR1177"/>
      <c r="SPS1177"/>
      <c r="SPT1177"/>
      <c r="SPU1177"/>
      <c r="SPV1177"/>
      <c r="SPW1177"/>
      <c r="SPX1177"/>
      <c r="SPY1177"/>
      <c r="SPZ1177"/>
      <c r="SQA1177"/>
      <c r="SQB1177"/>
      <c r="SQC1177"/>
      <c r="SQD1177"/>
      <c r="SQE1177"/>
      <c r="SQF1177"/>
      <c r="SQG1177"/>
      <c r="SQH1177"/>
      <c r="SQI1177"/>
      <c r="SQJ1177"/>
      <c r="SQK1177"/>
      <c r="SQL1177"/>
      <c r="SQM1177"/>
      <c r="SQN1177"/>
      <c r="SQO1177"/>
      <c r="SQP1177"/>
      <c r="SQQ1177"/>
      <c r="SQR1177"/>
      <c r="SQS1177"/>
      <c r="SQT1177"/>
      <c r="SQU1177"/>
      <c r="SQV1177"/>
      <c r="SQW1177"/>
      <c r="SQX1177"/>
      <c r="SQY1177"/>
      <c r="SQZ1177"/>
      <c r="SRA1177"/>
      <c r="SRB1177"/>
      <c r="SRC1177"/>
      <c r="SRD1177"/>
      <c r="SRE1177"/>
      <c r="SRF1177"/>
      <c r="SRG1177"/>
      <c r="SRH1177"/>
      <c r="SRI1177"/>
      <c r="SRJ1177"/>
      <c r="SRK1177"/>
      <c r="SRL1177"/>
      <c r="SRM1177"/>
      <c r="SRN1177"/>
      <c r="SRO1177"/>
      <c r="SRP1177"/>
      <c r="SRQ1177"/>
      <c r="SRR1177"/>
      <c r="SRS1177"/>
      <c r="SRT1177"/>
      <c r="SRU1177"/>
      <c r="SRV1177"/>
      <c r="SRW1177"/>
      <c r="SRX1177"/>
      <c r="SRY1177"/>
      <c r="SRZ1177"/>
      <c r="SSA1177"/>
      <c r="SSB1177"/>
      <c r="SSC1177"/>
      <c r="SSD1177"/>
      <c r="SSE1177"/>
      <c r="SSF1177"/>
      <c r="SSG1177"/>
      <c r="SSH1177"/>
      <c r="SSI1177"/>
      <c r="SSJ1177"/>
      <c r="SSK1177"/>
      <c r="SSL1177"/>
      <c r="SSM1177"/>
      <c r="SSN1177"/>
      <c r="SSO1177"/>
      <c r="SSP1177"/>
      <c r="SSQ1177"/>
      <c r="SSR1177"/>
      <c r="SSS1177"/>
      <c r="SST1177"/>
      <c r="SSU1177"/>
      <c r="SSV1177"/>
      <c r="SSW1177"/>
      <c r="SSX1177"/>
      <c r="SSY1177"/>
      <c r="SSZ1177"/>
      <c r="STA1177"/>
      <c r="STB1177"/>
      <c r="STC1177"/>
      <c r="STD1177"/>
      <c r="STE1177"/>
      <c r="STF1177"/>
      <c r="STG1177"/>
      <c r="STH1177"/>
      <c r="STI1177"/>
      <c r="STJ1177"/>
      <c r="STK1177"/>
      <c r="STL1177"/>
      <c r="STM1177"/>
      <c r="STN1177"/>
      <c r="STO1177"/>
      <c r="STP1177"/>
      <c r="STQ1177"/>
      <c r="STR1177"/>
      <c r="STS1177"/>
      <c r="STT1177"/>
      <c r="STU1177"/>
      <c r="STV1177"/>
      <c r="STW1177"/>
      <c r="STX1177"/>
      <c r="STY1177"/>
      <c r="STZ1177"/>
      <c r="SUA1177"/>
      <c r="SUB1177"/>
      <c r="SUC1177"/>
      <c r="SUD1177"/>
      <c r="SUE1177"/>
      <c r="SUF1177"/>
      <c r="SUG1177"/>
      <c r="SUH1177"/>
      <c r="SUI1177"/>
      <c r="SUJ1177"/>
      <c r="SUK1177"/>
      <c r="SUL1177"/>
      <c r="SUM1177"/>
      <c r="SUN1177"/>
      <c r="SUO1177"/>
      <c r="SUP1177"/>
      <c r="SUQ1177"/>
      <c r="SUR1177"/>
      <c r="SUS1177"/>
      <c r="SUT1177"/>
      <c r="SUU1177"/>
      <c r="SUV1177"/>
      <c r="SUW1177"/>
      <c r="SUX1177"/>
      <c r="SUY1177"/>
      <c r="SUZ1177"/>
      <c r="SVA1177"/>
      <c r="SVB1177"/>
      <c r="SVC1177"/>
      <c r="SVD1177"/>
      <c r="SVE1177"/>
      <c r="SVF1177"/>
      <c r="SVG1177"/>
      <c r="SVH1177"/>
      <c r="SVI1177"/>
      <c r="SVJ1177"/>
      <c r="SVK1177"/>
      <c r="SVL1177"/>
      <c r="SVM1177"/>
      <c r="SVN1177"/>
      <c r="SVO1177"/>
      <c r="SVP1177"/>
      <c r="SVQ1177"/>
      <c r="SVR1177"/>
      <c r="SVS1177"/>
      <c r="SVT1177"/>
      <c r="SVU1177"/>
      <c r="SVV1177"/>
      <c r="SVW1177"/>
      <c r="SVX1177"/>
      <c r="SVY1177"/>
      <c r="SVZ1177"/>
      <c r="SWA1177"/>
      <c r="SWB1177"/>
      <c r="SWC1177"/>
      <c r="SWD1177"/>
      <c r="SWE1177"/>
      <c r="SWF1177"/>
      <c r="SWG1177"/>
      <c r="SWH1177"/>
      <c r="SWI1177"/>
      <c r="SWJ1177"/>
      <c r="SWK1177"/>
      <c r="SWL1177"/>
      <c r="SWM1177"/>
      <c r="SWN1177"/>
      <c r="SWO1177"/>
      <c r="SWP1177"/>
      <c r="SWQ1177"/>
      <c r="SWR1177"/>
      <c r="SWS1177"/>
      <c r="SWT1177"/>
      <c r="SWU1177"/>
      <c r="SWV1177"/>
      <c r="SWW1177"/>
      <c r="SWX1177"/>
      <c r="SWY1177"/>
      <c r="SWZ1177"/>
      <c r="SXA1177"/>
      <c r="SXB1177"/>
      <c r="SXC1177"/>
      <c r="SXD1177"/>
      <c r="SXE1177"/>
      <c r="SXF1177"/>
      <c r="SXG1177"/>
      <c r="SXH1177"/>
      <c r="SXI1177"/>
      <c r="SXJ1177"/>
      <c r="SXK1177"/>
      <c r="SXL1177"/>
      <c r="SXM1177"/>
      <c r="SXN1177"/>
      <c r="SXO1177"/>
      <c r="SXP1177"/>
      <c r="SXQ1177"/>
      <c r="SXR1177"/>
      <c r="SXS1177"/>
      <c r="SXT1177"/>
      <c r="SXU1177"/>
      <c r="SXV1177"/>
      <c r="SXW1177"/>
      <c r="SXX1177"/>
      <c r="SXY1177"/>
      <c r="SXZ1177"/>
      <c r="SYA1177"/>
      <c r="SYB1177"/>
      <c r="SYC1177"/>
      <c r="SYD1177"/>
      <c r="SYE1177"/>
      <c r="SYF1177"/>
      <c r="SYG1177"/>
      <c r="SYH1177"/>
      <c r="SYI1177"/>
      <c r="SYJ1177"/>
      <c r="SYK1177"/>
      <c r="SYL1177"/>
      <c r="SYM1177"/>
      <c r="SYN1177"/>
      <c r="SYO1177"/>
      <c r="SYP1177"/>
      <c r="SYQ1177"/>
      <c r="SYR1177"/>
      <c r="SYS1177"/>
      <c r="SYT1177"/>
      <c r="SYU1177"/>
      <c r="SYV1177"/>
      <c r="SYW1177"/>
      <c r="SYX1177"/>
      <c r="SYY1177"/>
      <c r="SYZ1177"/>
      <c r="SZA1177"/>
      <c r="SZB1177"/>
      <c r="SZC1177"/>
      <c r="SZD1177"/>
      <c r="SZE1177"/>
      <c r="SZF1177"/>
      <c r="SZG1177"/>
      <c r="SZH1177"/>
      <c r="SZI1177"/>
      <c r="SZJ1177"/>
      <c r="SZK1177"/>
      <c r="SZL1177"/>
      <c r="SZM1177"/>
      <c r="SZN1177"/>
      <c r="SZO1177"/>
      <c r="SZP1177"/>
      <c r="SZQ1177"/>
      <c r="SZR1177"/>
      <c r="SZS1177"/>
      <c r="SZT1177"/>
      <c r="SZU1177"/>
      <c r="SZV1177"/>
      <c r="SZW1177"/>
      <c r="SZX1177"/>
      <c r="SZY1177"/>
      <c r="SZZ1177"/>
      <c r="TAA1177"/>
      <c r="TAB1177"/>
      <c r="TAC1177"/>
      <c r="TAD1177"/>
      <c r="TAE1177"/>
      <c r="TAF1177"/>
      <c r="TAG1177"/>
      <c r="TAH1177"/>
      <c r="TAI1177"/>
      <c r="TAJ1177"/>
      <c r="TAK1177"/>
      <c r="TAL1177"/>
      <c r="TAM1177"/>
      <c r="TAN1177"/>
      <c r="TAO1177"/>
      <c r="TAP1177"/>
      <c r="TAQ1177"/>
      <c r="TAR1177"/>
      <c r="TAS1177"/>
      <c r="TAT1177"/>
      <c r="TAU1177"/>
      <c r="TAV1177"/>
      <c r="TAW1177"/>
      <c r="TAX1177"/>
      <c r="TAY1177"/>
      <c r="TAZ1177"/>
      <c r="TBA1177"/>
      <c r="TBB1177"/>
      <c r="TBC1177"/>
      <c r="TBD1177"/>
      <c r="TBE1177"/>
      <c r="TBF1177"/>
      <c r="TBG1177"/>
      <c r="TBH1177"/>
      <c r="TBI1177"/>
      <c r="TBJ1177"/>
      <c r="TBK1177"/>
      <c r="TBL1177"/>
      <c r="TBM1177"/>
      <c r="TBN1177"/>
      <c r="TBO1177"/>
      <c r="TBP1177"/>
      <c r="TBQ1177"/>
      <c r="TBR1177"/>
      <c r="TBS1177"/>
      <c r="TBT1177"/>
      <c r="TBU1177"/>
      <c r="TBV1177"/>
      <c r="TBW1177"/>
      <c r="TBX1177"/>
      <c r="TBY1177"/>
      <c r="TBZ1177"/>
      <c r="TCA1177"/>
      <c r="TCB1177"/>
      <c r="TCC1177"/>
      <c r="TCD1177"/>
      <c r="TCE1177"/>
      <c r="TCF1177"/>
      <c r="TCG1177"/>
      <c r="TCH1177"/>
      <c r="TCI1177"/>
      <c r="TCJ1177"/>
      <c r="TCK1177"/>
      <c r="TCL1177"/>
      <c r="TCM1177"/>
      <c r="TCN1177"/>
      <c r="TCO1177"/>
      <c r="TCP1177"/>
      <c r="TCQ1177"/>
      <c r="TCR1177"/>
      <c r="TCS1177"/>
      <c r="TCT1177"/>
      <c r="TCU1177"/>
      <c r="TCV1177"/>
      <c r="TCW1177"/>
      <c r="TCX1177"/>
      <c r="TCY1177"/>
      <c r="TCZ1177"/>
      <c r="TDA1177"/>
      <c r="TDB1177"/>
      <c r="TDC1177"/>
      <c r="TDD1177"/>
      <c r="TDE1177"/>
      <c r="TDF1177"/>
      <c r="TDG1177"/>
      <c r="TDH1177"/>
      <c r="TDI1177"/>
      <c r="TDJ1177"/>
      <c r="TDK1177"/>
      <c r="TDL1177"/>
      <c r="TDM1177"/>
      <c r="TDN1177"/>
      <c r="TDO1177"/>
      <c r="TDP1177"/>
      <c r="TDQ1177"/>
      <c r="TDR1177"/>
      <c r="TDS1177"/>
      <c r="TDT1177"/>
      <c r="TDU1177"/>
      <c r="TDV1177"/>
      <c r="TDW1177"/>
      <c r="TDX1177"/>
      <c r="TDY1177"/>
      <c r="TDZ1177"/>
      <c r="TEA1177"/>
      <c r="TEB1177"/>
      <c r="TEC1177"/>
      <c r="TED1177"/>
      <c r="TEE1177"/>
      <c r="TEF1177"/>
      <c r="TEG1177"/>
      <c r="TEH1177"/>
      <c r="TEI1177"/>
      <c r="TEJ1177"/>
      <c r="TEK1177"/>
      <c r="TEL1177"/>
      <c r="TEM1177"/>
      <c r="TEN1177"/>
      <c r="TEO1177"/>
      <c r="TEP1177"/>
      <c r="TEQ1177"/>
      <c r="TER1177"/>
      <c r="TES1177"/>
      <c r="TET1177"/>
      <c r="TEU1177"/>
      <c r="TEV1177"/>
      <c r="TEW1177"/>
      <c r="TEX1177"/>
      <c r="TEY1177"/>
      <c r="TEZ1177"/>
      <c r="TFA1177"/>
      <c r="TFB1177"/>
      <c r="TFC1177"/>
      <c r="TFD1177"/>
      <c r="TFE1177"/>
      <c r="TFF1177"/>
      <c r="TFG1177"/>
      <c r="TFH1177"/>
      <c r="TFI1177"/>
      <c r="TFJ1177"/>
      <c r="TFK1177"/>
      <c r="TFL1177"/>
      <c r="TFM1177"/>
      <c r="TFN1177"/>
      <c r="TFO1177"/>
      <c r="TFP1177"/>
      <c r="TFQ1177"/>
      <c r="TFR1177"/>
      <c r="TFS1177"/>
      <c r="TFT1177"/>
      <c r="TFU1177"/>
      <c r="TFV1177"/>
      <c r="TFW1177"/>
      <c r="TFX1177"/>
      <c r="TFY1177"/>
      <c r="TFZ1177"/>
      <c r="TGA1177"/>
      <c r="TGB1177"/>
      <c r="TGC1177"/>
      <c r="TGD1177"/>
      <c r="TGE1177"/>
      <c r="TGF1177"/>
      <c r="TGG1177"/>
      <c r="TGH1177"/>
      <c r="TGI1177"/>
      <c r="TGJ1177"/>
      <c r="TGK1177"/>
      <c r="TGL1177"/>
      <c r="TGM1177"/>
      <c r="TGN1177"/>
      <c r="TGO1177"/>
      <c r="TGP1177"/>
      <c r="TGQ1177"/>
      <c r="TGR1177"/>
      <c r="TGS1177"/>
      <c r="TGT1177"/>
      <c r="TGU1177"/>
      <c r="TGV1177"/>
      <c r="TGW1177"/>
      <c r="TGX1177"/>
      <c r="TGY1177"/>
      <c r="TGZ1177"/>
      <c r="THA1177"/>
      <c r="THB1177"/>
      <c r="THC1177"/>
      <c r="THD1177"/>
      <c r="THE1177"/>
      <c r="THF1177"/>
      <c r="THG1177"/>
      <c r="THH1177"/>
      <c r="THI1177"/>
      <c r="THJ1177"/>
      <c r="THK1177"/>
      <c r="THL1177"/>
      <c r="THM1177"/>
      <c r="THN1177"/>
      <c r="THO1177"/>
      <c r="THP1177"/>
      <c r="THQ1177"/>
      <c r="THR1177"/>
      <c r="THS1177"/>
      <c r="THT1177"/>
      <c r="THU1177"/>
      <c r="THV1177"/>
      <c r="THW1177"/>
      <c r="THX1177"/>
      <c r="THY1177"/>
      <c r="THZ1177"/>
      <c r="TIA1177"/>
      <c r="TIB1177"/>
      <c r="TIC1177"/>
      <c r="TID1177"/>
      <c r="TIE1177"/>
      <c r="TIF1177"/>
      <c r="TIG1177"/>
      <c r="TIH1177"/>
      <c r="TII1177"/>
      <c r="TIJ1177"/>
      <c r="TIK1177"/>
      <c r="TIL1177"/>
      <c r="TIM1177"/>
      <c r="TIN1177"/>
      <c r="TIO1177"/>
      <c r="TIP1177"/>
      <c r="TIQ1177"/>
      <c r="TIR1177"/>
      <c r="TIS1177"/>
      <c r="TIT1177"/>
      <c r="TIU1177"/>
      <c r="TIV1177"/>
      <c r="TIW1177"/>
      <c r="TIX1177"/>
      <c r="TIY1177"/>
      <c r="TIZ1177"/>
      <c r="TJA1177"/>
      <c r="TJB1177"/>
      <c r="TJC1177"/>
      <c r="TJD1177"/>
      <c r="TJE1177"/>
      <c r="TJF1177"/>
      <c r="TJG1177"/>
      <c r="TJH1177"/>
      <c r="TJI1177"/>
      <c r="TJJ1177"/>
      <c r="TJK1177"/>
      <c r="TJL1177"/>
      <c r="TJM1177"/>
      <c r="TJN1177"/>
      <c r="TJO1177"/>
      <c r="TJP1177"/>
      <c r="TJQ1177"/>
      <c r="TJR1177"/>
      <c r="TJS1177"/>
      <c r="TJT1177"/>
      <c r="TJU1177"/>
      <c r="TJV1177"/>
      <c r="TJW1177"/>
      <c r="TJX1177"/>
      <c r="TJY1177"/>
      <c r="TJZ1177"/>
      <c r="TKA1177"/>
      <c r="TKB1177"/>
      <c r="TKC1177"/>
      <c r="TKD1177"/>
      <c r="TKE1177"/>
      <c r="TKF1177"/>
      <c r="TKG1177"/>
      <c r="TKH1177"/>
      <c r="TKI1177"/>
      <c r="TKJ1177"/>
      <c r="TKK1177"/>
      <c r="TKL1177"/>
      <c r="TKM1177"/>
      <c r="TKN1177"/>
      <c r="TKO1177"/>
      <c r="TKP1177"/>
      <c r="TKQ1177"/>
      <c r="TKR1177"/>
      <c r="TKS1177"/>
      <c r="TKT1177"/>
      <c r="TKU1177"/>
      <c r="TKV1177"/>
      <c r="TKW1177"/>
      <c r="TKX1177"/>
      <c r="TKY1177"/>
      <c r="TKZ1177"/>
      <c r="TLA1177"/>
      <c r="TLB1177"/>
      <c r="TLC1177"/>
      <c r="TLD1177"/>
      <c r="TLE1177"/>
      <c r="TLF1177"/>
      <c r="TLG1177"/>
      <c r="TLH1177"/>
      <c r="TLI1177"/>
      <c r="TLJ1177"/>
      <c r="TLK1177"/>
      <c r="TLL1177"/>
      <c r="TLM1177"/>
      <c r="TLN1177"/>
      <c r="TLO1177"/>
      <c r="TLP1177"/>
      <c r="TLQ1177"/>
      <c r="TLR1177"/>
      <c r="TLS1177"/>
      <c r="TLT1177"/>
      <c r="TLU1177"/>
      <c r="TLV1177"/>
      <c r="TLW1177"/>
      <c r="TLX1177"/>
      <c r="TLY1177"/>
      <c r="TLZ1177"/>
      <c r="TMA1177"/>
      <c r="TMB1177"/>
      <c r="TMC1177"/>
      <c r="TMD1177"/>
      <c r="TME1177"/>
      <c r="TMF1177"/>
      <c r="TMG1177"/>
      <c r="TMH1177"/>
      <c r="TMI1177"/>
      <c r="TMJ1177"/>
      <c r="TMK1177"/>
      <c r="TML1177"/>
      <c r="TMM1177"/>
      <c r="TMN1177"/>
      <c r="TMO1177"/>
      <c r="TMP1177"/>
      <c r="TMQ1177"/>
      <c r="TMR1177"/>
      <c r="TMS1177"/>
      <c r="TMT1177"/>
      <c r="TMU1177"/>
      <c r="TMV1177"/>
      <c r="TMW1177"/>
      <c r="TMX1177"/>
      <c r="TMY1177"/>
      <c r="TMZ1177"/>
      <c r="TNA1177"/>
      <c r="TNB1177"/>
      <c r="TNC1177"/>
      <c r="TND1177"/>
      <c r="TNE1177"/>
      <c r="TNF1177"/>
      <c r="TNG1177"/>
      <c r="TNH1177"/>
      <c r="TNI1177"/>
      <c r="TNJ1177"/>
      <c r="TNK1177"/>
      <c r="TNL1177"/>
      <c r="TNM1177"/>
      <c r="TNN1177"/>
      <c r="TNO1177"/>
      <c r="TNP1177"/>
      <c r="TNQ1177"/>
      <c r="TNR1177"/>
      <c r="TNS1177"/>
      <c r="TNT1177"/>
      <c r="TNU1177"/>
      <c r="TNV1177"/>
      <c r="TNW1177"/>
      <c r="TNX1177"/>
      <c r="TNY1177"/>
      <c r="TNZ1177"/>
      <c r="TOA1177"/>
      <c r="TOB1177"/>
      <c r="TOC1177"/>
      <c r="TOD1177"/>
      <c r="TOE1177"/>
      <c r="TOF1177"/>
      <c r="TOG1177"/>
      <c r="TOH1177"/>
      <c r="TOI1177"/>
      <c r="TOJ1177"/>
      <c r="TOK1177"/>
      <c r="TOL1177"/>
      <c r="TOM1177"/>
      <c r="TON1177"/>
      <c r="TOO1177"/>
      <c r="TOP1177"/>
      <c r="TOQ1177"/>
      <c r="TOR1177"/>
      <c r="TOS1177"/>
      <c r="TOT1177"/>
      <c r="TOU1177"/>
      <c r="TOV1177"/>
      <c r="TOW1177"/>
      <c r="TOX1177"/>
      <c r="TOY1177"/>
      <c r="TOZ1177"/>
      <c r="TPA1177"/>
      <c r="TPB1177"/>
      <c r="TPC1177"/>
      <c r="TPD1177"/>
      <c r="TPE1177"/>
      <c r="TPF1177"/>
      <c r="TPG1177"/>
      <c r="TPH1177"/>
      <c r="TPI1177"/>
      <c r="TPJ1177"/>
      <c r="TPK1177"/>
      <c r="TPL1177"/>
      <c r="TPM1177"/>
      <c r="TPN1177"/>
      <c r="TPO1177"/>
      <c r="TPP1177"/>
      <c r="TPQ1177"/>
      <c r="TPR1177"/>
      <c r="TPS1177"/>
      <c r="TPT1177"/>
      <c r="TPU1177"/>
      <c r="TPV1177"/>
      <c r="TPW1177"/>
      <c r="TPX1177"/>
      <c r="TPY1177"/>
      <c r="TPZ1177"/>
      <c r="TQA1177"/>
      <c r="TQB1177"/>
      <c r="TQC1177"/>
      <c r="TQD1177"/>
      <c r="TQE1177"/>
      <c r="TQF1177"/>
      <c r="TQG1177"/>
      <c r="TQH1177"/>
      <c r="TQI1177"/>
      <c r="TQJ1177"/>
      <c r="TQK1177"/>
      <c r="TQL1177"/>
      <c r="TQM1177"/>
      <c r="TQN1177"/>
      <c r="TQO1177"/>
      <c r="TQP1177"/>
      <c r="TQQ1177"/>
      <c r="TQR1177"/>
      <c r="TQS1177"/>
      <c r="TQT1177"/>
      <c r="TQU1177"/>
      <c r="TQV1177"/>
      <c r="TQW1177"/>
      <c r="TQX1177"/>
      <c r="TQY1177"/>
      <c r="TQZ1177"/>
      <c r="TRA1177"/>
      <c r="TRB1177"/>
      <c r="TRC1177"/>
      <c r="TRD1177"/>
      <c r="TRE1177"/>
      <c r="TRF1177"/>
      <c r="TRG1177"/>
      <c r="TRH1177"/>
      <c r="TRI1177"/>
      <c r="TRJ1177"/>
      <c r="TRK1177"/>
      <c r="TRL1177"/>
      <c r="TRM1177"/>
      <c r="TRN1177"/>
      <c r="TRO1177"/>
      <c r="TRP1177"/>
      <c r="TRQ1177"/>
      <c r="TRR1177"/>
      <c r="TRS1177"/>
      <c r="TRT1177"/>
      <c r="TRU1177"/>
      <c r="TRV1177"/>
      <c r="TRW1177"/>
      <c r="TRX1177"/>
      <c r="TRY1177"/>
      <c r="TRZ1177"/>
      <c r="TSA1177"/>
      <c r="TSB1177"/>
      <c r="TSC1177"/>
      <c r="TSD1177"/>
      <c r="TSE1177"/>
      <c r="TSF1177"/>
      <c r="TSG1177"/>
      <c r="TSH1177"/>
      <c r="TSI1177"/>
      <c r="TSJ1177"/>
      <c r="TSK1177"/>
      <c r="TSL1177"/>
      <c r="TSM1177"/>
      <c r="TSN1177"/>
      <c r="TSO1177"/>
      <c r="TSP1177"/>
      <c r="TSQ1177"/>
      <c r="TSR1177"/>
      <c r="TSS1177"/>
      <c r="TST1177"/>
      <c r="TSU1177"/>
      <c r="TSV1177"/>
      <c r="TSW1177"/>
      <c r="TSX1177"/>
      <c r="TSY1177"/>
      <c r="TSZ1177"/>
      <c r="TTA1177"/>
      <c r="TTB1177"/>
      <c r="TTC1177"/>
      <c r="TTD1177"/>
      <c r="TTE1177"/>
      <c r="TTF1177"/>
      <c r="TTG1177"/>
      <c r="TTH1177"/>
      <c r="TTI1177"/>
      <c r="TTJ1177"/>
      <c r="TTK1177"/>
      <c r="TTL1177"/>
      <c r="TTM1177"/>
      <c r="TTN1177"/>
      <c r="TTO1177"/>
      <c r="TTP1177"/>
      <c r="TTQ1177"/>
      <c r="TTR1177"/>
      <c r="TTS1177"/>
      <c r="TTT1177"/>
      <c r="TTU1177"/>
      <c r="TTV1177"/>
      <c r="TTW1177"/>
      <c r="TTX1177"/>
      <c r="TTY1177"/>
      <c r="TTZ1177"/>
      <c r="TUA1177"/>
      <c r="TUB1177"/>
      <c r="TUC1177"/>
      <c r="TUD1177"/>
      <c r="TUE1177"/>
      <c r="TUF1177"/>
      <c r="TUG1177"/>
      <c r="TUH1177"/>
      <c r="TUI1177"/>
      <c r="TUJ1177"/>
      <c r="TUK1177"/>
      <c r="TUL1177"/>
      <c r="TUM1177"/>
      <c r="TUN1177"/>
      <c r="TUO1177"/>
      <c r="TUP1177"/>
      <c r="TUQ1177"/>
      <c r="TUR1177"/>
      <c r="TUS1177"/>
      <c r="TUT1177"/>
      <c r="TUU1177"/>
      <c r="TUV1177"/>
      <c r="TUW1177"/>
      <c r="TUX1177"/>
      <c r="TUY1177"/>
      <c r="TUZ1177"/>
      <c r="TVA1177"/>
      <c r="TVB1177"/>
      <c r="TVC1177"/>
      <c r="TVD1177"/>
      <c r="TVE1177"/>
      <c r="TVF1177"/>
      <c r="TVG1177"/>
      <c r="TVH1177"/>
      <c r="TVI1177"/>
      <c r="TVJ1177"/>
      <c r="TVK1177"/>
      <c r="TVL1177"/>
      <c r="TVM1177"/>
      <c r="TVN1177"/>
      <c r="TVO1177"/>
      <c r="TVP1177"/>
      <c r="TVQ1177"/>
      <c r="TVR1177"/>
      <c r="TVS1177"/>
      <c r="TVT1177"/>
      <c r="TVU1177"/>
      <c r="TVV1177"/>
      <c r="TVW1177"/>
      <c r="TVX1177"/>
      <c r="TVY1177"/>
      <c r="TVZ1177"/>
      <c r="TWA1177"/>
      <c r="TWB1177"/>
      <c r="TWC1177"/>
      <c r="TWD1177"/>
      <c r="TWE1177"/>
      <c r="TWF1177"/>
      <c r="TWG1177"/>
      <c r="TWH1177"/>
      <c r="TWI1177"/>
      <c r="TWJ1177"/>
      <c r="TWK1177"/>
      <c r="TWL1177"/>
      <c r="TWM1177"/>
      <c r="TWN1177"/>
      <c r="TWO1177"/>
      <c r="TWP1177"/>
      <c r="TWQ1177"/>
      <c r="TWR1177"/>
      <c r="TWS1177"/>
      <c r="TWT1177"/>
      <c r="TWU1177"/>
      <c r="TWV1177"/>
      <c r="TWW1177"/>
      <c r="TWX1177"/>
      <c r="TWY1177"/>
      <c r="TWZ1177"/>
      <c r="TXA1177"/>
      <c r="TXB1177"/>
      <c r="TXC1177"/>
      <c r="TXD1177"/>
      <c r="TXE1177"/>
      <c r="TXF1177"/>
      <c r="TXG1177"/>
      <c r="TXH1177"/>
      <c r="TXI1177"/>
      <c r="TXJ1177"/>
      <c r="TXK1177"/>
      <c r="TXL1177"/>
      <c r="TXM1177"/>
      <c r="TXN1177"/>
      <c r="TXO1177"/>
      <c r="TXP1177"/>
      <c r="TXQ1177"/>
      <c r="TXR1177"/>
      <c r="TXS1177"/>
      <c r="TXT1177"/>
      <c r="TXU1177"/>
      <c r="TXV1177"/>
      <c r="TXW1177"/>
      <c r="TXX1177"/>
      <c r="TXY1177"/>
      <c r="TXZ1177"/>
      <c r="TYA1177"/>
      <c r="TYB1177"/>
      <c r="TYC1177"/>
      <c r="TYD1177"/>
      <c r="TYE1177"/>
      <c r="TYF1177"/>
      <c r="TYG1177"/>
      <c r="TYH1177"/>
      <c r="TYI1177"/>
      <c r="TYJ1177"/>
      <c r="TYK1177"/>
      <c r="TYL1177"/>
      <c r="TYM1177"/>
      <c r="TYN1177"/>
      <c r="TYO1177"/>
      <c r="TYP1177"/>
      <c r="TYQ1177"/>
      <c r="TYR1177"/>
      <c r="TYS1177"/>
      <c r="TYT1177"/>
      <c r="TYU1177"/>
      <c r="TYV1177"/>
      <c r="TYW1177"/>
      <c r="TYX1177"/>
      <c r="TYY1177"/>
      <c r="TYZ1177"/>
      <c r="TZA1177"/>
      <c r="TZB1177"/>
      <c r="TZC1177"/>
      <c r="TZD1177"/>
      <c r="TZE1177"/>
      <c r="TZF1177"/>
      <c r="TZG1177"/>
      <c r="TZH1177"/>
      <c r="TZI1177"/>
      <c r="TZJ1177"/>
      <c r="TZK1177"/>
      <c r="TZL1177"/>
      <c r="TZM1177"/>
      <c r="TZN1177"/>
      <c r="TZO1177"/>
      <c r="TZP1177"/>
      <c r="TZQ1177"/>
      <c r="TZR1177"/>
      <c r="TZS1177"/>
      <c r="TZT1177"/>
      <c r="TZU1177"/>
      <c r="TZV1177"/>
      <c r="TZW1177"/>
      <c r="TZX1177"/>
      <c r="TZY1177"/>
      <c r="TZZ1177"/>
      <c r="UAA1177"/>
      <c r="UAB1177"/>
      <c r="UAC1177"/>
      <c r="UAD1177"/>
      <c r="UAE1177"/>
      <c r="UAF1177"/>
      <c r="UAG1177"/>
      <c r="UAH1177"/>
      <c r="UAI1177"/>
      <c r="UAJ1177"/>
      <c r="UAK1177"/>
      <c r="UAL1177"/>
      <c r="UAM1177"/>
      <c r="UAN1177"/>
      <c r="UAO1177"/>
      <c r="UAP1177"/>
      <c r="UAQ1177"/>
      <c r="UAR1177"/>
      <c r="UAS1177"/>
      <c r="UAT1177"/>
      <c r="UAU1177"/>
      <c r="UAV1177"/>
      <c r="UAW1177"/>
      <c r="UAX1177"/>
      <c r="UAY1177"/>
      <c r="UAZ1177"/>
      <c r="UBA1177"/>
      <c r="UBB1177"/>
      <c r="UBC1177"/>
      <c r="UBD1177"/>
      <c r="UBE1177"/>
      <c r="UBF1177"/>
      <c r="UBG1177"/>
      <c r="UBH1177"/>
      <c r="UBI1177"/>
      <c r="UBJ1177"/>
      <c r="UBK1177"/>
      <c r="UBL1177"/>
      <c r="UBM1177"/>
      <c r="UBN1177"/>
      <c r="UBO1177"/>
      <c r="UBP1177"/>
      <c r="UBQ1177"/>
      <c r="UBR1177"/>
      <c r="UBS1177"/>
      <c r="UBT1177"/>
      <c r="UBU1177"/>
      <c r="UBV1177"/>
      <c r="UBW1177"/>
      <c r="UBX1177"/>
      <c r="UBY1177"/>
      <c r="UBZ1177"/>
      <c r="UCA1177"/>
      <c r="UCB1177"/>
      <c r="UCC1177"/>
      <c r="UCD1177"/>
      <c r="UCE1177"/>
      <c r="UCF1177"/>
      <c r="UCG1177"/>
      <c r="UCH1177"/>
      <c r="UCI1177"/>
      <c r="UCJ1177"/>
      <c r="UCK1177"/>
      <c r="UCL1177"/>
      <c r="UCM1177"/>
      <c r="UCN1177"/>
      <c r="UCO1177"/>
      <c r="UCP1177"/>
      <c r="UCQ1177"/>
      <c r="UCR1177"/>
      <c r="UCS1177"/>
      <c r="UCT1177"/>
      <c r="UCU1177"/>
      <c r="UCV1177"/>
      <c r="UCW1177"/>
      <c r="UCX1177"/>
      <c r="UCY1177"/>
      <c r="UCZ1177"/>
      <c r="UDA1177"/>
      <c r="UDB1177"/>
      <c r="UDC1177"/>
      <c r="UDD1177"/>
      <c r="UDE1177"/>
      <c r="UDF1177"/>
      <c r="UDG1177"/>
      <c r="UDH1177"/>
      <c r="UDI1177"/>
      <c r="UDJ1177"/>
      <c r="UDK1177"/>
      <c r="UDL1177"/>
      <c r="UDM1177"/>
      <c r="UDN1177"/>
      <c r="UDO1177"/>
      <c r="UDP1177"/>
      <c r="UDQ1177"/>
      <c r="UDR1177"/>
      <c r="UDS1177"/>
      <c r="UDT1177"/>
      <c r="UDU1177"/>
      <c r="UDV1177"/>
      <c r="UDW1177"/>
      <c r="UDX1177"/>
      <c r="UDY1177"/>
      <c r="UDZ1177"/>
      <c r="UEA1177"/>
      <c r="UEB1177"/>
      <c r="UEC1177"/>
      <c r="UED1177"/>
      <c r="UEE1177"/>
      <c r="UEF1177"/>
      <c r="UEG1177"/>
      <c r="UEH1177"/>
      <c r="UEI1177"/>
      <c r="UEJ1177"/>
      <c r="UEK1177"/>
      <c r="UEL1177"/>
      <c r="UEM1177"/>
      <c r="UEN1177"/>
      <c r="UEO1177"/>
      <c r="UEP1177"/>
      <c r="UEQ1177"/>
      <c r="UER1177"/>
      <c r="UES1177"/>
      <c r="UET1177"/>
      <c r="UEU1177"/>
      <c r="UEV1177"/>
      <c r="UEW1177"/>
      <c r="UEX1177"/>
      <c r="UEY1177"/>
      <c r="UEZ1177"/>
      <c r="UFA1177"/>
      <c r="UFB1177"/>
      <c r="UFC1177"/>
      <c r="UFD1177"/>
      <c r="UFE1177"/>
      <c r="UFF1177"/>
      <c r="UFG1177"/>
      <c r="UFH1177"/>
      <c r="UFI1177"/>
      <c r="UFJ1177"/>
      <c r="UFK1177"/>
      <c r="UFL1177"/>
      <c r="UFM1177"/>
      <c r="UFN1177"/>
      <c r="UFO1177"/>
      <c r="UFP1177"/>
      <c r="UFQ1177"/>
      <c r="UFR1177"/>
      <c r="UFS1177"/>
      <c r="UFT1177"/>
      <c r="UFU1177"/>
      <c r="UFV1177"/>
      <c r="UFW1177"/>
      <c r="UFX1177"/>
      <c r="UFY1177"/>
      <c r="UFZ1177"/>
      <c r="UGA1177"/>
      <c r="UGB1177"/>
      <c r="UGC1177"/>
      <c r="UGD1177"/>
      <c r="UGE1177"/>
      <c r="UGF1177"/>
      <c r="UGG1177"/>
      <c r="UGH1177"/>
      <c r="UGI1177"/>
      <c r="UGJ1177"/>
      <c r="UGK1177"/>
      <c r="UGL1177"/>
      <c r="UGM1177"/>
      <c r="UGN1177"/>
      <c r="UGO1177"/>
      <c r="UGP1177"/>
      <c r="UGQ1177"/>
      <c r="UGR1177"/>
      <c r="UGS1177"/>
      <c r="UGT1177"/>
      <c r="UGU1177"/>
      <c r="UGV1177"/>
      <c r="UGW1177"/>
      <c r="UGX1177"/>
      <c r="UGY1177"/>
      <c r="UGZ1177"/>
      <c r="UHA1177"/>
      <c r="UHB1177"/>
      <c r="UHC1177"/>
      <c r="UHD1177"/>
      <c r="UHE1177"/>
      <c r="UHF1177"/>
      <c r="UHG1177"/>
      <c r="UHH1177"/>
      <c r="UHI1177"/>
      <c r="UHJ1177"/>
      <c r="UHK1177"/>
      <c r="UHL1177"/>
      <c r="UHM1177"/>
      <c r="UHN1177"/>
      <c r="UHO1177"/>
      <c r="UHP1177"/>
      <c r="UHQ1177"/>
      <c r="UHR1177"/>
      <c r="UHS1177"/>
      <c r="UHT1177"/>
      <c r="UHU1177"/>
      <c r="UHV1177"/>
      <c r="UHW1177"/>
      <c r="UHX1177"/>
      <c r="UHY1177"/>
      <c r="UHZ1177"/>
      <c r="UIA1177"/>
      <c r="UIB1177"/>
      <c r="UIC1177"/>
      <c r="UID1177"/>
      <c r="UIE1177"/>
      <c r="UIF1177"/>
      <c r="UIG1177"/>
      <c r="UIH1177"/>
      <c r="UII1177"/>
      <c r="UIJ1177"/>
      <c r="UIK1177"/>
      <c r="UIL1177"/>
      <c r="UIM1177"/>
      <c r="UIN1177"/>
      <c r="UIO1177"/>
      <c r="UIP1177"/>
      <c r="UIQ1177"/>
      <c r="UIR1177"/>
      <c r="UIS1177"/>
      <c r="UIT1177"/>
      <c r="UIU1177"/>
      <c r="UIV1177"/>
      <c r="UIW1177"/>
      <c r="UIX1177"/>
      <c r="UIY1177"/>
      <c r="UIZ1177"/>
      <c r="UJA1177"/>
      <c r="UJB1177"/>
      <c r="UJC1177"/>
      <c r="UJD1177"/>
      <c r="UJE1177"/>
      <c r="UJF1177"/>
      <c r="UJG1177"/>
      <c r="UJH1177"/>
      <c r="UJI1177"/>
      <c r="UJJ1177"/>
      <c r="UJK1177"/>
      <c r="UJL1177"/>
      <c r="UJM1177"/>
      <c r="UJN1177"/>
      <c r="UJO1177"/>
      <c r="UJP1177"/>
      <c r="UJQ1177"/>
      <c r="UJR1177"/>
      <c r="UJS1177"/>
      <c r="UJT1177"/>
      <c r="UJU1177"/>
      <c r="UJV1177"/>
      <c r="UJW1177"/>
      <c r="UJX1177"/>
      <c r="UJY1177"/>
      <c r="UJZ1177"/>
      <c r="UKA1177"/>
      <c r="UKB1177"/>
      <c r="UKC1177"/>
      <c r="UKD1177"/>
      <c r="UKE1177"/>
      <c r="UKF1177"/>
      <c r="UKG1177"/>
      <c r="UKH1177"/>
      <c r="UKI1177"/>
      <c r="UKJ1177"/>
      <c r="UKK1177"/>
      <c r="UKL1177"/>
      <c r="UKM1177"/>
      <c r="UKN1177"/>
      <c r="UKO1177"/>
      <c r="UKP1177"/>
      <c r="UKQ1177"/>
      <c r="UKR1177"/>
      <c r="UKS1177"/>
      <c r="UKT1177"/>
      <c r="UKU1177"/>
      <c r="UKV1177"/>
      <c r="UKW1177"/>
      <c r="UKX1177"/>
      <c r="UKY1177"/>
      <c r="UKZ1177"/>
      <c r="ULA1177"/>
      <c r="ULB1177"/>
      <c r="ULC1177"/>
      <c r="ULD1177"/>
      <c r="ULE1177"/>
      <c r="ULF1177"/>
      <c r="ULG1177"/>
      <c r="ULH1177"/>
      <c r="ULI1177"/>
      <c r="ULJ1177"/>
      <c r="ULK1177"/>
      <c r="ULL1177"/>
      <c r="ULM1177"/>
      <c r="ULN1177"/>
      <c r="ULO1177"/>
      <c r="ULP1177"/>
      <c r="ULQ1177"/>
      <c r="ULR1177"/>
      <c r="ULS1177"/>
      <c r="ULT1177"/>
      <c r="ULU1177"/>
      <c r="ULV1177"/>
      <c r="ULW1177"/>
      <c r="ULX1177"/>
      <c r="ULY1177"/>
      <c r="ULZ1177"/>
      <c r="UMA1177"/>
      <c r="UMB1177"/>
      <c r="UMC1177"/>
      <c r="UMD1177"/>
      <c r="UME1177"/>
      <c r="UMF1177"/>
      <c r="UMG1177"/>
      <c r="UMH1177"/>
      <c r="UMI1177"/>
      <c r="UMJ1177"/>
      <c r="UMK1177"/>
      <c r="UML1177"/>
      <c r="UMM1177"/>
      <c r="UMN1177"/>
      <c r="UMO1177"/>
      <c r="UMP1177"/>
      <c r="UMQ1177"/>
      <c r="UMR1177"/>
      <c r="UMS1177"/>
      <c r="UMT1177"/>
      <c r="UMU1177"/>
      <c r="UMV1177"/>
      <c r="UMW1177"/>
      <c r="UMX1177"/>
      <c r="UMY1177"/>
      <c r="UMZ1177"/>
      <c r="UNA1177"/>
      <c r="UNB1177"/>
      <c r="UNC1177"/>
      <c r="UND1177"/>
      <c r="UNE1177"/>
      <c r="UNF1177"/>
      <c r="UNG1177"/>
      <c r="UNH1177"/>
      <c r="UNI1177"/>
      <c r="UNJ1177"/>
      <c r="UNK1177"/>
      <c r="UNL1177"/>
      <c r="UNM1177"/>
      <c r="UNN1177"/>
      <c r="UNO1177"/>
      <c r="UNP1177"/>
      <c r="UNQ1177"/>
      <c r="UNR1177"/>
      <c r="UNS1177"/>
      <c r="UNT1177"/>
      <c r="UNU1177"/>
      <c r="UNV1177"/>
      <c r="UNW1177"/>
      <c r="UNX1177"/>
      <c r="UNY1177"/>
      <c r="UNZ1177"/>
      <c r="UOA1177"/>
      <c r="UOB1177"/>
      <c r="UOC1177"/>
      <c r="UOD1177"/>
      <c r="UOE1177"/>
      <c r="UOF1177"/>
      <c r="UOG1177"/>
      <c r="UOH1177"/>
      <c r="UOI1177"/>
      <c r="UOJ1177"/>
      <c r="UOK1177"/>
      <c r="UOL1177"/>
      <c r="UOM1177"/>
      <c r="UON1177"/>
      <c r="UOO1177"/>
      <c r="UOP1177"/>
      <c r="UOQ1177"/>
      <c r="UOR1177"/>
      <c r="UOS1177"/>
      <c r="UOT1177"/>
      <c r="UOU1177"/>
      <c r="UOV1177"/>
      <c r="UOW1177"/>
      <c r="UOX1177"/>
      <c r="UOY1177"/>
      <c r="UOZ1177"/>
      <c r="UPA1177"/>
      <c r="UPB1177"/>
      <c r="UPC1177"/>
      <c r="UPD1177"/>
      <c r="UPE1177"/>
      <c r="UPF1177"/>
      <c r="UPG1177"/>
      <c r="UPH1177"/>
      <c r="UPI1177"/>
      <c r="UPJ1177"/>
      <c r="UPK1177"/>
      <c r="UPL1177"/>
      <c r="UPM1177"/>
      <c r="UPN1177"/>
      <c r="UPO1177"/>
      <c r="UPP1177"/>
      <c r="UPQ1177"/>
      <c r="UPR1177"/>
      <c r="UPS1177"/>
      <c r="UPT1177"/>
      <c r="UPU1177"/>
      <c r="UPV1177"/>
      <c r="UPW1177"/>
      <c r="UPX1177"/>
      <c r="UPY1177"/>
      <c r="UPZ1177"/>
      <c r="UQA1177"/>
      <c r="UQB1177"/>
      <c r="UQC1177"/>
      <c r="UQD1177"/>
      <c r="UQE1177"/>
      <c r="UQF1177"/>
      <c r="UQG1177"/>
      <c r="UQH1177"/>
      <c r="UQI1177"/>
      <c r="UQJ1177"/>
      <c r="UQK1177"/>
      <c r="UQL1177"/>
      <c r="UQM1177"/>
      <c r="UQN1177"/>
      <c r="UQO1177"/>
      <c r="UQP1177"/>
      <c r="UQQ1177"/>
      <c r="UQR1177"/>
      <c r="UQS1177"/>
      <c r="UQT1177"/>
      <c r="UQU1177"/>
      <c r="UQV1177"/>
      <c r="UQW1177"/>
      <c r="UQX1177"/>
      <c r="UQY1177"/>
      <c r="UQZ1177"/>
      <c r="URA1177"/>
      <c r="URB1177"/>
      <c r="URC1177"/>
      <c r="URD1177"/>
      <c r="URE1177"/>
      <c r="URF1177"/>
      <c r="URG1177"/>
      <c r="URH1177"/>
      <c r="URI1177"/>
      <c r="URJ1177"/>
      <c r="URK1177"/>
      <c r="URL1177"/>
      <c r="URM1177"/>
      <c r="URN1177"/>
      <c r="URO1177"/>
      <c r="URP1177"/>
      <c r="URQ1177"/>
      <c r="URR1177"/>
      <c r="URS1177"/>
      <c r="URT1177"/>
      <c r="URU1177"/>
      <c r="URV1177"/>
      <c r="URW1177"/>
      <c r="URX1177"/>
      <c r="URY1177"/>
      <c r="URZ1177"/>
      <c r="USA1177"/>
      <c r="USB1177"/>
      <c r="USC1177"/>
      <c r="USD1177"/>
      <c r="USE1177"/>
      <c r="USF1177"/>
      <c r="USG1177"/>
      <c r="USH1177"/>
      <c r="USI1177"/>
      <c r="USJ1177"/>
      <c r="USK1177"/>
      <c r="USL1177"/>
      <c r="USM1177"/>
      <c r="USN1177"/>
      <c r="USO1177"/>
      <c r="USP1177"/>
      <c r="USQ1177"/>
      <c r="USR1177"/>
      <c r="USS1177"/>
      <c r="UST1177"/>
      <c r="USU1177"/>
      <c r="USV1177"/>
      <c r="USW1177"/>
      <c r="USX1177"/>
      <c r="USY1177"/>
      <c r="USZ1177"/>
      <c r="UTA1177"/>
      <c r="UTB1177"/>
      <c r="UTC1177"/>
      <c r="UTD1177"/>
      <c r="UTE1177"/>
      <c r="UTF1177"/>
      <c r="UTG1177"/>
      <c r="UTH1177"/>
      <c r="UTI1177"/>
      <c r="UTJ1177"/>
      <c r="UTK1177"/>
      <c r="UTL1177"/>
      <c r="UTM1177"/>
      <c r="UTN1177"/>
      <c r="UTO1177"/>
      <c r="UTP1177"/>
      <c r="UTQ1177"/>
      <c r="UTR1177"/>
      <c r="UTS1177"/>
      <c r="UTT1177"/>
      <c r="UTU1177"/>
      <c r="UTV1177"/>
      <c r="UTW1177"/>
      <c r="UTX1177"/>
      <c r="UTY1177"/>
      <c r="UTZ1177"/>
      <c r="UUA1177"/>
      <c r="UUB1177"/>
      <c r="UUC1177"/>
      <c r="UUD1177"/>
      <c r="UUE1177"/>
      <c r="UUF1177"/>
      <c r="UUG1177"/>
      <c r="UUH1177"/>
      <c r="UUI1177"/>
      <c r="UUJ1177"/>
      <c r="UUK1177"/>
      <c r="UUL1177"/>
      <c r="UUM1177"/>
      <c r="UUN1177"/>
      <c r="UUO1177"/>
      <c r="UUP1177"/>
      <c r="UUQ1177"/>
      <c r="UUR1177"/>
      <c r="UUS1177"/>
      <c r="UUT1177"/>
      <c r="UUU1177"/>
      <c r="UUV1177"/>
      <c r="UUW1177"/>
      <c r="UUX1177"/>
      <c r="UUY1177"/>
      <c r="UUZ1177"/>
      <c r="UVA1177"/>
      <c r="UVB1177"/>
      <c r="UVC1177"/>
      <c r="UVD1177"/>
      <c r="UVE1177"/>
      <c r="UVF1177"/>
      <c r="UVG1177"/>
      <c r="UVH1177"/>
      <c r="UVI1177"/>
      <c r="UVJ1177"/>
      <c r="UVK1177"/>
      <c r="UVL1177"/>
      <c r="UVM1177"/>
      <c r="UVN1177"/>
      <c r="UVO1177"/>
      <c r="UVP1177"/>
      <c r="UVQ1177"/>
      <c r="UVR1177"/>
      <c r="UVS1177"/>
      <c r="UVT1177"/>
      <c r="UVU1177"/>
      <c r="UVV1177"/>
      <c r="UVW1177"/>
      <c r="UVX1177"/>
      <c r="UVY1177"/>
      <c r="UVZ1177"/>
      <c r="UWA1177"/>
      <c r="UWB1177"/>
      <c r="UWC1177"/>
      <c r="UWD1177"/>
      <c r="UWE1177"/>
      <c r="UWF1177"/>
      <c r="UWG1177"/>
      <c r="UWH1177"/>
      <c r="UWI1177"/>
      <c r="UWJ1177"/>
      <c r="UWK1177"/>
      <c r="UWL1177"/>
      <c r="UWM1177"/>
      <c r="UWN1177"/>
      <c r="UWO1177"/>
      <c r="UWP1177"/>
      <c r="UWQ1177"/>
      <c r="UWR1177"/>
      <c r="UWS1177"/>
      <c r="UWT1177"/>
      <c r="UWU1177"/>
      <c r="UWV1177"/>
      <c r="UWW1177"/>
      <c r="UWX1177"/>
      <c r="UWY1177"/>
      <c r="UWZ1177"/>
      <c r="UXA1177"/>
      <c r="UXB1177"/>
      <c r="UXC1177"/>
      <c r="UXD1177"/>
      <c r="UXE1177"/>
      <c r="UXF1177"/>
      <c r="UXG1177"/>
      <c r="UXH1177"/>
      <c r="UXI1177"/>
      <c r="UXJ1177"/>
      <c r="UXK1177"/>
      <c r="UXL1177"/>
      <c r="UXM1177"/>
      <c r="UXN1177"/>
      <c r="UXO1177"/>
      <c r="UXP1177"/>
      <c r="UXQ1177"/>
      <c r="UXR1177"/>
      <c r="UXS1177"/>
      <c r="UXT1177"/>
      <c r="UXU1177"/>
      <c r="UXV1177"/>
      <c r="UXW1177"/>
      <c r="UXX1177"/>
      <c r="UXY1177"/>
      <c r="UXZ1177"/>
      <c r="UYA1177"/>
      <c r="UYB1177"/>
      <c r="UYC1177"/>
      <c r="UYD1177"/>
      <c r="UYE1177"/>
      <c r="UYF1177"/>
      <c r="UYG1177"/>
      <c r="UYH1177"/>
      <c r="UYI1177"/>
      <c r="UYJ1177"/>
      <c r="UYK1177"/>
      <c r="UYL1177"/>
      <c r="UYM1177"/>
      <c r="UYN1177"/>
      <c r="UYO1177"/>
      <c r="UYP1177"/>
      <c r="UYQ1177"/>
      <c r="UYR1177"/>
      <c r="UYS1177"/>
      <c r="UYT1177"/>
      <c r="UYU1177"/>
      <c r="UYV1177"/>
      <c r="UYW1177"/>
      <c r="UYX1177"/>
      <c r="UYY1177"/>
      <c r="UYZ1177"/>
      <c r="UZA1177"/>
      <c r="UZB1177"/>
      <c r="UZC1177"/>
      <c r="UZD1177"/>
      <c r="UZE1177"/>
      <c r="UZF1177"/>
      <c r="UZG1177"/>
      <c r="UZH1177"/>
      <c r="UZI1177"/>
      <c r="UZJ1177"/>
      <c r="UZK1177"/>
      <c r="UZL1177"/>
      <c r="UZM1177"/>
      <c r="UZN1177"/>
      <c r="UZO1177"/>
      <c r="UZP1177"/>
      <c r="UZQ1177"/>
      <c r="UZR1177"/>
      <c r="UZS1177"/>
      <c r="UZT1177"/>
      <c r="UZU1177"/>
      <c r="UZV1177"/>
      <c r="UZW1177"/>
      <c r="UZX1177"/>
      <c r="UZY1177"/>
      <c r="UZZ1177"/>
      <c r="VAA1177"/>
      <c r="VAB1177"/>
      <c r="VAC1177"/>
      <c r="VAD1177"/>
      <c r="VAE1177"/>
      <c r="VAF1177"/>
      <c r="VAG1177"/>
      <c r="VAH1177"/>
      <c r="VAI1177"/>
      <c r="VAJ1177"/>
      <c r="VAK1177"/>
      <c r="VAL1177"/>
      <c r="VAM1177"/>
      <c r="VAN1177"/>
      <c r="VAO1177"/>
      <c r="VAP1177"/>
      <c r="VAQ1177"/>
      <c r="VAR1177"/>
      <c r="VAS1177"/>
      <c r="VAT1177"/>
      <c r="VAU1177"/>
      <c r="VAV1177"/>
      <c r="VAW1177"/>
      <c r="VAX1177"/>
      <c r="VAY1177"/>
      <c r="VAZ1177"/>
      <c r="VBA1177"/>
      <c r="VBB1177"/>
      <c r="VBC1177"/>
      <c r="VBD1177"/>
      <c r="VBE1177"/>
      <c r="VBF1177"/>
      <c r="VBG1177"/>
      <c r="VBH1177"/>
      <c r="VBI1177"/>
      <c r="VBJ1177"/>
      <c r="VBK1177"/>
      <c r="VBL1177"/>
      <c r="VBM1177"/>
      <c r="VBN1177"/>
      <c r="VBO1177"/>
      <c r="VBP1177"/>
      <c r="VBQ1177"/>
      <c r="VBR1177"/>
      <c r="VBS1177"/>
      <c r="VBT1177"/>
      <c r="VBU1177"/>
      <c r="VBV1177"/>
      <c r="VBW1177"/>
      <c r="VBX1177"/>
      <c r="VBY1177"/>
      <c r="VBZ1177"/>
      <c r="VCA1177"/>
      <c r="VCB1177"/>
      <c r="VCC1177"/>
      <c r="VCD1177"/>
      <c r="VCE1177"/>
      <c r="VCF1177"/>
      <c r="VCG1177"/>
      <c r="VCH1177"/>
      <c r="VCI1177"/>
      <c r="VCJ1177"/>
      <c r="VCK1177"/>
      <c r="VCL1177"/>
      <c r="VCM1177"/>
      <c r="VCN1177"/>
      <c r="VCO1177"/>
      <c r="VCP1177"/>
      <c r="VCQ1177"/>
      <c r="VCR1177"/>
      <c r="VCS1177"/>
      <c r="VCT1177"/>
      <c r="VCU1177"/>
      <c r="VCV1177"/>
      <c r="VCW1177"/>
      <c r="VCX1177"/>
      <c r="VCY1177"/>
      <c r="VCZ1177"/>
      <c r="VDA1177"/>
      <c r="VDB1177"/>
      <c r="VDC1177"/>
      <c r="VDD1177"/>
      <c r="VDE1177"/>
      <c r="VDF1177"/>
      <c r="VDG1177"/>
      <c r="VDH1177"/>
      <c r="VDI1177"/>
      <c r="VDJ1177"/>
      <c r="VDK1177"/>
      <c r="VDL1177"/>
      <c r="VDM1177"/>
      <c r="VDN1177"/>
      <c r="VDO1177"/>
      <c r="VDP1177"/>
      <c r="VDQ1177"/>
      <c r="VDR1177"/>
      <c r="VDS1177"/>
      <c r="VDT1177"/>
      <c r="VDU1177"/>
      <c r="VDV1177"/>
      <c r="VDW1177"/>
      <c r="VDX1177"/>
      <c r="VDY1177"/>
      <c r="VDZ1177"/>
      <c r="VEA1177"/>
      <c r="VEB1177"/>
      <c r="VEC1177"/>
      <c r="VED1177"/>
      <c r="VEE1177"/>
      <c r="VEF1177"/>
      <c r="VEG1177"/>
      <c r="VEH1177"/>
      <c r="VEI1177"/>
      <c r="VEJ1177"/>
      <c r="VEK1177"/>
      <c r="VEL1177"/>
      <c r="VEM1177"/>
      <c r="VEN1177"/>
      <c r="VEO1177"/>
      <c r="VEP1177"/>
      <c r="VEQ1177"/>
      <c r="VER1177"/>
      <c r="VES1177"/>
      <c r="VET1177"/>
      <c r="VEU1177"/>
      <c r="VEV1177"/>
      <c r="VEW1177"/>
      <c r="VEX1177"/>
      <c r="VEY1177"/>
      <c r="VEZ1177"/>
      <c r="VFA1177"/>
      <c r="VFB1177"/>
      <c r="VFC1177"/>
      <c r="VFD1177"/>
      <c r="VFE1177"/>
      <c r="VFF1177"/>
      <c r="VFG1177"/>
      <c r="VFH1177"/>
      <c r="VFI1177"/>
      <c r="VFJ1177"/>
      <c r="VFK1177"/>
      <c r="VFL1177"/>
      <c r="VFM1177"/>
      <c r="VFN1177"/>
      <c r="VFO1177"/>
      <c r="VFP1177"/>
      <c r="VFQ1177"/>
      <c r="VFR1177"/>
      <c r="VFS1177"/>
      <c r="VFT1177"/>
      <c r="VFU1177"/>
      <c r="VFV1177"/>
      <c r="VFW1177"/>
      <c r="VFX1177"/>
      <c r="VFY1177"/>
      <c r="VFZ1177"/>
      <c r="VGA1177"/>
      <c r="VGB1177"/>
      <c r="VGC1177"/>
      <c r="VGD1177"/>
      <c r="VGE1177"/>
      <c r="VGF1177"/>
      <c r="VGG1177"/>
      <c r="VGH1177"/>
      <c r="VGI1177"/>
      <c r="VGJ1177"/>
      <c r="VGK1177"/>
      <c r="VGL1177"/>
      <c r="VGM1177"/>
      <c r="VGN1177"/>
      <c r="VGO1177"/>
      <c r="VGP1177"/>
      <c r="VGQ1177"/>
      <c r="VGR1177"/>
      <c r="VGS1177"/>
      <c r="VGT1177"/>
      <c r="VGU1177"/>
      <c r="VGV1177"/>
      <c r="VGW1177"/>
      <c r="VGX1177"/>
      <c r="VGY1177"/>
      <c r="VGZ1177"/>
      <c r="VHA1177"/>
      <c r="VHB1177"/>
      <c r="VHC1177"/>
      <c r="VHD1177"/>
      <c r="VHE1177"/>
      <c r="VHF1177"/>
      <c r="VHG1177"/>
      <c r="VHH1177"/>
      <c r="VHI1177"/>
      <c r="VHJ1177"/>
      <c r="VHK1177"/>
      <c r="VHL1177"/>
      <c r="VHM1177"/>
      <c r="VHN1177"/>
      <c r="VHO1177"/>
      <c r="VHP1177"/>
      <c r="VHQ1177"/>
      <c r="VHR1177"/>
      <c r="VHS1177"/>
      <c r="VHT1177"/>
      <c r="VHU1177"/>
      <c r="VHV1177"/>
      <c r="VHW1177"/>
      <c r="VHX1177"/>
      <c r="VHY1177"/>
      <c r="VHZ1177"/>
      <c r="VIA1177"/>
      <c r="VIB1177"/>
      <c r="VIC1177"/>
      <c r="VID1177"/>
      <c r="VIE1177"/>
      <c r="VIF1177"/>
      <c r="VIG1177"/>
      <c r="VIH1177"/>
      <c r="VII1177"/>
      <c r="VIJ1177"/>
      <c r="VIK1177"/>
      <c r="VIL1177"/>
      <c r="VIM1177"/>
      <c r="VIN1177"/>
      <c r="VIO1177"/>
      <c r="VIP1177"/>
      <c r="VIQ1177"/>
      <c r="VIR1177"/>
      <c r="VIS1177"/>
      <c r="VIT1177"/>
      <c r="VIU1177"/>
      <c r="VIV1177"/>
      <c r="VIW1177"/>
      <c r="VIX1177"/>
      <c r="VIY1177"/>
      <c r="VIZ1177"/>
      <c r="VJA1177"/>
      <c r="VJB1177"/>
      <c r="VJC1177"/>
      <c r="VJD1177"/>
      <c r="VJE1177"/>
      <c r="VJF1177"/>
      <c r="VJG1177"/>
      <c r="VJH1177"/>
      <c r="VJI1177"/>
      <c r="VJJ1177"/>
      <c r="VJK1177"/>
      <c r="VJL1177"/>
      <c r="VJM1177"/>
      <c r="VJN1177"/>
      <c r="VJO1177"/>
      <c r="VJP1177"/>
      <c r="VJQ1177"/>
      <c r="VJR1177"/>
      <c r="VJS1177"/>
      <c r="VJT1177"/>
      <c r="VJU1177"/>
      <c r="VJV1177"/>
      <c r="VJW1177"/>
      <c r="VJX1177"/>
      <c r="VJY1177"/>
      <c r="VJZ1177"/>
      <c r="VKA1177"/>
      <c r="VKB1177"/>
      <c r="VKC1177"/>
      <c r="VKD1177"/>
      <c r="VKE1177"/>
      <c r="VKF1177"/>
      <c r="VKG1177"/>
      <c r="VKH1177"/>
      <c r="VKI1177"/>
      <c r="VKJ1177"/>
      <c r="VKK1177"/>
      <c r="VKL1177"/>
      <c r="VKM1177"/>
      <c r="VKN1177"/>
      <c r="VKO1177"/>
      <c r="VKP1177"/>
      <c r="VKQ1177"/>
      <c r="VKR1177"/>
      <c r="VKS1177"/>
      <c r="VKT1177"/>
      <c r="VKU1177"/>
      <c r="VKV1177"/>
      <c r="VKW1177"/>
      <c r="VKX1177"/>
      <c r="VKY1177"/>
      <c r="VKZ1177"/>
      <c r="VLA1177"/>
      <c r="VLB1177"/>
      <c r="VLC1177"/>
      <c r="VLD1177"/>
      <c r="VLE1177"/>
      <c r="VLF1177"/>
      <c r="VLG1177"/>
      <c r="VLH1177"/>
      <c r="VLI1177"/>
      <c r="VLJ1177"/>
      <c r="VLK1177"/>
      <c r="VLL1177"/>
      <c r="VLM1177"/>
      <c r="VLN1177"/>
      <c r="VLO1177"/>
      <c r="VLP1177"/>
      <c r="VLQ1177"/>
      <c r="VLR1177"/>
      <c r="VLS1177"/>
      <c r="VLT1177"/>
      <c r="VLU1177"/>
      <c r="VLV1177"/>
      <c r="VLW1177"/>
      <c r="VLX1177"/>
      <c r="VLY1177"/>
      <c r="VLZ1177"/>
      <c r="VMA1177"/>
      <c r="VMB1177"/>
      <c r="VMC1177"/>
      <c r="VMD1177"/>
      <c r="VME1177"/>
      <c r="VMF1177"/>
      <c r="VMG1177"/>
      <c r="VMH1177"/>
      <c r="VMI1177"/>
      <c r="VMJ1177"/>
      <c r="VMK1177"/>
      <c r="VML1177"/>
      <c r="VMM1177"/>
      <c r="VMN1177"/>
      <c r="VMO1177"/>
      <c r="VMP1177"/>
      <c r="VMQ1177"/>
      <c r="VMR1177"/>
      <c r="VMS1177"/>
      <c r="VMT1177"/>
      <c r="VMU1177"/>
      <c r="VMV1177"/>
      <c r="VMW1177"/>
      <c r="VMX1177"/>
      <c r="VMY1177"/>
      <c r="VMZ1177"/>
      <c r="VNA1177"/>
      <c r="VNB1177"/>
      <c r="VNC1177"/>
      <c r="VND1177"/>
      <c r="VNE1177"/>
      <c r="VNF1177"/>
      <c r="VNG1177"/>
      <c r="VNH1177"/>
      <c r="VNI1177"/>
      <c r="VNJ1177"/>
      <c r="VNK1177"/>
      <c r="VNL1177"/>
      <c r="VNM1177"/>
      <c r="VNN1177"/>
      <c r="VNO1177"/>
      <c r="VNP1177"/>
      <c r="VNQ1177"/>
      <c r="VNR1177"/>
      <c r="VNS1177"/>
      <c r="VNT1177"/>
      <c r="VNU1177"/>
      <c r="VNV1177"/>
      <c r="VNW1177"/>
      <c r="VNX1177"/>
      <c r="VNY1177"/>
      <c r="VNZ1177"/>
      <c r="VOA1177"/>
      <c r="VOB1177"/>
      <c r="VOC1177"/>
      <c r="VOD1177"/>
      <c r="VOE1177"/>
      <c r="VOF1177"/>
      <c r="VOG1177"/>
      <c r="VOH1177"/>
      <c r="VOI1177"/>
      <c r="VOJ1177"/>
      <c r="VOK1177"/>
      <c r="VOL1177"/>
      <c r="VOM1177"/>
      <c r="VON1177"/>
      <c r="VOO1177"/>
      <c r="VOP1177"/>
      <c r="VOQ1177"/>
      <c r="VOR1177"/>
      <c r="VOS1177"/>
      <c r="VOT1177"/>
      <c r="VOU1177"/>
      <c r="VOV1177"/>
      <c r="VOW1177"/>
      <c r="VOX1177"/>
      <c r="VOY1177"/>
      <c r="VOZ1177"/>
      <c r="VPA1177"/>
      <c r="VPB1177"/>
      <c r="VPC1177"/>
      <c r="VPD1177"/>
      <c r="VPE1177"/>
      <c r="VPF1177"/>
      <c r="VPG1177"/>
      <c r="VPH1177"/>
      <c r="VPI1177"/>
      <c r="VPJ1177"/>
      <c r="VPK1177"/>
      <c r="VPL1177"/>
      <c r="VPM1177"/>
      <c r="VPN1177"/>
      <c r="VPO1177"/>
      <c r="VPP1177"/>
      <c r="VPQ1177"/>
      <c r="VPR1177"/>
      <c r="VPS1177"/>
      <c r="VPT1177"/>
      <c r="VPU1177"/>
      <c r="VPV1177"/>
      <c r="VPW1177"/>
      <c r="VPX1177"/>
      <c r="VPY1177"/>
      <c r="VPZ1177"/>
      <c r="VQA1177"/>
      <c r="VQB1177"/>
      <c r="VQC1177"/>
      <c r="VQD1177"/>
      <c r="VQE1177"/>
      <c r="VQF1177"/>
      <c r="VQG1177"/>
      <c r="VQH1177"/>
      <c r="VQI1177"/>
      <c r="VQJ1177"/>
      <c r="VQK1177"/>
      <c r="VQL1177"/>
      <c r="VQM1177"/>
      <c r="VQN1177"/>
      <c r="VQO1177"/>
      <c r="VQP1177"/>
      <c r="VQQ1177"/>
      <c r="VQR1177"/>
      <c r="VQS1177"/>
      <c r="VQT1177"/>
      <c r="VQU1177"/>
      <c r="VQV1177"/>
      <c r="VQW1177"/>
      <c r="VQX1177"/>
      <c r="VQY1177"/>
      <c r="VQZ1177"/>
      <c r="VRA1177"/>
      <c r="VRB1177"/>
      <c r="VRC1177"/>
      <c r="VRD1177"/>
      <c r="VRE1177"/>
      <c r="VRF1177"/>
      <c r="VRG1177"/>
      <c r="VRH1177"/>
      <c r="VRI1177"/>
      <c r="VRJ1177"/>
      <c r="VRK1177"/>
      <c r="VRL1177"/>
      <c r="VRM1177"/>
      <c r="VRN1177"/>
      <c r="VRO1177"/>
      <c r="VRP1177"/>
      <c r="VRQ1177"/>
      <c r="VRR1177"/>
      <c r="VRS1177"/>
      <c r="VRT1177"/>
      <c r="VRU1177"/>
      <c r="VRV1177"/>
      <c r="VRW1177"/>
      <c r="VRX1177"/>
      <c r="VRY1177"/>
      <c r="VRZ1177"/>
      <c r="VSA1177"/>
      <c r="VSB1177"/>
      <c r="VSC1177"/>
      <c r="VSD1177"/>
      <c r="VSE1177"/>
      <c r="VSF1177"/>
      <c r="VSG1177"/>
      <c r="VSH1177"/>
      <c r="VSI1177"/>
      <c r="VSJ1177"/>
      <c r="VSK1177"/>
      <c r="VSL1177"/>
      <c r="VSM1177"/>
      <c r="VSN1177"/>
      <c r="VSO1177"/>
      <c r="VSP1177"/>
      <c r="VSQ1177"/>
      <c r="VSR1177"/>
      <c r="VSS1177"/>
      <c r="VST1177"/>
      <c r="VSU1177"/>
      <c r="VSV1177"/>
      <c r="VSW1177"/>
      <c r="VSX1177"/>
      <c r="VSY1177"/>
      <c r="VSZ1177"/>
      <c r="VTA1177"/>
      <c r="VTB1177"/>
      <c r="VTC1177"/>
      <c r="VTD1177"/>
      <c r="VTE1177"/>
      <c r="VTF1177"/>
      <c r="VTG1177"/>
      <c r="VTH1177"/>
      <c r="VTI1177"/>
      <c r="VTJ1177"/>
      <c r="VTK1177"/>
      <c r="VTL1177"/>
      <c r="VTM1177"/>
      <c r="VTN1177"/>
      <c r="VTO1177"/>
      <c r="VTP1177"/>
      <c r="VTQ1177"/>
      <c r="VTR1177"/>
      <c r="VTS1177"/>
      <c r="VTT1177"/>
      <c r="VTU1177"/>
      <c r="VTV1177"/>
      <c r="VTW1177"/>
      <c r="VTX1177"/>
      <c r="VTY1177"/>
      <c r="VTZ1177"/>
      <c r="VUA1177"/>
      <c r="VUB1177"/>
      <c r="VUC1177"/>
      <c r="VUD1177"/>
      <c r="VUE1177"/>
      <c r="VUF1177"/>
      <c r="VUG1177"/>
      <c r="VUH1177"/>
      <c r="VUI1177"/>
      <c r="VUJ1177"/>
      <c r="VUK1177"/>
      <c r="VUL1177"/>
      <c r="VUM1177"/>
      <c r="VUN1177"/>
      <c r="VUO1177"/>
      <c r="VUP1177"/>
      <c r="VUQ1177"/>
      <c r="VUR1177"/>
      <c r="VUS1177"/>
      <c r="VUT1177"/>
      <c r="VUU1177"/>
      <c r="VUV1177"/>
      <c r="VUW1177"/>
      <c r="VUX1177"/>
      <c r="VUY1177"/>
      <c r="VUZ1177"/>
      <c r="VVA1177"/>
      <c r="VVB1177"/>
      <c r="VVC1177"/>
      <c r="VVD1177"/>
      <c r="VVE1177"/>
      <c r="VVF1177"/>
      <c r="VVG1177"/>
      <c r="VVH1177"/>
      <c r="VVI1177"/>
      <c r="VVJ1177"/>
      <c r="VVK1177"/>
      <c r="VVL1177"/>
      <c r="VVM1177"/>
      <c r="VVN1177"/>
      <c r="VVO1177"/>
      <c r="VVP1177"/>
      <c r="VVQ1177"/>
      <c r="VVR1177"/>
      <c r="VVS1177"/>
      <c r="VVT1177"/>
      <c r="VVU1177"/>
      <c r="VVV1177"/>
      <c r="VVW1177"/>
      <c r="VVX1177"/>
      <c r="VVY1177"/>
      <c r="VVZ1177"/>
      <c r="VWA1177"/>
      <c r="VWB1177"/>
      <c r="VWC1177"/>
      <c r="VWD1177"/>
      <c r="VWE1177"/>
      <c r="VWF1177"/>
      <c r="VWG1177"/>
      <c r="VWH1177"/>
      <c r="VWI1177"/>
      <c r="VWJ1177"/>
      <c r="VWK1177"/>
      <c r="VWL1177"/>
      <c r="VWM1177"/>
      <c r="VWN1177"/>
      <c r="VWO1177"/>
      <c r="VWP1177"/>
      <c r="VWQ1177"/>
      <c r="VWR1177"/>
      <c r="VWS1177"/>
      <c r="VWT1177"/>
      <c r="VWU1177"/>
      <c r="VWV1177"/>
      <c r="VWW1177"/>
      <c r="VWX1177"/>
      <c r="VWY1177"/>
      <c r="VWZ1177"/>
      <c r="VXA1177"/>
      <c r="VXB1177"/>
      <c r="VXC1177"/>
      <c r="VXD1177"/>
      <c r="VXE1177"/>
      <c r="VXF1177"/>
      <c r="VXG1177"/>
      <c r="VXH1177"/>
      <c r="VXI1177"/>
      <c r="VXJ1177"/>
      <c r="VXK1177"/>
      <c r="VXL1177"/>
      <c r="VXM1177"/>
      <c r="VXN1177"/>
      <c r="VXO1177"/>
      <c r="VXP1177"/>
      <c r="VXQ1177"/>
      <c r="VXR1177"/>
      <c r="VXS1177"/>
      <c r="VXT1177"/>
      <c r="VXU1177"/>
      <c r="VXV1177"/>
      <c r="VXW1177"/>
      <c r="VXX1177"/>
      <c r="VXY1177"/>
      <c r="VXZ1177"/>
      <c r="VYA1177"/>
      <c r="VYB1177"/>
      <c r="VYC1177"/>
      <c r="VYD1177"/>
      <c r="VYE1177"/>
      <c r="VYF1177"/>
      <c r="VYG1177"/>
      <c r="VYH1177"/>
      <c r="VYI1177"/>
      <c r="VYJ1177"/>
      <c r="VYK1177"/>
      <c r="VYL1177"/>
      <c r="VYM1177"/>
      <c r="VYN1177"/>
      <c r="VYO1177"/>
      <c r="VYP1177"/>
      <c r="VYQ1177"/>
      <c r="VYR1177"/>
      <c r="VYS1177"/>
      <c r="VYT1177"/>
      <c r="VYU1177"/>
      <c r="VYV1177"/>
      <c r="VYW1177"/>
      <c r="VYX1177"/>
      <c r="VYY1177"/>
      <c r="VYZ1177"/>
      <c r="VZA1177"/>
      <c r="VZB1177"/>
      <c r="VZC1177"/>
      <c r="VZD1177"/>
      <c r="VZE1177"/>
      <c r="VZF1177"/>
      <c r="VZG1177"/>
      <c r="VZH1177"/>
      <c r="VZI1177"/>
      <c r="VZJ1177"/>
      <c r="VZK1177"/>
      <c r="VZL1177"/>
      <c r="VZM1177"/>
      <c r="VZN1177"/>
      <c r="VZO1177"/>
      <c r="VZP1177"/>
      <c r="VZQ1177"/>
      <c r="VZR1177"/>
      <c r="VZS1177"/>
      <c r="VZT1177"/>
      <c r="VZU1177"/>
      <c r="VZV1177"/>
      <c r="VZW1177"/>
      <c r="VZX1177"/>
      <c r="VZY1177"/>
      <c r="VZZ1177"/>
      <c r="WAA1177"/>
      <c r="WAB1177"/>
      <c r="WAC1177"/>
      <c r="WAD1177"/>
      <c r="WAE1177"/>
      <c r="WAF1177"/>
      <c r="WAG1177"/>
      <c r="WAH1177"/>
      <c r="WAI1177"/>
      <c r="WAJ1177"/>
      <c r="WAK1177"/>
      <c r="WAL1177"/>
      <c r="WAM1177"/>
      <c r="WAN1177"/>
      <c r="WAO1177"/>
      <c r="WAP1177"/>
      <c r="WAQ1177"/>
      <c r="WAR1177"/>
      <c r="WAS1177"/>
      <c r="WAT1177"/>
      <c r="WAU1177"/>
      <c r="WAV1177"/>
      <c r="WAW1177"/>
      <c r="WAX1177"/>
      <c r="WAY1177"/>
      <c r="WAZ1177"/>
      <c r="WBA1177"/>
      <c r="WBB1177"/>
      <c r="WBC1177"/>
      <c r="WBD1177"/>
      <c r="WBE1177"/>
      <c r="WBF1177"/>
      <c r="WBG1177"/>
      <c r="WBH1177"/>
      <c r="WBI1177"/>
      <c r="WBJ1177"/>
      <c r="WBK1177"/>
      <c r="WBL1177"/>
      <c r="WBM1177"/>
      <c r="WBN1177"/>
      <c r="WBO1177"/>
      <c r="WBP1177"/>
      <c r="WBQ1177"/>
      <c r="WBR1177"/>
      <c r="WBS1177"/>
      <c r="WBT1177"/>
      <c r="WBU1177"/>
      <c r="WBV1177"/>
      <c r="WBW1177"/>
      <c r="WBX1177"/>
      <c r="WBY1177"/>
      <c r="WBZ1177"/>
      <c r="WCA1177"/>
      <c r="WCB1177"/>
      <c r="WCC1177"/>
      <c r="WCD1177"/>
      <c r="WCE1177"/>
      <c r="WCF1177"/>
      <c r="WCG1177"/>
      <c r="WCH1177"/>
      <c r="WCI1177"/>
      <c r="WCJ1177"/>
      <c r="WCK1177"/>
      <c r="WCL1177"/>
      <c r="WCM1177"/>
      <c r="WCN1177"/>
      <c r="WCO1177"/>
      <c r="WCP1177"/>
      <c r="WCQ1177"/>
      <c r="WCR1177"/>
      <c r="WCS1177"/>
      <c r="WCT1177"/>
      <c r="WCU1177"/>
      <c r="WCV1177"/>
      <c r="WCW1177"/>
      <c r="WCX1177"/>
      <c r="WCY1177"/>
      <c r="WCZ1177"/>
      <c r="WDA1177"/>
      <c r="WDB1177"/>
      <c r="WDC1177"/>
      <c r="WDD1177"/>
      <c r="WDE1177"/>
      <c r="WDF1177"/>
      <c r="WDG1177"/>
      <c r="WDH1177"/>
      <c r="WDI1177"/>
      <c r="WDJ1177"/>
      <c r="WDK1177"/>
      <c r="WDL1177"/>
      <c r="WDM1177"/>
      <c r="WDN1177"/>
      <c r="WDO1177"/>
      <c r="WDP1177"/>
      <c r="WDQ1177"/>
      <c r="WDR1177"/>
      <c r="WDS1177"/>
      <c r="WDT1177"/>
      <c r="WDU1177"/>
      <c r="WDV1177"/>
      <c r="WDW1177"/>
      <c r="WDX1177"/>
      <c r="WDY1177"/>
      <c r="WDZ1177"/>
      <c r="WEA1177"/>
      <c r="WEB1177"/>
      <c r="WEC1177"/>
      <c r="WED1177"/>
      <c r="WEE1177"/>
      <c r="WEF1177"/>
      <c r="WEG1177"/>
      <c r="WEH1177"/>
      <c r="WEI1177"/>
      <c r="WEJ1177"/>
      <c r="WEK1177"/>
      <c r="WEL1177"/>
      <c r="WEM1177"/>
      <c r="WEN1177"/>
      <c r="WEO1177"/>
      <c r="WEP1177"/>
      <c r="WEQ1177"/>
      <c r="WER1177"/>
      <c r="WES1177"/>
      <c r="WET1177"/>
      <c r="WEU1177"/>
      <c r="WEV1177"/>
      <c r="WEW1177"/>
      <c r="WEX1177"/>
      <c r="WEY1177"/>
      <c r="WEZ1177"/>
      <c r="WFA1177"/>
      <c r="WFB1177"/>
      <c r="WFC1177"/>
      <c r="WFD1177"/>
      <c r="WFE1177"/>
      <c r="WFF1177"/>
      <c r="WFG1177"/>
      <c r="WFH1177"/>
      <c r="WFI1177"/>
      <c r="WFJ1177"/>
      <c r="WFK1177"/>
      <c r="WFL1177"/>
      <c r="WFM1177"/>
      <c r="WFN1177"/>
      <c r="WFO1177"/>
      <c r="WFP1177"/>
      <c r="WFQ1177"/>
      <c r="WFR1177"/>
      <c r="WFS1177"/>
      <c r="WFT1177"/>
      <c r="WFU1177"/>
      <c r="WFV1177"/>
      <c r="WFW1177"/>
      <c r="WFX1177"/>
      <c r="WFY1177"/>
      <c r="WFZ1177"/>
      <c r="WGA1177"/>
      <c r="WGB1177"/>
      <c r="WGC1177"/>
      <c r="WGD1177"/>
      <c r="WGE1177"/>
      <c r="WGF1177"/>
      <c r="WGG1177"/>
      <c r="WGH1177"/>
      <c r="WGI1177"/>
      <c r="WGJ1177"/>
      <c r="WGK1177"/>
      <c r="WGL1177"/>
      <c r="WGM1177"/>
      <c r="WGN1177"/>
      <c r="WGO1177"/>
      <c r="WGP1177"/>
      <c r="WGQ1177"/>
      <c r="WGR1177"/>
      <c r="WGS1177"/>
      <c r="WGT1177"/>
      <c r="WGU1177"/>
      <c r="WGV1177"/>
      <c r="WGW1177"/>
      <c r="WGX1177"/>
      <c r="WGY1177"/>
      <c r="WGZ1177"/>
      <c r="WHA1177"/>
      <c r="WHB1177"/>
      <c r="WHC1177"/>
      <c r="WHD1177"/>
      <c r="WHE1177"/>
      <c r="WHF1177"/>
      <c r="WHG1177"/>
      <c r="WHH1177"/>
      <c r="WHI1177"/>
      <c r="WHJ1177"/>
      <c r="WHK1177"/>
      <c r="WHL1177"/>
      <c r="WHM1177"/>
      <c r="WHN1177"/>
      <c r="WHO1177"/>
      <c r="WHP1177"/>
      <c r="WHQ1177"/>
      <c r="WHR1177"/>
      <c r="WHS1177"/>
      <c r="WHT1177"/>
      <c r="WHU1177"/>
      <c r="WHV1177"/>
      <c r="WHW1177"/>
      <c r="WHX1177"/>
      <c r="WHY1177"/>
      <c r="WHZ1177"/>
      <c r="WIA1177"/>
      <c r="WIB1177"/>
      <c r="WIC1177"/>
      <c r="WID1177"/>
      <c r="WIE1177"/>
      <c r="WIF1177"/>
      <c r="WIG1177"/>
      <c r="WIH1177"/>
      <c r="WII1177"/>
      <c r="WIJ1177"/>
      <c r="WIK1177"/>
      <c r="WIL1177"/>
      <c r="WIM1177"/>
      <c r="WIN1177"/>
      <c r="WIO1177"/>
      <c r="WIP1177"/>
      <c r="WIQ1177"/>
      <c r="WIR1177"/>
      <c r="WIS1177"/>
      <c r="WIT1177"/>
      <c r="WIU1177"/>
      <c r="WIV1177"/>
      <c r="WIW1177"/>
      <c r="WIX1177"/>
      <c r="WIY1177"/>
      <c r="WIZ1177"/>
      <c r="WJA1177"/>
      <c r="WJB1177"/>
      <c r="WJC1177"/>
      <c r="WJD1177"/>
      <c r="WJE1177"/>
      <c r="WJF1177"/>
      <c r="WJG1177"/>
      <c r="WJH1177"/>
      <c r="WJI1177"/>
      <c r="WJJ1177"/>
      <c r="WJK1177"/>
      <c r="WJL1177"/>
      <c r="WJM1177"/>
      <c r="WJN1177"/>
      <c r="WJO1177"/>
      <c r="WJP1177"/>
      <c r="WJQ1177"/>
      <c r="WJR1177"/>
      <c r="WJS1177"/>
      <c r="WJT1177"/>
      <c r="WJU1177"/>
      <c r="WJV1177"/>
      <c r="WJW1177"/>
      <c r="WJX1177"/>
      <c r="WJY1177"/>
      <c r="WJZ1177"/>
      <c r="WKA1177"/>
      <c r="WKB1177"/>
      <c r="WKC1177"/>
      <c r="WKD1177"/>
      <c r="WKE1177"/>
      <c r="WKF1177"/>
      <c r="WKG1177"/>
      <c r="WKH1177"/>
      <c r="WKI1177"/>
      <c r="WKJ1177"/>
      <c r="WKK1177"/>
      <c r="WKL1177"/>
      <c r="WKM1177"/>
      <c r="WKN1177"/>
      <c r="WKO1177"/>
      <c r="WKP1177"/>
      <c r="WKQ1177"/>
      <c r="WKR1177"/>
      <c r="WKS1177"/>
      <c r="WKT1177"/>
      <c r="WKU1177"/>
      <c r="WKV1177"/>
      <c r="WKW1177"/>
      <c r="WKX1177"/>
      <c r="WKY1177"/>
      <c r="WKZ1177"/>
      <c r="WLA1177"/>
      <c r="WLB1177"/>
      <c r="WLC1177"/>
      <c r="WLD1177"/>
      <c r="WLE1177"/>
      <c r="WLF1177"/>
      <c r="WLG1177"/>
      <c r="WLH1177"/>
      <c r="WLI1177"/>
      <c r="WLJ1177"/>
      <c r="WLK1177"/>
      <c r="WLL1177"/>
      <c r="WLM1177"/>
      <c r="WLN1177"/>
      <c r="WLO1177"/>
      <c r="WLP1177"/>
      <c r="WLQ1177"/>
      <c r="WLR1177"/>
      <c r="WLS1177"/>
      <c r="WLT1177"/>
      <c r="WLU1177"/>
      <c r="WLV1177"/>
      <c r="WLW1177"/>
      <c r="WLX1177"/>
      <c r="WLY1177"/>
      <c r="WLZ1177"/>
      <c r="WMA1177"/>
      <c r="WMB1177"/>
      <c r="WMC1177"/>
      <c r="WMD1177"/>
      <c r="WME1177"/>
      <c r="WMF1177"/>
      <c r="WMG1177"/>
      <c r="WMH1177"/>
      <c r="WMI1177"/>
      <c r="WMJ1177"/>
      <c r="WMK1177"/>
      <c r="WML1177"/>
      <c r="WMM1177"/>
      <c r="WMN1177"/>
      <c r="WMO1177"/>
      <c r="WMP1177"/>
      <c r="WMQ1177"/>
      <c r="WMR1177"/>
      <c r="WMS1177"/>
      <c r="WMT1177"/>
      <c r="WMU1177"/>
      <c r="WMV1177"/>
      <c r="WMW1177"/>
      <c r="WMX1177"/>
      <c r="WMY1177"/>
      <c r="WMZ1177"/>
      <c r="WNA1177"/>
      <c r="WNB1177"/>
      <c r="WNC1177"/>
      <c r="WND1177"/>
      <c r="WNE1177"/>
      <c r="WNF1177"/>
      <c r="WNG1177"/>
      <c r="WNH1177"/>
      <c r="WNI1177"/>
      <c r="WNJ1177"/>
      <c r="WNK1177"/>
      <c r="WNL1177"/>
      <c r="WNM1177"/>
      <c r="WNN1177"/>
      <c r="WNO1177"/>
      <c r="WNP1177"/>
      <c r="WNQ1177"/>
      <c r="WNR1177"/>
      <c r="WNS1177"/>
      <c r="WNT1177"/>
      <c r="WNU1177"/>
      <c r="WNV1177"/>
      <c r="WNW1177"/>
      <c r="WNX1177"/>
      <c r="WNY1177"/>
      <c r="WNZ1177"/>
      <c r="WOA1177"/>
      <c r="WOB1177"/>
      <c r="WOC1177"/>
      <c r="WOD1177"/>
      <c r="WOE1177"/>
      <c r="WOF1177"/>
      <c r="WOG1177"/>
      <c r="WOH1177"/>
      <c r="WOI1177"/>
      <c r="WOJ1177"/>
      <c r="WOK1177"/>
      <c r="WOL1177"/>
      <c r="WOM1177"/>
      <c r="WON1177"/>
      <c r="WOO1177"/>
      <c r="WOP1177"/>
      <c r="WOQ1177"/>
      <c r="WOR1177"/>
      <c r="WOS1177"/>
      <c r="WOT1177"/>
      <c r="WOU1177"/>
      <c r="WOV1177"/>
      <c r="WOW1177"/>
      <c r="WOX1177"/>
      <c r="WOY1177"/>
      <c r="WOZ1177"/>
      <c r="WPA1177"/>
      <c r="WPB1177"/>
      <c r="WPC1177"/>
      <c r="WPD1177"/>
      <c r="WPE1177"/>
      <c r="WPF1177"/>
      <c r="WPG1177"/>
      <c r="WPH1177"/>
      <c r="WPI1177"/>
      <c r="WPJ1177"/>
      <c r="WPK1177"/>
      <c r="WPL1177"/>
      <c r="WPM1177"/>
      <c r="WPN1177"/>
      <c r="WPO1177"/>
      <c r="WPP1177"/>
      <c r="WPQ1177"/>
      <c r="WPR1177"/>
      <c r="WPS1177"/>
      <c r="WPT1177"/>
      <c r="WPU1177"/>
      <c r="WPV1177"/>
      <c r="WPW1177"/>
      <c r="WPX1177"/>
      <c r="WPY1177"/>
      <c r="WPZ1177"/>
      <c r="WQA1177"/>
      <c r="WQB1177"/>
      <c r="WQC1177"/>
      <c r="WQD1177"/>
      <c r="WQE1177"/>
      <c r="WQF1177"/>
      <c r="WQG1177"/>
      <c r="WQH1177"/>
      <c r="WQI1177"/>
      <c r="WQJ1177"/>
      <c r="WQK1177"/>
      <c r="WQL1177"/>
      <c r="WQM1177"/>
      <c r="WQN1177"/>
      <c r="WQO1177"/>
      <c r="WQP1177"/>
      <c r="WQQ1177"/>
      <c r="WQR1177"/>
      <c r="WQS1177"/>
      <c r="WQT1177"/>
      <c r="WQU1177"/>
      <c r="WQV1177"/>
      <c r="WQW1177"/>
      <c r="WQX1177"/>
      <c r="WQY1177"/>
      <c r="WQZ1177"/>
      <c r="WRA1177"/>
      <c r="WRB1177"/>
      <c r="WRC1177"/>
      <c r="WRD1177"/>
      <c r="WRE1177"/>
      <c r="WRF1177"/>
      <c r="WRG1177"/>
      <c r="WRH1177"/>
      <c r="WRI1177"/>
      <c r="WRJ1177"/>
      <c r="WRK1177"/>
      <c r="WRL1177"/>
      <c r="WRM1177"/>
      <c r="WRN1177"/>
      <c r="WRO1177"/>
      <c r="WRP1177"/>
      <c r="WRQ1177"/>
      <c r="WRR1177"/>
      <c r="WRS1177"/>
      <c r="WRT1177"/>
      <c r="WRU1177"/>
      <c r="WRV1177"/>
      <c r="WRW1177"/>
      <c r="WRX1177"/>
      <c r="WRY1177"/>
      <c r="WRZ1177"/>
      <c r="WSA1177"/>
      <c r="WSB1177"/>
      <c r="WSC1177"/>
      <c r="WSD1177"/>
      <c r="WSE1177"/>
      <c r="WSF1177"/>
      <c r="WSG1177"/>
      <c r="WSH1177"/>
      <c r="WSI1177"/>
      <c r="WSJ1177"/>
      <c r="WSK1177"/>
      <c r="WSL1177"/>
      <c r="WSM1177"/>
      <c r="WSN1177"/>
      <c r="WSO1177"/>
      <c r="WSP1177"/>
      <c r="WSQ1177"/>
      <c r="WSR1177"/>
      <c r="WSS1177"/>
      <c r="WST1177"/>
      <c r="WSU1177"/>
      <c r="WSV1177"/>
      <c r="WSW1177"/>
      <c r="WSX1177"/>
      <c r="WSY1177"/>
      <c r="WSZ1177"/>
      <c r="WTA1177"/>
      <c r="WTB1177"/>
      <c r="WTC1177"/>
      <c r="WTD1177"/>
      <c r="WTE1177"/>
      <c r="WTF1177"/>
      <c r="WTG1177"/>
      <c r="WTH1177"/>
      <c r="WTI1177"/>
      <c r="WTJ1177"/>
      <c r="WTK1177"/>
      <c r="WTL1177"/>
      <c r="WTM1177"/>
      <c r="WTN1177"/>
      <c r="WTO1177"/>
      <c r="WTP1177"/>
      <c r="WTQ1177"/>
      <c r="WTR1177"/>
      <c r="WTS1177"/>
      <c r="WTT1177"/>
      <c r="WTU1177"/>
      <c r="WTV1177"/>
      <c r="WTW1177"/>
      <c r="WTX1177"/>
      <c r="WTY1177"/>
      <c r="WTZ1177"/>
      <c r="WUA1177"/>
      <c r="WUB1177"/>
      <c r="WUC1177"/>
      <c r="WUD1177"/>
      <c r="WUE1177"/>
      <c r="WUF1177"/>
      <c r="WUG1177"/>
      <c r="WUH1177"/>
      <c r="WUI1177"/>
      <c r="WUJ1177"/>
      <c r="WUK1177"/>
      <c r="WUL1177"/>
      <c r="WUM1177"/>
      <c r="WUN1177"/>
      <c r="WUO1177"/>
      <c r="WUP1177"/>
      <c r="WUQ1177"/>
      <c r="WUR1177"/>
      <c r="WUS1177"/>
      <c r="WUT1177"/>
      <c r="WUU1177"/>
      <c r="WUV1177"/>
      <c r="WUW1177"/>
      <c r="WUX1177"/>
      <c r="WUY1177"/>
      <c r="WUZ1177"/>
      <c r="WVA1177"/>
      <c r="WVB1177"/>
      <c r="WVC1177"/>
      <c r="WVD1177"/>
      <c r="WVE1177"/>
      <c r="WVF1177"/>
      <c r="WVG1177"/>
      <c r="WVH1177"/>
      <c r="WVI1177"/>
      <c r="WVJ1177"/>
      <c r="WVK1177"/>
      <c r="WVL1177"/>
      <c r="WVM1177"/>
      <c r="WVN1177"/>
      <c r="WVO1177"/>
      <c r="WVP1177"/>
      <c r="WVQ1177"/>
      <c r="WVR1177"/>
      <c r="WVS1177"/>
      <c r="WVT1177"/>
      <c r="WVU1177"/>
      <c r="WVV1177"/>
      <c r="WVW1177"/>
      <c r="WVX1177"/>
      <c r="WVY1177"/>
      <c r="WVZ1177"/>
      <c r="WWA1177"/>
      <c r="WWB1177"/>
      <c r="WWC1177"/>
      <c r="WWD1177"/>
      <c r="WWE1177"/>
      <c r="WWF1177"/>
      <c r="WWG1177"/>
      <c r="WWH1177"/>
      <c r="WWI1177"/>
      <c r="WWJ1177"/>
      <c r="WWK1177"/>
      <c r="WWL1177"/>
      <c r="WWM1177"/>
      <c r="WWN1177"/>
      <c r="WWO1177"/>
      <c r="WWP1177"/>
      <c r="WWQ1177"/>
      <c r="WWR1177"/>
      <c r="WWS1177"/>
      <c r="WWT1177"/>
      <c r="WWU1177"/>
      <c r="WWV1177"/>
      <c r="WWW1177"/>
      <c r="WWX1177"/>
      <c r="WWY1177"/>
      <c r="WWZ1177"/>
      <c r="WXA1177"/>
      <c r="WXB1177"/>
      <c r="WXC1177"/>
      <c r="WXD1177"/>
      <c r="WXE1177"/>
      <c r="WXF1177"/>
      <c r="WXG1177"/>
      <c r="WXH1177"/>
      <c r="WXI1177"/>
      <c r="WXJ1177"/>
      <c r="WXK1177"/>
      <c r="WXL1177"/>
      <c r="WXM1177"/>
      <c r="WXN1177"/>
      <c r="WXO1177"/>
      <c r="WXP1177"/>
      <c r="WXQ1177"/>
      <c r="WXR1177"/>
      <c r="WXS1177"/>
      <c r="WXT1177"/>
      <c r="WXU1177"/>
      <c r="WXV1177"/>
      <c r="WXW1177"/>
      <c r="WXX1177"/>
      <c r="WXY1177"/>
      <c r="WXZ1177"/>
      <c r="WYA1177"/>
      <c r="WYB1177"/>
      <c r="WYC1177"/>
      <c r="WYD1177"/>
      <c r="WYE1177"/>
      <c r="WYF1177"/>
      <c r="WYG1177"/>
      <c r="WYH1177"/>
      <c r="WYI1177"/>
      <c r="WYJ1177"/>
      <c r="WYK1177"/>
      <c r="WYL1177"/>
      <c r="WYM1177"/>
      <c r="WYN1177"/>
      <c r="WYO1177"/>
      <c r="WYP1177"/>
      <c r="WYQ1177"/>
      <c r="WYR1177"/>
      <c r="WYS1177"/>
      <c r="WYT1177"/>
      <c r="WYU1177"/>
      <c r="WYV1177"/>
      <c r="WYW1177"/>
      <c r="WYX1177"/>
      <c r="WYY1177"/>
      <c r="WYZ1177"/>
      <c r="WZA1177"/>
      <c r="WZB1177"/>
      <c r="WZC1177"/>
      <c r="WZD1177"/>
      <c r="WZE1177"/>
      <c r="WZF1177"/>
      <c r="WZG1177"/>
      <c r="WZH1177"/>
      <c r="WZI1177"/>
      <c r="WZJ1177"/>
      <c r="WZK1177"/>
      <c r="WZL1177"/>
      <c r="WZM1177"/>
      <c r="WZN1177"/>
      <c r="WZO1177"/>
      <c r="WZP1177"/>
      <c r="WZQ1177"/>
      <c r="WZR1177"/>
      <c r="WZS1177"/>
      <c r="WZT1177"/>
      <c r="WZU1177"/>
      <c r="WZV1177"/>
      <c r="WZW1177"/>
      <c r="WZX1177"/>
      <c r="WZY1177"/>
      <c r="WZZ1177"/>
      <c r="XAA1177"/>
      <c r="XAB1177"/>
      <c r="XAC1177"/>
      <c r="XAD1177"/>
      <c r="XAE1177"/>
      <c r="XAF1177"/>
      <c r="XAG1177"/>
      <c r="XAH1177"/>
      <c r="XAI1177"/>
      <c r="XAJ1177"/>
      <c r="XAK1177"/>
      <c r="XAL1177"/>
      <c r="XAM1177"/>
      <c r="XAN1177"/>
      <c r="XAO1177"/>
      <c r="XAP1177"/>
      <c r="XAQ1177"/>
      <c r="XAR1177"/>
      <c r="XAS1177"/>
      <c r="XAT1177"/>
      <c r="XAU1177"/>
      <c r="XAV1177"/>
      <c r="XAW1177"/>
      <c r="XAX1177"/>
      <c r="XAY1177"/>
      <c r="XAZ1177"/>
      <c r="XBA1177"/>
      <c r="XBB1177"/>
      <c r="XBC1177"/>
      <c r="XBD1177"/>
      <c r="XBE1177"/>
      <c r="XBF1177"/>
      <c r="XBG1177"/>
      <c r="XBH1177"/>
      <c r="XBI1177"/>
      <c r="XBJ1177"/>
      <c r="XBK1177"/>
      <c r="XBL1177"/>
      <c r="XBM1177"/>
      <c r="XBN1177"/>
      <c r="XBO1177"/>
      <c r="XBP1177"/>
      <c r="XBQ1177"/>
      <c r="XBR1177"/>
      <c r="XBS1177"/>
      <c r="XBT1177"/>
      <c r="XBU1177"/>
      <c r="XBV1177"/>
      <c r="XBW1177"/>
      <c r="XBX1177"/>
      <c r="XBY1177"/>
      <c r="XBZ1177"/>
      <c r="XCA1177"/>
      <c r="XCB1177"/>
      <c r="XCC1177"/>
      <c r="XCD1177"/>
      <c r="XCE1177"/>
      <c r="XCF1177"/>
      <c r="XCG1177"/>
      <c r="XCH1177"/>
      <c r="XCI1177"/>
      <c r="XCJ1177"/>
      <c r="XCK1177"/>
      <c r="XCL1177"/>
      <c r="XCM1177"/>
      <c r="XCN1177"/>
      <c r="XCO1177"/>
      <c r="XCP1177"/>
      <c r="XCQ1177"/>
      <c r="XCR1177"/>
      <c r="XCS1177"/>
      <c r="XCT1177"/>
      <c r="XCU1177"/>
      <c r="XCV1177"/>
      <c r="XCW1177"/>
      <c r="XCX1177"/>
      <c r="XCY1177"/>
      <c r="XCZ1177"/>
      <c r="XDA1177"/>
      <c r="XDB1177"/>
      <c r="XDC1177"/>
      <c r="XDD1177"/>
      <c r="XDE1177"/>
      <c r="XDF1177"/>
      <c r="XDG1177"/>
      <c r="XDH1177"/>
      <c r="XDI1177"/>
      <c r="XDJ1177"/>
      <c r="XDK1177"/>
      <c r="XDL1177"/>
      <c r="XDM1177"/>
      <c r="XDN1177"/>
      <c r="XDO1177"/>
      <c r="XDP1177"/>
      <c r="XDQ1177"/>
      <c r="XDR1177"/>
      <c r="XDS1177"/>
      <c r="XDT1177"/>
      <c r="XDU1177"/>
      <c r="XDV1177"/>
      <c r="XDW1177"/>
      <c r="XDX1177"/>
      <c r="XDY1177"/>
      <c r="XDZ1177"/>
      <c r="XEA1177"/>
      <c r="XEB1177"/>
      <c r="XEC1177"/>
      <c r="XED1177"/>
      <c r="XEE1177"/>
      <c r="XEF1177"/>
      <c r="XEG1177"/>
      <c r="XEH1177"/>
      <c r="XEI1177"/>
      <c r="XEJ1177"/>
      <c r="XEK1177"/>
      <c r="XEL1177"/>
      <c r="XEM1177"/>
      <c r="XEN1177"/>
      <c r="XEO1177"/>
      <c r="XEP1177"/>
      <c r="XEQ1177"/>
      <c r="XER1177"/>
      <c r="XES1177"/>
    </row>
    <row r="1178" spans="1:16373" hidden="1">
      <c r="A1178" s="47" t="s">
        <v>44</v>
      </c>
      <c r="B1178" s="47" t="str">
        <f t="shared" si="280"/>
        <v>August</v>
      </c>
      <c r="C1178" s="59">
        <v>45505</v>
      </c>
      <c r="D1178" s="47" t="s">
        <v>103</v>
      </c>
      <c r="E1178" s="47" t="s">
        <v>656</v>
      </c>
      <c r="F1178" s="47" t="s">
        <v>657</v>
      </c>
      <c r="G1178" s="94" t="s">
        <v>2136</v>
      </c>
      <c r="H1178" s="47" t="s">
        <v>2137</v>
      </c>
      <c r="I1178" s="47" t="s">
        <v>660</v>
      </c>
      <c r="J1178" s="47" t="s">
        <v>51</v>
      </c>
      <c r="K1178" s="48">
        <v>45140</v>
      </c>
      <c r="L1178" s="48">
        <v>45140</v>
      </c>
      <c r="M1178" s="48">
        <v>45505</v>
      </c>
      <c r="N1178" s="47" t="s">
        <v>52</v>
      </c>
      <c r="O1178" s="55" t="s">
        <v>53</v>
      </c>
      <c r="P1178" s="62">
        <v>9840</v>
      </c>
      <c r="Q1178" s="62">
        <v>820</v>
      </c>
      <c r="R1178" s="103">
        <v>9840</v>
      </c>
      <c r="S1178" s="62">
        <f t="shared" si="281"/>
        <v>820</v>
      </c>
      <c r="T1178" s="62">
        <v>10320</v>
      </c>
      <c r="U1178" s="62">
        <f t="shared" si="286"/>
        <v>860</v>
      </c>
      <c r="V1178" s="69">
        <v>9360</v>
      </c>
      <c r="W1178" s="71">
        <v>900</v>
      </c>
      <c r="X1178" s="71"/>
      <c r="Y1178" s="71"/>
      <c r="Z1178" s="64">
        <f t="shared" si="282"/>
        <v>4.6511627906976744E-2</v>
      </c>
      <c r="AA1178" s="64">
        <f t="shared" ref="AA1178:AA1241" si="287">(W1178-S1178)/S1178</f>
        <v>9.7560975609756101E-2</v>
      </c>
      <c r="AB1178" s="71">
        <v>900</v>
      </c>
      <c r="AC1178" s="64">
        <f t="shared" si="283"/>
        <v>4.6511627906976744E-2</v>
      </c>
      <c r="AD1178" s="64">
        <f t="shared" si="277"/>
        <v>9.7560975609756101E-2</v>
      </c>
      <c r="AE1178" s="71">
        <v>900</v>
      </c>
      <c r="AF1178" s="64">
        <f t="shared" si="284"/>
        <v>4.6511627906976744E-2</v>
      </c>
      <c r="AG1178" s="64">
        <f t="shared" si="278"/>
        <v>9.7560975609756101E-2</v>
      </c>
      <c r="AH1178" s="67"/>
      <c r="AI1178" s="47" t="s">
        <v>54</v>
      </c>
      <c r="AJ1178" s="47">
        <v>362.74</v>
      </c>
      <c r="AK1178" s="55" t="s">
        <v>55</v>
      </c>
      <c r="AL1178" s="55" t="s">
        <v>55</v>
      </c>
      <c r="AM1178" s="47" t="s">
        <v>2138</v>
      </c>
      <c r="AN1178" s="47"/>
      <c r="AO1178" s="211">
        <f t="shared" si="285"/>
        <v>-1</v>
      </c>
      <c r="AP1178" s="47" t="s">
        <v>57</v>
      </c>
      <c r="AQ1178" s="47" t="s">
        <v>58</v>
      </c>
      <c r="AR1178" s="47"/>
    </row>
    <row r="1179" spans="1:16373">
      <c r="A1179" s="47" t="s">
        <v>44</v>
      </c>
      <c r="B1179" s="47" t="str">
        <f t="shared" si="280"/>
        <v>August</v>
      </c>
      <c r="C1179" s="59">
        <v>45514</v>
      </c>
      <c r="D1179" s="47" t="s">
        <v>103</v>
      </c>
      <c r="E1179" s="47" t="s">
        <v>656</v>
      </c>
      <c r="F1179" s="47" t="s">
        <v>657</v>
      </c>
      <c r="G1179" s="94" t="s">
        <v>2139</v>
      </c>
      <c r="H1179" s="47" t="s">
        <v>2140</v>
      </c>
      <c r="I1179" s="47" t="s">
        <v>660</v>
      </c>
      <c r="J1179" s="47" t="s">
        <v>51</v>
      </c>
      <c r="K1179" s="48">
        <v>44419</v>
      </c>
      <c r="L1179" s="48">
        <v>45149</v>
      </c>
      <c r="M1179" s="48">
        <v>45514</v>
      </c>
      <c r="N1179" s="47" t="s">
        <v>64</v>
      </c>
      <c r="O1179" s="55" t="s">
        <v>53</v>
      </c>
      <c r="P1179" s="62">
        <v>11400</v>
      </c>
      <c r="Q1179" s="62">
        <v>950</v>
      </c>
      <c r="R1179" s="103">
        <v>11400</v>
      </c>
      <c r="S1179" s="62">
        <f t="shared" si="281"/>
        <v>950</v>
      </c>
      <c r="T1179" s="62">
        <v>11040</v>
      </c>
      <c r="U1179" s="62">
        <f t="shared" si="286"/>
        <v>920</v>
      </c>
      <c r="V1179" s="69">
        <v>10680</v>
      </c>
      <c r="W1179" s="71">
        <v>1030</v>
      </c>
      <c r="X1179" s="71"/>
      <c r="Y1179" s="71"/>
      <c r="Z1179" s="64">
        <f t="shared" si="282"/>
        <v>0.11956521739130435</v>
      </c>
      <c r="AA1179" s="64">
        <f t="shared" si="287"/>
        <v>8.4210526315789472E-2</v>
      </c>
      <c r="AB1179" s="71">
        <v>960</v>
      </c>
      <c r="AC1179" s="64">
        <f t="shared" si="283"/>
        <v>4.3478260869565216E-2</v>
      </c>
      <c r="AD1179" s="64">
        <f t="shared" si="277"/>
        <v>1.0526315789473684E-2</v>
      </c>
      <c r="AE1179" s="71">
        <v>960</v>
      </c>
      <c r="AF1179" s="64">
        <f t="shared" si="284"/>
        <v>4.3478260869565216E-2</v>
      </c>
      <c r="AG1179" s="64">
        <f t="shared" si="278"/>
        <v>1.0526315789473684E-2</v>
      </c>
      <c r="AH1179" s="67"/>
      <c r="AI1179" s="47" t="s">
        <v>54</v>
      </c>
      <c r="AJ1179" s="47">
        <v>609.24</v>
      </c>
      <c r="AK1179" s="55" t="s">
        <v>55</v>
      </c>
      <c r="AL1179" s="55" t="s">
        <v>55</v>
      </c>
      <c r="AM1179" s="47" t="s">
        <v>2141</v>
      </c>
      <c r="AN1179" s="47"/>
      <c r="AO1179" s="211">
        <f t="shared" si="285"/>
        <v>-1</v>
      </c>
      <c r="AP1179" s="47" t="s">
        <v>57</v>
      </c>
      <c r="AQ1179" s="47" t="s">
        <v>1132</v>
      </c>
      <c r="AR1179" s="47"/>
    </row>
    <row r="1180" spans="1:16373">
      <c r="A1180" s="47" t="s">
        <v>44</v>
      </c>
      <c r="B1180" s="47" t="str">
        <f t="shared" si="280"/>
        <v>August</v>
      </c>
      <c r="C1180" s="59">
        <v>45515</v>
      </c>
      <c r="D1180" s="47" t="s">
        <v>103</v>
      </c>
      <c r="E1180" s="47" t="s">
        <v>656</v>
      </c>
      <c r="F1180" s="47" t="s">
        <v>657</v>
      </c>
      <c r="G1180" s="91" t="s">
        <v>2149</v>
      </c>
      <c r="H1180" s="47" t="s">
        <v>2150</v>
      </c>
      <c r="I1180" s="47" t="s">
        <v>660</v>
      </c>
      <c r="J1180" s="47" t="s">
        <v>51</v>
      </c>
      <c r="K1180" s="48">
        <v>44785</v>
      </c>
      <c r="L1180" s="48">
        <v>45150</v>
      </c>
      <c r="M1180" s="48">
        <v>45515</v>
      </c>
      <c r="N1180" s="47" t="s">
        <v>64</v>
      </c>
      <c r="O1180" s="55" t="s">
        <v>53</v>
      </c>
      <c r="P1180" s="62">
        <v>13020</v>
      </c>
      <c r="Q1180" s="62">
        <v>1085</v>
      </c>
      <c r="R1180" s="103">
        <v>13020</v>
      </c>
      <c r="S1180" s="62">
        <f t="shared" si="281"/>
        <v>1085</v>
      </c>
      <c r="T1180" s="62">
        <v>12720</v>
      </c>
      <c r="U1180" s="62">
        <f t="shared" si="286"/>
        <v>1060</v>
      </c>
      <c r="V1180" s="69">
        <v>12300</v>
      </c>
      <c r="W1180" s="71">
        <v>1150</v>
      </c>
      <c r="X1180" s="71"/>
      <c r="Y1180" s="71"/>
      <c r="Z1180" s="64">
        <f t="shared" si="282"/>
        <v>8.4905660377358486E-2</v>
      </c>
      <c r="AA1180" s="64">
        <f t="shared" si="287"/>
        <v>5.9907834101382486E-2</v>
      </c>
      <c r="AB1180" s="71">
        <v>1110</v>
      </c>
      <c r="AC1180" s="64">
        <f t="shared" si="283"/>
        <v>4.716981132075472E-2</v>
      </c>
      <c r="AD1180" s="64">
        <f t="shared" si="277"/>
        <v>2.3041474654377881E-2</v>
      </c>
      <c r="AE1180" s="71">
        <v>1110</v>
      </c>
      <c r="AF1180" s="64">
        <f t="shared" si="284"/>
        <v>4.716981132075472E-2</v>
      </c>
      <c r="AG1180" s="64">
        <f t="shared" si="278"/>
        <v>2.3041474654377881E-2</v>
      </c>
      <c r="AH1180" s="67"/>
      <c r="AI1180" s="47" t="s">
        <v>54</v>
      </c>
      <c r="AJ1180" s="47">
        <v>723.33</v>
      </c>
      <c r="AK1180" s="55" t="s">
        <v>65</v>
      </c>
      <c r="AL1180" s="55" t="s">
        <v>55</v>
      </c>
      <c r="AM1180" s="47" t="s">
        <v>1932</v>
      </c>
      <c r="AN1180" s="47">
        <v>1110</v>
      </c>
      <c r="AO1180" s="211">
        <f t="shared" si="285"/>
        <v>4.716981132075472E-2</v>
      </c>
      <c r="AP1180" s="47" t="s">
        <v>57</v>
      </c>
      <c r="AQ1180" s="47" t="s">
        <v>1132</v>
      </c>
      <c r="AR1180" s="47"/>
    </row>
    <row r="1181" spans="1:16373" hidden="1">
      <c r="A1181" s="47" t="s">
        <v>44</v>
      </c>
      <c r="B1181" s="47" t="str">
        <f t="shared" si="280"/>
        <v>August</v>
      </c>
      <c r="C1181" s="59">
        <v>45517</v>
      </c>
      <c r="D1181" s="47" t="s">
        <v>103</v>
      </c>
      <c r="E1181" s="47" t="s">
        <v>656</v>
      </c>
      <c r="F1181" s="47" t="s">
        <v>657</v>
      </c>
      <c r="G1181" s="91" t="s">
        <v>2151</v>
      </c>
      <c r="H1181" s="47" t="s">
        <v>2152</v>
      </c>
      <c r="I1181" s="47" t="s">
        <v>660</v>
      </c>
      <c r="J1181" s="47" t="s">
        <v>51</v>
      </c>
      <c r="K1181" s="48">
        <v>45152</v>
      </c>
      <c r="L1181" s="48">
        <v>45152</v>
      </c>
      <c r="M1181" s="48">
        <v>45517</v>
      </c>
      <c r="N1181" s="47" t="s">
        <v>52</v>
      </c>
      <c r="O1181" s="55" t="s">
        <v>53</v>
      </c>
      <c r="P1181" s="62">
        <v>13020</v>
      </c>
      <c r="Q1181" s="62">
        <v>1085</v>
      </c>
      <c r="R1181" s="103">
        <v>13020</v>
      </c>
      <c r="S1181" s="62">
        <f t="shared" si="281"/>
        <v>1085</v>
      </c>
      <c r="T1181" s="62">
        <v>12360</v>
      </c>
      <c r="U1181" s="62">
        <f t="shared" si="286"/>
        <v>1030</v>
      </c>
      <c r="V1181" s="69">
        <v>11100</v>
      </c>
      <c r="W1181" s="71">
        <v>1080</v>
      </c>
      <c r="X1181" s="71"/>
      <c r="Y1181" s="71"/>
      <c r="Z1181" s="64">
        <f t="shared" si="282"/>
        <v>4.8543689320388349E-2</v>
      </c>
      <c r="AA1181" s="64">
        <f t="shared" si="287"/>
        <v>-4.608294930875576E-3</v>
      </c>
      <c r="AB1181" s="71">
        <v>1075</v>
      </c>
      <c r="AC1181" s="64">
        <f t="shared" si="283"/>
        <v>4.3689320388349516E-2</v>
      </c>
      <c r="AD1181" s="64">
        <f t="shared" si="277"/>
        <v>-9.2165898617511521E-3</v>
      </c>
      <c r="AE1181" s="71">
        <v>1075</v>
      </c>
      <c r="AF1181" s="64">
        <f t="shared" si="284"/>
        <v>4.3689320388349516E-2</v>
      </c>
      <c r="AG1181" s="64">
        <f t="shared" si="278"/>
        <v>-9.2165898617511521E-3</v>
      </c>
      <c r="AH1181" s="67"/>
      <c r="AI1181" s="47" t="s">
        <v>54</v>
      </c>
      <c r="AJ1181" s="47">
        <v>723.33</v>
      </c>
      <c r="AK1181" s="55" t="s">
        <v>65</v>
      </c>
      <c r="AL1181" s="55" t="s">
        <v>55</v>
      </c>
      <c r="AM1181" s="47" t="s">
        <v>2153</v>
      </c>
      <c r="AN1181" s="47"/>
      <c r="AO1181" s="211">
        <f t="shared" si="285"/>
        <v>-1</v>
      </c>
      <c r="AP1181" s="47" t="s">
        <v>57</v>
      </c>
      <c r="AQ1181" s="47" t="s">
        <v>1132</v>
      </c>
      <c r="AR1181" s="47"/>
    </row>
    <row r="1182" spans="1:16373">
      <c r="A1182" s="47" t="s">
        <v>44</v>
      </c>
      <c r="B1182" s="47" t="str">
        <f t="shared" si="280"/>
        <v>August</v>
      </c>
      <c r="C1182" s="59">
        <v>45518</v>
      </c>
      <c r="D1182" s="47" t="s">
        <v>103</v>
      </c>
      <c r="E1182" s="47" t="s">
        <v>656</v>
      </c>
      <c r="F1182" s="47" t="s">
        <v>657</v>
      </c>
      <c r="G1182" s="91" t="s">
        <v>2284</v>
      </c>
      <c r="H1182" s="47" t="s">
        <v>2285</v>
      </c>
      <c r="I1182" s="47" t="s">
        <v>660</v>
      </c>
      <c r="J1182" s="47" t="s">
        <v>51</v>
      </c>
      <c r="K1182" s="48">
        <v>44242</v>
      </c>
      <c r="L1182" s="48">
        <v>45153</v>
      </c>
      <c r="M1182" s="48">
        <v>45518</v>
      </c>
      <c r="N1182" s="47" t="s">
        <v>64</v>
      </c>
      <c r="O1182" s="55" t="s">
        <v>53</v>
      </c>
      <c r="P1182" s="62">
        <v>9960</v>
      </c>
      <c r="Q1182" s="62">
        <v>830</v>
      </c>
      <c r="R1182" s="103">
        <v>9960</v>
      </c>
      <c r="S1182" s="62">
        <f t="shared" si="281"/>
        <v>830</v>
      </c>
      <c r="T1182" s="62">
        <v>8700</v>
      </c>
      <c r="U1182" s="62">
        <f t="shared" si="286"/>
        <v>725</v>
      </c>
      <c r="V1182" s="69">
        <v>8400</v>
      </c>
      <c r="W1182" s="71">
        <v>815</v>
      </c>
      <c r="X1182" s="71"/>
      <c r="Y1182" s="71"/>
      <c r="Z1182" s="64">
        <f t="shared" si="282"/>
        <v>0.12413793103448276</v>
      </c>
      <c r="AA1182" s="64">
        <f t="shared" si="287"/>
        <v>-1.8072289156626505E-2</v>
      </c>
      <c r="AB1182" s="71">
        <v>755</v>
      </c>
      <c r="AC1182" s="64">
        <f t="shared" si="283"/>
        <v>4.1379310344827586E-2</v>
      </c>
      <c r="AD1182" s="64">
        <f t="shared" si="277"/>
        <v>-9.036144578313253E-2</v>
      </c>
      <c r="AE1182" s="71">
        <v>755</v>
      </c>
      <c r="AF1182" s="64">
        <f t="shared" si="284"/>
        <v>4.1379310344827586E-2</v>
      </c>
      <c r="AG1182" s="64">
        <f t="shared" si="278"/>
        <v>-9.036144578313253E-2</v>
      </c>
      <c r="AH1182" s="67"/>
      <c r="AI1182" s="47" t="s">
        <v>54</v>
      </c>
      <c r="AJ1182" s="47">
        <v>400.42</v>
      </c>
      <c r="AK1182" s="55" t="s">
        <v>55</v>
      </c>
      <c r="AL1182" s="55" t="s">
        <v>55</v>
      </c>
      <c r="AM1182" s="47" t="s">
        <v>2286</v>
      </c>
      <c r="AN1182" s="47"/>
      <c r="AO1182" s="211">
        <f t="shared" si="285"/>
        <v>-1</v>
      </c>
      <c r="AP1182" s="47" t="s">
        <v>57</v>
      </c>
      <c r="AQ1182" s="47" t="s">
        <v>1132</v>
      </c>
      <c r="AR1182" s="47"/>
    </row>
    <row r="1183" spans="1:16373">
      <c r="A1183" s="47" t="s">
        <v>44</v>
      </c>
      <c r="B1183" s="47" t="str">
        <f t="shared" si="280"/>
        <v>August</v>
      </c>
      <c r="C1183" s="59">
        <v>45518</v>
      </c>
      <c r="D1183" s="47" t="s">
        <v>103</v>
      </c>
      <c r="E1183" s="47" t="s">
        <v>656</v>
      </c>
      <c r="F1183" s="47" t="s">
        <v>657</v>
      </c>
      <c r="G1183" s="91" t="s">
        <v>2287</v>
      </c>
      <c r="H1183" s="47" t="s">
        <v>2288</v>
      </c>
      <c r="I1183" s="47" t="s">
        <v>660</v>
      </c>
      <c r="J1183" s="47" t="s">
        <v>51</v>
      </c>
      <c r="K1183" s="48">
        <v>44788</v>
      </c>
      <c r="L1183" s="48">
        <v>45153</v>
      </c>
      <c r="M1183" s="48">
        <v>45518</v>
      </c>
      <c r="N1183" s="47" t="s">
        <v>64</v>
      </c>
      <c r="O1183" s="55" t="s">
        <v>53</v>
      </c>
      <c r="P1183" s="62">
        <v>11340</v>
      </c>
      <c r="Q1183" s="62">
        <v>945</v>
      </c>
      <c r="R1183" s="103">
        <v>11340</v>
      </c>
      <c r="S1183" s="62">
        <f t="shared" si="281"/>
        <v>945</v>
      </c>
      <c r="T1183" s="62">
        <v>11700</v>
      </c>
      <c r="U1183" s="62">
        <f t="shared" si="286"/>
        <v>975</v>
      </c>
      <c r="V1183" s="69">
        <v>11340</v>
      </c>
      <c r="W1183" s="71">
        <v>1050</v>
      </c>
      <c r="X1183" s="71"/>
      <c r="Y1183" s="71"/>
      <c r="Z1183" s="64">
        <f t="shared" si="282"/>
        <v>7.6923076923076927E-2</v>
      </c>
      <c r="AA1183" s="64">
        <f t="shared" si="287"/>
        <v>0.1111111111111111</v>
      </c>
      <c r="AB1183" s="71">
        <v>1020</v>
      </c>
      <c r="AC1183" s="64">
        <f t="shared" si="283"/>
        <v>4.6153846153846156E-2</v>
      </c>
      <c r="AD1183" s="64">
        <f t="shared" si="277"/>
        <v>7.9365079365079361E-2</v>
      </c>
      <c r="AE1183" s="71">
        <v>1020</v>
      </c>
      <c r="AF1183" s="64">
        <f t="shared" si="284"/>
        <v>4.6153846153846156E-2</v>
      </c>
      <c r="AG1183" s="64">
        <f t="shared" si="278"/>
        <v>7.9365079365079361E-2</v>
      </c>
      <c r="AH1183" s="67"/>
      <c r="AI1183" s="47" t="s">
        <v>54</v>
      </c>
      <c r="AJ1183" s="47">
        <v>540.35</v>
      </c>
      <c r="AK1183" s="55" t="s">
        <v>55</v>
      </c>
      <c r="AL1183" s="55" t="s">
        <v>55</v>
      </c>
      <c r="AM1183" s="47" t="s">
        <v>2289</v>
      </c>
      <c r="AN1183" s="47"/>
      <c r="AO1183" s="211">
        <f t="shared" si="285"/>
        <v>-1</v>
      </c>
      <c r="AP1183" s="47" t="s">
        <v>57</v>
      </c>
      <c r="AQ1183" s="47" t="s">
        <v>1132</v>
      </c>
      <c r="AR1183" s="47"/>
    </row>
    <row r="1184" spans="1:16373">
      <c r="A1184" s="47" t="s">
        <v>44</v>
      </c>
      <c r="B1184" s="47" t="str">
        <f t="shared" ref="B1184:B1215" si="288">TEXT(C1184,"mmmm")</f>
        <v>August</v>
      </c>
      <c r="C1184" s="59">
        <v>45519</v>
      </c>
      <c r="D1184" s="47" t="s">
        <v>103</v>
      </c>
      <c r="E1184" s="47" t="s">
        <v>656</v>
      </c>
      <c r="F1184" s="47" t="s">
        <v>657</v>
      </c>
      <c r="G1184" s="91" t="s">
        <v>2290</v>
      </c>
      <c r="H1184" s="47" t="s">
        <v>2291</v>
      </c>
      <c r="I1184" s="47" t="s">
        <v>660</v>
      </c>
      <c r="J1184" s="47" t="s">
        <v>51</v>
      </c>
      <c r="K1184" s="48">
        <v>44424</v>
      </c>
      <c r="L1184" s="48">
        <v>45154</v>
      </c>
      <c r="M1184" s="48">
        <v>45519</v>
      </c>
      <c r="N1184" s="47" t="s">
        <v>64</v>
      </c>
      <c r="O1184" s="55" t="s">
        <v>53</v>
      </c>
      <c r="P1184" s="62">
        <v>13020</v>
      </c>
      <c r="Q1184" s="62">
        <v>1085</v>
      </c>
      <c r="R1184" s="103">
        <v>13020</v>
      </c>
      <c r="S1184" s="62">
        <f t="shared" si="281"/>
        <v>1085</v>
      </c>
      <c r="T1184" s="62">
        <v>11280</v>
      </c>
      <c r="U1184" s="62">
        <f t="shared" si="286"/>
        <v>940</v>
      </c>
      <c r="V1184" s="69">
        <v>10920</v>
      </c>
      <c r="W1184" s="71">
        <v>1090</v>
      </c>
      <c r="X1184" s="71"/>
      <c r="Y1184" s="71"/>
      <c r="Z1184" s="64">
        <f t="shared" si="282"/>
        <v>0.15957446808510639</v>
      </c>
      <c r="AA1184" s="64">
        <f t="shared" si="287"/>
        <v>4.608294930875576E-3</v>
      </c>
      <c r="AB1184" s="71">
        <v>980</v>
      </c>
      <c r="AC1184" s="64">
        <f t="shared" si="283"/>
        <v>4.2553191489361701E-2</v>
      </c>
      <c r="AD1184" s="64">
        <f t="shared" si="277"/>
        <v>-9.6774193548387094E-2</v>
      </c>
      <c r="AE1184" s="71">
        <v>980</v>
      </c>
      <c r="AF1184" s="64">
        <f t="shared" si="284"/>
        <v>4.2553191489361701E-2</v>
      </c>
      <c r="AG1184" s="64">
        <f t="shared" si="278"/>
        <v>-9.6774193548387094E-2</v>
      </c>
      <c r="AH1184" s="67"/>
      <c r="AI1184" s="47" t="s">
        <v>54</v>
      </c>
      <c r="AJ1184" s="47">
        <v>723.33</v>
      </c>
      <c r="AK1184" s="55" t="s">
        <v>65</v>
      </c>
      <c r="AL1184" s="55" t="s">
        <v>55</v>
      </c>
      <c r="AM1184" s="47" t="s">
        <v>2292</v>
      </c>
      <c r="AN1184" s="47"/>
      <c r="AO1184" s="211">
        <f t="shared" si="285"/>
        <v>-1</v>
      </c>
      <c r="AP1184" s="47" t="s">
        <v>57</v>
      </c>
      <c r="AQ1184" s="52" t="s">
        <v>1132</v>
      </c>
      <c r="AR1184" s="47"/>
    </row>
    <row r="1185" spans="1:44">
      <c r="A1185" s="47" t="s">
        <v>44</v>
      </c>
      <c r="B1185" s="47" t="str">
        <f t="shared" si="288"/>
        <v>August</v>
      </c>
      <c r="C1185" s="59">
        <v>45522</v>
      </c>
      <c r="D1185" s="47" t="s">
        <v>103</v>
      </c>
      <c r="E1185" s="47" t="s">
        <v>656</v>
      </c>
      <c r="F1185" s="47" t="s">
        <v>657</v>
      </c>
      <c r="G1185" s="94" t="s">
        <v>2701</v>
      </c>
      <c r="H1185" s="47" t="s">
        <v>2702</v>
      </c>
      <c r="I1185" s="47" t="s">
        <v>660</v>
      </c>
      <c r="J1185" s="47" t="s">
        <v>51</v>
      </c>
      <c r="K1185" s="48">
        <v>44792</v>
      </c>
      <c r="L1185" s="48">
        <v>45157</v>
      </c>
      <c r="M1185" s="48">
        <v>45522</v>
      </c>
      <c r="N1185" s="47" t="s">
        <v>64</v>
      </c>
      <c r="O1185" s="55" t="s">
        <v>53</v>
      </c>
      <c r="P1185" s="62">
        <v>12780</v>
      </c>
      <c r="Q1185" s="62">
        <v>1065</v>
      </c>
      <c r="R1185" s="103">
        <v>12780</v>
      </c>
      <c r="S1185" s="62">
        <f t="shared" si="281"/>
        <v>1065</v>
      </c>
      <c r="T1185" s="62">
        <v>13200</v>
      </c>
      <c r="U1185" s="62">
        <f t="shared" si="286"/>
        <v>1100</v>
      </c>
      <c r="V1185" s="69">
        <v>12780</v>
      </c>
      <c r="W1185" s="71">
        <v>1190</v>
      </c>
      <c r="X1185" s="71"/>
      <c r="Y1185" s="71"/>
      <c r="Z1185" s="64">
        <f t="shared" si="282"/>
        <v>8.1818181818181818E-2</v>
      </c>
      <c r="AA1185" s="64">
        <f t="shared" si="287"/>
        <v>0.11737089201877934</v>
      </c>
      <c r="AB1185" s="71">
        <f>(U1185/100)*4.5+U1185</f>
        <v>1149.5</v>
      </c>
      <c r="AC1185" s="64">
        <f t="shared" si="283"/>
        <v>4.4999999999999998E-2</v>
      </c>
      <c r="AD1185" s="64">
        <f t="shared" si="277"/>
        <v>7.9342723004694832E-2</v>
      </c>
      <c r="AE1185" s="71">
        <v>1149.5</v>
      </c>
      <c r="AF1185" s="64">
        <f t="shared" si="284"/>
        <v>4.4999999999999998E-2</v>
      </c>
      <c r="AG1185" s="64">
        <f t="shared" si="278"/>
        <v>7.9342723004694832E-2</v>
      </c>
      <c r="AH1185" s="67"/>
      <c r="AI1185" s="47" t="s">
        <v>54</v>
      </c>
      <c r="AJ1185" s="47">
        <v>664.13</v>
      </c>
      <c r="AK1185" s="55" t="s">
        <v>65</v>
      </c>
      <c r="AL1185" s="55" t="s">
        <v>55</v>
      </c>
      <c r="AM1185" s="47" t="s">
        <v>2703</v>
      </c>
      <c r="AN1185" s="47"/>
      <c r="AO1185" s="211">
        <f t="shared" si="285"/>
        <v>-1</v>
      </c>
      <c r="AP1185" s="47" t="s">
        <v>57</v>
      </c>
      <c r="AQ1185" s="47" t="s">
        <v>1132</v>
      </c>
      <c r="AR1185" s="47"/>
    </row>
    <row r="1186" spans="1:44">
      <c r="A1186" s="47" t="s">
        <v>44</v>
      </c>
      <c r="B1186" s="47" t="str">
        <f t="shared" si="288"/>
        <v>August</v>
      </c>
      <c r="C1186" s="59">
        <v>45526</v>
      </c>
      <c r="D1186" s="47" t="s">
        <v>103</v>
      </c>
      <c r="E1186" s="47" t="s">
        <v>656</v>
      </c>
      <c r="F1186" s="47" t="s">
        <v>657</v>
      </c>
      <c r="G1186" s="91" t="s">
        <v>2823</v>
      </c>
      <c r="H1186" s="47" t="s">
        <v>2824</v>
      </c>
      <c r="I1186" s="47" t="s">
        <v>660</v>
      </c>
      <c r="J1186" s="47" t="s">
        <v>51</v>
      </c>
      <c r="K1186" s="48">
        <v>44796</v>
      </c>
      <c r="L1186" s="48">
        <v>45161</v>
      </c>
      <c r="M1186" s="48">
        <v>45526</v>
      </c>
      <c r="N1186" s="47" t="s">
        <v>64</v>
      </c>
      <c r="O1186" s="55" t="s">
        <v>53</v>
      </c>
      <c r="P1186" s="62">
        <v>12780</v>
      </c>
      <c r="Q1186" s="62">
        <v>1065</v>
      </c>
      <c r="R1186" s="103">
        <v>12780</v>
      </c>
      <c r="S1186" s="62">
        <f t="shared" si="281"/>
        <v>1065</v>
      </c>
      <c r="T1186" s="62">
        <v>12300</v>
      </c>
      <c r="U1186" s="62">
        <f t="shared" si="286"/>
        <v>1025</v>
      </c>
      <c r="V1186" s="69">
        <v>11940</v>
      </c>
      <c r="W1186" s="71">
        <v>1120</v>
      </c>
      <c r="X1186" s="71"/>
      <c r="Y1186" s="71"/>
      <c r="Z1186" s="64">
        <f t="shared" si="282"/>
        <v>9.2682926829268292E-2</v>
      </c>
      <c r="AA1186" s="64">
        <f t="shared" si="287"/>
        <v>5.1643192488262914E-2</v>
      </c>
      <c r="AB1186" s="71">
        <v>1070</v>
      </c>
      <c r="AC1186" s="64">
        <f t="shared" si="283"/>
        <v>4.3902439024390241E-2</v>
      </c>
      <c r="AD1186" s="64">
        <f t="shared" si="277"/>
        <v>4.6948356807511738E-3</v>
      </c>
      <c r="AE1186" s="71">
        <v>1070</v>
      </c>
      <c r="AF1186" s="64">
        <f t="shared" si="284"/>
        <v>4.3902439024390241E-2</v>
      </c>
      <c r="AG1186" s="64">
        <f t="shared" si="278"/>
        <v>4.6948356807511738E-3</v>
      </c>
      <c r="AH1186" s="67"/>
      <c r="AI1186" s="47" t="s">
        <v>54</v>
      </c>
      <c r="AJ1186" s="47">
        <v>664.13</v>
      </c>
      <c r="AK1186" s="55" t="s">
        <v>65</v>
      </c>
      <c r="AL1186" s="55" t="s">
        <v>55</v>
      </c>
      <c r="AM1186" s="47" t="s">
        <v>2825</v>
      </c>
      <c r="AN1186" s="47"/>
      <c r="AO1186" s="211">
        <f t="shared" si="285"/>
        <v>-1</v>
      </c>
      <c r="AP1186" s="47" t="s">
        <v>57</v>
      </c>
      <c r="AQ1186" s="47" t="s">
        <v>1132</v>
      </c>
      <c r="AR1186" s="47"/>
    </row>
    <row r="1187" spans="1:44" hidden="1">
      <c r="A1187" s="47" t="s">
        <v>44</v>
      </c>
      <c r="B1187" s="47" t="str">
        <f t="shared" si="288"/>
        <v>August</v>
      </c>
      <c r="C1187" s="59">
        <v>45527</v>
      </c>
      <c r="D1187" s="47" t="s">
        <v>103</v>
      </c>
      <c r="E1187" s="47" t="s">
        <v>656</v>
      </c>
      <c r="F1187" s="47" t="s">
        <v>657</v>
      </c>
      <c r="G1187" s="91" t="s">
        <v>3069</v>
      </c>
      <c r="H1187" s="47" t="s">
        <v>3070</v>
      </c>
      <c r="I1187" s="47" t="s">
        <v>660</v>
      </c>
      <c r="J1187" s="47" t="s">
        <v>51</v>
      </c>
      <c r="K1187" s="48">
        <v>45162</v>
      </c>
      <c r="L1187" s="48">
        <v>45162</v>
      </c>
      <c r="M1187" s="48">
        <v>45527</v>
      </c>
      <c r="N1187" s="47" t="s">
        <v>52</v>
      </c>
      <c r="O1187" s="55" t="s">
        <v>53</v>
      </c>
      <c r="P1187" s="62">
        <v>11400</v>
      </c>
      <c r="Q1187" s="62">
        <v>950</v>
      </c>
      <c r="R1187" s="103">
        <v>11400</v>
      </c>
      <c r="S1187" s="62">
        <f t="shared" si="281"/>
        <v>950</v>
      </c>
      <c r="T1187" s="62">
        <v>11340</v>
      </c>
      <c r="U1187" s="62">
        <f t="shared" si="286"/>
        <v>945</v>
      </c>
      <c r="V1187" s="69">
        <v>11160</v>
      </c>
      <c r="W1187" s="71">
        <v>990</v>
      </c>
      <c r="X1187" s="71"/>
      <c r="Y1187" s="71"/>
      <c r="Z1187" s="64">
        <f t="shared" si="282"/>
        <v>4.7619047619047616E-2</v>
      </c>
      <c r="AA1187" s="64">
        <f t="shared" si="287"/>
        <v>4.2105263157894736E-2</v>
      </c>
      <c r="AB1187" s="71">
        <v>985</v>
      </c>
      <c r="AC1187" s="64">
        <f t="shared" si="283"/>
        <v>4.2328042328042326E-2</v>
      </c>
      <c r="AD1187" s="64">
        <f t="shared" si="277"/>
        <v>3.6842105263157891E-2</v>
      </c>
      <c r="AE1187" s="71">
        <v>985</v>
      </c>
      <c r="AF1187" s="64">
        <f t="shared" si="284"/>
        <v>4.2328042328042326E-2</v>
      </c>
      <c r="AG1187" s="64">
        <f t="shared" si="278"/>
        <v>3.6842105263157891E-2</v>
      </c>
      <c r="AH1187" s="67"/>
      <c r="AI1187" s="47" t="s">
        <v>54</v>
      </c>
      <c r="AJ1187" s="47">
        <v>612.47</v>
      </c>
      <c r="AK1187" s="55" t="s">
        <v>55</v>
      </c>
      <c r="AL1187" s="55" t="s">
        <v>55</v>
      </c>
      <c r="AM1187" s="47" t="s">
        <v>1433</v>
      </c>
      <c r="AN1187" s="47"/>
      <c r="AO1187" s="211">
        <f t="shared" si="285"/>
        <v>-1</v>
      </c>
      <c r="AP1187" s="47" t="s">
        <v>57</v>
      </c>
      <c r="AQ1187" s="47" t="s">
        <v>1132</v>
      </c>
      <c r="AR1187" s="47"/>
    </row>
    <row r="1188" spans="1:44">
      <c r="A1188" s="47" t="s">
        <v>44</v>
      </c>
      <c r="B1188" s="47" t="str">
        <f t="shared" si="288"/>
        <v>August</v>
      </c>
      <c r="C1188" s="59">
        <v>45530</v>
      </c>
      <c r="D1188" s="47" t="s">
        <v>103</v>
      </c>
      <c r="E1188" s="47" t="s">
        <v>656</v>
      </c>
      <c r="F1188" s="47" t="s">
        <v>657</v>
      </c>
      <c r="G1188" s="91" t="s">
        <v>3167</v>
      </c>
      <c r="H1188" s="47" t="s">
        <v>3168</v>
      </c>
      <c r="I1188" s="47" t="s">
        <v>660</v>
      </c>
      <c r="J1188" s="47" t="s">
        <v>51</v>
      </c>
      <c r="K1188" s="48">
        <v>44800</v>
      </c>
      <c r="L1188" s="48">
        <v>45165</v>
      </c>
      <c r="M1188" s="48">
        <v>45530</v>
      </c>
      <c r="N1188" s="47" t="s">
        <v>64</v>
      </c>
      <c r="O1188" s="55" t="s">
        <v>53</v>
      </c>
      <c r="P1188" s="62">
        <v>11400</v>
      </c>
      <c r="Q1188" s="62">
        <v>950</v>
      </c>
      <c r="R1188" s="103">
        <v>11400</v>
      </c>
      <c r="S1188" s="62">
        <f t="shared" si="281"/>
        <v>950</v>
      </c>
      <c r="T1188" s="62">
        <v>11460</v>
      </c>
      <c r="U1188" s="62">
        <f t="shared" si="286"/>
        <v>955</v>
      </c>
      <c r="V1188" s="69">
        <v>11100</v>
      </c>
      <c r="W1188" s="71">
        <v>1030</v>
      </c>
      <c r="X1188" s="71"/>
      <c r="Y1188" s="71"/>
      <c r="Z1188" s="64">
        <f t="shared" si="282"/>
        <v>7.8534031413612565E-2</v>
      </c>
      <c r="AA1188" s="64">
        <f t="shared" si="287"/>
        <v>8.4210526315789472E-2</v>
      </c>
      <c r="AB1188" s="71">
        <v>995</v>
      </c>
      <c r="AC1188" s="64">
        <f t="shared" si="283"/>
        <v>4.1884816753926704E-2</v>
      </c>
      <c r="AD1188" s="64">
        <f t="shared" si="277"/>
        <v>4.736842105263158E-2</v>
      </c>
      <c r="AE1188" s="71">
        <v>995</v>
      </c>
      <c r="AF1188" s="64">
        <f t="shared" si="284"/>
        <v>4.1884816753926704E-2</v>
      </c>
      <c r="AG1188" s="64">
        <f t="shared" si="278"/>
        <v>4.736842105263158E-2</v>
      </c>
      <c r="AH1188" s="67"/>
      <c r="AI1188" s="47" t="s">
        <v>54</v>
      </c>
      <c r="AJ1188" s="47">
        <v>612.47</v>
      </c>
      <c r="AK1188" s="55" t="s">
        <v>55</v>
      </c>
      <c r="AL1188" s="55" t="s">
        <v>55</v>
      </c>
      <c r="AM1188" s="47" t="s">
        <v>3169</v>
      </c>
      <c r="AN1188" s="47"/>
      <c r="AO1188" s="211">
        <f t="shared" si="285"/>
        <v>-1</v>
      </c>
      <c r="AP1188" s="47" t="s">
        <v>57</v>
      </c>
      <c r="AQ1188" s="47" t="s">
        <v>116</v>
      </c>
      <c r="AR1188" s="47"/>
    </row>
    <row r="1189" spans="1:44">
      <c r="A1189" s="47" t="s">
        <v>44</v>
      </c>
      <c r="B1189" s="47" t="str">
        <f t="shared" si="288"/>
        <v>August</v>
      </c>
      <c r="C1189" s="59">
        <v>45531</v>
      </c>
      <c r="D1189" s="47" t="s">
        <v>103</v>
      </c>
      <c r="E1189" s="47" t="s">
        <v>656</v>
      </c>
      <c r="F1189" s="47" t="s">
        <v>657</v>
      </c>
      <c r="G1189" s="91" t="s">
        <v>3328</v>
      </c>
      <c r="H1189" s="47" t="s">
        <v>3329</v>
      </c>
      <c r="I1189" s="47" t="s">
        <v>660</v>
      </c>
      <c r="J1189" s="47" t="s">
        <v>51</v>
      </c>
      <c r="K1189" s="48">
        <v>44071</v>
      </c>
      <c r="L1189" s="48">
        <v>45166</v>
      </c>
      <c r="M1189" s="48">
        <v>45531</v>
      </c>
      <c r="N1189" s="47" t="s">
        <v>64</v>
      </c>
      <c r="O1189" s="55" t="s">
        <v>53</v>
      </c>
      <c r="P1189" s="62">
        <v>12780</v>
      </c>
      <c r="Q1189" s="62">
        <v>1065</v>
      </c>
      <c r="R1189" s="103">
        <v>12780</v>
      </c>
      <c r="S1189" s="62">
        <f t="shared" si="281"/>
        <v>1065</v>
      </c>
      <c r="T1189" s="62">
        <v>11760</v>
      </c>
      <c r="U1189" s="62">
        <f t="shared" si="286"/>
        <v>980</v>
      </c>
      <c r="V1189" s="69">
        <v>11400</v>
      </c>
      <c r="W1189" s="71">
        <v>1110</v>
      </c>
      <c r="X1189" s="71"/>
      <c r="Y1189" s="71"/>
      <c r="Z1189" s="64">
        <f t="shared" si="282"/>
        <v>0.1326530612244898</v>
      </c>
      <c r="AA1189" s="64">
        <f t="shared" si="287"/>
        <v>4.2253521126760563E-2</v>
      </c>
      <c r="AB1189" s="71">
        <v>1025</v>
      </c>
      <c r="AC1189" s="64">
        <f t="shared" si="283"/>
        <v>4.5918367346938778E-2</v>
      </c>
      <c r="AD1189" s="64">
        <f t="shared" ref="AD1189:AD1252" si="289">(AB1189-S1189)/S1189</f>
        <v>-3.7558685446009391E-2</v>
      </c>
      <c r="AE1189" s="71">
        <v>1025</v>
      </c>
      <c r="AF1189" s="64">
        <f t="shared" si="284"/>
        <v>4.5918367346938778E-2</v>
      </c>
      <c r="AG1189" s="64">
        <f t="shared" ref="AG1189:AG1252" si="290">(AE1189-S1189)/S1189</f>
        <v>-3.7558685446009391E-2</v>
      </c>
      <c r="AH1189" s="67"/>
      <c r="AI1189" s="47" t="s">
        <v>54</v>
      </c>
      <c r="AJ1189" s="47">
        <v>652.29</v>
      </c>
      <c r="AK1189" s="55" t="s">
        <v>65</v>
      </c>
      <c r="AL1189" s="55" t="s">
        <v>55</v>
      </c>
      <c r="AM1189" s="47" t="s">
        <v>3330</v>
      </c>
      <c r="AN1189" s="47">
        <v>1025</v>
      </c>
      <c r="AO1189" s="211">
        <f t="shared" si="285"/>
        <v>4.5918367346938778E-2</v>
      </c>
      <c r="AP1189" s="47" t="s">
        <v>57</v>
      </c>
      <c r="AQ1189" s="52" t="s">
        <v>131</v>
      </c>
      <c r="AR1189" s="47"/>
    </row>
    <row r="1190" spans="1:44">
      <c r="A1190" s="47" t="s">
        <v>44</v>
      </c>
      <c r="B1190" s="47" t="str">
        <f t="shared" si="288"/>
        <v>July</v>
      </c>
      <c r="C1190" s="59">
        <v>45477</v>
      </c>
      <c r="D1190" s="47" t="s">
        <v>103</v>
      </c>
      <c r="E1190" s="47" t="s">
        <v>656</v>
      </c>
      <c r="F1190" s="47" t="s">
        <v>657</v>
      </c>
      <c r="G1190" s="94" t="s">
        <v>3420</v>
      </c>
      <c r="H1190" s="47" t="s">
        <v>3421</v>
      </c>
      <c r="I1190" s="47" t="s">
        <v>660</v>
      </c>
      <c r="J1190" s="47" t="s">
        <v>51</v>
      </c>
      <c r="K1190" s="48">
        <v>44748</v>
      </c>
      <c r="L1190" s="48">
        <v>45112</v>
      </c>
      <c r="M1190" s="48">
        <v>45477</v>
      </c>
      <c r="N1190" s="47" t="s">
        <v>64</v>
      </c>
      <c r="O1190" s="55" t="s">
        <v>53</v>
      </c>
      <c r="P1190" s="62">
        <v>13020</v>
      </c>
      <c r="Q1190" s="62">
        <v>1085</v>
      </c>
      <c r="R1190" s="103">
        <v>13020</v>
      </c>
      <c r="S1190" s="62">
        <f t="shared" si="281"/>
        <v>1085</v>
      </c>
      <c r="T1190" s="62">
        <v>12240</v>
      </c>
      <c r="U1190" s="62">
        <f t="shared" si="286"/>
        <v>1020</v>
      </c>
      <c r="V1190" s="69">
        <v>11880</v>
      </c>
      <c r="W1190" s="71">
        <v>1115</v>
      </c>
      <c r="X1190" s="71"/>
      <c r="Y1190" s="71"/>
      <c r="Z1190" s="64">
        <f t="shared" si="282"/>
        <v>9.3137254901960786E-2</v>
      </c>
      <c r="AA1190" s="64">
        <f t="shared" si="287"/>
        <v>2.7649769585253458E-2</v>
      </c>
      <c r="AB1190" s="71">
        <v>1065</v>
      </c>
      <c r="AC1190" s="64">
        <f t="shared" si="283"/>
        <v>4.4117647058823532E-2</v>
      </c>
      <c r="AD1190" s="64">
        <f t="shared" si="289"/>
        <v>-1.8433179723502304E-2</v>
      </c>
      <c r="AE1190" s="71">
        <v>1065</v>
      </c>
      <c r="AF1190" s="64">
        <f t="shared" si="284"/>
        <v>4.4117647058823532E-2</v>
      </c>
      <c r="AG1190" s="64">
        <f t="shared" si="290"/>
        <v>-1.8433179723502304E-2</v>
      </c>
      <c r="AH1190" s="67"/>
      <c r="AI1190" s="47" t="s">
        <v>54</v>
      </c>
      <c r="AJ1190" s="47">
        <v>723.33</v>
      </c>
      <c r="AK1190" s="101" t="s">
        <v>65</v>
      </c>
      <c r="AL1190" s="101" t="s">
        <v>55</v>
      </c>
      <c r="AM1190" s="47" t="s">
        <v>3422</v>
      </c>
      <c r="AN1190" s="47"/>
      <c r="AO1190" s="211">
        <f t="shared" si="285"/>
        <v>-1</v>
      </c>
      <c r="AP1190" s="47" t="s">
        <v>57</v>
      </c>
      <c r="AQ1190" s="47" t="s">
        <v>891</v>
      </c>
      <c r="AR1190" s="47"/>
    </row>
    <row r="1191" spans="1:44" hidden="1">
      <c r="A1191" s="47" t="s">
        <v>44</v>
      </c>
      <c r="B1191" s="47" t="str">
        <f t="shared" si="288"/>
        <v>August</v>
      </c>
      <c r="C1191" s="59">
        <v>45534</v>
      </c>
      <c r="D1191" s="47" t="s">
        <v>103</v>
      </c>
      <c r="E1191" s="47" t="s">
        <v>656</v>
      </c>
      <c r="F1191" s="47" t="s">
        <v>657</v>
      </c>
      <c r="G1191" s="91" t="s">
        <v>3592</v>
      </c>
      <c r="H1191" s="47" t="s">
        <v>3593</v>
      </c>
      <c r="I1191" s="47" t="s">
        <v>660</v>
      </c>
      <c r="J1191" s="47" t="s">
        <v>51</v>
      </c>
      <c r="K1191" s="48">
        <v>45169</v>
      </c>
      <c r="L1191" s="48">
        <v>45169</v>
      </c>
      <c r="M1191" s="48">
        <v>45534</v>
      </c>
      <c r="N1191" s="47" t="s">
        <v>52</v>
      </c>
      <c r="O1191" s="55" t="s">
        <v>53</v>
      </c>
      <c r="P1191" s="62">
        <v>12780</v>
      </c>
      <c r="Q1191" s="62">
        <v>1065</v>
      </c>
      <c r="R1191" s="103">
        <v>12780</v>
      </c>
      <c r="S1191" s="62">
        <f t="shared" si="281"/>
        <v>1065</v>
      </c>
      <c r="T1191" s="62">
        <v>12840</v>
      </c>
      <c r="U1191" s="62">
        <f t="shared" si="286"/>
        <v>1070</v>
      </c>
      <c r="V1191" s="69">
        <v>11640</v>
      </c>
      <c r="W1191" s="71">
        <v>1120</v>
      </c>
      <c r="X1191" s="71"/>
      <c r="Y1191" s="71"/>
      <c r="Z1191" s="64">
        <f t="shared" si="282"/>
        <v>4.6728971962616821E-2</v>
      </c>
      <c r="AA1191" s="64">
        <f t="shared" si="287"/>
        <v>5.1643192488262914E-2</v>
      </c>
      <c r="AB1191" s="71">
        <v>1120</v>
      </c>
      <c r="AC1191" s="64">
        <f t="shared" si="283"/>
        <v>4.6728971962616821E-2</v>
      </c>
      <c r="AD1191" s="64">
        <f t="shared" si="289"/>
        <v>5.1643192488262914E-2</v>
      </c>
      <c r="AE1191" s="71">
        <v>1120</v>
      </c>
      <c r="AF1191" s="64">
        <f t="shared" si="284"/>
        <v>4.6728971962616821E-2</v>
      </c>
      <c r="AG1191" s="64">
        <f t="shared" si="290"/>
        <v>5.1643192488262914E-2</v>
      </c>
      <c r="AH1191" s="67"/>
      <c r="AI1191" s="47" t="s">
        <v>54</v>
      </c>
      <c r="AJ1191" s="47">
        <v>649.05999999999995</v>
      </c>
      <c r="AK1191" s="55" t="s">
        <v>65</v>
      </c>
      <c r="AL1191" s="55" t="s">
        <v>55</v>
      </c>
      <c r="AM1191" s="47" t="s">
        <v>2825</v>
      </c>
      <c r="AN1191" s="47"/>
      <c r="AO1191" s="211">
        <f t="shared" si="285"/>
        <v>-1</v>
      </c>
      <c r="AP1191" s="47" t="s">
        <v>57</v>
      </c>
      <c r="AQ1191" s="47" t="s">
        <v>131</v>
      </c>
      <c r="AR1191" s="47"/>
    </row>
    <row r="1192" spans="1:44">
      <c r="A1192" s="47" t="s">
        <v>44</v>
      </c>
      <c r="B1192" s="47" t="str">
        <f t="shared" si="288"/>
        <v>July</v>
      </c>
      <c r="C1192" s="59">
        <v>45501</v>
      </c>
      <c r="D1192" s="47" t="s">
        <v>3248</v>
      </c>
      <c r="E1192" s="47" t="s">
        <v>3248</v>
      </c>
      <c r="F1192" s="47" t="s">
        <v>127</v>
      </c>
      <c r="G1192" s="47" t="s">
        <v>3249</v>
      </c>
      <c r="H1192" s="47" t="s">
        <v>3250</v>
      </c>
      <c r="I1192" s="47" t="s">
        <v>3251</v>
      </c>
      <c r="J1192" s="47" t="s">
        <v>51</v>
      </c>
      <c r="K1192" s="48">
        <v>44041</v>
      </c>
      <c r="L1192" s="48">
        <v>45136</v>
      </c>
      <c r="M1192" s="48">
        <v>45501</v>
      </c>
      <c r="N1192" s="47" t="s">
        <v>64</v>
      </c>
      <c r="O1192" s="55" t="s">
        <v>53</v>
      </c>
      <c r="P1192" s="62">
        <v>18840</v>
      </c>
      <c r="Q1192" s="62">
        <v>1570</v>
      </c>
      <c r="R1192" s="103">
        <v>18840</v>
      </c>
      <c r="S1192" s="62">
        <f t="shared" si="281"/>
        <v>1570</v>
      </c>
      <c r="T1192" s="62">
        <v>18840</v>
      </c>
      <c r="U1192" s="62">
        <f t="shared" si="286"/>
        <v>1570</v>
      </c>
      <c r="V1192" s="69">
        <v>17527.560000000001</v>
      </c>
      <c r="W1192" s="71" t="s">
        <v>123</v>
      </c>
      <c r="X1192" s="71"/>
      <c r="Y1192" s="71"/>
      <c r="Z1192" s="64" t="e">
        <f t="shared" si="282"/>
        <v>#VALUE!</v>
      </c>
      <c r="AA1192" s="64" t="e">
        <f t="shared" si="287"/>
        <v>#VALUE!</v>
      </c>
      <c r="AB1192" s="71"/>
      <c r="AC1192" s="64">
        <f t="shared" si="283"/>
        <v>-1</v>
      </c>
      <c r="AD1192" s="64">
        <f t="shared" si="289"/>
        <v>-1</v>
      </c>
      <c r="AE1192" s="71"/>
      <c r="AF1192" s="64">
        <f t="shared" si="284"/>
        <v>-1</v>
      </c>
      <c r="AG1192" s="64">
        <f t="shared" si="290"/>
        <v>-1</v>
      </c>
      <c r="AH1192" s="67"/>
      <c r="AI1192" s="47" t="s">
        <v>54</v>
      </c>
      <c r="AJ1192" s="47">
        <v>1786.82</v>
      </c>
      <c r="AK1192" s="101" t="s">
        <v>3252</v>
      </c>
      <c r="AL1192" s="101" t="s">
        <v>55</v>
      </c>
      <c r="AM1192" s="47" t="s">
        <v>131</v>
      </c>
      <c r="AN1192" s="47">
        <v>1630</v>
      </c>
      <c r="AO1192" s="211">
        <f t="shared" si="285"/>
        <v>3.8216560509554139E-2</v>
      </c>
      <c r="AP1192" s="47" t="s">
        <v>90</v>
      </c>
      <c r="AQ1192" s="91" t="s">
        <v>116</v>
      </c>
      <c r="AR1192" s="47"/>
    </row>
    <row r="1193" spans="1:44">
      <c r="A1193" s="47" t="s">
        <v>44</v>
      </c>
      <c r="B1193" s="47" t="str">
        <f t="shared" si="288"/>
        <v>July</v>
      </c>
      <c r="C1193" s="59">
        <v>45486</v>
      </c>
      <c r="D1193" s="47" t="s">
        <v>3248</v>
      </c>
      <c r="E1193" s="47" t="s">
        <v>3248</v>
      </c>
      <c r="F1193" s="47" t="s">
        <v>127</v>
      </c>
      <c r="G1193" s="47" t="s">
        <v>3253</v>
      </c>
      <c r="H1193" s="47" t="s">
        <v>3254</v>
      </c>
      <c r="I1193" s="47" t="s">
        <v>3255</v>
      </c>
      <c r="J1193" s="47" t="s">
        <v>51</v>
      </c>
      <c r="K1193" s="48">
        <v>44391</v>
      </c>
      <c r="L1193" s="48">
        <v>45121</v>
      </c>
      <c r="M1193" s="48">
        <v>45486</v>
      </c>
      <c r="N1193" s="47" t="s">
        <v>64</v>
      </c>
      <c r="O1193" s="55" t="s">
        <v>53</v>
      </c>
      <c r="P1193" s="62">
        <v>15900</v>
      </c>
      <c r="Q1193" s="62">
        <v>1325</v>
      </c>
      <c r="R1193" s="103">
        <v>15900</v>
      </c>
      <c r="S1193" s="62">
        <f t="shared" si="281"/>
        <v>1325</v>
      </c>
      <c r="T1193" s="62">
        <v>15900</v>
      </c>
      <c r="U1193" s="62">
        <f t="shared" si="286"/>
        <v>1325</v>
      </c>
      <c r="V1193" s="69">
        <v>15540</v>
      </c>
      <c r="W1193" s="71" t="s">
        <v>123</v>
      </c>
      <c r="X1193" s="71"/>
      <c r="Y1193" s="71"/>
      <c r="Z1193" s="64" t="e">
        <f t="shared" si="282"/>
        <v>#VALUE!</v>
      </c>
      <c r="AA1193" s="64" t="e">
        <f t="shared" si="287"/>
        <v>#VALUE!</v>
      </c>
      <c r="AB1193" s="71">
        <v>1400</v>
      </c>
      <c r="AC1193" s="64">
        <f t="shared" si="283"/>
        <v>5.6603773584905662E-2</v>
      </c>
      <c r="AD1193" s="64">
        <f t="shared" si="289"/>
        <v>5.6603773584905662E-2</v>
      </c>
      <c r="AE1193" s="71">
        <v>1400</v>
      </c>
      <c r="AF1193" s="64">
        <f t="shared" si="284"/>
        <v>5.6603773584905662E-2</v>
      </c>
      <c r="AG1193" s="64">
        <f t="shared" si="290"/>
        <v>5.6603773584905662E-2</v>
      </c>
      <c r="AH1193" s="67"/>
      <c r="AI1193" s="47" t="s">
        <v>395</v>
      </c>
      <c r="AJ1193" s="47">
        <v>1431.6</v>
      </c>
      <c r="AK1193" s="101" t="s">
        <v>1093</v>
      </c>
      <c r="AL1193" s="101" t="s">
        <v>55</v>
      </c>
      <c r="AM1193" s="47" t="s">
        <v>131</v>
      </c>
      <c r="AN1193" s="47"/>
      <c r="AO1193" s="211">
        <f t="shared" si="285"/>
        <v>-1</v>
      </c>
      <c r="AP1193" s="47" t="s">
        <v>90</v>
      </c>
      <c r="AQ1193" s="91" t="s">
        <v>116</v>
      </c>
      <c r="AR1193" s="47"/>
    </row>
    <row r="1194" spans="1:44">
      <c r="A1194" s="47" t="s">
        <v>44</v>
      </c>
      <c r="B1194" s="47" t="str">
        <f t="shared" si="288"/>
        <v>July</v>
      </c>
      <c r="C1194" s="59">
        <v>45491</v>
      </c>
      <c r="D1194" s="47" t="s">
        <v>3248</v>
      </c>
      <c r="E1194" s="47" t="s">
        <v>3248</v>
      </c>
      <c r="F1194" s="47" t="s">
        <v>127</v>
      </c>
      <c r="G1194" s="47" t="s">
        <v>3256</v>
      </c>
      <c r="H1194" s="47" t="s">
        <v>3257</v>
      </c>
      <c r="I1194" s="47" t="s">
        <v>3251</v>
      </c>
      <c r="J1194" s="47" t="s">
        <v>51</v>
      </c>
      <c r="K1194" s="48">
        <v>43453</v>
      </c>
      <c r="L1194" s="48">
        <v>45126</v>
      </c>
      <c r="M1194" s="48">
        <v>45491</v>
      </c>
      <c r="N1194" s="47" t="s">
        <v>64</v>
      </c>
      <c r="O1194" s="55" t="s">
        <v>53</v>
      </c>
      <c r="P1194" s="62">
        <v>17415</v>
      </c>
      <c r="Q1194" s="62">
        <v>1451.25</v>
      </c>
      <c r="R1194" s="103">
        <v>17415</v>
      </c>
      <c r="S1194" s="62">
        <f t="shared" si="281"/>
        <v>1451.25</v>
      </c>
      <c r="T1194" s="62">
        <v>17415</v>
      </c>
      <c r="U1194" s="62">
        <f t="shared" si="286"/>
        <v>1451.25</v>
      </c>
      <c r="V1194" s="69">
        <v>16200</v>
      </c>
      <c r="W1194" s="71" t="s">
        <v>123</v>
      </c>
      <c r="X1194" s="71"/>
      <c r="Y1194" s="71"/>
      <c r="Z1194" s="64" t="e">
        <f t="shared" si="282"/>
        <v>#VALUE!</v>
      </c>
      <c r="AA1194" s="64" t="e">
        <f t="shared" si="287"/>
        <v>#VALUE!</v>
      </c>
      <c r="AB1194" s="71">
        <v>1525</v>
      </c>
      <c r="AC1194" s="64">
        <f t="shared" si="283"/>
        <v>5.0818260120585705E-2</v>
      </c>
      <c r="AD1194" s="64">
        <f t="shared" si="289"/>
        <v>5.0818260120585705E-2</v>
      </c>
      <c r="AE1194" s="71">
        <v>1525</v>
      </c>
      <c r="AF1194" s="64">
        <f t="shared" si="284"/>
        <v>5.0818260120585705E-2</v>
      </c>
      <c r="AG1194" s="64">
        <f t="shared" si="290"/>
        <v>5.0818260120585705E-2</v>
      </c>
      <c r="AH1194" s="67"/>
      <c r="AI1194" s="47" t="s">
        <v>54</v>
      </c>
      <c r="AJ1194" s="47">
        <v>1560.76</v>
      </c>
      <c r="AK1194" s="101" t="s">
        <v>3252</v>
      </c>
      <c r="AL1194" s="101" t="s">
        <v>55</v>
      </c>
      <c r="AM1194" s="47" t="s">
        <v>131</v>
      </c>
      <c r="AN1194" s="47">
        <v>1510</v>
      </c>
      <c r="AO1194" s="211">
        <f t="shared" si="285"/>
        <v>4.0482342807924204E-2</v>
      </c>
      <c r="AP1194" s="47" t="s">
        <v>90</v>
      </c>
      <c r="AQ1194" s="91" t="s">
        <v>116</v>
      </c>
      <c r="AR1194" s="47"/>
    </row>
    <row r="1195" spans="1:44">
      <c r="A1195" s="47" t="s">
        <v>44</v>
      </c>
      <c r="B1195" s="47" t="str">
        <f t="shared" si="288"/>
        <v>August</v>
      </c>
      <c r="C1195" s="59">
        <v>45528</v>
      </c>
      <c r="D1195" s="47" t="s">
        <v>2086</v>
      </c>
      <c r="E1195" s="47" t="s">
        <v>2964</v>
      </c>
      <c r="F1195" s="47" t="s">
        <v>127</v>
      </c>
      <c r="G1195" s="47" t="s">
        <v>2965</v>
      </c>
      <c r="H1195" s="47" t="s">
        <v>2966</v>
      </c>
      <c r="I1195" s="47" t="s">
        <v>2967</v>
      </c>
      <c r="J1195" s="47" t="s">
        <v>51</v>
      </c>
      <c r="K1195" s="48">
        <v>42881</v>
      </c>
      <c r="L1195" s="48">
        <v>45163</v>
      </c>
      <c r="M1195" s="48">
        <v>45528</v>
      </c>
      <c r="N1195" s="47" t="s">
        <v>64</v>
      </c>
      <c r="O1195" s="55" t="s">
        <v>53</v>
      </c>
      <c r="P1195" s="62">
        <v>19620</v>
      </c>
      <c r="Q1195" s="62">
        <v>1635</v>
      </c>
      <c r="R1195" s="103">
        <v>19620</v>
      </c>
      <c r="S1195" s="62">
        <f t="shared" si="281"/>
        <v>1635</v>
      </c>
      <c r="T1195" s="62">
        <v>19620</v>
      </c>
      <c r="U1195" s="62">
        <f t="shared" ref="U1195:U1199" si="291">T1195/12</f>
        <v>1635</v>
      </c>
      <c r="V1195" s="69">
        <v>18120</v>
      </c>
      <c r="W1195" s="71" t="s">
        <v>123</v>
      </c>
      <c r="X1195" s="71"/>
      <c r="Y1195" s="71"/>
      <c r="Z1195" s="64" t="e">
        <f t="shared" si="282"/>
        <v>#VALUE!</v>
      </c>
      <c r="AA1195" s="64" t="e">
        <f t="shared" si="287"/>
        <v>#VALUE!</v>
      </c>
      <c r="AB1195" s="71">
        <v>1750</v>
      </c>
      <c r="AC1195" s="64">
        <f t="shared" si="283"/>
        <v>7.0336391437308868E-2</v>
      </c>
      <c r="AD1195" s="64">
        <f t="shared" si="289"/>
        <v>7.0336391437308868E-2</v>
      </c>
      <c r="AE1195" s="71">
        <v>1725</v>
      </c>
      <c r="AF1195" s="64">
        <f t="shared" si="284"/>
        <v>5.5045871559633031E-2</v>
      </c>
      <c r="AG1195" s="64">
        <f t="shared" si="290"/>
        <v>5.5045871559633031E-2</v>
      </c>
      <c r="AH1195" s="67"/>
      <c r="AI1195" s="47" t="s">
        <v>54</v>
      </c>
      <c r="AJ1195" s="47">
        <v>473.62</v>
      </c>
      <c r="AK1195" s="47" t="s">
        <v>55</v>
      </c>
      <c r="AL1195" s="47" t="s">
        <v>55</v>
      </c>
      <c r="AM1195" s="47" t="s">
        <v>131</v>
      </c>
      <c r="AN1195" s="47">
        <v>1725</v>
      </c>
      <c r="AO1195" s="211">
        <f t="shared" si="285"/>
        <v>5.5045871559633031E-2</v>
      </c>
      <c r="AP1195" s="47" t="s">
        <v>90</v>
      </c>
      <c r="AQ1195" s="91" t="s">
        <v>116</v>
      </c>
      <c r="AR1195" s="47"/>
    </row>
    <row r="1196" spans="1:44">
      <c r="A1196" s="47" t="s">
        <v>44</v>
      </c>
      <c r="B1196" s="47" t="str">
        <f t="shared" si="288"/>
        <v>July</v>
      </c>
      <c r="C1196" s="59">
        <v>45487</v>
      </c>
      <c r="D1196" s="47" t="s">
        <v>83</v>
      </c>
      <c r="E1196" s="47" t="s">
        <v>3258</v>
      </c>
      <c r="F1196" s="47" t="s">
        <v>127</v>
      </c>
      <c r="G1196" s="47" t="s">
        <v>3259</v>
      </c>
      <c r="H1196" s="47" t="s">
        <v>3260</v>
      </c>
      <c r="I1196" s="47" t="s">
        <v>3261</v>
      </c>
      <c r="J1196" s="47" t="s">
        <v>51</v>
      </c>
      <c r="K1196" s="48">
        <v>44392</v>
      </c>
      <c r="L1196" s="48">
        <v>44392</v>
      </c>
      <c r="M1196" s="48">
        <v>45487</v>
      </c>
      <c r="N1196" s="47" t="s">
        <v>64</v>
      </c>
      <c r="O1196" s="55" t="s">
        <v>53</v>
      </c>
      <c r="P1196" s="62">
        <v>26738</v>
      </c>
      <c r="Q1196" s="62">
        <v>2228.1666666666665</v>
      </c>
      <c r="R1196" s="103">
        <v>26737.8</v>
      </c>
      <c r="S1196" s="62">
        <f t="shared" si="281"/>
        <v>2228.15</v>
      </c>
      <c r="T1196" s="62">
        <v>26737.8</v>
      </c>
      <c r="U1196" s="62">
        <f t="shared" si="291"/>
        <v>2228.15</v>
      </c>
      <c r="V1196" s="69">
        <v>25833.599999999999</v>
      </c>
      <c r="W1196" s="71" t="s">
        <v>123</v>
      </c>
      <c r="X1196" s="71"/>
      <c r="Y1196" s="71"/>
      <c r="Z1196" s="64" t="e">
        <f t="shared" si="282"/>
        <v>#VALUE!</v>
      </c>
      <c r="AA1196" s="64" t="e">
        <f t="shared" si="287"/>
        <v>#VALUE!</v>
      </c>
      <c r="AB1196" s="71">
        <v>2400</v>
      </c>
      <c r="AC1196" s="64">
        <f t="shared" si="283"/>
        <v>7.712676435608011E-2</v>
      </c>
      <c r="AD1196" s="64">
        <f t="shared" si="289"/>
        <v>7.712676435608011E-2</v>
      </c>
      <c r="AE1196" s="71">
        <v>2385</v>
      </c>
      <c r="AF1196" s="64">
        <f t="shared" si="284"/>
        <v>7.039472207885461E-2</v>
      </c>
      <c r="AG1196" s="64">
        <f t="shared" si="290"/>
        <v>7.039472207885461E-2</v>
      </c>
      <c r="AH1196" s="67"/>
      <c r="AI1196" s="47" t="s">
        <v>54</v>
      </c>
      <c r="AJ1196" s="47">
        <v>667.37</v>
      </c>
      <c r="AK1196" s="101" t="s">
        <v>140</v>
      </c>
      <c r="AL1196" s="101" t="s">
        <v>55</v>
      </c>
      <c r="AM1196" s="47" t="s">
        <v>3262</v>
      </c>
      <c r="AN1196" s="47"/>
      <c r="AO1196" s="211">
        <f t="shared" si="285"/>
        <v>-1</v>
      </c>
      <c r="AP1196" s="47" t="s">
        <v>90</v>
      </c>
      <c r="AQ1196" s="91" t="s">
        <v>116</v>
      </c>
      <c r="AR1196" s="47"/>
    </row>
    <row r="1197" spans="1:44" hidden="1">
      <c r="A1197" s="47" t="s">
        <v>44</v>
      </c>
      <c r="B1197" s="47" t="str">
        <f t="shared" si="288"/>
        <v>July</v>
      </c>
      <c r="C1197" s="59">
        <v>45482</v>
      </c>
      <c r="D1197" s="47" t="s">
        <v>83</v>
      </c>
      <c r="E1197" s="47" t="s">
        <v>3258</v>
      </c>
      <c r="F1197" s="47" t="s">
        <v>127</v>
      </c>
      <c r="G1197" s="47" t="s">
        <v>3263</v>
      </c>
      <c r="H1197" s="47" t="s">
        <v>3264</v>
      </c>
      <c r="I1197" s="47" t="s">
        <v>3265</v>
      </c>
      <c r="J1197" s="47" t="s">
        <v>51</v>
      </c>
      <c r="K1197" s="48">
        <v>45117</v>
      </c>
      <c r="L1197" s="48">
        <v>45117</v>
      </c>
      <c r="M1197" s="48">
        <v>45482</v>
      </c>
      <c r="N1197" s="47" t="s">
        <v>52</v>
      </c>
      <c r="O1197" s="55" t="s">
        <v>53</v>
      </c>
      <c r="P1197" s="62">
        <v>30000</v>
      </c>
      <c r="Q1197" s="62">
        <v>2500</v>
      </c>
      <c r="R1197" s="103">
        <v>30000</v>
      </c>
      <c r="S1197" s="62">
        <f t="shared" si="281"/>
        <v>2500</v>
      </c>
      <c r="T1197" s="62">
        <v>30000</v>
      </c>
      <c r="U1197" s="62">
        <f t="shared" si="291"/>
        <v>2500</v>
      </c>
      <c r="V1197" s="69">
        <v>27300</v>
      </c>
      <c r="W1197" s="71" t="s">
        <v>123</v>
      </c>
      <c r="X1197" s="71"/>
      <c r="Y1197" s="71"/>
      <c r="Z1197" s="64" t="e">
        <f t="shared" si="282"/>
        <v>#VALUE!</v>
      </c>
      <c r="AA1197" s="64" t="e">
        <f t="shared" si="287"/>
        <v>#VALUE!</v>
      </c>
      <c r="AB1197" s="71">
        <v>2600</v>
      </c>
      <c r="AC1197" s="64">
        <f t="shared" si="283"/>
        <v>0.04</v>
      </c>
      <c r="AD1197" s="64">
        <f t="shared" si="289"/>
        <v>0.04</v>
      </c>
      <c r="AE1197" s="71">
        <v>2600</v>
      </c>
      <c r="AF1197" s="64">
        <f t="shared" si="284"/>
        <v>0.04</v>
      </c>
      <c r="AG1197" s="64">
        <f t="shared" si="290"/>
        <v>0.04</v>
      </c>
      <c r="AH1197" s="67"/>
      <c r="AI1197" s="47" t="s">
        <v>54</v>
      </c>
      <c r="AJ1197" s="47">
        <v>688.89</v>
      </c>
      <c r="AK1197" s="101" t="s">
        <v>140</v>
      </c>
      <c r="AL1197" s="101" t="s">
        <v>55</v>
      </c>
      <c r="AM1197" s="47" t="s">
        <v>131</v>
      </c>
      <c r="AN1197" s="47"/>
      <c r="AO1197" s="211">
        <f t="shared" si="285"/>
        <v>-1</v>
      </c>
      <c r="AP1197" s="47" t="s">
        <v>90</v>
      </c>
      <c r="AQ1197" s="91" t="s">
        <v>116</v>
      </c>
      <c r="AR1197" s="47"/>
    </row>
    <row r="1198" spans="1:44">
      <c r="A1198" s="47" t="s">
        <v>44</v>
      </c>
      <c r="B1198" s="47" t="str">
        <f t="shared" si="288"/>
        <v>July</v>
      </c>
      <c r="C1198" s="59">
        <v>45497</v>
      </c>
      <c r="D1198" s="47" t="s">
        <v>83</v>
      </c>
      <c r="E1198" s="47" t="s">
        <v>3258</v>
      </c>
      <c r="F1198" s="47" t="s">
        <v>127</v>
      </c>
      <c r="G1198" s="47" t="s">
        <v>3266</v>
      </c>
      <c r="H1198" s="47" t="s">
        <v>3267</v>
      </c>
      <c r="I1198" s="47" t="s">
        <v>3268</v>
      </c>
      <c r="J1198" s="47" t="s">
        <v>51</v>
      </c>
      <c r="K1198" s="48">
        <v>44767</v>
      </c>
      <c r="L1198" s="48">
        <v>45132</v>
      </c>
      <c r="M1198" s="48">
        <v>45497</v>
      </c>
      <c r="N1198" s="47" t="s">
        <v>64</v>
      </c>
      <c r="O1198" s="55" t="s">
        <v>53</v>
      </c>
      <c r="P1198" s="62">
        <v>30780</v>
      </c>
      <c r="Q1198" s="62">
        <v>2565</v>
      </c>
      <c r="R1198" s="103">
        <v>30780</v>
      </c>
      <c r="S1198" s="62">
        <f t="shared" si="281"/>
        <v>2565</v>
      </c>
      <c r="T1198" s="62">
        <v>30780</v>
      </c>
      <c r="U1198" s="62">
        <f t="shared" si="291"/>
        <v>2565</v>
      </c>
      <c r="V1198" s="69">
        <v>28200</v>
      </c>
      <c r="W1198" s="71" t="s">
        <v>123</v>
      </c>
      <c r="X1198" s="71"/>
      <c r="Y1198" s="71"/>
      <c r="Z1198" s="64" t="e">
        <f t="shared" si="282"/>
        <v>#VALUE!</v>
      </c>
      <c r="AA1198" s="64" t="e">
        <f t="shared" si="287"/>
        <v>#VALUE!</v>
      </c>
      <c r="AB1198" s="71">
        <v>2700</v>
      </c>
      <c r="AC1198" s="64">
        <f t="shared" si="283"/>
        <v>5.2631578947368418E-2</v>
      </c>
      <c r="AD1198" s="64">
        <f t="shared" si="289"/>
        <v>5.2631578947368418E-2</v>
      </c>
      <c r="AE1198" s="71">
        <v>2685</v>
      </c>
      <c r="AF1198" s="64">
        <f t="shared" si="284"/>
        <v>4.6783625730994149E-2</v>
      </c>
      <c r="AG1198" s="64">
        <f t="shared" si="290"/>
        <v>4.6783625730994149E-2</v>
      </c>
      <c r="AH1198" s="67"/>
      <c r="AI1198" s="47" t="s">
        <v>54</v>
      </c>
      <c r="AJ1198" s="47">
        <v>731.95</v>
      </c>
      <c r="AK1198" s="101" t="s">
        <v>140</v>
      </c>
      <c r="AL1198" s="101" t="s">
        <v>55</v>
      </c>
      <c r="AM1198" s="47" t="s">
        <v>131</v>
      </c>
      <c r="AN1198" s="47"/>
      <c r="AO1198" s="211">
        <f t="shared" si="285"/>
        <v>-1</v>
      </c>
      <c r="AP1198" s="47" t="s">
        <v>90</v>
      </c>
      <c r="AQ1198" s="91" t="s">
        <v>116</v>
      </c>
      <c r="AR1198" s="47"/>
    </row>
    <row r="1199" spans="1:44" hidden="1">
      <c r="A1199" s="47" t="s">
        <v>44</v>
      </c>
      <c r="B1199" s="47" t="str">
        <f t="shared" si="288"/>
        <v>August</v>
      </c>
      <c r="C1199" s="59">
        <v>45534</v>
      </c>
      <c r="D1199" s="47" t="s">
        <v>83</v>
      </c>
      <c r="E1199" s="47" t="s">
        <v>3258</v>
      </c>
      <c r="F1199" s="47" t="s">
        <v>127</v>
      </c>
      <c r="G1199" s="47" t="s">
        <v>3594</v>
      </c>
      <c r="H1199" s="47" t="s">
        <v>3595</v>
      </c>
      <c r="I1199" s="47" t="s">
        <v>3596</v>
      </c>
      <c r="J1199" s="47" t="s">
        <v>51</v>
      </c>
      <c r="K1199" s="48">
        <v>45169</v>
      </c>
      <c r="L1199" s="48">
        <v>45169</v>
      </c>
      <c r="M1199" s="48">
        <v>45534</v>
      </c>
      <c r="N1199" s="47" t="s">
        <v>52</v>
      </c>
      <c r="O1199" s="55" t="s">
        <v>53</v>
      </c>
      <c r="P1199" s="62">
        <v>30900</v>
      </c>
      <c r="Q1199" s="62">
        <v>2575</v>
      </c>
      <c r="R1199" s="103">
        <v>30900</v>
      </c>
      <c r="S1199" s="62">
        <f t="shared" si="281"/>
        <v>2575</v>
      </c>
      <c r="T1199" s="62">
        <v>30900</v>
      </c>
      <c r="U1199" s="62">
        <f t="shared" si="291"/>
        <v>2575</v>
      </c>
      <c r="V1199" s="69">
        <v>30000</v>
      </c>
      <c r="W1199" s="71" t="s">
        <v>123</v>
      </c>
      <c r="X1199" s="71"/>
      <c r="Y1199" s="71"/>
      <c r="Z1199" s="64" t="e">
        <f t="shared" si="282"/>
        <v>#VALUE!</v>
      </c>
      <c r="AA1199" s="64" t="e">
        <f t="shared" si="287"/>
        <v>#VALUE!</v>
      </c>
      <c r="AB1199" s="71">
        <v>2700</v>
      </c>
      <c r="AC1199" s="64">
        <f t="shared" si="283"/>
        <v>4.8543689320388349E-2</v>
      </c>
      <c r="AD1199" s="64">
        <f t="shared" si="289"/>
        <v>4.8543689320388349E-2</v>
      </c>
      <c r="AE1199" s="71">
        <v>2685</v>
      </c>
      <c r="AF1199" s="64">
        <f t="shared" si="284"/>
        <v>4.2718446601941747E-2</v>
      </c>
      <c r="AG1199" s="64">
        <f t="shared" si="290"/>
        <v>4.2718446601941747E-2</v>
      </c>
      <c r="AH1199" s="67"/>
      <c r="AI1199" s="47" t="s">
        <v>54</v>
      </c>
      <c r="AJ1199" s="47">
        <v>753.48</v>
      </c>
      <c r="AK1199" s="47" t="s">
        <v>65</v>
      </c>
      <c r="AL1199" s="47" t="s">
        <v>55</v>
      </c>
      <c r="AM1199" s="47" t="s">
        <v>3597</v>
      </c>
      <c r="AN1199" s="47"/>
      <c r="AO1199" s="211">
        <f t="shared" si="285"/>
        <v>-1</v>
      </c>
      <c r="AP1199" s="47" t="s">
        <v>90</v>
      </c>
      <c r="AQ1199" s="91" t="s">
        <v>116</v>
      </c>
      <c r="AR1199" s="47" t="s">
        <v>1766</v>
      </c>
    </row>
    <row r="1200" spans="1:44">
      <c r="A1200" s="47" t="s">
        <v>44</v>
      </c>
      <c r="B1200" s="47" t="str">
        <f t="shared" si="288"/>
        <v>August</v>
      </c>
      <c r="C1200" s="59">
        <v>45505</v>
      </c>
      <c r="D1200" s="47" t="s">
        <v>83</v>
      </c>
      <c r="E1200" s="47" t="s">
        <v>928</v>
      </c>
      <c r="F1200" s="47" t="s">
        <v>929</v>
      </c>
      <c r="G1200" s="94" t="s">
        <v>930</v>
      </c>
      <c r="H1200" s="47" t="s">
        <v>931</v>
      </c>
      <c r="I1200" s="47" t="s">
        <v>932</v>
      </c>
      <c r="J1200" s="47" t="s">
        <v>51</v>
      </c>
      <c r="K1200" s="48">
        <v>44410</v>
      </c>
      <c r="L1200" s="48">
        <v>45140</v>
      </c>
      <c r="M1200" s="48">
        <v>45505</v>
      </c>
      <c r="N1200" s="47" t="s">
        <v>64</v>
      </c>
      <c r="O1200" s="55" t="s">
        <v>53</v>
      </c>
      <c r="P1200" s="62">
        <v>23088</v>
      </c>
      <c r="Q1200" s="62">
        <v>1924</v>
      </c>
      <c r="R1200" s="103">
        <v>25428</v>
      </c>
      <c r="S1200" s="62"/>
      <c r="T1200" s="62">
        <v>21300</v>
      </c>
      <c r="U1200" s="62"/>
      <c r="V1200" s="69">
        <v>19620</v>
      </c>
      <c r="W1200" s="71" t="s">
        <v>123</v>
      </c>
      <c r="X1200" s="71"/>
      <c r="Y1200" s="71"/>
      <c r="Z1200" s="64" t="e">
        <f t="shared" si="282"/>
        <v>#VALUE!</v>
      </c>
      <c r="AA1200" s="64" t="e">
        <f t="shared" si="287"/>
        <v>#VALUE!</v>
      </c>
      <c r="AB1200" s="71"/>
      <c r="AC1200" s="64" t="e">
        <f t="shared" si="283"/>
        <v>#DIV/0!</v>
      </c>
      <c r="AD1200" s="64" t="e">
        <f t="shared" si="289"/>
        <v>#DIV/0!</v>
      </c>
      <c r="AE1200" s="71"/>
      <c r="AF1200" s="64" t="e">
        <f t="shared" si="284"/>
        <v>#DIV/0!</v>
      </c>
      <c r="AG1200" s="64" t="e">
        <f t="shared" si="290"/>
        <v>#DIV/0!</v>
      </c>
      <c r="AH1200" s="67" t="s">
        <v>933</v>
      </c>
      <c r="AI1200" s="47" t="s">
        <v>54</v>
      </c>
      <c r="AJ1200" s="47">
        <v>666.08</v>
      </c>
      <c r="AK1200" s="47" t="s">
        <v>55</v>
      </c>
      <c r="AL1200" s="47" t="s">
        <v>55</v>
      </c>
      <c r="AM1200" s="47" t="s">
        <v>934</v>
      </c>
      <c r="AN1200" s="47"/>
      <c r="AO1200" s="211" t="e">
        <f t="shared" si="285"/>
        <v>#DIV/0!</v>
      </c>
      <c r="AP1200" s="47" t="s">
        <v>90</v>
      </c>
      <c r="AQ1200" s="47" t="s">
        <v>935</v>
      </c>
      <c r="AR1200" s="47"/>
    </row>
    <row r="1201" spans="1:45">
      <c r="A1201" s="47" t="s">
        <v>44</v>
      </c>
      <c r="B1201" s="47" t="str">
        <f t="shared" si="288"/>
        <v>August</v>
      </c>
      <c r="C1201" s="59">
        <v>45508</v>
      </c>
      <c r="D1201" s="47" t="s">
        <v>83</v>
      </c>
      <c r="E1201" s="47" t="s">
        <v>928</v>
      </c>
      <c r="F1201" s="47" t="s">
        <v>929</v>
      </c>
      <c r="G1201" s="94" t="s">
        <v>1111</v>
      </c>
      <c r="H1201" s="47" t="s">
        <v>1112</v>
      </c>
      <c r="I1201" s="47" t="s">
        <v>1113</v>
      </c>
      <c r="J1201" s="47" t="s">
        <v>51</v>
      </c>
      <c r="K1201" s="48">
        <v>44413</v>
      </c>
      <c r="L1201" s="48">
        <v>45143</v>
      </c>
      <c r="M1201" s="48">
        <v>45508</v>
      </c>
      <c r="N1201" s="47" t="s">
        <v>64</v>
      </c>
      <c r="O1201" s="55" t="s">
        <v>53</v>
      </c>
      <c r="P1201" s="62">
        <v>26260</v>
      </c>
      <c r="Q1201" s="62">
        <v>2188.3333333333335</v>
      </c>
      <c r="R1201" s="103">
        <v>27716</v>
      </c>
      <c r="S1201" s="62"/>
      <c r="T1201" s="62">
        <v>22800</v>
      </c>
      <c r="U1201" s="62"/>
      <c r="V1201" s="69">
        <v>21000</v>
      </c>
      <c r="W1201" s="71" t="s">
        <v>123</v>
      </c>
      <c r="X1201" s="71"/>
      <c r="Y1201" s="71"/>
      <c r="Z1201" s="64" t="e">
        <f t="shared" si="282"/>
        <v>#VALUE!</v>
      </c>
      <c r="AA1201" s="64" t="e">
        <f t="shared" si="287"/>
        <v>#VALUE!</v>
      </c>
      <c r="AB1201" s="71"/>
      <c r="AC1201" s="64" t="e">
        <f t="shared" si="283"/>
        <v>#DIV/0!</v>
      </c>
      <c r="AD1201" s="64" t="e">
        <f t="shared" si="289"/>
        <v>#DIV/0!</v>
      </c>
      <c r="AE1201" s="71"/>
      <c r="AF1201" s="64" t="e">
        <f t="shared" si="284"/>
        <v>#DIV/0!</v>
      </c>
      <c r="AG1201" s="64" t="e">
        <f t="shared" si="290"/>
        <v>#DIV/0!</v>
      </c>
      <c r="AH1201" s="67" t="s">
        <v>933</v>
      </c>
      <c r="AI1201" s="47" t="s">
        <v>54</v>
      </c>
      <c r="AJ1201" s="47">
        <v>534</v>
      </c>
      <c r="AK1201" s="47" t="s">
        <v>55</v>
      </c>
      <c r="AL1201" s="47" t="s">
        <v>55</v>
      </c>
      <c r="AM1201" s="47" t="s">
        <v>1114</v>
      </c>
      <c r="AN1201" s="47"/>
      <c r="AO1201" s="211" t="e">
        <f t="shared" si="285"/>
        <v>#DIV/0!</v>
      </c>
      <c r="AP1201" s="47" t="s">
        <v>90</v>
      </c>
      <c r="AQ1201" s="47" t="s">
        <v>935</v>
      </c>
      <c r="AR1201" s="47"/>
    </row>
    <row r="1202" spans="1:45" hidden="1">
      <c r="A1202" s="47" t="s">
        <v>44</v>
      </c>
      <c r="B1202" s="47" t="str">
        <f t="shared" si="288"/>
        <v>August</v>
      </c>
      <c r="C1202" s="59">
        <v>45513</v>
      </c>
      <c r="D1202" s="47" t="s">
        <v>83</v>
      </c>
      <c r="E1202" s="47" t="s">
        <v>928</v>
      </c>
      <c r="F1202" s="47" t="s">
        <v>929</v>
      </c>
      <c r="G1202" s="47" t="s">
        <v>1458</v>
      </c>
      <c r="H1202" s="47" t="s">
        <v>1459</v>
      </c>
      <c r="I1202" s="47" t="s">
        <v>1460</v>
      </c>
      <c r="J1202" s="47" t="s">
        <v>51</v>
      </c>
      <c r="K1202" s="48">
        <v>45148</v>
      </c>
      <c r="L1202" s="48">
        <v>45148</v>
      </c>
      <c r="M1202" s="48">
        <v>45513</v>
      </c>
      <c r="N1202" s="47" t="s">
        <v>52</v>
      </c>
      <c r="O1202" s="55" t="s">
        <v>53</v>
      </c>
      <c r="P1202" s="62">
        <v>27456</v>
      </c>
      <c r="Q1202" s="62">
        <v>2288</v>
      </c>
      <c r="R1202" s="103">
        <v>28912</v>
      </c>
      <c r="S1202" s="62"/>
      <c r="T1202" s="62">
        <v>30000</v>
      </c>
      <c r="U1202" s="62"/>
      <c r="V1202" s="69">
        <v>26400</v>
      </c>
      <c r="W1202" s="71" t="s">
        <v>123</v>
      </c>
      <c r="X1202" s="71"/>
      <c r="Y1202" s="71"/>
      <c r="Z1202" s="64" t="e">
        <f t="shared" si="282"/>
        <v>#VALUE!</v>
      </c>
      <c r="AA1202" s="64" t="e">
        <f t="shared" si="287"/>
        <v>#VALUE!</v>
      </c>
      <c r="AB1202" s="71"/>
      <c r="AC1202" s="64" t="e">
        <f t="shared" si="283"/>
        <v>#DIV/0!</v>
      </c>
      <c r="AD1202" s="64" t="e">
        <f t="shared" si="289"/>
        <v>#DIV/0!</v>
      </c>
      <c r="AE1202" s="71"/>
      <c r="AF1202" s="64" t="e">
        <f t="shared" si="284"/>
        <v>#DIV/0!</v>
      </c>
      <c r="AG1202" s="64" t="e">
        <f t="shared" si="290"/>
        <v>#DIV/0!</v>
      </c>
      <c r="AH1202" s="67" t="s">
        <v>933</v>
      </c>
      <c r="AI1202" s="47" t="s">
        <v>54</v>
      </c>
      <c r="AJ1202" s="47">
        <v>660.37</v>
      </c>
      <c r="AK1202" s="47" t="s">
        <v>55</v>
      </c>
      <c r="AL1202" s="47" t="s">
        <v>55</v>
      </c>
      <c r="AM1202" s="47" t="s">
        <v>1461</v>
      </c>
      <c r="AN1202" s="47"/>
      <c r="AO1202" s="211" t="e">
        <f t="shared" si="285"/>
        <v>#DIV/0!</v>
      </c>
      <c r="AP1202" s="47" t="s">
        <v>90</v>
      </c>
      <c r="AQ1202" s="47" t="s">
        <v>935</v>
      </c>
      <c r="AR1202" s="47"/>
    </row>
    <row r="1203" spans="1:45">
      <c r="A1203" s="47" t="s">
        <v>44</v>
      </c>
      <c r="B1203" s="47" t="str">
        <f t="shared" si="288"/>
        <v>August</v>
      </c>
      <c r="C1203" s="59">
        <v>45525</v>
      </c>
      <c r="D1203" s="47" t="s">
        <v>83</v>
      </c>
      <c r="E1203" s="47" t="s">
        <v>928</v>
      </c>
      <c r="F1203" s="47" t="s">
        <v>929</v>
      </c>
      <c r="G1203" s="47" t="s">
        <v>2634</v>
      </c>
      <c r="H1203" s="47" t="s">
        <v>2635</v>
      </c>
      <c r="I1203" s="47" t="s">
        <v>1113</v>
      </c>
      <c r="J1203" s="47" t="s">
        <v>51</v>
      </c>
      <c r="K1203" s="48">
        <v>44795</v>
      </c>
      <c r="L1203" s="48">
        <v>44795</v>
      </c>
      <c r="M1203" s="48">
        <v>45525</v>
      </c>
      <c r="N1203" s="47" t="s">
        <v>64</v>
      </c>
      <c r="O1203" s="55" t="s">
        <v>53</v>
      </c>
      <c r="P1203" s="62">
        <v>26260</v>
      </c>
      <c r="Q1203" s="62">
        <v>2188.3333333333335</v>
      </c>
      <c r="R1203" s="103">
        <v>27716</v>
      </c>
      <c r="S1203" s="62"/>
      <c r="T1203" s="62">
        <v>22977</v>
      </c>
      <c r="U1203" s="62"/>
      <c r="V1203" s="69">
        <v>22200</v>
      </c>
      <c r="W1203" s="71" t="s">
        <v>123</v>
      </c>
      <c r="X1203" s="71"/>
      <c r="Y1203" s="71"/>
      <c r="Z1203" s="64" t="e">
        <f t="shared" si="282"/>
        <v>#VALUE!</v>
      </c>
      <c r="AA1203" s="64" t="e">
        <f t="shared" si="287"/>
        <v>#VALUE!</v>
      </c>
      <c r="AB1203" s="71"/>
      <c r="AC1203" s="64" t="e">
        <f t="shared" si="283"/>
        <v>#DIV/0!</v>
      </c>
      <c r="AD1203" s="64" t="e">
        <f t="shared" si="289"/>
        <v>#DIV/0!</v>
      </c>
      <c r="AE1203" s="71"/>
      <c r="AF1203" s="64" t="e">
        <f t="shared" si="284"/>
        <v>#DIV/0!</v>
      </c>
      <c r="AG1203" s="64" t="e">
        <f t="shared" si="290"/>
        <v>#DIV/0!</v>
      </c>
      <c r="AH1203" s="67" t="s">
        <v>933</v>
      </c>
      <c r="AI1203" s="47" t="s">
        <v>54</v>
      </c>
      <c r="AJ1203" s="47">
        <v>575.23</v>
      </c>
      <c r="AK1203" s="47" t="s">
        <v>55</v>
      </c>
      <c r="AL1203" s="47" t="s">
        <v>55</v>
      </c>
      <c r="AM1203" s="47" t="s">
        <v>2636</v>
      </c>
      <c r="AN1203" s="47"/>
      <c r="AO1203" s="211" t="e">
        <f t="shared" si="285"/>
        <v>#DIV/0!</v>
      </c>
      <c r="AP1203" s="47" t="s">
        <v>90</v>
      </c>
      <c r="AQ1203" s="47" t="s">
        <v>935</v>
      </c>
      <c r="AR1203" s="47"/>
    </row>
    <row r="1204" spans="1:45" hidden="1">
      <c r="A1204" s="47" t="s">
        <v>44</v>
      </c>
      <c r="B1204" s="47" t="str">
        <f t="shared" si="288"/>
        <v>August</v>
      </c>
      <c r="C1204" s="59">
        <v>45529</v>
      </c>
      <c r="D1204" s="47" t="s">
        <v>83</v>
      </c>
      <c r="E1204" s="47" t="s">
        <v>928</v>
      </c>
      <c r="F1204" s="47" t="s">
        <v>929</v>
      </c>
      <c r="G1204" s="47" t="s">
        <v>3127</v>
      </c>
      <c r="H1204" s="47" t="s">
        <v>3128</v>
      </c>
      <c r="I1204" s="47" t="s">
        <v>1113</v>
      </c>
      <c r="J1204" s="47" t="s">
        <v>51</v>
      </c>
      <c r="K1204" s="48">
        <v>45163</v>
      </c>
      <c r="L1204" s="48">
        <v>45164</v>
      </c>
      <c r="M1204" s="48">
        <v>45529</v>
      </c>
      <c r="N1204" s="47" t="s">
        <v>52</v>
      </c>
      <c r="O1204" s="55" t="s">
        <v>53</v>
      </c>
      <c r="P1204" s="62">
        <v>25428</v>
      </c>
      <c r="Q1204" s="62">
        <v>2119</v>
      </c>
      <c r="R1204" s="103">
        <v>26884</v>
      </c>
      <c r="S1204" s="62"/>
      <c r="T1204" s="62">
        <v>27000</v>
      </c>
      <c r="U1204" s="62"/>
      <c r="V1204" s="69">
        <v>23820</v>
      </c>
      <c r="W1204" s="71" t="s">
        <v>123</v>
      </c>
      <c r="X1204" s="71"/>
      <c r="Y1204" s="71"/>
      <c r="Z1204" s="64" t="e">
        <f t="shared" si="282"/>
        <v>#VALUE!</v>
      </c>
      <c r="AA1204" s="64" t="e">
        <f t="shared" si="287"/>
        <v>#VALUE!</v>
      </c>
      <c r="AB1204" s="71"/>
      <c r="AC1204" s="64" t="e">
        <f t="shared" si="283"/>
        <v>#DIV/0!</v>
      </c>
      <c r="AD1204" s="64" t="e">
        <f t="shared" si="289"/>
        <v>#DIV/0!</v>
      </c>
      <c r="AE1204" s="71"/>
      <c r="AF1204" s="64" t="e">
        <f t="shared" si="284"/>
        <v>#DIV/0!</v>
      </c>
      <c r="AG1204" s="64" t="e">
        <f t="shared" si="290"/>
        <v>#DIV/0!</v>
      </c>
      <c r="AH1204" s="67" t="s">
        <v>933</v>
      </c>
      <c r="AI1204" s="47" t="s">
        <v>54</v>
      </c>
      <c r="AJ1204" s="47">
        <v>398.05</v>
      </c>
      <c r="AK1204" s="47" t="s">
        <v>55</v>
      </c>
      <c r="AL1204" s="47" t="s">
        <v>55</v>
      </c>
      <c r="AM1204" s="47" t="s">
        <v>2636</v>
      </c>
      <c r="AN1204" s="47"/>
      <c r="AO1204" s="211" t="e">
        <f t="shared" si="285"/>
        <v>#DIV/0!</v>
      </c>
      <c r="AP1204" s="47" t="s">
        <v>90</v>
      </c>
      <c r="AQ1204" s="47" t="s">
        <v>935</v>
      </c>
      <c r="AR1204" s="47"/>
    </row>
    <row r="1205" spans="1:45">
      <c r="A1205" s="47" t="s">
        <v>44</v>
      </c>
      <c r="B1205" s="47" t="str">
        <f t="shared" si="288"/>
        <v>July</v>
      </c>
      <c r="C1205" s="59">
        <v>45501</v>
      </c>
      <c r="D1205" s="47" t="s">
        <v>83</v>
      </c>
      <c r="E1205" s="47" t="s">
        <v>928</v>
      </c>
      <c r="F1205" s="47" t="s">
        <v>929</v>
      </c>
      <c r="G1205" s="47" t="s">
        <v>3269</v>
      </c>
      <c r="H1205" s="47" t="s">
        <v>3270</v>
      </c>
      <c r="I1205" s="47" t="s">
        <v>1113</v>
      </c>
      <c r="J1205" s="47" t="s">
        <v>51</v>
      </c>
      <c r="K1205" s="48">
        <v>44407</v>
      </c>
      <c r="L1205" s="48">
        <v>45136</v>
      </c>
      <c r="M1205" s="48">
        <v>45501</v>
      </c>
      <c r="N1205" s="47" t="s">
        <v>64</v>
      </c>
      <c r="O1205" s="55" t="s">
        <v>53</v>
      </c>
      <c r="P1205" s="62">
        <v>25428</v>
      </c>
      <c r="Q1205" s="62">
        <v>2119</v>
      </c>
      <c r="R1205" s="103">
        <v>26884</v>
      </c>
      <c r="S1205" s="62"/>
      <c r="T1205" s="62">
        <v>22380</v>
      </c>
      <c r="U1205" s="62"/>
      <c r="V1205" s="69">
        <v>20580</v>
      </c>
      <c r="W1205" s="71" t="s">
        <v>123</v>
      </c>
      <c r="X1205" s="71"/>
      <c r="Y1205" s="71"/>
      <c r="Z1205" s="64" t="e">
        <f t="shared" si="282"/>
        <v>#VALUE!</v>
      </c>
      <c r="AA1205" s="64" t="e">
        <f t="shared" si="287"/>
        <v>#VALUE!</v>
      </c>
      <c r="AB1205" s="71"/>
      <c r="AC1205" s="64" t="e">
        <f t="shared" si="283"/>
        <v>#DIV/0!</v>
      </c>
      <c r="AD1205" s="64" t="e">
        <f t="shared" si="289"/>
        <v>#DIV/0!</v>
      </c>
      <c r="AE1205" s="71"/>
      <c r="AF1205" s="64" t="e">
        <f t="shared" si="284"/>
        <v>#DIV/0!</v>
      </c>
      <c r="AG1205" s="64" t="e">
        <f t="shared" si="290"/>
        <v>#DIV/0!</v>
      </c>
      <c r="AH1205" s="67"/>
      <c r="AI1205" s="47" t="s">
        <v>54</v>
      </c>
      <c r="AJ1205" s="47">
        <v>393.64</v>
      </c>
      <c r="AK1205" s="101" t="s">
        <v>55</v>
      </c>
      <c r="AL1205" s="101" t="s">
        <v>55</v>
      </c>
      <c r="AM1205" s="47" t="s">
        <v>3271</v>
      </c>
      <c r="AN1205" s="47"/>
      <c r="AO1205" s="211" t="e">
        <f t="shared" si="285"/>
        <v>#DIV/0!</v>
      </c>
      <c r="AP1205" s="47" t="s">
        <v>90</v>
      </c>
      <c r="AQ1205" s="47" t="s">
        <v>935</v>
      </c>
      <c r="AR1205" s="47"/>
    </row>
    <row r="1206" spans="1:45" hidden="1">
      <c r="A1206" s="47" t="s">
        <v>44</v>
      </c>
      <c r="B1206" s="47" t="str">
        <f t="shared" si="288"/>
        <v>July</v>
      </c>
      <c r="C1206" s="59">
        <v>45499</v>
      </c>
      <c r="D1206" s="47" t="s">
        <v>83</v>
      </c>
      <c r="E1206" s="47" t="s">
        <v>928</v>
      </c>
      <c r="F1206" s="47" t="s">
        <v>929</v>
      </c>
      <c r="G1206" s="47" t="s">
        <v>3272</v>
      </c>
      <c r="H1206" s="47" t="s">
        <v>3273</v>
      </c>
      <c r="I1206" s="47" t="s">
        <v>1460</v>
      </c>
      <c r="J1206" s="47" t="s">
        <v>51</v>
      </c>
      <c r="K1206" s="48">
        <v>45134</v>
      </c>
      <c r="L1206" s="48">
        <v>45134</v>
      </c>
      <c r="M1206" s="48">
        <v>45499</v>
      </c>
      <c r="N1206" s="47" t="s">
        <v>52</v>
      </c>
      <c r="O1206" s="55" t="s">
        <v>53</v>
      </c>
      <c r="P1206" s="62">
        <v>25688</v>
      </c>
      <c r="Q1206" s="62">
        <v>2140.6666666666665</v>
      </c>
      <c r="R1206" s="103">
        <v>27144</v>
      </c>
      <c r="S1206" s="62"/>
      <c r="T1206" s="62">
        <v>29940</v>
      </c>
      <c r="U1206" s="62"/>
      <c r="V1206" s="69">
        <v>27300</v>
      </c>
      <c r="W1206" s="71" t="s">
        <v>123</v>
      </c>
      <c r="X1206" s="71"/>
      <c r="Y1206" s="71"/>
      <c r="Z1206" s="64" t="e">
        <f t="shared" si="282"/>
        <v>#VALUE!</v>
      </c>
      <c r="AA1206" s="64" t="e">
        <f t="shared" si="287"/>
        <v>#VALUE!</v>
      </c>
      <c r="AB1206" s="71"/>
      <c r="AC1206" s="64" t="e">
        <f t="shared" si="283"/>
        <v>#DIV/0!</v>
      </c>
      <c r="AD1206" s="64" t="e">
        <f t="shared" si="289"/>
        <v>#DIV/0!</v>
      </c>
      <c r="AE1206" s="71"/>
      <c r="AF1206" s="64" t="e">
        <f t="shared" si="284"/>
        <v>#DIV/0!</v>
      </c>
      <c r="AG1206" s="64" t="e">
        <f t="shared" si="290"/>
        <v>#DIV/0!</v>
      </c>
      <c r="AH1206" s="67"/>
      <c r="AI1206" s="47" t="s">
        <v>54</v>
      </c>
      <c r="AJ1206" s="47">
        <v>428.3</v>
      </c>
      <c r="AK1206" s="101" t="s">
        <v>55</v>
      </c>
      <c r="AL1206" s="101" t="s">
        <v>55</v>
      </c>
      <c r="AM1206" s="47" t="s">
        <v>3274</v>
      </c>
      <c r="AN1206" s="47"/>
      <c r="AO1206" s="211" t="e">
        <f t="shared" si="285"/>
        <v>#DIV/0!</v>
      </c>
      <c r="AP1206" s="47" t="s">
        <v>90</v>
      </c>
      <c r="AQ1206" s="47" t="s">
        <v>935</v>
      </c>
      <c r="AR1206" s="47"/>
    </row>
    <row r="1207" spans="1:45" hidden="1">
      <c r="A1207" s="47" t="s">
        <v>44</v>
      </c>
      <c r="B1207" s="47" t="str">
        <f t="shared" si="288"/>
        <v>August</v>
      </c>
      <c r="C1207" s="59">
        <v>45506</v>
      </c>
      <c r="D1207" s="47" t="s">
        <v>83</v>
      </c>
      <c r="E1207" s="47" t="s">
        <v>126</v>
      </c>
      <c r="F1207" s="47" t="s">
        <v>127</v>
      </c>
      <c r="G1207" s="47" t="s">
        <v>128</v>
      </c>
      <c r="H1207" s="47" t="s">
        <v>129</v>
      </c>
      <c r="I1207" s="47" t="s">
        <v>130</v>
      </c>
      <c r="J1207" s="47" t="s">
        <v>51</v>
      </c>
      <c r="K1207" s="48">
        <v>45141</v>
      </c>
      <c r="L1207" s="48">
        <v>45141</v>
      </c>
      <c r="M1207" s="48">
        <v>45506</v>
      </c>
      <c r="N1207" s="47" t="s">
        <v>52</v>
      </c>
      <c r="O1207" s="55" t="s">
        <v>53</v>
      </c>
      <c r="P1207" s="62">
        <v>22800</v>
      </c>
      <c r="Q1207" s="62">
        <v>1900</v>
      </c>
      <c r="R1207" s="103">
        <v>22800</v>
      </c>
      <c r="S1207" s="62">
        <f t="shared" ref="S1207:S1224" si="292">R1207/12</f>
        <v>1900</v>
      </c>
      <c r="T1207" s="62">
        <v>22800</v>
      </c>
      <c r="U1207" s="62">
        <f t="shared" ref="U1207:U1224" si="293">T1207/12</f>
        <v>1900</v>
      </c>
      <c r="V1207" s="69">
        <v>20880</v>
      </c>
      <c r="W1207" s="71" t="s">
        <v>123</v>
      </c>
      <c r="X1207" s="71"/>
      <c r="Y1207" s="71"/>
      <c r="Z1207" s="64" t="e">
        <f t="shared" si="282"/>
        <v>#VALUE!</v>
      </c>
      <c r="AA1207" s="64" t="e">
        <f t="shared" si="287"/>
        <v>#VALUE!</v>
      </c>
      <c r="AB1207" s="71">
        <v>2000</v>
      </c>
      <c r="AC1207" s="64">
        <f t="shared" si="283"/>
        <v>5.2631578947368418E-2</v>
      </c>
      <c r="AD1207" s="64">
        <f t="shared" si="289"/>
        <v>5.2631578947368418E-2</v>
      </c>
      <c r="AE1207" s="175">
        <v>1945</v>
      </c>
      <c r="AF1207" s="64">
        <f t="shared" si="284"/>
        <v>2.368421052631579E-2</v>
      </c>
      <c r="AG1207" s="64">
        <f t="shared" si="290"/>
        <v>2.368421052631579E-2</v>
      </c>
      <c r="AH1207" s="67"/>
      <c r="AI1207" s="47" t="s">
        <v>54</v>
      </c>
      <c r="AJ1207" s="47">
        <v>409.03</v>
      </c>
      <c r="AK1207" s="47" t="s">
        <v>55</v>
      </c>
      <c r="AL1207" s="47" t="s">
        <v>55</v>
      </c>
      <c r="AM1207" s="47" t="s">
        <v>131</v>
      </c>
      <c r="AN1207" s="47">
        <v>1965</v>
      </c>
      <c r="AO1207" s="211">
        <f t="shared" si="285"/>
        <v>3.4210526315789476E-2</v>
      </c>
      <c r="AP1207" s="47" t="s">
        <v>90</v>
      </c>
      <c r="AQ1207" s="91" t="s">
        <v>58</v>
      </c>
      <c r="AR1207" s="47"/>
      <c r="AS1207" s="52" t="s">
        <v>132</v>
      </c>
    </row>
    <row r="1208" spans="1:45">
      <c r="A1208" s="47" t="s">
        <v>44</v>
      </c>
      <c r="B1208" s="47" t="str">
        <f t="shared" si="288"/>
        <v>August</v>
      </c>
      <c r="C1208" s="59">
        <v>45509</v>
      </c>
      <c r="D1208" s="47" t="s">
        <v>83</v>
      </c>
      <c r="E1208" s="47" t="s">
        <v>126</v>
      </c>
      <c r="F1208" s="47" t="s">
        <v>127</v>
      </c>
      <c r="G1208" s="47" t="s">
        <v>171</v>
      </c>
      <c r="H1208" s="47" t="s">
        <v>172</v>
      </c>
      <c r="I1208" s="47" t="s">
        <v>173</v>
      </c>
      <c r="J1208" s="47" t="s">
        <v>51</v>
      </c>
      <c r="K1208" s="48">
        <v>40396</v>
      </c>
      <c r="L1208" s="48">
        <v>44779</v>
      </c>
      <c r="M1208" s="48">
        <v>45509</v>
      </c>
      <c r="N1208" s="47" t="s">
        <v>64</v>
      </c>
      <c r="O1208" s="55" t="s">
        <v>53</v>
      </c>
      <c r="P1208" s="62">
        <v>21300</v>
      </c>
      <c r="Q1208" s="62">
        <v>1775</v>
      </c>
      <c r="R1208" s="103">
        <v>21300.400000000001</v>
      </c>
      <c r="S1208" s="62">
        <f t="shared" si="292"/>
        <v>1775.0333333333335</v>
      </c>
      <c r="T1208" s="62">
        <v>21300.36</v>
      </c>
      <c r="U1208" s="62">
        <f t="shared" si="293"/>
        <v>1775.03</v>
      </c>
      <c r="V1208" s="69">
        <v>20580</v>
      </c>
      <c r="W1208" s="71" t="s">
        <v>123</v>
      </c>
      <c r="X1208" s="71"/>
      <c r="Y1208" s="71"/>
      <c r="Z1208" s="64" t="e">
        <f t="shared" si="282"/>
        <v>#VALUE!</v>
      </c>
      <c r="AA1208" s="64" t="e">
        <f t="shared" si="287"/>
        <v>#VALUE!</v>
      </c>
      <c r="AB1208" s="71">
        <v>1900</v>
      </c>
      <c r="AC1208" s="64">
        <f t="shared" si="283"/>
        <v>7.0404443868554351E-2</v>
      </c>
      <c r="AD1208" s="64">
        <f t="shared" si="289"/>
        <v>7.0402433757112429E-2</v>
      </c>
      <c r="AE1208" s="71">
        <v>1875</v>
      </c>
      <c r="AF1208" s="64">
        <f t="shared" si="284"/>
        <v>5.6320174870283901E-2</v>
      </c>
      <c r="AG1208" s="64">
        <f t="shared" si="290"/>
        <v>5.6318191207676734E-2</v>
      </c>
      <c r="AH1208" s="67"/>
      <c r="AI1208" s="47" t="s">
        <v>54</v>
      </c>
      <c r="AJ1208" s="47">
        <v>419.79</v>
      </c>
      <c r="AK1208" s="47" t="s">
        <v>55</v>
      </c>
      <c r="AL1208" s="47" t="s">
        <v>55</v>
      </c>
      <c r="AM1208" s="47" t="s">
        <v>131</v>
      </c>
      <c r="AN1208" s="47">
        <v>1900</v>
      </c>
      <c r="AO1208" s="211">
        <f t="shared" si="285"/>
        <v>7.0404443868554351E-2</v>
      </c>
      <c r="AP1208" s="47" t="s">
        <v>90</v>
      </c>
      <c r="AQ1208" s="91" t="s">
        <v>116</v>
      </c>
      <c r="AR1208" s="47"/>
    </row>
    <row r="1209" spans="1:45">
      <c r="A1209" s="47" t="s">
        <v>44</v>
      </c>
      <c r="B1209" s="47" t="str">
        <f t="shared" si="288"/>
        <v>August</v>
      </c>
      <c r="C1209" s="59">
        <v>45517</v>
      </c>
      <c r="D1209" s="47" t="s">
        <v>83</v>
      </c>
      <c r="E1209" s="47" t="s">
        <v>126</v>
      </c>
      <c r="F1209" s="47" t="s">
        <v>127</v>
      </c>
      <c r="G1209" s="47" t="s">
        <v>1153</v>
      </c>
      <c r="H1209" s="47" t="s">
        <v>1154</v>
      </c>
      <c r="I1209" s="47" t="s">
        <v>1155</v>
      </c>
      <c r="J1209" s="47" t="s">
        <v>51</v>
      </c>
      <c r="K1209" s="48">
        <v>44422</v>
      </c>
      <c r="L1209" s="48">
        <v>45152</v>
      </c>
      <c r="M1209" s="48">
        <v>45517</v>
      </c>
      <c r="N1209" s="47" t="s">
        <v>64</v>
      </c>
      <c r="O1209" s="55" t="s">
        <v>53</v>
      </c>
      <c r="P1209" s="62">
        <v>20400</v>
      </c>
      <c r="Q1209" s="62">
        <v>1700</v>
      </c>
      <c r="R1209" s="103">
        <v>20400</v>
      </c>
      <c r="S1209" s="62">
        <f t="shared" si="292"/>
        <v>1700</v>
      </c>
      <c r="T1209" s="62">
        <v>20400</v>
      </c>
      <c r="U1209" s="62">
        <f t="shared" si="293"/>
        <v>1700</v>
      </c>
      <c r="V1209" s="69">
        <v>18840</v>
      </c>
      <c r="W1209" s="71" t="s">
        <v>123</v>
      </c>
      <c r="X1209" s="71"/>
      <c r="Y1209" s="71"/>
      <c r="Z1209" s="64" t="e">
        <f t="shared" si="282"/>
        <v>#VALUE!</v>
      </c>
      <c r="AA1209" s="64" t="e">
        <f t="shared" si="287"/>
        <v>#VALUE!</v>
      </c>
      <c r="AB1209" s="71">
        <v>1850</v>
      </c>
      <c r="AC1209" s="64">
        <f t="shared" si="283"/>
        <v>8.8235294117647065E-2</v>
      </c>
      <c r="AD1209" s="64">
        <f t="shared" si="289"/>
        <v>8.8235294117647065E-2</v>
      </c>
      <c r="AE1209" s="175">
        <v>1800</v>
      </c>
      <c r="AF1209" s="64">
        <f t="shared" si="284"/>
        <v>5.8823529411764705E-2</v>
      </c>
      <c r="AG1209" s="64">
        <f t="shared" si="290"/>
        <v>5.8823529411764705E-2</v>
      </c>
      <c r="AH1209" s="67"/>
      <c r="AI1209" s="47" t="s">
        <v>54</v>
      </c>
      <c r="AJ1209" s="47">
        <v>425</v>
      </c>
      <c r="AK1209" s="47" t="s">
        <v>55</v>
      </c>
      <c r="AL1209" s="47" t="s">
        <v>55</v>
      </c>
      <c r="AM1209" s="47" t="s">
        <v>131</v>
      </c>
      <c r="AN1209" s="47">
        <v>1850</v>
      </c>
      <c r="AO1209" s="211">
        <f t="shared" si="285"/>
        <v>8.8235294117647065E-2</v>
      </c>
      <c r="AP1209" s="47" t="s">
        <v>90</v>
      </c>
      <c r="AQ1209" s="91" t="s">
        <v>116</v>
      </c>
      <c r="AR1209" s="47"/>
    </row>
    <row r="1210" spans="1:45">
      <c r="A1210" s="47" t="s">
        <v>44</v>
      </c>
      <c r="B1210" s="47" t="str">
        <f t="shared" si="288"/>
        <v>August</v>
      </c>
      <c r="C1210" s="59">
        <v>45518</v>
      </c>
      <c r="D1210" s="47" t="s">
        <v>83</v>
      </c>
      <c r="E1210" s="47" t="s">
        <v>126</v>
      </c>
      <c r="F1210" s="47" t="s">
        <v>127</v>
      </c>
      <c r="G1210" s="47" t="s">
        <v>1241</v>
      </c>
      <c r="H1210" s="47" t="s">
        <v>1242</v>
      </c>
      <c r="I1210" s="47" t="s">
        <v>1243</v>
      </c>
      <c r="J1210" s="47" t="s">
        <v>51</v>
      </c>
      <c r="K1210" s="48">
        <v>44788</v>
      </c>
      <c r="L1210" s="48">
        <v>44788</v>
      </c>
      <c r="M1210" s="48">
        <v>45518</v>
      </c>
      <c r="N1210" s="47" t="s">
        <v>64</v>
      </c>
      <c r="O1210" s="55" t="s">
        <v>53</v>
      </c>
      <c r="P1210" s="62">
        <v>20400</v>
      </c>
      <c r="Q1210" s="62">
        <v>1700</v>
      </c>
      <c r="R1210" s="103">
        <v>20400</v>
      </c>
      <c r="S1210" s="62">
        <f t="shared" si="292"/>
        <v>1700</v>
      </c>
      <c r="T1210" s="62">
        <v>20400</v>
      </c>
      <c r="U1210" s="62">
        <f t="shared" si="293"/>
        <v>1700</v>
      </c>
      <c r="V1210" s="69">
        <v>20400</v>
      </c>
      <c r="W1210" s="71" t="s">
        <v>123</v>
      </c>
      <c r="X1210" s="71"/>
      <c r="Y1210" s="71"/>
      <c r="Z1210" s="64" t="e">
        <f t="shared" si="282"/>
        <v>#VALUE!</v>
      </c>
      <c r="AA1210" s="64" t="e">
        <f t="shared" si="287"/>
        <v>#VALUE!</v>
      </c>
      <c r="AB1210" s="71">
        <v>1850</v>
      </c>
      <c r="AC1210" s="64">
        <f t="shared" si="283"/>
        <v>8.8235294117647065E-2</v>
      </c>
      <c r="AD1210" s="64">
        <f t="shared" si="289"/>
        <v>8.8235294117647065E-2</v>
      </c>
      <c r="AE1210" s="71">
        <v>1825</v>
      </c>
      <c r="AF1210" s="64">
        <f t="shared" si="284"/>
        <v>7.3529411764705885E-2</v>
      </c>
      <c r="AG1210" s="64">
        <f t="shared" si="290"/>
        <v>7.3529411764705885E-2</v>
      </c>
      <c r="AH1210" s="67"/>
      <c r="AI1210" s="47" t="s">
        <v>54</v>
      </c>
      <c r="AJ1210" s="47">
        <v>527.42999999999995</v>
      </c>
      <c r="AK1210" s="47" t="s">
        <v>55</v>
      </c>
      <c r="AL1210" s="47" t="s">
        <v>55</v>
      </c>
      <c r="AM1210" s="47" t="s">
        <v>131</v>
      </c>
      <c r="AN1210" s="47">
        <v>1825</v>
      </c>
      <c r="AO1210" s="211">
        <f t="shared" si="285"/>
        <v>7.3529411764705885E-2</v>
      </c>
      <c r="AP1210" s="47" t="s">
        <v>90</v>
      </c>
      <c r="AQ1210" s="91" t="s">
        <v>116</v>
      </c>
      <c r="AR1210" s="47"/>
    </row>
    <row r="1211" spans="1:45">
      <c r="A1211" s="47" t="s">
        <v>44</v>
      </c>
      <c r="B1211" s="47" t="str">
        <f t="shared" si="288"/>
        <v>August</v>
      </c>
      <c r="C1211" s="59">
        <v>45533</v>
      </c>
      <c r="D1211" s="47" t="s">
        <v>83</v>
      </c>
      <c r="E1211" s="47" t="s">
        <v>126</v>
      </c>
      <c r="F1211" s="47" t="s">
        <v>127</v>
      </c>
      <c r="G1211" s="47" t="s">
        <v>1341</v>
      </c>
      <c r="H1211" s="47" t="s">
        <v>1342</v>
      </c>
      <c r="I1211" s="47" t="s">
        <v>1343</v>
      </c>
      <c r="J1211" s="47" t="s">
        <v>51</v>
      </c>
      <c r="K1211" s="48">
        <v>44803</v>
      </c>
      <c r="L1211" s="48">
        <v>45168</v>
      </c>
      <c r="M1211" s="48">
        <v>45533</v>
      </c>
      <c r="N1211" s="47" t="s">
        <v>64</v>
      </c>
      <c r="O1211" s="55" t="s">
        <v>53</v>
      </c>
      <c r="P1211" s="62">
        <v>24180</v>
      </c>
      <c r="Q1211" s="62">
        <v>2015</v>
      </c>
      <c r="R1211" s="103">
        <v>24180</v>
      </c>
      <c r="S1211" s="62">
        <f t="shared" si="292"/>
        <v>2015</v>
      </c>
      <c r="T1211" s="62">
        <v>24180</v>
      </c>
      <c r="U1211" s="62">
        <f t="shared" si="293"/>
        <v>2015</v>
      </c>
      <c r="V1211" s="69">
        <v>22020</v>
      </c>
      <c r="W1211" s="71" t="s">
        <v>123</v>
      </c>
      <c r="X1211" s="71"/>
      <c r="Y1211" s="71"/>
      <c r="Z1211" s="64" t="e">
        <f t="shared" si="282"/>
        <v>#VALUE!</v>
      </c>
      <c r="AA1211" s="64" t="e">
        <f t="shared" si="287"/>
        <v>#VALUE!</v>
      </c>
      <c r="AB1211" s="71">
        <v>2100</v>
      </c>
      <c r="AC1211" s="64">
        <f t="shared" si="283"/>
        <v>4.2183622828784122E-2</v>
      </c>
      <c r="AD1211" s="64">
        <f t="shared" si="289"/>
        <v>4.2183622828784122E-2</v>
      </c>
      <c r="AE1211" s="175">
        <v>2050</v>
      </c>
      <c r="AF1211" s="64">
        <f t="shared" si="284"/>
        <v>1.7369727047146403E-2</v>
      </c>
      <c r="AG1211" s="64">
        <f t="shared" si="290"/>
        <v>1.7369727047146403E-2</v>
      </c>
      <c r="AH1211" s="67"/>
      <c r="AI1211" s="47" t="s">
        <v>54</v>
      </c>
      <c r="AJ1211" s="47">
        <v>613.54</v>
      </c>
      <c r="AK1211" s="47" t="s">
        <v>55</v>
      </c>
      <c r="AL1211" s="47" t="s">
        <v>55</v>
      </c>
      <c r="AM1211" s="47" t="s">
        <v>131</v>
      </c>
      <c r="AN1211" s="47">
        <v>2100</v>
      </c>
      <c r="AO1211" s="211">
        <f t="shared" si="285"/>
        <v>4.2183622828784122E-2</v>
      </c>
      <c r="AP1211" s="47" t="s">
        <v>90</v>
      </c>
      <c r="AQ1211" s="91" t="s">
        <v>116</v>
      </c>
      <c r="AR1211" s="47"/>
    </row>
    <row r="1212" spans="1:45">
      <c r="A1212" s="47" t="s">
        <v>44</v>
      </c>
      <c r="B1212" s="47" t="str">
        <f t="shared" si="288"/>
        <v>August</v>
      </c>
      <c r="C1212" s="59">
        <v>45505</v>
      </c>
      <c r="D1212" s="47" t="s">
        <v>83</v>
      </c>
      <c r="E1212" s="47" t="s">
        <v>126</v>
      </c>
      <c r="F1212" s="47" t="s">
        <v>127</v>
      </c>
      <c r="G1212" s="47" t="s">
        <v>1405</v>
      </c>
      <c r="H1212" s="47" t="s">
        <v>1406</v>
      </c>
      <c r="I1212" s="47" t="s">
        <v>1407</v>
      </c>
      <c r="J1212" s="47" t="s">
        <v>51</v>
      </c>
      <c r="K1212" s="48">
        <v>44410</v>
      </c>
      <c r="L1212" s="48">
        <v>45140</v>
      </c>
      <c r="M1212" s="48">
        <v>45505</v>
      </c>
      <c r="N1212" s="47" t="s">
        <v>64</v>
      </c>
      <c r="O1212" s="55" t="s">
        <v>53</v>
      </c>
      <c r="P1212" s="62">
        <v>25200</v>
      </c>
      <c r="Q1212" s="62">
        <v>2100</v>
      </c>
      <c r="R1212" s="103">
        <v>25200</v>
      </c>
      <c r="S1212" s="62">
        <f t="shared" si="292"/>
        <v>2100</v>
      </c>
      <c r="T1212" s="62">
        <v>25200</v>
      </c>
      <c r="U1212" s="62">
        <f t="shared" si="293"/>
        <v>2100</v>
      </c>
      <c r="V1212" s="69">
        <v>22980</v>
      </c>
      <c r="W1212" s="71" t="s">
        <v>123</v>
      </c>
      <c r="X1212" s="71"/>
      <c r="Y1212" s="71"/>
      <c r="Z1212" s="64" t="e">
        <f t="shared" si="282"/>
        <v>#VALUE!</v>
      </c>
      <c r="AA1212" s="64" t="e">
        <f t="shared" si="287"/>
        <v>#VALUE!</v>
      </c>
      <c r="AB1212" s="71">
        <v>2300</v>
      </c>
      <c r="AC1212" s="64">
        <f t="shared" si="283"/>
        <v>9.5238095238095233E-2</v>
      </c>
      <c r="AD1212" s="64">
        <f t="shared" si="289"/>
        <v>9.5238095238095233E-2</v>
      </c>
      <c r="AE1212" s="175">
        <v>2200</v>
      </c>
      <c r="AF1212" s="64">
        <f t="shared" si="284"/>
        <v>4.7619047619047616E-2</v>
      </c>
      <c r="AG1212" s="64">
        <f t="shared" si="290"/>
        <v>4.7619047619047616E-2</v>
      </c>
      <c r="AH1212" s="67" t="s">
        <v>1408</v>
      </c>
      <c r="AI1212" s="47" t="s">
        <v>54</v>
      </c>
      <c r="AJ1212" s="47">
        <v>581</v>
      </c>
      <c r="AK1212" s="47" t="s">
        <v>65</v>
      </c>
      <c r="AL1212" s="47" t="s">
        <v>55</v>
      </c>
      <c r="AM1212" s="47" t="s">
        <v>131</v>
      </c>
      <c r="AN1212" s="47">
        <v>2200</v>
      </c>
      <c r="AO1212" s="211">
        <f t="shared" si="285"/>
        <v>4.7619047619047616E-2</v>
      </c>
      <c r="AP1212" s="47" t="s">
        <v>90</v>
      </c>
      <c r="AQ1212" s="91" t="s">
        <v>58</v>
      </c>
      <c r="AR1212" s="47"/>
    </row>
    <row r="1213" spans="1:45">
      <c r="A1213" s="47" t="s">
        <v>44</v>
      </c>
      <c r="B1213" s="47" t="str">
        <f t="shared" si="288"/>
        <v>August</v>
      </c>
      <c r="C1213" s="59">
        <v>45510</v>
      </c>
      <c r="D1213" s="47" t="s">
        <v>83</v>
      </c>
      <c r="E1213" s="47" t="s">
        <v>126</v>
      </c>
      <c r="F1213" s="47" t="s">
        <v>127</v>
      </c>
      <c r="G1213" s="47" t="s">
        <v>1462</v>
      </c>
      <c r="H1213" s="47" t="s">
        <v>1463</v>
      </c>
      <c r="I1213" s="47" t="s">
        <v>1464</v>
      </c>
      <c r="J1213" s="47" t="s">
        <v>51</v>
      </c>
      <c r="K1213" s="48">
        <v>44415</v>
      </c>
      <c r="L1213" s="48">
        <v>44415</v>
      </c>
      <c r="M1213" s="48">
        <v>45510</v>
      </c>
      <c r="N1213" s="47" t="s">
        <v>64</v>
      </c>
      <c r="O1213" s="55" t="s">
        <v>53</v>
      </c>
      <c r="P1213" s="62">
        <v>26181</v>
      </c>
      <c r="Q1213" s="62">
        <v>2181.75</v>
      </c>
      <c r="R1213" s="103">
        <v>26180.799999999999</v>
      </c>
      <c r="S1213" s="62">
        <f t="shared" si="292"/>
        <v>2181.7333333333331</v>
      </c>
      <c r="T1213" s="62">
        <v>26180.76</v>
      </c>
      <c r="U1213" s="62">
        <f t="shared" si="293"/>
        <v>2181.73</v>
      </c>
      <c r="V1213" s="69">
        <v>25295.4</v>
      </c>
      <c r="W1213" s="71" t="s">
        <v>123</v>
      </c>
      <c r="X1213" s="71"/>
      <c r="Y1213" s="71"/>
      <c r="Z1213" s="64" t="e">
        <f t="shared" si="282"/>
        <v>#VALUE!</v>
      </c>
      <c r="AA1213" s="64" t="e">
        <f t="shared" si="287"/>
        <v>#VALUE!</v>
      </c>
      <c r="AB1213" s="71">
        <v>2400</v>
      </c>
      <c r="AC1213" s="64">
        <f t="shared" si="283"/>
        <v>0.10004446013026359</v>
      </c>
      <c r="AD1213" s="64">
        <f t="shared" si="289"/>
        <v>0.10004277944142283</v>
      </c>
      <c r="AE1213" s="175">
        <v>2315</v>
      </c>
      <c r="AF1213" s="64">
        <f t="shared" si="284"/>
        <v>6.1084552167316751E-2</v>
      </c>
      <c r="AG1213" s="64">
        <f t="shared" si="290"/>
        <v>6.1082931002872438E-2</v>
      </c>
      <c r="AH1213" s="67" t="s">
        <v>1465</v>
      </c>
      <c r="AI1213" s="47" t="s">
        <v>395</v>
      </c>
      <c r="AJ1213" s="47">
        <v>753.47</v>
      </c>
      <c r="AK1213" s="47" t="s">
        <v>65</v>
      </c>
      <c r="AL1213" s="47" t="s">
        <v>55</v>
      </c>
      <c r="AM1213" s="47" t="s">
        <v>131</v>
      </c>
      <c r="AN1213" s="47">
        <v>2400</v>
      </c>
      <c r="AO1213" s="211">
        <f t="shared" si="285"/>
        <v>0.10004446013026359</v>
      </c>
      <c r="AP1213" s="47" t="s">
        <v>90</v>
      </c>
      <c r="AQ1213" s="91" t="s">
        <v>116</v>
      </c>
      <c r="AR1213" s="47"/>
    </row>
    <row r="1214" spans="1:45">
      <c r="A1214" s="47" t="s">
        <v>44</v>
      </c>
      <c r="B1214" s="47" t="str">
        <f t="shared" si="288"/>
        <v>August</v>
      </c>
      <c r="C1214" s="59">
        <v>45511</v>
      </c>
      <c r="D1214" s="47" t="s">
        <v>83</v>
      </c>
      <c r="E1214" s="47" t="s">
        <v>126</v>
      </c>
      <c r="F1214" s="47" t="s">
        <v>127</v>
      </c>
      <c r="G1214" s="47" t="s">
        <v>1821</v>
      </c>
      <c r="H1214" s="47" t="s">
        <v>1822</v>
      </c>
      <c r="I1214" s="47" t="s">
        <v>1823</v>
      </c>
      <c r="J1214" s="47" t="s">
        <v>51</v>
      </c>
      <c r="K1214" s="48">
        <v>44781</v>
      </c>
      <c r="L1214" s="48">
        <v>44781</v>
      </c>
      <c r="M1214" s="48">
        <v>45511</v>
      </c>
      <c r="N1214" s="47" t="s">
        <v>64</v>
      </c>
      <c r="O1214" s="55" t="s">
        <v>53</v>
      </c>
      <c r="P1214" s="62">
        <v>27600</v>
      </c>
      <c r="Q1214" s="62">
        <v>2300</v>
      </c>
      <c r="R1214" s="103">
        <v>27600</v>
      </c>
      <c r="S1214" s="62">
        <f t="shared" si="292"/>
        <v>2300</v>
      </c>
      <c r="T1214" s="62">
        <v>27600</v>
      </c>
      <c r="U1214" s="62">
        <f t="shared" si="293"/>
        <v>2300</v>
      </c>
      <c r="V1214" s="69">
        <v>27600</v>
      </c>
      <c r="W1214" s="71" t="s">
        <v>123</v>
      </c>
      <c r="X1214" s="71"/>
      <c r="Y1214" s="71"/>
      <c r="Z1214" s="64" t="e">
        <f t="shared" si="282"/>
        <v>#VALUE!</v>
      </c>
      <c r="AA1214" s="64" t="e">
        <f t="shared" si="287"/>
        <v>#VALUE!</v>
      </c>
      <c r="AB1214" s="71">
        <v>2450</v>
      </c>
      <c r="AC1214" s="64">
        <f t="shared" si="283"/>
        <v>6.5217391304347824E-2</v>
      </c>
      <c r="AD1214" s="64">
        <f t="shared" si="289"/>
        <v>6.5217391304347824E-2</v>
      </c>
      <c r="AE1214" s="71">
        <v>2425</v>
      </c>
      <c r="AF1214" s="64">
        <f t="shared" si="284"/>
        <v>5.434782608695652E-2</v>
      </c>
      <c r="AG1214" s="64">
        <f t="shared" si="290"/>
        <v>5.434782608695652E-2</v>
      </c>
      <c r="AH1214" s="67"/>
      <c r="AI1214" s="47" t="s">
        <v>54</v>
      </c>
      <c r="AJ1214" s="47">
        <v>753.48</v>
      </c>
      <c r="AK1214" s="47" t="s">
        <v>65</v>
      </c>
      <c r="AL1214" s="47" t="s">
        <v>55</v>
      </c>
      <c r="AM1214" s="47" t="s">
        <v>131</v>
      </c>
      <c r="AN1214" s="47"/>
      <c r="AO1214" s="211">
        <f t="shared" si="285"/>
        <v>-1</v>
      </c>
      <c r="AP1214" s="47" t="s">
        <v>90</v>
      </c>
      <c r="AQ1214" s="91" t="s">
        <v>116</v>
      </c>
      <c r="AR1214" s="47"/>
    </row>
    <row r="1215" spans="1:45">
      <c r="A1215" s="47" t="s">
        <v>44</v>
      </c>
      <c r="B1215" s="47" t="str">
        <f t="shared" si="288"/>
        <v>August</v>
      </c>
      <c r="C1215" s="59">
        <v>45512</v>
      </c>
      <c r="D1215" s="47" t="s">
        <v>83</v>
      </c>
      <c r="E1215" s="47" t="s">
        <v>126</v>
      </c>
      <c r="F1215" s="47" t="s">
        <v>127</v>
      </c>
      <c r="G1215" s="47" t="s">
        <v>1941</v>
      </c>
      <c r="H1215" s="47" t="s">
        <v>1942</v>
      </c>
      <c r="I1215" s="47" t="s">
        <v>1943</v>
      </c>
      <c r="J1215" s="47" t="s">
        <v>51</v>
      </c>
      <c r="K1215" s="48">
        <v>44417</v>
      </c>
      <c r="L1215" s="48">
        <v>45147</v>
      </c>
      <c r="M1215" s="48">
        <v>45512</v>
      </c>
      <c r="N1215" s="47" t="s">
        <v>64</v>
      </c>
      <c r="O1215" s="55" t="s">
        <v>53</v>
      </c>
      <c r="P1215" s="62">
        <v>27540</v>
      </c>
      <c r="Q1215" s="62">
        <v>2295</v>
      </c>
      <c r="R1215" s="103">
        <v>27540</v>
      </c>
      <c r="S1215" s="62">
        <f t="shared" si="292"/>
        <v>2295</v>
      </c>
      <c r="T1215" s="62">
        <v>27540</v>
      </c>
      <c r="U1215" s="62">
        <f t="shared" si="293"/>
        <v>2295</v>
      </c>
      <c r="V1215" s="69">
        <v>25620</v>
      </c>
      <c r="W1215" s="71" t="s">
        <v>123</v>
      </c>
      <c r="X1215" s="71"/>
      <c r="Y1215" s="71"/>
      <c r="Z1215" s="64" t="e">
        <f t="shared" si="282"/>
        <v>#VALUE!</v>
      </c>
      <c r="AA1215" s="64" t="e">
        <f t="shared" si="287"/>
        <v>#VALUE!</v>
      </c>
      <c r="AB1215" s="71">
        <v>2450</v>
      </c>
      <c r="AC1215" s="64">
        <f t="shared" si="283"/>
        <v>6.7538126361655779E-2</v>
      </c>
      <c r="AD1215" s="64">
        <f t="shared" si="289"/>
        <v>6.7538126361655779E-2</v>
      </c>
      <c r="AE1215" s="71">
        <v>2400</v>
      </c>
      <c r="AF1215" s="64">
        <f t="shared" si="284"/>
        <v>4.5751633986928102E-2</v>
      </c>
      <c r="AG1215" s="64">
        <f t="shared" si="290"/>
        <v>4.5751633986928102E-2</v>
      </c>
      <c r="AH1215" s="67"/>
      <c r="AI1215" s="47" t="s">
        <v>250</v>
      </c>
      <c r="AJ1215" s="47">
        <v>742.72</v>
      </c>
      <c r="AK1215" s="47" t="s">
        <v>65</v>
      </c>
      <c r="AL1215" s="47" t="s">
        <v>55</v>
      </c>
      <c r="AM1215" s="47" t="s">
        <v>131</v>
      </c>
      <c r="AN1215" s="47"/>
      <c r="AO1215" s="211">
        <f t="shared" si="285"/>
        <v>-1</v>
      </c>
      <c r="AP1215" s="47" t="s">
        <v>90</v>
      </c>
      <c r="AQ1215" s="135" t="s">
        <v>116</v>
      </c>
      <c r="AR1215" s="47"/>
    </row>
    <row r="1216" spans="1:45">
      <c r="A1216" s="47" t="s">
        <v>44</v>
      </c>
      <c r="B1216" s="47" t="str">
        <f t="shared" ref="B1216:B1247" si="294">TEXT(C1216,"mmmm")</f>
        <v>August</v>
      </c>
      <c r="C1216" s="59">
        <v>45513</v>
      </c>
      <c r="D1216" s="47" t="s">
        <v>83</v>
      </c>
      <c r="E1216" s="47" t="s">
        <v>126</v>
      </c>
      <c r="F1216" s="47" t="s">
        <v>127</v>
      </c>
      <c r="G1216" s="47" t="s">
        <v>3170</v>
      </c>
      <c r="H1216" s="47" t="s">
        <v>3171</v>
      </c>
      <c r="I1216" s="47" t="s">
        <v>1823</v>
      </c>
      <c r="J1216" s="47" t="s">
        <v>51</v>
      </c>
      <c r="K1216" s="48">
        <v>45117</v>
      </c>
      <c r="L1216" s="48">
        <v>45117</v>
      </c>
      <c r="M1216" s="48">
        <v>45482</v>
      </c>
      <c r="N1216" s="47" t="s">
        <v>64</v>
      </c>
      <c r="O1216" s="55" t="s">
        <v>53</v>
      </c>
      <c r="P1216" s="62">
        <v>39600</v>
      </c>
      <c r="Q1216" s="62">
        <v>3300</v>
      </c>
      <c r="R1216" s="103">
        <v>39600</v>
      </c>
      <c r="S1216" s="62">
        <f t="shared" si="292"/>
        <v>3300</v>
      </c>
      <c r="T1216" s="62">
        <v>39600</v>
      </c>
      <c r="U1216" s="62">
        <f t="shared" si="293"/>
        <v>3300</v>
      </c>
      <c r="V1216" s="69">
        <v>36600</v>
      </c>
      <c r="W1216" s="71" t="s">
        <v>123</v>
      </c>
      <c r="X1216" s="71"/>
      <c r="Y1216" s="71"/>
      <c r="Z1216" s="64" t="e">
        <f t="shared" si="282"/>
        <v>#VALUE!</v>
      </c>
      <c r="AA1216" s="64" t="e">
        <f t="shared" si="287"/>
        <v>#VALUE!</v>
      </c>
      <c r="AB1216" s="71">
        <v>3500</v>
      </c>
      <c r="AC1216" s="64">
        <f t="shared" si="283"/>
        <v>6.0606060606060608E-2</v>
      </c>
      <c r="AD1216" s="64">
        <f t="shared" si="289"/>
        <v>6.0606060606060608E-2</v>
      </c>
      <c r="AE1216" s="175">
        <v>3400</v>
      </c>
      <c r="AF1216" s="64">
        <f t="shared" si="284"/>
        <v>3.0303030303030304E-2</v>
      </c>
      <c r="AG1216" s="64">
        <f t="shared" si="290"/>
        <v>3.0303030303030304E-2</v>
      </c>
      <c r="AH1216" s="67"/>
      <c r="AI1216" s="47" t="s">
        <v>54</v>
      </c>
      <c r="AJ1216" s="47">
        <v>936.46</v>
      </c>
      <c r="AK1216" s="47" t="s">
        <v>140</v>
      </c>
      <c r="AL1216" s="47" t="s">
        <v>55</v>
      </c>
      <c r="AM1216" s="47" t="s">
        <v>131</v>
      </c>
      <c r="AN1216" s="47"/>
      <c r="AO1216" s="211">
        <f t="shared" si="285"/>
        <v>-1</v>
      </c>
      <c r="AP1216" s="47" t="s">
        <v>90</v>
      </c>
      <c r="AQ1216" s="94" t="s">
        <v>891</v>
      </c>
      <c r="AR1216" s="47"/>
    </row>
    <row r="1217" spans="1:44">
      <c r="A1217" s="47" t="s">
        <v>44</v>
      </c>
      <c r="B1217" s="47" t="str">
        <f t="shared" si="294"/>
        <v>July</v>
      </c>
      <c r="C1217" s="59">
        <v>45478</v>
      </c>
      <c r="D1217" s="47" t="s">
        <v>83</v>
      </c>
      <c r="E1217" s="47" t="s">
        <v>126</v>
      </c>
      <c r="F1217" s="47" t="s">
        <v>127</v>
      </c>
      <c r="G1217" s="47" t="s">
        <v>3275</v>
      </c>
      <c r="H1217" s="47" t="s">
        <v>3276</v>
      </c>
      <c r="I1217" s="47" t="s">
        <v>3277</v>
      </c>
      <c r="J1217" s="47" t="s">
        <v>51</v>
      </c>
      <c r="K1217" s="48">
        <v>42343</v>
      </c>
      <c r="L1217" s="48">
        <v>45113</v>
      </c>
      <c r="M1217" s="48">
        <v>45478</v>
      </c>
      <c r="N1217" s="47" t="s">
        <v>64</v>
      </c>
      <c r="O1217" s="55" t="s">
        <v>53</v>
      </c>
      <c r="P1217" s="62">
        <v>27900</v>
      </c>
      <c r="Q1217" s="62">
        <v>2325</v>
      </c>
      <c r="R1217" s="103">
        <v>27900</v>
      </c>
      <c r="S1217" s="62">
        <f t="shared" si="292"/>
        <v>2325</v>
      </c>
      <c r="T1217" s="62">
        <v>27900</v>
      </c>
      <c r="U1217" s="62">
        <f t="shared" si="293"/>
        <v>2325</v>
      </c>
      <c r="V1217" s="69">
        <v>25740</v>
      </c>
      <c r="W1217" s="71" t="s">
        <v>123</v>
      </c>
      <c r="X1217" s="71"/>
      <c r="Y1217" s="71"/>
      <c r="Z1217" s="64" t="e">
        <f t="shared" si="282"/>
        <v>#VALUE!</v>
      </c>
      <c r="AA1217" s="64" t="e">
        <f t="shared" si="287"/>
        <v>#VALUE!</v>
      </c>
      <c r="AB1217" s="71">
        <v>2500</v>
      </c>
      <c r="AC1217" s="64">
        <f t="shared" si="283"/>
        <v>7.5268817204301078E-2</v>
      </c>
      <c r="AD1217" s="64">
        <f t="shared" si="289"/>
        <v>7.5268817204301078E-2</v>
      </c>
      <c r="AE1217" s="71">
        <v>2465</v>
      </c>
      <c r="AF1217" s="64">
        <f t="shared" si="284"/>
        <v>6.0215053763440864E-2</v>
      </c>
      <c r="AG1217" s="64">
        <f t="shared" si="290"/>
        <v>6.0215053763440864E-2</v>
      </c>
      <c r="AH1217" s="67"/>
      <c r="AI1217" s="47" t="s">
        <v>54</v>
      </c>
      <c r="AJ1217" s="47">
        <v>688.9</v>
      </c>
      <c r="AK1217" s="101" t="s">
        <v>65</v>
      </c>
      <c r="AL1217" s="101" t="s">
        <v>55</v>
      </c>
      <c r="AM1217" s="47" t="s">
        <v>131</v>
      </c>
      <c r="AN1217" s="47">
        <v>2465</v>
      </c>
      <c r="AO1217" s="211">
        <f t="shared" si="285"/>
        <v>6.0215053763440864E-2</v>
      </c>
      <c r="AP1217" s="47" t="s">
        <v>90</v>
      </c>
      <c r="AQ1217" s="91" t="s">
        <v>116</v>
      </c>
      <c r="AR1217" s="47"/>
    </row>
    <row r="1218" spans="1:44">
      <c r="A1218" s="47" t="s">
        <v>44</v>
      </c>
      <c r="B1218" s="47" t="str">
        <f t="shared" si="294"/>
        <v>July</v>
      </c>
      <c r="C1218" s="59">
        <v>45481</v>
      </c>
      <c r="D1218" s="47" t="s">
        <v>83</v>
      </c>
      <c r="E1218" s="47" t="s">
        <v>126</v>
      </c>
      <c r="F1218" s="47" t="s">
        <v>127</v>
      </c>
      <c r="G1218" s="47" t="s">
        <v>3278</v>
      </c>
      <c r="H1218" s="47" t="s">
        <v>3279</v>
      </c>
      <c r="I1218" s="47" t="s">
        <v>3280</v>
      </c>
      <c r="J1218" s="47" t="s">
        <v>51</v>
      </c>
      <c r="K1218" s="48">
        <v>44751</v>
      </c>
      <c r="L1218" s="48">
        <v>45116</v>
      </c>
      <c r="M1218" s="48">
        <v>45481</v>
      </c>
      <c r="N1218" s="47" t="s">
        <v>64</v>
      </c>
      <c r="O1218" s="55" t="s">
        <v>53</v>
      </c>
      <c r="P1218" s="62">
        <v>28620</v>
      </c>
      <c r="Q1218" s="62">
        <v>2385</v>
      </c>
      <c r="R1218" s="103">
        <v>28620</v>
      </c>
      <c r="S1218" s="62">
        <f t="shared" si="292"/>
        <v>2385</v>
      </c>
      <c r="T1218" s="62">
        <v>28620</v>
      </c>
      <c r="U1218" s="62">
        <f t="shared" si="293"/>
        <v>2385</v>
      </c>
      <c r="V1218" s="69">
        <v>26400</v>
      </c>
      <c r="W1218" s="71" t="s">
        <v>123</v>
      </c>
      <c r="X1218" s="71"/>
      <c r="Y1218" s="71"/>
      <c r="Z1218" s="64" t="e">
        <f t="shared" ref="Z1218:Z1269" si="295">(W1218-U1218)/U1218</f>
        <v>#VALUE!</v>
      </c>
      <c r="AA1218" s="64" t="e">
        <f t="shared" si="287"/>
        <v>#VALUE!</v>
      </c>
      <c r="AB1218" s="71">
        <v>2500</v>
      </c>
      <c r="AC1218" s="64">
        <f t="shared" ref="AC1218:AC1269" si="296">(AB1218-U1218)/U1218</f>
        <v>4.8218029350104823E-2</v>
      </c>
      <c r="AD1218" s="64">
        <f t="shared" si="289"/>
        <v>4.8218029350104823E-2</v>
      </c>
      <c r="AE1218" s="71">
        <v>2475</v>
      </c>
      <c r="AF1218" s="64">
        <f t="shared" ref="AF1218:AF1269" si="297">(AE1218-U1218)/U1218</f>
        <v>3.7735849056603772E-2</v>
      </c>
      <c r="AG1218" s="64">
        <f t="shared" si="290"/>
        <v>3.7735849056603772E-2</v>
      </c>
      <c r="AH1218" s="67"/>
      <c r="AI1218" s="47" t="s">
        <v>54</v>
      </c>
      <c r="AJ1218" s="47">
        <v>602.78</v>
      </c>
      <c r="AK1218" s="101" t="s">
        <v>65</v>
      </c>
      <c r="AL1218" s="101" t="s">
        <v>55</v>
      </c>
      <c r="AM1218" s="47" t="s">
        <v>131</v>
      </c>
      <c r="AN1218" s="47">
        <v>2500</v>
      </c>
      <c r="AO1218" s="211">
        <f t="shared" ref="AO1218:AO1269" si="298">SUM(AN1218-U1218)/U1218</f>
        <v>4.8218029350104823E-2</v>
      </c>
      <c r="AP1218" s="47" t="s">
        <v>90</v>
      </c>
      <c r="AQ1218" s="91" t="s">
        <v>116</v>
      </c>
      <c r="AR1218" s="47"/>
    </row>
    <row r="1219" spans="1:44" hidden="1">
      <c r="A1219" s="47" t="s">
        <v>44</v>
      </c>
      <c r="B1219" s="47" t="str">
        <f t="shared" si="294"/>
        <v>July</v>
      </c>
      <c r="C1219" s="59">
        <v>45482</v>
      </c>
      <c r="D1219" s="47" t="s">
        <v>83</v>
      </c>
      <c r="E1219" s="47" t="s">
        <v>126</v>
      </c>
      <c r="F1219" s="47" t="s">
        <v>127</v>
      </c>
      <c r="G1219" s="47" t="s">
        <v>3281</v>
      </c>
      <c r="H1219" s="47" t="s">
        <v>3282</v>
      </c>
      <c r="I1219" s="47" t="s">
        <v>3283</v>
      </c>
      <c r="J1219" s="47" t="s">
        <v>51</v>
      </c>
      <c r="K1219" s="48">
        <v>45117</v>
      </c>
      <c r="L1219" s="48">
        <v>45117</v>
      </c>
      <c r="M1219" s="48">
        <v>45482</v>
      </c>
      <c r="N1219" s="47" t="s">
        <v>52</v>
      </c>
      <c r="O1219" s="55" t="s">
        <v>53</v>
      </c>
      <c r="P1219" s="62">
        <v>30720</v>
      </c>
      <c r="Q1219" s="62">
        <v>2560</v>
      </c>
      <c r="R1219" s="103">
        <v>30720</v>
      </c>
      <c r="S1219" s="62">
        <f t="shared" si="292"/>
        <v>2560</v>
      </c>
      <c r="T1219" s="62">
        <v>30720</v>
      </c>
      <c r="U1219" s="62">
        <f t="shared" si="293"/>
        <v>2560</v>
      </c>
      <c r="V1219" s="69">
        <v>29400</v>
      </c>
      <c r="W1219" s="71" t="s">
        <v>123</v>
      </c>
      <c r="X1219" s="71"/>
      <c r="Y1219" s="71"/>
      <c r="Z1219" s="64" t="e">
        <f t="shared" si="295"/>
        <v>#VALUE!</v>
      </c>
      <c r="AA1219" s="64" t="e">
        <f t="shared" si="287"/>
        <v>#VALUE!</v>
      </c>
      <c r="AB1219" s="71">
        <v>2600</v>
      </c>
      <c r="AC1219" s="64">
        <f t="shared" si="296"/>
        <v>1.5625E-2</v>
      </c>
      <c r="AD1219" s="64">
        <f t="shared" si="289"/>
        <v>1.5625E-2</v>
      </c>
      <c r="AE1219" s="71">
        <v>2600</v>
      </c>
      <c r="AF1219" s="64">
        <f t="shared" si="297"/>
        <v>1.5625E-2</v>
      </c>
      <c r="AG1219" s="64">
        <f t="shared" si="290"/>
        <v>1.5625E-2</v>
      </c>
      <c r="AH1219" s="67"/>
      <c r="AI1219" s="47" t="s">
        <v>54</v>
      </c>
      <c r="AJ1219" s="47">
        <v>667.37</v>
      </c>
      <c r="AK1219" s="101" t="s">
        <v>65</v>
      </c>
      <c r="AL1219" s="101" t="s">
        <v>55</v>
      </c>
      <c r="AM1219" s="47" t="s">
        <v>131</v>
      </c>
      <c r="AN1219" s="47"/>
      <c r="AO1219" s="211">
        <f t="shared" si="298"/>
        <v>-1</v>
      </c>
      <c r="AP1219" s="47" t="s">
        <v>90</v>
      </c>
      <c r="AQ1219" s="91" t="s">
        <v>116</v>
      </c>
      <c r="AR1219" s="47"/>
    </row>
    <row r="1220" spans="1:44">
      <c r="A1220" s="47" t="s">
        <v>44</v>
      </c>
      <c r="B1220" s="47" t="str">
        <f t="shared" si="294"/>
        <v>July</v>
      </c>
      <c r="C1220" s="59">
        <v>45488</v>
      </c>
      <c r="D1220" s="47" t="s">
        <v>83</v>
      </c>
      <c r="E1220" s="47" t="s">
        <v>126</v>
      </c>
      <c r="F1220" s="47" t="s">
        <v>127</v>
      </c>
      <c r="G1220" s="47" t="s">
        <v>3284</v>
      </c>
      <c r="H1220" s="47" t="s">
        <v>3285</v>
      </c>
      <c r="I1220" s="47" t="s">
        <v>3286</v>
      </c>
      <c r="J1220" s="47" t="s">
        <v>51</v>
      </c>
      <c r="K1220" s="48">
        <v>44758</v>
      </c>
      <c r="L1220" s="48">
        <v>45123</v>
      </c>
      <c r="M1220" s="48">
        <v>45488</v>
      </c>
      <c r="N1220" s="47" t="s">
        <v>64</v>
      </c>
      <c r="O1220" s="55" t="s">
        <v>53</v>
      </c>
      <c r="P1220" s="62">
        <v>26580</v>
      </c>
      <c r="Q1220" s="62">
        <v>2215</v>
      </c>
      <c r="R1220" s="103">
        <v>26580</v>
      </c>
      <c r="S1220" s="62">
        <f t="shared" si="292"/>
        <v>2215</v>
      </c>
      <c r="T1220" s="62">
        <v>26580</v>
      </c>
      <c r="U1220" s="62">
        <f t="shared" si="293"/>
        <v>2215</v>
      </c>
      <c r="V1220" s="69">
        <v>24600</v>
      </c>
      <c r="W1220" s="71" t="s">
        <v>123</v>
      </c>
      <c r="X1220" s="71"/>
      <c r="Y1220" s="71"/>
      <c r="Z1220" s="64" t="e">
        <f t="shared" si="295"/>
        <v>#VALUE!</v>
      </c>
      <c r="AA1220" s="64" t="e">
        <f t="shared" si="287"/>
        <v>#VALUE!</v>
      </c>
      <c r="AB1220" s="71">
        <v>2325</v>
      </c>
      <c r="AC1220" s="64">
        <f t="shared" si="296"/>
        <v>4.9661399548532728E-2</v>
      </c>
      <c r="AD1220" s="64">
        <f t="shared" si="289"/>
        <v>4.9661399548532728E-2</v>
      </c>
      <c r="AE1220" s="71">
        <v>2315</v>
      </c>
      <c r="AF1220" s="64">
        <f t="shared" si="297"/>
        <v>4.5146726862302484E-2</v>
      </c>
      <c r="AG1220" s="64">
        <f t="shared" si="290"/>
        <v>4.5146726862302484E-2</v>
      </c>
      <c r="AH1220" s="67"/>
      <c r="AI1220" s="47" t="s">
        <v>54</v>
      </c>
      <c r="AJ1220" s="47">
        <v>818.06</v>
      </c>
      <c r="AK1220" s="101" t="s">
        <v>55</v>
      </c>
      <c r="AL1220" s="101" t="s">
        <v>55</v>
      </c>
      <c r="AM1220" s="47" t="s">
        <v>131</v>
      </c>
      <c r="AN1220" s="47">
        <v>2315</v>
      </c>
      <c r="AO1220" s="211">
        <f t="shared" si="298"/>
        <v>4.5146726862302484E-2</v>
      </c>
      <c r="AP1220" s="47" t="s">
        <v>90</v>
      </c>
      <c r="AQ1220" s="91" t="s">
        <v>116</v>
      </c>
      <c r="AR1220" s="47"/>
    </row>
    <row r="1221" spans="1:44">
      <c r="A1221" s="47" t="s">
        <v>44</v>
      </c>
      <c r="B1221" s="47" t="str">
        <f t="shared" si="294"/>
        <v>July</v>
      </c>
      <c r="C1221" s="59">
        <v>45488</v>
      </c>
      <c r="D1221" s="47" t="s">
        <v>83</v>
      </c>
      <c r="E1221" s="47" t="s">
        <v>126</v>
      </c>
      <c r="F1221" s="47" t="s">
        <v>127</v>
      </c>
      <c r="G1221" s="47" t="s">
        <v>3287</v>
      </c>
      <c r="H1221" s="47" t="s">
        <v>3288</v>
      </c>
      <c r="I1221" s="47" t="s">
        <v>3289</v>
      </c>
      <c r="J1221" s="47" t="s">
        <v>51</v>
      </c>
      <c r="K1221" s="48">
        <v>41471</v>
      </c>
      <c r="L1221" s="48">
        <v>45123</v>
      </c>
      <c r="M1221" s="48">
        <v>45488</v>
      </c>
      <c r="N1221" s="47" t="s">
        <v>64</v>
      </c>
      <c r="O1221" s="55" t="s">
        <v>53</v>
      </c>
      <c r="P1221" s="62">
        <v>25680</v>
      </c>
      <c r="Q1221" s="62">
        <v>2140</v>
      </c>
      <c r="R1221" s="103">
        <v>25680</v>
      </c>
      <c r="S1221" s="62">
        <f t="shared" si="292"/>
        <v>2140</v>
      </c>
      <c r="T1221" s="62">
        <v>25680</v>
      </c>
      <c r="U1221" s="62">
        <f t="shared" si="293"/>
        <v>2140</v>
      </c>
      <c r="V1221" s="69">
        <v>23760</v>
      </c>
      <c r="W1221" s="71" t="s">
        <v>123</v>
      </c>
      <c r="X1221" s="71"/>
      <c r="Y1221" s="71"/>
      <c r="Z1221" s="64" t="e">
        <f t="shared" si="295"/>
        <v>#VALUE!</v>
      </c>
      <c r="AA1221" s="64" t="e">
        <f t="shared" si="287"/>
        <v>#VALUE!</v>
      </c>
      <c r="AB1221" s="71">
        <v>2400</v>
      </c>
      <c r="AC1221" s="64">
        <f t="shared" si="296"/>
        <v>0.12149532710280374</v>
      </c>
      <c r="AD1221" s="64">
        <f t="shared" si="289"/>
        <v>0.12149532710280374</v>
      </c>
      <c r="AE1221" s="71">
        <v>2350</v>
      </c>
      <c r="AF1221" s="64">
        <f t="shared" si="297"/>
        <v>9.8130841121495324E-2</v>
      </c>
      <c r="AG1221" s="64">
        <f t="shared" si="290"/>
        <v>9.8130841121495324E-2</v>
      </c>
      <c r="AH1221" s="67"/>
      <c r="AI1221" s="47" t="s">
        <v>54</v>
      </c>
      <c r="AJ1221" s="47">
        <v>1011.81</v>
      </c>
      <c r="AK1221" s="101" t="s">
        <v>65</v>
      </c>
      <c r="AL1221" s="101" t="s">
        <v>55</v>
      </c>
      <c r="AM1221" s="47" t="s">
        <v>131</v>
      </c>
      <c r="AN1221" s="47">
        <v>2260</v>
      </c>
      <c r="AO1221" s="211">
        <f t="shared" si="298"/>
        <v>5.6074766355140186E-2</v>
      </c>
      <c r="AP1221" s="47" t="s">
        <v>90</v>
      </c>
      <c r="AQ1221" s="91" t="s">
        <v>116</v>
      </c>
      <c r="AR1221" s="47"/>
    </row>
    <row r="1222" spans="1:44">
      <c r="A1222" s="47" t="s">
        <v>44</v>
      </c>
      <c r="B1222" s="47" t="str">
        <f t="shared" si="294"/>
        <v>July</v>
      </c>
      <c r="C1222" s="59">
        <v>45495</v>
      </c>
      <c r="D1222" s="47" t="s">
        <v>83</v>
      </c>
      <c r="E1222" s="47" t="s">
        <v>126</v>
      </c>
      <c r="F1222" s="47" t="s">
        <v>127</v>
      </c>
      <c r="G1222" s="47" t="s">
        <v>3290</v>
      </c>
      <c r="H1222" s="47" t="s">
        <v>3291</v>
      </c>
      <c r="I1222" s="47" t="s">
        <v>3292</v>
      </c>
      <c r="J1222" s="47" t="s">
        <v>51</v>
      </c>
      <c r="K1222" s="48">
        <v>44400</v>
      </c>
      <c r="L1222" s="48">
        <v>45130</v>
      </c>
      <c r="M1222" s="48">
        <v>45495</v>
      </c>
      <c r="N1222" s="47" t="s">
        <v>64</v>
      </c>
      <c r="O1222" s="55" t="s">
        <v>53</v>
      </c>
      <c r="P1222" s="62">
        <v>22740</v>
      </c>
      <c r="Q1222" s="62">
        <v>1895</v>
      </c>
      <c r="R1222" s="103">
        <v>22740</v>
      </c>
      <c r="S1222" s="62">
        <f t="shared" si="292"/>
        <v>1895</v>
      </c>
      <c r="T1222" s="62">
        <v>22740</v>
      </c>
      <c r="U1222" s="62">
        <f t="shared" si="293"/>
        <v>1895</v>
      </c>
      <c r="V1222" s="69">
        <v>21000</v>
      </c>
      <c r="W1222" s="71" t="s">
        <v>123</v>
      </c>
      <c r="X1222" s="71"/>
      <c r="Y1222" s="71"/>
      <c r="Z1222" s="64" t="e">
        <f t="shared" si="295"/>
        <v>#VALUE!</v>
      </c>
      <c r="AA1222" s="64" t="e">
        <f t="shared" si="287"/>
        <v>#VALUE!</v>
      </c>
      <c r="AB1222" s="71">
        <v>1985</v>
      </c>
      <c r="AC1222" s="64">
        <f t="shared" si="296"/>
        <v>4.7493403693931395E-2</v>
      </c>
      <c r="AD1222" s="64">
        <f t="shared" si="289"/>
        <v>4.7493403693931395E-2</v>
      </c>
      <c r="AE1222" s="71">
        <v>1985</v>
      </c>
      <c r="AF1222" s="64">
        <f t="shared" si="297"/>
        <v>4.7493403693931395E-2</v>
      </c>
      <c r="AG1222" s="64">
        <f t="shared" si="290"/>
        <v>4.7493403693931395E-2</v>
      </c>
      <c r="AH1222" s="67"/>
      <c r="AI1222" s="47" t="s">
        <v>54</v>
      </c>
      <c r="AJ1222" s="47">
        <v>452.09</v>
      </c>
      <c r="AK1222" s="101" t="s">
        <v>55</v>
      </c>
      <c r="AL1222" s="101" t="s">
        <v>55</v>
      </c>
      <c r="AM1222" s="47" t="s">
        <v>131</v>
      </c>
      <c r="AN1222" s="47">
        <v>1985</v>
      </c>
      <c r="AO1222" s="211">
        <f t="shared" si="298"/>
        <v>4.7493403693931395E-2</v>
      </c>
      <c r="AP1222" s="47" t="s">
        <v>90</v>
      </c>
      <c r="AQ1222" s="91" t="s">
        <v>116</v>
      </c>
      <c r="AR1222" s="47"/>
    </row>
    <row r="1223" spans="1:44">
      <c r="A1223" s="47" t="s">
        <v>44</v>
      </c>
      <c r="B1223" s="47" t="str">
        <f t="shared" si="294"/>
        <v>July</v>
      </c>
      <c r="C1223" s="59">
        <v>45495</v>
      </c>
      <c r="D1223" s="47" t="s">
        <v>83</v>
      </c>
      <c r="E1223" s="47" t="s">
        <v>126</v>
      </c>
      <c r="F1223" s="47" t="s">
        <v>127</v>
      </c>
      <c r="G1223" s="47" t="s">
        <v>3293</v>
      </c>
      <c r="H1223" s="47" t="s">
        <v>3294</v>
      </c>
      <c r="I1223" s="47" t="s">
        <v>3295</v>
      </c>
      <c r="J1223" s="47" t="s">
        <v>51</v>
      </c>
      <c r="K1223" s="48">
        <v>41236</v>
      </c>
      <c r="L1223" s="48">
        <v>45130</v>
      </c>
      <c r="M1223" s="48">
        <v>45495</v>
      </c>
      <c r="N1223" s="47" t="s">
        <v>64</v>
      </c>
      <c r="O1223" s="55" t="s">
        <v>53</v>
      </c>
      <c r="P1223" s="62">
        <v>31020</v>
      </c>
      <c r="Q1223" s="62">
        <v>2585</v>
      </c>
      <c r="R1223" s="103">
        <v>31020</v>
      </c>
      <c r="S1223" s="62">
        <f t="shared" si="292"/>
        <v>2585</v>
      </c>
      <c r="T1223" s="62">
        <v>31020</v>
      </c>
      <c r="U1223" s="62">
        <f t="shared" si="293"/>
        <v>2585</v>
      </c>
      <c r="V1223" s="69">
        <v>28500</v>
      </c>
      <c r="W1223" s="71" t="s">
        <v>123</v>
      </c>
      <c r="X1223" s="71"/>
      <c r="Y1223" s="71"/>
      <c r="Z1223" s="64" t="e">
        <f t="shared" si="295"/>
        <v>#VALUE!</v>
      </c>
      <c r="AA1223" s="64" t="e">
        <f t="shared" si="287"/>
        <v>#VALUE!</v>
      </c>
      <c r="AB1223" s="71">
        <v>2800</v>
      </c>
      <c r="AC1223" s="64">
        <f t="shared" si="296"/>
        <v>8.3172147001934232E-2</v>
      </c>
      <c r="AD1223" s="64">
        <f t="shared" si="289"/>
        <v>8.3172147001934232E-2</v>
      </c>
      <c r="AE1223" s="71">
        <v>2735</v>
      </c>
      <c r="AF1223" s="64">
        <f t="shared" si="297"/>
        <v>5.8027079303675046E-2</v>
      </c>
      <c r="AG1223" s="64">
        <f t="shared" si="290"/>
        <v>5.8027079303675046E-2</v>
      </c>
      <c r="AH1223" s="67"/>
      <c r="AI1223" s="47" t="s">
        <v>250</v>
      </c>
      <c r="AJ1223" s="47">
        <v>785.77</v>
      </c>
      <c r="AK1223" s="101" t="s">
        <v>140</v>
      </c>
      <c r="AL1223" s="101" t="s">
        <v>55</v>
      </c>
      <c r="AM1223" s="47" t="s">
        <v>131</v>
      </c>
      <c r="AN1223" s="47">
        <v>2740</v>
      </c>
      <c r="AO1223" s="211">
        <f t="shared" si="298"/>
        <v>5.9961315280464215E-2</v>
      </c>
      <c r="AP1223" s="47" t="s">
        <v>90</v>
      </c>
      <c r="AQ1223" s="91" t="s">
        <v>116</v>
      </c>
      <c r="AR1223" s="47"/>
    </row>
    <row r="1224" spans="1:44">
      <c r="A1224" s="47" t="s">
        <v>44</v>
      </c>
      <c r="B1224" s="47" t="str">
        <f t="shared" si="294"/>
        <v>July</v>
      </c>
      <c r="C1224" s="59">
        <v>45500</v>
      </c>
      <c r="D1224" s="47" t="s">
        <v>83</v>
      </c>
      <c r="E1224" s="47" t="s">
        <v>126</v>
      </c>
      <c r="F1224" s="47" t="s">
        <v>127</v>
      </c>
      <c r="G1224" s="47" t="s">
        <v>3296</v>
      </c>
      <c r="H1224" s="47" t="s">
        <v>3297</v>
      </c>
      <c r="I1224" s="47" t="s">
        <v>3298</v>
      </c>
      <c r="J1224" s="47" t="s">
        <v>51</v>
      </c>
      <c r="K1224" s="48">
        <v>44040</v>
      </c>
      <c r="L1224" s="48">
        <v>45135</v>
      </c>
      <c r="M1224" s="48">
        <v>45500</v>
      </c>
      <c r="N1224" s="47" t="s">
        <v>64</v>
      </c>
      <c r="O1224" s="55" t="s">
        <v>53</v>
      </c>
      <c r="P1224" s="62">
        <v>39600</v>
      </c>
      <c r="Q1224" s="62">
        <v>3300</v>
      </c>
      <c r="R1224" s="103">
        <v>39600</v>
      </c>
      <c r="S1224" s="62">
        <f t="shared" si="292"/>
        <v>3300</v>
      </c>
      <c r="T1224" s="62">
        <v>39600</v>
      </c>
      <c r="U1224" s="62">
        <f t="shared" si="293"/>
        <v>3300</v>
      </c>
      <c r="V1224" s="69">
        <v>36840</v>
      </c>
      <c r="W1224" s="71" t="s">
        <v>123</v>
      </c>
      <c r="X1224" s="71"/>
      <c r="Y1224" s="71"/>
      <c r="Z1224" s="64" t="e">
        <f t="shared" si="295"/>
        <v>#VALUE!</v>
      </c>
      <c r="AA1224" s="64" t="e">
        <f t="shared" si="287"/>
        <v>#VALUE!</v>
      </c>
      <c r="AB1224" s="71">
        <v>3500</v>
      </c>
      <c r="AC1224" s="64">
        <f t="shared" si="296"/>
        <v>6.0606060606060608E-2</v>
      </c>
      <c r="AD1224" s="64">
        <f t="shared" si="289"/>
        <v>6.0606060606060608E-2</v>
      </c>
      <c r="AE1224" s="71">
        <v>3450</v>
      </c>
      <c r="AF1224" s="64">
        <f t="shared" si="297"/>
        <v>4.5454545454545456E-2</v>
      </c>
      <c r="AG1224" s="64">
        <f t="shared" si="290"/>
        <v>4.5454545454545456E-2</v>
      </c>
      <c r="AH1224" s="67"/>
      <c r="AI1224" s="47" t="s">
        <v>395</v>
      </c>
      <c r="AJ1224" s="47">
        <v>839.59</v>
      </c>
      <c r="AK1224" s="101" t="s">
        <v>140</v>
      </c>
      <c r="AL1224" s="101" t="s">
        <v>55</v>
      </c>
      <c r="AM1224" s="47" t="s">
        <v>131</v>
      </c>
      <c r="AN1224" s="47">
        <v>3450</v>
      </c>
      <c r="AO1224" s="211">
        <f t="shared" si="298"/>
        <v>4.5454545454545456E-2</v>
      </c>
      <c r="AP1224" s="47" t="s">
        <v>90</v>
      </c>
      <c r="AQ1224" s="91" t="s">
        <v>116</v>
      </c>
      <c r="AR1224" s="47"/>
    </row>
    <row r="1225" spans="1:44">
      <c r="A1225" s="47" t="s">
        <v>44</v>
      </c>
      <c r="B1225" s="47" t="str">
        <f t="shared" si="294"/>
        <v>July</v>
      </c>
      <c r="C1225" s="59">
        <v>45504</v>
      </c>
      <c r="D1225" s="47" t="s">
        <v>83</v>
      </c>
      <c r="E1225" s="47" t="s">
        <v>126</v>
      </c>
      <c r="F1225" s="47" t="s">
        <v>127</v>
      </c>
      <c r="G1225" s="47" t="s">
        <v>3299</v>
      </c>
      <c r="H1225" s="47" t="s">
        <v>3300</v>
      </c>
      <c r="I1225" s="47" t="s">
        <v>3301</v>
      </c>
      <c r="J1225" s="47" t="s">
        <v>51</v>
      </c>
      <c r="K1225" s="48">
        <v>40079</v>
      </c>
      <c r="L1225" s="48">
        <v>45139</v>
      </c>
      <c r="M1225" s="48">
        <v>45504</v>
      </c>
      <c r="N1225" s="47" t="s">
        <v>64</v>
      </c>
      <c r="O1225" s="55" t="s">
        <v>53</v>
      </c>
      <c r="P1225" s="62">
        <v>27120</v>
      </c>
      <c r="Q1225" s="62">
        <v>2260</v>
      </c>
      <c r="R1225" s="103">
        <v>27120</v>
      </c>
      <c r="S1225" s="62"/>
      <c r="T1225" s="62">
        <v>27120</v>
      </c>
      <c r="U1225" s="62"/>
      <c r="V1225" s="69">
        <v>25320</v>
      </c>
      <c r="W1225" s="71" t="s">
        <v>123</v>
      </c>
      <c r="X1225" s="71"/>
      <c r="Y1225" s="71"/>
      <c r="Z1225" s="64" t="e">
        <f t="shared" si="295"/>
        <v>#VALUE!</v>
      </c>
      <c r="AA1225" s="64" t="e">
        <f t="shared" si="287"/>
        <v>#VALUE!</v>
      </c>
      <c r="AB1225" s="71"/>
      <c r="AC1225" s="64" t="e">
        <f t="shared" si="296"/>
        <v>#DIV/0!</v>
      </c>
      <c r="AD1225" s="64" t="e">
        <f t="shared" si="289"/>
        <v>#DIV/0!</v>
      </c>
      <c r="AE1225" s="71"/>
      <c r="AF1225" s="64" t="e">
        <f t="shared" si="297"/>
        <v>#DIV/0!</v>
      </c>
      <c r="AG1225" s="64" t="e">
        <f t="shared" si="290"/>
        <v>#DIV/0!</v>
      </c>
      <c r="AH1225" s="67" t="s">
        <v>3302</v>
      </c>
      <c r="AI1225" s="47" t="s">
        <v>250</v>
      </c>
      <c r="AJ1225" s="47">
        <v>861.11</v>
      </c>
      <c r="AK1225" s="101" t="s">
        <v>140</v>
      </c>
      <c r="AL1225" s="101" t="s">
        <v>55</v>
      </c>
      <c r="AM1225" s="47" t="s">
        <v>131</v>
      </c>
      <c r="AN1225" s="47"/>
      <c r="AO1225" s="211" t="e">
        <f t="shared" si="298"/>
        <v>#DIV/0!</v>
      </c>
      <c r="AP1225" s="47" t="s">
        <v>90</v>
      </c>
      <c r="AQ1225" s="94" t="s">
        <v>1120</v>
      </c>
      <c r="AR1225" s="47"/>
    </row>
    <row r="1226" spans="1:44">
      <c r="A1226" s="47" t="s">
        <v>44</v>
      </c>
      <c r="B1226" s="47" t="str">
        <f t="shared" si="294"/>
        <v>August</v>
      </c>
      <c r="C1226" s="59">
        <v>45530</v>
      </c>
      <c r="D1226" s="47" t="s">
        <v>83</v>
      </c>
      <c r="E1226" s="47" t="s">
        <v>126</v>
      </c>
      <c r="F1226" s="47" t="s">
        <v>127</v>
      </c>
      <c r="G1226" s="47" t="s">
        <v>3478</v>
      </c>
      <c r="H1226" s="47" t="s">
        <v>3479</v>
      </c>
      <c r="I1226" s="47" t="s">
        <v>3480</v>
      </c>
      <c r="J1226" s="47" t="s">
        <v>51</v>
      </c>
      <c r="K1226" s="48">
        <v>44800</v>
      </c>
      <c r="L1226" s="48">
        <v>45165</v>
      </c>
      <c r="M1226" s="48">
        <v>45530</v>
      </c>
      <c r="N1226" s="47" t="s">
        <v>64</v>
      </c>
      <c r="O1226" s="55" t="s">
        <v>53</v>
      </c>
      <c r="P1226" s="62">
        <v>31800</v>
      </c>
      <c r="Q1226" s="62">
        <v>2650</v>
      </c>
      <c r="R1226" s="103">
        <v>34800</v>
      </c>
      <c r="S1226" s="62">
        <f t="shared" ref="S1226:S1269" si="299">R1226/12</f>
        <v>2900</v>
      </c>
      <c r="T1226" s="62">
        <v>34800</v>
      </c>
      <c r="U1226" s="62">
        <f t="shared" ref="U1226:U1269" si="300">T1226/12</f>
        <v>2900</v>
      </c>
      <c r="V1226" s="69">
        <v>31800</v>
      </c>
      <c r="W1226" s="71" t="s">
        <v>123</v>
      </c>
      <c r="X1226" s="71"/>
      <c r="Y1226" s="71"/>
      <c r="Z1226" s="64" t="e">
        <f t="shared" si="295"/>
        <v>#VALUE!</v>
      </c>
      <c r="AA1226" s="64" t="e">
        <f t="shared" si="287"/>
        <v>#VALUE!</v>
      </c>
      <c r="AB1226" s="71">
        <v>3150</v>
      </c>
      <c r="AC1226" s="64">
        <f t="shared" si="296"/>
        <v>8.6206896551724144E-2</v>
      </c>
      <c r="AD1226" s="64">
        <f t="shared" si="289"/>
        <v>8.6206896551724144E-2</v>
      </c>
      <c r="AE1226" s="175">
        <v>3085</v>
      </c>
      <c r="AF1226" s="64">
        <f t="shared" si="297"/>
        <v>6.3793103448275865E-2</v>
      </c>
      <c r="AG1226" s="64">
        <f t="shared" si="290"/>
        <v>6.3793103448275865E-2</v>
      </c>
      <c r="AH1226" s="67"/>
      <c r="AI1226" s="47" t="s">
        <v>54</v>
      </c>
      <c r="AJ1226" s="47">
        <v>742.72</v>
      </c>
      <c r="AK1226" s="47" t="s">
        <v>140</v>
      </c>
      <c r="AL1226" s="47" t="s">
        <v>55</v>
      </c>
      <c r="AM1226" s="47" t="s">
        <v>131</v>
      </c>
      <c r="AN1226" s="47"/>
      <c r="AO1226" s="211">
        <f t="shared" si="298"/>
        <v>-1</v>
      </c>
      <c r="AP1226" s="47" t="s">
        <v>90</v>
      </c>
      <c r="AQ1226" s="91" t="s">
        <v>116</v>
      </c>
      <c r="AR1226" s="47"/>
    </row>
    <row r="1227" spans="1:44">
      <c r="A1227" s="47" t="s">
        <v>44</v>
      </c>
      <c r="B1227" s="47" t="str">
        <f t="shared" si="294"/>
        <v>July</v>
      </c>
      <c r="C1227" s="59">
        <v>45487</v>
      </c>
      <c r="D1227" s="47" t="s">
        <v>109</v>
      </c>
      <c r="E1227" s="47" t="s">
        <v>1102</v>
      </c>
      <c r="F1227" s="47" t="s">
        <v>1042</v>
      </c>
      <c r="G1227" s="47" t="s">
        <v>1103</v>
      </c>
      <c r="H1227" s="47" t="s">
        <v>1104</v>
      </c>
      <c r="I1227" s="47" t="s">
        <v>50</v>
      </c>
      <c r="J1227" s="47" t="s">
        <v>51</v>
      </c>
      <c r="K1227" s="48">
        <v>44819</v>
      </c>
      <c r="L1227" s="48">
        <v>45184</v>
      </c>
      <c r="M1227" s="48">
        <v>45487</v>
      </c>
      <c r="N1227" s="47" t="s">
        <v>64</v>
      </c>
      <c r="O1227" s="55" t="s">
        <v>53</v>
      </c>
      <c r="P1227" s="62">
        <v>13500</v>
      </c>
      <c r="Q1227" s="62">
        <v>1125</v>
      </c>
      <c r="R1227" s="96">
        <v>14872</v>
      </c>
      <c r="S1227" s="62">
        <f t="shared" si="299"/>
        <v>1239.3333333333333</v>
      </c>
      <c r="T1227" s="62">
        <v>13800</v>
      </c>
      <c r="U1227" s="62">
        <f t="shared" si="300"/>
        <v>1150</v>
      </c>
      <c r="V1227" s="69">
        <v>13800</v>
      </c>
      <c r="W1227" s="71">
        <v>1270</v>
      </c>
      <c r="X1227" s="71"/>
      <c r="Y1227" s="71"/>
      <c r="Z1227" s="64">
        <f t="shared" si="295"/>
        <v>0.10434782608695652</v>
      </c>
      <c r="AA1227" s="64">
        <f t="shared" si="287"/>
        <v>2.4744486282947883E-2</v>
      </c>
      <c r="AB1227" s="71">
        <v>1245</v>
      </c>
      <c r="AC1227" s="64">
        <f t="shared" si="296"/>
        <v>8.2608695652173908E-2</v>
      </c>
      <c r="AD1227" s="64">
        <f t="shared" si="289"/>
        <v>4.5723507261969413E-3</v>
      </c>
      <c r="AE1227" s="71">
        <v>1235</v>
      </c>
      <c r="AF1227" s="64">
        <f t="shared" si="297"/>
        <v>7.3913043478260873E-2</v>
      </c>
      <c r="AG1227" s="64">
        <f t="shared" si="290"/>
        <v>-3.4965034965034354E-3</v>
      </c>
      <c r="AH1227" s="67"/>
      <c r="AI1227" s="47" t="s">
        <v>54</v>
      </c>
      <c r="AJ1227" s="47">
        <v>531</v>
      </c>
      <c r="AK1227" s="101" t="s">
        <v>55</v>
      </c>
      <c r="AL1227" s="101" t="s">
        <v>55</v>
      </c>
      <c r="AM1227" s="47" t="s">
        <v>1105</v>
      </c>
      <c r="AN1227" s="47">
        <v>1245</v>
      </c>
      <c r="AO1227" s="211">
        <f t="shared" si="298"/>
        <v>8.2608695652173908E-2</v>
      </c>
      <c r="AP1227" s="47" t="s">
        <v>852</v>
      </c>
      <c r="AQ1227" s="111" t="s">
        <v>125</v>
      </c>
      <c r="AR1227" s="47" t="s">
        <v>904</v>
      </c>
    </row>
    <row r="1228" spans="1:44">
      <c r="A1228" s="47" t="s">
        <v>44</v>
      </c>
      <c r="B1228" s="47" t="str">
        <f t="shared" si="294"/>
        <v>July</v>
      </c>
      <c r="C1228" s="59">
        <v>45494</v>
      </c>
      <c r="D1228" s="47" t="s">
        <v>109</v>
      </c>
      <c r="E1228" s="47" t="s">
        <v>1102</v>
      </c>
      <c r="F1228" s="47" t="s">
        <v>1042</v>
      </c>
      <c r="G1228" s="47" t="s">
        <v>1272</v>
      </c>
      <c r="H1228" s="47" t="s">
        <v>1273</v>
      </c>
      <c r="I1228" s="47" t="s">
        <v>50</v>
      </c>
      <c r="J1228" s="47" t="s">
        <v>51</v>
      </c>
      <c r="K1228" s="48">
        <v>44764</v>
      </c>
      <c r="L1228" s="48">
        <v>45129</v>
      </c>
      <c r="M1228" s="48">
        <v>45494</v>
      </c>
      <c r="N1228" s="47" t="s">
        <v>64</v>
      </c>
      <c r="O1228" s="55" t="s">
        <v>53</v>
      </c>
      <c r="P1228" s="62">
        <v>19200</v>
      </c>
      <c r="Q1228" s="62">
        <v>1600</v>
      </c>
      <c r="R1228" s="96">
        <v>19032</v>
      </c>
      <c r="S1228" s="62">
        <f t="shared" si="299"/>
        <v>1586</v>
      </c>
      <c r="T1228" s="62">
        <v>19200</v>
      </c>
      <c r="U1228" s="62">
        <f t="shared" si="300"/>
        <v>1600</v>
      </c>
      <c r="V1228" s="69">
        <v>19200</v>
      </c>
      <c r="W1228" s="71">
        <v>1700</v>
      </c>
      <c r="X1228" s="71"/>
      <c r="Y1228" s="71"/>
      <c r="Z1228" s="64">
        <f t="shared" si="295"/>
        <v>6.25E-2</v>
      </c>
      <c r="AA1228" s="64">
        <f t="shared" si="287"/>
        <v>7.1878940731399749E-2</v>
      </c>
      <c r="AB1228" s="71">
        <v>1650</v>
      </c>
      <c r="AC1228" s="64">
        <f t="shared" si="296"/>
        <v>3.125E-2</v>
      </c>
      <c r="AD1228" s="64">
        <f t="shared" si="289"/>
        <v>4.0353089533417402E-2</v>
      </c>
      <c r="AE1228" s="71">
        <v>1630</v>
      </c>
      <c r="AF1228" s="64">
        <f t="shared" si="297"/>
        <v>1.8749999999999999E-2</v>
      </c>
      <c r="AG1228" s="64">
        <f t="shared" si="290"/>
        <v>2.7742749054224466E-2</v>
      </c>
      <c r="AH1228" s="67"/>
      <c r="AI1228" s="47" t="s">
        <v>250</v>
      </c>
      <c r="AJ1228" s="47">
        <v>967</v>
      </c>
      <c r="AK1228" s="101" t="s">
        <v>65</v>
      </c>
      <c r="AL1228" s="101" t="s">
        <v>65</v>
      </c>
      <c r="AM1228" s="47" t="s">
        <v>1274</v>
      </c>
      <c r="AN1228" s="47">
        <v>1650</v>
      </c>
      <c r="AO1228" s="211">
        <f t="shared" si="298"/>
        <v>3.125E-2</v>
      </c>
      <c r="AP1228" s="47" t="s">
        <v>852</v>
      </c>
      <c r="AQ1228" s="111" t="s">
        <v>125</v>
      </c>
      <c r="AR1228" s="47" t="s">
        <v>1199</v>
      </c>
    </row>
    <row r="1229" spans="1:44" hidden="1">
      <c r="A1229" s="47" t="s">
        <v>44</v>
      </c>
      <c r="B1229" s="47" t="str">
        <f t="shared" si="294"/>
        <v>August</v>
      </c>
      <c r="C1229" s="59">
        <v>45525</v>
      </c>
      <c r="D1229" s="47" t="s">
        <v>109</v>
      </c>
      <c r="E1229" s="47" t="s">
        <v>1102</v>
      </c>
      <c r="F1229" s="47" t="s">
        <v>1042</v>
      </c>
      <c r="G1229" s="47" t="s">
        <v>2191</v>
      </c>
      <c r="H1229" s="47" t="s">
        <v>2192</v>
      </c>
      <c r="I1229" s="47" t="s">
        <v>50</v>
      </c>
      <c r="J1229" s="47" t="s">
        <v>51</v>
      </c>
      <c r="K1229" s="48">
        <v>45160</v>
      </c>
      <c r="L1229" s="48">
        <v>45160</v>
      </c>
      <c r="M1229" s="48">
        <v>45525</v>
      </c>
      <c r="N1229" s="47" t="s">
        <v>52</v>
      </c>
      <c r="O1229" s="55" t="s">
        <v>53</v>
      </c>
      <c r="P1229" s="62">
        <v>13200</v>
      </c>
      <c r="Q1229" s="62">
        <v>1100</v>
      </c>
      <c r="R1229" s="96">
        <v>14924</v>
      </c>
      <c r="S1229" s="62">
        <f t="shared" si="299"/>
        <v>1243.6666666666667</v>
      </c>
      <c r="T1229" s="62">
        <v>13800</v>
      </c>
      <c r="U1229" s="62">
        <f t="shared" si="300"/>
        <v>1150</v>
      </c>
      <c r="V1229" s="69">
        <v>13200</v>
      </c>
      <c r="W1229" s="71">
        <v>1185</v>
      </c>
      <c r="X1229" s="71"/>
      <c r="Y1229" s="71"/>
      <c r="Z1229" s="64">
        <f t="shared" si="295"/>
        <v>3.0434782608695653E-2</v>
      </c>
      <c r="AA1229" s="64">
        <f t="shared" si="287"/>
        <v>-4.717233985526674E-2</v>
      </c>
      <c r="AB1229" s="71">
        <v>1245</v>
      </c>
      <c r="AC1229" s="64">
        <f t="shared" si="296"/>
        <v>8.2608695652173908E-2</v>
      </c>
      <c r="AD1229" s="64">
        <f t="shared" si="289"/>
        <v>1.0720986330741819E-3</v>
      </c>
      <c r="AE1229" s="71">
        <v>1235</v>
      </c>
      <c r="AF1229" s="64">
        <f t="shared" si="297"/>
        <v>7.3913043478260873E-2</v>
      </c>
      <c r="AG1229" s="64">
        <f t="shared" si="290"/>
        <v>-6.9686411149826391E-3</v>
      </c>
      <c r="AH1229" s="67"/>
      <c r="AI1229" s="47" t="s">
        <v>54</v>
      </c>
      <c r="AJ1229" s="47">
        <v>484</v>
      </c>
      <c r="AK1229" s="47" t="s">
        <v>55</v>
      </c>
      <c r="AL1229" s="47" t="s">
        <v>55</v>
      </c>
      <c r="AM1229" s="47" t="s">
        <v>131</v>
      </c>
      <c r="AN1229" s="47"/>
      <c r="AO1229" s="211">
        <f t="shared" si="298"/>
        <v>-1</v>
      </c>
      <c r="AP1229" s="47" t="s">
        <v>852</v>
      </c>
      <c r="AQ1229" s="91" t="s">
        <v>2193</v>
      </c>
      <c r="AR1229" s="47"/>
    </row>
    <row r="1230" spans="1:44" hidden="1">
      <c r="A1230" s="47" t="s">
        <v>44</v>
      </c>
      <c r="B1230" s="47" t="str">
        <f t="shared" si="294"/>
        <v>August</v>
      </c>
      <c r="C1230" s="59">
        <v>45521</v>
      </c>
      <c r="D1230" s="47" t="s">
        <v>109</v>
      </c>
      <c r="E1230" s="47" t="s">
        <v>1102</v>
      </c>
      <c r="F1230" s="47" t="s">
        <v>1042</v>
      </c>
      <c r="G1230" s="47" t="s">
        <v>2507</v>
      </c>
      <c r="H1230" s="47" t="s">
        <v>2508</v>
      </c>
      <c r="I1230" s="47" t="s">
        <v>50</v>
      </c>
      <c r="J1230" s="47" t="s">
        <v>51</v>
      </c>
      <c r="K1230" s="48">
        <v>45156</v>
      </c>
      <c r="L1230" s="48">
        <v>45156</v>
      </c>
      <c r="M1230" s="48">
        <v>45521</v>
      </c>
      <c r="N1230" s="47" t="s">
        <v>52</v>
      </c>
      <c r="O1230" s="55" t="s">
        <v>53</v>
      </c>
      <c r="P1230" s="62">
        <v>23568</v>
      </c>
      <c r="Q1230" s="62">
        <v>1964</v>
      </c>
      <c r="R1230" s="96">
        <v>22932</v>
      </c>
      <c r="S1230" s="62">
        <f t="shared" si="299"/>
        <v>1911</v>
      </c>
      <c r="T1230" s="62">
        <v>24180</v>
      </c>
      <c r="U1230" s="62">
        <f t="shared" si="300"/>
        <v>2015</v>
      </c>
      <c r="V1230" s="69">
        <v>23568</v>
      </c>
      <c r="W1230" s="71">
        <v>2075</v>
      </c>
      <c r="X1230" s="71"/>
      <c r="Y1230" s="71"/>
      <c r="Z1230" s="64">
        <f t="shared" si="295"/>
        <v>2.9776674937965261E-2</v>
      </c>
      <c r="AA1230" s="64">
        <f t="shared" si="287"/>
        <v>8.5818942961800107E-2</v>
      </c>
      <c r="AB1230" s="71">
        <v>2120</v>
      </c>
      <c r="AC1230" s="64">
        <f t="shared" si="296"/>
        <v>5.2109181141439205E-2</v>
      </c>
      <c r="AD1230" s="64">
        <f t="shared" si="289"/>
        <v>0.10936682365253794</v>
      </c>
      <c r="AE1230" s="71">
        <v>2095</v>
      </c>
      <c r="AF1230" s="64">
        <f t="shared" si="297"/>
        <v>3.9702233250620347E-2</v>
      </c>
      <c r="AG1230" s="64">
        <f t="shared" si="290"/>
        <v>9.6284667713239139E-2</v>
      </c>
      <c r="AH1230" s="67"/>
      <c r="AI1230" s="47" t="s">
        <v>54</v>
      </c>
      <c r="AJ1230" s="47">
        <v>1148</v>
      </c>
      <c r="AK1230" s="47" t="s">
        <v>140</v>
      </c>
      <c r="AL1230" s="47" t="s">
        <v>140</v>
      </c>
      <c r="AM1230" s="47" t="s">
        <v>2509</v>
      </c>
      <c r="AN1230" s="47"/>
      <c r="AO1230" s="211">
        <f t="shared" si="298"/>
        <v>-1</v>
      </c>
      <c r="AP1230" s="47" t="s">
        <v>852</v>
      </c>
      <c r="AQ1230" s="91" t="s">
        <v>1074</v>
      </c>
      <c r="AR1230" s="47" t="s">
        <v>2510</v>
      </c>
    </row>
    <row r="1231" spans="1:44" hidden="1">
      <c r="A1231" s="47" t="s">
        <v>74</v>
      </c>
      <c r="B1231" s="47" t="str">
        <f t="shared" si="294"/>
        <v>August</v>
      </c>
      <c r="C1231" s="221">
        <v>45526</v>
      </c>
      <c r="D1231" s="47" t="s">
        <v>109</v>
      </c>
      <c r="E1231" s="47" t="s">
        <v>1102</v>
      </c>
      <c r="F1231" s="47" t="s">
        <v>1042</v>
      </c>
      <c r="G1231" s="77" t="s">
        <v>2749</v>
      </c>
      <c r="H1231" s="47" t="s">
        <v>2750</v>
      </c>
      <c r="I1231" s="47" t="s">
        <v>50</v>
      </c>
      <c r="J1231" s="47" t="s">
        <v>51</v>
      </c>
      <c r="K1231" s="48">
        <v>45345</v>
      </c>
      <c r="L1231" s="48">
        <v>45345</v>
      </c>
      <c r="M1231" s="48">
        <v>45526</v>
      </c>
      <c r="N1231" s="47" t="s">
        <v>52</v>
      </c>
      <c r="O1231" s="55" t="s">
        <v>53</v>
      </c>
      <c r="P1231" s="62">
        <v>18300</v>
      </c>
      <c r="Q1231" s="62">
        <v>1525</v>
      </c>
      <c r="R1231" s="96">
        <v>19032</v>
      </c>
      <c r="S1231" s="62">
        <f t="shared" si="299"/>
        <v>1586</v>
      </c>
      <c r="T1231" s="62">
        <v>18960</v>
      </c>
      <c r="U1231" s="62">
        <f t="shared" si="300"/>
        <v>1580</v>
      </c>
      <c r="V1231" s="69">
        <v>18300</v>
      </c>
      <c r="W1231" s="71">
        <v>1650</v>
      </c>
      <c r="X1231" s="71"/>
      <c r="Y1231" s="71"/>
      <c r="Z1231" s="64">
        <f t="shared" si="295"/>
        <v>4.4303797468354431E-2</v>
      </c>
      <c r="AA1231" s="64">
        <f t="shared" si="287"/>
        <v>4.0353089533417402E-2</v>
      </c>
      <c r="AB1231" s="71">
        <v>1650</v>
      </c>
      <c r="AC1231" s="64">
        <f t="shared" si="296"/>
        <v>4.4303797468354431E-2</v>
      </c>
      <c r="AD1231" s="64">
        <f t="shared" si="289"/>
        <v>4.0353089533417402E-2</v>
      </c>
      <c r="AE1231" s="71">
        <v>1620</v>
      </c>
      <c r="AF1231" s="64">
        <f t="shared" si="297"/>
        <v>2.5316455696202531E-2</v>
      </c>
      <c r="AG1231" s="64">
        <f t="shared" si="290"/>
        <v>2.1437578814627996E-2</v>
      </c>
      <c r="AH1231" s="67"/>
      <c r="AI1231" s="47" t="s">
        <v>54</v>
      </c>
      <c r="AJ1231" s="47">
        <v>881</v>
      </c>
      <c r="AK1231" s="47" t="s">
        <v>65</v>
      </c>
      <c r="AL1231" s="47" t="s">
        <v>65</v>
      </c>
      <c r="AM1231" s="47" t="s">
        <v>131</v>
      </c>
      <c r="AN1231" s="47"/>
      <c r="AO1231" s="211">
        <f t="shared" si="298"/>
        <v>-1</v>
      </c>
      <c r="AP1231" s="47" t="s">
        <v>852</v>
      </c>
      <c r="AQ1231" s="91" t="s">
        <v>1132</v>
      </c>
      <c r="AR1231" s="47"/>
    </row>
    <row r="1232" spans="1:44" hidden="1">
      <c r="A1232" s="47" t="s">
        <v>44</v>
      </c>
      <c r="B1232" s="47" t="str">
        <f t="shared" si="294"/>
        <v>July</v>
      </c>
      <c r="C1232" s="59">
        <v>45479</v>
      </c>
      <c r="D1232" s="47" t="s">
        <v>109</v>
      </c>
      <c r="E1232" s="47" t="s">
        <v>1102</v>
      </c>
      <c r="F1232" s="47" t="s">
        <v>1042</v>
      </c>
      <c r="G1232" s="47" t="s">
        <v>3303</v>
      </c>
      <c r="H1232" s="47" t="s">
        <v>3304</v>
      </c>
      <c r="I1232" s="47" t="s">
        <v>50</v>
      </c>
      <c r="J1232" s="47" t="s">
        <v>51</v>
      </c>
      <c r="K1232" s="48">
        <v>45114</v>
      </c>
      <c r="L1232" s="48">
        <v>45114</v>
      </c>
      <c r="M1232" s="48">
        <v>45479</v>
      </c>
      <c r="N1232" s="47" t="s">
        <v>52</v>
      </c>
      <c r="O1232" s="55" t="s">
        <v>53</v>
      </c>
      <c r="P1232" s="62">
        <v>18240</v>
      </c>
      <c r="Q1232" s="62">
        <v>1520</v>
      </c>
      <c r="R1232" s="96">
        <v>19032</v>
      </c>
      <c r="S1232" s="62">
        <f t="shared" si="299"/>
        <v>1586</v>
      </c>
      <c r="T1232" s="62">
        <v>18120</v>
      </c>
      <c r="U1232" s="62">
        <f t="shared" si="300"/>
        <v>1510</v>
      </c>
      <c r="V1232" s="69">
        <v>17580</v>
      </c>
      <c r="W1232" s="71">
        <v>1545</v>
      </c>
      <c r="X1232" s="71"/>
      <c r="Y1232" s="71"/>
      <c r="Z1232" s="64">
        <f t="shared" si="295"/>
        <v>2.3178807947019868E-2</v>
      </c>
      <c r="AA1232" s="64">
        <f t="shared" si="287"/>
        <v>-2.5851197982345524E-2</v>
      </c>
      <c r="AB1232" s="71">
        <v>1595</v>
      </c>
      <c r="AC1232" s="64">
        <f t="shared" si="296"/>
        <v>5.6291390728476824E-2</v>
      </c>
      <c r="AD1232" s="64">
        <f t="shared" si="289"/>
        <v>5.6746532156368226E-3</v>
      </c>
      <c r="AE1232" s="71">
        <v>1585</v>
      </c>
      <c r="AF1232" s="64">
        <f t="shared" si="297"/>
        <v>4.9668874172185427E-2</v>
      </c>
      <c r="AG1232" s="64">
        <f t="shared" si="290"/>
        <v>-6.3051702395964691E-4</v>
      </c>
      <c r="AH1232" s="67"/>
      <c r="AI1232" s="47" t="s">
        <v>54</v>
      </c>
      <c r="AJ1232" s="47">
        <v>767</v>
      </c>
      <c r="AK1232" s="101" t="s">
        <v>65</v>
      </c>
      <c r="AL1232" s="101" t="s">
        <v>65</v>
      </c>
      <c r="AM1232" s="47" t="s">
        <v>3305</v>
      </c>
      <c r="AN1232" s="47" t="s">
        <v>3306</v>
      </c>
      <c r="AO1232" s="211" t="e">
        <f t="shared" si="298"/>
        <v>#VALUE!</v>
      </c>
      <c r="AP1232" s="47" t="s">
        <v>852</v>
      </c>
      <c r="AQ1232" s="111" t="s">
        <v>125</v>
      </c>
      <c r="AR1232" s="47" t="s">
        <v>987</v>
      </c>
    </row>
    <row r="1233" spans="1:44" hidden="1">
      <c r="A1233" s="47" t="s">
        <v>44</v>
      </c>
      <c r="B1233" s="47" t="str">
        <f t="shared" si="294"/>
        <v>July</v>
      </c>
      <c r="C1233" s="59">
        <v>45496</v>
      </c>
      <c r="D1233" s="47" t="s">
        <v>109</v>
      </c>
      <c r="E1233" s="47" t="s">
        <v>1102</v>
      </c>
      <c r="F1233" s="47" t="s">
        <v>1042</v>
      </c>
      <c r="G1233" s="47" t="s">
        <v>3307</v>
      </c>
      <c r="H1233" s="47" t="s">
        <v>3308</v>
      </c>
      <c r="I1233" s="47" t="s">
        <v>3309</v>
      </c>
      <c r="J1233" s="47" t="s">
        <v>51</v>
      </c>
      <c r="K1233" s="48">
        <v>45131</v>
      </c>
      <c r="L1233" s="48">
        <v>45131</v>
      </c>
      <c r="M1233" s="48">
        <v>45496</v>
      </c>
      <c r="N1233" s="47" t="s">
        <v>52</v>
      </c>
      <c r="O1233" s="55" t="s">
        <v>53</v>
      </c>
      <c r="P1233" s="62">
        <v>18720</v>
      </c>
      <c r="Q1233" s="62">
        <v>1560</v>
      </c>
      <c r="R1233" s="96">
        <v>19032</v>
      </c>
      <c r="S1233" s="62">
        <f t="shared" si="299"/>
        <v>1586</v>
      </c>
      <c r="T1233" s="62">
        <v>19140</v>
      </c>
      <c r="U1233" s="62">
        <f t="shared" si="300"/>
        <v>1595</v>
      </c>
      <c r="V1233" s="69">
        <v>18600</v>
      </c>
      <c r="W1233" s="71">
        <v>1640</v>
      </c>
      <c r="X1233" s="71"/>
      <c r="Y1233" s="71"/>
      <c r="Z1233" s="64">
        <f t="shared" si="295"/>
        <v>2.8213166144200628E-2</v>
      </c>
      <c r="AA1233" s="64">
        <f t="shared" si="287"/>
        <v>3.4047919293820936E-2</v>
      </c>
      <c r="AB1233" s="71">
        <v>1650</v>
      </c>
      <c r="AC1233" s="64">
        <f t="shared" si="296"/>
        <v>3.4482758620689655E-2</v>
      </c>
      <c r="AD1233" s="64">
        <f t="shared" si="289"/>
        <v>4.0353089533417402E-2</v>
      </c>
      <c r="AE1233" s="71">
        <v>1630</v>
      </c>
      <c r="AF1233" s="64">
        <f t="shared" si="297"/>
        <v>2.1943573667711599E-2</v>
      </c>
      <c r="AG1233" s="64">
        <f t="shared" si="290"/>
        <v>2.7742749054224466E-2</v>
      </c>
      <c r="AH1233" s="67"/>
      <c r="AI1233" s="47" t="s">
        <v>54</v>
      </c>
      <c r="AJ1233" s="47">
        <v>849</v>
      </c>
      <c r="AK1233" s="101" t="s">
        <v>65</v>
      </c>
      <c r="AL1233" s="101" t="s">
        <v>65</v>
      </c>
      <c r="AM1233" s="47" t="s">
        <v>3310</v>
      </c>
      <c r="AN1233" s="47"/>
      <c r="AO1233" s="211">
        <f t="shared" si="298"/>
        <v>-1</v>
      </c>
      <c r="AP1233" s="47" t="s">
        <v>852</v>
      </c>
      <c r="AQ1233" s="94" t="s">
        <v>891</v>
      </c>
      <c r="AR1233" s="47"/>
    </row>
    <row r="1234" spans="1:44" hidden="1">
      <c r="A1234" s="47" t="s">
        <v>44</v>
      </c>
      <c r="B1234" s="47" t="str">
        <f t="shared" si="294"/>
        <v>August</v>
      </c>
      <c r="C1234" s="59">
        <v>45533</v>
      </c>
      <c r="D1234" s="47" t="s">
        <v>109</v>
      </c>
      <c r="E1234" s="47" t="s">
        <v>1102</v>
      </c>
      <c r="F1234" s="47" t="s">
        <v>1042</v>
      </c>
      <c r="G1234" s="47" t="s">
        <v>3311</v>
      </c>
      <c r="H1234" s="47" t="s">
        <v>3312</v>
      </c>
      <c r="I1234" s="47" t="s">
        <v>50</v>
      </c>
      <c r="J1234" s="47" t="s">
        <v>51</v>
      </c>
      <c r="K1234" s="48">
        <v>45168</v>
      </c>
      <c r="L1234" s="48">
        <v>45168</v>
      </c>
      <c r="M1234" s="48">
        <v>45533</v>
      </c>
      <c r="N1234" s="47" t="s">
        <v>52</v>
      </c>
      <c r="O1234" s="55" t="s">
        <v>53</v>
      </c>
      <c r="P1234" s="62">
        <v>18180</v>
      </c>
      <c r="Q1234" s="62">
        <v>1515</v>
      </c>
      <c r="R1234" s="96">
        <v>19032</v>
      </c>
      <c r="S1234" s="62">
        <f t="shared" si="299"/>
        <v>1586</v>
      </c>
      <c r="T1234" s="62">
        <v>18300</v>
      </c>
      <c r="U1234" s="62">
        <f t="shared" si="300"/>
        <v>1525</v>
      </c>
      <c r="V1234" s="69">
        <v>18180</v>
      </c>
      <c r="W1234" s="71">
        <v>1575</v>
      </c>
      <c r="X1234" s="71"/>
      <c r="Y1234" s="71"/>
      <c r="Z1234" s="64">
        <f t="shared" si="295"/>
        <v>3.2786885245901641E-2</v>
      </c>
      <c r="AA1234" s="64">
        <f t="shared" si="287"/>
        <v>-6.9356872635561164E-3</v>
      </c>
      <c r="AB1234" s="71">
        <v>1600</v>
      </c>
      <c r="AC1234" s="64">
        <f t="shared" si="296"/>
        <v>4.9180327868852458E-2</v>
      </c>
      <c r="AD1234" s="64">
        <f t="shared" si="289"/>
        <v>8.8272383354350576E-3</v>
      </c>
      <c r="AE1234" s="71">
        <v>1580</v>
      </c>
      <c r="AF1234" s="64">
        <f t="shared" si="297"/>
        <v>3.6065573770491806E-2</v>
      </c>
      <c r="AG1234" s="64">
        <f t="shared" si="290"/>
        <v>-3.7831021437578815E-3</v>
      </c>
      <c r="AH1234" s="67"/>
      <c r="AI1234" s="47" t="s">
        <v>54</v>
      </c>
      <c r="AJ1234" s="47">
        <v>785</v>
      </c>
      <c r="AK1234" s="47" t="s">
        <v>65</v>
      </c>
      <c r="AL1234" s="47" t="s">
        <v>55</v>
      </c>
      <c r="AM1234" s="47" t="s">
        <v>131</v>
      </c>
      <c r="AN1234" s="47"/>
      <c r="AO1234" s="211">
        <f t="shared" si="298"/>
        <v>-1</v>
      </c>
      <c r="AP1234" s="47" t="s">
        <v>852</v>
      </c>
      <c r="AQ1234" s="91" t="s">
        <v>1132</v>
      </c>
      <c r="AR1234" s="47"/>
    </row>
    <row r="1235" spans="1:44" hidden="1">
      <c r="A1235" s="47" t="s">
        <v>44</v>
      </c>
      <c r="B1235" s="47" t="str">
        <f t="shared" si="294"/>
        <v>July</v>
      </c>
      <c r="C1235" s="59">
        <v>45486</v>
      </c>
      <c r="D1235" s="47" t="s">
        <v>109</v>
      </c>
      <c r="E1235" s="47" t="s">
        <v>1102</v>
      </c>
      <c r="F1235" s="47" t="s">
        <v>1042</v>
      </c>
      <c r="G1235" s="47" t="s">
        <v>3359</v>
      </c>
      <c r="H1235" s="47" t="s">
        <v>3360</v>
      </c>
      <c r="I1235" s="47" t="s">
        <v>3361</v>
      </c>
      <c r="J1235" s="47" t="s">
        <v>51</v>
      </c>
      <c r="K1235" s="48">
        <v>45121</v>
      </c>
      <c r="L1235" s="48">
        <v>45121</v>
      </c>
      <c r="M1235" s="48">
        <v>45486</v>
      </c>
      <c r="N1235" s="47" t="s">
        <v>52</v>
      </c>
      <c r="O1235" s="55" t="s">
        <v>53</v>
      </c>
      <c r="P1235" s="62">
        <v>18000</v>
      </c>
      <c r="Q1235" s="62">
        <v>1500</v>
      </c>
      <c r="R1235" s="96">
        <v>19032</v>
      </c>
      <c r="S1235" s="62">
        <f t="shared" si="299"/>
        <v>1586</v>
      </c>
      <c r="T1235" s="62">
        <v>17700</v>
      </c>
      <c r="U1235" s="62">
        <f t="shared" si="300"/>
        <v>1475</v>
      </c>
      <c r="V1235" s="69">
        <v>17400</v>
      </c>
      <c r="W1235" s="71">
        <v>1610</v>
      </c>
      <c r="X1235" s="71"/>
      <c r="Y1235" s="71"/>
      <c r="Z1235" s="64">
        <f t="shared" si="295"/>
        <v>9.152542372881356E-2</v>
      </c>
      <c r="AA1235" s="64">
        <f t="shared" si="287"/>
        <v>1.5132408575031526E-2</v>
      </c>
      <c r="AB1235" s="71">
        <v>1595</v>
      </c>
      <c r="AC1235" s="64">
        <f t="shared" si="296"/>
        <v>8.1355932203389825E-2</v>
      </c>
      <c r="AD1235" s="64">
        <f t="shared" si="289"/>
        <v>5.6746532156368226E-3</v>
      </c>
      <c r="AE1235" s="71">
        <v>1585</v>
      </c>
      <c r="AF1235" s="64">
        <f t="shared" si="297"/>
        <v>7.4576271186440682E-2</v>
      </c>
      <c r="AG1235" s="64">
        <f t="shared" si="290"/>
        <v>-6.3051702395964691E-4</v>
      </c>
      <c r="AH1235" s="67"/>
      <c r="AI1235" s="47" t="s">
        <v>54</v>
      </c>
      <c r="AJ1235" s="47">
        <v>763</v>
      </c>
      <c r="AK1235" s="101" t="s">
        <v>65</v>
      </c>
      <c r="AL1235" s="101" t="s">
        <v>65</v>
      </c>
      <c r="AM1235" s="47" t="s">
        <v>3362</v>
      </c>
      <c r="AN1235" s="47">
        <v>1610</v>
      </c>
      <c r="AO1235" s="211">
        <f t="shared" si="298"/>
        <v>9.152542372881356E-2</v>
      </c>
      <c r="AP1235" s="47" t="s">
        <v>852</v>
      </c>
      <c r="AQ1235" s="111" t="s">
        <v>125</v>
      </c>
      <c r="AR1235" s="47" t="s">
        <v>3363</v>
      </c>
    </row>
    <row r="1236" spans="1:44" hidden="1">
      <c r="A1236" s="47" t="s">
        <v>44</v>
      </c>
      <c r="B1236" s="47" t="str">
        <f t="shared" si="294"/>
        <v>July</v>
      </c>
      <c r="C1236" s="59">
        <v>45496</v>
      </c>
      <c r="D1236" s="47" t="s">
        <v>109</v>
      </c>
      <c r="E1236" s="47" t="s">
        <v>1102</v>
      </c>
      <c r="F1236" s="47" t="s">
        <v>1042</v>
      </c>
      <c r="G1236" s="47" t="s">
        <v>3364</v>
      </c>
      <c r="H1236" s="47" t="s">
        <v>3365</v>
      </c>
      <c r="I1236" s="47" t="s">
        <v>50</v>
      </c>
      <c r="J1236" s="47" t="s">
        <v>51</v>
      </c>
      <c r="K1236" s="48">
        <v>45254</v>
      </c>
      <c r="L1236" s="48">
        <v>45254</v>
      </c>
      <c r="M1236" s="48">
        <v>45496</v>
      </c>
      <c r="N1236" s="47" t="s">
        <v>52</v>
      </c>
      <c r="O1236" s="55" t="s">
        <v>53</v>
      </c>
      <c r="P1236" s="62">
        <v>18720</v>
      </c>
      <c r="Q1236" s="62">
        <v>1560</v>
      </c>
      <c r="R1236" s="96">
        <v>19032</v>
      </c>
      <c r="S1236" s="62">
        <f t="shared" si="299"/>
        <v>1586</v>
      </c>
      <c r="T1236" s="62">
        <v>19020</v>
      </c>
      <c r="U1236" s="62">
        <f t="shared" si="300"/>
        <v>1585</v>
      </c>
      <c r="V1236" s="69">
        <v>18000</v>
      </c>
      <c r="W1236" s="71">
        <v>1585</v>
      </c>
      <c r="X1236" s="71"/>
      <c r="Y1236" s="71"/>
      <c r="Z1236" s="64">
        <f t="shared" si="295"/>
        <v>0</v>
      </c>
      <c r="AA1236" s="64">
        <f t="shared" si="287"/>
        <v>-6.3051702395964691E-4</v>
      </c>
      <c r="AB1236" s="71">
        <v>1625</v>
      </c>
      <c r="AC1236" s="64">
        <f t="shared" si="296"/>
        <v>2.5236593059936908E-2</v>
      </c>
      <c r="AD1236" s="64">
        <f t="shared" si="289"/>
        <v>2.4590163934426229E-2</v>
      </c>
      <c r="AE1236" s="71">
        <v>1615</v>
      </c>
      <c r="AF1236" s="64">
        <f t="shared" si="297"/>
        <v>1.8927444794952682E-2</v>
      </c>
      <c r="AG1236" s="64">
        <f t="shared" si="290"/>
        <v>1.8284993694829759E-2</v>
      </c>
      <c r="AH1236" s="67"/>
      <c r="AI1236" s="47" t="s">
        <v>54</v>
      </c>
      <c r="AJ1236" s="47">
        <v>843</v>
      </c>
      <c r="AK1236" s="101" t="s">
        <v>65</v>
      </c>
      <c r="AL1236" s="101" t="s">
        <v>65</v>
      </c>
      <c r="AM1236" s="47" t="s">
        <v>3366</v>
      </c>
      <c r="AN1236" s="47">
        <v>1625</v>
      </c>
      <c r="AO1236" s="211">
        <f t="shared" si="298"/>
        <v>2.5236593059936908E-2</v>
      </c>
      <c r="AP1236" s="47" t="s">
        <v>852</v>
      </c>
      <c r="AQ1236" s="111" t="s">
        <v>125</v>
      </c>
      <c r="AR1236" s="47" t="s">
        <v>3367</v>
      </c>
    </row>
    <row r="1237" spans="1:44" hidden="1">
      <c r="A1237" s="47" t="s">
        <v>44</v>
      </c>
      <c r="B1237" s="47" t="str">
        <f t="shared" si="294"/>
        <v>August</v>
      </c>
      <c r="C1237" s="59">
        <v>45534</v>
      </c>
      <c r="D1237" s="47" t="s">
        <v>109</v>
      </c>
      <c r="E1237" s="47" t="s">
        <v>1102</v>
      </c>
      <c r="F1237" s="47" t="s">
        <v>1042</v>
      </c>
      <c r="G1237" s="47" t="s">
        <v>3499</v>
      </c>
      <c r="H1237" s="47" t="s">
        <v>3500</v>
      </c>
      <c r="I1237" s="47" t="s">
        <v>50</v>
      </c>
      <c r="J1237" s="47" t="s">
        <v>51</v>
      </c>
      <c r="K1237" s="48">
        <v>45169</v>
      </c>
      <c r="L1237" s="48">
        <v>45169</v>
      </c>
      <c r="M1237" s="48">
        <v>45534</v>
      </c>
      <c r="N1237" s="47" t="s">
        <v>52</v>
      </c>
      <c r="O1237" s="55" t="s">
        <v>53</v>
      </c>
      <c r="P1237" s="62">
        <v>13200</v>
      </c>
      <c r="Q1237" s="62">
        <v>1100</v>
      </c>
      <c r="R1237" s="96">
        <v>14872</v>
      </c>
      <c r="S1237" s="125">
        <f t="shared" si="299"/>
        <v>1239.3333333333333</v>
      </c>
      <c r="T1237" s="62">
        <v>19380</v>
      </c>
      <c r="U1237" s="62">
        <f t="shared" si="300"/>
        <v>1615</v>
      </c>
      <c r="V1237" s="69">
        <v>13200</v>
      </c>
      <c r="W1237" s="71">
        <v>1880</v>
      </c>
      <c r="X1237" s="71"/>
      <c r="Y1237" s="71"/>
      <c r="Z1237" s="64">
        <f t="shared" si="295"/>
        <v>0.16408668730650156</v>
      </c>
      <c r="AA1237" s="64">
        <f t="shared" si="287"/>
        <v>0.51694459386767089</v>
      </c>
      <c r="AB1237" s="71">
        <v>1675</v>
      </c>
      <c r="AC1237" s="64">
        <f t="shared" si="296"/>
        <v>3.7151702786377708E-2</v>
      </c>
      <c r="AD1237" s="64">
        <f t="shared" si="289"/>
        <v>0.35153308230231317</v>
      </c>
      <c r="AE1237" s="71">
        <v>1635</v>
      </c>
      <c r="AF1237" s="64">
        <f t="shared" si="297"/>
        <v>1.238390092879257E-2</v>
      </c>
      <c r="AG1237" s="64">
        <f t="shared" si="290"/>
        <v>0.31925766541151163</v>
      </c>
      <c r="AH1237" s="67"/>
      <c r="AI1237" s="47" t="s">
        <v>395</v>
      </c>
      <c r="AJ1237" s="47">
        <v>845</v>
      </c>
      <c r="AK1237" s="47" t="s">
        <v>65</v>
      </c>
      <c r="AL1237" s="47" t="s">
        <v>65</v>
      </c>
      <c r="AM1237" s="47" t="s">
        <v>131</v>
      </c>
      <c r="AN1237" s="47"/>
      <c r="AO1237" s="211">
        <f t="shared" si="298"/>
        <v>-1</v>
      </c>
      <c r="AP1237" s="47" t="s">
        <v>852</v>
      </c>
      <c r="AQ1237" s="91" t="s">
        <v>3501</v>
      </c>
      <c r="AR1237" s="47" t="s">
        <v>3502</v>
      </c>
    </row>
    <row r="1238" spans="1:44">
      <c r="A1238" s="47" t="s">
        <v>44</v>
      </c>
      <c r="B1238" s="47" t="str">
        <f t="shared" si="294"/>
        <v>August</v>
      </c>
      <c r="C1238" s="59">
        <v>45535</v>
      </c>
      <c r="D1238" s="47" t="s">
        <v>109</v>
      </c>
      <c r="E1238" s="47" t="s">
        <v>1102</v>
      </c>
      <c r="F1238" s="47" t="s">
        <v>1042</v>
      </c>
      <c r="G1238" s="47" t="s">
        <v>3598</v>
      </c>
      <c r="H1238" s="47" t="s">
        <v>3599</v>
      </c>
      <c r="I1238" s="47" t="s">
        <v>50</v>
      </c>
      <c r="J1238" s="47" t="s">
        <v>51</v>
      </c>
      <c r="K1238" s="48">
        <v>44805</v>
      </c>
      <c r="L1238" s="48">
        <v>44805</v>
      </c>
      <c r="M1238" s="48">
        <v>45535</v>
      </c>
      <c r="N1238" s="47" t="s">
        <v>64</v>
      </c>
      <c r="O1238" s="55" t="s">
        <v>53</v>
      </c>
      <c r="P1238" s="62">
        <v>18240</v>
      </c>
      <c r="Q1238" s="62">
        <v>1520</v>
      </c>
      <c r="R1238" s="96">
        <v>19032</v>
      </c>
      <c r="S1238" s="62">
        <f t="shared" si="299"/>
        <v>1586</v>
      </c>
      <c r="T1238" s="62">
        <v>17400</v>
      </c>
      <c r="U1238" s="62">
        <f t="shared" si="300"/>
        <v>1450</v>
      </c>
      <c r="V1238" s="69">
        <v>17400</v>
      </c>
      <c r="W1238" s="71">
        <v>1575</v>
      </c>
      <c r="X1238" s="71"/>
      <c r="Y1238" s="71"/>
      <c r="Z1238" s="64">
        <f t="shared" si="295"/>
        <v>8.6206896551724144E-2</v>
      </c>
      <c r="AA1238" s="64">
        <f t="shared" si="287"/>
        <v>-6.9356872635561164E-3</v>
      </c>
      <c r="AB1238" s="71">
        <v>1550</v>
      </c>
      <c r="AC1238" s="64">
        <f t="shared" si="296"/>
        <v>6.8965517241379309E-2</v>
      </c>
      <c r="AD1238" s="64">
        <f t="shared" si="289"/>
        <v>-2.269861286254729E-2</v>
      </c>
      <c r="AE1238" s="175">
        <v>1535</v>
      </c>
      <c r="AF1238" s="64">
        <f t="shared" si="297"/>
        <v>5.8620689655172413E-2</v>
      </c>
      <c r="AG1238" s="64">
        <f t="shared" si="290"/>
        <v>-3.215636822194199E-2</v>
      </c>
      <c r="AH1238" s="67"/>
      <c r="AI1238" s="47" t="s">
        <v>54</v>
      </c>
      <c r="AJ1238" s="47">
        <v>798</v>
      </c>
      <c r="AK1238" s="47" t="s">
        <v>65</v>
      </c>
      <c r="AL1238" s="47" t="s">
        <v>65</v>
      </c>
      <c r="AM1238" s="47" t="s">
        <v>3600</v>
      </c>
      <c r="AN1238" s="47"/>
      <c r="AO1238" s="211">
        <f t="shared" si="298"/>
        <v>-1</v>
      </c>
      <c r="AP1238" s="47" t="s">
        <v>852</v>
      </c>
      <c r="AQ1238" s="94" t="s">
        <v>898</v>
      </c>
      <c r="AR1238" s="47" t="s">
        <v>3601</v>
      </c>
    </row>
    <row r="1239" spans="1:44" hidden="1">
      <c r="A1239" s="47" t="s">
        <v>44</v>
      </c>
      <c r="B1239" s="47" t="str">
        <f t="shared" si="294"/>
        <v>August</v>
      </c>
      <c r="C1239" s="59">
        <v>45535</v>
      </c>
      <c r="D1239" s="47" t="s">
        <v>109</v>
      </c>
      <c r="E1239" s="47" t="s">
        <v>1102</v>
      </c>
      <c r="F1239" s="47" t="s">
        <v>1042</v>
      </c>
      <c r="G1239" s="47" t="s">
        <v>3679</v>
      </c>
      <c r="H1239" s="47" t="s">
        <v>3680</v>
      </c>
      <c r="I1239" s="47" t="s">
        <v>50</v>
      </c>
      <c r="J1239" s="47" t="s">
        <v>51</v>
      </c>
      <c r="K1239" s="48">
        <v>45170</v>
      </c>
      <c r="L1239" s="48">
        <v>45170</v>
      </c>
      <c r="M1239" s="48">
        <v>45535</v>
      </c>
      <c r="N1239" s="47" t="s">
        <v>52</v>
      </c>
      <c r="O1239" s="55" t="s">
        <v>53</v>
      </c>
      <c r="P1239" s="62">
        <v>18300</v>
      </c>
      <c r="Q1239" s="62">
        <v>1525</v>
      </c>
      <c r="R1239" s="96">
        <v>19032</v>
      </c>
      <c r="S1239" s="125">
        <f t="shared" si="299"/>
        <v>1586</v>
      </c>
      <c r="T1239" s="62">
        <v>13920</v>
      </c>
      <c r="U1239" s="62">
        <f t="shared" si="300"/>
        <v>1160</v>
      </c>
      <c r="V1239" s="69">
        <v>18300</v>
      </c>
      <c r="W1239" s="71">
        <v>1600</v>
      </c>
      <c r="X1239" s="71"/>
      <c r="Y1239" s="71"/>
      <c r="Z1239" s="64">
        <f t="shared" si="295"/>
        <v>0.37931034482758619</v>
      </c>
      <c r="AA1239" s="64">
        <f t="shared" si="287"/>
        <v>8.8272383354350576E-3</v>
      </c>
      <c r="AB1239" s="71">
        <v>1215</v>
      </c>
      <c r="AC1239" s="64">
        <f t="shared" si="296"/>
        <v>4.7413793103448273E-2</v>
      </c>
      <c r="AD1239" s="64">
        <f t="shared" si="289"/>
        <v>-0.23392181588902899</v>
      </c>
      <c r="AE1239" s="71">
        <v>1195</v>
      </c>
      <c r="AF1239" s="64">
        <f t="shared" si="297"/>
        <v>3.017241379310345E-2</v>
      </c>
      <c r="AG1239" s="64">
        <f t="shared" si="290"/>
        <v>-0.24653215636822196</v>
      </c>
      <c r="AH1239" s="67"/>
      <c r="AI1239" s="47" t="s">
        <v>54</v>
      </c>
      <c r="AJ1239" s="47">
        <v>500</v>
      </c>
      <c r="AK1239" s="47" t="s">
        <v>55</v>
      </c>
      <c r="AL1239" s="47" t="s">
        <v>55</v>
      </c>
      <c r="AM1239" s="47" t="s">
        <v>131</v>
      </c>
      <c r="AN1239" s="47">
        <v>1215</v>
      </c>
      <c r="AO1239" s="211">
        <f t="shared" si="298"/>
        <v>4.7413793103448273E-2</v>
      </c>
      <c r="AP1239" s="47" t="s">
        <v>852</v>
      </c>
      <c r="AQ1239" s="111" t="s">
        <v>125</v>
      </c>
      <c r="AR1239" s="47" t="s">
        <v>3681</v>
      </c>
    </row>
    <row r="1240" spans="1:44" hidden="1">
      <c r="A1240" s="47" t="s">
        <v>44</v>
      </c>
      <c r="B1240" s="47" t="str">
        <f t="shared" si="294"/>
        <v>August</v>
      </c>
      <c r="C1240" s="59">
        <v>45535</v>
      </c>
      <c r="D1240" s="47" t="s">
        <v>109</v>
      </c>
      <c r="E1240" s="47" t="s">
        <v>1102</v>
      </c>
      <c r="F1240" s="47" t="s">
        <v>1042</v>
      </c>
      <c r="G1240" s="47" t="s">
        <v>3808</v>
      </c>
      <c r="H1240" s="47" t="s">
        <v>3809</v>
      </c>
      <c r="I1240" s="47" t="s">
        <v>3810</v>
      </c>
      <c r="J1240" s="47" t="s">
        <v>51</v>
      </c>
      <c r="K1240" s="48">
        <v>45170</v>
      </c>
      <c r="L1240" s="48">
        <v>45170</v>
      </c>
      <c r="M1240" s="48">
        <v>45535</v>
      </c>
      <c r="N1240" s="47" t="s">
        <v>52</v>
      </c>
      <c r="O1240" s="55" t="s">
        <v>53</v>
      </c>
      <c r="P1240" s="62">
        <v>17736</v>
      </c>
      <c r="Q1240" s="62">
        <v>1478</v>
      </c>
      <c r="R1240" s="96">
        <v>19032</v>
      </c>
      <c r="S1240" s="62">
        <f t="shared" si="299"/>
        <v>1586</v>
      </c>
      <c r="T1240" s="62">
        <v>19380</v>
      </c>
      <c r="U1240" s="62">
        <f t="shared" si="300"/>
        <v>1615</v>
      </c>
      <c r="V1240" s="69">
        <v>17736</v>
      </c>
      <c r="W1240" s="71">
        <v>1200</v>
      </c>
      <c r="X1240" s="71"/>
      <c r="Y1240" s="71"/>
      <c r="Z1240" s="70">
        <f t="shared" si="295"/>
        <v>-0.25696594427244585</v>
      </c>
      <c r="AA1240" s="64">
        <f t="shared" si="287"/>
        <v>-0.24337957124842372</v>
      </c>
      <c r="AB1240" s="71">
        <v>1675</v>
      </c>
      <c r="AC1240" s="64">
        <f t="shared" si="296"/>
        <v>3.7151702786377708E-2</v>
      </c>
      <c r="AD1240" s="64">
        <f t="shared" si="289"/>
        <v>5.6116015132408575E-2</v>
      </c>
      <c r="AE1240" s="71">
        <v>1635</v>
      </c>
      <c r="AF1240" s="64">
        <f t="shared" si="297"/>
        <v>1.238390092879257E-2</v>
      </c>
      <c r="AG1240" s="64">
        <f t="shared" si="290"/>
        <v>3.0895334174022699E-2</v>
      </c>
      <c r="AH1240" s="67"/>
      <c r="AI1240" s="47" t="s">
        <v>54</v>
      </c>
      <c r="AJ1240" s="47">
        <v>787</v>
      </c>
      <c r="AK1240" s="47" t="s">
        <v>65</v>
      </c>
      <c r="AL1240" s="47" t="s">
        <v>65</v>
      </c>
      <c r="AM1240" s="47" t="s">
        <v>131</v>
      </c>
      <c r="AN1240" s="47"/>
      <c r="AO1240" s="211">
        <f t="shared" si="298"/>
        <v>-1</v>
      </c>
      <c r="AP1240" s="47" t="s">
        <v>852</v>
      </c>
      <c r="AQ1240" s="91" t="s">
        <v>58</v>
      </c>
      <c r="AR1240" s="47"/>
    </row>
    <row r="1241" spans="1:44" hidden="1">
      <c r="A1241" s="47" t="s">
        <v>44</v>
      </c>
      <c r="B1241" s="47" t="str">
        <f t="shared" si="294"/>
        <v>August</v>
      </c>
      <c r="C1241" s="59">
        <v>45524</v>
      </c>
      <c r="D1241" s="47" t="s">
        <v>109</v>
      </c>
      <c r="E1241" s="47" t="s">
        <v>1102</v>
      </c>
      <c r="F1241" s="47" t="s">
        <v>1042</v>
      </c>
      <c r="G1241" s="47" t="s">
        <v>3811</v>
      </c>
      <c r="H1241" s="47" t="s">
        <v>3812</v>
      </c>
      <c r="I1241" s="47" t="s">
        <v>50</v>
      </c>
      <c r="J1241" s="47" t="s">
        <v>51</v>
      </c>
      <c r="K1241" s="48">
        <v>45159</v>
      </c>
      <c r="L1241" s="48">
        <v>45159</v>
      </c>
      <c r="M1241" s="48">
        <v>45524</v>
      </c>
      <c r="N1241" s="47" t="s">
        <v>52</v>
      </c>
      <c r="O1241" s="55" t="s">
        <v>53</v>
      </c>
      <c r="P1241" s="62">
        <v>23460</v>
      </c>
      <c r="Q1241" s="62">
        <v>1955</v>
      </c>
      <c r="R1241" s="96">
        <v>22932</v>
      </c>
      <c r="S1241" s="62">
        <f t="shared" si="299"/>
        <v>1911</v>
      </c>
      <c r="T1241" s="62">
        <v>23460</v>
      </c>
      <c r="U1241" s="62">
        <f t="shared" si="300"/>
        <v>1955</v>
      </c>
      <c r="V1241" s="69">
        <v>23460</v>
      </c>
      <c r="W1241" s="71">
        <v>2025</v>
      </c>
      <c r="X1241" s="71"/>
      <c r="Y1241" s="71"/>
      <c r="Z1241" s="64">
        <f t="shared" si="295"/>
        <v>3.5805626598465472E-2</v>
      </c>
      <c r="AA1241" s="64">
        <f t="shared" si="287"/>
        <v>5.9654631083202514E-2</v>
      </c>
      <c r="AB1241" s="71">
        <v>2095</v>
      </c>
      <c r="AC1241" s="64">
        <f t="shared" si="296"/>
        <v>7.1611253196930943E-2</v>
      </c>
      <c r="AD1241" s="64">
        <f t="shared" si="289"/>
        <v>9.6284667713239139E-2</v>
      </c>
      <c r="AE1241" s="71">
        <v>2075</v>
      </c>
      <c r="AF1241" s="64">
        <f t="shared" si="297"/>
        <v>6.1381074168797956E-2</v>
      </c>
      <c r="AG1241" s="64">
        <f t="shared" si="290"/>
        <v>8.5818942961800107E-2</v>
      </c>
      <c r="AH1241" s="67"/>
      <c r="AI1241" s="47" t="s">
        <v>54</v>
      </c>
      <c r="AJ1241" s="47">
        <v>1123</v>
      </c>
      <c r="AK1241" s="47" t="s">
        <v>140</v>
      </c>
      <c r="AL1241" s="47" t="s">
        <v>140</v>
      </c>
      <c r="AM1241" s="47" t="s">
        <v>3813</v>
      </c>
      <c r="AN1241" s="47"/>
      <c r="AO1241" s="211">
        <f t="shared" si="298"/>
        <v>-1</v>
      </c>
      <c r="AP1241" s="47" t="s">
        <v>852</v>
      </c>
      <c r="AQ1241" s="91" t="s">
        <v>1074</v>
      </c>
      <c r="AR1241" s="47" t="s">
        <v>3814</v>
      </c>
    </row>
    <row r="1242" spans="1:44">
      <c r="A1242" s="47" t="s">
        <v>44</v>
      </c>
      <c r="B1242" s="47" t="str">
        <f t="shared" si="294"/>
        <v>August</v>
      </c>
      <c r="C1242" s="59">
        <v>45508</v>
      </c>
      <c r="D1242" s="47" t="s">
        <v>109</v>
      </c>
      <c r="E1242" s="47" t="s">
        <v>343</v>
      </c>
      <c r="F1242" s="47" t="s">
        <v>344</v>
      </c>
      <c r="G1242" s="47" t="s">
        <v>345</v>
      </c>
      <c r="H1242" s="47" t="s">
        <v>346</v>
      </c>
      <c r="I1242" s="47" t="s">
        <v>50</v>
      </c>
      <c r="J1242" s="47" t="s">
        <v>51</v>
      </c>
      <c r="K1242" s="48">
        <v>44778</v>
      </c>
      <c r="L1242" s="48">
        <v>45143</v>
      </c>
      <c r="M1242" s="48">
        <v>45508</v>
      </c>
      <c r="N1242" s="47" t="s">
        <v>64</v>
      </c>
      <c r="O1242" s="55" t="s">
        <v>53</v>
      </c>
      <c r="P1242" s="62">
        <v>23660</v>
      </c>
      <c r="Q1242" s="62">
        <v>1971.6666666666667</v>
      </c>
      <c r="R1242" s="96">
        <v>24128</v>
      </c>
      <c r="S1242" s="62">
        <f t="shared" si="299"/>
        <v>2010.6666666666667</v>
      </c>
      <c r="T1242" s="62">
        <v>23580</v>
      </c>
      <c r="U1242" s="62">
        <f t="shared" si="300"/>
        <v>1965</v>
      </c>
      <c r="V1242" s="69">
        <v>21540</v>
      </c>
      <c r="W1242" s="71">
        <v>2075</v>
      </c>
      <c r="X1242" s="71"/>
      <c r="Y1242" s="71"/>
      <c r="Z1242" s="64">
        <f t="shared" si="295"/>
        <v>5.5979643765903309E-2</v>
      </c>
      <c r="AA1242" s="64">
        <f t="shared" ref="AA1242:AA1269" si="301">(W1242-S1242)/S1242</f>
        <v>3.1996021220159113E-2</v>
      </c>
      <c r="AB1242" s="71">
        <v>2065</v>
      </c>
      <c r="AC1242" s="64">
        <f t="shared" si="296"/>
        <v>5.0890585241730277E-2</v>
      </c>
      <c r="AD1242" s="64">
        <f t="shared" si="289"/>
        <v>2.7022546419098105E-2</v>
      </c>
      <c r="AE1242" s="175">
        <v>2035</v>
      </c>
      <c r="AF1242" s="64">
        <f t="shared" si="297"/>
        <v>3.5623409669211195E-2</v>
      </c>
      <c r="AG1242" s="64">
        <f t="shared" si="290"/>
        <v>1.2102122015915082E-2</v>
      </c>
      <c r="AH1242" s="67"/>
      <c r="AI1242" s="47" t="s">
        <v>54</v>
      </c>
      <c r="AJ1242" s="47">
        <v>540.29999999999995</v>
      </c>
      <c r="AK1242" s="47" t="s">
        <v>55</v>
      </c>
      <c r="AL1242" s="47" t="s">
        <v>55</v>
      </c>
      <c r="AM1242" s="47" t="s">
        <v>347</v>
      </c>
      <c r="AN1242" s="47"/>
      <c r="AO1242" s="211">
        <f t="shared" si="298"/>
        <v>-1</v>
      </c>
      <c r="AP1242" s="47" t="s">
        <v>90</v>
      </c>
      <c r="AQ1242" s="91" t="s">
        <v>58</v>
      </c>
      <c r="AR1242" s="47"/>
    </row>
    <row r="1243" spans="1:44">
      <c r="A1243" s="47" t="s">
        <v>44</v>
      </c>
      <c r="B1243" s="47" t="str">
        <f t="shared" si="294"/>
        <v>August</v>
      </c>
      <c r="C1243" s="59">
        <v>45509</v>
      </c>
      <c r="D1243" s="47" t="s">
        <v>109</v>
      </c>
      <c r="E1243" s="47" t="s">
        <v>343</v>
      </c>
      <c r="F1243" s="47" t="s">
        <v>344</v>
      </c>
      <c r="G1243" s="47" t="s">
        <v>348</v>
      </c>
      <c r="H1243" s="47" t="s">
        <v>349</v>
      </c>
      <c r="I1243" s="47" t="s">
        <v>50</v>
      </c>
      <c r="J1243" s="47" t="s">
        <v>51</v>
      </c>
      <c r="K1243" s="48">
        <v>44414</v>
      </c>
      <c r="L1243" s="48">
        <v>45144</v>
      </c>
      <c r="M1243" s="48">
        <v>45509</v>
      </c>
      <c r="N1243" s="47" t="s">
        <v>64</v>
      </c>
      <c r="O1243" s="55" t="s">
        <v>53</v>
      </c>
      <c r="P1243" s="62">
        <v>23452</v>
      </c>
      <c r="Q1243" s="62">
        <v>1954.3333333333333</v>
      </c>
      <c r="R1243" s="96">
        <v>23868</v>
      </c>
      <c r="S1243" s="62">
        <f t="shared" si="299"/>
        <v>1989</v>
      </c>
      <c r="T1243" s="62">
        <v>22620</v>
      </c>
      <c r="U1243" s="62">
        <f t="shared" si="300"/>
        <v>1885</v>
      </c>
      <c r="V1243" s="69">
        <v>20700</v>
      </c>
      <c r="W1243" s="71">
        <v>2065</v>
      </c>
      <c r="X1243" s="71"/>
      <c r="Y1243" s="71"/>
      <c r="Z1243" s="64">
        <f t="shared" si="295"/>
        <v>9.5490716180371346E-2</v>
      </c>
      <c r="AA1243" s="64">
        <f t="shared" si="301"/>
        <v>3.8210155857214684E-2</v>
      </c>
      <c r="AB1243" s="71">
        <v>2005</v>
      </c>
      <c r="AC1243" s="64">
        <f t="shared" si="296"/>
        <v>6.3660477453580902E-2</v>
      </c>
      <c r="AD1243" s="64">
        <f t="shared" si="289"/>
        <v>8.0442433383609846E-3</v>
      </c>
      <c r="AE1243" s="71">
        <v>1990</v>
      </c>
      <c r="AF1243" s="64">
        <f t="shared" si="297"/>
        <v>5.5702917771883291E-2</v>
      </c>
      <c r="AG1243" s="64">
        <f t="shared" si="290"/>
        <v>5.0276520864756154E-4</v>
      </c>
      <c r="AH1243" s="67"/>
      <c r="AI1243" s="47" t="s">
        <v>250</v>
      </c>
      <c r="AJ1243" s="47">
        <v>660.9</v>
      </c>
      <c r="AK1243" s="47" t="s">
        <v>55</v>
      </c>
      <c r="AL1243" s="47" t="s">
        <v>55</v>
      </c>
      <c r="AM1243" s="47" t="s">
        <v>350</v>
      </c>
      <c r="AN1243" s="47">
        <v>1990</v>
      </c>
      <c r="AO1243" s="211">
        <f t="shared" si="298"/>
        <v>5.5702917771883291E-2</v>
      </c>
      <c r="AP1243" s="47" t="s">
        <v>90</v>
      </c>
      <c r="AQ1243" s="91" t="s">
        <v>116</v>
      </c>
      <c r="AR1243" s="47"/>
    </row>
    <row r="1244" spans="1:44" hidden="1">
      <c r="A1244" s="47" t="s">
        <v>44</v>
      </c>
      <c r="B1244" s="47" t="str">
        <f t="shared" si="294"/>
        <v>August</v>
      </c>
      <c r="C1244" s="59">
        <v>45521</v>
      </c>
      <c r="D1244" s="47" t="s">
        <v>109</v>
      </c>
      <c r="E1244" s="47" t="s">
        <v>343</v>
      </c>
      <c r="F1244" s="47" t="s">
        <v>344</v>
      </c>
      <c r="G1244" s="47" t="s">
        <v>1156</v>
      </c>
      <c r="H1244" s="47" t="s">
        <v>1157</v>
      </c>
      <c r="I1244" s="47" t="s">
        <v>50</v>
      </c>
      <c r="J1244" s="47" t="s">
        <v>51</v>
      </c>
      <c r="K1244" s="48">
        <v>45156</v>
      </c>
      <c r="L1244" s="48">
        <v>45156</v>
      </c>
      <c r="M1244" s="48">
        <v>45521</v>
      </c>
      <c r="N1244" s="47" t="s">
        <v>52</v>
      </c>
      <c r="O1244" s="55" t="s">
        <v>53</v>
      </c>
      <c r="P1244" s="62">
        <v>22984</v>
      </c>
      <c r="Q1244" s="62">
        <v>1915.3333333333333</v>
      </c>
      <c r="R1244" s="96">
        <v>23400</v>
      </c>
      <c r="S1244" s="62">
        <f t="shared" si="299"/>
        <v>1950</v>
      </c>
      <c r="T1244" s="62">
        <v>23400</v>
      </c>
      <c r="U1244" s="62">
        <f t="shared" si="300"/>
        <v>1950</v>
      </c>
      <c r="V1244" s="69">
        <v>20100</v>
      </c>
      <c r="W1244" s="71">
        <v>2060</v>
      </c>
      <c r="X1244" s="71"/>
      <c r="Y1244" s="71"/>
      <c r="Z1244" s="64">
        <f t="shared" si="295"/>
        <v>5.6410256410256411E-2</v>
      </c>
      <c r="AA1244" s="64">
        <f t="shared" si="301"/>
        <v>5.6410256410256411E-2</v>
      </c>
      <c r="AB1244" s="71">
        <v>2050</v>
      </c>
      <c r="AC1244" s="64">
        <f t="shared" si="296"/>
        <v>5.128205128205128E-2</v>
      </c>
      <c r="AD1244" s="64">
        <f t="shared" si="289"/>
        <v>5.128205128205128E-2</v>
      </c>
      <c r="AE1244" s="71">
        <v>2030</v>
      </c>
      <c r="AF1244" s="64">
        <f t="shared" si="297"/>
        <v>4.1025641025641026E-2</v>
      </c>
      <c r="AG1244" s="64">
        <f t="shared" si="290"/>
        <v>4.1025641025641026E-2</v>
      </c>
      <c r="AH1244" s="67"/>
      <c r="AI1244" s="47" t="s">
        <v>54</v>
      </c>
      <c r="AJ1244" s="47">
        <v>540.29999999999995</v>
      </c>
      <c r="AK1244" s="47" t="s">
        <v>55</v>
      </c>
      <c r="AL1244" s="47" t="s">
        <v>55</v>
      </c>
      <c r="AM1244" s="47" t="s">
        <v>1158</v>
      </c>
      <c r="AN1244" s="47"/>
      <c r="AO1244" s="211">
        <f t="shared" si="298"/>
        <v>-1</v>
      </c>
      <c r="AP1244" s="47" t="s">
        <v>90</v>
      </c>
      <c r="AQ1244" s="91" t="s">
        <v>116</v>
      </c>
      <c r="AR1244" s="47"/>
    </row>
    <row r="1245" spans="1:44">
      <c r="A1245" s="47" t="s">
        <v>44</v>
      </c>
      <c r="B1245" s="47" t="str">
        <f t="shared" si="294"/>
        <v>August</v>
      </c>
      <c r="C1245" s="59">
        <v>45522</v>
      </c>
      <c r="D1245" s="47" t="s">
        <v>109</v>
      </c>
      <c r="E1245" s="47" t="s">
        <v>343</v>
      </c>
      <c r="F1245" s="47" t="s">
        <v>344</v>
      </c>
      <c r="G1245" s="47" t="s">
        <v>2226</v>
      </c>
      <c r="H1245" s="47" t="s">
        <v>2227</v>
      </c>
      <c r="I1245" s="47" t="s">
        <v>50</v>
      </c>
      <c r="J1245" s="47" t="s">
        <v>51</v>
      </c>
      <c r="K1245" s="48">
        <v>44792</v>
      </c>
      <c r="L1245" s="48">
        <v>45157</v>
      </c>
      <c r="M1245" s="48">
        <v>45522</v>
      </c>
      <c r="N1245" s="47" t="s">
        <v>64</v>
      </c>
      <c r="O1245" s="55" t="s">
        <v>53</v>
      </c>
      <c r="P1245" s="62">
        <v>23400</v>
      </c>
      <c r="Q1245" s="62">
        <v>1950</v>
      </c>
      <c r="R1245" s="96">
        <v>23868</v>
      </c>
      <c r="S1245" s="62">
        <f t="shared" si="299"/>
        <v>1989</v>
      </c>
      <c r="T1245" s="62">
        <v>23220</v>
      </c>
      <c r="U1245" s="62">
        <f t="shared" si="300"/>
        <v>1935</v>
      </c>
      <c r="V1245" s="69">
        <v>21300</v>
      </c>
      <c r="W1245" s="71">
        <v>2040</v>
      </c>
      <c r="X1245" s="71"/>
      <c r="Y1245" s="71"/>
      <c r="Z1245" s="64">
        <f t="shared" si="295"/>
        <v>5.4263565891472867E-2</v>
      </c>
      <c r="AA1245" s="64">
        <f t="shared" si="301"/>
        <v>2.564102564102564E-2</v>
      </c>
      <c r="AB1245" s="71">
        <v>2030</v>
      </c>
      <c r="AC1245" s="64">
        <f t="shared" si="296"/>
        <v>4.909560723514212E-2</v>
      </c>
      <c r="AD1245" s="64">
        <f t="shared" si="289"/>
        <v>2.0613373554550025E-2</v>
      </c>
      <c r="AE1245" s="71">
        <v>2015</v>
      </c>
      <c r="AF1245" s="64">
        <f t="shared" si="297"/>
        <v>4.1343669250645997E-2</v>
      </c>
      <c r="AG1245" s="64">
        <f t="shared" si="290"/>
        <v>1.3071895424836602E-2</v>
      </c>
      <c r="AH1245" s="67"/>
      <c r="AI1245" s="47" t="s">
        <v>54</v>
      </c>
      <c r="AJ1245" s="47">
        <v>539.29999999999995</v>
      </c>
      <c r="AK1245" s="47" t="s">
        <v>55</v>
      </c>
      <c r="AL1245" s="47" t="s">
        <v>55</v>
      </c>
      <c r="AM1245" s="47" t="s">
        <v>2228</v>
      </c>
      <c r="AN1245" s="47">
        <v>2040</v>
      </c>
      <c r="AO1245" s="211">
        <f t="shared" si="298"/>
        <v>5.4263565891472867E-2</v>
      </c>
      <c r="AP1245" s="47" t="s">
        <v>90</v>
      </c>
      <c r="AQ1245" s="91" t="s">
        <v>116</v>
      </c>
      <c r="AR1245" s="47"/>
    </row>
    <row r="1246" spans="1:44">
      <c r="A1246" s="47" t="s">
        <v>44</v>
      </c>
      <c r="B1246" s="47" t="str">
        <f t="shared" si="294"/>
        <v>August</v>
      </c>
      <c r="C1246" s="59">
        <v>45508</v>
      </c>
      <c r="D1246" s="47" t="s">
        <v>109</v>
      </c>
      <c r="E1246" s="47" t="s">
        <v>343</v>
      </c>
      <c r="F1246" s="47" t="s">
        <v>344</v>
      </c>
      <c r="G1246" s="47" t="s">
        <v>2298</v>
      </c>
      <c r="H1246" s="47" t="s">
        <v>2299</v>
      </c>
      <c r="I1246" s="47" t="s">
        <v>50</v>
      </c>
      <c r="J1246" s="47" t="s">
        <v>51</v>
      </c>
      <c r="K1246" s="48">
        <v>44778</v>
      </c>
      <c r="L1246" s="48">
        <v>45143</v>
      </c>
      <c r="M1246" s="48">
        <v>45508</v>
      </c>
      <c r="N1246" s="47" t="s">
        <v>64</v>
      </c>
      <c r="O1246" s="55" t="s">
        <v>53</v>
      </c>
      <c r="P1246" s="62">
        <v>29588</v>
      </c>
      <c r="Q1246" s="62">
        <v>2465.6666666666665</v>
      </c>
      <c r="R1246" s="96">
        <v>30420</v>
      </c>
      <c r="S1246" s="62">
        <f t="shared" si="299"/>
        <v>2535</v>
      </c>
      <c r="T1246" s="62">
        <v>29460</v>
      </c>
      <c r="U1246" s="62">
        <f t="shared" si="300"/>
        <v>2455</v>
      </c>
      <c r="V1246" s="69">
        <v>25800</v>
      </c>
      <c r="W1246" s="71">
        <v>2590</v>
      </c>
      <c r="X1246" s="71"/>
      <c r="Y1246" s="71"/>
      <c r="Z1246" s="64">
        <f t="shared" si="295"/>
        <v>5.4989816700610997E-2</v>
      </c>
      <c r="AA1246" s="64">
        <f t="shared" si="301"/>
        <v>2.1696252465483234E-2</v>
      </c>
      <c r="AB1246" s="71">
        <v>2575</v>
      </c>
      <c r="AC1246" s="64">
        <f t="shared" si="296"/>
        <v>4.8879837067209775E-2</v>
      </c>
      <c r="AD1246" s="64">
        <f t="shared" si="289"/>
        <v>1.5779092702169626E-2</v>
      </c>
      <c r="AE1246" s="71">
        <v>2550</v>
      </c>
      <c r="AF1246" s="64">
        <f t="shared" si="297"/>
        <v>3.8696537678207736E-2</v>
      </c>
      <c r="AG1246" s="64">
        <f t="shared" si="290"/>
        <v>5.9171597633136093E-3</v>
      </c>
      <c r="AH1246" s="67"/>
      <c r="AI1246" s="47" t="s">
        <v>395</v>
      </c>
      <c r="AJ1246" s="47">
        <v>781.5</v>
      </c>
      <c r="AK1246" s="47" t="s">
        <v>65</v>
      </c>
      <c r="AL1246" s="47" t="s">
        <v>65</v>
      </c>
      <c r="AM1246" s="47" t="s">
        <v>2300</v>
      </c>
      <c r="AN1246" s="47"/>
      <c r="AO1246" s="211">
        <f t="shared" si="298"/>
        <v>-1</v>
      </c>
      <c r="AP1246" s="47" t="s">
        <v>90</v>
      </c>
      <c r="AQ1246" s="91" t="s">
        <v>58</v>
      </c>
      <c r="AR1246" s="47"/>
    </row>
    <row r="1247" spans="1:44" hidden="1">
      <c r="A1247" s="47" t="s">
        <v>44</v>
      </c>
      <c r="B1247" s="47" t="str">
        <f t="shared" si="294"/>
        <v>August</v>
      </c>
      <c r="C1247" s="59">
        <v>45528</v>
      </c>
      <c r="D1247" s="47" t="s">
        <v>109</v>
      </c>
      <c r="E1247" s="47" t="s">
        <v>343</v>
      </c>
      <c r="F1247" s="47" t="s">
        <v>344</v>
      </c>
      <c r="G1247" s="47" t="s">
        <v>2991</v>
      </c>
      <c r="H1247" s="47" t="s">
        <v>2992</v>
      </c>
      <c r="I1247" s="47" t="s">
        <v>50</v>
      </c>
      <c r="J1247" s="47" t="s">
        <v>51</v>
      </c>
      <c r="K1247" s="48">
        <v>45163</v>
      </c>
      <c r="L1247" s="48">
        <v>45163</v>
      </c>
      <c r="M1247" s="48">
        <v>45528</v>
      </c>
      <c r="N1247" s="47" t="s">
        <v>52</v>
      </c>
      <c r="O1247" s="55" t="s">
        <v>53</v>
      </c>
      <c r="P1247" s="62">
        <v>28340</v>
      </c>
      <c r="Q1247" s="62">
        <v>2361.6666666666665</v>
      </c>
      <c r="R1247" s="96">
        <v>29120</v>
      </c>
      <c r="S1247" s="62">
        <f t="shared" si="299"/>
        <v>2426.6666666666665</v>
      </c>
      <c r="T1247" s="62">
        <v>29580</v>
      </c>
      <c r="U1247" s="62">
        <f t="shared" si="300"/>
        <v>2465</v>
      </c>
      <c r="V1247" s="69">
        <v>25500</v>
      </c>
      <c r="W1247" s="71">
        <v>2575</v>
      </c>
      <c r="X1247" s="71"/>
      <c r="Y1247" s="71"/>
      <c r="Z1247" s="64">
        <f t="shared" si="295"/>
        <v>4.4624746450304259E-2</v>
      </c>
      <c r="AA1247" s="64">
        <f t="shared" si="301"/>
        <v>6.1126373626373694E-2</v>
      </c>
      <c r="AB1247" s="71">
        <v>2525</v>
      </c>
      <c r="AC1247" s="64">
        <f t="shared" si="296"/>
        <v>2.434077079107505E-2</v>
      </c>
      <c r="AD1247" s="64">
        <f t="shared" si="289"/>
        <v>4.0521978021978086E-2</v>
      </c>
      <c r="AE1247" s="175">
        <v>2515</v>
      </c>
      <c r="AF1247" s="64">
        <f t="shared" si="297"/>
        <v>2.0283975659229209E-2</v>
      </c>
      <c r="AG1247" s="64">
        <f t="shared" si="290"/>
        <v>3.6401098901098966E-2</v>
      </c>
      <c r="AH1247" s="67"/>
      <c r="AI1247" s="47" t="s">
        <v>54</v>
      </c>
      <c r="AJ1247" s="47">
        <v>814.8</v>
      </c>
      <c r="AK1247" s="47" t="s">
        <v>65</v>
      </c>
      <c r="AL1247" s="47" t="s">
        <v>55</v>
      </c>
      <c r="AM1247" s="47" t="s">
        <v>2993</v>
      </c>
      <c r="AN1247" s="47">
        <v>2525</v>
      </c>
      <c r="AO1247" s="211">
        <f t="shared" si="298"/>
        <v>2.434077079107505E-2</v>
      </c>
      <c r="AP1247" s="47" t="s">
        <v>90</v>
      </c>
      <c r="AQ1247" s="91" t="s">
        <v>116</v>
      </c>
      <c r="AR1247" s="47"/>
    </row>
    <row r="1248" spans="1:44">
      <c r="A1248" s="47" t="s">
        <v>44</v>
      </c>
      <c r="B1248" s="47" t="str">
        <f t="shared" ref="B1248:B1269" si="302">TEXT(C1248,"mmmm")</f>
        <v>July</v>
      </c>
      <c r="C1248" s="59">
        <v>45491</v>
      </c>
      <c r="D1248" s="47" t="s">
        <v>109</v>
      </c>
      <c r="E1248" s="47" t="s">
        <v>343</v>
      </c>
      <c r="F1248" s="47" t="s">
        <v>344</v>
      </c>
      <c r="G1248" s="47" t="s">
        <v>3371</v>
      </c>
      <c r="H1248" s="47" t="s">
        <v>3372</v>
      </c>
      <c r="I1248" s="47" t="s">
        <v>50</v>
      </c>
      <c r="J1248" s="47" t="s">
        <v>51</v>
      </c>
      <c r="K1248" s="48">
        <v>44761</v>
      </c>
      <c r="L1248" s="48">
        <v>45126</v>
      </c>
      <c r="M1248" s="48">
        <v>45491</v>
      </c>
      <c r="N1248" s="47" t="s">
        <v>64</v>
      </c>
      <c r="O1248" s="55" t="s">
        <v>53</v>
      </c>
      <c r="P1248" s="62">
        <v>27560</v>
      </c>
      <c r="Q1248" s="62">
        <v>2296.6666666666665</v>
      </c>
      <c r="R1248" s="96">
        <v>28340</v>
      </c>
      <c r="S1248" s="62">
        <f t="shared" si="299"/>
        <v>2361.6666666666665</v>
      </c>
      <c r="T1248" s="62">
        <v>27600</v>
      </c>
      <c r="U1248" s="62">
        <f t="shared" si="300"/>
        <v>2300</v>
      </c>
      <c r="V1248" s="69">
        <v>25560</v>
      </c>
      <c r="W1248" s="71">
        <v>2550</v>
      </c>
      <c r="X1248" s="71"/>
      <c r="Y1248" s="71"/>
      <c r="Z1248" s="64">
        <f t="shared" si="295"/>
        <v>0.10869565217391304</v>
      </c>
      <c r="AA1248" s="64">
        <f t="shared" si="301"/>
        <v>7.9745942131263306E-2</v>
      </c>
      <c r="AB1248" s="71">
        <v>2450</v>
      </c>
      <c r="AC1248" s="64">
        <f t="shared" si="296"/>
        <v>6.5217391304347824E-2</v>
      </c>
      <c r="AD1248" s="64">
        <f t="shared" si="289"/>
        <v>3.740296400846866E-2</v>
      </c>
      <c r="AE1248" s="71">
        <v>2400</v>
      </c>
      <c r="AF1248" s="64">
        <f t="shared" si="297"/>
        <v>4.3478260869565216E-2</v>
      </c>
      <c r="AG1248" s="64">
        <f t="shared" si="290"/>
        <v>1.6231474947071344E-2</v>
      </c>
      <c r="AH1248" s="67"/>
      <c r="AI1248" s="47" t="s">
        <v>54</v>
      </c>
      <c r="AJ1248" s="47">
        <v>776.1</v>
      </c>
      <c r="AK1248" s="101" t="s">
        <v>65</v>
      </c>
      <c r="AL1248" s="101" t="s">
        <v>65</v>
      </c>
      <c r="AM1248" s="47" t="s">
        <v>3373</v>
      </c>
      <c r="AN1248" s="47"/>
      <c r="AO1248" s="211">
        <f t="shared" si="298"/>
        <v>-1</v>
      </c>
      <c r="AP1248" s="47" t="s">
        <v>90</v>
      </c>
      <c r="AQ1248" s="91" t="s">
        <v>116</v>
      </c>
      <c r="AR1248" s="47"/>
    </row>
    <row r="1249" spans="1:16373">
      <c r="A1249" s="47" t="s">
        <v>44</v>
      </c>
      <c r="B1249" s="47" t="str">
        <f t="shared" si="302"/>
        <v>July</v>
      </c>
      <c r="C1249" s="59">
        <v>45501</v>
      </c>
      <c r="D1249" s="47" t="s">
        <v>109</v>
      </c>
      <c r="E1249" s="47" t="s">
        <v>343</v>
      </c>
      <c r="F1249" s="47" t="s">
        <v>344</v>
      </c>
      <c r="G1249" s="47" t="s">
        <v>3374</v>
      </c>
      <c r="H1249" s="47" t="s">
        <v>3375</v>
      </c>
      <c r="I1249" s="47" t="s">
        <v>50</v>
      </c>
      <c r="J1249" s="47" t="s">
        <v>51</v>
      </c>
      <c r="K1249" s="48">
        <v>44407</v>
      </c>
      <c r="L1249" s="48">
        <v>45136</v>
      </c>
      <c r="M1249" s="48">
        <v>45501</v>
      </c>
      <c r="N1249" s="47" t="s">
        <v>64</v>
      </c>
      <c r="O1249" s="55" t="s">
        <v>53</v>
      </c>
      <c r="P1249" s="62">
        <v>28184</v>
      </c>
      <c r="Q1249" s="62">
        <v>2348.6666666666665</v>
      </c>
      <c r="R1249" s="96">
        <v>28964</v>
      </c>
      <c r="S1249" s="62">
        <f t="shared" si="299"/>
        <v>2413.6666666666665</v>
      </c>
      <c r="T1249" s="62">
        <v>27300</v>
      </c>
      <c r="U1249" s="62">
        <f t="shared" si="300"/>
        <v>2275</v>
      </c>
      <c r="V1249" s="69">
        <v>24780</v>
      </c>
      <c r="W1249" s="71">
        <v>2585</v>
      </c>
      <c r="X1249" s="71"/>
      <c r="Y1249" s="71"/>
      <c r="Z1249" s="64">
        <f t="shared" si="295"/>
        <v>0.13626373626373625</v>
      </c>
      <c r="AA1249" s="64">
        <f t="shared" si="301"/>
        <v>7.0984670625604263E-2</v>
      </c>
      <c r="AB1249" s="71">
        <v>2425</v>
      </c>
      <c r="AC1249" s="64">
        <f t="shared" si="296"/>
        <v>6.5934065934065936E-2</v>
      </c>
      <c r="AD1249" s="64">
        <f t="shared" si="289"/>
        <v>4.6954840491645429E-3</v>
      </c>
      <c r="AE1249" s="71">
        <v>2415</v>
      </c>
      <c r="AF1249" s="64">
        <f t="shared" si="297"/>
        <v>6.1538461538461542E-2</v>
      </c>
      <c r="AG1249" s="64">
        <f t="shared" si="290"/>
        <v>5.5240988813706044E-4</v>
      </c>
      <c r="AH1249" s="67"/>
      <c r="AI1249" s="47" t="s">
        <v>54</v>
      </c>
      <c r="AJ1249" s="47">
        <v>783.6</v>
      </c>
      <c r="AK1249" s="101" t="s">
        <v>65</v>
      </c>
      <c r="AL1249" s="101" t="s">
        <v>65</v>
      </c>
      <c r="AM1249" s="47" t="s">
        <v>3376</v>
      </c>
      <c r="AN1249" s="47">
        <v>2415</v>
      </c>
      <c r="AO1249" s="211">
        <f t="shared" si="298"/>
        <v>6.1538461538461542E-2</v>
      </c>
      <c r="AP1249" s="47" t="s">
        <v>90</v>
      </c>
      <c r="AQ1249" s="91" t="s">
        <v>116</v>
      </c>
      <c r="AR1249" s="47"/>
    </row>
    <row r="1250" spans="1:16373" hidden="1">
      <c r="A1250" s="47" t="s">
        <v>44</v>
      </c>
      <c r="B1250" s="47" t="str">
        <f t="shared" si="302"/>
        <v>July</v>
      </c>
      <c r="C1250" s="59">
        <v>45499</v>
      </c>
      <c r="D1250" s="47" t="s">
        <v>109</v>
      </c>
      <c r="E1250" s="47" t="s">
        <v>343</v>
      </c>
      <c r="F1250" s="47" t="s">
        <v>344</v>
      </c>
      <c r="G1250" s="47" t="s">
        <v>3377</v>
      </c>
      <c r="H1250" s="47" t="s">
        <v>3378</v>
      </c>
      <c r="I1250" s="47" t="s">
        <v>50</v>
      </c>
      <c r="J1250" s="47" t="s">
        <v>51</v>
      </c>
      <c r="K1250" s="48">
        <v>45134</v>
      </c>
      <c r="L1250" s="48">
        <v>45134</v>
      </c>
      <c r="M1250" s="48">
        <v>45499</v>
      </c>
      <c r="N1250" s="47" t="s">
        <v>52</v>
      </c>
      <c r="O1250" s="55" t="s">
        <v>53</v>
      </c>
      <c r="P1250" s="62">
        <v>23660</v>
      </c>
      <c r="Q1250" s="62">
        <v>1971.6666666666667</v>
      </c>
      <c r="R1250" s="96">
        <v>24128</v>
      </c>
      <c r="S1250" s="62">
        <f t="shared" si="299"/>
        <v>2010.6666666666667</v>
      </c>
      <c r="T1250" s="62">
        <v>23640</v>
      </c>
      <c r="U1250" s="62">
        <f t="shared" si="300"/>
        <v>1970</v>
      </c>
      <c r="V1250" s="69">
        <v>21540</v>
      </c>
      <c r="W1250" s="71">
        <v>2060</v>
      </c>
      <c r="X1250" s="71"/>
      <c r="Y1250" s="71"/>
      <c r="Z1250" s="64">
        <f t="shared" si="295"/>
        <v>4.5685279187817257E-2</v>
      </c>
      <c r="AA1250" s="64">
        <f t="shared" si="301"/>
        <v>2.4535809018567601E-2</v>
      </c>
      <c r="AB1250" s="71">
        <v>2075</v>
      </c>
      <c r="AC1250" s="64">
        <f t="shared" si="296"/>
        <v>5.3299492385786802E-2</v>
      </c>
      <c r="AD1250" s="64">
        <f t="shared" si="289"/>
        <v>3.1996021220159113E-2</v>
      </c>
      <c r="AE1250" s="71">
        <v>2060</v>
      </c>
      <c r="AF1250" s="64">
        <f t="shared" si="297"/>
        <v>4.5685279187817257E-2</v>
      </c>
      <c r="AG1250" s="64">
        <f t="shared" si="290"/>
        <v>2.4535809018567601E-2</v>
      </c>
      <c r="AH1250" s="67"/>
      <c r="AI1250" s="47" t="s">
        <v>54</v>
      </c>
      <c r="AJ1250" s="47">
        <v>540.29999999999995</v>
      </c>
      <c r="AK1250" s="101" t="s">
        <v>55</v>
      </c>
      <c r="AL1250" s="101" t="s">
        <v>55</v>
      </c>
      <c r="AM1250" s="47" t="s">
        <v>3379</v>
      </c>
      <c r="AN1250" s="47">
        <v>2060</v>
      </c>
      <c r="AO1250" s="211">
        <f t="shared" si="298"/>
        <v>4.5685279187817257E-2</v>
      </c>
      <c r="AP1250" s="47" t="s">
        <v>90</v>
      </c>
      <c r="AQ1250" s="91" t="s">
        <v>116</v>
      </c>
      <c r="AR1250" s="47"/>
    </row>
    <row r="1251" spans="1:16373">
      <c r="A1251" s="47" t="s">
        <v>44</v>
      </c>
      <c r="B1251" s="47" t="str">
        <f t="shared" si="302"/>
        <v>July</v>
      </c>
      <c r="C1251" s="59">
        <v>45474</v>
      </c>
      <c r="D1251" s="47" t="s">
        <v>109</v>
      </c>
      <c r="E1251" s="47" t="s">
        <v>343</v>
      </c>
      <c r="F1251" s="47" t="s">
        <v>344</v>
      </c>
      <c r="G1251" s="47" t="s">
        <v>3380</v>
      </c>
      <c r="H1251" s="47" t="s">
        <v>3381</v>
      </c>
      <c r="I1251" s="47" t="s">
        <v>50</v>
      </c>
      <c r="J1251" s="47" t="s">
        <v>51</v>
      </c>
      <c r="K1251" s="48">
        <v>44744</v>
      </c>
      <c r="L1251" s="48">
        <v>45109</v>
      </c>
      <c r="M1251" s="48">
        <v>45474</v>
      </c>
      <c r="N1251" s="47" t="s">
        <v>64</v>
      </c>
      <c r="O1251" s="55" t="s">
        <v>53</v>
      </c>
      <c r="P1251" s="62">
        <v>28236</v>
      </c>
      <c r="Q1251" s="62">
        <v>2353</v>
      </c>
      <c r="R1251" s="96">
        <v>29016</v>
      </c>
      <c r="S1251" s="62">
        <f t="shared" si="299"/>
        <v>2418</v>
      </c>
      <c r="T1251" s="62">
        <v>28020</v>
      </c>
      <c r="U1251" s="62">
        <f t="shared" si="300"/>
        <v>2335</v>
      </c>
      <c r="V1251" s="69">
        <v>25920</v>
      </c>
      <c r="W1251" s="71">
        <v>2540</v>
      </c>
      <c r="X1251" s="71"/>
      <c r="Y1251" s="71"/>
      <c r="Z1251" s="64">
        <f t="shared" si="295"/>
        <v>8.7794432548179868E-2</v>
      </c>
      <c r="AA1251" s="64">
        <f t="shared" si="301"/>
        <v>5.0454921422663356E-2</v>
      </c>
      <c r="AB1251" s="71">
        <v>2475</v>
      </c>
      <c r="AC1251" s="64">
        <f t="shared" si="296"/>
        <v>5.9957173447537475E-2</v>
      </c>
      <c r="AD1251" s="64">
        <f t="shared" si="289"/>
        <v>2.3573200992555832E-2</v>
      </c>
      <c r="AE1251" s="71">
        <v>2450</v>
      </c>
      <c r="AF1251" s="64">
        <f t="shared" si="297"/>
        <v>4.9250535331905779E-2</v>
      </c>
      <c r="AG1251" s="64">
        <f t="shared" si="290"/>
        <v>1.3234077750206782E-2</v>
      </c>
      <c r="AH1251" s="67"/>
      <c r="AI1251" s="47" t="s">
        <v>54</v>
      </c>
      <c r="AJ1251" s="47">
        <v>776.1</v>
      </c>
      <c r="AK1251" s="101" t="s">
        <v>65</v>
      </c>
      <c r="AL1251" s="101" t="s">
        <v>65</v>
      </c>
      <c r="AM1251" s="47" t="s">
        <v>3373</v>
      </c>
      <c r="AN1251" s="47"/>
      <c r="AO1251" s="211">
        <f t="shared" si="298"/>
        <v>-1</v>
      </c>
      <c r="AP1251" s="47" t="s">
        <v>90</v>
      </c>
      <c r="AQ1251" s="91" t="s">
        <v>116</v>
      </c>
      <c r="AR1251" s="47"/>
    </row>
    <row r="1252" spans="1:16373">
      <c r="A1252" s="47" t="s">
        <v>44</v>
      </c>
      <c r="B1252" s="47" t="str">
        <f t="shared" si="302"/>
        <v>July</v>
      </c>
      <c r="C1252" s="59">
        <v>45487</v>
      </c>
      <c r="D1252" s="47" t="s">
        <v>109</v>
      </c>
      <c r="E1252" s="47" t="s">
        <v>343</v>
      </c>
      <c r="F1252" s="47" t="s">
        <v>344</v>
      </c>
      <c r="G1252" s="47" t="s">
        <v>3382</v>
      </c>
      <c r="H1252" s="47" t="s">
        <v>3383</v>
      </c>
      <c r="I1252" s="47" t="s">
        <v>50</v>
      </c>
      <c r="J1252" s="47" t="s">
        <v>51</v>
      </c>
      <c r="K1252" s="48">
        <v>44757</v>
      </c>
      <c r="L1252" s="48">
        <v>45122</v>
      </c>
      <c r="M1252" s="48">
        <v>45487</v>
      </c>
      <c r="N1252" s="47" t="s">
        <v>64</v>
      </c>
      <c r="O1252" s="55" t="s">
        <v>53</v>
      </c>
      <c r="P1252" s="62">
        <v>28912</v>
      </c>
      <c r="Q1252" s="62">
        <v>2409.3333333333335</v>
      </c>
      <c r="R1252" s="96">
        <v>29692</v>
      </c>
      <c r="S1252" s="62">
        <f t="shared" si="299"/>
        <v>2474.3333333333335</v>
      </c>
      <c r="T1252" s="62">
        <v>29640</v>
      </c>
      <c r="U1252" s="62">
        <f t="shared" si="300"/>
        <v>2470</v>
      </c>
      <c r="V1252" s="69">
        <v>26340</v>
      </c>
      <c r="W1252" s="71">
        <v>2605</v>
      </c>
      <c r="X1252" s="71"/>
      <c r="Y1252" s="71"/>
      <c r="Z1252" s="64">
        <f t="shared" si="295"/>
        <v>5.4655870445344132E-2</v>
      </c>
      <c r="AA1252" s="64">
        <f t="shared" si="301"/>
        <v>5.2808837397278666E-2</v>
      </c>
      <c r="AB1252" s="71">
        <v>2595</v>
      </c>
      <c r="AC1252" s="64">
        <f t="shared" si="296"/>
        <v>5.0607287449392711E-2</v>
      </c>
      <c r="AD1252" s="64">
        <f t="shared" si="289"/>
        <v>4.8767344739323662E-2</v>
      </c>
      <c r="AE1252" s="71">
        <v>2585</v>
      </c>
      <c r="AF1252" s="64">
        <f t="shared" si="297"/>
        <v>4.6558704453441298E-2</v>
      </c>
      <c r="AG1252" s="64">
        <f t="shared" si="290"/>
        <v>4.4725852081368658E-2</v>
      </c>
      <c r="AH1252" s="67"/>
      <c r="AI1252" s="47" t="s">
        <v>54</v>
      </c>
      <c r="AJ1252" s="47">
        <v>783.6</v>
      </c>
      <c r="AK1252" s="101" t="s">
        <v>65</v>
      </c>
      <c r="AL1252" s="101" t="s">
        <v>65</v>
      </c>
      <c r="AM1252" s="47" t="s">
        <v>3384</v>
      </c>
      <c r="AN1252" s="47">
        <v>2600</v>
      </c>
      <c r="AO1252" s="211">
        <f t="shared" si="298"/>
        <v>5.2631578947368418E-2</v>
      </c>
      <c r="AP1252" s="47" t="s">
        <v>90</v>
      </c>
      <c r="AQ1252" s="91" t="s">
        <v>116</v>
      </c>
      <c r="AR1252" s="47"/>
    </row>
    <row r="1253" spans="1:16373" hidden="1">
      <c r="A1253" s="47" t="s">
        <v>44</v>
      </c>
      <c r="B1253" s="47" t="str">
        <f t="shared" si="302"/>
        <v>July</v>
      </c>
      <c r="C1253" s="59">
        <v>45499</v>
      </c>
      <c r="D1253" s="47" t="s">
        <v>109</v>
      </c>
      <c r="E1253" s="47" t="s">
        <v>343</v>
      </c>
      <c r="F1253" s="47" t="s">
        <v>344</v>
      </c>
      <c r="G1253" s="47" t="s">
        <v>3385</v>
      </c>
      <c r="H1253" s="47" t="s">
        <v>3386</v>
      </c>
      <c r="I1253" s="47" t="s">
        <v>50</v>
      </c>
      <c r="J1253" s="47" t="s">
        <v>51</v>
      </c>
      <c r="K1253" s="48">
        <v>45134</v>
      </c>
      <c r="L1253" s="48">
        <v>45134</v>
      </c>
      <c r="M1253" s="48">
        <v>45499</v>
      </c>
      <c r="N1253" s="47" t="s">
        <v>52</v>
      </c>
      <c r="O1253" s="55" t="s">
        <v>53</v>
      </c>
      <c r="P1253" s="62">
        <v>37908</v>
      </c>
      <c r="Q1253" s="62">
        <v>3159</v>
      </c>
      <c r="R1253" s="96">
        <v>38740</v>
      </c>
      <c r="S1253" s="62">
        <f t="shared" si="299"/>
        <v>3228.3333333333335</v>
      </c>
      <c r="T1253" s="62">
        <v>39060</v>
      </c>
      <c r="U1253" s="62">
        <f t="shared" si="300"/>
        <v>3255</v>
      </c>
      <c r="V1253" s="69">
        <v>37200</v>
      </c>
      <c r="W1253" s="71">
        <v>3510</v>
      </c>
      <c r="X1253" s="71"/>
      <c r="Y1253" s="71"/>
      <c r="Z1253" s="64">
        <f t="shared" si="295"/>
        <v>7.8341013824884786E-2</v>
      </c>
      <c r="AA1253" s="64">
        <f t="shared" si="301"/>
        <v>8.724832214765095E-2</v>
      </c>
      <c r="AB1253" s="71">
        <v>3305</v>
      </c>
      <c r="AC1253" s="64">
        <f t="shared" si="296"/>
        <v>1.5360983102918587E-2</v>
      </c>
      <c r="AD1253" s="64">
        <f t="shared" ref="AD1253:AD1269" si="303">(AB1253-S1253)/S1253</f>
        <v>2.3748064016520343E-2</v>
      </c>
      <c r="AE1253" s="71">
        <v>3295</v>
      </c>
      <c r="AF1253" s="64">
        <f t="shared" si="297"/>
        <v>1.2288786482334869E-2</v>
      </c>
      <c r="AG1253" s="64">
        <f t="shared" ref="AG1253:AG1269" si="304">(AE1253-S1253)/S1253</f>
        <v>2.0650490449148119E-2</v>
      </c>
      <c r="AH1253" s="67"/>
      <c r="AI1253" s="47" t="s">
        <v>54</v>
      </c>
      <c r="AJ1253" s="47">
        <v>1030.0999999999999</v>
      </c>
      <c r="AK1253" s="101" t="s">
        <v>140</v>
      </c>
      <c r="AL1253" s="101" t="s">
        <v>65</v>
      </c>
      <c r="AM1253" s="47" t="s">
        <v>3387</v>
      </c>
      <c r="AN1253" s="47">
        <v>3325</v>
      </c>
      <c r="AO1253" s="211">
        <f t="shared" si="298"/>
        <v>2.1505376344086023E-2</v>
      </c>
      <c r="AP1253" s="47" t="s">
        <v>90</v>
      </c>
      <c r="AQ1253" s="91" t="s">
        <v>116</v>
      </c>
      <c r="AR1253" s="47"/>
    </row>
    <row r="1254" spans="1:16373" hidden="1">
      <c r="A1254" s="47" t="s">
        <v>44</v>
      </c>
      <c r="B1254" s="47" t="str">
        <f t="shared" si="302"/>
        <v>August</v>
      </c>
      <c r="C1254" s="59">
        <v>45532</v>
      </c>
      <c r="D1254" s="47" t="s">
        <v>109</v>
      </c>
      <c r="E1254" s="47" t="s">
        <v>343</v>
      </c>
      <c r="F1254" s="47" t="s">
        <v>344</v>
      </c>
      <c r="G1254" s="47" t="s">
        <v>3401</v>
      </c>
      <c r="H1254" s="47" t="s">
        <v>3402</v>
      </c>
      <c r="I1254" s="47" t="s">
        <v>50</v>
      </c>
      <c r="J1254" s="47" t="s">
        <v>51</v>
      </c>
      <c r="K1254" s="48">
        <v>45167</v>
      </c>
      <c r="L1254" s="48">
        <v>45167</v>
      </c>
      <c r="M1254" s="48">
        <v>45532</v>
      </c>
      <c r="N1254" s="47" t="s">
        <v>52</v>
      </c>
      <c r="O1254" s="55" t="s">
        <v>53</v>
      </c>
      <c r="P1254" s="62">
        <v>29016</v>
      </c>
      <c r="Q1254" s="62">
        <v>2418</v>
      </c>
      <c r="R1254" s="96">
        <v>29848</v>
      </c>
      <c r="S1254" s="62">
        <f t="shared" si="299"/>
        <v>2487.3333333333335</v>
      </c>
      <c r="T1254" s="62">
        <v>29100</v>
      </c>
      <c r="U1254" s="62">
        <f t="shared" si="300"/>
        <v>2425</v>
      </c>
      <c r="V1254" s="69">
        <v>26100</v>
      </c>
      <c r="W1254" s="71">
        <v>2560</v>
      </c>
      <c r="X1254" s="71"/>
      <c r="Y1254" s="71"/>
      <c r="Z1254" s="64">
        <f t="shared" si="295"/>
        <v>5.5670103092783509E-2</v>
      </c>
      <c r="AA1254" s="64">
        <f t="shared" si="301"/>
        <v>2.9214687751273054E-2</v>
      </c>
      <c r="AB1254" s="71">
        <v>2525</v>
      </c>
      <c r="AC1254" s="64">
        <f t="shared" si="296"/>
        <v>4.1237113402061855E-2</v>
      </c>
      <c r="AD1254" s="64">
        <f t="shared" si="303"/>
        <v>1.5143393192173619E-2</v>
      </c>
      <c r="AE1254" s="71">
        <v>2500</v>
      </c>
      <c r="AF1254" s="64">
        <f t="shared" si="297"/>
        <v>3.0927835051546393E-2</v>
      </c>
      <c r="AG1254" s="64">
        <f t="shared" si="304"/>
        <v>5.0924685071025919E-3</v>
      </c>
      <c r="AH1254" s="67"/>
      <c r="AI1254" s="47" t="s">
        <v>54</v>
      </c>
      <c r="AJ1254" s="47">
        <v>810.5</v>
      </c>
      <c r="AK1254" s="47" t="s">
        <v>65</v>
      </c>
      <c r="AL1254" s="47" t="s">
        <v>55</v>
      </c>
      <c r="AM1254" s="47" t="s">
        <v>3403</v>
      </c>
      <c r="AN1254" s="47">
        <v>2500</v>
      </c>
      <c r="AO1254" s="211">
        <f t="shared" si="298"/>
        <v>3.0927835051546393E-2</v>
      </c>
      <c r="AP1254" s="47" t="s">
        <v>90</v>
      </c>
      <c r="AQ1254" s="91" t="s">
        <v>116</v>
      </c>
      <c r="AR1254" s="47"/>
    </row>
    <row r="1255" spans="1:16373" hidden="1">
      <c r="A1255" s="47" t="s">
        <v>44</v>
      </c>
      <c r="B1255" s="47" t="str">
        <f t="shared" si="302"/>
        <v>August</v>
      </c>
      <c r="C1255" s="59">
        <v>45534</v>
      </c>
      <c r="D1255" s="47" t="s">
        <v>109</v>
      </c>
      <c r="E1255" s="47" t="s">
        <v>343</v>
      </c>
      <c r="F1255" s="47" t="s">
        <v>344</v>
      </c>
      <c r="G1255" s="47" t="s">
        <v>3602</v>
      </c>
      <c r="H1255" s="47" t="s">
        <v>3603</v>
      </c>
      <c r="I1255" s="47" t="s">
        <v>50</v>
      </c>
      <c r="J1255" s="47" t="s">
        <v>51</v>
      </c>
      <c r="K1255" s="48">
        <v>45169</v>
      </c>
      <c r="L1255" s="48">
        <v>45169</v>
      </c>
      <c r="M1255" s="48">
        <v>45534</v>
      </c>
      <c r="N1255" s="47" t="s">
        <v>52</v>
      </c>
      <c r="O1255" s="55" t="s">
        <v>53</v>
      </c>
      <c r="P1255" s="62">
        <v>28340</v>
      </c>
      <c r="Q1255" s="62">
        <v>2361.6666666666665</v>
      </c>
      <c r="R1255" s="96">
        <v>29120</v>
      </c>
      <c r="S1255" s="62">
        <f t="shared" si="299"/>
        <v>2426.6666666666665</v>
      </c>
      <c r="T1255" s="62">
        <v>29280</v>
      </c>
      <c r="U1255" s="62">
        <f t="shared" si="300"/>
        <v>2440</v>
      </c>
      <c r="V1255" s="69">
        <v>25800</v>
      </c>
      <c r="W1255" s="71">
        <v>2575</v>
      </c>
      <c r="X1255" s="71"/>
      <c r="Y1255" s="71"/>
      <c r="Z1255" s="64">
        <f t="shared" si="295"/>
        <v>5.5327868852459015E-2</v>
      </c>
      <c r="AA1255" s="64">
        <f t="shared" si="301"/>
        <v>6.1126373626373694E-2</v>
      </c>
      <c r="AB1255" s="71">
        <v>2500</v>
      </c>
      <c r="AC1255" s="64">
        <f t="shared" si="296"/>
        <v>2.4590163934426229E-2</v>
      </c>
      <c r="AD1255" s="64">
        <f t="shared" si="303"/>
        <v>3.0219780219780282E-2</v>
      </c>
      <c r="AE1255" s="175">
        <v>2500</v>
      </c>
      <c r="AF1255" s="64">
        <f t="shared" si="297"/>
        <v>2.4590163934426229E-2</v>
      </c>
      <c r="AG1255" s="64">
        <f t="shared" si="304"/>
        <v>3.0219780219780282E-2</v>
      </c>
      <c r="AH1255" s="67"/>
      <c r="AI1255" s="47" t="s">
        <v>54</v>
      </c>
      <c r="AJ1255" s="47">
        <v>814.8</v>
      </c>
      <c r="AK1255" s="47" t="s">
        <v>65</v>
      </c>
      <c r="AL1255" s="47" t="s">
        <v>55</v>
      </c>
      <c r="AM1255" s="47" t="s">
        <v>2993</v>
      </c>
      <c r="AN1255" s="47"/>
      <c r="AO1255" s="211">
        <f t="shared" si="298"/>
        <v>-1</v>
      </c>
      <c r="AP1255" s="47" t="s">
        <v>90</v>
      </c>
      <c r="AQ1255" s="91" t="s">
        <v>116</v>
      </c>
      <c r="AR1255" s="47"/>
    </row>
    <row r="1256" spans="1:16373" hidden="1">
      <c r="A1256" s="47" t="s">
        <v>44</v>
      </c>
      <c r="B1256" s="47" t="str">
        <f t="shared" si="302"/>
        <v>August</v>
      </c>
      <c r="C1256" s="59">
        <v>45534</v>
      </c>
      <c r="D1256" s="47" t="s">
        <v>109</v>
      </c>
      <c r="E1256" s="47" t="s">
        <v>343</v>
      </c>
      <c r="F1256" s="47" t="s">
        <v>344</v>
      </c>
      <c r="G1256" s="47" t="s">
        <v>3604</v>
      </c>
      <c r="H1256" s="47" t="s">
        <v>3605</v>
      </c>
      <c r="I1256" s="47" t="s">
        <v>50</v>
      </c>
      <c r="J1256" s="47" t="s">
        <v>51</v>
      </c>
      <c r="K1256" s="48">
        <v>45169</v>
      </c>
      <c r="L1256" s="48">
        <v>45169</v>
      </c>
      <c r="M1256" s="48">
        <v>45534</v>
      </c>
      <c r="N1256" s="47" t="s">
        <v>52</v>
      </c>
      <c r="O1256" s="55" t="s">
        <v>53</v>
      </c>
      <c r="P1256" s="62">
        <v>28184</v>
      </c>
      <c r="Q1256" s="62">
        <v>2348.6666666666665</v>
      </c>
      <c r="R1256" s="96">
        <v>28964</v>
      </c>
      <c r="S1256" s="62">
        <f t="shared" si="299"/>
        <v>2413.6666666666665</v>
      </c>
      <c r="T1256" s="62">
        <v>29460</v>
      </c>
      <c r="U1256" s="62">
        <f t="shared" si="300"/>
        <v>2455</v>
      </c>
      <c r="V1256" s="69">
        <v>26400</v>
      </c>
      <c r="W1256" s="71">
        <v>2590</v>
      </c>
      <c r="X1256" s="71"/>
      <c r="Y1256" s="71"/>
      <c r="Z1256" s="64">
        <f t="shared" si="295"/>
        <v>5.4989816700610997E-2</v>
      </c>
      <c r="AA1256" s="64">
        <f t="shared" si="301"/>
        <v>7.3056207706118009E-2</v>
      </c>
      <c r="AB1256" s="71">
        <v>2575</v>
      </c>
      <c r="AC1256" s="64">
        <f t="shared" si="296"/>
        <v>4.8879837067209775E-2</v>
      </c>
      <c r="AD1256" s="64">
        <f t="shared" si="303"/>
        <v>6.6841596464576783E-2</v>
      </c>
      <c r="AE1256" s="175">
        <v>2535</v>
      </c>
      <c r="AF1256" s="64">
        <f t="shared" si="297"/>
        <v>3.2586558044806514E-2</v>
      </c>
      <c r="AG1256" s="64">
        <f t="shared" si="304"/>
        <v>5.0269299820466851E-2</v>
      </c>
      <c r="AH1256" s="67"/>
      <c r="AI1256" s="47" t="s">
        <v>54</v>
      </c>
      <c r="AJ1256" s="47">
        <v>783.6</v>
      </c>
      <c r="AK1256" s="47" t="s">
        <v>65</v>
      </c>
      <c r="AL1256" s="47" t="s">
        <v>65</v>
      </c>
      <c r="AM1256" s="47" t="s">
        <v>3606</v>
      </c>
      <c r="AN1256" s="47"/>
      <c r="AO1256" s="211">
        <f t="shared" si="298"/>
        <v>-1</v>
      </c>
      <c r="AP1256" s="47" t="s">
        <v>90</v>
      </c>
      <c r="AQ1256" s="91" t="s">
        <v>116</v>
      </c>
      <c r="AR1256" s="47"/>
    </row>
    <row r="1257" spans="1:16373">
      <c r="A1257" s="47" t="s">
        <v>44</v>
      </c>
      <c r="B1257" s="47" t="str">
        <f t="shared" si="302"/>
        <v>August</v>
      </c>
      <c r="C1257" s="59">
        <v>45528</v>
      </c>
      <c r="D1257" s="47" t="s">
        <v>83</v>
      </c>
      <c r="E1257" s="47" t="s">
        <v>1051</v>
      </c>
      <c r="F1257" s="47" t="s">
        <v>1052</v>
      </c>
      <c r="G1257" s="47" t="s">
        <v>1053</v>
      </c>
      <c r="H1257" s="47" t="s">
        <v>1054</v>
      </c>
      <c r="I1257" s="47" t="s">
        <v>50</v>
      </c>
      <c r="J1257" s="47" t="s">
        <v>51</v>
      </c>
      <c r="K1257" s="48">
        <v>44798</v>
      </c>
      <c r="L1257" s="48">
        <v>45163</v>
      </c>
      <c r="M1257" s="48">
        <v>45528</v>
      </c>
      <c r="N1257" s="47" t="s">
        <v>64</v>
      </c>
      <c r="O1257" s="55" t="s">
        <v>53</v>
      </c>
      <c r="P1257" s="62">
        <v>17700</v>
      </c>
      <c r="Q1257" s="62">
        <v>1475</v>
      </c>
      <c r="R1257" s="103">
        <v>17700</v>
      </c>
      <c r="S1257" s="62">
        <f t="shared" si="299"/>
        <v>1475</v>
      </c>
      <c r="T1257" s="62">
        <v>17700</v>
      </c>
      <c r="U1257" s="62">
        <f t="shared" si="300"/>
        <v>1475</v>
      </c>
      <c r="V1257" s="69">
        <v>16800</v>
      </c>
      <c r="W1257" s="71" t="s">
        <v>123</v>
      </c>
      <c r="X1257" s="71"/>
      <c r="Y1257" s="71"/>
      <c r="Z1257" s="64" t="e">
        <f t="shared" si="295"/>
        <v>#VALUE!</v>
      </c>
      <c r="AA1257" s="64" t="e">
        <f t="shared" si="301"/>
        <v>#VALUE!</v>
      </c>
      <c r="AB1257" s="71">
        <v>1550</v>
      </c>
      <c r="AC1257" s="64">
        <f t="shared" si="296"/>
        <v>5.0847457627118647E-2</v>
      </c>
      <c r="AD1257" s="64">
        <f t="shared" si="303"/>
        <v>5.0847457627118647E-2</v>
      </c>
      <c r="AE1257" s="71">
        <v>1535</v>
      </c>
      <c r="AF1257" s="64">
        <f t="shared" si="297"/>
        <v>4.0677966101694912E-2</v>
      </c>
      <c r="AG1257" s="64">
        <f t="shared" si="304"/>
        <v>4.0677966101694912E-2</v>
      </c>
      <c r="AH1257" s="67"/>
      <c r="AI1257" s="47" t="s">
        <v>54</v>
      </c>
      <c r="AJ1257" s="47">
        <v>302</v>
      </c>
      <c r="AK1257" s="47" t="s">
        <v>93</v>
      </c>
      <c r="AL1257" s="47" t="s">
        <v>55</v>
      </c>
      <c r="AM1257" s="47" t="s">
        <v>131</v>
      </c>
      <c r="AN1257" s="47"/>
      <c r="AO1257" s="211">
        <f t="shared" si="298"/>
        <v>-1</v>
      </c>
      <c r="AP1257" s="47" t="s">
        <v>90</v>
      </c>
      <c r="AQ1257" s="91" t="s">
        <v>116</v>
      </c>
      <c r="AR1257" s="47"/>
    </row>
    <row r="1258" spans="1:16373" hidden="1">
      <c r="A1258" s="47" t="s">
        <v>44</v>
      </c>
      <c r="B1258" s="47" t="str">
        <f t="shared" si="302"/>
        <v>August</v>
      </c>
      <c r="C1258" s="59">
        <v>45507</v>
      </c>
      <c r="D1258" s="47" t="s">
        <v>83</v>
      </c>
      <c r="E1258" s="47" t="s">
        <v>1051</v>
      </c>
      <c r="F1258" s="47" t="s">
        <v>1052</v>
      </c>
      <c r="G1258" s="47" t="s">
        <v>1631</v>
      </c>
      <c r="H1258" s="47" t="s">
        <v>1632</v>
      </c>
      <c r="I1258" s="47" t="s">
        <v>50</v>
      </c>
      <c r="J1258" s="47" t="s">
        <v>51</v>
      </c>
      <c r="K1258" s="48">
        <v>45142</v>
      </c>
      <c r="L1258" s="48">
        <v>45142</v>
      </c>
      <c r="M1258" s="48">
        <v>45507</v>
      </c>
      <c r="N1258" s="47" t="s">
        <v>52</v>
      </c>
      <c r="O1258" s="55" t="s">
        <v>53</v>
      </c>
      <c r="P1258" s="62">
        <v>27900</v>
      </c>
      <c r="Q1258" s="62">
        <v>2325</v>
      </c>
      <c r="R1258" s="103">
        <v>27900</v>
      </c>
      <c r="S1258" s="62">
        <f t="shared" si="299"/>
        <v>2325</v>
      </c>
      <c r="T1258" s="62">
        <v>27900</v>
      </c>
      <c r="U1258" s="62">
        <f t="shared" si="300"/>
        <v>2325</v>
      </c>
      <c r="V1258" s="69">
        <v>25800</v>
      </c>
      <c r="W1258" s="71" t="s">
        <v>123</v>
      </c>
      <c r="X1258" s="71"/>
      <c r="Y1258" s="71"/>
      <c r="Z1258" s="64" t="e">
        <f t="shared" si="295"/>
        <v>#VALUE!</v>
      </c>
      <c r="AA1258" s="64" t="e">
        <f t="shared" si="301"/>
        <v>#VALUE!</v>
      </c>
      <c r="AB1258" s="71">
        <v>2525</v>
      </c>
      <c r="AC1258" s="64">
        <f t="shared" si="296"/>
        <v>8.6021505376344093E-2</v>
      </c>
      <c r="AD1258" s="64">
        <f t="shared" si="303"/>
        <v>8.6021505376344093E-2</v>
      </c>
      <c r="AE1258" s="175">
        <v>2475</v>
      </c>
      <c r="AF1258" s="64">
        <f t="shared" si="297"/>
        <v>6.4516129032258063E-2</v>
      </c>
      <c r="AG1258" s="64">
        <f t="shared" si="304"/>
        <v>6.4516129032258063E-2</v>
      </c>
      <c r="AH1258" s="67"/>
      <c r="AI1258" s="47" t="s">
        <v>54</v>
      </c>
      <c r="AJ1258" s="47">
        <v>602.78</v>
      </c>
      <c r="AK1258" s="47" t="s">
        <v>65</v>
      </c>
      <c r="AL1258" s="47" t="s">
        <v>55</v>
      </c>
      <c r="AM1258" s="47" t="s">
        <v>131</v>
      </c>
      <c r="AN1258" s="47"/>
      <c r="AO1258" s="211">
        <f t="shared" si="298"/>
        <v>-1</v>
      </c>
      <c r="AP1258" s="47" t="s">
        <v>90</v>
      </c>
      <c r="AQ1258" s="94" t="s">
        <v>891</v>
      </c>
      <c r="AR1258" s="47"/>
    </row>
    <row r="1259" spans="1:16373" hidden="1">
      <c r="A1259" s="47" t="s">
        <v>44</v>
      </c>
      <c r="B1259" s="47" t="str">
        <f t="shared" si="302"/>
        <v>August</v>
      </c>
      <c r="C1259" s="59">
        <v>45515</v>
      </c>
      <c r="D1259" s="47" t="s">
        <v>83</v>
      </c>
      <c r="E1259" s="47" t="s">
        <v>1051</v>
      </c>
      <c r="F1259" s="47" t="s">
        <v>1052</v>
      </c>
      <c r="G1259" s="47" t="s">
        <v>2229</v>
      </c>
      <c r="H1259" s="47" t="s">
        <v>2230</v>
      </c>
      <c r="I1259" s="47" t="s">
        <v>2231</v>
      </c>
      <c r="J1259" s="47" t="s">
        <v>51</v>
      </c>
      <c r="K1259" s="48">
        <v>45150</v>
      </c>
      <c r="L1259" s="48">
        <v>45150</v>
      </c>
      <c r="M1259" s="48">
        <v>45515</v>
      </c>
      <c r="N1259" s="47" t="s">
        <v>52</v>
      </c>
      <c r="O1259" s="55" t="s">
        <v>53</v>
      </c>
      <c r="P1259" s="62">
        <v>30000</v>
      </c>
      <c r="Q1259" s="62">
        <v>2500</v>
      </c>
      <c r="R1259" s="103">
        <v>30000</v>
      </c>
      <c r="S1259" s="62">
        <f t="shared" si="299"/>
        <v>2500</v>
      </c>
      <c r="T1259" s="62">
        <v>30000</v>
      </c>
      <c r="U1259" s="62">
        <f t="shared" si="300"/>
        <v>2500</v>
      </c>
      <c r="V1259" s="69">
        <v>25200</v>
      </c>
      <c r="W1259" s="71" t="s">
        <v>123</v>
      </c>
      <c r="X1259" s="71"/>
      <c r="Y1259" s="71"/>
      <c r="Z1259" s="64" t="e">
        <f t="shared" si="295"/>
        <v>#VALUE!</v>
      </c>
      <c r="AA1259" s="64" t="e">
        <f t="shared" si="301"/>
        <v>#VALUE!</v>
      </c>
      <c r="AB1259" s="71">
        <v>2650</v>
      </c>
      <c r="AC1259" s="64">
        <f t="shared" si="296"/>
        <v>0.06</v>
      </c>
      <c r="AD1259" s="64">
        <f t="shared" si="303"/>
        <v>0.06</v>
      </c>
      <c r="AE1259" s="71">
        <v>2625</v>
      </c>
      <c r="AF1259" s="64">
        <f t="shared" si="297"/>
        <v>0.05</v>
      </c>
      <c r="AG1259" s="64">
        <f t="shared" si="304"/>
        <v>0.05</v>
      </c>
      <c r="AH1259" s="67"/>
      <c r="AI1259" s="47" t="s">
        <v>54</v>
      </c>
      <c r="AJ1259" s="47">
        <v>613.54999999999995</v>
      </c>
      <c r="AK1259" s="47" t="s">
        <v>65</v>
      </c>
      <c r="AL1259" s="47" t="s">
        <v>55</v>
      </c>
      <c r="AM1259" s="47" t="s">
        <v>131</v>
      </c>
      <c r="AN1259" s="47"/>
      <c r="AO1259" s="211">
        <f t="shared" si="298"/>
        <v>-1</v>
      </c>
      <c r="AP1259" s="47" t="s">
        <v>90</v>
      </c>
      <c r="AQ1259" s="91" t="s">
        <v>116</v>
      </c>
      <c r="AR1259" s="47"/>
    </row>
    <row r="1260" spans="1:16373">
      <c r="A1260" s="47" t="s">
        <v>44</v>
      </c>
      <c r="B1260" s="47" t="str">
        <f t="shared" si="302"/>
        <v>August</v>
      </c>
      <c r="C1260" s="59">
        <v>45522</v>
      </c>
      <c r="D1260" s="47" t="s">
        <v>83</v>
      </c>
      <c r="E1260" s="47" t="s">
        <v>1051</v>
      </c>
      <c r="F1260" s="47" t="s">
        <v>1052</v>
      </c>
      <c r="G1260" s="47" t="s">
        <v>2301</v>
      </c>
      <c r="H1260" s="47" t="s">
        <v>2302</v>
      </c>
      <c r="I1260" s="47" t="s">
        <v>2303</v>
      </c>
      <c r="J1260" s="47" t="s">
        <v>51</v>
      </c>
      <c r="K1260" s="48">
        <v>44792</v>
      </c>
      <c r="L1260" s="48">
        <v>45157</v>
      </c>
      <c r="M1260" s="48">
        <v>45522</v>
      </c>
      <c r="N1260" s="47" t="s">
        <v>64</v>
      </c>
      <c r="O1260" s="55" t="s">
        <v>53</v>
      </c>
      <c r="P1260" s="62">
        <v>28920</v>
      </c>
      <c r="Q1260" s="62">
        <v>2410</v>
      </c>
      <c r="R1260" s="103">
        <v>28920</v>
      </c>
      <c r="S1260" s="62">
        <f t="shared" si="299"/>
        <v>2410</v>
      </c>
      <c r="T1260" s="62">
        <v>28920</v>
      </c>
      <c r="U1260" s="62">
        <f t="shared" si="300"/>
        <v>2410</v>
      </c>
      <c r="V1260" s="69">
        <v>27600</v>
      </c>
      <c r="W1260" s="71" t="s">
        <v>123</v>
      </c>
      <c r="X1260" s="71"/>
      <c r="Y1260" s="71"/>
      <c r="Z1260" s="64" t="e">
        <f t="shared" si="295"/>
        <v>#VALUE!</v>
      </c>
      <c r="AA1260" s="64" t="e">
        <f t="shared" si="301"/>
        <v>#VALUE!</v>
      </c>
      <c r="AB1260" s="71">
        <v>2550</v>
      </c>
      <c r="AC1260" s="64">
        <f t="shared" si="296"/>
        <v>5.8091286307053944E-2</v>
      </c>
      <c r="AD1260" s="64">
        <f t="shared" si="303"/>
        <v>5.8091286307053944E-2</v>
      </c>
      <c r="AE1260" s="71">
        <v>2525</v>
      </c>
      <c r="AF1260" s="64">
        <f t="shared" si="297"/>
        <v>4.7717842323651449E-2</v>
      </c>
      <c r="AG1260" s="64">
        <f t="shared" si="304"/>
        <v>4.7717842323651449E-2</v>
      </c>
      <c r="AH1260" s="67"/>
      <c r="AI1260" s="47" t="s">
        <v>54</v>
      </c>
      <c r="AJ1260" s="47">
        <v>595.02</v>
      </c>
      <c r="AK1260" s="47" t="s">
        <v>65</v>
      </c>
      <c r="AL1260" s="47" t="s">
        <v>55</v>
      </c>
      <c r="AM1260" s="47" t="s">
        <v>2304</v>
      </c>
      <c r="AN1260" s="47"/>
      <c r="AO1260" s="211">
        <f t="shared" si="298"/>
        <v>-1</v>
      </c>
      <c r="AP1260" s="47" t="s">
        <v>90</v>
      </c>
      <c r="AQ1260" s="91" t="s">
        <v>116</v>
      </c>
      <c r="AR1260" s="47"/>
    </row>
    <row r="1261" spans="1:16373" hidden="1">
      <c r="A1261" s="47" t="s">
        <v>44</v>
      </c>
      <c r="B1261" s="47" t="str">
        <f t="shared" si="302"/>
        <v>August</v>
      </c>
      <c r="C1261" s="59">
        <v>45524</v>
      </c>
      <c r="D1261" s="47" t="s">
        <v>83</v>
      </c>
      <c r="E1261" s="47" t="s">
        <v>1051</v>
      </c>
      <c r="F1261" s="47" t="s">
        <v>1052</v>
      </c>
      <c r="G1261" s="47" t="s">
        <v>2515</v>
      </c>
      <c r="H1261" s="47" t="s">
        <v>2516</v>
      </c>
      <c r="I1261" s="47" t="s">
        <v>2517</v>
      </c>
      <c r="J1261" s="47" t="s">
        <v>51</v>
      </c>
      <c r="K1261" s="48">
        <v>45159</v>
      </c>
      <c r="L1261" s="48">
        <v>45159</v>
      </c>
      <c r="M1261" s="48">
        <v>45524</v>
      </c>
      <c r="N1261" s="47" t="s">
        <v>52</v>
      </c>
      <c r="O1261" s="55" t="s">
        <v>53</v>
      </c>
      <c r="P1261" s="62">
        <v>28800</v>
      </c>
      <c r="Q1261" s="62">
        <v>2400</v>
      </c>
      <c r="R1261" s="103">
        <v>28800</v>
      </c>
      <c r="S1261" s="62">
        <f t="shared" si="299"/>
        <v>2400</v>
      </c>
      <c r="T1261" s="62">
        <v>28800</v>
      </c>
      <c r="U1261" s="62">
        <f t="shared" si="300"/>
        <v>2400</v>
      </c>
      <c r="V1261" s="69">
        <v>23400</v>
      </c>
      <c r="W1261" s="71" t="s">
        <v>123</v>
      </c>
      <c r="X1261" s="71"/>
      <c r="Y1261" s="71"/>
      <c r="Z1261" s="64" t="e">
        <f t="shared" si="295"/>
        <v>#VALUE!</v>
      </c>
      <c r="AA1261" s="64" t="e">
        <f t="shared" si="301"/>
        <v>#VALUE!</v>
      </c>
      <c r="AB1261" s="71">
        <v>2550</v>
      </c>
      <c r="AC1261" s="64">
        <f t="shared" si="296"/>
        <v>6.25E-2</v>
      </c>
      <c r="AD1261" s="64">
        <f t="shared" si="303"/>
        <v>6.25E-2</v>
      </c>
      <c r="AE1261" s="71">
        <v>2525</v>
      </c>
      <c r="AF1261" s="64">
        <f t="shared" si="297"/>
        <v>5.2083333333333336E-2</v>
      </c>
      <c r="AG1261" s="64">
        <f t="shared" si="304"/>
        <v>5.2083333333333336E-2</v>
      </c>
      <c r="AH1261" s="67"/>
      <c r="AI1261" s="47" t="s">
        <v>395</v>
      </c>
      <c r="AJ1261" s="47">
        <v>635.07000000000005</v>
      </c>
      <c r="AK1261" s="47" t="s">
        <v>65</v>
      </c>
      <c r="AL1261" s="47" t="s">
        <v>55</v>
      </c>
      <c r="AM1261" s="47" t="s">
        <v>2518</v>
      </c>
      <c r="AN1261" s="47"/>
      <c r="AO1261" s="211">
        <f t="shared" si="298"/>
        <v>-1</v>
      </c>
      <c r="AP1261" s="47" t="s">
        <v>90</v>
      </c>
      <c r="AQ1261" s="91" t="s">
        <v>116</v>
      </c>
      <c r="AR1261" s="47"/>
    </row>
    <row r="1262" spans="1:16373">
      <c r="A1262" s="47" t="s">
        <v>44</v>
      </c>
      <c r="B1262" s="47" t="str">
        <f t="shared" si="302"/>
        <v>August</v>
      </c>
      <c r="C1262" s="59">
        <v>45527</v>
      </c>
      <c r="D1262" s="47" t="s">
        <v>83</v>
      </c>
      <c r="E1262" s="47" t="s">
        <v>1051</v>
      </c>
      <c r="F1262" s="47" t="s">
        <v>1052</v>
      </c>
      <c r="G1262" s="47" t="s">
        <v>2826</v>
      </c>
      <c r="H1262" s="47" t="s">
        <v>2827</v>
      </c>
      <c r="I1262" s="47" t="s">
        <v>2828</v>
      </c>
      <c r="J1262" s="47" t="s">
        <v>51</v>
      </c>
      <c r="K1262" s="48">
        <v>44616</v>
      </c>
      <c r="L1262" s="48">
        <v>45162</v>
      </c>
      <c r="M1262" s="48">
        <v>45527</v>
      </c>
      <c r="N1262" s="47" t="s">
        <v>64</v>
      </c>
      <c r="O1262" s="55" t="s">
        <v>53</v>
      </c>
      <c r="P1262" s="62">
        <v>28320</v>
      </c>
      <c r="Q1262" s="62">
        <v>2360</v>
      </c>
      <c r="R1262" s="103">
        <v>28320</v>
      </c>
      <c r="S1262" s="62">
        <f t="shared" si="299"/>
        <v>2360</v>
      </c>
      <c r="T1262" s="62">
        <v>28320</v>
      </c>
      <c r="U1262" s="62">
        <f t="shared" si="300"/>
        <v>2360</v>
      </c>
      <c r="V1262" s="69">
        <v>26703</v>
      </c>
      <c r="W1262" s="71" t="s">
        <v>123</v>
      </c>
      <c r="X1262" s="71"/>
      <c r="Y1262" s="71"/>
      <c r="Z1262" s="64" t="e">
        <f t="shared" si="295"/>
        <v>#VALUE!</v>
      </c>
      <c r="AA1262" s="64" t="e">
        <f t="shared" si="301"/>
        <v>#VALUE!</v>
      </c>
      <c r="AB1262" s="71">
        <v>2575</v>
      </c>
      <c r="AC1262" s="64">
        <f t="shared" si="296"/>
        <v>9.110169491525423E-2</v>
      </c>
      <c r="AD1262" s="64">
        <f t="shared" si="303"/>
        <v>9.110169491525423E-2</v>
      </c>
      <c r="AE1262" s="71">
        <v>2500</v>
      </c>
      <c r="AF1262" s="64">
        <f t="shared" si="297"/>
        <v>5.9322033898305086E-2</v>
      </c>
      <c r="AG1262" s="64">
        <f t="shared" si="304"/>
        <v>5.9322033898305086E-2</v>
      </c>
      <c r="AH1262" s="67"/>
      <c r="AI1262" s="47" t="s">
        <v>54</v>
      </c>
      <c r="AJ1262" s="47">
        <v>624.30999999999995</v>
      </c>
      <c r="AK1262" s="47" t="s">
        <v>65</v>
      </c>
      <c r="AL1262" s="47" t="s">
        <v>55</v>
      </c>
      <c r="AM1262" s="47" t="s">
        <v>131</v>
      </c>
      <c r="AN1262" s="47"/>
      <c r="AO1262" s="211">
        <f t="shared" si="298"/>
        <v>-1</v>
      </c>
      <c r="AP1262" s="47" t="s">
        <v>90</v>
      </c>
      <c r="AQ1262" s="91" t="s">
        <v>116</v>
      </c>
      <c r="AR1262" s="47"/>
    </row>
    <row r="1263" spans="1:16373" customFormat="1" ht="15" hidden="1">
      <c r="A1263" s="47" t="s">
        <v>44</v>
      </c>
      <c r="B1263" s="47" t="str">
        <f t="shared" si="302"/>
        <v>August</v>
      </c>
      <c r="C1263" s="59">
        <v>45528</v>
      </c>
      <c r="D1263" s="47" t="s">
        <v>83</v>
      </c>
      <c r="E1263" s="47" t="s">
        <v>1051</v>
      </c>
      <c r="F1263" s="47" t="s">
        <v>1052</v>
      </c>
      <c r="G1263" s="47" t="s">
        <v>2994</v>
      </c>
      <c r="H1263" s="47" t="s">
        <v>2995</v>
      </c>
      <c r="I1263" s="47" t="s">
        <v>50</v>
      </c>
      <c r="J1263" s="47" t="s">
        <v>51</v>
      </c>
      <c r="K1263" s="48">
        <v>45163</v>
      </c>
      <c r="L1263" s="48">
        <v>45163</v>
      </c>
      <c r="M1263" s="48">
        <v>45528</v>
      </c>
      <c r="N1263" s="47" t="s">
        <v>52</v>
      </c>
      <c r="O1263" s="55" t="s">
        <v>53</v>
      </c>
      <c r="P1263" s="62">
        <v>30240</v>
      </c>
      <c r="Q1263" s="62">
        <v>2520</v>
      </c>
      <c r="R1263" s="103">
        <v>30240</v>
      </c>
      <c r="S1263" s="62">
        <f t="shared" si="299"/>
        <v>2520</v>
      </c>
      <c r="T1263" s="62">
        <v>30240</v>
      </c>
      <c r="U1263" s="62">
        <f t="shared" si="300"/>
        <v>2520</v>
      </c>
      <c r="V1263" s="69">
        <v>25800</v>
      </c>
      <c r="W1263" s="71" t="s">
        <v>123</v>
      </c>
      <c r="X1263" s="71"/>
      <c r="Y1263" s="71"/>
      <c r="Z1263" s="64" t="e">
        <f t="shared" si="295"/>
        <v>#VALUE!</v>
      </c>
      <c r="AA1263" s="64" t="e">
        <f t="shared" si="301"/>
        <v>#VALUE!</v>
      </c>
      <c r="AB1263" s="71">
        <v>2650</v>
      </c>
      <c r="AC1263" s="198">
        <f t="shared" si="296"/>
        <v>5.1587301587301584E-2</v>
      </c>
      <c r="AD1263" s="198">
        <f t="shared" si="303"/>
        <v>5.1587301587301584E-2</v>
      </c>
      <c r="AE1263" s="216">
        <v>2600</v>
      </c>
      <c r="AF1263" s="198">
        <f t="shared" si="297"/>
        <v>3.1746031746031744E-2</v>
      </c>
      <c r="AG1263" s="198">
        <f t="shared" si="304"/>
        <v>3.1746031746031744E-2</v>
      </c>
      <c r="AH1263" s="288"/>
      <c r="AI1263" s="47" t="s">
        <v>54</v>
      </c>
      <c r="AJ1263" s="144">
        <v>613.54</v>
      </c>
      <c r="AK1263" s="144" t="s">
        <v>65</v>
      </c>
      <c r="AL1263" s="144" t="s">
        <v>55</v>
      </c>
      <c r="AM1263" s="144" t="s">
        <v>2996</v>
      </c>
      <c r="AN1263" s="144"/>
      <c r="AO1263" s="211">
        <f t="shared" si="298"/>
        <v>-1</v>
      </c>
      <c r="AP1263" s="47" t="s">
        <v>90</v>
      </c>
      <c r="AQ1263" s="91" t="s">
        <v>116</v>
      </c>
      <c r="AR1263" s="47"/>
      <c r="AS1263" s="52"/>
      <c r="AT1263" s="52"/>
      <c r="AU1263" s="52"/>
      <c r="AV1263" s="52"/>
      <c r="AW1263" s="52"/>
      <c r="AX1263" s="52"/>
      <c r="AY1263" s="52"/>
      <c r="AZ1263" s="52"/>
      <c r="BA1263" s="52"/>
      <c r="BB1263" s="52"/>
      <c r="BC1263" s="52"/>
      <c r="BD1263" s="52"/>
      <c r="BE1263" s="52"/>
      <c r="BF1263" s="52"/>
      <c r="BG1263" s="52"/>
      <c r="BH1263" s="52"/>
      <c r="BI1263" s="52"/>
      <c r="BJ1263" s="52"/>
      <c r="BK1263" s="52"/>
      <c r="BL1263" s="52"/>
      <c r="BM1263" s="52"/>
      <c r="BN1263" s="52"/>
      <c r="BO1263" s="52"/>
      <c r="BP1263" s="52"/>
      <c r="BQ1263" s="52"/>
      <c r="BR1263" s="52"/>
      <c r="BS1263" s="52"/>
      <c r="BT1263" s="52"/>
      <c r="BU1263" s="52"/>
      <c r="BV1263" s="52"/>
      <c r="BW1263" s="52"/>
      <c r="BX1263" s="52"/>
      <c r="BY1263" s="52"/>
      <c r="BZ1263" s="52"/>
      <c r="CA1263" s="52"/>
      <c r="CB1263" s="52"/>
      <c r="CC1263" s="52"/>
      <c r="CD1263" s="52"/>
      <c r="CE1263" s="52"/>
      <c r="CF1263" s="52"/>
      <c r="CG1263" s="52"/>
      <c r="CH1263" s="52"/>
      <c r="CI1263" s="52"/>
      <c r="CJ1263" s="52"/>
      <c r="CK1263" s="52"/>
      <c r="CL1263" s="52"/>
      <c r="CM1263" s="52"/>
      <c r="CN1263" s="52"/>
      <c r="CO1263" s="52"/>
      <c r="CP1263" s="52"/>
      <c r="CQ1263" s="52"/>
      <c r="CR1263" s="52"/>
      <c r="CS1263" s="52"/>
      <c r="CT1263" s="52"/>
      <c r="CU1263" s="52"/>
      <c r="CV1263" s="52"/>
      <c r="CW1263" s="52"/>
      <c r="CX1263" s="52"/>
      <c r="CY1263" s="52"/>
      <c r="CZ1263" s="52"/>
      <c r="DA1263" s="52"/>
      <c r="DB1263" s="52"/>
      <c r="DC1263" s="52"/>
      <c r="DD1263" s="52"/>
      <c r="DE1263" s="52"/>
      <c r="DF1263" s="52"/>
      <c r="DG1263" s="52"/>
      <c r="DH1263" s="52"/>
      <c r="DI1263" s="52"/>
      <c r="DJ1263" s="52"/>
      <c r="DK1263" s="52"/>
      <c r="DL1263" s="52"/>
      <c r="DM1263" s="52"/>
      <c r="DN1263" s="52"/>
      <c r="DO1263" s="52"/>
      <c r="DP1263" s="52"/>
      <c r="DQ1263" s="52"/>
      <c r="DR1263" s="52"/>
      <c r="DS1263" s="52"/>
      <c r="DT1263" s="52"/>
      <c r="DU1263" s="52"/>
      <c r="DV1263" s="52"/>
      <c r="DW1263" s="52"/>
      <c r="DX1263" s="52"/>
      <c r="DY1263" s="52"/>
      <c r="DZ1263" s="52"/>
      <c r="EA1263" s="52"/>
      <c r="EB1263" s="52"/>
      <c r="EC1263" s="52"/>
      <c r="ED1263" s="52"/>
      <c r="EE1263" s="52"/>
      <c r="EF1263" s="52"/>
      <c r="EG1263" s="52"/>
      <c r="EH1263" s="52"/>
      <c r="EI1263" s="52"/>
      <c r="EJ1263" s="52"/>
      <c r="EK1263" s="52"/>
      <c r="EL1263" s="52"/>
      <c r="EM1263" s="52"/>
      <c r="EN1263" s="52"/>
      <c r="EO1263" s="52"/>
      <c r="EP1263" s="52"/>
      <c r="EQ1263" s="52"/>
      <c r="ER1263" s="52"/>
      <c r="ES1263" s="52"/>
      <c r="ET1263" s="52"/>
      <c r="EU1263" s="52"/>
      <c r="EV1263" s="52"/>
      <c r="EW1263" s="52"/>
      <c r="EX1263" s="52"/>
      <c r="EY1263" s="52"/>
      <c r="EZ1263" s="52"/>
      <c r="FA1263" s="52"/>
      <c r="FB1263" s="52"/>
      <c r="FC1263" s="52"/>
      <c r="FD1263" s="52"/>
      <c r="FE1263" s="52"/>
      <c r="FF1263" s="52"/>
      <c r="FG1263" s="52"/>
      <c r="FH1263" s="52"/>
      <c r="FI1263" s="52"/>
      <c r="FJ1263" s="52"/>
      <c r="FK1263" s="52"/>
      <c r="FL1263" s="52"/>
      <c r="FM1263" s="52"/>
      <c r="FN1263" s="52"/>
      <c r="FO1263" s="52"/>
      <c r="FP1263" s="52"/>
      <c r="FQ1263" s="52"/>
      <c r="FR1263" s="52"/>
      <c r="FS1263" s="52"/>
      <c r="FT1263" s="52"/>
      <c r="FU1263" s="52"/>
      <c r="FV1263" s="52"/>
      <c r="FW1263" s="52"/>
      <c r="FX1263" s="52"/>
      <c r="FY1263" s="52"/>
      <c r="FZ1263" s="52"/>
      <c r="GA1263" s="52"/>
      <c r="GB1263" s="52"/>
      <c r="GC1263" s="52"/>
      <c r="GD1263" s="52"/>
      <c r="GE1263" s="52"/>
      <c r="GF1263" s="52"/>
      <c r="GG1263" s="52"/>
      <c r="GH1263" s="52"/>
      <c r="GI1263" s="52"/>
      <c r="GJ1263" s="52"/>
      <c r="GK1263" s="52"/>
      <c r="GL1263" s="52"/>
      <c r="GM1263" s="52"/>
      <c r="GN1263" s="52"/>
      <c r="GO1263" s="52"/>
      <c r="GP1263" s="52"/>
      <c r="GQ1263" s="52"/>
      <c r="GR1263" s="52"/>
      <c r="GS1263" s="52"/>
      <c r="GT1263" s="52"/>
      <c r="GU1263" s="52"/>
      <c r="GV1263" s="52"/>
      <c r="GW1263" s="52"/>
      <c r="GX1263" s="52"/>
      <c r="GY1263" s="52"/>
      <c r="GZ1263" s="52"/>
      <c r="HA1263" s="52"/>
      <c r="HB1263" s="52"/>
      <c r="HC1263" s="52"/>
      <c r="HD1263" s="52"/>
      <c r="HE1263" s="52"/>
      <c r="HF1263" s="52"/>
      <c r="HG1263" s="52"/>
      <c r="HH1263" s="52"/>
      <c r="HI1263" s="52"/>
      <c r="HJ1263" s="52"/>
      <c r="HK1263" s="52"/>
      <c r="HL1263" s="52"/>
      <c r="HM1263" s="52"/>
      <c r="HN1263" s="52"/>
      <c r="HO1263" s="52"/>
      <c r="HP1263" s="52"/>
      <c r="HQ1263" s="52"/>
      <c r="HR1263" s="52"/>
      <c r="HS1263" s="52"/>
      <c r="HT1263" s="52"/>
      <c r="HU1263" s="52"/>
      <c r="HV1263" s="52"/>
      <c r="HW1263" s="52"/>
      <c r="HX1263" s="52"/>
      <c r="HY1263" s="52"/>
      <c r="HZ1263" s="52"/>
      <c r="IA1263" s="52"/>
      <c r="IB1263" s="52"/>
      <c r="IC1263" s="52"/>
      <c r="ID1263" s="52"/>
      <c r="IE1263" s="52"/>
      <c r="IF1263" s="52"/>
      <c r="IG1263" s="52"/>
      <c r="IH1263" s="52"/>
      <c r="II1263" s="52"/>
      <c r="IJ1263" s="52"/>
      <c r="IK1263" s="52"/>
      <c r="IL1263" s="52"/>
      <c r="IM1263" s="52"/>
      <c r="IN1263" s="52"/>
      <c r="IO1263" s="52"/>
      <c r="IP1263" s="52"/>
      <c r="IQ1263" s="52"/>
      <c r="IR1263" s="52"/>
      <c r="IS1263" s="52"/>
      <c r="IT1263" s="52"/>
      <c r="IU1263" s="52"/>
      <c r="IV1263" s="52"/>
      <c r="IW1263" s="52"/>
      <c r="IX1263" s="52"/>
      <c r="IY1263" s="52"/>
      <c r="IZ1263" s="52"/>
      <c r="JA1263" s="52"/>
      <c r="JB1263" s="52"/>
      <c r="JC1263" s="52"/>
      <c r="JD1263" s="52"/>
      <c r="JE1263" s="52"/>
      <c r="JF1263" s="52"/>
      <c r="JG1263" s="52"/>
      <c r="JH1263" s="52"/>
      <c r="JI1263" s="52"/>
      <c r="JJ1263" s="52"/>
      <c r="JK1263" s="52"/>
      <c r="JL1263" s="52"/>
      <c r="JM1263" s="52"/>
      <c r="JN1263" s="52"/>
      <c r="JO1263" s="52"/>
      <c r="JP1263" s="52"/>
      <c r="JQ1263" s="52"/>
      <c r="JR1263" s="52"/>
      <c r="JS1263" s="52"/>
      <c r="JT1263" s="52"/>
      <c r="JU1263" s="52"/>
      <c r="JV1263" s="52"/>
      <c r="JW1263" s="52"/>
      <c r="JX1263" s="52"/>
      <c r="JY1263" s="52"/>
      <c r="JZ1263" s="52"/>
      <c r="KA1263" s="52"/>
      <c r="KB1263" s="52"/>
      <c r="KC1263" s="52"/>
      <c r="KD1263" s="52"/>
      <c r="KE1263" s="52"/>
      <c r="KF1263" s="52"/>
      <c r="KG1263" s="52"/>
      <c r="KH1263" s="52"/>
      <c r="KI1263" s="52"/>
      <c r="KJ1263" s="52"/>
      <c r="KK1263" s="52"/>
      <c r="KL1263" s="52"/>
      <c r="KM1263" s="52"/>
      <c r="KN1263" s="52"/>
      <c r="KO1263" s="52"/>
      <c r="KP1263" s="52"/>
      <c r="KQ1263" s="52"/>
      <c r="KR1263" s="52"/>
      <c r="KS1263" s="52"/>
      <c r="KT1263" s="52"/>
      <c r="KU1263" s="52"/>
      <c r="KV1263" s="52"/>
      <c r="KW1263" s="52"/>
      <c r="KX1263" s="52"/>
      <c r="KY1263" s="52"/>
      <c r="KZ1263" s="52"/>
      <c r="LA1263" s="52"/>
      <c r="LB1263" s="52"/>
      <c r="LC1263" s="52"/>
      <c r="LD1263" s="52"/>
      <c r="LE1263" s="52"/>
      <c r="LF1263" s="52"/>
      <c r="LG1263" s="52"/>
      <c r="LH1263" s="52"/>
      <c r="LI1263" s="52"/>
      <c r="LJ1263" s="52"/>
      <c r="LK1263" s="52"/>
      <c r="LL1263" s="52"/>
      <c r="LM1263" s="52"/>
      <c r="LN1263" s="52"/>
      <c r="LO1263" s="52"/>
      <c r="LP1263" s="52"/>
      <c r="LQ1263" s="52"/>
      <c r="LR1263" s="52"/>
      <c r="LS1263" s="52"/>
      <c r="LT1263" s="52"/>
      <c r="LU1263" s="52"/>
      <c r="LV1263" s="52"/>
      <c r="LW1263" s="52"/>
      <c r="LX1263" s="52"/>
      <c r="LY1263" s="52"/>
      <c r="LZ1263" s="52"/>
      <c r="MA1263" s="52"/>
      <c r="MB1263" s="52"/>
      <c r="MC1263" s="52"/>
      <c r="MD1263" s="52"/>
      <c r="ME1263" s="52"/>
      <c r="MF1263" s="52"/>
      <c r="MG1263" s="52"/>
      <c r="MH1263" s="52"/>
      <c r="MI1263" s="52"/>
      <c r="MJ1263" s="52"/>
      <c r="MK1263" s="52"/>
      <c r="ML1263" s="52"/>
      <c r="MM1263" s="52"/>
      <c r="MN1263" s="52"/>
      <c r="MO1263" s="52"/>
      <c r="MP1263" s="52"/>
      <c r="MQ1263" s="52"/>
      <c r="MR1263" s="52"/>
      <c r="MS1263" s="52"/>
      <c r="MT1263" s="52"/>
      <c r="MU1263" s="52"/>
      <c r="MV1263" s="52"/>
      <c r="MW1263" s="52"/>
      <c r="MX1263" s="52"/>
      <c r="MY1263" s="52"/>
      <c r="MZ1263" s="52"/>
      <c r="NA1263" s="52"/>
      <c r="NB1263" s="52"/>
      <c r="NC1263" s="52"/>
      <c r="ND1263" s="52"/>
      <c r="NE1263" s="52"/>
      <c r="NF1263" s="52"/>
      <c r="NG1263" s="52"/>
      <c r="NH1263" s="52"/>
      <c r="NI1263" s="52"/>
      <c r="NJ1263" s="52"/>
      <c r="NK1263" s="52"/>
      <c r="NL1263" s="52"/>
      <c r="NM1263" s="52"/>
      <c r="NN1263" s="52"/>
      <c r="NO1263" s="52"/>
      <c r="NP1263" s="52"/>
      <c r="NQ1263" s="52"/>
      <c r="NR1263" s="52"/>
      <c r="NS1263" s="52"/>
      <c r="NT1263" s="52"/>
      <c r="NU1263" s="52"/>
      <c r="NV1263" s="52"/>
      <c r="NW1263" s="52"/>
      <c r="NX1263" s="52"/>
      <c r="NY1263" s="52"/>
      <c r="NZ1263" s="52"/>
      <c r="OA1263" s="52"/>
      <c r="OB1263" s="52"/>
      <c r="OC1263" s="52"/>
      <c r="OD1263" s="52"/>
      <c r="OE1263" s="52"/>
      <c r="OF1263" s="52"/>
      <c r="OG1263" s="52"/>
      <c r="OH1263" s="52"/>
      <c r="OI1263" s="52"/>
      <c r="OJ1263" s="52"/>
      <c r="OK1263" s="52"/>
      <c r="OL1263" s="52"/>
      <c r="OM1263" s="52"/>
      <c r="ON1263" s="52"/>
      <c r="OO1263" s="52"/>
      <c r="OP1263" s="52"/>
      <c r="OQ1263" s="52"/>
      <c r="OR1263" s="52"/>
      <c r="OS1263" s="52"/>
      <c r="OT1263" s="52"/>
      <c r="OU1263" s="52"/>
      <c r="OV1263" s="52"/>
      <c r="OW1263" s="52"/>
      <c r="OX1263" s="52"/>
      <c r="OY1263" s="52"/>
      <c r="OZ1263" s="52"/>
      <c r="PA1263" s="52"/>
      <c r="PB1263" s="52"/>
      <c r="PC1263" s="52"/>
      <c r="PD1263" s="52"/>
      <c r="PE1263" s="52"/>
      <c r="PF1263" s="52"/>
      <c r="PG1263" s="52"/>
      <c r="PH1263" s="52"/>
      <c r="PI1263" s="52"/>
      <c r="PJ1263" s="52"/>
      <c r="PK1263" s="52"/>
      <c r="PL1263" s="52"/>
      <c r="PM1263" s="52"/>
      <c r="PN1263" s="52"/>
      <c r="PO1263" s="52"/>
      <c r="PP1263" s="52"/>
      <c r="PQ1263" s="52"/>
      <c r="PR1263" s="52"/>
      <c r="PS1263" s="52"/>
      <c r="PT1263" s="52"/>
      <c r="PU1263" s="52"/>
      <c r="PV1263" s="52"/>
      <c r="PW1263" s="52"/>
      <c r="PX1263" s="52"/>
      <c r="PY1263" s="52"/>
      <c r="PZ1263" s="52"/>
      <c r="QA1263" s="52"/>
      <c r="QB1263" s="52"/>
      <c r="QC1263" s="52"/>
      <c r="QD1263" s="52"/>
      <c r="QE1263" s="52"/>
      <c r="QF1263" s="52"/>
      <c r="QG1263" s="52"/>
      <c r="QH1263" s="52"/>
      <c r="QI1263" s="52"/>
      <c r="QJ1263" s="52"/>
      <c r="QK1263" s="52"/>
      <c r="QL1263" s="52"/>
      <c r="QM1263" s="52"/>
      <c r="QN1263" s="52"/>
      <c r="QO1263" s="52"/>
      <c r="QP1263" s="52"/>
      <c r="QQ1263" s="52"/>
      <c r="QR1263" s="52"/>
      <c r="QS1263" s="52"/>
      <c r="QT1263" s="52"/>
      <c r="QU1263" s="52"/>
      <c r="QV1263" s="52"/>
      <c r="QW1263" s="52"/>
      <c r="QX1263" s="52"/>
      <c r="QY1263" s="52"/>
      <c r="QZ1263" s="52"/>
      <c r="RA1263" s="52"/>
      <c r="RB1263" s="52"/>
      <c r="RC1263" s="52"/>
      <c r="RD1263" s="52"/>
      <c r="RE1263" s="52"/>
      <c r="RF1263" s="52"/>
      <c r="RG1263" s="52"/>
      <c r="RH1263" s="52"/>
      <c r="RI1263" s="52"/>
      <c r="RJ1263" s="52"/>
      <c r="RK1263" s="52"/>
      <c r="RL1263" s="52"/>
      <c r="RM1263" s="52"/>
      <c r="RN1263" s="52"/>
      <c r="RO1263" s="52"/>
      <c r="RP1263" s="52"/>
      <c r="RQ1263" s="52"/>
      <c r="RR1263" s="52"/>
      <c r="RS1263" s="52"/>
      <c r="RT1263" s="52"/>
      <c r="RU1263" s="52"/>
      <c r="RV1263" s="52"/>
      <c r="RW1263" s="52"/>
      <c r="RX1263" s="52"/>
      <c r="RY1263" s="52"/>
      <c r="RZ1263" s="52"/>
      <c r="SA1263" s="52"/>
      <c r="SB1263" s="52"/>
      <c r="SC1263" s="52"/>
      <c r="SD1263" s="52"/>
      <c r="SE1263" s="52"/>
      <c r="SF1263" s="52"/>
      <c r="SG1263" s="52"/>
      <c r="SH1263" s="52"/>
      <c r="SI1263" s="52"/>
      <c r="SJ1263" s="52"/>
      <c r="SK1263" s="52"/>
      <c r="SL1263" s="52"/>
      <c r="SM1263" s="52"/>
      <c r="SN1263" s="52"/>
      <c r="SO1263" s="52"/>
      <c r="SP1263" s="52"/>
      <c r="SQ1263" s="52"/>
      <c r="SR1263" s="52"/>
      <c r="SS1263" s="52"/>
      <c r="ST1263" s="52"/>
      <c r="SU1263" s="52"/>
      <c r="SV1263" s="52"/>
      <c r="SW1263" s="52"/>
      <c r="SX1263" s="52"/>
      <c r="SY1263" s="52"/>
      <c r="SZ1263" s="52"/>
      <c r="TA1263" s="52"/>
      <c r="TB1263" s="52"/>
      <c r="TC1263" s="52"/>
      <c r="TD1263" s="52"/>
      <c r="TE1263" s="52"/>
      <c r="TF1263" s="52"/>
      <c r="TG1263" s="52"/>
      <c r="TH1263" s="52"/>
      <c r="TI1263" s="52"/>
      <c r="TJ1263" s="52"/>
      <c r="TK1263" s="52"/>
      <c r="TL1263" s="52"/>
      <c r="TM1263" s="52"/>
      <c r="TN1263" s="52"/>
      <c r="TO1263" s="52"/>
      <c r="TP1263" s="52"/>
      <c r="TQ1263" s="52"/>
      <c r="TR1263" s="52"/>
      <c r="TS1263" s="52"/>
      <c r="TT1263" s="52"/>
      <c r="TU1263" s="52"/>
      <c r="TV1263" s="52"/>
      <c r="TW1263" s="52"/>
      <c r="TX1263" s="52"/>
      <c r="TY1263" s="52"/>
      <c r="TZ1263" s="52"/>
      <c r="UA1263" s="52"/>
      <c r="UB1263" s="52"/>
      <c r="UC1263" s="52"/>
      <c r="UD1263" s="52"/>
      <c r="UE1263" s="52"/>
      <c r="UF1263" s="52"/>
      <c r="UG1263" s="52"/>
      <c r="UH1263" s="52"/>
      <c r="UI1263" s="52"/>
      <c r="UJ1263" s="52"/>
      <c r="UK1263" s="52"/>
      <c r="UL1263" s="52"/>
      <c r="UM1263" s="52"/>
      <c r="UN1263" s="52"/>
      <c r="UO1263" s="52"/>
      <c r="UP1263" s="52"/>
      <c r="UQ1263" s="52"/>
      <c r="UR1263" s="52"/>
      <c r="US1263" s="52"/>
      <c r="UT1263" s="52"/>
      <c r="UU1263" s="52"/>
      <c r="UV1263" s="52"/>
      <c r="UW1263" s="52"/>
      <c r="UX1263" s="52"/>
      <c r="UY1263" s="52"/>
      <c r="UZ1263" s="52"/>
      <c r="VA1263" s="52"/>
      <c r="VB1263" s="52"/>
      <c r="VC1263" s="52"/>
      <c r="VD1263" s="52"/>
      <c r="VE1263" s="52"/>
      <c r="VF1263" s="52"/>
      <c r="VG1263" s="52"/>
      <c r="VH1263" s="52"/>
      <c r="VI1263" s="52"/>
      <c r="VJ1263" s="52"/>
      <c r="VK1263" s="52"/>
      <c r="VL1263" s="52"/>
      <c r="VM1263" s="52"/>
      <c r="VN1263" s="52"/>
      <c r="VO1263" s="52"/>
      <c r="VP1263" s="52"/>
      <c r="VQ1263" s="52"/>
      <c r="VR1263" s="52"/>
      <c r="VS1263" s="52"/>
      <c r="VT1263" s="52"/>
      <c r="VU1263" s="52"/>
      <c r="VV1263" s="52"/>
      <c r="VW1263" s="52"/>
      <c r="VX1263" s="52"/>
      <c r="VY1263" s="52"/>
      <c r="VZ1263" s="52"/>
      <c r="WA1263" s="52"/>
      <c r="WB1263" s="52"/>
      <c r="WC1263" s="52"/>
      <c r="WD1263" s="52"/>
      <c r="WE1263" s="52"/>
      <c r="WF1263" s="52"/>
      <c r="WG1263" s="52"/>
      <c r="WH1263" s="52"/>
      <c r="WI1263" s="52"/>
      <c r="WJ1263" s="52"/>
      <c r="WK1263" s="52"/>
      <c r="WL1263" s="52"/>
      <c r="WM1263" s="52"/>
      <c r="WN1263" s="52"/>
      <c r="WO1263" s="52"/>
      <c r="WP1263" s="52"/>
      <c r="WQ1263" s="52"/>
      <c r="WR1263" s="52"/>
      <c r="WS1263" s="52"/>
      <c r="WT1263" s="52"/>
      <c r="WU1263" s="52"/>
      <c r="WV1263" s="52"/>
      <c r="WW1263" s="52"/>
      <c r="WX1263" s="52"/>
      <c r="WY1263" s="52"/>
      <c r="WZ1263" s="52"/>
      <c r="XA1263" s="52"/>
      <c r="XB1263" s="52"/>
      <c r="XC1263" s="52"/>
      <c r="XD1263" s="52"/>
      <c r="XE1263" s="52"/>
      <c r="XF1263" s="52"/>
      <c r="XG1263" s="52"/>
      <c r="XH1263" s="52"/>
      <c r="XI1263" s="52"/>
      <c r="XJ1263" s="52"/>
      <c r="XK1263" s="52"/>
      <c r="XL1263" s="52"/>
      <c r="XM1263" s="52"/>
      <c r="XN1263" s="52"/>
      <c r="XO1263" s="52"/>
      <c r="XP1263" s="52"/>
      <c r="XQ1263" s="52"/>
      <c r="XR1263" s="52"/>
      <c r="XS1263" s="52"/>
      <c r="XT1263" s="52"/>
      <c r="XU1263" s="52"/>
      <c r="XV1263" s="52"/>
      <c r="XW1263" s="52"/>
      <c r="XX1263" s="52"/>
      <c r="XY1263" s="52"/>
      <c r="XZ1263" s="52"/>
      <c r="YA1263" s="52"/>
      <c r="YB1263" s="52"/>
      <c r="YC1263" s="52"/>
      <c r="YD1263" s="52"/>
      <c r="YE1263" s="52"/>
      <c r="YF1263" s="52"/>
      <c r="YG1263" s="52"/>
      <c r="YH1263" s="52"/>
      <c r="YI1263" s="52"/>
      <c r="YJ1263" s="52"/>
      <c r="YK1263" s="52"/>
      <c r="YL1263" s="52"/>
      <c r="YM1263" s="52"/>
      <c r="YN1263" s="52"/>
      <c r="YO1263" s="52"/>
      <c r="YP1263" s="52"/>
      <c r="YQ1263" s="52"/>
      <c r="YR1263" s="52"/>
      <c r="YS1263" s="52"/>
      <c r="YT1263" s="52"/>
      <c r="YU1263" s="52"/>
      <c r="YV1263" s="52"/>
      <c r="YW1263" s="52"/>
      <c r="YX1263" s="52"/>
      <c r="YY1263" s="52"/>
      <c r="YZ1263" s="52"/>
      <c r="ZA1263" s="52"/>
      <c r="ZB1263" s="52"/>
      <c r="ZC1263" s="52"/>
      <c r="ZD1263" s="52"/>
      <c r="ZE1263" s="52"/>
      <c r="ZF1263" s="52"/>
      <c r="ZG1263" s="52"/>
      <c r="ZH1263" s="52"/>
      <c r="ZI1263" s="52"/>
      <c r="ZJ1263" s="52"/>
      <c r="ZK1263" s="52"/>
      <c r="ZL1263" s="52"/>
      <c r="ZM1263" s="52"/>
      <c r="ZN1263" s="52"/>
      <c r="ZO1263" s="52"/>
      <c r="ZP1263" s="52"/>
      <c r="ZQ1263" s="52"/>
      <c r="ZR1263" s="52"/>
      <c r="ZS1263" s="52"/>
      <c r="ZT1263" s="52"/>
      <c r="ZU1263" s="52"/>
      <c r="ZV1263" s="52"/>
      <c r="ZW1263" s="52"/>
      <c r="ZX1263" s="52"/>
      <c r="ZY1263" s="52"/>
      <c r="ZZ1263" s="52"/>
      <c r="AAA1263" s="52"/>
      <c r="AAB1263" s="52"/>
      <c r="AAC1263" s="52"/>
      <c r="AAD1263" s="52"/>
      <c r="AAE1263" s="52"/>
      <c r="AAF1263" s="52"/>
      <c r="AAG1263" s="52"/>
      <c r="AAH1263" s="52"/>
      <c r="AAI1263" s="52"/>
      <c r="AAJ1263" s="52"/>
      <c r="AAK1263" s="52"/>
      <c r="AAL1263" s="52"/>
      <c r="AAM1263" s="52"/>
      <c r="AAN1263" s="52"/>
      <c r="AAO1263" s="52"/>
      <c r="AAP1263" s="52"/>
      <c r="AAQ1263" s="52"/>
      <c r="AAR1263" s="52"/>
      <c r="AAS1263" s="52"/>
      <c r="AAT1263" s="52"/>
      <c r="AAU1263" s="52"/>
      <c r="AAV1263" s="52"/>
      <c r="AAW1263" s="52"/>
      <c r="AAX1263" s="52"/>
      <c r="AAY1263" s="52"/>
      <c r="AAZ1263" s="52"/>
      <c r="ABA1263" s="52"/>
      <c r="ABB1263" s="52"/>
      <c r="ABC1263" s="52"/>
      <c r="ABD1263" s="52"/>
      <c r="ABE1263" s="52"/>
      <c r="ABF1263" s="52"/>
      <c r="ABG1263" s="52"/>
      <c r="ABH1263" s="52"/>
      <c r="ABI1263" s="52"/>
      <c r="ABJ1263" s="52"/>
      <c r="ABK1263" s="52"/>
      <c r="ABL1263" s="52"/>
      <c r="ABM1263" s="52"/>
      <c r="ABN1263" s="52"/>
      <c r="ABO1263" s="52"/>
      <c r="ABP1263" s="52"/>
      <c r="ABQ1263" s="52"/>
      <c r="ABR1263" s="52"/>
      <c r="ABS1263" s="52"/>
      <c r="ABT1263" s="52"/>
      <c r="ABU1263" s="52"/>
      <c r="ABV1263" s="52"/>
      <c r="ABW1263" s="52"/>
      <c r="ABX1263" s="52"/>
      <c r="ABY1263" s="52"/>
      <c r="ABZ1263" s="52"/>
      <c r="ACA1263" s="52"/>
      <c r="ACB1263" s="52"/>
      <c r="ACC1263" s="52"/>
      <c r="ACD1263" s="52"/>
      <c r="ACE1263" s="52"/>
      <c r="ACF1263" s="52"/>
      <c r="ACG1263" s="52"/>
      <c r="ACH1263" s="52"/>
      <c r="ACI1263" s="52"/>
      <c r="ACJ1263" s="52"/>
      <c r="ACK1263" s="52"/>
      <c r="ACL1263" s="52"/>
      <c r="ACM1263" s="52"/>
      <c r="ACN1263" s="52"/>
      <c r="ACO1263" s="52"/>
      <c r="ACP1263" s="52"/>
      <c r="ACQ1263" s="52"/>
      <c r="ACR1263" s="52"/>
      <c r="ACS1263" s="52"/>
      <c r="ACT1263" s="52"/>
      <c r="ACU1263" s="52"/>
      <c r="ACV1263" s="52"/>
      <c r="ACW1263" s="52"/>
      <c r="ACX1263" s="52"/>
      <c r="ACY1263" s="52"/>
      <c r="ACZ1263" s="52"/>
      <c r="ADA1263" s="52"/>
      <c r="ADB1263" s="52"/>
      <c r="ADC1263" s="52"/>
      <c r="ADD1263" s="52"/>
      <c r="ADE1263" s="52"/>
      <c r="ADF1263" s="52"/>
      <c r="ADG1263" s="52"/>
      <c r="ADH1263" s="52"/>
      <c r="ADI1263" s="52"/>
      <c r="ADJ1263" s="52"/>
      <c r="ADK1263" s="52"/>
      <c r="ADL1263" s="52"/>
      <c r="ADM1263" s="52"/>
      <c r="ADN1263" s="52"/>
      <c r="ADO1263" s="52"/>
      <c r="ADP1263" s="52"/>
      <c r="ADQ1263" s="52"/>
      <c r="ADR1263" s="52"/>
      <c r="ADS1263" s="52"/>
      <c r="ADT1263" s="52"/>
      <c r="ADU1263" s="52"/>
      <c r="ADV1263" s="52"/>
      <c r="ADW1263" s="52"/>
      <c r="ADX1263" s="52"/>
      <c r="ADY1263" s="52"/>
      <c r="ADZ1263" s="52"/>
      <c r="AEA1263" s="52"/>
      <c r="AEB1263" s="52"/>
      <c r="AEC1263" s="52"/>
      <c r="AED1263" s="52"/>
      <c r="AEE1263" s="52"/>
      <c r="AEF1263" s="52"/>
      <c r="AEG1263" s="52"/>
      <c r="AEH1263" s="52"/>
      <c r="AEI1263" s="52"/>
      <c r="AEJ1263" s="52"/>
      <c r="AEK1263" s="52"/>
      <c r="AEL1263" s="52"/>
      <c r="AEM1263" s="52"/>
      <c r="AEN1263" s="52"/>
      <c r="AEO1263" s="52"/>
      <c r="AEP1263" s="52"/>
      <c r="AEQ1263" s="52"/>
      <c r="AER1263" s="52"/>
      <c r="AES1263" s="52"/>
      <c r="AET1263" s="52"/>
      <c r="AEU1263" s="52"/>
      <c r="AEV1263" s="52"/>
      <c r="AEW1263" s="52"/>
      <c r="AEX1263" s="52"/>
      <c r="AEY1263" s="52"/>
      <c r="AEZ1263" s="52"/>
      <c r="AFA1263" s="52"/>
      <c r="AFB1263" s="52"/>
      <c r="AFC1263" s="52"/>
      <c r="AFD1263" s="52"/>
      <c r="AFE1263" s="52"/>
      <c r="AFF1263" s="52"/>
      <c r="AFG1263" s="52"/>
      <c r="AFH1263" s="52"/>
      <c r="AFI1263" s="52"/>
      <c r="AFJ1263" s="52"/>
      <c r="AFK1263" s="52"/>
      <c r="AFL1263" s="52"/>
      <c r="AFM1263" s="52"/>
      <c r="AFN1263" s="52"/>
      <c r="AFO1263" s="52"/>
      <c r="AFP1263" s="52"/>
      <c r="AFQ1263" s="52"/>
      <c r="AFR1263" s="52"/>
      <c r="AFS1263" s="52"/>
      <c r="AFT1263" s="52"/>
      <c r="AFU1263" s="52"/>
      <c r="AFV1263" s="52"/>
      <c r="AFW1263" s="52"/>
      <c r="AFX1263" s="52"/>
      <c r="AFY1263" s="52"/>
      <c r="AFZ1263" s="52"/>
      <c r="AGA1263" s="52"/>
      <c r="AGB1263" s="52"/>
      <c r="AGC1263" s="52"/>
      <c r="AGD1263" s="52"/>
      <c r="AGE1263" s="52"/>
      <c r="AGF1263" s="52"/>
      <c r="AGG1263" s="52"/>
      <c r="AGH1263" s="52"/>
      <c r="AGI1263" s="52"/>
      <c r="AGJ1263" s="52"/>
      <c r="AGK1263" s="52"/>
      <c r="AGL1263" s="52"/>
      <c r="AGM1263" s="52"/>
      <c r="AGN1263" s="52"/>
      <c r="AGO1263" s="52"/>
      <c r="AGP1263" s="52"/>
      <c r="AGQ1263" s="52"/>
      <c r="AGR1263" s="52"/>
      <c r="AGS1263" s="52"/>
      <c r="AGT1263" s="52"/>
      <c r="AGU1263" s="52"/>
      <c r="AGV1263" s="52"/>
      <c r="AGW1263" s="52"/>
      <c r="AGX1263" s="52"/>
      <c r="AGY1263" s="52"/>
      <c r="AGZ1263" s="52"/>
      <c r="AHA1263" s="52"/>
      <c r="AHB1263" s="52"/>
      <c r="AHC1263" s="52"/>
      <c r="AHD1263" s="52"/>
      <c r="AHE1263" s="52"/>
      <c r="AHF1263" s="52"/>
      <c r="AHG1263" s="52"/>
      <c r="AHH1263" s="52"/>
      <c r="AHI1263" s="52"/>
      <c r="AHJ1263" s="52"/>
      <c r="AHK1263" s="52"/>
      <c r="AHL1263" s="52"/>
      <c r="AHM1263" s="52"/>
      <c r="AHN1263" s="52"/>
      <c r="AHO1263" s="52"/>
      <c r="AHP1263" s="52"/>
      <c r="AHQ1263" s="52"/>
      <c r="AHR1263" s="52"/>
      <c r="AHS1263" s="52"/>
      <c r="AHT1263" s="52"/>
      <c r="AHU1263" s="52"/>
      <c r="AHV1263" s="52"/>
      <c r="AHW1263" s="52"/>
      <c r="AHX1263" s="52"/>
      <c r="AHY1263" s="52"/>
      <c r="AHZ1263" s="52"/>
      <c r="AIA1263" s="52"/>
      <c r="AIB1263" s="52"/>
      <c r="AIC1263" s="52"/>
      <c r="AID1263" s="52"/>
      <c r="AIE1263" s="52"/>
      <c r="AIF1263" s="52"/>
      <c r="AIG1263" s="52"/>
      <c r="AIH1263" s="52"/>
      <c r="AII1263" s="52"/>
      <c r="AIJ1263" s="52"/>
      <c r="AIK1263" s="52"/>
      <c r="AIL1263" s="52"/>
      <c r="AIM1263" s="52"/>
      <c r="AIN1263" s="52"/>
      <c r="AIO1263" s="52"/>
      <c r="AIP1263" s="52"/>
      <c r="AIQ1263" s="52"/>
      <c r="AIR1263" s="52"/>
      <c r="AIS1263" s="52"/>
      <c r="AIT1263" s="52"/>
      <c r="AIU1263" s="52"/>
      <c r="AIV1263" s="52"/>
      <c r="AIW1263" s="52"/>
      <c r="AIX1263" s="52"/>
      <c r="AIY1263" s="52"/>
      <c r="AIZ1263" s="52"/>
      <c r="AJA1263" s="52"/>
      <c r="AJB1263" s="52"/>
      <c r="AJC1263" s="52"/>
      <c r="AJD1263" s="52"/>
      <c r="AJE1263" s="52"/>
      <c r="AJF1263" s="52"/>
      <c r="AJG1263" s="52"/>
      <c r="AJH1263" s="52"/>
      <c r="AJI1263" s="52"/>
      <c r="AJJ1263" s="52"/>
      <c r="AJK1263" s="52"/>
      <c r="AJL1263" s="52"/>
      <c r="AJM1263" s="52"/>
      <c r="AJN1263" s="52"/>
      <c r="AJO1263" s="52"/>
      <c r="AJP1263" s="52"/>
      <c r="AJQ1263" s="52"/>
      <c r="AJR1263" s="52"/>
      <c r="AJS1263" s="52"/>
      <c r="AJT1263" s="52"/>
      <c r="AJU1263" s="52"/>
      <c r="AJV1263" s="52"/>
      <c r="AJW1263" s="52"/>
      <c r="AJX1263" s="52"/>
      <c r="AJY1263" s="52"/>
      <c r="AJZ1263" s="52"/>
      <c r="AKA1263" s="52"/>
      <c r="AKB1263" s="52"/>
      <c r="AKC1263" s="52"/>
      <c r="AKD1263" s="52"/>
      <c r="AKE1263" s="52"/>
      <c r="AKF1263" s="52"/>
      <c r="AKG1263" s="52"/>
      <c r="AKH1263" s="52"/>
      <c r="AKI1263" s="52"/>
      <c r="AKJ1263" s="52"/>
      <c r="AKK1263" s="52"/>
      <c r="AKL1263" s="52"/>
      <c r="AKM1263" s="52"/>
      <c r="AKN1263" s="52"/>
      <c r="AKO1263" s="52"/>
      <c r="AKP1263" s="52"/>
      <c r="AKQ1263" s="52"/>
      <c r="AKR1263" s="52"/>
      <c r="AKS1263" s="52"/>
      <c r="AKT1263" s="52"/>
      <c r="AKU1263" s="52"/>
      <c r="AKV1263" s="52"/>
      <c r="AKW1263" s="52"/>
      <c r="AKX1263" s="52"/>
      <c r="AKY1263" s="52"/>
      <c r="AKZ1263" s="52"/>
      <c r="ALA1263" s="52"/>
      <c r="ALB1263" s="52"/>
      <c r="ALC1263" s="52"/>
      <c r="ALD1263" s="52"/>
      <c r="ALE1263" s="52"/>
      <c r="ALF1263" s="52"/>
      <c r="ALG1263" s="52"/>
      <c r="ALH1263" s="52"/>
      <c r="ALI1263" s="52"/>
      <c r="ALJ1263" s="52"/>
      <c r="ALK1263" s="52"/>
      <c r="ALL1263" s="52"/>
      <c r="ALM1263" s="52"/>
      <c r="ALN1263" s="52"/>
      <c r="ALO1263" s="52"/>
      <c r="ALP1263" s="52"/>
      <c r="ALQ1263" s="52"/>
      <c r="ALR1263" s="52"/>
      <c r="ALS1263" s="52"/>
      <c r="ALT1263" s="52"/>
      <c r="ALU1263" s="52"/>
      <c r="ALV1263" s="52"/>
      <c r="ALW1263" s="52"/>
      <c r="ALX1263" s="52"/>
      <c r="ALY1263" s="52"/>
      <c r="ALZ1263" s="52"/>
      <c r="AMA1263" s="52"/>
      <c r="AMB1263" s="52"/>
      <c r="AMC1263" s="52"/>
      <c r="AMD1263" s="52"/>
      <c r="AME1263" s="52"/>
      <c r="AMF1263" s="52"/>
      <c r="AMG1263" s="52"/>
      <c r="AMH1263" s="52"/>
      <c r="AMI1263" s="52"/>
      <c r="AMJ1263" s="52"/>
      <c r="AMK1263" s="52"/>
      <c r="AML1263" s="52"/>
      <c r="AMM1263" s="52"/>
      <c r="AMN1263" s="52"/>
      <c r="AMO1263" s="52"/>
      <c r="AMP1263" s="52"/>
      <c r="AMQ1263" s="52"/>
      <c r="AMR1263" s="52"/>
      <c r="AMS1263" s="52"/>
      <c r="AMT1263" s="52"/>
      <c r="AMU1263" s="52"/>
      <c r="AMV1263" s="52"/>
      <c r="AMW1263" s="52"/>
      <c r="AMX1263" s="52"/>
      <c r="AMY1263" s="52"/>
      <c r="AMZ1263" s="52"/>
      <c r="ANA1263" s="52"/>
      <c r="ANB1263" s="52"/>
      <c r="ANC1263" s="52"/>
      <c r="AND1263" s="52"/>
      <c r="ANE1263" s="52"/>
      <c r="ANF1263" s="52"/>
      <c r="ANG1263" s="52"/>
      <c r="ANH1263" s="52"/>
      <c r="ANI1263" s="52"/>
      <c r="ANJ1263" s="52"/>
      <c r="ANK1263" s="52"/>
      <c r="ANL1263" s="52"/>
      <c r="ANM1263" s="52"/>
      <c r="ANN1263" s="52"/>
      <c r="ANO1263" s="52"/>
      <c r="ANP1263" s="52"/>
      <c r="ANQ1263" s="52"/>
      <c r="ANR1263" s="52"/>
      <c r="ANS1263" s="52"/>
      <c r="ANT1263" s="52"/>
      <c r="ANU1263" s="52"/>
      <c r="ANV1263" s="52"/>
      <c r="ANW1263" s="52"/>
      <c r="ANX1263" s="52"/>
      <c r="ANY1263" s="52"/>
      <c r="ANZ1263" s="52"/>
      <c r="AOA1263" s="52"/>
      <c r="AOB1263" s="52"/>
      <c r="AOC1263" s="52"/>
      <c r="AOD1263" s="52"/>
      <c r="AOE1263" s="52"/>
      <c r="AOF1263" s="52"/>
      <c r="AOG1263" s="52"/>
      <c r="AOH1263" s="52"/>
      <c r="AOI1263" s="52"/>
      <c r="AOJ1263" s="52"/>
      <c r="AOK1263" s="52"/>
      <c r="AOL1263" s="52"/>
      <c r="AOM1263" s="52"/>
      <c r="AON1263" s="52"/>
      <c r="AOO1263" s="52"/>
      <c r="AOP1263" s="52"/>
      <c r="AOQ1263" s="52"/>
      <c r="AOR1263" s="52"/>
      <c r="AOS1263" s="52"/>
      <c r="AOT1263" s="52"/>
      <c r="AOU1263" s="52"/>
      <c r="AOV1263" s="52"/>
      <c r="AOW1263" s="52"/>
      <c r="AOX1263" s="52"/>
      <c r="AOY1263" s="52"/>
      <c r="AOZ1263" s="52"/>
      <c r="APA1263" s="52"/>
      <c r="APB1263" s="52"/>
      <c r="APC1263" s="52"/>
      <c r="APD1263" s="52"/>
      <c r="APE1263" s="52"/>
      <c r="APF1263" s="52"/>
      <c r="APG1263" s="52"/>
      <c r="APH1263" s="52"/>
      <c r="API1263" s="52"/>
      <c r="APJ1263" s="52"/>
      <c r="APK1263" s="52"/>
      <c r="APL1263" s="52"/>
      <c r="APM1263" s="52"/>
      <c r="APN1263" s="52"/>
      <c r="APO1263" s="52"/>
      <c r="APP1263" s="52"/>
      <c r="APQ1263" s="52"/>
      <c r="APR1263" s="52"/>
      <c r="APS1263" s="52"/>
      <c r="APT1263" s="52"/>
      <c r="APU1263" s="52"/>
      <c r="APV1263" s="52"/>
      <c r="APW1263" s="52"/>
      <c r="APX1263" s="52"/>
      <c r="APY1263" s="52"/>
      <c r="APZ1263" s="52"/>
      <c r="AQA1263" s="52"/>
      <c r="AQB1263" s="52"/>
      <c r="AQC1263" s="52"/>
      <c r="AQD1263" s="52"/>
      <c r="AQE1263" s="52"/>
      <c r="AQF1263" s="52"/>
      <c r="AQG1263" s="52"/>
      <c r="AQH1263" s="52"/>
      <c r="AQI1263" s="52"/>
      <c r="AQJ1263" s="52"/>
      <c r="AQK1263" s="52"/>
      <c r="AQL1263" s="52"/>
      <c r="AQM1263" s="52"/>
      <c r="AQN1263" s="52"/>
      <c r="AQO1263" s="52"/>
      <c r="AQP1263" s="52"/>
      <c r="AQQ1263" s="52"/>
      <c r="AQR1263" s="52"/>
      <c r="AQS1263" s="52"/>
      <c r="AQT1263" s="52"/>
      <c r="AQU1263" s="52"/>
      <c r="AQV1263" s="52"/>
      <c r="AQW1263" s="52"/>
      <c r="AQX1263" s="52"/>
      <c r="AQY1263" s="52"/>
      <c r="AQZ1263" s="52"/>
      <c r="ARA1263" s="52"/>
      <c r="ARB1263" s="52"/>
      <c r="ARC1263" s="52"/>
      <c r="ARD1263" s="52"/>
      <c r="ARE1263" s="52"/>
      <c r="ARF1263" s="52"/>
      <c r="ARG1263" s="52"/>
      <c r="ARH1263" s="52"/>
      <c r="ARI1263" s="52"/>
      <c r="ARJ1263" s="52"/>
      <c r="ARK1263" s="52"/>
      <c r="ARL1263" s="52"/>
      <c r="ARM1263" s="52"/>
      <c r="ARN1263" s="52"/>
      <c r="ARO1263" s="52"/>
      <c r="ARP1263" s="52"/>
      <c r="ARQ1263" s="52"/>
      <c r="ARR1263" s="52"/>
      <c r="ARS1263" s="52"/>
      <c r="ART1263" s="52"/>
      <c r="ARU1263" s="52"/>
      <c r="ARV1263" s="52"/>
      <c r="ARW1263" s="52"/>
      <c r="ARX1263" s="52"/>
      <c r="ARY1263" s="52"/>
      <c r="ARZ1263" s="52"/>
      <c r="ASA1263" s="52"/>
      <c r="ASB1263" s="52"/>
      <c r="ASC1263" s="52"/>
      <c r="ASD1263" s="52"/>
      <c r="ASE1263" s="52"/>
      <c r="ASF1263" s="52"/>
      <c r="ASG1263" s="52"/>
      <c r="ASH1263" s="52"/>
      <c r="ASI1263" s="52"/>
      <c r="ASJ1263" s="52"/>
      <c r="ASK1263" s="52"/>
      <c r="ASL1263" s="52"/>
      <c r="ASM1263" s="52"/>
      <c r="ASN1263" s="52"/>
      <c r="ASO1263" s="52"/>
      <c r="ASP1263" s="52"/>
      <c r="ASQ1263" s="52"/>
      <c r="ASR1263" s="52"/>
      <c r="ASS1263" s="52"/>
      <c r="AST1263" s="52"/>
      <c r="ASU1263" s="52"/>
      <c r="ASV1263" s="52"/>
      <c r="ASW1263" s="52"/>
      <c r="ASX1263" s="52"/>
      <c r="ASY1263" s="52"/>
      <c r="ASZ1263" s="52"/>
      <c r="ATA1263" s="52"/>
      <c r="ATB1263" s="52"/>
      <c r="ATC1263" s="52"/>
      <c r="ATD1263" s="52"/>
      <c r="ATE1263" s="52"/>
      <c r="ATF1263" s="52"/>
      <c r="ATG1263" s="52"/>
      <c r="ATH1263" s="52"/>
      <c r="ATI1263" s="52"/>
      <c r="ATJ1263" s="52"/>
      <c r="ATK1263" s="52"/>
      <c r="ATL1263" s="52"/>
      <c r="ATM1263" s="52"/>
      <c r="ATN1263" s="52"/>
      <c r="ATO1263" s="52"/>
      <c r="ATP1263" s="52"/>
      <c r="ATQ1263" s="52"/>
      <c r="ATR1263" s="52"/>
      <c r="ATS1263" s="52"/>
      <c r="ATT1263" s="52"/>
      <c r="ATU1263" s="52"/>
      <c r="ATV1263" s="52"/>
      <c r="ATW1263" s="52"/>
      <c r="ATX1263" s="52"/>
      <c r="ATY1263" s="52"/>
      <c r="ATZ1263" s="52"/>
      <c r="AUA1263" s="52"/>
      <c r="AUB1263" s="52"/>
      <c r="AUC1263" s="52"/>
      <c r="AUD1263" s="52"/>
      <c r="AUE1263" s="52"/>
      <c r="AUF1263" s="52"/>
      <c r="AUG1263" s="52"/>
      <c r="AUH1263" s="52"/>
      <c r="AUI1263" s="52"/>
      <c r="AUJ1263" s="52"/>
      <c r="AUK1263" s="52"/>
      <c r="AUL1263" s="52"/>
      <c r="AUM1263" s="52"/>
      <c r="AUN1263" s="52"/>
      <c r="AUO1263" s="52"/>
      <c r="AUP1263" s="52"/>
      <c r="AUQ1263" s="52"/>
      <c r="AUR1263" s="52"/>
      <c r="AUS1263" s="52"/>
      <c r="AUT1263" s="52"/>
      <c r="AUU1263" s="52"/>
      <c r="AUV1263" s="52"/>
      <c r="AUW1263" s="52"/>
      <c r="AUX1263" s="52"/>
      <c r="AUY1263" s="52"/>
      <c r="AUZ1263" s="52"/>
      <c r="AVA1263" s="52"/>
      <c r="AVB1263" s="52"/>
      <c r="AVC1263" s="52"/>
      <c r="AVD1263" s="52"/>
      <c r="AVE1263" s="52"/>
      <c r="AVF1263" s="52"/>
      <c r="AVG1263" s="52"/>
      <c r="AVH1263" s="52"/>
      <c r="AVI1263" s="52"/>
      <c r="AVJ1263" s="52"/>
      <c r="AVK1263" s="52"/>
      <c r="AVL1263" s="52"/>
      <c r="AVM1263" s="52"/>
      <c r="AVN1263" s="52"/>
      <c r="AVO1263" s="52"/>
      <c r="AVP1263" s="52"/>
      <c r="AVQ1263" s="52"/>
      <c r="AVR1263" s="52"/>
      <c r="AVS1263" s="52"/>
      <c r="AVT1263" s="52"/>
      <c r="AVU1263" s="52"/>
      <c r="AVV1263" s="52"/>
      <c r="AVW1263" s="52"/>
      <c r="AVX1263" s="52"/>
      <c r="AVY1263" s="52"/>
      <c r="AVZ1263" s="52"/>
      <c r="AWA1263" s="52"/>
      <c r="AWB1263" s="52"/>
      <c r="AWC1263" s="52"/>
      <c r="AWD1263" s="52"/>
      <c r="AWE1263" s="52"/>
      <c r="AWF1263" s="52"/>
      <c r="AWG1263" s="52"/>
      <c r="AWH1263" s="52"/>
      <c r="AWI1263" s="52"/>
      <c r="AWJ1263" s="52"/>
      <c r="AWK1263" s="52"/>
      <c r="AWL1263" s="52"/>
      <c r="AWM1263" s="52"/>
      <c r="AWN1263" s="52"/>
      <c r="AWO1263" s="52"/>
      <c r="AWP1263" s="52"/>
      <c r="AWQ1263" s="52"/>
      <c r="AWR1263" s="52"/>
      <c r="AWS1263" s="52"/>
      <c r="AWT1263" s="52"/>
      <c r="AWU1263" s="52"/>
      <c r="AWV1263" s="52"/>
      <c r="AWW1263" s="52"/>
      <c r="AWX1263" s="52"/>
      <c r="AWY1263" s="52"/>
      <c r="AWZ1263" s="52"/>
      <c r="AXA1263" s="52"/>
      <c r="AXB1263" s="52"/>
      <c r="AXC1263" s="52"/>
      <c r="AXD1263" s="52"/>
      <c r="AXE1263" s="52"/>
      <c r="AXF1263" s="52"/>
      <c r="AXG1263" s="52"/>
      <c r="AXH1263" s="52"/>
      <c r="AXI1263" s="52"/>
      <c r="AXJ1263" s="52"/>
      <c r="AXK1263" s="52"/>
      <c r="AXL1263" s="52"/>
      <c r="AXM1263" s="52"/>
      <c r="AXN1263" s="52"/>
      <c r="AXO1263" s="52"/>
      <c r="AXP1263" s="52"/>
      <c r="AXQ1263" s="52"/>
      <c r="AXR1263" s="52"/>
      <c r="AXS1263" s="52"/>
      <c r="AXT1263" s="52"/>
      <c r="AXU1263" s="52"/>
      <c r="AXV1263" s="52"/>
      <c r="AXW1263" s="52"/>
      <c r="AXX1263" s="52"/>
      <c r="AXY1263" s="52"/>
      <c r="AXZ1263" s="52"/>
      <c r="AYA1263" s="52"/>
      <c r="AYB1263" s="52"/>
      <c r="AYC1263" s="52"/>
      <c r="AYD1263" s="52"/>
      <c r="AYE1263" s="52"/>
      <c r="AYF1263" s="52"/>
      <c r="AYG1263" s="52"/>
      <c r="AYH1263" s="52"/>
      <c r="AYI1263" s="52"/>
      <c r="AYJ1263" s="52"/>
      <c r="AYK1263" s="52"/>
      <c r="AYL1263" s="52"/>
      <c r="AYM1263" s="52"/>
      <c r="AYN1263" s="52"/>
      <c r="AYO1263" s="52"/>
      <c r="AYP1263" s="52"/>
      <c r="AYQ1263" s="52"/>
      <c r="AYR1263" s="52"/>
      <c r="AYS1263" s="52"/>
      <c r="AYT1263" s="52"/>
      <c r="AYU1263" s="52"/>
      <c r="AYV1263" s="52"/>
      <c r="AYW1263" s="52"/>
      <c r="AYX1263" s="52"/>
      <c r="AYY1263" s="52"/>
      <c r="AYZ1263" s="52"/>
      <c r="AZA1263" s="52"/>
      <c r="AZB1263" s="52"/>
      <c r="AZC1263" s="52"/>
      <c r="AZD1263" s="52"/>
      <c r="AZE1263" s="52"/>
      <c r="AZF1263" s="52"/>
      <c r="AZG1263" s="52"/>
      <c r="AZH1263" s="52"/>
      <c r="AZI1263" s="52"/>
      <c r="AZJ1263" s="52"/>
      <c r="AZK1263" s="52"/>
      <c r="AZL1263" s="52"/>
      <c r="AZM1263" s="52"/>
      <c r="AZN1263" s="52"/>
      <c r="AZO1263" s="52"/>
      <c r="AZP1263" s="52"/>
      <c r="AZQ1263" s="52"/>
      <c r="AZR1263" s="52"/>
      <c r="AZS1263" s="52"/>
      <c r="AZT1263" s="52"/>
      <c r="AZU1263" s="52"/>
      <c r="AZV1263" s="52"/>
      <c r="AZW1263" s="52"/>
      <c r="AZX1263" s="52"/>
      <c r="AZY1263" s="52"/>
      <c r="AZZ1263" s="52"/>
      <c r="BAA1263" s="52"/>
      <c r="BAB1263" s="52"/>
      <c r="BAC1263" s="52"/>
      <c r="BAD1263" s="52"/>
      <c r="BAE1263" s="52"/>
      <c r="BAF1263" s="52"/>
      <c r="BAG1263" s="52"/>
      <c r="BAH1263" s="52"/>
      <c r="BAI1263" s="52"/>
      <c r="BAJ1263" s="52"/>
      <c r="BAK1263" s="52"/>
      <c r="BAL1263" s="52"/>
      <c r="BAM1263" s="52"/>
      <c r="BAN1263" s="52"/>
      <c r="BAO1263" s="52"/>
      <c r="BAP1263" s="52"/>
      <c r="BAQ1263" s="52"/>
      <c r="BAR1263" s="52"/>
      <c r="BAS1263" s="52"/>
      <c r="BAT1263" s="52"/>
      <c r="BAU1263" s="52"/>
      <c r="BAV1263" s="52"/>
      <c r="BAW1263" s="52"/>
      <c r="BAX1263" s="52"/>
      <c r="BAY1263" s="52"/>
      <c r="BAZ1263" s="52"/>
      <c r="BBA1263" s="52"/>
      <c r="BBB1263" s="52"/>
      <c r="BBC1263" s="52"/>
      <c r="BBD1263" s="52"/>
      <c r="BBE1263" s="52"/>
      <c r="BBF1263" s="52"/>
      <c r="BBG1263" s="52"/>
      <c r="BBH1263" s="52"/>
      <c r="BBI1263" s="52"/>
      <c r="BBJ1263" s="52"/>
      <c r="BBK1263" s="52"/>
      <c r="BBL1263" s="52"/>
      <c r="BBM1263" s="52"/>
      <c r="BBN1263" s="52"/>
      <c r="BBO1263" s="52"/>
      <c r="BBP1263" s="52"/>
      <c r="BBQ1263" s="52"/>
      <c r="BBR1263" s="52"/>
      <c r="BBS1263" s="52"/>
      <c r="BBT1263" s="52"/>
      <c r="BBU1263" s="52"/>
      <c r="BBV1263" s="52"/>
      <c r="BBW1263" s="52"/>
      <c r="BBX1263" s="52"/>
      <c r="BBY1263" s="52"/>
      <c r="BBZ1263" s="52"/>
      <c r="BCA1263" s="52"/>
      <c r="BCB1263" s="52"/>
      <c r="BCC1263" s="52"/>
      <c r="BCD1263" s="52"/>
      <c r="BCE1263" s="52"/>
      <c r="BCF1263" s="52"/>
      <c r="BCG1263" s="52"/>
      <c r="BCH1263" s="52"/>
      <c r="BCI1263" s="52"/>
      <c r="BCJ1263" s="52"/>
      <c r="BCK1263" s="52"/>
      <c r="BCL1263" s="52"/>
      <c r="BCM1263" s="52"/>
      <c r="BCN1263" s="52"/>
      <c r="BCO1263" s="52"/>
      <c r="BCP1263" s="52"/>
      <c r="BCQ1263" s="52"/>
      <c r="BCR1263" s="52"/>
      <c r="BCS1263" s="52"/>
      <c r="BCT1263" s="52"/>
      <c r="BCU1263" s="52"/>
      <c r="BCV1263" s="52"/>
      <c r="BCW1263" s="52"/>
      <c r="BCX1263" s="52"/>
      <c r="BCY1263" s="52"/>
      <c r="BCZ1263" s="52"/>
      <c r="BDA1263" s="52"/>
      <c r="BDB1263" s="52"/>
      <c r="BDC1263" s="52"/>
      <c r="BDD1263" s="52"/>
      <c r="BDE1263" s="52"/>
      <c r="BDF1263" s="52"/>
      <c r="BDG1263" s="52"/>
      <c r="BDH1263" s="52"/>
      <c r="BDI1263" s="52"/>
      <c r="BDJ1263" s="52"/>
      <c r="BDK1263" s="52"/>
      <c r="BDL1263" s="52"/>
      <c r="BDM1263" s="52"/>
      <c r="BDN1263" s="52"/>
      <c r="BDO1263" s="52"/>
      <c r="BDP1263" s="52"/>
      <c r="BDQ1263" s="52"/>
      <c r="BDR1263" s="52"/>
      <c r="BDS1263" s="52"/>
      <c r="BDT1263" s="52"/>
      <c r="BDU1263" s="52"/>
      <c r="BDV1263" s="52"/>
      <c r="BDW1263" s="52"/>
      <c r="BDX1263" s="52"/>
      <c r="BDY1263" s="52"/>
      <c r="BDZ1263" s="52"/>
      <c r="BEA1263" s="52"/>
      <c r="BEB1263" s="52"/>
      <c r="BEC1263" s="52"/>
      <c r="BED1263" s="52"/>
      <c r="BEE1263" s="52"/>
      <c r="BEF1263" s="52"/>
      <c r="BEG1263" s="52"/>
      <c r="BEH1263" s="52"/>
      <c r="BEI1263" s="52"/>
      <c r="BEJ1263" s="52"/>
      <c r="BEK1263" s="52"/>
      <c r="BEL1263" s="52"/>
      <c r="BEM1263" s="52"/>
      <c r="BEN1263" s="52"/>
      <c r="BEO1263" s="52"/>
      <c r="BEP1263" s="52"/>
      <c r="BEQ1263" s="52"/>
      <c r="BER1263" s="52"/>
      <c r="BES1263" s="52"/>
      <c r="BET1263" s="52"/>
      <c r="BEU1263" s="52"/>
      <c r="BEV1263" s="52"/>
      <c r="BEW1263" s="52"/>
      <c r="BEX1263" s="52"/>
      <c r="BEY1263" s="52"/>
      <c r="BEZ1263" s="52"/>
      <c r="BFA1263" s="52"/>
      <c r="BFB1263" s="52"/>
      <c r="BFC1263" s="52"/>
      <c r="BFD1263" s="52"/>
      <c r="BFE1263" s="52"/>
      <c r="BFF1263" s="52"/>
      <c r="BFG1263" s="52"/>
      <c r="BFH1263" s="52"/>
      <c r="BFI1263" s="52"/>
      <c r="BFJ1263" s="52"/>
      <c r="BFK1263" s="52"/>
      <c r="BFL1263" s="52"/>
      <c r="BFM1263" s="52"/>
      <c r="BFN1263" s="52"/>
      <c r="BFO1263" s="52"/>
      <c r="BFP1263" s="52"/>
      <c r="BFQ1263" s="52"/>
      <c r="BFR1263" s="52"/>
      <c r="BFS1263" s="52"/>
      <c r="BFT1263" s="52"/>
      <c r="BFU1263" s="52"/>
      <c r="BFV1263" s="52"/>
      <c r="BFW1263" s="52"/>
      <c r="BFX1263" s="52"/>
      <c r="BFY1263" s="52"/>
      <c r="BFZ1263" s="52"/>
      <c r="BGA1263" s="52"/>
      <c r="BGB1263" s="52"/>
      <c r="BGC1263" s="52"/>
      <c r="BGD1263" s="52"/>
      <c r="BGE1263" s="52"/>
      <c r="BGF1263" s="52"/>
      <c r="BGG1263" s="52"/>
      <c r="BGH1263" s="52"/>
      <c r="BGI1263" s="52"/>
      <c r="BGJ1263" s="52"/>
      <c r="BGK1263" s="52"/>
      <c r="BGL1263" s="52"/>
      <c r="BGM1263" s="52"/>
      <c r="BGN1263" s="52"/>
      <c r="BGO1263" s="52"/>
      <c r="BGP1263" s="52"/>
      <c r="BGQ1263" s="52"/>
      <c r="BGR1263" s="52"/>
      <c r="BGS1263" s="52"/>
      <c r="BGT1263" s="52"/>
      <c r="BGU1263" s="52"/>
      <c r="BGV1263" s="52"/>
      <c r="BGW1263" s="52"/>
      <c r="BGX1263" s="52"/>
      <c r="BGY1263" s="52"/>
      <c r="BGZ1263" s="52"/>
      <c r="BHA1263" s="52"/>
      <c r="BHB1263" s="52"/>
      <c r="BHC1263" s="52"/>
      <c r="BHD1263" s="52"/>
      <c r="BHE1263" s="52"/>
      <c r="BHF1263" s="52"/>
      <c r="BHG1263" s="52"/>
      <c r="BHH1263" s="52"/>
      <c r="BHI1263" s="52"/>
      <c r="BHJ1263" s="52"/>
      <c r="BHK1263" s="52"/>
      <c r="BHL1263" s="52"/>
      <c r="BHM1263" s="52"/>
      <c r="BHN1263" s="52"/>
      <c r="BHO1263" s="52"/>
      <c r="BHP1263" s="52"/>
      <c r="BHQ1263" s="52"/>
      <c r="BHR1263" s="52"/>
      <c r="BHS1263" s="52"/>
      <c r="BHT1263" s="52"/>
      <c r="BHU1263" s="52"/>
      <c r="BHV1263" s="52"/>
      <c r="BHW1263" s="52"/>
      <c r="BHX1263" s="52"/>
      <c r="BHY1263" s="52"/>
      <c r="BHZ1263" s="52"/>
      <c r="BIA1263" s="52"/>
      <c r="BIB1263" s="52"/>
      <c r="BIC1263" s="52"/>
      <c r="BID1263" s="52"/>
      <c r="BIE1263" s="52"/>
      <c r="BIF1263" s="52"/>
      <c r="BIG1263" s="52"/>
      <c r="BIH1263" s="52"/>
      <c r="BII1263" s="52"/>
      <c r="BIJ1263" s="52"/>
      <c r="BIK1263" s="52"/>
      <c r="BIL1263" s="52"/>
      <c r="BIM1263" s="52"/>
      <c r="BIN1263" s="52"/>
      <c r="BIO1263" s="52"/>
      <c r="BIP1263" s="52"/>
      <c r="BIQ1263" s="52"/>
      <c r="BIR1263" s="52"/>
      <c r="BIS1263" s="52"/>
      <c r="BIT1263" s="52"/>
      <c r="BIU1263" s="52"/>
      <c r="BIV1263" s="52"/>
      <c r="BIW1263" s="52"/>
      <c r="BIX1263" s="52"/>
      <c r="BIY1263" s="52"/>
      <c r="BIZ1263" s="52"/>
      <c r="BJA1263" s="52"/>
      <c r="BJB1263" s="52"/>
      <c r="BJC1263" s="52"/>
      <c r="BJD1263" s="52"/>
      <c r="BJE1263" s="52"/>
      <c r="BJF1263" s="52"/>
      <c r="BJG1263" s="52"/>
      <c r="BJH1263" s="52"/>
      <c r="BJI1263" s="52"/>
      <c r="BJJ1263" s="52"/>
      <c r="BJK1263" s="52"/>
      <c r="BJL1263" s="52"/>
      <c r="BJM1263" s="52"/>
      <c r="BJN1263" s="52"/>
      <c r="BJO1263" s="52"/>
      <c r="BJP1263" s="52"/>
      <c r="BJQ1263" s="52"/>
      <c r="BJR1263" s="52"/>
      <c r="BJS1263" s="52"/>
      <c r="BJT1263" s="52"/>
      <c r="BJU1263" s="52"/>
      <c r="BJV1263" s="52"/>
      <c r="BJW1263" s="52"/>
      <c r="BJX1263" s="52"/>
      <c r="BJY1263" s="52"/>
      <c r="BJZ1263" s="52"/>
      <c r="BKA1263" s="52"/>
      <c r="BKB1263" s="52"/>
      <c r="BKC1263" s="52"/>
      <c r="BKD1263" s="52"/>
      <c r="BKE1263" s="52"/>
      <c r="BKF1263" s="52"/>
      <c r="BKG1263" s="52"/>
      <c r="BKH1263" s="52"/>
      <c r="BKI1263" s="52"/>
      <c r="BKJ1263" s="52"/>
      <c r="BKK1263" s="52"/>
      <c r="BKL1263" s="52"/>
      <c r="BKM1263" s="52"/>
      <c r="BKN1263" s="52"/>
      <c r="BKO1263" s="52"/>
      <c r="BKP1263" s="52"/>
      <c r="BKQ1263" s="52"/>
      <c r="BKR1263" s="52"/>
      <c r="BKS1263" s="52"/>
      <c r="BKT1263" s="52"/>
      <c r="BKU1263" s="52"/>
      <c r="BKV1263" s="52"/>
      <c r="BKW1263" s="52"/>
      <c r="BKX1263" s="52"/>
      <c r="BKY1263" s="52"/>
      <c r="BKZ1263" s="52"/>
      <c r="BLA1263" s="52"/>
      <c r="BLB1263" s="52"/>
      <c r="BLC1263" s="52"/>
      <c r="BLD1263" s="52"/>
      <c r="BLE1263" s="52"/>
      <c r="BLF1263" s="52"/>
      <c r="BLG1263" s="52"/>
      <c r="BLH1263" s="52"/>
      <c r="BLI1263" s="52"/>
      <c r="BLJ1263" s="52"/>
      <c r="BLK1263" s="52"/>
      <c r="BLL1263" s="52"/>
      <c r="BLM1263" s="52"/>
      <c r="BLN1263" s="52"/>
      <c r="BLO1263" s="52"/>
      <c r="BLP1263" s="52"/>
      <c r="BLQ1263" s="52"/>
      <c r="BLR1263" s="52"/>
      <c r="BLS1263" s="52"/>
      <c r="BLT1263" s="52"/>
      <c r="BLU1263" s="52"/>
      <c r="BLV1263" s="52"/>
      <c r="BLW1263" s="52"/>
      <c r="BLX1263" s="52"/>
      <c r="BLY1263" s="52"/>
      <c r="BLZ1263" s="52"/>
      <c r="BMA1263" s="52"/>
      <c r="BMB1263" s="52"/>
      <c r="BMC1263" s="52"/>
      <c r="BMD1263" s="52"/>
      <c r="BME1263" s="52"/>
      <c r="BMF1263" s="52"/>
      <c r="BMG1263" s="52"/>
      <c r="BMH1263" s="52"/>
      <c r="BMI1263" s="52"/>
      <c r="BMJ1263" s="52"/>
      <c r="BMK1263" s="52"/>
      <c r="BML1263" s="52"/>
      <c r="BMM1263" s="52"/>
      <c r="BMN1263" s="52"/>
      <c r="BMO1263" s="52"/>
      <c r="BMP1263" s="52"/>
      <c r="BMQ1263" s="52"/>
      <c r="BMR1263" s="52"/>
      <c r="BMS1263" s="52"/>
      <c r="BMT1263" s="52"/>
      <c r="BMU1263" s="52"/>
      <c r="BMV1263" s="52"/>
      <c r="BMW1263" s="52"/>
      <c r="BMX1263" s="52"/>
      <c r="BMY1263" s="52"/>
      <c r="BMZ1263" s="52"/>
      <c r="BNA1263" s="52"/>
      <c r="BNB1263" s="52"/>
      <c r="BNC1263" s="52"/>
      <c r="BND1263" s="52"/>
      <c r="BNE1263" s="52"/>
      <c r="BNF1263" s="52"/>
      <c r="BNG1263" s="52"/>
      <c r="BNH1263" s="52"/>
      <c r="BNI1263" s="52"/>
      <c r="BNJ1263" s="52"/>
      <c r="BNK1263" s="52"/>
      <c r="BNL1263" s="52"/>
      <c r="BNM1263" s="52"/>
      <c r="BNN1263" s="52"/>
      <c r="BNO1263" s="52"/>
      <c r="BNP1263" s="52"/>
      <c r="BNQ1263" s="52"/>
      <c r="BNR1263" s="52"/>
      <c r="BNS1263" s="52"/>
      <c r="BNT1263" s="52"/>
      <c r="BNU1263" s="52"/>
      <c r="BNV1263" s="52"/>
      <c r="BNW1263" s="52"/>
      <c r="BNX1263" s="52"/>
      <c r="BNY1263" s="52"/>
      <c r="BNZ1263" s="52"/>
      <c r="BOA1263" s="52"/>
      <c r="BOB1263" s="52"/>
      <c r="BOC1263" s="52"/>
      <c r="BOD1263" s="52"/>
      <c r="BOE1263" s="52"/>
      <c r="BOF1263" s="52"/>
      <c r="BOG1263" s="52"/>
      <c r="BOH1263" s="52"/>
      <c r="BOI1263" s="52"/>
      <c r="BOJ1263" s="52"/>
      <c r="BOK1263" s="52"/>
      <c r="BOL1263" s="52"/>
      <c r="BOM1263" s="52"/>
      <c r="BON1263" s="52"/>
      <c r="BOO1263" s="52"/>
      <c r="BOP1263" s="52"/>
      <c r="BOQ1263" s="52"/>
      <c r="BOR1263" s="52"/>
      <c r="BOS1263" s="52"/>
      <c r="BOT1263" s="52"/>
      <c r="BOU1263" s="52"/>
      <c r="BOV1263" s="52"/>
      <c r="BOW1263" s="52"/>
      <c r="BOX1263" s="52"/>
      <c r="BOY1263" s="52"/>
      <c r="BOZ1263" s="52"/>
      <c r="BPA1263" s="52"/>
      <c r="BPB1263" s="52"/>
      <c r="BPC1263" s="52"/>
      <c r="BPD1263" s="52"/>
      <c r="BPE1263" s="52"/>
      <c r="BPF1263" s="52"/>
      <c r="BPG1263" s="52"/>
      <c r="BPH1263" s="52"/>
      <c r="BPI1263" s="52"/>
      <c r="BPJ1263" s="52"/>
      <c r="BPK1263" s="52"/>
      <c r="BPL1263" s="52"/>
      <c r="BPM1263" s="52"/>
      <c r="BPN1263" s="52"/>
      <c r="BPO1263" s="52"/>
      <c r="BPP1263" s="52"/>
      <c r="BPQ1263" s="52"/>
      <c r="BPR1263" s="52"/>
      <c r="BPS1263" s="52"/>
      <c r="BPT1263" s="52"/>
      <c r="BPU1263" s="52"/>
      <c r="BPV1263" s="52"/>
      <c r="BPW1263" s="52"/>
      <c r="BPX1263" s="52"/>
      <c r="BPY1263" s="52"/>
      <c r="BPZ1263" s="52"/>
      <c r="BQA1263" s="52"/>
      <c r="BQB1263" s="52"/>
      <c r="BQC1263" s="52"/>
      <c r="BQD1263" s="52"/>
      <c r="BQE1263" s="52"/>
      <c r="BQF1263" s="52"/>
      <c r="BQG1263" s="52"/>
      <c r="BQH1263" s="52"/>
      <c r="BQI1263" s="52"/>
      <c r="BQJ1263" s="52"/>
      <c r="BQK1263" s="52"/>
      <c r="BQL1263" s="52"/>
      <c r="BQM1263" s="52"/>
      <c r="BQN1263" s="52"/>
      <c r="BQO1263" s="52"/>
      <c r="BQP1263" s="52"/>
      <c r="BQQ1263" s="52"/>
      <c r="BQR1263" s="52"/>
      <c r="BQS1263" s="52"/>
      <c r="BQT1263" s="52"/>
      <c r="BQU1263" s="52"/>
      <c r="BQV1263" s="52"/>
      <c r="BQW1263" s="52"/>
      <c r="BQX1263" s="52"/>
      <c r="BQY1263" s="52"/>
      <c r="BQZ1263" s="52"/>
      <c r="BRA1263" s="52"/>
      <c r="BRB1263" s="52"/>
      <c r="BRC1263" s="52"/>
      <c r="BRD1263" s="52"/>
      <c r="BRE1263" s="52"/>
      <c r="BRF1263" s="52"/>
      <c r="BRG1263" s="52"/>
      <c r="BRH1263" s="52"/>
      <c r="BRI1263" s="52"/>
      <c r="BRJ1263" s="52"/>
      <c r="BRK1263" s="52"/>
      <c r="BRL1263" s="52"/>
      <c r="BRM1263" s="52"/>
      <c r="BRN1263" s="52"/>
      <c r="BRO1263" s="52"/>
      <c r="BRP1263" s="52"/>
      <c r="BRQ1263" s="52"/>
      <c r="BRR1263" s="52"/>
      <c r="BRS1263" s="52"/>
      <c r="BRT1263" s="52"/>
      <c r="BRU1263" s="52"/>
      <c r="BRV1263" s="52"/>
      <c r="BRW1263" s="52"/>
      <c r="BRX1263" s="52"/>
      <c r="BRY1263" s="52"/>
      <c r="BRZ1263" s="52"/>
      <c r="BSA1263" s="52"/>
      <c r="BSB1263" s="52"/>
      <c r="BSC1263" s="52"/>
      <c r="BSD1263" s="52"/>
      <c r="BSE1263" s="52"/>
      <c r="BSF1263" s="52"/>
      <c r="BSG1263" s="52"/>
      <c r="BSH1263" s="52"/>
      <c r="BSI1263" s="52"/>
      <c r="BSJ1263" s="52"/>
      <c r="BSK1263" s="52"/>
      <c r="BSL1263" s="52"/>
      <c r="BSM1263" s="52"/>
      <c r="BSN1263" s="52"/>
      <c r="BSO1263" s="52"/>
      <c r="BSP1263" s="52"/>
      <c r="BSQ1263" s="52"/>
      <c r="BSR1263" s="52"/>
      <c r="BSS1263" s="52"/>
      <c r="BST1263" s="52"/>
      <c r="BSU1263" s="52"/>
      <c r="BSV1263" s="52"/>
      <c r="BSW1263" s="52"/>
      <c r="BSX1263" s="52"/>
      <c r="BSY1263" s="52"/>
      <c r="BSZ1263" s="52"/>
      <c r="BTA1263" s="52"/>
      <c r="BTB1263" s="52"/>
      <c r="BTC1263" s="52"/>
      <c r="BTD1263" s="52"/>
      <c r="BTE1263" s="52"/>
      <c r="BTF1263" s="52"/>
      <c r="BTG1263" s="52"/>
      <c r="BTH1263" s="52"/>
      <c r="BTI1263" s="52"/>
      <c r="BTJ1263" s="52"/>
      <c r="BTK1263" s="52"/>
      <c r="BTL1263" s="52"/>
      <c r="BTM1263" s="52"/>
      <c r="BTN1263" s="52"/>
      <c r="BTO1263" s="52"/>
      <c r="BTP1263" s="52"/>
      <c r="BTQ1263" s="52"/>
      <c r="BTR1263" s="52"/>
      <c r="BTS1263" s="52"/>
      <c r="BTT1263" s="52"/>
      <c r="BTU1263" s="52"/>
      <c r="BTV1263" s="52"/>
      <c r="BTW1263" s="52"/>
      <c r="BTX1263" s="52"/>
      <c r="BTY1263" s="52"/>
      <c r="BTZ1263" s="52"/>
      <c r="BUA1263" s="52"/>
      <c r="BUB1263" s="52"/>
      <c r="BUC1263" s="52"/>
      <c r="BUD1263" s="52"/>
      <c r="BUE1263" s="52"/>
      <c r="BUF1263" s="52"/>
      <c r="BUG1263" s="52"/>
      <c r="BUH1263" s="52"/>
      <c r="BUI1263" s="52"/>
      <c r="BUJ1263" s="52"/>
      <c r="BUK1263" s="52"/>
      <c r="BUL1263" s="52"/>
      <c r="BUM1263" s="52"/>
      <c r="BUN1263" s="52"/>
      <c r="BUO1263" s="52"/>
      <c r="BUP1263" s="52"/>
      <c r="BUQ1263" s="52"/>
      <c r="BUR1263" s="52"/>
      <c r="BUS1263" s="52"/>
      <c r="BUT1263" s="52"/>
      <c r="BUU1263" s="52"/>
      <c r="BUV1263" s="52"/>
      <c r="BUW1263" s="52"/>
      <c r="BUX1263" s="52"/>
      <c r="BUY1263" s="52"/>
      <c r="BUZ1263" s="52"/>
      <c r="BVA1263" s="52"/>
      <c r="BVB1263" s="52"/>
      <c r="BVC1263" s="52"/>
      <c r="BVD1263" s="52"/>
      <c r="BVE1263" s="52"/>
      <c r="BVF1263" s="52"/>
      <c r="BVG1263" s="52"/>
      <c r="BVH1263" s="52"/>
      <c r="BVI1263" s="52"/>
      <c r="BVJ1263" s="52"/>
      <c r="BVK1263" s="52"/>
      <c r="BVL1263" s="52"/>
      <c r="BVM1263" s="52"/>
      <c r="BVN1263" s="52"/>
      <c r="BVO1263" s="52"/>
      <c r="BVP1263" s="52"/>
      <c r="BVQ1263" s="52"/>
      <c r="BVR1263" s="52"/>
      <c r="BVS1263" s="52"/>
      <c r="BVT1263" s="52"/>
      <c r="BVU1263" s="52"/>
      <c r="BVV1263" s="52"/>
      <c r="BVW1263" s="52"/>
      <c r="BVX1263" s="52"/>
      <c r="BVY1263" s="52"/>
      <c r="BVZ1263" s="52"/>
      <c r="BWA1263" s="52"/>
      <c r="BWB1263" s="52"/>
      <c r="BWC1263" s="52"/>
      <c r="BWD1263" s="52"/>
      <c r="BWE1263" s="52"/>
      <c r="BWF1263" s="52"/>
      <c r="BWG1263" s="52"/>
      <c r="BWH1263" s="52"/>
      <c r="BWI1263" s="52"/>
      <c r="BWJ1263" s="52"/>
      <c r="BWK1263" s="52"/>
      <c r="BWL1263" s="52"/>
      <c r="BWM1263" s="52"/>
      <c r="BWN1263" s="52"/>
      <c r="BWO1263" s="52"/>
      <c r="BWP1263" s="52"/>
      <c r="BWQ1263" s="52"/>
      <c r="BWR1263" s="52"/>
      <c r="BWS1263" s="52"/>
      <c r="BWT1263" s="52"/>
      <c r="BWU1263" s="52"/>
      <c r="BWV1263" s="52"/>
      <c r="BWW1263" s="52"/>
      <c r="BWX1263" s="52"/>
      <c r="BWY1263" s="52"/>
      <c r="BWZ1263" s="52"/>
      <c r="BXA1263" s="52"/>
      <c r="BXB1263" s="52"/>
      <c r="BXC1263" s="52"/>
      <c r="BXD1263" s="52"/>
      <c r="BXE1263" s="52"/>
      <c r="BXF1263" s="52"/>
      <c r="BXG1263" s="52"/>
      <c r="BXH1263" s="52"/>
      <c r="BXI1263" s="52"/>
      <c r="BXJ1263" s="52"/>
      <c r="BXK1263" s="52"/>
      <c r="BXL1263" s="52"/>
      <c r="BXM1263" s="52"/>
      <c r="BXN1263" s="52"/>
      <c r="BXO1263" s="52"/>
      <c r="BXP1263" s="52"/>
      <c r="BXQ1263" s="52"/>
      <c r="BXR1263" s="52"/>
      <c r="BXS1263" s="52"/>
      <c r="BXT1263" s="52"/>
      <c r="BXU1263" s="52"/>
      <c r="BXV1263" s="52"/>
      <c r="BXW1263" s="52"/>
      <c r="BXX1263" s="52"/>
      <c r="BXY1263" s="52"/>
      <c r="BXZ1263" s="52"/>
      <c r="BYA1263" s="52"/>
      <c r="BYB1263" s="52"/>
      <c r="BYC1263" s="52"/>
      <c r="BYD1263" s="52"/>
      <c r="BYE1263" s="52"/>
      <c r="BYF1263" s="52"/>
      <c r="BYG1263" s="52"/>
      <c r="BYH1263" s="52"/>
      <c r="BYI1263" s="52"/>
      <c r="BYJ1263" s="52"/>
      <c r="BYK1263" s="52"/>
      <c r="BYL1263" s="52"/>
      <c r="BYM1263" s="52"/>
      <c r="BYN1263" s="52"/>
      <c r="BYO1263" s="52"/>
      <c r="BYP1263" s="52"/>
      <c r="BYQ1263" s="52"/>
      <c r="BYR1263" s="52"/>
      <c r="BYS1263" s="52"/>
      <c r="BYT1263" s="52"/>
      <c r="BYU1263" s="52"/>
      <c r="BYV1263" s="52"/>
      <c r="BYW1263" s="52"/>
      <c r="BYX1263" s="52"/>
      <c r="BYY1263" s="52"/>
      <c r="BYZ1263" s="52"/>
      <c r="BZA1263" s="52"/>
      <c r="BZB1263" s="52"/>
      <c r="BZC1263" s="52"/>
      <c r="BZD1263" s="52"/>
      <c r="BZE1263" s="52"/>
      <c r="BZF1263" s="52"/>
      <c r="BZG1263" s="52"/>
      <c r="BZH1263" s="52"/>
      <c r="BZI1263" s="52"/>
      <c r="BZJ1263" s="52"/>
      <c r="BZK1263" s="52"/>
      <c r="BZL1263" s="52"/>
      <c r="BZM1263" s="52"/>
      <c r="BZN1263" s="52"/>
      <c r="BZO1263" s="52"/>
      <c r="BZP1263" s="52"/>
      <c r="BZQ1263" s="52"/>
      <c r="BZR1263" s="52"/>
      <c r="BZS1263" s="52"/>
      <c r="BZT1263" s="52"/>
      <c r="BZU1263" s="52"/>
      <c r="BZV1263" s="52"/>
      <c r="BZW1263" s="52"/>
      <c r="BZX1263" s="52"/>
      <c r="BZY1263" s="52"/>
      <c r="BZZ1263" s="52"/>
      <c r="CAA1263" s="52"/>
      <c r="CAB1263" s="52"/>
      <c r="CAC1263" s="52"/>
      <c r="CAD1263" s="52"/>
      <c r="CAE1263" s="52"/>
      <c r="CAF1263" s="52"/>
      <c r="CAG1263" s="52"/>
      <c r="CAH1263" s="52"/>
      <c r="CAI1263" s="52"/>
      <c r="CAJ1263" s="52"/>
      <c r="CAK1263" s="52"/>
      <c r="CAL1263" s="52"/>
      <c r="CAM1263" s="52"/>
      <c r="CAN1263" s="52"/>
      <c r="CAO1263" s="52"/>
      <c r="CAP1263" s="52"/>
      <c r="CAQ1263" s="52"/>
      <c r="CAR1263" s="52"/>
      <c r="CAS1263" s="52"/>
      <c r="CAT1263" s="52"/>
      <c r="CAU1263" s="52"/>
      <c r="CAV1263" s="52"/>
      <c r="CAW1263" s="52"/>
      <c r="CAX1263" s="52"/>
      <c r="CAY1263" s="52"/>
      <c r="CAZ1263" s="52"/>
      <c r="CBA1263" s="52"/>
      <c r="CBB1263" s="52"/>
      <c r="CBC1263" s="52"/>
      <c r="CBD1263" s="52"/>
      <c r="CBE1263" s="52"/>
      <c r="CBF1263" s="52"/>
      <c r="CBG1263" s="52"/>
      <c r="CBH1263" s="52"/>
      <c r="CBI1263" s="52"/>
      <c r="CBJ1263" s="52"/>
      <c r="CBK1263" s="52"/>
      <c r="CBL1263" s="52"/>
      <c r="CBM1263" s="52"/>
      <c r="CBN1263" s="52"/>
      <c r="CBO1263" s="52"/>
      <c r="CBP1263" s="52"/>
      <c r="CBQ1263" s="52"/>
      <c r="CBR1263" s="52"/>
      <c r="CBS1263" s="52"/>
      <c r="CBT1263" s="52"/>
      <c r="CBU1263" s="52"/>
      <c r="CBV1263" s="52"/>
      <c r="CBW1263" s="52"/>
      <c r="CBX1263" s="52"/>
      <c r="CBY1263" s="52"/>
      <c r="CBZ1263" s="52"/>
      <c r="CCA1263" s="52"/>
      <c r="CCB1263" s="52"/>
      <c r="CCC1263" s="52"/>
      <c r="CCD1263" s="52"/>
      <c r="CCE1263" s="52"/>
      <c r="CCF1263" s="52"/>
      <c r="CCG1263" s="52"/>
      <c r="CCH1263" s="52"/>
      <c r="CCI1263" s="52"/>
      <c r="CCJ1263" s="52"/>
      <c r="CCK1263" s="52"/>
      <c r="CCL1263" s="52"/>
      <c r="CCM1263" s="52"/>
      <c r="CCN1263" s="52"/>
      <c r="CCO1263" s="52"/>
      <c r="CCP1263" s="52"/>
      <c r="CCQ1263" s="52"/>
      <c r="CCR1263" s="52"/>
      <c r="CCS1263" s="52"/>
      <c r="CCT1263" s="52"/>
      <c r="CCU1263" s="52"/>
      <c r="CCV1263" s="52"/>
      <c r="CCW1263" s="52"/>
      <c r="CCX1263" s="52"/>
      <c r="CCY1263" s="52"/>
      <c r="CCZ1263" s="52"/>
      <c r="CDA1263" s="52"/>
      <c r="CDB1263" s="52"/>
      <c r="CDC1263" s="52"/>
      <c r="CDD1263" s="52"/>
      <c r="CDE1263" s="52"/>
      <c r="CDF1263" s="52"/>
      <c r="CDG1263" s="52"/>
      <c r="CDH1263" s="52"/>
      <c r="CDI1263" s="52"/>
      <c r="CDJ1263" s="52"/>
      <c r="CDK1263" s="52"/>
      <c r="CDL1263" s="52"/>
      <c r="CDM1263" s="52"/>
      <c r="CDN1263" s="52"/>
      <c r="CDO1263" s="52"/>
      <c r="CDP1263" s="52"/>
      <c r="CDQ1263" s="52"/>
      <c r="CDR1263" s="52"/>
      <c r="CDS1263" s="52"/>
      <c r="CDT1263" s="52"/>
      <c r="CDU1263" s="52"/>
      <c r="CDV1263" s="52"/>
      <c r="CDW1263" s="52"/>
      <c r="CDX1263" s="52"/>
      <c r="CDY1263" s="52"/>
      <c r="CDZ1263" s="52"/>
      <c r="CEA1263" s="52"/>
      <c r="CEB1263" s="52"/>
      <c r="CEC1263" s="52"/>
      <c r="CED1263" s="52"/>
      <c r="CEE1263" s="52"/>
      <c r="CEF1263" s="52"/>
      <c r="CEG1263" s="52"/>
      <c r="CEH1263" s="52"/>
      <c r="CEI1263" s="52"/>
      <c r="CEJ1263" s="52"/>
      <c r="CEK1263" s="52"/>
      <c r="CEL1263" s="52"/>
      <c r="CEM1263" s="52"/>
      <c r="CEN1263" s="52"/>
      <c r="CEO1263" s="52"/>
      <c r="CEP1263" s="52"/>
      <c r="CEQ1263" s="52"/>
      <c r="CER1263" s="52"/>
      <c r="CES1263" s="52"/>
      <c r="CET1263" s="52"/>
      <c r="CEU1263" s="52"/>
      <c r="CEV1263" s="52"/>
      <c r="CEW1263" s="52"/>
      <c r="CEX1263" s="52"/>
      <c r="CEY1263" s="52"/>
      <c r="CEZ1263" s="52"/>
      <c r="CFA1263" s="52"/>
      <c r="CFB1263" s="52"/>
      <c r="CFC1263" s="52"/>
      <c r="CFD1263" s="52"/>
      <c r="CFE1263" s="52"/>
      <c r="CFF1263" s="52"/>
      <c r="CFG1263" s="52"/>
      <c r="CFH1263" s="52"/>
      <c r="CFI1263" s="52"/>
      <c r="CFJ1263" s="52"/>
      <c r="CFK1263" s="52"/>
      <c r="CFL1263" s="52"/>
      <c r="CFM1263" s="52"/>
      <c r="CFN1263" s="52"/>
      <c r="CFO1263" s="52"/>
      <c r="CFP1263" s="52"/>
      <c r="CFQ1263" s="52"/>
      <c r="CFR1263" s="52"/>
      <c r="CFS1263" s="52"/>
      <c r="CFT1263" s="52"/>
      <c r="CFU1263" s="52"/>
      <c r="CFV1263" s="52"/>
      <c r="CFW1263" s="52"/>
      <c r="CFX1263" s="52"/>
      <c r="CFY1263" s="52"/>
      <c r="CFZ1263" s="52"/>
      <c r="CGA1263" s="52"/>
      <c r="CGB1263" s="52"/>
      <c r="CGC1263" s="52"/>
      <c r="CGD1263" s="52"/>
      <c r="CGE1263" s="52"/>
      <c r="CGF1263" s="52"/>
      <c r="CGG1263" s="52"/>
      <c r="CGH1263" s="52"/>
      <c r="CGI1263" s="52"/>
      <c r="CGJ1263" s="52"/>
      <c r="CGK1263" s="52"/>
      <c r="CGL1263" s="52"/>
      <c r="CGM1263" s="52"/>
      <c r="CGN1263" s="52"/>
      <c r="CGO1263" s="52"/>
      <c r="CGP1263" s="52"/>
      <c r="CGQ1263" s="52"/>
      <c r="CGR1263" s="52"/>
      <c r="CGS1263" s="52"/>
      <c r="CGT1263" s="52"/>
      <c r="CGU1263" s="52"/>
      <c r="CGV1263" s="52"/>
      <c r="CGW1263" s="52"/>
      <c r="CGX1263" s="52"/>
      <c r="CGY1263" s="52"/>
      <c r="CGZ1263" s="52"/>
      <c r="CHA1263" s="52"/>
      <c r="CHB1263" s="52"/>
      <c r="CHC1263" s="52"/>
      <c r="CHD1263" s="52"/>
      <c r="CHE1263" s="52"/>
      <c r="CHF1263" s="52"/>
      <c r="CHG1263" s="52"/>
      <c r="CHH1263" s="52"/>
      <c r="CHI1263" s="52"/>
      <c r="CHJ1263" s="52"/>
      <c r="CHK1263" s="52"/>
      <c r="CHL1263" s="52"/>
      <c r="CHM1263" s="52"/>
      <c r="CHN1263" s="52"/>
      <c r="CHO1263" s="52"/>
      <c r="CHP1263" s="52"/>
      <c r="CHQ1263" s="52"/>
      <c r="CHR1263" s="52"/>
      <c r="CHS1263" s="52"/>
      <c r="CHT1263" s="52"/>
      <c r="CHU1263" s="52"/>
      <c r="CHV1263" s="52"/>
      <c r="CHW1263" s="52"/>
      <c r="CHX1263" s="52"/>
      <c r="CHY1263" s="52"/>
      <c r="CHZ1263" s="52"/>
      <c r="CIA1263" s="52"/>
      <c r="CIB1263" s="52"/>
      <c r="CIC1263" s="52"/>
      <c r="CID1263" s="52"/>
      <c r="CIE1263" s="52"/>
      <c r="CIF1263" s="52"/>
      <c r="CIG1263" s="52"/>
      <c r="CIH1263" s="52"/>
      <c r="CII1263" s="52"/>
      <c r="CIJ1263" s="52"/>
      <c r="CIK1263" s="52"/>
      <c r="CIL1263" s="52"/>
      <c r="CIM1263" s="52"/>
      <c r="CIN1263" s="52"/>
      <c r="CIO1263" s="52"/>
      <c r="CIP1263" s="52"/>
      <c r="CIQ1263" s="52"/>
      <c r="CIR1263" s="52"/>
      <c r="CIS1263" s="52"/>
      <c r="CIT1263" s="52"/>
      <c r="CIU1263" s="52"/>
      <c r="CIV1263" s="52"/>
      <c r="CIW1263" s="52"/>
      <c r="CIX1263" s="52"/>
      <c r="CIY1263" s="52"/>
      <c r="CIZ1263" s="52"/>
      <c r="CJA1263" s="52"/>
      <c r="CJB1263" s="52"/>
      <c r="CJC1263" s="52"/>
      <c r="CJD1263" s="52"/>
      <c r="CJE1263" s="52"/>
      <c r="CJF1263" s="52"/>
      <c r="CJG1263" s="52"/>
      <c r="CJH1263" s="52"/>
      <c r="CJI1263" s="52"/>
      <c r="CJJ1263" s="52"/>
      <c r="CJK1263" s="52"/>
      <c r="CJL1263" s="52"/>
      <c r="CJM1263" s="52"/>
      <c r="CJN1263" s="52"/>
      <c r="CJO1263" s="52"/>
      <c r="CJP1263" s="52"/>
      <c r="CJQ1263" s="52"/>
      <c r="CJR1263" s="52"/>
      <c r="CJS1263" s="52"/>
      <c r="CJT1263" s="52"/>
      <c r="CJU1263" s="52"/>
      <c r="CJV1263" s="52"/>
      <c r="CJW1263" s="52"/>
      <c r="CJX1263" s="52"/>
      <c r="CJY1263" s="52"/>
      <c r="CJZ1263" s="52"/>
      <c r="CKA1263" s="52"/>
      <c r="CKB1263" s="52"/>
      <c r="CKC1263" s="52"/>
      <c r="CKD1263" s="52"/>
      <c r="CKE1263" s="52"/>
      <c r="CKF1263" s="52"/>
      <c r="CKG1263" s="52"/>
      <c r="CKH1263" s="52"/>
      <c r="CKI1263" s="52"/>
      <c r="CKJ1263" s="52"/>
      <c r="CKK1263" s="52"/>
      <c r="CKL1263" s="52"/>
      <c r="CKM1263" s="52"/>
      <c r="CKN1263" s="52"/>
      <c r="CKO1263" s="52"/>
      <c r="CKP1263" s="52"/>
      <c r="CKQ1263" s="52"/>
      <c r="CKR1263" s="52"/>
      <c r="CKS1263" s="52"/>
      <c r="CKT1263" s="52"/>
      <c r="CKU1263" s="52"/>
      <c r="CKV1263" s="52"/>
      <c r="CKW1263" s="52"/>
      <c r="CKX1263" s="52"/>
      <c r="CKY1263" s="52"/>
      <c r="CKZ1263" s="52"/>
      <c r="CLA1263" s="52"/>
      <c r="CLB1263" s="52"/>
      <c r="CLC1263" s="52"/>
      <c r="CLD1263" s="52"/>
      <c r="CLE1263" s="52"/>
      <c r="CLF1263" s="52"/>
      <c r="CLG1263" s="52"/>
      <c r="CLH1263" s="52"/>
      <c r="CLI1263" s="52"/>
      <c r="CLJ1263" s="52"/>
      <c r="CLK1263" s="52"/>
      <c r="CLL1263" s="52"/>
      <c r="CLM1263" s="52"/>
      <c r="CLN1263" s="52"/>
      <c r="CLO1263" s="52"/>
      <c r="CLP1263" s="52"/>
      <c r="CLQ1263" s="52"/>
      <c r="CLR1263" s="52"/>
      <c r="CLS1263" s="52"/>
      <c r="CLT1263" s="52"/>
      <c r="CLU1263" s="52"/>
      <c r="CLV1263" s="52"/>
      <c r="CLW1263" s="52"/>
      <c r="CLX1263" s="52"/>
      <c r="CLY1263" s="52"/>
      <c r="CLZ1263" s="52"/>
      <c r="CMA1263" s="52"/>
      <c r="CMB1263" s="52"/>
      <c r="CMC1263" s="52"/>
      <c r="CMD1263" s="52"/>
      <c r="CME1263" s="52"/>
      <c r="CMF1263" s="52"/>
      <c r="CMG1263" s="52"/>
      <c r="CMH1263" s="52"/>
      <c r="CMI1263" s="52"/>
      <c r="CMJ1263" s="52"/>
      <c r="CMK1263" s="52"/>
      <c r="CML1263" s="52"/>
      <c r="CMM1263" s="52"/>
      <c r="CMN1263" s="52"/>
      <c r="CMO1263" s="52"/>
      <c r="CMP1263" s="52"/>
      <c r="CMQ1263" s="52"/>
      <c r="CMR1263" s="52"/>
      <c r="CMS1263" s="52"/>
      <c r="CMT1263" s="52"/>
      <c r="CMU1263" s="52"/>
      <c r="CMV1263" s="52"/>
      <c r="CMW1263" s="52"/>
      <c r="CMX1263" s="52"/>
      <c r="CMY1263" s="52"/>
      <c r="CMZ1263" s="52"/>
      <c r="CNA1263" s="52"/>
      <c r="CNB1263" s="52"/>
      <c r="CNC1263" s="52"/>
      <c r="CND1263" s="52"/>
      <c r="CNE1263" s="52"/>
      <c r="CNF1263" s="52"/>
      <c r="CNG1263" s="52"/>
      <c r="CNH1263" s="52"/>
      <c r="CNI1263" s="52"/>
      <c r="CNJ1263" s="52"/>
      <c r="CNK1263" s="52"/>
      <c r="CNL1263" s="52"/>
      <c r="CNM1263" s="52"/>
      <c r="CNN1263" s="52"/>
      <c r="CNO1263" s="52"/>
      <c r="CNP1263" s="52"/>
      <c r="CNQ1263" s="52"/>
      <c r="CNR1263" s="52"/>
      <c r="CNS1263" s="52"/>
      <c r="CNT1263" s="52"/>
      <c r="CNU1263" s="52"/>
      <c r="CNV1263" s="52"/>
      <c r="CNW1263" s="52"/>
      <c r="CNX1263" s="52"/>
      <c r="CNY1263" s="52"/>
      <c r="CNZ1263" s="52"/>
      <c r="COA1263" s="52"/>
      <c r="COB1263" s="52"/>
      <c r="COC1263" s="52"/>
      <c r="COD1263" s="52"/>
      <c r="COE1263" s="52"/>
      <c r="COF1263" s="52"/>
      <c r="COG1263" s="52"/>
      <c r="COH1263" s="52"/>
      <c r="COI1263" s="52"/>
      <c r="COJ1263" s="52"/>
      <c r="COK1263" s="52"/>
      <c r="COL1263" s="52"/>
      <c r="COM1263" s="52"/>
      <c r="CON1263" s="52"/>
      <c r="COO1263" s="52"/>
      <c r="COP1263" s="52"/>
      <c r="COQ1263" s="52"/>
      <c r="COR1263" s="52"/>
      <c r="COS1263" s="52"/>
      <c r="COT1263" s="52"/>
      <c r="COU1263" s="52"/>
      <c r="COV1263" s="52"/>
      <c r="COW1263" s="52"/>
      <c r="COX1263" s="52"/>
      <c r="COY1263" s="52"/>
      <c r="COZ1263" s="52"/>
      <c r="CPA1263" s="52"/>
      <c r="CPB1263" s="52"/>
      <c r="CPC1263" s="52"/>
      <c r="CPD1263" s="52"/>
      <c r="CPE1263" s="52"/>
      <c r="CPF1263" s="52"/>
      <c r="CPG1263" s="52"/>
      <c r="CPH1263" s="52"/>
      <c r="CPI1263" s="52"/>
      <c r="CPJ1263" s="52"/>
      <c r="CPK1263" s="52"/>
      <c r="CPL1263" s="52"/>
      <c r="CPM1263" s="52"/>
      <c r="CPN1263" s="52"/>
      <c r="CPO1263" s="52"/>
      <c r="CPP1263" s="52"/>
      <c r="CPQ1263" s="52"/>
      <c r="CPR1263" s="52"/>
      <c r="CPS1263" s="52"/>
      <c r="CPT1263" s="52"/>
      <c r="CPU1263" s="52"/>
      <c r="CPV1263" s="52"/>
      <c r="CPW1263" s="52"/>
      <c r="CPX1263" s="52"/>
      <c r="CPY1263" s="52"/>
      <c r="CPZ1263" s="52"/>
      <c r="CQA1263" s="52"/>
      <c r="CQB1263" s="52"/>
      <c r="CQC1263" s="52"/>
      <c r="CQD1263" s="52"/>
      <c r="CQE1263" s="52"/>
      <c r="CQF1263" s="52"/>
      <c r="CQG1263" s="52"/>
      <c r="CQH1263" s="52"/>
      <c r="CQI1263" s="52"/>
      <c r="CQJ1263" s="52"/>
      <c r="CQK1263" s="52"/>
      <c r="CQL1263" s="52"/>
      <c r="CQM1263" s="52"/>
      <c r="CQN1263" s="52"/>
      <c r="CQO1263" s="52"/>
      <c r="CQP1263" s="52"/>
      <c r="CQQ1263" s="52"/>
      <c r="CQR1263" s="52"/>
      <c r="CQS1263" s="52"/>
      <c r="CQT1263" s="52"/>
      <c r="CQU1263" s="52"/>
      <c r="CQV1263" s="52"/>
      <c r="CQW1263" s="52"/>
      <c r="CQX1263" s="52"/>
      <c r="CQY1263" s="52"/>
      <c r="CQZ1263" s="52"/>
      <c r="CRA1263" s="52"/>
      <c r="CRB1263" s="52"/>
      <c r="CRC1263" s="52"/>
      <c r="CRD1263" s="52"/>
      <c r="CRE1263" s="52"/>
      <c r="CRF1263" s="52"/>
      <c r="CRG1263" s="52"/>
      <c r="CRH1263" s="52"/>
      <c r="CRI1263" s="52"/>
      <c r="CRJ1263" s="52"/>
      <c r="CRK1263" s="52"/>
      <c r="CRL1263" s="52"/>
      <c r="CRM1263" s="52"/>
      <c r="CRN1263" s="52"/>
      <c r="CRO1263" s="52"/>
      <c r="CRP1263" s="52"/>
      <c r="CRQ1263" s="52"/>
      <c r="CRR1263" s="52"/>
      <c r="CRS1263" s="52"/>
      <c r="CRT1263" s="52"/>
      <c r="CRU1263" s="52"/>
      <c r="CRV1263" s="52"/>
      <c r="CRW1263" s="52"/>
      <c r="CRX1263" s="52"/>
      <c r="CRY1263" s="52"/>
      <c r="CRZ1263" s="52"/>
      <c r="CSA1263" s="52"/>
      <c r="CSB1263" s="52"/>
      <c r="CSC1263" s="52"/>
      <c r="CSD1263" s="52"/>
      <c r="CSE1263" s="52"/>
      <c r="CSF1263" s="52"/>
      <c r="CSG1263" s="52"/>
      <c r="CSH1263" s="52"/>
      <c r="CSI1263" s="52"/>
      <c r="CSJ1263" s="52"/>
      <c r="CSK1263" s="52"/>
      <c r="CSL1263" s="52"/>
      <c r="CSM1263" s="52"/>
      <c r="CSN1263" s="52"/>
      <c r="CSO1263" s="52"/>
      <c r="CSP1263" s="52"/>
      <c r="CSQ1263" s="52"/>
      <c r="CSR1263" s="52"/>
      <c r="CSS1263" s="52"/>
      <c r="CST1263" s="52"/>
      <c r="CSU1263" s="52"/>
      <c r="CSV1263" s="52"/>
      <c r="CSW1263" s="52"/>
      <c r="CSX1263" s="52"/>
      <c r="CSY1263" s="52"/>
      <c r="CSZ1263" s="52"/>
      <c r="CTA1263" s="52"/>
      <c r="CTB1263" s="52"/>
      <c r="CTC1263" s="52"/>
      <c r="CTD1263" s="52"/>
      <c r="CTE1263" s="52"/>
      <c r="CTF1263" s="52"/>
      <c r="CTG1263" s="52"/>
      <c r="CTH1263" s="52"/>
      <c r="CTI1263" s="52"/>
      <c r="CTJ1263" s="52"/>
      <c r="CTK1263" s="52"/>
      <c r="CTL1263" s="52"/>
      <c r="CTM1263" s="52"/>
      <c r="CTN1263" s="52"/>
      <c r="CTO1263" s="52"/>
      <c r="CTP1263" s="52"/>
      <c r="CTQ1263" s="52"/>
      <c r="CTR1263" s="52"/>
      <c r="CTS1263" s="52"/>
      <c r="CTT1263" s="52"/>
      <c r="CTU1263" s="52"/>
      <c r="CTV1263" s="52"/>
      <c r="CTW1263" s="52"/>
      <c r="CTX1263" s="52"/>
      <c r="CTY1263" s="52"/>
      <c r="CTZ1263" s="52"/>
      <c r="CUA1263" s="52"/>
      <c r="CUB1263" s="52"/>
      <c r="CUC1263" s="52"/>
      <c r="CUD1263" s="52"/>
      <c r="CUE1263" s="52"/>
      <c r="CUF1263" s="52"/>
      <c r="CUG1263" s="52"/>
      <c r="CUH1263" s="52"/>
      <c r="CUI1263" s="52"/>
      <c r="CUJ1263" s="52"/>
      <c r="CUK1263" s="52"/>
      <c r="CUL1263" s="52"/>
      <c r="CUM1263" s="52"/>
      <c r="CUN1263" s="52"/>
      <c r="CUO1263" s="52"/>
      <c r="CUP1263" s="52"/>
      <c r="CUQ1263" s="52"/>
      <c r="CUR1263" s="52"/>
      <c r="CUS1263" s="52"/>
      <c r="CUT1263" s="52"/>
      <c r="CUU1263" s="52"/>
      <c r="CUV1263" s="52"/>
      <c r="CUW1263" s="52"/>
      <c r="CUX1263" s="52"/>
      <c r="CUY1263" s="52"/>
      <c r="CUZ1263" s="52"/>
      <c r="CVA1263" s="52"/>
      <c r="CVB1263" s="52"/>
      <c r="CVC1263" s="52"/>
      <c r="CVD1263" s="52"/>
      <c r="CVE1263" s="52"/>
      <c r="CVF1263" s="52"/>
      <c r="CVG1263" s="52"/>
      <c r="CVH1263" s="52"/>
      <c r="CVI1263" s="52"/>
      <c r="CVJ1263" s="52"/>
      <c r="CVK1263" s="52"/>
      <c r="CVL1263" s="52"/>
      <c r="CVM1263" s="52"/>
      <c r="CVN1263" s="52"/>
      <c r="CVO1263" s="52"/>
      <c r="CVP1263" s="52"/>
      <c r="CVQ1263" s="52"/>
      <c r="CVR1263" s="52"/>
      <c r="CVS1263" s="52"/>
      <c r="CVT1263" s="52"/>
      <c r="CVU1263" s="52"/>
      <c r="CVV1263" s="52"/>
      <c r="CVW1263" s="52"/>
      <c r="CVX1263" s="52"/>
      <c r="CVY1263" s="52"/>
      <c r="CVZ1263" s="52"/>
      <c r="CWA1263" s="52"/>
      <c r="CWB1263" s="52"/>
      <c r="CWC1263" s="52"/>
      <c r="CWD1263" s="52"/>
      <c r="CWE1263" s="52"/>
      <c r="CWF1263" s="52"/>
      <c r="CWG1263" s="52"/>
      <c r="CWH1263" s="52"/>
      <c r="CWI1263" s="52"/>
      <c r="CWJ1263" s="52"/>
      <c r="CWK1263" s="52"/>
      <c r="CWL1263" s="52"/>
      <c r="CWM1263" s="52"/>
      <c r="CWN1263" s="52"/>
      <c r="CWO1263" s="52"/>
      <c r="CWP1263" s="52"/>
      <c r="CWQ1263" s="52"/>
      <c r="CWR1263" s="52"/>
      <c r="CWS1263" s="52"/>
      <c r="CWT1263" s="52"/>
      <c r="CWU1263" s="52"/>
      <c r="CWV1263" s="52"/>
      <c r="CWW1263" s="52"/>
      <c r="CWX1263" s="52"/>
      <c r="CWY1263" s="52"/>
      <c r="CWZ1263" s="52"/>
      <c r="CXA1263" s="52"/>
      <c r="CXB1263" s="52"/>
      <c r="CXC1263" s="52"/>
      <c r="CXD1263" s="52"/>
      <c r="CXE1263" s="52"/>
      <c r="CXF1263" s="52"/>
      <c r="CXG1263" s="52"/>
      <c r="CXH1263" s="52"/>
      <c r="CXI1263" s="52"/>
      <c r="CXJ1263" s="52"/>
      <c r="CXK1263" s="52"/>
      <c r="CXL1263" s="52"/>
      <c r="CXM1263" s="52"/>
      <c r="CXN1263" s="52"/>
      <c r="CXO1263" s="52"/>
      <c r="CXP1263" s="52"/>
      <c r="CXQ1263" s="52"/>
      <c r="CXR1263" s="52"/>
      <c r="CXS1263" s="52"/>
      <c r="CXT1263" s="52"/>
      <c r="CXU1263" s="52"/>
      <c r="CXV1263" s="52"/>
      <c r="CXW1263" s="52"/>
      <c r="CXX1263" s="52"/>
      <c r="CXY1263" s="52"/>
      <c r="CXZ1263" s="52"/>
      <c r="CYA1263" s="52"/>
      <c r="CYB1263" s="52"/>
      <c r="CYC1263" s="52"/>
      <c r="CYD1263" s="52"/>
      <c r="CYE1263" s="52"/>
      <c r="CYF1263" s="52"/>
      <c r="CYG1263" s="52"/>
      <c r="CYH1263" s="52"/>
      <c r="CYI1263" s="52"/>
      <c r="CYJ1263" s="52"/>
      <c r="CYK1263" s="52"/>
      <c r="CYL1263" s="52"/>
      <c r="CYM1263" s="52"/>
      <c r="CYN1263" s="52"/>
      <c r="CYO1263" s="52"/>
      <c r="CYP1263" s="52"/>
      <c r="CYQ1263" s="52"/>
      <c r="CYR1263" s="52"/>
      <c r="CYS1263" s="52"/>
      <c r="CYT1263" s="52"/>
      <c r="CYU1263" s="52"/>
      <c r="CYV1263" s="52"/>
      <c r="CYW1263" s="52"/>
      <c r="CYX1263" s="52"/>
      <c r="CYY1263" s="52"/>
      <c r="CYZ1263" s="52"/>
      <c r="CZA1263" s="52"/>
      <c r="CZB1263" s="52"/>
      <c r="CZC1263" s="52"/>
      <c r="CZD1263" s="52"/>
      <c r="CZE1263" s="52"/>
      <c r="CZF1263" s="52"/>
      <c r="CZG1263" s="52"/>
      <c r="CZH1263" s="52"/>
      <c r="CZI1263" s="52"/>
      <c r="CZJ1263" s="52"/>
      <c r="CZK1263" s="52"/>
      <c r="CZL1263" s="52"/>
      <c r="CZM1263" s="52"/>
      <c r="CZN1263" s="52"/>
      <c r="CZO1263" s="52"/>
      <c r="CZP1263" s="52"/>
      <c r="CZQ1263" s="52"/>
      <c r="CZR1263" s="52"/>
      <c r="CZS1263" s="52"/>
      <c r="CZT1263" s="52"/>
      <c r="CZU1263" s="52"/>
      <c r="CZV1263" s="52"/>
      <c r="CZW1263" s="52"/>
      <c r="CZX1263" s="52"/>
      <c r="CZY1263" s="52"/>
      <c r="CZZ1263" s="52"/>
      <c r="DAA1263" s="52"/>
      <c r="DAB1263" s="52"/>
      <c r="DAC1263" s="52"/>
      <c r="DAD1263" s="52"/>
      <c r="DAE1263" s="52"/>
      <c r="DAF1263" s="52"/>
      <c r="DAG1263" s="52"/>
      <c r="DAH1263" s="52"/>
      <c r="DAI1263" s="52"/>
      <c r="DAJ1263" s="52"/>
      <c r="DAK1263" s="52"/>
      <c r="DAL1263" s="52"/>
      <c r="DAM1263" s="52"/>
      <c r="DAN1263" s="52"/>
      <c r="DAO1263" s="52"/>
      <c r="DAP1263" s="52"/>
      <c r="DAQ1263" s="52"/>
      <c r="DAR1263" s="52"/>
      <c r="DAS1263" s="52"/>
      <c r="DAT1263" s="52"/>
      <c r="DAU1263" s="52"/>
      <c r="DAV1263" s="52"/>
      <c r="DAW1263" s="52"/>
      <c r="DAX1263" s="52"/>
      <c r="DAY1263" s="52"/>
      <c r="DAZ1263" s="52"/>
      <c r="DBA1263" s="52"/>
      <c r="DBB1263" s="52"/>
      <c r="DBC1263" s="52"/>
      <c r="DBD1263" s="52"/>
      <c r="DBE1263" s="52"/>
      <c r="DBF1263" s="52"/>
      <c r="DBG1263" s="52"/>
      <c r="DBH1263" s="52"/>
      <c r="DBI1263" s="52"/>
      <c r="DBJ1263" s="52"/>
      <c r="DBK1263" s="52"/>
      <c r="DBL1263" s="52"/>
      <c r="DBM1263" s="52"/>
      <c r="DBN1263" s="52"/>
      <c r="DBO1263" s="52"/>
      <c r="DBP1263" s="52"/>
      <c r="DBQ1263" s="52"/>
      <c r="DBR1263" s="52"/>
      <c r="DBS1263" s="52"/>
      <c r="DBT1263" s="52"/>
      <c r="DBU1263" s="52"/>
      <c r="DBV1263" s="52"/>
      <c r="DBW1263" s="52"/>
      <c r="DBX1263" s="52"/>
      <c r="DBY1263" s="52"/>
      <c r="DBZ1263" s="52"/>
      <c r="DCA1263" s="52"/>
      <c r="DCB1263" s="52"/>
      <c r="DCC1263" s="52"/>
      <c r="DCD1263" s="52"/>
      <c r="DCE1263" s="52"/>
      <c r="DCF1263" s="52"/>
      <c r="DCG1263" s="52"/>
      <c r="DCH1263" s="52"/>
      <c r="DCI1263" s="52"/>
      <c r="DCJ1263" s="52"/>
      <c r="DCK1263" s="52"/>
      <c r="DCL1263" s="52"/>
      <c r="DCM1263" s="52"/>
      <c r="DCN1263" s="52"/>
      <c r="DCO1263" s="52"/>
      <c r="DCP1263" s="52"/>
      <c r="DCQ1263" s="52"/>
      <c r="DCR1263" s="52"/>
      <c r="DCS1263" s="52"/>
      <c r="DCT1263" s="52"/>
      <c r="DCU1263" s="52"/>
      <c r="DCV1263" s="52"/>
      <c r="DCW1263" s="52"/>
      <c r="DCX1263" s="52"/>
      <c r="DCY1263" s="52"/>
      <c r="DCZ1263" s="52"/>
      <c r="DDA1263" s="52"/>
      <c r="DDB1263" s="52"/>
      <c r="DDC1263" s="52"/>
      <c r="DDD1263" s="52"/>
      <c r="DDE1263" s="52"/>
      <c r="DDF1263" s="52"/>
      <c r="DDG1263" s="52"/>
      <c r="DDH1263" s="52"/>
      <c r="DDI1263" s="52"/>
      <c r="DDJ1263" s="52"/>
      <c r="DDK1263" s="52"/>
      <c r="DDL1263" s="52"/>
      <c r="DDM1263" s="52"/>
      <c r="DDN1263" s="52"/>
      <c r="DDO1263" s="52"/>
      <c r="DDP1263" s="52"/>
      <c r="DDQ1263" s="52"/>
      <c r="DDR1263" s="52"/>
      <c r="DDS1263" s="52"/>
      <c r="DDT1263" s="52"/>
      <c r="DDU1263" s="52"/>
      <c r="DDV1263" s="52"/>
      <c r="DDW1263" s="52"/>
      <c r="DDX1263" s="52"/>
      <c r="DDY1263" s="52"/>
      <c r="DDZ1263" s="52"/>
      <c r="DEA1263" s="52"/>
      <c r="DEB1263" s="52"/>
      <c r="DEC1263" s="52"/>
      <c r="DED1263" s="52"/>
      <c r="DEE1263" s="52"/>
      <c r="DEF1263" s="52"/>
      <c r="DEG1263" s="52"/>
      <c r="DEH1263" s="52"/>
      <c r="DEI1263" s="52"/>
      <c r="DEJ1263" s="52"/>
      <c r="DEK1263" s="52"/>
      <c r="DEL1263" s="52"/>
      <c r="DEM1263" s="52"/>
      <c r="DEN1263" s="52"/>
      <c r="DEO1263" s="52"/>
      <c r="DEP1263" s="52"/>
      <c r="DEQ1263" s="52"/>
      <c r="DER1263" s="52"/>
      <c r="DES1263" s="52"/>
      <c r="DET1263" s="52"/>
      <c r="DEU1263" s="52"/>
      <c r="DEV1263" s="52"/>
      <c r="DEW1263" s="52"/>
      <c r="DEX1263" s="52"/>
      <c r="DEY1263" s="52"/>
      <c r="DEZ1263" s="52"/>
      <c r="DFA1263" s="52"/>
      <c r="DFB1263" s="52"/>
      <c r="DFC1263" s="52"/>
      <c r="DFD1263" s="52"/>
      <c r="DFE1263" s="52"/>
      <c r="DFF1263" s="52"/>
      <c r="DFG1263" s="52"/>
      <c r="DFH1263" s="52"/>
      <c r="DFI1263" s="52"/>
      <c r="DFJ1263" s="52"/>
      <c r="DFK1263" s="52"/>
      <c r="DFL1263" s="52"/>
      <c r="DFM1263" s="52"/>
      <c r="DFN1263" s="52"/>
      <c r="DFO1263" s="52"/>
      <c r="DFP1263" s="52"/>
      <c r="DFQ1263" s="52"/>
      <c r="DFR1263" s="52"/>
      <c r="DFS1263" s="52"/>
      <c r="DFT1263" s="52"/>
      <c r="DFU1263" s="52"/>
      <c r="DFV1263" s="52"/>
      <c r="DFW1263" s="52"/>
      <c r="DFX1263" s="52"/>
      <c r="DFY1263" s="52"/>
      <c r="DFZ1263" s="52"/>
      <c r="DGA1263" s="52"/>
      <c r="DGB1263" s="52"/>
      <c r="DGC1263" s="52"/>
      <c r="DGD1263" s="52"/>
      <c r="DGE1263" s="52"/>
      <c r="DGF1263" s="52"/>
      <c r="DGG1263" s="52"/>
      <c r="DGH1263" s="52"/>
      <c r="DGI1263" s="52"/>
      <c r="DGJ1263" s="52"/>
      <c r="DGK1263" s="52"/>
      <c r="DGL1263" s="52"/>
      <c r="DGM1263" s="52"/>
      <c r="DGN1263" s="52"/>
      <c r="DGO1263" s="52"/>
      <c r="DGP1263" s="52"/>
      <c r="DGQ1263" s="52"/>
      <c r="DGR1263" s="52"/>
      <c r="DGS1263" s="52"/>
      <c r="DGT1263" s="52"/>
      <c r="DGU1263" s="52"/>
      <c r="DGV1263" s="52"/>
      <c r="DGW1263" s="52"/>
      <c r="DGX1263" s="52"/>
      <c r="DGY1263" s="52"/>
      <c r="DGZ1263" s="52"/>
      <c r="DHA1263" s="52"/>
      <c r="DHB1263" s="52"/>
      <c r="DHC1263" s="52"/>
      <c r="DHD1263" s="52"/>
      <c r="DHE1263" s="52"/>
      <c r="DHF1263" s="52"/>
      <c r="DHG1263" s="52"/>
      <c r="DHH1263" s="52"/>
      <c r="DHI1263" s="52"/>
      <c r="DHJ1263" s="52"/>
      <c r="DHK1263" s="52"/>
      <c r="DHL1263" s="52"/>
      <c r="DHM1263" s="52"/>
      <c r="DHN1263" s="52"/>
      <c r="DHO1263" s="52"/>
      <c r="DHP1263" s="52"/>
      <c r="DHQ1263" s="52"/>
      <c r="DHR1263" s="52"/>
      <c r="DHS1263" s="52"/>
      <c r="DHT1263" s="52"/>
      <c r="DHU1263" s="52"/>
      <c r="DHV1263" s="52"/>
      <c r="DHW1263" s="52"/>
      <c r="DHX1263" s="52"/>
      <c r="DHY1263" s="52"/>
      <c r="DHZ1263" s="52"/>
      <c r="DIA1263" s="52"/>
      <c r="DIB1263" s="52"/>
      <c r="DIC1263" s="52"/>
      <c r="DID1263" s="52"/>
      <c r="DIE1263" s="52"/>
      <c r="DIF1263" s="52"/>
      <c r="DIG1263" s="52"/>
      <c r="DIH1263" s="52"/>
      <c r="DII1263" s="52"/>
      <c r="DIJ1263" s="52"/>
      <c r="DIK1263" s="52"/>
      <c r="DIL1263" s="52"/>
      <c r="DIM1263" s="52"/>
      <c r="DIN1263" s="52"/>
      <c r="DIO1263" s="52"/>
      <c r="DIP1263" s="52"/>
      <c r="DIQ1263" s="52"/>
      <c r="DIR1263" s="52"/>
      <c r="DIS1263" s="52"/>
      <c r="DIT1263" s="52"/>
      <c r="DIU1263" s="52"/>
      <c r="DIV1263" s="52"/>
      <c r="DIW1263" s="52"/>
      <c r="DIX1263" s="52"/>
      <c r="DIY1263" s="52"/>
      <c r="DIZ1263" s="52"/>
      <c r="DJA1263" s="52"/>
      <c r="DJB1263" s="52"/>
      <c r="DJC1263" s="52"/>
      <c r="DJD1263" s="52"/>
      <c r="DJE1263" s="52"/>
      <c r="DJF1263" s="52"/>
      <c r="DJG1263" s="52"/>
      <c r="DJH1263" s="52"/>
      <c r="DJI1263" s="52"/>
      <c r="DJJ1263" s="52"/>
      <c r="DJK1263" s="52"/>
      <c r="DJL1263" s="52"/>
      <c r="DJM1263" s="52"/>
      <c r="DJN1263" s="52"/>
      <c r="DJO1263" s="52"/>
      <c r="DJP1263" s="52"/>
      <c r="DJQ1263" s="52"/>
      <c r="DJR1263" s="52"/>
      <c r="DJS1263" s="52"/>
      <c r="DJT1263" s="52"/>
      <c r="DJU1263" s="52"/>
      <c r="DJV1263" s="52"/>
      <c r="DJW1263" s="52"/>
      <c r="DJX1263" s="52"/>
      <c r="DJY1263" s="52"/>
      <c r="DJZ1263" s="52"/>
      <c r="DKA1263" s="52"/>
      <c r="DKB1263" s="52"/>
      <c r="DKC1263" s="52"/>
      <c r="DKD1263" s="52"/>
      <c r="DKE1263" s="52"/>
      <c r="DKF1263" s="52"/>
      <c r="DKG1263" s="52"/>
      <c r="DKH1263" s="52"/>
      <c r="DKI1263" s="52"/>
      <c r="DKJ1263" s="52"/>
      <c r="DKK1263" s="52"/>
      <c r="DKL1263" s="52"/>
      <c r="DKM1263" s="52"/>
      <c r="DKN1263" s="52"/>
      <c r="DKO1263" s="52"/>
      <c r="DKP1263" s="52"/>
      <c r="DKQ1263" s="52"/>
      <c r="DKR1263" s="52"/>
      <c r="DKS1263" s="52"/>
      <c r="DKT1263" s="52"/>
      <c r="DKU1263" s="52"/>
      <c r="DKV1263" s="52"/>
      <c r="DKW1263" s="52"/>
      <c r="DKX1263" s="52"/>
      <c r="DKY1263" s="52"/>
      <c r="DKZ1263" s="52"/>
      <c r="DLA1263" s="52"/>
      <c r="DLB1263" s="52"/>
      <c r="DLC1263" s="52"/>
      <c r="DLD1263" s="52"/>
      <c r="DLE1263" s="52"/>
      <c r="DLF1263" s="52"/>
      <c r="DLG1263" s="52"/>
      <c r="DLH1263" s="52"/>
      <c r="DLI1263" s="52"/>
      <c r="DLJ1263" s="52"/>
      <c r="DLK1263" s="52"/>
      <c r="DLL1263" s="52"/>
      <c r="DLM1263" s="52"/>
      <c r="DLN1263" s="52"/>
      <c r="DLO1263" s="52"/>
      <c r="DLP1263" s="52"/>
      <c r="DLQ1263" s="52"/>
      <c r="DLR1263" s="52"/>
      <c r="DLS1263" s="52"/>
      <c r="DLT1263" s="52"/>
      <c r="DLU1263" s="52"/>
      <c r="DLV1263" s="52"/>
      <c r="DLW1263" s="52"/>
      <c r="DLX1263" s="52"/>
      <c r="DLY1263" s="52"/>
      <c r="DLZ1263" s="52"/>
      <c r="DMA1263" s="52"/>
      <c r="DMB1263" s="52"/>
      <c r="DMC1263" s="52"/>
      <c r="DMD1263" s="52"/>
      <c r="DME1263" s="52"/>
      <c r="DMF1263" s="52"/>
      <c r="DMG1263" s="52"/>
      <c r="DMH1263" s="52"/>
      <c r="DMI1263" s="52"/>
      <c r="DMJ1263" s="52"/>
      <c r="DMK1263" s="52"/>
      <c r="DML1263" s="52"/>
      <c r="DMM1263" s="52"/>
      <c r="DMN1263" s="52"/>
      <c r="DMO1263" s="52"/>
      <c r="DMP1263" s="52"/>
      <c r="DMQ1263" s="52"/>
      <c r="DMR1263" s="52"/>
      <c r="DMS1263" s="52"/>
      <c r="DMT1263" s="52"/>
      <c r="DMU1263" s="52"/>
      <c r="DMV1263" s="52"/>
      <c r="DMW1263" s="52"/>
      <c r="DMX1263" s="52"/>
      <c r="DMY1263" s="52"/>
      <c r="DMZ1263" s="52"/>
      <c r="DNA1263" s="52"/>
      <c r="DNB1263" s="52"/>
      <c r="DNC1263" s="52"/>
      <c r="DND1263" s="52"/>
      <c r="DNE1263" s="52"/>
      <c r="DNF1263" s="52"/>
      <c r="DNG1263" s="52"/>
      <c r="DNH1263" s="52"/>
      <c r="DNI1263" s="52"/>
      <c r="DNJ1263" s="52"/>
      <c r="DNK1263" s="52"/>
      <c r="DNL1263" s="52"/>
      <c r="DNM1263" s="52"/>
      <c r="DNN1263" s="52"/>
      <c r="DNO1263" s="52"/>
      <c r="DNP1263" s="52"/>
      <c r="DNQ1263" s="52"/>
      <c r="DNR1263" s="52"/>
      <c r="DNS1263" s="52"/>
      <c r="DNT1263" s="52"/>
      <c r="DNU1263" s="52"/>
      <c r="DNV1263" s="52"/>
      <c r="DNW1263" s="52"/>
      <c r="DNX1263" s="52"/>
      <c r="DNY1263" s="52"/>
      <c r="DNZ1263" s="52"/>
      <c r="DOA1263" s="52"/>
      <c r="DOB1263" s="52"/>
      <c r="DOC1263" s="52"/>
      <c r="DOD1263" s="52"/>
      <c r="DOE1263" s="52"/>
      <c r="DOF1263" s="52"/>
      <c r="DOG1263" s="52"/>
      <c r="DOH1263" s="52"/>
      <c r="DOI1263" s="52"/>
      <c r="DOJ1263" s="52"/>
      <c r="DOK1263" s="52"/>
      <c r="DOL1263" s="52"/>
      <c r="DOM1263" s="52"/>
      <c r="DON1263" s="52"/>
      <c r="DOO1263" s="52"/>
      <c r="DOP1263" s="52"/>
      <c r="DOQ1263" s="52"/>
      <c r="DOR1263" s="52"/>
      <c r="DOS1263" s="52"/>
      <c r="DOT1263" s="52"/>
      <c r="DOU1263" s="52"/>
      <c r="DOV1263" s="52"/>
      <c r="DOW1263" s="52"/>
      <c r="DOX1263" s="52"/>
      <c r="DOY1263" s="52"/>
      <c r="DOZ1263" s="52"/>
      <c r="DPA1263" s="52"/>
      <c r="DPB1263" s="52"/>
      <c r="DPC1263" s="52"/>
      <c r="DPD1263" s="52"/>
      <c r="DPE1263" s="52"/>
      <c r="DPF1263" s="52"/>
      <c r="DPG1263" s="52"/>
      <c r="DPH1263" s="52"/>
      <c r="DPI1263" s="52"/>
      <c r="DPJ1263" s="52"/>
      <c r="DPK1263" s="52"/>
      <c r="DPL1263" s="52"/>
      <c r="DPM1263" s="52"/>
      <c r="DPN1263" s="52"/>
      <c r="DPO1263" s="52"/>
      <c r="DPP1263" s="52"/>
      <c r="DPQ1263" s="52"/>
      <c r="DPR1263" s="52"/>
      <c r="DPS1263" s="52"/>
      <c r="DPT1263" s="52"/>
      <c r="DPU1263" s="52"/>
      <c r="DPV1263" s="52"/>
      <c r="DPW1263" s="52"/>
      <c r="DPX1263" s="52"/>
      <c r="DPY1263" s="52"/>
      <c r="DPZ1263" s="52"/>
      <c r="DQA1263" s="52"/>
      <c r="DQB1263" s="52"/>
      <c r="DQC1263" s="52"/>
      <c r="DQD1263" s="52"/>
      <c r="DQE1263" s="52"/>
      <c r="DQF1263" s="52"/>
      <c r="DQG1263" s="52"/>
      <c r="DQH1263" s="52"/>
      <c r="DQI1263" s="52"/>
      <c r="DQJ1263" s="52"/>
      <c r="DQK1263" s="52"/>
      <c r="DQL1263" s="52"/>
      <c r="DQM1263" s="52"/>
      <c r="DQN1263" s="52"/>
      <c r="DQO1263" s="52"/>
      <c r="DQP1263" s="52"/>
      <c r="DQQ1263" s="52"/>
      <c r="DQR1263" s="52"/>
      <c r="DQS1263" s="52"/>
      <c r="DQT1263" s="52"/>
      <c r="DQU1263" s="52"/>
      <c r="DQV1263" s="52"/>
      <c r="DQW1263" s="52"/>
      <c r="DQX1263" s="52"/>
      <c r="DQY1263" s="52"/>
      <c r="DQZ1263" s="52"/>
      <c r="DRA1263" s="52"/>
      <c r="DRB1263" s="52"/>
      <c r="DRC1263" s="52"/>
      <c r="DRD1263" s="52"/>
      <c r="DRE1263" s="52"/>
      <c r="DRF1263" s="52"/>
      <c r="DRG1263" s="52"/>
      <c r="DRH1263" s="52"/>
      <c r="DRI1263" s="52"/>
      <c r="DRJ1263" s="52"/>
      <c r="DRK1263" s="52"/>
      <c r="DRL1263" s="52"/>
      <c r="DRM1263" s="52"/>
      <c r="DRN1263" s="52"/>
      <c r="DRO1263" s="52"/>
      <c r="DRP1263" s="52"/>
      <c r="DRQ1263" s="52"/>
      <c r="DRR1263" s="52"/>
      <c r="DRS1263" s="52"/>
      <c r="DRT1263" s="52"/>
      <c r="DRU1263" s="52"/>
      <c r="DRV1263" s="52"/>
      <c r="DRW1263" s="52"/>
      <c r="DRX1263" s="52"/>
      <c r="DRY1263" s="52"/>
      <c r="DRZ1263" s="52"/>
      <c r="DSA1263" s="52"/>
      <c r="DSB1263" s="52"/>
      <c r="DSC1263" s="52"/>
      <c r="DSD1263" s="52"/>
      <c r="DSE1263" s="52"/>
      <c r="DSF1263" s="52"/>
      <c r="DSG1263" s="52"/>
      <c r="DSH1263" s="52"/>
      <c r="DSI1263" s="52"/>
      <c r="DSJ1263" s="52"/>
      <c r="DSK1263" s="52"/>
      <c r="DSL1263" s="52"/>
      <c r="DSM1263" s="52"/>
      <c r="DSN1263" s="52"/>
      <c r="DSO1263" s="52"/>
      <c r="DSP1263" s="52"/>
      <c r="DSQ1263" s="52"/>
      <c r="DSR1263" s="52"/>
      <c r="DSS1263" s="52"/>
      <c r="DST1263" s="52"/>
      <c r="DSU1263" s="52"/>
      <c r="DSV1263" s="52"/>
      <c r="DSW1263" s="52"/>
      <c r="DSX1263" s="52"/>
      <c r="DSY1263" s="52"/>
      <c r="DSZ1263" s="52"/>
      <c r="DTA1263" s="52"/>
      <c r="DTB1263" s="52"/>
      <c r="DTC1263" s="52"/>
      <c r="DTD1263" s="52"/>
      <c r="DTE1263" s="52"/>
      <c r="DTF1263" s="52"/>
      <c r="DTG1263" s="52"/>
      <c r="DTH1263" s="52"/>
      <c r="DTI1263" s="52"/>
      <c r="DTJ1263" s="52"/>
      <c r="DTK1263" s="52"/>
      <c r="DTL1263" s="52"/>
      <c r="DTM1263" s="52"/>
      <c r="DTN1263" s="52"/>
      <c r="DTO1263" s="52"/>
      <c r="DTP1263" s="52"/>
      <c r="DTQ1263" s="52"/>
      <c r="DTR1263" s="52"/>
      <c r="DTS1263" s="52"/>
      <c r="DTT1263" s="52"/>
      <c r="DTU1263" s="52"/>
      <c r="DTV1263" s="52"/>
      <c r="DTW1263" s="52"/>
      <c r="DTX1263" s="52"/>
      <c r="DTY1263" s="52"/>
      <c r="DTZ1263" s="52"/>
      <c r="DUA1263" s="52"/>
      <c r="DUB1263" s="52"/>
      <c r="DUC1263" s="52"/>
      <c r="DUD1263" s="52"/>
      <c r="DUE1263" s="52"/>
      <c r="DUF1263" s="52"/>
      <c r="DUG1263" s="52"/>
      <c r="DUH1263" s="52"/>
      <c r="DUI1263" s="52"/>
      <c r="DUJ1263" s="52"/>
      <c r="DUK1263" s="52"/>
      <c r="DUL1263" s="52"/>
      <c r="DUM1263" s="52"/>
      <c r="DUN1263" s="52"/>
      <c r="DUO1263" s="52"/>
      <c r="DUP1263" s="52"/>
      <c r="DUQ1263" s="52"/>
      <c r="DUR1263" s="52"/>
      <c r="DUS1263" s="52"/>
      <c r="DUT1263" s="52"/>
      <c r="DUU1263" s="52"/>
      <c r="DUV1263" s="52"/>
      <c r="DUW1263" s="52"/>
      <c r="DUX1263" s="52"/>
      <c r="DUY1263" s="52"/>
      <c r="DUZ1263" s="52"/>
      <c r="DVA1263" s="52"/>
      <c r="DVB1263" s="52"/>
      <c r="DVC1263" s="52"/>
      <c r="DVD1263" s="52"/>
      <c r="DVE1263" s="52"/>
      <c r="DVF1263" s="52"/>
      <c r="DVG1263" s="52"/>
      <c r="DVH1263" s="52"/>
      <c r="DVI1263" s="52"/>
      <c r="DVJ1263" s="52"/>
      <c r="DVK1263" s="52"/>
      <c r="DVL1263" s="52"/>
      <c r="DVM1263" s="52"/>
      <c r="DVN1263" s="52"/>
      <c r="DVO1263" s="52"/>
      <c r="DVP1263" s="52"/>
      <c r="DVQ1263" s="52"/>
      <c r="DVR1263" s="52"/>
      <c r="DVS1263" s="52"/>
      <c r="DVT1263" s="52"/>
      <c r="DVU1263" s="52"/>
      <c r="DVV1263" s="52"/>
      <c r="DVW1263" s="52"/>
      <c r="DVX1263" s="52"/>
      <c r="DVY1263" s="52"/>
      <c r="DVZ1263" s="52"/>
      <c r="DWA1263" s="52"/>
      <c r="DWB1263" s="52"/>
      <c r="DWC1263" s="52"/>
      <c r="DWD1263" s="52"/>
      <c r="DWE1263" s="52"/>
      <c r="DWF1263" s="52"/>
      <c r="DWG1263" s="52"/>
      <c r="DWH1263" s="52"/>
      <c r="DWI1263" s="52"/>
      <c r="DWJ1263" s="52"/>
      <c r="DWK1263" s="52"/>
      <c r="DWL1263" s="52"/>
      <c r="DWM1263" s="52"/>
      <c r="DWN1263" s="52"/>
      <c r="DWO1263" s="52"/>
      <c r="DWP1263" s="52"/>
      <c r="DWQ1263" s="52"/>
      <c r="DWR1263" s="52"/>
      <c r="DWS1263" s="52"/>
      <c r="DWT1263" s="52"/>
      <c r="DWU1263" s="52"/>
      <c r="DWV1263" s="52"/>
      <c r="DWW1263" s="52"/>
      <c r="DWX1263" s="52"/>
      <c r="DWY1263" s="52"/>
      <c r="DWZ1263" s="52"/>
      <c r="DXA1263" s="52"/>
      <c r="DXB1263" s="52"/>
      <c r="DXC1263" s="52"/>
      <c r="DXD1263" s="52"/>
      <c r="DXE1263" s="52"/>
      <c r="DXF1263" s="52"/>
      <c r="DXG1263" s="52"/>
      <c r="DXH1263" s="52"/>
      <c r="DXI1263" s="52"/>
      <c r="DXJ1263" s="52"/>
      <c r="DXK1263" s="52"/>
      <c r="DXL1263" s="52"/>
      <c r="DXM1263" s="52"/>
      <c r="DXN1263" s="52"/>
      <c r="DXO1263" s="52"/>
      <c r="DXP1263" s="52"/>
      <c r="DXQ1263" s="52"/>
      <c r="DXR1263" s="52"/>
      <c r="DXS1263" s="52"/>
      <c r="DXT1263" s="52"/>
      <c r="DXU1263" s="52"/>
      <c r="DXV1263" s="52"/>
      <c r="DXW1263" s="52"/>
      <c r="DXX1263" s="52"/>
      <c r="DXY1263" s="52"/>
      <c r="DXZ1263" s="52"/>
      <c r="DYA1263" s="52"/>
      <c r="DYB1263" s="52"/>
      <c r="DYC1263" s="52"/>
      <c r="DYD1263" s="52"/>
      <c r="DYE1263" s="52"/>
      <c r="DYF1263" s="52"/>
      <c r="DYG1263" s="52"/>
      <c r="DYH1263" s="52"/>
      <c r="DYI1263" s="52"/>
      <c r="DYJ1263" s="52"/>
      <c r="DYK1263" s="52"/>
      <c r="DYL1263" s="52"/>
      <c r="DYM1263" s="52"/>
      <c r="DYN1263" s="52"/>
      <c r="DYO1263" s="52"/>
      <c r="DYP1263" s="52"/>
      <c r="DYQ1263" s="52"/>
      <c r="DYR1263" s="52"/>
      <c r="DYS1263" s="52"/>
      <c r="DYT1263" s="52"/>
      <c r="DYU1263" s="52"/>
      <c r="DYV1263" s="52"/>
      <c r="DYW1263" s="52"/>
      <c r="DYX1263" s="52"/>
      <c r="DYY1263" s="52"/>
      <c r="DYZ1263" s="52"/>
      <c r="DZA1263" s="52"/>
      <c r="DZB1263" s="52"/>
      <c r="DZC1263" s="52"/>
      <c r="DZD1263" s="52"/>
      <c r="DZE1263" s="52"/>
      <c r="DZF1263" s="52"/>
      <c r="DZG1263" s="52"/>
      <c r="DZH1263" s="52"/>
      <c r="DZI1263" s="52"/>
      <c r="DZJ1263" s="52"/>
      <c r="DZK1263" s="52"/>
      <c r="DZL1263" s="52"/>
      <c r="DZM1263" s="52"/>
      <c r="DZN1263" s="52"/>
      <c r="DZO1263" s="52"/>
      <c r="DZP1263" s="52"/>
      <c r="DZQ1263" s="52"/>
      <c r="DZR1263" s="52"/>
      <c r="DZS1263" s="52"/>
      <c r="DZT1263" s="52"/>
      <c r="DZU1263" s="52"/>
      <c r="DZV1263" s="52"/>
      <c r="DZW1263" s="52"/>
      <c r="DZX1263" s="52"/>
      <c r="DZY1263" s="52"/>
      <c r="DZZ1263" s="52"/>
      <c r="EAA1263" s="52"/>
      <c r="EAB1263" s="52"/>
      <c r="EAC1263" s="52"/>
      <c r="EAD1263" s="52"/>
      <c r="EAE1263" s="52"/>
      <c r="EAF1263" s="52"/>
      <c r="EAG1263" s="52"/>
      <c r="EAH1263" s="52"/>
      <c r="EAI1263" s="52"/>
      <c r="EAJ1263" s="52"/>
      <c r="EAK1263" s="52"/>
      <c r="EAL1263" s="52"/>
      <c r="EAM1263" s="52"/>
      <c r="EAN1263" s="52"/>
      <c r="EAO1263" s="52"/>
      <c r="EAP1263" s="52"/>
      <c r="EAQ1263" s="52"/>
      <c r="EAR1263" s="52"/>
      <c r="EAS1263" s="52"/>
      <c r="EAT1263" s="52"/>
      <c r="EAU1263" s="52"/>
      <c r="EAV1263" s="52"/>
      <c r="EAW1263" s="52"/>
      <c r="EAX1263" s="52"/>
      <c r="EAY1263" s="52"/>
      <c r="EAZ1263" s="52"/>
      <c r="EBA1263" s="52"/>
      <c r="EBB1263" s="52"/>
      <c r="EBC1263" s="52"/>
      <c r="EBD1263" s="52"/>
      <c r="EBE1263" s="52"/>
      <c r="EBF1263" s="52"/>
      <c r="EBG1263" s="52"/>
      <c r="EBH1263" s="52"/>
      <c r="EBI1263" s="52"/>
      <c r="EBJ1263" s="52"/>
      <c r="EBK1263" s="52"/>
      <c r="EBL1263" s="52"/>
      <c r="EBM1263" s="52"/>
      <c r="EBN1263" s="52"/>
      <c r="EBO1263" s="52"/>
      <c r="EBP1263" s="52"/>
      <c r="EBQ1263" s="52"/>
      <c r="EBR1263" s="52"/>
      <c r="EBS1263" s="52"/>
      <c r="EBT1263" s="52"/>
      <c r="EBU1263" s="52"/>
      <c r="EBV1263" s="52"/>
      <c r="EBW1263" s="52"/>
      <c r="EBX1263" s="52"/>
      <c r="EBY1263" s="52"/>
      <c r="EBZ1263" s="52"/>
      <c r="ECA1263" s="52"/>
      <c r="ECB1263" s="52"/>
      <c r="ECC1263" s="52"/>
      <c r="ECD1263" s="52"/>
      <c r="ECE1263" s="52"/>
      <c r="ECF1263" s="52"/>
      <c r="ECG1263" s="52"/>
      <c r="ECH1263" s="52"/>
      <c r="ECI1263" s="52"/>
      <c r="ECJ1263" s="52"/>
      <c r="ECK1263" s="52"/>
      <c r="ECL1263" s="52"/>
      <c r="ECM1263" s="52"/>
      <c r="ECN1263" s="52"/>
      <c r="ECO1263" s="52"/>
      <c r="ECP1263" s="52"/>
      <c r="ECQ1263" s="52"/>
      <c r="ECR1263" s="52"/>
      <c r="ECS1263" s="52"/>
      <c r="ECT1263" s="52"/>
      <c r="ECU1263" s="52"/>
      <c r="ECV1263" s="52"/>
      <c r="ECW1263" s="52"/>
      <c r="ECX1263" s="52"/>
      <c r="ECY1263" s="52"/>
      <c r="ECZ1263" s="52"/>
      <c r="EDA1263" s="52"/>
      <c r="EDB1263" s="52"/>
      <c r="EDC1263" s="52"/>
      <c r="EDD1263" s="52"/>
      <c r="EDE1263" s="52"/>
      <c r="EDF1263" s="52"/>
      <c r="EDG1263" s="52"/>
      <c r="EDH1263" s="52"/>
      <c r="EDI1263" s="52"/>
      <c r="EDJ1263" s="52"/>
      <c r="EDK1263" s="52"/>
      <c r="EDL1263" s="52"/>
      <c r="EDM1263" s="52"/>
      <c r="EDN1263" s="52"/>
      <c r="EDO1263" s="52"/>
      <c r="EDP1263" s="52"/>
      <c r="EDQ1263" s="52"/>
      <c r="EDR1263" s="52"/>
      <c r="EDS1263" s="52"/>
      <c r="EDT1263" s="52"/>
      <c r="EDU1263" s="52"/>
      <c r="EDV1263" s="52"/>
      <c r="EDW1263" s="52"/>
      <c r="EDX1263" s="52"/>
      <c r="EDY1263" s="52"/>
      <c r="EDZ1263" s="52"/>
      <c r="EEA1263" s="52"/>
      <c r="EEB1263" s="52"/>
      <c r="EEC1263" s="52"/>
      <c r="EED1263" s="52"/>
      <c r="EEE1263" s="52"/>
      <c r="EEF1263" s="52"/>
      <c r="EEG1263" s="52"/>
      <c r="EEH1263" s="52"/>
      <c r="EEI1263" s="52"/>
      <c r="EEJ1263" s="52"/>
      <c r="EEK1263" s="52"/>
      <c r="EEL1263" s="52"/>
      <c r="EEM1263" s="52"/>
      <c r="EEN1263" s="52"/>
      <c r="EEO1263" s="52"/>
      <c r="EEP1263" s="52"/>
      <c r="EEQ1263" s="52"/>
      <c r="EER1263" s="52"/>
      <c r="EES1263" s="52"/>
      <c r="EET1263" s="52"/>
      <c r="EEU1263" s="52"/>
      <c r="EEV1263" s="52"/>
      <c r="EEW1263" s="52"/>
      <c r="EEX1263" s="52"/>
      <c r="EEY1263" s="52"/>
      <c r="EEZ1263" s="52"/>
      <c r="EFA1263" s="52"/>
      <c r="EFB1263" s="52"/>
      <c r="EFC1263" s="52"/>
      <c r="EFD1263" s="52"/>
      <c r="EFE1263" s="52"/>
      <c r="EFF1263" s="52"/>
      <c r="EFG1263" s="52"/>
      <c r="EFH1263" s="52"/>
      <c r="EFI1263" s="52"/>
      <c r="EFJ1263" s="52"/>
      <c r="EFK1263" s="52"/>
      <c r="EFL1263" s="52"/>
      <c r="EFM1263" s="52"/>
      <c r="EFN1263" s="52"/>
      <c r="EFO1263" s="52"/>
      <c r="EFP1263" s="52"/>
      <c r="EFQ1263" s="52"/>
      <c r="EFR1263" s="52"/>
      <c r="EFS1263" s="52"/>
      <c r="EFT1263" s="52"/>
      <c r="EFU1263" s="52"/>
      <c r="EFV1263" s="52"/>
      <c r="EFW1263" s="52"/>
      <c r="EFX1263" s="52"/>
      <c r="EFY1263" s="52"/>
      <c r="EFZ1263" s="52"/>
      <c r="EGA1263" s="52"/>
      <c r="EGB1263" s="52"/>
      <c r="EGC1263" s="52"/>
      <c r="EGD1263" s="52"/>
      <c r="EGE1263" s="52"/>
      <c r="EGF1263" s="52"/>
      <c r="EGG1263" s="52"/>
      <c r="EGH1263" s="52"/>
      <c r="EGI1263" s="52"/>
      <c r="EGJ1263" s="52"/>
      <c r="EGK1263" s="52"/>
      <c r="EGL1263" s="52"/>
      <c r="EGM1263" s="52"/>
      <c r="EGN1263" s="52"/>
      <c r="EGO1263" s="52"/>
      <c r="EGP1263" s="52"/>
      <c r="EGQ1263" s="52"/>
      <c r="EGR1263" s="52"/>
      <c r="EGS1263" s="52"/>
      <c r="EGT1263" s="52"/>
      <c r="EGU1263" s="52"/>
      <c r="EGV1263" s="52"/>
      <c r="EGW1263" s="52"/>
      <c r="EGX1263" s="52"/>
      <c r="EGY1263" s="52"/>
      <c r="EGZ1263" s="52"/>
      <c r="EHA1263" s="52"/>
      <c r="EHB1263" s="52"/>
      <c r="EHC1263" s="52"/>
      <c r="EHD1263" s="52"/>
      <c r="EHE1263" s="52"/>
      <c r="EHF1263" s="52"/>
      <c r="EHG1263" s="52"/>
      <c r="EHH1263" s="52"/>
      <c r="EHI1263" s="52"/>
      <c r="EHJ1263" s="52"/>
      <c r="EHK1263" s="52"/>
      <c r="EHL1263" s="52"/>
      <c r="EHM1263" s="52"/>
      <c r="EHN1263" s="52"/>
      <c r="EHO1263" s="52"/>
      <c r="EHP1263" s="52"/>
      <c r="EHQ1263" s="52"/>
      <c r="EHR1263" s="52"/>
      <c r="EHS1263" s="52"/>
      <c r="EHT1263" s="52"/>
      <c r="EHU1263" s="52"/>
      <c r="EHV1263" s="52"/>
      <c r="EHW1263" s="52"/>
      <c r="EHX1263" s="52"/>
      <c r="EHY1263" s="52"/>
      <c r="EHZ1263" s="52"/>
      <c r="EIA1263" s="52"/>
      <c r="EIB1263" s="52"/>
      <c r="EIC1263" s="52"/>
      <c r="EID1263" s="52"/>
      <c r="EIE1263" s="52"/>
      <c r="EIF1263" s="52"/>
      <c r="EIG1263" s="52"/>
      <c r="EIH1263" s="52"/>
      <c r="EII1263" s="52"/>
      <c r="EIJ1263" s="52"/>
      <c r="EIK1263" s="52"/>
      <c r="EIL1263" s="52"/>
      <c r="EIM1263" s="52"/>
      <c r="EIN1263" s="52"/>
      <c r="EIO1263" s="52"/>
      <c r="EIP1263" s="52"/>
      <c r="EIQ1263" s="52"/>
      <c r="EIR1263" s="52"/>
      <c r="EIS1263" s="52"/>
      <c r="EIT1263" s="52"/>
      <c r="EIU1263" s="52"/>
      <c r="EIV1263" s="52"/>
      <c r="EIW1263" s="52"/>
      <c r="EIX1263" s="52"/>
      <c r="EIY1263" s="52"/>
      <c r="EIZ1263" s="52"/>
      <c r="EJA1263" s="52"/>
      <c r="EJB1263" s="52"/>
      <c r="EJC1263" s="52"/>
      <c r="EJD1263" s="52"/>
      <c r="EJE1263" s="52"/>
      <c r="EJF1263" s="52"/>
      <c r="EJG1263" s="52"/>
      <c r="EJH1263" s="52"/>
      <c r="EJI1263" s="52"/>
      <c r="EJJ1263" s="52"/>
      <c r="EJK1263" s="52"/>
      <c r="EJL1263" s="52"/>
      <c r="EJM1263" s="52"/>
      <c r="EJN1263" s="52"/>
      <c r="EJO1263" s="52"/>
      <c r="EJP1263" s="52"/>
      <c r="EJQ1263" s="52"/>
      <c r="EJR1263" s="52"/>
      <c r="EJS1263" s="52"/>
      <c r="EJT1263" s="52"/>
      <c r="EJU1263" s="52"/>
      <c r="EJV1263" s="52"/>
      <c r="EJW1263" s="52"/>
      <c r="EJX1263" s="52"/>
      <c r="EJY1263" s="52"/>
      <c r="EJZ1263" s="52"/>
      <c r="EKA1263" s="52"/>
      <c r="EKB1263" s="52"/>
      <c r="EKC1263" s="52"/>
      <c r="EKD1263" s="52"/>
      <c r="EKE1263" s="52"/>
      <c r="EKF1263" s="52"/>
      <c r="EKG1263" s="52"/>
      <c r="EKH1263" s="52"/>
      <c r="EKI1263" s="52"/>
      <c r="EKJ1263" s="52"/>
      <c r="EKK1263" s="52"/>
      <c r="EKL1263" s="52"/>
      <c r="EKM1263" s="52"/>
      <c r="EKN1263" s="52"/>
      <c r="EKO1263" s="52"/>
      <c r="EKP1263" s="52"/>
      <c r="EKQ1263" s="52"/>
      <c r="EKR1263" s="52"/>
      <c r="EKS1263" s="52"/>
      <c r="EKT1263" s="52"/>
      <c r="EKU1263" s="52"/>
      <c r="EKV1263" s="52"/>
      <c r="EKW1263" s="52"/>
      <c r="EKX1263" s="52"/>
      <c r="EKY1263" s="52"/>
      <c r="EKZ1263" s="52"/>
      <c r="ELA1263" s="52"/>
      <c r="ELB1263" s="52"/>
      <c r="ELC1263" s="52"/>
      <c r="ELD1263" s="52"/>
      <c r="ELE1263" s="52"/>
      <c r="ELF1263" s="52"/>
      <c r="ELG1263" s="52"/>
      <c r="ELH1263" s="52"/>
      <c r="ELI1263" s="52"/>
      <c r="ELJ1263" s="52"/>
      <c r="ELK1263" s="52"/>
      <c r="ELL1263" s="52"/>
      <c r="ELM1263" s="52"/>
      <c r="ELN1263" s="52"/>
      <c r="ELO1263" s="52"/>
      <c r="ELP1263" s="52"/>
      <c r="ELQ1263" s="52"/>
      <c r="ELR1263" s="52"/>
      <c r="ELS1263" s="52"/>
      <c r="ELT1263" s="52"/>
      <c r="ELU1263" s="52"/>
      <c r="ELV1263" s="52"/>
      <c r="ELW1263" s="52"/>
      <c r="ELX1263" s="52"/>
      <c r="ELY1263" s="52"/>
      <c r="ELZ1263" s="52"/>
      <c r="EMA1263" s="52"/>
      <c r="EMB1263" s="52"/>
      <c r="EMC1263" s="52"/>
      <c r="EMD1263" s="52"/>
      <c r="EME1263" s="52"/>
      <c r="EMF1263" s="52"/>
      <c r="EMG1263" s="52"/>
      <c r="EMH1263" s="52"/>
      <c r="EMI1263" s="52"/>
      <c r="EMJ1263" s="52"/>
      <c r="EMK1263" s="52"/>
      <c r="EML1263" s="52"/>
      <c r="EMM1263" s="52"/>
      <c r="EMN1263" s="52"/>
      <c r="EMO1263" s="52"/>
      <c r="EMP1263" s="52"/>
      <c r="EMQ1263" s="52"/>
      <c r="EMR1263" s="52"/>
      <c r="EMS1263" s="52"/>
      <c r="EMT1263" s="52"/>
      <c r="EMU1263" s="52"/>
      <c r="EMV1263" s="52"/>
      <c r="EMW1263" s="52"/>
      <c r="EMX1263" s="52"/>
      <c r="EMY1263" s="52"/>
      <c r="EMZ1263" s="52"/>
      <c r="ENA1263" s="52"/>
      <c r="ENB1263" s="52"/>
      <c r="ENC1263" s="52"/>
      <c r="END1263" s="52"/>
      <c r="ENE1263" s="52"/>
      <c r="ENF1263" s="52"/>
      <c r="ENG1263" s="52"/>
      <c r="ENH1263" s="52"/>
      <c r="ENI1263" s="52"/>
      <c r="ENJ1263" s="52"/>
      <c r="ENK1263" s="52"/>
      <c r="ENL1263" s="52"/>
      <c r="ENM1263" s="52"/>
      <c r="ENN1263" s="52"/>
      <c r="ENO1263" s="52"/>
      <c r="ENP1263" s="52"/>
      <c r="ENQ1263" s="52"/>
      <c r="ENR1263" s="52"/>
      <c r="ENS1263" s="52"/>
      <c r="ENT1263" s="52"/>
      <c r="ENU1263" s="52"/>
      <c r="ENV1263" s="52"/>
      <c r="ENW1263" s="52"/>
      <c r="ENX1263" s="52"/>
      <c r="ENY1263" s="52"/>
      <c r="ENZ1263" s="52"/>
      <c r="EOA1263" s="52"/>
      <c r="EOB1263" s="52"/>
      <c r="EOC1263" s="52"/>
      <c r="EOD1263" s="52"/>
      <c r="EOE1263" s="52"/>
      <c r="EOF1263" s="52"/>
      <c r="EOG1263" s="52"/>
      <c r="EOH1263" s="52"/>
      <c r="EOI1263" s="52"/>
      <c r="EOJ1263" s="52"/>
      <c r="EOK1263" s="52"/>
      <c r="EOL1263" s="52"/>
      <c r="EOM1263" s="52"/>
      <c r="EON1263" s="52"/>
      <c r="EOO1263" s="52"/>
      <c r="EOP1263" s="52"/>
      <c r="EOQ1263" s="52"/>
      <c r="EOR1263" s="52"/>
      <c r="EOS1263" s="52"/>
      <c r="EOT1263" s="52"/>
      <c r="EOU1263" s="52"/>
      <c r="EOV1263" s="52"/>
      <c r="EOW1263" s="52"/>
      <c r="EOX1263" s="52"/>
      <c r="EOY1263" s="52"/>
      <c r="EOZ1263" s="52"/>
      <c r="EPA1263" s="52"/>
      <c r="EPB1263" s="52"/>
      <c r="EPC1263" s="52"/>
      <c r="EPD1263" s="52"/>
      <c r="EPE1263" s="52"/>
      <c r="EPF1263" s="52"/>
      <c r="EPG1263" s="52"/>
      <c r="EPH1263" s="52"/>
      <c r="EPI1263" s="52"/>
      <c r="EPJ1263" s="52"/>
      <c r="EPK1263" s="52"/>
      <c r="EPL1263" s="52"/>
      <c r="EPM1263" s="52"/>
      <c r="EPN1263" s="52"/>
      <c r="EPO1263" s="52"/>
      <c r="EPP1263" s="52"/>
      <c r="EPQ1263" s="52"/>
      <c r="EPR1263" s="52"/>
      <c r="EPS1263" s="52"/>
      <c r="EPT1263" s="52"/>
      <c r="EPU1263" s="52"/>
      <c r="EPV1263" s="52"/>
      <c r="EPW1263" s="52"/>
      <c r="EPX1263" s="52"/>
      <c r="EPY1263" s="52"/>
      <c r="EPZ1263" s="52"/>
      <c r="EQA1263" s="52"/>
      <c r="EQB1263" s="52"/>
      <c r="EQC1263" s="52"/>
      <c r="EQD1263" s="52"/>
      <c r="EQE1263" s="52"/>
      <c r="EQF1263" s="52"/>
      <c r="EQG1263" s="52"/>
      <c r="EQH1263" s="52"/>
      <c r="EQI1263" s="52"/>
      <c r="EQJ1263" s="52"/>
      <c r="EQK1263" s="52"/>
      <c r="EQL1263" s="52"/>
      <c r="EQM1263" s="52"/>
      <c r="EQN1263" s="52"/>
      <c r="EQO1263" s="52"/>
      <c r="EQP1263" s="52"/>
      <c r="EQQ1263" s="52"/>
      <c r="EQR1263" s="52"/>
      <c r="EQS1263" s="52"/>
      <c r="EQT1263" s="52"/>
      <c r="EQU1263" s="52"/>
      <c r="EQV1263" s="52"/>
      <c r="EQW1263" s="52"/>
      <c r="EQX1263" s="52"/>
      <c r="EQY1263" s="52"/>
      <c r="EQZ1263" s="52"/>
      <c r="ERA1263" s="52"/>
      <c r="ERB1263" s="52"/>
      <c r="ERC1263" s="52"/>
      <c r="ERD1263" s="52"/>
      <c r="ERE1263" s="52"/>
      <c r="ERF1263" s="52"/>
      <c r="ERG1263" s="52"/>
      <c r="ERH1263" s="52"/>
      <c r="ERI1263" s="52"/>
      <c r="ERJ1263" s="52"/>
      <c r="ERK1263" s="52"/>
      <c r="ERL1263" s="52"/>
      <c r="ERM1263" s="52"/>
      <c r="ERN1263" s="52"/>
      <c r="ERO1263" s="52"/>
      <c r="ERP1263" s="52"/>
      <c r="ERQ1263" s="52"/>
      <c r="ERR1263" s="52"/>
      <c r="ERS1263" s="52"/>
      <c r="ERT1263" s="52"/>
      <c r="ERU1263" s="52"/>
      <c r="ERV1263" s="52"/>
      <c r="ERW1263" s="52"/>
      <c r="ERX1263" s="52"/>
      <c r="ERY1263" s="52"/>
      <c r="ERZ1263" s="52"/>
      <c r="ESA1263" s="52"/>
      <c r="ESB1263" s="52"/>
      <c r="ESC1263" s="52"/>
      <c r="ESD1263" s="52"/>
      <c r="ESE1263" s="52"/>
      <c r="ESF1263" s="52"/>
      <c r="ESG1263" s="52"/>
      <c r="ESH1263" s="52"/>
      <c r="ESI1263" s="52"/>
      <c r="ESJ1263" s="52"/>
      <c r="ESK1263" s="52"/>
      <c r="ESL1263" s="52"/>
      <c r="ESM1263" s="52"/>
      <c r="ESN1263" s="52"/>
      <c r="ESO1263" s="52"/>
      <c r="ESP1263" s="52"/>
      <c r="ESQ1263" s="52"/>
      <c r="ESR1263" s="52"/>
      <c r="ESS1263" s="52"/>
      <c r="EST1263" s="52"/>
      <c r="ESU1263" s="52"/>
      <c r="ESV1263" s="52"/>
      <c r="ESW1263" s="52"/>
      <c r="ESX1263" s="52"/>
      <c r="ESY1263" s="52"/>
      <c r="ESZ1263" s="52"/>
      <c r="ETA1263" s="52"/>
      <c r="ETB1263" s="52"/>
      <c r="ETC1263" s="52"/>
      <c r="ETD1263" s="52"/>
      <c r="ETE1263" s="52"/>
      <c r="ETF1263" s="52"/>
      <c r="ETG1263" s="52"/>
      <c r="ETH1263" s="52"/>
      <c r="ETI1263" s="52"/>
      <c r="ETJ1263" s="52"/>
      <c r="ETK1263" s="52"/>
      <c r="ETL1263" s="52"/>
      <c r="ETM1263" s="52"/>
      <c r="ETN1263" s="52"/>
      <c r="ETO1263" s="52"/>
      <c r="ETP1263" s="52"/>
      <c r="ETQ1263" s="52"/>
      <c r="ETR1263" s="52"/>
      <c r="ETS1263" s="52"/>
      <c r="ETT1263" s="52"/>
      <c r="ETU1263" s="52"/>
      <c r="ETV1263" s="52"/>
      <c r="ETW1263" s="52"/>
      <c r="ETX1263" s="52"/>
      <c r="ETY1263" s="52"/>
      <c r="ETZ1263" s="52"/>
      <c r="EUA1263" s="52"/>
      <c r="EUB1263" s="52"/>
      <c r="EUC1263" s="52"/>
      <c r="EUD1263" s="52"/>
      <c r="EUE1263" s="52"/>
      <c r="EUF1263" s="52"/>
      <c r="EUG1263" s="52"/>
      <c r="EUH1263" s="52"/>
      <c r="EUI1263" s="52"/>
      <c r="EUJ1263" s="52"/>
      <c r="EUK1263" s="52"/>
      <c r="EUL1263" s="52"/>
      <c r="EUM1263" s="52"/>
      <c r="EUN1263" s="52"/>
      <c r="EUO1263" s="52"/>
      <c r="EUP1263" s="52"/>
      <c r="EUQ1263" s="52"/>
      <c r="EUR1263" s="52"/>
      <c r="EUS1263" s="52"/>
      <c r="EUT1263" s="52"/>
      <c r="EUU1263" s="52"/>
      <c r="EUV1263" s="52"/>
      <c r="EUW1263" s="52"/>
      <c r="EUX1263" s="52"/>
      <c r="EUY1263" s="52"/>
      <c r="EUZ1263" s="52"/>
      <c r="EVA1263" s="52"/>
      <c r="EVB1263" s="52"/>
      <c r="EVC1263" s="52"/>
      <c r="EVD1263" s="52"/>
      <c r="EVE1263" s="52"/>
      <c r="EVF1263" s="52"/>
      <c r="EVG1263" s="52"/>
      <c r="EVH1263" s="52"/>
      <c r="EVI1263" s="52"/>
      <c r="EVJ1263" s="52"/>
      <c r="EVK1263" s="52"/>
      <c r="EVL1263" s="52"/>
      <c r="EVM1263" s="52"/>
      <c r="EVN1263" s="52"/>
      <c r="EVO1263" s="52"/>
      <c r="EVP1263" s="52"/>
      <c r="EVQ1263" s="52"/>
      <c r="EVR1263" s="52"/>
      <c r="EVS1263" s="52"/>
      <c r="EVT1263" s="52"/>
      <c r="EVU1263" s="52"/>
      <c r="EVV1263" s="52"/>
      <c r="EVW1263" s="52"/>
      <c r="EVX1263" s="52"/>
      <c r="EVY1263" s="52"/>
      <c r="EVZ1263" s="52"/>
      <c r="EWA1263" s="52"/>
      <c r="EWB1263" s="52"/>
      <c r="EWC1263" s="52"/>
      <c r="EWD1263" s="52"/>
      <c r="EWE1263" s="52"/>
      <c r="EWF1263" s="52"/>
      <c r="EWG1263" s="52"/>
      <c r="EWH1263" s="52"/>
      <c r="EWI1263" s="52"/>
      <c r="EWJ1263" s="52"/>
      <c r="EWK1263" s="52"/>
      <c r="EWL1263" s="52"/>
      <c r="EWM1263" s="52"/>
      <c r="EWN1263" s="52"/>
      <c r="EWO1263" s="52"/>
      <c r="EWP1263" s="52"/>
      <c r="EWQ1263" s="52"/>
      <c r="EWR1263" s="52"/>
      <c r="EWS1263" s="52"/>
      <c r="EWT1263" s="52"/>
      <c r="EWU1263" s="52"/>
      <c r="EWV1263" s="52"/>
      <c r="EWW1263" s="52"/>
      <c r="EWX1263" s="52"/>
      <c r="EWY1263" s="52"/>
      <c r="EWZ1263" s="52"/>
      <c r="EXA1263" s="52"/>
      <c r="EXB1263" s="52"/>
      <c r="EXC1263" s="52"/>
      <c r="EXD1263" s="52"/>
      <c r="EXE1263" s="52"/>
      <c r="EXF1263" s="52"/>
      <c r="EXG1263" s="52"/>
      <c r="EXH1263" s="52"/>
      <c r="EXI1263" s="52"/>
      <c r="EXJ1263" s="52"/>
      <c r="EXK1263" s="52"/>
      <c r="EXL1263" s="52"/>
      <c r="EXM1263" s="52"/>
      <c r="EXN1263" s="52"/>
      <c r="EXO1263" s="52"/>
      <c r="EXP1263" s="52"/>
      <c r="EXQ1263" s="52"/>
      <c r="EXR1263" s="52"/>
      <c r="EXS1263" s="52"/>
      <c r="EXT1263" s="52"/>
      <c r="EXU1263" s="52"/>
      <c r="EXV1263" s="52"/>
      <c r="EXW1263" s="52"/>
      <c r="EXX1263" s="52"/>
      <c r="EXY1263" s="52"/>
      <c r="EXZ1263" s="52"/>
      <c r="EYA1263" s="52"/>
      <c r="EYB1263" s="52"/>
      <c r="EYC1263" s="52"/>
      <c r="EYD1263" s="52"/>
      <c r="EYE1263" s="52"/>
      <c r="EYF1263" s="52"/>
      <c r="EYG1263" s="52"/>
      <c r="EYH1263" s="52"/>
      <c r="EYI1263" s="52"/>
      <c r="EYJ1263" s="52"/>
      <c r="EYK1263" s="52"/>
      <c r="EYL1263" s="52"/>
      <c r="EYM1263" s="52"/>
      <c r="EYN1263" s="52"/>
      <c r="EYO1263" s="52"/>
      <c r="EYP1263" s="52"/>
      <c r="EYQ1263" s="52"/>
      <c r="EYR1263" s="52"/>
      <c r="EYS1263" s="52"/>
      <c r="EYT1263" s="52"/>
      <c r="EYU1263" s="52"/>
      <c r="EYV1263" s="52"/>
      <c r="EYW1263" s="52"/>
      <c r="EYX1263" s="52"/>
      <c r="EYY1263" s="52"/>
      <c r="EYZ1263" s="52"/>
      <c r="EZA1263" s="52"/>
      <c r="EZB1263" s="52"/>
      <c r="EZC1263" s="52"/>
      <c r="EZD1263" s="52"/>
      <c r="EZE1263" s="52"/>
      <c r="EZF1263" s="52"/>
      <c r="EZG1263" s="52"/>
      <c r="EZH1263" s="52"/>
      <c r="EZI1263" s="52"/>
      <c r="EZJ1263" s="52"/>
      <c r="EZK1263" s="52"/>
      <c r="EZL1263" s="52"/>
      <c r="EZM1263" s="52"/>
      <c r="EZN1263" s="52"/>
      <c r="EZO1263" s="52"/>
      <c r="EZP1263" s="52"/>
      <c r="EZQ1263" s="52"/>
      <c r="EZR1263" s="52"/>
      <c r="EZS1263" s="52"/>
      <c r="EZT1263" s="52"/>
      <c r="EZU1263" s="52"/>
      <c r="EZV1263" s="52"/>
      <c r="EZW1263" s="52"/>
      <c r="EZX1263" s="52"/>
      <c r="EZY1263" s="52"/>
      <c r="EZZ1263" s="52"/>
      <c r="FAA1263" s="52"/>
      <c r="FAB1263" s="52"/>
      <c r="FAC1263" s="52"/>
      <c r="FAD1263" s="52"/>
      <c r="FAE1263" s="52"/>
      <c r="FAF1263" s="52"/>
      <c r="FAG1263" s="52"/>
      <c r="FAH1263" s="52"/>
      <c r="FAI1263" s="52"/>
      <c r="FAJ1263" s="52"/>
      <c r="FAK1263" s="52"/>
      <c r="FAL1263" s="52"/>
      <c r="FAM1263" s="52"/>
      <c r="FAN1263" s="52"/>
      <c r="FAO1263" s="52"/>
      <c r="FAP1263" s="52"/>
      <c r="FAQ1263" s="52"/>
      <c r="FAR1263" s="52"/>
      <c r="FAS1263" s="52"/>
      <c r="FAT1263" s="52"/>
      <c r="FAU1263" s="52"/>
      <c r="FAV1263" s="52"/>
      <c r="FAW1263" s="52"/>
      <c r="FAX1263" s="52"/>
      <c r="FAY1263" s="52"/>
      <c r="FAZ1263" s="52"/>
      <c r="FBA1263" s="52"/>
      <c r="FBB1263" s="52"/>
      <c r="FBC1263" s="52"/>
      <c r="FBD1263" s="52"/>
      <c r="FBE1263" s="52"/>
      <c r="FBF1263" s="52"/>
      <c r="FBG1263" s="52"/>
      <c r="FBH1263" s="52"/>
      <c r="FBI1263" s="52"/>
      <c r="FBJ1263" s="52"/>
      <c r="FBK1263" s="52"/>
      <c r="FBL1263" s="52"/>
      <c r="FBM1263" s="52"/>
      <c r="FBN1263" s="52"/>
      <c r="FBO1263" s="52"/>
      <c r="FBP1263" s="52"/>
      <c r="FBQ1263" s="52"/>
      <c r="FBR1263" s="52"/>
      <c r="FBS1263" s="52"/>
      <c r="FBT1263" s="52"/>
      <c r="FBU1263" s="52"/>
      <c r="FBV1263" s="52"/>
      <c r="FBW1263" s="52"/>
      <c r="FBX1263" s="52"/>
      <c r="FBY1263" s="52"/>
      <c r="FBZ1263" s="52"/>
      <c r="FCA1263" s="52"/>
      <c r="FCB1263" s="52"/>
      <c r="FCC1263" s="52"/>
      <c r="FCD1263" s="52"/>
      <c r="FCE1263" s="52"/>
      <c r="FCF1263" s="52"/>
      <c r="FCG1263" s="52"/>
      <c r="FCH1263" s="52"/>
      <c r="FCI1263" s="52"/>
      <c r="FCJ1263" s="52"/>
      <c r="FCK1263" s="52"/>
      <c r="FCL1263" s="52"/>
      <c r="FCM1263" s="52"/>
      <c r="FCN1263" s="52"/>
      <c r="FCO1263" s="52"/>
      <c r="FCP1263" s="52"/>
      <c r="FCQ1263" s="52"/>
      <c r="FCR1263" s="52"/>
      <c r="FCS1263" s="52"/>
      <c r="FCT1263" s="52"/>
      <c r="FCU1263" s="52"/>
      <c r="FCV1263" s="52"/>
      <c r="FCW1263" s="52"/>
      <c r="FCX1263" s="52"/>
      <c r="FCY1263" s="52"/>
      <c r="FCZ1263" s="52"/>
      <c r="FDA1263" s="52"/>
      <c r="FDB1263" s="52"/>
      <c r="FDC1263" s="52"/>
      <c r="FDD1263" s="52"/>
      <c r="FDE1263" s="52"/>
      <c r="FDF1263" s="52"/>
      <c r="FDG1263" s="52"/>
      <c r="FDH1263" s="52"/>
      <c r="FDI1263" s="52"/>
      <c r="FDJ1263" s="52"/>
      <c r="FDK1263" s="52"/>
      <c r="FDL1263" s="52"/>
      <c r="FDM1263" s="52"/>
      <c r="FDN1263" s="52"/>
      <c r="FDO1263" s="52"/>
      <c r="FDP1263" s="52"/>
      <c r="FDQ1263" s="52"/>
      <c r="FDR1263" s="52"/>
      <c r="FDS1263" s="52"/>
      <c r="FDT1263" s="52"/>
      <c r="FDU1263" s="52"/>
      <c r="FDV1263" s="52"/>
      <c r="FDW1263" s="52"/>
      <c r="FDX1263" s="52"/>
      <c r="FDY1263" s="52"/>
      <c r="FDZ1263" s="52"/>
      <c r="FEA1263" s="52"/>
      <c r="FEB1263" s="52"/>
      <c r="FEC1263" s="52"/>
      <c r="FED1263" s="52"/>
      <c r="FEE1263" s="52"/>
      <c r="FEF1263" s="52"/>
      <c r="FEG1263" s="52"/>
      <c r="FEH1263" s="52"/>
      <c r="FEI1263" s="52"/>
      <c r="FEJ1263" s="52"/>
      <c r="FEK1263" s="52"/>
      <c r="FEL1263" s="52"/>
      <c r="FEM1263" s="52"/>
      <c r="FEN1263" s="52"/>
      <c r="FEO1263" s="52"/>
      <c r="FEP1263" s="52"/>
      <c r="FEQ1263" s="52"/>
      <c r="FER1263" s="52"/>
      <c r="FES1263" s="52"/>
      <c r="FET1263" s="52"/>
      <c r="FEU1263" s="52"/>
      <c r="FEV1263" s="52"/>
      <c r="FEW1263" s="52"/>
      <c r="FEX1263" s="52"/>
      <c r="FEY1263" s="52"/>
      <c r="FEZ1263" s="52"/>
      <c r="FFA1263" s="52"/>
      <c r="FFB1263" s="52"/>
      <c r="FFC1263" s="52"/>
      <c r="FFD1263" s="52"/>
      <c r="FFE1263" s="52"/>
      <c r="FFF1263" s="52"/>
      <c r="FFG1263" s="52"/>
      <c r="FFH1263" s="52"/>
      <c r="FFI1263" s="52"/>
      <c r="FFJ1263" s="52"/>
      <c r="FFK1263" s="52"/>
      <c r="FFL1263" s="52"/>
      <c r="FFM1263" s="52"/>
      <c r="FFN1263" s="52"/>
      <c r="FFO1263" s="52"/>
      <c r="FFP1263" s="52"/>
      <c r="FFQ1263" s="52"/>
      <c r="FFR1263" s="52"/>
      <c r="FFS1263" s="52"/>
      <c r="FFT1263" s="52"/>
      <c r="FFU1263" s="52"/>
      <c r="FFV1263" s="52"/>
      <c r="FFW1263" s="52"/>
      <c r="FFX1263" s="52"/>
      <c r="FFY1263" s="52"/>
      <c r="FFZ1263" s="52"/>
      <c r="FGA1263" s="52"/>
      <c r="FGB1263" s="52"/>
      <c r="FGC1263" s="52"/>
      <c r="FGD1263" s="52"/>
      <c r="FGE1263" s="52"/>
      <c r="FGF1263" s="52"/>
      <c r="FGG1263" s="52"/>
      <c r="FGH1263" s="52"/>
      <c r="FGI1263" s="52"/>
      <c r="FGJ1263" s="52"/>
      <c r="FGK1263" s="52"/>
      <c r="FGL1263" s="52"/>
      <c r="FGM1263" s="52"/>
      <c r="FGN1263" s="52"/>
      <c r="FGO1263" s="52"/>
      <c r="FGP1263" s="52"/>
      <c r="FGQ1263" s="52"/>
      <c r="FGR1263" s="52"/>
      <c r="FGS1263" s="52"/>
      <c r="FGT1263" s="52"/>
      <c r="FGU1263" s="52"/>
      <c r="FGV1263" s="52"/>
      <c r="FGW1263" s="52"/>
      <c r="FGX1263" s="52"/>
      <c r="FGY1263" s="52"/>
      <c r="FGZ1263" s="52"/>
      <c r="FHA1263" s="52"/>
      <c r="FHB1263" s="52"/>
      <c r="FHC1263" s="52"/>
      <c r="FHD1263" s="52"/>
      <c r="FHE1263" s="52"/>
      <c r="FHF1263" s="52"/>
      <c r="FHG1263" s="52"/>
      <c r="FHH1263" s="52"/>
      <c r="FHI1263" s="52"/>
      <c r="FHJ1263" s="52"/>
      <c r="FHK1263" s="52"/>
      <c r="FHL1263" s="52"/>
      <c r="FHM1263" s="52"/>
      <c r="FHN1263" s="52"/>
      <c r="FHO1263" s="52"/>
      <c r="FHP1263" s="52"/>
      <c r="FHQ1263" s="52"/>
      <c r="FHR1263" s="52"/>
      <c r="FHS1263" s="52"/>
      <c r="FHT1263" s="52"/>
      <c r="FHU1263" s="52"/>
      <c r="FHV1263" s="52"/>
      <c r="FHW1263" s="52"/>
      <c r="FHX1263" s="52"/>
      <c r="FHY1263" s="52"/>
      <c r="FHZ1263" s="52"/>
      <c r="FIA1263" s="52"/>
      <c r="FIB1263" s="52"/>
      <c r="FIC1263" s="52"/>
      <c r="FID1263" s="52"/>
      <c r="FIE1263" s="52"/>
      <c r="FIF1263" s="52"/>
      <c r="FIG1263" s="52"/>
      <c r="FIH1263" s="52"/>
      <c r="FII1263" s="52"/>
      <c r="FIJ1263" s="52"/>
      <c r="FIK1263" s="52"/>
      <c r="FIL1263" s="52"/>
      <c r="FIM1263" s="52"/>
      <c r="FIN1263" s="52"/>
      <c r="FIO1263" s="52"/>
      <c r="FIP1263" s="52"/>
      <c r="FIQ1263" s="52"/>
      <c r="FIR1263" s="52"/>
      <c r="FIS1263" s="52"/>
      <c r="FIT1263" s="52"/>
      <c r="FIU1263" s="52"/>
      <c r="FIV1263" s="52"/>
      <c r="FIW1263" s="52"/>
      <c r="FIX1263" s="52"/>
      <c r="FIY1263" s="52"/>
      <c r="FIZ1263" s="52"/>
      <c r="FJA1263" s="52"/>
      <c r="FJB1263" s="52"/>
      <c r="FJC1263" s="52"/>
      <c r="FJD1263" s="52"/>
      <c r="FJE1263" s="52"/>
      <c r="FJF1263" s="52"/>
      <c r="FJG1263" s="52"/>
      <c r="FJH1263" s="52"/>
      <c r="FJI1263" s="52"/>
      <c r="FJJ1263" s="52"/>
      <c r="FJK1263" s="52"/>
      <c r="FJL1263" s="52"/>
      <c r="FJM1263" s="52"/>
      <c r="FJN1263" s="52"/>
      <c r="FJO1263" s="52"/>
      <c r="FJP1263" s="52"/>
      <c r="FJQ1263" s="52"/>
      <c r="FJR1263" s="52"/>
      <c r="FJS1263" s="52"/>
      <c r="FJT1263" s="52"/>
      <c r="FJU1263" s="52"/>
      <c r="FJV1263" s="52"/>
      <c r="FJW1263" s="52"/>
      <c r="FJX1263" s="52"/>
      <c r="FJY1263" s="52"/>
      <c r="FJZ1263" s="52"/>
      <c r="FKA1263" s="52"/>
      <c r="FKB1263" s="52"/>
      <c r="FKC1263" s="52"/>
      <c r="FKD1263" s="52"/>
      <c r="FKE1263" s="52"/>
      <c r="FKF1263" s="52"/>
      <c r="FKG1263" s="52"/>
      <c r="FKH1263" s="52"/>
      <c r="FKI1263" s="52"/>
      <c r="FKJ1263" s="52"/>
      <c r="FKK1263" s="52"/>
      <c r="FKL1263" s="52"/>
      <c r="FKM1263" s="52"/>
      <c r="FKN1263" s="52"/>
      <c r="FKO1263" s="52"/>
      <c r="FKP1263" s="52"/>
      <c r="FKQ1263" s="52"/>
      <c r="FKR1263" s="52"/>
      <c r="FKS1263" s="52"/>
      <c r="FKT1263" s="52"/>
      <c r="FKU1263" s="52"/>
      <c r="FKV1263" s="52"/>
      <c r="FKW1263" s="52"/>
      <c r="FKX1263" s="52"/>
      <c r="FKY1263" s="52"/>
      <c r="FKZ1263" s="52"/>
      <c r="FLA1263" s="52"/>
      <c r="FLB1263" s="52"/>
      <c r="FLC1263" s="52"/>
      <c r="FLD1263" s="52"/>
      <c r="FLE1263" s="52"/>
      <c r="FLF1263" s="52"/>
      <c r="FLG1263" s="52"/>
      <c r="FLH1263" s="52"/>
      <c r="FLI1263" s="52"/>
      <c r="FLJ1263" s="52"/>
      <c r="FLK1263" s="52"/>
      <c r="FLL1263" s="52"/>
      <c r="FLM1263" s="52"/>
      <c r="FLN1263" s="52"/>
      <c r="FLO1263" s="52"/>
      <c r="FLP1263" s="52"/>
      <c r="FLQ1263" s="52"/>
      <c r="FLR1263" s="52"/>
      <c r="FLS1263" s="52"/>
      <c r="FLT1263" s="52"/>
      <c r="FLU1263" s="52"/>
      <c r="FLV1263" s="52"/>
      <c r="FLW1263" s="52"/>
      <c r="FLX1263" s="52"/>
      <c r="FLY1263" s="52"/>
      <c r="FLZ1263" s="52"/>
      <c r="FMA1263" s="52"/>
      <c r="FMB1263" s="52"/>
      <c r="FMC1263" s="52"/>
      <c r="FMD1263" s="52"/>
      <c r="FME1263" s="52"/>
      <c r="FMF1263" s="52"/>
      <c r="FMG1263" s="52"/>
      <c r="FMH1263" s="52"/>
      <c r="FMI1263" s="52"/>
      <c r="FMJ1263" s="52"/>
      <c r="FMK1263" s="52"/>
      <c r="FML1263" s="52"/>
      <c r="FMM1263" s="52"/>
      <c r="FMN1263" s="52"/>
      <c r="FMO1263" s="52"/>
      <c r="FMP1263" s="52"/>
      <c r="FMQ1263" s="52"/>
      <c r="FMR1263" s="52"/>
      <c r="FMS1263" s="52"/>
      <c r="FMT1263" s="52"/>
      <c r="FMU1263" s="52"/>
      <c r="FMV1263" s="52"/>
      <c r="FMW1263" s="52"/>
      <c r="FMX1263" s="52"/>
      <c r="FMY1263" s="52"/>
      <c r="FMZ1263" s="52"/>
      <c r="FNA1263" s="52"/>
      <c r="FNB1263" s="52"/>
      <c r="FNC1263" s="52"/>
      <c r="FND1263" s="52"/>
      <c r="FNE1263" s="52"/>
      <c r="FNF1263" s="52"/>
      <c r="FNG1263" s="52"/>
      <c r="FNH1263" s="52"/>
      <c r="FNI1263" s="52"/>
      <c r="FNJ1263" s="52"/>
      <c r="FNK1263" s="52"/>
      <c r="FNL1263" s="52"/>
      <c r="FNM1263" s="52"/>
      <c r="FNN1263" s="52"/>
      <c r="FNO1263" s="52"/>
      <c r="FNP1263" s="52"/>
      <c r="FNQ1263" s="52"/>
      <c r="FNR1263" s="52"/>
      <c r="FNS1263" s="52"/>
      <c r="FNT1263" s="52"/>
      <c r="FNU1263" s="52"/>
      <c r="FNV1263" s="52"/>
      <c r="FNW1263" s="52"/>
      <c r="FNX1263" s="52"/>
      <c r="FNY1263" s="52"/>
      <c r="FNZ1263" s="52"/>
      <c r="FOA1263" s="52"/>
      <c r="FOB1263" s="52"/>
      <c r="FOC1263" s="52"/>
      <c r="FOD1263" s="52"/>
      <c r="FOE1263" s="52"/>
      <c r="FOF1263" s="52"/>
      <c r="FOG1263" s="52"/>
      <c r="FOH1263" s="52"/>
      <c r="FOI1263" s="52"/>
      <c r="FOJ1263" s="52"/>
      <c r="FOK1263" s="52"/>
      <c r="FOL1263" s="52"/>
      <c r="FOM1263" s="52"/>
      <c r="FON1263" s="52"/>
      <c r="FOO1263" s="52"/>
      <c r="FOP1263" s="52"/>
      <c r="FOQ1263" s="52"/>
      <c r="FOR1263" s="52"/>
      <c r="FOS1263" s="52"/>
      <c r="FOT1263" s="52"/>
      <c r="FOU1263" s="52"/>
      <c r="FOV1263" s="52"/>
      <c r="FOW1263" s="52"/>
      <c r="FOX1263" s="52"/>
      <c r="FOY1263" s="52"/>
      <c r="FOZ1263" s="52"/>
      <c r="FPA1263" s="52"/>
      <c r="FPB1263" s="52"/>
      <c r="FPC1263" s="52"/>
      <c r="FPD1263" s="52"/>
      <c r="FPE1263" s="52"/>
      <c r="FPF1263" s="52"/>
      <c r="FPG1263" s="52"/>
      <c r="FPH1263" s="52"/>
      <c r="FPI1263" s="52"/>
      <c r="FPJ1263" s="52"/>
      <c r="FPK1263" s="52"/>
      <c r="FPL1263" s="52"/>
      <c r="FPM1263" s="52"/>
      <c r="FPN1263" s="52"/>
      <c r="FPO1263" s="52"/>
      <c r="FPP1263" s="52"/>
      <c r="FPQ1263" s="52"/>
      <c r="FPR1263" s="52"/>
      <c r="FPS1263" s="52"/>
      <c r="FPT1263" s="52"/>
      <c r="FPU1263" s="52"/>
      <c r="FPV1263" s="52"/>
      <c r="FPW1263" s="52"/>
      <c r="FPX1263" s="52"/>
      <c r="FPY1263" s="52"/>
      <c r="FPZ1263" s="52"/>
      <c r="FQA1263" s="52"/>
      <c r="FQB1263" s="52"/>
      <c r="FQC1263" s="52"/>
      <c r="FQD1263" s="52"/>
      <c r="FQE1263" s="52"/>
      <c r="FQF1263" s="52"/>
      <c r="FQG1263" s="52"/>
      <c r="FQH1263" s="52"/>
      <c r="FQI1263" s="52"/>
      <c r="FQJ1263" s="52"/>
      <c r="FQK1263" s="52"/>
      <c r="FQL1263" s="52"/>
      <c r="FQM1263" s="52"/>
      <c r="FQN1263" s="52"/>
      <c r="FQO1263" s="52"/>
      <c r="FQP1263" s="52"/>
      <c r="FQQ1263" s="52"/>
      <c r="FQR1263" s="52"/>
      <c r="FQS1263" s="52"/>
      <c r="FQT1263" s="52"/>
      <c r="FQU1263" s="52"/>
      <c r="FQV1263" s="52"/>
      <c r="FQW1263" s="52"/>
      <c r="FQX1263" s="52"/>
      <c r="FQY1263" s="52"/>
      <c r="FQZ1263" s="52"/>
      <c r="FRA1263" s="52"/>
      <c r="FRB1263" s="52"/>
      <c r="FRC1263" s="52"/>
      <c r="FRD1263" s="52"/>
      <c r="FRE1263" s="52"/>
      <c r="FRF1263" s="52"/>
      <c r="FRG1263" s="52"/>
      <c r="FRH1263" s="52"/>
      <c r="FRI1263" s="52"/>
      <c r="FRJ1263" s="52"/>
      <c r="FRK1263" s="52"/>
      <c r="FRL1263" s="52"/>
      <c r="FRM1263" s="52"/>
      <c r="FRN1263" s="52"/>
      <c r="FRO1263" s="52"/>
      <c r="FRP1263" s="52"/>
      <c r="FRQ1263" s="52"/>
      <c r="FRR1263" s="52"/>
      <c r="FRS1263" s="52"/>
      <c r="FRT1263" s="52"/>
      <c r="FRU1263" s="52"/>
      <c r="FRV1263" s="52"/>
      <c r="FRW1263" s="52"/>
      <c r="FRX1263" s="52"/>
      <c r="FRY1263" s="52"/>
      <c r="FRZ1263" s="52"/>
      <c r="FSA1263" s="52"/>
      <c r="FSB1263" s="52"/>
      <c r="FSC1263" s="52"/>
      <c r="FSD1263" s="52"/>
      <c r="FSE1263" s="52"/>
      <c r="FSF1263" s="52"/>
      <c r="FSG1263" s="52"/>
      <c r="FSH1263" s="52"/>
      <c r="FSI1263" s="52"/>
      <c r="FSJ1263" s="52"/>
      <c r="FSK1263" s="52"/>
      <c r="FSL1263" s="52"/>
      <c r="FSM1263" s="52"/>
      <c r="FSN1263" s="52"/>
      <c r="FSO1263" s="52"/>
      <c r="FSP1263" s="52"/>
      <c r="FSQ1263" s="52"/>
      <c r="FSR1263" s="52"/>
      <c r="FSS1263" s="52"/>
      <c r="FST1263" s="52"/>
      <c r="FSU1263" s="52"/>
      <c r="FSV1263" s="52"/>
      <c r="FSW1263" s="52"/>
      <c r="FSX1263" s="52"/>
      <c r="FSY1263" s="52"/>
      <c r="FSZ1263" s="52"/>
      <c r="FTA1263" s="52"/>
      <c r="FTB1263" s="52"/>
      <c r="FTC1263" s="52"/>
      <c r="FTD1263" s="52"/>
      <c r="FTE1263" s="52"/>
      <c r="FTF1263" s="52"/>
      <c r="FTG1263" s="52"/>
      <c r="FTH1263" s="52"/>
      <c r="FTI1263" s="52"/>
      <c r="FTJ1263" s="52"/>
      <c r="FTK1263" s="52"/>
      <c r="FTL1263" s="52"/>
      <c r="FTM1263" s="52"/>
      <c r="FTN1263" s="52"/>
      <c r="FTO1263" s="52"/>
      <c r="FTP1263" s="52"/>
      <c r="FTQ1263" s="52"/>
      <c r="FTR1263" s="52"/>
      <c r="FTS1263" s="52"/>
      <c r="FTT1263" s="52"/>
      <c r="FTU1263" s="52"/>
      <c r="FTV1263" s="52"/>
      <c r="FTW1263" s="52"/>
      <c r="FTX1263" s="52"/>
      <c r="FTY1263" s="52"/>
      <c r="FTZ1263" s="52"/>
      <c r="FUA1263" s="52"/>
      <c r="FUB1263" s="52"/>
      <c r="FUC1263" s="52"/>
      <c r="FUD1263" s="52"/>
      <c r="FUE1263" s="52"/>
      <c r="FUF1263" s="52"/>
      <c r="FUG1263" s="52"/>
      <c r="FUH1263" s="52"/>
      <c r="FUI1263" s="52"/>
      <c r="FUJ1263" s="52"/>
      <c r="FUK1263" s="52"/>
      <c r="FUL1263" s="52"/>
      <c r="FUM1263" s="52"/>
      <c r="FUN1263" s="52"/>
      <c r="FUO1263" s="52"/>
      <c r="FUP1263" s="52"/>
      <c r="FUQ1263" s="52"/>
      <c r="FUR1263" s="52"/>
      <c r="FUS1263" s="52"/>
      <c r="FUT1263" s="52"/>
      <c r="FUU1263" s="52"/>
      <c r="FUV1263" s="52"/>
      <c r="FUW1263" s="52"/>
      <c r="FUX1263" s="52"/>
      <c r="FUY1263" s="52"/>
      <c r="FUZ1263" s="52"/>
      <c r="FVA1263" s="52"/>
      <c r="FVB1263" s="52"/>
      <c r="FVC1263" s="52"/>
      <c r="FVD1263" s="52"/>
      <c r="FVE1263" s="52"/>
      <c r="FVF1263" s="52"/>
      <c r="FVG1263" s="52"/>
      <c r="FVH1263" s="52"/>
      <c r="FVI1263" s="52"/>
      <c r="FVJ1263" s="52"/>
      <c r="FVK1263" s="52"/>
      <c r="FVL1263" s="52"/>
      <c r="FVM1263" s="52"/>
      <c r="FVN1263" s="52"/>
      <c r="FVO1263" s="52"/>
      <c r="FVP1263" s="52"/>
      <c r="FVQ1263" s="52"/>
      <c r="FVR1263" s="52"/>
      <c r="FVS1263" s="52"/>
      <c r="FVT1263" s="52"/>
      <c r="FVU1263" s="52"/>
      <c r="FVV1263" s="52"/>
      <c r="FVW1263" s="52"/>
      <c r="FVX1263" s="52"/>
      <c r="FVY1263" s="52"/>
      <c r="FVZ1263" s="52"/>
      <c r="FWA1263" s="52"/>
      <c r="FWB1263" s="52"/>
      <c r="FWC1263" s="52"/>
      <c r="FWD1263" s="52"/>
      <c r="FWE1263" s="52"/>
      <c r="FWF1263" s="52"/>
      <c r="FWG1263" s="52"/>
      <c r="FWH1263" s="52"/>
      <c r="FWI1263" s="52"/>
      <c r="FWJ1263" s="52"/>
      <c r="FWK1263" s="52"/>
      <c r="FWL1263" s="52"/>
      <c r="FWM1263" s="52"/>
      <c r="FWN1263" s="52"/>
      <c r="FWO1263" s="52"/>
      <c r="FWP1263" s="52"/>
      <c r="FWQ1263" s="52"/>
      <c r="FWR1263" s="52"/>
      <c r="FWS1263" s="52"/>
      <c r="FWT1263" s="52"/>
      <c r="FWU1263" s="52"/>
      <c r="FWV1263" s="52"/>
      <c r="FWW1263" s="52"/>
      <c r="FWX1263" s="52"/>
      <c r="FWY1263" s="52"/>
      <c r="FWZ1263" s="52"/>
      <c r="FXA1263" s="52"/>
      <c r="FXB1263" s="52"/>
      <c r="FXC1263" s="52"/>
      <c r="FXD1263" s="52"/>
      <c r="FXE1263" s="52"/>
      <c r="FXF1263" s="52"/>
      <c r="FXG1263" s="52"/>
      <c r="FXH1263" s="52"/>
      <c r="FXI1263" s="52"/>
      <c r="FXJ1263" s="52"/>
      <c r="FXK1263" s="52"/>
      <c r="FXL1263" s="52"/>
      <c r="FXM1263" s="52"/>
      <c r="FXN1263" s="52"/>
      <c r="FXO1263" s="52"/>
      <c r="FXP1263" s="52"/>
      <c r="FXQ1263" s="52"/>
      <c r="FXR1263" s="52"/>
      <c r="FXS1263" s="52"/>
      <c r="FXT1263" s="52"/>
      <c r="FXU1263" s="52"/>
      <c r="FXV1263" s="52"/>
      <c r="FXW1263" s="52"/>
      <c r="FXX1263" s="52"/>
      <c r="FXY1263" s="52"/>
      <c r="FXZ1263" s="52"/>
      <c r="FYA1263" s="52"/>
      <c r="FYB1263" s="52"/>
      <c r="FYC1263" s="52"/>
      <c r="FYD1263" s="52"/>
      <c r="FYE1263" s="52"/>
      <c r="FYF1263" s="52"/>
      <c r="FYG1263" s="52"/>
      <c r="FYH1263" s="52"/>
      <c r="FYI1263" s="52"/>
      <c r="FYJ1263" s="52"/>
      <c r="FYK1263" s="52"/>
      <c r="FYL1263" s="52"/>
      <c r="FYM1263" s="52"/>
      <c r="FYN1263" s="52"/>
      <c r="FYO1263" s="52"/>
      <c r="FYP1263" s="52"/>
      <c r="FYQ1263" s="52"/>
      <c r="FYR1263" s="52"/>
      <c r="FYS1263" s="52"/>
      <c r="FYT1263" s="52"/>
      <c r="FYU1263" s="52"/>
      <c r="FYV1263" s="52"/>
      <c r="FYW1263" s="52"/>
      <c r="FYX1263" s="52"/>
      <c r="FYY1263" s="52"/>
      <c r="FYZ1263" s="52"/>
      <c r="FZA1263" s="52"/>
      <c r="FZB1263" s="52"/>
      <c r="FZC1263" s="52"/>
      <c r="FZD1263" s="52"/>
      <c r="FZE1263" s="52"/>
      <c r="FZF1263" s="52"/>
      <c r="FZG1263" s="52"/>
      <c r="FZH1263" s="52"/>
      <c r="FZI1263" s="52"/>
      <c r="FZJ1263" s="52"/>
      <c r="FZK1263" s="52"/>
      <c r="FZL1263" s="52"/>
      <c r="FZM1263" s="52"/>
      <c r="FZN1263" s="52"/>
      <c r="FZO1263" s="52"/>
      <c r="FZP1263" s="52"/>
      <c r="FZQ1263" s="52"/>
      <c r="FZR1263" s="52"/>
      <c r="FZS1263" s="52"/>
      <c r="FZT1263" s="52"/>
      <c r="FZU1263" s="52"/>
      <c r="FZV1263" s="52"/>
      <c r="FZW1263" s="52"/>
      <c r="FZX1263" s="52"/>
      <c r="FZY1263" s="52"/>
      <c r="FZZ1263" s="52"/>
      <c r="GAA1263" s="52"/>
      <c r="GAB1263" s="52"/>
      <c r="GAC1263" s="52"/>
      <c r="GAD1263" s="52"/>
      <c r="GAE1263" s="52"/>
      <c r="GAF1263" s="52"/>
      <c r="GAG1263" s="52"/>
      <c r="GAH1263" s="52"/>
      <c r="GAI1263" s="52"/>
      <c r="GAJ1263" s="52"/>
      <c r="GAK1263" s="52"/>
      <c r="GAL1263" s="52"/>
      <c r="GAM1263" s="52"/>
      <c r="GAN1263" s="52"/>
      <c r="GAO1263" s="52"/>
      <c r="GAP1263" s="52"/>
      <c r="GAQ1263" s="52"/>
      <c r="GAR1263" s="52"/>
      <c r="GAS1263" s="52"/>
      <c r="GAT1263" s="52"/>
      <c r="GAU1263" s="52"/>
      <c r="GAV1263" s="52"/>
      <c r="GAW1263" s="52"/>
      <c r="GAX1263" s="52"/>
      <c r="GAY1263" s="52"/>
      <c r="GAZ1263" s="52"/>
      <c r="GBA1263" s="52"/>
      <c r="GBB1263" s="52"/>
      <c r="GBC1263" s="52"/>
      <c r="GBD1263" s="52"/>
      <c r="GBE1263" s="52"/>
      <c r="GBF1263" s="52"/>
      <c r="GBG1263" s="52"/>
      <c r="GBH1263" s="52"/>
      <c r="GBI1263" s="52"/>
      <c r="GBJ1263" s="52"/>
      <c r="GBK1263" s="52"/>
      <c r="GBL1263" s="52"/>
      <c r="GBM1263" s="52"/>
      <c r="GBN1263" s="52"/>
      <c r="GBO1263" s="52"/>
      <c r="GBP1263" s="52"/>
      <c r="GBQ1263" s="52"/>
      <c r="GBR1263" s="52"/>
      <c r="GBS1263" s="52"/>
      <c r="GBT1263" s="52"/>
      <c r="GBU1263" s="52"/>
      <c r="GBV1263" s="52"/>
      <c r="GBW1263" s="52"/>
      <c r="GBX1263" s="52"/>
      <c r="GBY1263" s="52"/>
      <c r="GBZ1263" s="52"/>
      <c r="GCA1263" s="52"/>
      <c r="GCB1263" s="52"/>
      <c r="GCC1263" s="52"/>
      <c r="GCD1263" s="52"/>
      <c r="GCE1263" s="52"/>
      <c r="GCF1263" s="52"/>
      <c r="GCG1263" s="52"/>
      <c r="GCH1263" s="52"/>
      <c r="GCI1263" s="52"/>
      <c r="GCJ1263" s="52"/>
      <c r="GCK1263" s="52"/>
      <c r="GCL1263" s="52"/>
      <c r="GCM1263" s="52"/>
      <c r="GCN1263" s="52"/>
      <c r="GCO1263" s="52"/>
      <c r="GCP1263" s="52"/>
      <c r="GCQ1263" s="52"/>
      <c r="GCR1263" s="52"/>
      <c r="GCS1263" s="52"/>
      <c r="GCT1263" s="52"/>
      <c r="GCU1263" s="52"/>
      <c r="GCV1263" s="52"/>
      <c r="GCW1263" s="52"/>
      <c r="GCX1263" s="52"/>
      <c r="GCY1263" s="52"/>
      <c r="GCZ1263" s="52"/>
      <c r="GDA1263" s="52"/>
      <c r="GDB1263" s="52"/>
      <c r="GDC1263" s="52"/>
      <c r="GDD1263" s="52"/>
      <c r="GDE1263" s="52"/>
      <c r="GDF1263" s="52"/>
      <c r="GDG1263" s="52"/>
      <c r="GDH1263" s="52"/>
      <c r="GDI1263" s="52"/>
      <c r="GDJ1263" s="52"/>
      <c r="GDK1263" s="52"/>
      <c r="GDL1263" s="52"/>
      <c r="GDM1263" s="52"/>
      <c r="GDN1263" s="52"/>
      <c r="GDO1263" s="52"/>
      <c r="GDP1263" s="52"/>
      <c r="GDQ1263" s="52"/>
      <c r="GDR1263" s="52"/>
      <c r="GDS1263" s="52"/>
      <c r="GDT1263" s="52"/>
      <c r="GDU1263" s="52"/>
      <c r="GDV1263" s="52"/>
      <c r="GDW1263" s="52"/>
      <c r="GDX1263" s="52"/>
      <c r="GDY1263" s="52"/>
      <c r="GDZ1263" s="52"/>
      <c r="GEA1263" s="52"/>
      <c r="GEB1263" s="52"/>
      <c r="GEC1263" s="52"/>
      <c r="GED1263" s="52"/>
      <c r="GEE1263" s="52"/>
      <c r="GEF1263" s="52"/>
      <c r="GEG1263" s="52"/>
      <c r="GEH1263" s="52"/>
      <c r="GEI1263" s="52"/>
      <c r="GEJ1263" s="52"/>
      <c r="GEK1263" s="52"/>
      <c r="GEL1263" s="52"/>
      <c r="GEM1263" s="52"/>
      <c r="GEN1263" s="52"/>
      <c r="GEO1263" s="52"/>
      <c r="GEP1263" s="52"/>
      <c r="GEQ1263" s="52"/>
      <c r="GER1263" s="52"/>
      <c r="GES1263" s="52"/>
      <c r="GET1263" s="52"/>
      <c r="GEU1263" s="52"/>
      <c r="GEV1263" s="52"/>
      <c r="GEW1263" s="52"/>
      <c r="GEX1263" s="52"/>
      <c r="GEY1263" s="52"/>
      <c r="GEZ1263" s="52"/>
      <c r="GFA1263" s="52"/>
      <c r="GFB1263" s="52"/>
      <c r="GFC1263" s="52"/>
      <c r="GFD1263" s="52"/>
      <c r="GFE1263" s="52"/>
      <c r="GFF1263" s="52"/>
      <c r="GFG1263" s="52"/>
      <c r="GFH1263" s="52"/>
      <c r="GFI1263" s="52"/>
      <c r="GFJ1263" s="52"/>
      <c r="GFK1263" s="52"/>
      <c r="GFL1263" s="52"/>
      <c r="GFM1263" s="52"/>
      <c r="GFN1263" s="52"/>
      <c r="GFO1263" s="52"/>
      <c r="GFP1263" s="52"/>
      <c r="GFQ1263" s="52"/>
      <c r="GFR1263" s="52"/>
      <c r="GFS1263" s="52"/>
      <c r="GFT1263" s="52"/>
      <c r="GFU1263" s="52"/>
      <c r="GFV1263" s="52"/>
      <c r="GFW1263" s="52"/>
      <c r="GFX1263" s="52"/>
      <c r="GFY1263" s="52"/>
      <c r="GFZ1263" s="52"/>
      <c r="GGA1263" s="52"/>
      <c r="GGB1263" s="52"/>
      <c r="GGC1263" s="52"/>
      <c r="GGD1263" s="52"/>
      <c r="GGE1263" s="52"/>
      <c r="GGF1263" s="52"/>
      <c r="GGG1263" s="52"/>
      <c r="GGH1263" s="52"/>
      <c r="GGI1263" s="52"/>
      <c r="GGJ1263" s="52"/>
      <c r="GGK1263" s="52"/>
      <c r="GGL1263" s="52"/>
      <c r="GGM1263" s="52"/>
      <c r="GGN1263" s="52"/>
      <c r="GGO1263" s="52"/>
      <c r="GGP1263" s="52"/>
      <c r="GGQ1263" s="52"/>
      <c r="GGR1263" s="52"/>
      <c r="GGS1263" s="52"/>
      <c r="GGT1263" s="52"/>
      <c r="GGU1263" s="52"/>
      <c r="GGV1263" s="52"/>
      <c r="GGW1263" s="52"/>
      <c r="GGX1263" s="52"/>
      <c r="GGY1263" s="52"/>
      <c r="GGZ1263" s="52"/>
      <c r="GHA1263" s="52"/>
      <c r="GHB1263" s="52"/>
      <c r="GHC1263" s="52"/>
      <c r="GHD1263" s="52"/>
      <c r="GHE1263" s="52"/>
      <c r="GHF1263" s="52"/>
      <c r="GHG1263" s="52"/>
      <c r="GHH1263" s="52"/>
      <c r="GHI1263" s="52"/>
      <c r="GHJ1263" s="52"/>
      <c r="GHK1263" s="52"/>
      <c r="GHL1263" s="52"/>
      <c r="GHM1263" s="52"/>
      <c r="GHN1263" s="52"/>
      <c r="GHO1263" s="52"/>
      <c r="GHP1263" s="52"/>
      <c r="GHQ1263" s="52"/>
      <c r="GHR1263" s="52"/>
      <c r="GHS1263" s="52"/>
      <c r="GHT1263" s="52"/>
      <c r="GHU1263" s="52"/>
      <c r="GHV1263" s="52"/>
      <c r="GHW1263" s="52"/>
      <c r="GHX1263" s="52"/>
      <c r="GHY1263" s="52"/>
      <c r="GHZ1263" s="52"/>
      <c r="GIA1263" s="52"/>
      <c r="GIB1263" s="52"/>
      <c r="GIC1263" s="52"/>
      <c r="GID1263" s="52"/>
      <c r="GIE1263" s="52"/>
      <c r="GIF1263" s="52"/>
      <c r="GIG1263" s="52"/>
      <c r="GIH1263" s="52"/>
      <c r="GII1263" s="52"/>
      <c r="GIJ1263" s="52"/>
      <c r="GIK1263" s="52"/>
      <c r="GIL1263" s="52"/>
      <c r="GIM1263" s="52"/>
      <c r="GIN1263" s="52"/>
      <c r="GIO1263" s="52"/>
      <c r="GIP1263" s="52"/>
      <c r="GIQ1263" s="52"/>
      <c r="GIR1263" s="52"/>
      <c r="GIS1263" s="52"/>
      <c r="GIT1263" s="52"/>
      <c r="GIU1263" s="52"/>
      <c r="GIV1263" s="52"/>
      <c r="GIW1263" s="52"/>
      <c r="GIX1263" s="52"/>
      <c r="GIY1263" s="52"/>
      <c r="GIZ1263" s="52"/>
      <c r="GJA1263" s="52"/>
      <c r="GJB1263" s="52"/>
      <c r="GJC1263" s="52"/>
      <c r="GJD1263" s="52"/>
      <c r="GJE1263" s="52"/>
      <c r="GJF1263" s="52"/>
      <c r="GJG1263" s="52"/>
      <c r="GJH1263" s="52"/>
      <c r="GJI1263" s="52"/>
      <c r="GJJ1263" s="52"/>
      <c r="GJK1263" s="52"/>
      <c r="GJL1263" s="52"/>
      <c r="GJM1263" s="52"/>
      <c r="GJN1263" s="52"/>
      <c r="GJO1263" s="52"/>
      <c r="GJP1263" s="52"/>
      <c r="GJQ1263" s="52"/>
      <c r="GJR1263" s="52"/>
      <c r="GJS1263" s="52"/>
      <c r="GJT1263" s="52"/>
      <c r="GJU1263" s="52"/>
      <c r="GJV1263" s="52"/>
      <c r="GJW1263" s="52"/>
      <c r="GJX1263" s="52"/>
      <c r="GJY1263" s="52"/>
      <c r="GJZ1263" s="52"/>
      <c r="GKA1263" s="52"/>
      <c r="GKB1263" s="52"/>
      <c r="GKC1263" s="52"/>
      <c r="GKD1263" s="52"/>
      <c r="GKE1263" s="52"/>
      <c r="GKF1263" s="52"/>
      <c r="GKG1263" s="52"/>
      <c r="GKH1263" s="52"/>
      <c r="GKI1263" s="52"/>
      <c r="GKJ1263" s="52"/>
      <c r="GKK1263" s="52"/>
      <c r="GKL1263" s="52"/>
      <c r="GKM1263" s="52"/>
      <c r="GKN1263" s="52"/>
      <c r="GKO1263" s="52"/>
      <c r="GKP1263" s="52"/>
      <c r="GKQ1263" s="52"/>
      <c r="GKR1263" s="52"/>
      <c r="GKS1263" s="52"/>
      <c r="GKT1263" s="52"/>
      <c r="GKU1263" s="52"/>
      <c r="GKV1263" s="52"/>
      <c r="GKW1263" s="52"/>
      <c r="GKX1263" s="52"/>
      <c r="GKY1263" s="52"/>
      <c r="GKZ1263" s="52"/>
      <c r="GLA1263" s="52"/>
      <c r="GLB1263" s="52"/>
      <c r="GLC1263" s="52"/>
      <c r="GLD1263" s="52"/>
      <c r="GLE1263" s="52"/>
      <c r="GLF1263" s="52"/>
      <c r="GLG1263" s="52"/>
      <c r="GLH1263" s="52"/>
      <c r="GLI1263" s="52"/>
      <c r="GLJ1263" s="52"/>
      <c r="GLK1263" s="52"/>
      <c r="GLL1263" s="52"/>
      <c r="GLM1263" s="52"/>
      <c r="GLN1263" s="52"/>
      <c r="GLO1263" s="52"/>
      <c r="GLP1263" s="52"/>
      <c r="GLQ1263" s="52"/>
      <c r="GLR1263" s="52"/>
      <c r="GLS1263" s="52"/>
      <c r="GLT1263" s="52"/>
      <c r="GLU1263" s="52"/>
      <c r="GLV1263" s="52"/>
      <c r="GLW1263" s="52"/>
      <c r="GLX1263" s="52"/>
      <c r="GLY1263" s="52"/>
      <c r="GLZ1263" s="52"/>
      <c r="GMA1263" s="52"/>
      <c r="GMB1263" s="52"/>
      <c r="GMC1263" s="52"/>
      <c r="GMD1263" s="52"/>
      <c r="GME1263" s="52"/>
      <c r="GMF1263" s="52"/>
      <c r="GMG1263" s="52"/>
      <c r="GMH1263" s="52"/>
      <c r="GMI1263" s="52"/>
      <c r="GMJ1263" s="52"/>
      <c r="GMK1263" s="52"/>
      <c r="GML1263" s="52"/>
      <c r="GMM1263" s="52"/>
      <c r="GMN1263" s="52"/>
      <c r="GMO1263" s="52"/>
      <c r="GMP1263" s="52"/>
      <c r="GMQ1263" s="52"/>
      <c r="GMR1263" s="52"/>
      <c r="GMS1263" s="52"/>
      <c r="GMT1263" s="52"/>
      <c r="GMU1263" s="52"/>
      <c r="GMV1263" s="52"/>
      <c r="GMW1263" s="52"/>
      <c r="GMX1263" s="52"/>
      <c r="GMY1263" s="52"/>
      <c r="GMZ1263" s="52"/>
      <c r="GNA1263" s="52"/>
      <c r="GNB1263" s="52"/>
      <c r="GNC1263" s="52"/>
      <c r="GND1263" s="52"/>
      <c r="GNE1263" s="52"/>
      <c r="GNF1263" s="52"/>
      <c r="GNG1263" s="52"/>
      <c r="GNH1263" s="52"/>
      <c r="GNI1263" s="52"/>
      <c r="GNJ1263" s="52"/>
      <c r="GNK1263" s="52"/>
      <c r="GNL1263" s="52"/>
      <c r="GNM1263" s="52"/>
      <c r="GNN1263" s="52"/>
      <c r="GNO1263" s="52"/>
      <c r="GNP1263" s="52"/>
      <c r="GNQ1263" s="52"/>
      <c r="GNR1263" s="52"/>
      <c r="GNS1263" s="52"/>
      <c r="GNT1263" s="52"/>
      <c r="GNU1263" s="52"/>
      <c r="GNV1263" s="52"/>
      <c r="GNW1263" s="52"/>
      <c r="GNX1263" s="52"/>
      <c r="GNY1263" s="52"/>
      <c r="GNZ1263" s="52"/>
      <c r="GOA1263" s="52"/>
      <c r="GOB1263" s="52"/>
      <c r="GOC1263" s="52"/>
      <c r="GOD1263" s="52"/>
      <c r="GOE1263" s="52"/>
      <c r="GOF1263" s="52"/>
      <c r="GOG1263" s="52"/>
      <c r="GOH1263" s="52"/>
      <c r="GOI1263" s="52"/>
      <c r="GOJ1263" s="52"/>
      <c r="GOK1263" s="52"/>
      <c r="GOL1263" s="52"/>
      <c r="GOM1263" s="52"/>
      <c r="GON1263" s="52"/>
      <c r="GOO1263" s="52"/>
      <c r="GOP1263" s="52"/>
      <c r="GOQ1263" s="52"/>
      <c r="GOR1263" s="52"/>
      <c r="GOS1263" s="52"/>
      <c r="GOT1263" s="52"/>
      <c r="GOU1263" s="52"/>
      <c r="GOV1263" s="52"/>
      <c r="GOW1263" s="52"/>
      <c r="GOX1263" s="52"/>
      <c r="GOY1263" s="52"/>
      <c r="GOZ1263" s="52"/>
      <c r="GPA1263" s="52"/>
      <c r="GPB1263" s="52"/>
      <c r="GPC1263" s="52"/>
      <c r="GPD1263" s="52"/>
      <c r="GPE1263" s="52"/>
      <c r="GPF1263" s="52"/>
      <c r="GPG1263" s="52"/>
      <c r="GPH1263" s="52"/>
      <c r="GPI1263" s="52"/>
      <c r="GPJ1263" s="52"/>
      <c r="GPK1263" s="52"/>
      <c r="GPL1263" s="52"/>
      <c r="GPM1263" s="52"/>
      <c r="GPN1263" s="52"/>
      <c r="GPO1263" s="52"/>
      <c r="GPP1263" s="52"/>
      <c r="GPQ1263" s="52"/>
      <c r="GPR1263" s="52"/>
      <c r="GPS1263" s="52"/>
      <c r="GPT1263" s="52"/>
      <c r="GPU1263" s="52"/>
      <c r="GPV1263" s="52"/>
      <c r="GPW1263" s="52"/>
      <c r="GPX1263" s="52"/>
      <c r="GPY1263" s="52"/>
      <c r="GPZ1263" s="52"/>
      <c r="GQA1263" s="52"/>
      <c r="GQB1263" s="52"/>
      <c r="GQC1263" s="52"/>
      <c r="GQD1263" s="52"/>
      <c r="GQE1263" s="52"/>
      <c r="GQF1263" s="52"/>
      <c r="GQG1263" s="52"/>
      <c r="GQH1263" s="52"/>
      <c r="GQI1263" s="52"/>
      <c r="GQJ1263" s="52"/>
      <c r="GQK1263" s="52"/>
      <c r="GQL1263" s="52"/>
      <c r="GQM1263" s="52"/>
      <c r="GQN1263" s="52"/>
      <c r="GQO1263" s="52"/>
      <c r="GQP1263" s="52"/>
      <c r="GQQ1263" s="52"/>
      <c r="GQR1263" s="52"/>
      <c r="GQS1263" s="52"/>
      <c r="GQT1263" s="52"/>
      <c r="GQU1263" s="52"/>
      <c r="GQV1263" s="52"/>
      <c r="GQW1263" s="52"/>
      <c r="GQX1263" s="52"/>
      <c r="GQY1263" s="52"/>
      <c r="GQZ1263" s="52"/>
      <c r="GRA1263" s="52"/>
      <c r="GRB1263" s="52"/>
      <c r="GRC1263" s="52"/>
      <c r="GRD1263" s="52"/>
      <c r="GRE1263" s="52"/>
      <c r="GRF1263" s="52"/>
      <c r="GRG1263" s="52"/>
      <c r="GRH1263" s="52"/>
      <c r="GRI1263" s="52"/>
      <c r="GRJ1263" s="52"/>
      <c r="GRK1263" s="52"/>
      <c r="GRL1263" s="52"/>
      <c r="GRM1263" s="52"/>
      <c r="GRN1263" s="52"/>
      <c r="GRO1263" s="52"/>
      <c r="GRP1263" s="52"/>
      <c r="GRQ1263" s="52"/>
      <c r="GRR1263" s="52"/>
      <c r="GRS1263" s="52"/>
      <c r="GRT1263" s="52"/>
      <c r="GRU1263" s="52"/>
      <c r="GRV1263" s="52"/>
      <c r="GRW1263" s="52"/>
      <c r="GRX1263" s="52"/>
      <c r="GRY1263" s="52"/>
      <c r="GRZ1263" s="52"/>
      <c r="GSA1263" s="52"/>
      <c r="GSB1263" s="52"/>
      <c r="GSC1263" s="52"/>
      <c r="GSD1263" s="52"/>
      <c r="GSE1263" s="52"/>
      <c r="GSF1263" s="52"/>
      <c r="GSG1263" s="52"/>
      <c r="GSH1263" s="52"/>
      <c r="GSI1263" s="52"/>
      <c r="GSJ1263" s="52"/>
      <c r="GSK1263" s="52"/>
      <c r="GSL1263" s="52"/>
      <c r="GSM1263" s="52"/>
      <c r="GSN1263" s="52"/>
      <c r="GSO1263" s="52"/>
      <c r="GSP1263" s="52"/>
      <c r="GSQ1263" s="52"/>
      <c r="GSR1263" s="52"/>
      <c r="GSS1263" s="52"/>
      <c r="GST1263" s="52"/>
      <c r="GSU1263" s="52"/>
      <c r="GSV1263" s="52"/>
      <c r="GSW1263" s="52"/>
      <c r="GSX1263" s="52"/>
      <c r="GSY1263" s="52"/>
      <c r="GSZ1263" s="52"/>
      <c r="GTA1263" s="52"/>
      <c r="GTB1263" s="52"/>
      <c r="GTC1263" s="52"/>
      <c r="GTD1263" s="52"/>
      <c r="GTE1263" s="52"/>
      <c r="GTF1263" s="52"/>
      <c r="GTG1263" s="52"/>
      <c r="GTH1263" s="52"/>
      <c r="GTI1263" s="52"/>
      <c r="GTJ1263" s="52"/>
      <c r="GTK1263" s="52"/>
      <c r="GTL1263" s="52"/>
      <c r="GTM1263" s="52"/>
      <c r="GTN1263" s="52"/>
      <c r="GTO1263" s="52"/>
      <c r="GTP1263" s="52"/>
      <c r="GTQ1263" s="52"/>
      <c r="GTR1263" s="52"/>
      <c r="GTS1263" s="52"/>
      <c r="GTT1263" s="52"/>
      <c r="GTU1263" s="52"/>
      <c r="GTV1263" s="52"/>
      <c r="GTW1263" s="52"/>
      <c r="GTX1263" s="52"/>
      <c r="GTY1263" s="52"/>
      <c r="GTZ1263" s="52"/>
      <c r="GUA1263" s="52"/>
      <c r="GUB1263" s="52"/>
      <c r="GUC1263" s="52"/>
      <c r="GUD1263" s="52"/>
      <c r="GUE1263" s="52"/>
      <c r="GUF1263" s="52"/>
      <c r="GUG1263" s="52"/>
      <c r="GUH1263" s="52"/>
      <c r="GUI1263" s="52"/>
      <c r="GUJ1263" s="52"/>
      <c r="GUK1263" s="52"/>
      <c r="GUL1263" s="52"/>
      <c r="GUM1263" s="52"/>
      <c r="GUN1263" s="52"/>
      <c r="GUO1263" s="52"/>
      <c r="GUP1263" s="52"/>
      <c r="GUQ1263" s="52"/>
      <c r="GUR1263" s="52"/>
      <c r="GUS1263" s="52"/>
      <c r="GUT1263" s="52"/>
      <c r="GUU1263" s="52"/>
      <c r="GUV1263" s="52"/>
      <c r="GUW1263" s="52"/>
      <c r="GUX1263" s="52"/>
      <c r="GUY1263" s="52"/>
      <c r="GUZ1263" s="52"/>
      <c r="GVA1263" s="52"/>
      <c r="GVB1263" s="52"/>
      <c r="GVC1263" s="52"/>
      <c r="GVD1263" s="52"/>
      <c r="GVE1263" s="52"/>
      <c r="GVF1263" s="52"/>
      <c r="GVG1263" s="52"/>
      <c r="GVH1263" s="52"/>
      <c r="GVI1263" s="52"/>
      <c r="GVJ1263" s="52"/>
      <c r="GVK1263" s="52"/>
      <c r="GVL1263" s="52"/>
      <c r="GVM1263" s="52"/>
      <c r="GVN1263" s="52"/>
      <c r="GVO1263" s="52"/>
      <c r="GVP1263" s="52"/>
      <c r="GVQ1263" s="52"/>
      <c r="GVR1263" s="52"/>
      <c r="GVS1263" s="52"/>
      <c r="GVT1263" s="52"/>
      <c r="GVU1263" s="52"/>
      <c r="GVV1263" s="52"/>
      <c r="GVW1263" s="52"/>
      <c r="GVX1263" s="52"/>
      <c r="GVY1263" s="52"/>
      <c r="GVZ1263" s="52"/>
      <c r="GWA1263" s="52"/>
      <c r="GWB1263" s="52"/>
      <c r="GWC1263" s="52"/>
      <c r="GWD1263" s="52"/>
      <c r="GWE1263" s="52"/>
      <c r="GWF1263" s="52"/>
      <c r="GWG1263" s="52"/>
      <c r="GWH1263" s="52"/>
      <c r="GWI1263" s="52"/>
      <c r="GWJ1263" s="52"/>
      <c r="GWK1263" s="52"/>
      <c r="GWL1263" s="52"/>
      <c r="GWM1263" s="52"/>
      <c r="GWN1263" s="52"/>
      <c r="GWO1263" s="52"/>
      <c r="GWP1263" s="52"/>
      <c r="GWQ1263" s="52"/>
      <c r="GWR1263" s="52"/>
      <c r="GWS1263" s="52"/>
      <c r="GWT1263" s="52"/>
      <c r="GWU1263" s="52"/>
      <c r="GWV1263" s="52"/>
      <c r="GWW1263" s="52"/>
      <c r="GWX1263" s="52"/>
      <c r="GWY1263" s="52"/>
      <c r="GWZ1263" s="52"/>
      <c r="GXA1263" s="52"/>
      <c r="GXB1263" s="52"/>
      <c r="GXC1263" s="52"/>
      <c r="GXD1263" s="52"/>
      <c r="GXE1263" s="52"/>
      <c r="GXF1263" s="52"/>
      <c r="GXG1263" s="52"/>
      <c r="GXH1263" s="52"/>
      <c r="GXI1263" s="52"/>
      <c r="GXJ1263" s="52"/>
      <c r="GXK1263" s="52"/>
      <c r="GXL1263" s="52"/>
      <c r="GXM1263" s="52"/>
      <c r="GXN1263" s="52"/>
      <c r="GXO1263" s="52"/>
      <c r="GXP1263" s="52"/>
      <c r="GXQ1263" s="52"/>
      <c r="GXR1263" s="52"/>
      <c r="GXS1263" s="52"/>
      <c r="GXT1263" s="52"/>
      <c r="GXU1263" s="52"/>
      <c r="GXV1263" s="52"/>
      <c r="GXW1263" s="52"/>
      <c r="GXX1263" s="52"/>
      <c r="GXY1263" s="52"/>
      <c r="GXZ1263" s="52"/>
      <c r="GYA1263" s="52"/>
      <c r="GYB1263" s="52"/>
      <c r="GYC1263" s="52"/>
      <c r="GYD1263" s="52"/>
      <c r="GYE1263" s="52"/>
      <c r="GYF1263" s="52"/>
      <c r="GYG1263" s="52"/>
      <c r="GYH1263" s="52"/>
      <c r="GYI1263" s="52"/>
      <c r="GYJ1263" s="52"/>
      <c r="GYK1263" s="52"/>
      <c r="GYL1263" s="52"/>
      <c r="GYM1263" s="52"/>
      <c r="GYN1263" s="52"/>
      <c r="GYO1263" s="52"/>
      <c r="GYP1263" s="52"/>
      <c r="GYQ1263" s="52"/>
      <c r="GYR1263" s="52"/>
      <c r="GYS1263" s="52"/>
      <c r="GYT1263" s="52"/>
      <c r="GYU1263" s="52"/>
      <c r="GYV1263" s="52"/>
      <c r="GYW1263" s="52"/>
      <c r="GYX1263" s="52"/>
      <c r="GYY1263" s="52"/>
      <c r="GYZ1263" s="52"/>
      <c r="GZA1263" s="52"/>
      <c r="GZB1263" s="52"/>
      <c r="GZC1263" s="52"/>
      <c r="GZD1263" s="52"/>
      <c r="GZE1263" s="52"/>
      <c r="GZF1263" s="52"/>
      <c r="GZG1263" s="52"/>
      <c r="GZH1263" s="52"/>
      <c r="GZI1263" s="52"/>
      <c r="GZJ1263" s="52"/>
      <c r="GZK1263" s="52"/>
      <c r="GZL1263" s="52"/>
      <c r="GZM1263" s="52"/>
      <c r="GZN1263" s="52"/>
      <c r="GZO1263" s="52"/>
      <c r="GZP1263" s="52"/>
      <c r="GZQ1263" s="52"/>
      <c r="GZR1263" s="52"/>
      <c r="GZS1263" s="52"/>
      <c r="GZT1263" s="52"/>
      <c r="GZU1263" s="52"/>
      <c r="GZV1263" s="52"/>
      <c r="GZW1263" s="52"/>
      <c r="GZX1263" s="52"/>
      <c r="GZY1263" s="52"/>
      <c r="GZZ1263" s="52"/>
      <c r="HAA1263" s="52"/>
      <c r="HAB1263" s="52"/>
      <c r="HAC1263" s="52"/>
      <c r="HAD1263" s="52"/>
      <c r="HAE1263" s="52"/>
      <c r="HAF1263" s="52"/>
      <c r="HAG1263" s="52"/>
      <c r="HAH1263" s="52"/>
      <c r="HAI1263" s="52"/>
      <c r="HAJ1263" s="52"/>
      <c r="HAK1263" s="52"/>
      <c r="HAL1263" s="52"/>
      <c r="HAM1263" s="52"/>
      <c r="HAN1263" s="52"/>
      <c r="HAO1263" s="52"/>
      <c r="HAP1263" s="52"/>
      <c r="HAQ1263" s="52"/>
      <c r="HAR1263" s="52"/>
      <c r="HAS1263" s="52"/>
      <c r="HAT1263" s="52"/>
      <c r="HAU1263" s="52"/>
      <c r="HAV1263" s="52"/>
      <c r="HAW1263" s="52"/>
      <c r="HAX1263" s="52"/>
      <c r="HAY1263" s="52"/>
      <c r="HAZ1263" s="52"/>
      <c r="HBA1263" s="52"/>
      <c r="HBB1263" s="52"/>
      <c r="HBC1263" s="52"/>
      <c r="HBD1263" s="52"/>
      <c r="HBE1263" s="52"/>
      <c r="HBF1263" s="52"/>
      <c r="HBG1263" s="52"/>
      <c r="HBH1263" s="52"/>
      <c r="HBI1263" s="52"/>
      <c r="HBJ1263" s="52"/>
      <c r="HBK1263" s="52"/>
      <c r="HBL1263" s="52"/>
      <c r="HBM1263" s="52"/>
      <c r="HBN1263" s="52"/>
      <c r="HBO1263" s="52"/>
      <c r="HBP1263" s="52"/>
      <c r="HBQ1263" s="52"/>
      <c r="HBR1263" s="52"/>
      <c r="HBS1263" s="52"/>
      <c r="HBT1263" s="52"/>
      <c r="HBU1263" s="52"/>
      <c r="HBV1263" s="52"/>
      <c r="HBW1263" s="52"/>
      <c r="HBX1263" s="52"/>
      <c r="HBY1263" s="52"/>
      <c r="HBZ1263" s="52"/>
      <c r="HCA1263" s="52"/>
      <c r="HCB1263" s="52"/>
      <c r="HCC1263" s="52"/>
      <c r="HCD1263" s="52"/>
      <c r="HCE1263" s="52"/>
      <c r="HCF1263" s="52"/>
      <c r="HCG1263" s="52"/>
      <c r="HCH1263" s="52"/>
      <c r="HCI1263" s="52"/>
      <c r="HCJ1263" s="52"/>
      <c r="HCK1263" s="52"/>
      <c r="HCL1263" s="52"/>
      <c r="HCM1263" s="52"/>
      <c r="HCN1263" s="52"/>
      <c r="HCO1263" s="52"/>
      <c r="HCP1263" s="52"/>
      <c r="HCQ1263" s="52"/>
      <c r="HCR1263" s="52"/>
      <c r="HCS1263" s="52"/>
      <c r="HCT1263" s="52"/>
      <c r="HCU1263" s="52"/>
      <c r="HCV1263" s="52"/>
      <c r="HCW1263" s="52"/>
      <c r="HCX1263" s="52"/>
      <c r="HCY1263" s="52"/>
      <c r="HCZ1263" s="52"/>
      <c r="HDA1263" s="52"/>
      <c r="HDB1263" s="52"/>
      <c r="HDC1263" s="52"/>
      <c r="HDD1263" s="52"/>
      <c r="HDE1263" s="52"/>
      <c r="HDF1263" s="52"/>
      <c r="HDG1263" s="52"/>
      <c r="HDH1263" s="52"/>
      <c r="HDI1263" s="52"/>
      <c r="HDJ1263" s="52"/>
      <c r="HDK1263" s="52"/>
      <c r="HDL1263" s="52"/>
      <c r="HDM1263" s="52"/>
      <c r="HDN1263" s="52"/>
      <c r="HDO1263" s="52"/>
      <c r="HDP1263" s="52"/>
      <c r="HDQ1263" s="52"/>
      <c r="HDR1263" s="52"/>
      <c r="HDS1263" s="52"/>
      <c r="HDT1263" s="52"/>
      <c r="HDU1263" s="52"/>
      <c r="HDV1263" s="52"/>
      <c r="HDW1263" s="52"/>
      <c r="HDX1263" s="52"/>
      <c r="HDY1263" s="52"/>
      <c r="HDZ1263" s="52"/>
      <c r="HEA1263" s="52"/>
      <c r="HEB1263" s="52"/>
      <c r="HEC1263" s="52"/>
      <c r="HED1263" s="52"/>
      <c r="HEE1263" s="52"/>
      <c r="HEF1263" s="52"/>
      <c r="HEG1263" s="52"/>
      <c r="HEH1263" s="52"/>
      <c r="HEI1263" s="52"/>
      <c r="HEJ1263" s="52"/>
      <c r="HEK1263" s="52"/>
      <c r="HEL1263" s="52"/>
      <c r="HEM1263" s="52"/>
      <c r="HEN1263" s="52"/>
      <c r="HEO1263" s="52"/>
      <c r="HEP1263" s="52"/>
      <c r="HEQ1263" s="52"/>
      <c r="HER1263" s="52"/>
      <c r="HES1263" s="52"/>
      <c r="HET1263" s="52"/>
      <c r="HEU1263" s="52"/>
      <c r="HEV1263" s="52"/>
      <c r="HEW1263" s="52"/>
      <c r="HEX1263" s="52"/>
      <c r="HEY1263" s="52"/>
      <c r="HEZ1263" s="52"/>
      <c r="HFA1263" s="52"/>
      <c r="HFB1263" s="52"/>
      <c r="HFC1263" s="52"/>
      <c r="HFD1263" s="52"/>
      <c r="HFE1263" s="52"/>
      <c r="HFF1263" s="52"/>
      <c r="HFG1263" s="52"/>
      <c r="HFH1263" s="52"/>
      <c r="HFI1263" s="52"/>
      <c r="HFJ1263" s="52"/>
      <c r="HFK1263" s="52"/>
      <c r="HFL1263" s="52"/>
      <c r="HFM1263" s="52"/>
      <c r="HFN1263" s="52"/>
      <c r="HFO1263" s="52"/>
      <c r="HFP1263" s="52"/>
      <c r="HFQ1263" s="52"/>
      <c r="HFR1263" s="52"/>
      <c r="HFS1263" s="52"/>
      <c r="HFT1263" s="52"/>
      <c r="HFU1263" s="52"/>
      <c r="HFV1263" s="52"/>
      <c r="HFW1263" s="52"/>
      <c r="HFX1263" s="52"/>
      <c r="HFY1263" s="52"/>
      <c r="HFZ1263" s="52"/>
      <c r="HGA1263" s="52"/>
      <c r="HGB1263" s="52"/>
      <c r="HGC1263" s="52"/>
      <c r="HGD1263" s="52"/>
      <c r="HGE1263" s="52"/>
      <c r="HGF1263" s="52"/>
      <c r="HGG1263" s="52"/>
      <c r="HGH1263" s="52"/>
      <c r="HGI1263" s="52"/>
      <c r="HGJ1263" s="52"/>
      <c r="HGK1263" s="52"/>
      <c r="HGL1263" s="52"/>
      <c r="HGM1263" s="52"/>
      <c r="HGN1263" s="52"/>
      <c r="HGO1263" s="52"/>
      <c r="HGP1263" s="52"/>
      <c r="HGQ1263" s="52"/>
      <c r="HGR1263" s="52"/>
      <c r="HGS1263" s="52"/>
      <c r="HGT1263" s="52"/>
      <c r="HGU1263" s="52"/>
      <c r="HGV1263" s="52"/>
      <c r="HGW1263" s="52"/>
      <c r="HGX1263" s="52"/>
      <c r="HGY1263" s="52"/>
      <c r="HGZ1263" s="52"/>
      <c r="HHA1263" s="52"/>
      <c r="HHB1263" s="52"/>
      <c r="HHC1263" s="52"/>
      <c r="HHD1263" s="52"/>
      <c r="HHE1263" s="52"/>
      <c r="HHF1263" s="52"/>
      <c r="HHG1263" s="52"/>
      <c r="HHH1263" s="52"/>
      <c r="HHI1263" s="52"/>
      <c r="HHJ1263" s="52"/>
      <c r="HHK1263" s="52"/>
      <c r="HHL1263" s="52"/>
      <c r="HHM1263" s="52"/>
      <c r="HHN1263" s="52"/>
      <c r="HHO1263" s="52"/>
      <c r="HHP1263" s="52"/>
      <c r="HHQ1263" s="52"/>
      <c r="HHR1263" s="52"/>
      <c r="HHS1263" s="52"/>
      <c r="HHT1263" s="52"/>
      <c r="HHU1263" s="52"/>
      <c r="HHV1263" s="52"/>
      <c r="HHW1263" s="52"/>
      <c r="HHX1263" s="52"/>
      <c r="HHY1263" s="52"/>
      <c r="HHZ1263" s="52"/>
      <c r="HIA1263" s="52"/>
      <c r="HIB1263" s="52"/>
      <c r="HIC1263" s="52"/>
      <c r="HID1263" s="52"/>
      <c r="HIE1263" s="52"/>
      <c r="HIF1263" s="52"/>
      <c r="HIG1263" s="52"/>
      <c r="HIH1263" s="52"/>
      <c r="HII1263" s="52"/>
      <c r="HIJ1263" s="52"/>
      <c r="HIK1263" s="52"/>
      <c r="HIL1263" s="52"/>
      <c r="HIM1263" s="52"/>
      <c r="HIN1263" s="52"/>
      <c r="HIO1263" s="52"/>
      <c r="HIP1263" s="52"/>
      <c r="HIQ1263" s="52"/>
      <c r="HIR1263" s="52"/>
      <c r="HIS1263" s="52"/>
      <c r="HIT1263" s="52"/>
      <c r="HIU1263" s="52"/>
      <c r="HIV1263" s="52"/>
      <c r="HIW1263" s="52"/>
      <c r="HIX1263" s="52"/>
      <c r="HIY1263" s="52"/>
      <c r="HIZ1263" s="52"/>
      <c r="HJA1263" s="52"/>
      <c r="HJB1263" s="52"/>
      <c r="HJC1263" s="52"/>
      <c r="HJD1263" s="52"/>
      <c r="HJE1263" s="52"/>
      <c r="HJF1263" s="52"/>
      <c r="HJG1263" s="52"/>
      <c r="HJH1263" s="52"/>
      <c r="HJI1263" s="52"/>
      <c r="HJJ1263" s="52"/>
      <c r="HJK1263" s="52"/>
      <c r="HJL1263" s="52"/>
      <c r="HJM1263" s="52"/>
      <c r="HJN1263" s="52"/>
      <c r="HJO1263" s="52"/>
      <c r="HJP1263" s="52"/>
      <c r="HJQ1263" s="52"/>
      <c r="HJR1263" s="52"/>
      <c r="HJS1263" s="52"/>
      <c r="HJT1263" s="52"/>
      <c r="HJU1263" s="52"/>
      <c r="HJV1263" s="52"/>
      <c r="HJW1263" s="52"/>
      <c r="HJX1263" s="52"/>
      <c r="HJY1263" s="52"/>
      <c r="HJZ1263" s="52"/>
      <c r="HKA1263" s="52"/>
      <c r="HKB1263" s="52"/>
      <c r="HKC1263" s="52"/>
      <c r="HKD1263" s="52"/>
      <c r="HKE1263" s="52"/>
      <c r="HKF1263" s="52"/>
      <c r="HKG1263" s="52"/>
      <c r="HKH1263" s="52"/>
      <c r="HKI1263" s="52"/>
      <c r="HKJ1263" s="52"/>
      <c r="HKK1263" s="52"/>
      <c r="HKL1263" s="52"/>
      <c r="HKM1263" s="52"/>
      <c r="HKN1263" s="52"/>
      <c r="HKO1263" s="52"/>
      <c r="HKP1263" s="52"/>
      <c r="HKQ1263" s="52"/>
      <c r="HKR1263" s="52"/>
      <c r="HKS1263" s="52"/>
      <c r="HKT1263" s="52"/>
      <c r="HKU1263" s="52"/>
      <c r="HKV1263" s="52"/>
      <c r="HKW1263" s="52"/>
      <c r="HKX1263" s="52"/>
      <c r="HKY1263" s="52"/>
      <c r="HKZ1263" s="52"/>
      <c r="HLA1263" s="52"/>
      <c r="HLB1263" s="52"/>
      <c r="HLC1263" s="52"/>
      <c r="HLD1263" s="52"/>
      <c r="HLE1263" s="52"/>
      <c r="HLF1263" s="52"/>
      <c r="HLG1263" s="52"/>
      <c r="HLH1263" s="52"/>
      <c r="HLI1263" s="52"/>
      <c r="HLJ1263" s="52"/>
      <c r="HLK1263" s="52"/>
      <c r="HLL1263" s="52"/>
      <c r="HLM1263" s="52"/>
      <c r="HLN1263" s="52"/>
      <c r="HLO1263" s="52"/>
      <c r="HLP1263" s="52"/>
      <c r="HLQ1263" s="52"/>
      <c r="HLR1263" s="52"/>
      <c r="HLS1263" s="52"/>
      <c r="HLT1263" s="52"/>
      <c r="HLU1263" s="52"/>
      <c r="HLV1263" s="52"/>
      <c r="HLW1263" s="52"/>
      <c r="HLX1263" s="52"/>
      <c r="HLY1263" s="52"/>
      <c r="HLZ1263" s="52"/>
      <c r="HMA1263" s="52"/>
      <c r="HMB1263" s="52"/>
      <c r="HMC1263" s="52"/>
      <c r="HMD1263" s="52"/>
      <c r="HME1263" s="52"/>
      <c r="HMF1263" s="52"/>
      <c r="HMG1263" s="52"/>
      <c r="HMH1263" s="52"/>
      <c r="HMI1263" s="52"/>
      <c r="HMJ1263" s="52"/>
      <c r="HMK1263" s="52"/>
      <c r="HML1263" s="52"/>
      <c r="HMM1263" s="52"/>
      <c r="HMN1263" s="52"/>
      <c r="HMO1263" s="52"/>
      <c r="HMP1263" s="52"/>
      <c r="HMQ1263" s="52"/>
      <c r="HMR1263" s="52"/>
      <c r="HMS1263" s="52"/>
      <c r="HMT1263" s="52"/>
      <c r="HMU1263" s="52"/>
      <c r="HMV1263" s="52"/>
      <c r="HMW1263" s="52"/>
      <c r="HMX1263" s="52"/>
      <c r="HMY1263" s="52"/>
      <c r="HMZ1263" s="52"/>
      <c r="HNA1263" s="52"/>
      <c r="HNB1263" s="52"/>
      <c r="HNC1263" s="52"/>
      <c r="HND1263" s="52"/>
      <c r="HNE1263" s="52"/>
      <c r="HNF1263" s="52"/>
      <c r="HNG1263" s="52"/>
      <c r="HNH1263" s="52"/>
      <c r="HNI1263" s="52"/>
      <c r="HNJ1263" s="52"/>
      <c r="HNK1263" s="52"/>
      <c r="HNL1263" s="52"/>
      <c r="HNM1263" s="52"/>
      <c r="HNN1263" s="52"/>
      <c r="HNO1263" s="52"/>
      <c r="HNP1263" s="52"/>
      <c r="HNQ1263" s="52"/>
      <c r="HNR1263" s="52"/>
      <c r="HNS1263" s="52"/>
      <c r="HNT1263" s="52"/>
      <c r="HNU1263" s="52"/>
      <c r="HNV1263" s="52"/>
      <c r="HNW1263" s="52"/>
      <c r="HNX1263" s="52"/>
      <c r="HNY1263" s="52"/>
      <c r="HNZ1263" s="52"/>
      <c r="HOA1263" s="52"/>
      <c r="HOB1263" s="52"/>
      <c r="HOC1263" s="52"/>
      <c r="HOD1263" s="52"/>
      <c r="HOE1263" s="52"/>
      <c r="HOF1263" s="52"/>
      <c r="HOG1263" s="52"/>
      <c r="HOH1263" s="52"/>
      <c r="HOI1263" s="52"/>
      <c r="HOJ1263" s="52"/>
      <c r="HOK1263" s="52"/>
      <c r="HOL1263" s="52"/>
      <c r="HOM1263" s="52"/>
      <c r="HON1263" s="52"/>
      <c r="HOO1263" s="52"/>
      <c r="HOP1263" s="52"/>
      <c r="HOQ1263" s="52"/>
      <c r="HOR1263" s="52"/>
      <c r="HOS1263" s="52"/>
      <c r="HOT1263" s="52"/>
      <c r="HOU1263" s="52"/>
      <c r="HOV1263" s="52"/>
      <c r="HOW1263" s="52"/>
      <c r="HOX1263" s="52"/>
      <c r="HOY1263" s="52"/>
      <c r="HOZ1263" s="52"/>
      <c r="HPA1263" s="52"/>
      <c r="HPB1263" s="52"/>
      <c r="HPC1263" s="52"/>
      <c r="HPD1263" s="52"/>
      <c r="HPE1263" s="52"/>
      <c r="HPF1263" s="52"/>
      <c r="HPG1263" s="52"/>
      <c r="HPH1263" s="52"/>
      <c r="HPI1263" s="52"/>
      <c r="HPJ1263" s="52"/>
      <c r="HPK1263" s="52"/>
      <c r="HPL1263" s="52"/>
      <c r="HPM1263" s="52"/>
      <c r="HPN1263" s="52"/>
      <c r="HPO1263" s="52"/>
      <c r="HPP1263" s="52"/>
      <c r="HPQ1263" s="52"/>
      <c r="HPR1263" s="52"/>
      <c r="HPS1263" s="52"/>
      <c r="HPT1263" s="52"/>
      <c r="HPU1263" s="52"/>
      <c r="HPV1263" s="52"/>
      <c r="HPW1263" s="52"/>
      <c r="HPX1263" s="52"/>
      <c r="HPY1263" s="52"/>
      <c r="HPZ1263" s="52"/>
      <c r="HQA1263" s="52"/>
      <c r="HQB1263" s="52"/>
      <c r="HQC1263" s="52"/>
      <c r="HQD1263" s="52"/>
      <c r="HQE1263" s="52"/>
      <c r="HQF1263" s="52"/>
      <c r="HQG1263" s="52"/>
      <c r="HQH1263" s="52"/>
      <c r="HQI1263" s="52"/>
      <c r="HQJ1263" s="52"/>
      <c r="HQK1263" s="52"/>
      <c r="HQL1263" s="52"/>
      <c r="HQM1263" s="52"/>
      <c r="HQN1263" s="52"/>
      <c r="HQO1263" s="52"/>
      <c r="HQP1263" s="52"/>
      <c r="HQQ1263" s="52"/>
      <c r="HQR1263" s="52"/>
      <c r="HQS1263" s="52"/>
      <c r="HQT1263" s="52"/>
      <c r="HQU1263" s="52"/>
      <c r="HQV1263" s="52"/>
      <c r="HQW1263" s="52"/>
      <c r="HQX1263" s="52"/>
      <c r="HQY1263" s="52"/>
      <c r="HQZ1263" s="52"/>
      <c r="HRA1263" s="52"/>
      <c r="HRB1263" s="52"/>
      <c r="HRC1263" s="52"/>
      <c r="HRD1263" s="52"/>
      <c r="HRE1263" s="52"/>
      <c r="HRF1263" s="52"/>
      <c r="HRG1263" s="52"/>
      <c r="HRH1263" s="52"/>
      <c r="HRI1263" s="52"/>
      <c r="HRJ1263" s="52"/>
      <c r="HRK1263" s="52"/>
      <c r="HRL1263" s="52"/>
      <c r="HRM1263" s="52"/>
      <c r="HRN1263" s="52"/>
      <c r="HRO1263" s="52"/>
      <c r="HRP1263" s="52"/>
      <c r="HRQ1263" s="52"/>
      <c r="HRR1263" s="52"/>
      <c r="HRS1263" s="52"/>
      <c r="HRT1263" s="52"/>
      <c r="HRU1263" s="52"/>
      <c r="HRV1263" s="52"/>
      <c r="HRW1263" s="52"/>
      <c r="HRX1263" s="52"/>
      <c r="HRY1263" s="52"/>
      <c r="HRZ1263" s="52"/>
      <c r="HSA1263" s="52"/>
      <c r="HSB1263" s="52"/>
      <c r="HSC1263" s="52"/>
      <c r="HSD1263" s="52"/>
      <c r="HSE1263" s="52"/>
      <c r="HSF1263" s="52"/>
      <c r="HSG1263" s="52"/>
      <c r="HSH1263" s="52"/>
      <c r="HSI1263" s="52"/>
      <c r="HSJ1263" s="52"/>
      <c r="HSK1263" s="52"/>
      <c r="HSL1263" s="52"/>
      <c r="HSM1263" s="52"/>
      <c r="HSN1263" s="52"/>
      <c r="HSO1263" s="52"/>
      <c r="HSP1263" s="52"/>
      <c r="HSQ1263" s="52"/>
      <c r="HSR1263" s="52"/>
      <c r="HSS1263" s="52"/>
      <c r="HST1263" s="52"/>
      <c r="HSU1263" s="52"/>
      <c r="HSV1263" s="52"/>
      <c r="HSW1263" s="52"/>
      <c r="HSX1263" s="52"/>
      <c r="HSY1263" s="52"/>
      <c r="HSZ1263" s="52"/>
      <c r="HTA1263" s="52"/>
      <c r="HTB1263" s="52"/>
      <c r="HTC1263" s="52"/>
      <c r="HTD1263" s="52"/>
      <c r="HTE1263" s="52"/>
      <c r="HTF1263" s="52"/>
      <c r="HTG1263" s="52"/>
      <c r="HTH1263" s="52"/>
      <c r="HTI1263" s="52"/>
      <c r="HTJ1263" s="52"/>
      <c r="HTK1263" s="52"/>
      <c r="HTL1263" s="52"/>
      <c r="HTM1263" s="52"/>
      <c r="HTN1263" s="52"/>
      <c r="HTO1263" s="52"/>
      <c r="HTP1263" s="52"/>
      <c r="HTQ1263" s="52"/>
      <c r="HTR1263" s="52"/>
      <c r="HTS1263" s="52"/>
      <c r="HTT1263" s="52"/>
      <c r="HTU1263" s="52"/>
      <c r="HTV1263" s="52"/>
      <c r="HTW1263" s="52"/>
      <c r="HTX1263" s="52"/>
      <c r="HTY1263" s="52"/>
      <c r="HTZ1263" s="52"/>
      <c r="HUA1263" s="52"/>
      <c r="HUB1263" s="52"/>
      <c r="HUC1263" s="52"/>
      <c r="HUD1263" s="52"/>
      <c r="HUE1263" s="52"/>
      <c r="HUF1263" s="52"/>
      <c r="HUG1263" s="52"/>
      <c r="HUH1263" s="52"/>
      <c r="HUI1263" s="52"/>
      <c r="HUJ1263" s="52"/>
      <c r="HUK1263" s="52"/>
      <c r="HUL1263" s="52"/>
      <c r="HUM1263" s="52"/>
      <c r="HUN1263" s="52"/>
      <c r="HUO1263" s="52"/>
      <c r="HUP1263" s="52"/>
      <c r="HUQ1263" s="52"/>
      <c r="HUR1263" s="52"/>
      <c r="HUS1263" s="52"/>
      <c r="HUT1263" s="52"/>
      <c r="HUU1263" s="52"/>
      <c r="HUV1263" s="52"/>
      <c r="HUW1263" s="52"/>
      <c r="HUX1263" s="52"/>
      <c r="HUY1263" s="52"/>
      <c r="HUZ1263" s="52"/>
      <c r="HVA1263" s="52"/>
      <c r="HVB1263" s="52"/>
      <c r="HVC1263" s="52"/>
      <c r="HVD1263" s="52"/>
      <c r="HVE1263" s="52"/>
      <c r="HVF1263" s="52"/>
      <c r="HVG1263" s="52"/>
      <c r="HVH1263" s="52"/>
      <c r="HVI1263" s="52"/>
      <c r="HVJ1263" s="52"/>
      <c r="HVK1263" s="52"/>
      <c r="HVL1263" s="52"/>
      <c r="HVM1263" s="52"/>
      <c r="HVN1263" s="52"/>
      <c r="HVO1263" s="52"/>
      <c r="HVP1263" s="52"/>
      <c r="HVQ1263" s="52"/>
      <c r="HVR1263" s="52"/>
      <c r="HVS1263" s="52"/>
      <c r="HVT1263" s="52"/>
      <c r="HVU1263" s="52"/>
      <c r="HVV1263" s="52"/>
      <c r="HVW1263" s="52"/>
      <c r="HVX1263" s="52"/>
      <c r="HVY1263" s="52"/>
      <c r="HVZ1263" s="52"/>
      <c r="HWA1263" s="52"/>
      <c r="HWB1263" s="52"/>
      <c r="HWC1263" s="52"/>
      <c r="HWD1263" s="52"/>
      <c r="HWE1263" s="52"/>
      <c r="HWF1263" s="52"/>
      <c r="HWG1263" s="52"/>
      <c r="HWH1263" s="52"/>
      <c r="HWI1263" s="52"/>
      <c r="HWJ1263" s="52"/>
      <c r="HWK1263" s="52"/>
      <c r="HWL1263" s="52"/>
      <c r="HWM1263" s="52"/>
      <c r="HWN1263" s="52"/>
      <c r="HWO1263" s="52"/>
      <c r="HWP1263" s="52"/>
      <c r="HWQ1263" s="52"/>
      <c r="HWR1263" s="52"/>
      <c r="HWS1263" s="52"/>
      <c r="HWT1263" s="52"/>
      <c r="HWU1263" s="52"/>
      <c r="HWV1263" s="52"/>
      <c r="HWW1263" s="52"/>
      <c r="HWX1263" s="52"/>
      <c r="HWY1263" s="52"/>
      <c r="HWZ1263" s="52"/>
      <c r="HXA1263" s="52"/>
      <c r="HXB1263" s="52"/>
      <c r="HXC1263" s="52"/>
      <c r="HXD1263" s="52"/>
      <c r="HXE1263" s="52"/>
      <c r="HXF1263" s="52"/>
      <c r="HXG1263" s="52"/>
      <c r="HXH1263" s="52"/>
      <c r="HXI1263" s="52"/>
      <c r="HXJ1263" s="52"/>
      <c r="HXK1263" s="52"/>
      <c r="HXL1263" s="52"/>
      <c r="HXM1263" s="52"/>
      <c r="HXN1263" s="52"/>
      <c r="HXO1263" s="52"/>
      <c r="HXP1263" s="52"/>
      <c r="HXQ1263" s="52"/>
      <c r="HXR1263" s="52"/>
      <c r="HXS1263" s="52"/>
      <c r="HXT1263" s="52"/>
      <c r="HXU1263" s="52"/>
      <c r="HXV1263" s="52"/>
      <c r="HXW1263" s="52"/>
      <c r="HXX1263" s="52"/>
      <c r="HXY1263" s="52"/>
      <c r="HXZ1263" s="52"/>
      <c r="HYA1263" s="52"/>
      <c r="HYB1263" s="52"/>
      <c r="HYC1263" s="52"/>
      <c r="HYD1263" s="52"/>
      <c r="HYE1263" s="52"/>
      <c r="HYF1263" s="52"/>
      <c r="HYG1263" s="52"/>
      <c r="HYH1263" s="52"/>
      <c r="HYI1263" s="52"/>
      <c r="HYJ1263" s="52"/>
      <c r="HYK1263" s="52"/>
      <c r="HYL1263" s="52"/>
      <c r="HYM1263" s="52"/>
      <c r="HYN1263" s="52"/>
      <c r="HYO1263" s="52"/>
      <c r="HYP1263" s="52"/>
      <c r="HYQ1263" s="52"/>
      <c r="HYR1263" s="52"/>
      <c r="HYS1263" s="52"/>
      <c r="HYT1263" s="52"/>
      <c r="HYU1263" s="52"/>
      <c r="HYV1263" s="52"/>
      <c r="HYW1263" s="52"/>
      <c r="HYX1263" s="52"/>
      <c r="HYY1263" s="52"/>
      <c r="HYZ1263" s="52"/>
      <c r="HZA1263" s="52"/>
      <c r="HZB1263" s="52"/>
      <c r="HZC1263" s="52"/>
      <c r="HZD1263" s="52"/>
      <c r="HZE1263" s="52"/>
      <c r="HZF1263" s="52"/>
      <c r="HZG1263" s="52"/>
      <c r="HZH1263" s="52"/>
      <c r="HZI1263" s="52"/>
      <c r="HZJ1263" s="52"/>
      <c r="HZK1263" s="52"/>
      <c r="HZL1263" s="52"/>
      <c r="HZM1263" s="52"/>
      <c r="HZN1263" s="52"/>
      <c r="HZO1263" s="52"/>
      <c r="HZP1263" s="52"/>
      <c r="HZQ1263" s="52"/>
      <c r="HZR1263" s="52"/>
      <c r="HZS1263" s="52"/>
      <c r="HZT1263" s="52"/>
      <c r="HZU1263" s="52"/>
      <c r="HZV1263" s="52"/>
      <c r="HZW1263" s="52"/>
      <c r="HZX1263" s="52"/>
      <c r="HZY1263" s="52"/>
      <c r="HZZ1263" s="52"/>
      <c r="IAA1263" s="52"/>
      <c r="IAB1263" s="52"/>
      <c r="IAC1263" s="52"/>
      <c r="IAD1263" s="52"/>
      <c r="IAE1263" s="52"/>
      <c r="IAF1263" s="52"/>
      <c r="IAG1263" s="52"/>
      <c r="IAH1263" s="52"/>
      <c r="IAI1263" s="52"/>
      <c r="IAJ1263" s="52"/>
      <c r="IAK1263" s="52"/>
      <c r="IAL1263" s="52"/>
      <c r="IAM1263" s="52"/>
      <c r="IAN1263" s="52"/>
      <c r="IAO1263" s="52"/>
      <c r="IAP1263" s="52"/>
      <c r="IAQ1263" s="52"/>
      <c r="IAR1263" s="52"/>
      <c r="IAS1263" s="52"/>
      <c r="IAT1263" s="52"/>
      <c r="IAU1263" s="52"/>
      <c r="IAV1263" s="52"/>
      <c r="IAW1263" s="52"/>
      <c r="IAX1263" s="52"/>
      <c r="IAY1263" s="52"/>
      <c r="IAZ1263" s="52"/>
      <c r="IBA1263" s="52"/>
      <c r="IBB1263" s="52"/>
      <c r="IBC1263" s="52"/>
      <c r="IBD1263" s="52"/>
      <c r="IBE1263" s="52"/>
      <c r="IBF1263" s="52"/>
      <c r="IBG1263" s="52"/>
      <c r="IBH1263" s="52"/>
      <c r="IBI1263" s="52"/>
      <c r="IBJ1263" s="52"/>
      <c r="IBK1263" s="52"/>
      <c r="IBL1263" s="52"/>
      <c r="IBM1263" s="52"/>
      <c r="IBN1263" s="52"/>
      <c r="IBO1263" s="52"/>
      <c r="IBP1263" s="52"/>
      <c r="IBQ1263" s="52"/>
      <c r="IBR1263" s="52"/>
      <c r="IBS1263" s="52"/>
      <c r="IBT1263" s="52"/>
      <c r="IBU1263" s="52"/>
      <c r="IBV1263" s="52"/>
      <c r="IBW1263" s="52"/>
      <c r="IBX1263" s="52"/>
      <c r="IBY1263" s="52"/>
      <c r="IBZ1263" s="52"/>
      <c r="ICA1263" s="52"/>
      <c r="ICB1263" s="52"/>
      <c r="ICC1263" s="52"/>
      <c r="ICD1263" s="52"/>
      <c r="ICE1263" s="52"/>
      <c r="ICF1263" s="52"/>
      <c r="ICG1263" s="52"/>
      <c r="ICH1263" s="52"/>
      <c r="ICI1263" s="52"/>
      <c r="ICJ1263" s="52"/>
      <c r="ICK1263" s="52"/>
      <c r="ICL1263" s="52"/>
      <c r="ICM1263" s="52"/>
      <c r="ICN1263" s="52"/>
      <c r="ICO1263" s="52"/>
      <c r="ICP1263" s="52"/>
      <c r="ICQ1263" s="52"/>
      <c r="ICR1263" s="52"/>
      <c r="ICS1263" s="52"/>
      <c r="ICT1263" s="52"/>
      <c r="ICU1263" s="52"/>
      <c r="ICV1263" s="52"/>
      <c r="ICW1263" s="52"/>
      <c r="ICX1263" s="52"/>
      <c r="ICY1263" s="52"/>
      <c r="ICZ1263" s="52"/>
      <c r="IDA1263" s="52"/>
      <c r="IDB1263" s="52"/>
      <c r="IDC1263" s="52"/>
      <c r="IDD1263" s="52"/>
      <c r="IDE1263" s="52"/>
      <c r="IDF1263" s="52"/>
      <c r="IDG1263" s="52"/>
      <c r="IDH1263" s="52"/>
      <c r="IDI1263" s="52"/>
      <c r="IDJ1263" s="52"/>
      <c r="IDK1263" s="52"/>
      <c r="IDL1263" s="52"/>
      <c r="IDM1263" s="52"/>
      <c r="IDN1263" s="52"/>
      <c r="IDO1263" s="52"/>
      <c r="IDP1263" s="52"/>
      <c r="IDQ1263" s="52"/>
      <c r="IDR1263" s="52"/>
      <c r="IDS1263" s="52"/>
      <c r="IDT1263" s="52"/>
      <c r="IDU1263" s="52"/>
      <c r="IDV1263" s="52"/>
      <c r="IDW1263" s="52"/>
      <c r="IDX1263" s="52"/>
      <c r="IDY1263" s="52"/>
      <c r="IDZ1263" s="52"/>
      <c r="IEA1263" s="52"/>
      <c r="IEB1263" s="52"/>
      <c r="IEC1263" s="52"/>
      <c r="IED1263" s="52"/>
      <c r="IEE1263" s="52"/>
      <c r="IEF1263" s="52"/>
      <c r="IEG1263" s="52"/>
      <c r="IEH1263" s="52"/>
      <c r="IEI1263" s="52"/>
      <c r="IEJ1263" s="52"/>
      <c r="IEK1263" s="52"/>
      <c r="IEL1263" s="52"/>
      <c r="IEM1263" s="52"/>
      <c r="IEN1263" s="52"/>
      <c r="IEO1263" s="52"/>
      <c r="IEP1263" s="52"/>
      <c r="IEQ1263" s="52"/>
      <c r="IER1263" s="52"/>
      <c r="IES1263" s="52"/>
      <c r="IET1263" s="52"/>
      <c r="IEU1263" s="52"/>
      <c r="IEV1263" s="52"/>
      <c r="IEW1263" s="52"/>
      <c r="IEX1263" s="52"/>
      <c r="IEY1263" s="52"/>
      <c r="IEZ1263" s="52"/>
      <c r="IFA1263" s="52"/>
      <c r="IFB1263" s="52"/>
      <c r="IFC1263" s="52"/>
      <c r="IFD1263" s="52"/>
      <c r="IFE1263" s="52"/>
      <c r="IFF1263" s="52"/>
      <c r="IFG1263" s="52"/>
      <c r="IFH1263" s="52"/>
      <c r="IFI1263" s="52"/>
      <c r="IFJ1263" s="52"/>
      <c r="IFK1263" s="52"/>
      <c r="IFL1263" s="52"/>
      <c r="IFM1263" s="52"/>
      <c r="IFN1263" s="52"/>
      <c r="IFO1263" s="52"/>
      <c r="IFP1263" s="52"/>
      <c r="IFQ1263" s="52"/>
      <c r="IFR1263" s="52"/>
      <c r="IFS1263" s="52"/>
      <c r="IFT1263" s="52"/>
      <c r="IFU1263" s="52"/>
      <c r="IFV1263" s="52"/>
      <c r="IFW1263" s="52"/>
      <c r="IFX1263" s="52"/>
      <c r="IFY1263" s="52"/>
      <c r="IFZ1263" s="52"/>
      <c r="IGA1263" s="52"/>
      <c r="IGB1263" s="52"/>
      <c r="IGC1263" s="52"/>
      <c r="IGD1263" s="52"/>
      <c r="IGE1263" s="52"/>
      <c r="IGF1263" s="52"/>
      <c r="IGG1263" s="52"/>
      <c r="IGH1263" s="52"/>
      <c r="IGI1263" s="52"/>
      <c r="IGJ1263" s="52"/>
      <c r="IGK1263" s="52"/>
      <c r="IGL1263" s="52"/>
      <c r="IGM1263" s="52"/>
      <c r="IGN1263" s="52"/>
      <c r="IGO1263" s="52"/>
      <c r="IGP1263" s="52"/>
      <c r="IGQ1263" s="52"/>
      <c r="IGR1263" s="52"/>
      <c r="IGS1263" s="52"/>
      <c r="IGT1263" s="52"/>
      <c r="IGU1263" s="52"/>
      <c r="IGV1263" s="52"/>
      <c r="IGW1263" s="52"/>
      <c r="IGX1263" s="52"/>
      <c r="IGY1263" s="52"/>
      <c r="IGZ1263" s="52"/>
      <c r="IHA1263" s="52"/>
      <c r="IHB1263" s="52"/>
      <c r="IHC1263" s="52"/>
      <c r="IHD1263" s="52"/>
      <c r="IHE1263" s="52"/>
      <c r="IHF1263" s="52"/>
      <c r="IHG1263" s="52"/>
      <c r="IHH1263" s="52"/>
      <c r="IHI1263" s="52"/>
      <c r="IHJ1263" s="52"/>
      <c r="IHK1263" s="52"/>
      <c r="IHL1263" s="52"/>
      <c r="IHM1263" s="52"/>
      <c r="IHN1263" s="52"/>
      <c r="IHO1263" s="52"/>
      <c r="IHP1263" s="52"/>
      <c r="IHQ1263" s="52"/>
      <c r="IHR1263" s="52"/>
      <c r="IHS1263" s="52"/>
      <c r="IHT1263" s="52"/>
      <c r="IHU1263" s="52"/>
      <c r="IHV1263" s="52"/>
      <c r="IHW1263" s="52"/>
      <c r="IHX1263" s="52"/>
      <c r="IHY1263" s="52"/>
      <c r="IHZ1263" s="52"/>
      <c r="IIA1263" s="52"/>
      <c r="IIB1263" s="52"/>
      <c r="IIC1263" s="52"/>
      <c r="IID1263" s="52"/>
      <c r="IIE1263" s="52"/>
      <c r="IIF1263" s="52"/>
      <c r="IIG1263" s="52"/>
      <c r="IIH1263" s="52"/>
      <c r="III1263" s="52"/>
      <c r="IIJ1263" s="52"/>
      <c r="IIK1263" s="52"/>
      <c r="IIL1263" s="52"/>
      <c r="IIM1263" s="52"/>
      <c r="IIN1263" s="52"/>
      <c r="IIO1263" s="52"/>
      <c r="IIP1263" s="52"/>
      <c r="IIQ1263" s="52"/>
      <c r="IIR1263" s="52"/>
      <c r="IIS1263" s="52"/>
      <c r="IIT1263" s="52"/>
      <c r="IIU1263" s="52"/>
      <c r="IIV1263" s="52"/>
      <c r="IIW1263" s="52"/>
      <c r="IIX1263" s="52"/>
      <c r="IIY1263" s="52"/>
      <c r="IIZ1263" s="52"/>
      <c r="IJA1263" s="52"/>
      <c r="IJB1263" s="52"/>
      <c r="IJC1263" s="52"/>
      <c r="IJD1263" s="52"/>
      <c r="IJE1263" s="52"/>
      <c r="IJF1263" s="52"/>
      <c r="IJG1263" s="52"/>
      <c r="IJH1263" s="52"/>
      <c r="IJI1263" s="52"/>
      <c r="IJJ1263" s="52"/>
      <c r="IJK1263" s="52"/>
      <c r="IJL1263" s="52"/>
      <c r="IJM1263" s="52"/>
      <c r="IJN1263" s="52"/>
      <c r="IJO1263" s="52"/>
      <c r="IJP1263" s="52"/>
      <c r="IJQ1263" s="52"/>
      <c r="IJR1263" s="52"/>
      <c r="IJS1263" s="52"/>
      <c r="IJT1263" s="52"/>
      <c r="IJU1263" s="52"/>
      <c r="IJV1263" s="52"/>
      <c r="IJW1263" s="52"/>
      <c r="IJX1263" s="52"/>
      <c r="IJY1263" s="52"/>
      <c r="IJZ1263" s="52"/>
      <c r="IKA1263" s="52"/>
      <c r="IKB1263" s="52"/>
      <c r="IKC1263" s="52"/>
      <c r="IKD1263" s="52"/>
      <c r="IKE1263" s="52"/>
      <c r="IKF1263" s="52"/>
      <c r="IKG1263" s="52"/>
      <c r="IKH1263" s="52"/>
      <c r="IKI1263" s="52"/>
      <c r="IKJ1263" s="52"/>
      <c r="IKK1263" s="52"/>
      <c r="IKL1263" s="52"/>
      <c r="IKM1263" s="52"/>
      <c r="IKN1263" s="52"/>
      <c r="IKO1263" s="52"/>
      <c r="IKP1263" s="52"/>
      <c r="IKQ1263" s="52"/>
      <c r="IKR1263" s="52"/>
      <c r="IKS1263" s="52"/>
      <c r="IKT1263" s="52"/>
      <c r="IKU1263" s="52"/>
      <c r="IKV1263" s="52"/>
      <c r="IKW1263" s="52"/>
      <c r="IKX1263" s="52"/>
      <c r="IKY1263" s="52"/>
      <c r="IKZ1263" s="52"/>
      <c r="ILA1263" s="52"/>
      <c r="ILB1263" s="52"/>
      <c r="ILC1263" s="52"/>
      <c r="ILD1263" s="52"/>
      <c r="ILE1263" s="52"/>
      <c r="ILF1263" s="52"/>
      <c r="ILG1263" s="52"/>
      <c r="ILH1263" s="52"/>
      <c r="ILI1263" s="52"/>
      <c r="ILJ1263" s="52"/>
      <c r="ILK1263" s="52"/>
      <c r="ILL1263" s="52"/>
      <c r="ILM1263" s="52"/>
      <c r="ILN1263" s="52"/>
      <c r="ILO1263" s="52"/>
      <c r="ILP1263" s="52"/>
      <c r="ILQ1263" s="52"/>
      <c r="ILR1263" s="52"/>
      <c r="ILS1263" s="52"/>
      <c r="ILT1263" s="52"/>
      <c r="ILU1263" s="52"/>
      <c r="ILV1263" s="52"/>
      <c r="ILW1263" s="52"/>
      <c r="ILX1263" s="52"/>
      <c r="ILY1263" s="52"/>
      <c r="ILZ1263" s="52"/>
      <c r="IMA1263" s="52"/>
      <c r="IMB1263" s="52"/>
      <c r="IMC1263" s="52"/>
      <c r="IMD1263" s="52"/>
      <c r="IME1263" s="52"/>
      <c r="IMF1263" s="52"/>
      <c r="IMG1263" s="52"/>
      <c r="IMH1263" s="52"/>
      <c r="IMI1263" s="52"/>
      <c r="IMJ1263" s="52"/>
      <c r="IMK1263" s="52"/>
      <c r="IML1263" s="52"/>
      <c r="IMM1263" s="52"/>
      <c r="IMN1263" s="52"/>
      <c r="IMO1263" s="52"/>
      <c r="IMP1263" s="52"/>
      <c r="IMQ1263" s="52"/>
      <c r="IMR1263" s="52"/>
      <c r="IMS1263" s="52"/>
      <c r="IMT1263" s="52"/>
      <c r="IMU1263" s="52"/>
      <c r="IMV1263" s="52"/>
      <c r="IMW1263" s="52"/>
      <c r="IMX1263" s="52"/>
      <c r="IMY1263" s="52"/>
      <c r="IMZ1263" s="52"/>
      <c r="INA1263" s="52"/>
      <c r="INB1263" s="52"/>
      <c r="INC1263" s="52"/>
      <c r="IND1263" s="52"/>
      <c r="INE1263" s="52"/>
      <c r="INF1263" s="52"/>
      <c r="ING1263" s="52"/>
      <c r="INH1263" s="52"/>
      <c r="INI1263" s="52"/>
      <c r="INJ1263" s="52"/>
      <c r="INK1263" s="52"/>
      <c r="INL1263" s="52"/>
      <c r="INM1263" s="52"/>
      <c r="INN1263" s="52"/>
      <c r="INO1263" s="52"/>
      <c r="INP1263" s="52"/>
      <c r="INQ1263" s="52"/>
      <c r="INR1263" s="52"/>
      <c r="INS1263" s="52"/>
      <c r="INT1263" s="52"/>
      <c r="INU1263" s="52"/>
      <c r="INV1263" s="52"/>
      <c r="INW1263" s="52"/>
      <c r="INX1263" s="52"/>
      <c r="INY1263" s="52"/>
      <c r="INZ1263" s="52"/>
      <c r="IOA1263" s="52"/>
      <c r="IOB1263" s="52"/>
      <c r="IOC1263" s="52"/>
      <c r="IOD1263" s="52"/>
      <c r="IOE1263" s="52"/>
      <c r="IOF1263" s="52"/>
      <c r="IOG1263" s="52"/>
      <c r="IOH1263" s="52"/>
      <c r="IOI1263" s="52"/>
      <c r="IOJ1263" s="52"/>
      <c r="IOK1263" s="52"/>
      <c r="IOL1263" s="52"/>
      <c r="IOM1263" s="52"/>
      <c r="ION1263" s="52"/>
      <c r="IOO1263" s="52"/>
      <c r="IOP1263" s="52"/>
      <c r="IOQ1263" s="52"/>
      <c r="IOR1263" s="52"/>
      <c r="IOS1263" s="52"/>
      <c r="IOT1263" s="52"/>
      <c r="IOU1263" s="52"/>
      <c r="IOV1263" s="52"/>
      <c r="IOW1263" s="52"/>
      <c r="IOX1263" s="52"/>
      <c r="IOY1263" s="52"/>
      <c r="IOZ1263" s="52"/>
      <c r="IPA1263" s="52"/>
      <c r="IPB1263" s="52"/>
      <c r="IPC1263" s="52"/>
      <c r="IPD1263" s="52"/>
      <c r="IPE1263" s="52"/>
      <c r="IPF1263" s="52"/>
      <c r="IPG1263" s="52"/>
      <c r="IPH1263" s="52"/>
      <c r="IPI1263" s="52"/>
      <c r="IPJ1263" s="52"/>
      <c r="IPK1263" s="52"/>
      <c r="IPL1263" s="52"/>
      <c r="IPM1263" s="52"/>
      <c r="IPN1263" s="52"/>
      <c r="IPO1263" s="52"/>
      <c r="IPP1263" s="52"/>
      <c r="IPQ1263" s="52"/>
      <c r="IPR1263" s="52"/>
      <c r="IPS1263" s="52"/>
      <c r="IPT1263" s="52"/>
      <c r="IPU1263" s="52"/>
      <c r="IPV1263" s="52"/>
      <c r="IPW1263" s="52"/>
      <c r="IPX1263" s="52"/>
      <c r="IPY1263" s="52"/>
      <c r="IPZ1263" s="52"/>
      <c r="IQA1263" s="52"/>
      <c r="IQB1263" s="52"/>
      <c r="IQC1263" s="52"/>
      <c r="IQD1263" s="52"/>
      <c r="IQE1263" s="52"/>
      <c r="IQF1263" s="52"/>
      <c r="IQG1263" s="52"/>
      <c r="IQH1263" s="52"/>
      <c r="IQI1263" s="52"/>
      <c r="IQJ1263" s="52"/>
      <c r="IQK1263" s="52"/>
      <c r="IQL1263" s="52"/>
      <c r="IQM1263" s="52"/>
      <c r="IQN1263" s="52"/>
      <c r="IQO1263" s="52"/>
      <c r="IQP1263" s="52"/>
      <c r="IQQ1263" s="52"/>
      <c r="IQR1263" s="52"/>
      <c r="IQS1263" s="52"/>
      <c r="IQT1263" s="52"/>
      <c r="IQU1263" s="52"/>
      <c r="IQV1263" s="52"/>
      <c r="IQW1263" s="52"/>
      <c r="IQX1263" s="52"/>
      <c r="IQY1263" s="52"/>
      <c r="IQZ1263" s="52"/>
      <c r="IRA1263" s="52"/>
      <c r="IRB1263" s="52"/>
      <c r="IRC1263" s="52"/>
      <c r="IRD1263" s="52"/>
      <c r="IRE1263" s="52"/>
      <c r="IRF1263" s="52"/>
      <c r="IRG1263" s="52"/>
      <c r="IRH1263" s="52"/>
      <c r="IRI1263" s="52"/>
      <c r="IRJ1263" s="52"/>
      <c r="IRK1263" s="52"/>
      <c r="IRL1263" s="52"/>
      <c r="IRM1263" s="52"/>
      <c r="IRN1263" s="52"/>
      <c r="IRO1263" s="52"/>
      <c r="IRP1263" s="52"/>
      <c r="IRQ1263" s="52"/>
      <c r="IRR1263" s="52"/>
      <c r="IRS1263" s="52"/>
      <c r="IRT1263" s="52"/>
      <c r="IRU1263" s="52"/>
      <c r="IRV1263" s="52"/>
      <c r="IRW1263" s="52"/>
      <c r="IRX1263" s="52"/>
      <c r="IRY1263" s="52"/>
      <c r="IRZ1263" s="52"/>
      <c r="ISA1263" s="52"/>
      <c r="ISB1263" s="52"/>
      <c r="ISC1263" s="52"/>
      <c r="ISD1263" s="52"/>
      <c r="ISE1263" s="52"/>
      <c r="ISF1263" s="52"/>
      <c r="ISG1263" s="52"/>
      <c r="ISH1263" s="52"/>
      <c r="ISI1263" s="52"/>
      <c r="ISJ1263" s="52"/>
      <c r="ISK1263" s="52"/>
      <c r="ISL1263" s="52"/>
      <c r="ISM1263" s="52"/>
      <c r="ISN1263" s="52"/>
      <c r="ISO1263" s="52"/>
      <c r="ISP1263" s="52"/>
      <c r="ISQ1263" s="52"/>
      <c r="ISR1263" s="52"/>
      <c r="ISS1263" s="52"/>
      <c r="IST1263" s="52"/>
      <c r="ISU1263" s="52"/>
      <c r="ISV1263" s="52"/>
      <c r="ISW1263" s="52"/>
      <c r="ISX1263" s="52"/>
      <c r="ISY1263" s="52"/>
      <c r="ISZ1263" s="52"/>
      <c r="ITA1263" s="52"/>
      <c r="ITB1263" s="52"/>
      <c r="ITC1263" s="52"/>
      <c r="ITD1263" s="52"/>
      <c r="ITE1263" s="52"/>
      <c r="ITF1263" s="52"/>
      <c r="ITG1263" s="52"/>
      <c r="ITH1263" s="52"/>
      <c r="ITI1263" s="52"/>
      <c r="ITJ1263" s="52"/>
      <c r="ITK1263" s="52"/>
      <c r="ITL1263" s="52"/>
      <c r="ITM1263" s="52"/>
      <c r="ITN1263" s="52"/>
      <c r="ITO1263" s="52"/>
      <c r="ITP1263" s="52"/>
      <c r="ITQ1263" s="52"/>
      <c r="ITR1263" s="52"/>
      <c r="ITS1263" s="52"/>
      <c r="ITT1263" s="52"/>
      <c r="ITU1263" s="52"/>
      <c r="ITV1263" s="52"/>
      <c r="ITW1263" s="52"/>
      <c r="ITX1263" s="52"/>
      <c r="ITY1263" s="52"/>
      <c r="ITZ1263" s="52"/>
      <c r="IUA1263" s="52"/>
      <c r="IUB1263" s="52"/>
      <c r="IUC1263" s="52"/>
      <c r="IUD1263" s="52"/>
      <c r="IUE1263" s="52"/>
      <c r="IUF1263" s="52"/>
      <c r="IUG1263" s="52"/>
      <c r="IUH1263" s="52"/>
      <c r="IUI1263" s="52"/>
      <c r="IUJ1263" s="52"/>
      <c r="IUK1263" s="52"/>
      <c r="IUL1263" s="52"/>
      <c r="IUM1263" s="52"/>
      <c r="IUN1263" s="52"/>
      <c r="IUO1263" s="52"/>
      <c r="IUP1263" s="52"/>
      <c r="IUQ1263" s="52"/>
      <c r="IUR1263" s="52"/>
      <c r="IUS1263" s="52"/>
      <c r="IUT1263" s="52"/>
      <c r="IUU1263" s="52"/>
      <c r="IUV1263" s="52"/>
      <c r="IUW1263" s="52"/>
      <c r="IUX1263" s="52"/>
      <c r="IUY1263" s="52"/>
      <c r="IUZ1263" s="52"/>
      <c r="IVA1263" s="52"/>
      <c r="IVB1263" s="52"/>
      <c r="IVC1263" s="52"/>
      <c r="IVD1263" s="52"/>
      <c r="IVE1263" s="52"/>
      <c r="IVF1263" s="52"/>
      <c r="IVG1263" s="52"/>
      <c r="IVH1263" s="52"/>
      <c r="IVI1263" s="52"/>
      <c r="IVJ1263" s="52"/>
      <c r="IVK1263" s="52"/>
      <c r="IVL1263" s="52"/>
      <c r="IVM1263" s="52"/>
      <c r="IVN1263" s="52"/>
      <c r="IVO1263" s="52"/>
      <c r="IVP1263" s="52"/>
      <c r="IVQ1263" s="52"/>
      <c r="IVR1263" s="52"/>
      <c r="IVS1263" s="52"/>
      <c r="IVT1263" s="52"/>
      <c r="IVU1263" s="52"/>
      <c r="IVV1263" s="52"/>
      <c r="IVW1263" s="52"/>
      <c r="IVX1263" s="52"/>
      <c r="IVY1263" s="52"/>
      <c r="IVZ1263" s="52"/>
      <c r="IWA1263" s="52"/>
      <c r="IWB1263" s="52"/>
      <c r="IWC1263" s="52"/>
      <c r="IWD1263" s="52"/>
      <c r="IWE1263" s="52"/>
      <c r="IWF1263" s="52"/>
      <c r="IWG1263" s="52"/>
      <c r="IWH1263" s="52"/>
      <c r="IWI1263" s="52"/>
      <c r="IWJ1263" s="52"/>
      <c r="IWK1263" s="52"/>
      <c r="IWL1263" s="52"/>
      <c r="IWM1263" s="52"/>
      <c r="IWN1263" s="52"/>
      <c r="IWO1263" s="52"/>
      <c r="IWP1263" s="52"/>
      <c r="IWQ1263" s="52"/>
      <c r="IWR1263" s="52"/>
      <c r="IWS1263" s="52"/>
      <c r="IWT1263" s="52"/>
      <c r="IWU1263" s="52"/>
      <c r="IWV1263" s="52"/>
      <c r="IWW1263" s="52"/>
      <c r="IWX1263" s="52"/>
      <c r="IWY1263" s="52"/>
      <c r="IWZ1263" s="52"/>
      <c r="IXA1263" s="52"/>
      <c r="IXB1263" s="52"/>
      <c r="IXC1263" s="52"/>
      <c r="IXD1263" s="52"/>
      <c r="IXE1263" s="52"/>
      <c r="IXF1263" s="52"/>
      <c r="IXG1263" s="52"/>
      <c r="IXH1263" s="52"/>
      <c r="IXI1263" s="52"/>
      <c r="IXJ1263" s="52"/>
      <c r="IXK1263" s="52"/>
      <c r="IXL1263" s="52"/>
      <c r="IXM1263" s="52"/>
      <c r="IXN1263" s="52"/>
      <c r="IXO1263" s="52"/>
      <c r="IXP1263" s="52"/>
      <c r="IXQ1263" s="52"/>
      <c r="IXR1263" s="52"/>
      <c r="IXS1263" s="52"/>
      <c r="IXT1263" s="52"/>
      <c r="IXU1263" s="52"/>
      <c r="IXV1263" s="52"/>
      <c r="IXW1263" s="52"/>
      <c r="IXX1263" s="52"/>
      <c r="IXY1263" s="52"/>
      <c r="IXZ1263" s="52"/>
      <c r="IYA1263" s="52"/>
      <c r="IYB1263" s="52"/>
      <c r="IYC1263" s="52"/>
      <c r="IYD1263" s="52"/>
      <c r="IYE1263" s="52"/>
      <c r="IYF1263" s="52"/>
      <c r="IYG1263" s="52"/>
      <c r="IYH1263" s="52"/>
      <c r="IYI1263" s="52"/>
      <c r="IYJ1263" s="52"/>
      <c r="IYK1263" s="52"/>
      <c r="IYL1263" s="52"/>
      <c r="IYM1263" s="52"/>
      <c r="IYN1263" s="52"/>
      <c r="IYO1263" s="52"/>
      <c r="IYP1263" s="52"/>
      <c r="IYQ1263" s="52"/>
      <c r="IYR1263" s="52"/>
      <c r="IYS1263" s="52"/>
      <c r="IYT1263" s="52"/>
      <c r="IYU1263" s="52"/>
      <c r="IYV1263" s="52"/>
      <c r="IYW1263" s="52"/>
      <c r="IYX1263" s="52"/>
      <c r="IYY1263" s="52"/>
      <c r="IYZ1263" s="52"/>
      <c r="IZA1263" s="52"/>
      <c r="IZB1263" s="52"/>
      <c r="IZC1263" s="52"/>
      <c r="IZD1263" s="52"/>
      <c r="IZE1263" s="52"/>
      <c r="IZF1263" s="52"/>
      <c r="IZG1263" s="52"/>
      <c r="IZH1263" s="52"/>
      <c r="IZI1263" s="52"/>
      <c r="IZJ1263" s="52"/>
      <c r="IZK1263" s="52"/>
      <c r="IZL1263" s="52"/>
      <c r="IZM1263" s="52"/>
      <c r="IZN1263" s="52"/>
      <c r="IZO1263" s="52"/>
      <c r="IZP1263" s="52"/>
      <c r="IZQ1263" s="52"/>
      <c r="IZR1263" s="52"/>
      <c r="IZS1263" s="52"/>
      <c r="IZT1263" s="52"/>
      <c r="IZU1263" s="52"/>
      <c r="IZV1263" s="52"/>
      <c r="IZW1263" s="52"/>
      <c r="IZX1263" s="52"/>
      <c r="IZY1263" s="52"/>
      <c r="IZZ1263" s="52"/>
      <c r="JAA1263" s="52"/>
      <c r="JAB1263" s="52"/>
      <c r="JAC1263" s="52"/>
      <c r="JAD1263" s="52"/>
      <c r="JAE1263" s="52"/>
      <c r="JAF1263" s="52"/>
      <c r="JAG1263" s="52"/>
      <c r="JAH1263" s="52"/>
      <c r="JAI1263" s="52"/>
      <c r="JAJ1263" s="52"/>
      <c r="JAK1263" s="52"/>
      <c r="JAL1263" s="52"/>
      <c r="JAM1263" s="52"/>
      <c r="JAN1263" s="52"/>
      <c r="JAO1263" s="52"/>
      <c r="JAP1263" s="52"/>
      <c r="JAQ1263" s="52"/>
      <c r="JAR1263" s="52"/>
      <c r="JAS1263" s="52"/>
      <c r="JAT1263" s="52"/>
      <c r="JAU1263" s="52"/>
      <c r="JAV1263" s="52"/>
      <c r="JAW1263" s="52"/>
      <c r="JAX1263" s="52"/>
      <c r="JAY1263" s="52"/>
      <c r="JAZ1263" s="52"/>
      <c r="JBA1263" s="52"/>
      <c r="JBB1263" s="52"/>
      <c r="JBC1263" s="52"/>
      <c r="JBD1263" s="52"/>
      <c r="JBE1263" s="52"/>
      <c r="JBF1263" s="52"/>
      <c r="JBG1263" s="52"/>
      <c r="JBH1263" s="52"/>
      <c r="JBI1263" s="52"/>
      <c r="JBJ1263" s="52"/>
      <c r="JBK1263" s="52"/>
      <c r="JBL1263" s="52"/>
      <c r="JBM1263" s="52"/>
      <c r="JBN1263" s="52"/>
      <c r="JBO1263" s="52"/>
      <c r="JBP1263" s="52"/>
      <c r="JBQ1263" s="52"/>
      <c r="JBR1263" s="52"/>
      <c r="JBS1263" s="52"/>
      <c r="JBT1263" s="52"/>
      <c r="JBU1263" s="52"/>
      <c r="JBV1263" s="52"/>
      <c r="JBW1263" s="52"/>
      <c r="JBX1263" s="52"/>
      <c r="JBY1263" s="52"/>
      <c r="JBZ1263" s="52"/>
      <c r="JCA1263" s="52"/>
      <c r="JCB1263" s="52"/>
      <c r="JCC1263" s="52"/>
      <c r="JCD1263" s="52"/>
      <c r="JCE1263" s="52"/>
      <c r="JCF1263" s="52"/>
      <c r="JCG1263" s="52"/>
      <c r="JCH1263" s="52"/>
      <c r="JCI1263" s="52"/>
      <c r="JCJ1263" s="52"/>
      <c r="JCK1263" s="52"/>
      <c r="JCL1263" s="52"/>
      <c r="JCM1263" s="52"/>
      <c r="JCN1263" s="52"/>
      <c r="JCO1263" s="52"/>
      <c r="JCP1263" s="52"/>
      <c r="JCQ1263" s="52"/>
      <c r="JCR1263" s="52"/>
      <c r="JCS1263" s="52"/>
      <c r="JCT1263" s="52"/>
      <c r="JCU1263" s="52"/>
      <c r="JCV1263" s="52"/>
      <c r="JCW1263" s="52"/>
      <c r="JCX1263" s="52"/>
      <c r="JCY1263" s="52"/>
      <c r="JCZ1263" s="52"/>
      <c r="JDA1263" s="52"/>
      <c r="JDB1263" s="52"/>
      <c r="JDC1263" s="52"/>
      <c r="JDD1263" s="52"/>
      <c r="JDE1263" s="52"/>
      <c r="JDF1263" s="52"/>
      <c r="JDG1263" s="52"/>
      <c r="JDH1263" s="52"/>
      <c r="JDI1263" s="52"/>
      <c r="JDJ1263" s="52"/>
      <c r="JDK1263" s="52"/>
      <c r="JDL1263" s="52"/>
      <c r="JDM1263" s="52"/>
      <c r="JDN1263" s="52"/>
      <c r="JDO1263" s="52"/>
      <c r="JDP1263" s="52"/>
      <c r="JDQ1263" s="52"/>
      <c r="JDR1263" s="52"/>
      <c r="JDS1263" s="52"/>
      <c r="JDT1263" s="52"/>
      <c r="JDU1263" s="52"/>
      <c r="JDV1263" s="52"/>
      <c r="JDW1263" s="52"/>
      <c r="JDX1263" s="52"/>
      <c r="JDY1263" s="52"/>
      <c r="JDZ1263" s="52"/>
      <c r="JEA1263" s="52"/>
      <c r="JEB1263" s="52"/>
      <c r="JEC1263" s="52"/>
      <c r="JED1263" s="52"/>
      <c r="JEE1263" s="52"/>
      <c r="JEF1263" s="52"/>
      <c r="JEG1263" s="52"/>
      <c r="JEH1263" s="52"/>
      <c r="JEI1263" s="52"/>
      <c r="JEJ1263" s="52"/>
      <c r="JEK1263" s="52"/>
      <c r="JEL1263" s="52"/>
      <c r="JEM1263" s="52"/>
      <c r="JEN1263" s="52"/>
      <c r="JEO1263" s="52"/>
      <c r="JEP1263" s="52"/>
      <c r="JEQ1263" s="52"/>
      <c r="JER1263" s="52"/>
      <c r="JES1263" s="52"/>
      <c r="JET1263" s="52"/>
      <c r="JEU1263" s="52"/>
      <c r="JEV1263" s="52"/>
      <c r="JEW1263" s="52"/>
      <c r="JEX1263" s="52"/>
      <c r="JEY1263" s="52"/>
      <c r="JEZ1263" s="52"/>
      <c r="JFA1263" s="52"/>
      <c r="JFB1263" s="52"/>
      <c r="JFC1263" s="52"/>
      <c r="JFD1263" s="52"/>
      <c r="JFE1263" s="52"/>
      <c r="JFF1263" s="52"/>
      <c r="JFG1263" s="52"/>
      <c r="JFH1263" s="52"/>
      <c r="JFI1263" s="52"/>
      <c r="JFJ1263" s="52"/>
      <c r="JFK1263" s="52"/>
      <c r="JFL1263" s="52"/>
      <c r="JFM1263" s="52"/>
      <c r="JFN1263" s="52"/>
      <c r="JFO1263" s="52"/>
      <c r="JFP1263" s="52"/>
      <c r="JFQ1263" s="52"/>
      <c r="JFR1263" s="52"/>
      <c r="JFS1263" s="52"/>
      <c r="JFT1263" s="52"/>
      <c r="JFU1263" s="52"/>
      <c r="JFV1263" s="52"/>
      <c r="JFW1263" s="52"/>
      <c r="JFX1263" s="52"/>
      <c r="JFY1263" s="52"/>
      <c r="JFZ1263" s="52"/>
      <c r="JGA1263" s="52"/>
      <c r="JGB1263" s="52"/>
      <c r="JGC1263" s="52"/>
      <c r="JGD1263" s="52"/>
      <c r="JGE1263" s="52"/>
      <c r="JGF1263" s="52"/>
      <c r="JGG1263" s="52"/>
      <c r="JGH1263" s="52"/>
      <c r="JGI1263" s="52"/>
      <c r="JGJ1263" s="52"/>
      <c r="JGK1263" s="52"/>
      <c r="JGL1263" s="52"/>
      <c r="JGM1263" s="52"/>
      <c r="JGN1263" s="52"/>
      <c r="JGO1263" s="52"/>
      <c r="JGP1263" s="52"/>
      <c r="JGQ1263" s="52"/>
      <c r="JGR1263" s="52"/>
      <c r="JGS1263" s="52"/>
      <c r="JGT1263" s="52"/>
      <c r="JGU1263" s="52"/>
      <c r="JGV1263" s="52"/>
      <c r="JGW1263" s="52"/>
      <c r="JGX1263" s="52"/>
      <c r="JGY1263" s="52"/>
      <c r="JGZ1263" s="52"/>
      <c r="JHA1263" s="52"/>
      <c r="JHB1263" s="52"/>
      <c r="JHC1263" s="52"/>
      <c r="JHD1263" s="52"/>
      <c r="JHE1263" s="52"/>
      <c r="JHF1263" s="52"/>
      <c r="JHG1263" s="52"/>
      <c r="JHH1263" s="52"/>
      <c r="JHI1263" s="52"/>
      <c r="JHJ1263" s="52"/>
      <c r="JHK1263" s="52"/>
      <c r="JHL1263" s="52"/>
      <c r="JHM1263" s="52"/>
      <c r="JHN1263" s="52"/>
      <c r="JHO1263" s="52"/>
      <c r="JHP1263" s="52"/>
      <c r="JHQ1263" s="52"/>
      <c r="JHR1263" s="52"/>
      <c r="JHS1263" s="52"/>
      <c r="JHT1263" s="52"/>
      <c r="JHU1263" s="52"/>
      <c r="JHV1263" s="52"/>
      <c r="JHW1263" s="52"/>
      <c r="JHX1263" s="52"/>
      <c r="JHY1263" s="52"/>
      <c r="JHZ1263" s="52"/>
      <c r="JIA1263" s="52"/>
      <c r="JIB1263" s="52"/>
      <c r="JIC1263" s="52"/>
      <c r="JID1263" s="52"/>
      <c r="JIE1263" s="52"/>
      <c r="JIF1263" s="52"/>
      <c r="JIG1263" s="52"/>
      <c r="JIH1263" s="52"/>
      <c r="JII1263" s="52"/>
      <c r="JIJ1263" s="52"/>
      <c r="JIK1263" s="52"/>
      <c r="JIL1263" s="52"/>
      <c r="JIM1263" s="52"/>
      <c r="JIN1263" s="52"/>
      <c r="JIO1263" s="52"/>
      <c r="JIP1263" s="52"/>
      <c r="JIQ1263" s="52"/>
      <c r="JIR1263" s="52"/>
      <c r="JIS1263" s="52"/>
      <c r="JIT1263" s="52"/>
      <c r="JIU1263" s="52"/>
      <c r="JIV1263" s="52"/>
      <c r="JIW1263" s="52"/>
      <c r="JIX1263" s="52"/>
      <c r="JIY1263" s="52"/>
      <c r="JIZ1263" s="52"/>
      <c r="JJA1263" s="52"/>
      <c r="JJB1263" s="52"/>
      <c r="JJC1263" s="52"/>
      <c r="JJD1263" s="52"/>
      <c r="JJE1263" s="52"/>
      <c r="JJF1263" s="52"/>
      <c r="JJG1263" s="52"/>
      <c r="JJH1263" s="52"/>
      <c r="JJI1263" s="52"/>
      <c r="JJJ1263" s="52"/>
      <c r="JJK1263" s="52"/>
      <c r="JJL1263" s="52"/>
      <c r="JJM1263" s="52"/>
      <c r="JJN1263" s="52"/>
      <c r="JJO1263" s="52"/>
      <c r="JJP1263" s="52"/>
      <c r="JJQ1263" s="52"/>
      <c r="JJR1263" s="52"/>
      <c r="JJS1263" s="52"/>
      <c r="JJT1263" s="52"/>
      <c r="JJU1263" s="52"/>
      <c r="JJV1263" s="52"/>
      <c r="JJW1263" s="52"/>
      <c r="JJX1263" s="52"/>
      <c r="JJY1263" s="52"/>
      <c r="JJZ1263" s="52"/>
      <c r="JKA1263" s="52"/>
      <c r="JKB1263" s="52"/>
      <c r="JKC1263" s="52"/>
      <c r="JKD1263" s="52"/>
      <c r="JKE1263" s="52"/>
      <c r="JKF1263" s="52"/>
      <c r="JKG1263" s="52"/>
      <c r="JKH1263" s="52"/>
      <c r="JKI1263" s="52"/>
      <c r="JKJ1263" s="52"/>
      <c r="JKK1263" s="52"/>
      <c r="JKL1263" s="52"/>
      <c r="JKM1263" s="52"/>
      <c r="JKN1263" s="52"/>
      <c r="JKO1263" s="52"/>
      <c r="JKP1263" s="52"/>
      <c r="JKQ1263" s="52"/>
      <c r="JKR1263" s="52"/>
      <c r="JKS1263" s="52"/>
      <c r="JKT1263" s="52"/>
      <c r="JKU1263" s="52"/>
      <c r="JKV1263" s="52"/>
      <c r="JKW1263" s="52"/>
      <c r="JKX1263" s="52"/>
      <c r="JKY1263" s="52"/>
      <c r="JKZ1263" s="52"/>
      <c r="JLA1263" s="52"/>
      <c r="JLB1263" s="52"/>
      <c r="JLC1263" s="52"/>
      <c r="JLD1263" s="52"/>
      <c r="JLE1263" s="52"/>
      <c r="JLF1263" s="52"/>
      <c r="JLG1263" s="52"/>
      <c r="JLH1263" s="52"/>
      <c r="JLI1263" s="52"/>
      <c r="JLJ1263" s="52"/>
      <c r="JLK1263" s="52"/>
      <c r="JLL1263" s="52"/>
      <c r="JLM1263" s="52"/>
      <c r="JLN1263" s="52"/>
      <c r="JLO1263" s="52"/>
      <c r="JLP1263" s="52"/>
      <c r="JLQ1263" s="52"/>
      <c r="JLR1263" s="52"/>
      <c r="JLS1263" s="52"/>
      <c r="JLT1263" s="52"/>
      <c r="JLU1263" s="52"/>
      <c r="JLV1263" s="52"/>
      <c r="JLW1263" s="52"/>
      <c r="JLX1263" s="52"/>
      <c r="JLY1263" s="52"/>
      <c r="JLZ1263" s="52"/>
      <c r="JMA1263" s="52"/>
      <c r="JMB1263" s="52"/>
      <c r="JMC1263" s="52"/>
      <c r="JMD1263" s="52"/>
      <c r="JME1263" s="52"/>
      <c r="JMF1263" s="52"/>
      <c r="JMG1263" s="52"/>
      <c r="JMH1263" s="52"/>
      <c r="JMI1263" s="52"/>
      <c r="JMJ1263" s="52"/>
      <c r="JMK1263" s="52"/>
      <c r="JML1263" s="52"/>
      <c r="JMM1263" s="52"/>
      <c r="JMN1263" s="52"/>
      <c r="JMO1263" s="52"/>
      <c r="JMP1263" s="52"/>
      <c r="JMQ1263" s="52"/>
      <c r="JMR1263" s="52"/>
      <c r="JMS1263" s="52"/>
      <c r="JMT1263" s="52"/>
      <c r="JMU1263" s="52"/>
      <c r="JMV1263" s="52"/>
      <c r="JMW1263" s="52"/>
      <c r="JMX1263" s="52"/>
      <c r="JMY1263" s="52"/>
      <c r="JMZ1263" s="52"/>
      <c r="JNA1263" s="52"/>
      <c r="JNB1263" s="52"/>
      <c r="JNC1263" s="52"/>
      <c r="JND1263" s="52"/>
      <c r="JNE1263" s="52"/>
      <c r="JNF1263" s="52"/>
      <c r="JNG1263" s="52"/>
      <c r="JNH1263" s="52"/>
      <c r="JNI1263" s="52"/>
      <c r="JNJ1263" s="52"/>
      <c r="JNK1263" s="52"/>
      <c r="JNL1263" s="52"/>
      <c r="JNM1263" s="52"/>
      <c r="JNN1263" s="52"/>
      <c r="JNO1263" s="52"/>
      <c r="JNP1263" s="52"/>
      <c r="JNQ1263" s="52"/>
      <c r="JNR1263" s="52"/>
      <c r="JNS1263" s="52"/>
      <c r="JNT1263" s="52"/>
      <c r="JNU1263" s="52"/>
      <c r="JNV1263" s="52"/>
      <c r="JNW1263" s="52"/>
      <c r="JNX1263" s="52"/>
      <c r="JNY1263" s="52"/>
      <c r="JNZ1263" s="52"/>
      <c r="JOA1263" s="52"/>
      <c r="JOB1263" s="52"/>
      <c r="JOC1263" s="52"/>
      <c r="JOD1263" s="52"/>
      <c r="JOE1263" s="52"/>
      <c r="JOF1263" s="52"/>
      <c r="JOG1263" s="52"/>
      <c r="JOH1263" s="52"/>
      <c r="JOI1263" s="52"/>
      <c r="JOJ1263" s="52"/>
      <c r="JOK1263" s="52"/>
      <c r="JOL1263" s="52"/>
      <c r="JOM1263" s="52"/>
      <c r="JON1263" s="52"/>
      <c r="JOO1263" s="52"/>
      <c r="JOP1263" s="52"/>
      <c r="JOQ1263" s="52"/>
      <c r="JOR1263" s="52"/>
      <c r="JOS1263" s="52"/>
      <c r="JOT1263" s="52"/>
      <c r="JOU1263" s="52"/>
      <c r="JOV1263" s="52"/>
      <c r="JOW1263" s="52"/>
      <c r="JOX1263" s="52"/>
      <c r="JOY1263" s="52"/>
      <c r="JOZ1263" s="52"/>
      <c r="JPA1263" s="52"/>
      <c r="JPB1263" s="52"/>
      <c r="JPC1263" s="52"/>
      <c r="JPD1263" s="52"/>
      <c r="JPE1263" s="52"/>
      <c r="JPF1263" s="52"/>
      <c r="JPG1263" s="52"/>
      <c r="JPH1263" s="52"/>
      <c r="JPI1263" s="52"/>
      <c r="JPJ1263" s="52"/>
      <c r="JPK1263" s="52"/>
      <c r="JPL1263" s="52"/>
      <c r="JPM1263" s="52"/>
      <c r="JPN1263" s="52"/>
      <c r="JPO1263" s="52"/>
      <c r="JPP1263" s="52"/>
      <c r="JPQ1263" s="52"/>
      <c r="JPR1263" s="52"/>
      <c r="JPS1263" s="52"/>
      <c r="JPT1263" s="52"/>
      <c r="JPU1263" s="52"/>
      <c r="JPV1263" s="52"/>
      <c r="JPW1263" s="52"/>
      <c r="JPX1263" s="52"/>
      <c r="JPY1263" s="52"/>
      <c r="JPZ1263" s="52"/>
      <c r="JQA1263" s="52"/>
      <c r="JQB1263" s="52"/>
      <c r="JQC1263" s="52"/>
      <c r="JQD1263" s="52"/>
      <c r="JQE1263" s="52"/>
      <c r="JQF1263" s="52"/>
      <c r="JQG1263" s="52"/>
      <c r="JQH1263" s="52"/>
      <c r="JQI1263" s="52"/>
      <c r="JQJ1263" s="52"/>
      <c r="JQK1263" s="52"/>
      <c r="JQL1263" s="52"/>
      <c r="JQM1263" s="52"/>
      <c r="JQN1263" s="52"/>
      <c r="JQO1263" s="52"/>
      <c r="JQP1263" s="52"/>
      <c r="JQQ1263" s="52"/>
      <c r="JQR1263" s="52"/>
      <c r="JQS1263" s="52"/>
      <c r="JQT1263" s="52"/>
      <c r="JQU1263" s="52"/>
      <c r="JQV1263" s="52"/>
      <c r="JQW1263" s="52"/>
      <c r="JQX1263" s="52"/>
      <c r="JQY1263" s="52"/>
      <c r="JQZ1263" s="52"/>
      <c r="JRA1263" s="52"/>
      <c r="JRB1263" s="52"/>
      <c r="JRC1263" s="52"/>
      <c r="JRD1263" s="52"/>
      <c r="JRE1263" s="52"/>
      <c r="JRF1263" s="52"/>
      <c r="JRG1263" s="52"/>
      <c r="JRH1263" s="52"/>
      <c r="JRI1263" s="52"/>
      <c r="JRJ1263" s="52"/>
      <c r="JRK1263" s="52"/>
      <c r="JRL1263" s="52"/>
      <c r="JRM1263" s="52"/>
      <c r="JRN1263" s="52"/>
      <c r="JRO1263" s="52"/>
      <c r="JRP1263" s="52"/>
      <c r="JRQ1263" s="52"/>
      <c r="JRR1263" s="52"/>
      <c r="JRS1263" s="52"/>
      <c r="JRT1263" s="52"/>
      <c r="JRU1263" s="52"/>
      <c r="JRV1263" s="52"/>
      <c r="JRW1263" s="52"/>
      <c r="JRX1263" s="52"/>
      <c r="JRY1263" s="52"/>
      <c r="JRZ1263" s="52"/>
      <c r="JSA1263" s="52"/>
      <c r="JSB1263" s="52"/>
      <c r="JSC1263" s="52"/>
      <c r="JSD1263" s="52"/>
      <c r="JSE1263" s="52"/>
      <c r="JSF1263" s="52"/>
      <c r="JSG1263" s="52"/>
      <c r="JSH1263" s="52"/>
      <c r="JSI1263" s="52"/>
      <c r="JSJ1263" s="52"/>
      <c r="JSK1263" s="52"/>
      <c r="JSL1263" s="52"/>
      <c r="JSM1263" s="52"/>
      <c r="JSN1263" s="52"/>
      <c r="JSO1263" s="52"/>
      <c r="JSP1263" s="52"/>
      <c r="JSQ1263" s="52"/>
      <c r="JSR1263" s="52"/>
      <c r="JSS1263" s="52"/>
      <c r="JST1263" s="52"/>
      <c r="JSU1263" s="52"/>
      <c r="JSV1263" s="52"/>
      <c r="JSW1263" s="52"/>
      <c r="JSX1263" s="52"/>
      <c r="JSY1263" s="52"/>
      <c r="JSZ1263" s="52"/>
      <c r="JTA1263" s="52"/>
      <c r="JTB1263" s="52"/>
      <c r="JTC1263" s="52"/>
      <c r="JTD1263" s="52"/>
      <c r="JTE1263" s="52"/>
      <c r="JTF1263" s="52"/>
      <c r="JTG1263" s="52"/>
      <c r="JTH1263" s="52"/>
      <c r="JTI1263" s="52"/>
      <c r="JTJ1263" s="52"/>
      <c r="JTK1263" s="52"/>
      <c r="JTL1263" s="52"/>
      <c r="JTM1263" s="52"/>
      <c r="JTN1263" s="52"/>
      <c r="JTO1263" s="52"/>
      <c r="JTP1263" s="52"/>
      <c r="JTQ1263" s="52"/>
      <c r="JTR1263" s="52"/>
      <c r="JTS1263" s="52"/>
      <c r="JTT1263" s="52"/>
      <c r="JTU1263" s="52"/>
      <c r="JTV1263" s="52"/>
      <c r="JTW1263" s="52"/>
      <c r="JTX1263" s="52"/>
      <c r="JTY1263" s="52"/>
      <c r="JTZ1263" s="52"/>
      <c r="JUA1263" s="52"/>
      <c r="JUB1263" s="52"/>
      <c r="JUC1263" s="52"/>
      <c r="JUD1263" s="52"/>
      <c r="JUE1263" s="52"/>
      <c r="JUF1263" s="52"/>
      <c r="JUG1263" s="52"/>
      <c r="JUH1263" s="52"/>
      <c r="JUI1263" s="52"/>
      <c r="JUJ1263" s="52"/>
      <c r="JUK1263" s="52"/>
      <c r="JUL1263" s="52"/>
      <c r="JUM1263" s="52"/>
      <c r="JUN1263" s="52"/>
      <c r="JUO1263" s="52"/>
      <c r="JUP1263" s="52"/>
      <c r="JUQ1263" s="52"/>
      <c r="JUR1263" s="52"/>
      <c r="JUS1263" s="52"/>
      <c r="JUT1263" s="52"/>
      <c r="JUU1263" s="52"/>
      <c r="JUV1263" s="52"/>
      <c r="JUW1263" s="52"/>
      <c r="JUX1263" s="52"/>
      <c r="JUY1263" s="52"/>
      <c r="JUZ1263" s="52"/>
      <c r="JVA1263" s="52"/>
      <c r="JVB1263" s="52"/>
      <c r="JVC1263" s="52"/>
      <c r="JVD1263" s="52"/>
      <c r="JVE1263" s="52"/>
      <c r="JVF1263" s="52"/>
      <c r="JVG1263" s="52"/>
      <c r="JVH1263" s="52"/>
      <c r="JVI1263" s="52"/>
      <c r="JVJ1263" s="52"/>
      <c r="JVK1263" s="52"/>
      <c r="JVL1263" s="52"/>
      <c r="JVM1263" s="52"/>
      <c r="JVN1263" s="52"/>
      <c r="JVO1263" s="52"/>
      <c r="JVP1263" s="52"/>
      <c r="JVQ1263" s="52"/>
      <c r="JVR1263" s="52"/>
      <c r="JVS1263" s="52"/>
      <c r="JVT1263" s="52"/>
      <c r="JVU1263" s="52"/>
      <c r="JVV1263" s="52"/>
      <c r="JVW1263" s="52"/>
      <c r="JVX1263" s="52"/>
      <c r="JVY1263" s="52"/>
      <c r="JVZ1263" s="52"/>
      <c r="JWA1263" s="52"/>
      <c r="JWB1263" s="52"/>
      <c r="JWC1263" s="52"/>
      <c r="JWD1263" s="52"/>
      <c r="JWE1263" s="52"/>
      <c r="JWF1263" s="52"/>
      <c r="JWG1263" s="52"/>
      <c r="JWH1263" s="52"/>
      <c r="JWI1263" s="52"/>
      <c r="JWJ1263" s="52"/>
      <c r="JWK1263" s="52"/>
      <c r="JWL1263" s="52"/>
      <c r="JWM1263" s="52"/>
      <c r="JWN1263" s="52"/>
      <c r="JWO1263" s="52"/>
      <c r="JWP1263" s="52"/>
      <c r="JWQ1263" s="52"/>
      <c r="JWR1263" s="52"/>
      <c r="JWS1263" s="52"/>
      <c r="JWT1263" s="52"/>
      <c r="JWU1263" s="52"/>
      <c r="JWV1263" s="52"/>
      <c r="JWW1263" s="52"/>
      <c r="JWX1263" s="52"/>
      <c r="JWY1263" s="52"/>
      <c r="JWZ1263" s="52"/>
      <c r="JXA1263" s="52"/>
      <c r="JXB1263" s="52"/>
      <c r="JXC1263" s="52"/>
      <c r="JXD1263" s="52"/>
      <c r="JXE1263" s="52"/>
      <c r="JXF1263" s="52"/>
      <c r="JXG1263" s="52"/>
      <c r="JXH1263" s="52"/>
      <c r="JXI1263" s="52"/>
      <c r="JXJ1263" s="52"/>
      <c r="JXK1263" s="52"/>
      <c r="JXL1263" s="52"/>
      <c r="JXM1263" s="52"/>
      <c r="JXN1263" s="52"/>
      <c r="JXO1263" s="52"/>
      <c r="JXP1263" s="52"/>
      <c r="JXQ1263" s="52"/>
      <c r="JXR1263" s="52"/>
      <c r="JXS1263" s="52"/>
      <c r="JXT1263" s="52"/>
      <c r="JXU1263" s="52"/>
      <c r="JXV1263" s="52"/>
      <c r="JXW1263" s="52"/>
      <c r="JXX1263" s="52"/>
      <c r="JXY1263" s="52"/>
      <c r="JXZ1263" s="52"/>
      <c r="JYA1263" s="52"/>
      <c r="JYB1263" s="52"/>
      <c r="JYC1263" s="52"/>
      <c r="JYD1263" s="52"/>
      <c r="JYE1263" s="52"/>
      <c r="JYF1263" s="52"/>
      <c r="JYG1263" s="52"/>
      <c r="JYH1263" s="52"/>
      <c r="JYI1263" s="52"/>
      <c r="JYJ1263" s="52"/>
      <c r="JYK1263" s="52"/>
      <c r="JYL1263" s="52"/>
      <c r="JYM1263" s="52"/>
      <c r="JYN1263" s="52"/>
      <c r="JYO1263" s="52"/>
      <c r="JYP1263" s="52"/>
      <c r="JYQ1263" s="52"/>
      <c r="JYR1263" s="52"/>
      <c r="JYS1263" s="52"/>
      <c r="JYT1263" s="52"/>
      <c r="JYU1263" s="52"/>
      <c r="JYV1263" s="52"/>
      <c r="JYW1263" s="52"/>
      <c r="JYX1263" s="52"/>
      <c r="JYY1263" s="52"/>
      <c r="JYZ1263" s="52"/>
      <c r="JZA1263" s="52"/>
      <c r="JZB1263" s="52"/>
      <c r="JZC1263" s="52"/>
      <c r="JZD1263" s="52"/>
      <c r="JZE1263" s="52"/>
      <c r="JZF1263" s="52"/>
      <c r="JZG1263" s="52"/>
      <c r="JZH1263" s="52"/>
      <c r="JZI1263" s="52"/>
      <c r="JZJ1263" s="52"/>
      <c r="JZK1263" s="52"/>
      <c r="JZL1263" s="52"/>
      <c r="JZM1263" s="52"/>
      <c r="JZN1263" s="52"/>
      <c r="JZO1263" s="52"/>
      <c r="JZP1263" s="52"/>
      <c r="JZQ1263" s="52"/>
      <c r="JZR1263" s="52"/>
      <c r="JZS1263" s="52"/>
      <c r="JZT1263" s="52"/>
      <c r="JZU1263" s="52"/>
      <c r="JZV1263" s="52"/>
      <c r="JZW1263" s="52"/>
      <c r="JZX1263" s="52"/>
      <c r="JZY1263" s="52"/>
      <c r="JZZ1263" s="52"/>
      <c r="KAA1263" s="52"/>
      <c r="KAB1263" s="52"/>
      <c r="KAC1263" s="52"/>
      <c r="KAD1263" s="52"/>
      <c r="KAE1263" s="52"/>
      <c r="KAF1263" s="52"/>
      <c r="KAG1263" s="52"/>
      <c r="KAH1263" s="52"/>
      <c r="KAI1263" s="52"/>
      <c r="KAJ1263" s="52"/>
      <c r="KAK1263" s="52"/>
      <c r="KAL1263" s="52"/>
      <c r="KAM1263" s="52"/>
      <c r="KAN1263" s="52"/>
      <c r="KAO1263" s="52"/>
      <c r="KAP1263" s="52"/>
      <c r="KAQ1263" s="52"/>
      <c r="KAR1263" s="52"/>
      <c r="KAS1263" s="52"/>
      <c r="KAT1263" s="52"/>
      <c r="KAU1263" s="52"/>
      <c r="KAV1263" s="52"/>
      <c r="KAW1263" s="52"/>
      <c r="KAX1263" s="52"/>
      <c r="KAY1263" s="52"/>
      <c r="KAZ1263" s="52"/>
      <c r="KBA1263" s="52"/>
      <c r="KBB1263" s="52"/>
      <c r="KBC1263" s="52"/>
      <c r="KBD1263" s="52"/>
      <c r="KBE1263" s="52"/>
      <c r="KBF1263" s="52"/>
      <c r="KBG1263" s="52"/>
      <c r="KBH1263" s="52"/>
      <c r="KBI1263" s="52"/>
      <c r="KBJ1263" s="52"/>
      <c r="KBK1263" s="52"/>
      <c r="KBL1263" s="52"/>
      <c r="KBM1263" s="52"/>
      <c r="KBN1263" s="52"/>
      <c r="KBO1263" s="52"/>
      <c r="KBP1263" s="52"/>
      <c r="KBQ1263" s="52"/>
      <c r="KBR1263" s="52"/>
      <c r="KBS1263" s="52"/>
      <c r="KBT1263" s="52"/>
      <c r="KBU1263" s="52"/>
      <c r="KBV1263" s="52"/>
      <c r="KBW1263" s="52"/>
      <c r="KBX1263" s="52"/>
      <c r="KBY1263" s="52"/>
      <c r="KBZ1263" s="52"/>
      <c r="KCA1263" s="52"/>
      <c r="KCB1263" s="52"/>
      <c r="KCC1263" s="52"/>
      <c r="KCD1263" s="52"/>
      <c r="KCE1263" s="52"/>
      <c r="KCF1263" s="52"/>
      <c r="KCG1263" s="52"/>
      <c r="KCH1263" s="52"/>
      <c r="KCI1263" s="52"/>
      <c r="KCJ1263" s="52"/>
      <c r="KCK1263" s="52"/>
      <c r="KCL1263" s="52"/>
      <c r="KCM1263" s="52"/>
      <c r="KCN1263" s="52"/>
      <c r="KCO1263" s="52"/>
      <c r="KCP1263" s="52"/>
      <c r="KCQ1263" s="52"/>
      <c r="KCR1263" s="52"/>
      <c r="KCS1263" s="52"/>
      <c r="KCT1263" s="52"/>
      <c r="KCU1263" s="52"/>
      <c r="KCV1263" s="52"/>
      <c r="KCW1263" s="52"/>
      <c r="KCX1263" s="52"/>
      <c r="KCY1263" s="52"/>
      <c r="KCZ1263" s="52"/>
      <c r="KDA1263" s="52"/>
      <c r="KDB1263" s="52"/>
      <c r="KDC1263" s="52"/>
      <c r="KDD1263" s="52"/>
      <c r="KDE1263" s="52"/>
      <c r="KDF1263" s="52"/>
      <c r="KDG1263" s="52"/>
      <c r="KDH1263" s="52"/>
      <c r="KDI1263" s="52"/>
      <c r="KDJ1263" s="52"/>
      <c r="KDK1263" s="52"/>
      <c r="KDL1263" s="52"/>
      <c r="KDM1263" s="52"/>
      <c r="KDN1263" s="52"/>
      <c r="KDO1263" s="52"/>
      <c r="KDP1263" s="52"/>
      <c r="KDQ1263" s="52"/>
      <c r="KDR1263" s="52"/>
      <c r="KDS1263" s="52"/>
      <c r="KDT1263" s="52"/>
      <c r="KDU1263" s="52"/>
      <c r="KDV1263" s="52"/>
      <c r="KDW1263" s="52"/>
      <c r="KDX1263" s="52"/>
      <c r="KDY1263" s="52"/>
      <c r="KDZ1263" s="52"/>
      <c r="KEA1263" s="52"/>
      <c r="KEB1263" s="52"/>
      <c r="KEC1263" s="52"/>
      <c r="KED1263" s="52"/>
      <c r="KEE1263" s="52"/>
      <c r="KEF1263" s="52"/>
      <c r="KEG1263" s="52"/>
      <c r="KEH1263" s="52"/>
      <c r="KEI1263" s="52"/>
      <c r="KEJ1263" s="52"/>
      <c r="KEK1263" s="52"/>
      <c r="KEL1263" s="52"/>
      <c r="KEM1263" s="52"/>
      <c r="KEN1263" s="52"/>
      <c r="KEO1263" s="52"/>
      <c r="KEP1263" s="52"/>
      <c r="KEQ1263" s="52"/>
      <c r="KER1263" s="52"/>
      <c r="KES1263" s="52"/>
      <c r="KET1263" s="52"/>
      <c r="KEU1263" s="52"/>
      <c r="KEV1263" s="52"/>
      <c r="KEW1263" s="52"/>
      <c r="KEX1263" s="52"/>
      <c r="KEY1263" s="52"/>
      <c r="KEZ1263" s="52"/>
      <c r="KFA1263" s="52"/>
      <c r="KFB1263" s="52"/>
      <c r="KFC1263" s="52"/>
      <c r="KFD1263" s="52"/>
      <c r="KFE1263" s="52"/>
      <c r="KFF1263" s="52"/>
      <c r="KFG1263" s="52"/>
      <c r="KFH1263" s="52"/>
      <c r="KFI1263" s="52"/>
      <c r="KFJ1263" s="52"/>
      <c r="KFK1263" s="52"/>
      <c r="KFL1263" s="52"/>
      <c r="KFM1263" s="52"/>
      <c r="KFN1263" s="52"/>
      <c r="KFO1263" s="52"/>
      <c r="KFP1263" s="52"/>
      <c r="KFQ1263" s="52"/>
      <c r="KFR1263" s="52"/>
      <c r="KFS1263" s="52"/>
      <c r="KFT1263" s="52"/>
      <c r="KFU1263" s="52"/>
      <c r="KFV1263" s="52"/>
      <c r="KFW1263" s="52"/>
      <c r="KFX1263" s="52"/>
      <c r="KFY1263" s="52"/>
      <c r="KFZ1263" s="52"/>
      <c r="KGA1263" s="52"/>
      <c r="KGB1263" s="52"/>
      <c r="KGC1263" s="52"/>
      <c r="KGD1263" s="52"/>
      <c r="KGE1263" s="52"/>
      <c r="KGF1263" s="52"/>
      <c r="KGG1263" s="52"/>
      <c r="KGH1263" s="52"/>
      <c r="KGI1263" s="52"/>
      <c r="KGJ1263" s="52"/>
      <c r="KGK1263" s="52"/>
      <c r="KGL1263" s="52"/>
      <c r="KGM1263" s="52"/>
      <c r="KGN1263" s="52"/>
      <c r="KGO1263" s="52"/>
      <c r="KGP1263" s="52"/>
      <c r="KGQ1263" s="52"/>
      <c r="KGR1263" s="52"/>
      <c r="KGS1263" s="52"/>
      <c r="KGT1263" s="52"/>
      <c r="KGU1263" s="52"/>
      <c r="KGV1263" s="52"/>
      <c r="KGW1263" s="52"/>
      <c r="KGX1263" s="52"/>
      <c r="KGY1263" s="52"/>
      <c r="KGZ1263" s="52"/>
      <c r="KHA1263" s="52"/>
      <c r="KHB1263" s="52"/>
      <c r="KHC1263" s="52"/>
      <c r="KHD1263" s="52"/>
      <c r="KHE1263" s="52"/>
      <c r="KHF1263" s="52"/>
      <c r="KHG1263" s="52"/>
      <c r="KHH1263" s="52"/>
      <c r="KHI1263" s="52"/>
      <c r="KHJ1263" s="52"/>
      <c r="KHK1263" s="52"/>
      <c r="KHL1263" s="52"/>
      <c r="KHM1263" s="52"/>
      <c r="KHN1263" s="52"/>
      <c r="KHO1263" s="52"/>
      <c r="KHP1263" s="52"/>
      <c r="KHQ1263" s="52"/>
      <c r="KHR1263" s="52"/>
      <c r="KHS1263" s="52"/>
      <c r="KHT1263" s="52"/>
      <c r="KHU1263" s="52"/>
      <c r="KHV1263" s="52"/>
      <c r="KHW1263" s="52"/>
      <c r="KHX1263" s="52"/>
      <c r="KHY1263" s="52"/>
      <c r="KHZ1263" s="52"/>
      <c r="KIA1263" s="52"/>
      <c r="KIB1263" s="52"/>
      <c r="KIC1263" s="52"/>
      <c r="KID1263" s="52"/>
      <c r="KIE1263" s="52"/>
      <c r="KIF1263" s="52"/>
      <c r="KIG1263" s="52"/>
      <c r="KIH1263" s="52"/>
      <c r="KII1263" s="52"/>
      <c r="KIJ1263" s="52"/>
      <c r="KIK1263" s="52"/>
      <c r="KIL1263" s="52"/>
      <c r="KIM1263" s="52"/>
      <c r="KIN1263" s="52"/>
      <c r="KIO1263" s="52"/>
      <c r="KIP1263" s="52"/>
      <c r="KIQ1263" s="52"/>
      <c r="KIR1263" s="52"/>
      <c r="KIS1263" s="52"/>
      <c r="KIT1263" s="52"/>
      <c r="KIU1263" s="52"/>
      <c r="KIV1263" s="52"/>
      <c r="KIW1263" s="52"/>
      <c r="KIX1263" s="52"/>
      <c r="KIY1263" s="52"/>
      <c r="KIZ1263" s="52"/>
      <c r="KJA1263" s="52"/>
      <c r="KJB1263" s="52"/>
      <c r="KJC1263" s="52"/>
      <c r="KJD1263" s="52"/>
      <c r="KJE1263" s="52"/>
      <c r="KJF1263" s="52"/>
      <c r="KJG1263" s="52"/>
      <c r="KJH1263" s="52"/>
      <c r="KJI1263" s="52"/>
      <c r="KJJ1263" s="52"/>
      <c r="KJK1263" s="52"/>
      <c r="KJL1263" s="52"/>
      <c r="KJM1263" s="52"/>
      <c r="KJN1263" s="52"/>
      <c r="KJO1263" s="52"/>
      <c r="KJP1263" s="52"/>
      <c r="KJQ1263" s="52"/>
      <c r="KJR1263" s="52"/>
      <c r="KJS1263" s="52"/>
      <c r="KJT1263" s="52"/>
      <c r="KJU1263" s="52"/>
      <c r="KJV1263" s="52"/>
      <c r="KJW1263" s="52"/>
      <c r="KJX1263" s="52"/>
      <c r="KJY1263" s="52"/>
      <c r="KJZ1263" s="52"/>
      <c r="KKA1263" s="52"/>
      <c r="KKB1263" s="52"/>
      <c r="KKC1263" s="52"/>
      <c r="KKD1263" s="52"/>
      <c r="KKE1263" s="52"/>
      <c r="KKF1263" s="52"/>
      <c r="KKG1263" s="52"/>
      <c r="KKH1263" s="52"/>
      <c r="KKI1263" s="52"/>
      <c r="KKJ1263" s="52"/>
      <c r="KKK1263" s="52"/>
      <c r="KKL1263" s="52"/>
      <c r="KKM1263" s="52"/>
      <c r="KKN1263" s="52"/>
      <c r="KKO1263" s="52"/>
      <c r="KKP1263" s="52"/>
      <c r="KKQ1263" s="52"/>
      <c r="KKR1263" s="52"/>
      <c r="KKS1263" s="52"/>
      <c r="KKT1263" s="52"/>
      <c r="KKU1263" s="52"/>
      <c r="KKV1263" s="52"/>
      <c r="KKW1263" s="52"/>
      <c r="KKX1263" s="52"/>
      <c r="KKY1263" s="52"/>
      <c r="KKZ1263" s="52"/>
      <c r="KLA1263" s="52"/>
      <c r="KLB1263" s="52"/>
      <c r="KLC1263" s="52"/>
      <c r="KLD1263" s="52"/>
      <c r="KLE1263" s="52"/>
      <c r="KLF1263" s="52"/>
      <c r="KLG1263" s="52"/>
      <c r="KLH1263" s="52"/>
      <c r="KLI1263" s="52"/>
      <c r="KLJ1263" s="52"/>
      <c r="KLK1263" s="52"/>
      <c r="KLL1263" s="52"/>
      <c r="KLM1263" s="52"/>
      <c r="KLN1263" s="52"/>
      <c r="KLO1263" s="52"/>
      <c r="KLP1263" s="52"/>
      <c r="KLQ1263" s="52"/>
      <c r="KLR1263" s="52"/>
      <c r="KLS1263" s="52"/>
      <c r="KLT1263" s="52"/>
      <c r="KLU1263" s="52"/>
      <c r="KLV1263" s="52"/>
      <c r="KLW1263" s="52"/>
      <c r="KLX1263" s="52"/>
      <c r="KLY1263" s="52"/>
      <c r="KLZ1263" s="52"/>
      <c r="KMA1263" s="52"/>
      <c r="KMB1263" s="52"/>
      <c r="KMC1263" s="52"/>
      <c r="KMD1263" s="52"/>
      <c r="KME1263" s="52"/>
      <c r="KMF1263" s="52"/>
      <c r="KMG1263" s="52"/>
      <c r="KMH1263" s="52"/>
      <c r="KMI1263" s="52"/>
      <c r="KMJ1263" s="52"/>
      <c r="KMK1263" s="52"/>
      <c r="KML1263" s="52"/>
      <c r="KMM1263" s="52"/>
      <c r="KMN1263" s="52"/>
      <c r="KMO1263" s="52"/>
      <c r="KMP1263" s="52"/>
      <c r="KMQ1263" s="52"/>
      <c r="KMR1263" s="52"/>
      <c r="KMS1263" s="52"/>
      <c r="KMT1263" s="52"/>
      <c r="KMU1263" s="52"/>
      <c r="KMV1263" s="52"/>
      <c r="KMW1263" s="52"/>
      <c r="KMX1263" s="52"/>
      <c r="KMY1263" s="52"/>
      <c r="KMZ1263" s="52"/>
      <c r="KNA1263" s="52"/>
      <c r="KNB1263" s="52"/>
      <c r="KNC1263" s="52"/>
      <c r="KND1263" s="52"/>
      <c r="KNE1263" s="52"/>
      <c r="KNF1263" s="52"/>
      <c r="KNG1263" s="52"/>
      <c r="KNH1263" s="52"/>
      <c r="KNI1263" s="52"/>
      <c r="KNJ1263" s="52"/>
      <c r="KNK1263" s="52"/>
      <c r="KNL1263" s="52"/>
      <c r="KNM1263" s="52"/>
      <c r="KNN1263" s="52"/>
      <c r="KNO1263" s="52"/>
      <c r="KNP1263" s="52"/>
      <c r="KNQ1263" s="52"/>
      <c r="KNR1263" s="52"/>
      <c r="KNS1263" s="52"/>
      <c r="KNT1263" s="52"/>
      <c r="KNU1263" s="52"/>
      <c r="KNV1263" s="52"/>
      <c r="KNW1263" s="52"/>
      <c r="KNX1263" s="52"/>
      <c r="KNY1263" s="52"/>
      <c r="KNZ1263" s="52"/>
      <c r="KOA1263" s="52"/>
      <c r="KOB1263" s="52"/>
      <c r="KOC1263" s="52"/>
      <c r="KOD1263" s="52"/>
      <c r="KOE1263" s="52"/>
      <c r="KOF1263" s="52"/>
      <c r="KOG1263" s="52"/>
      <c r="KOH1263" s="52"/>
      <c r="KOI1263" s="52"/>
      <c r="KOJ1263" s="52"/>
      <c r="KOK1263" s="52"/>
      <c r="KOL1263" s="52"/>
      <c r="KOM1263" s="52"/>
      <c r="KON1263" s="52"/>
      <c r="KOO1263" s="52"/>
      <c r="KOP1263" s="52"/>
      <c r="KOQ1263" s="52"/>
      <c r="KOR1263" s="52"/>
      <c r="KOS1263" s="52"/>
      <c r="KOT1263" s="52"/>
      <c r="KOU1263" s="52"/>
      <c r="KOV1263" s="52"/>
      <c r="KOW1263" s="52"/>
      <c r="KOX1263" s="52"/>
      <c r="KOY1263" s="52"/>
      <c r="KOZ1263" s="52"/>
      <c r="KPA1263" s="52"/>
      <c r="KPB1263" s="52"/>
      <c r="KPC1263" s="52"/>
      <c r="KPD1263" s="52"/>
      <c r="KPE1263" s="52"/>
      <c r="KPF1263" s="52"/>
      <c r="KPG1263" s="52"/>
      <c r="KPH1263" s="52"/>
      <c r="KPI1263" s="52"/>
      <c r="KPJ1263" s="52"/>
      <c r="KPK1263" s="52"/>
      <c r="KPL1263" s="52"/>
      <c r="KPM1263" s="52"/>
      <c r="KPN1263" s="52"/>
      <c r="KPO1263" s="52"/>
      <c r="KPP1263" s="52"/>
      <c r="KPQ1263" s="52"/>
      <c r="KPR1263" s="52"/>
      <c r="KPS1263" s="52"/>
      <c r="KPT1263" s="52"/>
      <c r="KPU1263" s="52"/>
      <c r="KPV1263" s="52"/>
      <c r="KPW1263" s="52"/>
      <c r="KPX1263" s="52"/>
      <c r="KPY1263" s="52"/>
      <c r="KPZ1263" s="52"/>
      <c r="KQA1263" s="52"/>
      <c r="KQB1263" s="52"/>
      <c r="KQC1263" s="52"/>
      <c r="KQD1263" s="52"/>
      <c r="KQE1263" s="52"/>
      <c r="KQF1263" s="52"/>
      <c r="KQG1263" s="52"/>
      <c r="KQH1263" s="52"/>
      <c r="KQI1263" s="52"/>
      <c r="KQJ1263" s="52"/>
      <c r="KQK1263" s="52"/>
      <c r="KQL1263" s="52"/>
      <c r="KQM1263" s="52"/>
      <c r="KQN1263" s="52"/>
      <c r="KQO1263" s="52"/>
      <c r="KQP1263" s="52"/>
      <c r="KQQ1263" s="52"/>
      <c r="KQR1263" s="52"/>
      <c r="KQS1263" s="52"/>
      <c r="KQT1263" s="52"/>
      <c r="KQU1263" s="52"/>
      <c r="KQV1263" s="52"/>
      <c r="KQW1263" s="52"/>
      <c r="KQX1263" s="52"/>
      <c r="KQY1263" s="52"/>
      <c r="KQZ1263" s="52"/>
      <c r="KRA1263" s="52"/>
      <c r="KRB1263" s="52"/>
      <c r="KRC1263" s="52"/>
      <c r="KRD1263" s="52"/>
      <c r="KRE1263" s="52"/>
      <c r="KRF1263" s="52"/>
      <c r="KRG1263" s="52"/>
      <c r="KRH1263" s="52"/>
      <c r="KRI1263" s="52"/>
      <c r="KRJ1263" s="52"/>
      <c r="KRK1263" s="52"/>
      <c r="KRL1263" s="52"/>
      <c r="KRM1263" s="52"/>
      <c r="KRN1263" s="52"/>
      <c r="KRO1263" s="52"/>
      <c r="KRP1263" s="52"/>
      <c r="KRQ1263" s="52"/>
      <c r="KRR1263" s="52"/>
      <c r="KRS1263" s="52"/>
      <c r="KRT1263" s="52"/>
      <c r="KRU1263" s="52"/>
      <c r="KRV1263" s="52"/>
      <c r="KRW1263" s="52"/>
      <c r="KRX1263" s="52"/>
      <c r="KRY1263" s="52"/>
      <c r="KRZ1263" s="52"/>
      <c r="KSA1263" s="52"/>
      <c r="KSB1263" s="52"/>
      <c r="KSC1263" s="52"/>
      <c r="KSD1263" s="52"/>
      <c r="KSE1263" s="52"/>
      <c r="KSF1263" s="52"/>
      <c r="KSG1263" s="52"/>
      <c r="KSH1263" s="52"/>
      <c r="KSI1263" s="52"/>
      <c r="KSJ1263" s="52"/>
      <c r="KSK1263" s="52"/>
      <c r="KSL1263" s="52"/>
      <c r="KSM1263" s="52"/>
      <c r="KSN1263" s="52"/>
      <c r="KSO1263" s="52"/>
      <c r="KSP1263" s="52"/>
      <c r="KSQ1263" s="52"/>
      <c r="KSR1263" s="52"/>
      <c r="KSS1263" s="52"/>
      <c r="KST1263" s="52"/>
      <c r="KSU1263" s="52"/>
      <c r="KSV1263" s="52"/>
      <c r="KSW1263" s="52"/>
      <c r="KSX1263" s="52"/>
      <c r="KSY1263" s="52"/>
      <c r="KSZ1263" s="52"/>
      <c r="KTA1263" s="52"/>
      <c r="KTB1263" s="52"/>
      <c r="KTC1263" s="52"/>
      <c r="KTD1263" s="52"/>
      <c r="KTE1263" s="52"/>
      <c r="KTF1263" s="52"/>
      <c r="KTG1263" s="52"/>
      <c r="KTH1263" s="52"/>
      <c r="KTI1263" s="52"/>
      <c r="KTJ1263" s="52"/>
      <c r="KTK1263" s="52"/>
      <c r="KTL1263" s="52"/>
      <c r="KTM1263" s="52"/>
      <c r="KTN1263" s="52"/>
      <c r="KTO1263" s="52"/>
      <c r="KTP1263" s="52"/>
      <c r="KTQ1263" s="52"/>
      <c r="KTR1263" s="52"/>
      <c r="KTS1263" s="52"/>
      <c r="KTT1263" s="52"/>
      <c r="KTU1263" s="52"/>
      <c r="KTV1263" s="52"/>
      <c r="KTW1263" s="52"/>
      <c r="KTX1263" s="52"/>
      <c r="KTY1263" s="52"/>
      <c r="KTZ1263" s="52"/>
      <c r="KUA1263" s="52"/>
      <c r="KUB1263" s="52"/>
      <c r="KUC1263" s="52"/>
      <c r="KUD1263" s="52"/>
      <c r="KUE1263" s="52"/>
      <c r="KUF1263" s="52"/>
      <c r="KUG1263" s="52"/>
      <c r="KUH1263" s="52"/>
      <c r="KUI1263" s="52"/>
      <c r="KUJ1263" s="52"/>
      <c r="KUK1263" s="52"/>
      <c r="KUL1263" s="52"/>
      <c r="KUM1263" s="52"/>
      <c r="KUN1263" s="52"/>
      <c r="KUO1263" s="52"/>
      <c r="KUP1263" s="52"/>
      <c r="KUQ1263" s="52"/>
      <c r="KUR1263" s="52"/>
      <c r="KUS1263" s="52"/>
      <c r="KUT1263" s="52"/>
      <c r="KUU1263" s="52"/>
      <c r="KUV1263" s="52"/>
      <c r="KUW1263" s="52"/>
      <c r="KUX1263" s="52"/>
      <c r="KUY1263" s="52"/>
      <c r="KUZ1263" s="52"/>
      <c r="KVA1263" s="52"/>
      <c r="KVB1263" s="52"/>
      <c r="KVC1263" s="52"/>
      <c r="KVD1263" s="52"/>
      <c r="KVE1263" s="52"/>
      <c r="KVF1263" s="52"/>
      <c r="KVG1263" s="52"/>
      <c r="KVH1263" s="52"/>
      <c r="KVI1263" s="52"/>
      <c r="KVJ1263" s="52"/>
      <c r="KVK1263" s="52"/>
      <c r="KVL1263" s="52"/>
      <c r="KVM1263" s="52"/>
      <c r="KVN1263" s="52"/>
      <c r="KVO1263" s="52"/>
      <c r="KVP1263" s="52"/>
      <c r="KVQ1263" s="52"/>
      <c r="KVR1263" s="52"/>
      <c r="KVS1263" s="52"/>
      <c r="KVT1263" s="52"/>
      <c r="KVU1263" s="52"/>
      <c r="KVV1263" s="52"/>
      <c r="KVW1263" s="52"/>
      <c r="KVX1263" s="52"/>
      <c r="KVY1263" s="52"/>
      <c r="KVZ1263" s="52"/>
      <c r="KWA1263" s="52"/>
      <c r="KWB1263" s="52"/>
      <c r="KWC1263" s="52"/>
      <c r="KWD1263" s="52"/>
      <c r="KWE1263" s="52"/>
      <c r="KWF1263" s="52"/>
      <c r="KWG1263" s="52"/>
      <c r="KWH1263" s="52"/>
      <c r="KWI1263" s="52"/>
      <c r="KWJ1263" s="52"/>
      <c r="KWK1263" s="52"/>
      <c r="KWL1263" s="52"/>
      <c r="KWM1263" s="52"/>
      <c r="KWN1263" s="52"/>
      <c r="KWO1263" s="52"/>
      <c r="KWP1263" s="52"/>
      <c r="KWQ1263" s="52"/>
      <c r="KWR1263" s="52"/>
      <c r="KWS1263" s="52"/>
      <c r="KWT1263" s="52"/>
      <c r="KWU1263" s="52"/>
      <c r="KWV1263" s="52"/>
      <c r="KWW1263" s="52"/>
      <c r="KWX1263" s="52"/>
      <c r="KWY1263" s="52"/>
      <c r="KWZ1263" s="52"/>
      <c r="KXA1263" s="52"/>
      <c r="KXB1263" s="52"/>
      <c r="KXC1263" s="52"/>
      <c r="KXD1263" s="52"/>
      <c r="KXE1263" s="52"/>
      <c r="KXF1263" s="52"/>
      <c r="KXG1263" s="52"/>
      <c r="KXH1263" s="52"/>
      <c r="KXI1263" s="52"/>
      <c r="KXJ1263" s="52"/>
      <c r="KXK1263" s="52"/>
      <c r="KXL1263" s="52"/>
      <c r="KXM1263" s="52"/>
      <c r="KXN1263" s="52"/>
      <c r="KXO1263" s="52"/>
      <c r="KXP1263" s="52"/>
      <c r="KXQ1263" s="52"/>
      <c r="KXR1263" s="52"/>
      <c r="KXS1263" s="52"/>
      <c r="KXT1263" s="52"/>
      <c r="KXU1263" s="52"/>
      <c r="KXV1263" s="52"/>
      <c r="KXW1263" s="52"/>
      <c r="KXX1263" s="52"/>
      <c r="KXY1263" s="52"/>
      <c r="KXZ1263" s="52"/>
      <c r="KYA1263" s="52"/>
      <c r="KYB1263" s="52"/>
      <c r="KYC1263" s="52"/>
      <c r="KYD1263" s="52"/>
      <c r="KYE1263" s="52"/>
      <c r="KYF1263" s="52"/>
      <c r="KYG1263" s="52"/>
      <c r="KYH1263" s="52"/>
      <c r="KYI1263" s="52"/>
      <c r="KYJ1263" s="52"/>
      <c r="KYK1263" s="52"/>
      <c r="KYL1263" s="52"/>
      <c r="KYM1263" s="52"/>
      <c r="KYN1263" s="52"/>
      <c r="KYO1263" s="52"/>
      <c r="KYP1263" s="52"/>
      <c r="KYQ1263" s="52"/>
      <c r="KYR1263" s="52"/>
      <c r="KYS1263" s="52"/>
      <c r="KYT1263" s="52"/>
      <c r="KYU1263" s="52"/>
      <c r="KYV1263" s="52"/>
      <c r="KYW1263" s="52"/>
      <c r="KYX1263" s="52"/>
      <c r="KYY1263" s="52"/>
      <c r="KYZ1263" s="52"/>
      <c r="KZA1263" s="52"/>
      <c r="KZB1263" s="52"/>
      <c r="KZC1263" s="52"/>
      <c r="KZD1263" s="52"/>
      <c r="KZE1263" s="52"/>
      <c r="KZF1263" s="52"/>
      <c r="KZG1263" s="52"/>
      <c r="KZH1263" s="52"/>
      <c r="KZI1263" s="52"/>
      <c r="KZJ1263" s="52"/>
      <c r="KZK1263" s="52"/>
      <c r="KZL1263" s="52"/>
      <c r="KZM1263" s="52"/>
      <c r="KZN1263" s="52"/>
      <c r="KZO1263" s="52"/>
      <c r="KZP1263" s="52"/>
      <c r="KZQ1263" s="52"/>
      <c r="KZR1263" s="52"/>
      <c r="KZS1263" s="52"/>
      <c r="KZT1263" s="52"/>
      <c r="KZU1263" s="52"/>
      <c r="KZV1263" s="52"/>
      <c r="KZW1263" s="52"/>
      <c r="KZX1263" s="52"/>
      <c r="KZY1263" s="52"/>
      <c r="KZZ1263" s="52"/>
      <c r="LAA1263" s="52"/>
      <c r="LAB1263" s="52"/>
      <c r="LAC1263" s="52"/>
      <c r="LAD1263" s="52"/>
      <c r="LAE1263" s="52"/>
      <c r="LAF1263" s="52"/>
      <c r="LAG1263" s="52"/>
      <c r="LAH1263" s="52"/>
      <c r="LAI1263" s="52"/>
      <c r="LAJ1263" s="52"/>
      <c r="LAK1263" s="52"/>
      <c r="LAL1263" s="52"/>
      <c r="LAM1263" s="52"/>
      <c r="LAN1263" s="52"/>
      <c r="LAO1263" s="52"/>
      <c r="LAP1263" s="52"/>
      <c r="LAQ1263" s="52"/>
      <c r="LAR1263" s="52"/>
      <c r="LAS1263" s="52"/>
      <c r="LAT1263" s="52"/>
      <c r="LAU1263" s="52"/>
      <c r="LAV1263" s="52"/>
      <c r="LAW1263" s="52"/>
      <c r="LAX1263" s="52"/>
      <c r="LAY1263" s="52"/>
      <c r="LAZ1263" s="52"/>
      <c r="LBA1263" s="52"/>
      <c r="LBB1263" s="52"/>
      <c r="LBC1263" s="52"/>
      <c r="LBD1263" s="52"/>
      <c r="LBE1263" s="52"/>
      <c r="LBF1263" s="52"/>
      <c r="LBG1263" s="52"/>
      <c r="LBH1263" s="52"/>
      <c r="LBI1263" s="52"/>
      <c r="LBJ1263" s="52"/>
      <c r="LBK1263" s="52"/>
      <c r="LBL1263" s="52"/>
      <c r="LBM1263" s="52"/>
      <c r="LBN1263" s="52"/>
      <c r="LBO1263" s="52"/>
      <c r="LBP1263" s="52"/>
      <c r="LBQ1263" s="52"/>
      <c r="LBR1263" s="52"/>
      <c r="LBS1263" s="52"/>
      <c r="LBT1263" s="52"/>
      <c r="LBU1263" s="52"/>
      <c r="LBV1263" s="52"/>
      <c r="LBW1263" s="52"/>
      <c r="LBX1263" s="52"/>
      <c r="LBY1263" s="52"/>
      <c r="LBZ1263" s="52"/>
      <c r="LCA1263" s="52"/>
      <c r="LCB1263" s="52"/>
      <c r="LCC1263" s="52"/>
      <c r="LCD1263" s="52"/>
      <c r="LCE1263" s="52"/>
      <c r="LCF1263" s="52"/>
      <c r="LCG1263" s="52"/>
      <c r="LCH1263" s="52"/>
      <c r="LCI1263" s="52"/>
      <c r="LCJ1263" s="52"/>
      <c r="LCK1263" s="52"/>
      <c r="LCL1263" s="52"/>
      <c r="LCM1263" s="52"/>
      <c r="LCN1263" s="52"/>
      <c r="LCO1263" s="52"/>
      <c r="LCP1263" s="52"/>
      <c r="LCQ1263" s="52"/>
      <c r="LCR1263" s="52"/>
      <c r="LCS1263" s="52"/>
      <c r="LCT1263" s="52"/>
      <c r="LCU1263" s="52"/>
      <c r="LCV1263" s="52"/>
      <c r="LCW1263" s="52"/>
      <c r="LCX1263" s="52"/>
      <c r="LCY1263" s="52"/>
      <c r="LCZ1263" s="52"/>
      <c r="LDA1263" s="52"/>
      <c r="LDB1263" s="52"/>
      <c r="LDC1263" s="52"/>
      <c r="LDD1263" s="52"/>
      <c r="LDE1263" s="52"/>
      <c r="LDF1263" s="52"/>
      <c r="LDG1263" s="52"/>
      <c r="LDH1263" s="52"/>
      <c r="LDI1263" s="52"/>
      <c r="LDJ1263" s="52"/>
      <c r="LDK1263" s="52"/>
      <c r="LDL1263" s="52"/>
      <c r="LDM1263" s="52"/>
      <c r="LDN1263" s="52"/>
      <c r="LDO1263" s="52"/>
      <c r="LDP1263" s="52"/>
      <c r="LDQ1263" s="52"/>
      <c r="LDR1263" s="52"/>
      <c r="LDS1263" s="52"/>
      <c r="LDT1263" s="52"/>
      <c r="LDU1263" s="52"/>
      <c r="LDV1263" s="52"/>
      <c r="LDW1263" s="52"/>
      <c r="LDX1263" s="52"/>
      <c r="LDY1263" s="52"/>
      <c r="LDZ1263" s="52"/>
      <c r="LEA1263" s="52"/>
      <c r="LEB1263" s="52"/>
      <c r="LEC1263" s="52"/>
      <c r="LED1263" s="52"/>
      <c r="LEE1263" s="52"/>
      <c r="LEF1263" s="52"/>
      <c r="LEG1263" s="52"/>
      <c r="LEH1263" s="52"/>
      <c r="LEI1263" s="52"/>
      <c r="LEJ1263" s="52"/>
      <c r="LEK1263" s="52"/>
      <c r="LEL1263" s="52"/>
      <c r="LEM1263" s="52"/>
      <c r="LEN1263" s="52"/>
      <c r="LEO1263" s="52"/>
      <c r="LEP1263" s="52"/>
      <c r="LEQ1263" s="52"/>
      <c r="LER1263" s="52"/>
      <c r="LES1263" s="52"/>
      <c r="LET1263" s="52"/>
      <c r="LEU1263" s="52"/>
      <c r="LEV1263" s="52"/>
      <c r="LEW1263" s="52"/>
      <c r="LEX1263" s="52"/>
      <c r="LEY1263" s="52"/>
      <c r="LEZ1263" s="52"/>
      <c r="LFA1263" s="52"/>
      <c r="LFB1263" s="52"/>
      <c r="LFC1263" s="52"/>
      <c r="LFD1263" s="52"/>
      <c r="LFE1263" s="52"/>
      <c r="LFF1263" s="52"/>
      <c r="LFG1263" s="52"/>
      <c r="LFH1263" s="52"/>
      <c r="LFI1263" s="52"/>
      <c r="LFJ1263" s="52"/>
      <c r="LFK1263" s="52"/>
      <c r="LFL1263" s="52"/>
      <c r="LFM1263" s="52"/>
      <c r="LFN1263" s="52"/>
      <c r="LFO1263" s="52"/>
      <c r="LFP1263" s="52"/>
      <c r="LFQ1263" s="52"/>
      <c r="LFR1263" s="52"/>
      <c r="LFS1263" s="52"/>
      <c r="LFT1263" s="52"/>
      <c r="LFU1263" s="52"/>
      <c r="LFV1263" s="52"/>
      <c r="LFW1263" s="52"/>
      <c r="LFX1263" s="52"/>
      <c r="LFY1263" s="52"/>
      <c r="LFZ1263" s="52"/>
      <c r="LGA1263" s="52"/>
      <c r="LGB1263" s="52"/>
      <c r="LGC1263" s="52"/>
      <c r="LGD1263" s="52"/>
      <c r="LGE1263" s="52"/>
      <c r="LGF1263" s="52"/>
      <c r="LGG1263" s="52"/>
      <c r="LGH1263" s="52"/>
      <c r="LGI1263" s="52"/>
      <c r="LGJ1263" s="52"/>
      <c r="LGK1263" s="52"/>
      <c r="LGL1263" s="52"/>
      <c r="LGM1263" s="52"/>
      <c r="LGN1263" s="52"/>
      <c r="LGO1263" s="52"/>
      <c r="LGP1263" s="52"/>
      <c r="LGQ1263" s="52"/>
      <c r="LGR1263" s="52"/>
      <c r="LGS1263" s="52"/>
      <c r="LGT1263" s="52"/>
      <c r="LGU1263" s="52"/>
      <c r="LGV1263" s="52"/>
      <c r="LGW1263" s="52"/>
      <c r="LGX1263" s="52"/>
      <c r="LGY1263" s="52"/>
      <c r="LGZ1263" s="52"/>
      <c r="LHA1263" s="52"/>
      <c r="LHB1263" s="52"/>
      <c r="LHC1263" s="52"/>
      <c r="LHD1263" s="52"/>
      <c r="LHE1263" s="52"/>
      <c r="LHF1263" s="52"/>
      <c r="LHG1263" s="52"/>
      <c r="LHH1263" s="52"/>
      <c r="LHI1263" s="52"/>
      <c r="LHJ1263" s="52"/>
      <c r="LHK1263" s="52"/>
      <c r="LHL1263" s="52"/>
      <c r="LHM1263" s="52"/>
      <c r="LHN1263" s="52"/>
      <c r="LHO1263" s="52"/>
      <c r="LHP1263" s="52"/>
      <c r="LHQ1263" s="52"/>
      <c r="LHR1263" s="52"/>
      <c r="LHS1263" s="52"/>
      <c r="LHT1263" s="52"/>
      <c r="LHU1263" s="52"/>
      <c r="LHV1263" s="52"/>
      <c r="LHW1263" s="52"/>
      <c r="LHX1263" s="52"/>
      <c r="LHY1263" s="52"/>
      <c r="LHZ1263" s="52"/>
      <c r="LIA1263" s="52"/>
      <c r="LIB1263" s="52"/>
      <c r="LIC1263" s="52"/>
      <c r="LID1263" s="52"/>
      <c r="LIE1263" s="52"/>
      <c r="LIF1263" s="52"/>
      <c r="LIG1263" s="52"/>
      <c r="LIH1263" s="52"/>
      <c r="LII1263" s="52"/>
      <c r="LIJ1263" s="52"/>
      <c r="LIK1263" s="52"/>
      <c r="LIL1263" s="52"/>
      <c r="LIM1263" s="52"/>
      <c r="LIN1263" s="52"/>
      <c r="LIO1263" s="52"/>
      <c r="LIP1263" s="52"/>
      <c r="LIQ1263" s="52"/>
      <c r="LIR1263" s="52"/>
      <c r="LIS1263" s="52"/>
      <c r="LIT1263" s="52"/>
      <c r="LIU1263" s="52"/>
      <c r="LIV1263" s="52"/>
      <c r="LIW1263" s="52"/>
      <c r="LIX1263" s="52"/>
      <c r="LIY1263" s="52"/>
      <c r="LIZ1263" s="52"/>
      <c r="LJA1263" s="52"/>
      <c r="LJB1263" s="52"/>
      <c r="LJC1263" s="52"/>
      <c r="LJD1263" s="52"/>
      <c r="LJE1263" s="52"/>
      <c r="LJF1263" s="52"/>
      <c r="LJG1263" s="52"/>
      <c r="LJH1263" s="52"/>
      <c r="LJI1263" s="52"/>
      <c r="LJJ1263" s="52"/>
      <c r="LJK1263" s="52"/>
      <c r="LJL1263" s="52"/>
      <c r="LJM1263" s="52"/>
      <c r="LJN1263" s="52"/>
      <c r="LJO1263" s="52"/>
      <c r="LJP1263" s="52"/>
      <c r="LJQ1263" s="52"/>
      <c r="LJR1263" s="52"/>
      <c r="LJS1263" s="52"/>
      <c r="LJT1263" s="52"/>
      <c r="LJU1263" s="52"/>
      <c r="LJV1263" s="52"/>
      <c r="LJW1263" s="52"/>
      <c r="LJX1263" s="52"/>
      <c r="LJY1263" s="52"/>
      <c r="LJZ1263" s="52"/>
      <c r="LKA1263" s="52"/>
      <c r="LKB1263" s="52"/>
      <c r="LKC1263" s="52"/>
      <c r="LKD1263" s="52"/>
      <c r="LKE1263" s="52"/>
      <c r="LKF1263" s="52"/>
      <c r="LKG1263" s="52"/>
      <c r="LKH1263" s="52"/>
      <c r="LKI1263" s="52"/>
      <c r="LKJ1263" s="52"/>
      <c r="LKK1263" s="52"/>
      <c r="LKL1263" s="52"/>
      <c r="LKM1263" s="52"/>
      <c r="LKN1263" s="52"/>
      <c r="LKO1263" s="52"/>
      <c r="LKP1263" s="52"/>
      <c r="LKQ1263" s="52"/>
      <c r="LKR1263" s="52"/>
      <c r="LKS1263" s="52"/>
      <c r="LKT1263" s="52"/>
      <c r="LKU1263" s="52"/>
      <c r="LKV1263" s="52"/>
      <c r="LKW1263" s="52"/>
      <c r="LKX1263" s="52"/>
      <c r="LKY1263" s="52"/>
      <c r="LKZ1263" s="52"/>
      <c r="LLA1263" s="52"/>
      <c r="LLB1263" s="52"/>
      <c r="LLC1263" s="52"/>
      <c r="LLD1263" s="52"/>
      <c r="LLE1263" s="52"/>
      <c r="LLF1263" s="52"/>
      <c r="LLG1263" s="52"/>
      <c r="LLH1263" s="52"/>
      <c r="LLI1263" s="52"/>
      <c r="LLJ1263" s="52"/>
      <c r="LLK1263" s="52"/>
      <c r="LLL1263" s="52"/>
      <c r="LLM1263" s="52"/>
      <c r="LLN1263" s="52"/>
      <c r="LLO1263" s="52"/>
      <c r="LLP1263" s="52"/>
      <c r="LLQ1263" s="52"/>
      <c r="LLR1263" s="52"/>
      <c r="LLS1263" s="52"/>
      <c r="LLT1263" s="52"/>
      <c r="LLU1263" s="52"/>
      <c r="LLV1263" s="52"/>
      <c r="LLW1263" s="52"/>
      <c r="LLX1263" s="52"/>
      <c r="LLY1263" s="52"/>
      <c r="LLZ1263" s="52"/>
      <c r="LMA1263" s="52"/>
      <c r="LMB1263" s="52"/>
      <c r="LMC1263" s="52"/>
      <c r="LMD1263" s="52"/>
      <c r="LME1263" s="52"/>
      <c r="LMF1263" s="52"/>
      <c r="LMG1263" s="52"/>
      <c r="LMH1263" s="52"/>
      <c r="LMI1263" s="52"/>
      <c r="LMJ1263" s="52"/>
      <c r="LMK1263" s="52"/>
      <c r="LML1263" s="52"/>
      <c r="LMM1263" s="52"/>
      <c r="LMN1263" s="52"/>
      <c r="LMO1263" s="52"/>
      <c r="LMP1263" s="52"/>
      <c r="LMQ1263" s="52"/>
      <c r="LMR1263" s="52"/>
      <c r="LMS1263" s="52"/>
      <c r="LMT1263" s="52"/>
      <c r="LMU1263" s="52"/>
      <c r="LMV1263" s="52"/>
      <c r="LMW1263" s="52"/>
      <c r="LMX1263" s="52"/>
      <c r="LMY1263" s="52"/>
      <c r="LMZ1263" s="52"/>
      <c r="LNA1263" s="52"/>
      <c r="LNB1263" s="52"/>
      <c r="LNC1263" s="52"/>
      <c r="LND1263" s="52"/>
      <c r="LNE1263" s="52"/>
      <c r="LNF1263" s="52"/>
      <c r="LNG1263" s="52"/>
      <c r="LNH1263" s="52"/>
      <c r="LNI1263" s="52"/>
      <c r="LNJ1263" s="52"/>
      <c r="LNK1263" s="52"/>
      <c r="LNL1263" s="52"/>
      <c r="LNM1263" s="52"/>
      <c r="LNN1263" s="52"/>
      <c r="LNO1263" s="52"/>
      <c r="LNP1263" s="52"/>
      <c r="LNQ1263" s="52"/>
      <c r="LNR1263" s="52"/>
      <c r="LNS1263" s="52"/>
      <c r="LNT1263" s="52"/>
      <c r="LNU1263" s="52"/>
      <c r="LNV1263" s="52"/>
      <c r="LNW1263" s="52"/>
      <c r="LNX1263" s="52"/>
      <c r="LNY1263" s="52"/>
      <c r="LNZ1263" s="52"/>
      <c r="LOA1263" s="52"/>
      <c r="LOB1263" s="52"/>
      <c r="LOC1263" s="52"/>
      <c r="LOD1263" s="52"/>
      <c r="LOE1263" s="52"/>
      <c r="LOF1263" s="52"/>
      <c r="LOG1263" s="52"/>
      <c r="LOH1263" s="52"/>
      <c r="LOI1263" s="52"/>
      <c r="LOJ1263" s="52"/>
      <c r="LOK1263" s="52"/>
      <c r="LOL1263" s="52"/>
      <c r="LOM1263" s="52"/>
      <c r="LON1263" s="52"/>
      <c r="LOO1263" s="52"/>
      <c r="LOP1263" s="52"/>
      <c r="LOQ1263" s="52"/>
      <c r="LOR1263" s="52"/>
      <c r="LOS1263" s="52"/>
      <c r="LOT1263" s="52"/>
      <c r="LOU1263" s="52"/>
      <c r="LOV1263" s="52"/>
      <c r="LOW1263" s="52"/>
      <c r="LOX1263" s="52"/>
      <c r="LOY1263" s="52"/>
      <c r="LOZ1263" s="52"/>
      <c r="LPA1263" s="52"/>
      <c r="LPB1263" s="52"/>
      <c r="LPC1263" s="52"/>
      <c r="LPD1263" s="52"/>
      <c r="LPE1263" s="52"/>
      <c r="LPF1263" s="52"/>
      <c r="LPG1263" s="52"/>
      <c r="LPH1263" s="52"/>
      <c r="LPI1263" s="52"/>
      <c r="LPJ1263" s="52"/>
      <c r="LPK1263" s="52"/>
      <c r="LPL1263" s="52"/>
      <c r="LPM1263" s="52"/>
      <c r="LPN1263" s="52"/>
      <c r="LPO1263" s="52"/>
      <c r="LPP1263" s="52"/>
      <c r="LPQ1263" s="52"/>
      <c r="LPR1263" s="52"/>
      <c r="LPS1263" s="52"/>
      <c r="LPT1263" s="52"/>
      <c r="LPU1263" s="52"/>
      <c r="LPV1263" s="52"/>
      <c r="LPW1263" s="52"/>
      <c r="LPX1263" s="52"/>
      <c r="LPY1263" s="52"/>
      <c r="LPZ1263" s="52"/>
      <c r="LQA1263" s="52"/>
      <c r="LQB1263" s="52"/>
      <c r="LQC1263" s="52"/>
      <c r="LQD1263" s="52"/>
      <c r="LQE1263" s="52"/>
      <c r="LQF1263" s="52"/>
      <c r="LQG1263" s="52"/>
      <c r="LQH1263" s="52"/>
      <c r="LQI1263" s="52"/>
      <c r="LQJ1263" s="52"/>
      <c r="LQK1263" s="52"/>
      <c r="LQL1263" s="52"/>
      <c r="LQM1263" s="52"/>
      <c r="LQN1263" s="52"/>
      <c r="LQO1263" s="52"/>
      <c r="LQP1263" s="52"/>
      <c r="LQQ1263" s="52"/>
      <c r="LQR1263" s="52"/>
      <c r="LQS1263" s="52"/>
      <c r="LQT1263" s="52"/>
      <c r="LQU1263" s="52"/>
      <c r="LQV1263" s="52"/>
      <c r="LQW1263" s="52"/>
      <c r="LQX1263" s="52"/>
      <c r="LQY1263" s="52"/>
      <c r="LQZ1263" s="52"/>
      <c r="LRA1263" s="52"/>
      <c r="LRB1263" s="52"/>
      <c r="LRC1263" s="52"/>
      <c r="LRD1263" s="52"/>
      <c r="LRE1263" s="52"/>
      <c r="LRF1263" s="52"/>
      <c r="LRG1263" s="52"/>
      <c r="LRH1263" s="52"/>
      <c r="LRI1263" s="52"/>
      <c r="LRJ1263" s="52"/>
      <c r="LRK1263" s="52"/>
      <c r="LRL1263" s="52"/>
      <c r="LRM1263" s="52"/>
      <c r="LRN1263" s="52"/>
      <c r="LRO1263" s="52"/>
      <c r="LRP1263" s="52"/>
      <c r="LRQ1263" s="52"/>
      <c r="LRR1263" s="52"/>
      <c r="LRS1263" s="52"/>
      <c r="LRT1263" s="52"/>
      <c r="LRU1263" s="52"/>
      <c r="LRV1263" s="52"/>
      <c r="LRW1263" s="52"/>
      <c r="LRX1263" s="52"/>
      <c r="LRY1263" s="52"/>
      <c r="LRZ1263" s="52"/>
      <c r="LSA1263" s="52"/>
      <c r="LSB1263" s="52"/>
      <c r="LSC1263" s="52"/>
      <c r="LSD1263" s="52"/>
      <c r="LSE1263" s="52"/>
      <c r="LSF1263" s="52"/>
      <c r="LSG1263" s="52"/>
      <c r="LSH1263" s="52"/>
      <c r="LSI1263" s="52"/>
      <c r="LSJ1263" s="52"/>
      <c r="LSK1263" s="52"/>
      <c r="LSL1263" s="52"/>
      <c r="LSM1263" s="52"/>
      <c r="LSN1263" s="52"/>
      <c r="LSO1263" s="52"/>
      <c r="LSP1263" s="52"/>
      <c r="LSQ1263" s="52"/>
      <c r="LSR1263" s="52"/>
      <c r="LSS1263" s="52"/>
      <c r="LST1263" s="52"/>
      <c r="LSU1263" s="52"/>
      <c r="LSV1263" s="52"/>
      <c r="LSW1263" s="52"/>
      <c r="LSX1263" s="52"/>
      <c r="LSY1263" s="52"/>
      <c r="LSZ1263" s="52"/>
      <c r="LTA1263" s="52"/>
      <c r="LTB1263" s="52"/>
      <c r="LTC1263" s="52"/>
      <c r="LTD1263" s="52"/>
      <c r="LTE1263" s="52"/>
      <c r="LTF1263" s="52"/>
      <c r="LTG1263" s="52"/>
      <c r="LTH1263" s="52"/>
      <c r="LTI1263" s="52"/>
      <c r="LTJ1263" s="52"/>
      <c r="LTK1263" s="52"/>
      <c r="LTL1263" s="52"/>
      <c r="LTM1263" s="52"/>
      <c r="LTN1263" s="52"/>
      <c r="LTO1263" s="52"/>
      <c r="LTP1263" s="52"/>
      <c r="LTQ1263" s="52"/>
      <c r="LTR1263" s="52"/>
      <c r="LTS1263" s="52"/>
      <c r="LTT1263" s="52"/>
      <c r="LTU1263" s="52"/>
      <c r="LTV1263" s="52"/>
      <c r="LTW1263" s="52"/>
      <c r="LTX1263" s="52"/>
      <c r="LTY1263" s="52"/>
      <c r="LTZ1263" s="52"/>
      <c r="LUA1263" s="52"/>
      <c r="LUB1263" s="52"/>
      <c r="LUC1263" s="52"/>
      <c r="LUD1263" s="52"/>
      <c r="LUE1263" s="52"/>
      <c r="LUF1263" s="52"/>
      <c r="LUG1263" s="52"/>
      <c r="LUH1263" s="52"/>
      <c r="LUI1263" s="52"/>
      <c r="LUJ1263" s="52"/>
      <c r="LUK1263" s="52"/>
      <c r="LUL1263" s="52"/>
      <c r="LUM1263" s="52"/>
      <c r="LUN1263" s="52"/>
      <c r="LUO1263" s="52"/>
      <c r="LUP1263" s="52"/>
      <c r="LUQ1263" s="52"/>
      <c r="LUR1263" s="52"/>
      <c r="LUS1263" s="52"/>
      <c r="LUT1263" s="52"/>
      <c r="LUU1263" s="52"/>
      <c r="LUV1263" s="52"/>
      <c r="LUW1263" s="52"/>
      <c r="LUX1263" s="52"/>
      <c r="LUY1263" s="52"/>
      <c r="LUZ1263" s="52"/>
      <c r="LVA1263" s="52"/>
      <c r="LVB1263" s="52"/>
      <c r="LVC1263" s="52"/>
      <c r="LVD1263" s="52"/>
      <c r="LVE1263" s="52"/>
      <c r="LVF1263" s="52"/>
      <c r="LVG1263" s="52"/>
      <c r="LVH1263" s="52"/>
      <c r="LVI1263" s="52"/>
      <c r="LVJ1263" s="52"/>
      <c r="LVK1263" s="52"/>
      <c r="LVL1263" s="52"/>
      <c r="LVM1263" s="52"/>
      <c r="LVN1263" s="52"/>
      <c r="LVO1263" s="52"/>
      <c r="LVP1263" s="52"/>
      <c r="LVQ1263" s="52"/>
      <c r="LVR1263" s="52"/>
      <c r="LVS1263" s="52"/>
      <c r="LVT1263" s="52"/>
      <c r="LVU1263" s="52"/>
      <c r="LVV1263" s="52"/>
      <c r="LVW1263" s="52"/>
      <c r="LVX1263" s="52"/>
      <c r="LVY1263" s="52"/>
      <c r="LVZ1263" s="52"/>
      <c r="LWA1263" s="52"/>
      <c r="LWB1263" s="52"/>
      <c r="LWC1263" s="52"/>
      <c r="LWD1263" s="52"/>
      <c r="LWE1263" s="52"/>
      <c r="LWF1263" s="52"/>
      <c r="LWG1263" s="52"/>
      <c r="LWH1263" s="52"/>
      <c r="LWI1263" s="52"/>
      <c r="LWJ1263" s="52"/>
      <c r="LWK1263" s="52"/>
      <c r="LWL1263" s="52"/>
      <c r="LWM1263" s="52"/>
      <c r="LWN1263" s="52"/>
      <c r="LWO1263" s="52"/>
      <c r="LWP1263" s="52"/>
      <c r="LWQ1263" s="52"/>
      <c r="LWR1263" s="52"/>
      <c r="LWS1263" s="52"/>
      <c r="LWT1263" s="52"/>
      <c r="LWU1263" s="52"/>
      <c r="LWV1263" s="52"/>
      <c r="LWW1263" s="52"/>
      <c r="LWX1263" s="52"/>
      <c r="LWY1263" s="52"/>
      <c r="LWZ1263" s="52"/>
      <c r="LXA1263" s="52"/>
      <c r="LXB1263" s="52"/>
      <c r="LXC1263" s="52"/>
      <c r="LXD1263" s="52"/>
      <c r="LXE1263" s="52"/>
      <c r="LXF1263" s="52"/>
      <c r="LXG1263" s="52"/>
      <c r="LXH1263" s="52"/>
      <c r="LXI1263" s="52"/>
      <c r="LXJ1263" s="52"/>
      <c r="LXK1263" s="52"/>
      <c r="LXL1263" s="52"/>
      <c r="LXM1263" s="52"/>
      <c r="LXN1263" s="52"/>
      <c r="LXO1263" s="52"/>
      <c r="LXP1263" s="52"/>
      <c r="LXQ1263" s="52"/>
      <c r="LXR1263" s="52"/>
      <c r="LXS1263" s="52"/>
      <c r="LXT1263" s="52"/>
      <c r="LXU1263" s="52"/>
      <c r="LXV1263" s="52"/>
      <c r="LXW1263" s="52"/>
      <c r="LXX1263" s="52"/>
      <c r="LXY1263" s="52"/>
      <c r="LXZ1263" s="52"/>
      <c r="LYA1263" s="52"/>
      <c r="LYB1263" s="52"/>
      <c r="LYC1263" s="52"/>
      <c r="LYD1263" s="52"/>
      <c r="LYE1263" s="52"/>
      <c r="LYF1263" s="52"/>
      <c r="LYG1263" s="52"/>
      <c r="LYH1263" s="52"/>
      <c r="LYI1263" s="52"/>
      <c r="LYJ1263" s="52"/>
      <c r="LYK1263" s="52"/>
      <c r="LYL1263" s="52"/>
      <c r="LYM1263" s="52"/>
      <c r="LYN1263" s="52"/>
      <c r="LYO1263" s="52"/>
      <c r="LYP1263" s="52"/>
      <c r="LYQ1263" s="52"/>
      <c r="LYR1263" s="52"/>
      <c r="LYS1263" s="52"/>
      <c r="LYT1263" s="52"/>
      <c r="LYU1263" s="52"/>
      <c r="LYV1263" s="52"/>
      <c r="LYW1263" s="52"/>
      <c r="LYX1263" s="52"/>
      <c r="LYY1263" s="52"/>
      <c r="LYZ1263" s="52"/>
      <c r="LZA1263" s="52"/>
      <c r="LZB1263" s="52"/>
      <c r="LZC1263" s="52"/>
      <c r="LZD1263" s="52"/>
      <c r="LZE1263" s="52"/>
      <c r="LZF1263" s="52"/>
      <c r="LZG1263" s="52"/>
      <c r="LZH1263" s="52"/>
      <c r="LZI1263" s="52"/>
      <c r="LZJ1263" s="52"/>
      <c r="LZK1263" s="52"/>
      <c r="LZL1263" s="52"/>
      <c r="LZM1263" s="52"/>
      <c r="LZN1263" s="52"/>
      <c r="LZO1263" s="52"/>
      <c r="LZP1263" s="52"/>
      <c r="LZQ1263" s="52"/>
      <c r="LZR1263" s="52"/>
      <c r="LZS1263" s="52"/>
      <c r="LZT1263" s="52"/>
      <c r="LZU1263" s="52"/>
      <c r="LZV1263" s="52"/>
      <c r="LZW1263" s="52"/>
      <c r="LZX1263" s="52"/>
      <c r="LZY1263" s="52"/>
      <c r="LZZ1263" s="52"/>
      <c r="MAA1263" s="52"/>
      <c r="MAB1263" s="52"/>
      <c r="MAC1263" s="52"/>
      <c r="MAD1263" s="52"/>
      <c r="MAE1263" s="52"/>
      <c r="MAF1263" s="52"/>
      <c r="MAG1263" s="52"/>
      <c r="MAH1263" s="52"/>
      <c r="MAI1263" s="52"/>
      <c r="MAJ1263" s="52"/>
      <c r="MAK1263" s="52"/>
      <c r="MAL1263" s="52"/>
      <c r="MAM1263" s="52"/>
      <c r="MAN1263" s="52"/>
      <c r="MAO1263" s="52"/>
      <c r="MAP1263" s="52"/>
      <c r="MAQ1263" s="52"/>
      <c r="MAR1263" s="52"/>
      <c r="MAS1263" s="52"/>
      <c r="MAT1263" s="52"/>
      <c r="MAU1263" s="52"/>
      <c r="MAV1263" s="52"/>
      <c r="MAW1263" s="52"/>
      <c r="MAX1263" s="52"/>
      <c r="MAY1263" s="52"/>
      <c r="MAZ1263" s="52"/>
      <c r="MBA1263" s="52"/>
      <c r="MBB1263" s="52"/>
      <c r="MBC1263" s="52"/>
      <c r="MBD1263" s="52"/>
      <c r="MBE1263" s="52"/>
      <c r="MBF1263" s="52"/>
      <c r="MBG1263" s="52"/>
      <c r="MBH1263" s="52"/>
      <c r="MBI1263" s="52"/>
      <c r="MBJ1263" s="52"/>
      <c r="MBK1263" s="52"/>
      <c r="MBL1263" s="52"/>
      <c r="MBM1263" s="52"/>
      <c r="MBN1263" s="52"/>
      <c r="MBO1263" s="52"/>
      <c r="MBP1263" s="52"/>
      <c r="MBQ1263" s="52"/>
      <c r="MBR1263" s="52"/>
      <c r="MBS1263" s="52"/>
      <c r="MBT1263" s="52"/>
      <c r="MBU1263" s="52"/>
      <c r="MBV1263" s="52"/>
      <c r="MBW1263" s="52"/>
      <c r="MBX1263" s="52"/>
      <c r="MBY1263" s="52"/>
      <c r="MBZ1263" s="52"/>
      <c r="MCA1263" s="52"/>
      <c r="MCB1263" s="52"/>
      <c r="MCC1263" s="52"/>
      <c r="MCD1263" s="52"/>
      <c r="MCE1263" s="52"/>
      <c r="MCF1263" s="52"/>
      <c r="MCG1263" s="52"/>
      <c r="MCH1263" s="52"/>
      <c r="MCI1263" s="52"/>
      <c r="MCJ1263" s="52"/>
      <c r="MCK1263" s="52"/>
      <c r="MCL1263" s="52"/>
      <c r="MCM1263" s="52"/>
      <c r="MCN1263" s="52"/>
      <c r="MCO1263" s="52"/>
      <c r="MCP1263" s="52"/>
      <c r="MCQ1263" s="52"/>
      <c r="MCR1263" s="52"/>
      <c r="MCS1263" s="52"/>
      <c r="MCT1263" s="52"/>
      <c r="MCU1263" s="52"/>
      <c r="MCV1263" s="52"/>
      <c r="MCW1263" s="52"/>
      <c r="MCX1263" s="52"/>
      <c r="MCY1263" s="52"/>
      <c r="MCZ1263" s="52"/>
      <c r="MDA1263" s="52"/>
      <c r="MDB1263" s="52"/>
      <c r="MDC1263" s="52"/>
      <c r="MDD1263" s="52"/>
      <c r="MDE1263" s="52"/>
      <c r="MDF1263" s="52"/>
      <c r="MDG1263" s="52"/>
      <c r="MDH1263" s="52"/>
      <c r="MDI1263" s="52"/>
      <c r="MDJ1263" s="52"/>
      <c r="MDK1263" s="52"/>
      <c r="MDL1263" s="52"/>
      <c r="MDM1263" s="52"/>
      <c r="MDN1263" s="52"/>
      <c r="MDO1263" s="52"/>
      <c r="MDP1263" s="52"/>
      <c r="MDQ1263" s="52"/>
      <c r="MDR1263" s="52"/>
      <c r="MDS1263" s="52"/>
      <c r="MDT1263" s="52"/>
      <c r="MDU1263" s="52"/>
      <c r="MDV1263" s="52"/>
      <c r="MDW1263" s="52"/>
      <c r="MDX1263" s="52"/>
      <c r="MDY1263" s="52"/>
      <c r="MDZ1263" s="52"/>
      <c r="MEA1263" s="52"/>
      <c r="MEB1263" s="52"/>
      <c r="MEC1263" s="52"/>
      <c r="MED1263" s="52"/>
      <c r="MEE1263" s="52"/>
      <c r="MEF1263" s="52"/>
      <c r="MEG1263" s="52"/>
      <c r="MEH1263" s="52"/>
      <c r="MEI1263" s="52"/>
      <c r="MEJ1263" s="52"/>
      <c r="MEK1263" s="52"/>
      <c r="MEL1263" s="52"/>
      <c r="MEM1263" s="52"/>
      <c r="MEN1263" s="52"/>
      <c r="MEO1263" s="52"/>
      <c r="MEP1263" s="52"/>
      <c r="MEQ1263" s="52"/>
      <c r="MER1263" s="52"/>
      <c r="MES1263" s="52"/>
      <c r="MET1263" s="52"/>
      <c r="MEU1263" s="52"/>
      <c r="MEV1263" s="52"/>
      <c r="MEW1263" s="52"/>
      <c r="MEX1263" s="52"/>
      <c r="MEY1263" s="52"/>
      <c r="MEZ1263" s="52"/>
      <c r="MFA1263" s="52"/>
      <c r="MFB1263" s="52"/>
      <c r="MFC1263" s="52"/>
      <c r="MFD1263" s="52"/>
      <c r="MFE1263" s="52"/>
      <c r="MFF1263" s="52"/>
      <c r="MFG1263" s="52"/>
      <c r="MFH1263" s="52"/>
      <c r="MFI1263" s="52"/>
      <c r="MFJ1263" s="52"/>
      <c r="MFK1263" s="52"/>
      <c r="MFL1263" s="52"/>
      <c r="MFM1263" s="52"/>
      <c r="MFN1263" s="52"/>
      <c r="MFO1263" s="52"/>
      <c r="MFP1263" s="52"/>
      <c r="MFQ1263" s="52"/>
      <c r="MFR1263" s="52"/>
      <c r="MFS1263" s="52"/>
      <c r="MFT1263" s="52"/>
      <c r="MFU1263" s="52"/>
      <c r="MFV1263" s="52"/>
      <c r="MFW1263" s="52"/>
      <c r="MFX1263" s="52"/>
      <c r="MFY1263" s="52"/>
      <c r="MFZ1263" s="52"/>
      <c r="MGA1263" s="52"/>
      <c r="MGB1263" s="52"/>
      <c r="MGC1263" s="52"/>
      <c r="MGD1263" s="52"/>
      <c r="MGE1263" s="52"/>
      <c r="MGF1263" s="52"/>
      <c r="MGG1263" s="52"/>
      <c r="MGH1263" s="52"/>
      <c r="MGI1263" s="52"/>
      <c r="MGJ1263" s="52"/>
      <c r="MGK1263" s="52"/>
      <c r="MGL1263" s="52"/>
      <c r="MGM1263" s="52"/>
      <c r="MGN1263" s="52"/>
      <c r="MGO1263" s="52"/>
      <c r="MGP1263" s="52"/>
      <c r="MGQ1263" s="52"/>
      <c r="MGR1263" s="52"/>
      <c r="MGS1263" s="52"/>
      <c r="MGT1263" s="52"/>
      <c r="MGU1263" s="52"/>
      <c r="MGV1263" s="52"/>
      <c r="MGW1263" s="52"/>
      <c r="MGX1263" s="52"/>
      <c r="MGY1263" s="52"/>
      <c r="MGZ1263" s="52"/>
      <c r="MHA1263" s="52"/>
      <c r="MHB1263" s="52"/>
      <c r="MHC1263" s="52"/>
      <c r="MHD1263" s="52"/>
      <c r="MHE1263" s="52"/>
      <c r="MHF1263" s="52"/>
      <c r="MHG1263" s="52"/>
      <c r="MHH1263" s="52"/>
      <c r="MHI1263" s="52"/>
      <c r="MHJ1263" s="52"/>
      <c r="MHK1263" s="52"/>
      <c r="MHL1263" s="52"/>
      <c r="MHM1263" s="52"/>
      <c r="MHN1263" s="52"/>
      <c r="MHO1263" s="52"/>
      <c r="MHP1263" s="52"/>
      <c r="MHQ1263" s="52"/>
      <c r="MHR1263" s="52"/>
      <c r="MHS1263" s="52"/>
      <c r="MHT1263" s="52"/>
      <c r="MHU1263" s="52"/>
      <c r="MHV1263" s="52"/>
      <c r="MHW1263" s="52"/>
      <c r="MHX1263" s="52"/>
      <c r="MHY1263" s="52"/>
      <c r="MHZ1263" s="52"/>
      <c r="MIA1263" s="52"/>
      <c r="MIB1263" s="52"/>
      <c r="MIC1263" s="52"/>
      <c r="MID1263" s="52"/>
      <c r="MIE1263" s="52"/>
      <c r="MIF1263" s="52"/>
      <c r="MIG1263" s="52"/>
      <c r="MIH1263" s="52"/>
      <c r="MII1263" s="52"/>
      <c r="MIJ1263" s="52"/>
      <c r="MIK1263" s="52"/>
      <c r="MIL1263" s="52"/>
      <c r="MIM1263" s="52"/>
      <c r="MIN1263" s="52"/>
      <c r="MIO1263" s="52"/>
      <c r="MIP1263" s="52"/>
      <c r="MIQ1263" s="52"/>
      <c r="MIR1263" s="52"/>
      <c r="MIS1263" s="52"/>
      <c r="MIT1263" s="52"/>
      <c r="MIU1263" s="52"/>
      <c r="MIV1263" s="52"/>
      <c r="MIW1263" s="52"/>
      <c r="MIX1263" s="52"/>
      <c r="MIY1263" s="52"/>
      <c r="MIZ1263" s="52"/>
      <c r="MJA1263" s="52"/>
      <c r="MJB1263" s="52"/>
      <c r="MJC1263" s="52"/>
      <c r="MJD1263" s="52"/>
      <c r="MJE1263" s="52"/>
      <c r="MJF1263" s="52"/>
      <c r="MJG1263" s="52"/>
      <c r="MJH1263" s="52"/>
      <c r="MJI1263" s="52"/>
      <c r="MJJ1263" s="52"/>
      <c r="MJK1263" s="52"/>
      <c r="MJL1263" s="52"/>
      <c r="MJM1263" s="52"/>
      <c r="MJN1263" s="52"/>
      <c r="MJO1263" s="52"/>
      <c r="MJP1263" s="52"/>
      <c r="MJQ1263" s="52"/>
      <c r="MJR1263" s="52"/>
      <c r="MJS1263" s="52"/>
      <c r="MJT1263" s="52"/>
      <c r="MJU1263" s="52"/>
      <c r="MJV1263" s="52"/>
      <c r="MJW1263" s="52"/>
      <c r="MJX1263" s="52"/>
      <c r="MJY1263" s="52"/>
      <c r="MJZ1263" s="52"/>
      <c r="MKA1263" s="52"/>
      <c r="MKB1263" s="52"/>
      <c r="MKC1263" s="52"/>
      <c r="MKD1263" s="52"/>
      <c r="MKE1263" s="52"/>
      <c r="MKF1263" s="52"/>
      <c r="MKG1263" s="52"/>
      <c r="MKH1263" s="52"/>
      <c r="MKI1263" s="52"/>
      <c r="MKJ1263" s="52"/>
      <c r="MKK1263" s="52"/>
      <c r="MKL1263" s="52"/>
      <c r="MKM1263" s="52"/>
      <c r="MKN1263" s="52"/>
      <c r="MKO1263" s="52"/>
      <c r="MKP1263" s="52"/>
      <c r="MKQ1263" s="52"/>
      <c r="MKR1263" s="52"/>
      <c r="MKS1263" s="52"/>
      <c r="MKT1263" s="52"/>
      <c r="MKU1263" s="52"/>
      <c r="MKV1263" s="52"/>
      <c r="MKW1263" s="52"/>
      <c r="MKX1263" s="52"/>
      <c r="MKY1263" s="52"/>
      <c r="MKZ1263" s="52"/>
      <c r="MLA1263" s="52"/>
      <c r="MLB1263" s="52"/>
      <c r="MLC1263" s="52"/>
      <c r="MLD1263" s="52"/>
      <c r="MLE1263" s="52"/>
      <c r="MLF1263" s="52"/>
      <c r="MLG1263" s="52"/>
      <c r="MLH1263" s="52"/>
      <c r="MLI1263" s="52"/>
      <c r="MLJ1263" s="52"/>
      <c r="MLK1263" s="52"/>
      <c r="MLL1263" s="52"/>
      <c r="MLM1263" s="52"/>
      <c r="MLN1263" s="52"/>
      <c r="MLO1263" s="52"/>
      <c r="MLP1263" s="52"/>
      <c r="MLQ1263" s="52"/>
      <c r="MLR1263" s="52"/>
      <c r="MLS1263" s="52"/>
      <c r="MLT1263" s="52"/>
      <c r="MLU1263" s="52"/>
      <c r="MLV1263" s="52"/>
      <c r="MLW1263" s="52"/>
      <c r="MLX1263" s="52"/>
      <c r="MLY1263" s="52"/>
      <c r="MLZ1263" s="52"/>
      <c r="MMA1263" s="52"/>
      <c r="MMB1263" s="52"/>
      <c r="MMC1263" s="52"/>
      <c r="MMD1263" s="52"/>
      <c r="MME1263" s="52"/>
      <c r="MMF1263" s="52"/>
      <c r="MMG1263" s="52"/>
      <c r="MMH1263" s="52"/>
      <c r="MMI1263" s="52"/>
      <c r="MMJ1263" s="52"/>
      <c r="MMK1263" s="52"/>
      <c r="MML1263" s="52"/>
      <c r="MMM1263" s="52"/>
      <c r="MMN1263" s="52"/>
      <c r="MMO1263" s="52"/>
      <c r="MMP1263" s="52"/>
      <c r="MMQ1263" s="52"/>
      <c r="MMR1263" s="52"/>
      <c r="MMS1263" s="52"/>
      <c r="MMT1263" s="52"/>
      <c r="MMU1263" s="52"/>
      <c r="MMV1263" s="52"/>
      <c r="MMW1263" s="52"/>
      <c r="MMX1263" s="52"/>
      <c r="MMY1263" s="52"/>
      <c r="MMZ1263" s="52"/>
      <c r="MNA1263" s="52"/>
      <c r="MNB1263" s="52"/>
      <c r="MNC1263" s="52"/>
      <c r="MND1263" s="52"/>
      <c r="MNE1263" s="52"/>
      <c r="MNF1263" s="52"/>
      <c r="MNG1263" s="52"/>
      <c r="MNH1263" s="52"/>
      <c r="MNI1263" s="52"/>
      <c r="MNJ1263" s="52"/>
      <c r="MNK1263" s="52"/>
      <c r="MNL1263" s="52"/>
      <c r="MNM1263" s="52"/>
      <c r="MNN1263" s="52"/>
      <c r="MNO1263" s="52"/>
      <c r="MNP1263" s="52"/>
      <c r="MNQ1263" s="52"/>
      <c r="MNR1263" s="52"/>
      <c r="MNS1263" s="52"/>
      <c r="MNT1263" s="52"/>
      <c r="MNU1263" s="52"/>
      <c r="MNV1263" s="52"/>
      <c r="MNW1263" s="52"/>
      <c r="MNX1263" s="52"/>
      <c r="MNY1263" s="52"/>
      <c r="MNZ1263" s="52"/>
      <c r="MOA1263" s="52"/>
      <c r="MOB1263" s="52"/>
      <c r="MOC1263" s="52"/>
      <c r="MOD1263" s="52"/>
      <c r="MOE1263" s="52"/>
      <c r="MOF1263" s="52"/>
      <c r="MOG1263" s="52"/>
      <c r="MOH1263" s="52"/>
      <c r="MOI1263" s="52"/>
      <c r="MOJ1263" s="52"/>
      <c r="MOK1263" s="52"/>
      <c r="MOL1263" s="52"/>
      <c r="MOM1263" s="52"/>
      <c r="MON1263" s="52"/>
      <c r="MOO1263" s="52"/>
      <c r="MOP1263" s="52"/>
      <c r="MOQ1263" s="52"/>
      <c r="MOR1263" s="52"/>
      <c r="MOS1263" s="52"/>
      <c r="MOT1263" s="52"/>
      <c r="MOU1263" s="52"/>
      <c r="MOV1263" s="52"/>
      <c r="MOW1263" s="52"/>
      <c r="MOX1263" s="52"/>
      <c r="MOY1263" s="52"/>
      <c r="MOZ1263" s="52"/>
      <c r="MPA1263" s="52"/>
      <c r="MPB1263" s="52"/>
      <c r="MPC1263" s="52"/>
      <c r="MPD1263" s="52"/>
      <c r="MPE1263" s="52"/>
      <c r="MPF1263" s="52"/>
      <c r="MPG1263" s="52"/>
      <c r="MPH1263" s="52"/>
      <c r="MPI1263" s="52"/>
      <c r="MPJ1263" s="52"/>
      <c r="MPK1263" s="52"/>
      <c r="MPL1263" s="52"/>
      <c r="MPM1263" s="52"/>
      <c r="MPN1263" s="52"/>
      <c r="MPO1263" s="52"/>
      <c r="MPP1263" s="52"/>
      <c r="MPQ1263" s="52"/>
      <c r="MPR1263" s="52"/>
      <c r="MPS1263" s="52"/>
      <c r="MPT1263" s="52"/>
      <c r="MPU1263" s="52"/>
      <c r="MPV1263" s="52"/>
      <c r="MPW1263" s="52"/>
      <c r="MPX1263" s="52"/>
      <c r="MPY1263" s="52"/>
      <c r="MPZ1263" s="52"/>
      <c r="MQA1263" s="52"/>
      <c r="MQB1263" s="52"/>
      <c r="MQC1263" s="52"/>
      <c r="MQD1263" s="52"/>
      <c r="MQE1263" s="52"/>
      <c r="MQF1263" s="52"/>
      <c r="MQG1263" s="52"/>
      <c r="MQH1263" s="52"/>
      <c r="MQI1263" s="52"/>
      <c r="MQJ1263" s="52"/>
      <c r="MQK1263" s="52"/>
      <c r="MQL1263" s="52"/>
      <c r="MQM1263" s="52"/>
      <c r="MQN1263" s="52"/>
      <c r="MQO1263" s="52"/>
      <c r="MQP1263" s="52"/>
      <c r="MQQ1263" s="52"/>
      <c r="MQR1263" s="52"/>
      <c r="MQS1263" s="52"/>
      <c r="MQT1263" s="52"/>
      <c r="MQU1263" s="52"/>
      <c r="MQV1263" s="52"/>
      <c r="MQW1263" s="52"/>
      <c r="MQX1263" s="52"/>
      <c r="MQY1263" s="52"/>
      <c r="MQZ1263" s="52"/>
      <c r="MRA1263" s="52"/>
      <c r="MRB1263" s="52"/>
      <c r="MRC1263" s="52"/>
      <c r="MRD1263" s="52"/>
      <c r="MRE1263" s="52"/>
      <c r="MRF1263" s="52"/>
      <c r="MRG1263" s="52"/>
      <c r="MRH1263" s="52"/>
      <c r="MRI1263" s="52"/>
      <c r="MRJ1263" s="52"/>
      <c r="MRK1263" s="52"/>
      <c r="MRL1263" s="52"/>
      <c r="MRM1263" s="52"/>
      <c r="MRN1263" s="52"/>
      <c r="MRO1263" s="52"/>
      <c r="MRP1263" s="52"/>
      <c r="MRQ1263" s="52"/>
      <c r="MRR1263" s="52"/>
      <c r="MRS1263" s="52"/>
      <c r="MRT1263" s="52"/>
      <c r="MRU1263" s="52"/>
      <c r="MRV1263" s="52"/>
      <c r="MRW1263" s="52"/>
      <c r="MRX1263" s="52"/>
      <c r="MRY1263" s="52"/>
      <c r="MRZ1263" s="52"/>
      <c r="MSA1263" s="52"/>
      <c r="MSB1263" s="52"/>
      <c r="MSC1263" s="52"/>
      <c r="MSD1263" s="52"/>
      <c r="MSE1263" s="52"/>
      <c r="MSF1263" s="52"/>
      <c r="MSG1263" s="52"/>
      <c r="MSH1263" s="52"/>
      <c r="MSI1263" s="52"/>
      <c r="MSJ1263" s="52"/>
      <c r="MSK1263" s="52"/>
      <c r="MSL1263" s="52"/>
      <c r="MSM1263" s="52"/>
      <c r="MSN1263" s="52"/>
      <c r="MSO1263" s="52"/>
      <c r="MSP1263" s="52"/>
      <c r="MSQ1263" s="52"/>
      <c r="MSR1263" s="52"/>
      <c r="MSS1263" s="52"/>
      <c r="MST1263" s="52"/>
      <c r="MSU1263" s="52"/>
      <c r="MSV1263" s="52"/>
      <c r="MSW1263" s="52"/>
      <c r="MSX1263" s="52"/>
      <c r="MSY1263" s="52"/>
      <c r="MSZ1263" s="52"/>
      <c r="MTA1263" s="52"/>
      <c r="MTB1263" s="52"/>
      <c r="MTC1263" s="52"/>
      <c r="MTD1263" s="52"/>
      <c r="MTE1263" s="52"/>
      <c r="MTF1263" s="52"/>
      <c r="MTG1263" s="52"/>
      <c r="MTH1263" s="52"/>
      <c r="MTI1263" s="52"/>
      <c r="MTJ1263" s="52"/>
      <c r="MTK1263" s="52"/>
      <c r="MTL1263" s="52"/>
      <c r="MTM1263" s="52"/>
      <c r="MTN1263" s="52"/>
      <c r="MTO1263" s="52"/>
      <c r="MTP1263" s="52"/>
      <c r="MTQ1263" s="52"/>
      <c r="MTR1263" s="52"/>
      <c r="MTS1263" s="52"/>
      <c r="MTT1263" s="52"/>
      <c r="MTU1263" s="52"/>
      <c r="MTV1263" s="52"/>
      <c r="MTW1263" s="52"/>
      <c r="MTX1263" s="52"/>
      <c r="MTY1263" s="52"/>
      <c r="MTZ1263" s="52"/>
      <c r="MUA1263" s="52"/>
      <c r="MUB1263" s="52"/>
      <c r="MUC1263" s="52"/>
      <c r="MUD1263" s="52"/>
      <c r="MUE1263" s="52"/>
      <c r="MUF1263" s="52"/>
      <c r="MUG1263" s="52"/>
      <c r="MUH1263" s="52"/>
      <c r="MUI1263" s="52"/>
      <c r="MUJ1263" s="52"/>
      <c r="MUK1263" s="52"/>
      <c r="MUL1263" s="52"/>
      <c r="MUM1263" s="52"/>
      <c r="MUN1263" s="52"/>
      <c r="MUO1263" s="52"/>
      <c r="MUP1263" s="52"/>
      <c r="MUQ1263" s="52"/>
      <c r="MUR1263" s="52"/>
      <c r="MUS1263" s="52"/>
      <c r="MUT1263" s="52"/>
      <c r="MUU1263" s="52"/>
      <c r="MUV1263" s="52"/>
      <c r="MUW1263" s="52"/>
      <c r="MUX1263" s="52"/>
      <c r="MUY1263" s="52"/>
      <c r="MUZ1263" s="52"/>
      <c r="MVA1263" s="52"/>
      <c r="MVB1263" s="52"/>
      <c r="MVC1263" s="52"/>
      <c r="MVD1263" s="52"/>
      <c r="MVE1263" s="52"/>
      <c r="MVF1263" s="52"/>
      <c r="MVG1263" s="52"/>
      <c r="MVH1263" s="52"/>
      <c r="MVI1263" s="52"/>
      <c r="MVJ1263" s="52"/>
      <c r="MVK1263" s="52"/>
      <c r="MVL1263" s="52"/>
      <c r="MVM1263" s="52"/>
      <c r="MVN1263" s="52"/>
      <c r="MVO1263" s="52"/>
      <c r="MVP1263" s="52"/>
      <c r="MVQ1263" s="52"/>
      <c r="MVR1263" s="52"/>
      <c r="MVS1263" s="52"/>
      <c r="MVT1263" s="52"/>
      <c r="MVU1263" s="52"/>
      <c r="MVV1263" s="52"/>
      <c r="MVW1263" s="52"/>
      <c r="MVX1263" s="52"/>
      <c r="MVY1263" s="52"/>
      <c r="MVZ1263" s="52"/>
      <c r="MWA1263" s="52"/>
      <c r="MWB1263" s="52"/>
      <c r="MWC1263" s="52"/>
      <c r="MWD1263" s="52"/>
      <c r="MWE1263" s="52"/>
      <c r="MWF1263" s="52"/>
      <c r="MWG1263" s="52"/>
      <c r="MWH1263" s="52"/>
      <c r="MWI1263" s="52"/>
      <c r="MWJ1263" s="52"/>
      <c r="MWK1263" s="52"/>
      <c r="MWL1263" s="52"/>
      <c r="MWM1263" s="52"/>
      <c r="MWN1263" s="52"/>
      <c r="MWO1263" s="52"/>
      <c r="MWP1263" s="52"/>
      <c r="MWQ1263" s="52"/>
      <c r="MWR1263" s="52"/>
      <c r="MWS1263" s="52"/>
      <c r="MWT1263" s="52"/>
      <c r="MWU1263" s="52"/>
      <c r="MWV1263" s="52"/>
      <c r="MWW1263" s="52"/>
      <c r="MWX1263" s="52"/>
      <c r="MWY1263" s="52"/>
      <c r="MWZ1263" s="52"/>
      <c r="MXA1263" s="52"/>
      <c r="MXB1263" s="52"/>
      <c r="MXC1263" s="52"/>
      <c r="MXD1263" s="52"/>
      <c r="MXE1263" s="52"/>
      <c r="MXF1263" s="52"/>
      <c r="MXG1263" s="52"/>
      <c r="MXH1263" s="52"/>
      <c r="MXI1263" s="52"/>
      <c r="MXJ1263" s="52"/>
      <c r="MXK1263" s="52"/>
      <c r="MXL1263" s="52"/>
      <c r="MXM1263" s="52"/>
      <c r="MXN1263" s="52"/>
      <c r="MXO1263" s="52"/>
      <c r="MXP1263" s="52"/>
      <c r="MXQ1263" s="52"/>
      <c r="MXR1263" s="52"/>
      <c r="MXS1263" s="52"/>
      <c r="MXT1263" s="52"/>
      <c r="MXU1263" s="52"/>
      <c r="MXV1263" s="52"/>
      <c r="MXW1263" s="52"/>
      <c r="MXX1263" s="52"/>
      <c r="MXY1263" s="52"/>
      <c r="MXZ1263" s="52"/>
      <c r="MYA1263" s="52"/>
      <c r="MYB1263" s="52"/>
      <c r="MYC1263" s="52"/>
      <c r="MYD1263" s="52"/>
      <c r="MYE1263" s="52"/>
      <c r="MYF1263" s="52"/>
      <c r="MYG1263" s="52"/>
      <c r="MYH1263" s="52"/>
      <c r="MYI1263" s="52"/>
      <c r="MYJ1263" s="52"/>
      <c r="MYK1263" s="52"/>
      <c r="MYL1263" s="52"/>
      <c r="MYM1263" s="52"/>
      <c r="MYN1263" s="52"/>
      <c r="MYO1263" s="52"/>
      <c r="MYP1263" s="52"/>
      <c r="MYQ1263" s="52"/>
      <c r="MYR1263" s="52"/>
      <c r="MYS1263" s="52"/>
      <c r="MYT1263" s="52"/>
      <c r="MYU1263" s="52"/>
      <c r="MYV1263" s="52"/>
      <c r="MYW1263" s="52"/>
      <c r="MYX1263" s="52"/>
      <c r="MYY1263" s="52"/>
      <c r="MYZ1263" s="52"/>
      <c r="MZA1263" s="52"/>
      <c r="MZB1263" s="52"/>
      <c r="MZC1263" s="52"/>
      <c r="MZD1263" s="52"/>
      <c r="MZE1263" s="52"/>
      <c r="MZF1263" s="52"/>
      <c r="MZG1263" s="52"/>
      <c r="MZH1263" s="52"/>
      <c r="MZI1263" s="52"/>
      <c r="MZJ1263" s="52"/>
      <c r="MZK1263" s="52"/>
      <c r="MZL1263" s="52"/>
      <c r="MZM1263" s="52"/>
      <c r="MZN1263" s="52"/>
      <c r="MZO1263" s="52"/>
      <c r="MZP1263" s="52"/>
      <c r="MZQ1263" s="52"/>
      <c r="MZR1263" s="52"/>
      <c r="MZS1263" s="52"/>
      <c r="MZT1263" s="52"/>
      <c r="MZU1263" s="52"/>
      <c r="MZV1263" s="52"/>
      <c r="MZW1263" s="52"/>
      <c r="MZX1263" s="52"/>
      <c r="MZY1263" s="52"/>
      <c r="MZZ1263" s="52"/>
      <c r="NAA1263" s="52"/>
      <c r="NAB1263" s="52"/>
      <c r="NAC1263" s="52"/>
      <c r="NAD1263" s="52"/>
      <c r="NAE1263" s="52"/>
      <c r="NAF1263" s="52"/>
      <c r="NAG1263" s="52"/>
      <c r="NAH1263" s="52"/>
      <c r="NAI1263" s="52"/>
      <c r="NAJ1263" s="52"/>
      <c r="NAK1263" s="52"/>
      <c r="NAL1263" s="52"/>
      <c r="NAM1263" s="52"/>
      <c r="NAN1263" s="52"/>
      <c r="NAO1263" s="52"/>
      <c r="NAP1263" s="52"/>
      <c r="NAQ1263" s="52"/>
      <c r="NAR1263" s="52"/>
      <c r="NAS1263" s="52"/>
      <c r="NAT1263" s="52"/>
      <c r="NAU1263" s="52"/>
      <c r="NAV1263" s="52"/>
      <c r="NAW1263" s="52"/>
      <c r="NAX1263" s="52"/>
      <c r="NAY1263" s="52"/>
      <c r="NAZ1263" s="52"/>
      <c r="NBA1263" s="52"/>
      <c r="NBB1263" s="52"/>
      <c r="NBC1263" s="52"/>
      <c r="NBD1263" s="52"/>
      <c r="NBE1263" s="52"/>
      <c r="NBF1263" s="52"/>
      <c r="NBG1263" s="52"/>
      <c r="NBH1263" s="52"/>
      <c r="NBI1263" s="52"/>
      <c r="NBJ1263" s="52"/>
      <c r="NBK1263" s="52"/>
      <c r="NBL1263" s="52"/>
      <c r="NBM1263" s="52"/>
      <c r="NBN1263" s="52"/>
      <c r="NBO1263" s="52"/>
      <c r="NBP1263" s="52"/>
      <c r="NBQ1263" s="52"/>
      <c r="NBR1263" s="52"/>
      <c r="NBS1263" s="52"/>
      <c r="NBT1263" s="52"/>
      <c r="NBU1263" s="52"/>
      <c r="NBV1263" s="52"/>
      <c r="NBW1263" s="52"/>
      <c r="NBX1263" s="52"/>
      <c r="NBY1263" s="52"/>
      <c r="NBZ1263" s="52"/>
      <c r="NCA1263" s="52"/>
      <c r="NCB1263" s="52"/>
      <c r="NCC1263" s="52"/>
      <c r="NCD1263" s="52"/>
      <c r="NCE1263" s="52"/>
      <c r="NCF1263" s="52"/>
      <c r="NCG1263" s="52"/>
      <c r="NCH1263" s="52"/>
      <c r="NCI1263" s="52"/>
      <c r="NCJ1263" s="52"/>
      <c r="NCK1263" s="52"/>
      <c r="NCL1263" s="52"/>
      <c r="NCM1263" s="52"/>
      <c r="NCN1263" s="52"/>
      <c r="NCO1263" s="52"/>
      <c r="NCP1263" s="52"/>
      <c r="NCQ1263" s="52"/>
      <c r="NCR1263" s="52"/>
      <c r="NCS1263" s="52"/>
      <c r="NCT1263" s="52"/>
      <c r="NCU1263" s="52"/>
      <c r="NCV1263" s="52"/>
      <c r="NCW1263" s="52"/>
      <c r="NCX1263" s="52"/>
      <c r="NCY1263" s="52"/>
      <c r="NCZ1263" s="52"/>
      <c r="NDA1263" s="52"/>
      <c r="NDB1263" s="52"/>
      <c r="NDC1263" s="52"/>
      <c r="NDD1263" s="52"/>
      <c r="NDE1263" s="52"/>
      <c r="NDF1263" s="52"/>
      <c r="NDG1263" s="52"/>
      <c r="NDH1263" s="52"/>
      <c r="NDI1263" s="52"/>
      <c r="NDJ1263" s="52"/>
      <c r="NDK1263" s="52"/>
      <c r="NDL1263" s="52"/>
      <c r="NDM1263" s="52"/>
      <c r="NDN1263" s="52"/>
      <c r="NDO1263" s="52"/>
      <c r="NDP1263" s="52"/>
      <c r="NDQ1263" s="52"/>
      <c r="NDR1263" s="52"/>
      <c r="NDS1263" s="52"/>
      <c r="NDT1263" s="52"/>
      <c r="NDU1263" s="52"/>
      <c r="NDV1263" s="52"/>
      <c r="NDW1263" s="52"/>
      <c r="NDX1263" s="52"/>
      <c r="NDY1263" s="52"/>
      <c r="NDZ1263" s="52"/>
      <c r="NEA1263" s="52"/>
      <c r="NEB1263" s="52"/>
      <c r="NEC1263" s="52"/>
      <c r="NED1263" s="52"/>
      <c r="NEE1263" s="52"/>
      <c r="NEF1263" s="52"/>
      <c r="NEG1263" s="52"/>
      <c r="NEH1263" s="52"/>
      <c r="NEI1263" s="52"/>
      <c r="NEJ1263" s="52"/>
      <c r="NEK1263" s="52"/>
      <c r="NEL1263" s="52"/>
      <c r="NEM1263" s="52"/>
      <c r="NEN1263" s="52"/>
      <c r="NEO1263" s="52"/>
      <c r="NEP1263" s="52"/>
      <c r="NEQ1263" s="52"/>
      <c r="NER1263" s="52"/>
      <c r="NES1263" s="52"/>
      <c r="NET1263" s="52"/>
      <c r="NEU1263" s="52"/>
      <c r="NEV1263" s="52"/>
      <c r="NEW1263" s="52"/>
      <c r="NEX1263" s="52"/>
      <c r="NEY1263" s="52"/>
      <c r="NEZ1263" s="52"/>
      <c r="NFA1263" s="52"/>
      <c r="NFB1263" s="52"/>
      <c r="NFC1263" s="52"/>
      <c r="NFD1263" s="52"/>
      <c r="NFE1263" s="52"/>
      <c r="NFF1263" s="52"/>
      <c r="NFG1263" s="52"/>
      <c r="NFH1263" s="52"/>
      <c r="NFI1263" s="52"/>
      <c r="NFJ1263" s="52"/>
      <c r="NFK1263" s="52"/>
      <c r="NFL1263" s="52"/>
      <c r="NFM1263" s="52"/>
      <c r="NFN1263" s="52"/>
      <c r="NFO1263" s="52"/>
      <c r="NFP1263" s="52"/>
      <c r="NFQ1263" s="52"/>
      <c r="NFR1263" s="52"/>
      <c r="NFS1263" s="52"/>
      <c r="NFT1263" s="52"/>
      <c r="NFU1263" s="52"/>
      <c r="NFV1263" s="52"/>
      <c r="NFW1263" s="52"/>
      <c r="NFX1263" s="52"/>
      <c r="NFY1263" s="52"/>
      <c r="NFZ1263" s="52"/>
      <c r="NGA1263" s="52"/>
      <c r="NGB1263" s="52"/>
      <c r="NGC1263" s="52"/>
      <c r="NGD1263" s="52"/>
      <c r="NGE1263" s="52"/>
      <c r="NGF1263" s="52"/>
      <c r="NGG1263" s="52"/>
      <c r="NGH1263" s="52"/>
      <c r="NGI1263" s="52"/>
      <c r="NGJ1263" s="52"/>
      <c r="NGK1263" s="52"/>
      <c r="NGL1263" s="52"/>
      <c r="NGM1263" s="52"/>
      <c r="NGN1263" s="52"/>
      <c r="NGO1263" s="52"/>
      <c r="NGP1263" s="52"/>
      <c r="NGQ1263" s="52"/>
      <c r="NGR1263" s="52"/>
      <c r="NGS1263" s="52"/>
      <c r="NGT1263" s="52"/>
      <c r="NGU1263" s="52"/>
      <c r="NGV1263" s="52"/>
      <c r="NGW1263" s="52"/>
      <c r="NGX1263" s="52"/>
      <c r="NGY1263" s="52"/>
      <c r="NGZ1263" s="52"/>
      <c r="NHA1263" s="52"/>
      <c r="NHB1263" s="52"/>
      <c r="NHC1263" s="52"/>
      <c r="NHD1263" s="52"/>
      <c r="NHE1263" s="52"/>
      <c r="NHF1263" s="52"/>
      <c r="NHG1263" s="52"/>
      <c r="NHH1263" s="52"/>
      <c r="NHI1263" s="52"/>
      <c r="NHJ1263" s="52"/>
      <c r="NHK1263" s="52"/>
      <c r="NHL1263" s="52"/>
      <c r="NHM1263" s="52"/>
      <c r="NHN1263" s="52"/>
      <c r="NHO1263" s="52"/>
      <c r="NHP1263" s="52"/>
      <c r="NHQ1263" s="52"/>
      <c r="NHR1263" s="52"/>
      <c r="NHS1263" s="52"/>
      <c r="NHT1263" s="52"/>
      <c r="NHU1263" s="52"/>
      <c r="NHV1263" s="52"/>
      <c r="NHW1263" s="52"/>
      <c r="NHX1263" s="52"/>
      <c r="NHY1263" s="52"/>
      <c r="NHZ1263" s="52"/>
      <c r="NIA1263" s="52"/>
      <c r="NIB1263" s="52"/>
      <c r="NIC1263" s="52"/>
      <c r="NID1263" s="52"/>
      <c r="NIE1263" s="52"/>
      <c r="NIF1263" s="52"/>
      <c r="NIG1263" s="52"/>
      <c r="NIH1263" s="52"/>
      <c r="NII1263" s="52"/>
      <c r="NIJ1263" s="52"/>
      <c r="NIK1263" s="52"/>
      <c r="NIL1263" s="52"/>
      <c r="NIM1263" s="52"/>
      <c r="NIN1263" s="52"/>
      <c r="NIO1263" s="52"/>
      <c r="NIP1263" s="52"/>
      <c r="NIQ1263" s="52"/>
      <c r="NIR1263" s="52"/>
      <c r="NIS1263" s="52"/>
      <c r="NIT1263" s="52"/>
      <c r="NIU1263" s="52"/>
      <c r="NIV1263" s="52"/>
      <c r="NIW1263" s="52"/>
      <c r="NIX1263" s="52"/>
      <c r="NIY1263" s="52"/>
      <c r="NIZ1263" s="52"/>
      <c r="NJA1263" s="52"/>
      <c r="NJB1263" s="52"/>
      <c r="NJC1263" s="52"/>
      <c r="NJD1263" s="52"/>
      <c r="NJE1263" s="52"/>
      <c r="NJF1263" s="52"/>
      <c r="NJG1263" s="52"/>
      <c r="NJH1263" s="52"/>
      <c r="NJI1263" s="52"/>
      <c r="NJJ1263" s="52"/>
      <c r="NJK1263" s="52"/>
      <c r="NJL1263" s="52"/>
      <c r="NJM1263" s="52"/>
      <c r="NJN1263" s="52"/>
      <c r="NJO1263" s="52"/>
      <c r="NJP1263" s="52"/>
      <c r="NJQ1263" s="52"/>
      <c r="NJR1263" s="52"/>
      <c r="NJS1263" s="52"/>
      <c r="NJT1263" s="52"/>
      <c r="NJU1263" s="52"/>
      <c r="NJV1263" s="52"/>
      <c r="NJW1263" s="52"/>
      <c r="NJX1263" s="52"/>
      <c r="NJY1263" s="52"/>
      <c r="NJZ1263" s="52"/>
      <c r="NKA1263" s="52"/>
      <c r="NKB1263" s="52"/>
      <c r="NKC1263" s="52"/>
      <c r="NKD1263" s="52"/>
      <c r="NKE1263" s="52"/>
      <c r="NKF1263" s="52"/>
      <c r="NKG1263" s="52"/>
      <c r="NKH1263" s="52"/>
      <c r="NKI1263" s="52"/>
      <c r="NKJ1263" s="52"/>
      <c r="NKK1263" s="52"/>
      <c r="NKL1263" s="52"/>
      <c r="NKM1263" s="52"/>
      <c r="NKN1263" s="52"/>
      <c r="NKO1263" s="52"/>
      <c r="NKP1263" s="52"/>
      <c r="NKQ1263" s="52"/>
      <c r="NKR1263" s="52"/>
      <c r="NKS1263" s="52"/>
      <c r="NKT1263" s="52"/>
      <c r="NKU1263" s="52"/>
      <c r="NKV1263" s="52"/>
      <c r="NKW1263" s="52"/>
      <c r="NKX1263" s="52"/>
      <c r="NKY1263" s="52"/>
      <c r="NKZ1263" s="52"/>
      <c r="NLA1263" s="52"/>
      <c r="NLB1263" s="52"/>
      <c r="NLC1263" s="52"/>
      <c r="NLD1263" s="52"/>
      <c r="NLE1263" s="52"/>
      <c r="NLF1263" s="52"/>
      <c r="NLG1263" s="52"/>
      <c r="NLH1263" s="52"/>
      <c r="NLI1263" s="52"/>
      <c r="NLJ1263" s="52"/>
      <c r="NLK1263" s="52"/>
      <c r="NLL1263" s="52"/>
      <c r="NLM1263" s="52"/>
      <c r="NLN1263" s="52"/>
      <c r="NLO1263" s="52"/>
      <c r="NLP1263" s="52"/>
      <c r="NLQ1263" s="52"/>
      <c r="NLR1263" s="52"/>
      <c r="NLS1263" s="52"/>
      <c r="NLT1263" s="52"/>
      <c r="NLU1263" s="52"/>
      <c r="NLV1263" s="52"/>
      <c r="NLW1263" s="52"/>
      <c r="NLX1263" s="52"/>
      <c r="NLY1263" s="52"/>
      <c r="NLZ1263" s="52"/>
      <c r="NMA1263" s="52"/>
      <c r="NMB1263" s="52"/>
      <c r="NMC1263" s="52"/>
      <c r="NMD1263" s="52"/>
      <c r="NME1263" s="52"/>
      <c r="NMF1263" s="52"/>
      <c r="NMG1263" s="52"/>
      <c r="NMH1263" s="52"/>
      <c r="NMI1263" s="52"/>
      <c r="NMJ1263" s="52"/>
      <c r="NMK1263" s="52"/>
      <c r="NML1263" s="52"/>
      <c r="NMM1263" s="52"/>
      <c r="NMN1263" s="52"/>
      <c r="NMO1263" s="52"/>
      <c r="NMP1263" s="52"/>
      <c r="NMQ1263" s="52"/>
      <c r="NMR1263" s="52"/>
      <c r="NMS1263" s="52"/>
      <c r="NMT1263" s="52"/>
      <c r="NMU1263" s="52"/>
      <c r="NMV1263" s="52"/>
      <c r="NMW1263" s="52"/>
      <c r="NMX1263" s="52"/>
      <c r="NMY1263" s="52"/>
      <c r="NMZ1263" s="52"/>
      <c r="NNA1263" s="52"/>
      <c r="NNB1263" s="52"/>
      <c r="NNC1263" s="52"/>
      <c r="NND1263" s="52"/>
      <c r="NNE1263" s="52"/>
      <c r="NNF1263" s="52"/>
      <c r="NNG1263" s="52"/>
      <c r="NNH1263" s="52"/>
      <c r="NNI1263" s="52"/>
      <c r="NNJ1263" s="52"/>
      <c r="NNK1263" s="52"/>
      <c r="NNL1263" s="52"/>
      <c r="NNM1263" s="52"/>
      <c r="NNN1263" s="52"/>
      <c r="NNO1263" s="52"/>
      <c r="NNP1263" s="52"/>
      <c r="NNQ1263" s="52"/>
      <c r="NNR1263" s="52"/>
      <c r="NNS1263" s="52"/>
      <c r="NNT1263" s="52"/>
      <c r="NNU1263" s="52"/>
      <c r="NNV1263" s="52"/>
      <c r="NNW1263" s="52"/>
      <c r="NNX1263" s="52"/>
      <c r="NNY1263" s="52"/>
      <c r="NNZ1263" s="52"/>
      <c r="NOA1263" s="52"/>
      <c r="NOB1263" s="52"/>
      <c r="NOC1263" s="52"/>
      <c r="NOD1263" s="52"/>
      <c r="NOE1263" s="52"/>
      <c r="NOF1263" s="52"/>
      <c r="NOG1263" s="52"/>
      <c r="NOH1263" s="52"/>
      <c r="NOI1263" s="52"/>
      <c r="NOJ1263" s="52"/>
      <c r="NOK1263" s="52"/>
      <c r="NOL1263" s="52"/>
      <c r="NOM1263" s="52"/>
      <c r="NON1263" s="52"/>
      <c r="NOO1263" s="52"/>
      <c r="NOP1263" s="52"/>
      <c r="NOQ1263" s="52"/>
      <c r="NOR1263" s="52"/>
      <c r="NOS1263" s="52"/>
      <c r="NOT1263" s="52"/>
      <c r="NOU1263" s="52"/>
      <c r="NOV1263" s="52"/>
      <c r="NOW1263" s="52"/>
      <c r="NOX1263" s="52"/>
      <c r="NOY1263" s="52"/>
      <c r="NOZ1263" s="52"/>
      <c r="NPA1263" s="52"/>
      <c r="NPB1263" s="52"/>
      <c r="NPC1263" s="52"/>
      <c r="NPD1263" s="52"/>
      <c r="NPE1263" s="52"/>
      <c r="NPF1263" s="52"/>
      <c r="NPG1263" s="52"/>
      <c r="NPH1263" s="52"/>
      <c r="NPI1263" s="52"/>
      <c r="NPJ1263" s="52"/>
      <c r="NPK1263" s="52"/>
      <c r="NPL1263" s="52"/>
      <c r="NPM1263" s="52"/>
      <c r="NPN1263" s="52"/>
      <c r="NPO1263" s="52"/>
      <c r="NPP1263" s="52"/>
      <c r="NPQ1263" s="52"/>
      <c r="NPR1263" s="52"/>
      <c r="NPS1263" s="52"/>
      <c r="NPT1263" s="52"/>
      <c r="NPU1263" s="52"/>
      <c r="NPV1263" s="52"/>
      <c r="NPW1263" s="52"/>
      <c r="NPX1263" s="52"/>
      <c r="NPY1263" s="52"/>
      <c r="NPZ1263" s="52"/>
      <c r="NQA1263" s="52"/>
      <c r="NQB1263" s="52"/>
      <c r="NQC1263" s="52"/>
      <c r="NQD1263" s="52"/>
      <c r="NQE1263" s="52"/>
      <c r="NQF1263" s="52"/>
      <c r="NQG1263" s="52"/>
      <c r="NQH1263" s="52"/>
      <c r="NQI1263" s="52"/>
      <c r="NQJ1263" s="52"/>
      <c r="NQK1263" s="52"/>
      <c r="NQL1263" s="52"/>
      <c r="NQM1263" s="52"/>
      <c r="NQN1263" s="52"/>
      <c r="NQO1263" s="52"/>
      <c r="NQP1263" s="52"/>
      <c r="NQQ1263" s="52"/>
      <c r="NQR1263" s="52"/>
      <c r="NQS1263" s="52"/>
      <c r="NQT1263" s="52"/>
      <c r="NQU1263" s="52"/>
      <c r="NQV1263" s="52"/>
      <c r="NQW1263" s="52"/>
      <c r="NQX1263" s="52"/>
      <c r="NQY1263" s="52"/>
      <c r="NQZ1263" s="52"/>
      <c r="NRA1263" s="52"/>
      <c r="NRB1263" s="52"/>
      <c r="NRC1263" s="52"/>
      <c r="NRD1263" s="52"/>
      <c r="NRE1263" s="52"/>
      <c r="NRF1263" s="52"/>
      <c r="NRG1263" s="52"/>
      <c r="NRH1263" s="52"/>
      <c r="NRI1263" s="52"/>
      <c r="NRJ1263" s="52"/>
      <c r="NRK1263" s="52"/>
      <c r="NRL1263" s="52"/>
      <c r="NRM1263" s="52"/>
      <c r="NRN1263" s="52"/>
      <c r="NRO1263" s="52"/>
      <c r="NRP1263" s="52"/>
      <c r="NRQ1263" s="52"/>
      <c r="NRR1263" s="52"/>
      <c r="NRS1263" s="52"/>
      <c r="NRT1263" s="52"/>
      <c r="NRU1263" s="52"/>
      <c r="NRV1263" s="52"/>
      <c r="NRW1263" s="52"/>
      <c r="NRX1263" s="52"/>
      <c r="NRY1263" s="52"/>
      <c r="NRZ1263" s="52"/>
      <c r="NSA1263" s="52"/>
      <c r="NSB1263" s="52"/>
      <c r="NSC1263" s="52"/>
      <c r="NSD1263" s="52"/>
      <c r="NSE1263" s="52"/>
      <c r="NSF1263" s="52"/>
      <c r="NSG1263" s="52"/>
      <c r="NSH1263" s="52"/>
      <c r="NSI1263" s="52"/>
      <c r="NSJ1263" s="52"/>
      <c r="NSK1263" s="52"/>
      <c r="NSL1263" s="52"/>
      <c r="NSM1263" s="52"/>
      <c r="NSN1263" s="52"/>
      <c r="NSO1263" s="52"/>
      <c r="NSP1263" s="52"/>
      <c r="NSQ1263" s="52"/>
      <c r="NSR1263" s="52"/>
      <c r="NSS1263" s="52"/>
      <c r="NST1263" s="52"/>
      <c r="NSU1263" s="52"/>
      <c r="NSV1263" s="52"/>
      <c r="NSW1263" s="52"/>
      <c r="NSX1263" s="52"/>
      <c r="NSY1263" s="52"/>
      <c r="NSZ1263" s="52"/>
      <c r="NTA1263" s="52"/>
      <c r="NTB1263" s="52"/>
      <c r="NTC1263" s="52"/>
      <c r="NTD1263" s="52"/>
      <c r="NTE1263" s="52"/>
      <c r="NTF1263" s="52"/>
      <c r="NTG1263" s="52"/>
      <c r="NTH1263" s="52"/>
      <c r="NTI1263" s="52"/>
      <c r="NTJ1263" s="52"/>
      <c r="NTK1263" s="52"/>
      <c r="NTL1263" s="52"/>
      <c r="NTM1263" s="52"/>
      <c r="NTN1263" s="52"/>
      <c r="NTO1263" s="52"/>
      <c r="NTP1263" s="52"/>
      <c r="NTQ1263" s="52"/>
      <c r="NTR1263" s="52"/>
      <c r="NTS1263" s="52"/>
      <c r="NTT1263" s="52"/>
      <c r="NTU1263" s="52"/>
      <c r="NTV1263" s="52"/>
      <c r="NTW1263" s="52"/>
      <c r="NTX1263" s="52"/>
      <c r="NTY1263" s="52"/>
      <c r="NTZ1263" s="52"/>
      <c r="NUA1263" s="52"/>
      <c r="NUB1263" s="52"/>
      <c r="NUC1263" s="52"/>
      <c r="NUD1263" s="52"/>
      <c r="NUE1263" s="52"/>
      <c r="NUF1263" s="52"/>
      <c r="NUG1263" s="52"/>
      <c r="NUH1263" s="52"/>
      <c r="NUI1263" s="52"/>
      <c r="NUJ1263" s="52"/>
      <c r="NUK1263" s="52"/>
      <c r="NUL1263" s="52"/>
      <c r="NUM1263" s="52"/>
      <c r="NUN1263" s="52"/>
      <c r="NUO1263" s="52"/>
      <c r="NUP1263" s="52"/>
      <c r="NUQ1263" s="52"/>
      <c r="NUR1263" s="52"/>
      <c r="NUS1263" s="52"/>
      <c r="NUT1263" s="52"/>
      <c r="NUU1263" s="52"/>
      <c r="NUV1263" s="52"/>
      <c r="NUW1263" s="52"/>
      <c r="NUX1263" s="52"/>
      <c r="NUY1263" s="52"/>
      <c r="NUZ1263" s="52"/>
      <c r="NVA1263" s="52"/>
      <c r="NVB1263" s="52"/>
      <c r="NVC1263" s="52"/>
      <c r="NVD1263" s="52"/>
      <c r="NVE1263" s="52"/>
      <c r="NVF1263" s="52"/>
      <c r="NVG1263" s="52"/>
      <c r="NVH1263" s="52"/>
      <c r="NVI1263" s="52"/>
      <c r="NVJ1263" s="52"/>
      <c r="NVK1263" s="52"/>
      <c r="NVL1263" s="52"/>
      <c r="NVM1263" s="52"/>
      <c r="NVN1263" s="52"/>
      <c r="NVO1263" s="52"/>
      <c r="NVP1263" s="52"/>
      <c r="NVQ1263" s="52"/>
      <c r="NVR1263" s="52"/>
      <c r="NVS1263" s="52"/>
      <c r="NVT1263" s="52"/>
      <c r="NVU1263" s="52"/>
      <c r="NVV1263" s="52"/>
      <c r="NVW1263" s="52"/>
      <c r="NVX1263" s="52"/>
      <c r="NVY1263" s="52"/>
      <c r="NVZ1263" s="52"/>
      <c r="NWA1263" s="52"/>
      <c r="NWB1263" s="52"/>
      <c r="NWC1263" s="52"/>
      <c r="NWD1263" s="52"/>
      <c r="NWE1263" s="52"/>
      <c r="NWF1263" s="52"/>
      <c r="NWG1263" s="52"/>
      <c r="NWH1263" s="52"/>
      <c r="NWI1263" s="52"/>
      <c r="NWJ1263" s="52"/>
      <c r="NWK1263" s="52"/>
      <c r="NWL1263" s="52"/>
      <c r="NWM1263" s="52"/>
      <c r="NWN1263" s="52"/>
      <c r="NWO1263" s="52"/>
      <c r="NWP1263" s="52"/>
      <c r="NWQ1263" s="52"/>
      <c r="NWR1263" s="52"/>
      <c r="NWS1263" s="52"/>
      <c r="NWT1263" s="52"/>
      <c r="NWU1263" s="52"/>
      <c r="NWV1263" s="52"/>
      <c r="NWW1263" s="52"/>
      <c r="NWX1263" s="52"/>
      <c r="NWY1263" s="52"/>
      <c r="NWZ1263" s="52"/>
      <c r="NXA1263" s="52"/>
      <c r="NXB1263" s="52"/>
      <c r="NXC1263" s="52"/>
      <c r="NXD1263" s="52"/>
      <c r="NXE1263" s="52"/>
      <c r="NXF1263" s="52"/>
      <c r="NXG1263" s="52"/>
      <c r="NXH1263" s="52"/>
      <c r="NXI1263" s="52"/>
      <c r="NXJ1263" s="52"/>
      <c r="NXK1263" s="52"/>
      <c r="NXL1263" s="52"/>
      <c r="NXM1263" s="52"/>
      <c r="NXN1263" s="52"/>
      <c r="NXO1263" s="52"/>
      <c r="NXP1263" s="52"/>
      <c r="NXQ1263" s="52"/>
      <c r="NXR1263" s="52"/>
      <c r="NXS1263" s="52"/>
      <c r="NXT1263" s="52"/>
      <c r="NXU1263" s="52"/>
      <c r="NXV1263" s="52"/>
      <c r="NXW1263" s="52"/>
      <c r="NXX1263" s="52"/>
      <c r="NXY1263" s="52"/>
      <c r="NXZ1263" s="52"/>
      <c r="NYA1263" s="52"/>
      <c r="NYB1263" s="52"/>
      <c r="NYC1263" s="52"/>
      <c r="NYD1263" s="52"/>
      <c r="NYE1263" s="52"/>
      <c r="NYF1263" s="52"/>
      <c r="NYG1263" s="52"/>
      <c r="NYH1263" s="52"/>
      <c r="NYI1263" s="52"/>
      <c r="NYJ1263" s="52"/>
      <c r="NYK1263" s="52"/>
      <c r="NYL1263" s="52"/>
      <c r="NYM1263" s="52"/>
      <c r="NYN1263" s="52"/>
      <c r="NYO1263" s="52"/>
      <c r="NYP1263" s="52"/>
      <c r="NYQ1263" s="52"/>
      <c r="NYR1263" s="52"/>
      <c r="NYS1263" s="52"/>
      <c r="NYT1263" s="52"/>
      <c r="NYU1263" s="52"/>
      <c r="NYV1263" s="52"/>
      <c r="NYW1263" s="52"/>
      <c r="NYX1263" s="52"/>
      <c r="NYY1263" s="52"/>
      <c r="NYZ1263" s="52"/>
      <c r="NZA1263" s="52"/>
      <c r="NZB1263" s="52"/>
      <c r="NZC1263" s="52"/>
      <c r="NZD1263" s="52"/>
      <c r="NZE1263" s="52"/>
      <c r="NZF1263" s="52"/>
      <c r="NZG1263" s="52"/>
      <c r="NZH1263" s="52"/>
      <c r="NZI1263" s="52"/>
      <c r="NZJ1263" s="52"/>
      <c r="NZK1263" s="52"/>
      <c r="NZL1263" s="52"/>
      <c r="NZM1263" s="52"/>
      <c r="NZN1263" s="52"/>
      <c r="NZO1263" s="52"/>
      <c r="NZP1263" s="52"/>
      <c r="NZQ1263" s="52"/>
      <c r="NZR1263" s="52"/>
      <c r="NZS1263" s="52"/>
      <c r="NZT1263" s="52"/>
      <c r="NZU1263" s="52"/>
      <c r="NZV1263" s="52"/>
      <c r="NZW1263" s="52"/>
      <c r="NZX1263" s="52"/>
      <c r="NZY1263" s="52"/>
      <c r="NZZ1263" s="52"/>
      <c r="OAA1263" s="52"/>
      <c r="OAB1263" s="52"/>
      <c r="OAC1263" s="52"/>
      <c r="OAD1263" s="52"/>
      <c r="OAE1263" s="52"/>
      <c r="OAF1263" s="52"/>
      <c r="OAG1263" s="52"/>
      <c r="OAH1263" s="52"/>
      <c r="OAI1263" s="52"/>
      <c r="OAJ1263" s="52"/>
      <c r="OAK1263" s="52"/>
      <c r="OAL1263" s="52"/>
      <c r="OAM1263" s="52"/>
      <c r="OAN1263" s="52"/>
      <c r="OAO1263" s="52"/>
      <c r="OAP1263" s="52"/>
      <c r="OAQ1263" s="52"/>
      <c r="OAR1263" s="52"/>
      <c r="OAS1263" s="52"/>
      <c r="OAT1263" s="52"/>
      <c r="OAU1263" s="52"/>
      <c r="OAV1263" s="52"/>
      <c r="OAW1263" s="52"/>
      <c r="OAX1263" s="52"/>
      <c r="OAY1263" s="52"/>
      <c r="OAZ1263" s="52"/>
      <c r="OBA1263" s="52"/>
      <c r="OBB1263" s="52"/>
      <c r="OBC1263" s="52"/>
      <c r="OBD1263" s="52"/>
      <c r="OBE1263" s="52"/>
      <c r="OBF1263" s="52"/>
      <c r="OBG1263" s="52"/>
      <c r="OBH1263" s="52"/>
      <c r="OBI1263" s="52"/>
      <c r="OBJ1263" s="52"/>
      <c r="OBK1263" s="52"/>
      <c r="OBL1263" s="52"/>
      <c r="OBM1263" s="52"/>
      <c r="OBN1263" s="52"/>
      <c r="OBO1263" s="52"/>
      <c r="OBP1263" s="52"/>
      <c r="OBQ1263" s="52"/>
      <c r="OBR1263" s="52"/>
      <c r="OBS1263" s="52"/>
      <c r="OBT1263" s="52"/>
      <c r="OBU1263" s="52"/>
      <c r="OBV1263" s="52"/>
      <c r="OBW1263" s="52"/>
      <c r="OBX1263" s="52"/>
      <c r="OBY1263" s="52"/>
      <c r="OBZ1263" s="52"/>
      <c r="OCA1263" s="52"/>
      <c r="OCB1263" s="52"/>
      <c r="OCC1263" s="52"/>
      <c r="OCD1263" s="52"/>
      <c r="OCE1263" s="52"/>
      <c r="OCF1263" s="52"/>
      <c r="OCG1263" s="52"/>
      <c r="OCH1263" s="52"/>
      <c r="OCI1263" s="52"/>
      <c r="OCJ1263" s="52"/>
      <c r="OCK1263" s="52"/>
      <c r="OCL1263" s="52"/>
      <c r="OCM1263" s="52"/>
      <c r="OCN1263" s="52"/>
      <c r="OCO1263" s="52"/>
      <c r="OCP1263" s="52"/>
      <c r="OCQ1263" s="52"/>
      <c r="OCR1263" s="52"/>
      <c r="OCS1263" s="52"/>
      <c r="OCT1263" s="52"/>
      <c r="OCU1263" s="52"/>
      <c r="OCV1263" s="52"/>
      <c r="OCW1263" s="52"/>
      <c r="OCX1263" s="52"/>
      <c r="OCY1263" s="52"/>
      <c r="OCZ1263" s="52"/>
      <c r="ODA1263" s="52"/>
      <c r="ODB1263" s="52"/>
      <c r="ODC1263" s="52"/>
      <c r="ODD1263" s="52"/>
      <c r="ODE1263" s="52"/>
      <c r="ODF1263" s="52"/>
      <c r="ODG1263" s="52"/>
      <c r="ODH1263" s="52"/>
      <c r="ODI1263" s="52"/>
      <c r="ODJ1263" s="52"/>
      <c r="ODK1263" s="52"/>
      <c r="ODL1263" s="52"/>
      <c r="ODM1263" s="52"/>
      <c r="ODN1263" s="52"/>
      <c r="ODO1263" s="52"/>
      <c r="ODP1263" s="52"/>
      <c r="ODQ1263" s="52"/>
      <c r="ODR1263" s="52"/>
      <c r="ODS1263" s="52"/>
      <c r="ODT1263" s="52"/>
      <c r="ODU1263" s="52"/>
      <c r="ODV1263" s="52"/>
      <c r="ODW1263" s="52"/>
      <c r="ODX1263" s="52"/>
      <c r="ODY1263" s="52"/>
      <c r="ODZ1263" s="52"/>
      <c r="OEA1263" s="52"/>
      <c r="OEB1263" s="52"/>
      <c r="OEC1263" s="52"/>
      <c r="OED1263" s="52"/>
      <c r="OEE1263" s="52"/>
      <c r="OEF1263" s="52"/>
      <c r="OEG1263" s="52"/>
      <c r="OEH1263" s="52"/>
      <c r="OEI1263" s="52"/>
      <c r="OEJ1263" s="52"/>
      <c r="OEK1263" s="52"/>
      <c r="OEL1263" s="52"/>
      <c r="OEM1263" s="52"/>
      <c r="OEN1263" s="52"/>
      <c r="OEO1263" s="52"/>
      <c r="OEP1263" s="52"/>
      <c r="OEQ1263" s="52"/>
      <c r="OER1263" s="52"/>
      <c r="OES1263" s="52"/>
      <c r="OET1263" s="52"/>
      <c r="OEU1263" s="52"/>
      <c r="OEV1263" s="52"/>
      <c r="OEW1263" s="52"/>
      <c r="OEX1263" s="52"/>
      <c r="OEY1263" s="52"/>
      <c r="OEZ1263" s="52"/>
      <c r="OFA1263" s="52"/>
      <c r="OFB1263" s="52"/>
      <c r="OFC1263" s="52"/>
      <c r="OFD1263" s="52"/>
      <c r="OFE1263" s="52"/>
      <c r="OFF1263" s="52"/>
      <c r="OFG1263" s="52"/>
      <c r="OFH1263" s="52"/>
      <c r="OFI1263" s="52"/>
      <c r="OFJ1263" s="52"/>
      <c r="OFK1263" s="52"/>
      <c r="OFL1263" s="52"/>
      <c r="OFM1263" s="52"/>
      <c r="OFN1263" s="52"/>
      <c r="OFO1263" s="52"/>
      <c r="OFP1263" s="52"/>
      <c r="OFQ1263" s="52"/>
      <c r="OFR1263" s="52"/>
      <c r="OFS1263" s="52"/>
      <c r="OFT1263" s="52"/>
      <c r="OFU1263" s="52"/>
      <c r="OFV1263" s="52"/>
      <c r="OFW1263" s="52"/>
      <c r="OFX1263" s="52"/>
      <c r="OFY1263" s="52"/>
      <c r="OFZ1263" s="52"/>
      <c r="OGA1263" s="52"/>
      <c r="OGB1263" s="52"/>
      <c r="OGC1263" s="52"/>
      <c r="OGD1263" s="52"/>
      <c r="OGE1263" s="52"/>
      <c r="OGF1263" s="52"/>
      <c r="OGG1263" s="52"/>
      <c r="OGH1263" s="52"/>
      <c r="OGI1263" s="52"/>
      <c r="OGJ1263" s="52"/>
      <c r="OGK1263" s="52"/>
      <c r="OGL1263" s="52"/>
      <c r="OGM1263" s="52"/>
      <c r="OGN1263" s="52"/>
      <c r="OGO1263" s="52"/>
      <c r="OGP1263" s="52"/>
      <c r="OGQ1263" s="52"/>
      <c r="OGR1263" s="52"/>
      <c r="OGS1263" s="52"/>
      <c r="OGT1263" s="52"/>
      <c r="OGU1263" s="52"/>
      <c r="OGV1263" s="52"/>
      <c r="OGW1263" s="52"/>
      <c r="OGX1263" s="52"/>
      <c r="OGY1263" s="52"/>
      <c r="OGZ1263" s="52"/>
      <c r="OHA1263" s="52"/>
      <c r="OHB1263" s="52"/>
      <c r="OHC1263" s="52"/>
      <c r="OHD1263" s="52"/>
      <c r="OHE1263" s="52"/>
      <c r="OHF1263" s="52"/>
      <c r="OHG1263" s="52"/>
      <c r="OHH1263" s="52"/>
      <c r="OHI1263" s="52"/>
      <c r="OHJ1263" s="52"/>
      <c r="OHK1263" s="52"/>
      <c r="OHL1263" s="52"/>
      <c r="OHM1263" s="52"/>
      <c r="OHN1263" s="52"/>
      <c r="OHO1263" s="52"/>
      <c r="OHP1263" s="52"/>
      <c r="OHQ1263" s="52"/>
      <c r="OHR1263" s="52"/>
      <c r="OHS1263" s="52"/>
      <c r="OHT1263" s="52"/>
      <c r="OHU1263" s="52"/>
      <c r="OHV1263" s="52"/>
      <c r="OHW1263" s="52"/>
      <c r="OHX1263" s="52"/>
      <c r="OHY1263" s="52"/>
      <c r="OHZ1263" s="52"/>
      <c r="OIA1263" s="52"/>
      <c r="OIB1263" s="52"/>
      <c r="OIC1263" s="52"/>
      <c r="OID1263" s="52"/>
      <c r="OIE1263" s="52"/>
      <c r="OIF1263" s="52"/>
      <c r="OIG1263" s="52"/>
      <c r="OIH1263" s="52"/>
      <c r="OII1263" s="52"/>
      <c r="OIJ1263" s="52"/>
      <c r="OIK1263" s="52"/>
      <c r="OIL1263" s="52"/>
      <c r="OIM1263" s="52"/>
      <c r="OIN1263" s="52"/>
      <c r="OIO1263" s="52"/>
      <c r="OIP1263" s="52"/>
      <c r="OIQ1263" s="52"/>
      <c r="OIR1263" s="52"/>
      <c r="OIS1263" s="52"/>
      <c r="OIT1263" s="52"/>
      <c r="OIU1263" s="52"/>
      <c r="OIV1263" s="52"/>
      <c r="OIW1263" s="52"/>
      <c r="OIX1263" s="52"/>
      <c r="OIY1263" s="52"/>
      <c r="OIZ1263" s="52"/>
      <c r="OJA1263" s="52"/>
      <c r="OJB1263" s="52"/>
      <c r="OJC1263" s="52"/>
      <c r="OJD1263" s="52"/>
      <c r="OJE1263" s="52"/>
      <c r="OJF1263" s="52"/>
      <c r="OJG1263" s="52"/>
      <c r="OJH1263" s="52"/>
      <c r="OJI1263" s="52"/>
      <c r="OJJ1263" s="52"/>
      <c r="OJK1263" s="52"/>
      <c r="OJL1263" s="52"/>
      <c r="OJM1263" s="52"/>
      <c r="OJN1263" s="52"/>
      <c r="OJO1263" s="52"/>
      <c r="OJP1263" s="52"/>
      <c r="OJQ1263" s="52"/>
      <c r="OJR1263" s="52"/>
      <c r="OJS1263" s="52"/>
      <c r="OJT1263" s="52"/>
      <c r="OJU1263" s="52"/>
      <c r="OJV1263" s="52"/>
      <c r="OJW1263" s="52"/>
      <c r="OJX1263" s="52"/>
      <c r="OJY1263" s="52"/>
      <c r="OJZ1263" s="52"/>
      <c r="OKA1263" s="52"/>
      <c r="OKB1263" s="52"/>
      <c r="OKC1263" s="52"/>
      <c r="OKD1263" s="52"/>
      <c r="OKE1263" s="52"/>
      <c r="OKF1263" s="52"/>
      <c r="OKG1263" s="52"/>
      <c r="OKH1263" s="52"/>
      <c r="OKI1263" s="52"/>
      <c r="OKJ1263" s="52"/>
      <c r="OKK1263" s="52"/>
      <c r="OKL1263" s="52"/>
      <c r="OKM1263" s="52"/>
      <c r="OKN1263" s="52"/>
      <c r="OKO1263" s="52"/>
      <c r="OKP1263" s="52"/>
      <c r="OKQ1263" s="52"/>
      <c r="OKR1263" s="52"/>
      <c r="OKS1263" s="52"/>
      <c r="OKT1263" s="52"/>
      <c r="OKU1263" s="52"/>
      <c r="OKV1263" s="52"/>
      <c r="OKW1263" s="52"/>
      <c r="OKX1263" s="52"/>
      <c r="OKY1263" s="52"/>
      <c r="OKZ1263" s="52"/>
      <c r="OLA1263" s="52"/>
      <c r="OLB1263" s="52"/>
      <c r="OLC1263" s="52"/>
      <c r="OLD1263" s="52"/>
      <c r="OLE1263" s="52"/>
      <c r="OLF1263" s="52"/>
      <c r="OLG1263" s="52"/>
      <c r="OLH1263" s="52"/>
      <c r="OLI1263" s="52"/>
      <c r="OLJ1263" s="52"/>
      <c r="OLK1263" s="52"/>
      <c r="OLL1263" s="52"/>
      <c r="OLM1263" s="52"/>
      <c r="OLN1263" s="52"/>
      <c r="OLO1263" s="52"/>
      <c r="OLP1263" s="52"/>
      <c r="OLQ1263" s="52"/>
      <c r="OLR1263" s="52"/>
      <c r="OLS1263" s="52"/>
      <c r="OLT1263" s="52"/>
      <c r="OLU1263" s="52"/>
      <c r="OLV1263" s="52"/>
      <c r="OLW1263" s="52"/>
      <c r="OLX1263" s="52"/>
      <c r="OLY1263" s="52"/>
      <c r="OLZ1263" s="52"/>
      <c r="OMA1263" s="52"/>
      <c r="OMB1263" s="52"/>
      <c r="OMC1263" s="52"/>
      <c r="OMD1263" s="52"/>
      <c r="OME1263" s="52"/>
      <c r="OMF1263" s="52"/>
      <c r="OMG1263" s="52"/>
      <c r="OMH1263" s="52"/>
      <c r="OMI1263" s="52"/>
      <c r="OMJ1263" s="52"/>
      <c r="OMK1263" s="52"/>
      <c r="OML1263" s="52"/>
      <c r="OMM1263" s="52"/>
      <c r="OMN1263" s="52"/>
      <c r="OMO1263" s="52"/>
      <c r="OMP1263" s="52"/>
      <c r="OMQ1263" s="52"/>
      <c r="OMR1263" s="52"/>
      <c r="OMS1263" s="52"/>
      <c r="OMT1263" s="52"/>
      <c r="OMU1263" s="52"/>
      <c r="OMV1263" s="52"/>
      <c r="OMW1263" s="52"/>
      <c r="OMX1263" s="52"/>
      <c r="OMY1263" s="52"/>
      <c r="OMZ1263" s="52"/>
      <c r="ONA1263" s="52"/>
      <c r="ONB1263" s="52"/>
      <c r="ONC1263" s="52"/>
      <c r="OND1263" s="52"/>
      <c r="ONE1263" s="52"/>
      <c r="ONF1263" s="52"/>
      <c r="ONG1263" s="52"/>
      <c r="ONH1263" s="52"/>
      <c r="ONI1263" s="52"/>
      <c r="ONJ1263" s="52"/>
      <c r="ONK1263" s="52"/>
      <c r="ONL1263" s="52"/>
      <c r="ONM1263" s="52"/>
      <c r="ONN1263" s="52"/>
      <c r="ONO1263" s="52"/>
      <c r="ONP1263" s="52"/>
      <c r="ONQ1263" s="52"/>
      <c r="ONR1263" s="52"/>
      <c r="ONS1263" s="52"/>
      <c r="ONT1263" s="52"/>
      <c r="ONU1263" s="52"/>
      <c r="ONV1263" s="52"/>
      <c r="ONW1263" s="52"/>
      <c r="ONX1263" s="52"/>
      <c r="ONY1263" s="52"/>
      <c r="ONZ1263" s="52"/>
      <c r="OOA1263" s="52"/>
      <c r="OOB1263" s="52"/>
      <c r="OOC1263" s="52"/>
      <c r="OOD1263" s="52"/>
      <c r="OOE1263" s="52"/>
      <c r="OOF1263" s="52"/>
      <c r="OOG1263" s="52"/>
      <c r="OOH1263" s="52"/>
      <c r="OOI1263" s="52"/>
      <c r="OOJ1263" s="52"/>
      <c r="OOK1263" s="52"/>
      <c r="OOL1263" s="52"/>
      <c r="OOM1263" s="52"/>
      <c r="OON1263" s="52"/>
      <c r="OOO1263" s="52"/>
      <c r="OOP1263" s="52"/>
      <c r="OOQ1263" s="52"/>
      <c r="OOR1263" s="52"/>
      <c r="OOS1263" s="52"/>
      <c r="OOT1263" s="52"/>
      <c r="OOU1263" s="52"/>
      <c r="OOV1263" s="52"/>
      <c r="OOW1263" s="52"/>
      <c r="OOX1263" s="52"/>
      <c r="OOY1263" s="52"/>
      <c r="OOZ1263" s="52"/>
      <c r="OPA1263" s="52"/>
      <c r="OPB1263" s="52"/>
      <c r="OPC1263" s="52"/>
      <c r="OPD1263" s="52"/>
      <c r="OPE1263" s="52"/>
      <c r="OPF1263" s="52"/>
      <c r="OPG1263" s="52"/>
      <c r="OPH1263" s="52"/>
      <c r="OPI1263" s="52"/>
      <c r="OPJ1263" s="52"/>
      <c r="OPK1263" s="52"/>
      <c r="OPL1263" s="52"/>
      <c r="OPM1263" s="52"/>
      <c r="OPN1263" s="52"/>
      <c r="OPO1263" s="52"/>
      <c r="OPP1263" s="52"/>
      <c r="OPQ1263" s="52"/>
      <c r="OPR1263" s="52"/>
      <c r="OPS1263" s="52"/>
      <c r="OPT1263" s="52"/>
      <c r="OPU1263" s="52"/>
      <c r="OPV1263" s="52"/>
      <c r="OPW1263" s="52"/>
      <c r="OPX1263" s="52"/>
      <c r="OPY1263" s="52"/>
      <c r="OPZ1263" s="52"/>
      <c r="OQA1263" s="52"/>
      <c r="OQB1263" s="52"/>
      <c r="OQC1263" s="52"/>
      <c r="OQD1263" s="52"/>
      <c r="OQE1263" s="52"/>
      <c r="OQF1263" s="52"/>
      <c r="OQG1263" s="52"/>
      <c r="OQH1263" s="52"/>
      <c r="OQI1263" s="52"/>
      <c r="OQJ1263" s="52"/>
      <c r="OQK1263" s="52"/>
      <c r="OQL1263" s="52"/>
      <c r="OQM1263" s="52"/>
      <c r="OQN1263" s="52"/>
      <c r="OQO1263" s="52"/>
      <c r="OQP1263" s="52"/>
      <c r="OQQ1263" s="52"/>
      <c r="OQR1263" s="52"/>
      <c r="OQS1263" s="52"/>
      <c r="OQT1263" s="52"/>
      <c r="OQU1263" s="52"/>
      <c r="OQV1263" s="52"/>
      <c r="OQW1263" s="52"/>
      <c r="OQX1263" s="52"/>
      <c r="OQY1263" s="52"/>
      <c r="OQZ1263" s="52"/>
      <c r="ORA1263" s="52"/>
      <c r="ORB1263" s="52"/>
      <c r="ORC1263" s="52"/>
      <c r="ORD1263" s="52"/>
      <c r="ORE1263" s="52"/>
      <c r="ORF1263" s="52"/>
      <c r="ORG1263" s="52"/>
      <c r="ORH1263" s="52"/>
      <c r="ORI1263" s="52"/>
      <c r="ORJ1263" s="52"/>
      <c r="ORK1263" s="52"/>
      <c r="ORL1263" s="52"/>
      <c r="ORM1263" s="52"/>
      <c r="ORN1263" s="52"/>
      <c r="ORO1263" s="52"/>
      <c r="ORP1263" s="52"/>
      <c r="ORQ1263" s="52"/>
      <c r="ORR1263" s="52"/>
      <c r="ORS1263" s="52"/>
      <c r="ORT1263" s="52"/>
      <c r="ORU1263" s="52"/>
      <c r="ORV1263" s="52"/>
      <c r="ORW1263" s="52"/>
      <c r="ORX1263" s="52"/>
      <c r="ORY1263" s="52"/>
      <c r="ORZ1263" s="52"/>
      <c r="OSA1263" s="52"/>
      <c r="OSB1263" s="52"/>
      <c r="OSC1263" s="52"/>
      <c r="OSD1263" s="52"/>
      <c r="OSE1263" s="52"/>
      <c r="OSF1263" s="52"/>
      <c r="OSG1263" s="52"/>
      <c r="OSH1263" s="52"/>
      <c r="OSI1263" s="52"/>
      <c r="OSJ1263" s="52"/>
      <c r="OSK1263" s="52"/>
      <c r="OSL1263" s="52"/>
      <c r="OSM1263" s="52"/>
      <c r="OSN1263" s="52"/>
      <c r="OSO1263" s="52"/>
      <c r="OSP1263" s="52"/>
      <c r="OSQ1263" s="52"/>
      <c r="OSR1263" s="52"/>
      <c r="OSS1263" s="52"/>
      <c r="OST1263" s="52"/>
      <c r="OSU1263" s="52"/>
      <c r="OSV1263" s="52"/>
      <c r="OSW1263" s="52"/>
      <c r="OSX1263" s="52"/>
      <c r="OSY1263" s="52"/>
      <c r="OSZ1263" s="52"/>
      <c r="OTA1263" s="52"/>
      <c r="OTB1263" s="52"/>
      <c r="OTC1263" s="52"/>
      <c r="OTD1263" s="52"/>
      <c r="OTE1263" s="52"/>
      <c r="OTF1263" s="52"/>
      <c r="OTG1263" s="52"/>
      <c r="OTH1263" s="52"/>
      <c r="OTI1263" s="52"/>
      <c r="OTJ1263" s="52"/>
      <c r="OTK1263" s="52"/>
      <c r="OTL1263" s="52"/>
      <c r="OTM1263" s="52"/>
      <c r="OTN1263" s="52"/>
      <c r="OTO1263" s="52"/>
      <c r="OTP1263" s="52"/>
      <c r="OTQ1263" s="52"/>
      <c r="OTR1263" s="52"/>
      <c r="OTS1263" s="52"/>
      <c r="OTT1263" s="52"/>
      <c r="OTU1263" s="52"/>
      <c r="OTV1263" s="52"/>
      <c r="OTW1263" s="52"/>
      <c r="OTX1263" s="52"/>
      <c r="OTY1263" s="52"/>
      <c r="OTZ1263" s="52"/>
      <c r="OUA1263" s="52"/>
      <c r="OUB1263" s="52"/>
      <c r="OUC1263" s="52"/>
      <c r="OUD1263" s="52"/>
      <c r="OUE1263" s="52"/>
      <c r="OUF1263" s="52"/>
      <c r="OUG1263" s="52"/>
      <c r="OUH1263" s="52"/>
      <c r="OUI1263" s="52"/>
      <c r="OUJ1263" s="52"/>
      <c r="OUK1263" s="52"/>
      <c r="OUL1263" s="52"/>
      <c r="OUM1263" s="52"/>
      <c r="OUN1263" s="52"/>
      <c r="OUO1263" s="52"/>
      <c r="OUP1263" s="52"/>
      <c r="OUQ1263" s="52"/>
      <c r="OUR1263" s="52"/>
      <c r="OUS1263" s="52"/>
      <c r="OUT1263" s="52"/>
      <c r="OUU1263" s="52"/>
      <c r="OUV1263" s="52"/>
      <c r="OUW1263" s="52"/>
      <c r="OUX1263" s="52"/>
      <c r="OUY1263" s="52"/>
      <c r="OUZ1263" s="52"/>
      <c r="OVA1263" s="52"/>
      <c r="OVB1263" s="52"/>
      <c r="OVC1263" s="52"/>
      <c r="OVD1263" s="52"/>
      <c r="OVE1263" s="52"/>
      <c r="OVF1263" s="52"/>
      <c r="OVG1263" s="52"/>
      <c r="OVH1263" s="52"/>
      <c r="OVI1263" s="52"/>
      <c r="OVJ1263" s="52"/>
      <c r="OVK1263" s="52"/>
      <c r="OVL1263" s="52"/>
      <c r="OVM1263" s="52"/>
      <c r="OVN1263" s="52"/>
      <c r="OVO1263" s="52"/>
      <c r="OVP1263" s="52"/>
      <c r="OVQ1263" s="52"/>
      <c r="OVR1263" s="52"/>
      <c r="OVS1263" s="52"/>
      <c r="OVT1263" s="52"/>
      <c r="OVU1263" s="52"/>
      <c r="OVV1263" s="52"/>
      <c r="OVW1263" s="52"/>
      <c r="OVX1263" s="52"/>
      <c r="OVY1263" s="52"/>
      <c r="OVZ1263" s="52"/>
      <c r="OWA1263" s="52"/>
      <c r="OWB1263" s="52"/>
      <c r="OWC1263" s="52"/>
      <c r="OWD1263" s="52"/>
      <c r="OWE1263" s="52"/>
      <c r="OWF1263" s="52"/>
      <c r="OWG1263" s="52"/>
      <c r="OWH1263" s="52"/>
      <c r="OWI1263" s="52"/>
      <c r="OWJ1263" s="52"/>
      <c r="OWK1263" s="52"/>
      <c r="OWL1263" s="52"/>
      <c r="OWM1263" s="52"/>
      <c r="OWN1263" s="52"/>
      <c r="OWO1263" s="52"/>
      <c r="OWP1263" s="52"/>
      <c r="OWQ1263" s="52"/>
      <c r="OWR1263" s="52"/>
      <c r="OWS1263" s="52"/>
      <c r="OWT1263" s="52"/>
      <c r="OWU1263" s="52"/>
      <c r="OWV1263" s="52"/>
      <c r="OWW1263" s="52"/>
      <c r="OWX1263" s="52"/>
      <c r="OWY1263" s="52"/>
      <c r="OWZ1263" s="52"/>
      <c r="OXA1263" s="52"/>
      <c r="OXB1263" s="52"/>
      <c r="OXC1263" s="52"/>
      <c r="OXD1263" s="52"/>
      <c r="OXE1263" s="52"/>
      <c r="OXF1263" s="52"/>
      <c r="OXG1263" s="52"/>
      <c r="OXH1263" s="52"/>
      <c r="OXI1263" s="52"/>
      <c r="OXJ1263" s="52"/>
      <c r="OXK1263" s="52"/>
      <c r="OXL1263" s="52"/>
      <c r="OXM1263" s="52"/>
      <c r="OXN1263" s="52"/>
      <c r="OXO1263" s="52"/>
      <c r="OXP1263" s="52"/>
      <c r="OXQ1263" s="52"/>
      <c r="OXR1263" s="52"/>
      <c r="OXS1263" s="52"/>
      <c r="OXT1263" s="52"/>
      <c r="OXU1263" s="52"/>
      <c r="OXV1263" s="52"/>
      <c r="OXW1263" s="52"/>
      <c r="OXX1263" s="52"/>
      <c r="OXY1263" s="52"/>
      <c r="OXZ1263" s="52"/>
      <c r="OYA1263" s="52"/>
      <c r="OYB1263" s="52"/>
      <c r="OYC1263" s="52"/>
      <c r="OYD1263" s="52"/>
      <c r="OYE1263" s="52"/>
      <c r="OYF1263" s="52"/>
      <c r="OYG1263" s="52"/>
      <c r="OYH1263" s="52"/>
      <c r="OYI1263" s="52"/>
      <c r="OYJ1263" s="52"/>
      <c r="OYK1263" s="52"/>
      <c r="OYL1263" s="52"/>
      <c r="OYM1263" s="52"/>
      <c r="OYN1263" s="52"/>
      <c r="OYO1263" s="52"/>
      <c r="OYP1263" s="52"/>
      <c r="OYQ1263" s="52"/>
      <c r="OYR1263" s="52"/>
      <c r="OYS1263" s="52"/>
      <c r="OYT1263" s="52"/>
      <c r="OYU1263" s="52"/>
      <c r="OYV1263" s="52"/>
      <c r="OYW1263" s="52"/>
      <c r="OYX1263" s="52"/>
      <c r="OYY1263" s="52"/>
      <c r="OYZ1263" s="52"/>
      <c r="OZA1263" s="52"/>
      <c r="OZB1263" s="52"/>
      <c r="OZC1263" s="52"/>
      <c r="OZD1263" s="52"/>
      <c r="OZE1263" s="52"/>
      <c r="OZF1263" s="52"/>
      <c r="OZG1263" s="52"/>
      <c r="OZH1263" s="52"/>
      <c r="OZI1263" s="52"/>
      <c r="OZJ1263" s="52"/>
      <c r="OZK1263" s="52"/>
      <c r="OZL1263" s="52"/>
      <c r="OZM1263" s="52"/>
      <c r="OZN1263" s="52"/>
      <c r="OZO1263" s="52"/>
      <c r="OZP1263" s="52"/>
      <c r="OZQ1263" s="52"/>
      <c r="OZR1263" s="52"/>
      <c r="OZS1263" s="52"/>
      <c r="OZT1263" s="52"/>
      <c r="OZU1263" s="52"/>
      <c r="OZV1263" s="52"/>
      <c r="OZW1263" s="52"/>
      <c r="OZX1263" s="52"/>
      <c r="OZY1263" s="52"/>
      <c r="OZZ1263" s="52"/>
      <c r="PAA1263" s="52"/>
      <c r="PAB1263" s="52"/>
      <c r="PAC1263" s="52"/>
      <c r="PAD1263" s="52"/>
      <c r="PAE1263" s="52"/>
      <c r="PAF1263" s="52"/>
      <c r="PAG1263" s="52"/>
      <c r="PAH1263" s="52"/>
      <c r="PAI1263" s="52"/>
      <c r="PAJ1263" s="52"/>
      <c r="PAK1263" s="52"/>
      <c r="PAL1263" s="52"/>
      <c r="PAM1263" s="52"/>
      <c r="PAN1263" s="52"/>
      <c r="PAO1263" s="52"/>
      <c r="PAP1263" s="52"/>
      <c r="PAQ1263" s="52"/>
      <c r="PAR1263" s="52"/>
      <c r="PAS1263" s="52"/>
      <c r="PAT1263" s="52"/>
      <c r="PAU1263" s="52"/>
      <c r="PAV1263" s="52"/>
      <c r="PAW1263" s="52"/>
      <c r="PAX1263" s="52"/>
      <c r="PAY1263" s="52"/>
      <c r="PAZ1263" s="52"/>
      <c r="PBA1263" s="52"/>
      <c r="PBB1263" s="52"/>
      <c r="PBC1263" s="52"/>
      <c r="PBD1263" s="52"/>
      <c r="PBE1263" s="52"/>
      <c r="PBF1263" s="52"/>
      <c r="PBG1263" s="52"/>
      <c r="PBH1263" s="52"/>
      <c r="PBI1263" s="52"/>
      <c r="PBJ1263" s="52"/>
      <c r="PBK1263" s="52"/>
      <c r="PBL1263" s="52"/>
      <c r="PBM1263" s="52"/>
      <c r="PBN1263" s="52"/>
      <c r="PBO1263" s="52"/>
      <c r="PBP1263" s="52"/>
      <c r="PBQ1263" s="52"/>
      <c r="PBR1263" s="52"/>
      <c r="PBS1263" s="52"/>
      <c r="PBT1263" s="52"/>
      <c r="PBU1263" s="52"/>
      <c r="PBV1263" s="52"/>
      <c r="PBW1263" s="52"/>
      <c r="PBX1263" s="52"/>
      <c r="PBY1263" s="52"/>
      <c r="PBZ1263" s="52"/>
      <c r="PCA1263" s="52"/>
      <c r="PCB1263" s="52"/>
      <c r="PCC1263" s="52"/>
      <c r="PCD1263" s="52"/>
      <c r="PCE1263" s="52"/>
      <c r="PCF1263" s="52"/>
      <c r="PCG1263" s="52"/>
      <c r="PCH1263" s="52"/>
      <c r="PCI1263" s="52"/>
      <c r="PCJ1263" s="52"/>
      <c r="PCK1263" s="52"/>
      <c r="PCL1263" s="52"/>
      <c r="PCM1263" s="52"/>
      <c r="PCN1263" s="52"/>
      <c r="PCO1263" s="52"/>
      <c r="PCP1263" s="52"/>
      <c r="PCQ1263" s="52"/>
      <c r="PCR1263" s="52"/>
      <c r="PCS1263" s="52"/>
      <c r="PCT1263" s="52"/>
      <c r="PCU1263" s="52"/>
      <c r="PCV1263" s="52"/>
      <c r="PCW1263" s="52"/>
      <c r="PCX1263" s="52"/>
      <c r="PCY1263" s="52"/>
      <c r="PCZ1263" s="52"/>
      <c r="PDA1263" s="52"/>
      <c r="PDB1263" s="52"/>
      <c r="PDC1263" s="52"/>
      <c r="PDD1263" s="52"/>
      <c r="PDE1263" s="52"/>
      <c r="PDF1263" s="52"/>
      <c r="PDG1263" s="52"/>
      <c r="PDH1263" s="52"/>
      <c r="PDI1263" s="52"/>
      <c r="PDJ1263" s="52"/>
      <c r="PDK1263" s="52"/>
      <c r="PDL1263" s="52"/>
      <c r="PDM1263" s="52"/>
      <c r="PDN1263" s="52"/>
      <c r="PDO1263" s="52"/>
      <c r="PDP1263" s="52"/>
      <c r="PDQ1263" s="52"/>
      <c r="PDR1263" s="52"/>
      <c r="PDS1263" s="52"/>
      <c r="PDT1263" s="52"/>
      <c r="PDU1263" s="52"/>
      <c r="PDV1263" s="52"/>
      <c r="PDW1263" s="52"/>
      <c r="PDX1263" s="52"/>
      <c r="PDY1263" s="52"/>
      <c r="PDZ1263" s="52"/>
      <c r="PEA1263" s="52"/>
      <c r="PEB1263" s="52"/>
      <c r="PEC1263" s="52"/>
      <c r="PED1263" s="52"/>
      <c r="PEE1263" s="52"/>
      <c r="PEF1263" s="52"/>
      <c r="PEG1263" s="52"/>
      <c r="PEH1263" s="52"/>
      <c r="PEI1263" s="52"/>
      <c r="PEJ1263" s="52"/>
      <c r="PEK1263" s="52"/>
      <c r="PEL1263" s="52"/>
      <c r="PEM1263" s="52"/>
      <c r="PEN1263" s="52"/>
      <c r="PEO1263" s="52"/>
      <c r="PEP1263" s="52"/>
      <c r="PEQ1263" s="52"/>
      <c r="PER1263" s="52"/>
      <c r="PES1263" s="52"/>
      <c r="PET1263" s="52"/>
      <c r="PEU1263" s="52"/>
      <c r="PEV1263" s="52"/>
      <c r="PEW1263" s="52"/>
      <c r="PEX1263" s="52"/>
      <c r="PEY1263" s="52"/>
      <c r="PEZ1263" s="52"/>
      <c r="PFA1263" s="52"/>
      <c r="PFB1263" s="52"/>
      <c r="PFC1263" s="52"/>
      <c r="PFD1263" s="52"/>
      <c r="PFE1263" s="52"/>
      <c r="PFF1263" s="52"/>
      <c r="PFG1263" s="52"/>
      <c r="PFH1263" s="52"/>
      <c r="PFI1263" s="52"/>
      <c r="PFJ1263" s="52"/>
      <c r="PFK1263" s="52"/>
      <c r="PFL1263" s="52"/>
      <c r="PFM1263" s="52"/>
      <c r="PFN1263" s="52"/>
      <c r="PFO1263" s="52"/>
      <c r="PFP1263" s="52"/>
      <c r="PFQ1263" s="52"/>
      <c r="PFR1263" s="52"/>
      <c r="PFS1263" s="52"/>
      <c r="PFT1263" s="52"/>
      <c r="PFU1263" s="52"/>
      <c r="PFV1263" s="52"/>
      <c r="PFW1263" s="52"/>
      <c r="PFX1263" s="52"/>
      <c r="PFY1263" s="52"/>
      <c r="PFZ1263" s="52"/>
      <c r="PGA1263" s="52"/>
      <c r="PGB1263" s="52"/>
      <c r="PGC1263" s="52"/>
      <c r="PGD1263" s="52"/>
      <c r="PGE1263" s="52"/>
      <c r="PGF1263" s="52"/>
      <c r="PGG1263" s="52"/>
      <c r="PGH1263" s="52"/>
      <c r="PGI1263" s="52"/>
      <c r="PGJ1263" s="52"/>
      <c r="PGK1263" s="52"/>
      <c r="PGL1263" s="52"/>
      <c r="PGM1263" s="52"/>
      <c r="PGN1263" s="52"/>
      <c r="PGO1263" s="52"/>
      <c r="PGP1263" s="52"/>
      <c r="PGQ1263" s="52"/>
      <c r="PGR1263" s="52"/>
      <c r="PGS1263" s="52"/>
      <c r="PGT1263" s="52"/>
      <c r="PGU1263" s="52"/>
      <c r="PGV1263" s="52"/>
      <c r="PGW1263" s="52"/>
      <c r="PGX1263" s="52"/>
      <c r="PGY1263" s="52"/>
      <c r="PGZ1263" s="52"/>
      <c r="PHA1263" s="52"/>
      <c r="PHB1263" s="52"/>
      <c r="PHC1263" s="52"/>
      <c r="PHD1263" s="52"/>
      <c r="PHE1263" s="52"/>
      <c r="PHF1263" s="52"/>
      <c r="PHG1263" s="52"/>
      <c r="PHH1263" s="52"/>
      <c r="PHI1263" s="52"/>
      <c r="PHJ1263" s="52"/>
      <c r="PHK1263" s="52"/>
      <c r="PHL1263" s="52"/>
      <c r="PHM1263" s="52"/>
      <c r="PHN1263" s="52"/>
      <c r="PHO1263" s="52"/>
      <c r="PHP1263" s="52"/>
      <c r="PHQ1263" s="52"/>
      <c r="PHR1263" s="52"/>
      <c r="PHS1263" s="52"/>
      <c r="PHT1263" s="52"/>
      <c r="PHU1263" s="52"/>
      <c r="PHV1263" s="52"/>
      <c r="PHW1263" s="52"/>
      <c r="PHX1263" s="52"/>
      <c r="PHY1263" s="52"/>
      <c r="PHZ1263" s="52"/>
      <c r="PIA1263" s="52"/>
      <c r="PIB1263" s="52"/>
      <c r="PIC1263" s="52"/>
      <c r="PID1263" s="52"/>
      <c r="PIE1263" s="52"/>
      <c r="PIF1263" s="52"/>
      <c r="PIG1263" s="52"/>
      <c r="PIH1263" s="52"/>
      <c r="PII1263" s="52"/>
      <c r="PIJ1263" s="52"/>
      <c r="PIK1263" s="52"/>
      <c r="PIL1263" s="52"/>
      <c r="PIM1263" s="52"/>
      <c r="PIN1263" s="52"/>
      <c r="PIO1263" s="52"/>
      <c r="PIP1263" s="52"/>
      <c r="PIQ1263" s="52"/>
      <c r="PIR1263" s="52"/>
      <c r="PIS1263" s="52"/>
      <c r="PIT1263" s="52"/>
      <c r="PIU1263" s="52"/>
      <c r="PIV1263" s="52"/>
      <c r="PIW1263" s="52"/>
      <c r="PIX1263" s="52"/>
      <c r="PIY1263" s="52"/>
      <c r="PIZ1263" s="52"/>
      <c r="PJA1263" s="52"/>
      <c r="PJB1263" s="52"/>
      <c r="PJC1263" s="52"/>
      <c r="PJD1263" s="52"/>
      <c r="PJE1263" s="52"/>
      <c r="PJF1263" s="52"/>
      <c r="PJG1263" s="52"/>
      <c r="PJH1263" s="52"/>
      <c r="PJI1263" s="52"/>
      <c r="PJJ1263" s="52"/>
      <c r="PJK1263" s="52"/>
      <c r="PJL1263" s="52"/>
      <c r="PJM1263" s="52"/>
      <c r="PJN1263" s="52"/>
      <c r="PJO1263" s="52"/>
      <c r="PJP1263" s="52"/>
      <c r="PJQ1263" s="52"/>
      <c r="PJR1263" s="52"/>
      <c r="PJS1263" s="52"/>
      <c r="PJT1263" s="52"/>
      <c r="PJU1263" s="52"/>
      <c r="PJV1263" s="52"/>
      <c r="PJW1263" s="52"/>
      <c r="PJX1263" s="52"/>
      <c r="PJY1263" s="52"/>
      <c r="PJZ1263" s="52"/>
      <c r="PKA1263" s="52"/>
      <c r="PKB1263" s="52"/>
      <c r="PKC1263" s="52"/>
      <c r="PKD1263" s="52"/>
      <c r="PKE1263" s="52"/>
      <c r="PKF1263" s="52"/>
      <c r="PKG1263" s="52"/>
      <c r="PKH1263" s="52"/>
      <c r="PKI1263" s="52"/>
      <c r="PKJ1263" s="52"/>
      <c r="PKK1263" s="52"/>
      <c r="PKL1263" s="52"/>
      <c r="PKM1263" s="52"/>
      <c r="PKN1263" s="52"/>
      <c r="PKO1263" s="52"/>
      <c r="PKP1263" s="52"/>
      <c r="PKQ1263" s="52"/>
      <c r="PKR1263" s="52"/>
      <c r="PKS1263" s="52"/>
      <c r="PKT1263" s="52"/>
      <c r="PKU1263" s="52"/>
      <c r="PKV1263" s="52"/>
      <c r="PKW1263" s="52"/>
      <c r="PKX1263" s="52"/>
      <c r="PKY1263" s="52"/>
      <c r="PKZ1263" s="52"/>
      <c r="PLA1263" s="52"/>
      <c r="PLB1263" s="52"/>
      <c r="PLC1263" s="52"/>
      <c r="PLD1263" s="52"/>
      <c r="PLE1263" s="52"/>
      <c r="PLF1263" s="52"/>
      <c r="PLG1263" s="52"/>
      <c r="PLH1263" s="52"/>
      <c r="PLI1263" s="52"/>
      <c r="PLJ1263" s="52"/>
      <c r="PLK1263" s="52"/>
      <c r="PLL1263" s="52"/>
      <c r="PLM1263" s="52"/>
      <c r="PLN1263" s="52"/>
      <c r="PLO1263" s="52"/>
      <c r="PLP1263" s="52"/>
      <c r="PLQ1263" s="52"/>
      <c r="PLR1263" s="52"/>
      <c r="PLS1263" s="52"/>
      <c r="PLT1263" s="52"/>
      <c r="PLU1263" s="52"/>
      <c r="PLV1263" s="52"/>
      <c r="PLW1263" s="52"/>
      <c r="PLX1263" s="52"/>
      <c r="PLY1263" s="52"/>
      <c r="PLZ1263" s="52"/>
      <c r="PMA1263" s="52"/>
      <c r="PMB1263" s="52"/>
      <c r="PMC1263" s="52"/>
      <c r="PMD1263" s="52"/>
      <c r="PME1263" s="52"/>
      <c r="PMF1263" s="52"/>
      <c r="PMG1263" s="52"/>
      <c r="PMH1263" s="52"/>
      <c r="PMI1263" s="52"/>
      <c r="PMJ1263" s="52"/>
      <c r="PMK1263" s="52"/>
      <c r="PML1263" s="52"/>
      <c r="PMM1263" s="52"/>
      <c r="PMN1263" s="52"/>
      <c r="PMO1263" s="52"/>
      <c r="PMP1263" s="52"/>
      <c r="PMQ1263" s="52"/>
      <c r="PMR1263" s="52"/>
      <c r="PMS1263" s="52"/>
      <c r="PMT1263" s="52"/>
      <c r="PMU1263" s="52"/>
      <c r="PMV1263" s="52"/>
      <c r="PMW1263" s="52"/>
      <c r="PMX1263" s="52"/>
      <c r="PMY1263" s="52"/>
      <c r="PMZ1263" s="52"/>
      <c r="PNA1263" s="52"/>
      <c r="PNB1263" s="52"/>
      <c r="PNC1263" s="52"/>
      <c r="PND1263" s="52"/>
      <c r="PNE1263" s="52"/>
      <c r="PNF1263" s="52"/>
      <c r="PNG1263" s="52"/>
      <c r="PNH1263" s="52"/>
      <c r="PNI1263" s="52"/>
      <c r="PNJ1263" s="52"/>
      <c r="PNK1263" s="52"/>
      <c r="PNL1263" s="52"/>
      <c r="PNM1263" s="52"/>
      <c r="PNN1263" s="52"/>
      <c r="PNO1263" s="52"/>
      <c r="PNP1263" s="52"/>
      <c r="PNQ1263" s="52"/>
      <c r="PNR1263" s="52"/>
      <c r="PNS1263" s="52"/>
      <c r="PNT1263" s="52"/>
      <c r="PNU1263" s="52"/>
      <c r="PNV1263" s="52"/>
      <c r="PNW1263" s="52"/>
      <c r="PNX1263" s="52"/>
      <c r="PNY1263" s="52"/>
      <c r="PNZ1263" s="52"/>
      <c r="POA1263" s="52"/>
      <c r="POB1263" s="52"/>
      <c r="POC1263" s="52"/>
      <c r="POD1263" s="52"/>
      <c r="POE1263" s="52"/>
      <c r="POF1263" s="52"/>
      <c r="POG1263" s="52"/>
      <c r="POH1263" s="52"/>
      <c r="POI1263" s="52"/>
      <c r="POJ1263" s="52"/>
      <c r="POK1263" s="52"/>
      <c r="POL1263" s="52"/>
      <c r="POM1263" s="52"/>
      <c r="PON1263" s="52"/>
      <c r="POO1263" s="52"/>
      <c r="POP1263" s="52"/>
      <c r="POQ1263" s="52"/>
      <c r="POR1263" s="52"/>
      <c r="POS1263" s="52"/>
      <c r="POT1263" s="52"/>
      <c r="POU1263" s="52"/>
      <c r="POV1263" s="52"/>
      <c r="POW1263" s="52"/>
      <c r="POX1263" s="52"/>
      <c r="POY1263" s="52"/>
      <c r="POZ1263" s="52"/>
      <c r="PPA1263" s="52"/>
      <c r="PPB1263" s="52"/>
      <c r="PPC1263" s="52"/>
      <c r="PPD1263" s="52"/>
      <c r="PPE1263" s="52"/>
      <c r="PPF1263" s="52"/>
      <c r="PPG1263" s="52"/>
      <c r="PPH1263" s="52"/>
      <c r="PPI1263" s="52"/>
      <c r="PPJ1263" s="52"/>
      <c r="PPK1263" s="52"/>
      <c r="PPL1263" s="52"/>
      <c r="PPM1263" s="52"/>
      <c r="PPN1263" s="52"/>
      <c r="PPO1263" s="52"/>
      <c r="PPP1263" s="52"/>
      <c r="PPQ1263" s="52"/>
      <c r="PPR1263" s="52"/>
      <c r="PPS1263" s="52"/>
      <c r="PPT1263" s="52"/>
      <c r="PPU1263" s="52"/>
      <c r="PPV1263" s="52"/>
      <c r="PPW1263" s="52"/>
      <c r="PPX1263" s="52"/>
      <c r="PPY1263" s="52"/>
      <c r="PPZ1263" s="52"/>
      <c r="PQA1263" s="52"/>
      <c r="PQB1263" s="52"/>
      <c r="PQC1263" s="52"/>
      <c r="PQD1263" s="52"/>
      <c r="PQE1263" s="52"/>
      <c r="PQF1263" s="52"/>
      <c r="PQG1263" s="52"/>
      <c r="PQH1263" s="52"/>
      <c r="PQI1263" s="52"/>
      <c r="PQJ1263" s="52"/>
      <c r="PQK1263" s="52"/>
      <c r="PQL1263" s="52"/>
      <c r="PQM1263" s="52"/>
      <c r="PQN1263" s="52"/>
      <c r="PQO1263" s="52"/>
      <c r="PQP1263" s="52"/>
      <c r="PQQ1263" s="52"/>
      <c r="PQR1263" s="52"/>
      <c r="PQS1263" s="52"/>
      <c r="PQT1263" s="52"/>
      <c r="PQU1263" s="52"/>
      <c r="PQV1263" s="52"/>
      <c r="PQW1263" s="52"/>
      <c r="PQX1263" s="52"/>
      <c r="PQY1263" s="52"/>
      <c r="PQZ1263" s="52"/>
      <c r="PRA1263" s="52"/>
      <c r="PRB1263" s="52"/>
      <c r="PRC1263" s="52"/>
      <c r="PRD1263" s="52"/>
      <c r="PRE1263" s="52"/>
      <c r="PRF1263" s="52"/>
      <c r="PRG1263" s="52"/>
      <c r="PRH1263" s="52"/>
      <c r="PRI1263" s="52"/>
      <c r="PRJ1263" s="52"/>
      <c r="PRK1263" s="52"/>
      <c r="PRL1263" s="52"/>
      <c r="PRM1263" s="52"/>
      <c r="PRN1263" s="52"/>
      <c r="PRO1263" s="52"/>
      <c r="PRP1263" s="52"/>
      <c r="PRQ1263" s="52"/>
      <c r="PRR1263" s="52"/>
      <c r="PRS1263" s="52"/>
      <c r="PRT1263" s="52"/>
      <c r="PRU1263" s="52"/>
      <c r="PRV1263" s="52"/>
      <c r="PRW1263" s="52"/>
      <c r="PRX1263" s="52"/>
      <c r="PRY1263" s="52"/>
      <c r="PRZ1263" s="52"/>
      <c r="PSA1263" s="52"/>
      <c r="PSB1263" s="52"/>
      <c r="PSC1263" s="52"/>
      <c r="PSD1263" s="52"/>
      <c r="PSE1263" s="52"/>
      <c r="PSF1263" s="52"/>
      <c r="PSG1263" s="52"/>
      <c r="PSH1263" s="52"/>
      <c r="PSI1263" s="52"/>
      <c r="PSJ1263" s="52"/>
      <c r="PSK1263" s="52"/>
      <c r="PSL1263" s="52"/>
      <c r="PSM1263" s="52"/>
      <c r="PSN1263" s="52"/>
      <c r="PSO1263" s="52"/>
      <c r="PSP1263" s="52"/>
      <c r="PSQ1263" s="52"/>
      <c r="PSR1263" s="52"/>
      <c r="PSS1263" s="52"/>
      <c r="PST1263" s="52"/>
      <c r="PSU1263" s="52"/>
      <c r="PSV1263" s="52"/>
      <c r="PSW1263" s="52"/>
      <c r="PSX1263" s="52"/>
      <c r="PSY1263" s="52"/>
      <c r="PSZ1263" s="52"/>
      <c r="PTA1263" s="52"/>
      <c r="PTB1263" s="52"/>
      <c r="PTC1263" s="52"/>
      <c r="PTD1263" s="52"/>
      <c r="PTE1263" s="52"/>
      <c r="PTF1263" s="52"/>
      <c r="PTG1263" s="52"/>
      <c r="PTH1263" s="52"/>
      <c r="PTI1263" s="52"/>
      <c r="PTJ1263" s="52"/>
      <c r="PTK1263" s="52"/>
      <c r="PTL1263" s="52"/>
      <c r="PTM1263" s="52"/>
      <c r="PTN1263" s="52"/>
      <c r="PTO1263" s="52"/>
      <c r="PTP1263" s="52"/>
      <c r="PTQ1263" s="52"/>
      <c r="PTR1263" s="52"/>
      <c r="PTS1263" s="52"/>
      <c r="PTT1263" s="52"/>
      <c r="PTU1263" s="52"/>
      <c r="PTV1263" s="52"/>
      <c r="PTW1263" s="52"/>
      <c r="PTX1263" s="52"/>
      <c r="PTY1263" s="52"/>
      <c r="PTZ1263" s="52"/>
      <c r="PUA1263" s="52"/>
      <c r="PUB1263" s="52"/>
      <c r="PUC1263" s="52"/>
      <c r="PUD1263" s="52"/>
      <c r="PUE1263" s="52"/>
      <c r="PUF1263" s="52"/>
      <c r="PUG1263" s="52"/>
      <c r="PUH1263" s="52"/>
      <c r="PUI1263" s="52"/>
      <c r="PUJ1263" s="52"/>
      <c r="PUK1263" s="52"/>
      <c r="PUL1263" s="52"/>
      <c r="PUM1263" s="52"/>
      <c r="PUN1263" s="52"/>
      <c r="PUO1263" s="52"/>
      <c r="PUP1263" s="52"/>
      <c r="PUQ1263" s="52"/>
      <c r="PUR1263" s="52"/>
      <c r="PUS1263" s="52"/>
      <c r="PUT1263" s="52"/>
      <c r="PUU1263" s="52"/>
      <c r="PUV1263" s="52"/>
      <c r="PUW1263" s="52"/>
      <c r="PUX1263" s="52"/>
      <c r="PUY1263" s="52"/>
      <c r="PUZ1263" s="52"/>
      <c r="PVA1263" s="52"/>
      <c r="PVB1263" s="52"/>
      <c r="PVC1263" s="52"/>
      <c r="PVD1263" s="52"/>
      <c r="PVE1263" s="52"/>
      <c r="PVF1263" s="52"/>
      <c r="PVG1263" s="52"/>
      <c r="PVH1263" s="52"/>
      <c r="PVI1263" s="52"/>
      <c r="PVJ1263" s="52"/>
      <c r="PVK1263" s="52"/>
      <c r="PVL1263" s="52"/>
      <c r="PVM1263" s="52"/>
      <c r="PVN1263" s="52"/>
      <c r="PVO1263" s="52"/>
      <c r="PVP1263" s="52"/>
      <c r="PVQ1263" s="52"/>
      <c r="PVR1263" s="52"/>
      <c r="PVS1263" s="52"/>
      <c r="PVT1263" s="52"/>
      <c r="PVU1263" s="52"/>
      <c r="PVV1263" s="52"/>
      <c r="PVW1263" s="52"/>
      <c r="PVX1263" s="52"/>
      <c r="PVY1263" s="52"/>
      <c r="PVZ1263" s="52"/>
      <c r="PWA1263" s="52"/>
      <c r="PWB1263" s="52"/>
      <c r="PWC1263" s="52"/>
      <c r="PWD1263" s="52"/>
      <c r="PWE1263" s="52"/>
      <c r="PWF1263" s="52"/>
      <c r="PWG1263" s="52"/>
      <c r="PWH1263" s="52"/>
      <c r="PWI1263" s="52"/>
      <c r="PWJ1263" s="52"/>
      <c r="PWK1263" s="52"/>
      <c r="PWL1263" s="52"/>
      <c r="PWM1263" s="52"/>
      <c r="PWN1263" s="52"/>
      <c r="PWO1263" s="52"/>
      <c r="PWP1263" s="52"/>
      <c r="PWQ1263" s="52"/>
      <c r="PWR1263" s="52"/>
      <c r="PWS1263" s="52"/>
      <c r="PWT1263" s="52"/>
      <c r="PWU1263" s="52"/>
      <c r="PWV1263" s="52"/>
      <c r="PWW1263" s="52"/>
      <c r="PWX1263" s="52"/>
      <c r="PWY1263" s="52"/>
      <c r="PWZ1263" s="52"/>
      <c r="PXA1263" s="52"/>
      <c r="PXB1263" s="52"/>
      <c r="PXC1263" s="52"/>
      <c r="PXD1263" s="52"/>
      <c r="PXE1263" s="52"/>
      <c r="PXF1263" s="52"/>
      <c r="PXG1263" s="52"/>
      <c r="PXH1263" s="52"/>
      <c r="PXI1263" s="52"/>
      <c r="PXJ1263" s="52"/>
      <c r="PXK1263" s="52"/>
      <c r="PXL1263" s="52"/>
      <c r="PXM1263" s="52"/>
      <c r="PXN1263" s="52"/>
      <c r="PXO1263" s="52"/>
      <c r="PXP1263" s="52"/>
      <c r="PXQ1263" s="52"/>
      <c r="PXR1263" s="52"/>
      <c r="PXS1263" s="52"/>
      <c r="PXT1263" s="52"/>
      <c r="PXU1263" s="52"/>
      <c r="PXV1263" s="52"/>
      <c r="PXW1263" s="52"/>
      <c r="PXX1263" s="52"/>
      <c r="PXY1263" s="52"/>
      <c r="PXZ1263" s="52"/>
      <c r="PYA1263" s="52"/>
      <c r="PYB1263" s="52"/>
      <c r="PYC1263" s="52"/>
      <c r="PYD1263" s="52"/>
      <c r="PYE1263" s="52"/>
      <c r="PYF1263" s="52"/>
      <c r="PYG1263" s="52"/>
      <c r="PYH1263" s="52"/>
      <c r="PYI1263" s="52"/>
      <c r="PYJ1263" s="52"/>
      <c r="PYK1263" s="52"/>
      <c r="PYL1263" s="52"/>
      <c r="PYM1263" s="52"/>
      <c r="PYN1263" s="52"/>
      <c r="PYO1263" s="52"/>
      <c r="PYP1263" s="52"/>
      <c r="PYQ1263" s="52"/>
      <c r="PYR1263" s="52"/>
      <c r="PYS1263" s="52"/>
      <c r="PYT1263" s="52"/>
      <c r="PYU1263" s="52"/>
      <c r="PYV1263" s="52"/>
      <c r="PYW1263" s="52"/>
      <c r="PYX1263" s="52"/>
      <c r="PYY1263" s="52"/>
      <c r="PYZ1263" s="52"/>
      <c r="PZA1263" s="52"/>
      <c r="PZB1263" s="52"/>
      <c r="PZC1263" s="52"/>
      <c r="PZD1263" s="52"/>
      <c r="PZE1263" s="52"/>
      <c r="PZF1263" s="52"/>
      <c r="PZG1263" s="52"/>
      <c r="PZH1263" s="52"/>
      <c r="PZI1263" s="52"/>
      <c r="PZJ1263" s="52"/>
      <c r="PZK1263" s="52"/>
      <c r="PZL1263" s="52"/>
      <c r="PZM1263" s="52"/>
      <c r="PZN1263" s="52"/>
      <c r="PZO1263" s="52"/>
      <c r="PZP1263" s="52"/>
      <c r="PZQ1263" s="52"/>
      <c r="PZR1263" s="52"/>
      <c r="PZS1263" s="52"/>
      <c r="PZT1263" s="52"/>
      <c r="PZU1263" s="52"/>
      <c r="PZV1263" s="52"/>
      <c r="PZW1263" s="52"/>
      <c r="PZX1263" s="52"/>
      <c r="PZY1263" s="52"/>
      <c r="PZZ1263" s="52"/>
      <c r="QAA1263" s="52"/>
      <c r="QAB1263" s="52"/>
      <c r="QAC1263" s="52"/>
      <c r="QAD1263" s="52"/>
      <c r="QAE1263" s="52"/>
      <c r="QAF1263" s="52"/>
      <c r="QAG1263" s="52"/>
      <c r="QAH1263" s="52"/>
      <c r="QAI1263" s="52"/>
      <c r="QAJ1263" s="52"/>
      <c r="QAK1263" s="52"/>
      <c r="QAL1263" s="52"/>
      <c r="QAM1263" s="52"/>
      <c r="QAN1263" s="52"/>
      <c r="QAO1263" s="52"/>
      <c r="QAP1263" s="52"/>
      <c r="QAQ1263" s="52"/>
      <c r="QAR1263" s="52"/>
      <c r="QAS1263" s="52"/>
      <c r="QAT1263" s="52"/>
      <c r="QAU1263" s="52"/>
      <c r="QAV1263" s="52"/>
      <c r="QAW1263" s="52"/>
      <c r="QAX1263" s="52"/>
      <c r="QAY1263" s="52"/>
      <c r="QAZ1263" s="52"/>
      <c r="QBA1263" s="52"/>
      <c r="QBB1263" s="52"/>
      <c r="QBC1263" s="52"/>
      <c r="QBD1263" s="52"/>
      <c r="QBE1263" s="52"/>
      <c r="QBF1263" s="52"/>
      <c r="QBG1263" s="52"/>
      <c r="QBH1263" s="52"/>
      <c r="QBI1263" s="52"/>
      <c r="QBJ1263" s="52"/>
      <c r="QBK1263" s="52"/>
      <c r="QBL1263" s="52"/>
      <c r="QBM1263" s="52"/>
      <c r="QBN1263" s="52"/>
      <c r="QBO1263" s="52"/>
      <c r="QBP1263" s="52"/>
      <c r="QBQ1263" s="52"/>
      <c r="QBR1263" s="52"/>
      <c r="QBS1263" s="52"/>
      <c r="QBT1263" s="52"/>
      <c r="QBU1263" s="52"/>
      <c r="QBV1263" s="52"/>
      <c r="QBW1263" s="52"/>
      <c r="QBX1263" s="52"/>
      <c r="QBY1263" s="52"/>
      <c r="QBZ1263" s="52"/>
      <c r="QCA1263" s="52"/>
      <c r="QCB1263" s="52"/>
      <c r="QCC1263" s="52"/>
      <c r="QCD1263" s="52"/>
      <c r="QCE1263" s="52"/>
      <c r="QCF1263" s="52"/>
      <c r="QCG1263" s="52"/>
      <c r="QCH1263" s="52"/>
      <c r="QCI1263" s="52"/>
      <c r="QCJ1263" s="52"/>
      <c r="QCK1263" s="52"/>
      <c r="QCL1263" s="52"/>
      <c r="QCM1263" s="52"/>
      <c r="QCN1263" s="52"/>
      <c r="QCO1263" s="52"/>
      <c r="QCP1263" s="52"/>
      <c r="QCQ1263" s="52"/>
      <c r="QCR1263" s="52"/>
      <c r="QCS1263" s="52"/>
      <c r="QCT1263" s="52"/>
      <c r="QCU1263" s="52"/>
      <c r="QCV1263" s="52"/>
      <c r="QCW1263" s="52"/>
      <c r="QCX1263" s="52"/>
      <c r="QCY1263" s="52"/>
      <c r="QCZ1263" s="52"/>
      <c r="QDA1263" s="52"/>
      <c r="QDB1263" s="52"/>
      <c r="QDC1263" s="52"/>
      <c r="QDD1263" s="52"/>
      <c r="QDE1263" s="52"/>
      <c r="QDF1263" s="52"/>
      <c r="QDG1263" s="52"/>
      <c r="QDH1263" s="52"/>
      <c r="QDI1263" s="52"/>
      <c r="QDJ1263" s="52"/>
      <c r="QDK1263" s="52"/>
      <c r="QDL1263" s="52"/>
      <c r="QDM1263" s="52"/>
      <c r="QDN1263" s="52"/>
      <c r="QDO1263" s="52"/>
      <c r="QDP1263" s="52"/>
      <c r="QDQ1263" s="52"/>
      <c r="QDR1263" s="52"/>
      <c r="QDS1263" s="52"/>
      <c r="QDT1263" s="52"/>
      <c r="QDU1263" s="52"/>
      <c r="QDV1263" s="52"/>
      <c r="QDW1263" s="52"/>
      <c r="QDX1263" s="52"/>
      <c r="QDY1263" s="52"/>
      <c r="QDZ1263" s="52"/>
      <c r="QEA1263" s="52"/>
      <c r="QEB1263" s="52"/>
      <c r="QEC1263" s="52"/>
      <c r="QED1263" s="52"/>
      <c r="QEE1263" s="52"/>
      <c r="QEF1263" s="52"/>
      <c r="QEG1263" s="52"/>
      <c r="QEH1263" s="52"/>
      <c r="QEI1263" s="52"/>
      <c r="QEJ1263" s="52"/>
      <c r="QEK1263" s="52"/>
      <c r="QEL1263" s="52"/>
      <c r="QEM1263" s="52"/>
      <c r="QEN1263" s="52"/>
      <c r="QEO1263" s="52"/>
      <c r="QEP1263" s="52"/>
      <c r="QEQ1263" s="52"/>
      <c r="QER1263" s="52"/>
      <c r="QES1263" s="52"/>
      <c r="QET1263" s="52"/>
      <c r="QEU1263" s="52"/>
      <c r="QEV1263" s="52"/>
      <c r="QEW1263" s="52"/>
      <c r="QEX1263" s="52"/>
      <c r="QEY1263" s="52"/>
      <c r="QEZ1263" s="52"/>
      <c r="QFA1263" s="52"/>
      <c r="QFB1263" s="52"/>
      <c r="QFC1263" s="52"/>
      <c r="QFD1263" s="52"/>
      <c r="QFE1263" s="52"/>
      <c r="QFF1263" s="52"/>
      <c r="QFG1263" s="52"/>
      <c r="QFH1263" s="52"/>
      <c r="QFI1263" s="52"/>
      <c r="QFJ1263" s="52"/>
      <c r="QFK1263" s="52"/>
      <c r="QFL1263" s="52"/>
      <c r="QFM1263" s="52"/>
      <c r="QFN1263" s="52"/>
      <c r="QFO1263" s="52"/>
      <c r="QFP1263" s="52"/>
      <c r="QFQ1263" s="52"/>
      <c r="QFR1263" s="52"/>
      <c r="QFS1263" s="52"/>
      <c r="QFT1263" s="52"/>
      <c r="QFU1263" s="52"/>
      <c r="QFV1263" s="52"/>
      <c r="QFW1263" s="52"/>
      <c r="QFX1263" s="52"/>
      <c r="QFY1263" s="52"/>
      <c r="QFZ1263" s="52"/>
      <c r="QGA1263" s="52"/>
      <c r="QGB1263" s="52"/>
      <c r="QGC1263" s="52"/>
      <c r="QGD1263" s="52"/>
      <c r="QGE1263" s="52"/>
      <c r="QGF1263" s="52"/>
      <c r="QGG1263" s="52"/>
      <c r="QGH1263" s="52"/>
      <c r="QGI1263" s="52"/>
      <c r="QGJ1263" s="52"/>
      <c r="QGK1263" s="52"/>
      <c r="QGL1263" s="52"/>
      <c r="QGM1263" s="52"/>
      <c r="QGN1263" s="52"/>
      <c r="QGO1263" s="52"/>
      <c r="QGP1263" s="52"/>
      <c r="QGQ1263" s="52"/>
      <c r="QGR1263" s="52"/>
      <c r="QGS1263" s="52"/>
      <c r="QGT1263" s="52"/>
      <c r="QGU1263" s="52"/>
      <c r="QGV1263" s="52"/>
      <c r="QGW1263" s="52"/>
      <c r="QGX1263" s="52"/>
      <c r="QGY1263" s="52"/>
      <c r="QGZ1263" s="52"/>
      <c r="QHA1263" s="52"/>
      <c r="QHB1263" s="52"/>
      <c r="QHC1263" s="52"/>
      <c r="QHD1263" s="52"/>
      <c r="QHE1263" s="52"/>
      <c r="QHF1263" s="52"/>
      <c r="QHG1263" s="52"/>
      <c r="QHH1263" s="52"/>
      <c r="QHI1263" s="52"/>
      <c r="QHJ1263" s="52"/>
      <c r="QHK1263" s="52"/>
      <c r="QHL1263" s="52"/>
      <c r="QHM1263" s="52"/>
      <c r="QHN1263" s="52"/>
      <c r="QHO1263" s="52"/>
      <c r="QHP1263" s="52"/>
      <c r="QHQ1263" s="52"/>
      <c r="QHR1263" s="52"/>
      <c r="QHS1263" s="52"/>
      <c r="QHT1263" s="52"/>
      <c r="QHU1263" s="52"/>
      <c r="QHV1263" s="52"/>
      <c r="QHW1263" s="52"/>
      <c r="QHX1263" s="52"/>
      <c r="QHY1263" s="52"/>
      <c r="QHZ1263" s="52"/>
      <c r="QIA1263" s="52"/>
      <c r="QIB1263" s="52"/>
      <c r="QIC1263" s="52"/>
      <c r="QID1263" s="52"/>
      <c r="QIE1263" s="52"/>
      <c r="QIF1263" s="52"/>
      <c r="QIG1263" s="52"/>
      <c r="QIH1263" s="52"/>
      <c r="QII1263" s="52"/>
      <c r="QIJ1263" s="52"/>
      <c r="QIK1263" s="52"/>
      <c r="QIL1263" s="52"/>
      <c r="QIM1263" s="52"/>
      <c r="QIN1263" s="52"/>
      <c r="QIO1263" s="52"/>
      <c r="QIP1263" s="52"/>
      <c r="QIQ1263" s="52"/>
      <c r="QIR1263" s="52"/>
      <c r="QIS1263" s="52"/>
      <c r="QIT1263" s="52"/>
      <c r="QIU1263" s="52"/>
      <c r="QIV1263" s="52"/>
      <c r="QIW1263" s="52"/>
      <c r="QIX1263" s="52"/>
      <c r="QIY1263" s="52"/>
      <c r="QIZ1263" s="52"/>
      <c r="QJA1263" s="52"/>
      <c r="QJB1263" s="52"/>
      <c r="QJC1263" s="52"/>
      <c r="QJD1263" s="52"/>
      <c r="QJE1263" s="52"/>
      <c r="QJF1263" s="52"/>
      <c r="QJG1263" s="52"/>
      <c r="QJH1263" s="52"/>
      <c r="QJI1263" s="52"/>
      <c r="QJJ1263" s="52"/>
      <c r="QJK1263" s="52"/>
      <c r="QJL1263" s="52"/>
      <c r="QJM1263" s="52"/>
      <c r="QJN1263" s="52"/>
      <c r="QJO1263" s="52"/>
      <c r="QJP1263" s="52"/>
      <c r="QJQ1263" s="52"/>
      <c r="QJR1263" s="52"/>
      <c r="QJS1263" s="52"/>
      <c r="QJT1263" s="52"/>
      <c r="QJU1263" s="52"/>
      <c r="QJV1263" s="52"/>
      <c r="QJW1263" s="52"/>
      <c r="QJX1263" s="52"/>
      <c r="QJY1263" s="52"/>
      <c r="QJZ1263" s="52"/>
      <c r="QKA1263" s="52"/>
      <c r="QKB1263" s="52"/>
      <c r="QKC1263" s="52"/>
      <c r="QKD1263" s="52"/>
      <c r="QKE1263" s="52"/>
      <c r="QKF1263" s="52"/>
      <c r="QKG1263" s="52"/>
      <c r="QKH1263" s="52"/>
      <c r="QKI1263" s="52"/>
      <c r="QKJ1263" s="52"/>
      <c r="QKK1263" s="52"/>
      <c r="QKL1263" s="52"/>
      <c r="QKM1263" s="52"/>
      <c r="QKN1263" s="52"/>
      <c r="QKO1263" s="52"/>
      <c r="QKP1263" s="52"/>
      <c r="QKQ1263" s="52"/>
      <c r="QKR1263" s="52"/>
      <c r="QKS1263" s="52"/>
      <c r="QKT1263" s="52"/>
      <c r="QKU1263" s="52"/>
      <c r="QKV1263" s="52"/>
      <c r="QKW1263" s="52"/>
      <c r="QKX1263" s="52"/>
      <c r="QKY1263" s="52"/>
      <c r="QKZ1263" s="52"/>
      <c r="QLA1263" s="52"/>
      <c r="QLB1263" s="52"/>
      <c r="QLC1263" s="52"/>
      <c r="QLD1263" s="52"/>
      <c r="QLE1263" s="52"/>
      <c r="QLF1263" s="52"/>
      <c r="QLG1263" s="52"/>
      <c r="QLH1263" s="52"/>
      <c r="QLI1263" s="52"/>
      <c r="QLJ1263" s="52"/>
      <c r="QLK1263" s="52"/>
      <c r="QLL1263" s="52"/>
      <c r="QLM1263" s="52"/>
      <c r="QLN1263" s="52"/>
      <c r="QLO1263" s="52"/>
      <c r="QLP1263" s="52"/>
      <c r="QLQ1263" s="52"/>
      <c r="QLR1263" s="52"/>
      <c r="QLS1263" s="52"/>
      <c r="QLT1263" s="52"/>
      <c r="QLU1263" s="52"/>
      <c r="QLV1263" s="52"/>
      <c r="QLW1263" s="52"/>
      <c r="QLX1263" s="52"/>
      <c r="QLY1263" s="52"/>
      <c r="QLZ1263" s="52"/>
      <c r="QMA1263" s="52"/>
      <c r="QMB1263" s="52"/>
      <c r="QMC1263" s="52"/>
      <c r="QMD1263" s="52"/>
      <c r="QME1263" s="52"/>
      <c r="QMF1263" s="52"/>
      <c r="QMG1263" s="52"/>
      <c r="QMH1263" s="52"/>
      <c r="QMI1263" s="52"/>
      <c r="QMJ1263" s="52"/>
      <c r="QMK1263" s="52"/>
      <c r="QML1263" s="52"/>
      <c r="QMM1263" s="52"/>
      <c r="QMN1263" s="52"/>
      <c r="QMO1263" s="52"/>
      <c r="QMP1263" s="52"/>
      <c r="QMQ1263" s="52"/>
      <c r="QMR1263" s="52"/>
      <c r="QMS1263" s="52"/>
      <c r="QMT1263" s="52"/>
      <c r="QMU1263" s="52"/>
      <c r="QMV1263" s="52"/>
      <c r="QMW1263" s="52"/>
      <c r="QMX1263" s="52"/>
      <c r="QMY1263" s="52"/>
      <c r="QMZ1263" s="52"/>
      <c r="QNA1263" s="52"/>
      <c r="QNB1263" s="52"/>
      <c r="QNC1263" s="52"/>
      <c r="QND1263" s="52"/>
      <c r="QNE1263" s="52"/>
      <c r="QNF1263" s="52"/>
      <c r="QNG1263" s="52"/>
      <c r="QNH1263" s="52"/>
      <c r="QNI1263" s="52"/>
      <c r="QNJ1263" s="52"/>
      <c r="QNK1263" s="52"/>
      <c r="QNL1263" s="52"/>
      <c r="QNM1263" s="52"/>
      <c r="QNN1263" s="52"/>
      <c r="QNO1263" s="52"/>
      <c r="QNP1263" s="52"/>
      <c r="QNQ1263" s="52"/>
      <c r="QNR1263" s="52"/>
      <c r="QNS1263" s="52"/>
      <c r="QNT1263" s="52"/>
      <c r="QNU1263" s="52"/>
      <c r="QNV1263" s="52"/>
      <c r="QNW1263" s="52"/>
      <c r="QNX1263" s="52"/>
      <c r="QNY1263" s="52"/>
      <c r="QNZ1263" s="52"/>
      <c r="QOA1263" s="52"/>
      <c r="QOB1263" s="52"/>
      <c r="QOC1263" s="52"/>
      <c r="QOD1263" s="52"/>
      <c r="QOE1263" s="52"/>
      <c r="QOF1263" s="52"/>
      <c r="QOG1263" s="52"/>
      <c r="QOH1263" s="52"/>
      <c r="QOI1263" s="52"/>
      <c r="QOJ1263" s="52"/>
      <c r="QOK1263" s="52"/>
      <c r="QOL1263" s="52"/>
      <c r="QOM1263" s="52"/>
      <c r="QON1263" s="52"/>
      <c r="QOO1263" s="52"/>
      <c r="QOP1263" s="52"/>
      <c r="QOQ1263" s="52"/>
      <c r="QOR1263" s="52"/>
      <c r="QOS1263" s="52"/>
      <c r="QOT1263" s="52"/>
      <c r="QOU1263" s="52"/>
      <c r="QOV1263" s="52"/>
      <c r="QOW1263" s="52"/>
      <c r="QOX1263" s="52"/>
      <c r="QOY1263" s="52"/>
      <c r="QOZ1263" s="52"/>
      <c r="QPA1263" s="52"/>
      <c r="QPB1263" s="52"/>
      <c r="QPC1263" s="52"/>
      <c r="QPD1263" s="52"/>
      <c r="QPE1263" s="52"/>
      <c r="QPF1263" s="52"/>
      <c r="QPG1263" s="52"/>
      <c r="QPH1263" s="52"/>
      <c r="QPI1263" s="52"/>
      <c r="QPJ1263" s="52"/>
      <c r="QPK1263" s="52"/>
      <c r="QPL1263" s="52"/>
      <c r="QPM1263" s="52"/>
      <c r="QPN1263" s="52"/>
      <c r="QPO1263" s="52"/>
      <c r="QPP1263" s="52"/>
      <c r="QPQ1263" s="52"/>
      <c r="QPR1263" s="52"/>
      <c r="QPS1263" s="52"/>
      <c r="QPT1263" s="52"/>
      <c r="QPU1263" s="52"/>
      <c r="QPV1263" s="52"/>
      <c r="QPW1263" s="52"/>
      <c r="QPX1263" s="52"/>
      <c r="QPY1263" s="52"/>
      <c r="QPZ1263" s="52"/>
      <c r="QQA1263" s="52"/>
      <c r="QQB1263" s="52"/>
      <c r="QQC1263" s="52"/>
      <c r="QQD1263" s="52"/>
      <c r="QQE1263" s="52"/>
      <c r="QQF1263" s="52"/>
      <c r="QQG1263" s="52"/>
      <c r="QQH1263" s="52"/>
      <c r="QQI1263" s="52"/>
      <c r="QQJ1263" s="52"/>
      <c r="QQK1263" s="52"/>
      <c r="QQL1263" s="52"/>
      <c r="QQM1263" s="52"/>
      <c r="QQN1263" s="52"/>
      <c r="QQO1263" s="52"/>
      <c r="QQP1263" s="52"/>
      <c r="QQQ1263" s="52"/>
      <c r="QQR1263" s="52"/>
      <c r="QQS1263" s="52"/>
      <c r="QQT1263" s="52"/>
      <c r="QQU1263" s="52"/>
      <c r="QQV1263" s="52"/>
      <c r="QQW1263" s="52"/>
      <c r="QQX1263" s="52"/>
      <c r="QQY1263" s="52"/>
      <c r="QQZ1263" s="52"/>
      <c r="QRA1263" s="52"/>
      <c r="QRB1263" s="52"/>
      <c r="QRC1263" s="52"/>
      <c r="QRD1263" s="52"/>
      <c r="QRE1263" s="52"/>
      <c r="QRF1263" s="52"/>
      <c r="QRG1263" s="52"/>
      <c r="QRH1263" s="52"/>
      <c r="QRI1263" s="52"/>
      <c r="QRJ1263" s="52"/>
      <c r="QRK1263" s="52"/>
      <c r="QRL1263" s="52"/>
      <c r="QRM1263" s="52"/>
      <c r="QRN1263" s="52"/>
      <c r="QRO1263" s="52"/>
      <c r="QRP1263" s="52"/>
      <c r="QRQ1263" s="52"/>
      <c r="QRR1263" s="52"/>
      <c r="QRS1263" s="52"/>
      <c r="QRT1263" s="52"/>
      <c r="QRU1263" s="52"/>
      <c r="QRV1263" s="52"/>
      <c r="QRW1263" s="52"/>
      <c r="QRX1263" s="52"/>
      <c r="QRY1263" s="52"/>
      <c r="QRZ1263" s="52"/>
      <c r="QSA1263" s="52"/>
      <c r="QSB1263" s="52"/>
      <c r="QSC1263" s="52"/>
      <c r="QSD1263" s="52"/>
      <c r="QSE1263" s="52"/>
      <c r="QSF1263" s="52"/>
      <c r="QSG1263" s="52"/>
      <c r="QSH1263" s="52"/>
      <c r="QSI1263" s="52"/>
      <c r="QSJ1263" s="52"/>
      <c r="QSK1263" s="52"/>
      <c r="QSL1263" s="52"/>
      <c r="QSM1263" s="52"/>
      <c r="QSN1263" s="52"/>
      <c r="QSO1263" s="52"/>
      <c r="QSP1263" s="52"/>
      <c r="QSQ1263" s="52"/>
      <c r="QSR1263" s="52"/>
      <c r="QSS1263" s="52"/>
      <c r="QST1263" s="52"/>
      <c r="QSU1263" s="52"/>
      <c r="QSV1263" s="52"/>
      <c r="QSW1263" s="52"/>
      <c r="QSX1263" s="52"/>
      <c r="QSY1263" s="52"/>
      <c r="QSZ1263" s="52"/>
      <c r="QTA1263" s="52"/>
      <c r="QTB1263" s="52"/>
      <c r="QTC1263" s="52"/>
      <c r="QTD1263" s="52"/>
      <c r="QTE1263" s="52"/>
      <c r="QTF1263" s="52"/>
      <c r="QTG1263" s="52"/>
      <c r="QTH1263" s="52"/>
      <c r="QTI1263" s="52"/>
      <c r="QTJ1263" s="52"/>
      <c r="QTK1263" s="52"/>
      <c r="QTL1263" s="52"/>
      <c r="QTM1263" s="52"/>
      <c r="QTN1263" s="52"/>
      <c r="QTO1263" s="52"/>
      <c r="QTP1263" s="52"/>
      <c r="QTQ1263" s="52"/>
      <c r="QTR1263" s="52"/>
      <c r="QTS1263" s="52"/>
      <c r="QTT1263" s="52"/>
      <c r="QTU1263" s="52"/>
      <c r="QTV1263" s="52"/>
      <c r="QTW1263" s="52"/>
      <c r="QTX1263" s="52"/>
      <c r="QTY1263" s="52"/>
      <c r="QTZ1263" s="52"/>
      <c r="QUA1263" s="52"/>
      <c r="QUB1263" s="52"/>
      <c r="QUC1263" s="52"/>
      <c r="QUD1263" s="52"/>
      <c r="QUE1263" s="52"/>
      <c r="QUF1263" s="52"/>
      <c r="QUG1263" s="52"/>
      <c r="QUH1263" s="52"/>
      <c r="QUI1263" s="52"/>
      <c r="QUJ1263" s="52"/>
      <c r="QUK1263" s="52"/>
      <c r="QUL1263" s="52"/>
      <c r="QUM1263" s="52"/>
      <c r="QUN1263" s="52"/>
      <c r="QUO1263" s="52"/>
      <c r="QUP1263" s="52"/>
      <c r="QUQ1263" s="52"/>
      <c r="QUR1263" s="52"/>
      <c r="QUS1263" s="52"/>
      <c r="QUT1263" s="52"/>
      <c r="QUU1263" s="52"/>
      <c r="QUV1263" s="52"/>
      <c r="QUW1263" s="52"/>
      <c r="QUX1263" s="52"/>
      <c r="QUY1263" s="52"/>
      <c r="QUZ1263" s="52"/>
      <c r="QVA1263" s="52"/>
      <c r="QVB1263" s="52"/>
      <c r="QVC1263" s="52"/>
      <c r="QVD1263" s="52"/>
      <c r="QVE1263" s="52"/>
      <c r="QVF1263" s="52"/>
      <c r="QVG1263" s="52"/>
      <c r="QVH1263" s="52"/>
      <c r="QVI1263" s="52"/>
      <c r="QVJ1263" s="52"/>
      <c r="QVK1263" s="52"/>
      <c r="QVL1263" s="52"/>
      <c r="QVM1263" s="52"/>
      <c r="QVN1263" s="52"/>
      <c r="QVO1263" s="52"/>
      <c r="QVP1263" s="52"/>
      <c r="QVQ1263" s="52"/>
      <c r="QVR1263" s="52"/>
      <c r="QVS1263" s="52"/>
      <c r="QVT1263" s="52"/>
      <c r="QVU1263" s="52"/>
      <c r="QVV1263" s="52"/>
      <c r="QVW1263" s="52"/>
      <c r="QVX1263" s="52"/>
      <c r="QVY1263" s="52"/>
      <c r="QVZ1263" s="52"/>
      <c r="QWA1263" s="52"/>
      <c r="QWB1263" s="52"/>
      <c r="QWC1263" s="52"/>
      <c r="QWD1263" s="52"/>
      <c r="QWE1263" s="52"/>
      <c r="QWF1263" s="52"/>
      <c r="QWG1263" s="52"/>
      <c r="QWH1263" s="52"/>
      <c r="QWI1263" s="52"/>
      <c r="QWJ1263" s="52"/>
      <c r="QWK1263" s="52"/>
      <c r="QWL1263" s="52"/>
      <c r="QWM1263" s="52"/>
      <c r="QWN1263" s="52"/>
      <c r="QWO1263" s="52"/>
      <c r="QWP1263" s="52"/>
      <c r="QWQ1263" s="52"/>
      <c r="QWR1263" s="52"/>
      <c r="QWS1263" s="52"/>
      <c r="QWT1263" s="52"/>
      <c r="QWU1263" s="52"/>
      <c r="QWV1263" s="52"/>
      <c r="QWW1263" s="52"/>
      <c r="QWX1263" s="52"/>
      <c r="QWY1263" s="52"/>
      <c r="QWZ1263" s="52"/>
      <c r="QXA1263" s="52"/>
      <c r="QXB1263" s="52"/>
      <c r="QXC1263" s="52"/>
      <c r="QXD1263" s="52"/>
      <c r="QXE1263" s="52"/>
      <c r="QXF1263" s="52"/>
      <c r="QXG1263" s="52"/>
      <c r="QXH1263" s="52"/>
      <c r="QXI1263" s="52"/>
      <c r="QXJ1263" s="52"/>
      <c r="QXK1263" s="52"/>
      <c r="QXL1263" s="52"/>
      <c r="QXM1263" s="52"/>
      <c r="QXN1263" s="52"/>
      <c r="QXO1263" s="52"/>
      <c r="QXP1263" s="52"/>
      <c r="QXQ1263" s="52"/>
      <c r="QXR1263" s="52"/>
      <c r="QXS1263" s="52"/>
      <c r="QXT1263" s="52"/>
      <c r="QXU1263" s="52"/>
      <c r="QXV1263" s="52"/>
      <c r="QXW1263" s="52"/>
      <c r="QXX1263" s="52"/>
      <c r="QXY1263" s="52"/>
      <c r="QXZ1263" s="52"/>
      <c r="QYA1263" s="52"/>
      <c r="QYB1263" s="52"/>
      <c r="QYC1263" s="52"/>
      <c r="QYD1263" s="52"/>
      <c r="QYE1263" s="52"/>
      <c r="QYF1263" s="52"/>
      <c r="QYG1263" s="52"/>
      <c r="QYH1263" s="52"/>
      <c r="QYI1263" s="52"/>
      <c r="QYJ1263" s="52"/>
      <c r="QYK1263" s="52"/>
      <c r="QYL1263" s="52"/>
      <c r="QYM1263" s="52"/>
      <c r="QYN1263" s="52"/>
      <c r="QYO1263" s="52"/>
      <c r="QYP1263" s="52"/>
      <c r="QYQ1263" s="52"/>
      <c r="QYR1263" s="52"/>
      <c r="QYS1263" s="52"/>
      <c r="QYT1263" s="52"/>
      <c r="QYU1263" s="52"/>
      <c r="QYV1263" s="52"/>
      <c r="QYW1263" s="52"/>
      <c r="QYX1263" s="52"/>
      <c r="QYY1263" s="52"/>
      <c r="QYZ1263" s="52"/>
      <c r="QZA1263" s="52"/>
      <c r="QZB1263" s="52"/>
      <c r="QZC1263" s="52"/>
      <c r="QZD1263" s="52"/>
      <c r="QZE1263" s="52"/>
      <c r="QZF1263" s="52"/>
      <c r="QZG1263" s="52"/>
      <c r="QZH1263" s="52"/>
      <c r="QZI1263" s="52"/>
      <c r="QZJ1263" s="52"/>
      <c r="QZK1263" s="52"/>
      <c r="QZL1263" s="52"/>
      <c r="QZM1263" s="52"/>
      <c r="QZN1263" s="52"/>
      <c r="QZO1263" s="52"/>
      <c r="QZP1263" s="52"/>
      <c r="QZQ1263" s="52"/>
      <c r="QZR1263" s="52"/>
      <c r="QZS1263" s="52"/>
      <c r="QZT1263" s="52"/>
      <c r="QZU1263" s="52"/>
      <c r="QZV1263" s="52"/>
      <c r="QZW1263" s="52"/>
      <c r="QZX1263" s="52"/>
      <c r="QZY1263" s="52"/>
      <c r="QZZ1263" s="52"/>
      <c r="RAA1263" s="52"/>
      <c r="RAB1263" s="52"/>
      <c r="RAC1263" s="52"/>
      <c r="RAD1263" s="52"/>
      <c r="RAE1263" s="52"/>
      <c r="RAF1263" s="52"/>
      <c r="RAG1263" s="52"/>
      <c r="RAH1263" s="52"/>
      <c r="RAI1263" s="52"/>
      <c r="RAJ1263" s="52"/>
      <c r="RAK1263" s="52"/>
      <c r="RAL1263" s="52"/>
      <c r="RAM1263" s="52"/>
      <c r="RAN1263" s="52"/>
      <c r="RAO1263" s="52"/>
      <c r="RAP1263" s="52"/>
      <c r="RAQ1263" s="52"/>
      <c r="RAR1263" s="52"/>
      <c r="RAS1263" s="52"/>
      <c r="RAT1263" s="52"/>
      <c r="RAU1263" s="52"/>
      <c r="RAV1263" s="52"/>
      <c r="RAW1263" s="52"/>
      <c r="RAX1263" s="52"/>
      <c r="RAY1263" s="52"/>
      <c r="RAZ1263" s="52"/>
      <c r="RBA1263" s="52"/>
      <c r="RBB1263" s="52"/>
      <c r="RBC1263" s="52"/>
      <c r="RBD1263" s="52"/>
      <c r="RBE1263" s="52"/>
      <c r="RBF1263" s="52"/>
      <c r="RBG1263" s="52"/>
      <c r="RBH1263" s="52"/>
      <c r="RBI1263" s="52"/>
      <c r="RBJ1263" s="52"/>
      <c r="RBK1263" s="52"/>
      <c r="RBL1263" s="52"/>
      <c r="RBM1263" s="52"/>
      <c r="RBN1263" s="52"/>
      <c r="RBO1263" s="52"/>
      <c r="RBP1263" s="52"/>
      <c r="RBQ1263" s="52"/>
      <c r="RBR1263" s="52"/>
      <c r="RBS1263" s="52"/>
      <c r="RBT1263" s="52"/>
      <c r="RBU1263" s="52"/>
      <c r="RBV1263" s="52"/>
      <c r="RBW1263" s="52"/>
      <c r="RBX1263" s="52"/>
      <c r="RBY1263" s="52"/>
      <c r="RBZ1263" s="52"/>
      <c r="RCA1263" s="52"/>
      <c r="RCB1263" s="52"/>
      <c r="RCC1263" s="52"/>
      <c r="RCD1263" s="52"/>
      <c r="RCE1263" s="52"/>
      <c r="RCF1263" s="52"/>
      <c r="RCG1263" s="52"/>
      <c r="RCH1263" s="52"/>
      <c r="RCI1263" s="52"/>
      <c r="RCJ1263" s="52"/>
      <c r="RCK1263" s="52"/>
      <c r="RCL1263" s="52"/>
      <c r="RCM1263" s="52"/>
      <c r="RCN1263" s="52"/>
      <c r="RCO1263" s="52"/>
      <c r="RCP1263" s="52"/>
      <c r="RCQ1263" s="52"/>
      <c r="RCR1263" s="52"/>
      <c r="RCS1263" s="52"/>
      <c r="RCT1263" s="52"/>
      <c r="RCU1263" s="52"/>
      <c r="RCV1263" s="52"/>
      <c r="RCW1263" s="52"/>
      <c r="RCX1263" s="52"/>
      <c r="RCY1263" s="52"/>
      <c r="RCZ1263" s="52"/>
      <c r="RDA1263" s="52"/>
      <c r="RDB1263" s="52"/>
      <c r="RDC1263" s="52"/>
      <c r="RDD1263" s="52"/>
      <c r="RDE1263" s="52"/>
      <c r="RDF1263" s="52"/>
      <c r="RDG1263" s="52"/>
      <c r="RDH1263" s="52"/>
      <c r="RDI1263" s="52"/>
      <c r="RDJ1263" s="52"/>
      <c r="RDK1263" s="52"/>
      <c r="RDL1263" s="52"/>
      <c r="RDM1263" s="52"/>
      <c r="RDN1263" s="52"/>
      <c r="RDO1263" s="52"/>
      <c r="RDP1263" s="52"/>
      <c r="RDQ1263" s="52"/>
      <c r="RDR1263" s="52"/>
      <c r="RDS1263" s="52"/>
      <c r="RDT1263" s="52"/>
      <c r="RDU1263" s="52"/>
      <c r="RDV1263" s="52"/>
      <c r="RDW1263" s="52"/>
      <c r="RDX1263" s="52"/>
      <c r="RDY1263" s="52"/>
      <c r="RDZ1263" s="52"/>
      <c r="REA1263" s="52"/>
      <c r="REB1263" s="52"/>
      <c r="REC1263" s="52"/>
      <c r="RED1263" s="52"/>
      <c r="REE1263" s="52"/>
      <c r="REF1263" s="52"/>
      <c r="REG1263" s="52"/>
      <c r="REH1263" s="52"/>
      <c r="REI1263" s="52"/>
      <c r="REJ1263" s="52"/>
      <c r="REK1263" s="52"/>
      <c r="REL1263" s="52"/>
      <c r="REM1263" s="52"/>
      <c r="REN1263" s="52"/>
      <c r="REO1263" s="52"/>
      <c r="REP1263" s="52"/>
      <c r="REQ1263" s="52"/>
      <c r="RER1263" s="52"/>
      <c r="RES1263" s="52"/>
      <c r="RET1263" s="52"/>
      <c r="REU1263" s="52"/>
      <c r="REV1263" s="52"/>
      <c r="REW1263" s="52"/>
      <c r="REX1263" s="52"/>
      <c r="REY1263" s="52"/>
      <c r="REZ1263" s="52"/>
      <c r="RFA1263" s="52"/>
      <c r="RFB1263" s="52"/>
      <c r="RFC1263" s="52"/>
      <c r="RFD1263" s="52"/>
      <c r="RFE1263" s="52"/>
      <c r="RFF1263" s="52"/>
      <c r="RFG1263" s="52"/>
      <c r="RFH1263" s="52"/>
      <c r="RFI1263" s="52"/>
      <c r="RFJ1263" s="52"/>
      <c r="RFK1263" s="52"/>
      <c r="RFL1263" s="52"/>
      <c r="RFM1263" s="52"/>
      <c r="RFN1263" s="52"/>
      <c r="RFO1263" s="52"/>
      <c r="RFP1263" s="52"/>
      <c r="RFQ1263" s="52"/>
      <c r="RFR1263" s="52"/>
      <c r="RFS1263" s="52"/>
      <c r="RFT1263" s="52"/>
      <c r="RFU1263" s="52"/>
      <c r="RFV1263" s="52"/>
      <c r="RFW1263" s="52"/>
      <c r="RFX1263" s="52"/>
      <c r="RFY1263" s="52"/>
      <c r="RFZ1263" s="52"/>
      <c r="RGA1263" s="52"/>
      <c r="RGB1263" s="52"/>
      <c r="RGC1263" s="52"/>
      <c r="RGD1263" s="52"/>
      <c r="RGE1263" s="52"/>
      <c r="RGF1263" s="52"/>
      <c r="RGG1263" s="52"/>
      <c r="RGH1263" s="52"/>
      <c r="RGI1263" s="52"/>
      <c r="RGJ1263" s="52"/>
      <c r="RGK1263" s="52"/>
      <c r="RGL1263" s="52"/>
      <c r="RGM1263" s="52"/>
      <c r="RGN1263" s="52"/>
      <c r="RGO1263" s="52"/>
      <c r="RGP1263" s="52"/>
      <c r="RGQ1263" s="52"/>
      <c r="RGR1263" s="52"/>
      <c r="RGS1263" s="52"/>
      <c r="RGT1263" s="52"/>
      <c r="RGU1263" s="52"/>
      <c r="RGV1263" s="52"/>
      <c r="RGW1263" s="52"/>
      <c r="RGX1263" s="52"/>
      <c r="RGY1263" s="52"/>
      <c r="RGZ1263" s="52"/>
      <c r="RHA1263" s="52"/>
      <c r="RHB1263" s="52"/>
      <c r="RHC1263" s="52"/>
      <c r="RHD1263" s="52"/>
      <c r="RHE1263" s="52"/>
      <c r="RHF1263" s="52"/>
      <c r="RHG1263" s="52"/>
      <c r="RHH1263" s="52"/>
      <c r="RHI1263" s="52"/>
      <c r="RHJ1263" s="52"/>
      <c r="RHK1263" s="52"/>
      <c r="RHL1263" s="52"/>
      <c r="RHM1263" s="52"/>
      <c r="RHN1263" s="52"/>
      <c r="RHO1263" s="52"/>
      <c r="RHP1263" s="52"/>
      <c r="RHQ1263" s="52"/>
      <c r="RHR1263" s="52"/>
      <c r="RHS1263" s="52"/>
      <c r="RHT1263" s="52"/>
      <c r="RHU1263" s="52"/>
      <c r="RHV1263" s="52"/>
      <c r="RHW1263" s="52"/>
      <c r="RHX1263" s="52"/>
      <c r="RHY1263" s="52"/>
      <c r="RHZ1263" s="52"/>
      <c r="RIA1263" s="52"/>
      <c r="RIB1263" s="52"/>
      <c r="RIC1263" s="52"/>
      <c r="RID1263" s="52"/>
      <c r="RIE1263" s="52"/>
      <c r="RIF1263" s="52"/>
      <c r="RIG1263" s="52"/>
      <c r="RIH1263" s="52"/>
      <c r="RII1263" s="52"/>
      <c r="RIJ1263" s="52"/>
      <c r="RIK1263" s="52"/>
      <c r="RIL1263" s="52"/>
      <c r="RIM1263" s="52"/>
      <c r="RIN1263" s="52"/>
      <c r="RIO1263" s="52"/>
      <c r="RIP1263" s="52"/>
      <c r="RIQ1263" s="52"/>
      <c r="RIR1263" s="52"/>
      <c r="RIS1263" s="52"/>
      <c r="RIT1263" s="52"/>
      <c r="RIU1263" s="52"/>
      <c r="RIV1263" s="52"/>
      <c r="RIW1263" s="52"/>
      <c r="RIX1263" s="52"/>
      <c r="RIY1263" s="52"/>
      <c r="RIZ1263" s="52"/>
      <c r="RJA1263" s="52"/>
      <c r="RJB1263" s="52"/>
      <c r="RJC1263" s="52"/>
      <c r="RJD1263" s="52"/>
      <c r="RJE1263" s="52"/>
      <c r="RJF1263" s="52"/>
      <c r="RJG1263" s="52"/>
      <c r="RJH1263" s="52"/>
      <c r="RJI1263" s="52"/>
      <c r="RJJ1263" s="52"/>
      <c r="RJK1263" s="52"/>
      <c r="RJL1263" s="52"/>
      <c r="RJM1263" s="52"/>
      <c r="RJN1263" s="52"/>
      <c r="RJO1263" s="52"/>
      <c r="RJP1263" s="52"/>
      <c r="RJQ1263" s="52"/>
      <c r="RJR1263" s="52"/>
      <c r="RJS1263" s="52"/>
      <c r="RJT1263" s="52"/>
      <c r="RJU1263" s="52"/>
      <c r="RJV1263" s="52"/>
      <c r="RJW1263" s="52"/>
      <c r="RJX1263" s="52"/>
      <c r="RJY1263" s="52"/>
      <c r="RJZ1263" s="52"/>
      <c r="RKA1263" s="52"/>
      <c r="RKB1263" s="52"/>
      <c r="RKC1263" s="52"/>
      <c r="RKD1263" s="52"/>
      <c r="RKE1263" s="52"/>
      <c r="RKF1263" s="52"/>
      <c r="RKG1263" s="52"/>
      <c r="RKH1263" s="52"/>
      <c r="RKI1263" s="52"/>
      <c r="RKJ1263" s="52"/>
      <c r="RKK1263" s="52"/>
      <c r="RKL1263" s="52"/>
      <c r="RKM1263" s="52"/>
      <c r="RKN1263" s="52"/>
      <c r="RKO1263" s="52"/>
      <c r="RKP1263" s="52"/>
      <c r="RKQ1263" s="52"/>
      <c r="RKR1263" s="52"/>
      <c r="RKS1263" s="52"/>
      <c r="RKT1263" s="52"/>
      <c r="RKU1263" s="52"/>
      <c r="RKV1263" s="52"/>
      <c r="RKW1263" s="52"/>
      <c r="RKX1263" s="52"/>
      <c r="RKY1263" s="52"/>
      <c r="RKZ1263" s="52"/>
      <c r="RLA1263" s="52"/>
      <c r="RLB1263" s="52"/>
      <c r="RLC1263" s="52"/>
      <c r="RLD1263" s="52"/>
      <c r="RLE1263" s="52"/>
      <c r="RLF1263" s="52"/>
      <c r="RLG1263" s="52"/>
      <c r="RLH1263" s="52"/>
      <c r="RLI1263" s="52"/>
      <c r="RLJ1263" s="52"/>
      <c r="RLK1263" s="52"/>
      <c r="RLL1263" s="52"/>
      <c r="RLM1263" s="52"/>
      <c r="RLN1263" s="52"/>
      <c r="RLO1263" s="52"/>
      <c r="RLP1263" s="52"/>
      <c r="RLQ1263" s="52"/>
      <c r="RLR1263" s="52"/>
      <c r="RLS1263" s="52"/>
      <c r="RLT1263" s="52"/>
      <c r="RLU1263" s="52"/>
      <c r="RLV1263" s="52"/>
      <c r="RLW1263" s="52"/>
      <c r="RLX1263" s="52"/>
      <c r="RLY1263" s="52"/>
      <c r="RLZ1263" s="52"/>
      <c r="RMA1263" s="52"/>
      <c r="RMB1263" s="52"/>
      <c r="RMC1263" s="52"/>
      <c r="RMD1263" s="52"/>
      <c r="RME1263" s="52"/>
      <c r="RMF1263" s="52"/>
      <c r="RMG1263" s="52"/>
      <c r="RMH1263" s="52"/>
      <c r="RMI1263" s="52"/>
      <c r="RMJ1263" s="52"/>
      <c r="RMK1263" s="52"/>
      <c r="RML1263" s="52"/>
      <c r="RMM1263" s="52"/>
      <c r="RMN1263" s="52"/>
      <c r="RMO1263" s="52"/>
      <c r="RMP1263" s="52"/>
      <c r="RMQ1263" s="52"/>
      <c r="RMR1263" s="52"/>
      <c r="RMS1263" s="52"/>
      <c r="RMT1263" s="52"/>
      <c r="RMU1263" s="52"/>
      <c r="RMV1263" s="52"/>
      <c r="RMW1263" s="52"/>
      <c r="RMX1263" s="52"/>
      <c r="RMY1263" s="52"/>
      <c r="RMZ1263" s="52"/>
      <c r="RNA1263" s="52"/>
      <c r="RNB1263" s="52"/>
      <c r="RNC1263" s="52"/>
      <c r="RND1263" s="52"/>
      <c r="RNE1263" s="52"/>
      <c r="RNF1263" s="52"/>
      <c r="RNG1263" s="52"/>
      <c r="RNH1263" s="52"/>
      <c r="RNI1263" s="52"/>
      <c r="RNJ1263" s="52"/>
      <c r="RNK1263" s="52"/>
      <c r="RNL1263" s="52"/>
      <c r="RNM1263" s="52"/>
      <c r="RNN1263" s="52"/>
      <c r="RNO1263" s="52"/>
      <c r="RNP1263" s="52"/>
      <c r="RNQ1263" s="52"/>
      <c r="RNR1263" s="52"/>
      <c r="RNS1263" s="52"/>
      <c r="RNT1263" s="52"/>
      <c r="RNU1263" s="52"/>
      <c r="RNV1263" s="52"/>
      <c r="RNW1263" s="52"/>
      <c r="RNX1263" s="52"/>
      <c r="RNY1263" s="52"/>
      <c r="RNZ1263" s="52"/>
      <c r="ROA1263" s="52"/>
      <c r="ROB1263" s="52"/>
      <c r="ROC1263" s="52"/>
      <c r="ROD1263" s="52"/>
      <c r="ROE1263" s="52"/>
      <c r="ROF1263" s="52"/>
      <c r="ROG1263" s="52"/>
      <c r="ROH1263" s="52"/>
      <c r="ROI1263" s="52"/>
      <c r="ROJ1263" s="52"/>
      <c r="ROK1263" s="52"/>
      <c r="ROL1263" s="52"/>
      <c r="ROM1263" s="52"/>
      <c r="RON1263" s="52"/>
      <c r="ROO1263" s="52"/>
      <c r="ROP1263" s="52"/>
      <c r="ROQ1263" s="52"/>
      <c r="ROR1263" s="52"/>
      <c r="ROS1263" s="52"/>
      <c r="ROT1263" s="52"/>
      <c r="ROU1263" s="52"/>
      <c r="ROV1263" s="52"/>
      <c r="ROW1263" s="52"/>
      <c r="ROX1263" s="52"/>
      <c r="ROY1263" s="52"/>
      <c r="ROZ1263" s="52"/>
      <c r="RPA1263" s="52"/>
      <c r="RPB1263" s="52"/>
      <c r="RPC1263" s="52"/>
      <c r="RPD1263" s="52"/>
      <c r="RPE1263" s="52"/>
      <c r="RPF1263" s="52"/>
      <c r="RPG1263" s="52"/>
      <c r="RPH1263" s="52"/>
      <c r="RPI1263" s="52"/>
      <c r="RPJ1263" s="52"/>
      <c r="RPK1263" s="52"/>
      <c r="RPL1263" s="52"/>
      <c r="RPM1263" s="52"/>
      <c r="RPN1263" s="52"/>
      <c r="RPO1263" s="52"/>
      <c r="RPP1263" s="52"/>
      <c r="RPQ1263" s="52"/>
      <c r="RPR1263" s="52"/>
      <c r="RPS1263" s="52"/>
      <c r="RPT1263" s="52"/>
      <c r="RPU1263" s="52"/>
      <c r="RPV1263" s="52"/>
      <c r="RPW1263" s="52"/>
      <c r="RPX1263" s="52"/>
      <c r="RPY1263" s="52"/>
      <c r="RPZ1263" s="52"/>
      <c r="RQA1263" s="52"/>
      <c r="RQB1263" s="52"/>
      <c r="RQC1263" s="52"/>
      <c r="RQD1263" s="52"/>
      <c r="RQE1263" s="52"/>
      <c r="RQF1263" s="52"/>
      <c r="RQG1263" s="52"/>
      <c r="RQH1263" s="52"/>
      <c r="RQI1263" s="52"/>
      <c r="RQJ1263" s="52"/>
      <c r="RQK1263" s="52"/>
      <c r="RQL1263" s="52"/>
      <c r="RQM1263" s="52"/>
      <c r="RQN1263" s="52"/>
      <c r="RQO1263" s="52"/>
      <c r="RQP1263" s="52"/>
      <c r="RQQ1263" s="52"/>
      <c r="RQR1263" s="52"/>
      <c r="RQS1263" s="52"/>
      <c r="RQT1263" s="52"/>
      <c r="RQU1263" s="52"/>
      <c r="RQV1263" s="52"/>
      <c r="RQW1263" s="52"/>
      <c r="RQX1263" s="52"/>
      <c r="RQY1263" s="52"/>
      <c r="RQZ1263" s="52"/>
      <c r="RRA1263" s="52"/>
      <c r="RRB1263" s="52"/>
      <c r="RRC1263" s="52"/>
      <c r="RRD1263" s="52"/>
      <c r="RRE1263" s="52"/>
      <c r="RRF1263" s="52"/>
      <c r="RRG1263" s="52"/>
      <c r="RRH1263" s="52"/>
      <c r="RRI1263" s="52"/>
      <c r="RRJ1263" s="52"/>
      <c r="RRK1263" s="52"/>
      <c r="RRL1263" s="52"/>
      <c r="RRM1263" s="52"/>
      <c r="RRN1263" s="52"/>
      <c r="RRO1263" s="52"/>
      <c r="RRP1263" s="52"/>
      <c r="RRQ1263" s="52"/>
      <c r="RRR1263" s="52"/>
      <c r="RRS1263" s="52"/>
      <c r="RRT1263" s="52"/>
      <c r="RRU1263" s="52"/>
      <c r="RRV1263" s="52"/>
      <c r="RRW1263" s="52"/>
      <c r="RRX1263" s="52"/>
      <c r="RRY1263" s="52"/>
      <c r="RRZ1263" s="52"/>
      <c r="RSA1263" s="52"/>
      <c r="RSB1263" s="52"/>
      <c r="RSC1263" s="52"/>
      <c r="RSD1263" s="52"/>
      <c r="RSE1263" s="52"/>
      <c r="RSF1263" s="52"/>
      <c r="RSG1263" s="52"/>
      <c r="RSH1263" s="52"/>
      <c r="RSI1263" s="52"/>
      <c r="RSJ1263" s="52"/>
      <c r="RSK1263" s="52"/>
      <c r="RSL1263" s="52"/>
      <c r="RSM1263" s="52"/>
      <c r="RSN1263" s="52"/>
      <c r="RSO1263" s="52"/>
      <c r="RSP1263" s="52"/>
      <c r="RSQ1263" s="52"/>
      <c r="RSR1263" s="52"/>
      <c r="RSS1263" s="52"/>
      <c r="RST1263" s="52"/>
      <c r="RSU1263" s="52"/>
      <c r="RSV1263" s="52"/>
      <c r="RSW1263" s="52"/>
      <c r="RSX1263" s="52"/>
      <c r="RSY1263" s="52"/>
      <c r="RSZ1263" s="52"/>
      <c r="RTA1263" s="52"/>
      <c r="RTB1263" s="52"/>
      <c r="RTC1263" s="52"/>
      <c r="RTD1263" s="52"/>
      <c r="RTE1263" s="52"/>
      <c r="RTF1263" s="52"/>
      <c r="RTG1263" s="52"/>
      <c r="RTH1263" s="52"/>
      <c r="RTI1263" s="52"/>
      <c r="RTJ1263" s="52"/>
      <c r="RTK1263" s="52"/>
      <c r="RTL1263" s="52"/>
      <c r="RTM1263" s="52"/>
      <c r="RTN1263" s="52"/>
      <c r="RTO1263" s="52"/>
      <c r="RTP1263" s="52"/>
      <c r="RTQ1263" s="52"/>
      <c r="RTR1263" s="52"/>
      <c r="RTS1263" s="52"/>
      <c r="RTT1263" s="52"/>
      <c r="RTU1263" s="52"/>
      <c r="RTV1263" s="52"/>
      <c r="RTW1263" s="52"/>
      <c r="RTX1263" s="52"/>
      <c r="RTY1263" s="52"/>
      <c r="RTZ1263" s="52"/>
      <c r="RUA1263" s="52"/>
      <c r="RUB1263" s="52"/>
      <c r="RUC1263" s="52"/>
      <c r="RUD1263" s="52"/>
      <c r="RUE1263" s="52"/>
      <c r="RUF1263" s="52"/>
      <c r="RUG1263" s="52"/>
      <c r="RUH1263" s="52"/>
      <c r="RUI1263" s="52"/>
      <c r="RUJ1263" s="52"/>
      <c r="RUK1263" s="52"/>
      <c r="RUL1263" s="52"/>
      <c r="RUM1263" s="52"/>
      <c r="RUN1263" s="52"/>
      <c r="RUO1263" s="52"/>
      <c r="RUP1263" s="52"/>
      <c r="RUQ1263" s="52"/>
      <c r="RUR1263" s="52"/>
      <c r="RUS1263" s="52"/>
      <c r="RUT1263" s="52"/>
      <c r="RUU1263" s="52"/>
      <c r="RUV1263" s="52"/>
      <c r="RUW1263" s="52"/>
      <c r="RUX1263" s="52"/>
      <c r="RUY1263" s="52"/>
      <c r="RUZ1263" s="52"/>
      <c r="RVA1263" s="52"/>
      <c r="RVB1263" s="52"/>
      <c r="RVC1263" s="52"/>
      <c r="RVD1263" s="52"/>
      <c r="RVE1263" s="52"/>
      <c r="RVF1263" s="52"/>
      <c r="RVG1263" s="52"/>
      <c r="RVH1263" s="52"/>
      <c r="RVI1263" s="52"/>
      <c r="RVJ1263" s="52"/>
      <c r="RVK1263" s="52"/>
      <c r="RVL1263" s="52"/>
      <c r="RVM1263" s="52"/>
      <c r="RVN1263" s="52"/>
      <c r="RVO1263" s="52"/>
      <c r="RVP1263" s="52"/>
      <c r="RVQ1263" s="52"/>
      <c r="RVR1263" s="52"/>
      <c r="RVS1263" s="52"/>
      <c r="RVT1263" s="52"/>
      <c r="RVU1263" s="52"/>
      <c r="RVV1263" s="52"/>
      <c r="RVW1263" s="52"/>
      <c r="RVX1263" s="52"/>
      <c r="RVY1263" s="52"/>
      <c r="RVZ1263" s="52"/>
      <c r="RWA1263" s="52"/>
      <c r="RWB1263" s="52"/>
      <c r="RWC1263" s="52"/>
      <c r="RWD1263" s="52"/>
      <c r="RWE1263" s="52"/>
      <c r="RWF1263" s="52"/>
      <c r="RWG1263" s="52"/>
      <c r="RWH1263" s="52"/>
      <c r="RWI1263" s="52"/>
      <c r="RWJ1263" s="52"/>
      <c r="RWK1263" s="52"/>
      <c r="RWL1263" s="52"/>
      <c r="RWM1263" s="52"/>
      <c r="RWN1263" s="52"/>
      <c r="RWO1263" s="52"/>
      <c r="RWP1263" s="52"/>
      <c r="RWQ1263" s="52"/>
      <c r="RWR1263" s="52"/>
      <c r="RWS1263" s="52"/>
      <c r="RWT1263" s="52"/>
      <c r="RWU1263" s="52"/>
      <c r="RWV1263" s="52"/>
      <c r="RWW1263" s="52"/>
      <c r="RWX1263" s="52"/>
      <c r="RWY1263" s="52"/>
      <c r="RWZ1263" s="52"/>
      <c r="RXA1263" s="52"/>
      <c r="RXB1263" s="52"/>
      <c r="RXC1263" s="52"/>
      <c r="RXD1263" s="52"/>
      <c r="RXE1263" s="52"/>
      <c r="RXF1263" s="52"/>
      <c r="RXG1263" s="52"/>
      <c r="RXH1263" s="52"/>
      <c r="RXI1263" s="52"/>
      <c r="RXJ1263" s="52"/>
      <c r="RXK1263" s="52"/>
      <c r="RXL1263" s="52"/>
      <c r="RXM1263" s="52"/>
      <c r="RXN1263" s="52"/>
      <c r="RXO1263" s="52"/>
      <c r="RXP1263" s="52"/>
      <c r="RXQ1263" s="52"/>
      <c r="RXR1263" s="52"/>
      <c r="RXS1263" s="52"/>
      <c r="RXT1263" s="52"/>
      <c r="RXU1263" s="52"/>
      <c r="RXV1263" s="52"/>
      <c r="RXW1263" s="52"/>
      <c r="RXX1263" s="52"/>
      <c r="RXY1263" s="52"/>
      <c r="RXZ1263" s="52"/>
      <c r="RYA1263" s="52"/>
      <c r="RYB1263" s="52"/>
      <c r="RYC1263" s="52"/>
      <c r="RYD1263" s="52"/>
      <c r="RYE1263" s="52"/>
      <c r="RYF1263" s="52"/>
      <c r="RYG1263" s="52"/>
      <c r="RYH1263" s="52"/>
      <c r="RYI1263" s="52"/>
      <c r="RYJ1263" s="52"/>
      <c r="RYK1263" s="52"/>
      <c r="RYL1263" s="52"/>
      <c r="RYM1263" s="52"/>
      <c r="RYN1263" s="52"/>
      <c r="RYO1263" s="52"/>
      <c r="RYP1263" s="52"/>
      <c r="RYQ1263" s="52"/>
      <c r="RYR1263" s="52"/>
      <c r="RYS1263" s="52"/>
      <c r="RYT1263" s="52"/>
      <c r="RYU1263" s="52"/>
      <c r="RYV1263" s="52"/>
      <c r="RYW1263" s="52"/>
      <c r="RYX1263" s="52"/>
      <c r="RYY1263" s="52"/>
      <c r="RYZ1263" s="52"/>
      <c r="RZA1263" s="52"/>
      <c r="RZB1263" s="52"/>
      <c r="RZC1263" s="52"/>
      <c r="RZD1263" s="52"/>
      <c r="RZE1263" s="52"/>
      <c r="RZF1263" s="52"/>
      <c r="RZG1263" s="52"/>
      <c r="RZH1263" s="52"/>
      <c r="RZI1263" s="52"/>
      <c r="RZJ1263" s="52"/>
      <c r="RZK1263" s="52"/>
      <c r="RZL1263" s="52"/>
      <c r="RZM1263" s="52"/>
      <c r="RZN1263" s="52"/>
      <c r="RZO1263" s="52"/>
      <c r="RZP1263" s="52"/>
      <c r="RZQ1263" s="52"/>
      <c r="RZR1263" s="52"/>
      <c r="RZS1263" s="52"/>
      <c r="RZT1263" s="52"/>
      <c r="RZU1263" s="52"/>
      <c r="RZV1263" s="52"/>
      <c r="RZW1263" s="52"/>
      <c r="RZX1263" s="52"/>
      <c r="RZY1263" s="52"/>
      <c r="RZZ1263" s="52"/>
      <c r="SAA1263" s="52"/>
      <c r="SAB1263" s="52"/>
      <c r="SAC1263" s="52"/>
      <c r="SAD1263" s="52"/>
      <c r="SAE1263" s="52"/>
      <c r="SAF1263" s="52"/>
      <c r="SAG1263" s="52"/>
      <c r="SAH1263" s="52"/>
      <c r="SAI1263" s="52"/>
      <c r="SAJ1263" s="52"/>
      <c r="SAK1263" s="52"/>
      <c r="SAL1263" s="52"/>
      <c r="SAM1263" s="52"/>
      <c r="SAN1263" s="52"/>
      <c r="SAO1263" s="52"/>
      <c r="SAP1263" s="52"/>
      <c r="SAQ1263" s="52"/>
      <c r="SAR1263" s="52"/>
      <c r="SAS1263" s="52"/>
      <c r="SAT1263" s="52"/>
      <c r="SAU1263" s="52"/>
      <c r="SAV1263" s="52"/>
      <c r="SAW1263" s="52"/>
      <c r="SAX1263" s="52"/>
      <c r="SAY1263" s="52"/>
      <c r="SAZ1263" s="52"/>
      <c r="SBA1263" s="52"/>
      <c r="SBB1263" s="52"/>
      <c r="SBC1263" s="52"/>
      <c r="SBD1263" s="52"/>
      <c r="SBE1263" s="52"/>
      <c r="SBF1263" s="52"/>
      <c r="SBG1263" s="52"/>
      <c r="SBH1263" s="52"/>
      <c r="SBI1263" s="52"/>
      <c r="SBJ1263" s="52"/>
      <c r="SBK1263" s="52"/>
      <c r="SBL1263" s="52"/>
      <c r="SBM1263" s="52"/>
      <c r="SBN1263" s="52"/>
      <c r="SBO1263" s="52"/>
      <c r="SBP1263" s="52"/>
      <c r="SBQ1263" s="52"/>
      <c r="SBR1263" s="52"/>
      <c r="SBS1263" s="52"/>
      <c r="SBT1263" s="52"/>
      <c r="SBU1263" s="52"/>
      <c r="SBV1263" s="52"/>
      <c r="SBW1263" s="52"/>
      <c r="SBX1263" s="52"/>
      <c r="SBY1263" s="52"/>
      <c r="SBZ1263" s="52"/>
      <c r="SCA1263" s="52"/>
      <c r="SCB1263" s="52"/>
      <c r="SCC1263" s="52"/>
      <c r="SCD1263" s="52"/>
      <c r="SCE1263" s="52"/>
      <c r="SCF1263" s="52"/>
      <c r="SCG1263" s="52"/>
      <c r="SCH1263" s="52"/>
      <c r="SCI1263" s="52"/>
      <c r="SCJ1263" s="52"/>
      <c r="SCK1263" s="52"/>
      <c r="SCL1263" s="52"/>
      <c r="SCM1263" s="52"/>
      <c r="SCN1263" s="52"/>
      <c r="SCO1263" s="52"/>
      <c r="SCP1263" s="52"/>
      <c r="SCQ1263" s="52"/>
      <c r="SCR1263" s="52"/>
      <c r="SCS1263" s="52"/>
      <c r="SCT1263" s="52"/>
      <c r="SCU1263" s="52"/>
      <c r="SCV1263" s="52"/>
      <c r="SCW1263" s="52"/>
      <c r="SCX1263" s="52"/>
      <c r="SCY1263" s="52"/>
      <c r="SCZ1263" s="52"/>
      <c r="SDA1263" s="52"/>
      <c r="SDB1263" s="52"/>
      <c r="SDC1263" s="52"/>
      <c r="SDD1263" s="52"/>
      <c r="SDE1263" s="52"/>
      <c r="SDF1263" s="52"/>
      <c r="SDG1263" s="52"/>
      <c r="SDH1263" s="52"/>
      <c r="SDI1263" s="52"/>
      <c r="SDJ1263" s="52"/>
      <c r="SDK1263" s="52"/>
      <c r="SDL1263" s="52"/>
      <c r="SDM1263" s="52"/>
      <c r="SDN1263" s="52"/>
      <c r="SDO1263" s="52"/>
      <c r="SDP1263" s="52"/>
      <c r="SDQ1263" s="52"/>
      <c r="SDR1263" s="52"/>
      <c r="SDS1263" s="52"/>
      <c r="SDT1263" s="52"/>
      <c r="SDU1263" s="52"/>
      <c r="SDV1263" s="52"/>
      <c r="SDW1263" s="52"/>
      <c r="SDX1263" s="52"/>
      <c r="SDY1263" s="52"/>
      <c r="SDZ1263" s="52"/>
      <c r="SEA1263" s="52"/>
      <c r="SEB1263" s="52"/>
      <c r="SEC1263" s="52"/>
      <c r="SED1263" s="52"/>
      <c r="SEE1263" s="52"/>
      <c r="SEF1263" s="52"/>
      <c r="SEG1263" s="52"/>
      <c r="SEH1263" s="52"/>
      <c r="SEI1263" s="52"/>
      <c r="SEJ1263" s="52"/>
      <c r="SEK1263" s="52"/>
      <c r="SEL1263" s="52"/>
      <c r="SEM1263" s="52"/>
      <c r="SEN1263" s="52"/>
      <c r="SEO1263" s="52"/>
      <c r="SEP1263" s="52"/>
      <c r="SEQ1263" s="52"/>
      <c r="SER1263" s="52"/>
      <c r="SES1263" s="52"/>
      <c r="SET1263" s="52"/>
      <c r="SEU1263" s="52"/>
      <c r="SEV1263" s="52"/>
      <c r="SEW1263" s="52"/>
      <c r="SEX1263" s="52"/>
      <c r="SEY1263" s="52"/>
      <c r="SEZ1263" s="52"/>
      <c r="SFA1263" s="52"/>
      <c r="SFB1263" s="52"/>
      <c r="SFC1263" s="52"/>
      <c r="SFD1263" s="52"/>
      <c r="SFE1263" s="52"/>
      <c r="SFF1263" s="52"/>
      <c r="SFG1263" s="52"/>
      <c r="SFH1263" s="52"/>
      <c r="SFI1263" s="52"/>
      <c r="SFJ1263" s="52"/>
      <c r="SFK1263" s="52"/>
      <c r="SFL1263" s="52"/>
      <c r="SFM1263" s="52"/>
      <c r="SFN1263" s="52"/>
      <c r="SFO1263" s="52"/>
      <c r="SFP1263" s="52"/>
      <c r="SFQ1263" s="52"/>
      <c r="SFR1263" s="52"/>
      <c r="SFS1263" s="52"/>
      <c r="SFT1263" s="52"/>
      <c r="SFU1263" s="52"/>
      <c r="SFV1263" s="52"/>
      <c r="SFW1263" s="52"/>
      <c r="SFX1263" s="52"/>
      <c r="SFY1263" s="52"/>
      <c r="SFZ1263" s="52"/>
      <c r="SGA1263" s="52"/>
      <c r="SGB1263" s="52"/>
      <c r="SGC1263" s="52"/>
      <c r="SGD1263" s="52"/>
      <c r="SGE1263" s="52"/>
      <c r="SGF1263" s="52"/>
      <c r="SGG1263" s="52"/>
      <c r="SGH1263" s="52"/>
      <c r="SGI1263" s="52"/>
      <c r="SGJ1263" s="52"/>
      <c r="SGK1263" s="52"/>
      <c r="SGL1263" s="52"/>
      <c r="SGM1263" s="52"/>
      <c r="SGN1263" s="52"/>
      <c r="SGO1263" s="52"/>
      <c r="SGP1263" s="52"/>
      <c r="SGQ1263" s="52"/>
      <c r="SGR1263" s="52"/>
      <c r="SGS1263" s="52"/>
      <c r="SGT1263" s="52"/>
      <c r="SGU1263" s="52"/>
      <c r="SGV1263" s="52"/>
      <c r="SGW1263" s="52"/>
      <c r="SGX1263" s="52"/>
      <c r="SGY1263" s="52"/>
      <c r="SGZ1263" s="52"/>
      <c r="SHA1263" s="52"/>
      <c r="SHB1263" s="52"/>
      <c r="SHC1263" s="52"/>
      <c r="SHD1263" s="52"/>
      <c r="SHE1263" s="52"/>
      <c r="SHF1263" s="52"/>
      <c r="SHG1263" s="52"/>
      <c r="SHH1263" s="52"/>
      <c r="SHI1263" s="52"/>
      <c r="SHJ1263" s="52"/>
      <c r="SHK1263" s="52"/>
      <c r="SHL1263" s="52"/>
      <c r="SHM1263" s="52"/>
      <c r="SHN1263" s="52"/>
      <c r="SHO1263" s="52"/>
      <c r="SHP1263" s="52"/>
      <c r="SHQ1263" s="52"/>
      <c r="SHR1263" s="52"/>
      <c r="SHS1263" s="52"/>
      <c r="SHT1263" s="52"/>
      <c r="SHU1263" s="52"/>
      <c r="SHV1263" s="52"/>
      <c r="SHW1263" s="52"/>
      <c r="SHX1263" s="52"/>
      <c r="SHY1263" s="52"/>
      <c r="SHZ1263" s="52"/>
      <c r="SIA1263" s="52"/>
      <c r="SIB1263" s="52"/>
      <c r="SIC1263" s="52"/>
      <c r="SID1263" s="52"/>
      <c r="SIE1263" s="52"/>
      <c r="SIF1263" s="52"/>
      <c r="SIG1263" s="52"/>
      <c r="SIH1263" s="52"/>
      <c r="SII1263" s="52"/>
      <c r="SIJ1263" s="52"/>
      <c r="SIK1263" s="52"/>
      <c r="SIL1263" s="52"/>
      <c r="SIM1263" s="52"/>
      <c r="SIN1263" s="52"/>
      <c r="SIO1263" s="52"/>
      <c r="SIP1263" s="52"/>
      <c r="SIQ1263" s="52"/>
      <c r="SIR1263" s="52"/>
      <c r="SIS1263" s="52"/>
      <c r="SIT1263" s="52"/>
      <c r="SIU1263" s="52"/>
      <c r="SIV1263" s="52"/>
      <c r="SIW1263" s="52"/>
      <c r="SIX1263" s="52"/>
      <c r="SIY1263" s="52"/>
      <c r="SIZ1263" s="52"/>
      <c r="SJA1263" s="52"/>
      <c r="SJB1263" s="52"/>
      <c r="SJC1263" s="52"/>
      <c r="SJD1263" s="52"/>
      <c r="SJE1263" s="52"/>
      <c r="SJF1263" s="52"/>
      <c r="SJG1263" s="52"/>
      <c r="SJH1263" s="52"/>
      <c r="SJI1263" s="52"/>
      <c r="SJJ1263" s="52"/>
      <c r="SJK1263" s="52"/>
      <c r="SJL1263" s="52"/>
      <c r="SJM1263" s="52"/>
      <c r="SJN1263" s="52"/>
      <c r="SJO1263" s="52"/>
      <c r="SJP1263" s="52"/>
      <c r="SJQ1263" s="52"/>
      <c r="SJR1263" s="52"/>
      <c r="SJS1263" s="52"/>
      <c r="SJT1263" s="52"/>
      <c r="SJU1263" s="52"/>
      <c r="SJV1263" s="52"/>
      <c r="SJW1263" s="52"/>
      <c r="SJX1263" s="52"/>
      <c r="SJY1263" s="52"/>
      <c r="SJZ1263" s="52"/>
      <c r="SKA1263" s="52"/>
      <c r="SKB1263" s="52"/>
      <c r="SKC1263" s="52"/>
      <c r="SKD1263" s="52"/>
      <c r="SKE1263" s="52"/>
      <c r="SKF1263" s="52"/>
      <c r="SKG1263" s="52"/>
      <c r="SKH1263" s="52"/>
      <c r="SKI1263" s="52"/>
      <c r="SKJ1263" s="52"/>
      <c r="SKK1263" s="52"/>
      <c r="SKL1263" s="52"/>
      <c r="SKM1263" s="52"/>
      <c r="SKN1263" s="52"/>
      <c r="SKO1263" s="52"/>
      <c r="SKP1263" s="52"/>
      <c r="SKQ1263" s="52"/>
      <c r="SKR1263" s="52"/>
      <c r="SKS1263" s="52"/>
      <c r="SKT1263" s="52"/>
      <c r="SKU1263" s="52"/>
      <c r="SKV1263" s="52"/>
      <c r="SKW1263" s="52"/>
      <c r="SKX1263" s="52"/>
      <c r="SKY1263" s="52"/>
      <c r="SKZ1263" s="52"/>
      <c r="SLA1263" s="52"/>
      <c r="SLB1263" s="52"/>
      <c r="SLC1263" s="52"/>
      <c r="SLD1263" s="52"/>
      <c r="SLE1263" s="52"/>
      <c r="SLF1263" s="52"/>
      <c r="SLG1263" s="52"/>
      <c r="SLH1263" s="52"/>
      <c r="SLI1263" s="52"/>
      <c r="SLJ1263" s="52"/>
      <c r="SLK1263" s="52"/>
      <c r="SLL1263" s="52"/>
      <c r="SLM1263" s="52"/>
      <c r="SLN1263" s="52"/>
      <c r="SLO1263" s="52"/>
      <c r="SLP1263" s="52"/>
      <c r="SLQ1263" s="52"/>
      <c r="SLR1263" s="52"/>
      <c r="SLS1263" s="52"/>
      <c r="SLT1263" s="52"/>
      <c r="SLU1263" s="52"/>
      <c r="SLV1263" s="52"/>
      <c r="SLW1263" s="52"/>
      <c r="SLX1263" s="52"/>
      <c r="SLY1263" s="52"/>
      <c r="SLZ1263" s="52"/>
      <c r="SMA1263" s="52"/>
      <c r="SMB1263" s="52"/>
      <c r="SMC1263" s="52"/>
      <c r="SMD1263" s="52"/>
      <c r="SME1263" s="52"/>
      <c r="SMF1263" s="52"/>
      <c r="SMG1263" s="52"/>
      <c r="SMH1263" s="52"/>
      <c r="SMI1263" s="52"/>
      <c r="SMJ1263" s="52"/>
      <c r="SMK1263" s="52"/>
      <c r="SML1263" s="52"/>
      <c r="SMM1263" s="52"/>
      <c r="SMN1263" s="52"/>
      <c r="SMO1263" s="52"/>
      <c r="SMP1263" s="52"/>
      <c r="SMQ1263" s="52"/>
      <c r="SMR1263" s="52"/>
      <c r="SMS1263" s="52"/>
      <c r="SMT1263" s="52"/>
      <c r="SMU1263" s="52"/>
      <c r="SMV1263" s="52"/>
      <c r="SMW1263" s="52"/>
      <c r="SMX1263" s="52"/>
      <c r="SMY1263" s="52"/>
      <c r="SMZ1263" s="52"/>
      <c r="SNA1263" s="52"/>
      <c r="SNB1263" s="52"/>
      <c r="SNC1263" s="52"/>
      <c r="SND1263" s="52"/>
      <c r="SNE1263" s="52"/>
      <c r="SNF1263" s="52"/>
      <c r="SNG1263" s="52"/>
      <c r="SNH1263" s="52"/>
      <c r="SNI1263" s="52"/>
      <c r="SNJ1263" s="52"/>
      <c r="SNK1263" s="52"/>
      <c r="SNL1263" s="52"/>
      <c r="SNM1263" s="52"/>
      <c r="SNN1263" s="52"/>
      <c r="SNO1263" s="52"/>
      <c r="SNP1263" s="52"/>
      <c r="SNQ1263" s="52"/>
      <c r="SNR1263" s="52"/>
      <c r="SNS1263" s="52"/>
      <c r="SNT1263" s="52"/>
      <c r="SNU1263" s="52"/>
      <c r="SNV1263" s="52"/>
      <c r="SNW1263" s="52"/>
      <c r="SNX1263" s="52"/>
      <c r="SNY1263" s="52"/>
      <c r="SNZ1263" s="52"/>
      <c r="SOA1263" s="52"/>
      <c r="SOB1263" s="52"/>
      <c r="SOC1263" s="52"/>
      <c r="SOD1263" s="52"/>
      <c r="SOE1263" s="52"/>
      <c r="SOF1263" s="52"/>
      <c r="SOG1263" s="52"/>
      <c r="SOH1263" s="52"/>
      <c r="SOI1263" s="52"/>
      <c r="SOJ1263" s="52"/>
      <c r="SOK1263" s="52"/>
      <c r="SOL1263" s="52"/>
      <c r="SOM1263" s="52"/>
      <c r="SON1263" s="52"/>
      <c r="SOO1263" s="52"/>
      <c r="SOP1263" s="52"/>
      <c r="SOQ1263" s="52"/>
      <c r="SOR1263" s="52"/>
      <c r="SOS1263" s="52"/>
      <c r="SOT1263" s="52"/>
      <c r="SOU1263" s="52"/>
      <c r="SOV1263" s="52"/>
      <c r="SOW1263" s="52"/>
      <c r="SOX1263" s="52"/>
      <c r="SOY1263" s="52"/>
      <c r="SOZ1263" s="52"/>
      <c r="SPA1263" s="52"/>
      <c r="SPB1263" s="52"/>
      <c r="SPC1263" s="52"/>
      <c r="SPD1263" s="52"/>
      <c r="SPE1263" s="52"/>
      <c r="SPF1263" s="52"/>
      <c r="SPG1263" s="52"/>
      <c r="SPH1263" s="52"/>
      <c r="SPI1263" s="52"/>
      <c r="SPJ1263" s="52"/>
      <c r="SPK1263" s="52"/>
      <c r="SPL1263" s="52"/>
      <c r="SPM1263" s="52"/>
      <c r="SPN1263" s="52"/>
      <c r="SPO1263" s="52"/>
      <c r="SPP1263" s="52"/>
      <c r="SPQ1263" s="52"/>
      <c r="SPR1263" s="52"/>
      <c r="SPS1263" s="52"/>
      <c r="SPT1263" s="52"/>
      <c r="SPU1263" s="52"/>
      <c r="SPV1263" s="52"/>
      <c r="SPW1263" s="52"/>
      <c r="SPX1263" s="52"/>
      <c r="SPY1263" s="52"/>
      <c r="SPZ1263" s="52"/>
      <c r="SQA1263" s="52"/>
      <c r="SQB1263" s="52"/>
      <c r="SQC1263" s="52"/>
      <c r="SQD1263" s="52"/>
      <c r="SQE1263" s="52"/>
      <c r="SQF1263" s="52"/>
      <c r="SQG1263" s="52"/>
      <c r="SQH1263" s="52"/>
      <c r="SQI1263" s="52"/>
      <c r="SQJ1263" s="52"/>
      <c r="SQK1263" s="52"/>
      <c r="SQL1263" s="52"/>
      <c r="SQM1263" s="52"/>
      <c r="SQN1263" s="52"/>
      <c r="SQO1263" s="52"/>
      <c r="SQP1263" s="52"/>
      <c r="SQQ1263" s="52"/>
      <c r="SQR1263" s="52"/>
      <c r="SQS1263" s="52"/>
      <c r="SQT1263" s="52"/>
      <c r="SQU1263" s="52"/>
      <c r="SQV1263" s="52"/>
      <c r="SQW1263" s="52"/>
      <c r="SQX1263" s="52"/>
      <c r="SQY1263" s="52"/>
      <c r="SQZ1263" s="52"/>
      <c r="SRA1263" s="52"/>
      <c r="SRB1263" s="52"/>
      <c r="SRC1263" s="52"/>
      <c r="SRD1263" s="52"/>
      <c r="SRE1263" s="52"/>
      <c r="SRF1263" s="52"/>
      <c r="SRG1263" s="52"/>
      <c r="SRH1263" s="52"/>
      <c r="SRI1263" s="52"/>
      <c r="SRJ1263" s="52"/>
      <c r="SRK1263" s="52"/>
      <c r="SRL1263" s="52"/>
      <c r="SRM1263" s="52"/>
      <c r="SRN1263" s="52"/>
      <c r="SRO1263" s="52"/>
      <c r="SRP1263" s="52"/>
      <c r="SRQ1263" s="52"/>
      <c r="SRR1263" s="52"/>
      <c r="SRS1263" s="52"/>
      <c r="SRT1263" s="52"/>
      <c r="SRU1263" s="52"/>
      <c r="SRV1263" s="52"/>
      <c r="SRW1263" s="52"/>
      <c r="SRX1263" s="52"/>
      <c r="SRY1263" s="52"/>
      <c r="SRZ1263" s="52"/>
      <c r="SSA1263" s="52"/>
      <c r="SSB1263" s="52"/>
      <c r="SSC1263" s="52"/>
      <c r="SSD1263" s="52"/>
      <c r="SSE1263" s="52"/>
      <c r="SSF1263" s="52"/>
      <c r="SSG1263" s="52"/>
      <c r="SSH1263" s="52"/>
      <c r="SSI1263" s="52"/>
      <c r="SSJ1263" s="52"/>
      <c r="SSK1263" s="52"/>
      <c r="SSL1263" s="52"/>
      <c r="SSM1263" s="52"/>
      <c r="SSN1263" s="52"/>
      <c r="SSO1263" s="52"/>
      <c r="SSP1263" s="52"/>
      <c r="SSQ1263" s="52"/>
      <c r="SSR1263" s="52"/>
      <c r="SSS1263" s="52"/>
      <c r="SST1263" s="52"/>
      <c r="SSU1263" s="52"/>
      <c r="SSV1263" s="52"/>
      <c r="SSW1263" s="52"/>
      <c r="SSX1263" s="52"/>
      <c r="SSY1263" s="52"/>
      <c r="SSZ1263" s="52"/>
      <c r="STA1263" s="52"/>
      <c r="STB1263" s="52"/>
      <c r="STC1263" s="52"/>
      <c r="STD1263" s="52"/>
      <c r="STE1263" s="52"/>
      <c r="STF1263" s="52"/>
      <c r="STG1263" s="52"/>
      <c r="STH1263" s="52"/>
      <c r="STI1263" s="52"/>
      <c r="STJ1263" s="52"/>
      <c r="STK1263" s="52"/>
      <c r="STL1263" s="52"/>
      <c r="STM1263" s="52"/>
      <c r="STN1263" s="52"/>
      <c r="STO1263" s="52"/>
      <c r="STP1263" s="52"/>
      <c r="STQ1263" s="52"/>
      <c r="STR1263" s="52"/>
      <c r="STS1263" s="52"/>
      <c r="STT1263" s="52"/>
      <c r="STU1263" s="52"/>
      <c r="STV1263" s="52"/>
      <c r="STW1263" s="52"/>
      <c r="STX1263" s="52"/>
      <c r="STY1263" s="52"/>
      <c r="STZ1263" s="52"/>
      <c r="SUA1263" s="52"/>
      <c r="SUB1263" s="52"/>
      <c r="SUC1263" s="52"/>
      <c r="SUD1263" s="52"/>
      <c r="SUE1263" s="52"/>
      <c r="SUF1263" s="52"/>
      <c r="SUG1263" s="52"/>
      <c r="SUH1263" s="52"/>
      <c r="SUI1263" s="52"/>
      <c r="SUJ1263" s="52"/>
      <c r="SUK1263" s="52"/>
      <c r="SUL1263" s="52"/>
      <c r="SUM1263" s="52"/>
      <c r="SUN1263" s="52"/>
      <c r="SUO1263" s="52"/>
      <c r="SUP1263" s="52"/>
      <c r="SUQ1263" s="52"/>
      <c r="SUR1263" s="52"/>
      <c r="SUS1263" s="52"/>
      <c r="SUT1263" s="52"/>
      <c r="SUU1263" s="52"/>
      <c r="SUV1263" s="52"/>
      <c r="SUW1263" s="52"/>
      <c r="SUX1263" s="52"/>
      <c r="SUY1263" s="52"/>
      <c r="SUZ1263" s="52"/>
      <c r="SVA1263" s="52"/>
      <c r="SVB1263" s="52"/>
      <c r="SVC1263" s="52"/>
      <c r="SVD1263" s="52"/>
      <c r="SVE1263" s="52"/>
      <c r="SVF1263" s="52"/>
      <c r="SVG1263" s="52"/>
      <c r="SVH1263" s="52"/>
      <c r="SVI1263" s="52"/>
      <c r="SVJ1263" s="52"/>
      <c r="SVK1263" s="52"/>
      <c r="SVL1263" s="52"/>
      <c r="SVM1263" s="52"/>
      <c r="SVN1263" s="52"/>
      <c r="SVO1263" s="52"/>
      <c r="SVP1263" s="52"/>
      <c r="SVQ1263" s="52"/>
      <c r="SVR1263" s="52"/>
      <c r="SVS1263" s="52"/>
      <c r="SVT1263" s="52"/>
      <c r="SVU1263" s="52"/>
      <c r="SVV1263" s="52"/>
      <c r="SVW1263" s="52"/>
      <c r="SVX1263" s="52"/>
      <c r="SVY1263" s="52"/>
      <c r="SVZ1263" s="52"/>
      <c r="SWA1263" s="52"/>
      <c r="SWB1263" s="52"/>
      <c r="SWC1263" s="52"/>
      <c r="SWD1263" s="52"/>
      <c r="SWE1263" s="52"/>
      <c r="SWF1263" s="52"/>
      <c r="SWG1263" s="52"/>
      <c r="SWH1263" s="52"/>
      <c r="SWI1263" s="52"/>
      <c r="SWJ1263" s="52"/>
      <c r="SWK1263" s="52"/>
      <c r="SWL1263" s="52"/>
      <c r="SWM1263" s="52"/>
      <c r="SWN1263" s="52"/>
      <c r="SWO1263" s="52"/>
      <c r="SWP1263" s="52"/>
      <c r="SWQ1263" s="52"/>
      <c r="SWR1263" s="52"/>
      <c r="SWS1263" s="52"/>
      <c r="SWT1263" s="52"/>
      <c r="SWU1263" s="52"/>
      <c r="SWV1263" s="52"/>
      <c r="SWW1263" s="52"/>
      <c r="SWX1263" s="52"/>
      <c r="SWY1263" s="52"/>
      <c r="SWZ1263" s="52"/>
      <c r="SXA1263" s="52"/>
      <c r="SXB1263" s="52"/>
      <c r="SXC1263" s="52"/>
      <c r="SXD1263" s="52"/>
      <c r="SXE1263" s="52"/>
      <c r="SXF1263" s="52"/>
      <c r="SXG1263" s="52"/>
      <c r="SXH1263" s="52"/>
      <c r="SXI1263" s="52"/>
      <c r="SXJ1263" s="52"/>
      <c r="SXK1263" s="52"/>
      <c r="SXL1263" s="52"/>
      <c r="SXM1263" s="52"/>
      <c r="SXN1263" s="52"/>
      <c r="SXO1263" s="52"/>
      <c r="SXP1263" s="52"/>
      <c r="SXQ1263" s="52"/>
      <c r="SXR1263" s="52"/>
      <c r="SXS1263" s="52"/>
      <c r="SXT1263" s="52"/>
      <c r="SXU1263" s="52"/>
      <c r="SXV1263" s="52"/>
      <c r="SXW1263" s="52"/>
      <c r="SXX1263" s="52"/>
      <c r="SXY1263" s="52"/>
      <c r="SXZ1263" s="52"/>
      <c r="SYA1263" s="52"/>
      <c r="SYB1263" s="52"/>
      <c r="SYC1263" s="52"/>
      <c r="SYD1263" s="52"/>
      <c r="SYE1263" s="52"/>
      <c r="SYF1263" s="52"/>
      <c r="SYG1263" s="52"/>
      <c r="SYH1263" s="52"/>
      <c r="SYI1263" s="52"/>
      <c r="SYJ1263" s="52"/>
      <c r="SYK1263" s="52"/>
      <c r="SYL1263" s="52"/>
      <c r="SYM1263" s="52"/>
      <c r="SYN1263" s="52"/>
      <c r="SYO1263" s="52"/>
      <c r="SYP1263" s="52"/>
      <c r="SYQ1263" s="52"/>
      <c r="SYR1263" s="52"/>
      <c r="SYS1263" s="52"/>
      <c r="SYT1263" s="52"/>
      <c r="SYU1263" s="52"/>
      <c r="SYV1263" s="52"/>
      <c r="SYW1263" s="52"/>
      <c r="SYX1263" s="52"/>
      <c r="SYY1263" s="52"/>
      <c r="SYZ1263" s="52"/>
      <c r="SZA1263" s="52"/>
      <c r="SZB1263" s="52"/>
      <c r="SZC1263" s="52"/>
      <c r="SZD1263" s="52"/>
      <c r="SZE1263" s="52"/>
      <c r="SZF1263" s="52"/>
      <c r="SZG1263" s="52"/>
      <c r="SZH1263" s="52"/>
      <c r="SZI1263" s="52"/>
      <c r="SZJ1263" s="52"/>
      <c r="SZK1263" s="52"/>
      <c r="SZL1263" s="52"/>
      <c r="SZM1263" s="52"/>
      <c r="SZN1263" s="52"/>
      <c r="SZO1263" s="52"/>
      <c r="SZP1263" s="52"/>
      <c r="SZQ1263" s="52"/>
      <c r="SZR1263" s="52"/>
      <c r="SZS1263" s="52"/>
      <c r="SZT1263" s="52"/>
      <c r="SZU1263" s="52"/>
      <c r="SZV1263" s="52"/>
      <c r="SZW1263" s="52"/>
      <c r="SZX1263" s="52"/>
      <c r="SZY1263" s="52"/>
      <c r="SZZ1263" s="52"/>
      <c r="TAA1263" s="52"/>
      <c r="TAB1263" s="52"/>
      <c r="TAC1263" s="52"/>
      <c r="TAD1263" s="52"/>
      <c r="TAE1263" s="52"/>
      <c r="TAF1263" s="52"/>
      <c r="TAG1263" s="52"/>
      <c r="TAH1263" s="52"/>
      <c r="TAI1263" s="52"/>
      <c r="TAJ1263" s="52"/>
      <c r="TAK1263" s="52"/>
      <c r="TAL1263" s="52"/>
      <c r="TAM1263" s="52"/>
      <c r="TAN1263" s="52"/>
      <c r="TAO1263" s="52"/>
      <c r="TAP1263" s="52"/>
      <c r="TAQ1263" s="52"/>
      <c r="TAR1263" s="52"/>
      <c r="TAS1263" s="52"/>
      <c r="TAT1263" s="52"/>
      <c r="TAU1263" s="52"/>
      <c r="TAV1263" s="52"/>
      <c r="TAW1263" s="52"/>
      <c r="TAX1263" s="52"/>
      <c r="TAY1263" s="52"/>
      <c r="TAZ1263" s="52"/>
      <c r="TBA1263" s="52"/>
      <c r="TBB1263" s="52"/>
      <c r="TBC1263" s="52"/>
      <c r="TBD1263" s="52"/>
      <c r="TBE1263" s="52"/>
      <c r="TBF1263" s="52"/>
      <c r="TBG1263" s="52"/>
      <c r="TBH1263" s="52"/>
      <c r="TBI1263" s="52"/>
      <c r="TBJ1263" s="52"/>
      <c r="TBK1263" s="52"/>
      <c r="TBL1263" s="52"/>
      <c r="TBM1263" s="52"/>
      <c r="TBN1263" s="52"/>
      <c r="TBO1263" s="52"/>
      <c r="TBP1263" s="52"/>
      <c r="TBQ1263" s="52"/>
      <c r="TBR1263" s="52"/>
      <c r="TBS1263" s="52"/>
      <c r="TBT1263" s="52"/>
      <c r="TBU1263" s="52"/>
      <c r="TBV1263" s="52"/>
      <c r="TBW1263" s="52"/>
      <c r="TBX1263" s="52"/>
      <c r="TBY1263" s="52"/>
      <c r="TBZ1263" s="52"/>
      <c r="TCA1263" s="52"/>
      <c r="TCB1263" s="52"/>
      <c r="TCC1263" s="52"/>
      <c r="TCD1263" s="52"/>
      <c r="TCE1263" s="52"/>
      <c r="TCF1263" s="52"/>
      <c r="TCG1263" s="52"/>
      <c r="TCH1263" s="52"/>
      <c r="TCI1263" s="52"/>
      <c r="TCJ1263" s="52"/>
      <c r="TCK1263" s="52"/>
      <c r="TCL1263" s="52"/>
      <c r="TCM1263" s="52"/>
      <c r="TCN1263" s="52"/>
      <c r="TCO1263" s="52"/>
      <c r="TCP1263" s="52"/>
      <c r="TCQ1263" s="52"/>
      <c r="TCR1263" s="52"/>
      <c r="TCS1263" s="52"/>
      <c r="TCT1263" s="52"/>
      <c r="TCU1263" s="52"/>
      <c r="TCV1263" s="52"/>
      <c r="TCW1263" s="52"/>
      <c r="TCX1263" s="52"/>
      <c r="TCY1263" s="52"/>
      <c r="TCZ1263" s="52"/>
      <c r="TDA1263" s="52"/>
      <c r="TDB1263" s="52"/>
      <c r="TDC1263" s="52"/>
      <c r="TDD1263" s="52"/>
      <c r="TDE1263" s="52"/>
      <c r="TDF1263" s="52"/>
      <c r="TDG1263" s="52"/>
      <c r="TDH1263" s="52"/>
      <c r="TDI1263" s="52"/>
      <c r="TDJ1263" s="52"/>
      <c r="TDK1263" s="52"/>
      <c r="TDL1263" s="52"/>
      <c r="TDM1263" s="52"/>
      <c r="TDN1263" s="52"/>
      <c r="TDO1263" s="52"/>
      <c r="TDP1263" s="52"/>
      <c r="TDQ1263" s="52"/>
      <c r="TDR1263" s="52"/>
      <c r="TDS1263" s="52"/>
      <c r="TDT1263" s="52"/>
      <c r="TDU1263" s="52"/>
      <c r="TDV1263" s="52"/>
      <c r="TDW1263" s="52"/>
      <c r="TDX1263" s="52"/>
      <c r="TDY1263" s="52"/>
      <c r="TDZ1263" s="52"/>
      <c r="TEA1263" s="52"/>
      <c r="TEB1263" s="52"/>
      <c r="TEC1263" s="52"/>
      <c r="TED1263" s="52"/>
      <c r="TEE1263" s="52"/>
      <c r="TEF1263" s="52"/>
      <c r="TEG1263" s="52"/>
      <c r="TEH1263" s="52"/>
      <c r="TEI1263" s="52"/>
      <c r="TEJ1263" s="52"/>
      <c r="TEK1263" s="52"/>
      <c r="TEL1263" s="52"/>
      <c r="TEM1263" s="52"/>
      <c r="TEN1263" s="52"/>
      <c r="TEO1263" s="52"/>
      <c r="TEP1263" s="52"/>
      <c r="TEQ1263" s="52"/>
      <c r="TER1263" s="52"/>
      <c r="TES1263" s="52"/>
      <c r="TET1263" s="52"/>
      <c r="TEU1263" s="52"/>
      <c r="TEV1263" s="52"/>
      <c r="TEW1263" s="52"/>
      <c r="TEX1263" s="52"/>
      <c r="TEY1263" s="52"/>
      <c r="TEZ1263" s="52"/>
      <c r="TFA1263" s="52"/>
      <c r="TFB1263" s="52"/>
      <c r="TFC1263" s="52"/>
      <c r="TFD1263" s="52"/>
      <c r="TFE1263" s="52"/>
      <c r="TFF1263" s="52"/>
      <c r="TFG1263" s="52"/>
      <c r="TFH1263" s="52"/>
      <c r="TFI1263" s="52"/>
      <c r="TFJ1263" s="52"/>
      <c r="TFK1263" s="52"/>
      <c r="TFL1263" s="52"/>
      <c r="TFM1263" s="52"/>
      <c r="TFN1263" s="52"/>
      <c r="TFO1263" s="52"/>
      <c r="TFP1263" s="52"/>
      <c r="TFQ1263" s="52"/>
      <c r="TFR1263" s="52"/>
      <c r="TFS1263" s="52"/>
      <c r="TFT1263" s="52"/>
      <c r="TFU1263" s="52"/>
      <c r="TFV1263" s="52"/>
      <c r="TFW1263" s="52"/>
      <c r="TFX1263" s="52"/>
      <c r="TFY1263" s="52"/>
      <c r="TFZ1263" s="52"/>
      <c r="TGA1263" s="52"/>
      <c r="TGB1263" s="52"/>
      <c r="TGC1263" s="52"/>
      <c r="TGD1263" s="52"/>
      <c r="TGE1263" s="52"/>
      <c r="TGF1263" s="52"/>
      <c r="TGG1263" s="52"/>
      <c r="TGH1263" s="52"/>
      <c r="TGI1263" s="52"/>
      <c r="TGJ1263" s="52"/>
      <c r="TGK1263" s="52"/>
      <c r="TGL1263" s="52"/>
      <c r="TGM1263" s="52"/>
      <c r="TGN1263" s="52"/>
      <c r="TGO1263" s="52"/>
      <c r="TGP1263" s="52"/>
      <c r="TGQ1263" s="52"/>
      <c r="TGR1263" s="52"/>
      <c r="TGS1263" s="52"/>
      <c r="TGT1263" s="52"/>
      <c r="TGU1263" s="52"/>
      <c r="TGV1263" s="52"/>
      <c r="TGW1263" s="52"/>
      <c r="TGX1263" s="52"/>
      <c r="TGY1263" s="52"/>
      <c r="TGZ1263" s="52"/>
      <c r="THA1263" s="52"/>
      <c r="THB1263" s="52"/>
      <c r="THC1263" s="52"/>
      <c r="THD1263" s="52"/>
      <c r="THE1263" s="52"/>
      <c r="THF1263" s="52"/>
      <c r="THG1263" s="52"/>
      <c r="THH1263" s="52"/>
      <c r="THI1263" s="52"/>
      <c r="THJ1263" s="52"/>
      <c r="THK1263" s="52"/>
      <c r="THL1263" s="52"/>
      <c r="THM1263" s="52"/>
      <c r="THN1263" s="52"/>
      <c r="THO1263" s="52"/>
      <c r="THP1263" s="52"/>
      <c r="THQ1263" s="52"/>
      <c r="THR1263" s="52"/>
      <c r="THS1263" s="52"/>
      <c r="THT1263" s="52"/>
      <c r="THU1263" s="52"/>
      <c r="THV1263" s="52"/>
      <c r="THW1263" s="52"/>
      <c r="THX1263" s="52"/>
      <c r="THY1263" s="52"/>
      <c r="THZ1263" s="52"/>
      <c r="TIA1263" s="52"/>
      <c r="TIB1263" s="52"/>
      <c r="TIC1263" s="52"/>
      <c r="TID1263" s="52"/>
      <c r="TIE1263" s="52"/>
      <c r="TIF1263" s="52"/>
      <c r="TIG1263" s="52"/>
      <c r="TIH1263" s="52"/>
      <c r="TII1263" s="52"/>
      <c r="TIJ1263" s="52"/>
      <c r="TIK1263" s="52"/>
      <c r="TIL1263" s="52"/>
      <c r="TIM1263" s="52"/>
      <c r="TIN1263" s="52"/>
      <c r="TIO1263" s="52"/>
      <c r="TIP1263" s="52"/>
      <c r="TIQ1263" s="52"/>
      <c r="TIR1263" s="52"/>
      <c r="TIS1263" s="52"/>
      <c r="TIT1263" s="52"/>
      <c r="TIU1263" s="52"/>
      <c r="TIV1263" s="52"/>
      <c r="TIW1263" s="52"/>
      <c r="TIX1263" s="52"/>
      <c r="TIY1263" s="52"/>
      <c r="TIZ1263" s="52"/>
      <c r="TJA1263" s="52"/>
      <c r="TJB1263" s="52"/>
      <c r="TJC1263" s="52"/>
      <c r="TJD1263" s="52"/>
      <c r="TJE1263" s="52"/>
      <c r="TJF1263" s="52"/>
      <c r="TJG1263" s="52"/>
      <c r="TJH1263" s="52"/>
      <c r="TJI1263" s="52"/>
      <c r="TJJ1263" s="52"/>
      <c r="TJK1263" s="52"/>
      <c r="TJL1263" s="52"/>
      <c r="TJM1263" s="52"/>
      <c r="TJN1263" s="52"/>
      <c r="TJO1263" s="52"/>
      <c r="TJP1263" s="52"/>
      <c r="TJQ1263" s="52"/>
      <c r="TJR1263" s="52"/>
      <c r="TJS1263" s="52"/>
      <c r="TJT1263" s="52"/>
      <c r="TJU1263" s="52"/>
      <c r="TJV1263" s="52"/>
      <c r="TJW1263" s="52"/>
      <c r="TJX1263" s="52"/>
      <c r="TJY1263" s="52"/>
      <c r="TJZ1263" s="52"/>
      <c r="TKA1263" s="52"/>
      <c r="TKB1263" s="52"/>
      <c r="TKC1263" s="52"/>
      <c r="TKD1263" s="52"/>
      <c r="TKE1263" s="52"/>
      <c r="TKF1263" s="52"/>
      <c r="TKG1263" s="52"/>
      <c r="TKH1263" s="52"/>
      <c r="TKI1263" s="52"/>
      <c r="TKJ1263" s="52"/>
      <c r="TKK1263" s="52"/>
      <c r="TKL1263" s="52"/>
      <c r="TKM1263" s="52"/>
      <c r="TKN1263" s="52"/>
      <c r="TKO1263" s="52"/>
      <c r="TKP1263" s="52"/>
      <c r="TKQ1263" s="52"/>
      <c r="TKR1263" s="52"/>
      <c r="TKS1263" s="52"/>
      <c r="TKT1263" s="52"/>
      <c r="TKU1263" s="52"/>
      <c r="TKV1263" s="52"/>
      <c r="TKW1263" s="52"/>
      <c r="TKX1263" s="52"/>
      <c r="TKY1263" s="52"/>
      <c r="TKZ1263" s="52"/>
      <c r="TLA1263" s="52"/>
      <c r="TLB1263" s="52"/>
      <c r="TLC1263" s="52"/>
      <c r="TLD1263" s="52"/>
      <c r="TLE1263" s="52"/>
      <c r="TLF1263" s="52"/>
      <c r="TLG1263" s="52"/>
      <c r="TLH1263" s="52"/>
      <c r="TLI1263" s="52"/>
      <c r="TLJ1263" s="52"/>
      <c r="TLK1263" s="52"/>
      <c r="TLL1263" s="52"/>
      <c r="TLM1263" s="52"/>
      <c r="TLN1263" s="52"/>
      <c r="TLO1263" s="52"/>
      <c r="TLP1263" s="52"/>
      <c r="TLQ1263" s="52"/>
      <c r="TLR1263" s="52"/>
      <c r="TLS1263" s="52"/>
      <c r="TLT1263" s="52"/>
      <c r="TLU1263" s="52"/>
      <c r="TLV1263" s="52"/>
      <c r="TLW1263" s="52"/>
      <c r="TLX1263" s="52"/>
      <c r="TLY1263" s="52"/>
      <c r="TLZ1263" s="52"/>
      <c r="TMA1263" s="52"/>
      <c r="TMB1263" s="52"/>
      <c r="TMC1263" s="52"/>
      <c r="TMD1263" s="52"/>
      <c r="TME1263" s="52"/>
      <c r="TMF1263" s="52"/>
      <c r="TMG1263" s="52"/>
      <c r="TMH1263" s="52"/>
      <c r="TMI1263" s="52"/>
      <c r="TMJ1263" s="52"/>
      <c r="TMK1263" s="52"/>
      <c r="TML1263" s="52"/>
      <c r="TMM1263" s="52"/>
      <c r="TMN1263" s="52"/>
      <c r="TMO1263" s="52"/>
      <c r="TMP1263" s="52"/>
      <c r="TMQ1263" s="52"/>
      <c r="TMR1263" s="52"/>
      <c r="TMS1263" s="52"/>
      <c r="TMT1263" s="52"/>
      <c r="TMU1263" s="52"/>
      <c r="TMV1263" s="52"/>
      <c r="TMW1263" s="52"/>
      <c r="TMX1263" s="52"/>
      <c r="TMY1263" s="52"/>
      <c r="TMZ1263" s="52"/>
      <c r="TNA1263" s="52"/>
      <c r="TNB1263" s="52"/>
      <c r="TNC1263" s="52"/>
      <c r="TND1263" s="52"/>
      <c r="TNE1263" s="52"/>
      <c r="TNF1263" s="52"/>
      <c r="TNG1263" s="52"/>
      <c r="TNH1263" s="52"/>
      <c r="TNI1263" s="52"/>
      <c r="TNJ1263" s="52"/>
      <c r="TNK1263" s="52"/>
      <c r="TNL1263" s="52"/>
      <c r="TNM1263" s="52"/>
      <c r="TNN1263" s="52"/>
      <c r="TNO1263" s="52"/>
      <c r="TNP1263" s="52"/>
      <c r="TNQ1263" s="52"/>
      <c r="TNR1263" s="52"/>
      <c r="TNS1263" s="52"/>
      <c r="TNT1263" s="52"/>
      <c r="TNU1263" s="52"/>
      <c r="TNV1263" s="52"/>
      <c r="TNW1263" s="52"/>
      <c r="TNX1263" s="52"/>
      <c r="TNY1263" s="52"/>
      <c r="TNZ1263" s="52"/>
      <c r="TOA1263" s="52"/>
      <c r="TOB1263" s="52"/>
      <c r="TOC1263" s="52"/>
      <c r="TOD1263" s="52"/>
      <c r="TOE1263" s="52"/>
      <c r="TOF1263" s="52"/>
      <c r="TOG1263" s="52"/>
      <c r="TOH1263" s="52"/>
      <c r="TOI1263" s="52"/>
      <c r="TOJ1263" s="52"/>
      <c r="TOK1263" s="52"/>
      <c r="TOL1263" s="52"/>
      <c r="TOM1263" s="52"/>
      <c r="TON1263" s="52"/>
      <c r="TOO1263" s="52"/>
      <c r="TOP1263" s="52"/>
      <c r="TOQ1263" s="52"/>
      <c r="TOR1263" s="52"/>
      <c r="TOS1263" s="52"/>
      <c r="TOT1263" s="52"/>
      <c r="TOU1263" s="52"/>
      <c r="TOV1263" s="52"/>
      <c r="TOW1263" s="52"/>
      <c r="TOX1263" s="52"/>
      <c r="TOY1263" s="52"/>
      <c r="TOZ1263" s="52"/>
      <c r="TPA1263" s="52"/>
      <c r="TPB1263" s="52"/>
      <c r="TPC1263" s="52"/>
      <c r="TPD1263" s="52"/>
      <c r="TPE1263" s="52"/>
      <c r="TPF1263" s="52"/>
      <c r="TPG1263" s="52"/>
      <c r="TPH1263" s="52"/>
      <c r="TPI1263" s="52"/>
      <c r="TPJ1263" s="52"/>
      <c r="TPK1263" s="52"/>
      <c r="TPL1263" s="52"/>
      <c r="TPM1263" s="52"/>
      <c r="TPN1263" s="52"/>
      <c r="TPO1263" s="52"/>
      <c r="TPP1263" s="52"/>
      <c r="TPQ1263" s="52"/>
      <c r="TPR1263" s="52"/>
      <c r="TPS1263" s="52"/>
      <c r="TPT1263" s="52"/>
      <c r="TPU1263" s="52"/>
      <c r="TPV1263" s="52"/>
      <c r="TPW1263" s="52"/>
      <c r="TPX1263" s="52"/>
      <c r="TPY1263" s="52"/>
      <c r="TPZ1263" s="52"/>
      <c r="TQA1263" s="52"/>
      <c r="TQB1263" s="52"/>
      <c r="TQC1263" s="52"/>
      <c r="TQD1263" s="52"/>
      <c r="TQE1263" s="52"/>
      <c r="TQF1263" s="52"/>
      <c r="TQG1263" s="52"/>
      <c r="TQH1263" s="52"/>
      <c r="TQI1263" s="52"/>
      <c r="TQJ1263" s="52"/>
      <c r="TQK1263" s="52"/>
      <c r="TQL1263" s="52"/>
      <c r="TQM1263" s="52"/>
      <c r="TQN1263" s="52"/>
      <c r="TQO1263" s="52"/>
      <c r="TQP1263" s="52"/>
      <c r="TQQ1263" s="52"/>
      <c r="TQR1263" s="52"/>
      <c r="TQS1263" s="52"/>
      <c r="TQT1263" s="52"/>
      <c r="TQU1263" s="52"/>
      <c r="TQV1263" s="52"/>
      <c r="TQW1263" s="52"/>
      <c r="TQX1263" s="52"/>
      <c r="TQY1263" s="52"/>
      <c r="TQZ1263" s="52"/>
      <c r="TRA1263" s="52"/>
      <c r="TRB1263" s="52"/>
      <c r="TRC1263" s="52"/>
      <c r="TRD1263" s="52"/>
      <c r="TRE1263" s="52"/>
      <c r="TRF1263" s="52"/>
      <c r="TRG1263" s="52"/>
      <c r="TRH1263" s="52"/>
      <c r="TRI1263" s="52"/>
      <c r="TRJ1263" s="52"/>
      <c r="TRK1263" s="52"/>
      <c r="TRL1263" s="52"/>
      <c r="TRM1263" s="52"/>
      <c r="TRN1263" s="52"/>
      <c r="TRO1263" s="52"/>
      <c r="TRP1263" s="52"/>
      <c r="TRQ1263" s="52"/>
      <c r="TRR1263" s="52"/>
      <c r="TRS1263" s="52"/>
      <c r="TRT1263" s="52"/>
      <c r="TRU1263" s="52"/>
      <c r="TRV1263" s="52"/>
      <c r="TRW1263" s="52"/>
      <c r="TRX1263" s="52"/>
      <c r="TRY1263" s="52"/>
      <c r="TRZ1263" s="52"/>
      <c r="TSA1263" s="52"/>
      <c r="TSB1263" s="52"/>
      <c r="TSC1263" s="52"/>
      <c r="TSD1263" s="52"/>
      <c r="TSE1263" s="52"/>
      <c r="TSF1263" s="52"/>
      <c r="TSG1263" s="52"/>
      <c r="TSH1263" s="52"/>
      <c r="TSI1263" s="52"/>
      <c r="TSJ1263" s="52"/>
      <c r="TSK1263" s="52"/>
      <c r="TSL1263" s="52"/>
      <c r="TSM1263" s="52"/>
      <c r="TSN1263" s="52"/>
      <c r="TSO1263" s="52"/>
      <c r="TSP1263" s="52"/>
      <c r="TSQ1263" s="52"/>
      <c r="TSR1263" s="52"/>
      <c r="TSS1263" s="52"/>
      <c r="TST1263" s="52"/>
      <c r="TSU1263" s="52"/>
      <c r="TSV1263" s="52"/>
      <c r="TSW1263" s="52"/>
      <c r="TSX1263" s="52"/>
      <c r="TSY1263" s="52"/>
      <c r="TSZ1263" s="52"/>
      <c r="TTA1263" s="52"/>
      <c r="TTB1263" s="52"/>
      <c r="TTC1263" s="52"/>
      <c r="TTD1263" s="52"/>
      <c r="TTE1263" s="52"/>
      <c r="TTF1263" s="52"/>
      <c r="TTG1263" s="52"/>
      <c r="TTH1263" s="52"/>
      <c r="TTI1263" s="52"/>
      <c r="TTJ1263" s="52"/>
      <c r="TTK1263" s="52"/>
      <c r="TTL1263" s="52"/>
      <c r="TTM1263" s="52"/>
      <c r="TTN1263" s="52"/>
      <c r="TTO1263" s="52"/>
      <c r="TTP1263" s="52"/>
      <c r="TTQ1263" s="52"/>
      <c r="TTR1263" s="52"/>
      <c r="TTS1263" s="52"/>
      <c r="TTT1263" s="52"/>
      <c r="TTU1263" s="52"/>
      <c r="TTV1263" s="52"/>
      <c r="TTW1263" s="52"/>
      <c r="TTX1263" s="52"/>
      <c r="TTY1263" s="52"/>
      <c r="TTZ1263" s="52"/>
      <c r="TUA1263" s="52"/>
      <c r="TUB1263" s="52"/>
      <c r="TUC1263" s="52"/>
      <c r="TUD1263" s="52"/>
      <c r="TUE1263" s="52"/>
      <c r="TUF1263" s="52"/>
      <c r="TUG1263" s="52"/>
      <c r="TUH1263" s="52"/>
      <c r="TUI1263" s="52"/>
      <c r="TUJ1263" s="52"/>
      <c r="TUK1263" s="52"/>
      <c r="TUL1263" s="52"/>
      <c r="TUM1263" s="52"/>
      <c r="TUN1263" s="52"/>
      <c r="TUO1263" s="52"/>
      <c r="TUP1263" s="52"/>
      <c r="TUQ1263" s="52"/>
      <c r="TUR1263" s="52"/>
      <c r="TUS1263" s="52"/>
      <c r="TUT1263" s="52"/>
      <c r="TUU1263" s="52"/>
      <c r="TUV1263" s="52"/>
      <c r="TUW1263" s="52"/>
      <c r="TUX1263" s="52"/>
      <c r="TUY1263" s="52"/>
      <c r="TUZ1263" s="52"/>
      <c r="TVA1263" s="52"/>
      <c r="TVB1263" s="52"/>
      <c r="TVC1263" s="52"/>
      <c r="TVD1263" s="52"/>
      <c r="TVE1263" s="52"/>
      <c r="TVF1263" s="52"/>
      <c r="TVG1263" s="52"/>
      <c r="TVH1263" s="52"/>
      <c r="TVI1263" s="52"/>
      <c r="TVJ1263" s="52"/>
      <c r="TVK1263" s="52"/>
      <c r="TVL1263" s="52"/>
      <c r="TVM1263" s="52"/>
      <c r="TVN1263" s="52"/>
      <c r="TVO1263" s="52"/>
      <c r="TVP1263" s="52"/>
      <c r="TVQ1263" s="52"/>
      <c r="TVR1263" s="52"/>
      <c r="TVS1263" s="52"/>
      <c r="TVT1263" s="52"/>
      <c r="TVU1263" s="52"/>
      <c r="TVV1263" s="52"/>
      <c r="TVW1263" s="52"/>
      <c r="TVX1263" s="52"/>
      <c r="TVY1263" s="52"/>
      <c r="TVZ1263" s="52"/>
      <c r="TWA1263" s="52"/>
      <c r="TWB1263" s="52"/>
      <c r="TWC1263" s="52"/>
      <c r="TWD1263" s="52"/>
      <c r="TWE1263" s="52"/>
      <c r="TWF1263" s="52"/>
      <c r="TWG1263" s="52"/>
      <c r="TWH1263" s="52"/>
      <c r="TWI1263" s="52"/>
      <c r="TWJ1263" s="52"/>
      <c r="TWK1263" s="52"/>
      <c r="TWL1263" s="52"/>
      <c r="TWM1263" s="52"/>
      <c r="TWN1263" s="52"/>
      <c r="TWO1263" s="52"/>
      <c r="TWP1263" s="52"/>
      <c r="TWQ1263" s="52"/>
      <c r="TWR1263" s="52"/>
      <c r="TWS1263" s="52"/>
      <c r="TWT1263" s="52"/>
      <c r="TWU1263" s="52"/>
      <c r="TWV1263" s="52"/>
      <c r="TWW1263" s="52"/>
      <c r="TWX1263" s="52"/>
      <c r="TWY1263" s="52"/>
      <c r="TWZ1263" s="52"/>
      <c r="TXA1263" s="52"/>
      <c r="TXB1263" s="52"/>
      <c r="TXC1263" s="52"/>
      <c r="TXD1263" s="52"/>
      <c r="TXE1263" s="52"/>
      <c r="TXF1263" s="52"/>
      <c r="TXG1263" s="52"/>
      <c r="TXH1263" s="52"/>
      <c r="TXI1263" s="52"/>
      <c r="TXJ1263" s="52"/>
      <c r="TXK1263" s="52"/>
      <c r="TXL1263" s="52"/>
      <c r="TXM1263" s="52"/>
      <c r="TXN1263" s="52"/>
      <c r="TXO1263" s="52"/>
      <c r="TXP1263" s="52"/>
      <c r="TXQ1263" s="52"/>
      <c r="TXR1263" s="52"/>
      <c r="TXS1263" s="52"/>
      <c r="TXT1263" s="52"/>
      <c r="TXU1263" s="52"/>
      <c r="TXV1263" s="52"/>
      <c r="TXW1263" s="52"/>
      <c r="TXX1263" s="52"/>
      <c r="TXY1263" s="52"/>
      <c r="TXZ1263" s="52"/>
      <c r="TYA1263" s="52"/>
      <c r="TYB1263" s="52"/>
      <c r="TYC1263" s="52"/>
      <c r="TYD1263" s="52"/>
      <c r="TYE1263" s="52"/>
      <c r="TYF1263" s="52"/>
      <c r="TYG1263" s="52"/>
      <c r="TYH1263" s="52"/>
      <c r="TYI1263" s="52"/>
      <c r="TYJ1263" s="52"/>
      <c r="TYK1263" s="52"/>
      <c r="TYL1263" s="52"/>
      <c r="TYM1263" s="52"/>
      <c r="TYN1263" s="52"/>
      <c r="TYO1263" s="52"/>
      <c r="TYP1263" s="52"/>
      <c r="TYQ1263" s="52"/>
      <c r="TYR1263" s="52"/>
      <c r="TYS1263" s="52"/>
      <c r="TYT1263" s="52"/>
      <c r="TYU1263" s="52"/>
      <c r="TYV1263" s="52"/>
      <c r="TYW1263" s="52"/>
      <c r="TYX1263" s="52"/>
      <c r="TYY1263" s="52"/>
      <c r="TYZ1263" s="52"/>
      <c r="TZA1263" s="52"/>
      <c r="TZB1263" s="52"/>
      <c r="TZC1263" s="52"/>
      <c r="TZD1263" s="52"/>
      <c r="TZE1263" s="52"/>
      <c r="TZF1263" s="52"/>
      <c r="TZG1263" s="52"/>
      <c r="TZH1263" s="52"/>
      <c r="TZI1263" s="52"/>
      <c r="TZJ1263" s="52"/>
      <c r="TZK1263" s="52"/>
      <c r="TZL1263" s="52"/>
      <c r="TZM1263" s="52"/>
      <c r="TZN1263" s="52"/>
      <c r="TZO1263" s="52"/>
      <c r="TZP1263" s="52"/>
      <c r="TZQ1263" s="52"/>
      <c r="TZR1263" s="52"/>
      <c r="TZS1263" s="52"/>
      <c r="TZT1263" s="52"/>
      <c r="TZU1263" s="52"/>
      <c r="TZV1263" s="52"/>
      <c r="TZW1263" s="52"/>
      <c r="TZX1263" s="52"/>
      <c r="TZY1263" s="52"/>
      <c r="TZZ1263" s="52"/>
      <c r="UAA1263" s="52"/>
      <c r="UAB1263" s="52"/>
      <c r="UAC1263" s="52"/>
      <c r="UAD1263" s="52"/>
      <c r="UAE1263" s="52"/>
      <c r="UAF1263" s="52"/>
      <c r="UAG1263" s="52"/>
      <c r="UAH1263" s="52"/>
      <c r="UAI1263" s="52"/>
      <c r="UAJ1263" s="52"/>
      <c r="UAK1263" s="52"/>
      <c r="UAL1263" s="52"/>
      <c r="UAM1263" s="52"/>
      <c r="UAN1263" s="52"/>
      <c r="UAO1263" s="52"/>
      <c r="UAP1263" s="52"/>
      <c r="UAQ1263" s="52"/>
      <c r="UAR1263" s="52"/>
      <c r="UAS1263" s="52"/>
      <c r="UAT1263" s="52"/>
      <c r="UAU1263" s="52"/>
      <c r="UAV1263" s="52"/>
      <c r="UAW1263" s="52"/>
      <c r="UAX1263" s="52"/>
      <c r="UAY1263" s="52"/>
      <c r="UAZ1263" s="52"/>
      <c r="UBA1263" s="52"/>
      <c r="UBB1263" s="52"/>
      <c r="UBC1263" s="52"/>
      <c r="UBD1263" s="52"/>
      <c r="UBE1263" s="52"/>
      <c r="UBF1263" s="52"/>
      <c r="UBG1263" s="52"/>
      <c r="UBH1263" s="52"/>
      <c r="UBI1263" s="52"/>
      <c r="UBJ1263" s="52"/>
      <c r="UBK1263" s="52"/>
      <c r="UBL1263" s="52"/>
      <c r="UBM1263" s="52"/>
      <c r="UBN1263" s="52"/>
      <c r="UBO1263" s="52"/>
      <c r="UBP1263" s="52"/>
      <c r="UBQ1263" s="52"/>
      <c r="UBR1263" s="52"/>
      <c r="UBS1263" s="52"/>
      <c r="UBT1263" s="52"/>
      <c r="UBU1263" s="52"/>
      <c r="UBV1263" s="52"/>
      <c r="UBW1263" s="52"/>
      <c r="UBX1263" s="52"/>
      <c r="UBY1263" s="52"/>
      <c r="UBZ1263" s="52"/>
      <c r="UCA1263" s="52"/>
      <c r="UCB1263" s="52"/>
      <c r="UCC1263" s="52"/>
      <c r="UCD1263" s="52"/>
      <c r="UCE1263" s="52"/>
      <c r="UCF1263" s="52"/>
      <c r="UCG1263" s="52"/>
      <c r="UCH1263" s="52"/>
      <c r="UCI1263" s="52"/>
      <c r="UCJ1263" s="52"/>
      <c r="UCK1263" s="52"/>
      <c r="UCL1263" s="52"/>
      <c r="UCM1263" s="52"/>
      <c r="UCN1263" s="52"/>
      <c r="UCO1263" s="52"/>
      <c r="UCP1263" s="52"/>
      <c r="UCQ1263" s="52"/>
      <c r="UCR1263" s="52"/>
      <c r="UCS1263" s="52"/>
      <c r="UCT1263" s="52"/>
      <c r="UCU1263" s="52"/>
      <c r="UCV1263" s="52"/>
      <c r="UCW1263" s="52"/>
      <c r="UCX1263" s="52"/>
      <c r="UCY1263" s="52"/>
      <c r="UCZ1263" s="52"/>
      <c r="UDA1263" s="52"/>
      <c r="UDB1263" s="52"/>
      <c r="UDC1263" s="52"/>
      <c r="UDD1263" s="52"/>
      <c r="UDE1263" s="52"/>
      <c r="UDF1263" s="52"/>
      <c r="UDG1263" s="52"/>
      <c r="UDH1263" s="52"/>
      <c r="UDI1263" s="52"/>
      <c r="UDJ1263" s="52"/>
      <c r="UDK1263" s="52"/>
      <c r="UDL1263" s="52"/>
      <c r="UDM1263" s="52"/>
      <c r="UDN1263" s="52"/>
      <c r="UDO1263" s="52"/>
      <c r="UDP1263" s="52"/>
      <c r="UDQ1263" s="52"/>
      <c r="UDR1263" s="52"/>
      <c r="UDS1263" s="52"/>
      <c r="UDT1263" s="52"/>
      <c r="UDU1263" s="52"/>
      <c r="UDV1263" s="52"/>
      <c r="UDW1263" s="52"/>
      <c r="UDX1263" s="52"/>
      <c r="UDY1263" s="52"/>
      <c r="UDZ1263" s="52"/>
      <c r="UEA1263" s="52"/>
      <c r="UEB1263" s="52"/>
      <c r="UEC1263" s="52"/>
      <c r="UED1263" s="52"/>
      <c r="UEE1263" s="52"/>
      <c r="UEF1263" s="52"/>
      <c r="UEG1263" s="52"/>
      <c r="UEH1263" s="52"/>
      <c r="UEI1263" s="52"/>
      <c r="UEJ1263" s="52"/>
      <c r="UEK1263" s="52"/>
      <c r="UEL1263" s="52"/>
      <c r="UEM1263" s="52"/>
      <c r="UEN1263" s="52"/>
      <c r="UEO1263" s="52"/>
      <c r="UEP1263" s="52"/>
      <c r="UEQ1263" s="52"/>
      <c r="UER1263" s="52"/>
      <c r="UES1263" s="52"/>
      <c r="UET1263" s="52"/>
      <c r="UEU1263" s="52"/>
      <c r="UEV1263" s="52"/>
      <c r="UEW1263" s="52"/>
      <c r="UEX1263" s="52"/>
      <c r="UEY1263" s="52"/>
      <c r="UEZ1263" s="52"/>
      <c r="UFA1263" s="52"/>
      <c r="UFB1263" s="52"/>
      <c r="UFC1263" s="52"/>
      <c r="UFD1263" s="52"/>
      <c r="UFE1263" s="52"/>
      <c r="UFF1263" s="52"/>
      <c r="UFG1263" s="52"/>
      <c r="UFH1263" s="52"/>
      <c r="UFI1263" s="52"/>
      <c r="UFJ1263" s="52"/>
      <c r="UFK1263" s="52"/>
      <c r="UFL1263" s="52"/>
      <c r="UFM1263" s="52"/>
      <c r="UFN1263" s="52"/>
      <c r="UFO1263" s="52"/>
      <c r="UFP1263" s="52"/>
      <c r="UFQ1263" s="52"/>
      <c r="UFR1263" s="52"/>
      <c r="UFS1263" s="52"/>
      <c r="UFT1263" s="52"/>
      <c r="UFU1263" s="52"/>
      <c r="UFV1263" s="52"/>
      <c r="UFW1263" s="52"/>
      <c r="UFX1263" s="52"/>
      <c r="UFY1263" s="52"/>
      <c r="UFZ1263" s="52"/>
      <c r="UGA1263" s="52"/>
      <c r="UGB1263" s="52"/>
      <c r="UGC1263" s="52"/>
      <c r="UGD1263" s="52"/>
      <c r="UGE1263" s="52"/>
      <c r="UGF1263" s="52"/>
      <c r="UGG1263" s="52"/>
      <c r="UGH1263" s="52"/>
      <c r="UGI1263" s="52"/>
      <c r="UGJ1263" s="52"/>
      <c r="UGK1263" s="52"/>
      <c r="UGL1263" s="52"/>
      <c r="UGM1263" s="52"/>
      <c r="UGN1263" s="52"/>
      <c r="UGO1263" s="52"/>
      <c r="UGP1263" s="52"/>
      <c r="UGQ1263" s="52"/>
      <c r="UGR1263" s="52"/>
      <c r="UGS1263" s="52"/>
      <c r="UGT1263" s="52"/>
      <c r="UGU1263" s="52"/>
      <c r="UGV1263" s="52"/>
      <c r="UGW1263" s="52"/>
      <c r="UGX1263" s="52"/>
      <c r="UGY1263" s="52"/>
      <c r="UGZ1263" s="52"/>
      <c r="UHA1263" s="52"/>
      <c r="UHB1263" s="52"/>
      <c r="UHC1263" s="52"/>
      <c r="UHD1263" s="52"/>
      <c r="UHE1263" s="52"/>
      <c r="UHF1263" s="52"/>
      <c r="UHG1263" s="52"/>
      <c r="UHH1263" s="52"/>
      <c r="UHI1263" s="52"/>
      <c r="UHJ1263" s="52"/>
      <c r="UHK1263" s="52"/>
      <c r="UHL1263" s="52"/>
      <c r="UHM1263" s="52"/>
      <c r="UHN1263" s="52"/>
      <c r="UHO1263" s="52"/>
      <c r="UHP1263" s="52"/>
      <c r="UHQ1263" s="52"/>
      <c r="UHR1263" s="52"/>
      <c r="UHS1263" s="52"/>
      <c r="UHT1263" s="52"/>
      <c r="UHU1263" s="52"/>
      <c r="UHV1263" s="52"/>
      <c r="UHW1263" s="52"/>
      <c r="UHX1263" s="52"/>
      <c r="UHY1263" s="52"/>
      <c r="UHZ1263" s="52"/>
      <c r="UIA1263" s="52"/>
      <c r="UIB1263" s="52"/>
      <c r="UIC1263" s="52"/>
      <c r="UID1263" s="52"/>
      <c r="UIE1263" s="52"/>
      <c r="UIF1263" s="52"/>
      <c r="UIG1263" s="52"/>
      <c r="UIH1263" s="52"/>
      <c r="UII1263" s="52"/>
      <c r="UIJ1263" s="52"/>
      <c r="UIK1263" s="52"/>
      <c r="UIL1263" s="52"/>
      <c r="UIM1263" s="52"/>
      <c r="UIN1263" s="52"/>
      <c r="UIO1263" s="52"/>
      <c r="UIP1263" s="52"/>
      <c r="UIQ1263" s="52"/>
      <c r="UIR1263" s="52"/>
      <c r="UIS1263" s="52"/>
      <c r="UIT1263" s="52"/>
      <c r="UIU1263" s="52"/>
      <c r="UIV1263" s="52"/>
      <c r="UIW1263" s="52"/>
      <c r="UIX1263" s="52"/>
      <c r="UIY1263" s="52"/>
      <c r="UIZ1263" s="52"/>
      <c r="UJA1263" s="52"/>
      <c r="UJB1263" s="52"/>
      <c r="UJC1263" s="52"/>
      <c r="UJD1263" s="52"/>
      <c r="UJE1263" s="52"/>
      <c r="UJF1263" s="52"/>
      <c r="UJG1263" s="52"/>
      <c r="UJH1263" s="52"/>
      <c r="UJI1263" s="52"/>
      <c r="UJJ1263" s="52"/>
      <c r="UJK1263" s="52"/>
      <c r="UJL1263" s="52"/>
      <c r="UJM1263" s="52"/>
      <c r="UJN1263" s="52"/>
      <c r="UJO1263" s="52"/>
      <c r="UJP1263" s="52"/>
      <c r="UJQ1263" s="52"/>
      <c r="UJR1263" s="52"/>
      <c r="UJS1263" s="52"/>
      <c r="UJT1263" s="52"/>
      <c r="UJU1263" s="52"/>
      <c r="UJV1263" s="52"/>
      <c r="UJW1263" s="52"/>
      <c r="UJX1263" s="52"/>
      <c r="UJY1263" s="52"/>
      <c r="UJZ1263" s="52"/>
      <c r="UKA1263" s="52"/>
      <c r="UKB1263" s="52"/>
      <c r="UKC1263" s="52"/>
      <c r="UKD1263" s="52"/>
      <c r="UKE1263" s="52"/>
      <c r="UKF1263" s="52"/>
      <c r="UKG1263" s="52"/>
      <c r="UKH1263" s="52"/>
      <c r="UKI1263" s="52"/>
      <c r="UKJ1263" s="52"/>
      <c r="UKK1263" s="52"/>
      <c r="UKL1263" s="52"/>
      <c r="UKM1263" s="52"/>
      <c r="UKN1263" s="52"/>
      <c r="UKO1263" s="52"/>
      <c r="UKP1263" s="52"/>
      <c r="UKQ1263" s="52"/>
      <c r="UKR1263" s="52"/>
      <c r="UKS1263" s="52"/>
      <c r="UKT1263" s="52"/>
      <c r="UKU1263" s="52"/>
      <c r="UKV1263" s="52"/>
      <c r="UKW1263" s="52"/>
      <c r="UKX1263" s="52"/>
      <c r="UKY1263" s="52"/>
      <c r="UKZ1263" s="52"/>
      <c r="ULA1263" s="52"/>
      <c r="ULB1263" s="52"/>
      <c r="ULC1263" s="52"/>
      <c r="ULD1263" s="52"/>
      <c r="ULE1263" s="52"/>
      <c r="ULF1263" s="52"/>
      <c r="ULG1263" s="52"/>
      <c r="ULH1263" s="52"/>
      <c r="ULI1263" s="52"/>
      <c r="ULJ1263" s="52"/>
      <c r="ULK1263" s="52"/>
      <c r="ULL1263" s="52"/>
      <c r="ULM1263" s="52"/>
      <c r="ULN1263" s="52"/>
      <c r="ULO1263" s="52"/>
      <c r="ULP1263" s="52"/>
      <c r="ULQ1263" s="52"/>
      <c r="ULR1263" s="52"/>
      <c r="ULS1263" s="52"/>
      <c r="ULT1263" s="52"/>
      <c r="ULU1263" s="52"/>
      <c r="ULV1263" s="52"/>
      <c r="ULW1263" s="52"/>
      <c r="ULX1263" s="52"/>
      <c r="ULY1263" s="52"/>
      <c r="ULZ1263" s="52"/>
      <c r="UMA1263" s="52"/>
      <c r="UMB1263" s="52"/>
      <c r="UMC1263" s="52"/>
      <c r="UMD1263" s="52"/>
      <c r="UME1263" s="52"/>
      <c r="UMF1263" s="52"/>
      <c r="UMG1263" s="52"/>
      <c r="UMH1263" s="52"/>
      <c r="UMI1263" s="52"/>
      <c r="UMJ1263" s="52"/>
      <c r="UMK1263" s="52"/>
      <c r="UML1263" s="52"/>
      <c r="UMM1263" s="52"/>
      <c r="UMN1263" s="52"/>
      <c r="UMO1263" s="52"/>
      <c r="UMP1263" s="52"/>
      <c r="UMQ1263" s="52"/>
      <c r="UMR1263" s="52"/>
      <c r="UMS1263" s="52"/>
      <c r="UMT1263" s="52"/>
      <c r="UMU1263" s="52"/>
      <c r="UMV1263" s="52"/>
      <c r="UMW1263" s="52"/>
      <c r="UMX1263" s="52"/>
      <c r="UMY1263" s="52"/>
      <c r="UMZ1263" s="52"/>
      <c r="UNA1263" s="52"/>
      <c r="UNB1263" s="52"/>
      <c r="UNC1263" s="52"/>
      <c r="UND1263" s="52"/>
      <c r="UNE1263" s="52"/>
      <c r="UNF1263" s="52"/>
      <c r="UNG1263" s="52"/>
      <c r="UNH1263" s="52"/>
      <c r="UNI1263" s="52"/>
      <c r="UNJ1263" s="52"/>
      <c r="UNK1263" s="52"/>
      <c r="UNL1263" s="52"/>
      <c r="UNM1263" s="52"/>
      <c r="UNN1263" s="52"/>
      <c r="UNO1263" s="52"/>
      <c r="UNP1263" s="52"/>
      <c r="UNQ1263" s="52"/>
      <c r="UNR1263" s="52"/>
      <c r="UNS1263" s="52"/>
      <c r="UNT1263" s="52"/>
      <c r="UNU1263" s="52"/>
      <c r="UNV1263" s="52"/>
      <c r="UNW1263" s="52"/>
      <c r="UNX1263" s="52"/>
      <c r="UNY1263" s="52"/>
      <c r="UNZ1263" s="52"/>
      <c r="UOA1263" s="52"/>
      <c r="UOB1263" s="52"/>
      <c r="UOC1263" s="52"/>
      <c r="UOD1263" s="52"/>
      <c r="UOE1263" s="52"/>
      <c r="UOF1263" s="52"/>
      <c r="UOG1263" s="52"/>
      <c r="UOH1263" s="52"/>
      <c r="UOI1263" s="52"/>
      <c r="UOJ1263" s="52"/>
      <c r="UOK1263" s="52"/>
      <c r="UOL1263" s="52"/>
      <c r="UOM1263" s="52"/>
      <c r="UON1263" s="52"/>
      <c r="UOO1263" s="52"/>
      <c r="UOP1263" s="52"/>
      <c r="UOQ1263" s="52"/>
      <c r="UOR1263" s="52"/>
      <c r="UOS1263" s="52"/>
      <c r="UOT1263" s="52"/>
      <c r="UOU1263" s="52"/>
      <c r="UOV1263" s="52"/>
      <c r="UOW1263" s="52"/>
      <c r="UOX1263" s="52"/>
      <c r="UOY1263" s="52"/>
      <c r="UOZ1263" s="52"/>
      <c r="UPA1263" s="52"/>
      <c r="UPB1263" s="52"/>
      <c r="UPC1263" s="52"/>
      <c r="UPD1263" s="52"/>
      <c r="UPE1263" s="52"/>
      <c r="UPF1263" s="52"/>
      <c r="UPG1263" s="52"/>
      <c r="UPH1263" s="52"/>
      <c r="UPI1263" s="52"/>
      <c r="UPJ1263" s="52"/>
      <c r="UPK1263" s="52"/>
      <c r="UPL1263" s="52"/>
      <c r="UPM1263" s="52"/>
      <c r="UPN1263" s="52"/>
      <c r="UPO1263" s="52"/>
      <c r="UPP1263" s="52"/>
      <c r="UPQ1263" s="52"/>
      <c r="UPR1263" s="52"/>
      <c r="UPS1263" s="52"/>
      <c r="UPT1263" s="52"/>
      <c r="UPU1263" s="52"/>
      <c r="UPV1263" s="52"/>
      <c r="UPW1263" s="52"/>
      <c r="UPX1263" s="52"/>
      <c r="UPY1263" s="52"/>
      <c r="UPZ1263" s="52"/>
      <c r="UQA1263" s="52"/>
      <c r="UQB1263" s="52"/>
      <c r="UQC1263" s="52"/>
      <c r="UQD1263" s="52"/>
      <c r="UQE1263" s="52"/>
      <c r="UQF1263" s="52"/>
      <c r="UQG1263" s="52"/>
      <c r="UQH1263" s="52"/>
      <c r="UQI1263" s="52"/>
      <c r="UQJ1263" s="52"/>
      <c r="UQK1263" s="52"/>
      <c r="UQL1263" s="52"/>
      <c r="UQM1263" s="52"/>
      <c r="UQN1263" s="52"/>
      <c r="UQO1263" s="52"/>
      <c r="UQP1263" s="52"/>
      <c r="UQQ1263" s="52"/>
      <c r="UQR1263" s="52"/>
      <c r="UQS1263" s="52"/>
      <c r="UQT1263" s="52"/>
      <c r="UQU1263" s="52"/>
      <c r="UQV1263" s="52"/>
      <c r="UQW1263" s="52"/>
      <c r="UQX1263" s="52"/>
      <c r="UQY1263" s="52"/>
      <c r="UQZ1263" s="52"/>
      <c r="URA1263" s="52"/>
      <c r="URB1263" s="52"/>
      <c r="URC1263" s="52"/>
      <c r="URD1263" s="52"/>
      <c r="URE1263" s="52"/>
      <c r="URF1263" s="52"/>
      <c r="URG1263" s="52"/>
      <c r="URH1263" s="52"/>
      <c r="URI1263" s="52"/>
      <c r="URJ1263" s="52"/>
      <c r="URK1263" s="52"/>
      <c r="URL1263" s="52"/>
      <c r="URM1263" s="52"/>
      <c r="URN1263" s="52"/>
      <c r="URO1263" s="52"/>
      <c r="URP1263" s="52"/>
      <c r="URQ1263" s="52"/>
      <c r="URR1263" s="52"/>
      <c r="URS1263" s="52"/>
      <c r="URT1263" s="52"/>
      <c r="URU1263" s="52"/>
      <c r="URV1263" s="52"/>
      <c r="URW1263" s="52"/>
      <c r="URX1263" s="52"/>
      <c r="URY1263" s="52"/>
      <c r="URZ1263" s="52"/>
      <c r="USA1263" s="52"/>
      <c r="USB1263" s="52"/>
      <c r="USC1263" s="52"/>
      <c r="USD1263" s="52"/>
      <c r="USE1263" s="52"/>
      <c r="USF1263" s="52"/>
      <c r="USG1263" s="52"/>
      <c r="USH1263" s="52"/>
      <c r="USI1263" s="52"/>
      <c r="USJ1263" s="52"/>
      <c r="USK1263" s="52"/>
      <c r="USL1263" s="52"/>
      <c r="USM1263" s="52"/>
      <c r="USN1263" s="52"/>
      <c r="USO1263" s="52"/>
      <c r="USP1263" s="52"/>
      <c r="USQ1263" s="52"/>
      <c r="USR1263" s="52"/>
      <c r="USS1263" s="52"/>
      <c r="UST1263" s="52"/>
      <c r="USU1263" s="52"/>
      <c r="USV1263" s="52"/>
      <c r="USW1263" s="52"/>
      <c r="USX1263" s="52"/>
      <c r="USY1263" s="52"/>
      <c r="USZ1263" s="52"/>
      <c r="UTA1263" s="52"/>
      <c r="UTB1263" s="52"/>
      <c r="UTC1263" s="52"/>
      <c r="UTD1263" s="52"/>
      <c r="UTE1263" s="52"/>
      <c r="UTF1263" s="52"/>
      <c r="UTG1263" s="52"/>
      <c r="UTH1263" s="52"/>
      <c r="UTI1263" s="52"/>
      <c r="UTJ1263" s="52"/>
      <c r="UTK1263" s="52"/>
      <c r="UTL1263" s="52"/>
      <c r="UTM1263" s="52"/>
      <c r="UTN1263" s="52"/>
      <c r="UTO1263" s="52"/>
      <c r="UTP1263" s="52"/>
      <c r="UTQ1263" s="52"/>
      <c r="UTR1263" s="52"/>
      <c r="UTS1263" s="52"/>
      <c r="UTT1263" s="52"/>
      <c r="UTU1263" s="52"/>
      <c r="UTV1263" s="52"/>
      <c r="UTW1263" s="52"/>
      <c r="UTX1263" s="52"/>
      <c r="UTY1263" s="52"/>
      <c r="UTZ1263" s="52"/>
      <c r="UUA1263" s="52"/>
      <c r="UUB1263" s="52"/>
      <c r="UUC1263" s="52"/>
      <c r="UUD1263" s="52"/>
      <c r="UUE1263" s="52"/>
      <c r="UUF1263" s="52"/>
      <c r="UUG1263" s="52"/>
      <c r="UUH1263" s="52"/>
      <c r="UUI1263" s="52"/>
      <c r="UUJ1263" s="52"/>
      <c r="UUK1263" s="52"/>
      <c r="UUL1263" s="52"/>
      <c r="UUM1263" s="52"/>
      <c r="UUN1263" s="52"/>
      <c r="UUO1263" s="52"/>
      <c r="UUP1263" s="52"/>
      <c r="UUQ1263" s="52"/>
      <c r="UUR1263" s="52"/>
      <c r="UUS1263" s="52"/>
      <c r="UUT1263" s="52"/>
      <c r="UUU1263" s="52"/>
      <c r="UUV1263" s="52"/>
      <c r="UUW1263" s="52"/>
      <c r="UUX1263" s="52"/>
      <c r="UUY1263" s="52"/>
      <c r="UUZ1263" s="52"/>
      <c r="UVA1263" s="52"/>
      <c r="UVB1263" s="52"/>
      <c r="UVC1263" s="52"/>
      <c r="UVD1263" s="52"/>
      <c r="UVE1263" s="52"/>
      <c r="UVF1263" s="52"/>
      <c r="UVG1263" s="52"/>
      <c r="UVH1263" s="52"/>
      <c r="UVI1263" s="52"/>
      <c r="UVJ1263" s="52"/>
      <c r="UVK1263" s="52"/>
      <c r="UVL1263" s="52"/>
      <c r="UVM1263" s="52"/>
      <c r="UVN1263" s="52"/>
      <c r="UVO1263" s="52"/>
      <c r="UVP1263" s="52"/>
      <c r="UVQ1263" s="52"/>
      <c r="UVR1263" s="52"/>
      <c r="UVS1263" s="52"/>
      <c r="UVT1263" s="52"/>
      <c r="UVU1263" s="52"/>
      <c r="UVV1263" s="52"/>
      <c r="UVW1263" s="52"/>
      <c r="UVX1263" s="52"/>
      <c r="UVY1263" s="52"/>
      <c r="UVZ1263" s="52"/>
      <c r="UWA1263" s="52"/>
      <c r="UWB1263" s="52"/>
      <c r="UWC1263" s="52"/>
      <c r="UWD1263" s="52"/>
      <c r="UWE1263" s="52"/>
      <c r="UWF1263" s="52"/>
      <c r="UWG1263" s="52"/>
      <c r="UWH1263" s="52"/>
      <c r="UWI1263" s="52"/>
      <c r="UWJ1263" s="52"/>
      <c r="UWK1263" s="52"/>
      <c r="UWL1263" s="52"/>
      <c r="UWM1263" s="52"/>
      <c r="UWN1263" s="52"/>
      <c r="UWO1263" s="52"/>
      <c r="UWP1263" s="52"/>
      <c r="UWQ1263" s="52"/>
      <c r="UWR1263" s="52"/>
      <c r="UWS1263" s="52"/>
      <c r="UWT1263" s="52"/>
      <c r="UWU1263" s="52"/>
      <c r="UWV1263" s="52"/>
      <c r="UWW1263" s="52"/>
      <c r="UWX1263" s="52"/>
      <c r="UWY1263" s="52"/>
      <c r="UWZ1263" s="52"/>
      <c r="UXA1263" s="52"/>
      <c r="UXB1263" s="52"/>
      <c r="UXC1263" s="52"/>
      <c r="UXD1263" s="52"/>
      <c r="UXE1263" s="52"/>
      <c r="UXF1263" s="52"/>
      <c r="UXG1263" s="52"/>
      <c r="UXH1263" s="52"/>
      <c r="UXI1263" s="52"/>
      <c r="UXJ1263" s="52"/>
      <c r="UXK1263" s="52"/>
      <c r="UXL1263" s="52"/>
      <c r="UXM1263" s="52"/>
      <c r="UXN1263" s="52"/>
      <c r="UXO1263" s="52"/>
      <c r="UXP1263" s="52"/>
      <c r="UXQ1263" s="52"/>
      <c r="UXR1263" s="52"/>
      <c r="UXS1263" s="52"/>
      <c r="UXT1263" s="52"/>
      <c r="UXU1263" s="52"/>
      <c r="UXV1263" s="52"/>
      <c r="UXW1263" s="52"/>
      <c r="UXX1263" s="52"/>
      <c r="UXY1263" s="52"/>
      <c r="UXZ1263" s="52"/>
      <c r="UYA1263" s="52"/>
      <c r="UYB1263" s="52"/>
      <c r="UYC1263" s="52"/>
      <c r="UYD1263" s="52"/>
      <c r="UYE1263" s="52"/>
      <c r="UYF1263" s="52"/>
      <c r="UYG1263" s="52"/>
      <c r="UYH1263" s="52"/>
      <c r="UYI1263" s="52"/>
      <c r="UYJ1263" s="52"/>
      <c r="UYK1263" s="52"/>
      <c r="UYL1263" s="52"/>
      <c r="UYM1263" s="52"/>
      <c r="UYN1263" s="52"/>
      <c r="UYO1263" s="52"/>
      <c r="UYP1263" s="52"/>
      <c r="UYQ1263" s="52"/>
      <c r="UYR1263" s="52"/>
      <c r="UYS1263" s="52"/>
      <c r="UYT1263" s="52"/>
      <c r="UYU1263" s="52"/>
      <c r="UYV1263" s="52"/>
      <c r="UYW1263" s="52"/>
      <c r="UYX1263" s="52"/>
      <c r="UYY1263" s="52"/>
      <c r="UYZ1263" s="52"/>
      <c r="UZA1263" s="52"/>
      <c r="UZB1263" s="52"/>
      <c r="UZC1263" s="52"/>
      <c r="UZD1263" s="52"/>
      <c r="UZE1263" s="52"/>
      <c r="UZF1263" s="52"/>
      <c r="UZG1263" s="52"/>
      <c r="UZH1263" s="52"/>
      <c r="UZI1263" s="52"/>
      <c r="UZJ1263" s="52"/>
      <c r="UZK1263" s="52"/>
      <c r="UZL1263" s="52"/>
      <c r="UZM1263" s="52"/>
      <c r="UZN1263" s="52"/>
      <c r="UZO1263" s="52"/>
      <c r="UZP1263" s="52"/>
      <c r="UZQ1263" s="52"/>
      <c r="UZR1263" s="52"/>
      <c r="UZS1263" s="52"/>
      <c r="UZT1263" s="52"/>
      <c r="UZU1263" s="52"/>
      <c r="UZV1263" s="52"/>
      <c r="UZW1263" s="52"/>
      <c r="UZX1263" s="52"/>
      <c r="UZY1263" s="52"/>
      <c r="UZZ1263" s="52"/>
      <c r="VAA1263" s="52"/>
      <c r="VAB1263" s="52"/>
      <c r="VAC1263" s="52"/>
      <c r="VAD1263" s="52"/>
      <c r="VAE1263" s="52"/>
      <c r="VAF1263" s="52"/>
      <c r="VAG1263" s="52"/>
      <c r="VAH1263" s="52"/>
      <c r="VAI1263" s="52"/>
      <c r="VAJ1263" s="52"/>
      <c r="VAK1263" s="52"/>
      <c r="VAL1263" s="52"/>
      <c r="VAM1263" s="52"/>
      <c r="VAN1263" s="52"/>
      <c r="VAO1263" s="52"/>
      <c r="VAP1263" s="52"/>
      <c r="VAQ1263" s="52"/>
      <c r="VAR1263" s="52"/>
      <c r="VAS1263" s="52"/>
      <c r="VAT1263" s="52"/>
      <c r="VAU1263" s="52"/>
      <c r="VAV1263" s="52"/>
      <c r="VAW1263" s="52"/>
      <c r="VAX1263" s="52"/>
      <c r="VAY1263" s="52"/>
      <c r="VAZ1263" s="52"/>
      <c r="VBA1263" s="52"/>
      <c r="VBB1263" s="52"/>
      <c r="VBC1263" s="52"/>
      <c r="VBD1263" s="52"/>
      <c r="VBE1263" s="52"/>
      <c r="VBF1263" s="52"/>
      <c r="VBG1263" s="52"/>
      <c r="VBH1263" s="52"/>
      <c r="VBI1263" s="52"/>
      <c r="VBJ1263" s="52"/>
      <c r="VBK1263" s="52"/>
      <c r="VBL1263" s="52"/>
      <c r="VBM1263" s="52"/>
      <c r="VBN1263" s="52"/>
      <c r="VBO1263" s="52"/>
      <c r="VBP1263" s="52"/>
      <c r="VBQ1263" s="52"/>
      <c r="VBR1263" s="52"/>
      <c r="VBS1263" s="52"/>
      <c r="VBT1263" s="52"/>
      <c r="VBU1263" s="52"/>
      <c r="VBV1263" s="52"/>
      <c r="VBW1263" s="52"/>
      <c r="VBX1263" s="52"/>
      <c r="VBY1263" s="52"/>
      <c r="VBZ1263" s="52"/>
      <c r="VCA1263" s="52"/>
      <c r="VCB1263" s="52"/>
      <c r="VCC1263" s="52"/>
      <c r="VCD1263" s="52"/>
      <c r="VCE1263" s="52"/>
      <c r="VCF1263" s="52"/>
      <c r="VCG1263" s="52"/>
      <c r="VCH1263" s="52"/>
      <c r="VCI1263" s="52"/>
      <c r="VCJ1263" s="52"/>
      <c r="VCK1263" s="52"/>
      <c r="VCL1263" s="52"/>
      <c r="VCM1263" s="52"/>
      <c r="VCN1263" s="52"/>
      <c r="VCO1263" s="52"/>
      <c r="VCP1263" s="52"/>
      <c r="VCQ1263" s="52"/>
      <c r="VCR1263" s="52"/>
      <c r="VCS1263" s="52"/>
      <c r="VCT1263" s="52"/>
      <c r="VCU1263" s="52"/>
      <c r="VCV1263" s="52"/>
      <c r="VCW1263" s="52"/>
      <c r="VCX1263" s="52"/>
      <c r="VCY1263" s="52"/>
      <c r="VCZ1263" s="52"/>
      <c r="VDA1263" s="52"/>
      <c r="VDB1263" s="52"/>
      <c r="VDC1263" s="52"/>
      <c r="VDD1263" s="52"/>
      <c r="VDE1263" s="52"/>
      <c r="VDF1263" s="52"/>
      <c r="VDG1263" s="52"/>
      <c r="VDH1263" s="52"/>
      <c r="VDI1263" s="52"/>
      <c r="VDJ1263" s="52"/>
      <c r="VDK1263" s="52"/>
      <c r="VDL1263" s="52"/>
      <c r="VDM1263" s="52"/>
      <c r="VDN1263" s="52"/>
      <c r="VDO1263" s="52"/>
      <c r="VDP1263" s="52"/>
      <c r="VDQ1263" s="52"/>
      <c r="VDR1263" s="52"/>
      <c r="VDS1263" s="52"/>
      <c r="VDT1263" s="52"/>
      <c r="VDU1263" s="52"/>
      <c r="VDV1263" s="52"/>
      <c r="VDW1263" s="52"/>
      <c r="VDX1263" s="52"/>
      <c r="VDY1263" s="52"/>
      <c r="VDZ1263" s="52"/>
      <c r="VEA1263" s="52"/>
      <c r="VEB1263" s="52"/>
      <c r="VEC1263" s="52"/>
      <c r="VED1263" s="52"/>
      <c r="VEE1263" s="52"/>
      <c r="VEF1263" s="52"/>
      <c r="VEG1263" s="52"/>
      <c r="VEH1263" s="52"/>
      <c r="VEI1263" s="52"/>
      <c r="VEJ1263" s="52"/>
      <c r="VEK1263" s="52"/>
      <c r="VEL1263" s="52"/>
      <c r="VEM1263" s="52"/>
      <c r="VEN1263" s="52"/>
      <c r="VEO1263" s="52"/>
      <c r="VEP1263" s="52"/>
      <c r="VEQ1263" s="52"/>
      <c r="VER1263" s="52"/>
      <c r="VES1263" s="52"/>
      <c r="VET1263" s="52"/>
      <c r="VEU1263" s="52"/>
      <c r="VEV1263" s="52"/>
      <c r="VEW1263" s="52"/>
      <c r="VEX1263" s="52"/>
      <c r="VEY1263" s="52"/>
      <c r="VEZ1263" s="52"/>
      <c r="VFA1263" s="52"/>
      <c r="VFB1263" s="52"/>
      <c r="VFC1263" s="52"/>
      <c r="VFD1263" s="52"/>
      <c r="VFE1263" s="52"/>
      <c r="VFF1263" s="52"/>
      <c r="VFG1263" s="52"/>
      <c r="VFH1263" s="52"/>
      <c r="VFI1263" s="52"/>
      <c r="VFJ1263" s="52"/>
      <c r="VFK1263" s="52"/>
      <c r="VFL1263" s="52"/>
      <c r="VFM1263" s="52"/>
      <c r="VFN1263" s="52"/>
      <c r="VFO1263" s="52"/>
      <c r="VFP1263" s="52"/>
      <c r="VFQ1263" s="52"/>
      <c r="VFR1263" s="52"/>
      <c r="VFS1263" s="52"/>
      <c r="VFT1263" s="52"/>
      <c r="VFU1263" s="52"/>
      <c r="VFV1263" s="52"/>
      <c r="VFW1263" s="52"/>
      <c r="VFX1263" s="52"/>
      <c r="VFY1263" s="52"/>
      <c r="VFZ1263" s="52"/>
      <c r="VGA1263" s="52"/>
      <c r="VGB1263" s="52"/>
      <c r="VGC1263" s="52"/>
      <c r="VGD1263" s="52"/>
      <c r="VGE1263" s="52"/>
      <c r="VGF1263" s="52"/>
      <c r="VGG1263" s="52"/>
      <c r="VGH1263" s="52"/>
      <c r="VGI1263" s="52"/>
      <c r="VGJ1263" s="52"/>
      <c r="VGK1263" s="52"/>
      <c r="VGL1263" s="52"/>
      <c r="VGM1263" s="52"/>
      <c r="VGN1263" s="52"/>
      <c r="VGO1263" s="52"/>
      <c r="VGP1263" s="52"/>
      <c r="VGQ1263" s="52"/>
      <c r="VGR1263" s="52"/>
      <c r="VGS1263" s="52"/>
      <c r="VGT1263" s="52"/>
      <c r="VGU1263" s="52"/>
      <c r="VGV1263" s="52"/>
      <c r="VGW1263" s="52"/>
      <c r="VGX1263" s="52"/>
      <c r="VGY1263" s="52"/>
      <c r="VGZ1263" s="52"/>
      <c r="VHA1263" s="52"/>
      <c r="VHB1263" s="52"/>
      <c r="VHC1263" s="52"/>
      <c r="VHD1263" s="52"/>
      <c r="VHE1263" s="52"/>
      <c r="VHF1263" s="52"/>
      <c r="VHG1263" s="52"/>
      <c r="VHH1263" s="52"/>
      <c r="VHI1263" s="52"/>
      <c r="VHJ1263" s="52"/>
      <c r="VHK1263" s="52"/>
      <c r="VHL1263" s="52"/>
      <c r="VHM1263" s="52"/>
      <c r="VHN1263" s="52"/>
      <c r="VHO1263" s="52"/>
      <c r="VHP1263" s="52"/>
      <c r="VHQ1263" s="52"/>
      <c r="VHR1263" s="52"/>
      <c r="VHS1263" s="52"/>
      <c r="VHT1263" s="52"/>
      <c r="VHU1263" s="52"/>
      <c r="VHV1263" s="52"/>
      <c r="VHW1263" s="52"/>
      <c r="VHX1263" s="52"/>
      <c r="VHY1263" s="52"/>
      <c r="VHZ1263" s="52"/>
      <c r="VIA1263" s="52"/>
      <c r="VIB1263" s="52"/>
      <c r="VIC1263" s="52"/>
      <c r="VID1263" s="52"/>
      <c r="VIE1263" s="52"/>
      <c r="VIF1263" s="52"/>
      <c r="VIG1263" s="52"/>
      <c r="VIH1263" s="52"/>
      <c r="VII1263" s="52"/>
      <c r="VIJ1263" s="52"/>
      <c r="VIK1263" s="52"/>
      <c r="VIL1263" s="52"/>
      <c r="VIM1263" s="52"/>
      <c r="VIN1263" s="52"/>
      <c r="VIO1263" s="52"/>
      <c r="VIP1263" s="52"/>
      <c r="VIQ1263" s="52"/>
      <c r="VIR1263" s="52"/>
      <c r="VIS1263" s="52"/>
      <c r="VIT1263" s="52"/>
      <c r="VIU1263" s="52"/>
      <c r="VIV1263" s="52"/>
      <c r="VIW1263" s="52"/>
      <c r="VIX1263" s="52"/>
      <c r="VIY1263" s="52"/>
      <c r="VIZ1263" s="52"/>
      <c r="VJA1263" s="52"/>
      <c r="VJB1263" s="52"/>
      <c r="VJC1263" s="52"/>
      <c r="VJD1263" s="52"/>
      <c r="VJE1263" s="52"/>
      <c r="VJF1263" s="52"/>
      <c r="VJG1263" s="52"/>
      <c r="VJH1263" s="52"/>
      <c r="VJI1263" s="52"/>
      <c r="VJJ1263" s="52"/>
      <c r="VJK1263" s="52"/>
      <c r="VJL1263" s="52"/>
      <c r="VJM1263" s="52"/>
      <c r="VJN1263" s="52"/>
      <c r="VJO1263" s="52"/>
      <c r="VJP1263" s="52"/>
      <c r="VJQ1263" s="52"/>
      <c r="VJR1263" s="52"/>
      <c r="VJS1263" s="52"/>
      <c r="VJT1263" s="52"/>
      <c r="VJU1263" s="52"/>
      <c r="VJV1263" s="52"/>
      <c r="VJW1263" s="52"/>
      <c r="VJX1263" s="52"/>
      <c r="VJY1263" s="52"/>
      <c r="VJZ1263" s="52"/>
      <c r="VKA1263" s="52"/>
      <c r="VKB1263" s="52"/>
      <c r="VKC1263" s="52"/>
      <c r="VKD1263" s="52"/>
      <c r="VKE1263" s="52"/>
      <c r="VKF1263" s="52"/>
      <c r="VKG1263" s="52"/>
      <c r="VKH1263" s="52"/>
      <c r="VKI1263" s="52"/>
      <c r="VKJ1263" s="52"/>
      <c r="VKK1263" s="52"/>
      <c r="VKL1263" s="52"/>
      <c r="VKM1263" s="52"/>
      <c r="VKN1263" s="52"/>
      <c r="VKO1263" s="52"/>
      <c r="VKP1263" s="52"/>
      <c r="VKQ1263" s="52"/>
      <c r="VKR1263" s="52"/>
      <c r="VKS1263" s="52"/>
      <c r="VKT1263" s="52"/>
      <c r="VKU1263" s="52"/>
      <c r="VKV1263" s="52"/>
      <c r="VKW1263" s="52"/>
      <c r="VKX1263" s="52"/>
      <c r="VKY1263" s="52"/>
      <c r="VKZ1263" s="52"/>
      <c r="VLA1263" s="52"/>
      <c r="VLB1263" s="52"/>
      <c r="VLC1263" s="52"/>
      <c r="VLD1263" s="52"/>
      <c r="VLE1263" s="52"/>
      <c r="VLF1263" s="52"/>
      <c r="VLG1263" s="52"/>
      <c r="VLH1263" s="52"/>
      <c r="VLI1263" s="52"/>
      <c r="VLJ1263" s="52"/>
      <c r="VLK1263" s="52"/>
      <c r="VLL1263" s="52"/>
      <c r="VLM1263" s="52"/>
      <c r="VLN1263" s="52"/>
      <c r="VLO1263" s="52"/>
      <c r="VLP1263" s="52"/>
      <c r="VLQ1263" s="52"/>
      <c r="VLR1263" s="52"/>
      <c r="VLS1263" s="52"/>
      <c r="VLT1263" s="52"/>
      <c r="VLU1263" s="52"/>
      <c r="VLV1263" s="52"/>
      <c r="VLW1263" s="52"/>
      <c r="VLX1263" s="52"/>
      <c r="VLY1263" s="52"/>
      <c r="VLZ1263" s="52"/>
      <c r="VMA1263" s="52"/>
      <c r="VMB1263" s="52"/>
      <c r="VMC1263" s="52"/>
      <c r="VMD1263" s="52"/>
      <c r="VME1263" s="52"/>
      <c r="VMF1263" s="52"/>
      <c r="VMG1263" s="52"/>
      <c r="VMH1263" s="52"/>
      <c r="VMI1263" s="52"/>
      <c r="VMJ1263" s="52"/>
      <c r="VMK1263" s="52"/>
      <c r="VML1263" s="52"/>
      <c r="VMM1263" s="52"/>
      <c r="VMN1263" s="52"/>
      <c r="VMO1263" s="52"/>
      <c r="VMP1263" s="52"/>
      <c r="VMQ1263" s="52"/>
      <c r="VMR1263" s="52"/>
      <c r="VMS1263" s="52"/>
      <c r="VMT1263" s="52"/>
      <c r="VMU1263" s="52"/>
      <c r="VMV1263" s="52"/>
      <c r="VMW1263" s="52"/>
      <c r="VMX1263" s="52"/>
      <c r="VMY1263" s="52"/>
      <c r="VMZ1263" s="52"/>
      <c r="VNA1263" s="52"/>
      <c r="VNB1263" s="52"/>
      <c r="VNC1263" s="52"/>
      <c r="VND1263" s="52"/>
      <c r="VNE1263" s="52"/>
      <c r="VNF1263" s="52"/>
      <c r="VNG1263" s="52"/>
      <c r="VNH1263" s="52"/>
      <c r="VNI1263" s="52"/>
      <c r="VNJ1263" s="52"/>
      <c r="VNK1263" s="52"/>
      <c r="VNL1263" s="52"/>
      <c r="VNM1263" s="52"/>
      <c r="VNN1263" s="52"/>
      <c r="VNO1263" s="52"/>
      <c r="VNP1263" s="52"/>
      <c r="VNQ1263" s="52"/>
      <c r="VNR1263" s="52"/>
      <c r="VNS1263" s="52"/>
      <c r="VNT1263" s="52"/>
      <c r="VNU1263" s="52"/>
      <c r="VNV1263" s="52"/>
      <c r="VNW1263" s="52"/>
      <c r="VNX1263" s="52"/>
      <c r="VNY1263" s="52"/>
      <c r="VNZ1263" s="52"/>
      <c r="VOA1263" s="52"/>
      <c r="VOB1263" s="52"/>
      <c r="VOC1263" s="52"/>
      <c r="VOD1263" s="52"/>
      <c r="VOE1263" s="52"/>
      <c r="VOF1263" s="52"/>
      <c r="VOG1263" s="52"/>
      <c r="VOH1263" s="52"/>
      <c r="VOI1263" s="52"/>
      <c r="VOJ1263" s="52"/>
      <c r="VOK1263" s="52"/>
      <c r="VOL1263" s="52"/>
      <c r="VOM1263" s="52"/>
      <c r="VON1263" s="52"/>
      <c r="VOO1263" s="52"/>
      <c r="VOP1263" s="52"/>
      <c r="VOQ1263" s="52"/>
      <c r="VOR1263" s="52"/>
      <c r="VOS1263" s="52"/>
      <c r="VOT1263" s="52"/>
      <c r="VOU1263" s="52"/>
      <c r="VOV1263" s="52"/>
      <c r="VOW1263" s="52"/>
      <c r="VOX1263" s="52"/>
      <c r="VOY1263" s="52"/>
      <c r="VOZ1263" s="52"/>
      <c r="VPA1263" s="52"/>
      <c r="VPB1263" s="52"/>
      <c r="VPC1263" s="52"/>
      <c r="VPD1263" s="52"/>
      <c r="VPE1263" s="52"/>
      <c r="VPF1263" s="52"/>
      <c r="VPG1263" s="52"/>
      <c r="VPH1263" s="52"/>
      <c r="VPI1263" s="52"/>
      <c r="VPJ1263" s="52"/>
      <c r="VPK1263" s="52"/>
      <c r="VPL1263" s="52"/>
      <c r="VPM1263" s="52"/>
      <c r="VPN1263" s="52"/>
      <c r="VPO1263" s="52"/>
      <c r="VPP1263" s="52"/>
      <c r="VPQ1263" s="52"/>
      <c r="VPR1263" s="52"/>
      <c r="VPS1263" s="52"/>
      <c r="VPT1263" s="52"/>
      <c r="VPU1263" s="52"/>
      <c r="VPV1263" s="52"/>
      <c r="VPW1263" s="52"/>
      <c r="VPX1263" s="52"/>
      <c r="VPY1263" s="52"/>
      <c r="VPZ1263" s="52"/>
      <c r="VQA1263" s="52"/>
      <c r="VQB1263" s="52"/>
      <c r="VQC1263" s="52"/>
      <c r="VQD1263" s="52"/>
      <c r="VQE1263" s="52"/>
      <c r="VQF1263" s="52"/>
      <c r="VQG1263" s="52"/>
      <c r="VQH1263" s="52"/>
      <c r="VQI1263" s="52"/>
      <c r="VQJ1263" s="52"/>
      <c r="VQK1263" s="52"/>
      <c r="VQL1263" s="52"/>
      <c r="VQM1263" s="52"/>
      <c r="VQN1263" s="52"/>
      <c r="VQO1263" s="52"/>
      <c r="VQP1263" s="52"/>
      <c r="VQQ1263" s="52"/>
      <c r="VQR1263" s="52"/>
      <c r="VQS1263" s="52"/>
      <c r="VQT1263" s="52"/>
      <c r="VQU1263" s="52"/>
      <c r="VQV1263" s="52"/>
      <c r="VQW1263" s="52"/>
      <c r="VQX1263" s="52"/>
      <c r="VQY1263" s="52"/>
      <c r="VQZ1263" s="52"/>
      <c r="VRA1263" s="52"/>
      <c r="VRB1263" s="52"/>
      <c r="VRC1263" s="52"/>
      <c r="VRD1263" s="52"/>
      <c r="VRE1263" s="52"/>
      <c r="VRF1263" s="52"/>
      <c r="VRG1263" s="52"/>
      <c r="VRH1263" s="52"/>
      <c r="VRI1263" s="52"/>
      <c r="VRJ1263" s="52"/>
      <c r="VRK1263" s="52"/>
      <c r="VRL1263" s="52"/>
      <c r="VRM1263" s="52"/>
      <c r="VRN1263" s="52"/>
      <c r="VRO1263" s="52"/>
      <c r="VRP1263" s="52"/>
      <c r="VRQ1263" s="52"/>
      <c r="VRR1263" s="52"/>
      <c r="VRS1263" s="52"/>
      <c r="VRT1263" s="52"/>
      <c r="VRU1263" s="52"/>
      <c r="VRV1263" s="52"/>
      <c r="VRW1263" s="52"/>
      <c r="VRX1263" s="52"/>
      <c r="VRY1263" s="52"/>
      <c r="VRZ1263" s="52"/>
      <c r="VSA1263" s="52"/>
      <c r="VSB1263" s="52"/>
      <c r="VSC1263" s="52"/>
      <c r="VSD1263" s="52"/>
      <c r="VSE1263" s="52"/>
      <c r="VSF1263" s="52"/>
      <c r="VSG1263" s="52"/>
      <c r="VSH1263" s="52"/>
      <c r="VSI1263" s="52"/>
      <c r="VSJ1263" s="52"/>
      <c r="VSK1263" s="52"/>
      <c r="VSL1263" s="52"/>
      <c r="VSM1263" s="52"/>
      <c r="VSN1263" s="52"/>
      <c r="VSO1263" s="52"/>
      <c r="VSP1263" s="52"/>
      <c r="VSQ1263" s="52"/>
      <c r="VSR1263" s="52"/>
      <c r="VSS1263" s="52"/>
      <c r="VST1263" s="52"/>
      <c r="VSU1263" s="52"/>
      <c r="VSV1263" s="52"/>
      <c r="VSW1263" s="52"/>
      <c r="VSX1263" s="52"/>
      <c r="VSY1263" s="52"/>
      <c r="VSZ1263" s="52"/>
      <c r="VTA1263" s="52"/>
      <c r="VTB1263" s="52"/>
      <c r="VTC1263" s="52"/>
      <c r="VTD1263" s="52"/>
      <c r="VTE1263" s="52"/>
      <c r="VTF1263" s="52"/>
      <c r="VTG1263" s="52"/>
      <c r="VTH1263" s="52"/>
      <c r="VTI1263" s="52"/>
      <c r="VTJ1263" s="52"/>
      <c r="VTK1263" s="52"/>
      <c r="VTL1263" s="52"/>
      <c r="VTM1263" s="52"/>
      <c r="VTN1263" s="52"/>
      <c r="VTO1263" s="52"/>
      <c r="VTP1263" s="52"/>
      <c r="VTQ1263" s="52"/>
      <c r="VTR1263" s="52"/>
      <c r="VTS1263" s="52"/>
      <c r="VTT1263" s="52"/>
      <c r="VTU1263" s="52"/>
      <c r="VTV1263" s="52"/>
      <c r="VTW1263" s="52"/>
      <c r="VTX1263" s="52"/>
      <c r="VTY1263" s="52"/>
      <c r="VTZ1263" s="52"/>
      <c r="VUA1263" s="52"/>
      <c r="VUB1263" s="52"/>
      <c r="VUC1263" s="52"/>
      <c r="VUD1263" s="52"/>
      <c r="VUE1263" s="52"/>
      <c r="VUF1263" s="52"/>
      <c r="VUG1263" s="52"/>
      <c r="VUH1263" s="52"/>
      <c r="VUI1263" s="52"/>
      <c r="VUJ1263" s="52"/>
      <c r="VUK1263" s="52"/>
      <c r="VUL1263" s="52"/>
      <c r="VUM1263" s="52"/>
      <c r="VUN1263" s="52"/>
      <c r="VUO1263" s="52"/>
      <c r="VUP1263" s="52"/>
      <c r="VUQ1263" s="52"/>
      <c r="VUR1263" s="52"/>
      <c r="VUS1263" s="52"/>
      <c r="VUT1263" s="52"/>
      <c r="VUU1263" s="52"/>
      <c r="VUV1263" s="52"/>
      <c r="VUW1263" s="52"/>
      <c r="VUX1263" s="52"/>
      <c r="VUY1263" s="52"/>
      <c r="VUZ1263" s="52"/>
      <c r="VVA1263" s="52"/>
      <c r="VVB1263" s="52"/>
      <c r="VVC1263" s="52"/>
      <c r="VVD1263" s="52"/>
      <c r="VVE1263" s="52"/>
      <c r="VVF1263" s="52"/>
      <c r="VVG1263" s="52"/>
      <c r="VVH1263" s="52"/>
      <c r="VVI1263" s="52"/>
      <c r="VVJ1263" s="52"/>
      <c r="VVK1263" s="52"/>
      <c r="VVL1263" s="52"/>
      <c r="VVM1263" s="52"/>
      <c r="VVN1263" s="52"/>
      <c r="VVO1263" s="52"/>
      <c r="VVP1263" s="52"/>
      <c r="VVQ1263" s="52"/>
      <c r="VVR1263" s="52"/>
      <c r="VVS1263" s="52"/>
      <c r="VVT1263" s="52"/>
      <c r="VVU1263" s="52"/>
      <c r="VVV1263" s="52"/>
      <c r="VVW1263" s="52"/>
      <c r="VVX1263" s="52"/>
      <c r="VVY1263" s="52"/>
      <c r="VVZ1263" s="52"/>
      <c r="VWA1263" s="52"/>
      <c r="VWB1263" s="52"/>
      <c r="VWC1263" s="52"/>
      <c r="VWD1263" s="52"/>
      <c r="VWE1263" s="52"/>
      <c r="VWF1263" s="52"/>
      <c r="VWG1263" s="52"/>
      <c r="VWH1263" s="52"/>
      <c r="VWI1263" s="52"/>
      <c r="VWJ1263" s="52"/>
      <c r="VWK1263" s="52"/>
      <c r="VWL1263" s="52"/>
      <c r="VWM1263" s="52"/>
      <c r="VWN1263" s="52"/>
      <c r="VWO1263" s="52"/>
      <c r="VWP1263" s="52"/>
      <c r="VWQ1263" s="52"/>
      <c r="VWR1263" s="52"/>
      <c r="VWS1263" s="52"/>
      <c r="VWT1263" s="52"/>
      <c r="VWU1263" s="52"/>
      <c r="VWV1263" s="52"/>
      <c r="VWW1263" s="52"/>
      <c r="VWX1263" s="52"/>
      <c r="VWY1263" s="52"/>
      <c r="VWZ1263" s="52"/>
      <c r="VXA1263" s="52"/>
      <c r="VXB1263" s="52"/>
      <c r="VXC1263" s="52"/>
      <c r="VXD1263" s="52"/>
      <c r="VXE1263" s="52"/>
      <c r="VXF1263" s="52"/>
      <c r="VXG1263" s="52"/>
      <c r="VXH1263" s="52"/>
      <c r="VXI1263" s="52"/>
      <c r="VXJ1263" s="52"/>
      <c r="VXK1263" s="52"/>
      <c r="VXL1263" s="52"/>
      <c r="VXM1263" s="52"/>
      <c r="VXN1263" s="52"/>
      <c r="VXO1263" s="52"/>
      <c r="VXP1263" s="52"/>
      <c r="VXQ1263" s="52"/>
      <c r="VXR1263" s="52"/>
      <c r="VXS1263" s="52"/>
      <c r="VXT1263" s="52"/>
      <c r="VXU1263" s="52"/>
      <c r="VXV1263" s="52"/>
      <c r="VXW1263" s="52"/>
      <c r="VXX1263" s="52"/>
      <c r="VXY1263" s="52"/>
      <c r="VXZ1263" s="52"/>
      <c r="VYA1263" s="52"/>
      <c r="VYB1263" s="52"/>
      <c r="VYC1263" s="52"/>
      <c r="VYD1263" s="52"/>
      <c r="VYE1263" s="52"/>
      <c r="VYF1263" s="52"/>
      <c r="VYG1263" s="52"/>
      <c r="VYH1263" s="52"/>
      <c r="VYI1263" s="52"/>
      <c r="VYJ1263" s="52"/>
      <c r="VYK1263" s="52"/>
      <c r="VYL1263" s="52"/>
      <c r="VYM1263" s="52"/>
      <c r="VYN1263" s="52"/>
      <c r="VYO1263" s="52"/>
      <c r="VYP1263" s="52"/>
      <c r="VYQ1263" s="52"/>
      <c r="VYR1263" s="52"/>
      <c r="VYS1263" s="52"/>
      <c r="VYT1263" s="52"/>
      <c r="VYU1263" s="52"/>
      <c r="VYV1263" s="52"/>
      <c r="VYW1263" s="52"/>
      <c r="VYX1263" s="52"/>
      <c r="VYY1263" s="52"/>
      <c r="VYZ1263" s="52"/>
      <c r="VZA1263" s="52"/>
      <c r="VZB1263" s="52"/>
      <c r="VZC1263" s="52"/>
      <c r="VZD1263" s="52"/>
      <c r="VZE1263" s="52"/>
      <c r="VZF1263" s="52"/>
      <c r="VZG1263" s="52"/>
      <c r="VZH1263" s="52"/>
      <c r="VZI1263" s="52"/>
      <c r="VZJ1263" s="52"/>
      <c r="VZK1263" s="52"/>
      <c r="VZL1263" s="52"/>
      <c r="VZM1263" s="52"/>
      <c r="VZN1263" s="52"/>
      <c r="VZO1263" s="52"/>
      <c r="VZP1263" s="52"/>
      <c r="VZQ1263" s="52"/>
      <c r="VZR1263" s="52"/>
      <c r="VZS1263" s="52"/>
      <c r="VZT1263" s="52"/>
      <c r="VZU1263" s="52"/>
      <c r="VZV1263" s="52"/>
      <c r="VZW1263" s="52"/>
      <c r="VZX1263" s="52"/>
      <c r="VZY1263" s="52"/>
      <c r="VZZ1263" s="52"/>
      <c r="WAA1263" s="52"/>
      <c r="WAB1263" s="52"/>
      <c r="WAC1263" s="52"/>
      <c r="WAD1263" s="52"/>
      <c r="WAE1263" s="52"/>
      <c r="WAF1263" s="52"/>
      <c r="WAG1263" s="52"/>
      <c r="WAH1263" s="52"/>
      <c r="WAI1263" s="52"/>
      <c r="WAJ1263" s="52"/>
      <c r="WAK1263" s="52"/>
      <c r="WAL1263" s="52"/>
      <c r="WAM1263" s="52"/>
      <c r="WAN1263" s="52"/>
      <c r="WAO1263" s="52"/>
      <c r="WAP1263" s="52"/>
      <c r="WAQ1263" s="52"/>
      <c r="WAR1263" s="52"/>
      <c r="WAS1263" s="52"/>
      <c r="WAT1263" s="52"/>
      <c r="WAU1263" s="52"/>
      <c r="WAV1263" s="52"/>
      <c r="WAW1263" s="52"/>
      <c r="WAX1263" s="52"/>
      <c r="WAY1263" s="52"/>
      <c r="WAZ1263" s="52"/>
      <c r="WBA1263" s="52"/>
      <c r="WBB1263" s="52"/>
      <c r="WBC1263" s="52"/>
      <c r="WBD1263" s="52"/>
      <c r="WBE1263" s="52"/>
      <c r="WBF1263" s="52"/>
      <c r="WBG1263" s="52"/>
      <c r="WBH1263" s="52"/>
      <c r="WBI1263" s="52"/>
      <c r="WBJ1263" s="52"/>
      <c r="WBK1263" s="52"/>
      <c r="WBL1263" s="52"/>
      <c r="WBM1263" s="52"/>
      <c r="WBN1263" s="52"/>
      <c r="WBO1263" s="52"/>
      <c r="WBP1263" s="52"/>
      <c r="WBQ1263" s="52"/>
      <c r="WBR1263" s="52"/>
      <c r="WBS1263" s="52"/>
      <c r="WBT1263" s="52"/>
      <c r="WBU1263" s="52"/>
      <c r="WBV1263" s="52"/>
      <c r="WBW1263" s="52"/>
      <c r="WBX1263" s="52"/>
      <c r="WBY1263" s="52"/>
      <c r="WBZ1263" s="52"/>
      <c r="WCA1263" s="52"/>
      <c r="WCB1263" s="52"/>
      <c r="WCC1263" s="52"/>
      <c r="WCD1263" s="52"/>
      <c r="WCE1263" s="52"/>
      <c r="WCF1263" s="52"/>
      <c r="WCG1263" s="52"/>
      <c r="WCH1263" s="52"/>
      <c r="WCI1263" s="52"/>
      <c r="WCJ1263" s="52"/>
      <c r="WCK1263" s="52"/>
      <c r="WCL1263" s="52"/>
      <c r="WCM1263" s="52"/>
      <c r="WCN1263" s="52"/>
      <c r="WCO1263" s="52"/>
      <c r="WCP1263" s="52"/>
      <c r="WCQ1263" s="52"/>
      <c r="WCR1263" s="52"/>
      <c r="WCS1263" s="52"/>
      <c r="WCT1263" s="52"/>
      <c r="WCU1263" s="52"/>
      <c r="WCV1263" s="52"/>
      <c r="WCW1263" s="52"/>
      <c r="WCX1263" s="52"/>
      <c r="WCY1263" s="52"/>
      <c r="WCZ1263" s="52"/>
      <c r="WDA1263" s="52"/>
      <c r="WDB1263" s="52"/>
      <c r="WDC1263" s="52"/>
      <c r="WDD1263" s="52"/>
      <c r="WDE1263" s="52"/>
      <c r="WDF1263" s="52"/>
      <c r="WDG1263" s="52"/>
      <c r="WDH1263" s="52"/>
      <c r="WDI1263" s="52"/>
      <c r="WDJ1263" s="52"/>
      <c r="WDK1263" s="52"/>
      <c r="WDL1263" s="52"/>
      <c r="WDM1263" s="52"/>
      <c r="WDN1263" s="52"/>
      <c r="WDO1263" s="52"/>
      <c r="WDP1263" s="52"/>
      <c r="WDQ1263" s="52"/>
      <c r="WDR1263" s="52"/>
      <c r="WDS1263" s="52"/>
      <c r="WDT1263" s="52"/>
      <c r="WDU1263" s="52"/>
      <c r="WDV1263" s="52"/>
      <c r="WDW1263" s="52"/>
      <c r="WDX1263" s="52"/>
      <c r="WDY1263" s="52"/>
      <c r="WDZ1263" s="52"/>
      <c r="WEA1263" s="52"/>
      <c r="WEB1263" s="52"/>
      <c r="WEC1263" s="52"/>
      <c r="WED1263" s="52"/>
      <c r="WEE1263" s="52"/>
      <c r="WEF1263" s="52"/>
      <c r="WEG1263" s="52"/>
      <c r="WEH1263" s="52"/>
      <c r="WEI1263" s="52"/>
      <c r="WEJ1263" s="52"/>
      <c r="WEK1263" s="52"/>
      <c r="WEL1263" s="52"/>
      <c r="WEM1263" s="52"/>
      <c r="WEN1263" s="52"/>
      <c r="WEO1263" s="52"/>
      <c r="WEP1263" s="52"/>
      <c r="WEQ1263" s="52"/>
      <c r="WER1263" s="52"/>
      <c r="WES1263" s="52"/>
      <c r="WET1263" s="52"/>
      <c r="WEU1263" s="52"/>
      <c r="WEV1263" s="52"/>
      <c r="WEW1263" s="52"/>
      <c r="WEX1263" s="52"/>
      <c r="WEY1263" s="52"/>
      <c r="WEZ1263" s="52"/>
      <c r="WFA1263" s="52"/>
      <c r="WFB1263" s="52"/>
      <c r="WFC1263" s="52"/>
      <c r="WFD1263" s="52"/>
      <c r="WFE1263" s="52"/>
      <c r="WFF1263" s="52"/>
      <c r="WFG1263" s="52"/>
      <c r="WFH1263" s="52"/>
      <c r="WFI1263" s="52"/>
      <c r="WFJ1263" s="52"/>
      <c r="WFK1263" s="52"/>
      <c r="WFL1263" s="52"/>
      <c r="WFM1263" s="52"/>
      <c r="WFN1263" s="52"/>
      <c r="WFO1263" s="52"/>
      <c r="WFP1263" s="52"/>
      <c r="WFQ1263" s="52"/>
      <c r="WFR1263" s="52"/>
      <c r="WFS1263" s="52"/>
      <c r="WFT1263" s="52"/>
      <c r="WFU1263" s="52"/>
      <c r="WFV1263" s="52"/>
      <c r="WFW1263" s="52"/>
      <c r="WFX1263" s="52"/>
      <c r="WFY1263" s="52"/>
      <c r="WFZ1263" s="52"/>
      <c r="WGA1263" s="52"/>
      <c r="WGB1263" s="52"/>
      <c r="WGC1263" s="52"/>
      <c r="WGD1263" s="52"/>
      <c r="WGE1263" s="52"/>
      <c r="WGF1263" s="52"/>
      <c r="WGG1263" s="52"/>
      <c r="WGH1263" s="52"/>
      <c r="WGI1263" s="52"/>
      <c r="WGJ1263" s="52"/>
      <c r="WGK1263" s="52"/>
      <c r="WGL1263" s="52"/>
      <c r="WGM1263" s="52"/>
      <c r="WGN1263" s="52"/>
      <c r="WGO1263" s="52"/>
      <c r="WGP1263" s="52"/>
      <c r="WGQ1263" s="52"/>
      <c r="WGR1263" s="52"/>
      <c r="WGS1263" s="52"/>
      <c r="WGT1263" s="52"/>
      <c r="WGU1263" s="52"/>
      <c r="WGV1263" s="52"/>
      <c r="WGW1263" s="52"/>
      <c r="WGX1263" s="52"/>
      <c r="WGY1263" s="52"/>
      <c r="WGZ1263" s="52"/>
      <c r="WHA1263" s="52"/>
      <c r="WHB1263" s="52"/>
      <c r="WHC1263" s="52"/>
      <c r="WHD1263" s="52"/>
      <c r="WHE1263" s="52"/>
      <c r="WHF1263" s="52"/>
      <c r="WHG1263" s="52"/>
      <c r="WHH1263" s="52"/>
      <c r="WHI1263" s="52"/>
      <c r="WHJ1263" s="52"/>
      <c r="WHK1263" s="52"/>
      <c r="WHL1263" s="52"/>
      <c r="WHM1263" s="52"/>
      <c r="WHN1263" s="52"/>
      <c r="WHO1263" s="52"/>
      <c r="WHP1263" s="52"/>
      <c r="WHQ1263" s="52"/>
      <c r="WHR1263" s="52"/>
      <c r="WHS1263" s="52"/>
      <c r="WHT1263" s="52"/>
      <c r="WHU1263" s="52"/>
      <c r="WHV1263" s="52"/>
      <c r="WHW1263" s="52"/>
      <c r="WHX1263" s="52"/>
      <c r="WHY1263" s="52"/>
      <c r="WHZ1263" s="52"/>
      <c r="WIA1263" s="52"/>
      <c r="WIB1263" s="52"/>
      <c r="WIC1263" s="52"/>
      <c r="WID1263" s="52"/>
      <c r="WIE1263" s="52"/>
      <c r="WIF1263" s="52"/>
      <c r="WIG1263" s="52"/>
      <c r="WIH1263" s="52"/>
      <c r="WII1263" s="52"/>
      <c r="WIJ1263" s="52"/>
      <c r="WIK1263" s="52"/>
      <c r="WIL1263" s="52"/>
      <c r="WIM1263" s="52"/>
      <c r="WIN1263" s="52"/>
      <c r="WIO1263" s="52"/>
      <c r="WIP1263" s="52"/>
      <c r="WIQ1263" s="52"/>
      <c r="WIR1263" s="52"/>
      <c r="WIS1263" s="52"/>
      <c r="WIT1263" s="52"/>
      <c r="WIU1263" s="52"/>
      <c r="WIV1263" s="52"/>
      <c r="WIW1263" s="52"/>
      <c r="WIX1263" s="52"/>
      <c r="WIY1263" s="52"/>
      <c r="WIZ1263" s="52"/>
      <c r="WJA1263" s="52"/>
      <c r="WJB1263" s="52"/>
      <c r="WJC1263" s="52"/>
      <c r="WJD1263" s="52"/>
      <c r="WJE1263" s="52"/>
      <c r="WJF1263" s="52"/>
      <c r="WJG1263" s="52"/>
      <c r="WJH1263" s="52"/>
      <c r="WJI1263" s="52"/>
      <c r="WJJ1263" s="52"/>
      <c r="WJK1263" s="52"/>
      <c r="WJL1263" s="52"/>
      <c r="WJM1263" s="52"/>
      <c r="WJN1263" s="52"/>
      <c r="WJO1263" s="52"/>
      <c r="WJP1263" s="52"/>
      <c r="WJQ1263" s="52"/>
      <c r="WJR1263" s="52"/>
      <c r="WJS1263" s="52"/>
      <c r="WJT1263" s="52"/>
      <c r="WJU1263" s="52"/>
      <c r="WJV1263" s="52"/>
      <c r="WJW1263" s="52"/>
      <c r="WJX1263" s="52"/>
      <c r="WJY1263" s="52"/>
      <c r="WJZ1263" s="52"/>
      <c r="WKA1263" s="52"/>
      <c r="WKB1263" s="52"/>
      <c r="WKC1263" s="52"/>
      <c r="WKD1263" s="52"/>
      <c r="WKE1263" s="52"/>
      <c r="WKF1263" s="52"/>
      <c r="WKG1263" s="52"/>
      <c r="WKH1263" s="52"/>
      <c r="WKI1263" s="52"/>
      <c r="WKJ1263" s="52"/>
      <c r="WKK1263" s="52"/>
      <c r="WKL1263" s="52"/>
      <c r="WKM1263" s="52"/>
      <c r="WKN1263" s="52"/>
      <c r="WKO1263" s="52"/>
      <c r="WKP1263" s="52"/>
      <c r="WKQ1263" s="52"/>
      <c r="WKR1263" s="52"/>
      <c r="WKS1263" s="52"/>
      <c r="WKT1263" s="52"/>
      <c r="WKU1263" s="52"/>
      <c r="WKV1263" s="52"/>
      <c r="WKW1263" s="52"/>
      <c r="WKX1263" s="52"/>
      <c r="WKY1263" s="52"/>
      <c r="WKZ1263" s="52"/>
      <c r="WLA1263" s="52"/>
      <c r="WLB1263" s="52"/>
      <c r="WLC1263" s="52"/>
      <c r="WLD1263" s="52"/>
      <c r="WLE1263" s="52"/>
      <c r="WLF1263" s="52"/>
      <c r="WLG1263" s="52"/>
      <c r="WLH1263" s="52"/>
      <c r="WLI1263" s="52"/>
      <c r="WLJ1263" s="52"/>
      <c r="WLK1263" s="52"/>
      <c r="WLL1263" s="52"/>
      <c r="WLM1263" s="52"/>
      <c r="WLN1263" s="52"/>
      <c r="WLO1263" s="52"/>
      <c r="WLP1263" s="52"/>
      <c r="WLQ1263" s="52"/>
      <c r="WLR1263" s="52"/>
      <c r="WLS1263" s="52"/>
      <c r="WLT1263" s="52"/>
      <c r="WLU1263" s="52"/>
      <c r="WLV1263" s="52"/>
      <c r="WLW1263" s="52"/>
      <c r="WLX1263" s="52"/>
      <c r="WLY1263" s="52"/>
      <c r="WLZ1263" s="52"/>
      <c r="WMA1263" s="52"/>
      <c r="WMB1263" s="52"/>
      <c r="WMC1263" s="52"/>
      <c r="WMD1263" s="52"/>
      <c r="WME1263" s="52"/>
      <c r="WMF1263" s="52"/>
      <c r="WMG1263" s="52"/>
      <c r="WMH1263" s="52"/>
      <c r="WMI1263" s="52"/>
      <c r="WMJ1263" s="52"/>
      <c r="WMK1263" s="52"/>
      <c r="WML1263" s="52"/>
      <c r="WMM1263" s="52"/>
      <c r="WMN1263" s="52"/>
      <c r="WMO1263" s="52"/>
      <c r="WMP1263" s="52"/>
      <c r="WMQ1263" s="52"/>
      <c r="WMR1263" s="52"/>
      <c r="WMS1263" s="52"/>
      <c r="WMT1263" s="52"/>
      <c r="WMU1263" s="52"/>
      <c r="WMV1263" s="52"/>
      <c r="WMW1263" s="52"/>
      <c r="WMX1263" s="52"/>
      <c r="WMY1263" s="52"/>
      <c r="WMZ1263" s="52"/>
      <c r="WNA1263" s="52"/>
      <c r="WNB1263" s="52"/>
      <c r="WNC1263" s="52"/>
      <c r="WND1263" s="52"/>
      <c r="WNE1263" s="52"/>
      <c r="WNF1263" s="52"/>
      <c r="WNG1263" s="52"/>
      <c r="WNH1263" s="52"/>
      <c r="WNI1263" s="52"/>
      <c r="WNJ1263" s="52"/>
      <c r="WNK1263" s="52"/>
      <c r="WNL1263" s="52"/>
      <c r="WNM1263" s="52"/>
      <c r="WNN1263" s="52"/>
      <c r="WNO1263" s="52"/>
      <c r="WNP1263" s="52"/>
      <c r="WNQ1263" s="52"/>
      <c r="WNR1263" s="52"/>
      <c r="WNS1263" s="52"/>
      <c r="WNT1263" s="52"/>
      <c r="WNU1263" s="52"/>
      <c r="WNV1263" s="52"/>
      <c r="WNW1263" s="52"/>
      <c r="WNX1263" s="52"/>
      <c r="WNY1263" s="52"/>
      <c r="WNZ1263" s="52"/>
      <c r="WOA1263" s="52"/>
      <c r="WOB1263" s="52"/>
      <c r="WOC1263" s="52"/>
      <c r="WOD1263" s="52"/>
      <c r="WOE1263" s="52"/>
      <c r="WOF1263" s="52"/>
      <c r="WOG1263" s="52"/>
      <c r="WOH1263" s="52"/>
      <c r="WOI1263" s="52"/>
      <c r="WOJ1263" s="52"/>
      <c r="WOK1263" s="52"/>
      <c r="WOL1263" s="52"/>
      <c r="WOM1263" s="52"/>
      <c r="WON1263" s="52"/>
      <c r="WOO1263" s="52"/>
      <c r="WOP1263" s="52"/>
      <c r="WOQ1263" s="52"/>
      <c r="WOR1263" s="52"/>
      <c r="WOS1263" s="52"/>
      <c r="WOT1263" s="52"/>
      <c r="WOU1263" s="52"/>
      <c r="WOV1263" s="52"/>
      <c r="WOW1263" s="52"/>
      <c r="WOX1263" s="52"/>
      <c r="WOY1263" s="52"/>
      <c r="WOZ1263" s="52"/>
      <c r="WPA1263" s="52"/>
      <c r="WPB1263" s="52"/>
      <c r="WPC1263" s="52"/>
      <c r="WPD1263" s="52"/>
      <c r="WPE1263" s="52"/>
      <c r="WPF1263" s="52"/>
      <c r="WPG1263" s="52"/>
      <c r="WPH1263" s="52"/>
      <c r="WPI1263" s="52"/>
      <c r="WPJ1263" s="52"/>
      <c r="WPK1263" s="52"/>
      <c r="WPL1263" s="52"/>
      <c r="WPM1263" s="52"/>
      <c r="WPN1263" s="52"/>
      <c r="WPO1263" s="52"/>
      <c r="WPP1263" s="52"/>
      <c r="WPQ1263" s="52"/>
      <c r="WPR1263" s="52"/>
      <c r="WPS1263" s="52"/>
      <c r="WPT1263" s="52"/>
      <c r="WPU1263" s="52"/>
      <c r="WPV1263" s="52"/>
      <c r="WPW1263" s="52"/>
      <c r="WPX1263" s="52"/>
      <c r="WPY1263" s="52"/>
      <c r="WPZ1263" s="52"/>
      <c r="WQA1263" s="52"/>
      <c r="WQB1263" s="52"/>
      <c r="WQC1263" s="52"/>
      <c r="WQD1263" s="52"/>
      <c r="WQE1263" s="52"/>
      <c r="WQF1263" s="52"/>
      <c r="WQG1263" s="52"/>
      <c r="WQH1263" s="52"/>
      <c r="WQI1263" s="52"/>
      <c r="WQJ1263" s="52"/>
      <c r="WQK1263" s="52"/>
      <c r="WQL1263" s="52"/>
      <c r="WQM1263" s="52"/>
      <c r="WQN1263" s="52"/>
      <c r="WQO1263" s="52"/>
      <c r="WQP1263" s="52"/>
      <c r="WQQ1263" s="52"/>
      <c r="WQR1263" s="52"/>
      <c r="WQS1263" s="52"/>
      <c r="WQT1263" s="52"/>
      <c r="WQU1263" s="52"/>
      <c r="WQV1263" s="52"/>
      <c r="WQW1263" s="52"/>
      <c r="WQX1263" s="52"/>
      <c r="WQY1263" s="52"/>
      <c r="WQZ1263" s="52"/>
      <c r="WRA1263" s="52"/>
      <c r="WRB1263" s="52"/>
      <c r="WRC1263" s="52"/>
      <c r="WRD1263" s="52"/>
      <c r="WRE1263" s="52"/>
      <c r="WRF1263" s="52"/>
      <c r="WRG1263" s="52"/>
      <c r="WRH1263" s="52"/>
      <c r="WRI1263" s="52"/>
      <c r="WRJ1263" s="52"/>
      <c r="WRK1263" s="52"/>
      <c r="WRL1263" s="52"/>
      <c r="WRM1263" s="52"/>
      <c r="WRN1263" s="52"/>
      <c r="WRO1263" s="52"/>
      <c r="WRP1263" s="52"/>
      <c r="WRQ1263" s="52"/>
      <c r="WRR1263" s="52"/>
      <c r="WRS1263" s="52"/>
      <c r="WRT1263" s="52"/>
      <c r="WRU1263" s="52"/>
      <c r="WRV1263" s="52"/>
      <c r="WRW1263" s="52"/>
      <c r="WRX1263" s="52"/>
      <c r="WRY1263" s="52"/>
      <c r="WRZ1263" s="52"/>
      <c r="WSA1263" s="52"/>
      <c r="WSB1263" s="52"/>
      <c r="WSC1263" s="52"/>
      <c r="WSD1263" s="52"/>
      <c r="WSE1263" s="52"/>
      <c r="WSF1263" s="52"/>
      <c r="WSG1263" s="52"/>
      <c r="WSH1263" s="52"/>
      <c r="WSI1263" s="52"/>
      <c r="WSJ1263" s="52"/>
      <c r="WSK1263" s="52"/>
      <c r="WSL1263" s="52"/>
      <c r="WSM1263" s="52"/>
      <c r="WSN1263" s="52"/>
      <c r="WSO1263" s="52"/>
      <c r="WSP1263" s="52"/>
      <c r="WSQ1263" s="52"/>
      <c r="WSR1263" s="52"/>
      <c r="WSS1263" s="52"/>
      <c r="WST1263" s="52"/>
      <c r="WSU1263" s="52"/>
      <c r="WSV1263" s="52"/>
      <c r="WSW1263" s="52"/>
      <c r="WSX1263" s="52"/>
      <c r="WSY1263" s="52"/>
      <c r="WSZ1263" s="52"/>
      <c r="WTA1263" s="52"/>
      <c r="WTB1263" s="52"/>
      <c r="WTC1263" s="52"/>
      <c r="WTD1263" s="52"/>
      <c r="WTE1263" s="52"/>
      <c r="WTF1263" s="52"/>
      <c r="WTG1263" s="52"/>
      <c r="WTH1263" s="52"/>
      <c r="WTI1263" s="52"/>
      <c r="WTJ1263" s="52"/>
      <c r="WTK1263" s="52"/>
      <c r="WTL1263" s="52"/>
      <c r="WTM1263" s="52"/>
      <c r="WTN1263" s="52"/>
      <c r="WTO1263" s="52"/>
      <c r="WTP1263" s="52"/>
      <c r="WTQ1263" s="52"/>
      <c r="WTR1263" s="52"/>
      <c r="WTS1263" s="52"/>
      <c r="WTT1263" s="52"/>
      <c r="WTU1263" s="52"/>
      <c r="WTV1263" s="52"/>
      <c r="WTW1263" s="52"/>
      <c r="WTX1263" s="52"/>
      <c r="WTY1263" s="52"/>
      <c r="WTZ1263" s="52"/>
      <c r="WUA1263" s="52"/>
      <c r="WUB1263" s="52"/>
      <c r="WUC1263" s="52"/>
      <c r="WUD1263" s="52"/>
      <c r="WUE1263" s="52"/>
      <c r="WUF1263" s="52"/>
      <c r="WUG1263" s="52"/>
      <c r="WUH1263" s="52"/>
      <c r="WUI1263" s="52"/>
      <c r="WUJ1263" s="52"/>
      <c r="WUK1263" s="52"/>
      <c r="WUL1263" s="52"/>
      <c r="WUM1263" s="52"/>
      <c r="WUN1263" s="52"/>
      <c r="WUO1263" s="52"/>
      <c r="WUP1263" s="52"/>
      <c r="WUQ1263" s="52"/>
      <c r="WUR1263" s="52"/>
      <c r="WUS1263" s="52"/>
      <c r="WUT1263" s="52"/>
      <c r="WUU1263" s="52"/>
      <c r="WUV1263" s="52"/>
      <c r="WUW1263" s="52"/>
      <c r="WUX1263" s="52"/>
      <c r="WUY1263" s="52"/>
      <c r="WUZ1263" s="52"/>
      <c r="WVA1263" s="52"/>
      <c r="WVB1263" s="52"/>
      <c r="WVC1263" s="52"/>
      <c r="WVD1263" s="52"/>
      <c r="WVE1263" s="52"/>
      <c r="WVF1263" s="52"/>
      <c r="WVG1263" s="52"/>
      <c r="WVH1263" s="52"/>
      <c r="WVI1263" s="52"/>
      <c r="WVJ1263" s="52"/>
      <c r="WVK1263" s="52"/>
      <c r="WVL1263" s="52"/>
      <c r="WVM1263" s="52"/>
      <c r="WVN1263" s="52"/>
      <c r="WVO1263" s="52"/>
      <c r="WVP1263" s="52"/>
      <c r="WVQ1263" s="52"/>
      <c r="WVR1263" s="52"/>
      <c r="WVS1263" s="52"/>
      <c r="WVT1263" s="52"/>
      <c r="WVU1263" s="52"/>
      <c r="WVV1263" s="52"/>
      <c r="WVW1263" s="52"/>
      <c r="WVX1263" s="52"/>
      <c r="WVY1263" s="52"/>
      <c r="WVZ1263" s="52"/>
      <c r="WWA1263" s="52"/>
      <c r="WWB1263" s="52"/>
      <c r="WWC1263" s="52"/>
      <c r="WWD1263" s="52"/>
      <c r="WWE1263" s="52"/>
      <c r="WWF1263" s="52"/>
      <c r="WWG1263" s="52"/>
      <c r="WWH1263" s="52"/>
      <c r="WWI1263" s="52"/>
      <c r="WWJ1263" s="52"/>
      <c r="WWK1263" s="52"/>
      <c r="WWL1263" s="52"/>
      <c r="WWM1263" s="52"/>
      <c r="WWN1263" s="52"/>
      <c r="WWO1263" s="52"/>
      <c r="WWP1263" s="52"/>
      <c r="WWQ1263" s="52"/>
      <c r="WWR1263" s="52"/>
      <c r="WWS1263" s="52"/>
      <c r="WWT1263" s="52"/>
      <c r="WWU1263" s="52"/>
      <c r="WWV1263" s="52"/>
      <c r="WWW1263" s="52"/>
      <c r="WWX1263" s="52"/>
      <c r="WWY1263" s="52"/>
      <c r="WWZ1263" s="52"/>
      <c r="WXA1263" s="52"/>
      <c r="WXB1263" s="52"/>
      <c r="WXC1263" s="52"/>
      <c r="WXD1263" s="52"/>
      <c r="WXE1263" s="52"/>
      <c r="WXF1263" s="52"/>
      <c r="WXG1263" s="52"/>
      <c r="WXH1263" s="52"/>
      <c r="WXI1263" s="52"/>
      <c r="WXJ1263" s="52"/>
      <c r="WXK1263" s="52"/>
      <c r="WXL1263" s="52"/>
      <c r="WXM1263" s="52"/>
      <c r="WXN1263" s="52"/>
      <c r="WXO1263" s="52"/>
      <c r="WXP1263" s="52"/>
      <c r="WXQ1263" s="52"/>
      <c r="WXR1263" s="52"/>
      <c r="WXS1263" s="52"/>
      <c r="WXT1263" s="52"/>
      <c r="WXU1263" s="52"/>
      <c r="WXV1263" s="52"/>
      <c r="WXW1263" s="52"/>
      <c r="WXX1263" s="52"/>
      <c r="WXY1263" s="52"/>
      <c r="WXZ1263" s="52"/>
      <c r="WYA1263" s="52"/>
      <c r="WYB1263" s="52"/>
      <c r="WYC1263" s="52"/>
      <c r="WYD1263" s="52"/>
      <c r="WYE1263" s="52"/>
      <c r="WYF1263" s="52"/>
      <c r="WYG1263" s="52"/>
      <c r="WYH1263" s="52"/>
      <c r="WYI1263" s="52"/>
      <c r="WYJ1263" s="52"/>
      <c r="WYK1263" s="52"/>
      <c r="WYL1263" s="52"/>
      <c r="WYM1263" s="52"/>
      <c r="WYN1263" s="52"/>
      <c r="WYO1263" s="52"/>
      <c r="WYP1263" s="52"/>
      <c r="WYQ1263" s="52"/>
      <c r="WYR1263" s="52"/>
      <c r="WYS1263" s="52"/>
      <c r="WYT1263" s="52"/>
      <c r="WYU1263" s="52"/>
      <c r="WYV1263" s="52"/>
      <c r="WYW1263" s="52"/>
      <c r="WYX1263" s="52"/>
      <c r="WYY1263" s="52"/>
      <c r="WYZ1263" s="52"/>
      <c r="WZA1263" s="52"/>
      <c r="WZB1263" s="52"/>
      <c r="WZC1263" s="52"/>
      <c r="WZD1263" s="52"/>
      <c r="WZE1263" s="52"/>
      <c r="WZF1263" s="52"/>
      <c r="WZG1263" s="52"/>
      <c r="WZH1263" s="52"/>
      <c r="WZI1263" s="52"/>
      <c r="WZJ1263" s="52"/>
      <c r="WZK1263" s="52"/>
      <c r="WZL1263" s="52"/>
      <c r="WZM1263" s="52"/>
      <c r="WZN1263" s="52"/>
      <c r="WZO1263" s="52"/>
      <c r="WZP1263" s="52"/>
      <c r="WZQ1263" s="52"/>
      <c r="WZR1263" s="52"/>
      <c r="WZS1263" s="52"/>
      <c r="WZT1263" s="52"/>
      <c r="WZU1263" s="52"/>
      <c r="WZV1263" s="52"/>
      <c r="WZW1263" s="52"/>
      <c r="WZX1263" s="52"/>
      <c r="WZY1263" s="52"/>
      <c r="WZZ1263" s="52"/>
      <c r="XAA1263" s="52"/>
      <c r="XAB1263" s="52"/>
      <c r="XAC1263" s="52"/>
      <c r="XAD1263" s="52"/>
      <c r="XAE1263" s="52"/>
      <c r="XAF1263" s="52"/>
      <c r="XAG1263" s="52"/>
      <c r="XAH1263" s="52"/>
      <c r="XAI1263" s="52"/>
      <c r="XAJ1263" s="52"/>
      <c r="XAK1263" s="52"/>
      <c r="XAL1263" s="52"/>
      <c r="XAM1263" s="52"/>
      <c r="XAN1263" s="52"/>
      <c r="XAO1263" s="52"/>
      <c r="XAP1263" s="52"/>
      <c r="XAQ1263" s="52"/>
      <c r="XAR1263" s="52"/>
      <c r="XAS1263" s="52"/>
      <c r="XAT1263" s="52"/>
      <c r="XAU1263" s="52"/>
      <c r="XAV1263" s="52"/>
      <c r="XAW1263" s="52"/>
      <c r="XAX1263" s="52"/>
      <c r="XAY1263" s="52"/>
      <c r="XAZ1263" s="52"/>
      <c r="XBA1263" s="52"/>
      <c r="XBB1263" s="52"/>
      <c r="XBC1263" s="52"/>
      <c r="XBD1263" s="52"/>
      <c r="XBE1263" s="52"/>
      <c r="XBF1263" s="52"/>
      <c r="XBG1263" s="52"/>
      <c r="XBH1263" s="52"/>
      <c r="XBI1263" s="52"/>
      <c r="XBJ1263" s="52"/>
      <c r="XBK1263" s="52"/>
      <c r="XBL1263" s="52"/>
      <c r="XBM1263" s="52"/>
      <c r="XBN1263" s="52"/>
      <c r="XBO1263" s="52"/>
      <c r="XBP1263" s="52"/>
      <c r="XBQ1263" s="52"/>
      <c r="XBR1263" s="52"/>
      <c r="XBS1263" s="52"/>
      <c r="XBT1263" s="52"/>
      <c r="XBU1263" s="52"/>
      <c r="XBV1263" s="52"/>
      <c r="XBW1263" s="52"/>
      <c r="XBX1263" s="52"/>
      <c r="XBY1263" s="52"/>
      <c r="XBZ1263" s="52"/>
      <c r="XCA1263" s="52"/>
      <c r="XCB1263" s="52"/>
      <c r="XCC1263" s="52"/>
      <c r="XCD1263" s="52"/>
      <c r="XCE1263" s="52"/>
      <c r="XCF1263" s="52"/>
      <c r="XCG1263" s="52"/>
      <c r="XCH1263" s="52"/>
      <c r="XCI1263" s="52"/>
      <c r="XCJ1263" s="52"/>
      <c r="XCK1263" s="52"/>
      <c r="XCL1263" s="52"/>
      <c r="XCM1263" s="52"/>
      <c r="XCN1263" s="52"/>
      <c r="XCO1263" s="52"/>
      <c r="XCP1263" s="52"/>
      <c r="XCQ1263" s="52"/>
      <c r="XCR1263" s="52"/>
      <c r="XCS1263" s="52"/>
      <c r="XCT1263" s="52"/>
      <c r="XCU1263" s="52"/>
      <c r="XCV1263" s="52"/>
      <c r="XCW1263" s="52"/>
      <c r="XCX1263" s="52"/>
      <c r="XCY1263" s="52"/>
      <c r="XCZ1263" s="52"/>
      <c r="XDA1263" s="52"/>
      <c r="XDB1263" s="52"/>
      <c r="XDC1263" s="52"/>
      <c r="XDD1263" s="52"/>
      <c r="XDE1263" s="52"/>
      <c r="XDF1263" s="52"/>
      <c r="XDG1263" s="52"/>
      <c r="XDH1263" s="52"/>
      <c r="XDI1263" s="52"/>
      <c r="XDJ1263" s="52"/>
      <c r="XDK1263" s="52"/>
      <c r="XDL1263" s="52"/>
      <c r="XDM1263" s="52"/>
      <c r="XDN1263" s="52"/>
      <c r="XDO1263" s="52"/>
      <c r="XDP1263" s="52"/>
      <c r="XDQ1263" s="52"/>
      <c r="XDR1263" s="52"/>
      <c r="XDS1263" s="52"/>
      <c r="XDT1263" s="52"/>
      <c r="XDU1263" s="52"/>
      <c r="XDV1263" s="52"/>
      <c r="XDW1263" s="52"/>
      <c r="XDX1263" s="52"/>
      <c r="XDY1263" s="52"/>
      <c r="XDZ1263" s="52"/>
      <c r="XEA1263" s="52"/>
      <c r="XEB1263" s="52"/>
      <c r="XEC1263" s="52"/>
      <c r="XED1263" s="52"/>
      <c r="XEE1263" s="52"/>
      <c r="XEF1263" s="52"/>
      <c r="XEG1263" s="52"/>
      <c r="XEH1263" s="52"/>
      <c r="XEI1263" s="52"/>
      <c r="XEJ1263" s="52"/>
      <c r="XEK1263" s="52"/>
      <c r="XEL1263" s="52"/>
      <c r="XEM1263" s="52"/>
      <c r="XEN1263" s="52"/>
      <c r="XEO1263" s="52"/>
      <c r="XEP1263" s="52"/>
      <c r="XEQ1263" s="52"/>
      <c r="XER1263" s="52"/>
      <c r="XES1263" s="52"/>
    </row>
    <row r="1264" spans="1:16373">
      <c r="A1264" s="52" t="s">
        <v>44</v>
      </c>
      <c r="B1264" s="47" t="str">
        <f t="shared" si="302"/>
        <v>August</v>
      </c>
      <c r="C1264" s="59">
        <v>45535</v>
      </c>
      <c r="D1264" s="47" t="s">
        <v>83</v>
      </c>
      <c r="E1264" s="47" t="s">
        <v>1051</v>
      </c>
      <c r="F1264" s="47" t="s">
        <v>1052</v>
      </c>
      <c r="G1264" s="47" t="s">
        <v>2997</v>
      </c>
      <c r="H1264" s="47" t="s">
        <v>2998</v>
      </c>
      <c r="I1264" s="47" t="s">
        <v>2999</v>
      </c>
      <c r="J1264" s="47" t="s">
        <v>51</v>
      </c>
      <c r="K1264" s="48">
        <v>42763</v>
      </c>
      <c r="L1264" s="48">
        <v>45170</v>
      </c>
      <c r="M1264" s="48">
        <v>45535</v>
      </c>
      <c r="N1264" s="47" t="s">
        <v>64</v>
      </c>
      <c r="O1264" s="55" t="s">
        <v>53</v>
      </c>
      <c r="P1264" s="62">
        <v>25020</v>
      </c>
      <c r="Q1264" s="62">
        <v>2085</v>
      </c>
      <c r="R1264" s="103">
        <v>25020</v>
      </c>
      <c r="S1264" s="62">
        <f t="shared" si="299"/>
        <v>2085</v>
      </c>
      <c r="T1264" s="222">
        <v>25020</v>
      </c>
      <c r="U1264" s="62">
        <f t="shared" si="300"/>
        <v>2085</v>
      </c>
      <c r="V1264" s="65">
        <v>22920</v>
      </c>
      <c r="W1264" s="71" t="s">
        <v>123</v>
      </c>
      <c r="X1264" s="71"/>
      <c r="Y1264" s="71"/>
      <c r="Z1264" s="64" t="e">
        <f t="shared" si="295"/>
        <v>#VALUE!</v>
      </c>
      <c r="AA1264" s="64" t="e">
        <f t="shared" si="301"/>
        <v>#VALUE!</v>
      </c>
      <c r="AB1264" s="194">
        <v>2300</v>
      </c>
      <c r="AC1264" s="64">
        <f t="shared" si="296"/>
        <v>0.10311750599520383</v>
      </c>
      <c r="AD1264" s="64">
        <f t="shared" si="303"/>
        <v>0.10311750599520383</v>
      </c>
      <c r="AE1264" s="71">
        <v>2250</v>
      </c>
      <c r="AF1264" s="64">
        <f t="shared" si="297"/>
        <v>7.9136690647482008E-2</v>
      </c>
      <c r="AG1264" s="64">
        <f t="shared" si="304"/>
        <v>7.9136690647482008E-2</v>
      </c>
      <c r="AH1264" s="67" t="s">
        <v>328</v>
      </c>
      <c r="AI1264" s="52" t="s">
        <v>54</v>
      </c>
      <c r="AJ1264" s="47">
        <v>613.54999999999995</v>
      </c>
      <c r="AK1264" s="47" t="s">
        <v>65</v>
      </c>
      <c r="AL1264" s="47" t="s">
        <v>55</v>
      </c>
      <c r="AM1264" s="47" t="s">
        <v>131</v>
      </c>
      <c r="AN1264" s="47"/>
      <c r="AO1264" s="211">
        <f t="shared" si="298"/>
        <v>-1</v>
      </c>
      <c r="AP1264" s="47" t="s">
        <v>90</v>
      </c>
      <c r="AQ1264" s="91" t="s">
        <v>116</v>
      </c>
      <c r="AR1264" s="47"/>
    </row>
    <row r="1265" spans="1:44">
      <c r="A1265" s="52" t="s">
        <v>44</v>
      </c>
      <c r="B1265" s="47" t="str">
        <f t="shared" si="302"/>
        <v>July</v>
      </c>
      <c r="C1265" s="59">
        <v>45485</v>
      </c>
      <c r="D1265" s="52" t="s">
        <v>83</v>
      </c>
      <c r="E1265" s="47" t="s">
        <v>1051</v>
      </c>
      <c r="F1265" s="47" t="s">
        <v>1052</v>
      </c>
      <c r="G1265" s="47" t="s">
        <v>3388</v>
      </c>
      <c r="H1265" s="47" t="s">
        <v>3389</v>
      </c>
      <c r="I1265" s="47" t="s">
        <v>3390</v>
      </c>
      <c r="J1265" s="47" t="s">
        <v>51</v>
      </c>
      <c r="K1265" s="48">
        <v>44755</v>
      </c>
      <c r="L1265" s="48">
        <v>44755</v>
      </c>
      <c r="M1265" s="48">
        <v>45485</v>
      </c>
      <c r="N1265" s="47" t="s">
        <v>64</v>
      </c>
      <c r="O1265" s="55" t="s">
        <v>53</v>
      </c>
      <c r="P1265" s="62">
        <v>25461</v>
      </c>
      <c r="Q1265" s="62">
        <v>2121.75</v>
      </c>
      <c r="R1265" s="103">
        <v>25461</v>
      </c>
      <c r="S1265" s="62">
        <f t="shared" si="299"/>
        <v>2121.75</v>
      </c>
      <c r="T1265" s="222">
        <v>25461</v>
      </c>
      <c r="U1265" s="62">
        <f t="shared" si="300"/>
        <v>2121.75</v>
      </c>
      <c r="V1265" s="65">
        <v>24600</v>
      </c>
      <c r="W1265" s="71" t="s">
        <v>123</v>
      </c>
      <c r="X1265" s="71"/>
      <c r="Y1265" s="71"/>
      <c r="Z1265" s="64" t="e">
        <f t="shared" si="295"/>
        <v>#VALUE!</v>
      </c>
      <c r="AA1265" s="64" t="e">
        <f t="shared" si="301"/>
        <v>#VALUE!</v>
      </c>
      <c r="AB1265" s="194">
        <v>2300</v>
      </c>
      <c r="AC1265" s="64">
        <f t="shared" si="296"/>
        <v>8.4010840108401083E-2</v>
      </c>
      <c r="AD1265" s="64">
        <f t="shared" si="303"/>
        <v>8.4010840108401083E-2</v>
      </c>
      <c r="AE1265" s="71">
        <v>2250</v>
      </c>
      <c r="AF1265" s="64">
        <f t="shared" si="297"/>
        <v>6.0445387062566275E-2</v>
      </c>
      <c r="AG1265" s="64">
        <f t="shared" si="304"/>
        <v>6.0445387062566275E-2</v>
      </c>
      <c r="AH1265" s="67"/>
      <c r="AI1265" s="52" t="s">
        <v>54</v>
      </c>
      <c r="AJ1265" s="47">
        <v>624.30999999999995</v>
      </c>
      <c r="AK1265" s="101" t="s">
        <v>65</v>
      </c>
      <c r="AL1265" s="101" t="s">
        <v>55</v>
      </c>
      <c r="AM1265" s="47" t="s">
        <v>131</v>
      </c>
      <c r="AN1265" s="47"/>
      <c r="AO1265" s="211">
        <f t="shared" si="298"/>
        <v>-1</v>
      </c>
      <c r="AP1265" s="47" t="s">
        <v>90</v>
      </c>
      <c r="AQ1265" s="91" t="s">
        <v>116</v>
      </c>
      <c r="AR1265" s="47"/>
    </row>
    <row r="1266" spans="1:44" hidden="1">
      <c r="A1266" s="52" t="s">
        <v>44</v>
      </c>
      <c r="B1266" s="47" t="str">
        <f t="shared" si="302"/>
        <v>July</v>
      </c>
      <c r="C1266" s="59">
        <v>45483</v>
      </c>
      <c r="D1266" s="47" t="s">
        <v>83</v>
      </c>
      <c r="E1266" s="47" t="s">
        <v>1051</v>
      </c>
      <c r="F1266" s="47" t="s">
        <v>1052</v>
      </c>
      <c r="G1266" s="47" t="s">
        <v>3391</v>
      </c>
      <c r="H1266" s="47" t="s">
        <v>3392</v>
      </c>
      <c r="I1266" s="47" t="s">
        <v>3393</v>
      </c>
      <c r="J1266" s="47" t="s">
        <v>51</v>
      </c>
      <c r="K1266" s="48">
        <v>45118</v>
      </c>
      <c r="L1266" s="48">
        <v>45118</v>
      </c>
      <c r="M1266" s="48">
        <v>45483</v>
      </c>
      <c r="N1266" s="47" t="s">
        <v>52</v>
      </c>
      <c r="O1266" s="55" t="s">
        <v>53</v>
      </c>
      <c r="P1266" s="62">
        <v>26400</v>
      </c>
      <c r="Q1266" s="62">
        <v>2200</v>
      </c>
      <c r="R1266" s="103">
        <v>26400</v>
      </c>
      <c r="S1266" s="62">
        <f t="shared" si="299"/>
        <v>2200</v>
      </c>
      <c r="T1266" s="222">
        <v>26400</v>
      </c>
      <c r="U1266" s="62">
        <f t="shared" si="300"/>
        <v>2200</v>
      </c>
      <c r="V1266" s="65">
        <v>22873.56</v>
      </c>
      <c r="W1266" s="71" t="s">
        <v>123</v>
      </c>
      <c r="X1266" s="71"/>
      <c r="Y1266" s="71"/>
      <c r="Z1266" s="64" t="e">
        <f t="shared" si="295"/>
        <v>#VALUE!</v>
      </c>
      <c r="AA1266" s="64" t="e">
        <f t="shared" si="301"/>
        <v>#VALUE!</v>
      </c>
      <c r="AB1266" s="194">
        <v>2350</v>
      </c>
      <c r="AC1266" s="64">
        <f t="shared" si="296"/>
        <v>6.8181818181818177E-2</v>
      </c>
      <c r="AD1266" s="64">
        <f t="shared" si="303"/>
        <v>6.8181818181818177E-2</v>
      </c>
      <c r="AE1266" s="71">
        <v>2300</v>
      </c>
      <c r="AF1266" s="64">
        <f t="shared" si="297"/>
        <v>4.5454545454545456E-2</v>
      </c>
      <c r="AG1266" s="64">
        <f t="shared" si="304"/>
        <v>4.5454545454545456E-2</v>
      </c>
      <c r="AH1266" s="67"/>
      <c r="AI1266" s="52" t="s">
        <v>54</v>
      </c>
      <c r="AJ1266" s="47">
        <v>667.37</v>
      </c>
      <c r="AK1266" s="101" t="s">
        <v>65</v>
      </c>
      <c r="AL1266" s="101" t="s">
        <v>55</v>
      </c>
      <c r="AM1266" s="47" t="s">
        <v>131</v>
      </c>
      <c r="AN1266" s="47">
        <v>2300</v>
      </c>
      <c r="AO1266" s="211">
        <f t="shared" si="298"/>
        <v>4.5454545454545456E-2</v>
      </c>
      <c r="AP1266" s="47" t="s">
        <v>90</v>
      </c>
      <c r="AQ1266" s="91" t="s">
        <v>116</v>
      </c>
      <c r="AR1266" s="47"/>
    </row>
    <row r="1267" spans="1:44" hidden="1">
      <c r="A1267" s="52" t="s">
        <v>44</v>
      </c>
      <c r="B1267" s="47" t="str">
        <f t="shared" si="302"/>
        <v>July</v>
      </c>
      <c r="C1267" s="59">
        <v>45493</v>
      </c>
      <c r="D1267" s="47" t="s">
        <v>83</v>
      </c>
      <c r="E1267" s="47" t="s">
        <v>1051</v>
      </c>
      <c r="F1267" s="47" t="s">
        <v>1052</v>
      </c>
      <c r="G1267" s="47" t="s">
        <v>3394</v>
      </c>
      <c r="H1267" s="47" t="s">
        <v>3395</v>
      </c>
      <c r="I1267" s="47" t="s">
        <v>2231</v>
      </c>
      <c r="J1267" s="47" t="s">
        <v>51</v>
      </c>
      <c r="K1267" s="48">
        <v>45128</v>
      </c>
      <c r="L1267" s="48">
        <v>45128</v>
      </c>
      <c r="M1267" s="48">
        <v>45493</v>
      </c>
      <c r="N1267" s="47" t="s">
        <v>52</v>
      </c>
      <c r="O1267" s="55" t="s">
        <v>53</v>
      </c>
      <c r="P1267" s="62">
        <v>38400</v>
      </c>
      <c r="Q1267" s="62">
        <v>3200</v>
      </c>
      <c r="R1267" s="103">
        <v>38400</v>
      </c>
      <c r="S1267" s="62">
        <f t="shared" si="299"/>
        <v>3200</v>
      </c>
      <c r="T1267" s="222">
        <v>38400</v>
      </c>
      <c r="U1267" s="62">
        <f t="shared" si="300"/>
        <v>3200</v>
      </c>
      <c r="V1267" s="65">
        <v>33600</v>
      </c>
      <c r="W1267" s="71" t="s">
        <v>123</v>
      </c>
      <c r="X1267" s="71"/>
      <c r="Y1267" s="71"/>
      <c r="Z1267" s="64" t="e">
        <f t="shared" si="295"/>
        <v>#VALUE!</v>
      </c>
      <c r="AA1267" s="64" t="e">
        <f t="shared" si="301"/>
        <v>#VALUE!</v>
      </c>
      <c r="AB1267" s="194">
        <v>3435</v>
      </c>
      <c r="AC1267" s="64">
        <f t="shared" si="296"/>
        <v>7.3437500000000003E-2</v>
      </c>
      <c r="AD1267" s="64">
        <f t="shared" si="303"/>
        <v>7.3437500000000003E-2</v>
      </c>
      <c r="AE1267" s="71">
        <v>3375</v>
      </c>
      <c r="AF1267" s="64">
        <f t="shared" si="297"/>
        <v>5.46875E-2</v>
      </c>
      <c r="AG1267" s="64">
        <f t="shared" si="304"/>
        <v>5.46875E-2</v>
      </c>
      <c r="AH1267" s="67"/>
      <c r="AI1267" s="52" t="s">
        <v>54</v>
      </c>
      <c r="AJ1267" s="47">
        <v>914.93</v>
      </c>
      <c r="AK1267" s="101" t="s">
        <v>140</v>
      </c>
      <c r="AL1267" s="101" t="s">
        <v>55</v>
      </c>
      <c r="AM1267" s="47" t="s">
        <v>131</v>
      </c>
      <c r="AN1267" s="47"/>
      <c r="AO1267" s="211">
        <f t="shared" si="298"/>
        <v>-1</v>
      </c>
      <c r="AP1267" s="47" t="s">
        <v>90</v>
      </c>
      <c r="AQ1267" s="94" t="s">
        <v>891</v>
      </c>
      <c r="AR1267" s="47"/>
    </row>
    <row r="1268" spans="1:44" hidden="1">
      <c r="A1268" s="52" t="s">
        <v>44</v>
      </c>
      <c r="B1268" s="47" t="str">
        <f t="shared" si="302"/>
        <v>August</v>
      </c>
      <c r="C1268" s="59">
        <v>45521</v>
      </c>
      <c r="D1268" s="52" t="s">
        <v>83</v>
      </c>
      <c r="E1268" s="47" t="s">
        <v>1051</v>
      </c>
      <c r="F1268" s="47" t="s">
        <v>1052</v>
      </c>
      <c r="G1268" s="47" t="s">
        <v>3815</v>
      </c>
      <c r="H1268" s="47" t="s">
        <v>3816</v>
      </c>
      <c r="I1268" s="47" t="s">
        <v>3817</v>
      </c>
      <c r="J1268" s="47" t="s">
        <v>51</v>
      </c>
      <c r="K1268" s="48">
        <v>45156</v>
      </c>
      <c r="L1268" s="48">
        <v>45156</v>
      </c>
      <c r="M1268" s="48">
        <v>45521</v>
      </c>
      <c r="N1268" s="47" t="s">
        <v>52</v>
      </c>
      <c r="O1268" s="55" t="s">
        <v>53</v>
      </c>
      <c r="P1268" s="62">
        <v>36000</v>
      </c>
      <c r="Q1268" s="62">
        <v>3000</v>
      </c>
      <c r="R1268" s="103">
        <v>36000</v>
      </c>
      <c r="S1268" s="62">
        <f t="shared" si="299"/>
        <v>3000</v>
      </c>
      <c r="T1268" s="222">
        <v>36000</v>
      </c>
      <c r="U1268" s="62">
        <f t="shared" si="300"/>
        <v>3000</v>
      </c>
      <c r="V1268" s="65">
        <v>33300</v>
      </c>
      <c r="W1268" s="71" t="s">
        <v>123</v>
      </c>
      <c r="X1268" s="71"/>
      <c r="Y1268" s="71"/>
      <c r="Z1268" s="64" t="e">
        <f t="shared" si="295"/>
        <v>#VALUE!</v>
      </c>
      <c r="AA1268" s="64" t="e">
        <f t="shared" si="301"/>
        <v>#VALUE!</v>
      </c>
      <c r="AB1268" s="194">
        <v>3200</v>
      </c>
      <c r="AC1268" s="64">
        <f t="shared" si="296"/>
        <v>6.6666666666666666E-2</v>
      </c>
      <c r="AD1268" s="64">
        <f t="shared" si="303"/>
        <v>6.6666666666666666E-2</v>
      </c>
      <c r="AE1268" s="175">
        <v>3125</v>
      </c>
      <c r="AF1268" s="64">
        <f t="shared" si="297"/>
        <v>4.1666666666666664E-2</v>
      </c>
      <c r="AG1268" s="64">
        <f t="shared" si="304"/>
        <v>4.1666666666666664E-2</v>
      </c>
      <c r="AH1268" s="67"/>
      <c r="AI1268" s="52" t="s">
        <v>54</v>
      </c>
      <c r="AJ1268" s="47">
        <v>548.96</v>
      </c>
      <c r="AK1268" s="47" t="s">
        <v>140</v>
      </c>
      <c r="AL1268" s="47" t="s">
        <v>55</v>
      </c>
      <c r="AM1268" s="47" t="s">
        <v>131</v>
      </c>
      <c r="AN1268" s="47"/>
      <c r="AO1268" s="211">
        <f t="shared" si="298"/>
        <v>-1</v>
      </c>
      <c r="AP1268" s="47" t="s">
        <v>90</v>
      </c>
      <c r="AQ1268" s="94" t="s">
        <v>891</v>
      </c>
      <c r="AR1268" s="47"/>
    </row>
    <row r="1269" spans="1:44">
      <c r="A1269" s="52" t="s">
        <v>44</v>
      </c>
      <c r="B1269" s="47" t="str">
        <f t="shared" si="302"/>
        <v>August</v>
      </c>
      <c r="C1269" s="59">
        <v>45535</v>
      </c>
      <c r="D1269" s="47" t="s">
        <v>83</v>
      </c>
      <c r="E1269" s="47" t="s">
        <v>1051</v>
      </c>
      <c r="F1269" s="47" t="s">
        <v>1052</v>
      </c>
      <c r="G1269" s="47" t="s">
        <v>3818</v>
      </c>
      <c r="H1269" s="47" t="s">
        <v>3819</v>
      </c>
      <c r="I1269" s="47" t="s">
        <v>50</v>
      </c>
      <c r="J1269" s="47" t="s">
        <v>51</v>
      </c>
      <c r="K1269" s="48">
        <v>44805</v>
      </c>
      <c r="L1269" s="48">
        <v>45170</v>
      </c>
      <c r="M1269" s="48">
        <v>45535</v>
      </c>
      <c r="N1269" s="47" t="s">
        <v>64</v>
      </c>
      <c r="O1269" s="55" t="s">
        <v>53</v>
      </c>
      <c r="P1269" s="62">
        <v>34020</v>
      </c>
      <c r="Q1269" s="62">
        <v>2835</v>
      </c>
      <c r="R1269" s="103">
        <v>34020</v>
      </c>
      <c r="S1269" s="62">
        <f t="shared" si="299"/>
        <v>2835</v>
      </c>
      <c r="T1269" s="222">
        <v>34020</v>
      </c>
      <c r="U1269" s="62">
        <f t="shared" si="300"/>
        <v>2835</v>
      </c>
      <c r="V1269" s="65">
        <v>31200</v>
      </c>
      <c r="W1269" s="71" t="s">
        <v>123</v>
      </c>
      <c r="X1269" s="71"/>
      <c r="Y1269" s="71"/>
      <c r="Z1269" s="64" t="e">
        <f t="shared" si="295"/>
        <v>#VALUE!</v>
      </c>
      <c r="AA1269" s="64" t="e">
        <f t="shared" si="301"/>
        <v>#VALUE!</v>
      </c>
      <c r="AB1269" s="194">
        <v>3050</v>
      </c>
      <c r="AC1269" s="64">
        <f t="shared" si="296"/>
        <v>7.5837742504409167E-2</v>
      </c>
      <c r="AD1269" s="64">
        <f t="shared" si="303"/>
        <v>7.5837742504409167E-2</v>
      </c>
      <c r="AE1269" s="71">
        <v>3000</v>
      </c>
      <c r="AF1269" s="64">
        <f t="shared" si="297"/>
        <v>5.8201058201058198E-2</v>
      </c>
      <c r="AG1269" s="64">
        <f t="shared" si="304"/>
        <v>5.8201058201058198E-2</v>
      </c>
      <c r="AH1269" s="67"/>
      <c r="AI1269" s="52" t="s">
        <v>250</v>
      </c>
      <c r="AJ1269" s="47">
        <v>742.72</v>
      </c>
      <c r="AK1269" s="47" t="s">
        <v>140</v>
      </c>
      <c r="AL1269" s="47" t="s">
        <v>55</v>
      </c>
      <c r="AM1269" s="47" t="s">
        <v>2996</v>
      </c>
      <c r="AN1269" s="47"/>
      <c r="AO1269" s="211">
        <f t="shared" si="298"/>
        <v>-1</v>
      </c>
      <c r="AP1269" s="47" t="s">
        <v>90</v>
      </c>
      <c r="AQ1269" s="91" t="s">
        <v>116</v>
      </c>
      <c r="AR1269" s="47"/>
    </row>
    <row r="1270" spans="1:44">
      <c r="R1270" s="58"/>
    </row>
    <row r="1277" spans="1:44">
      <c r="H1277" s="158"/>
      <c r="I1277" s="158"/>
    </row>
    <row r="1284" spans="33:33">
      <c r="AG1284" s="66">
        <v>10.6</v>
      </c>
    </row>
    <row r="1048551" spans="23:25">
      <c r="W1048551" s="71"/>
      <c r="X1048551" s="169"/>
      <c r="Y1048551" s="169"/>
    </row>
  </sheetData>
  <autoFilter ref="A1:XES1269" xr:uid="{00000000-0001-0000-0000-000000000000}">
    <filterColumn colId="13">
      <filters blank="1">
        <filter val="Renewal"/>
      </filters>
    </filterColumn>
    <sortState xmlns:xlrd2="http://schemas.microsoft.com/office/spreadsheetml/2017/richdata2" ref="A2:XES1269">
      <sortCondition ref="E1:E1269"/>
    </sortState>
  </autoFilter>
  <sortState xmlns:xlrd2="http://schemas.microsoft.com/office/spreadsheetml/2017/richdata2" ref="A29:AS1260">
    <sortCondition ref="E1:E1263"/>
    <sortCondition ref="AK1:AK1263"/>
    <sortCondition ref="AJ1:AJ1263"/>
  </sortState>
  <conditionalFormatting sqref="E1265:N1265 F1269:N1269 E1268:N1268 F1264:N1264 F1266:N1267">
    <cfRule type="duplicateValues" dxfId="35" priority="1"/>
  </conditionalFormatting>
  <conditionalFormatting sqref="G1260">
    <cfRule type="duplicateValues" dxfId="34" priority="5"/>
  </conditionalFormatting>
  <conditionalFormatting sqref="G1261">
    <cfRule type="duplicateValues" dxfId="33" priority="4"/>
  </conditionalFormatting>
  <conditionalFormatting sqref="G1262">
    <cfRule type="duplicateValues" dxfId="32" priority="3"/>
  </conditionalFormatting>
  <conditionalFormatting sqref="G1263">
    <cfRule type="duplicateValues" dxfId="31" priority="2"/>
  </conditionalFormatting>
  <conditionalFormatting sqref="H1277:I1277 G1272:G1048576 G1:G1259 G1270">
    <cfRule type="duplicateValues" dxfId="30" priority="36"/>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D20E6-DB30-44C2-ABCA-5CEC59D24F1D}">
  <sheetPr filterMode="1"/>
  <dimension ref="A1:AD299"/>
  <sheetViews>
    <sheetView zoomScale="80" zoomScaleNormal="80" workbookViewId="0">
      <pane ySplit="1" topLeftCell="A2" activePane="bottomLeft" state="frozen"/>
      <selection pane="bottomLeft" activeCell="J105" sqref="J105"/>
    </sheetView>
  </sheetViews>
  <sheetFormatPr defaultRowHeight="15"/>
  <cols>
    <col min="2" max="2" width="11.7109375" customWidth="1"/>
    <col min="3" max="3" width="12" customWidth="1"/>
    <col min="4" max="4" width="21.28515625" customWidth="1"/>
    <col min="5" max="5" width="20.140625" customWidth="1"/>
    <col min="6" max="6" width="39.140625" customWidth="1"/>
    <col min="7" max="7" width="21.85546875" customWidth="1"/>
    <col min="8" max="8" width="26" customWidth="1"/>
    <col min="17" max="17" width="10.5703125" customWidth="1"/>
    <col min="18" max="18" width="10.7109375" customWidth="1"/>
    <col min="19" max="19" width="12.42578125" customWidth="1"/>
    <col min="20" max="20" width="12.5703125" customWidth="1"/>
    <col min="21" max="21" width="14.85546875" hidden="1" customWidth="1"/>
    <col min="26" max="26" width="37.7109375" customWidth="1"/>
    <col min="28" max="28" width="24.85546875" customWidth="1"/>
    <col min="29" max="29" width="9.140625" bestFit="1" customWidth="1"/>
  </cols>
  <sheetData>
    <row r="1" spans="1:30" s="1" customFormat="1" ht="45">
      <c r="A1" s="2" t="s">
        <v>0</v>
      </c>
      <c r="B1" s="2" t="s">
        <v>2</v>
      </c>
      <c r="C1" s="2" t="s">
        <v>3</v>
      </c>
      <c r="D1" s="2" t="s">
        <v>4</v>
      </c>
      <c r="E1" s="2" t="s">
        <v>5</v>
      </c>
      <c r="F1" s="2" t="s">
        <v>6</v>
      </c>
      <c r="G1" s="2" t="s">
        <v>7</v>
      </c>
      <c r="H1" s="2" t="s">
        <v>8</v>
      </c>
      <c r="I1" s="2" t="s">
        <v>9</v>
      </c>
      <c r="J1" s="2" t="s">
        <v>10</v>
      </c>
      <c r="K1" s="2" t="s">
        <v>3845</v>
      </c>
      <c r="L1" s="2" t="s">
        <v>11</v>
      </c>
      <c r="M1" s="2" t="s">
        <v>12</v>
      </c>
      <c r="N1" s="2" t="s">
        <v>13</v>
      </c>
      <c r="O1" s="2" t="s">
        <v>14</v>
      </c>
      <c r="P1" s="2" t="s">
        <v>3846</v>
      </c>
      <c r="Q1" s="2" t="s">
        <v>3847</v>
      </c>
      <c r="R1" s="2" t="s">
        <v>3848</v>
      </c>
      <c r="S1" s="2" t="s">
        <v>3849</v>
      </c>
      <c r="T1" s="2" t="s">
        <v>3850</v>
      </c>
      <c r="U1" s="2" t="s">
        <v>3851</v>
      </c>
      <c r="V1" s="272" t="s">
        <v>34</v>
      </c>
      <c r="W1" s="2" t="s">
        <v>35</v>
      </c>
      <c r="X1" s="2" t="s">
        <v>3852</v>
      </c>
      <c r="Y1" s="2" t="s">
        <v>3853</v>
      </c>
      <c r="Z1" s="2" t="s">
        <v>38</v>
      </c>
      <c r="AA1" s="2" t="s">
        <v>41</v>
      </c>
      <c r="AB1" s="2" t="s">
        <v>3854</v>
      </c>
      <c r="AC1" s="2" t="s">
        <v>3855</v>
      </c>
      <c r="AD1" s="2"/>
    </row>
    <row r="2" spans="1:30">
      <c r="A2" s="3" t="s">
        <v>44</v>
      </c>
      <c r="B2" s="4">
        <v>45481</v>
      </c>
      <c r="C2" s="3" t="s">
        <v>109</v>
      </c>
      <c r="D2" s="3" t="s">
        <v>1079</v>
      </c>
      <c r="E2" s="3" t="s">
        <v>3856</v>
      </c>
      <c r="F2" s="3" t="s">
        <v>3857</v>
      </c>
      <c r="G2" s="3" t="s">
        <v>1049</v>
      </c>
      <c r="H2" s="3"/>
      <c r="I2" s="3" t="s">
        <v>51</v>
      </c>
      <c r="J2" s="6">
        <v>44751</v>
      </c>
      <c r="K2" s="6"/>
      <c r="L2" s="6">
        <v>45116</v>
      </c>
      <c r="M2" s="6">
        <v>45481</v>
      </c>
      <c r="N2" s="3" t="s">
        <v>64</v>
      </c>
      <c r="O2" s="3" t="s">
        <v>3858</v>
      </c>
      <c r="P2" s="7">
        <v>1200</v>
      </c>
      <c r="Q2" s="7">
        <v>100</v>
      </c>
      <c r="R2" s="8">
        <v>1440</v>
      </c>
      <c r="S2" s="7">
        <v>1440</v>
      </c>
      <c r="T2" s="8">
        <v>1440</v>
      </c>
      <c r="U2" s="3">
        <v>1200</v>
      </c>
      <c r="V2" s="3" t="s">
        <v>395</v>
      </c>
      <c r="W2" s="3">
        <v>0</v>
      </c>
      <c r="X2" s="3" t="s">
        <v>93</v>
      </c>
      <c r="Y2" s="3" t="s">
        <v>93</v>
      </c>
      <c r="Z2" s="3" t="s">
        <v>131</v>
      </c>
      <c r="AA2" s="3" t="s">
        <v>3859</v>
      </c>
      <c r="AB2" s="9">
        <v>45481</v>
      </c>
      <c r="AC2" s="3" t="s">
        <v>131</v>
      </c>
      <c r="AD2" s="3"/>
    </row>
    <row r="3" spans="1:30">
      <c r="A3" s="3" t="s">
        <v>44</v>
      </c>
      <c r="B3" s="4">
        <v>45481</v>
      </c>
      <c r="C3" s="3" t="s">
        <v>109</v>
      </c>
      <c r="D3" s="3" t="s">
        <v>1079</v>
      </c>
      <c r="E3" s="3" t="s">
        <v>3856</v>
      </c>
      <c r="F3" s="3" t="s">
        <v>3860</v>
      </c>
      <c r="G3" s="3" t="s">
        <v>1049</v>
      </c>
      <c r="H3" s="3"/>
      <c r="I3" s="3" t="s">
        <v>51</v>
      </c>
      <c r="J3" s="6">
        <v>44751</v>
      </c>
      <c r="K3" s="6"/>
      <c r="L3" s="6">
        <v>45116</v>
      </c>
      <c r="M3" s="6">
        <v>45481</v>
      </c>
      <c r="N3" s="3" t="s">
        <v>64</v>
      </c>
      <c r="O3" s="3" t="s">
        <v>3858</v>
      </c>
      <c r="P3" s="7">
        <v>1200</v>
      </c>
      <c r="Q3" s="7">
        <v>100</v>
      </c>
      <c r="R3" s="8">
        <v>1440</v>
      </c>
      <c r="S3" s="7">
        <v>1440</v>
      </c>
      <c r="T3" s="8">
        <v>1440</v>
      </c>
      <c r="U3" s="3">
        <v>1200</v>
      </c>
      <c r="V3" s="3" t="s">
        <v>250</v>
      </c>
      <c r="W3" s="3">
        <v>0</v>
      </c>
      <c r="X3" s="3" t="s">
        <v>93</v>
      </c>
      <c r="Y3" s="3" t="s">
        <v>93</v>
      </c>
      <c r="Z3" s="3" t="s">
        <v>131</v>
      </c>
      <c r="AA3" s="3" t="s">
        <v>3859</v>
      </c>
      <c r="AB3" s="9">
        <v>45481</v>
      </c>
      <c r="AC3" s="3" t="s">
        <v>131</v>
      </c>
      <c r="AD3" s="3"/>
    </row>
    <row r="4" spans="1:30" hidden="1">
      <c r="A4" s="3" t="s">
        <v>44</v>
      </c>
      <c r="B4" s="4">
        <v>45482</v>
      </c>
      <c r="C4" s="3" t="s">
        <v>109</v>
      </c>
      <c r="D4" s="3" t="s">
        <v>1079</v>
      </c>
      <c r="E4" s="3" t="s">
        <v>3856</v>
      </c>
      <c r="F4" s="3" t="s">
        <v>3861</v>
      </c>
      <c r="G4" s="3" t="s">
        <v>1049</v>
      </c>
      <c r="H4" s="3"/>
      <c r="I4" s="3" t="s">
        <v>51</v>
      </c>
      <c r="J4" s="6">
        <v>45117</v>
      </c>
      <c r="K4" s="6"/>
      <c r="L4" s="6">
        <v>45117</v>
      </c>
      <c r="M4" s="6">
        <v>45482</v>
      </c>
      <c r="N4" s="3" t="s">
        <v>52</v>
      </c>
      <c r="O4" s="3" t="s">
        <v>3858</v>
      </c>
      <c r="P4" s="7">
        <v>1200</v>
      </c>
      <c r="Q4" s="7">
        <v>100</v>
      </c>
      <c r="R4" s="8">
        <v>1200</v>
      </c>
      <c r="S4" s="7">
        <v>1440</v>
      </c>
      <c r="T4" s="8">
        <v>1260</v>
      </c>
      <c r="U4" s="3">
        <v>1200</v>
      </c>
      <c r="V4" s="3" t="s">
        <v>54</v>
      </c>
      <c r="W4" s="3">
        <v>0</v>
      </c>
      <c r="X4" s="3" t="s">
        <v>93</v>
      </c>
      <c r="Y4" s="3" t="s">
        <v>93</v>
      </c>
      <c r="Z4" s="3" t="s">
        <v>131</v>
      </c>
      <c r="AA4" s="3" t="s">
        <v>3859</v>
      </c>
      <c r="AB4" s="9">
        <v>45482</v>
      </c>
      <c r="AC4" s="3" t="s">
        <v>131</v>
      </c>
      <c r="AD4" s="3"/>
    </row>
    <row r="5" spans="1:30">
      <c r="A5" s="3" t="s">
        <v>44</v>
      </c>
      <c r="B5" s="4">
        <v>45508</v>
      </c>
      <c r="C5" s="3" t="s">
        <v>109</v>
      </c>
      <c r="D5" s="3" t="s">
        <v>1079</v>
      </c>
      <c r="E5" s="3" t="s">
        <v>3856</v>
      </c>
      <c r="F5" s="3" t="s">
        <v>3862</v>
      </c>
      <c r="G5" s="3" t="s">
        <v>1049</v>
      </c>
      <c r="H5" s="3"/>
      <c r="I5" s="3" t="s">
        <v>51</v>
      </c>
      <c r="J5" s="6">
        <v>43217</v>
      </c>
      <c r="K5" s="6"/>
      <c r="L5" s="6">
        <v>45143</v>
      </c>
      <c r="M5" s="6">
        <v>45508</v>
      </c>
      <c r="N5" s="3" t="s">
        <v>64</v>
      </c>
      <c r="O5" s="3" t="s">
        <v>3858</v>
      </c>
      <c r="P5" s="7">
        <v>1200</v>
      </c>
      <c r="Q5" s="7">
        <v>100</v>
      </c>
      <c r="R5" s="8">
        <v>1200</v>
      </c>
      <c r="S5" s="7">
        <v>1440</v>
      </c>
      <c r="T5" s="8">
        <v>1200</v>
      </c>
      <c r="U5" s="3">
        <v>1200</v>
      </c>
      <c r="V5" s="3" t="s">
        <v>54</v>
      </c>
      <c r="W5" s="3">
        <v>0</v>
      </c>
      <c r="X5" s="3" t="s">
        <v>93</v>
      </c>
      <c r="Y5" s="3" t="s">
        <v>93</v>
      </c>
      <c r="Z5" s="3" t="s">
        <v>131</v>
      </c>
      <c r="AA5" s="3" t="s">
        <v>3859</v>
      </c>
      <c r="AB5" s="9">
        <v>45508</v>
      </c>
      <c r="AC5" s="3" t="s">
        <v>131</v>
      </c>
      <c r="AD5" s="3"/>
    </row>
    <row r="6" spans="1:30">
      <c r="A6" s="3" t="s">
        <v>44</v>
      </c>
      <c r="B6" s="4">
        <v>45508</v>
      </c>
      <c r="C6" s="3" t="s">
        <v>109</v>
      </c>
      <c r="D6" s="3" t="s">
        <v>1079</v>
      </c>
      <c r="E6" s="3" t="s">
        <v>3856</v>
      </c>
      <c r="F6" s="3" t="s">
        <v>3863</v>
      </c>
      <c r="G6" s="3" t="s">
        <v>1049</v>
      </c>
      <c r="H6" s="3"/>
      <c r="I6" s="3" t="s">
        <v>51</v>
      </c>
      <c r="J6" s="6">
        <v>43217</v>
      </c>
      <c r="K6" s="6"/>
      <c r="L6" s="6">
        <v>45143</v>
      </c>
      <c r="M6" s="6">
        <v>45508</v>
      </c>
      <c r="N6" s="3" t="s">
        <v>64</v>
      </c>
      <c r="O6" s="3" t="s">
        <v>3858</v>
      </c>
      <c r="P6" s="7">
        <v>1200</v>
      </c>
      <c r="Q6" s="7">
        <v>100</v>
      </c>
      <c r="R6" s="8">
        <v>1200</v>
      </c>
      <c r="S6" s="7">
        <v>1440</v>
      </c>
      <c r="T6" s="8">
        <v>1200</v>
      </c>
      <c r="U6" s="3">
        <v>1200</v>
      </c>
      <c r="V6" s="3" t="s">
        <v>54</v>
      </c>
      <c r="W6" s="3">
        <v>0</v>
      </c>
      <c r="X6" s="3" t="s">
        <v>93</v>
      </c>
      <c r="Y6" s="3" t="s">
        <v>93</v>
      </c>
      <c r="Z6" s="3" t="s">
        <v>131</v>
      </c>
      <c r="AA6" s="3" t="s">
        <v>3859</v>
      </c>
      <c r="AB6" s="9">
        <v>45508</v>
      </c>
      <c r="AC6" s="3" t="s">
        <v>131</v>
      </c>
      <c r="AD6" s="3"/>
    </row>
    <row r="7" spans="1:30" hidden="1">
      <c r="A7" s="3" t="s">
        <v>44</v>
      </c>
      <c r="B7" s="4">
        <v>45485</v>
      </c>
      <c r="C7" s="3" t="s">
        <v>109</v>
      </c>
      <c r="D7" s="3" t="s">
        <v>942</v>
      </c>
      <c r="E7" s="3" t="s">
        <v>867</v>
      </c>
      <c r="F7" s="3" t="s">
        <v>3864</v>
      </c>
      <c r="G7" s="3" t="s">
        <v>3865</v>
      </c>
      <c r="H7" s="3"/>
      <c r="I7" s="3" t="s">
        <v>51</v>
      </c>
      <c r="J7" s="6">
        <v>44939</v>
      </c>
      <c r="K7" s="6"/>
      <c r="L7" s="6">
        <v>44939</v>
      </c>
      <c r="M7" s="6">
        <v>45485</v>
      </c>
      <c r="N7" s="3" t="s">
        <v>52</v>
      </c>
      <c r="O7" s="3" t="s">
        <v>3858</v>
      </c>
      <c r="P7" s="7">
        <v>0</v>
      </c>
      <c r="Q7" s="7">
        <v>0</v>
      </c>
      <c r="R7" s="8">
        <v>0</v>
      </c>
      <c r="S7" s="7">
        <v>0</v>
      </c>
      <c r="T7" s="8">
        <v>0</v>
      </c>
      <c r="U7" s="3">
        <v>0</v>
      </c>
      <c r="V7" s="3" t="s">
        <v>54</v>
      </c>
      <c r="W7" s="3">
        <v>0</v>
      </c>
      <c r="X7" s="3" t="s">
        <v>93</v>
      </c>
      <c r="Y7" s="3" t="s">
        <v>93</v>
      </c>
      <c r="Z7" s="3" t="s">
        <v>3866</v>
      </c>
      <c r="AA7" s="3" t="s">
        <v>3867</v>
      </c>
      <c r="AB7" s="9">
        <v>45485</v>
      </c>
      <c r="AC7" s="3" t="s">
        <v>131</v>
      </c>
      <c r="AD7" s="3"/>
    </row>
    <row r="8" spans="1:30" hidden="1">
      <c r="A8" s="3" t="s">
        <v>44</v>
      </c>
      <c r="B8" s="4">
        <v>45495</v>
      </c>
      <c r="C8" s="3" t="s">
        <v>109</v>
      </c>
      <c r="D8" s="3" t="s">
        <v>942</v>
      </c>
      <c r="E8" s="3" t="s">
        <v>867</v>
      </c>
      <c r="F8" s="3" t="s">
        <v>3868</v>
      </c>
      <c r="G8" s="3" t="s">
        <v>3869</v>
      </c>
      <c r="H8" s="3"/>
      <c r="I8" s="3" t="s">
        <v>51</v>
      </c>
      <c r="J8" s="6">
        <v>44949</v>
      </c>
      <c r="K8" s="6"/>
      <c r="L8" s="6">
        <v>44949</v>
      </c>
      <c r="M8" s="6">
        <v>45495</v>
      </c>
      <c r="N8" s="3" t="s">
        <v>52</v>
      </c>
      <c r="O8" s="3" t="s">
        <v>3858</v>
      </c>
      <c r="P8" s="7">
        <v>0</v>
      </c>
      <c r="Q8" s="7">
        <v>0</v>
      </c>
      <c r="R8" s="8"/>
      <c r="S8" s="7">
        <v>0</v>
      </c>
      <c r="T8" s="8">
        <v>0</v>
      </c>
      <c r="U8" s="3">
        <v>0</v>
      </c>
      <c r="V8" s="3" t="s">
        <v>54</v>
      </c>
      <c r="W8" s="3">
        <v>0</v>
      </c>
      <c r="X8" s="3" t="s">
        <v>93</v>
      </c>
      <c r="Y8" s="3" t="s">
        <v>93</v>
      </c>
      <c r="Z8" s="3" t="s">
        <v>3866</v>
      </c>
      <c r="AA8" s="3" t="s">
        <v>3867</v>
      </c>
      <c r="AB8" s="9">
        <v>45495</v>
      </c>
      <c r="AC8" s="3" t="s">
        <v>131</v>
      </c>
      <c r="AD8" s="3"/>
    </row>
    <row r="9" spans="1:30" hidden="1">
      <c r="A9" s="3" t="s">
        <v>44</v>
      </c>
      <c r="B9" s="4">
        <v>45483</v>
      </c>
      <c r="C9" s="3" t="s">
        <v>45</v>
      </c>
      <c r="D9" s="3" t="s">
        <v>253</v>
      </c>
      <c r="E9" s="3" t="s">
        <v>254</v>
      </c>
      <c r="F9" s="3" t="s">
        <v>3870</v>
      </c>
      <c r="G9" s="3" t="s">
        <v>3871</v>
      </c>
      <c r="H9" s="3" t="s">
        <v>3872</v>
      </c>
      <c r="I9" s="3" t="s">
        <v>51</v>
      </c>
      <c r="J9" s="6">
        <v>45118</v>
      </c>
      <c r="K9" s="6"/>
      <c r="L9" s="6">
        <v>45118</v>
      </c>
      <c r="M9" s="6">
        <v>45483</v>
      </c>
      <c r="N9" s="3" t="s">
        <v>52</v>
      </c>
      <c r="O9" s="3" t="s">
        <v>3858</v>
      </c>
      <c r="P9" s="7">
        <v>1500</v>
      </c>
      <c r="Q9" s="7">
        <v>125</v>
      </c>
      <c r="R9" s="8">
        <v>1560</v>
      </c>
      <c r="S9" s="7">
        <v>1560</v>
      </c>
      <c r="T9" s="8">
        <v>1560</v>
      </c>
      <c r="U9" s="3">
        <v>1500</v>
      </c>
      <c r="V9" s="3" t="s">
        <v>54</v>
      </c>
      <c r="W9" s="3">
        <v>0</v>
      </c>
      <c r="X9" s="3" t="s">
        <v>93</v>
      </c>
      <c r="Y9" s="3" t="s">
        <v>93</v>
      </c>
      <c r="Z9" s="3" t="s">
        <v>131</v>
      </c>
      <c r="AA9" s="3" t="s">
        <v>3873</v>
      </c>
      <c r="AB9" s="9">
        <v>45483</v>
      </c>
      <c r="AC9" s="3" t="s">
        <v>131</v>
      </c>
      <c r="AD9" s="3"/>
    </row>
    <row r="10" spans="1:30" hidden="1">
      <c r="A10" s="3" t="s">
        <v>44</v>
      </c>
      <c r="B10" s="4">
        <v>45489</v>
      </c>
      <c r="C10" s="3" t="s">
        <v>45</v>
      </c>
      <c r="D10" s="3" t="s">
        <v>253</v>
      </c>
      <c r="E10" s="3" t="s">
        <v>254</v>
      </c>
      <c r="F10" s="3" t="s">
        <v>3874</v>
      </c>
      <c r="G10" s="3" t="s">
        <v>3875</v>
      </c>
      <c r="H10" s="3" t="s">
        <v>3876</v>
      </c>
      <c r="I10" s="3" t="s">
        <v>51</v>
      </c>
      <c r="J10" s="6">
        <v>45124</v>
      </c>
      <c r="K10" s="6"/>
      <c r="L10" s="6">
        <v>45124</v>
      </c>
      <c r="M10" s="6">
        <v>45489</v>
      </c>
      <c r="N10" s="3" t="s">
        <v>52</v>
      </c>
      <c r="O10" s="3" t="s">
        <v>3858</v>
      </c>
      <c r="P10" s="7">
        <v>1500</v>
      </c>
      <c r="Q10" s="7">
        <v>125</v>
      </c>
      <c r="R10" s="8">
        <v>1440</v>
      </c>
      <c r="S10" s="7">
        <v>1560</v>
      </c>
      <c r="T10" s="8">
        <v>1440</v>
      </c>
      <c r="U10" s="3">
        <v>1500</v>
      </c>
      <c r="V10" s="3" t="s">
        <v>54</v>
      </c>
      <c r="W10" s="3">
        <v>0</v>
      </c>
      <c r="X10" s="3" t="s">
        <v>93</v>
      </c>
      <c r="Y10" s="3" t="s">
        <v>93</v>
      </c>
      <c r="Z10" s="3" t="s">
        <v>131</v>
      </c>
      <c r="AA10" s="3" t="s">
        <v>3873</v>
      </c>
      <c r="AB10" s="9">
        <v>45489</v>
      </c>
      <c r="AC10" s="3" t="s">
        <v>131</v>
      </c>
      <c r="AD10" s="3"/>
    </row>
    <row r="11" spans="1:30">
      <c r="A11" s="3" t="s">
        <v>44</v>
      </c>
      <c r="B11" s="4">
        <v>45490</v>
      </c>
      <c r="C11" s="3" t="s">
        <v>45</v>
      </c>
      <c r="D11" s="3" t="s">
        <v>253</v>
      </c>
      <c r="E11" s="3" t="s">
        <v>254</v>
      </c>
      <c r="F11" s="3" t="s">
        <v>3877</v>
      </c>
      <c r="G11" s="3" t="s">
        <v>3878</v>
      </c>
      <c r="H11" s="3" t="s">
        <v>3879</v>
      </c>
      <c r="I11" s="3" t="s">
        <v>51</v>
      </c>
      <c r="J11" s="6">
        <v>44760</v>
      </c>
      <c r="K11" s="6"/>
      <c r="L11" s="6">
        <v>45125</v>
      </c>
      <c r="M11" s="6">
        <v>45490</v>
      </c>
      <c r="N11" s="3" t="s">
        <v>64</v>
      </c>
      <c r="O11" s="3" t="s">
        <v>3858</v>
      </c>
      <c r="P11" s="7">
        <v>1500</v>
      </c>
      <c r="Q11" s="7">
        <v>125</v>
      </c>
      <c r="R11" s="8">
        <v>1440</v>
      </c>
      <c r="S11" s="7">
        <v>1560</v>
      </c>
      <c r="T11" s="8">
        <v>1440</v>
      </c>
      <c r="U11" s="3">
        <v>1500</v>
      </c>
      <c r="V11" s="3" t="s">
        <v>54</v>
      </c>
      <c r="W11" s="3">
        <v>0</v>
      </c>
      <c r="X11" s="3" t="s">
        <v>93</v>
      </c>
      <c r="Y11" s="3" t="s">
        <v>93</v>
      </c>
      <c r="Z11" s="3" t="s">
        <v>131</v>
      </c>
      <c r="AA11" s="3" t="s">
        <v>3873</v>
      </c>
      <c r="AB11" s="9">
        <v>45490</v>
      </c>
      <c r="AC11" s="3" t="s">
        <v>131</v>
      </c>
      <c r="AD11" s="3"/>
    </row>
    <row r="12" spans="1:30" hidden="1">
      <c r="A12" s="3" t="s">
        <v>44</v>
      </c>
      <c r="B12" s="4">
        <v>45492</v>
      </c>
      <c r="C12" s="3" t="s">
        <v>45</v>
      </c>
      <c r="D12" s="3" t="s">
        <v>253</v>
      </c>
      <c r="E12" s="3" t="s">
        <v>254</v>
      </c>
      <c r="F12" s="3" t="s">
        <v>3880</v>
      </c>
      <c r="G12" s="3" t="s">
        <v>3881</v>
      </c>
      <c r="H12" s="3" t="s">
        <v>3882</v>
      </c>
      <c r="I12" s="3" t="s">
        <v>51</v>
      </c>
      <c r="J12" s="6">
        <v>45127</v>
      </c>
      <c r="K12" s="6"/>
      <c r="L12" s="6">
        <v>45127</v>
      </c>
      <c r="M12" s="6">
        <v>45492</v>
      </c>
      <c r="N12" s="3" t="s">
        <v>52</v>
      </c>
      <c r="O12" s="3" t="s">
        <v>3858</v>
      </c>
      <c r="P12" s="7">
        <v>1500</v>
      </c>
      <c r="Q12" s="7">
        <v>125</v>
      </c>
      <c r="R12" s="8">
        <v>1440</v>
      </c>
      <c r="S12" s="7">
        <v>1560</v>
      </c>
      <c r="T12" s="8">
        <v>1440</v>
      </c>
      <c r="U12" s="3">
        <v>1500</v>
      </c>
      <c r="V12" s="3" t="s">
        <v>54</v>
      </c>
      <c r="W12" s="3">
        <v>0</v>
      </c>
      <c r="X12" s="3" t="s">
        <v>93</v>
      </c>
      <c r="Y12" s="3" t="s">
        <v>93</v>
      </c>
      <c r="Z12" s="3" t="s">
        <v>131</v>
      </c>
      <c r="AA12" s="3" t="s">
        <v>3873</v>
      </c>
      <c r="AB12" s="9">
        <v>45492</v>
      </c>
      <c r="AC12" s="3" t="s">
        <v>131</v>
      </c>
      <c r="AD12" s="3"/>
    </row>
    <row r="13" spans="1:30" hidden="1">
      <c r="A13" s="3" t="s">
        <v>44</v>
      </c>
      <c r="B13" s="4">
        <v>45497</v>
      </c>
      <c r="C13" s="3" t="s">
        <v>45</v>
      </c>
      <c r="D13" s="3" t="s">
        <v>253</v>
      </c>
      <c r="E13" s="3" t="s">
        <v>254</v>
      </c>
      <c r="F13" s="3" t="s">
        <v>3883</v>
      </c>
      <c r="G13" s="3" t="s">
        <v>3884</v>
      </c>
      <c r="H13" s="3" t="s">
        <v>3885</v>
      </c>
      <c r="I13" s="3" t="s">
        <v>51</v>
      </c>
      <c r="J13" s="6">
        <v>45132</v>
      </c>
      <c r="K13" s="6"/>
      <c r="L13" s="6">
        <v>45132</v>
      </c>
      <c r="M13" s="6">
        <v>45497</v>
      </c>
      <c r="N13" s="3" t="s">
        <v>52</v>
      </c>
      <c r="O13" s="3" t="s">
        <v>3858</v>
      </c>
      <c r="P13" s="7">
        <v>1500</v>
      </c>
      <c r="Q13" s="7">
        <v>125</v>
      </c>
      <c r="R13" s="8">
        <v>1440</v>
      </c>
      <c r="S13" s="7">
        <v>1560</v>
      </c>
      <c r="T13" s="8">
        <v>1440</v>
      </c>
      <c r="U13" s="3">
        <v>1500</v>
      </c>
      <c r="V13" s="3" t="s">
        <v>54</v>
      </c>
      <c r="W13" s="3">
        <v>0</v>
      </c>
      <c r="X13" s="3" t="s">
        <v>93</v>
      </c>
      <c r="Y13" s="3" t="s">
        <v>93</v>
      </c>
      <c r="Z13" s="3" t="s">
        <v>131</v>
      </c>
      <c r="AA13" s="3" t="s">
        <v>3873</v>
      </c>
      <c r="AB13" s="9">
        <v>45497</v>
      </c>
      <c r="AC13" s="3" t="s">
        <v>131</v>
      </c>
      <c r="AD13" s="3"/>
    </row>
    <row r="14" spans="1:30" hidden="1">
      <c r="A14" s="3" t="s">
        <v>44</v>
      </c>
      <c r="B14" s="4">
        <v>45504</v>
      </c>
      <c r="C14" s="3" t="s">
        <v>45</v>
      </c>
      <c r="D14" s="3" t="s">
        <v>253</v>
      </c>
      <c r="E14" s="3" t="s">
        <v>254</v>
      </c>
      <c r="F14" s="3" t="s">
        <v>3886</v>
      </c>
      <c r="G14" s="3" t="s">
        <v>1469</v>
      </c>
      <c r="H14" s="3" t="s">
        <v>3887</v>
      </c>
      <c r="I14" s="3" t="s">
        <v>51</v>
      </c>
      <c r="J14" s="6">
        <v>45139</v>
      </c>
      <c r="K14" s="6"/>
      <c r="L14" s="6">
        <v>45139</v>
      </c>
      <c r="M14" s="6">
        <v>45504</v>
      </c>
      <c r="N14" s="3" t="s">
        <v>52</v>
      </c>
      <c r="O14" s="3" t="s">
        <v>3858</v>
      </c>
      <c r="P14" s="7">
        <v>1500</v>
      </c>
      <c r="Q14" s="7">
        <v>125</v>
      </c>
      <c r="R14" s="8">
        <v>1440</v>
      </c>
      <c r="S14" s="7">
        <v>1560</v>
      </c>
      <c r="T14" s="8">
        <v>1560</v>
      </c>
      <c r="U14" s="3">
        <v>1500</v>
      </c>
      <c r="V14" s="3" t="s">
        <v>54</v>
      </c>
      <c r="W14" s="3">
        <v>0</v>
      </c>
      <c r="X14" s="3" t="s">
        <v>93</v>
      </c>
      <c r="Y14" s="3" t="s">
        <v>93</v>
      </c>
      <c r="Z14" s="3" t="s">
        <v>131</v>
      </c>
      <c r="AA14" s="3" t="s">
        <v>3873</v>
      </c>
      <c r="AB14" s="9">
        <v>45504</v>
      </c>
      <c r="AC14" s="3" t="s">
        <v>131</v>
      </c>
      <c r="AD14" s="3"/>
    </row>
    <row r="15" spans="1:30">
      <c r="A15" s="3" t="s">
        <v>44</v>
      </c>
      <c r="B15" s="4">
        <v>45516</v>
      </c>
      <c r="C15" s="3" t="s">
        <v>45</v>
      </c>
      <c r="D15" s="3" t="s">
        <v>253</v>
      </c>
      <c r="E15" s="3" t="s">
        <v>254</v>
      </c>
      <c r="F15" s="3" t="s">
        <v>3888</v>
      </c>
      <c r="G15" s="3" t="s">
        <v>3889</v>
      </c>
      <c r="H15" s="3" t="s">
        <v>3890</v>
      </c>
      <c r="I15" s="3" t="s">
        <v>51</v>
      </c>
      <c r="J15" s="6">
        <v>44694</v>
      </c>
      <c r="K15" s="6"/>
      <c r="L15" s="6">
        <v>45059</v>
      </c>
      <c r="M15" s="6">
        <v>45516</v>
      </c>
      <c r="N15" s="3" t="s">
        <v>64</v>
      </c>
      <c r="O15" s="3" t="s">
        <v>3858</v>
      </c>
      <c r="P15" s="7">
        <v>1500</v>
      </c>
      <c r="Q15" s="7">
        <v>125</v>
      </c>
      <c r="R15" s="8">
        <v>1440</v>
      </c>
      <c r="S15" s="7">
        <v>1500</v>
      </c>
      <c r="T15" s="8">
        <v>1440</v>
      </c>
      <c r="U15" s="3">
        <v>1500</v>
      </c>
      <c r="V15" s="3" t="s">
        <v>54</v>
      </c>
      <c r="W15" s="3">
        <v>0</v>
      </c>
      <c r="X15" s="3" t="s">
        <v>93</v>
      </c>
      <c r="Y15" s="3" t="s">
        <v>93</v>
      </c>
      <c r="Z15" s="3" t="s">
        <v>131</v>
      </c>
      <c r="AA15" s="3" t="s">
        <v>3873</v>
      </c>
      <c r="AB15" s="9">
        <v>45516</v>
      </c>
      <c r="AC15" s="3" t="s">
        <v>131</v>
      </c>
      <c r="AD15" s="3"/>
    </row>
    <row r="16" spans="1:30" ht="45" hidden="1">
      <c r="A16" s="3" t="s">
        <v>44</v>
      </c>
      <c r="B16" s="4">
        <v>45535</v>
      </c>
      <c r="C16" s="3" t="s">
        <v>45</v>
      </c>
      <c r="D16" s="3" t="s">
        <v>253</v>
      </c>
      <c r="E16" s="3" t="s">
        <v>254</v>
      </c>
      <c r="F16" s="3" t="s">
        <v>3891</v>
      </c>
      <c r="G16" s="3" t="s">
        <v>3892</v>
      </c>
      <c r="H16" s="10" t="s">
        <v>3893</v>
      </c>
      <c r="I16" s="3" t="s">
        <v>51</v>
      </c>
      <c r="J16" s="6">
        <v>45170</v>
      </c>
      <c r="K16" s="6">
        <v>45535</v>
      </c>
      <c r="L16" s="6">
        <v>45170</v>
      </c>
      <c r="M16" s="6">
        <v>45535</v>
      </c>
      <c r="N16" s="3" t="s">
        <v>52</v>
      </c>
      <c r="O16" s="3" t="s">
        <v>3858</v>
      </c>
      <c r="P16" s="7">
        <v>1500</v>
      </c>
      <c r="Q16" s="7">
        <v>125</v>
      </c>
      <c r="R16" s="8">
        <v>1440</v>
      </c>
      <c r="S16" s="7">
        <v>1560</v>
      </c>
      <c r="T16" s="8">
        <v>1440</v>
      </c>
      <c r="U16" s="3">
        <v>1500</v>
      </c>
      <c r="V16" s="3" t="s">
        <v>250</v>
      </c>
      <c r="W16" s="3">
        <v>0</v>
      </c>
      <c r="X16" s="3" t="s">
        <v>93</v>
      </c>
      <c r="Y16" s="3" t="s">
        <v>93</v>
      </c>
      <c r="Z16" s="3" t="s">
        <v>131</v>
      </c>
      <c r="AA16" s="3" t="s">
        <v>3873</v>
      </c>
      <c r="AB16" s="9">
        <v>45535</v>
      </c>
      <c r="AC16" s="3" t="s">
        <v>131</v>
      </c>
      <c r="AD16" s="3"/>
    </row>
    <row r="17" spans="1:30">
      <c r="A17" s="3" t="s">
        <v>74</v>
      </c>
      <c r="B17" s="4">
        <v>45531</v>
      </c>
      <c r="C17" s="3" t="s">
        <v>45</v>
      </c>
      <c r="D17" s="3" t="s">
        <v>253</v>
      </c>
      <c r="E17" s="3" t="s">
        <v>254</v>
      </c>
      <c r="F17" s="3" t="s">
        <v>3894</v>
      </c>
      <c r="G17" s="3" t="s">
        <v>3895</v>
      </c>
      <c r="H17" s="3" t="s">
        <v>3896</v>
      </c>
      <c r="I17" s="3" t="s">
        <v>51</v>
      </c>
      <c r="J17" s="6">
        <v>44985</v>
      </c>
      <c r="K17" s="6"/>
      <c r="L17" s="6">
        <v>45350</v>
      </c>
      <c r="M17" s="6">
        <v>45531</v>
      </c>
      <c r="N17" s="3" t="s">
        <v>64</v>
      </c>
      <c r="O17" s="3" t="s">
        <v>3858</v>
      </c>
      <c r="P17" s="7">
        <v>1500</v>
      </c>
      <c r="Q17" s="7">
        <v>125</v>
      </c>
      <c r="R17" s="8">
        <v>1560</v>
      </c>
      <c r="S17" s="7">
        <v>1560</v>
      </c>
      <c r="T17" s="8">
        <v>1560</v>
      </c>
      <c r="U17" s="3">
        <v>1500</v>
      </c>
      <c r="V17" s="3" t="s">
        <v>54</v>
      </c>
      <c r="W17" s="3">
        <v>0</v>
      </c>
      <c r="X17" s="3" t="s">
        <v>93</v>
      </c>
      <c r="Y17" s="3" t="s">
        <v>93</v>
      </c>
      <c r="Z17" s="3" t="s">
        <v>131</v>
      </c>
      <c r="AA17" s="3" t="s">
        <v>3897</v>
      </c>
      <c r="AB17" s="9">
        <v>45531</v>
      </c>
      <c r="AC17" s="3" t="s">
        <v>131</v>
      </c>
      <c r="AD17" s="3"/>
    </row>
    <row r="18" spans="1:30" hidden="1">
      <c r="A18" s="3" t="s">
        <v>44</v>
      </c>
      <c r="B18" s="4">
        <v>45507</v>
      </c>
      <c r="C18" s="3" t="s">
        <v>83</v>
      </c>
      <c r="D18" s="3" t="s">
        <v>84</v>
      </c>
      <c r="E18" s="3" t="s">
        <v>3898</v>
      </c>
      <c r="F18" s="3" t="s">
        <v>3899</v>
      </c>
      <c r="G18" s="3" t="s">
        <v>3900</v>
      </c>
      <c r="H18" s="3"/>
      <c r="I18" s="3" t="s">
        <v>51</v>
      </c>
      <c r="J18" s="6">
        <v>45142</v>
      </c>
      <c r="K18" s="6"/>
      <c r="L18" s="6">
        <v>45142</v>
      </c>
      <c r="M18" s="6">
        <v>45507</v>
      </c>
      <c r="N18" s="3" t="s">
        <v>52</v>
      </c>
      <c r="O18" s="3" t="s">
        <v>3858</v>
      </c>
      <c r="P18" s="7">
        <v>600</v>
      </c>
      <c r="Q18" s="7">
        <v>50</v>
      </c>
      <c r="R18" s="8">
        <v>1440</v>
      </c>
      <c r="S18" s="7">
        <v>1800</v>
      </c>
      <c r="T18" s="8">
        <v>1440</v>
      </c>
      <c r="U18" s="3">
        <v>600</v>
      </c>
      <c r="V18" s="3" t="s">
        <v>54</v>
      </c>
      <c r="W18" s="3">
        <v>0</v>
      </c>
      <c r="X18" s="3" t="s">
        <v>131</v>
      </c>
      <c r="Y18" s="3" t="s">
        <v>131</v>
      </c>
      <c r="Z18" s="3" t="s">
        <v>3901</v>
      </c>
      <c r="AA18" s="3" t="s">
        <v>3902</v>
      </c>
      <c r="AB18" s="9">
        <v>45507</v>
      </c>
      <c r="AC18" s="3" t="s">
        <v>131</v>
      </c>
      <c r="AD18" s="3"/>
    </row>
    <row r="19" spans="1:30" hidden="1">
      <c r="A19" s="3" t="s">
        <v>44</v>
      </c>
      <c r="B19" s="4">
        <v>45478</v>
      </c>
      <c r="C19" s="3" t="s">
        <v>45</v>
      </c>
      <c r="D19" s="3" t="s">
        <v>59</v>
      </c>
      <c r="E19" s="3" t="s">
        <v>60</v>
      </c>
      <c r="F19" s="3" t="s">
        <v>3903</v>
      </c>
      <c r="G19" s="3" t="s">
        <v>3904</v>
      </c>
      <c r="H19" s="3"/>
      <c r="I19" s="3" t="s">
        <v>51</v>
      </c>
      <c r="J19" s="6">
        <v>45113</v>
      </c>
      <c r="K19" s="6"/>
      <c r="L19" s="6">
        <v>45113</v>
      </c>
      <c r="M19" s="6">
        <v>45478</v>
      </c>
      <c r="N19" s="3" t="s">
        <v>52</v>
      </c>
      <c r="O19" s="3" t="s">
        <v>3858</v>
      </c>
      <c r="P19" s="7">
        <v>1380</v>
      </c>
      <c r="Q19" s="7">
        <v>115</v>
      </c>
      <c r="R19" s="8">
        <v>1200</v>
      </c>
      <c r="S19" s="7">
        <v>1380</v>
      </c>
      <c r="T19" s="8">
        <v>1200</v>
      </c>
      <c r="U19" s="3">
        <v>1380</v>
      </c>
      <c r="V19" s="3" t="s">
        <v>54</v>
      </c>
      <c r="W19" s="3">
        <v>0</v>
      </c>
      <c r="X19" s="3" t="s">
        <v>93</v>
      </c>
      <c r="Y19" s="3" t="s">
        <v>93</v>
      </c>
      <c r="Z19" s="3" t="s">
        <v>131</v>
      </c>
      <c r="AA19" s="3" t="s">
        <v>3905</v>
      </c>
      <c r="AB19" s="9">
        <v>45478</v>
      </c>
      <c r="AC19" s="3" t="s">
        <v>131</v>
      </c>
      <c r="AD19" s="3"/>
    </row>
    <row r="20" spans="1:30" hidden="1">
      <c r="A20" s="3" t="s">
        <v>44</v>
      </c>
      <c r="B20" s="4">
        <v>45482</v>
      </c>
      <c r="C20" s="3" t="s">
        <v>45</v>
      </c>
      <c r="D20" s="3" t="s">
        <v>59</v>
      </c>
      <c r="E20" s="3" t="s">
        <v>60</v>
      </c>
      <c r="F20" s="3" t="s">
        <v>3906</v>
      </c>
      <c r="G20" s="3" t="s">
        <v>3907</v>
      </c>
      <c r="H20" s="3"/>
      <c r="I20" s="3" t="s">
        <v>51</v>
      </c>
      <c r="J20" s="6">
        <v>45117</v>
      </c>
      <c r="K20" s="6"/>
      <c r="L20" s="6">
        <v>45117</v>
      </c>
      <c r="M20" s="6">
        <v>45482</v>
      </c>
      <c r="N20" s="3" t="s">
        <v>52</v>
      </c>
      <c r="O20" s="3" t="s">
        <v>3858</v>
      </c>
      <c r="P20" s="7">
        <v>1380</v>
      </c>
      <c r="Q20" s="7">
        <v>115</v>
      </c>
      <c r="R20" s="8">
        <v>1380</v>
      </c>
      <c r="S20" s="7">
        <v>1500</v>
      </c>
      <c r="T20" s="8">
        <v>1380</v>
      </c>
      <c r="U20" s="3">
        <v>1380</v>
      </c>
      <c r="V20" s="3" t="s">
        <v>54</v>
      </c>
      <c r="W20" s="3">
        <v>0</v>
      </c>
      <c r="X20" s="3" t="s">
        <v>93</v>
      </c>
      <c r="Y20" s="3" t="s">
        <v>93</v>
      </c>
      <c r="Z20" s="3" t="s">
        <v>131</v>
      </c>
      <c r="AA20" s="3" t="s">
        <v>3905</v>
      </c>
      <c r="AB20" s="9">
        <v>45482</v>
      </c>
      <c r="AC20" s="3" t="s">
        <v>131</v>
      </c>
      <c r="AD20" s="3"/>
    </row>
    <row r="21" spans="1:30">
      <c r="A21" s="3" t="s">
        <v>44</v>
      </c>
      <c r="B21" s="4">
        <v>45484</v>
      </c>
      <c r="C21" s="3" t="s">
        <v>45</v>
      </c>
      <c r="D21" s="3" t="s">
        <v>59</v>
      </c>
      <c r="E21" s="3" t="s">
        <v>60</v>
      </c>
      <c r="F21" s="3" t="s">
        <v>3908</v>
      </c>
      <c r="G21" s="3" t="s">
        <v>3909</v>
      </c>
      <c r="H21" s="3"/>
      <c r="I21" s="3" t="s">
        <v>51</v>
      </c>
      <c r="J21" s="6">
        <v>44069</v>
      </c>
      <c r="K21" s="6"/>
      <c r="L21" s="6">
        <v>45119</v>
      </c>
      <c r="M21" s="6">
        <v>45484</v>
      </c>
      <c r="N21" s="3" t="s">
        <v>64</v>
      </c>
      <c r="O21" s="3" t="s">
        <v>3858</v>
      </c>
      <c r="P21" s="7">
        <v>1380</v>
      </c>
      <c r="Q21" s="7">
        <v>115</v>
      </c>
      <c r="R21" s="8">
        <v>1260</v>
      </c>
      <c r="S21" s="7">
        <v>1500</v>
      </c>
      <c r="T21" s="8">
        <v>1260</v>
      </c>
      <c r="U21" s="3">
        <v>1380</v>
      </c>
      <c r="V21" s="3" t="s">
        <v>54</v>
      </c>
      <c r="W21" s="3">
        <v>0</v>
      </c>
      <c r="X21" s="3" t="s">
        <v>93</v>
      </c>
      <c r="Y21" s="3" t="s">
        <v>93</v>
      </c>
      <c r="Z21" s="3" t="s">
        <v>131</v>
      </c>
      <c r="AA21" s="3" t="s">
        <v>3905</v>
      </c>
      <c r="AB21" s="9">
        <v>45484</v>
      </c>
      <c r="AC21" s="3" t="s">
        <v>131</v>
      </c>
      <c r="AD21" s="3"/>
    </row>
    <row r="22" spans="1:30" hidden="1">
      <c r="A22" s="3" t="s">
        <v>44</v>
      </c>
      <c r="B22" s="4">
        <v>45486</v>
      </c>
      <c r="C22" s="3" t="s">
        <v>45</v>
      </c>
      <c r="D22" s="3" t="s">
        <v>59</v>
      </c>
      <c r="E22" s="3" t="s">
        <v>60</v>
      </c>
      <c r="F22" s="3" t="s">
        <v>3910</v>
      </c>
      <c r="G22" s="3" t="s">
        <v>3911</v>
      </c>
      <c r="H22" s="3"/>
      <c r="I22" s="3" t="s">
        <v>51</v>
      </c>
      <c r="J22" s="6">
        <v>45121</v>
      </c>
      <c r="K22" s="6"/>
      <c r="L22" s="6">
        <v>45121</v>
      </c>
      <c r="M22" s="6">
        <v>45486</v>
      </c>
      <c r="N22" s="3" t="s">
        <v>52</v>
      </c>
      <c r="O22" s="3" t="s">
        <v>3858</v>
      </c>
      <c r="P22" s="7">
        <v>1380</v>
      </c>
      <c r="Q22" s="7">
        <v>115</v>
      </c>
      <c r="R22" s="8">
        <v>1380</v>
      </c>
      <c r="S22" s="7">
        <v>1500</v>
      </c>
      <c r="T22" s="8">
        <v>1380</v>
      </c>
      <c r="U22" s="3">
        <v>1380</v>
      </c>
      <c r="V22" s="3" t="s">
        <v>54</v>
      </c>
      <c r="W22" s="3">
        <v>0</v>
      </c>
      <c r="X22" s="3" t="s">
        <v>93</v>
      </c>
      <c r="Y22" s="3" t="s">
        <v>93</v>
      </c>
      <c r="Z22" s="3" t="s">
        <v>131</v>
      </c>
      <c r="AA22" s="3" t="s">
        <v>3905</v>
      </c>
      <c r="AB22" s="9">
        <v>45486</v>
      </c>
      <c r="AC22" s="3" t="s">
        <v>131</v>
      </c>
      <c r="AD22" s="3"/>
    </row>
    <row r="23" spans="1:30" hidden="1">
      <c r="A23" s="3" t="s">
        <v>44</v>
      </c>
      <c r="B23" s="4">
        <v>45486</v>
      </c>
      <c r="C23" s="3" t="s">
        <v>45</v>
      </c>
      <c r="D23" s="3" t="s">
        <v>59</v>
      </c>
      <c r="E23" s="3" t="s">
        <v>60</v>
      </c>
      <c r="F23" s="3" t="s">
        <v>3912</v>
      </c>
      <c r="G23" s="3" t="s">
        <v>501</v>
      </c>
      <c r="H23" s="3"/>
      <c r="I23" s="3" t="s">
        <v>51</v>
      </c>
      <c r="J23" s="6">
        <v>45121</v>
      </c>
      <c r="K23" s="6"/>
      <c r="L23" s="6">
        <v>45121</v>
      </c>
      <c r="M23" s="6">
        <v>45486</v>
      </c>
      <c r="N23" s="3" t="s">
        <v>52</v>
      </c>
      <c r="O23" s="3" t="s">
        <v>3858</v>
      </c>
      <c r="P23" s="7">
        <v>1380</v>
      </c>
      <c r="Q23" s="7">
        <v>115</v>
      </c>
      <c r="R23" s="8">
        <v>1200</v>
      </c>
      <c r="S23" s="7">
        <v>1500</v>
      </c>
      <c r="T23" s="8">
        <v>1200</v>
      </c>
      <c r="U23" s="3">
        <v>1380</v>
      </c>
      <c r="V23" s="3" t="s">
        <v>54</v>
      </c>
      <c r="W23" s="3">
        <v>0</v>
      </c>
      <c r="X23" s="3" t="s">
        <v>93</v>
      </c>
      <c r="Y23" s="3" t="s">
        <v>93</v>
      </c>
      <c r="Z23" s="3" t="s">
        <v>131</v>
      </c>
      <c r="AA23" s="3" t="s">
        <v>3905</v>
      </c>
      <c r="AB23" s="9">
        <v>45486</v>
      </c>
      <c r="AC23" s="3" t="s">
        <v>131</v>
      </c>
      <c r="AD23" s="3"/>
    </row>
    <row r="24" spans="1:30" hidden="1">
      <c r="A24" s="3" t="s">
        <v>44</v>
      </c>
      <c r="B24" s="4">
        <v>45492</v>
      </c>
      <c r="C24" s="3" t="s">
        <v>45</v>
      </c>
      <c r="D24" s="3" t="s">
        <v>59</v>
      </c>
      <c r="E24" s="3" t="s">
        <v>60</v>
      </c>
      <c r="F24" s="3" t="s">
        <v>3913</v>
      </c>
      <c r="G24" s="3" t="s">
        <v>3914</v>
      </c>
      <c r="H24" s="3"/>
      <c r="I24" s="3" t="s">
        <v>51</v>
      </c>
      <c r="J24" s="6">
        <v>45127</v>
      </c>
      <c r="K24" s="6"/>
      <c r="L24" s="6">
        <v>45127</v>
      </c>
      <c r="M24" s="6">
        <v>45492</v>
      </c>
      <c r="N24" s="3" t="s">
        <v>52</v>
      </c>
      <c r="O24" s="3" t="s">
        <v>3858</v>
      </c>
      <c r="P24" s="7">
        <v>1380</v>
      </c>
      <c r="Q24" s="7">
        <v>115</v>
      </c>
      <c r="R24" s="8">
        <v>1380</v>
      </c>
      <c r="S24" s="7">
        <v>1500</v>
      </c>
      <c r="T24" s="8">
        <v>1380</v>
      </c>
      <c r="U24" s="3">
        <v>1380</v>
      </c>
      <c r="V24" s="3" t="s">
        <v>250</v>
      </c>
      <c r="W24" s="3">
        <v>0</v>
      </c>
      <c r="X24" s="3" t="s">
        <v>93</v>
      </c>
      <c r="Y24" s="3" t="s">
        <v>93</v>
      </c>
      <c r="Z24" s="3" t="s">
        <v>131</v>
      </c>
      <c r="AA24" s="3" t="s">
        <v>3905</v>
      </c>
      <c r="AB24" s="9">
        <v>45492</v>
      </c>
      <c r="AC24" s="3" t="s">
        <v>131</v>
      </c>
      <c r="AD24" s="3"/>
    </row>
    <row r="25" spans="1:30" hidden="1">
      <c r="A25" s="3" t="s">
        <v>44</v>
      </c>
      <c r="B25" s="4">
        <v>45492</v>
      </c>
      <c r="C25" s="3" t="s">
        <v>45</v>
      </c>
      <c r="D25" s="3" t="s">
        <v>59</v>
      </c>
      <c r="E25" s="3" t="s">
        <v>60</v>
      </c>
      <c r="F25" s="3" t="s">
        <v>3915</v>
      </c>
      <c r="G25" s="3" t="s">
        <v>3916</v>
      </c>
      <c r="H25" s="3"/>
      <c r="I25" s="3" t="s">
        <v>51</v>
      </c>
      <c r="J25" s="6">
        <v>45127</v>
      </c>
      <c r="K25" s="6"/>
      <c r="L25" s="6">
        <v>45127</v>
      </c>
      <c r="M25" s="6">
        <v>45492</v>
      </c>
      <c r="N25" s="3" t="s">
        <v>52</v>
      </c>
      <c r="O25" s="3" t="s">
        <v>3858</v>
      </c>
      <c r="P25" s="7">
        <v>1380</v>
      </c>
      <c r="Q25" s="7">
        <v>115</v>
      </c>
      <c r="R25" s="8">
        <v>1200</v>
      </c>
      <c r="S25" s="7">
        <v>1500</v>
      </c>
      <c r="T25" s="8">
        <v>1200</v>
      </c>
      <c r="U25" s="3">
        <v>1380</v>
      </c>
      <c r="V25" s="3" t="s">
        <v>54</v>
      </c>
      <c r="W25" s="3">
        <v>0</v>
      </c>
      <c r="X25" s="3" t="s">
        <v>93</v>
      </c>
      <c r="Y25" s="3" t="s">
        <v>93</v>
      </c>
      <c r="Z25" s="3" t="s">
        <v>131</v>
      </c>
      <c r="AA25" s="3" t="s">
        <v>3905</v>
      </c>
      <c r="AB25" s="9">
        <v>45492</v>
      </c>
      <c r="AC25" s="3" t="s">
        <v>131</v>
      </c>
      <c r="AD25" s="3"/>
    </row>
    <row r="26" spans="1:30">
      <c r="A26" s="3" t="s">
        <v>44</v>
      </c>
      <c r="B26" s="4">
        <v>45494</v>
      </c>
      <c r="C26" s="3" t="s">
        <v>45</v>
      </c>
      <c r="D26" s="3" t="s">
        <v>59</v>
      </c>
      <c r="E26" s="3" t="s">
        <v>60</v>
      </c>
      <c r="F26" s="3" t="s">
        <v>3917</v>
      </c>
      <c r="G26" s="3" t="s">
        <v>3918</v>
      </c>
      <c r="H26" s="3"/>
      <c r="I26" s="3" t="s">
        <v>51</v>
      </c>
      <c r="J26" s="6">
        <v>44764</v>
      </c>
      <c r="K26" s="6"/>
      <c r="L26" s="6">
        <v>45129</v>
      </c>
      <c r="M26" s="6">
        <v>45494</v>
      </c>
      <c r="N26" s="3" t="s">
        <v>64</v>
      </c>
      <c r="O26" s="3" t="s">
        <v>3858</v>
      </c>
      <c r="P26" s="7">
        <v>1380</v>
      </c>
      <c r="Q26" s="7">
        <v>115</v>
      </c>
      <c r="R26" s="8">
        <v>1200</v>
      </c>
      <c r="S26" s="7">
        <v>1500</v>
      </c>
      <c r="T26" s="8">
        <v>1200</v>
      </c>
      <c r="U26" s="3">
        <v>1380</v>
      </c>
      <c r="V26" s="3" t="s">
        <v>54</v>
      </c>
      <c r="W26" s="3">
        <v>0</v>
      </c>
      <c r="X26" s="3" t="s">
        <v>55</v>
      </c>
      <c r="Y26" s="3" t="s">
        <v>93</v>
      </c>
      <c r="Z26" s="3" t="s">
        <v>3919</v>
      </c>
      <c r="AA26" s="3" t="s">
        <v>3905</v>
      </c>
      <c r="AB26" s="9">
        <v>45494</v>
      </c>
      <c r="AC26" s="3" t="s">
        <v>131</v>
      </c>
      <c r="AD26" s="3"/>
    </row>
    <row r="27" spans="1:30">
      <c r="A27" s="3" t="s">
        <v>44</v>
      </c>
      <c r="B27" s="4">
        <v>45494</v>
      </c>
      <c r="C27" s="3" t="s">
        <v>45</v>
      </c>
      <c r="D27" s="3" t="s">
        <v>59</v>
      </c>
      <c r="E27" s="3" t="s">
        <v>60</v>
      </c>
      <c r="F27" s="3" t="s">
        <v>3920</v>
      </c>
      <c r="G27" s="3" t="s">
        <v>3921</v>
      </c>
      <c r="H27" s="3"/>
      <c r="I27" s="3" t="s">
        <v>51</v>
      </c>
      <c r="J27" s="6">
        <v>44948</v>
      </c>
      <c r="K27" s="6"/>
      <c r="L27" s="6">
        <v>45129</v>
      </c>
      <c r="M27" s="6">
        <v>45494</v>
      </c>
      <c r="N27" s="3" t="s">
        <v>64</v>
      </c>
      <c r="O27" s="3" t="s">
        <v>3858</v>
      </c>
      <c r="P27" s="7">
        <v>1380</v>
      </c>
      <c r="Q27" s="7">
        <v>115</v>
      </c>
      <c r="R27" s="8">
        <v>1200</v>
      </c>
      <c r="S27" s="7">
        <v>1500</v>
      </c>
      <c r="T27" s="8">
        <v>1200</v>
      </c>
      <c r="U27" s="3">
        <v>1380</v>
      </c>
      <c r="V27" s="3" t="s">
        <v>54</v>
      </c>
      <c r="W27" s="3">
        <v>0</v>
      </c>
      <c r="X27" s="3" t="s">
        <v>140</v>
      </c>
      <c r="Y27" s="3" t="s">
        <v>93</v>
      </c>
      <c r="Z27" s="3" t="s">
        <v>3919</v>
      </c>
      <c r="AA27" s="3" t="s">
        <v>3905</v>
      </c>
      <c r="AB27" s="9">
        <v>45494</v>
      </c>
      <c r="AC27" s="3" t="s">
        <v>131</v>
      </c>
      <c r="AD27" s="3"/>
    </row>
    <row r="28" spans="1:30" hidden="1">
      <c r="A28" s="3" t="s">
        <v>44</v>
      </c>
      <c r="B28" s="4">
        <v>45496</v>
      </c>
      <c r="C28" s="3" t="s">
        <v>45</v>
      </c>
      <c r="D28" s="3" t="s">
        <v>59</v>
      </c>
      <c r="E28" s="3" t="s">
        <v>60</v>
      </c>
      <c r="F28" s="3" t="s">
        <v>3922</v>
      </c>
      <c r="G28" s="3" t="s">
        <v>3923</v>
      </c>
      <c r="H28" s="3"/>
      <c r="I28" s="3" t="s">
        <v>51</v>
      </c>
      <c r="J28" s="6">
        <v>45131</v>
      </c>
      <c r="K28" s="6"/>
      <c r="L28" s="6">
        <v>45131</v>
      </c>
      <c r="M28" s="6">
        <v>45496</v>
      </c>
      <c r="N28" s="3" t="s">
        <v>52</v>
      </c>
      <c r="O28" s="3" t="s">
        <v>3858</v>
      </c>
      <c r="P28" s="7">
        <v>1380</v>
      </c>
      <c r="Q28" s="7">
        <v>115</v>
      </c>
      <c r="R28" s="8">
        <v>1200</v>
      </c>
      <c r="S28" s="7">
        <v>1500</v>
      </c>
      <c r="T28" s="8">
        <v>1200</v>
      </c>
      <c r="U28" s="3">
        <v>1380</v>
      </c>
      <c r="V28" s="3" t="s">
        <v>54</v>
      </c>
      <c r="W28" s="3">
        <v>0</v>
      </c>
      <c r="X28" s="3" t="s">
        <v>93</v>
      </c>
      <c r="Y28" s="3" t="s">
        <v>93</v>
      </c>
      <c r="Z28" s="3" t="s">
        <v>131</v>
      </c>
      <c r="AA28" s="3" t="s">
        <v>3905</v>
      </c>
      <c r="AB28" s="9">
        <v>45496</v>
      </c>
      <c r="AC28" s="3" t="s">
        <v>131</v>
      </c>
      <c r="AD28" s="3"/>
    </row>
    <row r="29" spans="1:30" hidden="1">
      <c r="A29" s="3" t="s">
        <v>44</v>
      </c>
      <c r="B29" s="4">
        <v>45501</v>
      </c>
      <c r="C29" s="3" t="s">
        <v>45</v>
      </c>
      <c r="D29" s="3" t="s">
        <v>59</v>
      </c>
      <c r="E29" s="3" t="s">
        <v>60</v>
      </c>
      <c r="F29" s="3" t="s">
        <v>3924</v>
      </c>
      <c r="G29" s="3" t="s">
        <v>494</v>
      </c>
      <c r="H29" s="3"/>
      <c r="I29" s="3" t="s">
        <v>51</v>
      </c>
      <c r="J29" s="6">
        <v>45136</v>
      </c>
      <c r="K29" s="6"/>
      <c r="L29" s="6">
        <v>45136</v>
      </c>
      <c r="M29" s="6">
        <v>45501</v>
      </c>
      <c r="N29" s="3" t="s">
        <v>52</v>
      </c>
      <c r="O29" s="3" t="s">
        <v>3858</v>
      </c>
      <c r="P29" s="7">
        <v>1380</v>
      </c>
      <c r="Q29" s="7">
        <v>115</v>
      </c>
      <c r="R29" s="8">
        <v>1200</v>
      </c>
      <c r="S29" s="7">
        <v>1500</v>
      </c>
      <c r="T29" s="8">
        <v>1200</v>
      </c>
      <c r="U29" s="3">
        <v>1380</v>
      </c>
      <c r="V29" s="3" t="s">
        <v>54</v>
      </c>
      <c r="W29" s="3">
        <v>0</v>
      </c>
      <c r="X29" s="3" t="s">
        <v>93</v>
      </c>
      <c r="Y29" s="3" t="s">
        <v>93</v>
      </c>
      <c r="Z29" s="3" t="s">
        <v>131</v>
      </c>
      <c r="AA29" s="3" t="s">
        <v>3905</v>
      </c>
      <c r="AB29" s="9">
        <v>45501</v>
      </c>
      <c r="AC29" s="3" t="s">
        <v>131</v>
      </c>
      <c r="AD29" s="3"/>
    </row>
    <row r="30" spans="1:30" hidden="1">
      <c r="A30" s="3" t="s">
        <v>44</v>
      </c>
      <c r="B30" s="4">
        <v>45501</v>
      </c>
      <c r="C30" s="3" t="s">
        <v>45</v>
      </c>
      <c r="D30" s="3" t="s">
        <v>59</v>
      </c>
      <c r="E30" s="3" t="s">
        <v>60</v>
      </c>
      <c r="F30" s="3" t="s">
        <v>3925</v>
      </c>
      <c r="G30" s="3" t="s">
        <v>3926</v>
      </c>
      <c r="H30" s="3"/>
      <c r="I30" s="3" t="s">
        <v>51</v>
      </c>
      <c r="J30" s="6">
        <v>45136</v>
      </c>
      <c r="K30" s="6"/>
      <c r="L30" s="6">
        <v>45136</v>
      </c>
      <c r="M30" s="6">
        <v>45501</v>
      </c>
      <c r="N30" s="3" t="s">
        <v>52</v>
      </c>
      <c r="O30" s="3" t="s">
        <v>3858</v>
      </c>
      <c r="P30" s="7">
        <v>1380</v>
      </c>
      <c r="Q30" s="7">
        <v>115</v>
      </c>
      <c r="R30" s="8">
        <v>1200</v>
      </c>
      <c r="S30" s="7">
        <v>1500</v>
      </c>
      <c r="T30" s="8">
        <v>1200</v>
      </c>
      <c r="U30" s="3">
        <v>1380</v>
      </c>
      <c r="V30" s="3" t="s">
        <v>54</v>
      </c>
      <c r="W30" s="3">
        <v>0</v>
      </c>
      <c r="X30" s="3" t="s">
        <v>93</v>
      </c>
      <c r="Y30" s="3" t="s">
        <v>93</v>
      </c>
      <c r="Z30" s="3" t="s">
        <v>131</v>
      </c>
      <c r="AA30" s="3" t="s">
        <v>3905</v>
      </c>
      <c r="AB30" s="9">
        <v>45501</v>
      </c>
      <c r="AC30" s="3" t="s">
        <v>131</v>
      </c>
      <c r="AD30" s="3"/>
    </row>
    <row r="31" spans="1:30" hidden="1">
      <c r="A31" s="3" t="s">
        <v>44</v>
      </c>
      <c r="B31" s="4">
        <v>45504</v>
      </c>
      <c r="C31" s="3" t="s">
        <v>45</v>
      </c>
      <c r="D31" s="3" t="s">
        <v>59</v>
      </c>
      <c r="E31" s="3" t="s">
        <v>60</v>
      </c>
      <c r="F31" s="3" t="s">
        <v>3927</v>
      </c>
      <c r="G31" s="3" t="s">
        <v>3928</v>
      </c>
      <c r="H31" s="3"/>
      <c r="I31" s="3" t="s">
        <v>51</v>
      </c>
      <c r="J31" s="6">
        <v>45362</v>
      </c>
      <c r="K31" s="6"/>
      <c r="L31" s="6">
        <v>45362</v>
      </c>
      <c r="M31" s="6">
        <v>45726</v>
      </c>
      <c r="N31" s="3" t="s">
        <v>52</v>
      </c>
      <c r="O31" s="3" t="s">
        <v>3858</v>
      </c>
      <c r="P31" s="7">
        <v>1380</v>
      </c>
      <c r="Q31" s="7">
        <v>115</v>
      </c>
      <c r="R31" s="8">
        <v>1200</v>
      </c>
      <c r="S31" s="7">
        <v>1500</v>
      </c>
      <c r="T31" s="8">
        <v>1500</v>
      </c>
      <c r="U31" s="3">
        <v>1380</v>
      </c>
      <c r="V31" s="3" t="s">
        <v>250</v>
      </c>
      <c r="W31" s="3">
        <v>0</v>
      </c>
      <c r="X31" s="3" t="s">
        <v>65</v>
      </c>
      <c r="Y31" s="3" t="s">
        <v>93</v>
      </c>
      <c r="Z31" s="3" t="s">
        <v>3919</v>
      </c>
      <c r="AA31" s="3" t="s">
        <v>3905</v>
      </c>
      <c r="AB31" s="9">
        <v>45726</v>
      </c>
      <c r="AC31" s="3" t="s">
        <v>131</v>
      </c>
      <c r="AD31" s="3"/>
    </row>
    <row r="32" spans="1:30">
      <c r="A32" s="3" t="s">
        <v>44</v>
      </c>
      <c r="B32" s="4">
        <v>45504</v>
      </c>
      <c r="C32" s="3" t="s">
        <v>45</v>
      </c>
      <c r="D32" s="3" t="s">
        <v>59</v>
      </c>
      <c r="E32" s="3" t="s">
        <v>60</v>
      </c>
      <c r="F32" s="3" t="s">
        <v>3929</v>
      </c>
      <c r="G32" s="3" t="s">
        <v>281</v>
      </c>
      <c r="H32" s="3"/>
      <c r="I32" s="3" t="s">
        <v>51</v>
      </c>
      <c r="J32" s="6">
        <v>44043</v>
      </c>
      <c r="K32" s="6"/>
      <c r="L32" s="6">
        <v>45139</v>
      </c>
      <c r="M32" s="6">
        <v>45504</v>
      </c>
      <c r="N32" s="3" t="s">
        <v>64</v>
      </c>
      <c r="O32" s="3" t="s">
        <v>3858</v>
      </c>
      <c r="P32" s="7">
        <v>1380</v>
      </c>
      <c r="Q32" s="7">
        <v>115</v>
      </c>
      <c r="R32" s="8">
        <v>1260</v>
      </c>
      <c r="S32" s="7">
        <v>1500</v>
      </c>
      <c r="T32" s="8">
        <v>1260</v>
      </c>
      <c r="U32" s="3">
        <v>1380</v>
      </c>
      <c r="V32" s="3" t="s">
        <v>54</v>
      </c>
      <c r="W32" s="3">
        <v>0</v>
      </c>
      <c r="X32" s="3" t="s">
        <v>65</v>
      </c>
      <c r="Y32" s="3" t="s">
        <v>93</v>
      </c>
      <c r="Z32" s="3" t="s">
        <v>3919</v>
      </c>
      <c r="AA32" s="3" t="s">
        <v>3905</v>
      </c>
      <c r="AB32" s="9">
        <v>45504</v>
      </c>
      <c r="AC32" s="3" t="s">
        <v>131</v>
      </c>
      <c r="AD32" s="3"/>
    </row>
    <row r="33" spans="1:30">
      <c r="A33" s="3" t="s">
        <v>44</v>
      </c>
      <c r="B33" s="4">
        <v>45504</v>
      </c>
      <c r="C33" s="3" t="s">
        <v>45</v>
      </c>
      <c r="D33" s="3" t="s">
        <v>59</v>
      </c>
      <c r="E33" s="3" t="s">
        <v>60</v>
      </c>
      <c r="F33" s="3" t="s">
        <v>3930</v>
      </c>
      <c r="G33" s="3" t="s">
        <v>3931</v>
      </c>
      <c r="H33" s="3"/>
      <c r="I33" s="3" t="s">
        <v>51</v>
      </c>
      <c r="J33" s="6">
        <v>44378</v>
      </c>
      <c r="K33" s="6"/>
      <c r="L33" s="6">
        <v>45139</v>
      </c>
      <c r="M33" s="6">
        <v>45504</v>
      </c>
      <c r="N33" s="3" t="s">
        <v>64</v>
      </c>
      <c r="O33" s="3" t="s">
        <v>3858</v>
      </c>
      <c r="P33" s="7">
        <v>1380</v>
      </c>
      <c r="Q33" s="7">
        <v>115</v>
      </c>
      <c r="R33" s="8">
        <v>1200</v>
      </c>
      <c r="S33" s="7">
        <v>1500</v>
      </c>
      <c r="T33" s="8">
        <v>1200</v>
      </c>
      <c r="U33" s="3">
        <v>1380</v>
      </c>
      <c r="V33" s="3" t="s">
        <v>54</v>
      </c>
      <c r="W33" s="3">
        <v>0</v>
      </c>
      <c r="X33" s="3" t="s">
        <v>65</v>
      </c>
      <c r="Y33" s="3" t="s">
        <v>93</v>
      </c>
      <c r="Z33" s="3" t="s">
        <v>3919</v>
      </c>
      <c r="AA33" s="3" t="s">
        <v>3905</v>
      </c>
      <c r="AB33" s="9">
        <v>45504</v>
      </c>
      <c r="AC33" s="3" t="s">
        <v>131</v>
      </c>
      <c r="AD33" s="3"/>
    </row>
    <row r="34" spans="1:30" hidden="1">
      <c r="A34" s="3" t="s">
        <v>44</v>
      </c>
      <c r="B34" s="4">
        <v>45504</v>
      </c>
      <c r="C34" s="3" t="s">
        <v>45</v>
      </c>
      <c r="D34" s="3" t="s">
        <v>59</v>
      </c>
      <c r="E34" s="3" t="s">
        <v>60</v>
      </c>
      <c r="F34" s="3" t="s">
        <v>3932</v>
      </c>
      <c r="G34" s="3" t="s">
        <v>3933</v>
      </c>
      <c r="H34" s="3"/>
      <c r="I34" s="3" t="s">
        <v>51</v>
      </c>
      <c r="J34" s="6">
        <v>45139</v>
      </c>
      <c r="K34" s="6"/>
      <c r="L34" s="6">
        <v>45139</v>
      </c>
      <c r="M34" s="6">
        <v>45504</v>
      </c>
      <c r="N34" s="3" t="s">
        <v>52</v>
      </c>
      <c r="O34" s="3" t="s">
        <v>3858</v>
      </c>
      <c r="P34" s="7">
        <v>1380</v>
      </c>
      <c r="Q34" s="7">
        <v>115</v>
      </c>
      <c r="R34" s="8">
        <v>1200</v>
      </c>
      <c r="S34" s="7">
        <v>1500</v>
      </c>
      <c r="T34" s="8">
        <v>1200</v>
      </c>
      <c r="U34" s="3">
        <v>1380</v>
      </c>
      <c r="V34" s="3" t="s">
        <v>54</v>
      </c>
      <c r="W34" s="3">
        <v>0</v>
      </c>
      <c r="X34" s="3" t="s">
        <v>93</v>
      </c>
      <c r="Y34" s="3" t="s">
        <v>93</v>
      </c>
      <c r="Z34" s="3" t="s">
        <v>131</v>
      </c>
      <c r="AA34" s="3" t="s">
        <v>3905</v>
      </c>
      <c r="AB34" s="9">
        <v>45504</v>
      </c>
      <c r="AC34" s="3" t="s">
        <v>131</v>
      </c>
      <c r="AD34" s="3"/>
    </row>
    <row r="35" spans="1:30" hidden="1">
      <c r="A35" s="3" t="s">
        <v>44</v>
      </c>
      <c r="B35" s="4">
        <v>45504</v>
      </c>
      <c r="C35" s="3" t="s">
        <v>45</v>
      </c>
      <c r="D35" s="3" t="s">
        <v>59</v>
      </c>
      <c r="E35" s="3" t="s">
        <v>60</v>
      </c>
      <c r="F35" s="3" t="s">
        <v>3934</v>
      </c>
      <c r="G35" s="3" t="s">
        <v>3935</v>
      </c>
      <c r="H35" s="3"/>
      <c r="I35" s="3" t="s">
        <v>51</v>
      </c>
      <c r="J35" s="6">
        <v>45139</v>
      </c>
      <c r="K35" s="6"/>
      <c r="L35" s="6">
        <v>45139</v>
      </c>
      <c r="M35" s="6">
        <v>45504</v>
      </c>
      <c r="N35" s="3" t="s">
        <v>52</v>
      </c>
      <c r="O35" s="3" t="s">
        <v>3858</v>
      </c>
      <c r="P35" s="7">
        <v>1380</v>
      </c>
      <c r="Q35" s="7">
        <v>115</v>
      </c>
      <c r="R35" s="8">
        <v>1200</v>
      </c>
      <c r="S35" s="7">
        <v>1500</v>
      </c>
      <c r="T35" s="8">
        <v>1200</v>
      </c>
      <c r="U35" s="3">
        <v>1380</v>
      </c>
      <c r="V35" s="3" t="s">
        <v>54</v>
      </c>
      <c r="W35" s="3">
        <v>0</v>
      </c>
      <c r="X35" s="3" t="s">
        <v>93</v>
      </c>
      <c r="Y35" s="3" t="s">
        <v>93</v>
      </c>
      <c r="Z35" s="3" t="s">
        <v>131</v>
      </c>
      <c r="AA35" s="3" t="s">
        <v>3905</v>
      </c>
      <c r="AB35" s="9">
        <v>45504</v>
      </c>
      <c r="AC35" s="3" t="s">
        <v>131</v>
      </c>
      <c r="AD35" s="3"/>
    </row>
    <row r="36" spans="1:30" hidden="1">
      <c r="A36" s="3" t="s">
        <v>44</v>
      </c>
      <c r="B36" s="4">
        <v>45511</v>
      </c>
      <c r="C36" s="3" t="s">
        <v>45</v>
      </c>
      <c r="D36" s="3" t="s">
        <v>59</v>
      </c>
      <c r="E36" s="3" t="s">
        <v>60</v>
      </c>
      <c r="F36" s="3" t="s">
        <v>3936</v>
      </c>
      <c r="G36" s="3" t="s">
        <v>3937</v>
      </c>
      <c r="H36" s="3"/>
      <c r="I36" s="3" t="s">
        <v>51</v>
      </c>
      <c r="J36" s="6">
        <v>45146</v>
      </c>
      <c r="K36" s="6"/>
      <c r="L36" s="6">
        <v>45146</v>
      </c>
      <c r="M36" s="6">
        <v>45511</v>
      </c>
      <c r="N36" s="3" t="s">
        <v>52</v>
      </c>
      <c r="O36" s="3" t="s">
        <v>3858</v>
      </c>
      <c r="P36" s="7">
        <v>1380</v>
      </c>
      <c r="Q36" s="7">
        <v>115</v>
      </c>
      <c r="R36" s="8">
        <v>1260</v>
      </c>
      <c r="S36" s="7">
        <v>1500</v>
      </c>
      <c r="T36" s="8">
        <v>1260</v>
      </c>
      <c r="U36" s="3">
        <v>1380</v>
      </c>
      <c r="V36" s="3" t="s">
        <v>54</v>
      </c>
      <c r="W36" s="3">
        <v>0</v>
      </c>
      <c r="X36" s="3" t="s">
        <v>140</v>
      </c>
      <c r="Y36" s="3" t="s">
        <v>93</v>
      </c>
      <c r="Z36" s="3" t="s">
        <v>3919</v>
      </c>
      <c r="AA36" s="3" t="s">
        <v>3905</v>
      </c>
      <c r="AB36" s="9">
        <v>45511</v>
      </c>
      <c r="AC36" s="3" t="s">
        <v>131</v>
      </c>
      <c r="AD36" s="3"/>
    </row>
    <row r="37" spans="1:30" hidden="1">
      <c r="A37" s="3" t="s">
        <v>44</v>
      </c>
      <c r="B37" s="4">
        <v>45511</v>
      </c>
      <c r="C37" s="3" t="s">
        <v>45</v>
      </c>
      <c r="D37" s="3" t="s">
        <v>59</v>
      </c>
      <c r="E37" s="3" t="s">
        <v>60</v>
      </c>
      <c r="F37" s="3" t="s">
        <v>3938</v>
      </c>
      <c r="G37" s="3" t="s">
        <v>3939</v>
      </c>
      <c r="H37" s="3"/>
      <c r="I37" s="3" t="s">
        <v>51</v>
      </c>
      <c r="J37" s="6">
        <v>45146</v>
      </c>
      <c r="K37" s="6"/>
      <c r="L37" s="6">
        <v>45146</v>
      </c>
      <c r="M37" s="6">
        <v>45511</v>
      </c>
      <c r="N37" s="3" t="s">
        <v>52</v>
      </c>
      <c r="O37" s="3" t="s">
        <v>3858</v>
      </c>
      <c r="P37" s="7">
        <v>1380</v>
      </c>
      <c r="Q37" s="7">
        <v>115</v>
      </c>
      <c r="R37" s="8">
        <v>1200</v>
      </c>
      <c r="S37" s="7">
        <v>1500</v>
      </c>
      <c r="T37" s="8">
        <v>1200</v>
      </c>
      <c r="U37" s="3">
        <v>1380</v>
      </c>
      <c r="V37" s="3" t="s">
        <v>54</v>
      </c>
      <c r="W37" s="3">
        <v>0</v>
      </c>
      <c r="X37" s="3" t="s">
        <v>93</v>
      </c>
      <c r="Y37" s="3" t="s">
        <v>93</v>
      </c>
      <c r="Z37" s="3" t="s">
        <v>131</v>
      </c>
      <c r="AA37" s="3" t="s">
        <v>3905</v>
      </c>
      <c r="AB37" s="9">
        <v>45511</v>
      </c>
      <c r="AC37" s="3" t="s">
        <v>131</v>
      </c>
      <c r="AD37" s="3"/>
    </row>
    <row r="38" spans="1:30" hidden="1">
      <c r="A38" s="3" t="s">
        <v>44</v>
      </c>
      <c r="B38" s="4">
        <v>45513</v>
      </c>
      <c r="C38" s="3" t="s">
        <v>45</v>
      </c>
      <c r="D38" s="3" t="s">
        <v>59</v>
      </c>
      <c r="E38" s="3" t="s">
        <v>60</v>
      </c>
      <c r="F38" s="3" t="s">
        <v>3940</v>
      </c>
      <c r="G38" s="3" t="s">
        <v>3941</v>
      </c>
      <c r="H38" s="3"/>
      <c r="I38" s="3" t="s">
        <v>51</v>
      </c>
      <c r="J38" s="6">
        <v>45148</v>
      </c>
      <c r="K38" s="6"/>
      <c r="L38" s="6">
        <v>45148</v>
      </c>
      <c r="M38" s="6">
        <v>45513</v>
      </c>
      <c r="N38" s="3" t="s">
        <v>52</v>
      </c>
      <c r="O38" s="3" t="s">
        <v>3858</v>
      </c>
      <c r="P38" s="7">
        <v>1380</v>
      </c>
      <c r="Q38" s="7">
        <v>115</v>
      </c>
      <c r="R38" s="8">
        <v>1260</v>
      </c>
      <c r="S38" s="7">
        <v>1500</v>
      </c>
      <c r="T38" s="8">
        <v>1260</v>
      </c>
      <c r="U38" s="3">
        <v>1380</v>
      </c>
      <c r="V38" s="3" t="s">
        <v>54</v>
      </c>
      <c r="W38" s="3">
        <v>0</v>
      </c>
      <c r="X38" s="3" t="s">
        <v>93</v>
      </c>
      <c r="Y38" s="3" t="s">
        <v>93</v>
      </c>
      <c r="Z38" s="3" t="s">
        <v>131</v>
      </c>
      <c r="AA38" s="3" t="s">
        <v>3905</v>
      </c>
      <c r="AB38" s="9">
        <v>45513</v>
      </c>
      <c r="AC38" s="3" t="s">
        <v>131</v>
      </c>
      <c r="AD38" s="3"/>
    </row>
    <row r="39" spans="1:30">
      <c r="A39" s="3" t="s">
        <v>44</v>
      </c>
      <c r="B39" s="4">
        <v>45513</v>
      </c>
      <c r="C39" s="3" t="s">
        <v>45</v>
      </c>
      <c r="D39" s="3" t="s">
        <v>59</v>
      </c>
      <c r="E39" s="3" t="s">
        <v>60</v>
      </c>
      <c r="F39" s="3" t="s">
        <v>3942</v>
      </c>
      <c r="G39" s="3" t="s">
        <v>3943</v>
      </c>
      <c r="H39" s="3"/>
      <c r="I39" s="3" t="s">
        <v>51</v>
      </c>
      <c r="J39" s="6">
        <v>44067</v>
      </c>
      <c r="K39" s="6"/>
      <c r="L39" s="6">
        <v>45148</v>
      </c>
      <c r="M39" s="6">
        <v>45513</v>
      </c>
      <c r="N39" s="3" t="s">
        <v>64</v>
      </c>
      <c r="O39" s="3" t="s">
        <v>3858</v>
      </c>
      <c r="P39" s="7">
        <v>1380</v>
      </c>
      <c r="Q39" s="7">
        <v>115</v>
      </c>
      <c r="R39" s="8">
        <v>1260</v>
      </c>
      <c r="S39" s="7">
        <v>1500</v>
      </c>
      <c r="T39" s="8">
        <v>1260</v>
      </c>
      <c r="U39" s="3">
        <v>1380</v>
      </c>
      <c r="V39" s="3" t="s">
        <v>54</v>
      </c>
      <c r="W39" s="3">
        <v>0</v>
      </c>
      <c r="X39" s="3" t="s">
        <v>93</v>
      </c>
      <c r="Y39" s="3" t="s">
        <v>93</v>
      </c>
      <c r="Z39" s="3" t="s">
        <v>131</v>
      </c>
      <c r="AA39" s="3" t="s">
        <v>3905</v>
      </c>
      <c r="AB39" s="9">
        <v>45513</v>
      </c>
      <c r="AC39" s="3" t="s">
        <v>131</v>
      </c>
      <c r="AD39" s="3"/>
    </row>
    <row r="40" spans="1:30">
      <c r="A40" s="3" t="s">
        <v>44</v>
      </c>
      <c r="B40" s="4">
        <v>45515</v>
      </c>
      <c r="C40" s="3" t="s">
        <v>45</v>
      </c>
      <c r="D40" s="3" t="s">
        <v>59</v>
      </c>
      <c r="E40" s="3" t="s">
        <v>60</v>
      </c>
      <c r="F40" s="3" t="s">
        <v>3944</v>
      </c>
      <c r="G40" s="3" t="s">
        <v>3945</v>
      </c>
      <c r="H40" s="3"/>
      <c r="I40" s="3" t="s">
        <v>51</v>
      </c>
      <c r="J40" s="6">
        <v>44785</v>
      </c>
      <c r="K40" s="6"/>
      <c r="L40" s="6">
        <v>45150</v>
      </c>
      <c r="M40" s="6">
        <v>45515</v>
      </c>
      <c r="N40" s="3" t="s">
        <v>64</v>
      </c>
      <c r="O40" s="3" t="s">
        <v>3858</v>
      </c>
      <c r="P40" s="7">
        <v>1380</v>
      </c>
      <c r="Q40" s="7">
        <v>115</v>
      </c>
      <c r="R40" s="8">
        <v>1200</v>
      </c>
      <c r="S40" s="7">
        <v>1500</v>
      </c>
      <c r="T40" s="8">
        <v>1200</v>
      </c>
      <c r="U40" s="3">
        <v>1380</v>
      </c>
      <c r="V40" s="3" t="s">
        <v>54</v>
      </c>
      <c r="W40" s="3">
        <v>0</v>
      </c>
      <c r="X40" s="3" t="s">
        <v>93</v>
      </c>
      <c r="Y40" s="3" t="s">
        <v>93</v>
      </c>
      <c r="Z40" s="3" t="s">
        <v>131</v>
      </c>
      <c r="AA40" s="3" t="s">
        <v>3905</v>
      </c>
      <c r="AB40" s="9">
        <v>45515</v>
      </c>
      <c r="AC40" s="3" t="s">
        <v>131</v>
      </c>
      <c r="AD40" s="3"/>
    </row>
    <row r="41" spans="1:30">
      <c r="A41" s="3" t="s">
        <v>44</v>
      </c>
      <c r="B41" s="4">
        <v>45516</v>
      </c>
      <c r="C41" s="3" t="s">
        <v>45</v>
      </c>
      <c r="D41" s="3" t="s">
        <v>59</v>
      </c>
      <c r="E41" s="3" t="s">
        <v>60</v>
      </c>
      <c r="F41" s="3" t="s">
        <v>3946</v>
      </c>
      <c r="G41" s="3" t="s">
        <v>3947</v>
      </c>
      <c r="H41" s="3"/>
      <c r="I41" s="3" t="s">
        <v>51</v>
      </c>
      <c r="J41" s="6">
        <v>44421</v>
      </c>
      <c r="K41" s="6"/>
      <c r="L41" s="6">
        <v>45151</v>
      </c>
      <c r="M41" s="6">
        <v>45516</v>
      </c>
      <c r="N41" s="3" t="s">
        <v>64</v>
      </c>
      <c r="O41" s="3" t="s">
        <v>3858</v>
      </c>
      <c r="P41" s="7">
        <v>1380</v>
      </c>
      <c r="Q41" s="7">
        <v>115</v>
      </c>
      <c r="R41" s="8">
        <v>1260</v>
      </c>
      <c r="S41" s="7">
        <v>1500</v>
      </c>
      <c r="T41" s="8">
        <v>1260</v>
      </c>
      <c r="U41" s="3">
        <v>1380</v>
      </c>
      <c r="V41" s="3" t="s">
        <v>54</v>
      </c>
      <c r="W41" s="3">
        <v>0</v>
      </c>
      <c r="X41" s="3" t="s">
        <v>93</v>
      </c>
      <c r="Y41" s="3" t="s">
        <v>93</v>
      </c>
      <c r="Z41" s="3" t="s">
        <v>131</v>
      </c>
      <c r="AA41" s="3" t="s">
        <v>3905</v>
      </c>
      <c r="AB41" s="9">
        <v>45516</v>
      </c>
      <c r="AC41" s="3" t="s">
        <v>131</v>
      </c>
      <c r="AD41" s="3"/>
    </row>
    <row r="42" spans="1:30" hidden="1">
      <c r="A42" s="3" t="s">
        <v>44</v>
      </c>
      <c r="B42" s="4">
        <v>45520</v>
      </c>
      <c r="C42" s="3" t="s">
        <v>45</v>
      </c>
      <c r="D42" s="3" t="s">
        <v>59</v>
      </c>
      <c r="E42" s="3" t="s">
        <v>60</v>
      </c>
      <c r="F42" s="3" t="s">
        <v>3948</v>
      </c>
      <c r="G42" s="3" t="s">
        <v>3949</v>
      </c>
      <c r="H42" s="3"/>
      <c r="I42" s="3" t="s">
        <v>51</v>
      </c>
      <c r="J42" s="6">
        <v>45155</v>
      </c>
      <c r="K42" s="6"/>
      <c r="L42" s="6">
        <v>45155</v>
      </c>
      <c r="M42" s="6">
        <v>45520</v>
      </c>
      <c r="N42" s="3" t="s">
        <v>52</v>
      </c>
      <c r="O42" s="3" t="s">
        <v>3858</v>
      </c>
      <c r="P42" s="7">
        <v>1380</v>
      </c>
      <c r="Q42" s="7">
        <v>115</v>
      </c>
      <c r="R42" s="8">
        <v>1200</v>
      </c>
      <c r="S42" s="7">
        <v>1260</v>
      </c>
      <c r="T42" s="8">
        <v>1200</v>
      </c>
      <c r="U42" s="3">
        <v>1380</v>
      </c>
      <c r="V42" s="3" t="s">
        <v>54</v>
      </c>
      <c r="W42" s="3">
        <v>0</v>
      </c>
      <c r="X42" s="3" t="s">
        <v>93</v>
      </c>
      <c r="Y42" s="3" t="s">
        <v>93</v>
      </c>
      <c r="Z42" s="3" t="s">
        <v>131</v>
      </c>
      <c r="AA42" s="3" t="s">
        <v>3905</v>
      </c>
      <c r="AB42" s="9">
        <v>45520</v>
      </c>
      <c r="AC42" s="3" t="s">
        <v>131</v>
      </c>
      <c r="AD42" s="3"/>
    </row>
    <row r="43" spans="1:30" hidden="1">
      <c r="A43" s="3" t="s">
        <v>44</v>
      </c>
      <c r="B43" s="4">
        <v>45524</v>
      </c>
      <c r="C43" s="3" t="s">
        <v>45</v>
      </c>
      <c r="D43" s="3" t="s">
        <v>59</v>
      </c>
      <c r="E43" s="3" t="s">
        <v>60</v>
      </c>
      <c r="F43" s="3" t="s">
        <v>3950</v>
      </c>
      <c r="G43" s="3" t="s">
        <v>3951</v>
      </c>
      <c r="H43" s="3"/>
      <c r="I43" s="3" t="s">
        <v>51</v>
      </c>
      <c r="J43" s="6">
        <v>45159</v>
      </c>
      <c r="K43" s="6"/>
      <c r="L43" s="6">
        <v>45159</v>
      </c>
      <c r="M43" s="6">
        <v>45524</v>
      </c>
      <c r="N43" s="3" t="s">
        <v>52</v>
      </c>
      <c r="O43" s="3" t="s">
        <v>3858</v>
      </c>
      <c r="P43" s="7">
        <v>1380</v>
      </c>
      <c r="Q43" s="7">
        <v>115</v>
      </c>
      <c r="R43" s="8">
        <v>1200</v>
      </c>
      <c r="S43" s="7">
        <v>1500</v>
      </c>
      <c r="T43" s="8">
        <v>1200</v>
      </c>
      <c r="U43" s="3">
        <v>1380</v>
      </c>
      <c r="V43" s="3" t="s">
        <v>54</v>
      </c>
      <c r="W43" s="3">
        <v>0</v>
      </c>
      <c r="X43" s="3" t="s">
        <v>93</v>
      </c>
      <c r="Y43" s="3" t="s">
        <v>93</v>
      </c>
      <c r="Z43" s="3" t="s">
        <v>131</v>
      </c>
      <c r="AA43" s="3" t="s">
        <v>3905</v>
      </c>
      <c r="AB43" s="9">
        <v>45524</v>
      </c>
      <c r="AC43" s="3" t="s">
        <v>131</v>
      </c>
      <c r="AD43" s="3"/>
    </row>
    <row r="44" spans="1:30" hidden="1">
      <c r="A44" s="3" t="s">
        <v>44</v>
      </c>
      <c r="B44" s="4">
        <v>45528</v>
      </c>
      <c r="C44" s="3" t="s">
        <v>45</v>
      </c>
      <c r="D44" s="3" t="s">
        <v>59</v>
      </c>
      <c r="E44" s="3" t="s">
        <v>60</v>
      </c>
      <c r="F44" s="3" t="s">
        <v>3952</v>
      </c>
      <c r="G44" s="3" t="s">
        <v>3953</v>
      </c>
      <c r="H44" s="3"/>
      <c r="I44" s="3" t="s">
        <v>51</v>
      </c>
      <c r="J44" s="6">
        <v>45163</v>
      </c>
      <c r="K44" s="6"/>
      <c r="L44" s="6">
        <v>45163</v>
      </c>
      <c r="M44" s="6">
        <v>45528</v>
      </c>
      <c r="N44" s="3" t="s">
        <v>52</v>
      </c>
      <c r="O44" s="3" t="s">
        <v>3858</v>
      </c>
      <c r="P44" s="7">
        <v>1380</v>
      </c>
      <c r="Q44" s="7">
        <v>115</v>
      </c>
      <c r="R44" s="8">
        <v>1380</v>
      </c>
      <c r="S44" s="7">
        <v>1500</v>
      </c>
      <c r="T44" s="8">
        <v>1380</v>
      </c>
      <c r="U44" s="3">
        <v>1380</v>
      </c>
      <c r="V44" s="3" t="s">
        <v>54</v>
      </c>
      <c r="W44" s="3">
        <v>0</v>
      </c>
      <c r="X44" s="3" t="s">
        <v>65</v>
      </c>
      <c r="Y44" s="3" t="s">
        <v>93</v>
      </c>
      <c r="Z44" s="3" t="s">
        <v>3919</v>
      </c>
      <c r="AA44" s="3" t="s">
        <v>3905</v>
      </c>
      <c r="AB44" s="9">
        <v>45528</v>
      </c>
      <c r="AC44" s="3" t="s">
        <v>131</v>
      </c>
      <c r="AD44" s="3"/>
    </row>
    <row r="45" spans="1:30" hidden="1">
      <c r="A45" s="3" t="s">
        <v>44</v>
      </c>
      <c r="B45" s="4">
        <v>45528</v>
      </c>
      <c r="C45" s="3" t="s">
        <v>45</v>
      </c>
      <c r="D45" s="3" t="s">
        <v>59</v>
      </c>
      <c r="E45" s="3" t="s">
        <v>60</v>
      </c>
      <c r="F45" s="3" t="s">
        <v>3954</v>
      </c>
      <c r="G45" s="3" t="s">
        <v>3955</v>
      </c>
      <c r="H45" s="3"/>
      <c r="I45" s="3" t="s">
        <v>51</v>
      </c>
      <c r="J45" s="6">
        <v>45163</v>
      </c>
      <c r="K45" s="6"/>
      <c r="L45" s="6">
        <v>45163</v>
      </c>
      <c r="M45" s="6">
        <v>45528</v>
      </c>
      <c r="N45" s="3" t="s">
        <v>52</v>
      </c>
      <c r="O45" s="3" t="s">
        <v>3858</v>
      </c>
      <c r="P45" s="7">
        <v>1380</v>
      </c>
      <c r="Q45" s="7">
        <v>115</v>
      </c>
      <c r="R45" s="8">
        <v>1200</v>
      </c>
      <c r="S45" s="7">
        <v>1500</v>
      </c>
      <c r="T45" s="8">
        <v>1200</v>
      </c>
      <c r="U45" s="3">
        <v>1380</v>
      </c>
      <c r="V45" s="3" t="s">
        <v>54</v>
      </c>
      <c r="W45" s="3">
        <v>0</v>
      </c>
      <c r="X45" s="3" t="s">
        <v>93</v>
      </c>
      <c r="Y45" s="3" t="s">
        <v>93</v>
      </c>
      <c r="Z45" s="3" t="s">
        <v>131</v>
      </c>
      <c r="AA45" s="3" t="s">
        <v>3905</v>
      </c>
      <c r="AB45" s="9">
        <v>45528</v>
      </c>
      <c r="AC45" s="3" t="s">
        <v>131</v>
      </c>
      <c r="AD45" s="3"/>
    </row>
    <row r="46" spans="1:30" hidden="1">
      <c r="A46" s="3" t="s">
        <v>44</v>
      </c>
      <c r="B46" s="4">
        <v>45528</v>
      </c>
      <c r="C46" s="3" t="s">
        <v>45</v>
      </c>
      <c r="D46" s="3" t="s">
        <v>59</v>
      </c>
      <c r="E46" s="3" t="s">
        <v>60</v>
      </c>
      <c r="F46" s="3" t="s">
        <v>3956</v>
      </c>
      <c r="G46" s="3" t="s">
        <v>3957</v>
      </c>
      <c r="H46" s="3"/>
      <c r="I46" s="3" t="s">
        <v>51</v>
      </c>
      <c r="J46" s="6">
        <v>45163</v>
      </c>
      <c r="K46" s="6"/>
      <c r="L46" s="6">
        <v>45163</v>
      </c>
      <c r="M46" s="6">
        <v>45528</v>
      </c>
      <c r="N46" s="3" t="s">
        <v>52</v>
      </c>
      <c r="O46" s="3" t="s">
        <v>3858</v>
      </c>
      <c r="P46" s="7">
        <v>1380</v>
      </c>
      <c r="Q46" s="7">
        <v>115</v>
      </c>
      <c r="R46" s="8">
        <v>1200</v>
      </c>
      <c r="S46" s="7">
        <v>1500</v>
      </c>
      <c r="T46" s="8">
        <v>1200</v>
      </c>
      <c r="U46" s="3">
        <v>1380</v>
      </c>
      <c r="V46" s="3" t="s">
        <v>54</v>
      </c>
      <c r="W46" s="3">
        <v>0</v>
      </c>
      <c r="X46" s="3" t="s">
        <v>93</v>
      </c>
      <c r="Y46" s="3" t="s">
        <v>93</v>
      </c>
      <c r="Z46" s="3" t="s">
        <v>131</v>
      </c>
      <c r="AA46" s="3" t="s">
        <v>3905</v>
      </c>
      <c r="AB46" s="9">
        <v>45528</v>
      </c>
      <c r="AC46" s="3" t="s">
        <v>131</v>
      </c>
      <c r="AD46" s="3"/>
    </row>
    <row r="47" spans="1:30" hidden="1">
      <c r="A47" s="3" t="s">
        <v>44</v>
      </c>
      <c r="B47" s="4">
        <v>45529</v>
      </c>
      <c r="C47" s="3" t="s">
        <v>45</v>
      </c>
      <c r="D47" s="3" t="s">
        <v>59</v>
      </c>
      <c r="E47" s="3" t="s">
        <v>60</v>
      </c>
      <c r="F47" s="3" t="s">
        <v>3958</v>
      </c>
      <c r="G47" s="3" t="s">
        <v>3959</v>
      </c>
      <c r="H47" s="3"/>
      <c r="I47" s="3" t="s">
        <v>51</v>
      </c>
      <c r="J47" s="6">
        <v>45164</v>
      </c>
      <c r="K47" s="6"/>
      <c r="L47" s="6">
        <v>45164</v>
      </c>
      <c r="M47" s="6">
        <v>45529</v>
      </c>
      <c r="N47" s="3" t="s">
        <v>52</v>
      </c>
      <c r="O47" s="3" t="s">
        <v>3858</v>
      </c>
      <c r="P47" s="7">
        <v>1380</v>
      </c>
      <c r="Q47" s="7">
        <v>115</v>
      </c>
      <c r="R47" s="8">
        <v>1200</v>
      </c>
      <c r="S47" s="7">
        <v>1500</v>
      </c>
      <c r="T47" s="8">
        <v>1200</v>
      </c>
      <c r="U47" s="3">
        <v>1380</v>
      </c>
      <c r="V47" s="3" t="s">
        <v>54</v>
      </c>
      <c r="W47" s="3">
        <v>0</v>
      </c>
      <c r="X47" s="3" t="s">
        <v>93</v>
      </c>
      <c r="Y47" s="3" t="s">
        <v>93</v>
      </c>
      <c r="Z47" s="3" t="s">
        <v>131</v>
      </c>
      <c r="AA47" s="3" t="s">
        <v>3905</v>
      </c>
      <c r="AB47" s="9">
        <v>45529</v>
      </c>
      <c r="AC47" s="3" t="s">
        <v>131</v>
      </c>
      <c r="AD47" s="3"/>
    </row>
    <row r="48" spans="1:30" hidden="1">
      <c r="A48" s="3" t="s">
        <v>44</v>
      </c>
      <c r="B48" s="4">
        <v>45535</v>
      </c>
      <c r="C48" s="3" t="s">
        <v>45</v>
      </c>
      <c r="D48" s="3" t="s">
        <v>59</v>
      </c>
      <c r="E48" s="3" t="s">
        <v>60</v>
      </c>
      <c r="F48" s="3" t="s">
        <v>3960</v>
      </c>
      <c r="G48" s="3" t="s">
        <v>3961</v>
      </c>
      <c r="H48" s="3"/>
      <c r="I48" s="3" t="s">
        <v>51</v>
      </c>
      <c r="J48" s="6">
        <v>45170</v>
      </c>
      <c r="K48" s="6"/>
      <c r="L48" s="6">
        <v>45170</v>
      </c>
      <c r="M48" s="6">
        <v>45535</v>
      </c>
      <c r="N48" s="3" t="s">
        <v>52</v>
      </c>
      <c r="O48" s="3" t="s">
        <v>3858</v>
      </c>
      <c r="P48" s="7">
        <v>1380</v>
      </c>
      <c r="Q48" s="7">
        <v>115</v>
      </c>
      <c r="R48" s="8">
        <v>1260</v>
      </c>
      <c r="S48" s="7">
        <v>1500</v>
      </c>
      <c r="T48" s="8">
        <v>1260</v>
      </c>
      <c r="U48" s="3">
        <v>1380</v>
      </c>
      <c r="V48" s="3" t="s">
        <v>54</v>
      </c>
      <c r="W48" s="3">
        <v>0</v>
      </c>
      <c r="X48" s="3" t="s">
        <v>93</v>
      </c>
      <c r="Y48" s="3" t="s">
        <v>93</v>
      </c>
      <c r="Z48" s="3" t="s">
        <v>131</v>
      </c>
      <c r="AA48" s="3" t="s">
        <v>3905</v>
      </c>
      <c r="AB48" s="9">
        <v>45535</v>
      </c>
      <c r="AC48" s="3" t="s">
        <v>131</v>
      </c>
      <c r="AD48" s="3"/>
    </row>
    <row r="49" spans="1:30">
      <c r="A49" s="3" t="s">
        <v>44</v>
      </c>
      <c r="B49" s="4">
        <v>45481</v>
      </c>
      <c r="C49" s="3" t="s">
        <v>2086</v>
      </c>
      <c r="D49" s="3" t="s">
        <v>3962</v>
      </c>
      <c r="E49" s="3" t="s">
        <v>1052</v>
      </c>
      <c r="F49" s="3" t="s">
        <v>3963</v>
      </c>
      <c r="G49" s="3" t="s">
        <v>3964</v>
      </c>
      <c r="H49" s="3"/>
      <c r="I49" s="3" t="s">
        <v>51</v>
      </c>
      <c r="J49" s="6">
        <v>44721</v>
      </c>
      <c r="K49" s="6"/>
      <c r="L49" s="6">
        <v>45116</v>
      </c>
      <c r="M49" s="6">
        <v>45481</v>
      </c>
      <c r="N49" s="3" t="s">
        <v>64</v>
      </c>
      <c r="O49" s="3" t="s">
        <v>3858</v>
      </c>
      <c r="P49" s="7">
        <v>300</v>
      </c>
      <c r="Q49" s="7">
        <v>25</v>
      </c>
      <c r="R49" s="8">
        <v>273</v>
      </c>
      <c r="S49" s="7">
        <v>300</v>
      </c>
      <c r="T49" s="8">
        <v>273</v>
      </c>
      <c r="U49" s="3">
        <v>300</v>
      </c>
      <c r="V49" s="3" t="s">
        <v>54</v>
      </c>
      <c r="W49" s="3">
        <v>0</v>
      </c>
      <c r="X49" s="3" t="s">
        <v>131</v>
      </c>
      <c r="Y49" s="3" t="s">
        <v>131</v>
      </c>
      <c r="Z49" s="3" t="s">
        <v>131</v>
      </c>
      <c r="AA49" s="3" t="s">
        <v>3965</v>
      </c>
      <c r="AB49" s="9">
        <v>45481</v>
      </c>
      <c r="AC49" s="3" t="s">
        <v>131</v>
      </c>
      <c r="AD49" s="3"/>
    </row>
    <row r="50" spans="1:30" hidden="1">
      <c r="A50" s="3" t="s">
        <v>44</v>
      </c>
      <c r="B50" s="4">
        <v>45504</v>
      </c>
      <c r="C50" s="3" t="s">
        <v>2086</v>
      </c>
      <c r="D50" s="3" t="s">
        <v>2130</v>
      </c>
      <c r="E50" s="3" t="s">
        <v>1052</v>
      </c>
      <c r="F50" s="3" t="s">
        <v>3966</v>
      </c>
      <c r="G50" s="3" t="s">
        <v>3967</v>
      </c>
      <c r="H50" s="3"/>
      <c r="I50" s="3" t="s">
        <v>51</v>
      </c>
      <c r="J50" s="6">
        <v>45139</v>
      </c>
      <c r="K50" s="6"/>
      <c r="L50" s="6">
        <v>45139</v>
      </c>
      <c r="M50" s="6">
        <v>45504</v>
      </c>
      <c r="N50" s="3" t="s">
        <v>52</v>
      </c>
      <c r="O50" s="3" t="s">
        <v>3858</v>
      </c>
      <c r="P50" s="7">
        <v>300</v>
      </c>
      <c r="Q50" s="7">
        <v>25</v>
      </c>
      <c r="R50" s="8">
        <v>1200</v>
      </c>
      <c r="S50" s="7">
        <v>300</v>
      </c>
      <c r="T50" s="8">
        <v>100</v>
      </c>
      <c r="U50" s="3">
        <v>300</v>
      </c>
      <c r="V50" s="3" t="s">
        <v>395</v>
      </c>
      <c r="W50" s="3">
        <v>0</v>
      </c>
      <c r="X50" s="3" t="s">
        <v>131</v>
      </c>
      <c r="Y50" s="3" t="s">
        <v>131</v>
      </c>
      <c r="Z50" s="3" t="s">
        <v>131</v>
      </c>
      <c r="AA50" s="3" t="s">
        <v>3965</v>
      </c>
      <c r="AB50" s="9">
        <v>45504</v>
      </c>
      <c r="AC50" s="3" t="s">
        <v>131</v>
      </c>
      <c r="AD50" s="3"/>
    </row>
    <row r="51" spans="1:30" hidden="1">
      <c r="A51" s="3" t="s">
        <v>44</v>
      </c>
      <c r="B51" s="4">
        <v>45517</v>
      </c>
      <c r="C51" s="3" t="s">
        <v>2086</v>
      </c>
      <c r="D51" s="3" t="s">
        <v>2130</v>
      </c>
      <c r="E51" s="3" t="s">
        <v>1052</v>
      </c>
      <c r="F51" s="3" t="s">
        <v>3968</v>
      </c>
      <c r="G51" s="3" t="s">
        <v>3969</v>
      </c>
      <c r="H51" s="3"/>
      <c r="I51" s="3" t="s">
        <v>51</v>
      </c>
      <c r="J51" s="6">
        <v>45152</v>
      </c>
      <c r="K51" s="6"/>
      <c r="L51" s="6">
        <v>45152</v>
      </c>
      <c r="M51" s="6">
        <v>45517</v>
      </c>
      <c r="N51" s="3" t="s">
        <v>52</v>
      </c>
      <c r="O51" s="3" t="s">
        <v>3858</v>
      </c>
      <c r="P51" s="7">
        <v>300</v>
      </c>
      <c r="Q51" s="7">
        <v>25</v>
      </c>
      <c r="R51" s="8">
        <v>80.040000000000006</v>
      </c>
      <c r="S51" s="7">
        <v>300</v>
      </c>
      <c r="T51" s="8">
        <v>80</v>
      </c>
      <c r="U51" s="3">
        <v>300</v>
      </c>
      <c r="V51" s="3" t="s">
        <v>54</v>
      </c>
      <c r="W51" s="3">
        <v>0</v>
      </c>
      <c r="X51" s="3" t="s">
        <v>131</v>
      </c>
      <c r="Y51" s="3" t="s">
        <v>131</v>
      </c>
      <c r="Z51" s="3" t="s">
        <v>131</v>
      </c>
      <c r="AA51" s="3" t="s">
        <v>3965</v>
      </c>
      <c r="AB51" s="9">
        <v>45517</v>
      </c>
      <c r="AC51" s="3" t="s">
        <v>131</v>
      </c>
      <c r="AD51" s="3"/>
    </row>
    <row r="52" spans="1:30">
      <c r="A52" s="3" t="s">
        <v>74</v>
      </c>
      <c r="B52" s="4">
        <v>45504</v>
      </c>
      <c r="C52" s="3" t="s">
        <v>2086</v>
      </c>
      <c r="D52" s="3" t="s">
        <v>2130</v>
      </c>
      <c r="E52" s="3" t="s">
        <v>1052</v>
      </c>
      <c r="F52" s="3" t="s">
        <v>3970</v>
      </c>
      <c r="G52" s="3" t="s">
        <v>3971</v>
      </c>
      <c r="H52" s="3"/>
      <c r="I52" s="3" t="s">
        <v>51</v>
      </c>
      <c r="J52" s="6">
        <v>39713</v>
      </c>
      <c r="K52" s="6"/>
      <c r="L52" s="6">
        <v>45323</v>
      </c>
      <c r="M52" s="6">
        <v>45504</v>
      </c>
      <c r="N52" s="3" t="s">
        <v>64</v>
      </c>
      <c r="O52" s="3" t="s">
        <v>3858</v>
      </c>
      <c r="P52" s="7">
        <v>80</v>
      </c>
      <c r="Q52" s="7">
        <v>6.666666666666667</v>
      </c>
      <c r="R52" s="8">
        <v>80</v>
      </c>
      <c r="S52" s="7">
        <v>360</v>
      </c>
      <c r="T52" s="8">
        <v>80</v>
      </c>
      <c r="U52" s="3">
        <v>80</v>
      </c>
      <c r="V52" s="3" t="s">
        <v>54</v>
      </c>
      <c r="W52" s="3">
        <v>0</v>
      </c>
      <c r="X52" s="3" t="s">
        <v>131</v>
      </c>
      <c r="Y52" s="3" t="s">
        <v>131</v>
      </c>
      <c r="Z52" s="3" t="s">
        <v>131</v>
      </c>
      <c r="AA52" s="3" t="s">
        <v>3965</v>
      </c>
      <c r="AB52" s="9">
        <v>45504</v>
      </c>
      <c r="AC52" s="3" t="s">
        <v>131</v>
      </c>
      <c r="AD52" s="3"/>
    </row>
    <row r="53" spans="1:30" hidden="1">
      <c r="A53" s="3" t="s">
        <v>44</v>
      </c>
      <c r="B53" s="4">
        <v>45479</v>
      </c>
      <c r="C53" s="3" t="s">
        <v>45</v>
      </c>
      <c r="D53" s="3" t="s">
        <v>847</v>
      </c>
      <c r="E53" s="3" t="s">
        <v>848</v>
      </c>
      <c r="F53" s="3" t="s">
        <v>3972</v>
      </c>
      <c r="G53" s="3" t="s">
        <v>3973</v>
      </c>
      <c r="H53" s="3"/>
      <c r="I53" s="3" t="s">
        <v>51</v>
      </c>
      <c r="J53" s="6">
        <v>45114</v>
      </c>
      <c r="K53" s="6"/>
      <c r="L53" s="6">
        <v>45114</v>
      </c>
      <c r="M53" s="6">
        <v>45479</v>
      </c>
      <c r="N53" s="3" t="s">
        <v>52</v>
      </c>
      <c r="O53" s="3" t="s">
        <v>3858</v>
      </c>
      <c r="P53" s="7">
        <v>360</v>
      </c>
      <c r="Q53" s="7">
        <v>30</v>
      </c>
      <c r="R53" s="8">
        <v>360</v>
      </c>
      <c r="S53" s="7">
        <v>480</v>
      </c>
      <c r="T53" s="8">
        <v>360</v>
      </c>
      <c r="U53" s="3">
        <v>360</v>
      </c>
      <c r="V53" s="3" t="s">
        <v>54</v>
      </c>
      <c r="W53" s="3">
        <v>0</v>
      </c>
      <c r="X53" s="3" t="s">
        <v>131</v>
      </c>
      <c r="Y53" s="3" t="s">
        <v>131</v>
      </c>
      <c r="Z53" s="3" t="s">
        <v>131</v>
      </c>
      <c r="AA53" s="3" t="s">
        <v>3974</v>
      </c>
      <c r="AB53" s="9">
        <v>45479</v>
      </c>
      <c r="AC53" s="3" t="s">
        <v>131</v>
      </c>
      <c r="AD53" s="3"/>
    </row>
    <row r="54" spans="1:30" hidden="1">
      <c r="A54" s="3" t="s">
        <v>44</v>
      </c>
      <c r="B54" s="4">
        <v>45485</v>
      </c>
      <c r="C54" s="3" t="s">
        <v>45</v>
      </c>
      <c r="D54" s="3" t="s">
        <v>847</v>
      </c>
      <c r="E54" s="3" t="s">
        <v>848</v>
      </c>
      <c r="F54" s="3" t="s">
        <v>3975</v>
      </c>
      <c r="G54" s="3" t="s">
        <v>1655</v>
      </c>
      <c r="H54" s="3"/>
      <c r="I54" s="3" t="s">
        <v>51</v>
      </c>
      <c r="J54" s="6">
        <v>45120</v>
      </c>
      <c r="K54" s="6"/>
      <c r="L54" s="6">
        <v>45120</v>
      </c>
      <c r="M54" s="6">
        <v>45485</v>
      </c>
      <c r="N54" s="3" t="s">
        <v>52</v>
      </c>
      <c r="O54" s="3" t="s">
        <v>3858</v>
      </c>
      <c r="P54" s="7">
        <v>360</v>
      </c>
      <c r="Q54" s="7">
        <v>30</v>
      </c>
      <c r="R54" s="8">
        <v>360</v>
      </c>
      <c r="S54" s="7">
        <v>600</v>
      </c>
      <c r="T54" s="8">
        <v>360</v>
      </c>
      <c r="U54" s="3">
        <v>360</v>
      </c>
      <c r="V54" s="3" t="s">
        <v>54</v>
      </c>
      <c r="W54" s="3">
        <v>0</v>
      </c>
      <c r="X54" s="3" t="s">
        <v>131</v>
      </c>
      <c r="Y54" s="3" t="s">
        <v>131</v>
      </c>
      <c r="Z54" s="3" t="s">
        <v>131</v>
      </c>
      <c r="AA54" s="3" t="s">
        <v>3974</v>
      </c>
      <c r="AB54" s="9">
        <v>45485</v>
      </c>
      <c r="AC54" s="3" t="s">
        <v>131</v>
      </c>
      <c r="AD54" s="3"/>
    </row>
    <row r="55" spans="1:30">
      <c r="A55" s="3" t="s">
        <v>44</v>
      </c>
      <c r="B55" s="4">
        <v>45489</v>
      </c>
      <c r="C55" s="3" t="s">
        <v>45</v>
      </c>
      <c r="D55" s="3" t="s">
        <v>847</v>
      </c>
      <c r="E55" s="3" t="s">
        <v>848</v>
      </c>
      <c r="F55" s="3" t="s">
        <v>3976</v>
      </c>
      <c r="G55" s="3" t="s">
        <v>1060</v>
      </c>
      <c r="H55" s="3"/>
      <c r="I55" s="3" t="s">
        <v>51</v>
      </c>
      <c r="J55" s="6">
        <v>45124</v>
      </c>
      <c r="K55" s="6"/>
      <c r="L55" s="6">
        <v>45155</v>
      </c>
      <c r="M55" s="6">
        <v>45489</v>
      </c>
      <c r="N55" s="3" t="s">
        <v>64</v>
      </c>
      <c r="O55" s="3" t="s">
        <v>3858</v>
      </c>
      <c r="P55" s="7">
        <v>360</v>
      </c>
      <c r="Q55" s="7">
        <v>30</v>
      </c>
      <c r="R55" s="8">
        <v>360</v>
      </c>
      <c r="S55" s="7">
        <v>600</v>
      </c>
      <c r="T55" s="8">
        <v>600</v>
      </c>
      <c r="U55" s="3">
        <v>360</v>
      </c>
      <c r="V55" s="3" t="s">
        <v>54</v>
      </c>
      <c r="W55" s="3">
        <v>0</v>
      </c>
      <c r="X55" s="3" t="s">
        <v>131</v>
      </c>
      <c r="Y55" s="3" t="s">
        <v>131</v>
      </c>
      <c r="Z55" s="3" t="s">
        <v>131</v>
      </c>
      <c r="AA55" s="3" t="s">
        <v>3974</v>
      </c>
      <c r="AB55" s="9">
        <v>45489</v>
      </c>
      <c r="AC55" s="3" t="s">
        <v>131</v>
      </c>
      <c r="AD55" s="3"/>
    </row>
    <row r="56" spans="1:30" hidden="1">
      <c r="A56" s="3" t="s">
        <v>44</v>
      </c>
      <c r="B56" s="4">
        <v>45489</v>
      </c>
      <c r="C56" s="3" t="s">
        <v>45</v>
      </c>
      <c r="D56" s="3" t="s">
        <v>847</v>
      </c>
      <c r="E56" s="3" t="s">
        <v>848</v>
      </c>
      <c r="F56" s="3" t="s">
        <v>3977</v>
      </c>
      <c r="G56" s="3" t="s">
        <v>1168</v>
      </c>
      <c r="H56" s="3"/>
      <c r="I56" s="3" t="s">
        <v>51</v>
      </c>
      <c r="J56" s="6">
        <v>45124</v>
      </c>
      <c r="K56" s="6"/>
      <c r="L56" s="6">
        <v>45124</v>
      </c>
      <c r="M56" s="6">
        <v>45489</v>
      </c>
      <c r="N56" s="3" t="s">
        <v>52</v>
      </c>
      <c r="O56" s="3" t="s">
        <v>3858</v>
      </c>
      <c r="P56" s="7">
        <v>360</v>
      </c>
      <c r="Q56" s="7">
        <v>30</v>
      </c>
      <c r="R56" s="8">
        <v>360</v>
      </c>
      <c r="S56" s="7">
        <v>600</v>
      </c>
      <c r="T56" s="8">
        <v>360</v>
      </c>
      <c r="U56" s="3">
        <v>360</v>
      </c>
      <c r="V56" s="3" t="s">
        <v>54</v>
      </c>
      <c r="W56" s="3">
        <v>0</v>
      </c>
      <c r="X56" s="3" t="s">
        <v>131</v>
      </c>
      <c r="Y56" s="3" t="s">
        <v>131</v>
      </c>
      <c r="Z56" s="3" t="s">
        <v>131</v>
      </c>
      <c r="AA56" s="3" t="s">
        <v>3974</v>
      </c>
      <c r="AB56" s="9">
        <v>45489</v>
      </c>
      <c r="AC56" s="3" t="s">
        <v>131</v>
      </c>
      <c r="AD56" s="3"/>
    </row>
    <row r="57" spans="1:30" hidden="1">
      <c r="A57" s="3" t="s">
        <v>44</v>
      </c>
      <c r="B57" s="4">
        <v>45493</v>
      </c>
      <c r="C57" s="3" t="s">
        <v>45</v>
      </c>
      <c r="D57" s="3" t="s">
        <v>847</v>
      </c>
      <c r="E57" s="3" t="s">
        <v>848</v>
      </c>
      <c r="F57" s="3" t="s">
        <v>3978</v>
      </c>
      <c r="G57" s="3" t="s">
        <v>1204</v>
      </c>
      <c r="H57" s="3"/>
      <c r="I57" s="3" t="s">
        <v>51</v>
      </c>
      <c r="J57" s="6">
        <v>45128</v>
      </c>
      <c r="K57" s="6"/>
      <c r="L57" s="6">
        <v>45128</v>
      </c>
      <c r="M57" s="6">
        <v>45493</v>
      </c>
      <c r="N57" s="3" t="s">
        <v>52</v>
      </c>
      <c r="O57" s="3" t="s">
        <v>3858</v>
      </c>
      <c r="P57" s="7">
        <v>360</v>
      </c>
      <c r="Q57" s="7">
        <v>30</v>
      </c>
      <c r="R57" s="8">
        <v>360</v>
      </c>
      <c r="S57" s="7">
        <v>600</v>
      </c>
      <c r="T57" s="8">
        <v>360</v>
      </c>
      <c r="U57" s="3">
        <v>360</v>
      </c>
      <c r="V57" s="3" t="s">
        <v>54</v>
      </c>
      <c r="W57" s="3">
        <v>0</v>
      </c>
      <c r="X57" s="3" t="s">
        <v>131</v>
      </c>
      <c r="Y57" s="3" t="s">
        <v>131</v>
      </c>
      <c r="Z57" s="3" t="s">
        <v>131</v>
      </c>
      <c r="AA57" s="3" t="s">
        <v>3974</v>
      </c>
      <c r="AB57" s="9">
        <v>45493</v>
      </c>
      <c r="AC57" s="3" t="s">
        <v>131</v>
      </c>
      <c r="AD57" s="3"/>
    </row>
    <row r="58" spans="1:30" hidden="1">
      <c r="A58" s="3" t="s">
        <v>44</v>
      </c>
      <c r="B58" s="4">
        <v>45508</v>
      </c>
      <c r="C58" s="3" t="s">
        <v>45</v>
      </c>
      <c r="D58" s="3" t="s">
        <v>847</v>
      </c>
      <c r="E58" s="3" t="s">
        <v>848</v>
      </c>
      <c r="F58" s="3" t="s">
        <v>3979</v>
      </c>
      <c r="G58" s="3" t="s">
        <v>1734</v>
      </c>
      <c r="H58" s="3"/>
      <c r="I58" s="3" t="s">
        <v>51</v>
      </c>
      <c r="J58" s="6">
        <v>45143</v>
      </c>
      <c r="K58" s="6"/>
      <c r="L58" s="6">
        <v>45143</v>
      </c>
      <c r="M58" s="6">
        <v>45508</v>
      </c>
      <c r="N58" s="3" t="s">
        <v>52</v>
      </c>
      <c r="O58" s="3" t="s">
        <v>3858</v>
      </c>
      <c r="P58" s="7">
        <v>360</v>
      </c>
      <c r="Q58" s="7">
        <v>30</v>
      </c>
      <c r="R58" s="8">
        <v>360</v>
      </c>
      <c r="S58" s="7">
        <v>600</v>
      </c>
      <c r="T58" s="8">
        <v>360</v>
      </c>
      <c r="U58" s="3">
        <v>360</v>
      </c>
      <c r="V58" s="3" t="s">
        <v>54</v>
      </c>
      <c r="W58" s="3">
        <v>0</v>
      </c>
      <c r="X58" s="3" t="s">
        <v>131</v>
      </c>
      <c r="Y58" s="3" t="s">
        <v>131</v>
      </c>
      <c r="Z58" s="3" t="s">
        <v>131</v>
      </c>
      <c r="AA58" s="3" t="s">
        <v>3974</v>
      </c>
      <c r="AB58" s="9">
        <v>45508</v>
      </c>
      <c r="AC58" s="3" t="s">
        <v>131</v>
      </c>
      <c r="AD58" s="3"/>
    </row>
    <row r="59" spans="1:30" hidden="1">
      <c r="A59" s="3" t="s">
        <v>44</v>
      </c>
      <c r="B59" s="4">
        <v>45510</v>
      </c>
      <c r="C59" s="3" t="s">
        <v>45</v>
      </c>
      <c r="D59" s="3" t="s">
        <v>847</v>
      </c>
      <c r="E59" s="3" t="s">
        <v>848</v>
      </c>
      <c r="F59" s="3" t="s">
        <v>3980</v>
      </c>
      <c r="G59" s="3" t="s">
        <v>3981</v>
      </c>
      <c r="H59" s="3"/>
      <c r="I59" s="3" t="s">
        <v>51</v>
      </c>
      <c r="J59" s="6">
        <v>45145</v>
      </c>
      <c r="K59" s="6"/>
      <c r="L59" s="6">
        <v>45145</v>
      </c>
      <c r="M59" s="6">
        <v>45510</v>
      </c>
      <c r="N59" s="3" t="s">
        <v>52</v>
      </c>
      <c r="O59" s="3" t="s">
        <v>3858</v>
      </c>
      <c r="P59" s="7">
        <v>360</v>
      </c>
      <c r="Q59" s="7">
        <v>30</v>
      </c>
      <c r="R59" s="8">
        <v>360</v>
      </c>
      <c r="S59" s="7">
        <v>480</v>
      </c>
      <c r="T59" s="8">
        <v>360</v>
      </c>
      <c r="U59" s="3">
        <v>360</v>
      </c>
      <c r="V59" s="3" t="s">
        <v>250</v>
      </c>
      <c r="W59" s="3">
        <v>0</v>
      </c>
      <c r="X59" s="3" t="s">
        <v>131</v>
      </c>
      <c r="Y59" s="3" t="s">
        <v>131</v>
      </c>
      <c r="Z59" s="3" t="s">
        <v>131</v>
      </c>
      <c r="AA59" s="3" t="s">
        <v>3974</v>
      </c>
      <c r="AB59" s="9">
        <v>45510</v>
      </c>
      <c r="AC59" s="3" t="s">
        <v>131</v>
      </c>
      <c r="AD59" s="3"/>
    </row>
    <row r="60" spans="1:30" hidden="1">
      <c r="A60" s="3" t="s">
        <v>44</v>
      </c>
      <c r="B60" s="4">
        <v>45510</v>
      </c>
      <c r="C60" s="3" t="s">
        <v>45</v>
      </c>
      <c r="D60" s="3" t="s">
        <v>847</v>
      </c>
      <c r="E60" s="3" t="s">
        <v>848</v>
      </c>
      <c r="F60" s="3" t="s">
        <v>3982</v>
      </c>
      <c r="G60" s="3" t="s">
        <v>3983</v>
      </c>
      <c r="H60" s="3"/>
      <c r="I60" s="3" t="s">
        <v>51</v>
      </c>
      <c r="J60" s="6">
        <v>45145</v>
      </c>
      <c r="K60" s="6"/>
      <c r="L60" s="6">
        <v>45145</v>
      </c>
      <c r="M60" s="6">
        <v>45510</v>
      </c>
      <c r="N60" s="3" t="s">
        <v>52</v>
      </c>
      <c r="O60" s="3" t="s">
        <v>3858</v>
      </c>
      <c r="P60" s="7">
        <v>360</v>
      </c>
      <c r="Q60" s="7">
        <v>30</v>
      </c>
      <c r="R60" s="8">
        <v>360</v>
      </c>
      <c r="S60" s="7">
        <v>480</v>
      </c>
      <c r="T60" s="8">
        <v>360</v>
      </c>
      <c r="U60" s="3">
        <v>360</v>
      </c>
      <c r="V60" s="3" t="s">
        <v>54</v>
      </c>
      <c r="W60" s="3">
        <v>0</v>
      </c>
      <c r="X60" s="3" t="s">
        <v>131</v>
      </c>
      <c r="Y60" s="3" t="s">
        <v>131</v>
      </c>
      <c r="Z60" s="3" t="s">
        <v>131</v>
      </c>
      <c r="AA60" s="3" t="s">
        <v>3974</v>
      </c>
      <c r="AB60" s="9">
        <v>45510</v>
      </c>
      <c r="AC60" s="3" t="s">
        <v>131</v>
      </c>
      <c r="AD60" s="3"/>
    </row>
    <row r="61" spans="1:30" hidden="1">
      <c r="A61" s="3" t="s">
        <v>44</v>
      </c>
      <c r="B61" s="4">
        <v>45511</v>
      </c>
      <c r="C61" s="3" t="s">
        <v>45</v>
      </c>
      <c r="D61" s="3" t="s">
        <v>847</v>
      </c>
      <c r="E61" s="3" t="s">
        <v>848</v>
      </c>
      <c r="F61" s="3" t="s">
        <v>3984</v>
      </c>
      <c r="G61" s="3" t="s">
        <v>3985</v>
      </c>
      <c r="H61" s="3"/>
      <c r="I61" s="3" t="s">
        <v>51</v>
      </c>
      <c r="J61" s="6">
        <v>45146</v>
      </c>
      <c r="K61" s="6"/>
      <c r="L61" s="6">
        <v>45146</v>
      </c>
      <c r="M61" s="6">
        <v>45511</v>
      </c>
      <c r="N61" s="3" t="s">
        <v>52</v>
      </c>
      <c r="O61" s="3" t="s">
        <v>3858</v>
      </c>
      <c r="P61" s="7">
        <v>360</v>
      </c>
      <c r="Q61" s="7">
        <v>30</v>
      </c>
      <c r="R61" s="8">
        <v>360</v>
      </c>
      <c r="S61" s="7">
        <v>480</v>
      </c>
      <c r="T61" s="8">
        <v>360</v>
      </c>
      <c r="U61" s="3">
        <v>360</v>
      </c>
      <c r="V61" s="3" t="s">
        <v>54</v>
      </c>
      <c r="W61" s="3">
        <v>0</v>
      </c>
      <c r="X61" s="3" t="s">
        <v>131</v>
      </c>
      <c r="Y61" s="3" t="s">
        <v>131</v>
      </c>
      <c r="Z61" s="3" t="s">
        <v>131</v>
      </c>
      <c r="AA61" s="3" t="s">
        <v>3974</v>
      </c>
      <c r="AB61" s="9">
        <v>45511</v>
      </c>
      <c r="AC61" s="3" t="s">
        <v>131</v>
      </c>
      <c r="AD61" s="3"/>
    </row>
    <row r="62" spans="1:30" hidden="1">
      <c r="A62" s="3" t="s">
        <v>44</v>
      </c>
      <c r="B62" s="4">
        <v>45511</v>
      </c>
      <c r="C62" s="3" t="s">
        <v>45</v>
      </c>
      <c r="D62" s="3" t="s">
        <v>847</v>
      </c>
      <c r="E62" s="3" t="s">
        <v>848</v>
      </c>
      <c r="F62" s="3" t="s">
        <v>3986</v>
      </c>
      <c r="G62" s="3" t="s">
        <v>3987</v>
      </c>
      <c r="H62" s="3"/>
      <c r="I62" s="3" t="s">
        <v>51</v>
      </c>
      <c r="J62" s="6">
        <v>45146</v>
      </c>
      <c r="K62" s="6"/>
      <c r="L62" s="6">
        <v>45146</v>
      </c>
      <c r="M62" s="6">
        <v>45511</v>
      </c>
      <c r="N62" s="3" t="s">
        <v>52</v>
      </c>
      <c r="O62" s="3" t="s">
        <v>3858</v>
      </c>
      <c r="P62" s="7">
        <v>360</v>
      </c>
      <c r="Q62" s="7">
        <v>30</v>
      </c>
      <c r="R62" s="8">
        <v>360</v>
      </c>
      <c r="S62" s="7">
        <v>600</v>
      </c>
      <c r="T62" s="8">
        <v>360</v>
      </c>
      <c r="U62" s="3">
        <v>360</v>
      </c>
      <c r="V62" s="3" t="s">
        <v>54</v>
      </c>
      <c r="W62" s="3">
        <v>0</v>
      </c>
      <c r="X62" s="3" t="s">
        <v>131</v>
      </c>
      <c r="Y62" s="3" t="s">
        <v>131</v>
      </c>
      <c r="Z62" s="3" t="s">
        <v>131</v>
      </c>
      <c r="AA62" s="3" t="s">
        <v>3974</v>
      </c>
      <c r="AB62" s="9">
        <v>45511</v>
      </c>
      <c r="AC62" s="3" t="s">
        <v>131</v>
      </c>
      <c r="AD62" s="3"/>
    </row>
    <row r="63" spans="1:30" hidden="1">
      <c r="A63" s="3" t="s">
        <v>44</v>
      </c>
      <c r="B63" s="4">
        <v>45512</v>
      </c>
      <c r="C63" s="3" t="s">
        <v>45</v>
      </c>
      <c r="D63" s="3" t="s">
        <v>847</v>
      </c>
      <c r="E63" s="3" t="s">
        <v>848</v>
      </c>
      <c r="F63" s="3" t="s">
        <v>3988</v>
      </c>
      <c r="G63" s="3" t="s">
        <v>3989</v>
      </c>
      <c r="H63" s="3"/>
      <c r="I63" s="3" t="s">
        <v>51</v>
      </c>
      <c r="J63" s="6">
        <v>45147</v>
      </c>
      <c r="K63" s="6"/>
      <c r="L63" s="6">
        <v>45147</v>
      </c>
      <c r="M63" s="6">
        <v>45512</v>
      </c>
      <c r="N63" s="3" t="s">
        <v>52</v>
      </c>
      <c r="O63" s="3" t="s">
        <v>3858</v>
      </c>
      <c r="P63" s="7">
        <v>360</v>
      </c>
      <c r="Q63" s="7">
        <v>30</v>
      </c>
      <c r="R63" s="8">
        <v>360</v>
      </c>
      <c r="S63" s="7">
        <v>480</v>
      </c>
      <c r="T63" s="8">
        <v>360</v>
      </c>
      <c r="U63" s="3">
        <v>360</v>
      </c>
      <c r="V63" s="3" t="s">
        <v>54</v>
      </c>
      <c r="W63" s="3">
        <v>0</v>
      </c>
      <c r="X63" s="3" t="s">
        <v>131</v>
      </c>
      <c r="Y63" s="3" t="s">
        <v>131</v>
      </c>
      <c r="Z63" s="3" t="s">
        <v>131</v>
      </c>
      <c r="AA63" s="3" t="s">
        <v>3974</v>
      </c>
      <c r="AB63" s="9">
        <v>45512</v>
      </c>
      <c r="AC63" s="3" t="s">
        <v>131</v>
      </c>
      <c r="AD63" s="3"/>
    </row>
    <row r="64" spans="1:30" hidden="1">
      <c r="A64" s="3" t="s">
        <v>44</v>
      </c>
      <c r="B64" s="4">
        <v>45523</v>
      </c>
      <c r="C64" s="3" t="s">
        <v>45</v>
      </c>
      <c r="D64" s="3" t="s">
        <v>847</v>
      </c>
      <c r="E64" s="3" t="s">
        <v>848</v>
      </c>
      <c r="F64" s="3" t="s">
        <v>3990</v>
      </c>
      <c r="G64" s="3" t="s">
        <v>1578</v>
      </c>
      <c r="H64" s="3"/>
      <c r="I64" s="3" t="s">
        <v>51</v>
      </c>
      <c r="J64" s="6">
        <v>45250</v>
      </c>
      <c r="K64" s="6"/>
      <c r="L64" s="6">
        <v>45250</v>
      </c>
      <c r="M64" s="6">
        <v>45523</v>
      </c>
      <c r="N64" s="3" t="s">
        <v>52</v>
      </c>
      <c r="O64" s="3" t="s">
        <v>3858</v>
      </c>
      <c r="P64" s="7">
        <v>360</v>
      </c>
      <c r="Q64" s="7">
        <v>30</v>
      </c>
      <c r="R64" s="8">
        <v>360</v>
      </c>
      <c r="S64" s="7">
        <v>600</v>
      </c>
      <c r="T64" s="8">
        <v>360</v>
      </c>
      <c r="U64" s="3">
        <v>360</v>
      </c>
      <c r="V64" s="3" t="s">
        <v>54</v>
      </c>
      <c r="W64" s="3">
        <v>0</v>
      </c>
      <c r="X64" s="3" t="s">
        <v>131</v>
      </c>
      <c r="Y64" s="3" t="s">
        <v>131</v>
      </c>
      <c r="Z64" s="3" t="s">
        <v>131</v>
      </c>
      <c r="AA64" s="3" t="s">
        <v>3974</v>
      </c>
      <c r="AB64" s="9">
        <v>45523</v>
      </c>
      <c r="AC64" s="3" t="s">
        <v>131</v>
      </c>
      <c r="AD64" s="3"/>
    </row>
    <row r="65" spans="1:30" hidden="1">
      <c r="A65" s="3" t="s">
        <v>44</v>
      </c>
      <c r="B65" s="4">
        <v>45523</v>
      </c>
      <c r="C65" s="3" t="s">
        <v>45</v>
      </c>
      <c r="D65" s="3" t="s">
        <v>847</v>
      </c>
      <c r="E65" s="3" t="s">
        <v>848</v>
      </c>
      <c r="F65" s="3" t="s">
        <v>3991</v>
      </c>
      <c r="G65" s="3" t="s">
        <v>3992</v>
      </c>
      <c r="H65" s="3"/>
      <c r="I65" s="3" t="s">
        <v>51</v>
      </c>
      <c r="J65" s="6">
        <v>45189</v>
      </c>
      <c r="K65" s="6"/>
      <c r="L65" s="6">
        <v>45189</v>
      </c>
      <c r="M65" s="6">
        <v>45523</v>
      </c>
      <c r="N65" s="3" t="s">
        <v>52</v>
      </c>
      <c r="O65" s="3" t="s">
        <v>3858</v>
      </c>
      <c r="P65" s="7">
        <v>360</v>
      </c>
      <c r="Q65" s="7">
        <v>30</v>
      </c>
      <c r="R65" s="8">
        <v>360</v>
      </c>
      <c r="S65" s="7">
        <v>600</v>
      </c>
      <c r="T65" s="8">
        <v>360</v>
      </c>
      <c r="U65" s="3">
        <v>360</v>
      </c>
      <c r="V65" s="3" t="s">
        <v>54</v>
      </c>
      <c r="W65" s="3">
        <v>0</v>
      </c>
      <c r="X65" s="3" t="s">
        <v>131</v>
      </c>
      <c r="Y65" s="3" t="s">
        <v>131</v>
      </c>
      <c r="Z65" s="3" t="s">
        <v>131</v>
      </c>
      <c r="AA65" s="3" t="s">
        <v>3974</v>
      </c>
      <c r="AB65" s="9">
        <v>45523</v>
      </c>
      <c r="AC65" s="3" t="s">
        <v>131</v>
      </c>
      <c r="AD65" s="3"/>
    </row>
    <row r="66" spans="1:30" hidden="1">
      <c r="A66" s="3" t="s">
        <v>44</v>
      </c>
      <c r="B66" s="4">
        <v>45526</v>
      </c>
      <c r="C66" s="3" t="s">
        <v>45</v>
      </c>
      <c r="D66" s="3" t="s">
        <v>847</v>
      </c>
      <c r="E66" s="3" t="s">
        <v>848</v>
      </c>
      <c r="F66" s="3" t="s">
        <v>3993</v>
      </c>
      <c r="G66" s="3" t="s">
        <v>3994</v>
      </c>
      <c r="H66" s="3"/>
      <c r="I66" s="3" t="s">
        <v>51</v>
      </c>
      <c r="J66" s="6">
        <v>45161</v>
      </c>
      <c r="K66" s="6"/>
      <c r="L66" s="6">
        <v>45161</v>
      </c>
      <c r="M66" s="6">
        <v>45526</v>
      </c>
      <c r="N66" s="3" t="s">
        <v>52</v>
      </c>
      <c r="O66" s="3" t="s">
        <v>3858</v>
      </c>
      <c r="P66" s="7">
        <v>360</v>
      </c>
      <c r="Q66" s="7">
        <v>30</v>
      </c>
      <c r="R66" s="8">
        <v>480</v>
      </c>
      <c r="S66" s="7">
        <v>480</v>
      </c>
      <c r="T66" s="8">
        <v>480</v>
      </c>
      <c r="U66" s="3">
        <v>360</v>
      </c>
      <c r="V66" s="3" t="s">
        <v>54</v>
      </c>
      <c r="W66" s="3">
        <v>0</v>
      </c>
      <c r="X66" s="3" t="s">
        <v>131</v>
      </c>
      <c r="Y66" s="3" t="s">
        <v>131</v>
      </c>
      <c r="Z66" s="3" t="s">
        <v>131</v>
      </c>
      <c r="AA66" s="3" t="s">
        <v>3974</v>
      </c>
      <c r="AB66" s="9">
        <v>45526</v>
      </c>
      <c r="AC66" s="3" t="s">
        <v>131</v>
      </c>
      <c r="AD66" s="3"/>
    </row>
    <row r="67" spans="1:30" hidden="1">
      <c r="A67" s="3" t="s">
        <v>44</v>
      </c>
      <c r="B67" s="4">
        <v>45535</v>
      </c>
      <c r="C67" s="3" t="s">
        <v>45</v>
      </c>
      <c r="D67" s="3" t="s">
        <v>847</v>
      </c>
      <c r="E67" s="3" t="s">
        <v>848</v>
      </c>
      <c r="F67" s="3" t="s">
        <v>3995</v>
      </c>
      <c r="G67" s="3" t="s">
        <v>3996</v>
      </c>
      <c r="H67" s="3"/>
      <c r="I67" s="3" t="s">
        <v>51</v>
      </c>
      <c r="J67" s="6">
        <v>45170</v>
      </c>
      <c r="K67" s="6"/>
      <c r="L67" s="6">
        <v>45170</v>
      </c>
      <c r="M67" s="6">
        <v>45535</v>
      </c>
      <c r="N67" s="3" t="s">
        <v>52</v>
      </c>
      <c r="O67" s="3" t="s">
        <v>3858</v>
      </c>
      <c r="P67" s="7">
        <v>360</v>
      </c>
      <c r="Q67" s="7">
        <v>30</v>
      </c>
      <c r="R67" s="8">
        <v>360</v>
      </c>
      <c r="S67" s="7">
        <v>600</v>
      </c>
      <c r="T67" s="8">
        <v>360</v>
      </c>
      <c r="U67" s="3">
        <v>360</v>
      </c>
      <c r="V67" s="3" t="s">
        <v>54</v>
      </c>
      <c r="W67" s="3">
        <v>0</v>
      </c>
      <c r="X67" s="3" t="s">
        <v>131</v>
      </c>
      <c r="Y67" s="3" t="s">
        <v>131</v>
      </c>
      <c r="Z67" s="3" t="s">
        <v>131</v>
      </c>
      <c r="AA67" s="3" t="s">
        <v>3974</v>
      </c>
      <c r="AB67" s="9">
        <v>45535</v>
      </c>
      <c r="AC67" s="3" t="s">
        <v>131</v>
      </c>
      <c r="AD67" s="3"/>
    </row>
    <row r="68" spans="1:30">
      <c r="A68" s="3" t="s">
        <v>74</v>
      </c>
      <c r="B68" s="4">
        <v>45478</v>
      </c>
      <c r="C68" s="3" t="s">
        <v>45</v>
      </c>
      <c r="D68" s="3" t="s">
        <v>847</v>
      </c>
      <c r="E68" s="3" t="s">
        <v>848</v>
      </c>
      <c r="F68" s="3" t="s">
        <v>3997</v>
      </c>
      <c r="G68" s="3" t="s">
        <v>3998</v>
      </c>
      <c r="H68" s="3"/>
      <c r="I68" s="3" t="s">
        <v>51</v>
      </c>
      <c r="J68" s="6">
        <v>45297</v>
      </c>
      <c r="K68" s="6"/>
      <c r="L68" s="6">
        <v>45357</v>
      </c>
      <c r="M68" s="6">
        <v>45478</v>
      </c>
      <c r="N68" s="3" t="s">
        <v>64</v>
      </c>
      <c r="O68" s="3" t="s">
        <v>3858</v>
      </c>
      <c r="P68" s="7">
        <v>360</v>
      </c>
      <c r="Q68" s="7">
        <v>30</v>
      </c>
      <c r="R68" s="8">
        <v>480</v>
      </c>
      <c r="S68" s="7">
        <v>480</v>
      </c>
      <c r="T68" s="8">
        <v>480</v>
      </c>
      <c r="U68" s="3">
        <v>360</v>
      </c>
      <c r="V68" s="3" t="s">
        <v>54</v>
      </c>
      <c r="W68" s="3">
        <v>0</v>
      </c>
      <c r="X68" s="3" t="s">
        <v>131</v>
      </c>
      <c r="Y68" s="3" t="s">
        <v>131</v>
      </c>
      <c r="Z68" s="3" t="s">
        <v>131</v>
      </c>
      <c r="AA68" s="3" t="s">
        <v>3974</v>
      </c>
      <c r="AB68" s="9">
        <v>45478</v>
      </c>
      <c r="AC68" s="3" t="s">
        <v>131</v>
      </c>
      <c r="AD68" s="3"/>
    </row>
    <row r="69" spans="1:30" hidden="1">
      <c r="A69" s="3" t="s">
        <v>74</v>
      </c>
      <c r="B69" s="4">
        <v>45484</v>
      </c>
      <c r="C69" s="3" t="s">
        <v>45</v>
      </c>
      <c r="D69" s="3" t="s">
        <v>847</v>
      </c>
      <c r="E69" s="3" t="s">
        <v>848</v>
      </c>
      <c r="F69" s="3" t="s">
        <v>3999</v>
      </c>
      <c r="G69" s="3" t="s">
        <v>4000</v>
      </c>
      <c r="H69" s="3"/>
      <c r="I69" s="3" t="s">
        <v>51</v>
      </c>
      <c r="J69" s="6">
        <v>45303</v>
      </c>
      <c r="K69" s="6"/>
      <c r="L69" s="6">
        <v>45303</v>
      </c>
      <c r="M69" s="6">
        <v>45484</v>
      </c>
      <c r="N69" s="3" t="s">
        <v>52</v>
      </c>
      <c r="O69" s="3" t="s">
        <v>3858</v>
      </c>
      <c r="P69" s="7">
        <v>360</v>
      </c>
      <c r="Q69" s="7">
        <v>30</v>
      </c>
      <c r="R69" s="8">
        <v>360</v>
      </c>
      <c r="S69" s="7">
        <v>600</v>
      </c>
      <c r="T69" s="8">
        <v>480</v>
      </c>
      <c r="U69" s="3">
        <v>360</v>
      </c>
      <c r="V69" s="3" t="s">
        <v>54</v>
      </c>
      <c r="W69" s="3">
        <v>0</v>
      </c>
      <c r="X69" s="3" t="s">
        <v>131</v>
      </c>
      <c r="Y69" s="3" t="s">
        <v>131</v>
      </c>
      <c r="Z69" s="3" t="s">
        <v>131</v>
      </c>
      <c r="AA69" s="3" t="s">
        <v>3974</v>
      </c>
      <c r="AB69" s="9">
        <v>45484</v>
      </c>
      <c r="AC69" s="3" t="s">
        <v>131</v>
      </c>
      <c r="AD69" s="3"/>
    </row>
    <row r="70" spans="1:30" hidden="1">
      <c r="A70" s="3" t="s">
        <v>74</v>
      </c>
      <c r="B70" s="4">
        <v>45486</v>
      </c>
      <c r="C70" s="3" t="s">
        <v>45</v>
      </c>
      <c r="D70" s="3" t="s">
        <v>847</v>
      </c>
      <c r="E70" s="3" t="s">
        <v>848</v>
      </c>
      <c r="F70" s="3" t="s">
        <v>4001</v>
      </c>
      <c r="G70" s="3" t="s">
        <v>4002</v>
      </c>
      <c r="H70" s="3"/>
      <c r="I70" s="3" t="s">
        <v>51</v>
      </c>
      <c r="J70" s="6">
        <v>45336</v>
      </c>
      <c r="K70" s="6"/>
      <c r="L70" s="6">
        <v>45336</v>
      </c>
      <c r="M70" s="6">
        <v>45486</v>
      </c>
      <c r="N70" s="3" t="s">
        <v>52</v>
      </c>
      <c r="O70" s="3" t="s">
        <v>3858</v>
      </c>
      <c r="P70" s="7">
        <v>360</v>
      </c>
      <c r="Q70" s="7">
        <v>30</v>
      </c>
      <c r="R70" s="8">
        <v>480</v>
      </c>
      <c r="S70" s="7">
        <v>480</v>
      </c>
      <c r="T70" s="8">
        <v>480</v>
      </c>
      <c r="U70" s="3">
        <v>360</v>
      </c>
      <c r="V70" s="3" t="s">
        <v>54</v>
      </c>
      <c r="W70" s="3">
        <v>0</v>
      </c>
      <c r="X70" s="3" t="s">
        <v>131</v>
      </c>
      <c r="Y70" s="3" t="s">
        <v>131</v>
      </c>
      <c r="Z70" s="3" t="s">
        <v>131</v>
      </c>
      <c r="AA70" s="3" t="s">
        <v>3974</v>
      </c>
      <c r="AB70" s="9">
        <v>45486</v>
      </c>
      <c r="AC70" s="3" t="s">
        <v>131</v>
      </c>
      <c r="AD70" s="3"/>
    </row>
    <row r="71" spans="1:30" hidden="1">
      <c r="A71" s="3" t="s">
        <v>74</v>
      </c>
      <c r="B71" s="4">
        <v>45496</v>
      </c>
      <c r="C71" s="3" t="s">
        <v>45</v>
      </c>
      <c r="D71" s="3" t="s">
        <v>847</v>
      </c>
      <c r="E71" s="3" t="s">
        <v>848</v>
      </c>
      <c r="F71" s="3" t="s">
        <v>4003</v>
      </c>
      <c r="G71" s="3" t="s">
        <v>1700</v>
      </c>
      <c r="H71" s="3"/>
      <c r="I71" s="3" t="s">
        <v>51</v>
      </c>
      <c r="J71" s="6">
        <v>45315</v>
      </c>
      <c r="K71" s="6"/>
      <c r="L71" s="6">
        <v>45315</v>
      </c>
      <c r="M71" s="6">
        <v>45496</v>
      </c>
      <c r="N71" s="3" t="s">
        <v>52</v>
      </c>
      <c r="O71" s="3" t="s">
        <v>3858</v>
      </c>
      <c r="P71" s="7">
        <v>360</v>
      </c>
      <c r="Q71" s="7">
        <v>30</v>
      </c>
      <c r="R71" s="8">
        <v>360</v>
      </c>
      <c r="S71" s="7">
        <v>480</v>
      </c>
      <c r="T71" s="8">
        <v>360</v>
      </c>
      <c r="U71" s="3">
        <v>360</v>
      </c>
      <c r="V71" s="3" t="s">
        <v>54</v>
      </c>
      <c r="W71" s="3">
        <v>0</v>
      </c>
      <c r="X71" s="3" t="s">
        <v>131</v>
      </c>
      <c r="Y71" s="3" t="s">
        <v>131</v>
      </c>
      <c r="Z71" s="3" t="s">
        <v>131</v>
      </c>
      <c r="AA71" s="3" t="s">
        <v>3974</v>
      </c>
      <c r="AB71" s="9">
        <v>45496</v>
      </c>
      <c r="AC71" s="3" t="s">
        <v>131</v>
      </c>
      <c r="AD71" s="3"/>
    </row>
    <row r="72" spans="1:30" hidden="1">
      <c r="A72" s="3" t="s">
        <v>74</v>
      </c>
      <c r="B72" s="4">
        <v>45498</v>
      </c>
      <c r="C72" s="3" t="s">
        <v>45</v>
      </c>
      <c r="D72" s="3" t="s">
        <v>847</v>
      </c>
      <c r="E72" s="3" t="s">
        <v>848</v>
      </c>
      <c r="F72" s="3" t="s">
        <v>4004</v>
      </c>
      <c r="G72" s="3" t="s">
        <v>4005</v>
      </c>
      <c r="H72" s="3"/>
      <c r="I72" s="3" t="s">
        <v>51</v>
      </c>
      <c r="J72" s="6">
        <v>45317</v>
      </c>
      <c r="K72" s="6"/>
      <c r="L72" s="6">
        <v>45317</v>
      </c>
      <c r="M72" s="6">
        <v>45498</v>
      </c>
      <c r="N72" s="3" t="s">
        <v>52</v>
      </c>
      <c r="O72" s="3" t="s">
        <v>3858</v>
      </c>
      <c r="P72" s="7">
        <v>360</v>
      </c>
      <c r="Q72" s="7">
        <v>30</v>
      </c>
      <c r="R72" s="8">
        <v>360</v>
      </c>
      <c r="S72" s="7">
        <v>480</v>
      </c>
      <c r="T72" s="8">
        <v>360</v>
      </c>
      <c r="U72" s="3">
        <v>360</v>
      </c>
      <c r="V72" s="3" t="s">
        <v>250</v>
      </c>
      <c r="W72" s="3">
        <v>0</v>
      </c>
      <c r="X72" s="3" t="s">
        <v>131</v>
      </c>
      <c r="Y72" s="3" t="s">
        <v>131</v>
      </c>
      <c r="Z72" s="3" t="s">
        <v>131</v>
      </c>
      <c r="AA72" s="3" t="s">
        <v>3974</v>
      </c>
      <c r="AB72" s="9">
        <v>45498</v>
      </c>
      <c r="AC72" s="3" t="s">
        <v>131</v>
      </c>
      <c r="AD72" s="3"/>
    </row>
    <row r="73" spans="1:30" hidden="1">
      <c r="A73" s="3" t="s">
        <v>74</v>
      </c>
      <c r="B73" s="4">
        <v>45501</v>
      </c>
      <c r="C73" s="3" t="s">
        <v>45</v>
      </c>
      <c r="D73" s="3" t="s">
        <v>847</v>
      </c>
      <c r="E73" s="3" t="s">
        <v>848</v>
      </c>
      <c r="F73" s="3" t="s">
        <v>4006</v>
      </c>
      <c r="G73" s="3" t="s">
        <v>4007</v>
      </c>
      <c r="H73" s="3"/>
      <c r="I73" s="3" t="s">
        <v>51</v>
      </c>
      <c r="J73" s="6">
        <v>45320</v>
      </c>
      <c r="K73" s="6"/>
      <c r="L73" s="6">
        <v>45320</v>
      </c>
      <c r="M73" s="6">
        <v>45501</v>
      </c>
      <c r="N73" s="3" t="s">
        <v>52</v>
      </c>
      <c r="O73" s="3" t="s">
        <v>3858</v>
      </c>
      <c r="P73" s="7">
        <v>360</v>
      </c>
      <c r="Q73" s="7">
        <v>30</v>
      </c>
      <c r="R73" s="8">
        <v>360</v>
      </c>
      <c r="S73" s="7">
        <v>480</v>
      </c>
      <c r="T73" s="8">
        <v>360</v>
      </c>
      <c r="U73" s="3">
        <v>360</v>
      </c>
      <c r="V73" s="3" t="s">
        <v>54</v>
      </c>
      <c r="W73" s="3">
        <v>0</v>
      </c>
      <c r="X73" s="3" t="s">
        <v>131</v>
      </c>
      <c r="Y73" s="3" t="s">
        <v>131</v>
      </c>
      <c r="Z73" s="3" t="s">
        <v>131</v>
      </c>
      <c r="AA73" s="3" t="s">
        <v>3974</v>
      </c>
      <c r="AB73" s="9">
        <v>45501</v>
      </c>
      <c r="AC73" s="3" t="s">
        <v>131</v>
      </c>
      <c r="AD73" s="3"/>
    </row>
    <row r="74" spans="1:30" hidden="1">
      <c r="A74" s="3" t="s">
        <v>74</v>
      </c>
      <c r="B74" s="4">
        <v>45503</v>
      </c>
      <c r="C74" s="3" t="s">
        <v>45</v>
      </c>
      <c r="D74" s="3" t="s">
        <v>847</v>
      </c>
      <c r="E74" s="3" t="s">
        <v>848</v>
      </c>
      <c r="F74" s="3" t="s">
        <v>4008</v>
      </c>
      <c r="G74" s="3" t="s">
        <v>4009</v>
      </c>
      <c r="H74" s="3"/>
      <c r="I74" s="3" t="s">
        <v>51</v>
      </c>
      <c r="J74" s="6">
        <v>45322</v>
      </c>
      <c r="K74" s="6"/>
      <c r="L74" s="6">
        <v>45322</v>
      </c>
      <c r="M74" s="6">
        <v>45503</v>
      </c>
      <c r="N74" s="3" t="s">
        <v>52</v>
      </c>
      <c r="O74" s="3" t="s">
        <v>3858</v>
      </c>
      <c r="P74" s="7">
        <v>360</v>
      </c>
      <c r="Q74" s="7">
        <v>30</v>
      </c>
      <c r="R74" s="8">
        <v>360</v>
      </c>
      <c r="S74" s="7">
        <v>600</v>
      </c>
      <c r="T74" s="8">
        <v>360</v>
      </c>
      <c r="U74" s="3">
        <v>360</v>
      </c>
      <c r="V74" s="3" t="s">
        <v>54</v>
      </c>
      <c r="W74" s="3">
        <v>0</v>
      </c>
      <c r="X74" s="3" t="s">
        <v>131</v>
      </c>
      <c r="Y74" s="3" t="s">
        <v>131</v>
      </c>
      <c r="Z74" s="3" t="s">
        <v>131</v>
      </c>
      <c r="AA74" s="3" t="s">
        <v>3974</v>
      </c>
      <c r="AB74" s="9">
        <v>45503</v>
      </c>
      <c r="AC74" s="3" t="s">
        <v>131</v>
      </c>
      <c r="AD74" s="3"/>
    </row>
    <row r="75" spans="1:30" hidden="1">
      <c r="A75" s="3" t="s">
        <v>74</v>
      </c>
      <c r="B75" s="4">
        <v>45505</v>
      </c>
      <c r="C75" s="3" t="s">
        <v>45</v>
      </c>
      <c r="D75" s="3" t="s">
        <v>847</v>
      </c>
      <c r="E75" s="3" t="s">
        <v>848</v>
      </c>
      <c r="F75" s="3" t="s">
        <v>4010</v>
      </c>
      <c r="G75" s="3" t="s">
        <v>4011</v>
      </c>
      <c r="H75" s="3"/>
      <c r="I75" s="3" t="s">
        <v>51</v>
      </c>
      <c r="J75" s="6">
        <v>45324</v>
      </c>
      <c r="K75" s="6"/>
      <c r="L75" s="6">
        <v>45324</v>
      </c>
      <c r="M75" s="6">
        <v>45505</v>
      </c>
      <c r="N75" s="3" t="s">
        <v>52</v>
      </c>
      <c r="O75" s="3" t="s">
        <v>3858</v>
      </c>
      <c r="P75" s="7">
        <v>360</v>
      </c>
      <c r="Q75" s="7">
        <v>30</v>
      </c>
      <c r="R75" s="8">
        <v>360</v>
      </c>
      <c r="S75" s="7">
        <v>480</v>
      </c>
      <c r="T75" s="8">
        <v>360</v>
      </c>
      <c r="U75" s="3">
        <v>360</v>
      </c>
      <c r="V75" s="3" t="s">
        <v>54</v>
      </c>
      <c r="W75" s="3">
        <v>0</v>
      </c>
      <c r="X75" s="3" t="s">
        <v>131</v>
      </c>
      <c r="Y75" s="3" t="s">
        <v>131</v>
      </c>
      <c r="Z75" s="3" t="s">
        <v>131</v>
      </c>
      <c r="AA75" s="3" t="s">
        <v>3974</v>
      </c>
      <c r="AB75" s="9">
        <v>45505</v>
      </c>
      <c r="AC75" s="3" t="s">
        <v>131</v>
      </c>
      <c r="AD75" s="3"/>
    </row>
    <row r="76" spans="1:30" hidden="1">
      <c r="A76" s="3" t="s">
        <v>74</v>
      </c>
      <c r="B76" s="4">
        <v>45509</v>
      </c>
      <c r="C76" s="3" t="s">
        <v>45</v>
      </c>
      <c r="D76" s="3" t="s">
        <v>847</v>
      </c>
      <c r="E76" s="3" t="s">
        <v>848</v>
      </c>
      <c r="F76" s="3" t="s">
        <v>4012</v>
      </c>
      <c r="G76" s="3" t="s">
        <v>1669</v>
      </c>
      <c r="H76" s="3"/>
      <c r="I76" s="3" t="s">
        <v>51</v>
      </c>
      <c r="J76" s="6">
        <v>45328</v>
      </c>
      <c r="K76" s="6"/>
      <c r="L76" s="6">
        <v>45328</v>
      </c>
      <c r="M76" s="6">
        <v>45509</v>
      </c>
      <c r="N76" s="3" t="s">
        <v>52</v>
      </c>
      <c r="O76" s="3" t="s">
        <v>3858</v>
      </c>
      <c r="P76" s="7">
        <v>360</v>
      </c>
      <c r="Q76" s="7">
        <v>30</v>
      </c>
      <c r="R76" s="8">
        <v>480</v>
      </c>
      <c r="S76" s="7">
        <v>480</v>
      </c>
      <c r="T76" s="8">
        <v>480</v>
      </c>
      <c r="U76" s="3">
        <v>360</v>
      </c>
      <c r="V76" s="3" t="s">
        <v>54</v>
      </c>
      <c r="W76" s="3">
        <v>0</v>
      </c>
      <c r="X76" s="3" t="s">
        <v>131</v>
      </c>
      <c r="Y76" s="3" t="s">
        <v>131</v>
      </c>
      <c r="Z76" s="3" t="s">
        <v>131</v>
      </c>
      <c r="AA76" s="3" t="s">
        <v>3974</v>
      </c>
      <c r="AB76" s="9">
        <v>45509</v>
      </c>
      <c r="AC76" s="3" t="s">
        <v>131</v>
      </c>
      <c r="AD76" s="3"/>
    </row>
    <row r="77" spans="1:30" hidden="1">
      <c r="A77" s="3" t="s">
        <v>74</v>
      </c>
      <c r="B77" s="4">
        <v>45512</v>
      </c>
      <c r="C77" s="3" t="s">
        <v>45</v>
      </c>
      <c r="D77" s="3" t="s">
        <v>847</v>
      </c>
      <c r="E77" s="3" t="s">
        <v>848</v>
      </c>
      <c r="F77" s="3" t="s">
        <v>4013</v>
      </c>
      <c r="G77" s="3" t="s">
        <v>4014</v>
      </c>
      <c r="H77" s="3"/>
      <c r="I77" s="3" t="s">
        <v>51</v>
      </c>
      <c r="J77" s="6">
        <v>45331</v>
      </c>
      <c r="K77" s="6"/>
      <c r="L77" s="6">
        <v>45331</v>
      </c>
      <c r="M77" s="6">
        <v>45512</v>
      </c>
      <c r="N77" s="3" t="s">
        <v>52</v>
      </c>
      <c r="O77" s="3" t="s">
        <v>3858</v>
      </c>
      <c r="P77" s="7">
        <v>360</v>
      </c>
      <c r="Q77" s="7">
        <v>30</v>
      </c>
      <c r="R77" s="8">
        <v>600</v>
      </c>
      <c r="S77" s="7">
        <v>600</v>
      </c>
      <c r="T77" s="8">
        <v>600</v>
      </c>
      <c r="U77" s="3">
        <v>360</v>
      </c>
      <c r="V77" s="3" t="s">
        <v>54</v>
      </c>
      <c r="W77" s="3">
        <v>0</v>
      </c>
      <c r="X77" s="3" t="s">
        <v>131</v>
      </c>
      <c r="Y77" s="3" t="s">
        <v>131</v>
      </c>
      <c r="Z77" s="3" t="s">
        <v>131</v>
      </c>
      <c r="AA77" s="3" t="s">
        <v>3974</v>
      </c>
      <c r="AB77" s="9">
        <v>45512</v>
      </c>
      <c r="AC77" s="3" t="s">
        <v>131</v>
      </c>
      <c r="AD77" s="3"/>
    </row>
    <row r="78" spans="1:30" hidden="1">
      <c r="A78" s="3" t="s">
        <v>74</v>
      </c>
      <c r="B78" s="4">
        <v>45515</v>
      </c>
      <c r="C78" s="3" t="s">
        <v>45</v>
      </c>
      <c r="D78" s="3" t="s">
        <v>847</v>
      </c>
      <c r="E78" s="3" t="s">
        <v>848</v>
      </c>
      <c r="F78" s="3" t="s">
        <v>4015</v>
      </c>
      <c r="G78" s="3" t="s">
        <v>1499</v>
      </c>
      <c r="H78" s="3"/>
      <c r="I78" s="3" t="s">
        <v>51</v>
      </c>
      <c r="J78" s="6">
        <v>45149</v>
      </c>
      <c r="K78" s="6"/>
      <c r="L78" s="6">
        <v>45149</v>
      </c>
      <c r="M78" s="6">
        <v>45514</v>
      </c>
      <c r="N78" s="3" t="s">
        <v>52</v>
      </c>
      <c r="O78" s="3" t="s">
        <v>3858</v>
      </c>
      <c r="P78" s="7">
        <v>360</v>
      </c>
      <c r="Q78" s="7">
        <v>30</v>
      </c>
      <c r="R78" s="8">
        <v>360</v>
      </c>
      <c r="S78" s="7">
        <v>600</v>
      </c>
      <c r="T78" s="8">
        <v>360</v>
      </c>
      <c r="U78" s="3">
        <v>360</v>
      </c>
      <c r="V78" s="3" t="s">
        <v>250</v>
      </c>
      <c r="W78" s="3">
        <v>0</v>
      </c>
      <c r="X78" s="3" t="s">
        <v>131</v>
      </c>
      <c r="Y78" s="3" t="s">
        <v>131</v>
      </c>
      <c r="Z78" s="3" t="s">
        <v>131</v>
      </c>
      <c r="AA78" s="3" t="s">
        <v>3974</v>
      </c>
      <c r="AB78" s="9">
        <v>45515</v>
      </c>
      <c r="AC78" s="3" t="s">
        <v>131</v>
      </c>
      <c r="AD78" s="3"/>
    </row>
    <row r="79" spans="1:30" hidden="1">
      <c r="A79" s="3" t="s">
        <v>74</v>
      </c>
      <c r="B79" s="4">
        <v>45516</v>
      </c>
      <c r="C79" s="3" t="s">
        <v>45</v>
      </c>
      <c r="D79" s="3" t="s">
        <v>847</v>
      </c>
      <c r="E79" s="3" t="s">
        <v>848</v>
      </c>
      <c r="F79" s="3" t="s">
        <v>4016</v>
      </c>
      <c r="G79" s="3" t="s">
        <v>4017</v>
      </c>
      <c r="H79" s="3"/>
      <c r="I79" s="3" t="s">
        <v>51</v>
      </c>
      <c r="J79" s="6">
        <v>45084</v>
      </c>
      <c r="K79" s="6"/>
      <c r="L79" s="6">
        <v>45364</v>
      </c>
      <c r="M79" s="6">
        <v>45516</v>
      </c>
      <c r="N79" s="3" t="s">
        <v>52</v>
      </c>
      <c r="O79" s="3" t="s">
        <v>3858</v>
      </c>
      <c r="P79" s="7">
        <v>360</v>
      </c>
      <c r="Q79" s="7">
        <v>30</v>
      </c>
      <c r="R79" s="8">
        <v>360</v>
      </c>
      <c r="S79" s="7">
        <v>1200</v>
      </c>
      <c r="T79" s="8">
        <v>600</v>
      </c>
      <c r="U79" s="3">
        <v>360</v>
      </c>
      <c r="V79" s="3" t="s">
        <v>250</v>
      </c>
      <c r="W79" s="3">
        <v>0</v>
      </c>
      <c r="X79" s="3" t="s">
        <v>131</v>
      </c>
      <c r="Y79" s="3" t="s">
        <v>131</v>
      </c>
      <c r="Z79" s="3" t="s">
        <v>131</v>
      </c>
      <c r="AA79" s="3" t="s">
        <v>4018</v>
      </c>
      <c r="AB79" s="9">
        <v>45516</v>
      </c>
      <c r="AC79" s="3" t="s">
        <v>131</v>
      </c>
      <c r="AD79" s="3"/>
    </row>
    <row r="80" spans="1:30" hidden="1">
      <c r="A80" s="3" t="s">
        <v>74</v>
      </c>
      <c r="B80" s="4">
        <v>45516</v>
      </c>
      <c r="C80" s="3" t="s">
        <v>45</v>
      </c>
      <c r="D80" s="3" t="s">
        <v>847</v>
      </c>
      <c r="E80" s="3" t="s">
        <v>848</v>
      </c>
      <c r="F80" s="3" t="s">
        <v>4016</v>
      </c>
      <c r="G80" s="3" t="s">
        <v>4011</v>
      </c>
      <c r="H80" s="3"/>
      <c r="I80" s="3" t="s">
        <v>51</v>
      </c>
      <c r="J80" s="6">
        <v>45364</v>
      </c>
      <c r="K80" s="6"/>
      <c r="L80" s="6">
        <v>45364</v>
      </c>
      <c r="M80" s="6">
        <v>45516</v>
      </c>
      <c r="N80" s="3" t="s">
        <v>52</v>
      </c>
      <c r="O80" s="3" t="s">
        <v>3858</v>
      </c>
      <c r="P80" s="7">
        <v>360</v>
      </c>
      <c r="Q80" s="7">
        <v>30</v>
      </c>
      <c r="R80" s="8">
        <v>360</v>
      </c>
      <c r="S80" s="7">
        <v>1200</v>
      </c>
      <c r="T80" s="8">
        <v>600</v>
      </c>
      <c r="U80" s="3">
        <v>360</v>
      </c>
      <c r="V80" s="3" t="s">
        <v>54</v>
      </c>
      <c r="W80" s="3">
        <v>0</v>
      </c>
      <c r="X80" s="3" t="s">
        <v>131</v>
      </c>
      <c r="Y80" s="3" t="s">
        <v>131</v>
      </c>
      <c r="Z80" s="3" t="s">
        <v>131</v>
      </c>
      <c r="AA80" s="3" t="s">
        <v>4018</v>
      </c>
      <c r="AB80" s="9">
        <v>45516</v>
      </c>
      <c r="AC80" s="3" t="s">
        <v>131</v>
      </c>
      <c r="AD80" s="3"/>
    </row>
    <row r="81" spans="1:30" hidden="1">
      <c r="A81" s="3" t="s">
        <v>74</v>
      </c>
      <c r="B81" s="4">
        <v>45526</v>
      </c>
      <c r="C81" s="3" t="s">
        <v>45</v>
      </c>
      <c r="D81" s="3" t="s">
        <v>847</v>
      </c>
      <c r="E81" s="3" t="s">
        <v>848</v>
      </c>
      <c r="F81" s="3" t="s">
        <v>4019</v>
      </c>
      <c r="G81" s="3" t="s">
        <v>4020</v>
      </c>
      <c r="H81" s="3"/>
      <c r="I81" s="3" t="s">
        <v>51</v>
      </c>
      <c r="J81" s="6">
        <v>45314</v>
      </c>
      <c r="K81" s="6"/>
      <c r="L81" s="6">
        <v>45314</v>
      </c>
      <c r="M81" s="6">
        <v>45526</v>
      </c>
      <c r="N81" s="3" t="s">
        <v>52</v>
      </c>
      <c r="O81" s="3" t="s">
        <v>3858</v>
      </c>
      <c r="P81" s="7">
        <v>360</v>
      </c>
      <c r="Q81" s="7">
        <v>30</v>
      </c>
      <c r="R81" s="8">
        <v>360</v>
      </c>
      <c r="S81" s="7">
        <v>600</v>
      </c>
      <c r="T81" s="8">
        <v>360</v>
      </c>
      <c r="U81" s="3">
        <v>360</v>
      </c>
      <c r="V81" s="3" t="s">
        <v>54</v>
      </c>
      <c r="W81" s="3">
        <v>0</v>
      </c>
      <c r="X81" s="3" t="s">
        <v>131</v>
      </c>
      <c r="Y81" s="3" t="s">
        <v>131</v>
      </c>
      <c r="Z81" s="3" t="s">
        <v>131</v>
      </c>
      <c r="AA81" s="3" t="s">
        <v>3974</v>
      </c>
      <c r="AB81" s="9">
        <v>45526</v>
      </c>
      <c r="AC81" s="3" t="s">
        <v>131</v>
      </c>
      <c r="AD81" s="3"/>
    </row>
    <row r="82" spans="1:30" hidden="1">
      <c r="A82" s="3" t="s">
        <v>74</v>
      </c>
      <c r="B82" s="4">
        <v>45527</v>
      </c>
      <c r="C82" s="3" t="s">
        <v>45</v>
      </c>
      <c r="D82" s="3" t="s">
        <v>847</v>
      </c>
      <c r="E82" s="3" t="s">
        <v>848</v>
      </c>
      <c r="F82" s="3" t="s">
        <v>4021</v>
      </c>
      <c r="G82" s="3" t="s">
        <v>4022</v>
      </c>
      <c r="H82" s="3"/>
      <c r="I82" s="3" t="s">
        <v>51</v>
      </c>
      <c r="J82" s="6">
        <v>45315</v>
      </c>
      <c r="K82" s="6"/>
      <c r="L82" s="6">
        <v>45315</v>
      </c>
      <c r="M82" s="6">
        <v>45527</v>
      </c>
      <c r="N82" s="3" t="s">
        <v>52</v>
      </c>
      <c r="O82" s="3" t="s">
        <v>3858</v>
      </c>
      <c r="P82" s="7">
        <v>360</v>
      </c>
      <c r="Q82" s="7">
        <v>30</v>
      </c>
      <c r="R82" s="8">
        <v>480</v>
      </c>
      <c r="S82" s="7">
        <v>480</v>
      </c>
      <c r="T82" s="8">
        <v>480</v>
      </c>
      <c r="U82" s="3">
        <v>360</v>
      </c>
      <c r="V82" s="3" t="s">
        <v>54</v>
      </c>
      <c r="W82" s="3">
        <v>0</v>
      </c>
      <c r="X82" s="3" t="s">
        <v>131</v>
      </c>
      <c r="Y82" s="3" t="s">
        <v>131</v>
      </c>
      <c r="Z82" s="3" t="s">
        <v>131</v>
      </c>
      <c r="AA82" s="3" t="s">
        <v>3974</v>
      </c>
      <c r="AB82" s="9">
        <v>45527</v>
      </c>
      <c r="AC82" s="3" t="s">
        <v>131</v>
      </c>
      <c r="AD82" s="3"/>
    </row>
    <row r="83" spans="1:30" hidden="1">
      <c r="A83" s="3" t="s">
        <v>74</v>
      </c>
      <c r="B83" s="4">
        <v>45527</v>
      </c>
      <c r="C83" s="3" t="s">
        <v>45</v>
      </c>
      <c r="D83" s="3" t="s">
        <v>847</v>
      </c>
      <c r="E83" s="3" t="s">
        <v>848</v>
      </c>
      <c r="F83" s="3" t="s">
        <v>4023</v>
      </c>
      <c r="G83" s="3" t="s">
        <v>4024</v>
      </c>
      <c r="H83" s="3"/>
      <c r="I83" s="3" t="s">
        <v>51</v>
      </c>
      <c r="J83" s="6">
        <v>45315</v>
      </c>
      <c r="K83" s="6"/>
      <c r="L83" s="6">
        <v>45315</v>
      </c>
      <c r="M83" s="6">
        <v>45527</v>
      </c>
      <c r="N83" s="3" t="s">
        <v>52</v>
      </c>
      <c r="O83" s="3" t="s">
        <v>3858</v>
      </c>
      <c r="P83" s="7">
        <v>360</v>
      </c>
      <c r="Q83" s="7">
        <v>30</v>
      </c>
      <c r="R83" s="8">
        <v>480</v>
      </c>
      <c r="S83" s="7">
        <v>480</v>
      </c>
      <c r="T83" s="8">
        <v>480</v>
      </c>
      <c r="U83" s="3">
        <v>360</v>
      </c>
      <c r="V83" s="3" t="s">
        <v>54</v>
      </c>
      <c r="W83" s="3">
        <v>0</v>
      </c>
      <c r="X83" s="3" t="s">
        <v>131</v>
      </c>
      <c r="Y83" s="3" t="s">
        <v>131</v>
      </c>
      <c r="Z83" s="3" t="s">
        <v>131</v>
      </c>
      <c r="AA83" s="3" t="s">
        <v>3974</v>
      </c>
      <c r="AB83" s="9">
        <v>45527</v>
      </c>
      <c r="AC83" s="3" t="s">
        <v>131</v>
      </c>
      <c r="AD83" s="3"/>
    </row>
    <row r="84" spans="1:30" hidden="1">
      <c r="A84" s="3" t="s">
        <v>74</v>
      </c>
      <c r="B84" s="4">
        <v>45530</v>
      </c>
      <c r="C84" s="3" t="s">
        <v>45</v>
      </c>
      <c r="D84" s="3" t="s">
        <v>847</v>
      </c>
      <c r="E84" s="3" t="s">
        <v>848</v>
      </c>
      <c r="F84" s="3" t="s">
        <v>4025</v>
      </c>
      <c r="G84" s="3" t="s">
        <v>4026</v>
      </c>
      <c r="H84" s="3"/>
      <c r="I84" s="3" t="s">
        <v>51</v>
      </c>
      <c r="J84" s="6">
        <v>45349</v>
      </c>
      <c r="K84" s="6"/>
      <c r="L84" s="6">
        <v>45349</v>
      </c>
      <c r="M84" s="6">
        <v>45530</v>
      </c>
      <c r="N84" s="3" t="s">
        <v>52</v>
      </c>
      <c r="O84" s="3" t="s">
        <v>3858</v>
      </c>
      <c r="P84" s="7">
        <v>360</v>
      </c>
      <c r="Q84" s="7">
        <v>30</v>
      </c>
      <c r="R84" s="8">
        <v>360</v>
      </c>
      <c r="S84" s="7">
        <v>600</v>
      </c>
      <c r="T84" s="8">
        <v>360</v>
      </c>
      <c r="U84" s="3">
        <v>360</v>
      </c>
      <c r="V84" s="3" t="s">
        <v>250</v>
      </c>
      <c r="W84" s="3">
        <v>0</v>
      </c>
      <c r="X84" s="3" t="s">
        <v>131</v>
      </c>
      <c r="Y84" s="3" t="s">
        <v>131</v>
      </c>
      <c r="Z84" s="3" t="s">
        <v>131</v>
      </c>
      <c r="AA84" s="3" t="s">
        <v>4018</v>
      </c>
      <c r="AB84" s="9">
        <v>45530</v>
      </c>
      <c r="AC84" s="3" t="s">
        <v>131</v>
      </c>
      <c r="AD84" s="3"/>
    </row>
    <row r="85" spans="1:30" hidden="1">
      <c r="A85" s="3" t="s">
        <v>74</v>
      </c>
      <c r="B85" s="4">
        <v>45535</v>
      </c>
      <c r="C85" s="3" t="s">
        <v>45</v>
      </c>
      <c r="D85" s="3" t="s">
        <v>847</v>
      </c>
      <c r="E85" s="3" t="s">
        <v>848</v>
      </c>
      <c r="F85" s="3" t="s">
        <v>4027</v>
      </c>
      <c r="G85" s="3" t="s">
        <v>3369</v>
      </c>
      <c r="H85" s="3"/>
      <c r="I85" s="3" t="s">
        <v>51</v>
      </c>
      <c r="J85" s="6">
        <v>45352</v>
      </c>
      <c r="K85" s="6"/>
      <c r="L85" s="6">
        <v>45352</v>
      </c>
      <c r="M85" s="6">
        <v>45535</v>
      </c>
      <c r="N85" s="3" t="s">
        <v>52</v>
      </c>
      <c r="O85" s="3" t="s">
        <v>3858</v>
      </c>
      <c r="P85" s="7">
        <v>360</v>
      </c>
      <c r="Q85" s="7">
        <v>30</v>
      </c>
      <c r="R85" s="8">
        <v>600</v>
      </c>
      <c r="S85" s="7">
        <v>600</v>
      </c>
      <c r="T85" s="8">
        <v>636</v>
      </c>
      <c r="U85" s="3">
        <v>360</v>
      </c>
      <c r="V85" s="3" t="s">
        <v>54</v>
      </c>
      <c r="W85" s="3">
        <v>0</v>
      </c>
      <c r="X85" s="3" t="s">
        <v>131</v>
      </c>
      <c r="Y85" s="3" t="s">
        <v>131</v>
      </c>
      <c r="Z85" s="3" t="s">
        <v>131</v>
      </c>
      <c r="AA85" s="3" t="s">
        <v>4018</v>
      </c>
      <c r="AB85" s="9">
        <v>45992</v>
      </c>
      <c r="AC85" s="3" t="s">
        <v>131</v>
      </c>
      <c r="AD85" s="3"/>
    </row>
    <row r="86" spans="1:30">
      <c r="A86" s="3" t="s">
        <v>44</v>
      </c>
      <c r="B86" s="4">
        <v>45477</v>
      </c>
      <c r="C86" s="3" t="s">
        <v>109</v>
      </c>
      <c r="D86" s="3" t="s">
        <v>110</v>
      </c>
      <c r="E86" s="5" t="s">
        <v>111</v>
      </c>
      <c r="F86" s="3" t="s">
        <v>4028</v>
      </c>
      <c r="G86" s="3" t="s">
        <v>2208</v>
      </c>
      <c r="H86" s="3"/>
      <c r="I86" s="3" t="s">
        <v>51</v>
      </c>
      <c r="J86" s="6">
        <v>44382</v>
      </c>
      <c r="K86" s="6"/>
      <c r="L86" s="6">
        <v>45112</v>
      </c>
      <c r="M86" s="6">
        <v>45477</v>
      </c>
      <c r="N86" s="3" t="s">
        <v>64</v>
      </c>
      <c r="O86" s="3" t="s">
        <v>3858</v>
      </c>
      <c r="P86" s="7">
        <v>1200</v>
      </c>
      <c r="Q86" s="7">
        <v>100</v>
      </c>
      <c r="R86" s="8">
        <v>1200</v>
      </c>
      <c r="S86" s="7">
        <v>1200</v>
      </c>
      <c r="T86" s="8">
        <v>1200</v>
      </c>
      <c r="U86" s="3">
        <v>1200</v>
      </c>
      <c r="V86" s="3" t="s">
        <v>54</v>
      </c>
      <c r="W86" s="3">
        <v>0</v>
      </c>
      <c r="X86" s="3" t="s">
        <v>131</v>
      </c>
      <c r="Y86" s="3" t="s">
        <v>131</v>
      </c>
      <c r="Z86" s="3" t="s">
        <v>3919</v>
      </c>
      <c r="AA86" s="3" t="s">
        <v>4029</v>
      </c>
      <c r="AB86" s="9">
        <v>45477</v>
      </c>
      <c r="AC86" s="3" t="s">
        <v>131</v>
      </c>
      <c r="AD86" s="3"/>
    </row>
    <row r="87" spans="1:30">
      <c r="A87" s="3" t="s">
        <v>44</v>
      </c>
      <c r="B87" s="4">
        <v>45480</v>
      </c>
      <c r="C87" s="3" t="s">
        <v>109</v>
      </c>
      <c r="D87" s="3" t="s">
        <v>110</v>
      </c>
      <c r="E87" s="5" t="s">
        <v>111</v>
      </c>
      <c r="F87" s="3" t="s">
        <v>4030</v>
      </c>
      <c r="G87" s="3" t="s">
        <v>4031</v>
      </c>
      <c r="H87" s="3"/>
      <c r="I87" s="3" t="s">
        <v>51</v>
      </c>
      <c r="J87" s="6">
        <v>44355</v>
      </c>
      <c r="K87" s="6"/>
      <c r="L87" s="6">
        <v>45115</v>
      </c>
      <c r="M87" s="6">
        <v>45480</v>
      </c>
      <c r="N87" s="3" t="s">
        <v>64</v>
      </c>
      <c r="O87" s="3" t="s">
        <v>3858</v>
      </c>
      <c r="P87" s="7">
        <v>1200</v>
      </c>
      <c r="Q87" s="7">
        <v>100</v>
      </c>
      <c r="R87" s="8">
        <v>1200</v>
      </c>
      <c r="S87" s="7">
        <v>1200</v>
      </c>
      <c r="T87" s="8">
        <v>1200</v>
      </c>
      <c r="U87" s="3">
        <v>1200</v>
      </c>
      <c r="V87" s="3" t="s">
        <v>54</v>
      </c>
      <c r="W87" s="3">
        <v>0</v>
      </c>
      <c r="X87" s="3" t="s">
        <v>131</v>
      </c>
      <c r="Y87" s="3" t="s">
        <v>131</v>
      </c>
      <c r="Z87" s="3" t="s">
        <v>3919</v>
      </c>
      <c r="AA87" s="3" t="s">
        <v>4029</v>
      </c>
      <c r="AB87" s="9">
        <v>45480</v>
      </c>
      <c r="AC87" s="3" t="s">
        <v>131</v>
      </c>
      <c r="AD87" s="3"/>
    </row>
    <row r="88" spans="1:30" hidden="1">
      <c r="A88" s="3" t="s">
        <v>44</v>
      </c>
      <c r="B88" s="4">
        <v>45483</v>
      </c>
      <c r="C88" s="3" t="s">
        <v>109</v>
      </c>
      <c r="D88" s="3" t="s">
        <v>110</v>
      </c>
      <c r="E88" s="5" t="s">
        <v>111</v>
      </c>
      <c r="F88" s="3" t="s">
        <v>4032</v>
      </c>
      <c r="G88" s="3" t="s">
        <v>4033</v>
      </c>
      <c r="H88" s="3"/>
      <c r="I88" s="3" t="s">
        <v>51</v>
      </c>
      <c r="J88" s="6">
        <v>45118</v>
      </c>
      <c r="K88" s="6"/>
      <c r="L88" s="6">
        <v>45118</v>
      </c>
      <c r="M88" s="6">
        <v>45483</v>
      </c>
      <c r="N88" s="3" t="s">
        <v>52</v>
      </c>
      <c r="O88" s="3" t="s">
        <v>3858</v>
      </c>
      <c r="P88" s="7">
        <v>1200</v>
      </c>
      <c r="Q88" s="7">
        <v>100</v>
      </c>
      <c r="R88" s="8">
        <v>1200</v>
      </c>
      <c r="S88" s="7">
        <v>1260</v>
      </c>
      <c r="T88" s="8">
        <v>1200</v>
      </c>
      <c r="U88" s="3">
        <v>1200</v>
      </c>
      <c r="V88" s="3" t="s">
        <v>54</v>
      </c>
      <c r="W88" s="3">
        <v>0</v>
      </c>
      <c r="X88" s="3" t="s">
        <v>131</v>
      </c>
      <c r="Y88" s="3" t="s">
        <v>131</v>
      </c>
      <c r="Z88" s="3" t="s">
        <v>3919</v>
      </c>
      <c r="AA88" s="3" t="s">
        <v>4029</v>
      </c>
      <c r="AB88" s="9">
        <v>45483</v>
      </c>
      <c r="AC88" s="3" t="s">
        <v>131</v>
      </c>
      <c r="AD88" s="3"/>
    </row>
    <row r="89" spans="1:30">
      <c r="A89" s="3" t="s">
        <v>44</v>
      </c>
      <c r="B89" s="4">
        <v>45485</v>
      </c>
      <c r="C89" s="3" t="s">
        <v>109</v>
      </c>
      <c r="D89" s="3" t="s">
        <v>110</v>
      </c>
      <c r="E89" s="5" t="s">
        <v>111</v>
      </c>
      <c r="F89" s="3" t="s">
        <v>4034</v>
      </c>
      <c r="G89" s="3" t="s">
        <v>2201</v>
      </c>
      <c r="H89" s="3"/>
      <c r="I89" s="3" t="s">
        <v>51</v>
      </c>
      <c r="J89" s="6">
        <v>44390</v>
      </c>
      <c r="K89" s="6"/>
      <c r="L89" s="6">
        <v>45120</v>
      </c>
      <c r="M89" s="6">
        <v>45485</v>
      </c>
      <c r="N89" s="3" t="s">
        <v>64</v>
      </c>
      <c r="O89" s="3" t="s">
        <v>3858</v>
      </c>
      <c r="P89" s="7">
        <v>1200</v>
      </c>
      <c r="Q89" s="7">
        <v>100</v>
      </c>
      <c r="R89" s="8">
        <v>1260</v>
      </c>
      <c r="S89" s="7">
        <v>1260</v>
      </c>
      <c r="T89" s="8">
        <v>1260</v>
      </c>
      <c r="U89" s="3">
        <v>1200</v>
      </c>
      <c r="V89" s="3" t="s">
        <v>250</v>
      </c>
      <c r="W89" s="3">
        <v>0</v>
      </c>
      <c r="X89" s="3" t="s">
        <v>131</v>
      </c>
      <c r="Y89" s="3" t="s">
        <v>131</v>
      </c>
      <c r="Z89" s="3" t="s">
        <v>3919</v>
      </c>
      <c r="AA89" s="3" t="s">
        <v>4029</v>
      </c>
      <c r="AB89" s="9">
        <v>45485</v>
      </c>
      <c r="AC89" s="3" t="s">
        <v>131</v>
      </c>
      <c r="AD89" s="3"/>
    </row>
    <row r="90" spans="1:30" hidden="1">
      <c r="A90" s="3" t="s">
        <v>44</v>
      </c>
      <c r="B90" s="4">
        <v>45503</v>
      </c>
      <c r="C90" s="3" t="s">
        <v>109</v>
      </c>
      <c r="D90" s="3" t="s">
        <v>110</v>
      </c>
      <c r="E90" s="5" t="s">
        <v>111</v>
      </c>
      <c r="F90" s="3" t="s">
        <v>4035</v>
      </c>
      <c r="G90" s="3" t="s">
        <v>4036</v>
      </c>
      <c r="H90" s="3"/>
      <c r="I90" s="3" t="s">
        <v>51</v>
      </c>
      <c r="J90" s="6">
        <v>45138</v>
      </c>
      <c r="K90" s="6"/>
      <c r="L90" s="6">
        <v>45138</v>
      </c>
      <c r="M90" s="6">
        <v>45503</v>
      </c>
      <c r="N90" s="3" t="s">
        <v>52</v>
      </c>
      <c r="O90" s="3" t="s">
        <v>3858</v>
      </c>
      <c r="P90" s="7">
        <v>1200</v>
      </c>
      <c r="Q90" s="7">
        <v>100</v>
      </c>
      <c r="R90" s="8">
        <v>1200</v>
      </c>
      <c r="S90" s="7">
        <v>1260</v>
      </c>
      <c r="T90" s="8">
        <v>1200</v>
      </c>
      <c r="U90" s="3">
        <v>1200</v>
      </c>
      <c r="V90" s="3" t="s">
        <v>54</v>
      </c>
      <c r="W90" s="3">
        <v>0</v>
      </c>
      <c r="X90" s="3" t="s">
        <v>131</v>
      </c>
      <c r="Y90" s="3" t="s">
        <v>131</v>
      </c>
      <c r="Z90" s="3" t="s">
        <v>3919</v>
      </c>
      <c r="AA90" s="3" t="s">
        <v>4029</v>
      </c>
      <c r="AB90" s="9">
        <v>45503</v>
      </c>
      <c r="AC90" s="3" t="s">
        <v>131</v>
      </c>
      <c r="AD90" s="3"/>
    </row>
    <row r="91" spans="1:30">
      <c r="A91" s="3" t="s">
        <v>44</v>
      </c>
      <c r="B91" s="4">
        <v>45511</v>
      </c>
      <c r="C91" s="3" t="s">
        <v>109</v>
      </c>
      <c r="D91" s="3" t="s">
        <v>110</v>
      </c>
      <c r="E91" s="5" t="s">
        <v>111</v>
      </c>
      <c r="F91" s="3" t="s">
        <v>4037</v>
      </c>
      <c r="G91" s="3" t="s">
        <v>4038</v>
      </c>
      <c r="H91" s="3"/>
      <c r="I91" s="3" t="s">
        <v>51</v>
      </c>
      <c r="J91" s="6">
        <v>44750</v>
      </c>
      <c r="K91" s="6"/>
      <c r="L91" s="6">
        <v>45115</v>
      </c>
      <c r="M91" s="6">
        <v>45511</v>
      </c>
      <c r="N91" s="3" t="s">
        <v>64</v>
      </c>
      <c r="O91" s="3" t="s">
        <v>3858</v>
      </c>
      <c r="P91" s="7">
        <v>1200</v>
      </c>
      <c r="Q91" s="7">
        <v>100</v>
      </c>
      <c r="R91" s="8">
        <v>1200</v>
      </c>
      <c r="S91" s="7">
        <v>1200</v>
      </c>
      <c r="T91" s="8">
        <v>1200</v>
      </c>
      <c r="U91" s="3">
        <v>1200</v>
      </c>
      <c r="V91" s="3" t="s">
        <v>54</v>
      </c>
      <c r="W91" s="3">
        <v>0</v>
      </c>
      <c r="X91" s="3" t="s">
        <v>131</v>
      </c>
      <c r="Y91" s="3" t="s">
        <v>131</v>
      </c>
      <c r="Z91" s="3" t="s">
        <v>3919</v>
      </c>
      <c r="AA91" s="3" t="s">
        <v>4029</v>
      </c>
      <c r="AB91" s="9">
        <v>45511</v>
      </c>
      <c r="AC91" s="3" t="s">
        <v>131</v>
      </c>
      <c r="AD91" s="3"/>
    </row>
    <row r="92" spans="1:30">
      <c r="A92" s="3" t="s">
        <v>44</v>
      </c>
      <c r="B92" s="4">
        <v>45513</v>
      </c>
      <c r="C92" s="3" t="s">
        <v>109</v>
      </c>
      <c r="D92" s="3" t="s">
        <v>110</v>
      </c>
      <c r="E92" s="5" t="s">
        <v>111</v>
      </c>
      <c r="F92" s="3" t="s">
        <v>4039</v>
      </c>
      <c r="G92" s="3" t="s">
        <v>1598</v>
      </c>
      <c r="H92" s="3"/>
      <c r="I92" s="3" t="s">
        <v>51</v>
      </c>
      <c r="J92" s="6">
        <v>44783</v>
      </c>
      <c r="K92" s="6"/>
      <c r="L92" s="6">
        <v>45148</v>
      </c>
      <c r="M92" s="6">
        <v>45513</v>
      </c>
      <c r="N92" s="3" t="s">
        <v>64</v>
      </c>
      <c r="O92" s="3" t="s">
        <v>3858</v>
      </c>
      <c r="P92" s="7">
        <v>1200</v>
      </c>
      <c r="Q92" s="7">
        <v>100</v>
      </c>
      <c r="R92" s="8">
        <v>1200</v>
      </c>
      <c r="S92" s="7">
        <v>1200</v>
      </c>
      <c r="T92" s="8">
        <v>1200</v>
      </c>
      <c r="U92" s="3">
        <v>1200</v>
      </c>
      <c r="V92" s="3" t="s">
        <v>54</v>
      </c>
      <c r="W92" s="3">
        <v>0</v>
      </c>
      <c r="X92" s="3" t="s">
        <v>131</v>
      </c>
      <c r="Y92" s="3" t="s">
        <v>131</v>
      </c>
      <c r="Z92" s="3" t="s">
        <v>3919</v>
      </c>
      <c r="AA92" s="3" t="s">
        <v>4029</v>
      </c>
      <c r="AB92" s="9">
        <v>45513</v>
      </c>
      <c r="AC92" s="3" t="s">
        <v>131</v>
      </c>
      <c r="AD92" s="3"/>
    </row>
    <row r="93" spans="1:30">
      <c r="A93" s="3" t="s">
        <v>44</v>
      </c>
      <c r="B93" s="4">
        <v>45515</v>
      </c>
      <c r="C93" s="3" t="s">
        <v>109</v>
      </c>
      <c r="D93" s="3" t="s">
        <v>110</v>
      </c>
      <c r="E93" s="5" t="s">
        <v>111</v>
      </c>
      <c r="F93" s="3" t="s">
        <v>4040</v>
      </c>
      <c r="G93" s="3" t="s">
        <v>4041</v>
      </c>
      <c r="H93" s="3"/>
      <c r="I93" s="3" t="s">
        <v>51</v>
      </c>
      <c r="J93" s="6">
        <v>44785</v>
      </c>
      <c r="K93" s="6"/>
      <c r="L93" s="6">
        <v>45150</v>
      </c>
      <c r="M93" s="6">
        <v>45515</v>
      </c>
      <c r="N93" s="3" t="s">
        <v>64</v>
      </c>
      <c r="O93" s="3" t="s">
        <v>3858</v>
      </c>
      <c r="P93" s="7">
        <v>1200</v>
      </c>
      <c r="Q93" s="7">
        <v>100</v>
      </c>
      <c r="R93" s="8">
        <v>1200</v>
      </c>
      <c r="S93" s="7">
        <v>1200</v>
      </c>
      <c r="T93" s="8">
        <v>1200</v>
      </c>
      <c r="U93" s="3">
        <v>1200</v>
      </c>
      <c r="V93" s="3" t="s">
        <v>54</v>
      </c>
      <c r="W93" s="3">
        <v>0</v>
      </c>
      <c r="X93" s="3" t="s">
        <v>131</v>
      </c>
      <c r="Y93" s="3" t="s">
        <v>131</v>
      </c>
      <c r="Z93" s="3" t="s">
        <v>3919</v>
      </c>
      <c r="AA93" s="3" t="s">
        <v>4029</v>
      </c>
      <c r="AB93" s="9">
        <v>45515</v>
      </c>
      <c r="AC93" s="3" t="s">
        <v>131</v>
      </c>
      <c r="AD93" s="3"/>
    </row>
    <row r="94" spans="1:30" hidden="1">
      <c r="A94" s="3" t="s">
        <v>44</v>
      </c>
      <c r="B94" s="4">
        <v>45524</v>
      </c>
      <c r="C94" s="3" t="s">
        <v>109</v>
      </c>
      <c r="D94" s="3" t="s">
        <v>110</v>
      </c>
      <c r="E94" s="5" t="s">
        <v>111</v>
      </c>
      <c r="F94" s="3" t="s">
        <v>4042</v>
      </c>
      <c r="G94" s="3" t="s">
        <v>4043</v>
      </c>
      <c r="H94" s="3"/>
      <c r="I94" s="3" t="s">
        <v>51</v>
      </c>
      <c r="J94" s="6">
        <v>45159</v>
      </c>
      <c r="K94" s="6"/>
      <c r="L94" s="6">
        <v>45159</v>
      </c>
      <c r="M94" s="6">
        <v>45524</v>
      </c>
      <c r="N94" s="3" t="s">
        <v>52</v>
      </c>
      <c r="O94" s="3" t="s">
        <v>3858</v>
      </c>
      <c r="P94" s="7">
        <v>1200</v>
      </c>
      <c r="Q94" s="7">
        <v>100</v>
      </c>
      <c r="R94" s="8">
        <v>1200</v>
      </c>
      <c r="S94" s="7">
        <v>1260</v>
      </c>
      <c r="T94" s="8">
        <v>1200</v>
      </c>
      <c r="U94" s="3">
        <v>1200</v>
      </c>
      <c r="V94" s="3" t="s">
        <v>54</v>
      </c>
      <c r="W94" s="3">
        <v>0</v>
      </c>
      <c r="X94" s="3" t="s">
        <v>131</v>
      </c>
      <c r="Y94" s="3" t="s">
        <v>131</v>
      </c>
      <c r="Z94" s="3" t="s">
        <v>3919</v>
      </c>
      <c r="AA94" s="3" t="s">
        <v>4029</v>
      </c>
      <c r="AB94" s="9">
        <v>45524</v>
      </c>
      <c r="AC94" s="3" t="s">
        <v>131</v>
      </c>
      <c r="AD94" s="3"/>
    </row>
    <row r="95" spans="1:30" hidden="1">
      <c r="A95" s="3" t="s">
        <v>44</v>
      </c>
      <c r="B95" s="4">
        <v>45529</v>
      </c>
      <c r="C95" s="3" t="s">
        <v>109</v>
      </c>
      <c r="D95" s="3" t="s">
        <v>110</v>
      </c>
      <c r="E95" s="5" t="s">
        <v>111</v>
      </c>
      <c r="F95" s="3" t="s">
        <v>4044</v>
      </c>
      <c r="G95" s="3" t="s">
        <v>4045</v>
      </c>
      <c r="H95" s="3"/>
      <c r="I95" s="3" t="s">
        <v>51</v>
      </c>
      <c r="J95" s="6">
        <v>45352</v>
      </c>
      <c r="K95" s="6"/>
      <c r="L95" s="6">
        <v>45352</v>
      </c>
      <c r="M95" s="6">
        <v>45351</v>
      </c>
      <c r="N95" s="3" t="s">
        <v>52</v>
      </c>
      <c r="O95" s="3" t="s">
        <v>3858</v>
      </c>
      <c r="P95" s="7">
        <v>1200</v>
      </c>
      <c r="Q95" s="7">
        <v>100</v>
      </c>
      <c r="R95" s="8">
        <v>1200</v>
      </c>
      <c r="S95" s="7">
        <v>1260</v>
      </c>
      <c r="T95" s="8">
        <v>1200</v>
      </c>
      <c r="U95" s="3">
        <v>1200</v>
      </c>
      <c r="V95" s="3" t="s">
        <v>54</v>
      </c>
      <c r="W95" s="3">
        <v>0</v>
      </c>
      <c r="X95" s="3" t="s">
        <v>131</v>
      </c>
      <c r="Y95" s="3" t="s">
        <v>131</v>
      </c>
      <c r="Z95" s="3" t="s">
        <v>3919</v>
      </c>
      <c r="AA95" s="3" t="s">
        <v>4029</v>
      </c>
      <c r="AB95" s="9">
        <v>45716</v>
      </c>
      <c r="AC95" s="3" t="s">
        <v>131</v>
      </c>
      <c r="AD95" s="3"/>
    </row>
    <row r="96" spans="1:30">
      <c r="A96" s="3" t="s">
        <v>44</v>
      </c>
      <c r="B96" s="4">
        <v>45535</v>
      </c>
      <c r="C96" s="3" t="s">
        <v>109</v>
      </c>
      <c r="D96" s="3" t="s">
        <v>110</v>
      </c>
      <c r="E96" s="5" t="s">
        <v>111</v>
      </c>
      <c r="F96" s="3" t="s">
        <v>4046</v>
      </c>
      <c r="G96" s="3" t="s">
        <v>4047</v>
      </c>
      <c r="H96" s="3"/>
      <c r="I96" s="3" t="s">
        <v>51</v>
      </c>
      <c r="J96" s="6">
        <v>44805</v>
      </c>
      <c r="K96" s="6"/>
      <c r="L96" s="6">
        <v>45170</v>
      </c>
      <c r="M96" s="6">
        <v>45535</v>
      </c>
      <c r="N96" s="3" t="s">
        <v>64</v>
      </c>
      <c r="O96" s="3" t="s">
        <v>3858</v>
      </c>
      <c r="P96" s="7">
        <v>1200</v>
      </c>
      <c r="Q96" s="7">
        <v>100</v>
      </c>
      <c r="R96" s="8">
        <v>1260</v>
      </c>
      <c r="S96" s="7">
        <v>1260</v>
      </c>
      <c r="T96" s="8">
        <v>1260</v>
      </c>
      <c r="U96" s="3">
        <v>1200</v>
      </c>
      <c r="V96" s="3" t="s">
        <v>54</v>
      </c>
      <c r="W96" s="3">
        <v>0</v>
      </c>
      <c r="X96" s="3" t="s">
        <v>131</v>
      </c>
      <c r="Y96" s="3" t="s">
        <v>131</v>
      </c>
      <c r="Z96" s="3" t="s">
        <v>3919</v>
      </c>
      <c r="AA96" s="3" t="s">
        <v>4029</v>
      </c>
      <c r="AB96" s="9">
        <v>45535</v>
      </c>
      <c r="AC96" s="3" t="s">
        <v>131</v>
      </c>
      <c r="AD96" s="3"/>
    </row>
    <row r="97" spans="1:30" hidden="1">
      <c r="A97" s="3" t="s">
        <v>44</v>
      </c>
      <c r="B97" s="4">
        <v>45493</v>
      </c>
      <c r="C97" s="3" t="s">
        <v>45</v>
      </c>
      <c r="D97" s="3" t="s">
        <v>893</v>
      </c>
      <c r="E97" s="3" t="s">
        <v>894</v>
      </c>
      <c r="F97" s="3" t="s">
        <v>4048</v>
      </c>
      <c r="G97" s="3" t="s">
        <v>1049</v>
      </c>
      <c r="H97" s="3"/>
      <c r="I97" s="3" t="s">
        <v>51</v>
      </c>
      <c r="J97" s="6">
        <v>45128</v>
      </c>
      <c r="K97" s="6"/>
      <c r="L97" s="6">
        <v>45128</v>
      </c>
      <c r="M97" s="6">
        <v>45493</v>
      </c>
      <c r="N97" s="3" t="s">
        <v>52</v>
      </c>
      <c r="O97" s="3" t="s">
        <v>3858</v>
      </c>
      <c r="P97" s="7">
        <v>1728</v>
      </c>
      <c r="Q97" s="7">
        <v>144</v>
      </c>
      <c r="R97" s="8">
        <v>2100</v>
      </c>
      <c r="S97" s="7">
        <v>2100</v>
      </c>
      <c r="T97" s="8">
        <v>2100</v>
      </c>
      <c r="U97" s="3">
        <v>1728</v>
      </c>
      <c r="V97" s="3" t="s">
        <v>250</v>
      </c>
      <c r="W97" s="3">
        <v>0</v>
      </c>
      <c r="X97" s="3" t="s">
        <v>131</v>
      </c>
      <c r="Y97" s="3" t="s">
        <v>131</v>
      </c>
      <c r="Z97" s="3" t="s">
        <v>131</v>
      </c>
      <c r="AA97" s="3" t="s">
        <v>3974</v>
      </c>
      <c r="AB97" s="9">
        <v>45493</v>
      </c>
      <c r="AC97" s="3" t="s">
        <v>131</v>
      </c>
      <c r="AD97" s="3"/>
    </row>
    <row r="98" spans="1:30" hidden="1">
      <c r="A98" s="3" t="s">
        <v>44</v>
      </c>
      <c r="B98" s="4">
        <v>45497</v>
      </c>
      <c r="C98" s="3" t="s">
        <v>45</v>
      </c>
      <c r="D98" s="3" t="s">
        <v>893</v>
      </c>
      <c r="E98" s="3" t="s">
        <v>894</v>
      </c>
      <c r="F98" s="3" t="s">
        <v>4049</v>
      </c>
      <c r="G98" s="3" t="s">
        <v>4050</v>
      </c>
      <c r="H98" s="3"/>
      <c r="I98" s="3" t="s">
        <v>51</v>
      </c>
      <c r="J98" s="6">
        <v>45132</v>
      </c>
      <c r="K98" s="6"/>
      <c r="L98" s="6">
        <v>45132</v>
      </c>
      <c r="M98" s="6">
        <v>45497</v>
      </c>
      <c r="N98" s="3" t="s">
        <v>52</v>
      </c>
      <c r="O98" s="3" t="s">
        <v>3858</v>
      </c>
      <c r="P98" s="7">
        <v>1728</v>
      </c>
      <c r="Q98" s="7">
        <v>144</v>
      </c>
      <c r="R98" s="8">
        <v>1500</v>
      </c>
      <c r="S98" s="7">
        <v>1500</v>
      </c>
      <c r="T98" s="8">
        <v>1500</v>
      </c>
      <c r="U98" s="3">
        <v>1728</v>
      </c>
      <c r="V98" s="3" t="s">
        <v>54</v>
      </c>
      <c r="W98" s="3">
        <v>0</v>
      </c>
      <c r="X98" s="3" t="s">
        <v>131</v>
      </c>
      <c r="Y98" s="3" t="s">
        <v>131</v>
      </c>
      <c r="Z98" s="3" t="s">
        <v>131</v>
      </c>
      <c r="AA98" s="3" t="s">
        <v>3974</v>
      </c>
      <c r="AB98" s="9">
        <v>45497</v>
      </c>
      <c r="AC98" s="3" t="s">
        <v>131</v>
      </c>
      <c r="AD98" s="3"/>
    </row>
    <row r="99" spans="1:30" hidden="1">
      <c r="A99" s="3" t="s">
        <v>44</v>
      </c>
      <c r="B99" s="4">
        <v>45503</v>
      </c>
      <c r="C99" s="3" t="s">
        <v>45</v>
      </c>
      <c r="D99" s="3" t="s">
        <v>893</v>
      </c>
      <c r="E99" s="3" t="s">
        <v>894</v>
      </c>
      <c r="F99" s="3" t="s">
        <v>4051</v>
      </c>
      <c r="G99" s="3" t="s">
        <v>1049</v>
      </c>
      <c r="H99" s="3"/>
      <c r="I99" s="3" t="s">
        <v>51</v>
      </c>
      <c r="J99" s="6">
        <v>45138</v>
      </c>
      <c r="K99" s="6"/>
      <c r="L99" s="6">
        <v>45138</v>
      </c>
      <c r="M99" s="6">
        <v>45503</v>
      </c>
      <c r="N99" s="3" t="s">
        <v>52</v>
      </c>
      <c r="O99" s="3" t="s">
        <v>3858</v>
      </c>
      <c r="P99" s="7">
        <v>1728</v>
      </c>
      <c r="Q99" s="7">
        <v>144</v>
      </c>
      <c r="R99" s="8">
        <v>1500</v>
      </c>
      <c r="S99" s="7">
        <v>1500</v>
      </c>
      <c r="T99" s="8">
        <v>1500</v>
      </c>
      <c r="U99" s="3">
        <v>1728</v>
      </c>
      <c r="V99" s="3" t="s">
        <v>250</v>
      </c>
      <c r="W99" s="3">
        <v>0</v>
      </c>
      <c r="X99" s="3" t="s">
        <v>131</v>
      </c>
      <c r="Y99" s="3" t="s">
        <v>131</v>
      </c>
      <c r="Z99" s="3" t="s">
        <v>131</v>
      </c>
      <c r="AA99" s="3" t="s">
        <v>3974</v>
      </c>
      <c r="AB99" s="9">
        <v>45503</v>
      </c>
      <c r="AC99" s="3" t="s">
        <v>131</v>
      </c>
      <c r="AD99" s="3"/>
    </row>
    <row r="100" spans="1:30" hidden="1">
      <c r="A100" s="3" t="s">
        <v>74</v>
      </c>
      <c r="B100" s="4">
        <v>45525</v>
      </c>
      <c r="C100" s="3" t="s">
        <v>45</v>
      </c>
      <c r="D100" s="3" t="s">
        <v>893</v>
      </c>
      <c r="E100" s="3" t="s">
        <v>894</v>
      </c>
      <c r="F100" s="3" t="s">
        <v>4052</v>
      </c>
      <c r="G100" s="3" t="s">
        <v>2638</v>
      </c>
      <c r="H100" s="3"/>
      <c r="I100" s="3" t="s">
        <v>51</v>
      </c>
      <c r="J100" s="6">
        <v>45282</v>
      </c>
      <c r="K100" s="6"/>
      <c r="L100" s="6">
        <v>45282</v>
      </c>
      <c r="M100" s="6">
        <v>45525</v>
      </c>
      <c r="N100" s="3" t="s">
        <v>52</v>
      </c>
      <c r="O100" s="3" t="s">
        <v>3858</v>
      </c>
      <c r="P100" s="7">
        <v>1728</v>
      </c>
      <c r="Q100" s="7">
        <v>144</v>
      </c>
      <c r="R100" s="8">
        <v>1500</v>
      </c>
      <c r="S100" s="7">
        <v>1500</v>
      </c>
      <c r="T100" s="8">
        <v>1500</v>
      </c>
      <c r="U100" s="3">
        <v>1728</v>
      </c>
      <c r="V100" s="3" t="s">
        <v>54</v>
      </c>
      <c r="W100" s="3">
        <v>0</v>
      </c>
      <c r="X100" s="3" t="s">
        <v>131</v>
      </c>
      <c r="Y100" s="3" t="s">
        <v>131</v>
      </c>
      <c r="Z100" s="3" t="s">
        <v>131</v>
      </c>
      <c r="AA100" s="3" t="s">
        <v>3974</v>
      </c>
      <c r="AB100" s="9">
        <v>45525</v>
      </c>
      <c r="AC100" s="3" t="s">
        <v>131</v>
      </c>
      <c r="AD100" s="3"/>
    </row>
    <row r="101" spans="1:30" hidden="1">
      <c r="A101" s="3" t="s">
        <v>44</v>
      </c>
      <c r="B101" s="4">
        <v>45478</v>
      </c>
      <c r="C101" s="3" t="s">
        <v>964</v>
      </c>
      <c r="D101" s="3" t="s">
        <v>1249</v>
      </c>
      <c r="E101" s="3" t="s">
        <v>4053</v>
      </c>
      <c r="F101" s="3" t="s">
        <v>4054</v>
      </c>
      <c r="G101" s="3" t="s">
        <v>4055</v>
      </c>
      <c r="H101" s="3"/>
      <c r="I101" s="3" t="s">
        <v>51</v>
      </c>
      <c r="J101" s="6">
        <v>45113</v>
      </c>
      <c r="K101" s="6"/>
      <c r="L101" s="6">
        <v>45113</v>
      </c>
      <c r="M101" s="6">
        <v>45478</v>
      </c>
      <c r="N101" s="3" t="s">
        <v>52</v>
      </c>
      <c r="O101" s="3" t="s">
        <v>3858</v>
      </c>
      <c r="P101" s="7">
        <v>1560</v>
      </c>
      <c r="Q101" s="7">
        <v>130</v>
      </c>
      <c r="R101" s="8">
        <v>0</v>
      </c>
      <c r="S101" s="7">
        <v>1560</v>
      </c>
      <c r="T101" s="8">
        <v>1560</v>
      </c>
      <c r="U101" s="3">
        <v>1560</v>
      </c>
      <c r="V101" s="3" t="s">
        <v>54</v>
      </c>
      <c r="W101" s="3">
        <v>0</v>
      </c>
      <c r="X101" s="3" t="s">
        <v>93</v>
      </c>
      <c r="Y101" s="3" t="s">
        <v>93</v>
      </c>
      <c r="Z101" s="3" t="s">
        <v>4056</v>
      </c>
      <c r="AA101" s="3" t="s">
        <v>4057</v>
      </c>
      <c r="AB101" s="9">
        <v>45478</v>
      </c>
      <c r="AC101" s="3" t="s">
        <v>131</v>
      </c>
      <c r="AD101" s="3"/>
    </row>
    <row r="102" spans="1:30">
      <c r="A102" s="3" t="s">
        <v>44</v>
      </c>
      <c r="B102" s="4">
        <v>45513</v>
      </c>
      <c r="C102" s="3" t="s">
        <v>964</v>
      </c>
      <c r="D102" s="3" t="s">
        <v>1249</v>
      </c>
      <c r="E102" s="3" t="s">
        <v>4053</v>
      </c>
      <c r="F102" s="3" t="s">
        <v>4058</v>
      </c>
      <c r="G102" s="3" t="s">
        <v>4059</v>
      </c>
      <c r="H102" s="3"/>
      <c r="I102" s="3" t="s">
        <v>51</v>
      </c>
      <c r="J102" s="6">
        <v>44691</v>
      </c>
      <c r="K102" s="6"/>
      <c r="L102" s="6">
        <v>45148</v>
      </c>
      <c r="M102" s="6">
        <v>45513</v>
      </c>
      <c r="N102" s="3" t="s">
        <v>64</v>
      </c>
      <c r="O102" s="3" t="s">
        <v>3858</v>
      </c>
      <c r="P102" s="7">
        <v>1320</v>
      </c>
      <c r="Q102" s="7">
        <v>110</v>
      </c>
      <c r="R102" s="8">
        <v>1320</v>
      </c>
      <c r="S102" s="7">
        <v>1320</v>
      </c>
      <c r="T102" s="8">
        <v>1320</v>
      </c>
      <c r="U102" s="3">
        <v>1320</v>
      </c>
      <c r="V102" s="3" t="s">
        <v>54</v>
      </c>
      <c r="W102" s="3">
        <v>0</v>
      </c>
      <c r="X102" s="3" t="s">
        <v>93</v>
      </c>
      <c r="Y102" s="3" t="s">
        <v>93</v>
      </c>
      <c r="Z102" s="3" t="s">
        <v>4056</v>
      </c>
      <c r="AA102" s="3" t="s">
        <v>4057</v>
      </c>
      <c r="AB102" s="9">
        <v>45513</v>
      </c>
      <c r="AC102" s="3" t="s">
        <v>131</v>
      </c>
      <c r="AD102" s="3"/>
    </row>
    <row r="103" spans="1:30" hidden="1">
      <c r="A103" s="3" t="s">
        <v>44</v>
      </c>
      <c r="B103" s="4">
        <v>45521</v>
      </c>
      <c r="C103" s="3" t="s">
        <v>964</v>
      </c>
      <c r="D103" s="3" t="s">
        <v>1249</v>
      </c>
      <c r="E103" s="3" t="s">
        <v>4053</v>
      </c>
      <c r="F103" s="3" t="s">
        <v>4060</v>
      </c>
      <c r="G103" s="3" t="s">
        <v>4061</v>
      </c>
      <c r="H103" s="3"/>
      <c r="I103" s="3" t="s">
        <v>51</v>
      </c>
      <c r="J103" s="6">
        <v>45156</v>
      </c>
      <c r="K103" s="6"/>
      <c r="L103" s="6">
        <v>45156</v>
      </c>
      <c r="M103" s="6">
        <v>45521</v>
      </c>
      <c r="N103" s="3" t="s">
        <v>52</v>
      </c>
      <c r="O103" s="3" t="s">
        <v>3858</v>
      </c>
      <c r="P103" s="7">
        <v>1320</v>
      </c>
      <c r="Q103" s="7">
        <v>110</v>
      </c>
      <c r="R103" s="8">
        <v>1560</v>
      </c>
      <c r="S103" s="7">
        <v>1320</v>
      </c>
      <c r="T103" s="8">
        <v>1560</v>
      </c>
      <c r="U103" s="3">
        <v>1320</v>
      </c>
      <c r="V103" s="3" t="s">
        <v>54</v>
      </c>
      <c r="W103" s="3">
        <v>0</v>
      </c>
      <c r="X103" s="3" t="s">
        <v>93</v>
      </c>
      <c r="Y103" s="3" t="s">
        <v>93</v>
      </c>
      <c r="Z103" s="3" t="s">
        <v>4062</v>
      </c>
      <c r="AA103" s="3" t="s">
        <v>4057</v>
      </c>
      <c r="AB103" s="9">
        <v>45521</v>
      </c>
      <c r="AC103" s="3" t="s">
        <v>131</v>
      </c>
      <c r="AD103" s="3"/>
    </row>
    <row r="104" spans="1:30" hidden="1">
      <c r="A104" s="3" t="s">
        <v>44</v>
      </c>
      <c r="B104" s="4">
        <v>45535</v>
      </c>
      <c r="C104" s="3" t="s">
        <v>964</v>
      </c>
      <c r="D104" s="3" t="s">
        <v>1249</v>
      </c>
      <c r="E104" s="3" t="s">
        <v>4053</v>
      </c>
      <c r="F104" s="3" t="s">
        <v>4063</v>
      </c>
      <c r="G104" s="3" t="s">
        <v>4064</v>
      </c>
      <c r="H104" s="3"/>
      <c r="I104" s="3" t="s">
        <v>51</v>
      </c>
      <c r="J104" s="6">
        <v>45170</v>
      </c>
      <c r="K104" s="6"/>
      <c r="L104" s="6">
        <v>45170</v>
      </c>
      <c r="M104" s="6">
        <v>45535</v>
      </c>
      <c r="N104" s="3" t="s">
        <v>52</v>
      </c>
      <c r="O104" s="3" t="s">
        <v>3858</v>
      </c>
      <c r="P104" s="7">
        <v>1560</v>
      </c>
      <c r="Q104" s="7">
        <v>130</v>
      </c>
      <c r="R104" s="8">
        <v>0</v>
      </c>
      <c r="S104" s="7">
        <v>1560</v>
      </c>
      <c r="T104" s="8">
        <v>1560</v>
      </c>
      <c r="U104" s="3">
        <v>1560</v>
      </c>
      <c r="V104" s="3" t="s">
        <v>54</v>
      </c>
      <c r="W104" s="3">
        <v>0</v>
      </c>
      <c r="X104" s="3" t="s">
        <v>93</v>
      </c>
      <c r="Y104" s="3" t="s">
        <v>93</v>
      </c>
      <c r="Z104" s="3" t="s">
        <v>4056</v>
      </c>
      <c r="AA104" s="3" t="s">
        <v>4065</v>
      </c>
      <c r="AB104" s="9">
        <v>45535</v>
      </c>
      <c r="AC104" s="3" t="s">
        <v>131</v>
      </c>
      <c r="AD104" s="3"/>
    </row>
    <row r="105" spans="1:30">
      <c r="A105" s="3" t="s">
        <v>74</v>
      </c>
      <c r="B105" s="4">
        <v>45496</v>
      </c>
      <c r="C105" s="3" t="s">
        <v>964</v>
      </c>
      <c r="D105" s="3" t="s">
        <v>1249</v>
      </c>
      <c r="E105" s="3" t="s">
        <v>4053</v>
      </c>
      <c r="F105" s="3" t="s">
        <v>4066</v>
      </c>
      <c r="G105" s="3" t="s">
        <v>4067</v>
      </c>
      <c r="H105" s="3"/>
      <c r="I105" s="3" t="s">
        <v>51</v>
      </c>
      <c r="J105" s="6">
        <v>45131</v>
      </c>
      <c r="K105" s="6"/>
      <c r="L105" s="6">
        <v>45315</v>
      </c>
      <c r="M105" s="6">
        <v>45496</v>
      </c>
      <c r="N105" s="3" t="s">
        <v>64</v>
      </c>
      <c r="O105" s="3" t="s">
        <v>3858</v>
      </c>
      <c r="P105" s="7">
        <v>1560</v>
      </c>
      <c r="Q105" s="7">
        <v>130</v>
      </c>
      <c r="R105" s="8">
        <v>0</v>
      </c>
      <c r="S105" s="7">
        <v>1560</v>
      </c>
      <c r="T105" s="8">
        <v>1560</v>
      </c>
      <c r="U105" s="3">
        <v>1560</v>
      </c>
      <c r="V105" s="3" t="s">
        <v>54</v>
      </c>
      <c r="W105" s="3">
        <v>0</v>
      </c>
      <c r="X105" s="3" t="s">
        <v>93</v>
      </c>
      <c r="Y105" s="3" t="s">
        <v>93</v>
      </c>
      <c r="Z105" s="5" t="s">
        <v>4068</v>
      </c>
      <c r="AA105" s="3" t="s">
        <v>4057</v>
      </c>
      <c r="AB105" s="9">
        <v>45496</v>
      </c>
      <c r="AC105" s="3" t="s">
        <v>131</v>
      </c>
      <c r="AD105" s="3"/>
    </row>
    <row r="106" spans="1:30" hidden="1">
      <c r="A106" s="3" t="s">
        <v>44</v>
      </c>
      <c r="B106" s="4">
        <v>45482</v>
      </c>
      <c r="C106" s="3" t="s">
        <v>109</v>
      </c>
      <c r="D106" s="3" t="s">
        <v>866</v>
      </c>
      <c r="E106" s="3" t="s">
        <v>867</v>
      </c>
      <c r="F106" s="3" t="s">
        <v>4069</v>
      </c>
      <c r="G106" s="3" t="s">
        <v>2356</v>
      </c>
      <c r="H106" s="3"/>
      <c r="I106" s="3" t="s">
        <v>51</v>
      </c>
      <c r="J106" s="6">
        <v>44752</v>
      </c>
      <c r="K106" s="6"/>
      <c r="L106" s="6">
        <v>44752</v>
      </c>
      <c r="M106" s="6">
        <v>45482</v>
      </c>
      <c r="N106" s="3" t="s">
        <v>52</v>
      </c>
      <c r="O106" s="3" t="s">
        <v>3858</v>
      </c>
      <c r="P106" s="7">
        <v>0</v>
      </c>
      <c r="Q106" s="7">
        <v>0</v>
      </c>
      <c r="R106" s="8">
        <v>0</v>
      </c>
      <c r="S106" s="7">
        <v>0</v>
      </c>
      <c r="T106" s="8">
        <v>0</v>
      </c>
      <c r="U106" s="3">
        <v>0</v>
      </c>
      <c r="V106" s="3" t="s">
        <v>54</v>
      </c>
      <c r="W106" s="3">
        <v>0</v>
      </c>
      <c r="X106" s="3" t="s">
        <v>93</v>
      </c>
      <c r="Y106" s="3" t="s">
        <v>93</v>
      </c>
      <c r="Z106" s="3" t="s">
        <v>4070</v>
      </c>
      <c r="AA106" s="3" t="s">
        <v>3867</v>
      </c>
      <c r="AB106" s="9">
        <v>45482</v>
      </c>
      <c r="AC106" s="3" t="s">
        <v>131</v>
      </c>
      <c r="AD106" s="3"/>
    </row>
    <row r="107" spans="1:30" hidden="1">
      <c r="A107" s="3" t="s">
        <v>44</v>
      </c>
      <c r="B107" s="4">
        <v>45486</v>
      </c>
      <c r="C107" s="3" t="s">
        <v>109</v>
      </c>
      <c r="D107" s="3" t="s">
        <v>866</v>
      </c>
      <c r="E107" s="3" t="s">
        <v>867</v>
      </c>
      <c r="F107" s="3" t="s">
        <v>4071</v>
      </c>
      <c r="G107" s="3" t="s">
        <v>2339</v>
      </c>
      <c r="H107" s="3"/>
      <c r="I107" s="3" t="s">
        <v>51</v>
      </c>
      <c r="J107" s="6">
        <v>44756</v>
      </c>
      <c r="K107" s="6"/>
      <c r="L107" s="6">
        <v>44756</v>
      </c>
      <c r="M107" s="6">
        <v>45486</v>
      </c>
      <c r="N107" s="3" t="s">
        <v>52</v>
      </c>
      <c r="O107" s="3" t="s">
        <v>3858</v>
      </c>
      <c r="P107" s="7">
        <v>0</v>
      </c>
      <c r="Q107" s="7">
        <v>0</v>
      </c>
      <c r="R107" s="8">
        <v>0</v>
      </c>
      <c r="S107" s="7">
        <v>0</v>
      </c>
      <c r="T107" s="8">
        <v>0</v>
      </c>
      <c r="U107" s="3">
        <v>0</v>
      </c>
      <c r="V107" s="3" t="s">
        <v>54</v>
      </c>
      <c r="W107" s="3">
        <v>0</v>
      </c>
      <c r="X107" s="3" t="s">
        <v>93</v>
      </c>
      <c r="Y107" s="3" t="s">
        <v>93</v>
      </c>
      <c r="Z107" s="3" t="s">
        <v>4070</v>
      </c>
      <c r="AA107" s="3" t="s">
        <v>3867</v>
      </c>
      <c r="AB107" s="9">
        <v>45486</v>
      </c>
      <c r="AC107" s="3" t="s">
        <v>131</v>
      </c>
      <c r="AD107" s="3"/>
    </row>
    <row r="108" spans="1:30" hidden="1">
      <c r="A108" s="3" t="s">
        <v>44</v>
      </c>
      <c r="B108" s="4">
        <v>45486</v>
      </c>
      <c r="C108" s="3" t="s">
        <v>109</v>
      </c>
      <c r="D108" s="3" t="s">
        <v>866</v>
      </c>
      <c r="E108" s="3" t="s">
        <v>867</v>
      </c>
      <c r="F108" s="3" t="s">
        <v>4072</v>
      </c>
      <c r="G108" s="3" t="s">
        <v>2339</v>
      </c>
      <c r="H108" s="3"/>
      <c r="I108" s="3" t="s">
        <v>51</v>
      </c>
      <c r="J108" s="6">
        <v>44756</v>
      </c>
      <c r="K108" s="6"/>
      <c r="L108" s="6">
        <v>44756</v>
      </c>
      <c r="M108" s="6">
        <v>45486</v>
      </c>
      <c r="N108" s="3" t="s">
        <v>52</v>
      </c>
      <c r="O108" s="3" t="s">
        <v>3858</v>
      </c>
      <c r="P108" s="7">
        <v>0</v>
      </c>
      <c r="Q108" s="7">
        <v>0</v>
      </c>
      <c r="R108" s="8">
        <v>0</v>
      </c>
      <c r="S108" s="7">
        <v>0</v>
      </c>
      <c r="T108" s="8">
        <v>0</v>
      </c>
      <c r="U108" s="3">
        <v>0</v>
      </c>
      <c r="V108" s="3" t="s">
        <v>54</v>
      </c>
      <c r="W108" s="3">
        <v>0</v>
      </c>
      <c r="X108" s="3" t="s">
        <v>93</v>
      </c>
      <c r="Y108" s="3" t="s">
        <v>93</v>
      </c>
      <c r="Z108" s="3" t="s">
        <v>4070</v>
      </c>
      <c r="AA108" s="3" t="s">
        <v>3867</v>
      </c>
      <c r="AB108" s="9">
        <v>45486</v>
      </c>
      <c r="AC108" s="3" t="s">
        <v>131</v>
      </c>
      <c r="AD108" s="3"/>
    </row>
    <row r="109" spans="1:30" hidden="1">
      <c r="A109" s="3" t="s">
        <v>44</v>
      </c>
      <c r="B109" s="4">
        <v>45479</v>
      </c>
      <c r="C109" s="3" t="s">
        <v>45</v>
      </c>
      <c r="D109" s="3" t="s">
        <v>973</v>
      </c>
      <c r="E109" s="3" t="s">
        <v>974</v>
      </c>
      <c r="F109" s="3" t="s">
        <v>4073</v>
      </c>
      <c r="G109" s="3" t="s">
        <v>4074</v>
      </c>
      <c r="H109" s="3"/>
      <c r="I109" s="3" t="s">
        <v>51</v>
      </c>
      <c r="J109" s="6">
        <v>45206</v>
      </c>
      <c r="K109" s="6">
        <v>45481</v>
      </c>
      <c r="L109" s="6">
        <v>45206</v>
      </c>
      <c r="M109" s="6">
        <v>45479</v>
      </c>
      <c r="N109" s="3" t="s">
        <v>52</v>
      </c>
      <c r="O109" s="3" t="s">
        <v>3858</v>
      </c>
      <c r="P109" s="7">
        <v>1500</v>
      </c>
      <c r="Q109" s="7">
        <v>125</v>
      </c>
      <c r="R109" s="8">
        <v>1200</v>
      </c>
      <c r="S109" s="7">
        <v>1260</v>
      </c>
      <c r="T109" s="8">
        <v>1260</v>
      </c>
      <c r="U109" s="3">
        <v>1500</v>
      </c>
      <c r="V109" s="3" t="s">
        <v>54</v>
      </c>
      <c r="W109" s="3">
        <v>0</v>
      </c>
      <c r="X109" s="3" t="s">
        <v>93</v>
      </c>
      <c r="Y109" s="3" t="s">
        <v>93</v>
      </c>
      <c r="Z109" s="3" t="s">
        <v>131</v>
      </c>
      <c r="AA109" s="3" t="s">
        <v>4075</v>
      </c>
      <c r="AB109" s="9">
        <v>45479</v>
      </c>
      <c r="AC109" s="3" t="s">
        <v>131</v>
      </c>
      <c r="AD109" s="3"/>
    </row>
    <row r="110" spans="1:30">
      <c r="A110" s="3" t="s">
        <v>44</v>
      </c>
      <c r="B110" s="4">
        <v>45480</v>
      </c>
      <c r="C110" s="3" t="s">
        <v>45</v>
      </c>
      <c r="D110" s="3" t="s">
        <v>973</v>
      </c>
      <c r="E110" s="3" t="s">
        <v>974</v>
      </c>
      <c r="F110" s="5" t="s">
        <v>4076</v>
      </c>
      <c r="G110" s="3" t="s">
        <v>4077</v>
      </c>
      <c r="H110" s="3"/>
      <c r="I110" s="3" t="s">
        <v>51</v>
      </c>
      <c r="J110" s="6">
        <v>44750</v>
      </c>
      <c r="K110" s="6"/>
      <c r="L110" s="6">
        <v>45115</v>
      </c>
      <c r="M110" s="6">
        <v>45480</v>
      </c>
      <c r="N110" s="3" t="s">
        <v>64</v>
      </c>
      <c r="O110" s="3" t="s">
        <v>3858</v>
      </c>
      <c r="P110" s="7">
        <v>1500</v>
      </c>
      <c r="Q110" s="7">
        <v>125</v>
      </c>
      <c r="R110" s="8">
        <v>1200</v>
      </c>
      <c r="S110" s="7">
        <v>1500</v>
      </c>
      <c r="T110" s="8">
        <v>1200</v>
      </c>
      <c r="U110" s="3">
        <v>1500</v>
      </c>
      <c r="V110" s="3" t="s">
        <v>54</v>
      </c>
      <c r="W110" s="3">
        <v>0</v>
      </c>
      <c r="X110" s="3" t="s">
        <v>93</v>
      </c>
      <c r="Y110" s="3" t="s">
        <v>93</v>
      </c>
      <c r="Z110" s="3" t="s">
        <v>131</v>
      </c>
      <c r="AA110" s="3" t="s">
        <v>4075</v>
      </c>
      <c r="AB110" s="9">
        <v>45480</v>
      </c>
      <c r="AC110" s="3" t="s">
        <v>131</v>
      </c>
      <c r="AD110" s="3"/>
    </row>
    <row r="111" spans="1:30" hidden="1">
      <c r="A111" s="3" t="s">
        <v>44</v>
      </c>
      <c r="B111" s="4">
        <v>45483</v>
      </c>
      <c r="C111" s="3" t="s">
        <v>45</v>
      </c>
      <c r="D111" s="3" t="s">
        <v>973</v>
      </c>
      <c r="E111" s="3" t="s">
        <v>974</v>
      </c>
      <c r="F111" s="3" t="s">
        <v>4078</v>
      </c>
      <c r="G111" s="3" t="s">
        <v>4079</v>
      </c>
      <c r="H111" s="3"/>
      <c r="I111" s="3" t="s">
        <v>51</v>
      </c>
      <c r="J111" s="6">
        <v>45118</v>
      </c>
      <c r="K111" s="6"/>
      <c r="L111" s="6">
        <v>45118</v>
      </c>
      <c r="M111" s="6">
        <v>45483</v>
      </c>
      <c r="N111" s="3" t="s">
        <v>52</v>
      </c>
      <c r="O111" s="3" t="s">
        <v>3858</v>
      </c>
      <c r="P111" s="7">
        <v>900</v>
      </c>
      <c r="Q111" s="7">
        <v>75</v>
      </c>
      <c r="R111" s="8">
        <v>600</v>
      </c>
      <c r="S111" s="7">
        <v>1500</v>
      </c>
      <c r="T111" s="8">
        <v>1200</v>
      </c>
      <c r="U111" s="3">
        <v>900</v>
      </c>
      <c r="V111" s="3" t="s">
        <v>54</v>
      </c>
      <c r="W111" s="3">
        <v>0</v>
      </c>
      <c r="X111" s="3" t="s">
        <v>93</v>
      </c>
      <c r="Y111" s="3" t="s">
        <v>93</v>
      </c>
      <c r="Z111" s="3" t="s">
        <v>131</v>
      </c>
      <c r="AA111" s="3" t="s">
        <v>4075</v>
      </c>
      <c r="AB111" s="9">
        <v>45483</v>
      </c>
      <c r="AC111" s="3" t="s">
        <v>131</v>
      </c>
      <c r="AD111" s="3"/>
    </row>
    <row r="112" spans="1:30">
      <c r="A112" s="3" t="s">
        <v>44</v>
      </c>
      <c r="B112" s="4">
        <v>45487</v>
      </c>
      <c r="C112" s="3" t="s">
        <v>45</v>
      </c>
      <c r="D112" s="3" t="s">
        <v>973</v>
      </c>
      <c r="E112" s="3" t="s">
        <v>974</v>
      </c>
      <c r="F112" s="3" t="s">
        <v>4080</v>
      </c>
      <c r="G112" s="3" t="s">
        <v>4081</v>
      </c>
      <c r="H112" s="3"/>
      <c r="I112" s="3" t="s">
        <v>51</v>
      </c>
      <c r="J112" s="6">
        <v>44026</v>
      </c>
      <c r="K112" s="6"/>
      <c r="L112" s="6">
        <v>45122</v>
      </c>
      <c r="M112" s="6">
        <v>45487</v>
      </c>
      <c r="N112" s="3" t="s">
        <v>64</v>
      </c>
      <c r="O112" s="3" t="s">
        <v>3858</v>
      </c>
      <c r="P112" s="7">
        <v>900</v>
      </c>
      <c r="Q112" s="7">
        <v>75</v>
      </c>
      <c r="R112" s="8">
        <v>1200</v>
      </c>
      <c r="S112" s="7">
        <v>1500</v>
      </c>
      <c r="T112" s="8">
        <v>1200</v>
      </c>
      <c r="U112" s="3">
        <v>900</v>
      </c>
      <c r="V112" s="3" t="s">
        <v>54</v>
      </c>
      <c r="W112" s="3">
        <v>0</v>
      </c>
      <c r="X112" s="3" t="s">
        <v>93</v>
      </c>
      <c r="Y112" s="3" t="s">
        <v>93</v>
      </c>
      <c r="Z112" s="3" t="s">
        <v>131</v>
      </c>
      <c r="AA112" s="3" t="s">
        <v>4075</v>
      </c>
      <c r="AB112" s="9">
        <v>45487</v>
      </c>
      <c r="AC112" s="3" t="s">
        <v>131</v>
      </c>
      <c r="AD112" s="3"/>
    </row>
    <row r="113" spans="1:30">
      <c r="A113" s="3" t="s">
        <v>44</v>
      </c>
      <c r="B113" s="4">
        <v>45488</v>
      </c>
      <c r="C113" s="3" t="s">
        <v>45</v>
      </c>
      <c r="D113" s="3" t="s">
        <v>973</v>
      </c>
      <c r="E113" s="3" t="s">
        <v>974</v>
      </c>
      <c r="F113" s="3" t="s">
        <v>4082</v>
      </c>
      <c r="G113" s="3" t="s">
        <v>1313</v>
      </c>
      <c r="H113" s="3"/>
      <c r="I113" s="3" t="s">
        <v>51</v>
      </c>
      <c r="J113" s="6">
        <v>44275</v>
      </c>
      <c r="K113" s="6"/>
      <c r="L113" s="6">
        <v>45123</v>
      </c>
      <c r="M113" s="6">
        <v>45488</v>
      </c>
      <c r="N113" s="3" t="s">
        <v>64</v>
      </c>
      <c r="O113" s="3" t="s">
        <v>3858</v>
      </c>
      <c r="P113" s="7">
        <v>1500</v>
      </c>
      <c r="Q113" s="7">
        <v>125</v>
      </c>
      <c r="R113" s="8">
        <v>1200</v>
      </c>
      <c r="S113" s="7">
        <v>1500</v>
      </c>
      <c r="T113" s="8">
        <v>1200</v>
      </c>
      <c r="U113" s="3">
        <v>1500</v>
      </c>
      <c r="V113" s="3" t="s">
        <v>54</v>
      </c>
      <c r="W113" s="3">
        <v>0</v>
      </c>
      <c r="X113" s="3" t="s">
        <v>93</v>
      </c>
      <c r="Y113" s="3" t="s">
        <v>93</v>
      </c>
      <c r="Z113" s="3" t="s">
        <v>131</v>
      </c>
      <c r="AA113" s="3" t="s">
        <v>4075</v>
      </c>
      <c r="AB113" s="9">
        <v>45488</v>
      </c>
      <c r="AC113" s="3" t="s">
        <v>131</v>
      </c>
      <c r="AD113" s="3"/>
    </row>
    <row r="114" spans="1:30">
      <c r="A114" s="3" t="s">
        <v>44</v>
      </c>
      <c r="B114" s="4">
        <v>45490</v>
      </c>
      <c r="C114" s="3" t="s">
        <v>45</v>
      </c>
      <c r="D114" s="3" t="s">
        <v>973</v>
      </c>
      <c r="E114" s="3" t="s">
        <v>974</v>
      </c>
      <c r="F114" s="3" t="s">
        <v>4083</v>
      </c>
      <c r="G114" s="3" t="s">
        <v>4084</v>
      </c>
      <c r="H114" s="3"/>
      <c r="I114" s="3" t="s">
        <v>51</v>
      </c>
      <c r="J114" s="6">
        <v>44698</v>
      </c>
      <c r="K114" s="6"/>
      <c r="L114" s="6">
        <v>45125</v>
      </c>
      <c r="M114" s="6">
        <v>45490</v>
      </c>
      <c r="N114" s="3" t="s">
        <v>64</v>
      </c>
      <c r="O114" s="3" t="s">
        <v>3858</v>
      </c>
      <c r="P114" s="7">
        <v>900</v>
      </c>
      <c r="Q114" s="7">
        <v>75</v>
      </c>
      <c r="R114" s="8">
        <v>1200</v>
      </c>
      <c r="S114" s="7">
        <v>1500</v>
      </c>
      <c r="T114" s="8">
        <v>1200</v>
      </c>
      <c r="U114" s="3">
        <v>900</v>
      </c>
      <c r="V114" s="3" t="s">
        <v>250</v>
      </c>
      <c r="W114" s="3">
        <v>0</v>
      </c>
      <c r="X114" s="3" t="s">
        <v>93</v>
      </c>
      <c r="Y114" s="3" t="s">
        <v>93</v>
      </c>
      <c r="Z114" s="3" t="s">
        <v>131</v>
      </c>
      <c r="AA114" s="3" t="s">
        <v>4075</v>
      </c>
      <c r="AB114" s="9">
        <v>45490</v>
      </c>
      <c r="AC114" s="3" t="s">
        <v>131</v>
      </c>
      <c r="AD114" s="3"/>
    </row>
    <row r="115" spans="1:30" hidden="1">
      <c r="A115" s="3" t="s">
        <v>44</v>
      </c>
      <c r="B115" s="4">
        <v>45497</v>
      </c>
      <c r="C115" s="3" t="s">
        <v>45</v>
      </c>
      <c r="D115" s="3" t="s">
        <v>973</v>
      </c>
      <c r="E115" s="3" t="s">
        <v>974</v>
      </c>
      <c r="F115" s="3" t="s">
        <v>4085</v>
      </c>
      <c r="G115" s="3" t="s">
        <v>4086</v>
      </c>
      <c r="H115" s="3"/>
      <c r="I115" s="3" t="s">
        <v>51</v>
      </c>
      <c r="J115" s="6">
        <v>45132</v>
      </c>
      <c r="K115" s="6"/>
      <c r="L115" s="6">
        <v>45132</v>
      </c>
      <c r="M115" s="6">
        <v>45497</v>
      </c>
      <c r="N115" s="3" t="s">
        <v>52</v>
      </c>
      <c r="O115" s="3" t="s">
        <v>3858</v>
      </c>
      <c r="P115" s="7">
        <v>1500</v>
      </c>
      <c r="Q115" s="7">
        <v>125</v>
      </c>
      <c r="R115" s="8">
        <v>1200</v>
      </c>
      <c r="S115" s="7">
        <v>1500</v>
      </c>
      <c r="T115" s="8">
        <v>1200</v>
      </c>
      <c r="U115" s="3">
        <v>1500</v>
      </c>
      <c r="V115" s="3" t="s">
        <v>54</v>
      </c>
      <c r="W115" s="3">
        <v>0</v>
      </c>
      <c r="X115" s="3" t="s">
        <v>93</v>
      </c>
      <c r="Y115" s="3" t="s">
        <v>93</v>
      </c>
      <c r="Z115" s="3" t="s">
        <v>131</v>
      </c>
      <c r="AA115" s="3" t="s">
        <v>4075</v>
      </c>
      <c r="AB115" s="9">
        <v>45497</v>
      </c>
      <c r="AC115" s="3" t="s">
        <v>131</v>
      </c>
      <c r="AD115" s="3"/>
    </row>
    <row r="116" spans="1:30">
      <c r="A116" s="3" t="s">
        <v>44</v>
      </c>
      <c r="B116" s="4">
        <v>45500</v>
      </c>
      <c r="C116" s="3" t="s">
        <v>45</v>
      </c>
      <c r="D116" s="3" t="s">
        <v>973</v>
      </c>
      <c r="E116" s="3" t="s">
        <v>974</v>
      </c>
      <c r="F116" s="3" t="s">
        <v>4087</v>
      </c>
      <c r="G116" s="3" t="s">
        <v>4088</v>
      </c>
      <c r="H116" s="3"/>
      <c r="I116" s="3" t="s">
        <v>51</v>
      </c>
      <c r="J116" s="6">
        <v>44405</v>
      </c>
      <c r="K116" s="6"/>
      <c r="L116" s="6">
        <v>45135</v>
      </c>
      <c r="M116" s="6">
        <v>45500</v>
      </c>
      <c r="N116" s="3" t="s">
        <v>64</v>
      </c>
      <c r="O116" s="3" t="s">
        <v>3858</v>
      </c>
      <c r="P116" s="7">
        <v>1500</v>
      </c>
      <c r="Q116" s="7">
        <v>125</v>
      </c>
      <c r="R116" s="8">
        <v>1260</v>
      </c>
      <c r="S116" s="7">
        <v>1500</v>
      </c>
      <c r="T116" s="8">
        <v>1260</v>
      </c>
      <c r="U116" s="3">
        <v>1500</v>
      </c>
      <c r="V116" s="3" t="s">
        <v>54</v>
      </c>
      <c r="W116" s="3">
        <v>0</v>
      </c>
      <c r="X116" s="3" t="s">
        <v>93</v>
      </c>
      <c r="Y116" s="3" t="s">
        <v>93</v>
      </c>
      <c r="Z116" s="3" t="s">
        <v>131</v>
      </c>
      <c r="AA116" s="3" t="s">
        <v>4075</v>
      </c>
      <c r="AB116" s="9">
        <v>45500</v>
      </c>
      <c r="AC116" s="3" t="s">
        <v>131</v>
      </c>
      <c r="AD116" s="3"/>
    </row>
    <row r="117" spans="1:30" hidden="1">
      <c r="A117" s="3" t="s">
        <v>44</v>
      </c>
      <c r="B117" s="4">
        <v>45500</v>
      </c>
      <c r="C117" s="3" t="s">
        <v>45</v>
      </c>
      <c r="D117" s="3" t="s">
        <v>973</v>
      </c>
      <c r="E117" s="3" t="s">
        <v>974</v>
      </c>
      <c r="F117" s="3" t="s">
        <v>4089</v>
      </c>
      <c r="G117" s="3" t="s">
        <v>4090</v>
      </c>
      <c r="H117" s="3"/>
      <c r="I117" s="3" t="s">
        <v>51</v>
      </c>
      <c r="J117" s="6">
        <v>45135</v>
      </c>
      <c r="K117" s="6"/>
      <c r="L117" s="6">
        <v>45135</v>
      </c>
      <c r="M117" s="6">
        <v>45500</v>
      </c>
      <c r="N117" s="3" t="s">
        <v>52</v>
      </c>
      <c r="O117" s="3" t="s">
        <v>3858</v>
      </c>
      <c r="P117" s="7">
        <v>900</v>
      </c>
      <c r="Q117" s="7">
        <v>75</v>
      </c>
      <c r="R117" s="8">
        <v>1200</v>
      </c>
      <c r="S117" s="7">
        <v>1500</v>
      </c>
      <c r="T117" s="8">
        <v>1200</v>
      </c>
      <c r="U117" s="3">
        <v>900</v>
      </c>
      <c r="V117" s="3" t="s">
        <v>54</v>
      </c>
      <c r="W117" s="3">
        <v>0</v>
      </c>
      <c r="X117" s="3" t="s">
        <v>93</v>
      </c>
      <c r="Y117" s="3" t="s">
        <v>93</v>
      </c>
      <c r="Z117" s="3" t="s">
        <v>131</v>
      </c>
      <c r="AA117" s="3" t="s">
        <v>4075</v>
      </c>
      <c r="AB117" s="9">
        <v>45500</v>
      </c>
      <c r="AC117" s="3" t="s">
        <v>131</v>
      </c>
      <c r="AD117" s="3"/>
    </row>
    <row r="118" spans="1:30" hidden="1">
      <c r="A118" s="3" t="s">
        <v>44</v>
      </c>
      <c r="B118" s="4">
        <v>45503</v>
      </c>
      <c r="C118" s="3" t="s">
        <v>45</v>
      </c>
      <c r="D118" s="3" t="s">
        <v>973</v>
      </c>
      <c r="E118" s="3" t="s">
        <v>974</v>
      </c>
      <c r="F118" s="3" t="s">
        <v>4091</v>
      </c>
      <c r="G118" s="3" t="s">
        <v>1569</v>
      </c>
      <c r="H118" s="3"/>
      <c r="I118" s="3" t="s">
        <v>51</v>
      </c>
      <c r="J118" s="6">
        <v>45138</v>
      </c>
      <c r="K118" s="6"/>
      <c r="L118" s="6">
        <v>45138</v>
      </c>
      <c r="M118" s="6">
        <v>45503</v>
      </c>
      <c r="N118" s="3" t="s">
        <v>52</v>
      </c>
      <c r="O118" s="3" t="s">
        <v>3858</v>
      </c>
      <c r="P118" s="7">
        <v>900</v>
      </c>
      <c r="Q118" s="7">
        <v>75</v>
      </c>
      <c r="R118" s="8">
        <v>1200</v>
      </c>
      <c r="S118" s="7">
        <v>1500</v>
      </c>
      <c r="T118" s="8">
        <v>1260</v>
      </c>
      <c r="U118" s="3">
        <v>900</v>
      </c>
      <c r="V118" s="3" t="s">
        <v>54</v>
      </c>
      <c r="W118" s="3">
        <v>0</v>
      </c>
      <c r="X118" s="3" t="s">
        <v>93</v>
      </c>
      <c r="Y118" s="3" t="s">
        <v>93</v>
      </c>
      <c r="Z118" s="3" t="s">
        <v>131</v>
      </c>
      <c r="AA118" s="3" t="s">
        <v>4075</v>
      </c>
      <c r="AB118" s="9">
        <v>45503</v>
      </c>
      <c r="AC118" s="3" t="s">
        <v>131</v>
      </c>
      <c r="AD118" s="3"/>
    </row>
    <row r="119" spans="1:30" hidden="1">
      <c r="A119" s="3" t="s">
        <v>44</v>
      </c>
      <c r="B119" s="4">
        <v>45504</v>
      </c>
      <c r="C119" s="3" t="s">
        <v>45</v>
      </c>
      <c r="D119" s="3" t="s">
        <v>973</v>
      </c>
      <c r="E119" s="3" t="s">
        <v>974</v>
      </c>
      <c r="F119" s="3" t="s">
        <v>4092</v>
      </c>
      <c r="G119" s="3" t="s">
        <v>1345</v>
      </c>
      <c r="H119" s="3"/>
      <c r="I119" s="3" t="s">
        <v>51</v>
      </c>
      <c r="J119" s="6">
        <v>45139</v>
      </c>
      <c r="K119" s="6">
        <v>45504</v>
      </c>
      <c r="L119" s="6">
        <v>45139</v>
      </c>
      <c r="M119" s="6">
        <v>45504</v>
      </c>
      <c r="N119" s="3" t="s">
        <v>52</v>
      </c>
      <c r="O119" s="3" t="s">
        <v>3858</v>
      </c>
      <c r="P119" s="7">
        <v>1500</v>
      </c>
      <c r="Q119" s="7">
        <v>125</v>
      </c>
      <c r="R119" s="8">
        <v>1260</v>
      </c>
      <c r="S119" s="7">
        <v>1500</v>
      </c>
      <c r="T119" s="8">
        <v>1260</v>
      </c>
      <c r="U119" s="3">
        <v>1500</v>
      </c>
      <c r="V119" s="3" t="s">
        <v>54</v>
      </c>
      <c r="W119" s="3">
        <v>0</v>
      </c>
      <c r="X119" s="3" t="s">
        <v>93</v>
      </c>
      <c r="Y119" s="3" t="s">
        <v>93</v>
      </c>
      <c r="Z119" s="3" t="s">
        <v>131</v>
      </c>
      <c r="AA119" s="3" t="s">
        <v>4075</v>
      </c>
      <c r="AB119" s="9">
        <v>45504</v>
      </c>
      <c r="AC119" s="3" t="s">
        <v>131</v>
      </c>
      <c r="AD119" s="3"/>
    </row>
    <row r="120" spans="1:30">
      <c r="A120" s="3" t="s">
        <v>44</v>
      </c>
      <c r="B120" s="4">
        <v>45504</v>
      </c>
      <c r="C120" s="3" t="s">
        <v>45</v>
      </c>
      <c r="D120" s="3" t="s">
        <v>973</v>
      </c>
      <c r="E120" s="3" t="s">
        <v>974</v>
      </c>
      <c r="F120" s="3" t="s">
        <v>4093</v>
      </c>
      <c r="G120" s="3" t="s">
        <v>4094</v>
      </c>
      <c r="H120" s="3"/>
      <c r="I120" s="3" t="s">
        <v>51</v>
      </c>
      <c r="J120" s="6">
        <v>44774</v>
      </c>
      <c r="K120" s="6"/>
      <c r="L120" s="6">
        <v>45139</v>
      </c>
      <c r="M120" s="6">
        <v>45504</v>
      </c>
      <c r="N120" s="3" t="s">
        <v>64</v>
      </c>
      <c r="O120" s="3" t="s">
        <v>3858</v>
      </c>
      <c r="P120" s="7">
        <v>1500</v>
      </c>
      <c r="Q120" s="7">
        <v>125</v>
      </c>
      <c r="R120" s="8">
        <v>1200</v>
      </c>
      <c r="S120" s="7">
        <v>1500</v>
      </c>
      <c r="T120" s="8">
        <v>1200</v>
      </c>
      <c r="U120" s="3">
        <v>1500</v>
      </c>
      <c r="V120" s="3" t="s">
        <v>54</v>
      </c>
      <c r="W120" s="3">
        <v>0</v>
      </c>
      <c r="X120" s="3" t="s">
        <v>93</v>
      </c>
      <c r="Y120" s="3" t="s">
        <v>93</v>
      </c>
      <c r="Z120" s="3" t="s">
        <v>131</v>
      </c>
      <c r="AA120" s="3" t="s">
        <v>4075</v>
      </c>
      <c r="AB120" s="9">
        <v>45504</v>
      </c>
      <c r="AC120" s="3" t="s">
        <v>131</v>
      </c>
      <c r="AD120" s="3"/>
    </row>
    <row r="121" spans="1:30" hidden="1">
      <c r="A121" s="3" t="s">
        <v>44</v>
      </c>
      <c r="B121" s="4">
        <v>45504</v>
      </c>
      <c r="C121" s="3" t="s">
        <v>45</v>
      </c>
      <c r="D121" s="3" t="s">
        <v>973</v>
      </c>
      <c r="E121" s="3" t="s">
        <v>974</v>
      </c>
      <c r="F121" s="3" t="s">
        <v>4095</v>
      </c>
      <c r="G121" s="3" t="s">
        <v>4096</v>
      </c>
      <c r="H121" s="3"/>
      <c r="I121" s="3" t="s">
        <v>51</v>
      </c>
      <c r="J121" s="6">
        <v>45139</v>
      </c>
      <c r="K121" s="6"/>
      <c r="L121" s="6">
        <v>45139</v>
      </c>
      <c r="M121" s="6">
        <v>45504</v>
      </c>
      <c r="N121" s="3" t="s">
        <v>52</v>
      </c>
      <c r="O121" s="3" t="s">
        <v>3858</v>
      </c>
      <c r="P121" s="7">
        <v>1500</v>
      </c>
      <c r="Q121" s="7">
        <v>125</v>
      </c>
      <c r="R121" s="8">
        <v>1200</v>
      </c>
      <c r="S121" s="7">
        <v>1500</v>
      </c>
      <c r="T121" s="8">
        <v>1200</v>
      </c>
      <c r="U121" s="3">
        <v>1500</v>
      </c>
      <c r="V121" s="3" t="s">
        <v>54</v>
      </c>
      <c r="W121" s="3">
        <v>0</v>
      </c>
      <c r="X121" s="3" t="s">
        <v>93</v>
      </c>
      <c r="Y121" s="3" t="s">
        <v>93</v>
      </c>
      <c r="Z121" s="3" t="s">
        <v>131</v>
      </c>
      <c r="AA121" s="3" t="s">
        <v>4075</v>
      </c>
      <c r="AB121" s="9">
        <v>45504</v>
      </c>
      <c r="AC121" s="3" t="s">
        <v>131</v>
      </c>
      <c r="AD121" s="3"/>
    </row>
    <row r="122" spans="1:30" hidden="1">
      <c r="A122" s="3" t="s">
        <v>44</v>
      </c>
      <c r="B122" s="4">
        <v>45505</v>
      </c>
      <c r="C122" s="3" t="s">
        <v>45</v>
      </c>
      <c r="D122" s="3" t="s">
        <v>973</v>
      </c>
      <c r="E122" s="3" t="s">
        <v>974</v>
      </c>
      <c r="F122" s="3" t="s">
        <v>4097</v>
      </c>
      <c r="G122" s="3" t="s">
        <v>4098</v>
      </c>
      <c r="H122" s="3"/>
      <c r="I122" s="3" t="s">
        <v>51</v>
      </c>
      <c r="J122" s="6">
        <v>45140</v>
      </c>
      <c r="K122" s="6"/>
      <c r="L122" s="6">
        <v>45140</v>
      </c>
      <c r="M122" s="6">
        <v>45505</v>
      </c>
      <c r="N122" s="3" t="s">
        <v>52</v>
      </c>
      <c r="O122" s="3" t="s">
        <v>3858</v>
      </c>
      <c r="P122" s="7">
        <v>1500</v>
      </c>
      <c r="Q122" s="7">
        <v>125</v>
      </c>
      <c r="R122" s="8">
        <v>1260</v>
      </c>
      <c r="S122" s="7">
        <v>1500</v>
      </c>
      <c r="T122" s="8">
        <v>1260</v>
      </c>
      <c r="U122" s="3">
        <v>1500</v>
      </c>
      <c r="V122" s="3" t="s">
        <v>54</v>
      </c>
      <c r="W122" s="3">
        <v>0</v>
      </c>
      <c r="X122" s="3" t="s">
        <v>93</v>
      </c>
      <c r="Y122" s="3" t="s">
        <v>93</v>
      </c>
      <c r="Z122" s="3" t="s">
        <v>131</v>
      </c>
      <c r="AA122" s="3" t="s">
        <v>4075</v>
      </c>
      <c r="AB122" s="9">
        <v>45505</v>
      </c>
      <c r="AC122" s="3" t="s">
        <v>131</v>
      </c>
      <c r="AD122" s="3"/>
    </row>
    <row r="123" spans="1:30" hidden="1">
      <c r="A123" s="3" t="s">
        <v>44</v>
      </c>
      <c r="B123" s="4">
        <v>45513</v>
      </c>
      <c r="C123" s="3" t="s">
        <v>45</v>
      </c>
      <c r="D123" s="3" t="s">
        <v>973</v>
      </c>
      <c r="E123" s="3" t="s">
        <v>974</v>
      </c>
      <c r="F123" s="3" t="s">
        <v>4099</v>
      </c>
      <c r="G123" s="3" t="s">
        <v>4100</v>
      </c>
      <c r="H123" s="3"/>
      <c r="I123" s="3" t="s">
        <v>51</v>
      </c>
      <c r="J123" s="6">
        <v>45148</v>
      </c>
      <c r="K123" s="6"/>
      <c r="L123" s="6">
        <v>45148</v>
      </c>
      <c r="M123" s="6">
        <v>45513</v>
      </c>
      <c r="N123" s="3" t="s">
        <v>52</v>
      </c>
      <c r="O123" s="3" t="s">
        <v>3858</v>
      </c>
      <c r="P123" s="7">
        <v>900</v>
      </c>
      <c r="Q123" s="7">
        <v>75</v>
      </c>
      <c r="R123" s="8">
        <v>1200</v>
      </c>
      <c r="S123" s="7">
        <v>1500</v>
      </c>
      <c r="T123" s="8">
        <v>1200</v>
      </c>
      <c r="U123" s="3">
        <v>900</v>
      </c>
      <c r="V123" s="3" t="s">
        <v>54</v>
      </c>
      <c r="W123" s="3">
        <v>0</v>
      </c>
      <c r="X123" s="3" t="s">
        <v>93</v>
      </c>
      <c r="Y123" s="3" t="s">
        <v>93</v>
      </c>
      <c r="Z123" s="3" t="s">
        <v>131</v>
      </c>
      <c r="AA123" s="3" t="s">
        <v>4075</v>
      </c>
      <c r="AB123" s="9">
        <v>45513</v>
      </c>
      <c r="AC123" s="3" t="s">
        <v>131</v>
      </c>
      <c r="AD123" s="3"/>
    </row>
    <row r="124" spans="1:30" hidden="1">
      <c r="A124" s="3" t="s">
        <v>44</v>
      </c>
      <c r="B124" s="4">
        <v>45515</v>
      </c>
      <c r="C124" s="3" t="s">
        <v>45</v>
      </c>
      <c r="D124" s="3" t="s">
        <v>973</v>
      </c>
      <c r="E124" s="3" t="s">
        <v>974</v>
      </c>
      <c r="F124" s="3" t="s">
        <v>4101</v>
      </c>
      <c r="G124" s="3" t="s">
        <v>4102</v>
      </c>
      <c r="H124" s="3"/>
      <c r="I124" s="3" t="s">
        <v>51</v>
      </c>
      <c r="J124" s="6">
        <v>45352</v>
      </c>
      <c r="K124" s="6"/>
      <c r="L124" s="6">
        <v>45352</v>
      </c>
      <c r="M124" s="6">
        <v>45716</v>
      </c>
      <c r="N124" s="3" t="s">
        <v>52</v>
      </c>
      <c r="O124" s="3" t="s">
        <v>3858</v>
      </c>
      <c r="P124" s="7">
        <v>1500</v>
      </c>
      <c r="Q124" s="7">
        <v>125</v>
      </c>
      <c r="R124" s="8">
        <v>1200</v>
      </c>
      <c r="S124" s="7">
        <v>1500</v>
      </c>
      <c r="T124" s="8">
        <v>1500</v>
      </c>
      <c r="U124" s="3">
        <v>1500</v>
      </c>
      <c r="V124" s="3" t="s">
        <v>54</v>
      </c>
      <c r="W124" s="3">
        <v>0</v>
      </c>
      <c r="X124" s="3" t="s">
        <v>93</v>
      </c>
      <c r="Y124" s="3" t="s">
        <v>93</v>
      </c>
      <c r="Z124" s="3" t="s">
        <v>131</v>
      </c>
      <c r="AA124" s="3" t="s">
        <v>4075</v>
      </c>
      <c r="AB124" s="9">
        <v>45716</v>
      </c>
      <c r="AC124" s="3" t="s">
        <v>131</v>
      </c>
      <c r="AD124" s="3"/>
    </row>
    <row r="125" spans="1:30" hidden="1">
      <c r="A125" s="3" t="s">
        <v>44</v>
      </c>
      <c r="B125" s="4">
        <v>45517</v>
      </c>
      <c r="C125" s="3" t="s">
        <v>45</v>
      </c>
      <c r="D125" s="3" t="s">
        <v>973</v>
      </c>
      <c r="E125" s="3" t="s">
        <v>974</v>
      </c>
      <c r="F125" s="3" t="s">
        <v>4103</v>
      </c>
      <c r="G125" s="3" t="s">
        <v>4104</v>
      </c>
      <c r="H125" s="3"/>
      <c r="I125" s="3" t="s">
        <v>51</v>
      </c>
      <c r="J125" s="6">
        <v>45152</v>
      </c>
      <c r="K125" s="6"/>
      <c r="L125" s="6">
        <v>45152</v>
      </c>
      <c r="M125" s="6">
        <v>45517</v>
      </c>
      <c r="N125" s="3" t="s">
        <v>52</v>
      </c>
      <c r="O125" s="3" t="s">
        <v>3858</v>
      </c>
      <c r="P125" s="7">
        <v>1500</v>
      </c>
      <c r="Q125" s="7">
        <v>125</v>
      </c>
      <c r="R125" s="8">
        <v>600</v>
      </c>
      <c r="S125" s="7">
        <v>1500</v>
      </c>
      <c r="T125" s="8">
        <v>1200</v>
      </c>
      <c r="U125" s="3">
        <v>1500</v>
      </c>
      <c r="V125" s="3" t="s">
        <v>54</v>
      </c>
      <c r="W125" s="3">
        <v>0</v>
      </c>
      <c r="X125" s="3" t="s">
        <v>93</v>
      </c>
      <c r="Y125" s="3" t="s">
        <v>93</v>
      </c>
      <c r="Z125" s="3" t="s">
        <v>131</v>
      </c>
      <c r="AA125" s="3" t="s">
        <v>4075</v>
      </c>
      <c r="AB125" s="9">
        <v>45517</v>
      </c>
      <c r="AC125" s="3" t="s">
        <v>131</v>
      </c>
      <c r="AD125" s="3"/>
    </row>
    <row r="126" spans="1:30" hidden="1">
      <c r="A126" s="3" t="s">
        <v>44</v>
      </c>
      <c r="B126" s="4">
        <v>45531</v>
      </c>
      <c r="C126" s="3" t="s">
        <v>45</v>
      </c>
      <c r="D126" s="3" t="s">
        <v>973</v>
      </c>
      <c r="E126" s="3" t="s">
        <v>974</v>
      </c>
      <c r="F126" s="3" t="s">
        <v>4105</v>
      </c>
      <c r="G126" s="3" t="s">
        <v>1072</v>
      </c>
      <c r="H126" s="3"/>
      <c r="I126" s="3" t="s">
        <v>51</v>
      </c>
      <c r="J126" s="6">
        <v>45166</v>
      </c>
      <c r="K126" s="6"/>
      <c r="L126" s="6">
        <v>45166</v>
      </c>
      <c r="M126" s="6">
        <v>45531</v>
      </c>
      <c r="N126" s="3" t="s">
        <v>52</v>
      </c>
      <c r="O126" s="3" t="s">
        <v>3858</v>
      </c>
      <c r="P126" s="7">
        <v>1500</v>
      </c>
      <c r="Q126" s="7">
        <v>125</v>
      </c>
      <c r="R126" s="8">
        <v>1260</v>
      </c>
      <c r="S126" s="7">
        <v>1500</v>
      </c>
      <c r="T126" s="8">
        <v>1260</v>
      </c>
      <c r="U126" s="3">
        <v>1500</v>
      </c>
      <c r="V126" s="3" t="s">
        <v>54</v>
      </c>
      <c r="W126" s="3">
        <v>0</v>
      </c>
      <c r="X126" s="3" t="s">
        <v>93</v>
      </c>
      <c r="Y126" s="3" t="s">
        <v>93</v>
      </c>
      <c r="Z126" s="3" t="s">
        <v>131</v>
      </c>
      <c r="AA126" s="3" t="s">
        <v>4075</v>
      </c>
      <c r="AB126" s="9">
        <v>45531</v>
      </c>
      <c r="AC126" s="3" t="s">
        <v>131</v>
      </c>
      <c r="AD126" s="3"/>
    </row>
    <row r="127" spans="1:30" hidden="1">
      <c r="A127" s="3" t="s">
        <v>44</v>
      </c>
      <c r="B127" s="4">
        <v>45531</v>
      </c>
      <c r="C127" s="3" t="s">
        <v>45</v>
      </c>
      <c r="D127" s="3" t="s">
        <v>973</v>
      </c>
      <c r="E127" s="3" t="s">
        <v>974</v>
      </c>
      <c r="F127" s="3" t="s">
        <v>4106</v>
      </c>
      <c r="G127" s="3" t="s">
        <v>4107</v>
      </c>
      <c r="H127" s="3"/>
      <c r="I127" s="3" t="s">
        <v>51</v>
      </c>
      <c r="J127" s="6">
        <v>45166</v>
      </c>
      <c r="K127" s="6"/>
      <c r="L127" s="6">
        <v>45166</v>
      </c>
      <c r="M127" s="6">
        <v>45531</v>
      </c>
      <c r="N127" s="3" t="s">
        <v>52</v>
      </c>
      <c r="O127" s="3" t="s">
        <v>3858</v>
      </c>
      <c r="P127" s="7">
        <v>1500</v>
      </c>
      <c r="Q127" s="7">
        <v>125</v>
      </c>
      <c r="R127" s="8">
        <v>1200</v>
      </c>
      <c r="S127" s="7">
        <v>1500</v>
      </c>
      <c r="T127" s="8">
        <v>1200</v>
      </c>
      <c r="U127" s="3">
        <v>1500</v>
      </c>
      <c r="V127" s="3" t="s">
        <v>54</v>
      </c>
      <c r="W127" s="3">
        <v>0</v>
      </c>
      <c r="X127" s="3" t="s">
        <v>93</v>
      </c>
      <c r="Y127" s="3" t="s">
        <v>93</v>
      </c>
      <c r="Z127" s="3" t="s">
        <v>131</v>
      </c>
      <c r="AA127" s="3" t="s">
        <v>4075</v>
      </c>
      <c r="AB127" s="9">
        <v>45531</v>
      </c>
      <c r="AC127" s="3" t="s">
        <v>131</v>
      </c>
      <c r="AD127" s="3"/>
    </row>
    <row r="128" spans="1:30">
      <c r="A128" s="3" t="s">
        <v>74</v>
      </c>
      <c r="B128" s="4">
        <v>45535</v>
      </c>
      <c r="C128" s="3" t="s">
        <v>45</v>
      </c>
      <c r="D128" s="3" t="s">
        <v>973</v>
      </c>
      <c r="E128" s="3" t="s">
        <v>974</v>
      </c>
      <c r="F128" s="3" t="s">
        <v>4108</v>
      </c>
      <c r="G128" s="3" t="s">
        <v>4109</v>
      </c>
      <c r="H128" s="3"/>
      <c r="I128" s="3" t="s">
        <v>51</v>
      </c>
      <c r="J128" s="6">
        <v>44254</v>
      </c>
      <c r="K128" s="6"/>
      <c r="L128" s="6">
        <v>45352</v>
      </c>
      <c r="M128" s="6">
        <v>45535</v>
      </c>
      <c r="N128" s="3" t="s">
        <v>64</v>
      </c>
      <c r="O128" s="3" t="s">
        <v>3858</v>
      </c>
      <c r="P128" s="7">
        <v>900</v>
      </c>
      <c r="Q128" s="7">
        <v>75</v>
      </c>
      <c r="R128" s="8">
        <v>1260</v>
      </c>
      <c r="S128" s="7">
        <v>1500</v>
      </c>
      <c r="T128" s="8">
        <v>1260</v>
      </c>
      <c r="U128" s="3">
        <v>900</v>
      </c>
      <c r="V128" s="3" t="s">
        <v>54</v>
      </c>
      <c r="W128" s="3">
        <v>0</v>
      </c>
      <c r="X128" s="3" t="s">
        <v>93</v>
      </c>
      <c r="Y128" s="3" t="s">
        <v>93</v>
      </c>
      <c r="Z128" s="3" t="s">
        <v>131</v>
      </c>
      <c r="AA128" s="3" t="s">
        <v>4075</v>
      </c>
      <c r="AB128" s="9">
        <v>45535</v>
      </c>
      <c r="AC128" s="3" t="s">
        <v>131</v>
      </c>
      <c r="AD128" s="3"/>
    </row>
    <row r="129" spans="1:30" hidden="1">
      <c r="A129" s="3" t="s">
        <v>44</v>
      </c>
      <c r="B129" s="4">
        <v>45506</v>
      </c>
      <c r="C129" s="3" t="s">
        <v>103</v>
      </c>
      <c r="D129" s="3" t="s">
        <v>4110</v>
      </c>
      <c r="E129" s="3" t="s">
        <v>47</v>
      </c>
      <c r="F129" s="3" t="s">
        <v>4111</v>
      </c>
      <c r="G129" s="3" t="s">
        <v>4112</v>
      </c>
      <c r="H129" s="3"/>
      <c r="I129" s="3" t="s">
        <v>51</v>
      </c>
      <c r="J129" s="6">
        <v>45141</v>
      </c>
      <c r="K129" s="6"/>
      <c r="L129" s="6">
        <v>45141</v>
      </c>
      <c r="M129" s="6">
        <v>45506</v>
      </c>
      <c r="N129" s="3" t="s">
        <v>52</v>
      </c>
      <c r="O129" s="3" t="s">
        <v>3858</v>
      </c>
      <c r="P129" s="7">
        <v>1200</v>
      </c>
      <c r="Q129" s="7">
        <v>100</v>
      </c>
      <c r="R129" s="8">
        <v>1200</v>
      </c>
      <c r="S129" s="7">
        <v>1500</v>
      </c>
      <c r="T129" s="8">
        <v>1380</v>
      </c>
      <c r="U129" s="3">
        <v>1200</v>
      </c>
      <c r="V129" s="3" t="s">
        <v>54</v>
      </c>
      <c r="W129" s="3">
        <v>0</v>
      </c>
      <c r="X129" s="3" t="s">
        <v>131</v>
      </c>
      <c r="Y129" s="3" t="s">
        <v>131</v>
      </c>
      <c r="Z129" s="3" t="s">
        <v>4113</v>
      </c>
      <c r="AA129" s="3" t="s">
        <v>4114</v>
      </c>
      <c r="AB129" s="9">
        <v>45506</v>
      </c>
      <c r="AC129" s="3" t="s">
        <v>131</v>
      </c>
      <c r="AD129" s="3"/>
    </row>
    <row r="130" spans="1:30" hidden="1">
      <c r="A130" s="3" t="s">
        <v>44</v>
      </c>
      <c r="B130" s="4">
        <v>45485</v>
      </c>
      <c r="C130" s="3" t="s">
        <v>83</v>
      </c>
      <c r="D130" s="3" t="s">
        <v>1217</v>
      </c>
      <c r="E130" s="3" t="s">
        <v>880</v>
      </c>
      <c r="F130" s="3" t="s">
        <v>4115</v>
      </c>
      <c r="G130" s="3" t="s">
        <v>4116</v>
      </c>
      <c r="H130" s="3"/>
      <c r="I130" s="3" t="s">
        <v>51</v>
      </c>
      <c r="J130" s="6">
        <v>45322</v>
      </c>
      <c r="K130" s="6"/>
      <c r="L130" s="6">
        <v>45322</v>
      </c>
      <c r="M130" s="6">
        <v>45687</v>
      </c>
      <c r="N130" s="3" t="s">
        <v>52</v>
      </c>
      <c r="O130" s="3" t="s">
        <v>3858</v>
      </c>
      <c r="P130" s="7">
        <v>225</v>
      </c>
      <c r="Q130" s="7">
        <v>18.75</v>
      </c>
      <c r="R130" s="8">
        <v>900</v>
      </c>
      <c r="S130" s="7">
        <v>900</v>
      </c>
      <c r="T130" s="8">
        <v>600</v>
      </c>
      <c r="U130" s="3">
        <v>225</v>
      </c>
      <c r="V130" s="3" t="s">
        <v>54</v>
      </c>
      <c r="W130" s="3">
        <v>0</v>
      </c>
      <c r="X130" s="3" t="s">
        <v>131</v>
      </c>
      <c r="Y130" s="3" t="s">
        <v>131</v>
      </c>
      <c r="Z130" s="3" t="s">
        <v>131</v>
      </c>
      <c r="AA130" s="3" t="s">
        <v>4117</v>
      </c>
      <c r="AB130" s="9">
        <v>45687</v>
      </c>
      <c r="AC130" s="3" t="s">
        <v>131</v>
      </c>
      <c r="AD130" s="3"/>
    </row>
    <row r="131" spans="1:30" hidden="1">
      <c r="A131" s="3" t="s">
        <v>44</v>
      </c>
      <c r="B131" s="4">
        <v>45493</v>
      </c>
      <c r="C131" s="3" t="s">
        <v>83</v>
      </c>
      <c r="D131" s="3" t="s">
        <v>1217</v>
      </c>
      <c r="E131" s="3" t="s">
        <v>880</v>
      </c>
      <c r="F131" s="3" t="s">
        <v>4118</v>
      </c>
      <c r="G131" s="3" t="s">
        <v>2444</v>
      </c>
      <c r="H131" s="3"/>
      <c r="I131" s="3" t="s">
        <v>51</v>
      </c>
      <c r="J131" s="6">
        <v>44763</v>
      </c>
      <c r="K131" s="6"/>
      <c r="L131" s="6">
        <v>45128</v>
      </c>
      <c r="M131" s="6">
        <v>45493</v>
      </c>
      <c r="N131" s="3" t="s">
        <v>52</v>
      </c>
      <c r="O131" s="3" t="s">
        <v>3858</v>
      </c>
      <c r="P131" s="7">
        <v>225</v>
      </c>
      <c r="Q131" s="7">
        <v>18.75</v>
      </c>
      <c r="R131" s="8">
        <v>900</v>
      </c>
      <c r="S131" s="7">
        <v>600</v>
      </c>
      <c r="T131" s="8">
        <v>225</v>
      </c>
      <c r="U131" s="3">
        <v>225</v>
      </c>
      <c r="V131" s="3" t="s">
        <v>54</v>
      </c>
      <c r="W131" s="3">
        <v>0</v>
      </c>
      <c r="X131" s="3" t="s">
        <v>131</v>
      </c>
      <c r="Y131" s="3" t="s">
        <v>131</v>
      </c>
      <c r="Z131" s="3" t="s">
        <v>131</v>
      </c>
      <c r="AA131" s="3" t="s">
        <v>4117</v>
      </c>
      <c r="AB131" s="9">
        <v>45493</v>
      </c>
      <c r="AC131" s="3" t="s">
        <v>131</v>
      </c>
      <c r="AD131" s="3"/>
    </row>
    <row r="132" spans="1:30" hidden="1">
      <c r="A132" s="3" t="s">
        <v>44</v>
      </c>
      <c r="B132" s="4">
        <v>45494</v>
      </c>
      <c r="C132" s="3" t="s">
        <v>83</v>
      </c>
      <c r="D132" s="3" t="s">
        <v>1217</v>
      </c>
      <c r="E132" s="3" t="s">
        <v>880</v>
      </c>
      <c r="F132" s="3" t="s">
        <v>4119</v>
      </c>
      <c r="G132" s="3" t="s">
        <v>4120</v>
      </c>
      <c r="H132" s="3"/>
      <c r="I132" s="3" t="s">
        <v>51</v>
      </c>
      <c r="J132" s="6">
        <v>44764</v>
      </c>
      <c r="K132" s="6"/>
      <c r="L132" s="6">
        <v>45129</v>
      </c>
      <c r="M132" s="6">
        <v>45494</v>
      </c>
      <c r="N132" s="3" t="s">
        <v>52</v>
      </c>
      <c r="O132" s="3" t="s">
        <v>3858</v>
      </c>
      <c r="P132" s="7">
        <v>225</v>
      </c>
      <c r="Q132" s="7">
        <v>18.75</v>
      </c>
      <c r="R132" s="8">
        <v>900</v>
      </c>
      <c r="S132" s="7">
        <v>600</v>
      </c>
      <c r="T132" s="8">
        <v>225</v>
      </c>
      <c r="U132" s="3">
        <v>225</v>
      </c>
      <c r="V132" s="3" t="s">
        <v>54</v>
      </c>
      <c r="W132" s="3">
        <v>0</v>
      </c>
      <c r="X132" s="3" t="s">
        <v>131</v>
      </c>
      <c r="Y132" s="3" t="s">
        <v>131</v>
      </c>
      <c r="Z132" s="3" t="s">
        <v>131</v>
      </c>
      <c r="AA132" s="3" t="s">
        <v>4117</v>
      </c>
      <c r="AB132" s="9">
        <v>45494</v>
      </c>
      <c r="AC132" s="3" t="s">
        <v>131</v>
      </c>
      <c r="AD132" s="3"/>
    </row>
    <row r="133" spans="1:30" hidden="1">
      <c r="A133" s="3" t="s">
        <v>44</v>
      </c>
      <c r="B133" s="4">
        <v>45496</v>
      </c>
      <c r="C133" s="3" t="s">
        <v>83</v>
      </c>
      <c r="D133" s="3" t="s">
        <v>1217</v>
      </c>
      <c r="E133" s="3" t="s">
        <v>880</v>
      </c>
      <c r="F133" s="3" t="s">
        <v>4121</v>
      </c>
      <c r="G133" s="3" t="s">
        <v>2441</v>
      </c>
      <c r="H133" s="3"/>
      <c r="I133" s="3" t="s">
        <v>51</v>
      </c>
      <c r="J133" s="6">
        <v>44401</v>
      </c>
      <c r="K133" s="6">
        <v>45496</v>
      </c>
      <c r="L133" s="6">
        <v>45131</v>
      </c>
      <c r="M133" s="6">
        <v>45496</v>
      </c>
      <c r="N133" s="3" t="s">
        <v>52</v>
      </c>
      <c r="O133" s="3" t="s">
        <v>3858</v>
      </c>
      <c r="P133" s="7">
        <v>225</v>
      </c>
      <c r="Q133" s="7">
        <v>18.75</v>
      </c>
      <c r="R133" s="8">
        <v>900</v>
      </c>
      <c r="S133" s="7">
        <v>600</v>
      </c>
      <c r="T133" s="8">
        <v>225</v>
      </c>
      <c r="U133" s="3">
        <v>225</v>
      </c>
      <c r="V133" s="3" t="s">
        <v>54</v>
      </c>
      <c r="W133" s="3">
        <v>0</v>
      </c>
      <c r="X133" s="3" t="s">
        <v>131</v>
      </c>
      <c r="Y133" s="3" t="s">
        <v>131</v>
      </c>
      <c r="Z133" s="3" t="s">
        <v>131</v>
      </c>
      <c r="AA133" s="3" t="s">
        <v>4117</v>
      </c>
      <c r="AB133" s="9">
        <v>45496</v>
      </c>
      <c r="AC133" s="3" t="s">
        <v>131</v>
      </c>
      <c r="AD133" s="3"/>
    </row>
    <row r="134" spans="1:30" hidden="1">
      <c r="A134" s="3" t="s">
        <v>44</v>
      </c>
      <c r="B134" s="4">
        <v>45528</v>
      </c>
      <c r="C134" s="3" t="s">
        <v>83</v>
      </c>
      <c r="D134" s="3" t="s">
        <v>1217</v>
      </c>
      <c r="E134" s="3" t="s">
        <v>880</v>
      </c>
      <c r="F134" s="3" t="s">
        <v>4122</v>
      </c>
      <c r="G134" s="3" t="s">
        <v>4123</v>
      </c>
      <c r="H134" s="3"/>
      <c r="I134" s="3" t="s">
        <v>51</v>
      </c>
      <c r="J134" s="6">
        <v>45163</v>
      </c>
      <c r="K134" s="6"/>
      <c r="L134" s="6">
        <v>45163</v>
      </c>
      <c r="M134" s="6">
        <v>45528</v>
      </c>
      <c r="N134" s="3" t="s">
        <v>52</v>
      </c>
      <c r="O134" s="3" t="s">
        <v>3858</v>
      </c>
      <c r="P134" s="7">
        <v>225</v>
      </c>
      <c r="Q134" s="7">
        <v>18.75</v>
      </c>
      <c r="R134" s="8">
        <v>900</v>
      </c>
      <c r="S134" s="7">
        <v>600</v>
      </c>
      <c r="T134" s="8">
        <v>225</v>
      </c>
      <c r="U134" s="3">
        <v>225</v>
      </c>
      <c r="V134" s="3" t="s">
        <v>54</v>
      </c>
      <c r="W134" s="3">
        <v>0</v>
      </c>
      <c r="X134" s="3" t="s">
        <v>131</v>
      </c>
      <c r="Y134" s="3" t="s">
        <v>131</v>
      </c>
      <c r="Z134" s="3" t="s">
        <v>131</v>
      </c>
      <c r="AA134" s="3" t="s">
        <v>4117</v>
      </c>
      <c r="AB134" s="9">
        <v>45528</v>
      </c>
      <c r="AC134" s="3" t="s">
        <v>131</v>
      </c>
      <c r="AD134" s="3"/>
    </row>
    <row r="135" spans="1:30" hidden="1">
      <c r="A135" s="3" t="s">
        <v>44</v>
      </c>
      <c r="B135" s="4">
        <v>45531</v>
      </c>
      <c r="C135" s="3" t="s">
        <v>83</v>
      </c>
      <c r="D135" s="3" t="s">
        <v>1217</v>
      </c>
      <c r="E135" s="3" t="s">
        <v>880</v>
      </c>
      <c r="F135" s="3" t="s">
        <v>4124</v>
      </c>
      <c r="G135" s="3" t="s">
        <v>3212</v>
      </c>
      <c r="H135" s="3"/>
      <c r="I135" s="3" t="s">
        <v>51</v>
      </c>
      <c r="J135" s="6">
        <v>45166</v>
      </c>
      <c r="K135" s="6"/>
      <c r="L135" s="6">
        <v>45166</v>
      </c>
      <c r="M135" s="6">
        <v>45531</v>
      </c>
      <c r="N135" s="3" t="s">
        <v>52</v>
      </c>
      <c r="O135" s="3" t="s">
        <v>3858</v>
      </c>
      <c r="P135" s="7">
        <v>225</v>
      </c>
      <c r="Q135" s="7">
        <v>18.75</v>
      </c>
      <c r="R135" s="8">
        <v>900</v>
      </c>
      <c r="S135" s="7">
        <v>600</v>
      </c>
      <c r="T135" s="8">
        <v>225</v>
      </c>
      <c r="U135" s="3">
        <v>225</v>
      </c>
      <c r="V135" s="3" t="s">
        <v>54</v>
      </c>
      <c r="W135" s="3">
        <v>0</v>
      </c>
      <c r="X135" s="3" t="s">
        <v>131</v>
      </c>
      <c r="Y135" s="3" t="s">
        <v>131</v>
      </c>
      <c r="Z135" s="3" t="s">
        <v>131</v>
      </c>
      <c r="AA135" s="3" t="s">
        <v>4117</v>
      </c>
      <c r="AB135" s="9">
        <v>45531</v>
      </c>
      <c r="AC135" s="3" t="s">
        <v>131</v>
      </c>
      <c r="AD135" s="3"/>
    </row>
    <row r="136" spans="1:30">
      <c r="A136" s="3" t="s">
        <v>44</v>
      </c>
      <c r="B136" s="4">
        <v>45489</v>
      </c>
      <c r="C136" s="3" t="s">
        <v>103</v>
      </c>
      <c r="D136" s="3" t="s">
        <v>156</v>
      </c>
      <c r="E136" s="3" t="s">
        <v>157</v>
      </c>
      <c r="F136" s="3" t="s">
        <v>4125</v>
      </c>
      <c r="G136" s="3" t="s">
        <v>608</v>
      </c>
      <c r="H136" s="3"/>
      <c r="I136" s="3" t="s">
        <v>51</v>
      </c>
      <c r="J136" s="6">
        <v>44029</v>
      </c>
      <c r="K136" s="6"/>
      <c r="L136" s="6">
        <v>45124</v>
      </c>
      <c r="M136" s="6">
        <v>45489</v>
      </c>
      <c r="N136" s="3" t="s">
        <v>64</v>
      </c>
      <c r="O136" s="3" t="s">
        <v>3858</v>
      </c>
      <c r="P136" s="7">
        <v>900</v>
      </c>
      <c r="Q136" s="7">
        <v>75</v>
      </c>
      <c r="R136" s="8">
        <v>900</v>
      </c>
      <c r="S136" s="7">
        <v>1020</v>
      </c>
      <c r="T136" s="8">
        <v>1020</v>
      </c>
      <c r="U136" s="3">
        <v>900</v>
      </c>
      <c r="V136" s="3" t="s">
        <v>54</v>
      </c>
      <c r="W136" s="3">
        <v>0</v>
      </c>
      <c r="X136" s="3" t="s">
        <v>93</v>
      </c>
      <c r="Y136" s="3" t="s">
        <v>93</v>
      </c>
      <c r="Z136" s="3" t="s">
        <v>4126</v>
      </c>
      <c r="AA136" s="3" t="s">
        <v>4127</v>
      </c>
      <c r="AB136" s="9">
        <v>45489</v>
      </c>
      <c r="AC136" s="3" t="s">
        <v>131</v>
      </c>
      <c r="AD136" s="3"/>
    </row>
    <row r="137" spans="1:30">
      <c r="A137" s="3" t="s">
        <v>44</v>
      </c>
      <c r="B137" s="4">
        <v>45499</v>
      </c>
      <c r="C137" s="3" t="s">
        <v>103</v>
      </c>
      <c r="D137" s="3" t="s">
        <v>156</v>
      </c>
      <c r="E137" s="3" t="s">
        <v>157</v>
      </c>
      <c r="F137" s="3" t="s">
        <v>4128</v>
      </c>
      <c r="G137" s="5" t="s">
        <v>4129</v>
      </c>
      <c r="H137" s="3"/>
      <c r="I137" s="3" t="s">
        <v>51</v>
      </c>
      <c r="J137" s="6">
        <v>44619</v>
      </c>
      <c r="K137" s="6"/>
      <c r="L137" s="6">
        <v>45134</v>
      </c>
      <c r="M137" s="6">
        <v>45499</v>
      </c>
      <c r="N137" s="3" t="s">
        <v>64</v>
      </c>
      <c r="O137" s="3" t="s">
        <v>3858</v>
      </c>
      <c r="P137" s="7">
        <v>900</v>
      </c>
      <c r="Q137" s="7">
        <v>75</v>
      </c>
      <c r="R137" s="8">
        <v>900</v>
      </c>
      <c r="S137" s="7">
        <v>300</v>
      </c>
      <c r="T137" s="8">
        <v>300</v>
      </c>
      <c r="U137" s="3">
        <v>900</v>
      </c>
      <c r="V137" s="3" t="s">
        <v>54</v>
      </c>
      <c r="W137" s="3">
        <v>0</v>
      </c>
      <c r="X137" s="3" t="s">
        <v>93</v>
      </c>
      <c r="Y137" s="3" t="s">
        <v>93</v>
      </c>
      <c r="Z137" s="3" t="s">
        <v>4126</v>
      </c>
      <c r="AA137" s="3" t="s">
        <v>4127</v>
      </c>
      <c r="AB137" s="9">
        <v>45499</v>
      </c>
      <c r="AC137" s="3" t="s">
        <v>131</v>
      </c>
      <c r="AD137" s="3"/>
    </row>
    <row r="138" spans="1:30">
      <c r="A138" s="3" t="s">
        <v>44</v>
      </c>
      <c r="B138" s="4">
        <v>45515</v>
      </c>
      <c r="C138" s="3" t="s">
        <v>103</v>
      </c>
      <c r="D138" s="3" t="s">
        <v>156</v>
      </c>
      <c r="E138" s="3" t="s">
        <v>157</v>
      </c>
      <c r="F138" s="3" t="s">
        <v>4130</v>
      </c>
      <c r="G138" s="3" t="s">
        <v>4131</v>
      </c>
      <c r="H138" s="3"/>
      <c r="I138" s="3" t="s">
        <v>51</v>
      </c>
      <c r="J138" s="6">
        <v>44785</v>
      </c>
      <c r="K138" s="6"/>
      <c r="L138" s="6">
        <v>45150</v>
      </c>
      <c r="M138" s="6">
        <v>45515</v>
      </c>
      <c r="N138" s="3" t="s">
        <v>64</v>
      </c>
      <c r="O138" s="3" t="s">
        <v>3858</v>
      </c>
      <c r="P138" s="7">
        <v>900</v>
      </c>
      <c r="Q138" s="7">
        <v>75</v>
      </c>
      <c r="R138" s="8">
        <v>900</v>
      </c>
      <c r="S138" s="7">
        <v>1020</v>
      </c>
      <c r="T138" s="8">
        <v>900</v>
      </c>
      <c r="U138" s="3">
        <v>900</v>
      </c>
      <c r="V138" s="3" t="s">
        <v>54</v>
      </c>
      <c r="W138" s="3">
        <v>0</v>
      </c>
      <c r="X138" s="3" t="s">
        <v>93</v>
      </c>
      <c r="Y138" s="3" t="s">
        <v>93</v>
      </c>
      <c r="Z138" s="3" t="s">
        <v>4126</v>
      </c>
      <c r="AA138" s="3" t="s">
        <v>4127</v>
      </c>
      <c r="AB138" s="9">
        <v>45515</v>
      </c>
      <c r="AC138" s="3" t="s">
        <v>131</v>
      </c>
      <c r="AD138" s="3"/>
    </row>
    <row r="139" spans="1:30" hidden="1">
      <c r="A139" s="3" t="s">
        <v>44</v>
      </c>
      <c r="B139" s="4">
        <v>45517</v>
      </c>
      <c r="C139" s="3" t="s">
        <v>103</v>
      </c>
      <c r="D139" s="3" t="s">
        <v>156</v>
      </c>
      <c r="E139" s="3" t="s">
        <v>157</v>
      </c>
      <c r="F139" s="3" t="s">
        <v>4132</v>
      </c>
      <c r="G139" s="3" t="s">
        <v>683</v>
      </c>
      <c r="H139" s="3"/>
      <c r="I139" s="3" t="s">
        <v>51</v>
      </c>
      <c r="J139" s="6">
        <v>45152</v>
      </c>
      <c r="K139" s="6"/>
      <c r="L139" s="6">
        <v>45152</v>
      </c>
      <c r="M139" s="6">
        <v>45517</v>
      </c>
      <c r="N139" s="3" t="s">
        <v>52</v>
      </c>
      <c r="O139" s="3" t="s">
        <v>3858</v>
      </c>
      <c r="P139" s="7">
        <v>900</v>
      </c>
      <c r="Q139" s="7">
        <v>75</v>
      </c>
      <c r="R139" s="8">
        <v>900</v>
      </c>
      <c r="S139" s="7">
        <v>900</v>
      </c>
      <c r="T139" s="8">
        <v>1020</v>
      </c>
      <c r="U139" s="3">
        <v>900</v>
      </c>
      <c r="V139" s="3" t="s">
        <v>54</v>
      </c>
      <c r="W139" s="3">
        <v>0</v>
      </c>
      <c r="X139" s="3" t="s">
        <v>93</v>
      </c>
      <c r="Y139" s="3" t="s">
        <v>93</v>
      </c>
      <c r="Z139" s="3" t="s">
        <v>4126</v>
      </c>
      <c r="AA139" s="3" t="s">
        <v>4127</v>
      </c>
      <c r="AB139" s="9">
        <v>45517</v>
      </c>
      <c r="AC139" s="3" t="s">
        <v>131</v>
      </c>
      <c r="AD139" s="3"/>
    </row>
    <row r="140" spans="1:30">
      <c r="A140" s="3" t="s">
        <v>44</v>
      </c>
      <c r="B140" s="4">
        <v>45521</v>
      </c>
      <c r="C140" s="3" t="s">
        <v>103</v>
      </c>
      <c r="D140" s="3" t="s">
        <v>156</v>
      </c>
      <c r="E140" s="3" t="s">
        <v>157</v>
      </c>
      <c r="F140" s="3" t="s">
        <v>4133</v>
      </c>
      <c r="G140" s="3" t="s">
        <v>4134</v>
      </c>
      <c r="H140" s="3"/>
      <c r="I140" s="3" t="s">
        <v>51</v>
      </c>
      <c r="J140" s="6">
        <v>44426</v>
      </c>
      <c r="K140" s="6"/>
      <c r="L140" s="6">
        <v>45156</v>
      </c>
      <c r="M140" s="6">
        <v>45521</v>
      </c>
      <c r="N140" s="3" t="s">
        <v>64</v>
      </c>
      <c r="O140" s="3" t="s">
        <v>3858</v>
      </c>
      <c r="P140" s="7">
        <v>900</v>
      </c>
      <c r="Q140" s="7">
        <v>75</v>
      </c>
      <c r="R140" s="8">
        <v>900</v>
      </c>
      <c r="S140" s="7">
        <v>1020</v>
      </c>
      <c r="T140" s="8">
        <v>900</v>
      </c>
      <c r="U140" s="3">
        <v>900</v>
      </c>
      <c r="V140" s="3" t="s">
        <v>54</v>
      </c>
      <c r="W140" s="3">
        <v>0</v>
      </c>
      <c r="X140" s="3" t="s">
        <v>93</v>
      </c>
      <c r="Y140" s="3" t="s">
        <v>93</v>
      </c>
      <c r="Z140" s="3" t="s">
        <v>4126</v>
      </c>
      <c r="AA140" s="3" t="s">
        <v>4127</v>
      </c>
      <c r="AB140" s="9">
        <v>45521</v>
      </c>
      <c r="AC140" s="3" t="s">
        <v>131</v>
      </c>
      <c r="AD140" s="3"/>
    </row>
    <row r="141" spans="1:30">
      <c r="A141" s="3" t="s">
        <v>44</v>
      </c>
      <c r="B141" s="4">
        <v>45479</v>
      </c>
      <c r="C141" s="3" t="s">
        <v>209</v>
      </c>
      <c r="D141" s="3" t="s">
        <v>210</v>
      </c>
      <c r="E141" s="5" t="s">
        <v>211</v>
      </c>
      <c r="F141" s="3" t="s">
        <v>4135</v>
      </c>
      <c r="G141" s="3" t="s">
        <v>4136</v>
      </c>
      <c r="H141" s="3"/>
      <c r="I141" s="3" t="s">
        <v>51</v>
      </c>
      <c r="J141" s="6">
        <v>44749</v>
      </c>
      <c r="K141" s="6"/>
      <c r="L141" s="6">
        <v>45114</v>
      </c>
      <c r="M141" s="6">
        <v>45479</v>
      </c>
      <c r="N141" s="3" t="s">
        <v>64</v>
      </c>
      <c r="O141" s="3" t="s">
        <v>3858</v>
      </c>
      <c r="P141" s="7">
        <v>1560</v>
      </c>
      <c r="Q141" s="7">
        <v>130</v>
      </c>
      <c r="R141" s="8"/>
      <c r="S141" s="7">
        <v>1560</v>
      </c>
      <c r="T141" s="8">
        <v>1560</v>
      </c>
      <c r="U141" s="3">
        <v>1560</v>
      </c>
      <c r="V141" s="3" t="s">
        <v>54</v>
      </c>
      <c r="W141" s="3">
        <v>0</v>
      </c>
      <c r="X141" s="3" t="s">
        <v>131</v>
      </c>
      <c r="Y141" s="3" t="s">
        <v>131</v>
      </c>
      <c r="Z141" s="3" t="s">
        <v>4056</v>
      </c>
      <c r="AA141" s="3" t="s">
        <v>4137</v>
      </c>
      <c r="AB141" s="9">
        <v>45479</v>
      </c>
      <c r="AC141" s="3" t="s">
        <v>131</v>
      </c>
      <c r="AD141" s="3"/>
    </row>
    <row r="142" spans="1:30">
      <c r="A142" s="3" t="s">
        <v>44</v>
      </c>
      <c r="B142" s="4">
        <v>45487</v>
      </c>
      <c r="C142" s="3" t="s">
        <v>209</v>
      </c>
      <c r="D142" s="3" t="s">
        <v>210</v>
      </c>
      <c r="E142" s="5" t="s">
        <v>211</v>
      </c>
      <c r="F142" s="3" t="s">
        <v>4138</v>
      </c>
      <c r="G142" s="3" t="s">
        <v>4139</v>
      </c>
      <c r="H142" s="3"/>
      <c r="I142" s="3" t="s">
        <v>51</v>
      </c>
      <c r="J142" s="6">
        <v>44410</v>
      </c>
      <c r="K142" s="6"/>
      <c r="L142" s="6">
        <v>45122</v>
      </c>
      <c r="M142" s="6">
        <v>45487</v>
      </c>
      <c r="N142" s="3" t="s">
        <v>64</v>
      </c>
      <c r="O142" s="3" t="s">
        <v>3858</v>
      </c>
      <c r="P142" s="7">
        <v>1560</v>
      </c>
      <c r="Q142" s="7">
        <v>130</v>
      </c>
      <c r="R142" s="8"/>
      <c r="S142" s="7">
        <v>1560</v>
      </c>
      <c r="T142" s="8">
        <v>1560</v>
      </c>
      <c r="U142" s="3">
        <v>1560</v>
      </c>
      <c r="V142" s="3" t="s">
        <v>54</v>
      </c>
      <c r="W142" s="3">
        <v>0</v>
      </c>
      <c r="X142" s="3" t="s">
        <v>131</v>
      </c>
      <c r="Y142" s="3" t="s">
        <v>131</v>
      </c>
      <c r="Z142" s="3" t="s">
        <v>4056</v>
      </c>
      <c r="AA142" s="3" t="s">
        <v>4137</v>
      </c>
      <c r="AB142" s="9">
        <v>45487</v>
      </c>
      <c r="AC142" s="3" t="s">
        <v>131</v>
      </c>
      <c r="AD142" s="3"/>
    </row>
    <row r="143" spans="1:30">
      <c r="A143" s="3" t="s">
        <v>44</v>
      </c>
      <c r="B143" s="4">
        <v>45490</v>
      </c>
      <c r="C143" s="3" t="s">
        <v>209</v>
      </c>
      <c r="D143" s="3" t="s">
        <v>210</v>
      </c>
      <c r="E143" s="5" t="s">
        <v>211</v>
      </c>
      <c r="F143" s="3" t="s">
        <v>4140</v>
      </c>
      <c r="G143" s="3" t="s">
        <v>4141</v>
      </c>
      <c r="H143" s="3"/>
      <c r="I143" s="3" t="s">
        <v>51</v>
      </c>
      <c r="J143" s="6">
        <v>44760</v>
      </c>
      <c r="K143" s="6"/>
      <c r="L143" s="6">
        <v>45126</v>
      </c>
      <c r="M143" s="6">
        <v>45491</v>
      </c>
      <c r="N143" s="3" t="s">
        <v>64</v>
      </c>
      <c r="O143" s="3" t="s">
        <v>3858</v>
      </c>
      <c r="P143" s="7">
        <v>1560</v>
      </c>
      <c r="Q143" s="7">
        <v>130</v>
      </c>
      <c r="R143" s="8"/>
      <c r="S143" s="7">
        <v>1560</v>
      </c>
      <c r="T143" s="8">
        <v>1560</v>
      </c>
      <c r="U143" s="3">
        <v>1560</v>
      </c>
      <c r="V143" s="3" t="s">
        <v>54</v>
      </c>
      <c r="W143" s="3">
        <v>0</v>
      </c>
      <c r="X143" s="3" t="s">
        <v>131</v>
      </c>
      <c r="Y143" s="3" t="s">
        <v>131</v>
      </c>
      <c r="Z143" s="3" t="s">
        <v>4056</v>
      </c>
      <c r="AA143" s="3" t="s">
        <v>4137</v>
      </c>
      <c r="AB143" s="9">
        <v>45490</v>
      </c>
      <c r="AC143" s="3" t="s">
        <v>131</v>
      </c>
      <c r="AD143" s="3"/>
    </row>
    <row r="144" spans="1:30">
      <c r="A144" s="3" t="s">
        <v>44</v>
      </c>
      <c r="B144" s="4">
        <v>45490</v>
      </c>
      <c r="C144" s="3" t="s">
        <v>209</v>
      </c>
      <c r="D144" s="3" t="s">
        <v>210</v>
      </c>
      <c r="E144" s="5" t="s">
        <v>211</v>
      </c>
      <c r="F144" s="3" t="s">
        <v>4142</v>
      </c>
      <c r="G144" s="3" t="s">
        <v>4143</v>
      </c>
      <c r="H144" s="3"/>
      <c r="I144" s="3" t="s">
        <v>51</v>
      </c>
      <c r="J144" s="6">
        <v>44760</v>
      </c>
      <c r="K144" s="6"/>
      <c r="L144" s="6">
        <v>45125</v>
      </c>
      <c r="M144" s="6">
        <v>45490</v>
      </c>
      <c r="N144" s="3" t="s">
        <v>64</v>
      </c>
      <c r="O144" s="3" t="s">
        <v>3858</v>
      </c>
      <c r="P144" s="7">
        <v>1560</v>
      </c>
      <c r="Q144" s="7">
        <v>130</v>
      </c>
      <c r="R144" s="8"/>
      <c r="S144" s="7">
        <v>1560</v>
      </c>
      <c r="T144" s="8">
        <v>1560</v>
      </c>
      <c r="U144" s="3">
        <v>1560</v>
      </c>
      <c r="V144" s="3" t="s">
        <v>54</v>
      </c>
      <c r="W144" s="3">
        <v>0</v>
      </c>
      <c r="X144" s="3" t="s">
        <v>131</v>
      </c>
      <c r="Y144" s="3" t="s">
        <v>131</v>
      </c>
      <c r="Z144" s="3" t="s">
        <v>4056</v>
      </c>
      <c r="AA144" s="3" t="s">
        <v>4137</v>
      </c>
      <c r="AB144" s="9">
        <v>45490</v>
      </c>
      <c r="AC144" s="3" t="s">
        <v>131</v>
      </c>
      <c r="AD144" s="3"/>
    </row>
    <row r="145" spans="1:30" hidden="1">
      <c r="A145" s="3" t="s">
        <v>44</v>
      </c>
      <c r="B145" s="4">
        <v>45494</v>
      </c>
      <c r="C145" s="3" t="s">
        <v>209</v>
      </c>
      <c r="D145" s="3" t="s">
        <v>210</v>
      </c>
      <c r="E145" s="5" t="s">
        <v>211</v>
      </c>
      <c r="F145" s="3" t="s">
        <v>4144</v>
      </c>
      <c r="G145" s="3" t="s">
        <v>4145</v>
      </c>
      <c r="H145" s="3"/>
      <c r="I145" s="3" t="s">
        <v>51</v>
      </c>
      <c r="J145" s="6">
        <v>45129</v>
      </c>
      <c r="K145" s="6"/>
      <c r="L145" s="6">
        <v>45129</v>
      </c>
      <c r="M145" s="6">
        <v>45494</v>
      </c>
      <c r="N145" s="3" t="s">
        <v>52</v>
      </c>
      <c r="O145" s="3" t="s">
        <v>3858</v>
      </c>
      <c r="P145" s="7">
        <v>1560</v>
      </c>
      <c r="Q145" s="7">
        <v>130</v>
      </c>
      <c r="R145" s="8"/>
      <c r="S145" s="7">
        <v>1560</v>
      </c>
      <c r="T145" s="8">
        <v>1560</v>
      </c>
      <c r="U145" s="3">
        <v>1560</v>
      </c>
      <c r="V145" s="3" t="s">
        <v>54</v>
      </c>
      <c r="W145" s="3">
        <v>0</v>
      </c>
      <c r="X145" s="3" t="s">
        <v>131</v>
      </c>
      <c r="Y145" s="3" t="s">
        <v>131</v>
      </c>
      <c r="Z145" s="3" t="s">
        <v>4056</v>
      </c>
      <c r="AA145" s="3" t="s">
        <v>4137</v>
      </c>
      <c r="AB145" s="9">
        <v>45494</v>
      </c>
      <c r="AC145" s="3" t="s">
        <v>131</v>
      </c>
      <c r="AD145" s="3"/>
    </row>
    <row r="146" spans="1:30" hidden="1">
      <c r="A146" s="3" t="s">
        <v>44</v>
      </c>
      <c r="B146" s="4">
        <v>45496</v>
      </c>
      <c r="C146" s="3" t="s">
        <v>209</v>
      </c>
      <c r="D146" s="3" t="s">
        <v>210</v>
      </c>
      <c r="E146" s="5" t="s">
        <v>211</v>
      </c>
      <c r="F146" s="3" t="s">
        <v>4146</v>
      </c>
      <c r="G146" s="3" t="s">
        <v>4147</v>
      </c>
      <c r="H146" s="3"/>
      <c r="I146" s="3" t="s">
        <v>51</v>
      </c>
      <c r="J146" s="6">
        <v>45131</v>
      </c>
      <c r="K146" s="6"/>
      <c r="L146" s="6">
        <v>45131</v>
      </c>
      <c r="M146" s="6">
        <v>45496</v>
      </c>
      <c r="N146" s="3" t="s">
        <v>52</v>
      </c>
      <c r="O146" s="3" t="s">
        <v>3858</v>
      </c>
      <c r="P146" s="7">
        <v>1560</v>
      </c>
      <c r="Q146" s="7">
        <v>130</v>
      </c>
      <c r="R146" s="8"/>
      <c r="S146" s="7">
        <v>1560</v>
      </c>
      <c r="T146" s="8">
        <v>1560</v>
      </c>
      <c r="U146" s="3">
        <v>1560</v>
      </c>
      <c r="V146" s="3" t="s">
        <v>54</v>
      </c>
      <c r="W146" s="3">
        <v>0</v>
      </c>
      <c r="X146" s="3" t="s">
        <v>131</v>
      </c>
      <c r="Y146" s="3" t="s">
        <v>131</v>
      </c>
      <c r="Z146" s="3" t="s">
        <v>4056</v>
      </c>
      <c r="AA146" s="3" t="s">
        <v>4137</v>
      </c>
      <c r="AB146" s="9">
        <v>45496</v>
      </c>
      <c r="AC146" s="3" t="s">
        <v>131</v>
      </c>
      <c r="AD146" s="3"/>
    </row>
    <row r="147" spans="1:30" hidden="1">
      <c r="A147" s="3" t="s">
        <v>44</v>
      </c>
      <c r="B147" s="4">
        <v>45498</v>
      </c>
      <c r="C147" s="3" t="s">
        <v>209</v>
      </c>
      <c r="D147" s="3" t="s">
        <v>210</v>
      </c>
      <c r="E147" s="5" t="s">
        <v>211</v>
      </c>
      <c r="F147" s="3" t="s">
        <v>4148</v>
      </c>
      <c r="G147" s="3" t="s">
        <v>1049</v>
      </c>
      <c r="H147" s="3"/>
      <c r="I147" s="3" t="s">
        <v>51</v>
      </c>
      <c r="J147" s="6">
        <v>45133</v>
      </c>
      <c r="K147" s="6"/>
      <c r="L147" s="6">
        <v>45133</v>
      </c>
      <c r="M147" s="6">
        <v>45498</v>
      </c>
      <c r="N147" s="3" t="s">
        <v>52</v>
      </c>
      <c r="O147" s="3" t="s">
        <v>3858</v>
      </c>
      <c r="P147" s="7">
        <v>1560</v>
      </c>
      <c r="Q147" s="7">
        <v>130</v>
      </c>
      <c r="R147" s="8"/>
      <c r="S147" s="7">
        <v>1500</v>
      </c>
      <c r="T147" s="8">
        <v>1560</v>
      </c>
      <c r="U147" s="3">
        <v>1560</v>
      </c>
      <c r="V147" s="3" t="s">
        <v>54</v>
      </c>
      <c r="W147" s="3">
        <v>0</v>
      </c>
      <c r="X147" s="3" t="s">
        <v>131</v>
      </c>
      <c r="Y147" s="3" t="s">
        <v>131</v>
      </c>
      <c r="Z147" s="3" t="s">
        <v>4056</v>
      </c>
      <c r="AA147" s="3" t="s">
        <v>4137</v>
      </c>
      <c r="AB147" s="9">
        <v>45498</v>
      </c>
      <c r="AC147" s="3" t="s">
        <v>131</v>
      </c>
      <c r="AD147" s="3"/>
    </row>
    <row r="148" spans="1:30">
      <c r="A148" s="3" t="s">
        <v>44</v>
      </c>
      <c r="B148" s="4">
        <v>45509</v>
      </c>
      <c r="C148" s="3" t="s">
        <v>209</v>
      </c>
      <c r="D148" s="3" t="s">
        <v>210</v>
      </c>
      <c r="E148" s="5" t="s">
        <v>211</v>
      </c>
      <c r="F148" s="3" t="s">
        <v>4149</v>
      </c>
      <c r="G148" s="3" t="s">
        <v>4150</v>
      </c>
      <c r="H148" s="3"/>
      <c r="I148" s="3" t="s">
        <v>51</v>
      </c>
      <c r="J148" s="6">
        <v>44932</v>
      </c>
      <c r="K148" s="6"/>
      <c r="L148" s="6">
        <v>45144</v>
      </c>
      <c r="M148" s="6">
        <v>45509</v>
      </c>
      <c r="N148" s="3" t="s">
        <v>64</v>
      </c>
      <c r="O148" s="3" t="s">
        <v>3858</v>
      </c>
      <c r="P148" s="7">
        <v>1560</v>
      </c>
      <c r="Q148" s="7">
        <v>130</v>
      </c>
      <c r="R148" s="8"/>
      <c r="S148" s="7">
        <v>1800</v>
      </c>
      <c r="T148" s="8">
        <v>1560</v>
      </c>
      <c r="U148" s="3">
        <v>1560</v>
      </c>
      <c r="V148" s="3" t="s">
        <v>54</v>
      </c>
      <c r="W148" s="3">
        <v>0</v>
      </c>
      <c r="X148" s="3" t="s">
        <v>131</v>
      </c>
      <c r="Y148" s="3" t="s">
        <v>131</v>
      </c>
      <c r="Z148" s="3" t="s">
        <v>4056</v>
      </c>
      <c r="AA148" s="3" t="s">
        <v>4137</v>
      </c>
      <c r="AB148" s="9">
        <v>45509</v>
      </c>
      <c r="AC148" s="3" t="s">
        <v>131</v>
      </c>
      <c r="AD148" s="3"/>
    </row>
    <row r="149" spans="1:30" hidden="1">
      <c r="A149" s="3" t="s">
        <v>44</v>
      </c>
      <c r="B149" s="4">
        <v>45510</v>
      </c>
      <c r="C149" s="3" t="s">
        <v>209</v>
      </c>
      <c r="D149" s="3" t="s">
        <v>210</v>
      </c>
      <c r="E149" s="5" t="s">
        <v>211</v>
      </c>
      <c r="F149" s="3" t="s">
        <v>4151</v>
      </c>
      <c r="G149" s="3" t="s">
        <v>4152</v>
      </c>
      <c r="H149" s="3"/>
      <c r="I149" s="3" t="s">
        <v>51</v>
      </c>
      <c r="J149" s="6">
        <v>45145</v>
      </c>
      <c r="K149" s="6"/>
      <c r="L149" s="6">
        <v>45145</v>
      </c>
      <c r="M149" s="6">
        <v>45510</v>
      </c>
      <c r="N149" s="3" t="s">
        <v>52</v>
      </c>
      <c r="O149" s="3" t="s">
        <v>3858</v>
      </c>
      <c r="P149" s="7">
        <v>1560</v>
      </c>
      <c r="Q149" s="7">
        <v>130</v>
      </c>
      <c r="R149" s="8"/>
      <c r="S149" s="7">
        <v>0</v>
      </c>
      <c r="T149" s="8">
        <v>1560</v>
      </c>
      <c r="U149" s="3">
        <v>1560</v>
      </c>
      <c r="V149" s="3" t="s">
        <v>54</v>
      </c>
      <c r="W149" s="3">
        <v>0</v>
      </c>
      <c r="X149" s="3" t="s">
        <v>131</v>
      </c>
      <c r="Y149" s="3" t="s">
        <v>131</v>
      </c>
      <c r="Z149" s="3" t="s">
        <v>4056</v>
      </c>
      <c r="AA149" s="3" t="s">
        <v>4137</v>
      </c>
      <c r="AB149" s="9">
        <v>45510</v>
      </c>
      <c r="AC149" s="3" t="s">
        <v>131</v>
      </c>
      <c r="AD149" s="3"/>
    </row>
    <row r="150" spans="1:30" hidden="1">
      <c r="A150" s="3" t="s">
        <v>44</v>
      </c>
      <c r="B150" s="4">
        <v>45511</v>
      </c>
      <c r="C150" s="3" t="s">
        <v>209</v>
      </c>
      <c r="D150" s="3" t="s">
        <v>210</v>
      </c>
      <c r="E150" s="5" t="s">
        <v>211</v>
      </c>
      <c r="F150" s="3" t="s">
        <v>4153</v>
      </c>
      <c r="G150" s="3" t="s">
        <v>4154</v>
      </c>
      <c r="H150" s="3"/>
      <c r="I150" s="3" t="s">
        <v>51</v>
      </c>
      <c r="J150" s="6">
        <v>45146</v>
      </c>
      <c r="K150" s="6"/>
      <c r="L150" s="6">
        <v>45146</v>
      </c>
      <c r="M150" s="6">
        <v>45511</v>
      </c>
      <c r="N150" s="3" t="s">
        <v>52</v>
      </c>
      <c r="O150" s="3" t="s">
        <v>3858</v>
      </c>
      <c r="P150" s="7">
        <v>1560</v>
      </c>
      <c r="Q150" s="7">
        <v>130</v>
      </c>
      <c r="R150" s="8"/>
      <c r="S150" s="7">
        <v>1560</v>
      </c>
      <c r="T150" s="8">
        <v>1560</v>
      </c>
      <c r="U150" s="3">
        <v>1560</v>
      </c>
      <c r="V150" s="3" t="s">
        <v>54</v>
      </c>
      <c r="W150" s="3">
        <v>0</v>
      </c>
      <c r="X150" s="3" t="s">
        <v>131</v>
      </c>
      <c r="Y150" s="3" t="s">
        <v>131</v>
      </c>
      <c r="Z150" s="3" t="s">
        <v>4056</v>
      </c>
      <c r="AA150" s="3" t="s">
        <v>4137</v>
      </c>
      <c r="AB150" s="9">
        <v>45511</v>
      </c>
      <c r="AC150" s="3" t="s">
        <v>131</v>
      </c>
      <c r="AD150" s="3"/>
    </row>
    <row r="151" spans="1:30">
      <c r="A151" s="3" t="s">
        <v>44</v>
      </c>
      <c r="B151" s="4">
        <v>45504</v>
      </c>
      <c r="C151" s="3" t="s">
        <v>3794</v>
      </c>
      <c r="D151" s="3" t="s">
        <v>4155</v>
      </c>
      <c r="E151" s="3" t="s">
        <v>4156</v>
      </c>
      <c r="F151" s="3" t="s">
        <v>4157</v>
      </c>
      <c r="G151" s="3" t="s">
        <v>4158</v>
      </c>
      <c r="H151" s="3"/>
      <c r="I151" s="3" t="s">
        <v>51</v>
      </c>
      <c r="J151" s="6">
        <v>44044</v>
      </c>
      <c r="K151" s="6"/>
      <c r="L151" s="6">
        <v>45139</v>
      </c>
      <c r="M151" s="6">
        <v>45504</v>
      </c>
      <c r="N151" s="3" t="s">
        <v>64</v>
      </c>
      <c r="O151" s="3" t="s">
        <v>3858</v>
      </c>
      <c r="P151" s="7">
        <v>300</v>
      </c>
      <c r="Q151" s="7">
        <v>25</v>
      </c>
      <c r="R151" s="8">
        <v>204</v>
      </c>
      <c r="S151" s="7">
        <v>300</v>
      </c>
      <c r="T151" s="8">
        <v>204</v>
      </c>
      <c r="U151" s="3">
        <v>300</v>
      </c>
      <c r="V151" s="3" t="s">
        <v>54</v>
      </c>
      <c r="W151" s="3">
        <v>0</v>
      </c>
      <c r="X151" s="3" t="s">
        <v>131</v>
      </c>
      <c r="Y151" s="3" t="s">
        <v>131</v>
      </c>
      <c r="Z151" s="3" t="s">
        <v>131</v>
      </c>
      <c r="AA151" s="3" t="s">
        <v>4159</v>
      </c>
      <c r="AB151" s="9">
        <v>45504</v>
      </c>
      <c r="AC151" s="3" t="s">
        <v>131</v>
      </c>
      <c r="AD151" s="3"/>
    </row>
    <row r="152" spans="1:30" hidden="1">
      <c r="A152" s="3" t="s">
        <v>44</v>
      </c>
      <c r="B152" s="4">
        <v>45483</v>
      </c>
      <c r="C152" s="3" t="s">
        <v>45</v>
      </c>
      <c r="D152" s="3" t="s">
        <v>46</v>
      </c>
      <c r="E152" s="3" t="s">
        <v>47</v>
      </c>
      <c r="F152" s="3" t="s">
        <v>4160</v>
      </c>
      <c r="G152" s="3" t="s">
        <v>4161</v>
      </c>
      <c r="H152" s="3"/>
      <c r="I152" s="3" t="s">
        <v>51</v>
      </c>
      <c r="J152" s="6">
        <v>45118</v>
      </c>
      <c r="K152" s="6"/>
      <c r="L152" s="6">
        <v>45118</v>
      </c>
      <c r="M152" s="6">
        <v>45483</v>
      </c>
      <c r="N152" s="3" t="s">
        <v>52</v>
      </c>
      <c r="O152" s="3" t="s">
        <v>3858</v>
      </c>
      <c r="P152" s="7">
        <v>1200</v>
      </c>
      <c r="Q152" s="7">
        <v>100</v>
      </c>
      <c r="R152" s="8">
        <v>1200</v>
      </c>
      <c r="S152" s="7">
        <v>1500</v>
      </c>
      <c r="T152" s="8">
        <v>1200</v>
      </c>
      <c r="U152" s="3">
        <v>1200</v>
      </c>
      <c r="V152" s="3" t="s">
        <v>54</v>
      </c>
      <c r="W152" s="3">
        <v>0</v>
      </c>
      <c r="X152" s="3" t="s">
        <v>131</v>
      </c>
      <c r="Y152" s="3" t="s">
        <v>131</v>
      </c>
      <c r="Z152" s="3" t="s">
        <v>131</v>
      </c>
      <c r="AA152" s="3" t="s">
        <v>4114</v>
      </c>
      <c r="AB152" s="9">
        <v>45483</v>
      </c>
      <c r="AC152" s="3" t="s">
        <v>131</v>
      </c>
      <c r="AD152" s="3"/>
    </row>
    <row r="153" spans="1:30" hidden="1">
      <c r="A153" s="3" t="s">
        <v>44</v>
      </c>
      <c r="B153" s="4">
        <v>45487</v>
      </c>
      <c r="C153" s="3" t="s">
        <v>45</v>
      </c>
      <c r="D153" s="3" t="s">
        <v>46</v>
      </c>
      <c r="E153" s="3" t="s">
        <v>47</v>
      </c>
      <c r="F153" s="3" t="s">
        <v>4162</v>
      </c>
      <c r="G153" s="3" t="s">
        <v>334</v>
      </c>
      <c r="H153" s="3"/>
      <c r="I153" s="3" t="s">
        <v>51</v>
      </c>
      <c r="J153" s="6">
        <v>45122</v>
      </c>
      <c r="K153" s="6"/>
      <c r="L153" s="6">
        <v>45122</v>
      </c>
      <c r="M153" s="6">
        <v>45487</v>
      </c>
      <c r="N153" s="3" t="s">
        <v>52</v>
      </c>
      <c r="O153" s="3" t="s">
        <v>3858</v>
      </c>
      <c r="P153" s="7">
        <v>1200</v>
      </c>
      <c r="Q153" s="7">
        <v>100</v>
      </c>
      <c r="R153" s="8">
        <v>1200</v>
      </c>
      <c r="S153" s="7">
        <v>1500</v>
      </c>
      <c r="T153" s="8">
        <v>1200</v>
      </c>
      <c r="U153" s="3">
        <v>1200</v>
      </c>
      <c r="V153" s="3" t="s">
        <v>54</v>
      </c>
      <c r="W153" s="3">
        <v>0</v>
      </c>
      <c r="X153" s="3" t="s">
        <v>131</v>
      </c>
      <c r="Y153" s="3" t="s">
        <v>131</v>
      </c>
      <c r="Z153" s="3" t="s">
        <v>131</v>
      </c>
      <c r="AA153" s="3" t="s">
        <v>4114</v>
      </c>
      <c r="AB153" s="9">
        <v>45487</v>
      </c>
      <c r="AC153" s="3" t="s">
        <v>131</v>
      </c>
      <c r="AD153" s="3"/>
    </row>
    <row r="154" spans="1:30" hidden="1">
      <c r="A154" s="3" t="s">
        <v>44</v>
      </c>
      <c r="B154" s="4">
        <v>45489</v>
      </c>
      <c r="C154" s="3" t="s">
        <v>45</v>
      </c>
      <c r="D154" s="3" t="s">
        <v>46</v>
      </c>
      <c r="E154" s="3" t="s">
        <v>47</v>
      </c>
      <c r="F154" s="3" t="s">
        <v>4163</v>
      </c>
      <c r="G154" s="3" t="s">
        <v>292</v>
      </c>
      <c r="H154" s="3"/>
      <c r="I154" s="3" t="s">
        <v>51</v>
      </c>
      <c r="J154" s="6">
        <v>45124</v>
      </c>
      <c r="K154" s="6"/>
      <c r="L154" s="6">
        <v>45124</v>
      </c>
      <c r="M154" s="6">
        <v>45489</v>
      </c>
      <c r="N154" s="3" t="s">
        <v>52</v>
      </c>
      <c r="O154" s="3" t="s">
        <v>3858</v>
      </c>
      <c r="P154" s="7">
        <v>1200</v>
      </c>
      <c r="Q154" s="7">
        <v>100</v>
      </c>
      <c r="R154" s="8">
        <v>1200</v>
      </c>
      <c r="S154" s="7">
        <v>1500</v>
      </c>
      <c r="T154" s="8">
        <v>1200</v>
      </c>
      <c r="U154" s="3">
        <v>1200</v>
      </c>
      <c r="V154" s="3" t="s">
        <v>54</v>
      </c>
      <c r="W154" s="3">
        <v>0</v>
      </c>
      <c r="X154" s="3" t="s">
        <v>131</v>
      </c>
      <c r="Y154" s="3" t="s">
        <v>131</v>
      </c>
      <c r="Z154" s="3" t="s">
        <v>131</v>
      </c>
      <c r="AA154" s="3" t="s">
        <v>4114</v>
      </c>
      <c r="AB154" s="9">
        <v>45489</v>
      </c>
      <c r="AC154" s="3" t="s">
        <v>131</v>
      </c>
      <c r="AD154" s="3"/>
    </row>
    <row r="155" spans="1:30" hidden="1">
      <c r="A155" s="3" t="s">
        <v>44</v>
      </c>
      <c r="B155" s="4">
        <v>45492</v>
      </c>
      <c r="C155" s="3" t="s">
        <v>45</v>
      </c>
      <c r="D155" s="3" t="s">
        <v>46</v>
      </c>
      <c r="E155" s="3" t="s">
        <v>47</v>
      </c>
      <c r="F155" s="3" t="s">
        <v>4164</v>
      </c>
      <c r="G155" s="3" t="s">
        <v>4165</v>
      </c>
      <c r="H155" s="3"/>
      <c r="I155" s="3" t="s">
        <v>51</v>
      </c>
      <c r="J155" s="6">
        <v>45127</v>
      </c>
      <c r="K155" s="6"/>
      <c r="L155" s="6">
        <v>45127</v>
      </c>
      <c r="M155" s="6">
        <v>45492</v>
      </c>
      <c r="N155" s="3" t="s">
        <v>52</v>
      </c>
      <c r="O155" s="3" t="s">
        <v>3858</v>
      </c>
      <c r="P155" s="7">
        <v>1200</v>
      </c>
      <c r="Q155" s="7">
        <v>100</v>
      </c>
      <c r="R155" s="8">
        <v>1500</v>
      </c>
      <c r="S155" s="7">
        <v>1500</v>
      </c>
      <c r="T155" s="8">
        <v>1500</v>
      </c>
      <c r="U155" s="3">
        <v>1200</v>
      </c>
      <c r="V155" s="3" t="s">
        <v>54</v>
      </c>
      <c r="W155" s="3">
        <v>0</v>
      </c>
      <c r="X155" s="3" t="s">
        <v>131</v>
      </c>
      <c r="Y155" s="3" t="s">
        <v>131</v>
      </c>
      <c r="Z155" s="3" t="s">
        <v>131</v>
      </c>
      <c r="AA155" s="3" t="s">
        <v>4114</v>
      </c>
      <c r="AB155" s="9">
        <v>45492</v>
      </c>
      <c r="AC155" s="3" t="s">
        <v>131</v>
      </c>
      <c r="AD155" s="3"/>
    </row>
    <row r="156" spans="1:30" hidden="1">
      <c r="A156" s="3" t="s">
        <v>44</v>
      </c>
      <c r="B156" s="4">
        <v>45492</v>
      </c>
      <c r="C156" s="3" t="s">
        <v>45</v>
      </c>
      <c r="D156" s="3" t="s">
        <v>46</v>
      </c>
      <c r="E156" s="3" t="s">
        <v>47</v>
      </c>
      <c r="F156" s="3" t="s">
        <v>4166</v>
      </c>
      <c r="G156" s="3" t="s">
        <v>268</v>
      </c>
      <c r="H156" s="3"/>
      <c r="I156" s="3" t="s">
        <v>51</v>
      </c>
      <c r="J156" s="6">
        <v>45127</v>
      </c>
      <c r="K156" s="6"/>
      <c r="L156" s="6">
        <v>45127</v>
      </c>
      <c r="M156" s="6">
        <v>45492</v>
      </c>
      <c r="N156" s="3" t="s">
        <v>52</v>
      </c>
      <c r="O156" s="3" t="s">
        <v>3858</v>
      </c>
      <c r="P156" s="7">
        <v>1200</v>
      </c>
      <c r="Q156" s="7">
        <v>100</v>
      </c>
      <c r="R156" s="8">
        <v>1200</v>
      </c>
      <c r="S156" s="7">
        <v>1500</v>
      </c>
      <c r="T156" s="8">
        <v>1260</v>
      </c>
      <c r="U156" s="3">
        <v>1200</v>
      </c>
      <c r="V156" s="3" t="s">
        <v>54</v>
      </c>
      <c r="W156" s="3">
        <v>0</v>
      </c>
      <c r="X156" s="3" t="s">
        <v>131</v>
      </c>
      <c r="Y156" s="3" t="s">
        <v>131</v>
      </c>
      <c r="Z156" s="3" t="s">
        <v>131</v>
      </c>
      <c r="AA156" s="3" t="s">
        <v>4114</v>
      </c>
      <c r="AB156" s="9">
        <v>45492</v>
      </c>
      <c r="AC156" s="3" t="s">
        <v>131</v>
      </c>
      <c r="AD156" s="3"/>
    </row>
    <row r="157" spans="1:30" hidden="1">
      <c r="A157" s="3" t="s">
        <v>44</v>
      </c>
      <c r="B157" s="4">
        <v>45497</v>
      </c>
      <c r="C157" s="3" t="s">
        <v>45</v>
      </c>
      <c r="D157" s="3" t="s">
        <v>46</v>
      </c>
      <c r="E157" s="3" t="s">
        <v>47</v>
      </c>
      <c r="F157" s="3" t="s">
        <v>4167</v>
      </c>
      <c r="G157" s="3" t="s">
        <v>4168</v>
      </c>
      <c r="H157" s="3"/>
      <c r="I157" s="3" t="s">
        <v>51</v>
      </c>
      <c r="J157" s="6">
        <v>45132</v>
      </c>
      <c r="K157" s="6"/>
      <c r="L157" s="6">
        <v>45132</v>
      </c>
      <c r="M157" s="6">
        <v>45497</v>
      </c>
      <c r="N157" s="3" t="s">
        <v>52</v>
      </c>
      <c r="O157" s="3" t="s">
        <v>3858</v>
      </c>
      <c r="P157" s="7">
        <v>1200</v>
      </c>
      <c r="Q157" s="7">
        <v>100</v>
      </c>
      <c r="R157" s="8">
        <v>1200</v>
      </c>
      <c r="S157" s="7">
        <v>1500</v>
      </c>
      <c r="T157" s="8">
        <v>1200</v>
      </c>
      <c r="U157" s="3">
        <v>1200</v>
      </c>
      <c r="V157" s="3" t="s">
        <v>54</v>
      </c>
      <c r="W157" s="3">
        <v>0</v>
      </c>
      <c r="X157" s="3" t="s">
        <v>131</v>
      </c>
      <c r="Y157" s="3" t="s">
        <v>131</v>
      </c>
      <c r="Z157" s="3" t="s">
        <v>131</v>
      </c>
      <c r="AA157" s="3" t="s">
        <v>4114</v>
      </c>
      <c r="AB157" s="9">
        <v>45497</v>
      </c>
      <c r="AC157" s="3" t="s">
        <v>131</v>
      </c>
      <c r="AD157" s="3"/>
    </row>
    <row r="158" spans="1:30" hidden="1">
      <c r="A158" s="3" t="s">
        <v>44</v>
      </c>
      <c r="B158" s="4">
        <v>45499</v>
      </c>
      <c r="C158" s="3" t="s">
        <v>45</v>
      </c>
      <c r="D158" s="3" t="s">
        <v>46</v>
      </c>
      <c r="E158" s="3" t="s">
        <v>47</v>
      </c>
      <c r="F158" s="3" t="s">
        <v>4169</v>
      </c>
      <c r="G158" s="3" t="s">
        <v>4170</v>
      </c>
      <c r="H158" s="3"/>
      <c r="I158" s="3" t="s">
        <v>51</v>
      </c>
      <c r="J158" s="6">
        <v>45134</v>
      </c>
      <c r="K158" s="6"/>
      <c r="L158" s="6">
        <v>45134</v>
      </c>
      <c r="M158" s="6">
        <v>45499</v>
      </c>
      <c r="N158" s="3" t="s">
        <v>52</v>
      </c>
      <c r="O158" s="3" t="s">
        <v>3858</v>
      </c>
      <c r="P158" s="7">
        <v>1200</v>
      </c>
      <c r="Q158" s="7">
        <v>100</v>
      </c>
      <c r="R158" s="8">
        <v>1200</v>
      </c>
      <c r="S158" s="7">
        <v>1500</v>
      </c>
      <c r="T158" s="8">
        <v>1200</v>
      </c>
      <c r="U158" s="3">
        <v>1200</v>
      </c>
      <c r="V158" s="3" t="s">
        <v>54</v>
      </c>
      <c r="W158" s="3">
        <v>0</v>
      </c>
      <c r="X158" s="3" t="s">
        <v>131</v>
      </c>
      <c r="Y158" s="3" t="s">
        <v>131</v>
      </c>
      <c r="Z158" s="3" t="s">
        <v>131</v>
      </c>
      <c r="AA158" s="3" t="s">
        <v>4114</v>
      </c>
      <c r="AB158" s="9">
        <v>45499</v>
      </c>
      <c r="AC158" s="3" t="s">
        <v>131</v>
      </c>
      <c r="AD158" s="3"/>
    </row>
    <row r="159" spans="1:30">
      <c r="A159" s="3" t="s">
        <v>44</v>
      </c>
      <c r="B159" s="4">
        <v>45501</v>
      </c>
      <c r="C159" s="3" t="s">
        <v>45</v>
      </c>
      <c r="D159" s="3" t="s">
        <v>46</v>
      </c>
      <c r="E159" s="3" t="s">
        <v>47</v>
      </c>
      <c r="F159" s="3" t="s">
        <v>4171</v>
      </c>
      <c r="G159" s="3" t="s">
        <v>4172</v>
      </c>
      <c r="H159" s="3"/>
      <c r="I159" s="3" t="s">
        <v>51</v>
      </c>
      <c r="J159" s="6">
        <v>44649</v>
      </c>
      <c r="K159" s="6"/>
      <c r="L159" s="6">
        <v>45136</v>
      </c>
      <c r="M159" s="6">
        <v>45501</v>
      </c>
      <c r="N159" s="3" t="s">
        <v>64</v>
      </c>
      <c r="O159" s="3" t="s">
        <v>3858</v>
      </c>
      <c r="P159" s="7">
        <v>1200</v>
      </c>
      <c r="Q159" s="7">
        <v>100</v>
      </c>
      <c r="R159" s="8">
        <v>1200</v>
      </c>
      <c r="S159" s="7">
        <v>1500</v>
      </c>
      <c r="T159" s="8">
        <v>1200</v>
      </c>
      <c r="U159" s="3">
        <v>1200</v>
      </c>
      <c r="V159" s="3" t="s">
        <v>54</v>
      </c>
      <c r="W159" s="3">
        <v>0</v>
      </c>
      <c r="X159" s="3" t="s">
        <v>131</v>
      </c>
      <c r="Y159" s="3" t="s">
        <v>131</v>
      </c>
      <c r="Z159" s="3" t="s">
        <v>131</v>
      </c>
      <c r="AA159" s="3" t="s">
        <v>4114</v>
      </c>
      <c r="AB159" s="9">
        <v>45501</v>
      </c>
      <c r="AC159" s="3" t="s">
        <v>131</v>
      </c>
      <c r="AD159" s="3"/>
    </row>
    <row r="160" spans="1:30" hidden="1">
      <c r="A160" s="3" t="s">
        <v>44</v>
      </c>
      <c r="B160" s="4">
        <v>45501</v>
      </c>
      <c r="C160" s="3" t="s">
        <v>45</v>
      </c>
      <c r="D160" s="3" t="s">
        <v>46</v>
      </c>
      <c r="E160" s="3" t="s">
        <v>47</v>
      </c>
      <c r="F160" s="3" t="s">
        <v>4173</v>
      </c>
      <c r="G160" s="3" t="s">
        <v>336</v>
      </c>
      <c r="H160" s="3"/>
      <c r="I160" s="3" t="s">
        <v>51</v>
      </c>
      <c r="J160" s="6">
        <v>45136</v>
      </c>
      <c r="K160" s="6"/>
      <c r="L160" s="6">
        <v>45136</v>
      </c>
      <c r="M160" s="6">
        <v>45501</v>
      </c>
      <c r="N160" s="3" t="s">
        <v>52</v>
      </c>
      <c r="O160" s="3" t="s">
        <v>3858</v>
      </c>
      <c r="P160" s="7">
        <v>1200</v>
      </c>
      <c r="Q160" s="7">
        <v>100</v>
      </c>
      <c r="R160" s="8">
        <v>1200</v>
      </c>
      <c r="S160" s="7">
        <v>1500</v>
      </c>
      <c r="T160" s="8">
        <v>1200</v>
      </c>
      <c r="U160" s="3">
        <v>1200</v>
      </c>
      <c r="V160" s="3" t="s">
        <v>395</v>
      </c>
      <c r="W160" s="3">
        <v>0</v>
      </c>
      <c r="X160" s="3" t="s">
        <v>131</v>
      </c>
      <c r="Y160" s="3" t="s">
        <v>131</v>
      </c>
      <c r="Z160" s="3" t="s">
        <v>131</v>
      </c>
      <c r="AA160" s="3" t="s">
        <v>4114</v>
      </c>
      <c r="AB160" s="9">
        <v>45501</v>
      </c>
      <c r="AC160" s="3" t="s">
        <v>131</v>
      </c>
      <c r="AD160" s="3"/>
    </row>
    <row r="161" spans="1:30" hidden="1">
      <c r="A161" s="3" t="s">
        <v>44</v>
      </c>
      <c r="B161" s="4">
        <v>45502</v>
      </c>
      <c r="C161" s="3" t="s">
        <v>45</v>
      </c>
      <c r="D161" s="3" t="s">
        <v>46</v>
      </c>
      <c r="E161" s="3" t="s">
        <v>47</v>
      </c>
      <c r="F161" s="3" t="s">
        <v>4174</v>
      </c>
      <c r="G161" s="3" t="s">
        <v>4175</v>
      </c>
      <c r="H161" s="3"/>
      <c r="I161" s="3" t="s">
        <v>51</v>
      </c>
      <c r="J161" s="6">
        <v>45137</v>
      </c>
      <c r="K161" s="6"/>
      <c r="L161" s="6">
        <v>45137</v>
      </c>
      <c r="M161" s="6">
        <v>45502</v>
      </c>
      <c r="N161" s="3" t="s">
        <v>52</v>
      </c>
      <c r="O161" s="3" t="s">
        <v>3858</v>
      </c>
      <c r="P161" s="7">
        <v>1200</v>
      </c>
      <c r="Q161" s="7">
        <v>100</v>
      </c>
      <c r="R161" s="8">
        <v>1200</v>
      </c>
      <c r="S161" s="7">
        <v>1260</v>
      </c>
      <c r="T161" s="8">
        <v>1200</v>
      </c>
      <c r="U161" s="3">
        <v>1200</v>
      </c>
      <c r="V161" s="3" t="s">
        <v>54</v>
      </c>
      <c r="W161" s="3">
        <v>0</v>
      </c>
      <c r="X161" s="3" t="s">
        <v>131</v>
      </c>
      <c r="Y161" s="3" t="s">
        <v>131</v>
      </c>
      <c r="Z161" s="3" t="s">
        <v>131</v>
      </c>
      <c r="AA161" s="3" t="s">
        <v>4114</v>
      </c>
      <c r="AB161" s="9">
        <v>45502</v>
      </c>
      <c r="AC161" s="3" t="s">
        <v>131</v>
      </c>
      <c r="AD161" s="3"/>
    </row>
    <row r="162" spans="1:30">
      <c r="A162" s="3" t="s">
        <v>44</v>
      </c>
      <c r="B162" s="4">
        <v>45511</v>
      </c>
      <c r="C162" s="3" t="s">
        <v>45</v>
      </c>
      <c r="D162" s="3" t="s">
        <v>46</v>
      </c>
      <c r="E162" s="3" t="s">
        <v>47</v>
      </c>
      <c r="F162" s="3" t="s">
        <v>4176</v>
      </c>
      <c r="G162" s="3" t="s">
        <v>4177</v>
      </c>
      <c r="H162" s="3"/>
      <c r="I162" s="3" t="s">
        <v>51</v>
      </c>
      <c r="J162" s="6">
        <v>44781</v>
      </c>
      <c r="K162" s="6"/>
      <c r="L162" s="6">
        <v>45146</v>
      </c>
      <c r="M162" s="6">
        <v>45511</v>
      </c>
      <c r="N162" s="3" t="s">
        <v>64</v>
      </c>
      <c r="O162" s="3" t="s">
        <v>3858</v>
      </c>
      <c r="P162" s="7">
        <v>1200</v>
      </c>
      <c r="Q162" s="7">
        <v>100</v>
      </c>
      <c r="R162" s="8">
        <v>1200</v>
      </c>
      <c r="S162" s="7">
        <v>1500</v>
      </c>
      <c r="T162" s="8">
        <v>1200</v>
      </c>
      <c r="U162" s="3">
        <v>1200</v>
      </c>
      <c r="V162" s="3" t="s">
        <v>54</v>
      </c>
      <c r="W162" s="3">
        <v>0</v>
      </c>
      <c r="X162" s="3" t="s">
        <v>131</v>
      </c>
      <c r="Y162" s="3" t="s">
        <v>131</v>
      </c>
      <c r="Z162" s="3" t="s">
        <v>131</v>
      </c>
      <c r="AA162" s="3" t="s">
        <v>4114</v>
      </c>
      <c r="AB162" s="9">
        <v>45511</v>
      </c>
      <c r="AC162" s="3" t="s">
        <v>131</v>
      </c>
      <c r="AD162" s="3"/>
    </row>
    <row r="163" spans="1:30" hidden="1">
      <c r="A163" s="3" t="s">
        <v>44</v>
      </c>
      <c r="B163" s="4">
        <v>45521</v>
      </c>
      <c r="C163" s="3" t="s">
        <v>45</v>
      </c>
      <c r="D163" s="3" t="s">
        <v>46</v>
      </c>
      <c r="E163" s="3" t="s">
        <v>47</v>
      </c>
      <c r="F163" s="3" t="s">
        <v>4178</v>
      </c>
      <c r="G163" s="3" t="s">
        <v>2103</v>
      </c>
      <c r="H163" s="3"/>
      <c r="I163" s="3" t="s">
        <v>51</v>
      </c>
      <c r="J163" s="6">
        <v>45156</v>
      </c>
      <c r="K163" s="6"/>
      <c r="L163" s="6">
        <v>45156</v>
      </c>
      <c r="M163" s="6">
        <v>45521</v>
      </c>
      <c r="N163" s="3" t="s">
        <v>52</v>
      </c>
      <c r="O163" s="3" t="s">
        <v>3858</v>
      </c>
      <c r="P163" s="7">
        <v>1200</v>
      </c>
      <c r="Q163" s="7">
        <v>100</v>
      </c>
      <c r="R163" s="8">
        <v>1260</v>
      </c>
      <c r="S163" s="7">
        <v>1500</v>
      </c>
      <c r="T163" s="8">
        <v>1260</v>
      </c>
      <c r="U163" s="3">
        <v>1200</v>
      </c>
      <c r="V163" s="3" t="s">
        <v>395</v>
      </c>
      <c r="W163" s="3">
        <v>0</v>
      </c>
      <c r="X163" s="3" t="s">
        <v>131</v>
      </c>
      <c r="Y163" s="3" t="s">
        <v>131</v>
      </c>
      <c r="Z163" s="3" t="s">
        <v>131</v>
      </c>
      <c r="AA163" s="3" t="s">
        <v>4114</v>
      </c>
      <c r="AB163" s="9">
        <v>45521</v>
      </c>
      <c r="AC163" s="3" t="s">
        <v>131</v>
      </c>
      <c r="AD163" s="3"/>
    </row>
    <row r="164" spans="1:30" hidden="1">
      <c r="A164" s="3" t="s">
        <v>44</v>
      </c>
      <c r="B164" s="4">
        <v>45522</v>
      </c>
      <c r="C164" s="3" t="s">
        <v>45</v>
      </c>
      <c r="D164" s="3" t="s">
        <v>46</v>
      </c>
      <c r="E164" s="3" t="s">
        <v>47</v>
      </c>
      <c r="F164" s="3" t="s">
        <v>4179</v>
      </c>
      <c r="G164" s="3" t="s">
        <v>4180</v>
      </c>
      <c r="H164" s="3"/>
      <c r="I164" s="3" t="s">
        <v>51</v>
      </c>
      <c r="J164" s="6">
        <v>45157</v>
      </c>
      <c r="K164" s="6"/>
      <c r="L164" s="6">
        <v>45157</v>
      </c>
      <c r="M164" s="6">
        <v>45522</v>
      </c>
      <c r="N164" s="3" t="s">
        <v>52</v>
      </c>
      <c r="O164" s="3" t="s">
        <v>3858</v>
      </c>
      <c r="P164" s="7">
        <v>1200</v>
      </c>
      <c r="Q164" s="7">
        <v>100</v>
      </c>
      <c r="R164" s="8">
        <v>1200</v>
      </c>
      <c r="S164" s="7">
        <v>1500</v>
      </c>
      <c r="T164" s="8">
        <v>1500</v>
      </c>
      <c r="U164" s="3">
        <v>1200</v>
      </c>
      <c r="V164" s="3" t="s">
        <v>54</v>
      </c>
      <c r="W164" s="3">
        <v>0</v>
      </c>
      <c r="X164" s="3" t="s">
        <v>131</v>
      </c>
      <c r="Y164" s="3" t="s">
        <v>131</v>
      </c>
      <c r="Z164" s="3" t="s">
        <v>131</v>
      </c>
      <c r="AA164" s="3" t="s">
        <v>4114</v>
      </c>
      <c r="AB164" s="9">
        <v>45522</v>
      </c>
      <c r="AC164" s="3" t="s">
        <v>131</v>
      </c>
      <c r="AD164" s="3"/>
    </row>
    <row r="165" spans="1:30">
      <c r="A165" s="3" t="s">
        <v>44</v>
      </c>
      <c r="B165" s="4">
        <v>45533</v>
      </c>
      <c r="C165" s="3" t="s">
        <v>45</v>
      </c>
      <c r="D165" s="3" t="s">
        <v>46</v>
      </c>
      <c r="E165" s="3" t="s">
        <v>47</v>
      </c>
      <c r="F165" s="3" t="s">
        <v>4181</v>
      </c>
      <c r="G165" s="3" t="s">
        <v>3415</v>
      </c>
      <c r="H165" s="3"/>
      <c r="I165" s="3" t="s">
        <v>51</v>
      </c>
      <c r="J165" s="6">
        <v>44680</v>
      </c>
      <c r="K165" s="6"/>
      <c r="L165" s="6">
        <v>45168</v>
      </c>
      <c r="M165" s="6">
        <v>45533</v>
      </c>
      <c r="N165" s="3" t="s">
        <v>64</v>
      </c>
      <c r="O165" s="3" t="s">
        <v>3858</v>
      </c>
      <c r="P165" s="7">
        <v>1200</v>
      </c>
      <c r="Q165" s="7">
        <v>100</v>
      </c>
      <c r="R165" s="8">
        <v>1200</v>
      </c>
      <c r="S165" s="7">
        <v>1500</v>
      </c>
      <c r="T165" s="8">
        <v>1200</v>
      </c>
      <c r="U165" s="3">
        <v>1200</v>
      </c>
      <c r="V165" s="3" t="s">
        <v>54</v>
      </c>
      <c r="W165" s="3">
        <v>0</v>
      </c>
      <c r="X165" s="3" t="s">
        <v>131</v>
      </c>
      <c r="Y165" s="3" t="s">
        <v>131</v>
      </c>
      <c r="Z165" s="3" t="s">
        <v>131</v>
      </c>
      <c r="AA165" s="3" t="s">
        <v>4114</v>
      </c>
      <c r="AB165" s="9">
        <v>45533</v>
      </c>
      <c r="AC165" s="3" t="s">
        <v>131</v>
      </c>
      <c r="AD165" s="3"/>
    </row>
    <row r="166" spans="1:30">
      <c r="A166" s="3" t="s">
        <v>44</v>
      </c>
      <c r="B166" s="4">
        <v>45504</v>
      </c>
      <c r="C166" s="3" t="s">
        <v>83</v>
      </c>
      <c r="D166" s="3" t="s">
        <v>2154</v>
      </c>
      <c r="E166" s="3" t="s">
        <v>929</v>
      </c>
      <c r="F166" s="3" t="s">
        <v>4182</v>
      </c>
      <c r="G166" s="3" t="s">
        <v>4183</v>
      </c>
      <c r="H166" s="3"/>
      <c r="I166" s="3" t="s">
        <v>51</v>
      </c>
      <c r="J166" s="6">
        <v>44378</v>
      </c>
      <c r="K166" s="6"/>
      <c r="L166" s="6">
        <v>45139</v>
      </c>
      <c r="M166" s="6">
        <v>45504</v>
      </c>
      <c r="N166" s="3" t="s">
        <v>64</v>
      </c>
      <c r="O166" s="3" t="s">
        <v>3858</v>
      </c>
      <c r="P166" s="7">
        <v>212</v>
      </c>
      <c r="Q166" s="7">
        <v>17.666666666666668</v>
      </c>
      <c r="R166" s="8">
        <v>300</v>
      </c>
      <c r="S166" s="7">
        <v>540</v>
      </c>
      <c r="T166" s="8">
        <v>300</v>
      </c>
      <c r="U166" s="3">
        <v>212</v>
      </c>
      <c r="V166" s="3" t="s">
        <v>54</v>
      </c>
      <c r="W166" s="3">
        <v>0</v>
      </c>
      <c r="X166" s="3" t="s">
        <v>93</v>
      </c>
      <c r="Y166" s="3" t="s">
        <v>93</v>
      </c>
      <c r="Z166" s="3" t="s">
        <v>131</v>
      </c>
      <c r="AA166" s="3" t="s">
        <v>4184</v>
      </c>
      <c r="AB166" s="9">
        <v>45504</v>
      </c>
      <c r="AC166" s="3" t="s">
        <v>131</v>
      </c>
      <c r="AD166" s="3"/>
    </row>
    <row r="167" spans="1:30">
      <c r="A167" s="3" t="s">
        <v>44</v>
      </c>
      <c r="B167" s="4">
        <v>45504</v>
      </c>
      <c r="C167" s="3" t="s">
        <v>83</v>
      </c>
      <c r="D167" s="3" t="s">
        <v>2154</v>
      </c>
      <c r="E167" s="3" t="s">
        <v>929</v>
      </c>
      <c r="F167" s="3" t="s">
        <v>4185</v>
      </c>
      <c r="G167" s="3" t="s">
        <v>4183</v>
      </c>
      <c r="H167" s="3"/>
      <c r="I167" s="3" t="s">
        <v>51</v>
      </c>
      <c r="J167" s="6">
        <v>44378</v>
      </c>
      <c r="K167" s="6"/>
      <c r="L167" s="6">
        <v>45139</v>
      </c>
      <c r="M167" s="6">
        <v>45504</v>
      </c>
      <c r="N167" s="3" t="s">
        <v>64</v>
      </c>
      <c r="O167" s="3" t="s">
        <v>3858</v>
      </c>
      <c r="P167" s="7">
        <v>212</v>
      </c>
      <c r="Q167" s="7">
        <v>17.666666666666668</v>
      </c>
      <c r="R167" s="8">
        <v>300</v>
      </c>
      <c r="S167" s="7">
        <v>540</v>
      </c>
      <c r="T167" s="8">
        <v>300</v>
      </c>
      <c r="U167" s="3">
        <v>212</v>
      </c>
      <c r="V167" s="3" t="s">
        <v>54</v>
      </c>
      <c r="W167" s="3">
        <v>0</v>
      </c>
      <c r="X167" s="3" t="s">
        <v>93</v>
      </c>
      <c r="Y167" s="3" t="s">
        <v>93</v>
      </c>
      <c r="Z167" s="3" t="s">
        <v>131</v>
      </c>
      <c r="AA167" s="3" t="s">
        <v>4184</v>
      </c>
      <c r="AB167" s="9">
        <v>45504</v>
      </c>
      <c r="AC167" s="3" t="s">
        <v>131</v>
      </c>
      <c r="AD167" s="3"/>
    </row>
    <row r="168" spans="1:30" hidden="1">
      <c r="A168" s="3" t="s">
        <v>44</v>
      </c>
      <c r="B168" s="4">
        <v>45514</v>
      </c>
      <c r="C168" s="3" t="s">
        <v>83</v>
      </c>
      <c r="D168" s="3" t="s">
        <v>2154</v>
      </c>
      <c r="E168" s="3" t="s">
        <v>929</v>
      </c>
      <c r="F168" s="3" t="s">
        <v>4186</v>
      </c>
      <c r="G168" s="3" t="s">
        <v>4187</v>
      </c>
      <c r="H168" s="3"/>
      <c r="I168" s="3" t="s">
        <v>51</v>
      </c>
      <c r="J168" s="6">
        <v>45149</v>
      </c>
      <c r="K168" s="6"/>
      <c r="L168" s="6">
        <v>45149</v>
      </c>
      <c r="M168" s="6">
        <v>45514</v>
      </c>
      <c r="N168" s="3" t="s">
        <v>52</v>
      </c>
      <c r="O168" s="3" t="s">
        <v>3858</v>
      </c>
      <c r="P168" s="7">
        <v>212</v>
      </c>
      <c r="Q168" s="7">
        <v>17.666666666666668</v>
      </c>
      <c r="R168" s="8">
        <v>300</v>
      </c>
      <c r="S168" s="7">
        <v>540</v>
      </c>
      <c r="T168" s="8">
        <v>300</v>
      </c>
      <c r="U168" s="3">
        <v>212</v>
      </c>
      <c r="V168" s="3" t="s">
        <v>54</v>
      </c>
      <c r="W168" s="3">
        <v>0</v>
      </c>
      <c r="X168" s="3" t="s">
        <v>93</v>
      </c>
      <c r="Y168" s="3" t="s">
        <v>93</v>
      </c>
      <c r="Z168" s="3" t="s">
        <v>131</v>
      </c>
      <c r="AA168" s="3" t="s">
        <v>4184</v>
      </c>
      <c r="AB168" s="9">
        <v>45514</v>
      </c>
      <c r="AC168" s="3" t="s">
        <v>131</v>
      </c>
      <c r="AD168" s="3"/>
    </row>
    <row r="169" spans="1:30" hidden="1">
      <c r="A169" s="3" t="s">
        <v>44</v>
      </c>
      <c r="B169" s="4">
        <v>45521</v>
      </c>
      <c r="C169" s="3" t="s">
        <v>83</v>
      </c>
      <c r="D169" s="3" t="s">
        <v>2154</v>
      </c>
      <c r="E169" s="3" t="s">
        <v>929</v>
      </c>
      <c r="F169" s="3" t="s">
        <v>4188</v>
      </c>
      <c r="G169" s="3" t="s">
        <v>4189</v>
      </c>
      <c r="H169" s="3"/>
      <c r="I169" s="3" t="s">
        <v>51</v>
      </c>
      <c r="J169" s="6">
        <v>45156</v>
      </c>
      <c r="K169" s="6"/>
      <c r="L169" s="6">
        <v>45156</v>
      </c>
      <c r="M169" s="6">
        <v>45521</v>
      </c>
      <c r="N169" s="3" t="s">
        <v>52</v>
      </c>
      <c r="O169" s="3" t="s">
        <v>3858</v>
      </c>
      <c r="P169" s="7">
        <v>212</v>
      </c>
      <c r="Q169" s="7">
        <v>17.666666666666668</v>
      </c>
      <c r="R169" s="8">
        <v>300</v>
      </c>
      <c r="S169" s="7">
        <v>540</v>
      </c>
      <c r="T169" s="8">
        <v>300</v>
      </c>
      <c r="U169" s="3">
        <v>212</v>
      </c>
      <c r="V169" s="3" t="s">
        <v>54</v>
      </c>
      <c r="W169" s="3">
        <v>0</v>
      </c>
      <c r="X169" s="3" t="s">
        <v>93</v>
      </c>
      <c r="Y169" s="3" t="s">
        <v>93</v>
      </c>
      <c r="Z169" s="3" t="s">
        <v>4190</v>
      </c>
      <c r="AA169" s="3" t="s">
        <v>4184</v>
      </c>
      <c r="AB169" s="9">
        <v>45521</v>
      </c>
      <c r="AC169" s="3" t="s">
        <v>131</v>
      </c>
      <c r="AD169" s="3"/>
    </row>
    <row r="170" spans="1:30" hidden="1">
      <c r="A170" s="3" t="s">
        <v>44</v>
      </c>
      <c r="B170" s="4">
        <v>45535</v>
      </c>
      <c r="C170" s="3" t="s">
        <v>83</v>
      </c>
      <c r="D170" s="3" t="s">
        <v>2154</v>
      </c>
      <c r="E170" s="3" t="s">
        <v>929</v>
      </c>
      <c r="F170" s="3" t="s">
        <v>4191</v>
      </c>
      <c r="G170" s="3" t="s">
        <v>4192</v>
      </c>
      <c r="H170" s="3"/>
      <c r="I170" s="3" t="s">
        <v>51</v>
      </c>
      <c r="J170" s="6">
        <v>45170</v>
      </c>
      <c r="K170" s="6"/>
      <c r="L170" s="6">
        <v>45170</v>
      </c>
      <c r="M170" s="6">
        <v>45535</v>
      </c>
      <c r="N170" s="3" t="s">
        <v>52</v>
      </c>
      <c r="O170" s="3" t="s">
        <v>3858</v>
      </c>
      <c r="P170" s="7">
        <v>212</v>
      </c>
      <c r="Q170" s="7">
        <v>17.666666666666668</v>
      </c>
      <c r="R170" s="8">
        <v>300</v>
      </c>
      <c r="S170" s="7">
        <v>540</v>
      </c>
      <c r="T170" s="8">
        <v>300</v>
      </c>
      <c r="U170" s="3">
        <v>212</v>
      </c>
      <c r="V170" s="3" t="s">
        <v>54</v>
      </c>
      <c r="W170" s="3">
        <v>0</v>
      </c>
      <c r="X170" s="3" t="s">
        <v>93</v>
      </c>
      <c r="Y170" s="3" t="s">
        <v>93</v>
      </c>
      <c r="Z170" s="3" t="s">
        <v>131</v>
      </c>
      <c r="AA170" s="3" t="s">
        <v>4184</v>
      </c>
      <c r="AB170" s="9">
        <v>45535</v>
      </c>
      <c r="AC170" s="3" t="s">
        <v>131</v>
      </c>
      <c r="AD170" s="3"/>
    </row>
    <row r="171" spans="1:30" hidden="1">
      <c r="A171" s="3" t="s">
        <v>44</v>
      </c>
      <c r="B171" s="4">
        <v>45478</v>
      </c>
      <c r="C171" s="3" t="s">
        <v>45</v>
      </c>
      <c r="D171" s="3" t="s">
        <v>900</v>
      </c>
      <c r="E171" s="3" t="s">
        <v>848</v>
      </c>
      <c r="F171" s="3" t="s">
        <v>4193</v>
      </c>
      <c r="G171" s="3" t="s">
        <v>1488</v>
      </c>
      <c r="H171" s="3"/>
      <c r="I171" s="3" t="s">
        <v>51</v>
      </c>
      <c r="J171" s="6">
        <v>45236</v>
      </c>
      <c r="K171" s="6"/>
      <c r="L171" s="6">
        <v>45236</v>
      </c>
      <c r="M171" s="6">
        <v>45478</v>
      </c>
      <c r="N171" s="3" t="s">
        <v>52</v>
      </c>
      <c r="O171" s="3" t="s">
        <v>3858</v>
      </c>
      <c r="P171" s="7">
        <v>480</v>
      </c>
      <c r="Q171" s="7">
        <v>40</v>
      </c>
      <c r="R171" s="8">
        <v>514.19000000000005</v>
      </c>
      <c r="S171" s="7">
        <v>600</v>
      </c>
      <c r="T171" s="8">
        <v>514.19000000000005</v>
      </c>
      <c r="U171" s="3">
        <v>480</v>
      </c>
      <c r="V171" s="3" t="s">
        <v>54</v>
      </c>
      <c r="W171" s="3">
        <v>0</v>
      </c>
      <c r="X171" s="3" t="s">
        <v>93</v>
      </c>
      <c r="Y171" s="3" t="s">
        <v>93</v>
      </c>
      <c r="Z171" s="3" t="s">
        <v>131</v>
      </c>
      <c r="AA171" s="3" t="s">
        <v>3974</v>
      </c>
      <c r="AB171" s="9">
        <v>45478</v>
      </c>
      <c r="AC171" s="3" t="s">
        <v>131</v>
      </c>
      <c r="AD171" s="3"/>
    </row>
    <row r="172" spans="1:30" hidden="1">
      <c r="A172" s="3" t="s">
        <v>44</v>
      </c>
      <c r="B172" s="4">
        <v>45484</v>
      </c>
      <c r="C172" s="3" t="s">
        <v>45</v>
      </c>
      <c r="D172" s="3" t="s">
        <v>900</v>
      </c>
      <c r="E172" s="3" t="s">
        <v>848</v>
      </c>
      <c r="F172" s="3" t="s">
        <v>4194</v>
      </c>
      <c r="G172" s="3" t="s">
        <v>4195</v>
      </c>
      <c r="H172" s="3"/>
      <c r="I172" s="3" t="s">
        <v>51</v>
      </c>
      <c r="J172" s="6">
        <v>45028</v>
      </c>
      <c r="K172" s="6"/>
      <c r="L172" s="6">
        <v>45028</v>
      </c>
      <c r="M172" s="6">
        <v>45484</v>
      </c>
      <c r="N172" s="3" t="s">
        <v>52</v>
      </c>
      <c r="O172" s="3" t="s">
        <v>3858</v>
      </c>
      <c r="P172" s="7">
        <v>360</v>
      </c>
      <c r="Q172" s="7">
        <v>30</v>
      </c>
      <c r="R172" s="8">
        <v>360</v>
      </c>
      <c r="S172" s="7">
        <v>600</v>
      </c>
      <c r="T172" s="8">
        <v>480</v>
      </c>
      <c r="U172" s="3">
        <v>360</v>
      </c>
      <c r="V172" s="3" t="s">
        <v>54</v>
      </c>
      <c r="W172" s="3">
        <v>0</v>
      </c>
      <c r="X172" s="3" t="s">
        <v>93</v>
      </c>
      <c r="Y172" s="3" t="s">
        <v>93</v>
      </c>
      <c r="Z172" s="3" t="s">
        <v>131</v>
      </c>
      <c r="AA172" s="3" t="s">
        <v>3974</v>
      </c>
      <c r="AB172" s="9">
        <v>45484</v>
      </c>
      <c r="AC172" s="3" t="s">
        <v>131</v>
      </c>
      <c r="AD172" s="3"/>
    </row>
    <row r="173" spans="1:30">
      <c r="A173" s="3" t="s">
        <v>44</v>
      </c>
      <c r="B173" s="4">
        <v>45493</v>
      </c>
      <c r="C173" s="3" t="s">
        <v>45</v>
      </c>
      <c r="D173" s="3" t="s">
        <v>900</v>
      </c>
      <c r="E173" s="3" t="s">
        <v>848</v>
      </c>
      <c r="F173" s="3" t="s">
        <v>4196</v>
      </c>
      <c r="G173" s="3" t="s">
        <v>4197</v>
      </c>
      <c r="H173" s="3"/>
      <c r="I173" s="3" t="s">
        <v>51</v>
      </c>
      <c r="J173" s="6">
        <v>44763</v>
      </c>
      <c r="K173" s="6"/>
      <c r="L173" s="6">
        <v>45128</v>
      </c>
      <c r="M173" s="6">
        <v>45493</v>
      </c>
      <c r="N173" s="3" t="s">
        <v>64</v>
      </c>
      <c r="O173" s="3" t="s">
        <v>3858</v>
      </c>
      <c r="P173" s="7">
        <v>360</v>
      </c>
      <c r="Q173" s="7">
        <v>30</v>
      </c>
      <c r="R173" s="8">
        <v>480</v>
      </c>
      <c r="S173" s="7">
        <v>480</v>
      </c>
      <c r="T173" s="8">
        <v>480</v>
      </c>
      <c r="U173" s="3">
        <v>360</v>
      </c>
      <c r="V173" s="3" t="s">
        <v>54</v>
      </c>
      <c r="W173" s="3">
        <v>0</v>
      </c>
      <c r="X173" s="3" t="s">
        <v>93</v>
      </c>
      <c r="Y173" s="3" t="s">
        <v>93</v>
      </c>
      <c r="Z173" s="3" t="s">
        <v>131</v>
      </c>
      <c r="AA173" s="3" t="s">
        <v>3974</v>
      </c>
      <c r="AB173" s="9">
        <v>45493</v>
      </c>
      <c r="AC173" s="3" t="s">
        <v>131</v>
      </c>
      <c r="AD173" s="3"/>
    </row>
    <row r="174" spans="1:30">
      <c r="A174" s="3" t="s">
        <v>44</v>
      </c>
      <c r="B174" s="4">
        <v>45497</v>
      </c>
      <c r="C174" s="3" t="s">
        <v>45</v>
      </c>
      <c r="D174" s="3" t="s">
        <v>900</v>
      </c>
      <c r="E174" s="3" t="s">
        <v>848</v>
      </c>
      <c r="F174" s="3" t="s">
        <v>4198</v>
      </c>
      <c r="G174" s="3" t="s">
        <v>4199</v>
      </c>
      <c r="H174" s="3"/>
      <c r="I174" s="3" t="s">
        <v>51</v>
      </c>
      <c r="J174" s="6">
        <v>44037</v>
      </c>
      <c r="K174" s="6"/>
      <c r="L174" s="6">
        <v>45132</v>
      </c>
      <c r="M174" s="6">
        <v>45497</v>
      </c>
      <c r="N174" s="3" t="s">
        <v>64</v>
      </c>
      <c r="O174" s="3" t="s">
        <v>3858</v>
      </c>
      <c r="P174" s="7">
        <v>480</v>
      </c>
      <c r="Q174" s="7">
        <v>40</v>
      </c>
      <c r="R174" s="8">
        <v>480</v>
      </c>
      <c r="S174" s="7">
        <v>480</v>
      </c>
      <c r="T174" s="8">
        <v>480</v>
      </c>
      <c r="U174" s="3">
        <v>480</v>
      </c>
      <c r="V174" s="3" t="s">
        <v>395</v>
      </c>
      <c r="W174" s="3">
        <v>0</v>
      </c>
      <c r="X174" s="3" t="s">
        <v>93</v>
      </c>
      <c r="Y174" s="3" t="s">
        <v>93</v>
      </c>
      <c r="Z174" s="3" t="s">
        <v>131</v>
      </c>
      <c r="AA174" s="3" t="s">
        <v>3974</v>
      </c>
      <c r="AB174" s="9">
        <v>45497</v>
      </c>
      <c r="AC174" s="3" t="s">
        <v>131</v>
      </c>
      <c r="AD174" s="3"/>
    </row>
    <row r="175" spans="1:30" hidden="1">
      <c r="A175" s="3" t="s">
        <v>44</v>
      </c>
      <c r="B175" s="4">
        <v>45497</v>
      </c>
      <c r="C175" s="3" t="s">
        <v>45</v>
      </c>
      <c r="D175" s="3" t="s">
        <v>900</v>
      </c>
      <c r="E175" s="3" t="s">
        <v>848</v>
      </c>
      <c r="F175" s="3" t="s">
        <v>4200</v>
      </c>
      <c r="G175" s="3" t="s">
        <v>4201</v>
      </c>
      <c r="H175" s="3"/>
      <c r="I175" s="3" t="s">
        <v>51</v>
      </c>
      <c r="J175" s="6">
        <v>45163</v>
      </c>
      <c r="K175" s="6"/>
      <c r="L175" s="6">
        <v>45163</v>
      </c>
      <c r="M175" s="6">
        <v>45497</v>
      </c>
      <c r="N175" s="3" t="s">
        <v>52</v>
      </c>
      <c r="O175" s="3" t="s">
        <v>3858</v>
      </c>
      <c r="P175" s="7">
        <v>360</v>
      </c>
      <c r="Q175" s="7">
        <v>30</v>
      </c>
      <c r="R175" s="8">
        <v>480</v>
      </c>
      <c r="S175" s="7">
        <v>600</v>
      </c>
      <c r="T175" s="8">
        <v>480</v>
      </c>
      <c r="U175" s="3">
        <v>360</v>
      </c>
      <c r="V175" s="3" t="s">
        <v>54</v>
      </c>
      <c r="W175" s="3">
        <v>0</v>
      </c>
      <c r="X175" s="3" t="s">
        <v>93</v>
      </c>
      <c r="Y175" s="3" t="s">
        <v>93</v>
      </c>
      <c r="Z175" s="3" t="s">
        <v>131</v>
      </c>
      <c r="AA175" s="3" t="s">
        <v>3974</v>
      </c>
      <c r="AB175" s="9">
        <v>45497</v>
      </c>
      <c r="AC175" s="3" t="s">
        <v>131</v>
      </c>
      <c r="AD175" s="3"/>
    </row>
    <row r="176" spans="1:30">
      <c r="A176" s="3" t="s">
        <v>44</v>
      </c>
      <c r="B176" s="4">
        <v>45504</v>
      </c>
      <c r="C176" s="3" t="s">
        <v>45</v>
      </c>
      <c r="D176" s="3" t="s">
        <v>900</v>
      </c>
      <c r="E176" s="3" t="s">
        <v>848</v>
      </c>
      <c r="F176" s="3" t="s">
        <v>4202</v>
      </c>
      <c r="G176" s="3" t="s">
        <v>1604</v>
      </c>
      <c r="H176" s="3"/>
      <c r="I176" s="3" t="s">
        <v>51</v>
      </c>
      <c r="J176" s="6">
        <v>44044</v>
      </c>
      <c r="K176" s="6"/>
      <c r="L176" s="6">
        <v>45139</v>
      </c>
      <c r="M176" s="6">
        <v>45504</v>
      </c>
      <c r="N176" s="3" t="s">
        <v>64</v>
      </c>
      <c r="O176" s="3" t="s">
        <v>3858</v>
      </c>
      <c r="P176" s="7">
        <v>480</v>
      </c>
      <c r="Q176" s="7">
        <v>40</v>
      </c>
      <c r="R176" s="8">
        <v>480</v>
      </c>
      <c r="S176" s="7">
        <v>480</v>
      </c>
      <c r="T176" s="8">
        <v>480</v>
      </c>
      <c r="U176" s="3">
        <v>480</v>
      </c>
      <c r="V176" s="3" t="s">
        <v>54</v>
      </c>
      <c r="W176" s="3">
        <v>0</v>
      </c>
      <c r="X176" s="3" t="s">
        <v>93</v>
      </c>
      <c r="Y176" s="3" t="s">
        <v>93</v>
      </c>
      <c r="Z176" s="3" t="s">
        <v>131</v>
      </c>
      <c r="AA176" s="3" t="s">
        <v>3974</v>
      </c>
      <c r="AB176" s="9">
        <v>45504</v>
      </c>
      <c r="AC176" s="3" t="s">
        <v>131</v>
      </c>
      <c r="AD176" s="3"/>
    </row>
    <row r="177" spans="1:30" hidden="1">
      <c r="A177" s="3" t="s">
        <v>44</v>
      </c>
      <c r="B177" s="4">
        <v>45506</v>
      </c>
      <c r="C177" s="3" t="s">
        <v>45</v>
      </c>
      <c r="D177" s="3" t="s">
        <v>900</v>
      </c>
      <c r="E177" s="3" t="s">
        <v>848</v>
      </c>
      <c r="F177" s="3" t="s">
        <v>4203</v>
      </c>
      <c r="G177" s="3" t="s">
        <v>4204</v>
      </c>
      <c r="H177" s="3"/>
      <c r="I177" s="3" t="s">
        <v>51</v>
      </c>
      <c r="J177" s="6">
        <v>45202</v>
      </c>
      <c r="K177" s="6"/>
      <c r="L177" s="6">
        <v>45202</v>
      </c>
      <c r="M177" s="6">
        <v>45506</v>
      </c>
      <c r="N177" s="3" t="s">
        <v>52</v>
      </c>
      <c r="O177" s="3" t="s">
        <v>3858</v>
      </c>
      <c r="P177" s="7">
        <v>480</v>
      </c>
      <c r="Q177" s="7">
        <v>40</v>
      </c>
      <c r="R177" s="8">
        <v>480</v>
      </c>
      <c r="S177" s="7">
        <v>600</v>
      </c>
      <c r="T177" s="8">
        <v>480</v>
      </c>
      <c r="U177" s="3">
        <v>480</v>
      </c>
      <c r="V177" s="3" t="s">
        <v>54</v>
      </c>
      <c r="W177" s="3">
        <v>0</v>
      </c>
      <c r="X177" s="3" t="s">
        <v>93</v>
      </c>
      <c r="Y177" s="3" t="s">
        <v>93</v>
      </c>
      <c r="Z177" s="3" t="s">
        <v>131</v>
      </c>
      <c r="AA177" s="3" t="s">
        <v>3974</v>
      </c>
      <c r="AB177" s="9">
        <v>45506</v>
      </c>
      <c r="AC177" s="3" t="s">
        <v>131</v>
      </c>
      <c r="AD177" s="3"/>
    </row>
    <row r="178" spans="1:30" hidden="1">
      <c r="A178" s="3" t="s">
        <v>44</v>
      </c>
      <c r="B178" s="4">
        <v>45507</v>
      </c>
      <c r="C178" s="3" t="s">
        <v>45</v>
      </c>
      <c r="D178" s="3" t="s">
        <v>900</v>
      </c>
      <c r="E178" s="3" t="s">
        <v>848</v>
      </c>
      <c r="F178" s="3" t="s">
        <v>4205</v>
      </c>
      <c r="G178" s="3" t="s">
        <v>1662</v>
      </c>
      <c r="H178" s="3"/>
      <c r="I178" s="3" t="s">
        <v>51</v>
      </c>
      <c r="J178" s="6">
        <v>45142</v>
      </c>
      <c r="K178" s="6"/>
      <c r="L178" s="6">
        <v>45142</v>
      </c>
      <c r="M178" s="6">
        <v>45507</v>
      </c>
      <c r="N178" s="3" t="s">
        <v>52</v>
      </c>
      <c r="O178" s="3" t="s">
        <v>3858</v>
      </c>
      <c r="P178" s="7">
        <v>360</v>
      </c>
      <c r="Q178" s="7">
        <v>30</v>
      </c>
      <c r="R178" s="8">
        <v>480</v>
      </c>
      <c r="S178" s="7">
        <v>600</v>
      </c>
      <c r="T178" s="8">
        <v>480</v>
      </c>
      <c r="U178" s="3">
        <v>360</v>
      </c>
      <c r="V178" s="3" t="s">
        <v>54</v>
      </c>
      <c r="W178" s="3">
        <v>0</v>
      </c>
      <c r="X178" s="3" t="s">
        <v>93</v>
      </c>
      <c r="Y178" s="3" t="s">
        <v>93</v>
      </c>
      <c r="Z178" s="3" t="s">
        <v>131</v>
      </c>
      <c r="AA178" s="3" t="s">
        <v>3974</v>
      </c>
      <c r="AB178" s="9">
        <v>45507</v>
      </c>
      <c r="AC178" s="3" t="s">
        <v>131</v>
      </c>
      <c r="AD178" s="3"/>
    </row>
    <row r="179" spans="1:30" hidden="1">
      <c r="A179" s="3" t="s">
        <v>44</v>
      </c>
      <c r="B179" s="4">
        <v>45507</v>
      </c>
      <c r="C179" s="3" t="s">
        <v>45</v>
      </c>
      <c r="D179" s="3" t="s">
        <v>900</v>
      </c>
      <c r="E179" s="3" t="s">
        <v>848</v>
      </c>
      <c r="F179" s="3" t="s">
        <v>4206</v>
      </c>
      <c r="G179" s="3" t="s">
        <v>4207</v>
      </c>
      <c r="H179" s="3"/>
      <c r="I179" s="3" t="s">
        <v>51</v>
      </c>
      <c r="J179" s="6">
        <v>45142</v>
      </c>
      <c r="K179" s="6"/>
      <c r="L179" s="6">
        <v>45142</v>
      </c>
      <c r="M179" s="6">
        <v>45507</v>
      </c>
      <c r="N179" s="3" t="s">
        <v>52</v>
      </c>
      <c r="O179" s="3" t="s">
        <v>3858</v>
      </c>
      <c r="P179" s="7">
        <v>360</v>
      </c>
      <c r="Q179" s="7">
        <v>30</v>
      </c>
      <c r="R179" s="8">
        <v>360</v>
      </c>
      <c r="S179" s="7">
        <v>600</v>
      </c>
      <c r="T179" s="8">
        <v>480</v>
      </c>
      <c r="U179" s="3">
        <v>360</v>
      </c>
      <c r="V179" s="3" t="s">
        <v>54</v>
      </c>
      <c r="W179" s="3">
        <v>0</v>
      </c>
      <c r="X179" s="3" t="s">
        <v>93</v>
      </c>
      <c r="Y179" s="3" t="s">
        <v>93</v>
      </c>
      <c r="Z179" s="3" t="s">
        <v>131</v>
      </c>
      <c r="AA179" s="3" t="s">
        <v>3974</v>
      </c>
      <c r="AB179" s="9">
        <v>45507</v>
      </c>
      <c r="AC179" s="3" t="s">
        <v>131</v>
      </c>
      <c r="AD179" s="3"/>
    </row>
    <row r="180" spans="1:30">
      <c r="A180" s="3" t="s">
        <v>44</v>
      </c>
      <c r="B180" s="4">
        <v>45514</v>
      </c>
      <c r="C180" s="3" t="s">
        <v>45</v>
      </c>
      <c r="D180" s="3" t="s">
        <v>900</v>
      </c>
      <c r="E180" s="3" t="s">
        <v>848</v>
      </c>
      <c r="F180" s="3" t="s">
        <v>4208</v>
      </c>
      <c r="G180" s="3" t="s">
        <v>4209</v>
      </c>
      <c r="H180" s="3"/>
      <c r="I180" s="3" t="s">
        <v>51</v>
      </c>
      <c r="J180" s="6">
        <v>44450</v>
      </c>
      <c r="K180" s="6"/>
      <c r="L180" s="6">
        <v>45210</v>
      </c>
      <c r="M180" s="6">
        <v>45514</v>
      </c>
      <c r="N180" s="3" t="s">
        <v>64</v>
      </c>
      <c r="O180" s="3" t="s">
        <v>3858</v>
      </c>
      <c r="P180" s="7">
        <v>360</v>
      </c>
      <c r="Q180" s="7">
        <v>30</v>
      </c>
      <c r="R180" s="8">
        <v>480</v>
      </c>
      <c r="S180" s="7">
        <v>600</v>
      </c>
      <c r="T180" s="8">
        <v>480</v>
      </c>
      <c r="U180" s="3">
        <v>360</v>
      </c>
      <c r="V180" s="3" t="s">
        <v>54</v>
      </c>
      <c r="W180" s="3">
        <v>0</v>
      </c>
      <c r="X180" s="3" t="s">
        <v>93</v>
      </c>
      <c r="Y180" s="3" t="s">
        <v>93</v>
      </c>
      <c r="Z180" s="3" t="s">
        <v>131</v>
      </c>
      <c r="AA180" s="3" t="s">
        <v>3974</v>
      </c>
      <c r="AB180" s="9">
        <v>45514</v>
      </c>
      <c r="AC180" s="3" t="s">
        <v>131</v>
      </c>
      <c r="AD180" s="3"/>
    </row>
    <row r="181" spans="1:30" hidden="1">
      <c r="A181" s="3" t="s">
        <v>44</v>
      </c>
      <c r="B181" s="4">
        <v>45524</v>
      </c>
      <c r="C181" s="3" t="s">
        <v>45</v>
      </c>
      <c r="D181" s="3" t="s">
        <v>900</v>
      </c>
      <c r="E181" s="3" t="s">
        <v>848</v>
      </c>
      <c r="F181" s="3" t="s">
        <v>4210</v>
      </c>
      <c r="G181" s="3" t="s">
        <v>4211</v>
      </c>
      <c r="H181" s="3"/>
      <c r="I181" s="3" t="s">
        <v>51</v>
      </c>
      <c r="J181" s="6">
        <v>45159</v>
      </c>
      <c r="K181" s="6"/>
      <c r="L181" s="6">
        <v>45159</v>
      </c>
      <c r="M181" s="6">
        <v>45524</v>
      </c>
      <c r="N181" s="3" t="s">
        <v>52</v>
      </c>
      <c r="O181" s="3" t="s">
        <v>3858</v>
      </c>
      <c r="P181" s="7">
        <v>480</v>
      </c>
      <c r="Q181" s="7">
        <v>40</v>
      </c>
      <c r="R181" s="8">
        <v>480</v>
      </c>
      <c r="S181" s="7">
        <v>600</v>
      </c>
      <c r="T181" s="8">
        <v>480</v>
      </c>
      <c r="U181" s="3">
        <v>480</v>
      </c>
      <c r="V181" s="3" t="s">
        <v>54</v>
      </c>
      <c r="W181" s="3">
        <v>0</v>
      </c>
      <c r="X181" s="3" t="s">
        <v>93</v>
      </c>
      <c r="Y181" s="3" t="s">
        <v>93</v>
      </c>
      <c r="Z181" s="3" t="s">
        <v>131</v>
      </c>
      <c r="AA181" s="3" t="s">
        <v>3974</v>
      </c>
      <c r="AB181" s="9">
        <v>45524</v>
      </c>
      <c r="AC181" s="3" t="s">
        <v>131</v>
      </c>
      <c r="AD181" s="3"/>
    </row>
    <row r="182" spans="1:30">
      <c r="A182" s="3" t="s">
        <v>44</v>
      </c>
      <c r="B182" s="4">
        <v>45535</v>
      </c>
      <c r="C182" s="3" t="s">
        <v>45</v>
      </c>
      <c r="D182" s="3" t="s">
        <v>900</v>
      </c>
      <c r="E182" s="3" t="s">
        <v>848</v>
      </c>
      <c r="F182" s="3" t="s">
        <v>4212</v>
      </c>
      <c r="G182" s="3" t="s">
        <v>4213</v>
      </c>
      <c r="H182" s="3"/>
      <c r="I182" s="3" t="s">
        <v>51</v>
      </c>
      <c r="J182" s="6">
        <v>44805</v>
      </c>
      <c r="K182" s="6"/>
      <c r="L182" s="6">
        <v>45170</v>
      </c>
      <c r="M182" s="6">
        <v>45535</v>
      </c>
      <c r="N182" s="3" t="s">
        <v>64</v>
      </c>
      <c r="O182" s="3" t="s">
        <v>3858</v>
      </c>
      <c r="P182" s="7">
        <v>480</v>
      </c>
      <c r="Q182" s="7">
        <v>40</v>
      </c>
      <c r="R182" s="8">
        <v>480</v>
      </c>
      <c r="S182" s="7">
        <v>480</v>
      </c>
      <c r="T182" s="8">
        <v>480</v>
      </c>
      <c r="U182" s="3">
        <v>480</v>
      </c>
      <c r="V182" s="3" t="s">
        <v>54</v>
      </c>
      <c r="W182" s="3">
        <v>0</v>
      </c>
      <c r="X182" s="3" t="s">
        <v>93</v>
      </c>
      <c r="Y182" s="3" t="s">
        <v>93</v>
      </c>
      <c r="Z182" s="3" t="s">
        <v>131</v>
      </c>
      <c r="AA182" s="3" t="s">
        <v>3974</v>
      </c>
      <c r="AB182" s="9">
        <v>45535</v>
      </c>
      <c r="AC182" s="3" t="s">
        <v>131</v>
      </c>
      <c r="AD182" s="3"/>
    </row>
    <row r="183" spans="1:30" hidden="1">
      <c r="A183" s="3" t="s">
        <v>74</v>
      </c>
      <c r="B183" s="4">
        <v>45487</v>
      </c>
      <c r="C183" s="3" t="s">
        <v>45</v>
      </c>
      <c r="D183" s="3" t="s">
        <v>900</v>
      </c>
      <c r="E183" s="3" t="s">
        <v>848</v>
      </c>
      <c r="F183" s="3" t="s">
        <v>4214</v>
      </c>
      <c r="G183" s="3" t="s">
        <v>4215</v>
      </c>
      <c r="H183" s="3"/>
      <c r="I183" s="3" t="s">
        <v>51</v>
      </c>
      <c r="J183" s="6">
        <v>45337</v>
      </c>
      <c r="K183" s="6"/>
      <c r="L183" s="6">
        <v>45337</v>
      </c>
      <c r="M183" s="6">
        <v>45487</v>
      </c>
      <c r="N183" s="3" t="s">
        <v>52</v>
      </c>
      <c r="O183" s="3" t="s">
        <v>3858</v>
      </c>
      <c r="P183" s="7">
        <v>360</v>
      </c>
      <c r="Q183" s="7">
        <v>30</v>
      </c>
      <c r="R183" s="8">
        <v>480</v>
      </c>
      <c r="S183" s="7">
        <v>600</v>
      </c>
      <c r="T183" s="8">
        <v>600</v>
      </c>
      <c r="U183" s="3">
        <v>360</v>
      </c>
      <c r="V183" s="3" t="s">
        <v>54</v>
      </c>
      <c r="W183" s="3">
        <v>0</v>
      </c>
      <c r="X183" s="3" t="s">
        <v>93</v>
      </c>
      <c r="Y183" s="3" t="s">
        <v>93</v>
      </c>
      <c r="Z183" s="3" t="s">
        <v>131</v>
      </c>
      <c r="AA183" s="3" t="s">
        <v>3974</v>
      </c>
      <c r="AB183" s="9">
        <v>45487</v>
      </c>
      <c r="AC183" s="3" t="s">
        <v>131</v>
      </c>
      <c r="AD183" s="3"/>
    </row>
    <row r="184" spans="1:30" hidden="1">
      <c r="A184" s="3" t="s">
        <v>74</v>
      </c>
      <c r="B184" s="4">
        <v>45499</v>
      </c>
      <c r="C184" s="3" t="s">
        <v>45</v>
      </c>
      <c r="D184" s="3" t="s">
        <v>900</v>
      </c>
      <c r="E184" s="3" t="s">
        <v>848</v>
      </c>
      <c r="F184" s="3" t="s">
        <v>4216</v>
      </c>
      <c r="G184" s="3" t="s">
        <v>4217</v>
      </c>
      <c r="H184" s="3"/>
      <c r="I184" s="3" t="s">
        <v>51</v>
      </c>
      <c r="J184" s="6">
        <v>45349</v>
      </c>
      <c r="K184" s="6"/>
      <c r="L184" s="6">
        <v>45349</v>
      </c>
      <c r="M184" s="6">
        <v>45499</v>
      </c>
      <c r="N184" s="3" t="s">
        <v>52</v>
      </c>
      <c r="O184" s="3" t="s">
        <v>3858</v>
      </c>
      <c r="P184" s="7">
        <v>360</v>
      </c>
      <c r="Q184" s="7">
        <v>30</v>
      </c>
      <c r="R184" s="8">
        <v>480</v>
      </c>
      <c r="S184" s="7">
        <v>600</v>
      </c>
      <c r="T184" s="8">
        <v>480</v>
      </c>
      <c r="U184" s="3">
        <v>360</v>
      </c>
      <c r="V184" s="3" t="s">
        <v>395</v>
      </c>
      <c r="W184" s="3">
        <v>0</v>
      </c>
      <c r="X184" s="3" t="s">
        <v>93</v>
      </c>
      <c r="Y184" s="3" t="s">
        <v>93</v>
      </c>
      <c r="Z184" s="3" t="s">
        <v>131</v>
      </c>
      <c r="AA184" s="3" t="s">
        <v>4018</v>
      </c>
      <c r="AB184" s="9">
        <v>45499</v>
      </c>
      <c r="AC184" s="3" t="s">
        <v>131</v>
      </c>
      <c r="AD184" s="3"/>
    </row>
    <row r="185" spans="1:30" hidden="1">
      <c r="A185" s="3" t="s">
        <v>74</v>
      </c>
      <c r="B185" s="4">
        <v>45503</v>
      </c>
      <c r="C185" s="3" t="s">
        <v>45</v>
      </c>
      <c r="D185" s="3" t="s">
        <v>900</v>
      </c>
      <c r="E185" s="3" t="s">
        <v>848</v>
      </c>
      <c r="F185" s="3" t="s">
        <v>4218</v>
      </c>
      <c r="G185" s="3" t="s">
        <v>4219</v>
      </c>
      <c r="H185" s="3"/>
      <c r="I185" s="3" t="s">
        <v>51</v>
      </c>
      <c r="J185" s="6">
        <v>45322</v>
      </c>
      <c r="K185" s="6"/>
      <c r="L185" s="6">
        <v>45322</v>
      </c>
      <c r="M185" s="6">
        <v>45503</v>
      </c>
      <c r="N185" s="3" t="s">
        <v>52</v>
      </c>
      <c r="O185" s="3" t="s">
        <v>3858</v>
      </c>
      <c r="P185" s="7">
        <v>360</v>
      </c>
      <c r="Q185" s="7">
        <v>30</v>
      </c>
      <c r="R185" s="8">
        <v>480</v>
      </c>
      <c r="S185" s="7">
        <v>600</v>
      </c>
      <c r="T185" s="8">
        <v>480</v>
      </c>
      <c r="U185" s="3">
        <v>360</v>
      </c>
      <c r="V185" s="3" t="s">
        <v>54</v>
      </c>
      <c r="W185" s="3">
        <v>0</v>
      </c>
      <c r="X185" s="3" t="s">
        <v>93</v>
      </c>
      <c r="Y185" s="3" t="s">
        <v>93</v>
      </c>
      <c r="Z185" s="3" t="s">
        <v>131</v>
      </c>
      <c r="AA185" s="3" t="s">
        <v>3974</v>
      </c>
      <c r="AB185" s="9">
        <v>45503</v>
      </c>
      <c r="AC185" s="3" t="s">
        <v>131</v>
      </c>
      <c r="AD185" s="3"/>
    </row>
    <row r="186" spans="1:30" hidden="1">
      <c r="A186" s="3" t="s">
        <v>74</v>
      </c>
      <c r="B186" s="4">
        <v>45534</v>
      </c>
      <c r="C186" s="3" t="s">
        <v>45</v>
      </c>
      <c r="D186" s="3" t="s">
        <v>900</v>
      </c>
      <c r="E186" s="3" t="s">
        <v>848</v>
      </c>
      <c r="F186" s="3" t="s">
        <v>4220</v>
      </c>
      <c r="G186" s="3" t="s">
        <v>2783</v>
      </c>
      <c r="H186" s="3"/>
      <c r="I186" s="3" t="s">
        <v>51</v>
      </c>
      <c r="J186" s="6">
        <v>45322</v>
      </c>
      <c r="K186" s="6"/>
      <c r="L186" s="6">
        <v>45322</v>
      </c>
      <c r="M186" s="6">
        <v>45534</v>
      </c>
      <c r="N186" s="3" t="s">
        <v>52</v>
      </c>
      <c r="O186" s="3" t="s">
        <v>3858</v>
      </c>
      <c r="P186" s="7">
        <v>360</v>
      </c>
      <c r="Q186" s="7">
        <v>30</v>
      </c>
      <c r="R186" s="8">
        <v>360</v>
      </c>
      <c r="S186" s="7">
        <v>600</v>
      </c>
      <c r="T186" s="8">
        <v>480</v>
      </c>
      <c r="U186" s="3">
        <v>360</v>
      </c>
      <c r="V186" s="3" t="s">
        <v>54</v>
      </c>
      <c r="W186" s="3">
        <v>0</v>
      </c>
      <c r="X186" s="3" t="s">
        <v>93</v>
      </c>
      <c r="Y186" s="3" t="s">
        <v>93</v>
      </c>
      <c r="Z186" s="3" t="s">
        <v>131</v>
      </c>
      <c r="AA186" s="3" t="s">
        <v>3974</v>
      </c>
      <c r="AB186" s="9">
        <v>45534</v>
      </c>
      <c r="AC186" s="3" t="s">
        <v>131</v>
      </c>
      <c r="AD186" s="3"/>
    </row>
    <row r="187" spans="1:30" hidden="1">
      <c r="A187" s="3" t="s">
        <v>74</v>
      </c>
      <c r="B187" s="4">
        <v>45535</v>
      </c>
      <c r="C187" s="3" t="s">
        <v>45</v>
      </c>
      <c r="D187" s="3" t="s">
        <v>900</v>
      </c>
      <c r="E187" s="3" t="s">
        <v>848</v>
      </c>
      <c r="F187" s="3" t="s">
        <v>4221</v>
      </c>
      <c r="G187" s="3" t="s">
        <v>4222</v>
      </c>
      <c r="H187" s="3"/>
      <c r="I187" s="3" t="s">
        <v>51</v>
      </c>
      <c r="J187" s="6">
        <v>45170</v>
      </c>
      <c r="K187" s="6"/>
      <c r="L187" s="6">
        <v>45170</v>
      </c>
      <c r="M187" s="6">
        <v>45535</v>
      </c>
      <c r="N187" s="3" t="s">
        <v>52</v>
      </c>
      <c r="O187" s="3" t="s">
        <v>3858</v>
      </c>
      <c r="P187" s="7">
        <v>480</v>
      </c>
      <c r="Q187" s="7">
        <v>40</v>
      </c>
      <c r="R187" s="8">
        <v>480</v>
      </c>
      <c r="S187" s="7">
        <v>600</v>
      </c>
      <c r="T187" s="8">
        <v>480</v>
      </c>
      <c r="U187" s="3">
        <v>480</v>
      </c>
      <c r="V187" s="3" t="s">
        <v>250</v>
      </c>
      <c r="W187" s="3">
        <v>0</v>
      </c>
      <c r="X187" s="3" t="s">
        <v>93</v>
      </c>
      <c r="Y187" s="3" t="s">
        <v>93</v>
      </c>
      <c r="Z187" s="3" t="s">
        <v>131</v>
      </c>
      <c r="AA187" s="3" t="s">
        <v>3974</v>
      </c>
      <c r="AB187" s="9">
        <v>45535</v>
      </c>
      <c r="AC187" s="3" t="s">
        <v>131</v>
      </c>
      <c r="AD187" s="3"/>
    </row>
    <row r="188" spans="1:30">
      <c r="A188" s="3" t="s">
        <v>44</v>
      </c>
      <c r="B188" s="4">
        <v>45504</v>
      </c>
      <c r="C188" s="3" t="s">
        <v>2086</v>
      </c>
      <c r="D188" s="3" t="s">
        <v>4223</v>
      </c>
      <c r="E188" s="3" t="s">
        <v>127</v>
      </c>
      <c r="F188" s="3" t="s">
        <v>4224</v>
      </c>
      <c r="G188" s="3" t="s">
        <v>4225</v>
      </c>
      <c r="H188" s="3"/>
      <c r="I188" s="3" t="s">
        <v>51</v>
      </c>
      <c r="J188" s="6">
        <v>42583</v>
      </c>
      <c r="K188" s="6"/>
      <c r="L188" s="6">
        <v>45139</v>
      </c>
      <c r="M188" s="6">
        <v>45504</v>
      </c>
      <c r="N188" s="3" t="s">
        <v>64</v>
      </c>
      <c r="O188" s="3" t="s">
        <v>3858</v>
      </c>
      <c r="P188" s="7">
        <v>156</v>
      </c>
      <c r="Q188" s="7">
        <v>13</v>
      </c>
      <c r="R188" s="8">
        <v>156</v>
      </c>
      <c r="S188" s="7">
        <v>156</v>
      </c>
      <c r="T188" s="8">
        <v>156</v>
      </c>
      <c r="U188" s="3">
        <v>156</v>
      </c>
      <c r="V188" s="3" t="s">
        <v>54</v>
      </c>
      <c r="W188" s="3">
        <v>0</v>
      </c>
      <c r="X188" s="3" t="s">
        <v>131</v>
      </c>
      <c r="Y188" s="3" t="s">
        <v>131</v>
      </c>
      <c r="Z188" s="3" t="s">
        <v>131</v>
      </c>
      <c r="AA188" s="3" t="s">
        <v>4226</v>
      </c>
      <c r="AB188" s="9">
        <v>45504</v>
      </c>
      <c r="AC188" s="3" t="s">
        <v>131</v>
      </c>
      <c r="AD188" s="3"/>
    </row>
    <row r="189" spans="1:30">
      <c r="A189" s="3" t="s">
        <v>44</v>
      </c>
      <c r="B189" s="4">
        <v>45504</v>
      </c>
      <c r="C189" s="3" t="s">
        <v>2086</v>
      </c>
      <c r="D189" s="3" t="s">
        <v>4223</v>
      </c>
      <c r="E189" s="3" t="s">
        <v>127</v>
      </c>
      <c r="F189" s="3" t="s">
        <v>4227</v>
      </c>
      <c r="G189" s="3" t="s">
        <v>4228</v>
      </c>
      <c r="H189" s="3"/>
      <c r="I189" s="3" t="s">
        <v>51</v>
      </c>
      <c r="J189" s="6">
        <v>38523</v>
      </c>
      <c r="K189" s="6"/>
      <c r="L189" s="6">
        <v>45139</v>
      </c>
      <c r="M189" s="6">
        <v>45504</v>
      </c>
      <c r="N189" s="3" t="s">
        <v>64</v>
      </c>
      <c r="O189" s="3" t="s">
        <v>3858</v>
      </c>
      <c r="P189" s="7">
        <v>240</v>
      </c>
      <c r="Q189" s="7">
        <v>20</v>
      </c>
      <c r="R189" s="8">
        <v>156</v>
      </c>
      <c r="S189" s="7">
        <v>240</v>
      </c>
      <c r="T189" s="8">
        <v>156</v>
      </c>
      <c r="U189" s="3">
        <v>240</v>
      </c>
      <c r="V189" s="3" t="s">
        <v>250</v>
      </c>
      <c r="W189" s="3">
        <v>0</v>
      </c>
      <c r="X189" s="3" t="s">
        <v>131</v>
      </c>
      <c r="Y189" s="3" t="s">
        <v>131</v>
      </c>
      <c r="Z189" s="3" t="s">
        <v>131</v>
      </c>
      <c r="AA189" s="3" t="s">
        <v>4226</v>
      </c>
      <c r="AB189" s="9">
        <v>45504</v>
      </c>
      <c r="AC189" s="3" t="s">
        <v>131</v>
      </c>
      <c r="AD189" s="3"/>
    </row>
    <row r="190" spans="1:30" hidden="1">
      <c r="A190" s="3" t="s">
        <v>44</v>
      </c>
      <c r="B190" s="4">
        <v>45504</v>
      </c>
      <c r="C190" s="3" t="s">
        <v>2086</v>
      </c>
      <c r="D190" s="3" t="s">
        <v>4223</v>
      </c>
      <c r="E190" s="3" t="s">
        <v>127</v>
      </c>
      <c r="F190" s="3" t="s">
        <v>4229</v>
      </c>
      <c r="G190" s="3" t="s">
        <v>4230</v>
      </c>
      <c r="H190" s="3"/>
      <c r="I190" s="3" t="s">
        <v>51</v>
      </c>
      <c r="J190" s="6">
        <v>44044</v>
      </c>
      <c r="K190" s="6"/>
      <c r="L190" s="6"/>
      <c r="M190" s="6"/>
      <c r="N190" s="3" t="s">
        <v>52</v>
      </c>
      <c r="O190" s="3" t="s">
        <v>3858</v>
      </c>
      <c r="P190" s="7">
        <v>156</v>
      </c>
      <c r="Q190" s="7">
        <v>13</v>
      </c>
      <c r="R190" s="8">
        <v>156</v>
      </c>
      <c r="S190" s="7">
        <v>156</v>
      </c>
      <c r="T190" s="8">
        <v>156</v>
      </c>
      <c r="U190" s="3">
        <v>156</v>
      </c>
      <c r="V190" s="3" t="s">
        <v>54</v>
      </c>
      <c r="W190" s="3">
        <v>0</v>
      </c>
      <c r="X190" s="3" t="s">
        <v>131</v>
      </c>
      <c r="Y190" s="3" t="s">
        <v>131</v>
      </c>
      <c r="Z190" s="3" t="s">
        <v>131</v>
      </c>
      <c r="AA190" s="3" t="s">
        <v>4226</v>
      </c>
      <c r="AB190" s="9">
        <v>45504</v>
      </c>
      <c r="AC190" s="3" t="s">
        <v>131</v>
      </c>
      <c r="AD190" s="3"/>
    </row>
    <row r="191" spans="1:30" hidden="1">
      <c r="A191" s="3" t="s">
        <v>44</v>
      </c>
      <c r="B191" s="4">
        <v>45489</v>
      </c>
      <c r="C191" s="3" t="s">
        <v>45</v>
      </c>
      <c r="D191" s="3" t="s">
        <v>75</v>
      </c>
      <c r="E191" s="3" t="s">
        <v>76</v>
      </c>
      <c r="F191" s="3" t="s">
        <v>4231</v>
      </c>
      <c r="G191" s="3" t="s">
        <v>3651</v>
      </c>
      <c r="H191" s="3"/>
      <c r="I191" s="3" t="s">
        <v>51</v>
      </c>
      <c r="J191" s="6">
        <v>45308</v>
      </c>
      <c r="K191" s="6"/>
      <c r="L191" s="6">
        <v>45308</v>
      </c>
      <c r="M191" s="6">
        <v>45489</v>
      </c>
      <c r="N191" s="3" t="s">
        <v>52</v>
      </c>
      <c r="O191" s="3" t="s">
        <v>3858</v>
      </c>
      <c r="P191" s="7">
        <v>513</v>
      </c>
      <c r="Q191" s="7">
        <v>42.75</v>
      </c>
      <c r="R191" s="8"/>
      <c r="S191" s="7">
        <v>1200</v>
      </c>
      <c r="T191" s="8">
        <v>513</v>
      </c>
      <c r="U191" s="3">
        <v>513</v>
      </c>
      <c r="V191" s="3" t="s">
        <v>250</v>
      </c>
      <c r="W191" s="3">
        <v>0</v>
      </c>
      <c r="X191" s="3" t="s">
        <v>131</v>
      </c>
      <c r="Y191" s="3" t="s">
        <v>131</v>
      </c>
      <c r="Z191" s="3" t="s">
        <v>131</v>
      </c>
      <c r="AA191" s="3" t="s">
        <v>4232</v>
      </c>
      <c r="AB191" s="9">
        <v>45490</v>
      </c>
      <c r="AC191" s="3" t="s">
        <v>4233</v>
      </c>
      <c r="AD191" s="3"/>
    </row>
    <row r="192" spans="1:30" hidden="1">
      <c r="A192" s="3" t="s">
        <v>44</v>
      </c>
      <c r="B192" s="4">
        <v>45501</v>
      </c>
      <c r="C192" s="3" t="s">
        <v>45</v>
      </c>
      <c r="D192" s="3" t="s">
        <v>75</v>
      </c>
      <c r="E192" s="3" t="s">
        <v>76</v>
      </c>
      <c r="F192" s="3" t="s">
        <v>4234</v>
      </c>
      <c r="G192" s="3" t="s">
        <v>4235</v>
      </c>
      <c r="H192" s="3"/>
      <c r="I192" s="3" t="s">
        <v>51</v>
      </c>
      <c r="J192" s="6">
        <v>45259</v>
      </c>
      <c r="K192" s="6"/>
      <c r="L192" s="6">
        <v>45259</v>
      </c>
      <c r="M192" s="6">
        <v>45501</v>
      </c>
      <c r="N192" s="3" t="s">
        <v>52</v>
      </c>
      <c r="O192" s="3" t="s">
        <v>3858</v>
      </c>
      <c r="P192" s="7">
        <v>513</v>
      </c>
      <c r="Q192" s="7">
        <v>42.75</v>
      </c>
      <c r="R192" s="8"/>
      <c r="S192" s="7">
        <v>1200</v>
      </c>
      <c r="T192" s="8">
        <v>513</v>
      </c>
      <c r="U192" s="3">
        <v>513</v>
      </c>
      <c r="V192" s="3" t="s">
        <v>54</v>
      </c>
      <c r="W192" s="3">
        <v>0</v>
      </c>
      <c r="X192" s="3" t="s">
        <v>131</v>
      </c>
      <c r="Y192" s="3" t="s">
        <v>131</v>
      </c>
      <c r="Z192" s="3" t="s">
        <v>131</v>
      </c>
      <c r="AA192" s="3" t="s">
        <v>4232</v>
      </c>
      <c r="AB192" s="9">
        <v>45501</v>
      </c>
      <c r="AC192" s="3" t="s">
        <v>4236</v>
      </c>
      <c r="AD192" s="3"/>
    </row>
    <row r="193" spans="1:30" hidden="1">
      <c r="A193" s="3" t="s">
        <v>44</v>
      </c>
      <c r="B193" s="4">
        <v>45508</v>
      </c>
      <c r="C193" s="3" t="s">
        <v>45</v>
      </c>
      <c r="D193" s="3" t="s">
        <v>75</v>
      </c>
      <c r="E193" s="3" t="s">
        <v>76</v>
      </c>
      <c r="F193" s="3" t="s">
        <v>4237</v>
      </c>
      <c r="G193" s="3" t="s">
        <v>4238</v>
      </c>
      <c r="H193" s="3"/>
      <c r="I193" s="3" t="s">
        <v>51</v>
      </c>
      <c r="J193" s="6">
        <v>45265</v>
      </c>
      <c r="K193" s="6"/>
      <c r="L193" s="6">
        <v>45265</v>
      </c>
      <c r="M193" s="6">
        <v>45508</v>
      </c>
      <c r="N193" s="3" t="s">
        <v>52</v>
      </c>
      <c r="O193" s="3" t="s">
        <v>3858</v>
      </c>
      <c r="P193" s="7">
        <v>513</v>
      </c>
      <c r="Q193" s="7">
        <v>42.75</v>
      </c>
      <c r="R193" s="8"/>
      <c r="S193" s="7">
        <v>1200</v>
      </c>
      <c r="T193" s="8">
        <v>513</v>
      </c>
      <c r="U193" s="3">
        <v>513</v>
      </c>
      <c r="V193" s="3" t="s">
        <v>54</v>
      </c>
      <c r="W193" s="3">
        <v>0</v>
      </c>
      <c r="X193" s="3" t="s">
        <v>131</v>
      </c>
      <c r="Y193" s="3" t="s">
        <v>131</v>
      </c>
      <c r="Z193" s="3" t="s">
        <v>131</v>
      </c>
      <c r="AA193" s="3" t="s">
        <v>4232</v>
      </c>
      <c r="AB193" s="9">
        <v>45508</v>
      </c>
      <c r="AC193" s="3" t="s">
        <v>4236</v>
      </c>
      <c r="AD193" s="3"/>
    </row>
    <row r="194" spans="1:30" hidden="1">
      <c r="A194" s="3" t="s">
        <v>44</v>
      </c>
      <c r="B194" s="4">
        <v>45508</v>
      </c>
      <c r="C194" s="3" t="s">
        <v>45</v>
      </c>
      <c r="D194" s="3" t="s">
        <v>75</v>
      </c>
      <c r="E194" s="3" t="s">
        <v>76</v>
      </c>
      <c r="F194" s="3" t="s">
        <v>4239</v>
      </c>
      <c r="G194" s="3" t="s">
        <v>4240</v>
      </c>
      <c r="H194" s="3"/>
      <c r="I194" s="3" t="s">
        <v>51</v>
      </c>
      <c r="J194" s="6">
        <v>45265</v>
      </c>
      <c r="K194" s="6"/>
      <c r="L194" s="6">
        <v>45265</v>
      </c>
      <c r="M194" s="6">
        <v>45508</v>
      </c>
      <c r="N194" s="3" t="s">
        <v>52</v>
      </c>
      <c r="O194" s="3" t="s">
        <v>3858</v>
      </c>
      <c r="P194" s="7">
        <v>513</v>
      </c>
      <c r="Q194" s="7">
        <v>42.75</v>
      </c>
      <c r="R194" s="8"/>
      <c r="S194" s="7">
        <v>1200</v>
      </c>
      <c r="T194" s="8">
        <v>513</v>
      </c>
      <c r="U194" s="3">
        <v>513</v>
      </c>
      <c r="V194" s="3" t="s">
        <v>54</v>
      </c>
      <c r="W194" s="3">
        <v>0</v>
      </c>
      <c r="X194" s="3" t="s">
        <v>131</v>
      </c>
      <c r="Y194" s="3" t="s">
        <v>131</v>
      </c>
      <c r="Z194" s="3" t="s">
        <v>131</v>
      </c>
      <c r="AA194" s="3" t="s">
        <v>4232</v>
      </c>
      <c r="AB194" s="9">
        <v>45508</v>
      </c>
      <c r="AC194" s="3" t="s">
        <v>4236</v>
      </c>
      <c r="AD194" s="3"/>
    </row>
    <row r="195" spans="1:30" hidden="1">
      <c r="A195" s="3" t="s">
        <v>44</v>
      </c>
      <c r="B195" s="4">
        <v>45526</v>
      </c>
      <c r="C195" s="3" t="s">
        <v>45</v>
      </c>
      <c r="D195" s="3" t="s">
        <v>75</v>
      </c>
      <c r="E195" s="3" t="s">
        <v>76</v>
      </c>
      <c r="F195" s="3" t="s">
        <v>4241</v>
      </c>
      <c r="G195" s="3" t="s">
        <v>4242</v>
      </c>
      <c r="H195" s="3"/>
      <c r="I195" s="3" t="s">
        <v>51</v>
      </c>
      <c r="J195" s="6">
        <v>45253</v>
      </c>
      <c r="K195" s="6"/>
      <c r="L195" s="6">
        <v>45253</v>
      </c>
      <c r="M195" s="6">
        <v>45526</v>
      </c>
      <c r="N195" s="3" t="s">
        <v>52</v>
      </c>
      <c r="O195" s="3" t="s">
        <v>3858</v>
      </c>
      <c r="P195" s="7">
        <v>513</v>
      </c>
      <c r="Q195" s="7">
        <v>42.75</v>
      </c>
      <c r="R195" s="8"/>
      <c r="S195" s="7">
        <v>1200</v>
      </c>
      <c r="T195" s="8">
        <v>513</v>
      </c>
      <c r="U195" s="3">
        <v>513</v>
      </c>
      <c r="V195" s="3" t="s">
        <v>54</v>
      </c>
      <c r="W195" s="3">
        <v>0</v>
      </c>
      <c r="X195" s="3" t="s">
        <v>131</v>
      </c>
      <c r="Y195" s="3" t="s">
        <v>131</v>
      </c>
      <c r="Z195" s="3" t="s">
        <v>131</v>
      </c>
      <c r="AA195" s="3" t="s">
        <v>4232</v>
      </c>
      <c r="AB195" s="9">
        <v>45526</v>
      </c>
      <c r="AC195" s="3" t="s">
        <v>4236</v>
      </c>
      <c r="AD195" s="3"/>
    </row>
    <row r="196" spans="1:30" hidden="1">
      <c r="A196" s="3" t="s">
        <v>74</v>
      </c>
      <c r="B196" s="4">
        <v>45475</v>
      </c>
      <c r="C196" s="3" t="s">
        <v>45</v>
      </c>
      <c r="D196" s="3" t="s">
        <v>75</v>
      </c>
      <c r="E196" s="3" t="s">
        <v>76</v>
      </c>
      <c r="F196" s="3" t="s">
        <v>4243</v>
      </c>
      <c r="G196" s="3" t="s">
        <v>3620</v>
      </c>
      <c r="H196" s="3"/>
      <c r="I196" s="3" t="s">
        <v>51</v>
      </c>
      <c r="J196" s="6">
        <v>45294</v>
      </c>
      <c r="K196" s="6"/>
      <c r="L196" s="6">
        <v>45294</v>
      </c>
      <c r="M196" s="6">
        <v>45475</v>
      </c>
      <c r="N196" s="3" t="s">
        <v>52</v>
      </c>
      <c r="O196" s="3" t="s">
        <v>3858</v>
      </c>
      <c r="P196" s="7">
        <v>513</v>
      </c>
      <c r="Q196" s="7">
        <v>42.75</v>
      </c>
      <c r="R196" s="8"/>
      <c r="S196" s="7">
        <v>1200</v>
      </c>
      <c r="T196" s="8">
        <v>1200</v>
      </c>
      <c r="U196" s="3">
        <v>513</v>
      </c>
      <c r="V196" s="3" t="s">
        <v>54</v>
      </c>
      <c r="W196" s="3">
        <v>0</v>
      </c>
      <c r="X196" s="3" t="s">
        <v>131</v>
      </c>
      <c r="Y196" s="3" t="s">
        <v>131</v>
      </c>
      <c r="Z196" s="3" t="s">
        <v>131</v>
      </c>
      <c r="AA196" s="3" t="s">
        <v>4232</v>
      </c>
      <c r="AB196" s="9">
        <v>45630</v>
      </c>
      <c r="AC196" s="3" t="s">
        <v>4236</v>
      </c>
      <c r="AD196" s="3"/>
    </row>
    <row r="197" spans="1:30" hidden="1">
      <c r="A197" s="3" t="s">
        <v>74</v>
      </c>
      <c r="B197" s="4">
        <v>45483</v>
      </c>
      <c r="C197" s="3" t="s">
        <v>45</v>
      </c>
      <c r="D197" s="3" t="s">
        <v>75</v>
      </c>
      <c r="E197" s="3" t="s">
        <v>76</v>
      </c>
      <c r="F197" s="3" t="s">
        <v>4244</v>
      </c>
      <c r="G197" s="3" t="s">
        <v>3623</v>
      </c>
      <c r="H197" s="3"/>
      <c r="I197" s="3" t="s">
        <v>51</v>
      </c>
      <c r="J197" s="6">
        <v>45302</v>
      </c>
      <c r="K197" s="6"/>
      <c r="L197" s="6">
        <v>45302</v>
      </c>
      <c r="M197" s="6">
        <v>45483</v>
      </c>
      <c r="N197" s="3" t="s">
        <v>52</v>
      </c>
      <c r="O197" s="3" t="s">
        <v>3858</v>
      </c>
      <c r="P197" s="7">
        <v>513</v>
      </c>
      <c r="Q197" s="7">
        <v>42.75</v>
      </c>
      <c r="R197" s="8"/>
      <c r="S197" s="7">
        <v>1200</v>
      </c>
      <c r="T197" s="8">
        <v>513</v>
      </c>
      <c r="U197" s="3">
        <v>513</v>
      </c>
      <c r="V197" s="3" t="s">
        <v>54</v>
      </c>
      <c r="W197" s="3">
        <v>0</v>
      </c>
      <c r="X197" s="3" t="s">
        <v>131</v>
      </c>
      <c r="Y197" s="3" t="s">
        <v>131</v>
      </c>
      <c r="Z197" s="3" t="s">
        <v>131</v>
      </c>
      <c r="AA197" s="3" t="s">
        <v>4232</v>
      </c>
      <c r="AB197" s="9">
        <v>45483</v>
      </c>
      <c r="AC197" s="3" t="s">
        <v>4236</v>
      </c>
      <c r="AD197" s="3"/>
    </row>
    <row r="198" spans="1:30" hidden="1">
      <c r="A198" s="3" t="s">
        <v>74</v>
      </c>
      <c r="B198" s="4">
        <v>45484</v>
      </c>
      <c r="C198" s="3" t="s">
        <v>45</v>
      </c>
      <c r="D198" s="3" t="s">
        <v>75</v>
      </c>
      <c r="E198" s="3" t="s">
        <v>76</v>
      </c>
      <c r="F198" s="3" t="s">
        <v>4245</v>
      </c>
      <c r="G198" s="3" t="s">
        <v>4246</v>
      </c>
      <c r="H198" s="3"/>
      <c r="I198" s="3" t="s">
        <v>51</v>
      </c>
      <c r="J198" s="6">
        <v>45303</v>
      </c>
      <c r="K198" s="6"/>
      <c r="L198" s="6">
        <v>45303</v>
      </c>
      <c r="M198" s="6">
        <v>45484</v>
      </c>
      <c r="N198" s="3" t="s">
        <v>52</v>
      </c>
      <c r="O198" s="3" t="s">
        <v>3858</v>
      </c>
      <c r="P198" s="7">
        <v>513</v>
      </c>
      <c r="Q198" s="7">
        <v>42.75</v>
      </c>
      <c r="R198" s="8"/>
      <c r="S198" s="7">
        <v>1200</v>
      </c>
      <c r="T198" s="8">
        <v>513</v>
      </c>
      <c r="U198" s="3">
        <v>513</v>
      </c>
      <c r="V198" s="3" t="s">
        <v>54</v>
      </c>
      <c r="W198" s="3">
        <v>0</v>
      </c>
      <c r="X198" s="3" t="s">
        <v>131</v>
      </c>
      <c r="Y198" s="3" t="s">
        <v>131</v>
      </c>
      <c r="Z198" s="3" t="s">
        <v>131</v>
      </c>
      <c r="AA198" s="3" t="s">
        <v>4232</v>
      </c>
      <c r="AB198" s="9">
        <v>45484</v>
      </c>
      <c r="AC198" s="3" t="s">
        <v>4236</v>
      </c>
      <c r="AD198" s="3"/>
    </row>
    <row r="199" spans="1:30" hidden="1">
      <c r="A199" s="3" t="s">
        <v>74</v>
      </c>
      <c r="B199" s="4">
        <v>45484</v>
      </c>
      <c r="C199" s="3" t="s">
        <v>45</v>
      </c>
      <c r="D199" s="3" t="s">
        <v>75</v>
      </c>
      <c r="E199" s="3" t="s">
        <v>76</v>
      </c>
      <c r="F199" s="3" t="s">
        <v>4247</v>
      </c>
      <c r="G199" s="3" t="s">
        <v>4248</v>
      </c>
      <c r="H199" s="3"/>
      <c r="I199" s="3" t="s">
        <v>51</v>
      </c>
      <c r="J199" s="6">
        <v>45302</v>
      </c>
      <c r="K199" s="6"/>
      <c r="L199" s="6">
        <v>45302</v>
      </c>
      <c r="M199" s="6">
        <v>45483</v>
      </c>
      <c r="N199" s="3" t="s">
        <v>52</v>
      </c>
      <c r="O199" s="3" t="s">
        <v>3858</v>
      </c>
      <c r="P199" s="7">
        <v>513</v>
      </c>
      <c r="Q199" s="7">
        <v>42.75</v>
      </c>
      <c r="R199" s="8"/>
      <c r="S199" s="7">
        <v>1200</v>
      </c>
      <c r="T199" s="8">
        <v>513</v>
      </c>
      <c r="U199" s="3">
        <v>513</v>
      </c>
      <c r="V199" s="3" t="s">
        <v>54</v>
      </c>
      <c r="W199" s="3">
        <v>0</v>
      </c>
      <c r="X199" s="3" t="s">
        <v>131</v>
      </c>
      <c r="Y199" s="3" t="s">
        <v>131</v>
      </c>
      <c r="Z199" s="3" t="s">
        <v>131</v>
      </c>
      <c r="AA199" s="3" t="s">
        <v>4232</v>
      </c>
      <c r="AB199" s="9">
        <v>45484</v>
      </c>
      <c r="AC199" s="3" t="s">
        <v>4236</v>
      </c>
      <c r="AD199" s="3"/>
    </row>
    <row r="200" spans="1:30" hidden="1">
      <c r="A200" s="3" t="s">
        <v>74</v>
      </c>
      <c r="B200" s="4">
        <v>45490</v>
      </c>
      <c r="C200" s="3" t="s">
        <v>45</v>
      </c>
      <c r="D200" s="3" t="s">
        <v>75</v>
      </c>
      <c r="E200" s="3" t="s">
        <v>76</v>
      </c>
      <c r="F200" s="3" t="s">
        <v>4231</v>
      </c>
      <c r="G200" s="3" t="s">
        <v>3651</v>
      </c>
      <c r="H200" s="3"/>
      <c r="I200" s="3" t="s">
        <v>51</v>
      </c>
      <c r="J200" s="6">
        <v>45308</v>
      </c>
      <c r="K200" s="6"/>
      <c r="L200" s="6">
        <v>45308</v>
      </c>
      <c r="M200" s="6">
        <v>45489</v>
      </c>
      <c r="N200" s="3" t="s">
        <v>52</v>
      </c>
      <c r="O200" s="3" t="s">
        <v>3858</v>
      </c>
      <c r="P200" s="7">
        <v>513</v>
      </c>
      <c r="Q200" s="7">
        <v>42.75</v>
      </c>
      <c r="R200" s="8"/>
      <c r="S200" s="7">
        <v>1200</v>
      </c>
      <c r="T200" s="8">
        <v>513</v>
      </c>
      <c r="U200" s="3">
        <v>513</v>
      </c>
      <c r="V200" s="3" t="s">
        <v>250</v>
      </c>
      <c r="W200" s="3">
        <v>0</v>
      </c>
      <c r="X200" s="3" t="s">
        <v>131</v>
      </c>
      <c r="Y200" s="3" t="s">
        <v>131</v>
      </c>
      <c r="Z200" s="3" t="s">
        <v>131</v>
      </c>
      <c r="AA200" s="3" t="s">
        <v>4232</v>
      </c>
      <c r="AB200" s="9">
        <v>45490</v>
      </c>
      <c r="AC200" s="3" t="s">
        <v>4233</v>
      </c>
      <c r="AD200" s="3"/>
    </row>
    <row r="201" spans="1:30" hidden="1">
      <c r="A201" s="3" t="s">
        <v>74</v>
      </c>
      <c r="B201" s="4">
        <v>45504</v>
      </c>
      <c r="C201" s="3" t="s">
        <v>45</v>
      </c>
      <c r="D201" s="3" t="s">
        <v>75</v>
      </c>
      <c r="E201" s="3" t="s">
        <v>76</v>
      </c>
      <c r="F201" s="3" t="s">
        <v>4249</v>
      </c>
      <c r="G201" s="3" t="s">
        <v>4250</v>
      </c>
      <c r="H201" s="3"/>
      <c r="I201" s="3" t="s">
        <v>51</v>
      </c>
      <c r="J201" s="6">
        <v>45322</v>
      </c>
      <c r="K201" s="6"/>
      <c r="L201" s="6">
        <v>45322</v>
      </c>
      <c r="M201" s="6">
        <v>45503</v>
      </c>
      <c r="N201" s="3" t="s">
        <v>52</v>
      </c>
      <c r="O201" s="3" t="s">
        <v>3858</v>
      </c>
      <c r="P201" s="7">
        <v>513</v>
      </c>
      <c r="Q201" s="7">
        <v>42.75</v>
      </c>
      <c r="R201" s="8"/>
      <c r="S201" s="7">
        <v>1200</v>
      </c>
      <c r="T201" s="8">
        <v>513</v>
      </c>
      <c r="U201" s="3">
        <v>513</v>
      </c>
      <c r="V201" s="3" t="s">
        <v>54</v>
      </c>
      <c r="W201" s="3">
        <v>0</v>
      </c>
      <c r="X201" s="3" t="s">
        <v>131</v>
      </c>
      <c r="Y201" s="3" t="s">
        <v>131</v>
      </c>
      <c r="Z201" s="3" t="s">
        <v>131</v>
      </c>
      <c r="AA201" s="3" t="s">
        <v>4232</v>
      </c>
      <c r="AB201" s="9">
        <v>45504</v>
      </c>
      <c r="AC201" s="3" t="s">
        <v>4236</v>
      </c>
      <c r="AD201" s="3"/>
    </row>
    <row r="202" spans="1:30" hidden="1">
      <c r="A202" s="3" t="s">
        <v>74</v>
      </c>
      <c r="B202" s="4">
        <v>45504</v>
      </c>
      <c r="C202" s="3" t="s">
        <v>45</v>
      </c>
      <c r="D202" s="3" t="s">
        <v>75</v>
      </c>
      <c r="E202" s="3" t="s">
        <v>76</v>
      </c>
      <c r="F202" s="3" t="s">
        <v>4251</v>
      </c>
      <c r="G202" s="3" t="s">
        <v>81</v>
      </c>
      <c r="H202" s="3"/>
      <c r="I202" s="3" t="s">
        <v>51</v>
      </c>
      <c r="J202" s="6">
        <v>45323</v>
      </c>
      <c r="K202" s="6"/>
      <c r="L202" s="6">
        <v>45323</v>
      </c>
      <c r="M202" s="6">
        <v>45504</v>
      </c>
      <c r="N202" s="3" t="s">
        <v>52</v>
      </c>
      <c r="O202" s="3" t="s">
        <v>3858</v>
      </c>
      <c r="P202" s="7">
        <v>513</v>
      </c>
      <c r="Q202" s="7">
        <v>42.75</v>
      </c>
      <c r="R202" s="8"/>
      <c r="S202" s="7">
        <v>1200</v>
      </c>
      <c r="T202" s="8">
        <v>513</v>
      </c>
      <c r="U202" s="3">
        <v>513</v>
      </c>
      <c r="V202" s="3" t="s">
        <v>54</v>
      </c>
      <c r="W202" s="3">
        <v>0</v>
      </c>
      <c r="X202" s="3" t="s">
        <v>131</v>
      </c>
      <c r="Y202" s="3" t="s">
        <v>131</v>
      </c>
      <c r="Z202" s="3" t="s">
        <v>131</v>
      </c>
      <c r="AA202" s="3" t="s">
        <v>4232</v>
      </c>
      <c r="AB202" s="9">
        <v>45504</v>
      </c>
      <c r="AC202" s="3" t="s">
        <v>4236</v>
      </c>
      <c r="AD202" s="3"/>
    </row>
    <row r="203" spans="1:30" hidden="1">
      <c r="A203" s="3" t="s">
        <v>74</v>
      </c>
      <c r="B203" s="4">
        <v>45512</v>
      </c>
      <c r="C203" s="3" t="s">
        <v>45</v>
      </c>
      <c r="D203" s="3" t="s">
        <v>75</v>
      </c>
      <c r="E203" s="3" t="s">
        <v>76</v>
      </c>
      <c r="F203" s="3" t="s">
        <v>4252</v>
      </c>
      <c r="G203" s="3" t="s">
        <v>4253</v>
      </c>
      <c r="H203" s="3"/>
      <c r="I203" s="3" t="s">
        <v>51</v>
      </c>
      <c r="J203" s="6">
        <v>45331</v>
      </c>
      <c r="K203" s="6"/>
      <c r="L203" s="6">
        <v>45331</v>
      </c>
      <c r="M203" s="6">
        <v>45512</v>
      </c>
      <c r="N203" s="3" t="s">
        <v>52</v>
      </c>
      <c r="O203" s="3" t="s">
        <v>3858</v>
      </c>
      <c r="P203" s="7">
        <v>513</v>
      </c>
      <c r="Q203" s="7">
        <v>42.75</v>
      </c>
      <c r="R203" s="8"/>
      <c r="S203" s="7">
        <v>1200</v>
      </c>
      <c r="T203" s="8">
        <v>1200</v>
      </c>
      <c r="U203" s="3">
        <v>513</v>
      </c>
      <c r="V203" s="3" t="s">
        <v>54</v>
      </c>
      <c r="W203" s="3">
        <v>0</v>
      </c>
      <c r="X203" s="3" t="s">
        <v>131</v>
      </c>
      <c r="Y203" s="3" t="s">
        <v>131</v>
      </c>
      <c r="Z203" s="3" t="s">
        <v>131</v>
      </c>
      <c r="AA203" s="3" t="s">
        <v>4232</v>
      </c>
      <c r="AB203" s="9">
        <v>45512</v>
      </c>
      <c r="AC203" s="3" t="s">
        <v>4236</v>
      </c>
      <c r="AD203" s="3"/>
    </row>
    <row r="204" spans="1:30" hidden="1">
      <c r="A204" s="3" t="s">
        <v>44</v>
      </c>
      <c r="B204" s="4">
        <v>45524</v>
      </c>
      <c r="C204" s="3" t="s">
        <v>45</v>
      </c>
      <c r="D204" s="3" t="s">
        <v>1183</v>
      </c>
      <c r="E204" s="3" t="s">
        <v>1184</v>
      </c>
      <c r="F204" s="3" t="s">
        <v>4254</v>
      </c>
      <c r="G204" s="3" t="s">
        <v>4255</v>
      </c>
      <c r="H204" s="3"/>
      <c r="I204" s="3" t="s">
        <v>51</v>
      </c>
      <c r="J204" s="6">
        <v>45159</v>
      </c>
      <c r="K204" s="6"/>
      <c r="L204" s="6">
        <v>45159</v>
      </c>
      <c r="M204" s="6">
        <v>45524</v>
      </c>
      <c r="N204" s="3" t="s">
        <v>52</v>
      </c>
      <c r="O204" s="3" t="s">
        <v>3858</v>
      </c>
      <c r="P204" s="7">
        <v>614</v>
      </c>
      <c r="Q204" s="7">
        <v>51.166666666666664</v>
      </c>
      <c r="R204" s="8"/>
      <c r="S204" s="7">
        <v>1200</v>
      </c>
      <c r="T204" s="8">
        <v>614</v>
      </c>
      <c r="U204" s="3">
        <v>614</v>
      </c>
      <c r="V204" s="3" t="s">
        <v>54</v>
      </c>
      <c r="W204" s="3">
        <v>0</v>
      </c>
      <c r="X204" s="3" t="s">
        <v>131</v>
      </c>
      <c r="Y204" s="3" t="s">
        <v>131</v>
      </c>
      <c r="Z204" s="3" t="s">
        <v>131</v>
      </c>
      <c r="AA204" s="3" t="s">
        <v>4256</v>
      </c>
      <c r="AB204" s="9">
        <v>45524</v>
      </c>
      <c r="AC204" s="3" t="s">
        <v>131</v>
      </c>
      <c r="AD204" s="3"/>
    </row>
    <row r="205" spans="1:30" hidden="1">
      <c r="A205" s="3" t="s">
        <v>44</v>
      </c>
      <c r="B205" s="4">
        <v>45524</v>
      </c>
      <c r="C205" s="3" t="s">
        <v>45</v>
      </c>
      <c r="D205" s="3" t="s">
        <v>1183</v>
      </c>
      <c r="E205" s="3" t="s">
        <v>1184</v>
      </c>
      <c r="F205" s="3" t="s">
        <v>4257</v>
      </c>
      <c r="G205" s="3" t="s">
        <v>2687</v>
      </c>
      <c r="H205" s="3"/>
      <c r="I205" s="3" t="s">
        <v>51</v>
      </c>
      <c r="J205" s="6">
        <v>45159</v>
      </c>
      <c r="K205" s="6"/>
      <c r="L205" s="6">
        <v>45159</v>
      </c>
      <c r="M205" s="6">
        <v>45524</v>
      </c>
      <c r="N205" s="3" t="s">
        <v>52</v>
      </c>
      <c r="O205" s="3" t="s">
        <v>3858</v>
      </c>
      <c r="P205" s="7">
        <v>614</v>
      </c>
      <c r="Q205" s="7">
        <v>51.166666666666664</v>
      </c>
      <c r="R205" s="8"/>
      <c r="S205" s="7">
        <v>1200</v>
      </c>
      <c r="T205" s="8">
        <v>614</v>
      </c>
      <c r="U205" s="3">
        <v>614</v>
      </c>
      <c r="V205" s="3" t="s">
        <v>54</v>
      </c>
      <c r="W205" s="3">
        <v>0</v>
      </c>
      <c r="X205" s="3" t="s">
        <v>131</v>
      </c>
      <c r="Y205" s="3" t="s">
        <v>131</v>
      </c>
      <c r="Z205" s="3" t="s">
        <v>131</v>
      </c>
      <c r="AA205" s="3" t="s">
        <v>4256</v>
      </c>
      <c r="AB205" s="9">
        <v>45524</v>
      </c>
      <c r="AC205" s="3" t="s">
        <v>131</v>
      </c>
      <c r="AD205" s="3"/>
    </row>
    <row r="206" spans="1:30" hidden="1">
      <c r="A206" s="3" t="s">
        <v>44</v>
      </c>
      <c r="B206" s="4">
        <v>45525</v>
      </c>
      <c r="C206" s="3" t="s">
        <v>45</v>
      </c>
      <c r="D206" s="3" t="s">
        <v>1183</v>
      </c>
      <c r="E206" s="3" t="s">
        <v>1184</v>
      </c>
      <c r="F206" s="3" t="s">
        <v>4258</v>
      </c>
      <c r="G206" s="3" t="s">
        <v>2743</v>
      </c>
      <c r="H206" s="3"/>
      <c r="I206" s="3" t="s">
        <v>51</v>
      </c>
      <c r="J206" s="6">
        <v>45160</v>
      </c>
      <c r="K206" s="6"/>
      <c r="L206" s="6">
        <v>45160</v>
      </c>
      <c r="M206" s="6">
        <v>45525</v>
      </c>
      <c r="N206" s="3" t="s">
        <v>52</v>
      </c>
      <c r="O206" s="3" t="s">
        <v>3858</v>
      </c>
      <c r="P206" s="7">
        <v>615</v>
      </c>
      <c r="Q206" s="7">
        <v>51.25</v>
      </c>
      <c r="R206" s="8"/>
      <c r="S206" s="7">
        <v>1200</v>
      </c>
      <c r="T206" s="8">
        <v>615</v>
      </c>
      <c r="U206" s="3">
        <v>615</v>
      </c>
      <c r="V206" s="3" t="s">
        <v>54</v>
      </c>
      <c r="W206" s="3">
        <v>0</v>
      </c>
      <c r="X206" s="3" t="s">
        <v>131</v>
      </c>
      <c r="Y206" s="3" t="s">
        <v>131</v>
      </c>
      <c r="Z206" s="3" t="s">
        <v>131</v>
      </c>
      <c r="AA206" s="3" t="s">
        <v>4256</v>
      </c>
      <c r="AB206" s="9">
        <v>45525</v>
      </c>
      <c r="AC206" s="3" t="s">
        <v>131</v>
      </c>
      <c r="AD206" s="3"/>
    </row>
    <row r="207" spans="1:30" hidden="1">
      <c r="A207" s="3" t="s">
        <v>44</v>
      </c>
      <c r="B207" s="4">
        <v>45525</v>
      </c>
      <c r="C207" s="3" t="s">
        <v>45</v>
      </c>
      <c r="D207" s="3" t="s">
        <v>1183</v>
      </c>
      <c r="E207" s="3" t="s">
        <v>1184</v>
      </c>
      <c r="F207" s="3" t="s">
        <v>4259</v>
      </c>
      <c r="G207" s="3" t="s">
        <v>4260</v>
      </c>
      <c r="H207" s="3"/>
      <c r="I207" s="3" t="s">
        <v>51</v>
      </c>
      <c r="J207" s="6">
        <v>45160</v>
      </c>
      <c r="K207" s="6"/>
      <c r="L207" s="6">
        <v>45160</v>
      </c>
      <c r="M207" s="6">
        <v>45525</v>
      </c>
      <c r="N207" s="3" t="s">
        <v>52</v>
      </c>
      <c r="O207" s="3" t="s">
        <v>3858</v>
      </c>
      <c r="P207" s="7">
        <v>614</v>
      </c>
      <c r="Q207" s="7">
        <v>51.166666666666664</v>
      </c>
      <c r="R207" s="8"/>
      <c r="S207" s="7">
        <v>1200</v>
      </c>
      <c r="T207" s="8">
        <v>614</v>
      </c>
      <c r="U207" s="3">
        <v>614</v>
      </c>
      <c r="V207" s="3" t="s">
        <v>54</v>
      </c>
      <c r="W207" s="3">
        <v>0</v>
      </c>
      <c r="X207" s="3" t="s">
        <v>131</v>
      </c>
      <c r="Y207" s="3" t="s">
        <v>131</v>
      </c>
      <c r="Z207" s="3" t="s">
        <v>131</v>
      </c>
      <c r="AA207" s="3" t="s">
        <v>4261</v>
      </c>
      <c r="AB207" s="9">
        <v>45525</v>
      </c>
      <c r="AC207" s="3" t="s">
        <v>131</v>
      </c>
      <c r="AD207" s="3"/>
    </row>
    <row r="208" spans="1:30" hidden="1">
      <c r="A208" s="3" t="s">
        <v>44</v>
      </c>
      <c r="B208" s="4">
        <v>45525</v>
      </c>
      <c r="C208" s="3" t="s">
        <v>45</v>
      </c>
      <c r="D208" s="3" t="s">
        <v>1183</v>
      </c>
      <c r="E208" s="3" t="s">
        <v>1184</v>
      </c>
      <c r="F208" s="3" t="s">
        <v>4262</v>
      </c>
      <c r="G208" s="3" t="s">
        <v>2645</v>
      </c>
      <c r="H208" s="3"/>
      <c r="I208" s="3" t="s">
        <v>51</v>
      </c>
      <c r="J208" s="6">
        <v>45160</v>
      </c>
      <c r="K208" s="6"/>
      <c r="L208" s="6">
        <v>45160</v>
      </c>
      <c r="M208" s="6">
        <v>45525</v>
      </c>
      <c r="N208" s="3" t="s">
        <v>52</v>
      </c>
      <c r="O208" s="3" t="s">
        <v>3858</v>
      </c>
      <c r="P208" s="7">
        <v>614</v>
      </c>
      <c r="Q208" s="7">
        <v>51.166666666666664</v>
      </c>
      <c r="R208" s="8"/>
      <c r="S208" s="7">
        <v>1200</v>
      </c>
      <c r="T208" s="8">
        <v>614</v>
      </c>
      <c r="U208" s="3">
        <v>614</v>
      </c>
      <c r="V208" s="3" t="s">
        <v>54</v>
      </c>
      <c r="W208" s="3">
        <v>0</v>
      </c>
      <c r="X208" s="3" t="s">
        <v>131</v>
      </c>
      <c r="Y208" s="3" t="s">
        <v>131</v>
      </c>
      <c r="Z208" s="3" t="s">
        <v>131</v>
      </c>
      <c r="AA208" s="3" t="s">
        <v>4261</v>
      </c>
      <c r="AB208" s="9">
        <v>45525</v>
      </c>
      <c r="AC208" s="3" t="s">
        <v>131</v>
      </c>
      <c r="AD208" s="3"/>
    </row>
    <row r="209" spans="1:30" hidden="1">
      <c r="A209" s="3" t="s">
        <v>44</v>
      </c>
      <c r="B209" s="4">
        <v>45527</v>
      </c>
      <c r="C209" s="3" t="s">
        <v>45</v>
      </c>
      <c r="D209" s="3" t="s">
        <v>1183</v>
      </c>
      <c r="E209" s="3" t="s">
        <v>1184</v>
      </c>
      <c r="F209" s="3" t="s">
        <v>4263</v>
      </c>
      <c r="G209" s="3" t="s">
        <v>2884</v>
      </c>
      <c r="H209" s="3"/>
      <c r="I209" s="3" t="s">
        <v>51</v>
      </c>
      <c r="J209" s="6">
        <v>45162</v>
      </c>
      <c r="K209" s="6"/>
      <c r="L209" s="6">
        <v>45162</v>
      </c>
      <c r="M209" s="6">
        <v>45527</v>
      </c>
      <c r="N209" s="3" t="s">
        <v>52</v>
      </c>
      <c r="O209" s="3" t="s">
        <v>3858</v>
      </c>
      <c r="P209" s="7">
        <v>614</v>
      </c>
      <c r="Q209" s="7">
        <v>51.166666666666664</v>
      </c>
      <c r="R209" s="8"/>
      <c r="S209" s="7">
        <v>1200</v>
      </c>
      <c r="T209" s="8">
        <v>614</v>
      </c>
      <c r="U209" s="3">
        <v>614</v>
      </c>
      <c r="V209" s="3" t="s">
        <v>54</v>
      </c>
      <c r="W209" s="3">
        <v>0</v>
      </c>
      <c r="X209" s="3" t="s">
        <v>131</v>
      </c>
      <c r="Y209" s="3" t="s">
        <v>131</v>
      </c>
      <c r="Z209" s="3" t="s">
        <v>131</v>
      </c>
      <c r="AA209" s="3" t="s">
        <v>4261</v>
      </c>
      <c r="AB209" s="9">
        <v>45527</v>
      </c>
      <c r="AC209" s="3" t="s">
        <v>131</v>
      </c>
      <c r="AD209" s="3"/>
    </row>
    <row r="210" spans="1:30" hidden="1">
      <c r="A210" s="3" t="s">
        <v>44</v>
      </c>
      <c r="B210" s="4">
        <v>45529</v>
      </c>
      <c r="C210" s="3" t="s">
        <v>45</v>
      </c>
      <c r="D210" s="3" t="s">
        <v>1183</v>
      </c>
      <c r="E210" s="3" t="s">
        <v>1184</v>
      </c>
      <c r="F210" s="3" t="s">
        <v>4264</v>
      </c>
      <c r="G210" s="3" t="s">
        <v>4265</v>
      </c>
      <c r="H210" s="3"/>
      <c r="I210" s="3" t="s">
        <v>51</v>
      </c>
      <c r="J210" s="6">
        <v>45164</v>
      </c>
      <c r="K210" s="6"/>
      <c r="L210" s="6">
        <v>45164</v>
      </c>
      <c r="M210" s="6">
        <v>45529</v>
      </c>
      <c r="N210" s="3" t="s">
        <v>52</v>
      </c>
      <c r="O210" s="3" t="s">
        <v>3858</v>
      </c>
      <c r="P210" s="7">
        <v>615</v>
      </c>
      <c r="Q210" s="7">
        <v>51.25</v>
      </c>
      <c r="R210" s="8"/>
      <c r="S210" s="7">
        <v>1200</v>
      </c>
      <c r="T210" s="8">
        <v>615</v>
      </c>
      <c r="U210" s="3">
        <v>615</v>
      </c>
      <c r="V210" s="3" t="s">
        <v>54</v>
      </c>
      <c r="W210" s="3">
        <v>0</v>
      </c>
      <c r="X210" s="3" t="s">
        <v>131</v>
      </c>
      <c r="Y210" s="3" t="s">
        <v>131</v>
      </c>
      <c r="Z210" s="3" t="s">
        <v>131</v>
      </c>
      <c r="AA210" s="3" t="s">
        <v>4256</v>
      </c>
      <c r="AB210" s="9">
        <v>45529</v>
      </c>
      <c r="AC210" s="3" t="s">
        <v>131</v>
      </c>
      <c r="AD210" s="3"/>
    </row>
    <row r="211" spans="1:30" hidden="1">
      <c r="A211" s="3" t="s">
        <v>44</v>
      </c>
      <c r="B211" s="4">
        <v>45531</v>
      </c>
      <c r="C211" s="3" t="s">
        <v>45</v>
      </c>
      <c r="D211" s="3" t="s">
        <v>1183</v>
      </c>
      <c r="E211" s="3" t="s">
        <v>1184</v>
      </c>
      <c r="F211" s="3" t="s">
        <v>4266</v>
      </c>
      <c r="G211" s="3" t="s">
        <v>3203</v>
      </c>
      <c r="H211" s="3"/>
      <c r="I211" s="3" t="s">
        <v>51</v>
      </c>
      <c r="J211" s="6">
        <v>45166</v>
      </c>
      <c r="K211" s="6"/>
      <c r="L211" s="6">
        <v>45166</v>
      </c>
      <c r="M211" s="6">
        <v>45531</v>
      </c>
      <c r="N211" s="3" t="s">
        <v>52</v>
      </c>
      <c r="O211" s="3" t="s">
        <v>3858</v>
      </c>
      <c r="P211" s="7">
        <v>614</v>
      </c>
      <c r="Q211" s="7">
        <v>51.166666666666664</v>
      </c>
      <c r="R211" s="8"/>
      <c r="S211" s="7">
        <v>1200</v>
      </c>
      <c r="T211" s="8">
        <v>614</v>
      </c>
      <c r="U211" s="3">
        <v>614</v>
      </c>
      <c r="V211" s="3" t="s">
        <v>54</v>
      </c>
      <c r="W211" s="3">
        <v>0</v>
      </c>
      <c r="X211" s="3" t="s">
        <v>131</v>
      </c>
      <c r="Y211" s="3" t="s">
        <v>131</v>
      </c>
      <c r="Z211" s="3" t="s">
        <v>131</v>
      </c>
      <c r="AA211" s="3" t="s">
        <v>4256</v>
      </c>
      <c r="AB211" s="9">
        <v>45531</v>
      </c>
      <c r="AC211" s="3" t="s">
        <v>131</v>
      </c>
      <c r="AD211" s="3"/>
    </row>
    <row r="212" spans="1:30" hidden="1">
      <c r="A212" s="3" t="s">
        <v>44</v>
      </c>
      <c r="B212" s="4">
        <v>45534</v>
      </c>
      <c r="C212" s="3" t="s">
        <v>45</v>
      </c>
      <c r="D212" s="3" t="s">
        <v>1183</v>
      </c>
      <c r="E212" s="3" t="s">
        <v>1184</v>
      </c>
      <c r="F212" s="3" t="s">
        <v>4267</v>
      </c>
      <c r="G212" s="3" t="s">
        <v>4268</v>
      </c>
      <c r="H212" s="3"/>
      <c r="I212" s="3" t="s">
        <v>51</v>
      </c>
      <c r="J212" s="6">
        <v>45169</v>
      </c>
      <c r="K212" s="6"/>
      <c r="L212" s="6">
        <v>45169</v>
      </c>
      <c r="M212" s="6">
        <v>45534</v>
      </c>
      <c r="N212" s="3" t="s">
        <v>52</v>
      </c>
      <c r="O212" s="3" t="s">
        <v>3858</v>
      </c>
      <c r="P212" s="7">
        <v>615</v>
      </c>
      <c r="Q212" s="7">
        <v>51.25</v>
      </c>
      <c r="R212" s="8"/>
      <c r="S212" s="7">
        <v>1200</v>
      </c>
      <c r="T212" s="8">
        <v>615</v>
      </c>
      <c r="U212" s="3">
        <v>615</v>
      </c>
      <c r="V212" s="3" t="s">
        <v>54</v>
      </c>
      <c r="W212" s="3">
        <v>0</v>
      </c>
      <c r="X212" s="3" t="s">
        <v>131</v>
      </c>
      <c r="Y212" s="3" t="s">
        <v>131</v>
      </c>
      <c r="Z212" s="3" t="s">
        <v>131</v>
      </c>
      <c r="AA212" s="3" t="s">
        <v>4261</v>
      </c>
      <c r="AB212" s="9">
        <v>45534</v>
      </c>
      <c r="AC212" s="3" t="s">
        <v>131</v>
      </c>
      <c r="AD212" s="3"/>
    </row>
    <row r="213" spans="1:30" hidden="1">
      <c r="A213" s="3" t="s">
        <v>44</v>
      </c>
      <c r="B213" s="4">
        <v>45534</v>
      </c>
      <c r="C213" s="3" t="s">
        <v>45</v>
      </c>
      <c r="D213" s="3" t="s">
        <v>1183</v>
      </c>
      <c r="E213" s="3" t="s">
        <v>1184</v>
      </c>
      <c r="F213" s="3" t="s">
        <v>4269</v>
      </c>
      <c r="G213" s="3" t="s">
        <v>3551</v>
      </c>
      <c r="H213" s="3"/>
      <c r="I213" s="3" t="s">
        <v>51</v>
      </c>
      <c r="J213" s="6">
        <v>45169</v>
      </c>
      <c r="K213" s="6"/>
      <c r="L213" s="6">
        <v>45169</v>
      </c>
      <c r="M213" s="6">
        <v>45534</v>
      </c>
      <c r="N213" s="3" t="s">
        <v>52</v>
      </c>
      <c r="O213" s="3" t="s">
        <v>3858</v>
      </c>
      <c r="P213" s="7">
        <v>614</v>
      </c>
      <c r="Q213" s="7">
        <v>51.166666666666664</v>
      </c>
      <c r="R213" s="8"/>
      <c r="S213" s="7">
        <v>1200</v>
      </c>
      <c r="T213" s="8">
        <v>614</v>
      </c>
      <c r="U213" s="3">
        <v>614</v>
      </c>
      <c r="V213" s="3" t="s">
        <v>54</v>
      </c>
      <c r="W213" s="3">
        <v>0</v>
      </c>
      <c r="X213" s="3" t="s">
        <v>131</v>
      </c>
      <c r="Y213" s="3" t="s">
        <v>131</v>
      </c>
      <c r="Z213" s="3" t="s">
        <v>131</v>
      </c>
      <c r="AA213" s="3" t="s">
        <v>4256</v>
      </c>
      <c r="AB213" s="9">
        <v>45534</v>
      </c>
      <c r="AC213" s="3" t="s">
        <v>131</v>
      </c>
      <c r="AD213" s="3"/>
    </row>
    <row r="214" spans="1:30" hidden="1">
      <c r="A214" s="3" t="s">
        <v>44</v>
      </c>
      <c r="B214" s="4">
        <v>45535</v>
      </c>
      <c r="C214" s="3" t="s">
        <v>45</v>
      </c>
      <c r="D214" s="3" t="s">
        <v>1183</v>
      </c>
      <c r="E214" s="3" t="s">
        <v>1184</v>
      </c>
      <c r="F214" s="3" t="s">
        <v>4270</v>
      </c>
      <c r="G214" s="3" t="s">
        <v>3764</v>
      </c>
      <c r="H214" s="3"/>
      <c r="I214" s="3" t="s">
        <v>51</v>
      </c>
      <c r="J214" s="6">
        <v>45170</v>
      </c>
      <c r="K214" s="6"/>
      <c r="L214" s="6">
        <v>45170</v>
      </c>
      <c r="M214" s="6">
        <v>45535</v>
      </c>
      <c r="N214" s="3" t="s">
        <v>52</v>
      </c>
      <c r="O214" s="3" t="s">
        <v>3858</v>
      </c>
      <c r="P214" s="7">
        <v>615</v>
      </c>
      <c r="Q214" s="7">
        <v>51.25</v>
      </c>
      <c r="R214" s="8"/>
      <c r="S214" s="7">
        <v>1200</v>
      </c>
      <c r="T214" s="8">
        <v>615</v>
      </c>
      <c r="U214" s="3">
        <v>615</v>
      </c>
      <c r="V214" s="3" t="s">
        <v>54</v>
      </c>
      <c r="W214" s="3">
        <v>0</v>
      </c>
      <c r="X214" s="3" t="s">
        <v>131</v>
      </c>
      <c r="Y214" s="3" t="s">
        <v>131</v>
      </c>
      <c r="Z214" s="3" t="s">
        <v>131</v>
      </c>
      <c r="AA214" s="3" t="s">
        <v>4256</v>
      </c>
      <c r="AB214" s="9">
        <v>45535</v>
      </c>
      <c r="AC214" s="3" t="s">
        <v>131</v>
      </c>
      <c r="AD214" s="3"/>
    </row>
    <row r="215" spans="1:30" hidden="1">
      <c r="A215" s="3" t="s">
        <v>44</v>
      </c>
      <c r="B215" s="4">
        <v>45474</v>
      </c>
      <c r="C215" s="3" t="s">
        <v>45</v>
      </c>
      <c r="D215" s="3" t="s">
        <v>98</v>
      </c>
      <c r="E215" s="3" t="s">
        <v>99</v>
      </c>
      <c r="F215" s="3" t="s">
        <v>4271</v>
      </c>
      <c r="G215" s="3" t="s">
        <v>4272</v>
      </c>
      <c r="H215" s="3"/>
      <c r="I215" s="3" t="s">
        <v>51</v>
      </c>
      <c r="J215" s="6">
        <v>45109</v>
      </c>
      <c r="K215" s="6"/>
      <c r="L215" s="6">
        <v>45109</v>
      </c>
      <c r="M215" s="6">
        <v>45474</v>
      </c>
      <c r="N215" s="3" t="s">
        <v>52</v>
      </c>
      <c r="O215" s="3" t="s">
        <v>3858</v>
      </c>
      <c r="P215" s="7">
        <v>1200</v>
      </c>
      <c r="Q215" s="7">
        <v>100</v>
      </c>
      <c r="R215" s="8">
        <v>1200</v>
      </c>
      <c r="S215" s="7">
        <v>1500</v>
      </c>
      <c r="T215" s="8">
        <v>1200</v>
      </c>
      <c r="U215" s="3">
        <v>1200</v>
      </c>
      <c r="V215" s="3" t="s">
        <v>54</v>
      </c>
      <c r="W215" s="3">
        <v>0</v>
      </c>
      <c r="X215" s="3" t="s">
        <v>131</v>
      </c>
      <c r="Y215" s="3" t="s">
        <v>131</v>
      </c>
      <c r="Z215" s="3" t="s">
        <v>4273</v>
      </c>
      <c r="AA215" s="3" t="s">
        <v>4274</v>
      </c>
      <c r="AB215" s="9">
        <v>45474</v>
      </c>
      <c r="AC215" s="3" t="s">
        <v>131</v>
      </c>
      <c r="AD215" s="3"/>
    </row>
    <row r="216" spans="1:30">
      <c r="A216" s="3" t="s">
        <v>44</v>
      </c>
      <c r="B216" s="4">
        <v>45477</v>
      </c>
      <c r="C216" s="3" t="s">
        <v>45</v>
      </c>
      <c r="D216" s="3" t="s">
        <v>98</v>
      </c>
      <c r="E216" s="3" t="s">
        <v>99</v>
      </c>
      <c r="F216" s="3" t="s">
        <v>4275</v>
      </c>
      <c r="G216" s="3" t="s">
        <v>4276</v>
      </c>
      <c r="H216" s="3"/>
      <c r="I216" s="3" t="s">
        <v>51</v>
      </c>
      <c r="J216" s="6">
        <v>44747</v>
      </c>
      <c r="K216" s="6"/>
      <c r="L216" s="6">
        <v>45112</v>
      </c>
      <c r="M216" s="6">
        <v>45477</v>
      </c>
      <c r="N216" s="3" t="s">
        <v>64</v>
      </c>
      <c r="O216" s="3" t="s">
        <v>3858</v>
      </c>
      <c r="P216" s="7">
        <v>1200</v>
      </c>
      <c r="Q216" s="7">
        <v>100</v>
      </c>
      <c r="R216" s="8">
        <v>1200</v>
      </c>
      <c r="S216" s="7">
        <v>1500</v>
      </c>
      <c r="T216" s="8">
        <v>1200</v>
      </c>
      <c r="U216" s="3">
        <v>1200</v>
      </c>
      <c r="V216" s="3" t="s">
        <v>54</v>
      </c>
      <c r="W216" s="3">
        <v>0</v>
      </c>
      <c r="X216" s="3" t="s">
        <v>131</v>
      </c>
      <c r="Y216" s="3" t="s">
        <v>131</v>
      </c>
      <c r="Z216" s="3" t="s">
        <v>4277</v>
      </c>
      <c r="AA216" s="3" t="s">
        <v>4274</v>
      </c>
      <c r="AB216" s="9">
        <v>45477</v>
      </c>
      <c r="AC216" s="3" t="s">
        <v>131</v>
      </c>
      <c r="AD216" s="3"/>
    </row>
    <row r="217" spans="1:30">
      <c r="A217" s="3" t="s">
        <v>44</v>
      </c>
      <c r="B217" s="4">
        <v>45481</v>
      </c>
      <c r="C217" s="3" t="s">
        <v>45</v>
      </c>
      <c r="D217" s="3" t="s">
        <v>98</v>
      </c>
      <c r="E217" s="3" t="s">
        <v>99</v>
      </c>
      <c r="F217" s="3" t="s">
        <v>4278</v>
      </c>
      <c r="G217" s="3" t="s">
        <v>4279</v>
      </c>
      <c r="H217" s="3"/>
      <c r="I217" s="3" t="s">
        <v>51</v>
      </c>
      <c r="J217" s="6">
        <v>44751</v>
      </c>
      <c r="K217" s="6"/>
      <c r="L217" s="6">
        <v>45116</v>
      </c>
      <c r="M217" s="6">
        <v>45481</v>
      </c>
      <c r="N217" s="3" t="s">
        <v>64</v>
      </c>
      <c r="O217" s="3" t="s">
        <v>3858</v>
      </c>
      <c r="P217" s="7">
        <v>1200</v>
      </c>
      <c r="Q217" s="7">
        <v>100</v>
      </c>
      <c r="R217" s="8">
        <v>1200</v>
      </c>
      <c r="S217" s="7">
        <v>1500</v>
      </c>
      <c r="T217" s="8">
        <v>1200</v>
      </c>
      <c r="U217" s="3">
        <v>1200</v>
      </c>
      <c r="V217" s="3" t="s">
        <v>54</v>
      </c>
      <c r="W217" s="3">
        <v>0</v>
      </c>
      <c r="X217" s="3" t="s">
        <v>131</v>
      </c>
      <c r="Y217" s="3" t="s">
        <v>131</v>
      </c>
      <c r="Z217" s="3" t="s">
        <v>4277</v>
      </c>
      <c r="AA217" s="3" t="s">
        <v>4274</v>
      </c>
      <c r="AB217" s="9">
        <v>45481</v>
      </c>
      <c r="AC217" s="3" t="s">
        <v>131</v>
      </c>
      <c r="AD217" s="3"/>
    </row>
    <row r="218" spans="1:30" hidden="1">
      <c r="A218" s="3" t="s">
        <v>44</v>
      </c>
      <c r="B218" s="4">
        <v>45485</v>
      </c>
      <c r="C218" s="3" t="s">
        <v>45</v>
      </c>
      <c r="D218" s="3" t="s">
        <v>98</v>
      </c>
      <c r="E218" s="3" t="s">
        <v>99</v>
      </c>
      <c r="F218" s="3" t="s">
        <v>4280</v>
      </c>
      <c r="G218" s="3" t="s">
        <v>4281</v>
      </c>
      <c r="H218" s="3"/>
      <c r="I218" s="3" t="s">
        <v>51</v>
      </c>
      <c r="J218" s="6">
        <v>45120</v>
      </c>
      <c r="K218" s="6"/>
      <c r="L218" s="6">
        <v>45120</v>
      </c>
      <c r="M218" s="6">
        <v>45485</v>
      </c>
      <c r="N218" s="3" t="s">
        <v>52</v>
      </c>
      <c r="O218" s="3" t="s">
        <v>3858</v>
      </c>
      <c r="P218" s="7">
        <v>1200</v>
      </c>
      <c r="Q218" s="7">
        <v>100</v>
      </c>
      <c r="R218" s="8">
        <v>1200</v>
      </c>
      <c r="S218" s="7">
        <v>1500</v>
      </c>
      <c r="T218" s="8">
        <v>1200</v>
      </c>
      <c r="U218" s="3">
        <v>1200</v>
      </c>
      <c r="V218" s="3" t="s">
        <v>54</v>
      </c>
      <c r="W218" s="3">
        <v>0</v>
      </c>
      <c r="X218" s="3" t="s">
        <v>131</v>
      </c>
      <c r="Y218" s="3" t="s">
        <v>131</v>
      </c>
      <c r="Z218" s="3" t="s">
        <v>4282</v>
      </c>
      <c r="AA218" s="3" t="s">
        <v>4274</v>
      </c>
      <c r="AB218" s="9">
        <v>45485</v>
      </c>
      <c r="AC218" s="3" t="s">
        <v>131</v>
      </c>
      <c r="AD218" s="3"/>
    </row>
    <row r="219" spans="1:30">
      <c r="A219" s="3" t="s">
        <v>44</v>
      </c>
      <c r="B219" s="4">
        <v>45487</v>
      </c>
      <c r="C219" s="3" t="s">
        <v>45</v>
      </c>
      <c r="D219" s="3" t="s">
        <v>98</v>
      </c>
      <c r="E219" s="3" t="s">
        <v>99</v>
      </c>
      <c r="F219" s="3" t="s">
        <v>4283</v>
      </c>
      <c r="G219" s="3" t="s">
        <v>4284</v>
      </c>
      <c r="H219" s="3"/>
      <c r="I219" s="3" t="s">
        <v>51</v>
      </c>
      <c r="J219" s="6">
        <v>44392</v>
      </c>
      <c r="K219" s="6"/>
      <c r="L219" s="6">
        <v>45122</v>
      </c>
      <c r="M219" s="6">
        <v>45487</v>
      </c>
      <c r="N219" s="3" t="s">
        <v>64</v>
      </c>
      <c r="O219" s="3" t="s">
        <v>3858</v>
      </c>
      <c r="P219" s="7">
        <v>1200</v>
      </c>
      <c r="Q219" s="7">
        <v>100</v>
      </c>
      <c r="R219" s="8">
        <v>1200</v>
      </c>
      <c r="S219" s="7">
        <v>1500</v>
      </c>
      <c r="T219" s="8">
        <v>1200</v>
      </c>
      <c r="U219" s="3">
        <v>1200</v>
      </c>
      <c r="V219" s="3" t="s">
        <v>54</v>
      </c>
      <c r="W219" s="3">
        <v>0</v>
      </c>
      <c r="X219" s="3" t="s">
        <v>131</v>
      </c>
      <c r="Y219" s="3" t="s">
        <v>131</v>
      </c>
      <c r="Z219" s="3" t="s">
        <v>4277</v>
      </c>
      <c r="AA219" s="3" t="s">
        <v>4274</v>
      </c>
      <c r="AB219" s="9">
        <v>45487</v>
      </c>
      <c r="AC219" s="3" t="s">
        <v>131</v>
      </c>
      <c r="AD219" s="3"/>
    </row>
    <row r="220" spans="1:30" hidden="1">
      <c r="A220" s="3" t="s">
        <v>44</v>
      </c>
      <c r="B220" s="4">
        <v>45497</v>
      </c>
      <c r="C220" s="3" t="s">
        <v>45</v>
      </c>
      <c r="D220" s="3" t="s">
        <v>98</v>
      </c>
      <c r="E220" s="3" t="s">
        <v>99</v>
      </c>
      <c r="F220" s="3" t="s">
        <v>4285</v>
      </c>
      <c r="G220" s="3" t="s">
        <v>4286</v>
      </c>
      <c r="H220" s="3"/>
      <c r="I220" s="3" t="s">
        <v>51</v>
      </c>
      <c r="J220" s="6">
        <v>45132</v>
      </c>
      <c r="K220" s="6"/>
      <c r="L220" s="6">
        <v>45132</v>
      </c>
      <c r="M220" s="6">
        <v>45497</v>
      </c>
      <c r="N220" s="3" t="s">
        <v>52</v>
      </c>
      <c r="O220" s="3" t="s">
        <v>3858</v>
      </c>
      <c r="P220" s="7">
        <v>1200</v>
      </c>
      <c r="Q220" s="7">
        <v>100</v>
      </c>
      <c r="R220" s="8">
        <v>1260</v>
      </c>
      <c r="S220" s="7">
        <v>1500</v>
      </c>
      <c r="T220" s="8">
        <v>1260</v>
      </c>
      <c r="U220" s="3">
        <v>1200</v>
      </c>
      <c r="V220" s="3" t="s">
        <v>54</v>
      </c>
      <c r="W220" s="3">
        <v>0</v>
      </c>
      <c r="X220" s="3" t="s">
        <v>131</v>
      </c>
      <c r="Y220" s="3" t="s">
        <v>131</v>
      </c>
      <c r="Z220" s="3" t="s">
        <v>4277</v>
      </c>
      <c r="AA220" s="3" t="s">
        <v>4274</v>
      </c>
      <c r="AB220" s="9">
        <v>45497</v>
      </c>
      <c r="AC220" s="3" t="s">
        <v>131</v>
      </c>
      <c r="AD220" s="3"/>
    </row>
    <row r="221" spans="1:30" hidden="1">
      <c r="A221" s="3" t="s">
        <v>44</v>
      </c>
      <c r="B221" s="4">
        <v>45497</v>
      </c>
      <c r="C221" s="3" t="s">
        <v>45</v>
      </c>
      <c r="D221" s="3" t="s">
        <v>98</v>
      </c>
      <c r="E221" s="3" t="s">
        <v>99</v>
      </c>
      <c r="F221" s="3" t="s">
        <v>4287</v>
      </c>
      <c r="G221" s="3" t="s">
        <v>4288</v>
      </c>
      <c r="H221" s="3"/>
      <c r="I221" s="3" t="s">
        <v>51</v>
      </c>
      <c r="J221" s="6">
        <v>45132</v>
      </c>
      <c r="K221" s="6"/>
      <c r="L221" s="6">
        <v>45132</v>
      </c>
      <c r="M221" s="6">
        <v>45497</v>
      </c>
      <c r="N221" s="3" t="s">
        <v>52</v>
      </c>
      <c r="O221" s="3" t="s">
        <v>3858</v>
      </c>
      <c r="P221" s="7">
        <v>1200</v>
      </c>
      <c r="Q221" s="7">
        <v>100</v>
      </c>
      <c r="R221" s="8">
        <v>1200</v>
      </c>
      <c r="S221" s="7">
        <v>1500</v>
      </c>
      <c r="T221" s="8">
        <v>0</v>
      </c>
      <c r="U221" s="3">
        <v>1200</v>
      </c>
      <c r="V221" s="3" t="s">
        <v>54</v>
      </c>
      <c r="W221" s="3">
        <v>0</v>
      </c>
      <c r="X221" s="3" t="s">
        <v>131</v>
      </c>
      <c r="Y221" s="3" t="s">
        <v>131</v>
      </c>
      <c r="Z221" s="3" t="s">
        <v>4282</v>
      </c>
      <c r="AA221" s="3" t="s">
        <v>4274</v>
      </c>
      <c r="AB221" s="9">
        <v>45497</v>
      </c>
      <c r="AC221" s="3" t="s">
        <v>131</v>
      </c>
      <c r="AD221" s="3"/>
    </row>
    <row r="222" spans="1:30">
      <c r="A222" s="3" t="s">
        <v>44</v>
      </c>
      <c r="B222" s="4">
        <v>45498</v>
      </c>
      <c r="C222" s="3" t="s">
        <v>45</v>
      </c>
      <c r="D222" s="3" t="s">
        <v>98</v>
      </c>
      <c r="E222" s="3" t="s">
        <v>99</v>
      </c>
      <c r="F222" s="3" t="s">
        <v>4289</v>
      </c>
      <c r="G222" s="3" t="s">
        <v>4290</v>
      </c>
      <c r="H222" s="3"/>
      <c r="I222" s="3" t="s">
        <v>51</v>
      </c>
      <c r="J222" s="6">
        <v>44768</v>
      </c>
      <c r="K222" s="6"/>
      <c r="L222" s="6">
        <v>45133</v>
      </c>
      <c r="M222" s="6">
        <v>45498</v>
      </c>
      <c r="N222" s="3" t="s">
        <v>64</v>
      </c>
      <c r="O222" s="3" t="s">
        <v>3858</v>
      </c>
      <c r="P222" s="7">
        <v>1200</v>
      </c>
      <c r="Q222" s="7">
        <v>100</v>
      </c>
      <c r="R222" s="8">
        <v>1260</v>
      </c>
      <c r="S222" s="7">
        <v>1500</v>
      </c>
      <c r="T222" s="8">
        <v>1260</v>
      </c>
      <c r="U222" s="3">
        <v>1200</v>
      </c>
      <c r="V222" s="3" t="s">
        <v>54</v>
      </c>
      <c r="W222" s="3">
        <v>0</v>
      </c>
      <c r="X222" s="3" t="s">
        <v>131</v>
      </c>
      <c r="Y222" s="3" t="s">
        <v>131</v>
      </c>
      <c r="Z222" s="3" t="s">
        <v>4273</v>
      </c>
      <c r="AA222" s="3" t="s">
        <v>4274</v>
      </c>
      <c r="AB222" s="9">
        <v>45498</v>
      </c>
      <c r="AC222" s="3" t="s">
        <v>131</v>
      </c>
      <c r="AD222" s="3"/>
    </row>
    <row r="223" spans="1:30" hidden="1">
      <c r="A223" s="3" t="s">
        <v>44</v>
      </c>
      <c r="B223" s="4">
        <v>45504</v>
      </c>
      <c r="C223" s="3" t="s">
        <v>45</v>
      </c>
      <c r="D223" s="3" t="s">
        <v>98</v>
      </c>
      <c r="E223" s="3" t="s">
        <v>99</v>
      </c>
      <c r="F223" s="3" t="s">
        <v>4291</v>
      </c>
      <c r="G223" s="3" t="s">
        <v>4292</v>
      </c>
      <c r="H223" s="3"/>
      <c r="I223" s="3" t="s">
        <v>51</v>
      </c>
      <c r="J223" s="6">
        <v>45139</v>
      </c>
      <c r="K223" s="6"/>
      <c r="L223" s="6">
        <v>45139</v>
      </c>
      <c r="M223" s="6">
        <v>45504</v>
      </c>
      <c r="N223" s="3" t="s">
        <v>52</v>
      </c>
      <c r="O223" s="3" t="s">
        <v>3858</v>
      </c>
      <c r="P223" s="7">
        <v>1200</v>
      </c>
      <c r="Q223" s="7">
        <v>100</v>
      </c>
      <c r="R223" s="8">
        <v>1260</v>
      </c>
      <c r="S223" s="7">
        <v>1500</v>
      </c>
      <c r="T223" s="8">
        <v>1260</v>
      </c>
      <c r="U223" s="3">
        <v>1200</v>
      </c>
      <c r="V223" s="3" t="s">
        <v>54</v>
      </c>
      <c r="W223" s="3">
        <v>0</v>
      </c>
      <c r="X223" s="3" t="s">
        <v>131</v>
      </c>
      <c r="Y223" s="3" t="s">
        <v>131</v>
      </c>
      <c r="Z223" s="3" t="s">
        <v>4273</v>
      </c>
      <c r="AA223" s="3" t="s">
        <v>4274</v>
      </c>
      <c r="AB223" s="9">
        <v>45504</v>
      </c>
      <c r="AC223" s="3" t="s">
        <v>131</v>
      </c>
      <c r="AD223" s="3"/>
    </row>
    <row r="224" spans="1:30" hidden="1">
      <c r="A224" s="3" t="s">
        <v>44</v>
      </c>
      <c r="B224" s="4">
        <v>45504</v>
      </c>
      <c r="C224" s="3" t="s">
        <v>45</v>
      </c>
      <c r="D224" s="3" t="s">
        <v>98</v>
      </c>
      <c r="E224" s="3" t="s">
        <v>99</v>
      </c>
      <c r="F224" s="3" t="s">
        <v>4293</v>
      </c>
      <c r="G224" s="3" t="s">
        <v>4294</v>
      </c>
      <c r="H224" s="3"/>
      <c r="I224" s="3" t="s">
        <v>51</v>
      </c>
      <c r="J224" s="6">
        <v>45139</v>
      </c>
      <c r="K224" s="6"/>
      <c r="L224" s="6">
        <v>45139</v>
      </c>
      <c r="M224" s="6">
        <v>45504</v>
      </c>
      <c r="N224" s="3" t="s">
        <v>52</v>
      </c>
      <c r="O224" s="3" t="s">
        <v>3858</v>
      </c>
      <c r="P224" s="7">
        <v>1200</v>
      </c>
      <c r="Q224" s="7">
        <v>100</v>
      </c>
      <c r="R224" s="8">
        <v>1200</v>
      </c>
      <c r="S224" s="7">
        <v>1500</v>
      </c>
      <c r="T224" s="8">
        <v>1200</v>
      </c>
      <c r="U224" s="3">
        <v>1200</v>
      </c>
      <c r="V224" s="3" t="s">
        <v>54</v>
      </c>
      <c r="W224" s="3">
        <v>0</v>
      </c>
      <c r="X224" s="3" t="s">
        <v>131</v>
      </c>
      <c r="Y224" s="3" t="s">
        <v>131</v>
      </c>
      <c r="Z224" s="3" t="s">
        <v>4273</v>
      </c>
      <c r="AA224" s="3" t="s">
        <v>4274</v>
      </c>
      <c r="AB224" s="9">
        <v>45504</v>
      </c>
      <c r="AC224" s="3" t="s">
        <v>131</v>
      </c>
      <c r="AD224" s="3"/>
    </row>
    <row r="225" spans="1:30" hidden="1">
      <c r="A225" s="3" t="s">
        <v>44</v>
      </c>
      <c r="B225" s="4">
        <v>45504</v>
      </c>
      <c r="C225" s="3" t="s">
        <v>45</v>
      </c>
      <c r="D225" s="3" t="s">
        <v>98</v>
      </c>
      <c r="E225" s="3" t="s">
        <v>99</v>
      </c>
      <c r="F225" s="3" t="s">
        <v>4295</v>
      </c>
      <c r="G225" s="3" t="s">
        <v>4296</v>
      </c>
      <c r="H225" s="3"/>
      <c r="I225" s="3" t="s">
        <v>51</v>
      </c>
      <c r="J225" s="6">
        <v>45139</v>
      </c>
      <c r="K225" s="6"/>
      <c r="L225" s="6">
        <v>45139</v>
      </c>
      <c r="M225" s="6">
        <v>45504</v>
      </c>
      <c r="N225" s="3" t="s">
        <v>52</v>
      </c>
      <c r="O225" s="3" t="s">
        <v>3858</v>
      </c>
      <c r="P225" s="7">
        <v>1200</v>
      </c>
      <c r="Q225" s="7">
        <v>100</v>
      </c>
      <c r="R225" s="8">
        <v>1260</v>
      </c>
      <c r="S225" s="7">
        <v>1500</v>
      </c>
      <c r="T225" s="8">
        <v>1260</v>
      </c>
      <c r="U225" s="3">
        <v>1200</v>
      </c>
      <c r="V225" s="3" t="s">
        <v>54</v>
      </c>
      <c r="W225" s="3">
        <v>0</v>
      </c>
      <c r="X225" s="3" t="s">
        <v>131</v>
      </c>
      <c r="Y225" s="3" t="s">
        <v>131</v>
      </c>
      <c r="Z225" s="3" t="s">
        <v>4297</v>
      </c>
      <c r="AA225" s="3" t="s">
        <v>4274</v>
      </c>
      <c r="AB225" s="9">
        <v>45504</v>
      </c>
      <c r="AC225" s="3" t="s">
        <v>131</v>
      </c>
      <c r="AD225" s="3"/>
    </row>
    <row r="226" spans="1:30">
      <c r="A226" s="3" t="s">
        <v>44</v>
      </c>
      <c r="B226" s="4">
        <v>45504</v>
      </c>
      <c r="C226" s="3" t="s">
        <v>45</v>
      </c>
      <c r="D226" s="3" t="s">
        <v>98</v>
      </c>
      <c r="E226" s="3" t="s">
        <v>99</v>
      </c>
      <c r="F226" s="3" t="s">
        <v>4298</v>
      </c>
      <c r="G226" s="3" t="s">
        <v>4299</v>
      </c>
      <c r="H226" s="3"/>
      <c r="I226" s="3" t="s">
        <v>51</v>
      </c>
      <c r="J226" s="6">
        <v>44774</v>
      </c>
      <c r="K226" s="6"/>
      <c r="L226" s="6">
        <v>45139</v>
      </c>
      <c r="M226" s="6">
        <v>45504</v>
      </c>
      <c r="N226" s="3" t="s">
        <v>64</v>
      </c>
      <c r="O226" s="3" t="s">
        <v>3858</v>
      </c>
      <c r="P226" s="7">
        <v>1200</v>
      </c>
      <c r="Q226" s="7">
        <v>100</v>
      </c>
      <c r="R226" s="8">
        <v>1260</v>
      </c>
      <c r="S226" s="7">
        <v>1500</v>
      </c>
      <c r="T226" s="8">
        <v>1260</v>
      </c>
      <c r="U226" s="3">
        <v>1200</v>
      </c>
      <c r="V226" s="3" t="s">
        <v>54</v>
      </c>
      <c r="W226" s="3">
        <v>0</v>
      </c>
      <c r="X226" s="3" t="s">
        <v>131</v>
      </c>
      <c r="Y226" s="3" t="s">
        <v>131</v>
      </c>
      <c r="Z226" s="3" t="s">
        <v>4273</v>
      </c>
      <c r="AA226" s="3" t="s">
        <v>4274</v>
      </c>
      <c r="AB226" s="9">
        <v>45504</v>
      </c>
      <c r="AC226" s="3" t="s">
        <v>131</v>
      </c>
      <c r="AD226" s="3"/>
    </row>
    <row r="227" spans="1:30">
      <c r="A227" s="3" t="s">
        <v>44</v>
      </c>
      <c r="B227" s="4">
        <v>45505</v>
      </c>
      <c r="C227" s="3" t="s">
        <v>45</v>
      </c>
      <c r="D227" s="3" t="s">
        <v>98</v>
      </c>
      <c r="E227" s="3" t="s">
        <v>99</v>
      </c>
      <c r="F227" s="3" t="s">
        <v>4300</v>
      </c>
      <c r="G227" s="3" t="s">
        <v>101</v>
      </c>
      <c r="H227" s="3"/>
      <c r="I227" s="3" t="s">
        <v>51</v>
      </c>
      <c r="J227" s="6">
        <v>44410</v>
      </c>
      <c r="K227" s="6"/>
      <c r="L227" s="6">
        <v>45140</v>
      </c>
      <c r="M227" s="6">
        <v>45505</v>
      </c>
      <c r="N227" s="3" t="s">
        <v>64</v>
      </c>
      <c r="O227" s="3" t="s">
        <v>3858</v>
      </c>
      <c r="P227" s="7">
        <v>1200</v>
      </c>
      <c r="Q227" s="7">
        <v>100</v>
      </c>
      <c r="R227" s="8">
        <v>1200</v>
      </c>
      <c r="S227" s="7">
        <v>1500</v>
      </c>
      <c r="T227" s="8">
        <v>1200</v>
      </c>
      <c r="U227" s="3">
        <v>1200</v>
      </c>
      <c r="V227" s="3" t="s">
        <v>54</v>
      </c>
      <c r="W227" s="3">
        <v>0</v>
      </c>
      <c r="X227" s="3" t="s">
        <v>131</v>
      </c>
      <c r="Y227" s="3" t="s">
        <v>131</v>
      </c>
      <c r="Z227" s="3" t="s">
        <v>4277</v>
      </c>
      <c r="AA227" s="3" t="s">
        <v>4274</v>
      </c>
      <c r="AB227" s="9">
        <v>45505</v>
      </c>
      <c r="AC227" s="3" t="s">
        <v>131</v>
      </c>
      <c r="AD227" s="3"/>
    </row>
    <row r="228" spans="1:30">
      <c r="A228" s="3" t="s">
        <v>44</v>
      </c>
      <c r="B228" s="4">
        <v>45509</v>
      </c>
      <c r="C228" s="3" t="s">
        <v>45</v>
      </c>
      <c r="D228" s="3" t="s">
        <v>98</v>
      </c>
      <c r="E228" s="3" t="s">
        <v>99</v>
      </c>
      <c r="F228" s="3" t="s">
        <v>4301</v>
      </c>
      <c r="G228" s="3" t="s">
        <v>4302</v>
      </c>
      <c r="H228" s="3"/>
      <c r="I228" s="3" t="s">
        <v>51</v>
      </c>
      <c r="J228" s="6">
        <v>44779</v>
      </c>
      <c r="K228" s="6"/>
      <c r="L228" s="6">
        <v>45144</v>
      </c>
      <c r="M228" s="6">
        <v>45509</v>
      </c>
      <c r="N228" s="3" t="s">
        <v>64</v>
      </c>
      <c r="O228" s="3" t="s">
        <v>3858</v>
      </c>
      <c r="P228" s="7">
        <v>1200</v>
      </c>
      <c r="Q228" s="7">
        <v>100</v>
      </c>
      <c r="R228" s="8">
        <v>1260</v>
      </c>
      <c r="S228" s="7">
        <v>1500</v>
      </c>
      <c r="T228" s="8">
        <v>1260</v>
      </c>
      <c r="U228" s="3">
        <v>1200</v>
      </c>
      <c r="V228" s="3" t="s">
        <v>54</v>
      </c>
      <c r="W228" s="3">
        <v>0</v>
      </c>
      <c r="X228" s="3" t="s">
        <v>131</v>
      </c>
      <c r="Y228" s="3" t="s">
        <v>131</v>
      </c>
      <c r="Z228" s="3" t="s">
        <v>4277</v>
      </c>
      <c r="AA228" s="3" t="s">
        <v>4274</v>
      </c>
      <c r="AB228" s="9">
        <v>45509</v>
      </c>
      <c r="AC228" s="3" t="s">
        <v>131</v>
      </c>
      <c r="AD228" s="3"/>
    </row>
    <row r="229" spans="1:30">
      <c r="A229" s="3" t="s">
        <v>44</v>
      </c>
      <c r="B229" s="4">
        <v>45511</v>
      </c>
      <c r="C229" s="3" t="s">
        <v>45</v>
      </c>
      <c r="D229" s="3" t="s">
        <v>98</v>
      </c>
      <c r="E229" s="3" t="s">
        <v>99</v>
      </c>
      <c r="F229" s="3" t="s">
        <v>4303</v>
      </c>
      <c r="G229" s="3" t="s">
        <v>4304</v>
      </c>
      <c r="H229" s="3"/>
      <c r="I229" s="3" t="s">
        <v>51</v>
      </c>
      <c r="J229" s="6">
        <v>44781</v>
      </c>
      <c r="K229" s="6"/>
      <c r="L229" s="6">
        <v>45146</v>
      </c>
      <c r="M229" s="6">
        <v>45511</v>
      </c>
      <c r="N229" s="3" t="s">
        <v>64</v>
      </c>
      <c r="O229" s="3" t="s">
        <v>3858</v>
      </c>
      <c r="P229" s="7">
        <v>1200</v>
      </c>
      <c r="Q229" s="7">
        <v>100</v>
      </c>
      <c r="R229" s="8">
        <v>1200</v>
      </c>
      <c r="S229" s="7">
        <v>1500</v>
      </c>
      <c r="T229" s="8">
        <v>1200</v>
      </c>
      <c r="U229" s="3">
        <v>1200</v>
      </c>
      <c r="V229" s="3" t="s">
        <v>54</v>
      </c>
      <c r="W229" s="3">
        <v>0</v>
      </c>
      <c r="X229" s="3" t="s">
        <v>131</v>
      </c>
      <c r="Y229" s="3" t="s">
        <v>131</v>
      </c>
      <c r="Z229" s="3" t="s">
        <v>4277</v>
      </c>
      <c r="AA229" s="3" t="s">
        <v>4274</v>
      </c>
      <c r="AB229" s="9">
        <v>45511</v>
      </c>
      <c r="AC229" s="3" t="s">
        <v>131</v>
      </c>
      <c r="AD229" s="3"/>
    </row>
    <row r="230" spans="1:30" hidden="1">
      <c r="A230" s="3" t="s">
        <v>44</v>
      </c>
      <c r="B230" s="4">
        <v>45515</v>
      </c>
      <c r="C230" s="3" t="s">
        <v>45</v>
      </c>
      <c r="D230" s="3" t="s">
        <v>98</v>
      </c>
      <c r="E230" s="3" t="s">
        <v>99</v>
      </c>
      <c r="F230" s="3" t="s">
        <v>4305</v>
      </c>
      <c r="G230" s="3" t="s">
        <v>4306</v>
      </c>
      <c r="H230" s="3"/>
      <c r="I230" s="3" t="s">
        <v>51</v>
      </c>
      <c r="J230" s="6">
        <v>45150</v>
      </c>
      <c r="K230" s="6"/>
      <c r="L230" s="6">
        <v>45150</v>
      </c>
      <c r="M230" s="6">
        <v>45515</v>
      </c>
      <c r="N230" s="3" t="s">
        <v>52</v>
      </c>
      <c r="O230" s="3" t="s">
        <v>3858</v>
      </c>
      <c r="P230" s="7">
        <v>1200</v>
      </c>
      <c r="Q230" s="7">
        <v>100</v>
      </c>
      <c r="R230" s="8">
        <v>1260</v>
      </c>
      <c r="S230" s="7">
        <v>1500</v>
      </c>
      <c r="T230" s="8">
        <v>1260</v>
      </c>
      <c r="U230" s="3">
        <v>1200</v>
      </c>
      <c r="V230" s="3" t="s">
        <v>54</v>
      </c>
      <c r="W230" s="3">
        <v>0</v>
      </c>
      <c r="X230" s="3" t="s">
        <v>131</v>
      </c>
      <c r="Y230" s="3" t="s">
        <v>131</v>
      </c>
      <c r="Z230" s="3" t="s">
        <v>4277</v>
      </c>
      <c r="AA230" s="3" t="s">
        <v>4274</v>
      </c>
      <c r="AB230" s="9">
        <v>45515</v>
      </c>
      <c r="AC230" s="3" t="s">
        <v>131</v>
      </c>
      <c r="AD230" s="3"/>
    </row>
    <row r="231" spans="1:30" hidden="1">
      <c r="A231" s="3" t="s">
        <v>44</v>
      </c>
      <c r="B231" s="4">
        <v>45519</v>
      </c>
      <c r="C231" s="3" t="s">
        <v>45</v>
      </c>
      <c r="D231" s="3" t="s">
        <v>98</v>
      </c>
      <c r="E231" s="3" t="s">
        <v>99</v>
      </c>
      <c r="F231" s="3" t="s">
        <v>4307</v>
      </c>
      <c r="G231" s="3" t="s">
        <v>4308</v>
      </c>
      <c r="H231" s="3"/>
      <c r="I231" s="3" t="s">
        <v>51</v>
      </c>
      <c r="J231" s="6">
        <v>45154</v>
      </c>
      <c r="K231" s="6"/>
      <c r="L231" s="6">
        <v>45154</v>
      </c>
      <c r="M231" s="6">
        <v>45519</v>
      </c>
      <c r="N231" s="3" t="s">
        <v>52</v>
      </c>
      <c r="O231" s="3" t="s">
        <v>3858</v>
      </c>
      <c r="P231" s="7">
        <v>1200</v>
      </c>
      <c r="Q231" s="7">
        <v>100</v>
      </c>
      <c r="R231" s="8">
        <v>1200</v>
      </c>
      <c r="S231" s="7">
        <v>1500</v>
      </c>
      <c r="T231" s="8">
        <v>1200</v>
      </c>
      <c r="U231" s="3">
        <v>1200</v>
      </c>
      <c r="V231" s="3" t="s">
        <v>54</v>
      </c>
      <c r="W231" s="3">
        <v>0</v>
      </c>
      <c r="X231" s="3" t="s">
        <v>131</v>
      </c>
      <c r="Y231" s="3" t="s">
        <v>131</v>
      </c>
      <c r="Z231" s="3" t="s">
        <v>4297</v>
      </c>
      <c r="AA231" s="3" t="s">
        <v>4274</v>
      </c>
      <c r="AB231" s="9">
        <v>45519</v>
      </c>
      <c r="AC231" s="3" t="s">
        <v>131</v>
      </c>
      <c r="AD231" s="3"/>
    </row>
    <row r="232" spans="1:30" hidden="1">
      <c r="A232" s="3" t="s">
        <v>44</v>
      </c>
      <c r="B232" s="4">
        <v>45521</v>
      </c>
      <c r="C232" s="3" t="s">
        <v>45</v>
      </c>
      <c r="D232" s="3" t="s">
        <v>98</v>
      </c>
      <c r="E232" s="3" t="s">
        <v>99</v>
      </c>
      <c r="F232" s="3" t="s">
        <v>4309</v>
      </c>
      <c r="G232" s="3" t="s">
        <v>4310</v>
      </c>
      <c r="H232" s="3"/>
      <c r="I232" s="3" t="s">
        <v>51</v>
      </c>
      <c r="J232" s="6">
        <v>45156</v>
      </c>
      <c r="K232" s="6"/>
      <c r="L232" s="6">
        <v>45156</v>
      </c>
      <c r="M232" s="6">
        <v>45521</v>
      </c>
      <c r="N232" s="3" t="s">
        <v>52</v>
      </c>
      <c r="O232" s="3" t="s">
        <v>3858</v>
      </c>
      <c r="P232" s="7">
        <v>1200</v>
      </c>
      <c r="Q232" s="7">
        <v>100</v>
      </c>
      <c r="R232" s="8">
        <v>1200</v>
      </c>
      <c r="S232" s="7">
        <v>1500</v>
      </c>
      <c r="T232" s="8">
        <v>1200</v>
      </c>
      <c r="U232" s="3">
        <v>1200</v>
      </c>
      <c r="V232" s="3" t="s">
        <v>54</v>
      </c>
      <c r="W232" s="3">
        <v>0</v>
      </c>
      <c r="X232" s="3" t="s">
        <v>131</v>
      </c>
      <c r="Y232" s="3" t="s">
        <v>131</v>
      </c>
      <c r="Z232" s="3" t="s">
        <v>4297</v>
      </c>
      <c r="AA232" s="3" t="s">
        <v>4274</v>
      </c>
      <c r="AB232" s="9">
        <v>45521</v>
      </c>
      <c r="AC232" s="3" t="s">
        <v>131</v>
      </c>
      <c r="AD232" s="3"/>
    </row>
    <row r="233" spans="1:30">
      <c r="A233" s="3" t="s">
        <v>44</v>
      </c>
      <c r="B233" s="4">
        <v>45522</v>
      </c>
      <c r="C233" s="3" t="s">
        <v>45</v>
      </c>
      <c r="D233" s="3" t="s">
        <v>98</v>
      </c>
      <c r="E233" s="3" t="s">
        <v>99</v>
      </c>
      <c r="F233" s="3" t="s">
        <v>4311</v>
      </c>
      <c r="G233" s="3" t="s">
        <v>4312</v>
      </c>
      <c r="H233" s="3"/>
      <c r="I233" s="3" t="s">
        <v>51</v>
      </c>
      <c r="J233" s="6">
        <v>44427</v>
      </c>
      <c r="K233" s="6"/>
      <c r="L233" s="6">
        <v>45157</v>
      </c>
      <c r="M233" s="6">
        <v>45522</v>
      </c>
      <c r="N233" s="3" t="s">
        <v>64</v>
      </c>
      <c r="O233" s="3" t="s">
        <v>3858</v>
      </c>
      <c r="P233" s="7">
        <v>1200</v>
      </c>
      <c r="Q233" s="7">
        <v>100</v>
      </c>
      <c r="R233" s="8">
        <v>1260</v>
      </c>
      <c r="S233" s="7">
        <v>1500</v>
      </c>
      <c r="T233" s="8">
        <v>1260</v>
      </c>
      <c r="U233" s="3">
        <v>1200</v>
      </c>
      <c r="V233" s="3" t="s">
        <v>54</v>
      </c>
      <c r="W233" s="3">
        <v>0</v>
      </c>
      <c r="X233" s="3" t="s">
        <v>131</v>
      </c>
      <c r="Y233" s="3" t="s">
        <v>131</v>
      </c>
      <c r="Z233" s="3" t="s">
        <v>4277</v>
      </c>
      <c r="AA233" s="3" t="s">
        <v>4274</v>
      </c>
      <c r="AB233" s="9">
        <v>45522</v>
      </c>
      <c r="AC233" s="3" t="s">
        <v>131</v>
      </c>
      <c r="AD233" s="3"/>
    </row>
    <row r="234" spans="1:30" hidden="1">
      <c r="A234" s="3" t="s">
        <v>44</v>
      </c>
      <c r="B234" s="4">
        <v>45527</v>
      </c>
      <c r="C234" s="3" t="s">
        <v>45</v>
      </c>
      <c r="D234" s="3" t="s">
        <v>98</v>
      </c>
      <c r="E234" s="3" t="s">
        <v>99</v>
      </c>
      <c r="F234" s="3" t="s">
        <v>4313</v>
      </c>
      <c r="G234" s="3" t="s">
        <v>4314</v>
      </c>
      <c r="H234" s="3"/>
      <c r="I234" s="3" t="s">
        <v>51</v>
      </c>
      <c r="J234" s="6">
        <v>45162</v>
      </c>
      <c r="K234" s="6"/>
      <c r="L234" s="6">
        <v>45162</v>
      </c>
      <c r="M234" s="6">
        <v>45527</v>
      </c>
      <c r="N234" s="3" t="s">
        <v>52</v>
      </c>
      <c r="O234" s="3" t="s">
        <v>3858</v>
      </c>
      <c r="P234" s="7">
        <v>1200</v>
      </c>
      <c r="Q234" s="7">
        <v>100</v>
      </c>
      <c r="R234" s="8">
        <v>1260</v>
      </c>
      <c r="S234" s="7">
        <v>1500</v>
      </c>
      <c r="T234" s="8">
        <v>1260</v>
      </c>
      <c r="U234" s="3">
        <v>1200</v>
      </c>
      <c r="V234" s="3" t="s">
        <v>54</v>
      </c>
      <c r="W234" s="3">
        <v>0</v>
      </c>
      <c r="X234" s="3" t="s">
        <v>131</v>
      </c>
      <c r="Y234" s="3" t="s">
        <v>131</v>
      </c>
      <c r="Z234" s="3" t="s">
        <v>4273</v>
      </c>
      <c r="AA234" s="3" t="s">
        <v>4274</v>
      </c>
      <c r="AB234" s="9">
        <v>45527</v>
      </c>
      <c r="AC234" s="3" t="s">
        <v>131</v>
      </c>
      <c r="AD234" s="3"/>
    </row>
    <row r="235" spans="1:30" hidden="1">
      <c r="A235" s="3" t="s">
        <v>44</v>
      </c>
      <c r="B235" s="4">
        <v>45528</v>
      </c>
      <c r="C235" s="3" t="s">
        <v>45</v>
      </c>
      <c r="D235" s="3" t="s">
        <v>98</v>
      </c>
      <c r="E235" s="3" t="s">
        <v>99</v>
      </c>
      <c r="F235" s="3" t="s">
        <v>4315</v>
      </c>
      <c r="G235" s="3" t="s">
        <v>4316</v>
      </c>
      <c r="H235" s="3"/>
      <c r="I235" s="3" t="s">
        <v>51</v>
      </c>
      <c r="J235" s="6">
        <v>45163</v>
      </c>
      <c r="K235" s="6"/>
      <c r="L235" s="6">
        <v>45163</v>
      </c>
      <c r="M235" s="6">
        <v>45528</v>
      </c>
      <c r="N235" s="3" t="s">
        <v>52</v>
      </c>
      <c r="O235" s="3" t="s">
        <v>3858</v>
      </c>
      <c r="P235" s="7">
        <v>1200</v>
      </c>
      <c r="Q235" s="7">
        <v>100</v>
      </c>
      <c r="R235" s="8">
        <v>1260</v>
      </c>
      <c r="S235" s="7">
        <v>1500</v>
      </c>
      <c r="T235" s="8">
        <v>1260</v>
      </c>
      <c r="U235" s="3">
        <v>1200</v>
      </c>
      <c r="V235" s="3" t="s">
        <v>54</v>
      </c>
      <c r="W235" s="3">
        <v>0</v>
      </c>
      <c r="X235" s="3" t="s">
        <v>131</v>
      </c>
      <c r="Y235" s="3" t="s">
        <v>131</v>
      </c>
      <c r="Z235" s="3" t="s">
        <v>4273</v>
      </c>
      <c r="AA235" s="3" t="s">
        <v>4274</v>
      </c>
      <c r="AB235" s="9">
        <v>45528</v>
      </c>
      <c r="AC235" s="3" t="s">
        <v>131</v>
      </c>
      <c r="AD235" s="3"/>
    </row>
    <row r="236" spans="1:30" hidden="1">
      <c r="A236" s="3" t="s">
        <v>44</v>
      </c>
      <c r="B236" s="4">
        <v>45529</v>
      </c>
      <c r="C236" s="3" t="s">
        <v>45</v>
      </c>
      <c r="D236" s="3" t="s">
        <v>98</v>
      </c>
      <c r="E236" s="3" t="s">
        <v>99</v>
      </c>
      <c r="F236" s="3" t="s">
        <v>4317</v>
      </c>
      <c r="G236" s="3" t="s">
        <v>4318</v>
      </c>
      <c r="H236" s="3"/>
      <c r="I236" s="3" t="s">
        <v>51</v>
      </c>
      <c r="J236" s="6">
        <v>45164</v>
      </c>
      <c r="K236" s="6">
        <v>45529</v>
      </c>
      <c r="L236" s="6">
        <v>45164</v>
      </c>
      <c r="M236" s="6">
        <v>45529</v>
      </c>
      <c r="N236" s="3" t="s">
        <v>52</v>
      </c>
      <c r="O236" s="3" t="s">
        <v>3858</v>
      </c>
      <c r="P236" s="7">
        <v>1200</v>
      </c>
      <c r="Q236" s="7">
        <v>100</v>
      </c>
      <c r="R236" s="8">
        <v>1260</v>
      </c>
      <c r="S236" s="7">
        <v>1500</v>
      </c>
      <c r="T236" s="8">
        <v>1260</v>
      </c>
      <c r="U236" s="3">
        <v>1200</v>
      </c>
      <c r="V236" s="3" t="s">
        <v>54</v>
      </c>
      <c r="W236" s="3">
        <v>0</v>
      </c>
      <c r="X236" s="3" t="s">
        <v>131</v>
      </c>
      <c r="Y236" s="3" t="s">
        <v>131</v>
      </c>
      <c r="Z236" s="3" t="s">
        <v>4277</v>
      </c>
      <c r="AA236" s="3" t="s">
        <v>4274</v>
      </c>
      <c r="AB236" s="9">
        <v>45529</v>
      </c>
      <c r="AC236" s="3" t="s">
        <v>131</v>
      </c>
      <c r="AD236" s="3"/>
    </row>
    <row r="237" spans="1:30" hidden="1">
      <c r="A237" s="3" t="s">
        <v>44</v>
      </c>
      <c r="B237" s="4">
        <v>45532</v>
      </c>
      <c r="C237" s="3" t="s">
        <v>45</v>
      </c>
      <c r="D237" s="3" t="s">
        <v>98</v>
      </c>
      <c r="E237" s="3" t="s">
        <v>99</v>
      </c>
      <c r="F237" s="3" t="s">
        <v>4319</v>
      </c>
      <c r="G237" s="3" t="s">
        <v>4320</v>
      </c>
      <c r="H237" s="3"/>
      <c r="I237" s="3" t="s">
        <v>51</v>
      </c>
      <c r="J237" s="6">
        <v>45167</v>
      </c>
      <c r="K237" s="6"/>
      <c r="L237" s="6">
        <v>45167</v>
      </c>
      <c r="M237" s="6">
        <v>45532</v>
      </c>
      <c r="N237" s="3" t="s">
        <v>52</v>
      </c>
      <c r="O237" s="3" t="s">
        <v>3858</v>
      </c>
      <c r="P237" s="7">
        <v>1200</v>
      </c>
      <c r="Q237" s="7">
        <v>100</v>
      </c>
      <c r="R237" s="8">
        <v>1260</v>
      </c>
      <c r="S237" s="7">
        <v>1500</v>
      </c>
      <c r="T237" s="8">
        <v>1260</v>
      </c>
      <c r="U237" s="3">
        <v>1200</v>
      </c>
      <c r="V237" s="3" t="s">
        <v>54</v>
      </c>
      <c r="W237" s="3">
        <v>0</v>
      </c>
      <c r="X237" s="3" t="s">
        <v>131</v>
      </c>
      <c r="Y237" s="3" t="s">
        <v>131</v>
      </c>
      <c r="Z237" s="3" t="s">
        <v>4277</v>
      </c>
      <c r="AA237" s="3" t="s">
        <v>4274</v>
      </c>
      <c r="AB237" s="9">
        <v>45532</v>
      </c>
      <c r="AC237" s="3" t="s">
        <v>131</v>
      </c>
      <c r="AD237" s="3"/>
    </row>
    <row r="238" spans="1:30" hidden="1">
      <c r="A238" s="3" t="s">
        <v>44</v>
      </c>
      <c r="B238" s="4">
        <v>45534</v>
      </c>
      <c r="C238" s="3" t="s">
        <v>45</v>
      </c>
      <c r="D238" s="3" t="s">
        <v>98</v>
      </c>
      <c r="E238" s="3" t="s">
        <v>99</v>
      </c>
      <c r="F238" s="3" t="s">
        <v>4321</v>
      </c>
      <c r="G238" s="3" t="s">
        <v>4322</v>
      </c>
      <c r="H238" s="3"/>
      <c r="I238" s="3" t="s">
        <v>51</v>
      </c>
      <c r="J238" s="6">
        <v>45169</v>
      </c>
      <c r="K238" s="6"/>
      <c r="L238" s="6">
        <v>45169</v>
      </c>
      <c r="M238" s="6">
        <v>45534</v>
      </c>
      <c r="N238" s="3" t="s">
        <v>52</v>
      </c>
      <c r="O238" s="3" t="s">
        <v>3858</v>
      </c>
      <c r="P238" s="7">
        <v>1200</v>
      </c>
      <c r="Q238" s="7">
        <v>100</v>
      </c>
      <c r="R238" s="8">
        <v>1260</v>
      </c>
      <c r="S238" s="7">
        <v>1500</v>
      </c>
      <c r="T238" s="8">
        <v>1260</v>
      </c>
      <c r="U238" s="3">
        <v>1200</v>
      </c>
      <c r="V238" s="3" t="s">
        <v>54</v>
      </c>
      <c r="W238" s="3">
        <v>0</v>
      </c>
      <c r="X238" s="3" t="s">
        <v>131</v>
      </c>
      <c r="Y238" s="3" t="s">
        <v>131</v>
      </c>
      <c r="Z238" s="3" t="s">
        <v>4277</v>
      </c>
      <c r="AA238" s="3" t="s">
        <v>4274</v>
      </c>
      <c r="AB238" s="9">
        <v>45534</v>
      </c>
      <c r="AC238" s="3" t="s">
        <v>131</v>
      </c>
      <c r="AD238" s="3"/>
    </row>
    <row r="239" spans="1:30" hidden="1">
      <c r="A239" s="3" t="s">
        <v>44</v>
      </c>
      <c r="B239" s="4">
        <v>45535</v>
      </c>
      <c r="C239" s="3" t="s">
        <v>45</v>
      </c>
      <c r="D239" s="3" t="s">
        <v>98</v>
      </c>
      <c r="E239" s="3" t="s">
        <v>99</v>
      </c>
      <c r="F239" s="3" t="s">
        <v>4323</v>
      </c>
      <c r="G239" s="3" t="s">
        <v>4324</v>
      </c>
      <c r="H239" s="3"/>
      <c r="I239" s="3" t="s">
        <v>51</v>
      </c>
      <c r="J239" s="6">
        <v>45170</v>
      </c>
      <c r="K239" s="6"/>
      <c r="L239" s="6">
        <v>45170</v>
      </c>
      <c r="M239" s="6">
        <v>45535</v>
      </c>
      <c r="N239" s="3" t="s">
        <v>52</v>
      </c>
      <c r="O239" s="3" t="s">
        <v>3858</v>
      </c>
      <c r="P239" s="7">
        <v>1200</v>
      </c>
      <c r="Q239" s="7">
        <v>100</v>
      </c>
      <c r="R239" s="8">
        <v>1260</v>
      </c>
      <c r="S239" s="7">
        <v>1500</v>
      </c>
      <c r="T239" s="8">
        <v>1260</v>
      </c>
      <c r="U239" s="3">
        <v>1200</v>
      </c>
      <c r="V239" s="3" t="s">
        <v>54</v>
      </c>
      <c r="W239" s="3">
        <v>0</v>
      </c>
      <c r="X239" s="3" t="s">
        <v>131</v>
      </c>
      <c r="Y239" s="3" t="s">
        <v>131</v>
      </c>
      <c r="Z239" s="3" t="s">
        <v>4297</v>
      </c>
      <c r="AA239" s="3" t="s">
        <v>4274</v>
      </c>
      <c r="AB239" s="9">
        <v>45535</v>
      </c>
      <c r="AC239" s="3" t="s">
        <v>131</v>
      </c>
      <c r="AD239" s="3"/>
    </row>
    <row r="240" spans="1:30" hidden="1">
      <c r="A240" s="3" t="s">
        <v>44</v>
      </c>
      <c r="B240" s="4">
        <v>45535</v>
      </c>
      <c r="C240" s="3" t="s">
        <v>45</v>
      </c>
      <c r="D240" s="3" t="s">
        <v>98</v>
      </c>
      <c r="E240" s="3" t="s">
        <v>99</v>
      </c>
      <c r="F240" s="3" t="s">
        <v>4325</v>
      </c>
      <c r="G240" s="3" t="s">
        <v>4326</v>
      </c>
      <c r="H240" s="3"/>
      <c r="I240" s="3" t="s">
        <v>51</v>
      </c>
      <c r="J240" s="6">
        <v>45170</v>
      </c>
      <c r="K240" s="6"/>
      <c r="L240" s="6">
        <v>45170</v>
      </c>
      <c r="M240" s="6">
        <v>45535</v>
      </c>
      <c r="N240" s="3" t="s">
        <v>52</v>
      </c>
      <c r="O240" s="3" t="s">
        <v>3858</v>
      </c>
      <c r="P240" s="7">
        <v>1200</v>
      </c>
      <c r="Q240" s="7">
        <v>100</v>
      </c>
      <c r="R240" s="8">
        <v>1200</v>
      </c>
      <c r="S240" s="7">
        <v>1500</v>
      </c>
      <c r="T240" s="8">
        <v>1200</v>
      </c>
      <c r="U240" s="3">
        <v>1200</v>
      </c>
      <c r="V240" s="3" t="s">
        <v>54</v>
      </c>
      <c r="W240" s="3">
        <v>0</v>
      </c>
      <c r="X240" s="3" t="s">
        <v>131</v>
      </c>
      <c r="Y240" s="3" t="s">
        <v>131</v>
      </c>
      <c r="Z240" s="3" t="s">
        <v>4277</v>
      </c>
      <c r="AA240" s="3" t="s">
        <v>4274</v>
      </c>
      <c r="AB240" s="9">
        <v>45535</v>
      </c>
      <c r="AC240" s="3" t="s">
        <v>131</v>
      </c>
      <c r="AD240" s="3"/>
    </row>
    <row r="241" spans="1:30" hidden="1">
      <c r="A241" s="3" t="s">
        <v>74</v>
      </c>
      <c r="B241" s="4">
        <v>45506</v>
      </c>
      <c r="C241" s="3" t="s">
        <v>45</v>
      </c>
      <c r="D241" s="3" t="s">
        <v>98</v>
      </c>
      <c r="E241" s="3" t="s">
        <v>99</v>
      </c>
      <c r="F241" s="3" t="s">
        <v>4327</v>
      </c>
      <c r="G241" s="3" t="s">
        <v>163</v>
      </c>
      <c r="H241" s="3"/>
      <c r="I241" s="3" t="s">
        <v>51</v>
      </c>
      <c r="J241" s="6">
        <v>45325</v>
      </c>
      <c r="K241" s="6"/>
      <c r="L241" s="6">
        <v>45325</v>
      </c>
      <c r="M241" s="6">
        <v>45506</v>
      </c>
      <c r="N241" s="3" t="s">
        <v>52</v>
      </c>
      <c r="O241" s="3" t="s">
        <v>3858</v>
      </c>
      <c r="P241" s="7">
        <v>1200</v>
      </c>
      <c r="Q241" s="7">
        <v>100</v>
      </c>
      <c r="R241" s="8">
        <v>1200</v>
      </c>
      <c r="S241" s="7">
        <v>1500</v>
      </c>
      <c r="T241" s="8">
        <v>1200</v>
      </c>
      <c r="U241" s="3">
        <v>1200</v>
      </c>
      <c r="V241" s="3" t="s">
        <v>54</v>
      </c>
      <c r="W241" s="3">
        <v>0</v>
      </c>
      <c r="X241" s="3" t="s">
        <v>131</v>
      </c>
      <c r="Y241" s="3" t="s">
        <v>131</v>
      </c>
      <c r="Z241" s="3" t="s">
        <v>4297</v>
      </c>
      <c r="AA241" s="3" t="s">
        <v>4274</v>
      </c>
      <c r="AB241" s="9">
        <v>45506</v>
      </c>
      <c r="AC241" s="3" t="s">
        <v>131</v>
      </c>
      <c r="AD241" s="3"/>
    </row>
    <row r="242" spans="1:30">
      <c r="A242" s="3" t="s">
        <v>44</v>
      </c>
      <c r="B242" s="4">
        <v>45480</v>
      </c>
      <c r="C242" s="3" t="s">
        <v>45</v>
      </c>
      <c r="D242" s="3" t="s">
        <v>142</v>
      </c>
      <c r="E242" s="3" t="s">
        <v>4328</v>
      </c>
      <c r="F242" s="3" t="s">
        <v>4329</v>
      </c>
      <c r="G242" s="3" t="s">
        <v>4330</v>
      </c>
      <c r="H242" s="3"/>
      <c r="I242" s="3" t="s">
        <v>51</v>
      </c>
      <c r="J242" s="6">
        <v>44750</v>
      </c>
      <c r="K242" s="6"/>
      <c r="L242" s="6">
        <v>45115</v>
      </c>
      <c r="M242" s="6">
        <v>45480</v>
      </c>
      <c r="N242" s="3" t="s">
        <v>64</v>
      </c>
      <c r="O242" s="3" t="s">
        <v>3858</v>
      </c>
      <c r="P242" s="7">
        <v>1200</v>
      </c>
      <c r="Q242" s="7">
        <v>100</v>
      </c>
      <c r="R242" s="8">
        <v>1200</v>
      </c>
      <c r="S242" s="7">
        <v>1500</v>
      </c>
      <c r="T242" s="8">
        <v>1200</v>
      </c>
      <c r="U242" s="3">
        <v>1200</v>
      </c>
      <c r="V242" s="3" t="s">
        <v>54</v>
      </c>
      <c r="W242" s="3">
        <v>0</v>
      </c>
      <c r="X242" s="3" t="s">
        <v>131</v>
      </c>
      <c r="Y242" s="3" t="s">
        <v>131</v>
      </c>
      <c r="Z242" s="3" t="s">
        <v>3919</v>
      </c>
      <c r="AA242" s="3" t="s">
        <v>4331</v>
      </c>
      <c r="AB242" s="9">
        <v>45480</v>
      </c>
      <c r="AC242" s="3" t="s">
        <v>131</v>
      </c>
      <c r="AD242" s="3"/>
    </row>
    <row r="243" spans="1:30" hidden="1">
      <c r="A243" s="3" t="s">
        <v>44</v>
      </c>
      <c r="B243" s="4">
        <v>45483</v>
      </c>
      <c r="C243" s="3" t="s">
        <v>45</v>
      </c>
      <c r="D243" s="3" t="s">
        <v>142</v>
      </c>
      <c r="E243" s="3" t="s">
        <v>4328</v>
      </c>
      <c r="F243" s="3" t="s">
        <v>4332</v>
      </c>
      <c r="G243" s="3" t="s">
        <v>4333</v>
      </c>
      <c r="H243" s="3"/>
      <c r="I243" s="3" t="s">
        <v>51</v>
      </c>
      <c r="J243" s="6">
        <v>45118</v>
      </c>
      <c r="K243" s="6"/>
      <c r="L243" s="6">
        <v>45118</v>
      </c>
      <c r="M243" s="6">
        <v>45483</v>
      </c>
      <c r="N243" s="3" t="s">
        <v>52</v>
      </c>
      <c r="O243" s="3" t="s">
        <v>3858</v>
      </c>
      <c r="P243" s="7">
        <v>1320</v>
      </c>
      <c r="Q243" s="7">
        <v>110</v>
      </c>
      <c r="R243" s="8">
        <v>1200</v>
      </c>
      <c r="S243" s="7">
        <v>1500</v>
      </c>
      <c r="T243" s="8">
        <v>1200</v>
      </c>
      <c r="U243" s="3">
        <v>1320</v>
      </c>
      <c r="V243" s="3" t="s">
        <v>54</v>
      </c>
      <c r="W243" s="3">
        <v>0</v>
      </c>
      <c r="X243" s="3" t="s">
        <v>131</v>
      </c>
      <c r="Y243" s="3" t="s">
        <v>131</v>
      </c>
      <c r="Z243" s="3" t="s">
        <v>3919</v>
      </c>
      <c r="AA243" s="3" t="s">
        <v>4334</v>
      </c>
      <c r="AB243" s="9">
        <v>45483</v>
      </c>
      <c r="AC243" s="3" t="s">
        <v>131</v>
      </c>
      <c r="AD243" s="3"/>
    </row>
    <row r="244" spans="1:30">
      <c r="A244" s="3" t="s">
        <v>44</v>
      </c>
      <c r="B244" s="4">
        <v>45490</v>
      </c>
      <c r="C244" s="3" t="s">
        <v>45</v>
      </c>
      <c r="D244" s="3" t="s">
        <v>142</v>
      </c>
      <c r="E244" s="3" t="s">
        <v>4328</v>
      </c>
      <c r="F244" s="3" t="s">
        <v>4335</v>
      </c>
      <c r="G244" s="3" t="s">
        <v>4336</v>
      </c>
      <c r="H244" s="3"/>
      <c r="I244" s="3" t="s">
        <v>51</v>
      </c>
      <c r="J244" s="6">
        <v>44760</v>
      </c>
      <c r="K244" s="6"/>
      <c r="L244" s="6">
        <v>45125</v>
      </c>
      <c r="M244" s="6">
        <v>45490</v>
      </c>
      <c r="N244" s="3" t="s">
        <v>64</v>
      </c>
      <c r="O244" s="3" t="s">
        <v>3858</v>
      </c>
      <c r="P244" s="7">
        <v>1200</v>
      </c>
      <c r="Q244" s="7">
        <v>100</v>
      </c>
      <c r="R244" s="8">
        <v>1200</v>
      </c>
      <c r="S244" s="7">
        <v>1500</v>
      </c>
      <c r="T244" s="8">
        <v>1200</v>
      </c>
      <c r="U244" s="3">
        <v>1200</v>
      </c>
      <c r="V244" s="3" t="s">
        <v>54</v>
      </c>
      <c r="W244" s="3">
        <v>0</v>
      </c>
      <c r="X244" s="3" t="s">
        <v>131</v>
      </c>
      <c r="Y244" s="3" t="s">
        <v>131</v>
      </c>
      <c r="Z244" s="3" t="s">
        <v>3919</v>
      </c>
      <c r="AA244" s="3" t="s">
        <v>4331</v>
      </c>
      <c r="AB244" s="9">
        <v>45490</v>
      </c>
      <c r="AC244" s="3" t="s">
        <v>131</v>
      </c>
      <c r="AD244" s="3"/>
    </row>
    <row r="245" spans="1:30" hidden="1">
      <c r="A245" s="3" t="s">
        <v>44</v>
      </c>
      <c r="B245" s="4">
        <v>45491</v>
      </c>
      <c r="C245" s="3" t="s">
        <v>45</v>
      </c>
      <c r="D245" s="3" t="s">
        <v>142</v>
      </c>
      <c r="E245" s="3" t="s">
        <v>4328</v>
      </c>
      <c r="F245" s="3" t="s">
        <v>4337</v>
      </c>
      <c r="G245" s="3" t="s">
        <v>4338</v>
      </c>
      <c r="H245" s="3"/>
      <c r="I245" s="3" t="s">
        <v>51</v>
      </c>
      <c r="J245" s="6">
        <v>45126</v>
      </c>
      <c r="K245" s="6"/>
      <c r="L245" s="6">
        <v>45126</v>
      </c>
      <c r="M245" s="6">
        <v>45491</v>
      </c>
      <c r="N245" s="3" t="s">
        <v>52</v>
      </c>
      <c r="O245" s="3" t="s">
        <v>3858</v>
      </c>
      <c r="P245" s="7">
        <v>1500</v>
      </c>
      <c r="Q245" s="7">
        <v>125</v>
      </c>
      <c r="R245" s="8">
        <v>1200</v>
      </c>
      <c r="S245" s="7">
        <v>1500</v>
      </c>
      <c r="T245" s="8">
        <v>1200</v>
      </c>
      <c r="U245" s="3">
        <v>1500</v>
      </c>
      <c r="V245" s="3" t="s">
        <v>54</v>
      </c>
      <c r="W245" s="3">
        <v>0</v>
      </c>
      <c r="X245" s="3" t="s">
        <v>131</v>
      </c>
      <c r="Y245" s="3" t="s">
        <v>131</v>
      </c>
      <c r="Z245" s="3" t="s">
        <v>3919</v>
      </c>
      <c r="AA245" s="3" t="s">
        <v>4334</v>
      </c>
      <c r="AB245" s="9">
        <v>45491</v>
      </c>
      <c r="AC245" s="3" t="s">
        <v>131</v>
      </c>
      <c r="AD245" s="3"/>
    </row>
    <row r="246" spans="1:30">
      <c r="A246" s="3" t="s">
        <v>44</v>
      </c>
      <c r="B246" s="4">
        <v>45508</v>
      </c>
      <c r="C246" s="3" t="s">
        <v>45</v>
      </c>
      <c r="D246" s="3" t="s">
        <v>142</v>
      </c>
      <c r="E246" s="3" t="s">
        <v>4328</v>
      </c>
      <c r="F246" s="3" t="s">
        <v>4339</v>
      </c>
      <c r="G246" s="3" t="s">
        <v>265</v>
      </c>
      <c r="H246" s="3"/>
      <c r="I246" s="3" t="s">
        <v>51</v>
      </c>
      <c r="J246" s="6">
        <v>44778</v>
      </c>
      <c r="K246" s="6"/>
      <c r="L246" s="6">
        <v>45143</v>
      </c>
      <c r="M246" s="6">
        <v>45508</v>
      </c>
      <c r="N246" s="3" t="s">
        <v>64</v>
      </c>
      <c r="O246" s="3" t="s">
        <v>3858</v>
      </c>
      <c r="P246" s="7">
        <v>1500</v>
      </c>
      <c r="Q246" s="7">
        <v>125</v>
      </c>
      <c r="R246" s="8">
        <v>1200</v>
      </c>
      <c r="S246" s="7">
        <v>1500</v>
      </c>
      <c r="T246" s="8">
        <v>1200</v>
      </c>
      <c r="U246" s="3">
        <v>1500</v>
      </c>
      <c r="V246" s="3" t="s">
        <v>54</v>
      </c>
      <c r="W246" s="3">
        <v>0</v>
      </c>
      <c r="X246" s="3" t="s">
        <v>131</v>
      </c>
      <c r="Y246" s="3" t="s">
        <v>131</v>
      </c>
      <c r="Z246" s="3" t="s">
        <v>3919</v>
      </c>
      <c r="AA246" s="3" t="s">
        <v>4331</v>
      </c>
      <c r="AB246" s="9">
        <v>45508</v>
      </c>
      <c r="AC246" s="3" t="s">
        <v>131</v>
      </c>
      <c r="AD246" s="3"/>
    </row>
    <row r="247" spans="1:30" hidden="1">
      <c r="A247" s="3" t="s">
        <v>44</v>
      </c>
      <c r="B247" s="4">
        <v>45533</v>
      </c>
      <c r="C247" s="3" t="s">
        <v>45</v>
      </c>
      <c r="D247" s="3" t="s">
        <v>142</v>
      </c>
      <c r="E247" s="3" t="s">
        <v>4328</v>
      </c>
      <c r="F247" s="3" t="s">
        <v>4340</v>
      </c>
      <c r="G247" s="3" t="s">
        <v>1519</v>
      </c>
      <c r="H247" s="3"/>
      <c r="I247" s="3" t="s">
        <v>51</v>
      </c>
      <c r="J247" s="6">
        <v>45168</v>
      </c>
      <c r="K247" s="6"/>
      <c r="L247" s="6">
        <v>45168</v>
      </c>
      <c r="M247" s="6">
        <v>45533</v>
      </c>
      <c r="N247" s="3" t="s">
        <v>52</v>
      </c>
      <c r="O247" s="3" t="s">
        <v>3858</v>
      </c>
      <c r="P247" s="7">
        <v>1380</v>
      </c>
      <c r="Q247" s="7">
        <v>115</v>
      </c>
      <c r="R247" s="8">
        <v>1200</v>
      </c>
      <c r="S247" s="7">
        <v>1500</v>
      </c>
      <c r="T247" s="8">
        <v>1500</v>
      </c>
      <c r="U247" s="3">
        <v>1380</v>
      </c>
      <c r="V247" s="3" t="s">
        <v>54</v>
      </c>
      <c r="W247" s="3">
        <v>0</v>
      </c>
      <c r="X247" s="3" t="s">
        <v>131</v>
      </c>
      <c r="Y247" s="3" t="s">
        <v>131</v>
      </c>
      <c r="Z247" s="3" t="s">
        <v>3919</v>
      </c>
      <c r="AA247" s="3" t="s">
        <v>4334</v>
      </c>
      <c r="AB247" s="9">
        <v>45533</v>
      </c>
      <c r="AC247" s="3" t="s">
        <v>131</v>
      </c>
      <c r="AD247" s="3"/>
    </row>
    <row r="248" spans="1:30" hidden="1">
      <c r="A248" s="3" t="s">
        <v>44</v>
      </c>
      <c r="B248" s="4">
        <v>45534</v>
      </c>
      <c r="C248" s="3" t="s">
        <v>45</v>
      </c>
      <c r="D248" s="3" t="s">
        <v>142</v>
      </c>
      <c r="E248" s="3" t="s">
        <v>4328</v>
      </c>
      <c r="F248" s="3" t="s">
        <v>4341</v>
      </c>
      <c r="G248" s="3" t="s">
        <v>4342</v>
      </c>
      <c r="H248" s="3"/>
      <c r="I248" s="3" t="s">
        <v>51</v>
      </c>
      <c r="J248" s="6">
        <v>45169</v>
      </c>
      <c r="K248" s="6"/>
      <c r="L248" s="6">
        <v>45169</v>
      </c>
      <c r="M248" s="6">
        <v>45534</v>
      </c>
      <c r="N248" s="3" t="s">
        <v>52</v>
      </c>
      <c r="O248" s="3" t="s">
        <v>3858</v>
      </c>
      <c r="P248" s="7">
        <v>1500</v>
      </c>
      <c r="Q248" s="7">
        <v>125</v>
      </c>
      <c r="R248" s="8">
        <v>1200</v>
      </c>
      <c r="S248" s="7">
        <v>1500</v>
      </c>
      <c r="T248" s="8">
        <v>1200</v>
      </c>
      <c r="U248" s="3">
        <v>1500</v>
      </c>
      <c r="V248" s="3" t="s">
        <v>54</v>
      </c>
      <c r="W248" s="3">
        <v>0</v>
      </c>
      <c r="X248" s="3" t="s">
        <v>131</v>
      </c>
      <c r="Y248" s="3" t="s">
        <v>131</v>
      </c>
      <c r="Z248" s="3" t="s">
        <v>3919</v>
      </c>
      <c r="AA248" s="3" t="s">
        <v>4331</v>
      </c>
      <c r="AB248" s="9">
        <v>45534</v>
      </c>
      <c r="AC248" s="3" t="s">
        <v>131</v>
      </c>
      <c r="AD248" s="3"/>
    </row>
    <row r="249" spans="1:30" hidden="1">
      <c r="A249" s="3" t="s">
        <v>44</v>
      </c>
      <c r="B249" s="4">
        <v>45535</v>
      </c>
      <c r="C249" s="3" t="s">
        <v>45</v>
      </c>
      <c r="D249" s="3" t="s">
        <v>142</v>
      </c>
      <c r="E249" s="3" t="s">
        <v>4328</v>
      </c>
      <c r="F249" s="3" t="s">
        <v>4343</v>
      </c>
      <c r="G249" s="3" t="s">
        <v>4344</v>
      </c>
      <c r="H249" s="3"/>
      <c r="I249" s="3" t="s">
        <v>51</v>
      </c>
      <c r="J249" s="6">
        <v>45170</v>
      </c>
      <c r="K249" s="6"/>
      <c r="L249" s="6">
        <v>45170</v>
      </c>
      <c r="M249" s="6">
        <v>45535</v>
      </c>
      <c r="N249" s="3" t="s">
        <v>52</v>
      </c>
      <c r="O249" s="3" t="s">
        <v>3858</v>
      </c>
      <c r="P249" s="7">
        <v>1380</v>
      </c>
      <c r="Q249" s="7">
        <v>115</v>
      </c>
      <c r="R249" s="8">
        <v>1380</v>
      </c>
      <c r="S249" s="7">
        <v>1500</v>
      </c>
      <c r="T249" s="8">
        <v>1380</v>
      </c>
      <c r="U249" s="3">
        <v>1380</v>
      </c>
      <c r="V249" s="3" t="s">
        <v>54</v>
      </c>
      <c r="W249" s="3">
        <v>0</v>
      </c>
      <c r="X249" s="3" t="s">
        <v>131</v>
      </c>
      <c r="Y249" s="3" t="s">
        <v>131</v>
      </c>
      <c r="Z249" s="3" t="s">
        <v>3919</v>
      </c>
      <c r="AA249" s="3" t="s">
        <v>4334</v>
      </c>
      <c r="AB249" s="9">
        <v>45535</v>
      </c>
      <c r="AC249" s="3" t="s">
        <v>131</v>
      </c>
      <c r="AD249" s="3"/>
    </row>
    <row r="250" spans="1:30" hidden="1">
      <c r="A250" s="3" t="s">
        <v>44</v>
      </c>
      <c r="B250" s="4">
        <v>45482</v>
      </c>
      <c r="C250" s="3" t="s">
        <v>109</v>
      </c>
      <c r="D250" s="3" t="s">
        <v>1041</v>
      </c>
      <c r="E250" s="3" t="s">
        <v>1042</v>
      </c>
      <c r="F250" s="3" t="s">
        <v>4345</v>
      </c>
      <c r="G250" s="3" t="s">
        <v>4346</v>
      </c>
      <c r="H250" s="3"/>
      <c r="I250" s="3" t="s">
        <v>51</v>
      </c>
      <c r="J250" s="6">
        <v>45117</v>
      </c>
      <c r="K250" s="6"/>
      <c r="L250" s="6">
        <v>45117</v>
      </c>
      <c r="M250" s="6">
        <v>45482</v>
      </c>
      <c r="N250" s="3" t="s">
        <v>52</v>
      </c>
      <c r="O250" s="3" t="s">
        <v>3858</v>
      </c>
      <c r="P250" s="7">
        <v>1500</v>
      </c>
      <c r="Q250" s="7">
        <v>125</v>
      </c>
      <c r="R250" s="8"/>
      <c r="S250" s="7">
        <v>1500</v>
      </c>
      <c r="T250" s="8">
        <v>1500</v>
      </c>
      <c r="U250" s="3">
        <v>1500</v>
      </c>
      <c r="V250" s="3" t="s">
        <v>54</v>
      </c>
      <c r="W250" s="3">
        <v>0</v>
      </c>
      <c r="X250" s="3" t="s">
        <v>131</v>
      </c>
      <c r="Y250" s="3" t="s">
        <v>131</v>
      </c>
      <c r="Z250" s="3" t="s">
        <v>131</v>
      </c>
      <c r="AA250" s="3" t="s">
        <v>4347</v>
      </c>
      <c r="AB250" s="9">
        <v>45482</v>
      </c>
      <c r="AC250" s="3" t="s">
        <v>131</v>
      </c>
      <c r="AD250" s="3"/>
    </row>
    <row r="251" spans="1:30" hidden="1">
      <c r="A251" s="3" t="s">
        <v>44</v>
      </c>
      <c r="B251" s="4">
        <v>45510</v>
      </c>
      <c r="C251" s="3" t="s">
        <v>109</v>
      </c>
      <c r="D251" s="3" t="s">
        <v>1041</v>
      </c>
      <c r="E251" s="3" t="s">
        <v>1042</v>
      </c>
      <c r="F251" s="3" t="s">
        <v>4348</v>
      </c>
      <c r="G251" s="3" t="s">
        <v>3357</v>
      </c>
      <c r="H251" s="3"/>
      <c r="I251" s="3" t="s">
        <v>51</v>
      </c>
      <c r="J251" s="6">
        <v>45145</v>
      </c>
      <c r="K251" s="6"/>
      <c r="L251" s="6">
        <v>45145</v>
      </c>
      <c r="M251" s="6">
        <v>45510</v>
      </c>
      <c r="N251" s="3" t="s">
        <v>52</v>
      </c>
      <c r="O251" s="3" t="s">
        <v>3858</v>
      </c>
      <c r="P251" s="7">
        <v>1500</v>
      </c>
      <c r="Q251" s="7">
        <v>125</v>
      </c>
      <c r="R251" s="8"/>
      <c r="S251" s="7">
        <v>1500</v>
      </c>
      <c r="T251" s="8">
        <v>1500</v>
      </c>
      <c r="U251" s="3">
        <v>1500</v>
      </c>
      <c r="V251" s="3" t="s">
        <v>250</v>
      </c>
      <c r="W251" s="3">
        <v>0</v>
      </c>
      <c r="X251" s="3" t="s">
        <v>131</v>
      </c>
      <c r="Y251" s="3" t="s">
        <v>131</v>
      </c>
      <c r="Z251" s="3" t="s">
        <v>131</v>
      </c>
      <c r="AA251" s="3" t="s">
        <v>4347</v>
      </c>
      <c r="AB251" s="9">
        <v>45510</v>
      </c>
      <c r="AC251" s="3" t="s">
        <v>131</v>
      </c>
      <c r="AD251" s="3"/>
    </row>
    <row r="252" spans="1:30" hidden="1">
      <c r="A252" s="3" t="s">
        <v>44</v>
      </c>
      <c r="B252" s="4">
        <v>45510</v>
      </c>
      <c r="C252" s="3" t="s">
        <v>109</v>
      </c>
      <c r="D252" s="3" t="s">
        <v>1041</v>
      </c>
      <c r="E252" s="3" t="s">
        <v>1042</v>
      </c>
      <c r="F252" s="3" t="s">
        <v>4349</v>
      </c>
      <c r="G252" s="3" t="s">
        <v>3357</v>
      </c>
      <c r="H252" s="3"/>
      <c r="I252" s="3" t="s">
        <v>51</v>
      </c>
      <c r="J252" s="6">
        <v>45145</v>
      </c>
      <c r="K252" s="6"/>
      <c r="L252" s="6">
        <v>45145</v>
      </c>
      <c r="M252" s="6">
        <v>45510</v>
      </c>
      <c r="N252" s="3" t="s">
        <v>52</v>
      </c>
      <c r="O252" s="3" t="s">
        <v>3858</v>
      </c>
      <c r="P252" s="7">
        <v>1500</v>
      </c>
      <c r="Q252" s="7">
        <v>125</v>
      </c>
      <c r="R252" s="8"/>
      <c r="S252" s="7">
        <v>1500</v>
      </c>
      <c r="T252" s="8">
        <v>1500</v>
      </c>
      <c r="U252" s="3">
        <v>1500</v>
      </c>
      <c r="V252" s="3" t="s">
        <v>250</v>
      </c>
      <c r="W252" s="3">
        <v>0</v>
      </c>
      <c r="X252" s="3" t="s">
        <v>131</v>
      </c>
      <c r="Y252" s="3" t="s">
        <v>131</v>
      </c>
      <c r="Z252" s="3" t="s">
        <v>131</v>
      </c>
      <c r="AA252" s="3" t="s">
        <v>4347</v>
      </c>
      <c r="AB252" s="9">
        <v>45510</v>
      </c>
      <c r="AC252" s="3" t="s">
        <v>131</v>
      </c>
      <c r="AD252" s="3"/>
    </row>
    <row r="253" spans="1:30" hidden="1">
      <c r="A253" s="3" t="s">
        <v>44</v>
      </c>
      <c r="B253" s="4">
        <v>45521</v>
      </c>
      <c r="C253" s="3" t="s">
        <v>109</v>
      </c>
      <c r="D253" s="3" t="s">
        <v>1041</v>
      </c>
      <c r="E253" s="3" t="s">
        <v>1042</v>
      </c>
      <c r="F253" s="3" t="s">
        <v>4350</v>
      </c>
      <c r="G253" s="3" t="s">
        <v>4351</v>
      </c>
      <c r="H253" s="3"/>
      <c r="I253" s="3" t="s">
        <v>51</v>
      </c>
      <c r="J253" s="6">
        <v>45156</v>
      </c>
      <c r="K253" s="6"/>
      <c r="L253" s="6">
        <v>45156</v>
      </c>
      <c r="M253" s="6">
        <v>45521</v>
      </c>
      <c r="N253" s="3" t="s">
        <v>52</v>
      </c>
      <c r="O253" s="3" t="s">
        <v>3858</v>
      </c>
      <c r="P253" s="7">
        <v>1500</v>
      </c>
      <c r="Q253" s="7">
        <v>125</v>
      </c>
      <c r="R253" s="8"/>
      <c r="S253" s="7">
        <v>1380</v>
      </c>
      <c r="T253" s="8">
        <v>1500</v>
      </c>
      <c r="U253" s="3">
        <v>1500</v>
      </c>
      <c r="V253" s="3" t="s">
        <v>54</v>
      </c>
      <c r="W253" s="3">
        <v>0</v>
      </c>
      <c r="X253" s="3" t="s">
        <v>131</v>
      </c>
      <c r="Y253" s="3" t="s">
        <v>131</v>
      </c>
      <c r="Z253" s="3" t="s">
        <v>131</v>
      </c>
      <c r="AA253" s="3" t="s">
        <v>4347</v>
      </c>
      <c r="AB253" s="9">
        <v>45521</v>
      </c>
      <c r="AC253" s="3" t="s">
        <v>131</v>
      </c>
      <c r="AD253" s="3"/>
    </row>
    <row r="254" spans="1:30" hidden="1">
      <c r="A254" s="3" t="s">
        <v>44</v>
      </c>
      <c r="B254" s="4">
        <v>45524</v>
      </c>
      <c r="C254" s="3" t="s">
        <v>109</v>
      </c>
      <c r="D254" s="3" t="s">
        <v>1041</v>
      </c>
      <c r="E254" s="3" t="s">
        <v>1042</v>
      </c>
      <c r="F254" s="3" t="s">
        <v>4352</v>
      </c>
      <c r="G254" s="3" t="s">
        <v>2190</v>
      </c>
      <c r="H254" s="3"/>
      <c r="I254" s="3" t="s">
        <v>51</v>
      </c>
      <c r="J254" s="6">
        <v>45159</v>
      </c>
      <c r="K254" s="6"/>
      <c r="L254" s="6">
        <v>45159</v>
      </c>
      <c r="M254" s="6">
        <v>45524</v>
      </c>
      <c r="N254" s="3" t="s">
        <v>52</v>
      </c>
      <c r="O254" s="3" t="s">
        <v>3858</v>
      </c>
      <c r="P254" s="7">
        <v>1500</v>
      </c>
      <c r="Q254" s="7">
        <v>125</v>
      </c>
      <c r="R254" s="8"/>
      <c r="S254" s="7">
        <v>1500</v>
      </c>
      <c r="T254" s="8">
        <v>1500</v>
      </c>
      <c r="U254" s="3">
        <v>1500</v>
      </c>
      <c r="V254" s="3" t="s">
        <v>54</v>
      </c>
      <c r="W254" s="3">
        <v>0</v>
      </c>
      <c r="X254" s="3" t="s">
        <v>131</v>
      </c>
      <c r="Y254" s="3" t="s">
        <v>131</v>
      </c>
      <c r="Z254" s="3" t="s">
        <v>131</v>
      </c>
      <c r="AA254" s="3" t="s">
        <v>4347</v>
      </c>
      <c r="AB254" s="9">
        <v>45524</v>
      </c>
      <c r="AC254" s="3" t="s">
        <v>131</v>
      </c>
      <c r="AD254" s="3"/>
    </row>
    <row r="255" spans="1:30" hidden="1">
      <c r="A255" s="3" t="s">
        <v>44</v>
      </c>
      <c r="B255" s="4">
        <v>45527</v>
      </c>
      <c r="C255" s="3" t="s">
        <v>109</v>
      </c>
      <c r="D255" s="3" t="s">
        <v>1041</v>
      </c>
      <c r="E255" s="3" t="s">
        <v>1042</v>
      </c>
      <c r="F255" s="3" t="s">
        <v>4353</v>
      </c>
      <c r="G255" s="3" t="s">
        <v>4354</v>
      </c>
      <c r="H255" s="3"/>
      <c r="I255" s="3" t="s">
        <v>51</v>
      </c>
      <c r="J255" s="6">
        <v>45162</v>
      </c>
      <c r="K255" s="6"/>
      <c r="L255" s="6">
        <v>45162</v>
      </c>
      <c r="M255" s="6">
        <v>45527</v>
      </c>
      <c r="N255" s="3" t="s">
        <v>52</v>
      </c>
      <c r="O255" s="3" t="s">
        <v>3858</v>
      </c>
      <c r="P255" s="7">
        <v>1500</v>
      </c>
      <c r="Q255" s="7">
        <v>125</v>
      </c>
      <c r="R255" s="8"/>
      <c r="S255" s="7">
        <v>1380</v>
      </c>
      <c r="T255" s="8">
        <v>1500</v>
      </c>
      <c r="U255" s="3">
        <v>1500</v>
      </c>
      <c r="V255" s="3" t="s">
        <v>54</v>
      </c>
      <c r="W255" s="3">
        <v>0</v>
      </c>
      <c r="X255" s="3" t="s">
        <v>131</v>
      </c>
      <c r="Y255" s="3" t="s">
        <v>131</v>
      </c>
      <c r="Z255" s="3" t="s">
        <v>131</v>
      </c>
      <c r="AA255" s="3" t="s">
        <v>4347</v>
      </c>
      <c r="AB255" s="9">
        <v>45527</v>
      </c>
      <c r="AC255" s="3" t="s">
        <v>131</v>
      </c>
      <c r="AD255" s="3"/>
    </row>
    <row r="256" spans="1:30" hidden="1">
      <c r="A256" s="3" t="s">
        <v>44</v>
      </c>
      <c r="B256" s="4">
        <v>45528</v>
      </c>
      <c r="C256" s="3" t="s">
        <v>109</v>
      </c>
      <c r="D256" s="3" t="s">
        <v>1041</v>
      </c>
      <c r="E256" s="3" t="s">
        <v>1042</v>
      </c>
      <c r="F256" s="3" t="s">
        <v>4355</v>
      </c>
      <c r="G256" s="3" t="s">
        <v>2297</v>
      </c>
      <c r="H256" s="3"/>
      <c r="I256" s="3" t="s">
        <v>51</v>
      </c>
      <c r="J256" s="6">
        <v>45163</v>
      </c>
      <c r="K256" s="6"/>
      <c r="L256" s="6">
        <v>45163</v>
      </c>
      <c r="M256" s="6">
        <v>45528</v>
      </c>
      <c r="N256" s="3" t="s">
        <v>52</v>
      </c>
      <c r="O256" s="3" t="s">
        <v>3858</v>
      </c>
      <c r="P256" s="7">
        <v>1500</v>
      </c>
      <c r="Q256" s="7">
        <v>125</v>
      </c>
      <c r="R256" s="8"/>
      <c r="S256" s="7">
        <v>1500</v>
      </c>
      <c r="T256" s="8">
        <v>1500</v>
      </c>
      <c r="U256" s="3">
        <v>1500</v>
      </c>
      <c r="V256" s="3" t="s">
        <v>54</v>
      </c>
      <c r="W256" s="3">
        <v>0</v>
      </c>
      <c r="X256" s="3" t="s">
        <v>131</v>
      </c>
      <c r="Y256" s="3" t="s">
        <v>131</v>
      </c>
      <c r="Z256" s="3" t="s">
        <v>131</v>
      </c>
      <c r="AA256" s="3" t="s">
        <v>4347</v>
      </c>
      <c r="AB256" s="9">
        <v>45528</v>
      </c>
      <c r="AC256" s="3" t="s">
        <v>131</v>
      </c>
      <c r="AD256" s="3"/>
    </row>
    <row r="257" spans="1:30" hidden="1">
      <c r="A257" s="3" t="s">
        <v>44</v>
      </c>
      <c r="B257" s="4">
        <v>45534</v>
      </c>
      <c r="C257" s="3" t="s">
        <v>109</v>
      </c>
      <c r="D257" s="3" t="s">
        <v>1041</v>
      </c>
      <c r="E257" s="3" t="s">
        <v>1042</v>
      </c>
      <c r="F257" s="3" t="s">
        <v>4356</v>
      </c>
      <c r="G257" s="3" t="s">
        <v>4357</v>
      </c>
      <c r="H257" s="3"/>
      <c r="I257" s="3" t="s">
        <v>51</v>
      </c>
      <c r="J257" s="6">
        <v>45169</v>
      </c>
      <c r="K257" s="6"/>
      <c r="L257" s="6">
        <v>45169</v>
      </c>
      <c r="M257" s="6">
        <v>45534</v>
      </c>
      <c r="N257" s="3" t="s">
        <v>52</v>
      </c>
      <c r="O257" s="3" t="s">
        <v>3858</v>
      </c>
      <c r="P257" s="7">
        <v>1500</v>
      </c>
      <c r="Q257" s="7">
        <v>125</v>
      </c>
      <c r="R257" s="8"/>
      <c r="S257" s="7">
        <v>1500</v>
      </c>
      <c r="T257" s="8">
        <v>1500</v>
      </c>
      <c r="U257" s="3">
        <v>1500</v>
      </c>
      <c r="V257" s="3" t="s">
        <v>54</v>
      </c>
      <c r="W257" s="3">
        <v>0</v>
      </c>
      <c r="X257" s="3" t="s">
        <v>131</v>
      </c>
      <c r="Y257" s="3" t="s">
        <v>131</v>
      </c>
      <c r="Z257" s="3" t="s">
        <v>131</v>
      </c>
      <c r="AA257" s="3" t="s">
        <v>4347</v>
      </c>
      <c r="AB257" s="9">
        <v>45534</v>
      </c>
      <c r="AC257" s="3" t="s">
        <v>131</v>
      </c>
      <c r="AD257" s="3"/>
    </row>
    <row r="258" spans="1:30" hidden="1">
      <c r="A258" s="3" t="s">
        <v>44</v>
      </c>
      <c r="B258" s="4">
        <v>45534</v>
      </c>
      <c r="C258" s="3" t="s">
        <v>109</v>
      </c>
      <c r="D258" s="3" t="s">
        <v>1041</v>
      </c>
      <c r="E258" s="3" t="s">
        <v>1042</v>
      </c>
      <c r="F258" s="3" t="s">
        <v>4358</v>
      </c>
      <c r="G258" s="3" t="s">
        <v>4359</v>
      </c>
      <c r="H258" s="3"/>
      <c r="I258" s="3" t="s">
        <v>51</v>
      </c>
      <c r="J258" s="6">
        <v>45169</v>
      </c>
      <c r="K258" s="6"/>
      <c r="L258" s="6">
        <v>45169</v>
      </c>
      <c r="M258" s="6">
        <v>45534</v>
      </c>
      <c r="N258" s="3" t="s">
        <v>52</v>
      </c>
      <c r="O258" s="3" t="s">
        <v>3858</v>
      </c>
      <c r="P258" s="7">
        <v>1500</v>
      </c>
      <c r="Q258" s="7">
        <v>125</v>
      </c>
      <c r="R258" s="8"/>
      <c r="S258" s="7">
        <v>1380</v>
      </c>
      <c r="T258" s="8">
        <v>1500</v>
      </c>
      <c r="U258" s="3">
        <v>1500</v>
      </c>
      <c r="V258" s="3" t="s">
        <v>54</v>
      </c>
      <c r="W258" s="3">
        <v>0</v>
      </c>
      <c r="X258" s="3" t="s">
        <v>131</v>
      </c>
      <c r="Y258" s="3" t="s">
        <v>131</v>
      </c>
      <c r="Z258" s="3" t="s">
        <v>131</v>
      </c>
      <c r="AA258" s="3" t="s">
        <v>4347</v>
      </c>
      <c r="AB258" s="9">
        <v>45534</v>
      </c>
      <c r="AC258" s="3" t="s">
        <v>131</v>
      </c>
      <c r="AD258" s="3"/>
    </row>
    <row r="259" spans="1:30">
      <c r="A259" s="3" t="s">
        <v>44</v>
      </c>
      <c r="B259" s="4">
        <v>45474</v>
      </c>
      <c r="C259" s="3" t="s">
        <v>103</v>
      </c>
      <c r="D259" s="3" t="s">
        <v>104</v>
      </c>
      <c r="E259" s="3" t="s">
        <v>105</v>
      </c>
      <c r="F259" s="3" t="s">
        <v>4360</v>
      </c>
      <c r="G259" s="3" t="s">
        <v>4361</v>
      </c>
      <c r="H259" s="3"/>
      <c r="I259" s="3" t="s">
        <v>51</v>
      </c>
      <c r="J259" s="6">
        <v>44652</v>
      </c>
      <c r="K259" s="6"/>
      <c r="L259" s="6">
        <v>45018</v>
      </c>
      <c r="M259" s="6">
        <v>45383</v>
      </c>
      <c r="N259" s="3" t="s">
        <v>64</v>
      </c>
      <c r="O259" s="3" t="s">
        <v>3858</v>
      </c>
      <c r="P259" s="7">
        <v>600</v>
      </c>
      <c r="Q259" s="7">
        <v>50</v>
      </c>
      <c r="R259" s="8">
        <v>600</v>
      </c>
      <c r="S259" s="7">
        <v>420</v>
      </c>
      <c r="T259" s="8">
        <v>250</v>
      </c>
      <c r="U259" s="3">
        <v>600</v>
      </c>
      <c r="V259" s="3" t="s">
        <v>54</v>
      </c>
      <c r="W259" s="3">
        <v>0</v>
      </c>
      <c r="X259" s="3" t="s">
        <v>93</v>
      </c>
      <c r="Y259" s="3" t="s">
        <v>93</v>
      </c>
      <c r="Z259" s="3" t="s">
        <v>131</v>
      </c>
      <c r="AA259" s="3" t="s">
        <v>4362</v>
      </c>
      <c r="AB259" s="9">
        <v>45474</v>
      </c>
      <c r="AC259" s="3" t="s">
        <v>131</v>
      </c>
      <c r="AD259" s="3"/>
    </row>
    <row r="260" spans="1:30" hidden="1">
      <c r="A260" s="3" t="s">
        <v>44</v>
      </c>
      <c r="B260" s="4">
        <v>45476</v>
      </c>
      <c r="C260" s="3" t="s">
        <v>103</v>
      </c>
      <c r="D260" s="3" t="s">
        <v>104</v>
      </c>
      <c r="E260" s="3" t="s">
        <v>105</v>
      </c>
      <c r="F260" s="3" t="s">
        <v>4363</v>
      </c>
      <c r="G260" s="3" t="s">
        <v>4364</v>
      </c>
      <c r="H260" s="3"/>
      <c r="I260" s="3" t="s">
        <v>51</v>
      </c>
      <c r="J260" s="6">
        <v>45111</v>
      </c>
      <c r="K260" s="6"/>
      <c r="L260" s="6">
        <v>45111</v>
      </c>
      <c r="M260" s="6">
        <v>45476</v>
      </c>
      <c r="N260" s="3" t="s">
        <v>52</v>
      </c>
      <c r="O260" s="3" t="s">
        <v>3858</v>
      </c>
      <c r="P260" s="7">
        <v>600</v>
      </c>
      <c r="Q260" s="7">
        <v>50</v>
      </c>
      <c r="R260" s="8">
        <v>600</v>
      </c>
      <c r="S260" s="7">
        <v>600</v>
      </c>
      <c r="T260" s="8">
        <v>420</v>
      </c>
      <c r="U260" s="3">
        <v>600</v>
      </c>
      <c r="V260" s="3" t="s">
        <v>54</v>
      </c>
      <c r="W260" s="3">
        <v>0</v>
      </c>
      <c r="X260" s="3" t="s">
        <v>93</v>
      </c>
      <c r="Y260" s="3" t="s">
        <v>93</v>
      </c>
      <c r="Z260" s="3" t="s">
        <v>131</v>
      </c>
      <c r="AA260" s="3" t="s">
        <v>4362</v>
      </c>
      <c r="AB260" s="9">
        <v>45476</v>
      </c>
      <c r="AC260" s="3" t="s">
        <v>131</v>
      </c>
      <c r="AD260" s="3"/>
    </row>
    <row r="261" spans="1:30">
      <c r="A261" s="3" t="s">
        <v>44</v>
      </c>
      <c r="B261" s="4">
        <v>45477</v>
      </c>
      <c r="C261" s="3" t="s">
        <v>103</v>
      </c>
      <c r="D261" s="3" t="s">
        <v>104</v>
      </c>
      <c r="E261" s="3" t="s">
        <v>105</v>
      </c>
      <c r="F261" s="3" t="s">
        <v>4365</v>
      </c>
      <c r="G261" s="3" t="s">
        <v>4366</v>
      </c>
      <c r="H261" s="3"/>
      <c r="I261" s="3" t="s">
        <v>51</v>
      </c>
      <c r="J261" s="6">
        <v>44747</v>
      </c>
      <c r="K261" s="6"/>
      <c r="L261" s="6">
        <v>45112</v>
      </c>
      <c r="M261" s="6">
        <v>45477</v>
      </c>
      <c r="N261" s="3" t="s">
        <v>64</v>
      </c>
      <c r="O261" s="3" t="s">
        <v>3858</v>
      </c>
      <c r="P261" s="7">
        <v>600</v>
      </c>
      <c r="Q261" s="7">
        <v>50</v>
      </c>
      <c r="R261" s="8">
        <v>600</v>
      </c>
      <c r="S261" s="7">
        <v>420</v>
      </c>
      <c r="T261" s="8">
        <v>420</v>
      </c>
      <c r="U261" s="3">
        <v>600</v>
      </c>
      <c r="V261" s="3" t="s">
        <v>54</v>
      </c>
      <c r="W261" s="3">
        <v>0</v>
      </c>
      <c r="X261" s="3" t="s">
        <v>93</v>
      </c>
      <c r="Y261" s="3" t="s">
        <v>93</v>
      </c>
      <c r="Z261" s="3" t="s">
        <v>131</v>
      </c>
      <c r="AA261" s="3" t="s">
        <v>4362</v>
      </c>
      <c r="AB261" s="9">
        <v>45477</v>
      </c>
      <c r="AC261" s="3" t="s">
        <v>131</v>
      </c>
      <c r="AD261" s="3"/>
    </row>
    <row r="262" spans="1:30">
      <c r="A262" s="3" t="s">
        <v>44</v>
      </c>
      <c r="B262" s="4">
        <v>45477</v>
      </c>
      <c r="C262" s="3" t="s">
        <v>103</v>
      </c>
      <c r="D262" s="3" t="s">
        <v>104</v>
      </c>
      <c r="E262" s="3" t="s">
        <v>105</v>
      </c>
      <c r="F262" s="3" t="s">
        <v>4367</v>
      </c>
      <c r="G262" s="3" t="s">
        <v>4368</v>
      </c>
      <c r="H262" s="3"/>
      <c r="I262" s="3" t="s">
        <v>51</v>
      </c>
      <c r="J262" s="6">
        <v>44384</v>
      </c>
      <c r="K262" s="6"/>
      <c r="L262" s="6">
        <v>45112</v>
      </c>
      <c r="M262" s="6">
        <v>45477</v>
      </c>
      <c r="N262" s="3" t="s">
        <v>64</v>
      </c>
      <c r="O262" s="3" t="s">
        <v>3858</v>
      </c>
      <c r="P262" s="7">
        <v>600</v>
      </c>
      <c r="Q262" s="7">
        <v>50</v>
      </c>
      <c r="R262" s="8">
        <v>600</v>
      </c>
      <c r="S262" s="7">
        <v>480</v>
      </c>
      <c r="T262" s="8">
        <v>420</v>
      </c>
      <c r="U262" s="3">
        <v>600</v>
      </c>
      <c r="V262" s="3" t="s">
        <v>54</v>
      </c>
      <c r="W262" s="3">
        <v>0</v>
      </c>
      <c r="X262" s="3" t="s">
        <v>93</v>
      </c>
      <c r="Y262" s="3" t="s">
        <v>93</v>
      </c>
      <c r="Z262" s="3" t="s">
        <v>131</v>
      </c>
      <c r="AA262" s="3" t="s">
        <v>4362</v>
      </c>
      <c r="AB262" s="9">
        <v>45477</v>
      </c>
      <c r="AC262" s="3" t="s">
        <v>131</v>
      </c>
      <c r="AD262" s="3"/>
    </row>
    <row r="263" spans="1:30">
      <c r="A263" s="3" t="s">
        <v>44</v>
      </c>
      <c r="B263" s="4">
        <v>45477</v>
      </c>
      <c r="C263" s="3" t="s">
        <v>103</v>
      </c>
      <c r="D263" s="3" t="s">
        <v>104</v>
      </c>
      <c r="E263" s="3" t="s">
        <v>105</v>
      </c>
      <c r="F263" s="3" t="s">
        <v>4369</v>
      </c>
      <c r="G263" s="3" t="s">
        <v>4370</v>
      </c>
      <c r="H263" s="3"/>
      <c r="I263" s="3" t="s">
        <v>51</v>
      </c>
      <c r="J263" s="6">
        <v>44747</v>
      </c>
      <c r="K263" s="6"/>
      <c r="L263" s="6">
        <v>45112</v>
      </c>
      <c r="M263" s="6">
        <v>45477</v>
      </c>
      <c r="N263" s="3" t="s">
        <v>64</v>
      </c>
      <c r="O263" s="3" t="s">
        <v>3858</v>
      </c>
      <c r="P263" s="7">
        <v>600</v>
      </c>
      <c r="Q263" s="7">
        <v>50</v>
      </c>
      <c r="R263" s="8">
        <v>600</v>
      </c>
      <c r="S263" s="7">
        <v>300</v>
      </c>
      <c r="T263" s="8">
        <v>250</v>
      </c>
      <c r="U263" s="3">
        <v>600</v>
      </c>
      <c r="V263" s="3" t="s">
        <v>54</v>
      </c>
      <c r="W263" s="3">
        <v>0</v>
      </c>
      <c r="X263" s="3" t="s">
        <v>93</v>
      </c>
      <c r="Y263" s="3" t="s">
        <v>93</v>
      </c>
      <c r="Z263" s="3" t="s">
        <v>131</v>
      </c>
      <c r="AA263" s="3" t="s">
        <v>4362</v>
      </c>
      <c r="AB263" s="9">
        <v>45477</v>
      </c>
      <c r="AC263" s="3" t="s">
        <v>131</v>
      </c>
      <c r="AD263" s="3"/>
    </row>
    <row r="264" spans="1:30" hidden="1">
      <c r="A264" s="3" t="s">
        <v>44</v>
      </c>
      <c r="B264" s="4">
        <v>45479</v>
      </c>
      <c r="C264" s="3" t="s">
        <v>103</v>
      </c>
      <c r="D264" s="3" t="s">
        <v>104</v>
      </c>
      <c r="E264" s="3" t="s">
        <v>105</v>
      </c>
      <c r="F264" s="3" t="s">
        <v>4371</v>
      </c>
      <c r="G264" s="3" t="s">
        <v>815</v>
      </c>
      <c r="H264" s="3"/>
      <c r="I264" s="3" t="s">
        <v>51</v>
      </c>
      <c r="J264" s="6">
        <v>45114</v>
      </c>
      <c r="K264" s="6"/>
      <c r="L264" s="6">
        <v>45114</v>
      </c>
      <c r="M264" s="6">
        <v>45479</v>
      </c>
      <c r="N264" s="3" t="s">
        <v>52</v>
      </c>
      <c r="O264" s="3" t="s">
        <v>3858</v>
      </c>
      <c r="P264" s="7">
        <v>600</v>
      </c>
      <c r="Q264" s="7">
        <v>50</v>
      </c>
      <c r="R264" s="8">
        <v>600</v>
      </c>
      <c r="S264" s="7">
        <v>420</v>
      </c>
      <c r="T264" s="8">
        <v>249.96</v>
      </c>
      <c r="U264" s="3">
        <v>600</v>
      </c>
      <c r="V264" s="3" t="s">
        <v>54</v>
      </c>
      <c r="W264" s="3">
        <v>0</v>
      </c>
      <c r="X264" s="3" t="s">
        <v>93</v>
      </c>
      <c r="Y264" s="3" t="s">
        <v>93</v>
      </c>
      <c r="Z264" s="3" t="s">
        <v>131</v>
      </c>
      <c r="AA264" s="3" t="s">
        <v>4362</v>
      </c>
      <c r="AB264" s="9">
        <v>45479</v>
      </c>
      <c r="AC264" s="3" t="s">
        <v>131</v>
      </c>
      <c r="AD264" s="3"/>
    </row>
    <row r="265" spans="1:30" hidden="1">
      <c r="A265" s="3" t="s">
        <v>44</v>
      </c>
      <c r="B265" s="4">
        <v>45482</v>
      </c>
      <c r="C265" s="3" t="s">
        <v>103</v>
      </c>
      <c r="D265" s="3" t="s">
        <v>104</v>
      </c>
      <c r="E265" s="3" t="s">
        <v>105</v>
      </c>
      <c r="F265" s="3" t="s">
        <v>4372</v>
      </c>
      <c r="G265" s="3" t="s">
        <v>4373</v>
      </c>
      <c r="H265" s="3"/>
      <c r="I265" s="3" t="s">
        <v>51</v>
      </c>
      <c r="J265" s="6">
        <v>45117</v>
      </c>
      <c r="K265" s="6"/>
      <c r="L265" s="6">
        <v>45117</v>
      </c>
      <c r="M265" s="6">
        <v>45482</v>
      </c>
      <c r="N265" s="3" t="s">
        <v>52</v>
      </c>
      <c r="O265" s="3" t="s">
        <v>3858</v>
      </c>
      <c r="P265" s="7">
        <v>600</v>
      </c>
      <c r="Q265" s="7">
        <v>50</v>
      </c>
      <c r="R265" s="8">
        <v>600</v>
      </c>
      <c r="S265" s="7">
        <v>420</v>
      </c>
      <c r="T265" s="8">
        <v>600</v>
      </c>
      <c r="U265" s="3">
        <v>600</v>
      </c>
      <c r="V265" s="3" t="s">
        <v>54</v>
      </c>
      <c r="W265" s="3">
        <v>0</v>
      </c>
      <c r="X265" s="3" t="s">
        <v>93</v>
      </c>
      <c r="Y265" s="3" t="s">
        <v>93</v>
      </c>
      <c r="Z265" s="3" t="s">
        <v>131</v>
      </c>
      <c r="AA265" s="3" t="s">
        <v>4362</v>
      </c>
      <c r="AB265" s="9">
        <v>45482</v>
      </c>
      <c r="AC265" s="3" t="s">
        <v>131</v>
      </c>
      <c r="AD265" s="3"/>
    </row>
    <row r="266" spans="1:30" hidden="1">
      <c r="A266" s="3" t="s">
        <v>44</v>
      </c>
      <c r="B266" s="4">
        <v>45483</v>
      </c>
      <c r="C266" s="3" t="s">
        <v>103</v>
      </c>
      <c r="D266" s="3" t="s">
        <v>104</v>
      </c>
      <c r="E266" s="3" t="s">
        <v>105</v>
      </c>
      <c r="F266" s="3" t="s">
        <v>4374</v>
      </c>
      <c r="G266" s="3" t="s">
        <v>4375</v>
      </c>
      <c r="H266" s="3"/>
      <c r="I266" s="3" t="s">
        <v>51</v>
      </c>
      <c r="J266" s="6">
        <v>45118</v>
      </c>
      <c r="K266" s="6"/>
      <c r="L266" s="6">
        <v>45118</v>
      </c>
      <c r="M266" s="6">
        <v>45483</v>
      </c>
      <c r="N266" s="3" t="s">
        <v>52</v>
      </c>
      <c r="O266" s="3" t="s">
        <v>3858</v>
      </c>
      <c r="P266" s="7">
        <v>600</v>
      </c>
      <c r="Q266" s="7">
        <v>50</v>
      </c>
      <c r="R266" s="8">
        <v>600</v>
      </c>
      <c r="S266" s="7">
        <v>420</v>
      </c>
      <c r="T266" s="8">
        <v>600</v>
      </c>
      <c r="U266" s="3">
        <v>600</v>
      </c>
      <c r="V266" s="3" t="s">
        <v>54</v>
      </c>
      <c r="W266" s="3">
        <v>0</v>
      </c>
      <c r="X266" s="3" t="s">
        <v>93</v>
      </c>
      <c r="Y266" s="3" t="s">
        <v>93</v>
      </c>
      <c r="Z266" s="3" t="s">
        <v>131</v>
      </c>
      <c r="AA266" s="3" t="s">
        <v>4362</v>
      </c>
      <c r="AB266" s="9">
        <v>45483</v>
      </c>
      <c r="AC266" s="3" t="s">
        <v>131</v>
      </c>
      <c r="AD266" s="3"/>
    </row>
    <row r="267" spans="1:30">
      <c r="A267" s="3" t="s">
        <v>44</v>
      </c>
      <c r="B267" s="4">
        <v>45485</v>
      </c>
      <c r="C267" s="3" t="s">
        <v>103</v>
      </c>
      <c r="D267" s="3" t="s">
        <v>104</v>
      </c>
      <c r="E267" s="3" t="s">
        <v>105</v>
      </c>
      <c r="F267" s="3" t="s">
        <v>4376</v>
      </c>
      <c r="G267" s="3" t="s">
        <v>798</v>
      </c>
      <c r="H267" s="3"/>
      <c r="I267" s="3" t="s">
        <v>51</v>
      </c>
      <c r="J267" s="6">
        <v>43294</v>
      </c>
      <c r="K267" s="6"/>
      <c r="L267" s="6">
        <v>45120</v>
      </c>
      <c r="M267" s="6">
        <v>45485</v>
      </c>
      <c r="N267" s="3" t="s">
        <v>64</v>
      </c>
      <c r="O267" s="3" t="s">
        <v>3858</v>
      </c>
      <c r="P267" s="7">
        <v>600</v>
      </c>
      <c r="Q267" s="7">
        <v>50</v>
      </c>
      <c r="R267" s="8">
        <v>600</v>
      </c>
      <c r="S267" s="7">
        <v>600</v>
      </c>
      <c r="T267" s="8">
        <v>600</v>
      </c>
      <c r="U267" s="3">
        <v>600</v>
      </c>
      <c r="V267" s="3" t="s">
        <v>54</v>
      </c>
      <c r="W267" s="3">
        <v>0</v>
      </c>
      <c r="X267" s="3" t="s">
        <v>93</v>
      </c>
      <c r="Y267" s="3" t="s">
        <v>93</v>
      </c>
      <c r="Z267" s="3" t="s">
        <v>131</v>
      </c>
      <c r="AA267" s="3" t="s">
        <v>4362</v>
      </c>
      <c r="AB267" s="9">
        <v>45485</v>
      </c>
      <c r="AC267" s="3" t="s">
        <v>131</v>
      </c>
      <c r="AD267" s="3"/>
    </row>
    <row r="268" spans="1:30">
      <c r="A268" s="3" t="s">
        <v>44</v>
      </c>
      <c r="B268" s="4">
        <v>45491</v>
      </c>
      <c r="C268" s="3" t="s">
        <v>103</v>
      </c>
      <c r="D268" s="3" t="s">
        <v>104</v>
      </c>
      <c r="E268" s="3" t="s">
        <v>105</v>
      </c>
      <c r="F268" s="3" t="s">
        <v>4377</v>
      </c>
      <c r="G268" s="3" t="s">
        <v>4378</v>
      </c>
      <c r="H268" s="3"/>
      <c r="I268" s="3" t="s">
        <v>51</v>
      </c>
      <c r="J268" s="6">
        <v>44396</v>
      </c>
      <c r="K268" s="6"/>
      <c r="L268" s="6">
        <v>45126</v>
      </c>
      <c r="M268" s="6">
        <v>45491</v>
      </c>
      <c r="N268" s="3" t="s">
        <v>64</v>
      </c>
      <c r="O268" s="3" t="s">
        <v>3858</v>
      </c>
      <c r="P268" s="7">
        <v>600</v>
      </c>
      <c r="Q268" s="7">
        <v>50</v>
      </c>
      <c r="R268" s="8">
        <v>600</v>
      </c>
      <c r="S268" s="7">
        <v>480</v>
      </c>
      <c r="T268" s="8">
        <v>420</v>
      </c>
      <c r="U268" s="3">
        <v>600</v>
      </c>
      <c r="V268" s="3" t="s">
        <v>250</v>
      </c>
      <c r="W268" s="3">
        <v>0</v>
      </c>
      <c r="X268" s="3" t="s">
        <v>93</v>
      </c>
      <c r="Y268" s="3" t="s">
        <v>93</v>
      </c>
      <c r="Z268" s="3" t="s">
        <v>131</v>
      </c>
      <c r="AA268" s="3" t="s">
        <v>4362</v>
      </c>
      <c r="AB268" s="9">
        <v>45491</v>
      </c>
      <c r="AC268" s="3" t="s">
        <v>131</v>
      </c>
      <c r="AD268" s="3"/>
    </row>
    <row r="269" spans="1:30" hidden="1">
      <c r="A269" s="3" t="s">
        <v>44</v>
      </c>
      <c r="B269" s="4">
        <v>45494</v>
      </c>
      <c r="C269" s="3" t="s">
        <v>103</v>
      </c>
      <c r="D269" s="3" t="s">
        <v>104</v>
      </c>
      <c r="E269" s="3" t="s">
        <v>105</v>
      </c>
      <c r="F269" s="3" t="s">
        <v>4379</v>
      </c>
      <c r="G269" s="3" t="s">
        <v>4380</v>
      </c>
      <c r="H269" s="3"/>
      <c r="I269" s="3" t="s">
        <v>51</v>
      </c>
      <c r="J269" s="6">
        <v>45129</v>
      </c>
      <c r="K269" s="6"/>
      <c r="L269" s="6">
        <v>45129</v>
      </c>
      <c r="M269" s="6">
        <v>45494</v>
      </c>
      <c r="N269" s="3" t="s">
        <v>52</v>
      </c>
      <c r="O269" s="3" t="s">
        <v>3858</v>
      </c>
      <c r="P269" s="7">
        <v>600</v>
      </c>
      <c r="Q269" s="7">
        <v>50</v>
      </c>
      <c r="R269" s="8">
        <v>600</v>
      </c>
      <c r="S269" s="7">
        <v>600</v>
      </c>
      <c r="T269" s="8">
        <v>250</v>
      </c>
      <c r="U269" s="3">
        <v>600</v>
      </c>
      <c r="V269" s="3" t="s">
        <v>54</v>
      </c>
      <c r="W269" s="3">
        <v>0</v>
      </c>
      <c r="X269" s="3" t="s">
        <v>93</v>
      </c>
      <c r="Y269" s="3" t="s">
        <v>93</v>
      </c>
      <c r="Z269" s="3" t="s">
        <v>131</v>
      </c>
      <c r="AA269" s="3" t="s">
        <v>4362</v>
      </c>
      <c r="AB269" s="9">
        <v>45494</v>
      </c>
      <c r="AC269" s="3" t="s">
        <v>131</v>
      </c>
      <c r="AD269" s="3"/>
    </row>
    <row r="270" spans="1:30" hidden="1">
      <c r="A270" s="3" t="s">
        <v>44</v>
      </c>
      <c r="B270" s="4">
        <v>45494</v>
      </c>
      <c r="C270" s="3" t="s">
        <v>103</v>
      </c>
      <c r="D270" s="3" t="s">
        <v>104</v>
      </c>
      <c r="E270" s="3" t="s">
        <v>105</v>
      </c>
      <c r="F270" s="3" t="s">
        <v>4381</v>
      </c>
      <c r="G270" s="3" t="s">
        <v>4382</v>
      </c>
      <c r="H270" s="3"/>
      <c r="I270" s="3" t="s">
        <v>51</v>
      </c>
      <c r="J270" s="6">
        <v>45129</v>
      </c>
      <c r="K270" s="6"/>
      <c r="L270" s="6">
        <v>45129</v>
      </c>
      <c r="M270" s="6">
        <v>45494</v>
      </c>
      <c r="N270" s="3" t="s">
        <v>52</v>
      </c>
      <c r="O270" s="3" t="s">
        <v>3858</v>
      </c>
      <c r="P270" s="7">
        <v>600</v>
      </c>
      <c r="Q270" s="7">
        <v>50</v>
      </c>
      <c r="R270" s="8">
        <v>600</v>
      </c>
      <c r="S270" s="7">
        <v>600</v>
      </c>
      <c r="T270" s="8">
        <v>250</v>
      </c>
      <c r="U270" s="3">
        <v>600</v>
      </c>
      <c r="V270" s="3" t="s">
        <v>54</v>
      </c>
      <c r="W270" s="3">
        <v>0</v>
      </c>
      <c r="X270" s="3" t="s">
        <v>93</v>
      </c>
      <c r="Y270" s="3" t="s">
        <v>93</v>
      </c>
      <c r="Z270" s="3" t="s">
        <v>131</v>
      </c>
      <c r="AA270" s="3" t="s">
        <v>4362</v>
      </c>
      <c r="AB270" s="9">
        <v>45494</v>
      </c>
      <c r="AC270" s="3" t="s">
        <v>131</v>
      </c>
      <c r="AD270" s="3"/>
    </row>
    <row r="271" spans="1:30" hidden="1">
      <c r="A271" s="3" t="s">
        <v>44</v>
      </c>
      <c r="B271" s="4">
        <v>45496</v>
      </c>
      <c r="C271" s="3" t="s">
        <v>103</v>
      </c>
      <c r="D271" s="3" t="s">
        <v>104</v>
      </c>
      <c r="E271" s="3" t="s">
        <v>105</v>
      </c>
      <c r="F271" s="3" t="s">
        <v>4383</v>
      </c>
      <c r="G271" s="3" t="s">
        <v>4384</v>
      </c>
      <c r="H271" s="3"/>
      <c r="I271" s="3" t="s">
        <v>51</v>
      </c>
      <c r="J271" s="6">
        <v>45131</v>
      </c>
      <c r="K271" s="6"/>
      <c r="L271" s="6">
        <v>45131</v>
      </c>
      <c r="M271" s="6">
        <v>45496</v>
      </c>
      <c r="N271" s="3" t="s">
        <v>52</v>
      </c>
      <c r="O271" s="3" t="s">
        <v>3858</v>
      </c>
      <c r="P271" s="7">
        <v>600</v>
      </c>
      <c r="Q271" s="7">
        <v>50</v>
      </c>
      <c r="R271" s="8">
        <v>600</v>
      </c>
      <c r="S271" s="7">
        <v>420</v>
      </c>
      <c r="T271" s="8">
        <v>250</v>
      </c>
      <c r="U271" s="3">
        <v>600</v>
      </c>
      <c r="V271" s="3" t="s">
        <v>54</v>
      </c>
      <c r="W271" s="3">
        <v>0</v>
      </c>
      <c r="X271" s="3" t="s">
        <v>93</v>
      </c>
      <c r="Y271" s="3" t="s">
        <v>93</v>
      </c>
      <c r="Z271" s="3" t="s">
        <v>131</v>
      </c>
      <c r="AA271" s="3" t="s">
        <v>4362</v>
      </c>
      <c r="AB271" s="9">
        <v>45496</v>
      </c>
      <c r="AC271" s="3" t="s">
        <v>131</v>
      </c>
      <c r="AD271" s="3"/>
    </row>
    <row r="272" spans="1:30">
      <c r="A272" s="3" t="s">
        <v>44</v>
      </c>
      <c r="B272" s="4">
        <v>45498</v>
      </c>
      <c r="C272" s="3" t="s">
        <v>103</v>
      </c>
      <c r="D272" s="3" t="s">
        <v>104</v>
      </c>
      <c r="E272" s="3" t="s">
        <v>105</v>
      </c>
      <c r="F272" s="3" t="s">
        <v>4385</v>
      </c>
      <c r="G272" s="3" t="s">
        <v>4386</v>
      </c>
      <c r="H272" s="3"/>
      <c r="I272" s="3" t="s">
        <v>51</v>
      </c>
      <c r="J272" s="6">
        <v>43672</v>
      </c>
      <c r="K272" s="6"/>
      <c r="L272" s="6">
        <v>45133</v>
      </c>
      <c r="M272" s="6">
        <v>45498</v>
      </c>
      <c r="N272" s="3" t="s">
        <v>64</v>
      </c>
      <c r="O272" s="3" t="s">
        <v>3858</v>
      </c>
      <c r="P272" s="7">
        <v>600</v>
      </c>
      <c r="Q272" s="7">
        <v>50</v>
      </c>
      <c r="R272" s="8">
        <v>600</v>
      </c>
      <c r="S272" s="7">
        <v>420</v>
      </c>
      <c r="T272" s="8">
        <v>250</v>
      </c>
      <c r="U272" s="3">
        <v>600</v>
      </c>
      <c r="V272" s="3" t="s">
        <v>54</v>
      </c>
      <c r="W272" s="3">
        <v>0</v>
      </c>
      <c r="X272" s="3" t="s">
        <v>93</v>
      </c>
      <c r="Y272" s="3" t="s">
        <v>93</v>
      </c>
      <c r="Z272" s="3" t="s">
        <v>131</v>
      </c>
      <c r="AA272" s="3" t="s">
        <v>4362</v>
      </c>
      <c r="AB272" s="9">
        <v>45498</v>
      </c>
      <c r="AC272" s="3" t="s">
        <v>131</v>
      </c>
      <c r="AD272" s="3"/>
    </row>
    <row r="273" spans="1:30">
      <c r="A273" s="3" t="s">
        <v>44</v>
      </c>
      <c r="B273" s="4">
        <v>45508</v>
      </c>
      <c r="C273" s="3" t="s">
        <v>103</v>
      </c>
      <c r="D273" s="3" t="s">
        <v>104</v>
      </c>
      <c r="E273" s="3" t="s">
        <v>105</v>
      </c>
      <c r="F273" s="3" t="s">
        <v>4387</v>
      </c>
      <c r="G273" s="3" t="s">
        <v>4388</v>
      </c>
      <c r="H273" s="3"/>
      <c r="I273" s="3" t="s">
        <v>51</v>
      </c>
      <c r="J273" s="6">
        <v>44778</v>
      </c>
      <c r="K273" s="6"/>
      <c r="L273" s="6">
        <v>45143</v>
      </c>
      <c r="M273" s="6">
        <v>45508</v>
      </c>
      <c r="N273" s="3" t="s">
        <v>64</v>
      </c>
      <c r="O273" s="3" t="s">
        <v>3858</v>
      </c>
      <c r="P273" s="7">
        <v>600</v>
      </c>
      <c r="Q273" s="7">
        <v>50</v>
      </c>
      <c r="R273" s="8">
        <v>600</v>
      </c>
      <c r="S273" s="7">
        <v>300</v>
      </c>
      <c r="T273" s="8">
        <v>600</v>
      </c>
      <c r="U273" s="3">
        <v>600</v>
      </c>
      <c r="V273" s="3" t="s">
        <v>54</v>
      </c>
      <c r="W273" s="3">
        <v>0</v>
      </c>
      <c r="X273" s="3" t="s">
        <v>93</v>
      </c>
      <c r="Y273" s="3" t="s">
        <v>93</v>
      </c>
      <c r="Z273" s="3" t="s">
        <v>131</v>
      </c>
      <c r="AA273" s="3" t="s">
        <v>4362</v>
      </c>
      <c r="AB273" s="9">
        <v>45508</v>
      </c>
      <c r="AC273" s="3" t="s">
        <v>131</v>
      </c>
      <c r="AD273" s="3"/>
    </row>
    <row r="274" spans="1:30">
      <c r="A274" s="3" t="s">
        <v>44</v>
      </c>
      <c r="B274" s="4">
        <v>45508</v>
      </c>
      <c r="C274" s="3" t="s">
        <v>103</v>
      </c>
      <c r="D274" s="3" t="s">
        <v>104</v>
      </c>
      <c r="E274" s="3" t="s">
        <v>105</v>
      </c>
      <c r="F274" s="3" t="s">
        <v>4389</v>
      </c>
      <c r="G274" s="3" t="s">
        <v>4390</v>
      </c>
      <c r="H274" s="3"/>
      <c r="I274" s="3" t="s">
        <v>51</v>
      </c>
      <c r="J274" s="6">
        <v>44778</v>
      </c>
      <c r="K274" s="6"/>
      <c r="L274" s="6">
        <v>45143</v>
      </c>
      <c r="M274" s="6">
        <v>45508</v>
      </c>
      <c r="N274" s="3" t="s">
        <v>64</v>
      </c>
      <c r="O274" s="3" t="s">
        <v>3858</v>
      </c>
      <c r="P274" s="7">
        <v>600</v>
      </c>
      <c r="Q274" s="7">
        <v>50</v>
      </c>
      <c r="R274" s="8">
        <v>600</v>
      </c>
      <c r="S274" s="7">
        <v>300</v>
      </c>
      <c r="T274" s="8">
        <v>600</v>
      </c>
      <c r="U274" s="3">
        <v>600</v>
      </c>
      <c r="V274" s="3" t="s">
        <v>54</v>
      </c>
      <c r="W274" s="3">
        <v>0</v>
      </c>
      <c r="X274" s="3" t="s">
        <v>93</v>
      </c>
      <c r="Y274" s="3" t="s">
        <v>93</v>
      </c>
      <c r="Z274" s="3" t="s">
        <v>131</v>
      </c>
      <c r="AA274" s="3" t="s">
        <v>4362</v>
      </c>
      <c r="AB274" s="9">
        <v>45508</v>
      </c>
      <c r="AC274" s="3" t="s">
        <v>131</v>
      </c>
      <c r="AD274" s="3"/>
    </row>
    <row r="275" spans="1:30">
      <c r="A275" s="3" t="s">
        <v>44</v>
      </c>
      <c r="B275" s="4">
        <v>45509</v>
      </c>
      <c r="C275" s="3" t="s">
        <v>103</v>
      </c>
      <c r="D275" s="3" t="s">
        <v>104</v>
      </c>
      <c r="E275" s="3" t="s">
        <v>105</v>
      </c>
      <c r="F275" s="3" t="s">
        <v>4391</v>
      </c>
      <c r="G275" s="3" t="s">
        <v>354</v>
      </c>
      <c r="H275" s="3"/>
      <c r="I275" s="3" t="s">
        <v>51</v>
      </c>
      <c r="J275" s="6">
        <v>44049</v>
      </c>
      <c r="K275" s="6"/>
      <c r="L275" s="6">
        <v>45144</v>
      </c>
      <c r="M275" s="6">
        <v>45509</v>
      </c>
      <c r="N275" s="3" t="s">
        <v>64</v>
      </c>
      <c r="O275" s="3" t="s">
        <v>3858</v>
      </c>
      <c r="P275" s="7">
        <v>600</v>
      </c>
      <c r="Q275" s="7">
        <v>50</v>
      </c>
      <c r="R275" s="8">
        <v>600</v>
      </c>
      <c r="S275" s="7">
        <v>420</v>
      </c>
      <c r="T275" s="8">
        <v>420</v>
      </c>
      <c r="U275" s="3">
        <v>600</v>
      </c>
      <c r="V275" s="3" t="s">
        <v>54</v>
      </c>
      <c r="W275" s="3">
        <v>0</v>
      </c>
      <c r="X275" s="3" t="s">
        <v>93</v>
      </c>
      <c r="Y275" s="3" t="s">
        <v>93</v>
      </c>
      <c r="Z275" s="3" t="s">
        <v>131</v>
      </c>
      <c r="AA275" s="3" t="s">
        <v>4362</v>
      </c>
      <c r="AB275" s="9">
        <v>45509</v>
      </c>
      <c r="AC275" s="3" t="s">
        <v>131</v>
      </c>
      <c r="AD275" s="3"/>
    </row>
    <row r="276" spans="1:30">
      <c r="A276" s="3" t="s">
        <v>44</v>
      </c>
      <c r="B276" s="4">
        <v>45519</v>
      </c>
      <c r="C276" s="3" t="s">
        <v>103</v>
      </c>
      <c r="D276" s="3" t="s">
        <v>104</v>
      </c>
      <c r="E276" s="3" t="s">
        <v>105</v>
      </c>
      <c r="F276" s="3" t="s">
        <v>4392</v>
      </c>
      <c r="G276" s="3" t="s">
        <v>4393</v>
      </c>
      <c r="H276" s="3"/>
      <c r="I276" s="3" t="s">
        <v>51</v>
      </c>
      <c r="J276" s="6">
        <v>44789</v>
      </c>
      <c r="K276" s="6"/>
      <c r="L276" s="6">
        <v>45154</v>
      </c>
      <c r="M276" s="6">
        <v>45519</v>
      </c>
      <c r="N276" s="3" t="s">
        <v>64</v>
      </c>
      <c r="O276" s="3" t="s">
        <v>3858</v>
      </c>
      <c r="P276" s="7">
        <v>600</v>
      </c>
      <c r="Q276" s="7">
        <v>50</v>
      </c>
      <c r="R276" s="8">
        <v>600</v>
      </c>
      <c r="S276" s="7">
        <v>600</v>
      </c>
      <c r="T276" s="8">
        <v>420</v>
      </c>
      <c r="U276" s="3">
        <v>600</v>
      </c>
      <c r="V276" s="3" t="s">
        <v>54</v>
      </c>
      <c r="W276" s="3">
        <v>0</v>
      </c>
      <c r="X276" s="3" t="s">
        <v>93</v>
      </c>
      <c r="Y276" s="3" t="s">
        <v>93</v>
      </c>
      <c r="Z276" s="3" t="s">
        <v>131</v>
      </c>
      <c r="AA276" s="3" t="s">
        <v>4362</v>
      </c>
      <c r="AB276" s="9">
        <v>45519</v>
      </c>
      <c r="AC276" s="3" t="s">
        <v>131</v>
      </c>
      <c r="AD276" s="3"/>
    </row>
    <row r="277" spans="1:30">
      <c r="A277" s="3" t="s">
        <v>44</v>
      </c>
      <c r="B277" s="4">
        <v>45522</v>
      </c>
      <c r="C277" s="3" t="s">
        <v>103</v>
      </c>
      <c r="D277" s="3" t="s">
        <v>104</v>
      </c>
      <c r="E277" s="3" t="s">
        <v>105</v>
      </c>
      <c r="F277" s="3" t="s">
        <v>4394</v>
      </c>
      <c r="G277" s="3" t="s">
        <v>4395</v>
      </c>
      <c r="H277" s="3"/>
      <c r="I277" s="3" t="s">
        <v>51</v>
      </c>
      <c r="J277" s="6">
        <v>42966</v>
      </c>
      <c r="K277" s="6"/>
      <c r="L277" s="6">
        <v>45157</v>
      </c>
      <c r="M277" s="6">
        <v>45522</v>
      </c>
      <c r="N277" s="3" t="s">
        <v>64</v>
      </c>
      <c r="O277" s="3" t="s">
        <v>3858</v>
      </c>
      <c r="P277" s="7">
        <v>600</v>
      </c>
      <c r="Q277" s="7">
        <v>50</v>
      </c>
      <c r="R277" s="8">
        <v>600</v>
      </c>
      <c r="S277" s="7">
        <v>480</v>
      </c>
      <c r="T277" s="8">
        <v>420</v>
      </c>
      <c r="U277" s="3">
        <v>600</v>
      </c>
      <c r="V277" s="3" t="s">
        <v>54</v>
      </c>
      <c r="W277" s="3">
        <v>0</v>
      </c>
      <c r="X277" s="3" t="s">
        <v>93</v>
      </c>
      <c r="Y277" s="3" t="s">
        <v>93</v>
      </c>
      <c r="Z277" s="3" t="s">
        <v>131</v>
      </c>
      <c r="AA277" s="3" t="s">
        <v>4362</v>
      </c>
      <c r="AB277" s="9">
        <v>45522</v>
      </c>
      <c r="AC277" s="3" t="s">
        <v>131</v>
      </c>
      <c r="AD277" s="3"/>
    </row>
    <row r="278" spans="1:30">
      <c r="A278" s="3" t="s">
        <v>44</v>
      </c>
      <c r="B278" s="4">
        <v>45522</v>
      </c>
      <c r="C278" s="3" t="s">
        <v>103</v>
      </c>
      <c r="D278" s="3" t="s">
        <v>104</v>
      </c>
      <c r="E278" s="3" t="s">
        <v>105</v>
      </c>
      <c r="F278" s="3" t="s">
        <v>4396</v>
      </c>
      <c r="G278" s="3" t="s">
        <v>4397</v>
      </c>
      <c r="H278" s="3"/>
      <c r="I278" s="3" t="s">
        <v>51</v>
      </c>
      <c r="J278" s="6">
        <v>43321</v>
      </c>
      <c r="K278" s="6"/>
      <c r="L278" s="6">
        <v>45157</v>
      </c>
      <c r="M278" s="6">
        <v>45522</v>
      </c>
      <c r="N278" s="3" t="s">
        <v>64</v>
      </c>
      <c r="O278" s="3" t="s">
        <v>3858</v>
      </c>
      <c r="P278" s="7">
        <v>600</v>
      </c>
      <c r="Q278" s="7">
        <v>50</v>
      </c>
      <c r="R278" s="8">
        <v>600</v>
      </c>
      <c r="S278" s="7">
        <v>480</v>
      </c>
      <c r="T278" s="8">
        <v>420</v>
      </c>
      <c r="U278" s="3">
        <v>600</v>
      </c>
      <c r="V278" s="3" t="s">
        <v>250</v>
      </c>
      <c r="W278" s="3">
        <v>0</v>
      </c>
      <c r="X278" s="3" t="s">
        <v>93</v>
      </c>
      <c r="Y278" s="3" t="s">
        <v>93</v>
      </c>
      <c r="Z278" s="3" t="s">
        <v>131</v>
      </c>
      <c r="AA278" s="3" t="s">
        <v>4362</v>
      </c>
      <c r="AB278" s="9">
        <v>45522</v>
      </c>
      <c r="AC278" s="3" t="s">
        <v>131</v>
      </c>
      <c r="AD278" s="3"/>
    </row>
    <row r="279" spans="1:30" hidden="1">
      <c r="A279" s="3" t="s">
        <v>44</v>
      </c>
      <c r="B279" s="4">
        <v>45526</v>
      </c>
      <c r="C279" s="3" t="s">
        <v>103</v>
      </c>
      <c r="D279" s="3" t="s">
        <v>104</v>
      </c>
      <c r="E279" s="3" t="s">
        <v>105</v>
      </c>
      <c r="F279" s="3" t="s">
        <v>4398</v>
      </c>
      <c r="G279" s="3" t="s">
        <v>4399</v>
      </c>
      <c r="H279" s="3"/>
      <c r="I279" s="3" t="s">
        <v>51</v>
      </c>
      <c r="J279" s="6">
        <v>45161</v>
      </c>
      <c r="K279" s="6"/>
      <c r="L279" s="6">
        <v>45161</v>
      </c>
      <c r="M279" s="6">
        <v>45526</v>
      </c>
      <c r="N279" s="3" t="s">
        <v>52</v>
      </c>
      <c r="O279" s="3" t="s">
        <v>3858</v>
      </c>
      <c r="P279" s="7">
        <v>600</v>
      </c>
      <c r="Q279" s="7">
        <v>50</v>
      </c>
      <c r="R279" s="8">
        <v>600</v>
      </c>
      <c r="S279" s="7">
        <v>420</v>
      </c>
      <c r="T279" s="8">
        <v>420</v>
      </c>
      <c r="U279" s="3">
        <v>600</v>
      </c>
      <c r="V279" s="3" t="s">
        <v>54</v>
      </c>
      <c r="W279" s="3">
        <v>0</v>
      </c>
      <c r="X279" s="3" t="s">
        <v>93</v>
      </c>
      <c r="Y279" s="3" t="s">
        <v>93</v>
      </c>
      <c r="Z279" s="3" t="s">
        <v>131</v>
      </c>
      <c r="AA279" s="3" t="s">
        <v>4362</v>
      </c>
      <c r="AB279" s="9">
        <v>45526</v>
      </c>
      <c r="AC279" s="3" t="s">
        <v>131</v>
      </c>
      <c r="AD279" s="3"/>
    </row>
    <row r="280" spans="1:30" hidden="1">
      <c r="A280" s="3" t="s">
        <v>44</v>
      </c>
      <c r="B280" s="4">
        <v>45528</v>
      </c>
      <c r="C280" s="3" t="s">
        <v>103</v>
      </c>
      <c r="D280" s="3" t="s">
        <v>104</v>
      </c>
      <c r="E280" s="3" t="s">
        <v>105</v>
      </c>
      <c r="F280" s="3" t="s">
        <v>4400</v>
      </c>
      <c r="G280" s="3" t="s">
        <v>4401</v>
      </c>
      <c r="H280" s="3"/>
      <c r="I280" s="3" t="s">
        <v>51</v>
      </c>
      <c r="J280" s="6">
        <v>45163</v>
      </c>
      <c r="K280" s="6"/>
      <c r="L280" s="6">
        <v>45163</v>
      </c>
      <c r="M280" s="6">
        <v>45528</v>
      </c>
      <c r="N280" s="3" t="s">
        <v>52</v>
      </c>
      <c r="O280" s="3" t="s">
        <v>3858</v>
      </c>
      <c r="P280" s="7">
        <v>600</v>
      </c>
      <c r="Q280" s="7">
        <v>50</v>
      </c>
      <c r="R280" s="8">
        <v>600</v>
      </c>
      <c r="S280" s="7">
        <v>600</v>
      </c>
      <c r="T280" s="8">
        <v>600</v>
      </c>
      <c r="U280" s="3">
        <v>600</v>
      </c>
      <c r="V280" s="3" t="s">
        <v>54</v>
      </c>
      <c r="W280" s="3">
        <v>0</v>
      </c>
      <c r="X280" s="3" t="s">
        <v>93</v>
      </c>
      <c r="Y280" s="3" t="s">
        <v>93</v>
      </c>
      <c r="Z280" s="3" t="s">
        <v>131</v>
      </c>
      <c r="AA280" s="3" t="s">
        <v>4362</v>
      </c>
      <c r="AB280" s="9">
        <v>45528</v>
      </c>
      <c r="AC280" s="3" t="s">
        <v>131</v>
      </c>
      <c r="AD280" s="3"/>
    </row>
    <row r="281" spans="1:30" hidden="1">
      <c r="A281" s="3" t="s">
        <v>44</v>
      </c>
      <c r="B281" s="4">
        <v>45533</v>
      </c>
      <c r="C281" s="3" t="s">
        <v>103</v>
      </c>
      <c r="D281" s="3" t="s">
        <v>104</v>
      </c>
      <c r="E281" s="3" t="s">
        <v>105</v>
      </c>
      <c r="F281" s="3" t="s">
        <v>4402</v>
      </c>
      <c r="G281" s="3" t="s">
        <v>4403</v>
      </c>
      <c r="H281" s="3"/>
      <c r="I281" s="3" t="s">
        <v>51</v>
      </c>
      <c r="J281" s="6">
        <v>45168</v>
      </c>
      <c r="K281" s="6"/>
      <c r="L281" s="6">
        <v>45168</v>
      </c>
      <c r="M281" s="6">
        <v>45533</v>
      </c>
      <c r="N281" s="3" t="s">
        <v>52</v>
      </c>
      <c r="O281" s="3" t="s">
        <v>3858</v>
      </c>
      <c r="P281" s="7">
        <v>600</v>
      </c>
      <c r="Q281" s="7">
        <v>50</v>
      </c>
      <c r="R281" s="8">
        <v>600</v>
      </c>
      <c r="S281" s="7">
        <v>420</v>
      </c>
      <c r="T281" s="8">
        <v>360</v>
      </c>
      <c r="U281" s="3">
        <v>600</v>
      </c>
      <c r="V281" s="3" t="s">
        <v>54</v>
      </c>
      <c r="W281" s="3">
        <v>0</v>
      </c>
      <c r="X281" s="3" t="s">
        <v>93</v>
      </c>
      <c r="Y281" s="3" t="s">
        <v>93</v>
      </c>
      <c r="Z281" s="3" t="s">
        <v>131</v>
      </c>
      <c r="AA281" s="3" t="s">
        <v>4362</v>
      </c>
      <c r="AB281" s="9">
        <v>45533</v>
      </c>
      <c r="AC281" s="3" t="s">
        <v>131</v>
      </c>
      <c r="AD281" s="3"/>
    </row>
    <row r="282" spans="1:30">
      <c r="A282" s="3" t="s">
        <v>44</v>
      </c>
      <c r="B282" s="4">
        <v>45535</v>
      </c>
      <c r="C282" s="3" t="s">
        <v>103</v>
      </c>
      <c r="D282" s="3" t="s">
        <v>104</v>
      </c>
      <c r="E282" s="3" t="s">
        <v>105</v>
      </c>
      <c r="F282" s="3" t="s">
        <v>4404</v>
      </c>
      <c r="G282" s="3" t="s">
        <v>4405</v>
      </c>
      <c r="H282" s="3"/>
      <c r="I282" s="3" t="s">
        <v>51</v>
      </c>
      <c r="J282" s="6">
        <v>42168</v>
      </c>
      <c r="K282" s="6"/>
      <c r="L282" s="6">
        <v>45170</v>
      </c>
      <c r="M282" s="6">
        <v>45535</v>
      </c>
      <c r="N282" s="3" t="s">
        <v>64</v>
      </c>
      <c r="O282" s="3" t="s">
        <v>3858</v>
      </c>
      <c r="P282" s="7">
        <v>600</v>
      </c>
      <c r="Q282" s="7">
        <v>50</v>
      </c>
      <c r="R282" s="8">
        <v>600</v>
      </c>
      <c r="S282" s="7">
        <v>480</v>
      </c>
      <c r="T282" s="8">
        <v>420</v>
      </c>
      <c r="U282" s="3">
        <v>600</v>
      </c>
      <c r="V282" s="3" t="s">
        <v>250</v>
      </c>
      <c r="W282" s="3">
        <v>0</v>
      </c>
      <c r="X282" s="3" t="s">
        <v>93</v>
      </c>
      <c r="Y282" s="3" t="s">
        <v>93</v>
      </c>
      <c r="Z282" s="3" t="s">
        <v>131</v>
      </c>
      <c r="AA282" s="3" t="s">
        <v>4362</v>
      </c>
      <c r="AB282" s="9">
        <v>45535</v>
      </c>
      <c r="AC282" s="3" t="s">
        <v>131</v>
      </c>
      <c r="AD282" s="3"/>
    </row>
    <row r="283" spans="1:30">
      <c r="A283" s="3" t="s">
        <v>44</v>
      </c>
      <c r="B283" s="4">
        <v>45478</v>
      </c>
      <c r="C283" s="3" t="s">
        <v>103</v>
      </c>
      <c r="D283" s="3" t="s">
        <v>656</v>
      </c>
      <c r="E283" s="3" t="s">
        <v>657</v>
      </c>
      <c r="F283" s="3" t="s">
        <v>4406</v>
      </c>
      <c r="G283" s="3" t="s">
        <v>4407</v>
      </c>
      <c r="H283" s="3"/>
      <c r="I283" s="3" t="s">
        <v>51</v>
      </c>
      <c r="J283" s="6">
        <v>44748</v>
      </c>
      <c r="K283" s="6"/>
      <c r="L283" s="6">
        <v>45113</v>
      </c>
      <c r="M283" s="6">
        <v>45478</v>
      </c>
      <c r="N283" s="3" t="s">
        <v>64</v>
      </c>
      <c r="O283" s="3" t="s">
        <v>3858</v>
      </c>
      <c r="P283" s="7">
        <v>600</v>
      </c>
      <c r="Q283" s="7">
        <v>50</v>
      </c>
      <c r="R283" s="8">
        <v>600</v>
      </c>
      <c r="S283" s="7">
        <v>600</v>
      </c>
      <c r="T283" s="8">
        <v>600</v>
      </c>
      <c r="U283" s="3">
        <v>600</v>
      </c>
      <c r="V283" s="3" t="s">
        <v>54</v>
      </c>
      <c r="W283" s="3">
        <v>0</v>
      </c>
      <c r="X283" s="3" t="s">
        <v>93</v>
      </c>
      <c r="Y283" s="3" t="s">
        <v>93</v>
      </c>
      <c r="Z283" s="3" t="s">
        <v>131</v>
      </c>
      <c r="AA283" s="3" t="s">
        <v>4408</v>
      </c>
      <c r="AB283" s="9">
        <v>45478</v>
      </c>
      <c r="AC283" s="3" t="s">
        <v>4409</v>
      </c>
      <c r="AD283" s="3"/>
    </row>
    <row r="284" spans="1:30">
      <c r="A284" s="3" t="s">
        <v>44</v>
      </c>
      <c r="B284" s="4">
        <v>45484</v>
      </c>
      <c r="C284" s="3" t="s">
        <v>103</v>
      </c>
      <c r="D284" s="3" t="s">
        <v>656</v>
      </c>
      <c r="E284" s="3" t="s">
        <v>657</v>
      </c>
      <c r="F284" s="3" t="s">
        <v>4410</v>
      </c>
      <c r="G284" s="3" t="s">
        <v>4411</v>
      </c>
      <c r="H284" s="3"/>
      <c r="I284" s="3" t="s">
        <v>51</v>
      </c>
      <c r="J284" s="6">
        <v>44754</v>
      </c>
      <c r="K284" s="6"/>
      <c r="L284" s="6">
        <v>45119</v>
      </c>
      <c r="M284" s="6">
        <v>45484</v>
      </c>
      <c r="N284" s="3" t="s">
        <v>64</v>
      </c>
      <c r="O284" s="3" t="s">
        <v>3858</v>
      </c>
      <c r="P284" s="7">
        <v>600</v>
      </c>
      <c r="Q284" s="7">
        <v>50</v>
      </c>
      <c r="R284" s="8">
        <v>600</v>
      </c>
      <c r="S284" s="7">
        <v>600</v>
      </c>
      <c r="T284" s="8">
        <v>600</v>
      </c>
      <c r="U284" s="3">
        <v>600</v>
      </c>
      <c r="V284" s="3" t="s">
        <v>54</v>
      </c>
      <c r="W284" s="3">
        <v>0</v>
      </c>
      <c r="X284" s="3" t="s">
        <v>93</v>
      </c>
      <c r="Y284" s="3" t="s">
        <v>93</v>
      </c>
      <c r="Z284" s="3" t="s">
        <v>131</v>
      </c>
      <c r="AA284" s="3" t="s">
        <v>4408</v>
      </c>
      <c r="AB284" s="9">
        <v>45484</v>
      </c>
      <c r="AC284" s="5" t="s">
        <v>4409</v>
      </c>
      <c r="AD284" s="3"/>
    </row>
    <row r="285" spans="1:30" hidden="1">
      <c r="A285" s="3" t="s">
        <v>44</v>
      </c>
      <c r="B285" s="4">
        <v>45487</v>
      </c>
      <c r="C285" s="3" t="s">
        <v>103</v>
      </c>
      <c r="D285" s="3" t="s">
        <v>656</v>
      </c>
      <c r="E285" s="3" t="s">
        <v>657</v>
      </c>
      <c r="F285" s="3" t="s">
        <v>4412</v>
      </c>
      <c r="G285" s="3" t="s">
        <v>4413</v>
      </c>
      <c r="H285" s="3"/>
      <c r="I285" s="3" t="s">
        <v>51</v>
      </c>
      <c r="J285" s="6">
        <v>45124</v>
      </c>
      <c r="K285" s="6"/>
      <c r="L285" s="6">
        <v>45122</v>
      </c>
      <c r="M285" s="6">
        <v>45487</v>
      </c>
      <c r="N285" s="3" t="s">
        <v>52</v>
      </c>
      <c r="O285" s="3" t="s">
        <v>3858</v>
      </c>
      <c r="P285" s="7">
        <v>600</v>
      </c>
      <c r="Q285" s="7">
        <v>50</v>
      </c>
      <c r="R285" s="8">
        <v>600</v>
      </c>
      <c r="S285" s="7">
        <v>600</v>
      </c>
      <c r="T285" s="8">
        <v>600</v>
      </c>
      <c r="U285" s="3">
        <v>600</v>
      </c>
      <c r="V285" s="3" t="s">
        <v>54</v>
      </c>
      <c r="W285" s="3">
        <v>0</v>
      </c>
      <c r="X285" s="3" t="s">
        <v>93</v>
      </c>
      <c r="Y285" s="3" t="s">
        <v>93</v>
      </c>
      <c r="Z285" s="3" t="s">
        <v>131</v>
      </c>
      <c r="AA285" s="3" t="s">
        <v>4408</v>
      </c>
      <c r="AB285" s="9">
        <v>45487</v>
      </c>
      <c r="AC285" s="3" t="s">
        <v>4409</v>
      </c>
      <c r="AD285" s="3"/>
    </row>
    <row r="286" spans="1:30">
      <c r="A286" s="3" t="s">
        <v>44</v>
      </c>
      <c r="B286" s="4">
        <v>45488</v>
      </c>
      <c r="C286" s="3" t="s">
        <v>103</v>
      </c>
      <c r="D286" s="3" t="s">
        <v>656</v>
      </c>
      <c r="E286" s="3" t="s">
        <v>657</v>
      </c>
      <c r="F286" s="3" t="s">
        <v>4414</v>
      </c>
      <c r="G286" s="3" t="s">
        <v>704</v>
      </c>
      <c r="H286" s="3"/>
      <c r="I286" s="3" t="s">
        <v>51</v>
      </c>
      <c r="J286" s="6">
        <v>44758</v>
      </c>
      <c r="K286" s="6"/>
      <c r="L286" s="6">
        <v>45123</v>
      </c>
      <c r="M286" s="6">
        <v>45488</v>
      </c>
      <c r="N286" s="3" t="s">
        <v>64</v>
      </c>
      <c r="O286" s="3" t="s">
        <v>3858</v>
      </c>
      <c r="P286" s="7">
        <v>600</v>
      </c>
      <c r="Q286" s="7">
        <v>50</v>
      </c>
      <c r="R286" s="8">
        <v>600</v>
      </c>
      <c r="S286" s="7">
        <v>300</v>
      </c>
      <c r="T286" s="8">
        <v>300</v>
      </c>
      <c r="U286" s="3">
        <v>600</v>
      </c>
      <c r="V286" s="3" t="s">
        <v>54</v>
      </c>
      <c r="W286" s="3">
        <v>0</v>
      </c>
      <c r="X286" s="3" t="s">
        <v>93</v>
      </c>
      <c r="Y286" s="3" t="s">
        <v>93</v>
      </c>
      <c r="Z286" s="3" t="s">
        <v>131</v>
      </c>
      <c r="AA286" s="3" t="s">
        <v>4408</v>
      </c>
      <c r="AB286" s="9">
        <v>45488</v>
      </c>
      <c r="AC286" s="3" t="s">
        <v>4415</v>
      </c>
      <c r="AD286" s="3"/>
    </row>
    <row r="287" spans="1:30">
      <c r="A287" s="3" t="s">
        <v>44</v>
      </c>
      <c r="B287" s="4">
        <v>45491</v>
      </c>
      <c r="C287" s="3" t="s">
        <v>103</v>
      </c>
      <c r="D287" s="3" t="s">
        <v>656</v>
      </c>
      <c r="E287" s="3" t="s">
        <v>657</v>
      </c>
      <c r="F287" s="3" t="s">
        <v>4416</v>
      </c>
      <c r="G287" s="3" t="s">
        <v>829</v>
      </c>
      <c r="H287" s="3"/>
      <c r="I287" s="3" t="s">
        <v>51</v>
      </c>
      <c r="J287" s="6">
        <v>44396</v>
      </c>
      <c r="K287" s="6"/>
      <c r="L287" s="6">
        <v>45126</v>
      </c>
      <c r="M287" s="6">
        <v>45491</v>
      </c>
      <c r="N287" s="3" t="s">
        <v>64</v>
      </c>
      <c r="O287" s="3" t="s">
        <v>3858</v>
      </c>
      <c r="P287" s="7">
        <v>600</v>
      </c>
      <c r="Q287" s="7">
        <v>50</v>
      </c>
      <c r="R287" s="8">
        <v>600</v>
      </c>
      <c r="S287" s="7">
        <v>300</v>
      </c>
      <c r="T287" s="8">
        <v>300</v>
      </c>
      <c r="U287" s="3">
        <v>600</v>
      </c>
      <c r="V287" s="3" t="s">
        <v>54</v>
      </c>
      <c r="W287" s="3">
        <v>0</v>
      </c>
      <c r="X287" s="3" t="s">
        <v>93</v>
      </c>
      <c r="Y287" s="3" t="s">
        <v>93</v>
      </c>
      <c r="Z287" s="3" t="s">
        <v>131</v>
      </c>
      <c r="AA287" s="3" t="s">
        <v>4408</v>
      </c>
      <c r="AB287" s="9">
        <v>45491</v>
      </c>
      <c r="AC287" s="3" t="s">
        <v>4415</v>
      </c>
      <c r="AD287" s="3"/>
    </row>
    <row r="288" spans="1:30">
      <c r="A288" s="3" t="s">
        <v>44</v>
      </c>
      <c r="B288" s="4">
        <v>45491</v>
      </c>
      <c r="C288" s="3" t="s">
        <v>103</v>
      </c>
      <c r="D288" s="3" t="s">
        <v>656</v>
      </c>
      <c r="E288" s="3" t="s">
        <v>657</v>
      </c>
      <c r="F288" s="3" t="s">
        <v>4417</v>
      </c>
      <c r="G288" s="3" t="s">
        <v>4418</v>
      </c>
      <c r="H288" s="3"/>
      <c r="I288" s="3" t="s">
        <v>51</v>
      </c>
      <c r="J288" s="6">
        <v>44580</v>
      </c>
      <c r="K288" s="6"/>
      <c r="L288" s="6">
        <v>45126</v>
      </c>
      <c r="M288" s="6">
        <v>45491</v>
      </c>
      <c r="N288" s="3" t="s">
        <v>64</v>
      </c>
      <c r="O288" s="3" t="s">
        <v>3858</v>
      </c>
      <c r="P288" s="7">
        <v>600</v>
      </c>
      <c r="Q288" s="7">
        <v>50</v>
      </c>
      <c r="R288" s="8">
        <v>600</v>
      </c>
      <c r="S288" s="7">
        <v>600</v>
      </c>
      <c r="T288" s="8">
        <v>600</v>
      </c>
      <c r="U288" s="3">
        <v>600</v>
      </c>
      <c r="V288" s="3" t="s">
        <v>54</v>
      </c>
      <c r="W288" s="3">
        <v>0</v>
      </c>
      <c r="X288" s="3" t="s">
        <v>93</v>
      </c>
      <c r="Y288" s="3" t="s">
        <v>93</v>
      </c>
      <c r="Z288" s="3" t="s">
        <v>131</v>
      </c>
      <c r="AA288" s="3" t="s">
        <v>4408</v>
      </c>
      <c r="AB288" s="9">
        <v>45491</v>
      </c>
      <c r="AC288" s="3" t="s">
        <v>4409</v>
      </c>
      <c r="AD288" s="3"/>
    </row>
    <row r="289" spans="1:30">
      <c r="A289" s="3" t="s">
        <v>44</v>
      </c>
      <c r="B289" s="4">
        <v>45493</v>
      </c>
      <c r="C289" s="3" t="s">
        <v>103</v>
      </c>
      <c r="D289" s="3" t="s">
        <v>656</v>
      </c>
      <c r="E289" s="3" t="s">
        <v>657</v>
      </c>
      <c r="F289" s="3" t="s">
        <v>4419</v>
      </c>
      <c r="G289" s="3" t="s">
        <v>2135</v>
      </c>
      <c r="H289" s="3"/>
      <c r="I289" s="3" t="s">
        <v>51</v>
      </c>
      <c r="J289" s="6">
        <v>44095</v>
      </c>
      <c r="K289" s="6"/>
      <c r="L289" s="6">
        <v>45128</v>
      </c>
      <c r="M289" s="6">
        <v>45493</v>
      </c>
      <c r="N289" s="3" t="s">
        <v>64</v>
      </c>
      <c r="O289" s="3" t="s">
        <v>3858</v>
      </c>
      <c r="P289" s="7">
        <v>600</v>
      </c>
      <c r="Q289" s="7">
        <v>50</v>
      </c>
      <c r="R289" s="8">
        <v>600</v>
      </c>
      <c r="S289" s="7">
        <v>540</v>
      </c>
      <c r="T289" s="8">
        <v>540</v>
      </c>
      <c r="U289" s="3">
        <v>600</v>
      </c>
      <c r="V289" s="3" t="s">
        <v>54</v>
      </c>
      <c r="W289" s="3">
        <v>0</v>
      </c>
      <c r="X289" s="3" t="s">
        <v>93</v>
      </c>
      <c r="Y289" s="3" t="s">
        <v>93</v>
      </c>
      <c r="Z289" s="3" t="s">
        <v>131</v>
      </c>
      <c r="AA289" s="3" t="s">
        <v>4408</v>
      </c>
      <c r="AB289" s="9">
        <v>45493</v>
      </c>
      <c r="AC289" s="3" t="s">
        <v>4409</v>
      </c>
      <c r="AD289" s="3"/>
    </row>
    <row r="290" spans="1:30" hidden="1">
      <c r="A290" s="3" t="s">
        <v>44</v>
      </c>
      <c r="B290" s="4">
        <v>45496</v>
      </c>
      <c r="C290" s="3" t="s">
        <v>103</v>
      </c>
      <c r="D290" s="3" t="s">
        <v>656</v>
      </c>
      <c r="E290" s="3" t="s">
        <v>657</v>
      </c>
      <c r="F290" s="3" t="s">
        <v>4420</v>
      </c>
      <c r="G290" s="3" t="s">
        <v>4421</v>
      </c>
      <c r="H290" s="3"/>
      <c r="I290" s="3" t="s">
        <v>51</v>
      </c>
      <c r="J290" s="6">
        <v>45131</v>
      </c>
      <c r="K290" s="6"/>
      <c r="L290" s="6">
        <v>45131</v>
      </c>
      <c r="M290" s="6">
        <v>45496</v>
      </c>
      <c r="N290" s="3" t="s">
        <v>52</v>
      </c>
      <c r="O290" s="3" t="s">
        <v>3858</v>
      </c>
      <c r="P290" s="7">
        <v>600</v>
      </c>
      <c r="Q290" s="7">
        <v>50</v>
      </c>
      <c r="R290" s="8">
        <v>600</v>
      </c>
      <c r="S290" s="7">
        <v>1200</v>
      </c>
      <c r="T290" s="8">
        <v>250</v>
      </c>
      <c r="U290" s="3">
        <v>600</v>
      </c>
      <c r="V290" s="3" t="s">
        <v>54</v>
      </c>
      <c r="W290" s="3">
        <v>0</v>
      </c>
      <c r="X290" s="3" t="s">
        <v>93</v>
      </c>
      <c r="Y290" s="3" t="s">
        <v>93</v>
      </c>
      <c r="Z290" s="3" t="s">
        <v>131</v>
      </c>
      <c r="AA290" s="3" t="s">
        <v>4408</v>
      </c>
      <c r="AB290" s="9">
        <v>45496</v>
      </c>
      <c r="AC290" s="3" t="s">
        <v>4422</v>
      </c>
      <c r="AD290" s="3"/>
    </row>
    <row r="291" spans="1:30">
      <c r="A291" s="3" t="s">
        <v>44</v>
      </c>
      <c r="B291" s="4">
        <v>45509</v>
      </c>
      <c r="C291" s="3" t="s">
        <v>103</v>
      </c>
      <c r="D291" s="3" t="s">
        <v>656</v>
      </c>
      <c r="E291" s="3" t="s">
        <v>657</v>
      </c>
      <c r="F291" s="3" t="s">
        <v>4423</v>
      </c>
      <c r="G291" s="3" t="s">
        <v>669</v>
      </c>
      <c r="H291" s="3"/>
      <c r="I291" s="3" t="s">
        <v>51</v>
      </c>
      <c r="J291" s="6">
        <v>44779</v>
      </c>
      <c r="K291" s="6"/>
      <c r="L291" s="6">
        <v>45144</v>
      </c>
      <c r="M291" s="6">
        <v>45509</v>
      </c>
      <c r="N291" s="3" t="s">
        <v>64</v>
      </c>
      <c r="O291" s="3" t="s">
        <v>3858</v>
      </c>
      <c r="P291" s="7">
        <v>600</v>
      </c>
      <c r="Q291" s="7">
        <v>50</v>
      </c>
      <c r="R291" s="8">
        <v>600</v>
      </c>
      <c r="S291" s="7">
        <v>900</v>
      </c>
      <c r="T291" s="8">
        <v>600</v>
      </c>
      <c r="U291" s="3">
        <v>600</v>
      </c>
      <c r="V291" s="3" t="s">
        <v>54</v>
      </c>
      <c r="W291" s="3">
        <v>0</v>
      </c>
      <c r="X291" s="3" t="s">
        <v>93</v>
      </c>
      <c r="Y291" s="3" t="s">
        <v>93</v>
      </c>
      <c r="Z291" s="3" t="s">
        <v>131</v>
      </c>
      <c r="AA291" s="3" t="s">
        <v>4408</v>
      </c>
      <c r="AB291" s="9">
        <v>45509</v>
      </c>
      <c r="AC291" s="3" t="s">
        <v>4422</v>
      </c>
      <c r="AD291" s="3"/>
    </row>
    <row r="292" spans="1:30">
      <c r="A292" s="3" t="s">
        <v>44</v>
      </c>
      <c r="B292" s="4">
        <v>45509</v>
      </c>
      <c r="C292" s="3" t="s">
        <v>103</v>
      </c>
      <c r="D292" s="3" t="s">
        <v>656</v>
      </c>
      <c r="E292" s="3" t="s">
        <v>657</v>
      </c>
      <c r="F292" s="3" t="s">
        <v>4424</v>
      </c>
      <c r="G292" s="3" t="s">
        <v>4425</v>
      </c>
      <c r="H292" s="3"/>
      <c r="I292" s="3" t="s">
        <v>51</v>
      </c>
      <c r="J292" s="6">
        <v>44779</v>
      </c>
      <c r="K292" s="6"/>
      <c r="L292" s="6">
        <v>45144</v>
      </c>
      <c r="M292" s="6">
        <v>45509</v>
      </c>
      <c r="N292" s="3" t="s">
        <v>64</v>
      </c>
      <c r="O292" s="3" t="s">
        <v>3858</v>
      </c>
      <c r="P292" s="7">
        <v>600</v>
      </c>
      <c r="Q292" s="7">
        <v>50</v>
      </c>
      <c r="R292" s="8">
        <v>600</v>
      </c>
      <c r="S292" s="7">
        <v>900</v>
      </c>
      <c r="T292" s="8">
        <v>600</v>
      </c>
      <c r="U292" s="3">
        <v>600</v>
      </c>
      <c r="V292" s="3" t="s">
        <v>54</v>
      </c>
      <c r="W292" s="3">
        <v>0</v>
      </c>
      <c r="X292" s="3" t="s">
        <v>93</v>
      </c>
      <c r="Y292" s="3" t="s">
        <v>93</v>
      </c>
      <c r="Z292" s="3" t="s">
        <v>131</v>
      </c>
      <c r="AA292" s="3" t="s">
        <v>4408</v>
      </c>
      <c r="AB292" s="9">
        <v>45509</v>
      </c>
      <c r="AC292" s="3" t="s">
        <v>4422</v>
      </c>
      <c r="AD292" s="3"/>
    </row>
    <row r="293" spans="1:30">
      <c r="A293" s="3" t="s">
        <v>44</v>
      </c>
      <c r="B293" s="4">
        <v>45511</v>
      </c>
      <c r="C293" s="3" t="s">
        <v>103</v>
      </c>
      <c r="D293" s="3" t="s">
        <v>656</v>
      </c>
      <c r="E293" s="3" t="s">
        <v>657</v>
      </c>
      <c r="F293" s="3" t="s">
        <v>4426</v>
      </c>
      <c r="G293" s="3" t="s">
        <v>4427</v>
      </c>
      <c r="H293" s="3"/>
      <c r="I293" s="3" t="s">
        <v>51</v>
      </c>
      <c r="J293" s="6">
        <v>44781</v>
      </c>
      <c r="K293" s="6"/>
      <c r="L293" s="6">
        <v>45146</v>
      </c>
      <c r="M293" s="6">
        <v>45511</v>
      </c>
      <c r="N293" s="3" t="s">
        <v>64</v>
      </c>
      <c r="O293" s="3" t="s">
        <v>3858</v>
      </c>
      <c r="P293" s="7">
        <v>600</v>
      </c>
      <c r="Q293" s="7">
        <v>50</v>
      </c>
      <c r="R293" s="8">
        <v>600</v>
      </c>
      <c r="S293" s="7">
        <v>900</v>
      </c>
      <c r="T293" s="8">
        <v>900</v>
      </c>
      <c r="U293" s="3">
        <v>600</v>
      </c>
      <c r="V293" s="3" t="s">
        <v>54</v>
      </c>
      <c r="W293" s="3">
        <v>0</v>
      </c>
      <c r="X293" s="3" t="s">
        <v>93</v>
      </c>
      <c r="Y293" s="3" t="s">
        <v>93</v>
      </c>
      <c r="Z293" s="3" t="s">
        <v>131</v>
      </c>
      <c r="AA293" s="3" t="s">
        <v>4408</v>
      </c>
      <c r="AB293" s="9">
        <v>45511</v>
      </c>
      <c r="AC293" s="3" t="s">
        <v>4422</v>
      </c>
      <c r="AD293" s="3"/>
    </row>
    <row r="294" spans="1:30">
      <c r="A294" s="3" t="s">
        <v>44</v>
      </c>
      <c r="B294" s="4">
        <v>45513</v>
      </c>
      <c r="C294" s="3" t="s">
        <v>103</v>
      </c>
      <c r="D294" s="3" t="s">
        <v>656</v>
      </c>
      <c r="E294" s="3" t="s">
        <v>657</v>
      </c>
      <c r="F294" s="3" t="s">
        <v>4428</v>
      </c>
      <c r="G294" s="3" t="s">
        <v>4429</v>
      </c>
      <c r="H294" s="3"/>
      <c r="I294" s="3" t="s">
        <v>51</v>
      </c>
      <c r="J294" s="6">
        <v>44722</v>
      </c>
      <c r="K294" s="6"/>
      <c r="L294" s="6">
        <v>45148</v>
      </c>
      <c r="M294" s="6">
        <v>45513</v>
      </c>
      <c r="N294" s="3" t="s">
        <v>64</v>
      </c>
      <c r="O294" s="3" t="s">
        <v>3858</v>
      </c>
      <c r="P294" s="7">
        <v>600</v>
      </c>
      <c r="Q294" s="7">
        <v>50</v>
      </c>
      <c r="R294" s="8">
        <v>600</v>
      </c>
      <c r="S294" s="7">
        <v>720</v>
      </c>
      <c r="T294" s="8">
        <v>600</v>
      </c>
      <c r="U294" s="3">
        <v>600</v>
      </c>
      <c r="V294" s="3" t="s">
        <v>54</v>
      </c>
      <c r="W294" s="3">
        <v>0</v>
      </c>
      <c r="X294" s="3" t="s">
        <v>93</v>
      </c>
      <c r="Y294" s="3" t="s">
        <v>93</v>
      </c>
      <c r="Z294" s="3" t="s">
        <v>131</v>
      </c>
      <c r="AA294" s="3" t="s">
        <v>4408</v>
      </c>
      <c r="AB294" s="9">
        <v>45513</v>
      </c>
      <c r="AC294" s="3" t="s">
        <v>4409</v>
      </c>
      <c r="AD294" s="3"/>
    </row>
    <row r="295" spans="1:30">
      <c r="A295" s="3" t="s">
        <v>44</v>
      </c>
      <c r="B295" s="4">
        <v>45518</v>
      </c>
      <c r="C295" s="3" t="s">
        <v>103</v>
      </c>
      <c r="D295" s="3" t="s">
        <v>656</v>
      </c>
      <c r="E295" s="3" t="s">
        <v>657</v>
      </c>
      <c r="F295" s="3" t="s">
        <v>4430</v>
      </c>
      <c r="G295" s="3" t="s">
        <v>4431</v>
      </c>
      <c r="H295" s="3"/>
      <c r="I295" s="3" t="s">
        <v>51</v>
      </c>
      <c r="J295" s="6">
        <v>44515</v>
      </c>
      <c r="K295" s="6"/>
      <c r="L295" s="6">
        <v>45153</v>
      </c>
      <c r="M295" s="6">
        <v>45518</v>
      </c>
      <c r="N295" s="3" t="s">
        <v>64</v>
      </c>
      <c r="O295" s="3" t="s">
        <v>3858</v>
      </c>
      <c r="P295" s="7">
        <v>600</v>
      </c>
      <c r="Q295" s="7">
        <v>50</v>
      </c>
      <c r="R295" s="8">
        <v>600</v>
      </c>
      <c r="S295" s="7">
        <v>420</v>
      </c>
      <c r="T295" s="8">
        <v>0</v>
      </c>
      <c r="U295" s="3">
        <v>600</v>
      </c>
      <c r="V295" s="3" t="s">
        <v>54</v>
      </c>
      <c r="W295" s="3">
        <v>0</v>
      </c>
      <c r="X295" s="3" t="s">
        <v>93</v>
      </c>
      <c r="Y295" s="3" t="s">
        <v>93</v>
      </c>
      <c r="Z295" s="3" t="s">
        <v>131</v>
      </c>
      <c r="AA295" s="3" t="s">
        <v>4408</v>
      </c>
      <c r="AB295" s="9">
        <v>45518</v>
      </c>
      <c r="AC295" s="3" t="s">
        <v>4415</v>
      </c>
      <c r="AD295" s="3"/>
    </row>
    <row r="296" spans="1:30">
      <c r="A296" s="3" t="s">
        <v>44</v>
      </c>
      <c r="B296" s="4">
        <v>45526</v>
      </c>
      <c r="C296" s="3" t="s">
        <v>103</v>
      </c>
      <c r="D296" s="3" t="s">
        <v>656</v>
      </c>
      <c r="E296" s="3" t="s">
        <v>657</v>
      </c>
      <c r="F296" s="3" t="s">
        <v>4432</v>
      </c>
      <c r="G296" s="3" t="s">
        <v>4433</v>
      </c>
      <c r="H296" s="3"/>
      <c r="I296" s="3" t="s">
        <v>51</v>
      </c>
      <c r="J296" s="6">
        <v>44796</v>
      </c>
      <c r="K296" s="6"/>
      <c r="L296" s="6">
        <v>45161</v>
      </c>
      <c r="M296" s="6">
        <v>45526</v>
      </c>
      <c r="N296" s="3" t="s">
        <v>64</v>
      </c>
      <c r="O296" s="3" t="s">
        <v>3858</v>
      </c>
      <c r="P296" s="7">
        <v>600</v>
      </c>
      <c r="Q296" s="7">
        <v>50</v>
      </c>
      <c r="R296" s="8">
        <v>600</v>
      </c>
      <c r="S296" s="7">
        <v>600</v>
      </c>
      <c r="T296" s="8">
        <v>600</v>
      </c>
      <c r="U296" s="3">
        <v>600</v>
      </c>
      <c r="V296" s="3" t="s">
        <v>54</v>
      </c>
      <c r="W296" s="3">
        <v>0</v>
      </c>
      <c r="X296" s="3" t="s">
        <v>93</v>
      </c>
      <c r="Y296" s="3" t="s">
        <v>93</v>
      </c>
      <c r="Z296" s="3" t="s">
        <v>131</v>
      </c>
      <c r="AA296" s="3" t="s">
        <v>4408</v>
      </c>
      <c r="AB296" s="9">
        <v>45526</v>
      </c>
      <c r="AC296" s="3" t="s">
        <v>4409</v>
      </c>
      <c r="AD296" s="3"/>
    </row>
    <row r="297" spans="1:30" hidden="1">
      <c r="A297" s="3" t="s">
        <v>44</v>
      </c>
      <c r="B297" s="4">
        <v>45534</v>
      </c>
      <c r="C297" s="3" t="s">
        <v>103</v>
      </c>
      <c r="D297" s="3" t="s">
        <v>656</v>
      </c>
      <c r="E297" s="3" t="s">
        <v>657</v>
      </c>
      <c r="F297" s="3" t="s">
        <v>4434</v>
      </c>
      <c r="G297" s="3" t="s">
        <v>4435</v>
      </c>
      <c r="H297" s="3"/>
      <c r="I297" s="3" t="s">
        <v>51</v>
      </c>
      <c r="J297" s="6">
        <v>45169</v>
      </c>
      <c r="K297" s="6"/>
      <c r="L297" s="6">
        <v>45169</v>
      </c>
      <c r="M297" s="6">
        <v>45534</v>
      </c>
      <c r="N297" s="3" t="s">
        <v>52</v>
      </c>
      <c r="O297" s="3" t="s">
        <v>3858</v>
      </c>
      <c r="P297" s="7">
        <v>600</v>
      </c>
      <c r="Q297" s="7">
        <v>50</v>
      </c>
      <c r="R297" s="8">
        <v>600</v>
      </c>
      <c r="S297" s="7">
        <v>1200</v>
      </c>
      <c r="T297" s="8">
        <v>600</v>
      </c>
      <c r="U297" s="3">
        <v>600</v>
      </c>
      <c r="V297" s="3" t="s">
        <v>54</v>
      </c>
      <c r="W297" s="3">
        <v>0</v>
      </c>
      <c r="X297" s="3" t="s">
        <v>93</v>
      </c>
      <c r="Y297" s="3" t="s">
        <v>93</v>
      </c>
      <c r="Z297" s="3" t="s">
        <v>131</v>
      </c>
      <c r="AA297" s="3" t="s">
        <v>4408</v>
      </c>
      <c r="AB297" s="9">
        <v>45534</v>
      </c>
      <c r="AC297" s="3" t="s">
        <v>4422</v>
      </c>
      <c r="AD297" s="3"/>
    </row>
    <row r="298" spans="1:30" hidden="1">
      <c r="A298" s="3" t="s">
        <v>44</v>
      </c>
      <c r="B298" s="4">
        <v>45525</v>
      </c>
      <c r="C298" s="3" t="s">
        <v>109</v>
      </c>
      <c r="D298" s="3" t="s">
        <v>1102</v>
      </c>
      <c r="E298" s="3" t="s">
        <v>1042</v>
      </c>
      <c r="F298" s="3" t="s">
        <v>4436</v>
      </c>
      <c r="G298" s="3" t="s">
        <v>4437</v>
      </c>
      <c r="H298" s="3"/>
      <c r="I298" s="3" t="s">
        <v>51</v>
      </c>
      <c r="J298" s="6">
        <v>45160</v>
      </c>
      <c r="K298" s="6"/>
      <c r="L298" s="6">
        <v>45160</v>
      </c>
      <c r="M298" s="6">
        <v>45525</v>
      </c>
      <c r="N298" s="3" t="s">
        <v>52</v>
      </c>
      <c r="O298" s="3" t="s">
        <v>3858</v>
      </c>
      <c r="P298" s="7">
        <v>0</v>
      </c>
      <c r="Q298" s="7">
        <v>0</v>
      </c>
      <c r="R298" s="8">
        <v>0</v>
      </c>
      <c r="S298" s="7">
        <v>1020</v>
      </c>
      <c r="T298" s="8">
        <v>0</v>
      </c>
      <c r="U298" s="3">
        <v>0</v>
      </c>
      <c r="V298" s="3" t="s">
        <v>54</v>
      </c>
      <c r="W298" s="3">
        <v>0</v>
      </c>
      <c r="X298" s="3" t="s">
        <v>131</v>
      </c>
      <c r="Y298" s="3" t="s">
        <v>131</v>
      </c>
      <c r="Z298" s="3" t="s">
        <v>131</v>
      </c>
      <c r="AA298" s="3" t="s">
        <v>4347</v>
      </c>
      <c r="AB298" s="9">
        <v>45525</v>
      </c>
      <c r="AC298" s="3" t="s">
        <v>131</v>
      </c>
      <c r="AD298" s="3"/>
    </row>
    <row r="299" spans="1:30" hidden="1">
      <c r="A299" s="3" t="s">
        <v>44</v>
      </c>
      <c r="B299" s="4">
        <v>45535</v>
      </c>
      <c r="C299" s="3" t="s">
        <v>83</v>
      </c>
      <c r="D299" s="3" t="s">
        <v>1051</v>
      </c>
      <c r="E299" s="3" t="s">
        <v>1052</v>
      </c>
      <c r="F299" s="3" t="s">
        <v>4438</v>
      </c>
      <c r="G299" s="3" t="s">
        <v>4439</v>
      </c>
      <c r="H299" s="3"/>
      <c r="I299" s="3" t="s">
        <v>51</v>
      </c>
      <c r="J299" s="6">
        <v>44805</v>
      </c>
      <c r="K299" s="6"/>
      <c r="L299" s="6">
        <v>44805</v>
      </c>
      <c r="M299" s="6">
        <v>45169</v>
      </c>
      <c r="N299" s="3" t="s">
        <v>52</v>
      </c>
      <c r="O299" s="3" t="s">
        <v>3858</v>
      </c>
      <c r="P299" s="7">
        <v>265</v>
      </c>
      <c r="Q299" s="7">
        <v>22.083333333333332</v>
      </c>
      <c r="R299" s="8">
        <v>265.2</v>
      </c>
      <c r="S299" s="7">
        <v>265.2</v>
      </c>
      <c r="T299" s="8">
        <v>265.2</v>
      </c>
      <c r="U299" s="3">
        <v>265</v>
      </c>
      <c r="V299" s="3" t="s">
        <v>54</v>
      </c>
      <c r="W299" s="3">
        <v>0</v>
      </c>
      <c r="X299" s="3" t="s">
        <v>131</v>
      </c>
      <c r="Y299" s="3" t="s">
        <v>131</v>
      </c>
      <c r="Z299" s="3" t="s">
        <v>131</v>
      </c>
      <c r="AA299" s="3" t="s">
        <v>3965</v>
      </c>
      <c r="AB299" s="9">
        <v>45535</v>
      </c>
      <c r="AC299" s="3" t="s">
        <v>131</v>
      </c>
      <c r="AD299" s="3"/>
    </row>
  </sheetData>
  <autoFilter ref="A1:AC299" xr:uid="{53BD20E6-DB30-44C2-ABCA-5CEC59D24F1D}">
    <filterColumn colId="13">
      <filters>
        <filter val="Renewal"/>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F9780-0ECB-43C7-93E2-288A297E3461}">
  <dimension ref="A1:AM57"/>
  <sheetViews>
    <sheetView topLeftCell="D1" zoomScale="90" zoomScaleNormal="90" workbookViewId="0">
      <selection activeCell="K20" sqref="K20"/>
    </sheetView>
  </sheetViews>
  <sheetFormatPr defaultColWidth="9.140625" defaultRowHeight="15"/>
  <cols>
    <col min="1" max="1" width="10.140625" customWidth="1"/>
    <col min="2" max="2" width="14.140625" customWidth="1"/>
    <col min="3" max="5" width="9.140625" customWidth="1"/>
    <col min="6" max="6" width="24.85546875" customWidth="1"/>
    <col min="7" max="7" width="8.5703125" customWidth="1"/>
    <col min="8" max="8" width="19.28515625" customWidth="1"/>
    <col min="9" max="17" width="9.140625" customWidth="1"/>
    <col min="18" max="18" width="9.140625" bestFit="1" customWidth="1"/>
    <col min="19" max="19" width="9.140625" customWidth="1"/>
    <col min="20" max="20" width="9.140625" bestFit="1" customWidth="1"/>
    <col min="21" max="21" width="9.140625" customWidth="1"/>
    <col min="22" max="22" width="9.140625" bestFit="1" customWidth="1"/>
    <col min="23" max="23" width="11.7109375" customWidth="1"/>
    <col min="24" max="24" width="11.5703125" customWidth="1"/>
    <col min="25" max="25" width="9.140625" bestFit="1" customWidth="1"/>
    <col min="26" max="26" width="11" customWidth="1"/>
    <col min="27" max="27" width="9.7109375" customWidth="1"/>
    <col min="28" max="30" width="9.140625" bestFit="1" customWidth="1"/>
    <col min="31" max="31" width="24.5703125" customWidth="1"/>
    <col min="32" max="35" width="9.140625" customWidth="1"/>
    <col min="36" max="36" width="57.140625" customWidth="1"/>
    <col min="37" max="37" width="9.140625" bestFit="1" customWidth="1"/>
    <col min="38" max="38" width="20.42578125" customWidth="1"/>
    <col min="39" max="39" width="9.140625" bestFit="1" customWidth="1"/>
  </cols>
  <sheetData>
    <row r="1" spans="1:39" s="46" customFormat="1" ht="48">
      <c r="A1" s="73" t="s">
        <v>0</v>
      </c>
      <c r="B1" s="73" t="s">
        <v>2</v>
      </c>
      <c r="C1" s="73" t="s">
        <v>3</v>
      </c>
      <c r="D1" s="73" t="s">
        <v>4</v>
      </c>
      <c r="E1" s="73" t="s">
        <v>5</v>
      </c>
      <c r="F1" s="73" t="s">
        <v>6</v>
      </c>
      <c r="G1" s="73" t="s">
        <v>7</v>
      </c>
      <c r="H1" s="73" t="s">
        <v>8</v>
      </c>
      <c r="I1" s="73" t="s">
        <v>9</v>
      </c>
      <c r="J1" s="73" t="s">
        <v>10</v>
      </c>
      <c r="K1" s="73" t="s">
        <v>11</v>
      </c>
      <c r="L1" s="73" t="s">
        <v>12</v>
      </c>
      <c r="M1" s="73" t="s">
        <v>13</v>
      </c>
      <c r="N1" s="73" t="s">
        <v>14</v>
      </c>
      <c r="O1" s="73" t="s">
        <v>15</v>
      </c>
      <c r="P1" s="73" t="s">
        <v>16</v>
      </c>
      <c r="Q1" s="74" t="s">
        <v>17</v>
      </c>
      <c r="R1" s="73" t="s">
        <v>18</v>
      </c>
      <c r="S1" s="73" t="s">
        <v>19</v>
      </c>
      <c r="T1" s="73" t="s">
        <v>20</v>
      </c>
      <c r="U1" s="75" t="s">
        <v>21</v>
      </c>
      <c r="V1" s="75" t="s">
        <v>22</v>
      </c>
      <c r="W1" s="76" t="s">
        <v>25</v>
      </c>
      <c r="X1" s="76" t="s">
        <v>26</v>
      </c>
      <c r="Y1" s="75" t="s">
        <v>27</v>
      </c>
      <c r="Z1" s="76" t="s">
        <v>28</v>
      </c>
      <c r="AA1" s="76" t="s">
        <v>29</v>
      </c>
      <c r="AB1" s="75" t="s">
        <v>30</v>
      </c>
      <c r="AC1" s="76" t="s">
        <v>31</v>
      </c>
      <c r="AD1" s="76" t="s">
        <v>4440</v>
      </c>
      <c r="AE1" s="73" t="s">
        <v>33</v>
      </c>
      <c r="AF1" s="271" t="s">
        <v>34</v>
      </c>
      <c r="AG1" s="73" t="s">
        <v>35</v>
      </c>
      <c r="AH1" s="73" t="s">
        <v>3852</v>
      </c>
      <c r="AI1" s="73" t="s">
        <v>3853</v>
      </c>
      <c r="AJ1" s="73" t="s">
        <v>38</v>
      </c>
      <c r="AK1" s="73" t="s">
        <v>41</v>
      </c>
      <c r="AL1" s="73" t="s">
        <v>3854</v>
      </c>
      <c r="AM1" s="73" t="s">
        <v>3855</v>
      </c>
    </row>
    <row r="2" spans="1:39" s="52" customFormat="1" ht="12">
      <c r="A2" s="47" t="s">
        <v>4441</v>
      </c>
      <c r="B2" s="59">
        <v>45521</v>
      </c>
      <c r="C2" s="47" t="s">
        <v>45</v>
      </c>
      <c r="D2" s="47" t="s">
        <v>59</v>
      </c>
      <c r="E2" s="47" t="s">
        <v>60</v>
      </c>
      <c r="F2" s="91" t="s">
        <v>4442</v>
      </c>
      <c r="G2" s="47" t="s">
        <v>4443</v>
      </c>
      <c r="H2" s="47" t="s">
        <v>4444</v>
      </c>
      <c r="I2" s="47" t="s">
        <v>51</v>
      </c>
      <c r="J2" s="48">
        <v>44791</v>
      </c>
      <c r="K2" s="48">
        <v>45156</v>
      </c>
      <c r="L2" s="48">
        <v>45521</v>
      </c>
      <c r="M2" s="47" t="s">
        <v>64</v>
      </c>
      <c r="N2" s="55" t="s">
        <v>53</v>
      </c>
      <c r="O2" s="62">
        <v>16020</v>
      </c>
      <c r="P2" s="62">
        <v>1335</v>
      </c>
      <c r="Q2" s="68">
        <v>16560</v>
      </c>
      <c r="R2" s="62">
        <f t="shared" ref="R2:R16" si="0">Q2/12</f>
        <v>1380</v>
      </c>
      <c r="S2" s="62">
        <v>15720</v>
      </c>
      <c r="T2" s="62">
        <f t="shared" ref="T2:T31" si="1">S2/12</f>
        <v>1310</v>
      </c>
      <c r="U2" s="69">
        <v>14340</v>
      </c>
      <c r="V2" s="71">
        <v>1410</v>
      </c>
      <c r="W2" s="64">
        <f t="shared" ref="W2:W32" si="2">(V2-T2)/T2</f>
        <v>7.6335877862595422E-2</v>
      </c>
      <c r="X2" s="64">
        <f t="shared" ref="X2:X22" si="3">(V2-R2)/R2</f>
        <v>2.1739130434782608E-2</v>
      </c>
      <c r="Y2" s="71"/>
      <c r="Z2" s="64">
        <f t="shared" ref="Z2:Z31" si="4">(Y2-T2)/T2</f>
        <v>-1</v>
      </c>
      <c r="AA2" s="64">
        <f t="shared" ref="AA2:AA22" si="5">(Y2-R2)/R2</f>
        <v>-1</v>
      </c>
      <c r="AB2" s="71"/>
      <c r="AC2" s="64">
        <f t="shared" ref="AC2:AC31" si="6">(AB2-T2)/T2</f>
        <v>-1</v>
      </c>
      <c r="AD2" s="64">
        <f t="shared" ref="AD2:AD22" si="7">(AB2-R2)/R2</f>
        <v>-1</v>
      </c>
      <c r="AE2" s="67"/>
      <c r="AF2" s="47" t="s">
        <v>54</v>
      </c>
      <c r="AG2" s="47">
        <v>668</v>
      </c>
      <c r="AH2" s="47" t="s">
        <v>65</v>
      </c>
      <c r="AI2" s="47" t="s">
        <v>65</v>
      </c>
      <c r="AJ2" s="47" t="s">
        <v>490</v>
      </c>
      <c r="AK2" s="47" t="s">
        <v>57</v>
      </c>
      <c r="AL2" s="51">
        <v>45521</v>
      </c>
      <c r="AM2" s="47" t="s">
        <v>131</v>
      </c>
    </row>
    <row r="3" spans="1:39" s="52" customFormat="1" ht="12">
      <c r="A3" s="47" t="s">
        <v>4441</v>
      </c>
      <c r="B3" s="59">
        <v>45490</v>
      </c>
      <c r="C3" s="47" t="s">
        <v>45</v>
      </c>
      <c r="D3" s="47" t="s">
        <v>847</v>
      </c>
      <c r="E3" s="47" t="s">
        <v>848</v>
      </c>
      <c r="F3" s="91" t="s">
        <v>4445</v>
      </c>
      <c r="G3" s="47" t="s">
        <v>4446</v>
      </c>
      <c r="H3" s="47" t="s">
        <v>4447</v>
      </c>
      <c r="I3" s="47" t="s">
        <v>51</v>
      </c>
      <c r="J3" s="48">
        <v>45125</v>
      </c>
      <c r="K3" s="48">
        <v>45125</v>
      </c>
      <c r="L3" s="48">
        <v>45490</v>
      </c>
      <c r="M3" s="47" t="s">
        <v>52</v>
      </c>
      <c r="N3" s="55" t="s">
        <v>53</v>
      </c>
      <c r="O3" s="62">
        <v>15912</v>
      </c>
      <c r="P3" s="62">
        <v>1326</v>
      </c>
      <c r="Q3" s="68">
        <v>17316</v>
      </c>
      <c r="R3" s="62">
        <f t="shared" si="0"/>
        <v>1443</v>
      </c>
      <c r="S3" s="62">
        <v>15600</v>
      </c>
      <c r="T3" s="62">
        <f t="shared" si="1"/>
        <v>1300</v>
      </c>
      <c r="U3" s="69">
        <v>15912</v>
      </c>
      <c r="V3" s="71">
        <v>1470</v>
      </c>
      <c r="W3" s="64">
        <f t="shared" si="2"/>
        <v>0.13076923076923078</v>
      </c>
      <c r="X3" s="64">
        <f t="shared" si="3"/>
        <v>1.8711018711018712E-2</v>
      </c>
      <c r="Y3" s="71"/>
      <c r="Z3" s="64">
        <f t="shared" si="4"/>
        <v>-1</v>
      </c>
      <c r="AA3" s="64">
        <f t="shared" si="5"/>
        <v>-1</v>
      </c>
      <c r="AB3" s="71"/>
      <c r="AC3" s="64">
        <f t="shared" si="6"/>
        <v>-1</v>
      </c>
      <c r="AD3" s="64">
        <f t="shared" si="7"/>
        <v>-1</v>
      </c>
      <c r="AE3" s="67"/>
      <c r="AF3" s="47" t="s">
        <v>54</v>
      </c>
      <c r="AG3" s="47">
        <v>528.6</v>
      </c>
      <c r="AH3" s="47" t="s">
        <v>55</v>
      </c>
      <c r="AI3" s="47" t="s">
        <v>55</v>
      </c>
      <c r="AJ3" s="47" t="s">
        <v>1069</v>
      </c>
      <c r="AK3" s="47" t="s">
        <v>852</v>
      </c>
      <c r="AL3" s="51">
        <v>45490</v>
      </c>
      <c r="AM3" s="47" t="s">
        <v>131</v>
      </c>
    </row>
    <row r="4" spans="1:39" s="52" customFormat="1" ht="60">
      <c r="A4" s="47" t="s">
        <v>4441</v>
      </c>
      <c r="B4" s="59">
        <v>45486</v>
      </c>
      <c r="C4" s="47" t="s">
        <v>45</v>
      </c>
      <c r="D4" s="47" t="s">
        <v>847</v>
      </c>
      <c r="E4" s="47" t="s">
        <v>848</v>
      </c>
      <c r="F4" s="91" t="s">
        <v>4448</v>
      </c>
      <c r="G4" s="47" t="s">
        <v>4449</v>
      </c>
      <c r="H4" s="54" t="s">
        <v>4450</v>
      </c>
      <c r="I4" s="47" t="s">
        <v>51</v>
      </c>
      <c r="J4" s="48">
        <v>45121</v>
      </c>
      <c r="K4" s="48">
        <v>45121</v>
      </c>
      <c r="L4" s="48">
        <v>45486</v>
      </c>
      <c r="M4" s="47" t="s">
        <v>52</v>
      </c>
      <c r="N4" s="55" t="s">
        <v>53</v>
      </c>
      <c r="O4" s="62">
        <v>20540</v>
      </c>
      <c r="P4" s="62">
        <v>1711.6666666666667</v>
      </c>
      <c r="Q4" s="68">
        <v>21320</v>
      </c>
      <c r="R4" s="62">
        <f t="shared" si="0"/>
        <v>1776.6666666666667</v>
      </c>
      <c r="S4" s="62">
        <v>21240</v>
      </c>
      <c r="T4" s="62">
        <f t="shared" si="1"/>
        <v>1770</v>
      </c>
      <c r="U4" s="69">
        <v>20540</v>
      </c>
      <c r="V4" s="71">
        <v>1890</v>
      </c>
      <c r="W4" s="64">
        <f t="shared" si="2"/>
        <v>6.7796610169491525E-2</v>
      </c>
      <c r="X4" s="64">
        <f t="shared" si="3"/>
        <v>6.3789868667917402E-2</v>
      </c>
      <c r="Y4" s="71"/>
      <c r="Z4" s="64">
        <f t="shared" si="4"/>
        <v>-1</v>
      </c>
      <c r="AA4" s="64">
        <f t="shared" si="5"/>
        <v>-1</v>
      </c>
      <c r="AB4" s="71"/>
      <c r="AC4" s="64">
        <f t="shared" si="6"/>
        <v>-1</v>
      </c>
      <c r="AD4" s="64">
        <f t="shared" si="7"/>
        <v>-1</v>
      </c>
      <c r="AE4" s="67"/>
      <c r="AF4" s="47" t="s">
        <v>54</v>
      </c>
      <c r="AG4" s="47">
        <v>664.3</v>
      </c>
      <c r="AH4" s="47" t="s">
        <v>65</v>
      </c>
      <c r="AI4" s="47" t="s">
        <v>65</v>
      </c>
      <c r="AJ4" s="47" t="s">
        <v>4451</v>
      </c>
      <c r="AK4" s="47" t="s">
        <v>852</v>
      </c>
      <c r="AL4" s="51">
        <v>45486</v>
      </c>
      <c r="AM4" s="47" t="s">
        <v>131</v>
      </c>
    </row>
    <row r="5" spans="1:39" s="52" customFormat="1" ht="12">
      <c r="A5" s="53" t="s">
        <v>4441</v>
      </c>
      <c r="B5" s="59">
        <v>45521</v>
      </c>
      <c r="C5" s="47" t="s">
        <v>45</v>
      </c>
      <c r="D5" s="47" t="s">
        <v>98</v>
      </c>
      <c r="E5" s="47" t="s">
        <v>99</v>
      </c>
      <c r="F5" s="91" t="s">
        <v>4452</v>
      </c>
      <c r="G5" s="47" t="s">
        <v>4453</v>
      </c>
      <c r="H5" s="47" t="s">
        <v>4454</v>
      </c>
      <c r="I5" s="47" t="s">
        <v>51</v>
      </c>
      <c r="J5" s="48">
        <v>45156</v>
      </c>
      <c r="K5" s="48">
        <v>45156</v>
      </c>
      <c r="L5" s="48">
        <v>45521</v>
      </c>
      <c r="M5" s="47" t="s">
        <v>52</v>
      </c>
      <c r="N5" s="55" t="s">
        <v>53</v>
      </c>
      <c r="O5" s="62">
        <v>24600</v>
      </c>
      <c r="P5" s="62">
        <v>2050</v>
      </c>
      <c r="Q5" s="68">
        <v>25200</v>
      </c>
      <c r="R5" s="62">
        <f t="shared" si="0"/>
        <v>2100</v>
      </c>
      <c r="S5" s="62">
        <v>24600</v>
      </c>
      <c r="T5" s="62">
        <f t="shared" si="1"/>
        <v>2050</v>
      </c>
      <c r="U5" s="69">
        <v>21540</v>
      </c>
      <c r="V5" s="71">
        <v>2195</v>
      </c>
      <c r="W5" s="64">
        <f t="shared" si="2"/>
        <v>7.0731707317073164E-2</v>
      </c>
      <c r="X5" s="64">
        <f t="shared" si="3"/>
        <v>4.5238095238095237E-2</v>
      </c>
      <c r="Y5" s="71"/>
      <c r="Z5" s="64">
        <f t="shared" si="4"/>
        <v>-1</v>
      </c>
      <c r="AA5" s="64">
        <f t="shared" si="5"/>
        <v>-1</v>
      </c>
      <c r="AB5" s="71"/>
      <c r="AC5" s="64">
        <f t="shared" si="6"/>
        <v>-1</v>
      </c>
      <c r="AD5" s="64">
        <f t="shared" si="7"/>
        <v>-1</v>
      </c>
      <c r="AE5" s="67"/>
      <c r="AF5" s="47" t="s">
        <v>250</v>
      </c>
      <c r="AG5" s="47">
        <v>874</v>
      </c>
      <c r="AH5" s="47" t="s">
        <v>140</v>
      </c>
      <c r="AI5" s="47" t="s">
        <v>65</v>
      </c>
      <c r="AJ5" s="47" t="s">
        <v>536</v>
      </c>
      <c r="AK5" s="47" t="s">
        <v>57</v>
      </c>
      <c r="AL5" s="51">
        <v>45521</v>
      </c>
      <c r="AM5" s="47" t="s">
        <v>131</v>
      </c>
    </row>
    <row r="6" spans="1:39" s="52" customFormat="1" ht="12">
      <c r="A6" s="47" t="s">
        <v>4441</v>
      </c>
      <c r="B6" s="59">
        <v>45533</v>
      </c>
      <c r="C6" s="47" t="s">
        <v>109</v>
      </c>
      <c r="D6" s="47" t="s">
        <v>1041</v>
      </c>
      <c r="E6" s="47" t="s">
        <v>1042</v>
      </c>
      <c r="F6" s="91" t="s">
        <v>4455</v>
      </c>
      <c r="G6" s="47" t="s">
        <v>4456</v>
      </c>
      <c r="H6" s="47" t="s">
        <v>4457</v>
      </c>
      <c r="I6" s="47" t="s">
        <v>51</v>
      </c>
      <c r="J6" s="48">
        <v>45168</v>
      </c>
      <c r="K6" s="48">
        <v>45168</v>
      </c>
      <c r="L6" s="48">
        <v>45533</v>
      </c>
      <c r="M6" s="47" t="s">
        <v>52</v>
      </c>
      <c r="N6" s="55" t="s">
        <v>53</v>
      </c>
      <c r="O6" s="62">
        <v>19920</v>
      </c>
      <c r="P6" s="62">
        <v>1660</v>
      </c>
      <c r="Q6" s="68">
        <v>20040</v>
      </c>
      <c r="R6" s="62">
        <f t="shared" si="0"/>
        <v>1670</v>
      </c>
      <c r="S6" s="62">
        <v>19740</v>
      </c>
      <c r="T6" s="62">
        <f t="shared" si="1"/>
        <v>1645</v>
      </c>
      <c r="U6" s="69">
        <v>19920</v>
      </c>
      <c r="V6" s="71">
        <v>1750</v>
      </c>
      <c r="W6" s="64">
        <f t="shared" si="2"/>
        <v>6.3829787234042548E-2</v>
      </c>
      <c r="X6" s="64">
        <f t="shared" si="3"/>
        <v>4.790419161676647E-2</v>
      </c>
      <c r="Y6" s="71"/>
      <c r="Z6" s="64">
        <f t="shared" si="4"/>
        <v>-1</v>
      </c>
      <c r="AA6" s="64">
        <f t="shared" si="5"/>
        <v>-1</v>
      </c>
      <c r="AB6" s="71"/>
      <c r="AC6" s="64">
        <f t="shared" si="6"/>
        <v>-1</v>
      </c>
      <c r="AD6" s="64">
        <f t="shared" si="7"/>
        <v>-1</v>
      </c>
      <c r="AE6" s="67"/>
      <c r="AF6" s="47" t="s">
        <v>54</v>
      </c>
      <c r="AG6" s="47">
        <v>586.97</v>
      </c>
      <c r="AH6" s="47" t="s">
        <v>55</v>
      </c>
      <c r="AI6" s="47" t="s">
        <v>55</v>
      </c>
      <c r="AJ6" s="47" t="s">
        <v>2477</v>
      </c>
      <c r="AK6" s="47" t="s">
        <v>90</v>
      </c>
      <c r="AL6" s="51">
        <v>45533</v>
      </c>
      <c r="AM6" s="47" t="s">
        <v>132</v>
      </c>
    </row>
    <row r="7" spans="1:39" s="52" customFormat="1" ht="12">
      <c r="A7" s="47" t="s">
        <v>4458</v>
      </c>
      <c r="B7" s="59">
        <v>45530</v>
      </c>
      <c r="C7" s="47" t="s">
        <v>109</v>
      </c>
      <c r="D7" s="47" t="s">
        <v>1079</v>
      </c>
      <c r="E7" s="47" t="s">
        <v>1080</v>
      </c>
      <c r="F7" s="47" t="s">
        <v>4459</v>
      </c>
      <c r="G7" s="47" t="s">
        <v>4460</v>
      </c>
      <c r="H7" s="54" t="s">
        <v>4461</v>
      </c>
      <c r="I7" s="47" t="s">
        <v>51</v>
      </c>
      <c r="J7" s="48">
        <v>44435</v>
      </c>
      <c r="K7" s="48">
        <v>45165</v>
      </c>
      <c r="L7" s="48">
        <v>45530</v>
      </c>
      <c r="M7" s="47" t="s">
        <v>64</v>
      </c>
      <c r="N7" s="55" t="s">
        <v>53</v>
      </c>
      <c r="O7" s="62">
        <v>23640</v>
      </c>
      <c r="P7" s="62">
        <v>1970</v>
      </c>
      <c r="Q7" s="68">
        <v>23820</v>
      </c>
      <c r="R7" s="62">
        <f t="shared" si="0"/>
        <v>1985</v>
      </c>
      <c r="S7" s="62">
        <v>22140</v>
      </c>
      <c r="T7" s="62">
        <f t="shared" si="1"/>
        <v>1845</v>
      </c>
      <c r="U7" s="69">
        <v>20400</v>
      </c>
      <c r="V7" s="71">
        <v>2130</v>
      </c>
      <c r="W7" s="64">
        <f t="shared" si="2"/>
        <v>0.15447154471544716</v>
      </c>
      <c r="X7" s="64">
        <f t="shared" si="3"/>
        <v>7.3047858942065488E-2</v>
      </c>
      <c r="Y7" s="71"/>
      <c r="Z7" s="64">
        <f t="shared" si="4"/>
        <v>-1</v>
      </c>
      <c r="AA7" s="64">
        <f t="shared" si="5"/>
        <v>-1</v>
      </c>
      <c r="AB7" s="71"/>
      <c r="AC7" s="64">
        <f t="shared" si="6"/>
        <v>-1</v>
      </c>
      <c r="AD7" s="64">
        <f t="shared" si="7"/>
        <v>-1</v>
      </c>
      <c r="AE7" s="67"/>
      <c r="AF7" s="47" t="s">
        <v>54</v>
      </c>
      <c r="AG7" s="47">
        <v>572</v>
      </c>
      <c r="AH7" s="47" t="s">
        <v>55</v>
      </c>
      <c r="AI7" s="47" t="s">
        <v>55</v>
      </c>
      <c r="AJ7" s="47" t="s">
        <v>1770</v>
      </c>
      <c r="AK7" s="47" t="s">
        <v>90</v>
      </c>
      <c r="AL7" s="51">
        <v>45530</v>
      </c>
      <c r="AM7" s="47" t="s">
        <v>131</v>
      </c>
    </row>
    <row r="8" spans="1:39" s="52" customFormat="1" ht="12">
      <c r="A8" s="47" t="s">
        <v>898</v>
      </c>
      <c r="B8" s="59">
        <v>45534</v>
      </c>
      <c r="C8" s="47" t="s">
        <v>45</v>
      </c>
      <c r="D8" s="47" t="s">
        <v>847</v>
      </c>
      <c r="E8" s="47" t="s">
        <v>848</v>
      </c>
      <c r="F8" s="47" t="s">
        <v>4462</v>
      </c>
      <c r="G8" s="47" t="s">
        <v>4463</v>
      </c>
      <c r="H8" s="47" t="s">
        <v>4464</v>
      </c>
      <c r="I8" s="47" t="s">
        <v>51</v>
      </c>
      <c r="J8" s="48">
        <v>45169</v>
      </c>
      <c r="K8" s="48">
        <v>45169</v>
      </c>
      <c r="L8" s="48">
        <v>45534</v>
      </c>
      <c r="M8" s="47" t="s">
        <v>52</v>
      </c>
      <c r="N8" s="55" t="s">
        <v>53</v>
      </c>
      <c r="O8" s="62">
        <v>23504</v>
      </c>
      <c r="P8" s="62">
        <v>1958.6666666666667</v>
      </c>
      <c r="Q8" s="68">
        <v>25168</v>
      </c>
      <c r="R8" s="62">
        <f t="shared" si="0"/>
        <v>2097.3333333333335</v>
      </c>
      <c r="S8" s="62">
        <v>23940</v>
      </c>
      <c r="T8" s="62">
        <f t="shared" si="1"/>
        <v>1995</v>
      </c>
      <c r="U8" s="69">
        <v>22620</v>
      </c>
      <c r="V8" s="71">
        <v>2020</v>
      </c>
      <c r="W8" s="64">
        <f t="shared" si="2"/>
        <v>1.2531328320802004E-2</v>
      </c>
      <c r="X8" s="64">
        <f t="shared" si="3"/>
        <v>-3.6872218690400575E-2</v>
      </c>
      <c r="Y8" s="71"/>
      <c r="Z8" s="64">
        <f t="shared" si="4"/>
        <v>-1</v>
      </c>
      <c r="AA8" s="64">
        <f t="shared" si="5"/>
        <v>-1</v>
      </c>
      <c r="AB8" s="71"/>
      <c r="AC8" s="64">
        <f t="shared" si="6"/>
        <v>-1</v>
      </c>
      <c r="AD8" s="64">
        <f t="shared" si="7"/>
        <v>-1</v>
      </c>
      <c r="AE8" s="67"/>
      <c r="AF8" s="47" t="s">
        <v>54</v>
      </c>
      <c r="AG8" s="47">
        <v>1065.8</v>
      </c>
      <c r="AH8" s="47" t="s">
        <v>140</v>
      </c>
      <c r="AI8" s="47" t="s">
        <v>55</v>
      </c>
      <c r="AJ8" s="47" t="s">
        <v>4465</v>
      </c>
      <c r="AK8" s="47" t="s">
        <v>852</v>
      </c>
      <c r="AL8" s="51">
        <v>45534</v>
      </c>
      <c r="AM8" s="47" t="s">
        <v>131</v>
      </c>
    </row>
    <row r="9" spans="1:39" s="52" customFormat="1" ht="12">
      <c r="A9" s="47" t="s">
        <v>898</v>
      </c>
      <c r="B9" s="59">
        <v>45510</v>
      </c>
      <c r="C9" s="47" t="s">
        <v>45</v>
      </c>
      <c r="D9" s="47" t="s">
        <v>847</v>
      </c>
      <c r="E9" s="47" t="s">
        <v>848</v>
      </c>
      <c r="F9" s="47" t="s">
        <v>4466</v>
      </c>
      <c r="G9" s="47" t="s">
        <v>4467</v>
      </c>
      <c r="H9" s="47" t="s">
        <v>4468</v>
      </c>
      <c r="I9" s="47" t="s">
        <v>51</v>
      </c>
      <c r="J9" s="48">
        <v>45145</v>
      </c>
      <c r="K9" s="48">
        <v>45145</v>
      </c>
      <c r="L9" s="48">
        <v>45510</v>
      </c>
      <c r="M9" s="47" t="s">
        <v>52</v>
      </c>
      <c r="N9" s="55" t="s">
        <v>53</v>
      </c>
      <c r="O9" s="62">
        <v>15288</v>
      </c>
      <c r="P9" s="62">
        <v>1274</v>
      </c>
      <c r="Q9" s="68">
        <v>16848</v>
      </c>
      <c r="R9" s="62">
        <f t="shared" si="0"/>
        <v>1404</v>
      </c>
      <c r="S9" s="62">
        <v>15600</v>
      </c>
      <c r="T9" s="62">
        <f t="shared" si="1"/>
        <v>1300</v>
      </c>
      <c r="U9" s="69">
        <v>15288</v>
      </c>
      <c r="V9" s="71">
        <v>1445</v>
      </c>
      <c r="W9" s="64">
        <f t="shared" si="2"/>
        <v>0.11153846153846154</v>
      </c>
      <c r="X9" s="64">
        <f t="shared" si="3"/>
        <v>2.9202279202279201E-2</v>
      </c>
      <c r="Y9" s="71"/>
      <c r="Z9" s="64">
        <f t="shared" si="4"/>
        <v>-1</v>
      </c>
      <c r="AA9" s="64">
        <f t="shared" si="5"/>
        <v>-1</v>
      </c>
      <c r="AB9" s="71"/>
      <c r="AC9" s="64">
        <f t="shared" si="6"/>
        <v>-1</v>
      </c>
      <c r="AD9" s="64">
        <f t="shared" si="7"/>
        <v>-1</v>
      </c>
      <c r="AE9" s="67"/>
      <c r="AF9" s="47" t="s">
        <v>395</v>
      </c>
      <c r="AG9" s="47">
        <v>437.2</v>
      </c>
      <c r="AH9" s="47" t="s">
        <v>55</v>
      </c>
      <c r="AI9" s="47" t="s">
        <v>55</v>
      </c>
      <c r="AJ9" s="47" t="s">
        <v>4469</v>
      </c>
      <c r="AK9" s="47" t="s">
        <v>852</v>
      </c>
      <c r="AL9" s="51">
        <v>45510</v>
      </c>
      <c r="AM9" s="47" t="s">
        <v>131</v>
      </c>
    </row>
    <row r="10" spans="1:39" s="52" customFormat="1" ht="12">
      <c r="A10" s="47" t="s">
        <v>4470</v>
      </c>
      <c r="B10" s="59">
        <v>45533</v>
      </c>
      <c r="C10" s="47" t="s">
        <v>109</v>
      </c>
      <c r="D10" s="47" t="s">
        <v>110</v>
      </c>
      <c r="E10" s="47" t="s">
        <v>111</v>
      </c>
      <c r="F10" s="47" t="s">
        <v>4471</v>
      </c>
      <c r="G10" s="47" t="s">
        <v>4472</v>
      </c>
      <c r="H10" s="47" t="s">
        <v>4473</v>
      </c>
      <c r="I10" s="47" t="s">
        <v>51</v>
      </c>
      <c r="J10" s="48">
        <v>45168</v>
      </c>
      <c r="K10" s="48">
        <v>45168</v>
      </c>
      <c r="L10" s="48">
        <v>45533</v>
      </c>
      <c r="M10" s="47" t="s">
        <v>52</v>
      </c>
      <c r="N10" s="55" t="s">
        <v>53</v>
      </c>
      <c r="O10" s="62">
        <v>18600</v>
      </c>
      <c r="P10" s="62">
        <v>1550</v>
      </c>
      <c r="Q10" s="68">
        <v>18600</v>
      </c>
      <c r="R10" s="62">
        <f t="shared" si="0"/>
        <v>1550</v>
      </c>
      <c r="S10" s="62">
        <v>18600</v>
      </c>
      <c r="T10" s="62">
        <f t="shared" si="1"/>
        <v>1550</v>
      </c>
      <c r="U10" s="69">
        <v>17820</v>
      </c>
      <c r="V10" s="71">
        <v>1575</v>
      </c>
      <c r="W10" s="64">
        <f t="shared" si="2"/>
        <v>1.6129032258064516E-2</v>
      </c>
      <c r="X10" s="64">
        <f t="shared" si="3"/>
        <v>1.6129032258064516E-2</v>
      </c>
      <c r="Y10" s="71"/>
      <c r="Z10" s="64">
        <f t="shared" si="4"/>
        <v>-1</v>
      </c>
      <c r="AA10" s="64">
        <f t="shared" si="5"/>
        <v>-1</v>
      </c>
      <c r="AB10" s="71"/>
      <c r="AC10" s="64">
        <f t="shared" si="6"/>
        <v>-1</v>
      </c>
      <c r="AD10" s="64">
        <f t="shared" si="7"/>
        <v>-1</v>
      </c>
      <c r="AE10" s="67"/>
      <c r="AF10" s="47" t="s">
        <v>54</v>
      </c>
      <c r="AG10" s="47">
        <v>777</v>
      </c>
      <c r="AH10" s="47" t="s">
        <v>65</v>
      </c>
      <c r="AI10" s="47" t="s">
        <v>65</v>
      </c>
      <c r="AJ10" s="47" t="s">
        <v>4474</v>
      </c>
      <c r="AK10" s="47" t="s">
        <v>90</v>
      </c>
      <c r="AL10" s="51">
        <v>45533</v>
      </c>
      <c r="AM10" s="47" t="s">
        <v>131</v>
      </c>
    </row>
    <row r="11" spans="1:39" s="52" customFormat="1" ht="12">
      <c r="A11" s="47" t="s">
        <v>4470</v>
      </c>
      <c r="B11" s="59">
        <v>45513</v>
      </c>
      <c r="C11" s="47" t="s">
        <v>109</v>
      </c>
      <c r="D11" s="47" t="s">
        <v>110</v>
      </c>
      <c r="E11" s="47" t="s">
        <v>111</v>
      </c>
      <c r="F11" s="47" t="s">
        <v>4475</v>
      </c>
      <c r="G11" s="47" t="s">
        <v>4476</v>
      </c>
      <c r="H11" s="57" t="s">
        <v>4473</v>
      </c>
      <c r="I11" s="47" t="s">
        <v>51</v>
      </c>
      <c r="J11" s="48">
        <v>44783</v>
      </c>
      <c r="K11" s="48">
        <v>45148</v>
      </c>
      <c r="L11" s="48">
        <v>45513</v>
      </c>
      <c r="M11" s="47" t="s">
        <v>64</v>
      </c>
      <c r="N11" s="55" t="s">
        <v>53</v>
      </c>
      <c r="O11" s="62">
        <v>18600</v>
      </c>
      <c r="P11" s="62">
        <v>1550</v>
      </c>
      <c r="Q11" s="68">
        <v>19740</v>
      </c>
      <c r="R11" s="62">
        <f t="shared" si="0"/>
        <v>1645</v>
      </c>
      <c r="S11" s="62">
        <v>18540</v>
      </c>
      <c r="T11" s="62">
        <f t="shared" si="1"/>
        <v>1545</v>
      </c>
      <c r="U11" s="69">
        <v>17280</v>
      </c>
      <c r="V11" s="71">
        <v>1750</v>
      </c>
      <c r="W11" s="64">
        <f t="shared" si="2"/>
        <v>0.13268608414239483</v>
      </c>
      <c r="X11" s="64">
        <f t="shared" si="3"/>
        <v>6.3829787234042548E-2</v>
      </c>
      <c r="Y11" s="71"/>
      <c r="Z11" s="64">
        <f t="shared" si="4"/>
        <v>-1</v>
      </c>
      <c r="AA11" s="64">
        <f t="shared" si="5"/>
        <v>-1</v>
      </c>
      <c r="AB11" s="71"/>
      <c r="AC11" s="64">
        <f t="shared" si="6"/>
        <v>-1</v>
      </c>
      <c r="AD11" s="64">
        <f t="shared" si="7"/>
        <v>-1</v>
      </c>
      <c r="AE11" s="67"/>
      <c r="AF11" s="47" t="s">
        <v>54</v>
      </c>
      <c r="AG11" s="47">
        <v>742</v>
      </c>
      <c r="AH11" s="47" t="s">
        <v>65</v>
      </c>
      <c r="AI11" s="47" t="s">
        <v>65</v>
      </c>
      <c r="AJ11" s="47" t="s">
        <v>4477</v>
      </c>
      <c r="AK11" s="47" t="s">
        <v>90</v>
      </c>
      <c r="AL11" s="51">
        <v>45513</v>
      </c>
      <c r="AM11" s="47" t="s">
        <v>131</v>
      </c>
    </row>
    <row r="12" spans="1:39" s="52" customFormat="1" ht="12">
      <c r="A12" s="47" t="s">
        <v>898</v>
      </c>
      <c r="B12" s="59">
        <v>45503</v>
      </c>
      <c r="C12" s="47" t="s">
        <v>45</v>
      </c>
      <c r="D12" s="47" t="s">
        <v>847</v>
      </c>
      <c r="E12" s="47" t="s">
        <v>848</v>
      </c>
      <c r="F12" s="47" t="s">
        <v>4478</v>
      </c>
      <c r="G12" s="47" t="s">
        <v>4479</v>
      </c>
      <c r="H12" s="47" t="s">
        <v>4468</v>
      </c>
      <c r="I12" s="47" t="s">
        <v>51</v>
      </c>
      <c r="J12" s="48">
        <v>45138</v>
      </c>
      <c r="K12" s="48">
        <v>45138</v>
      </c>
      <c r="L12" s="48">
        <v>45503</v>
      </c>
      <c r="M12" s="47" t="s">
        <v>52</v>
      </c>
      <c r="N12" s="55" t="s">
        <v>53</v>
      </c>
      <c r="O12" s="62">
        <v>15600</v>
      </c>
      <c r="P12" s="62">
        <v>1300</v>
      </c>
      <c r="Q12" s="68">
        <v>17108</v>
      </c>
      <c r="R12" s="62">
        <f t="shared" si="0"/>
        <v>1425.6666666666667</v>
      </c>
      <c r="S12" s="62">
        <v>15720</v>
      </c>
      <c r="T12" s="62">
        <f t="shared" si="1"/>
        <v>1310</v>
      </c>
      <c r="U12" s="69">
        <v>15600</v>
      </c>
      <c r="V12" s="71">
        <v>1470</v>
      </c>
      <c r="W12" s="64">
        <f t="shared" si="2"/>
        <v>0.12213740458015267</v>
      </c>
      <c r="X12" s="64">
        <f t="shared" si="3"/>
        <v>3.1096563011456572E-2</v>
      </c>
      <c r="Y12" s="71"/>
      <c r="Z12" s="64">
        <f t="shared" si="4"/>
        <v>-1</v>
      </c>
      <c r="AA12" s="64">
        <f t="shared" si="5"/>
        <v>-1</v>
      </c>
      <c r="AB12" s="71"/>
      <c r="AC12" s="64">
        <f t="shared" si="6"/>
        <v>-1</v>
      </c>
      <c r="AD12" s="64">
        <f t="shared" si="7"/>
        <v>-1</v>
      </c>
      <c r="AE12" s="67"/>
      <c r="AF12" s="47" t="s">
        <v>54</v>
      </c>
      <c r="AG12" s="47">
        <v>486</v>
      </c>
      <c r="AH12" s="47" t="s">
        <v>55</v>
      </c>
      <c r="AI12" s="47" t="s">
        <v>55</v>
      </c>
      <c r="AJ12" s="47" t="s">
        <v>4480</v>
      </c>
      <c r="AK12" s="47" t="s">
        <v>852</v>
      </c>
      <c r="AL12" s="51">
        <v>45503</v>
      </c>
      <c r="AM12" s="47" t="s">
        <v>131</v>
      </c>
    </row>
    <row r="13" spans="1:39" s="52" customFormat="1" ht="12">
      <c r="A13" s="52" t="s">
        <v>4481</v>
      </c>
      <c r="B13" s="59">
        <v>45504</v>
      </c>
      <c r="C13" s="47" t="s">
        <v>2086</v>
      </c>
      <c r="D13" s="47" t="s">
        <v>4482</v>
      </c>
      <c r="E13" s="47" t="s">
        <v>1588</v>
      </c>
      <c r="F13" s="47" t="s">
        <v>4483</v>
      </c>
      <c r="G13" s="47" t="s">
        <v>4484</v>
      </c>
      <c r="H13" s="47" t="s">
        <v>4485</v>
      </c>
      <c r="I13" s="47" t="s">
        <v>51</v>
      </c>
      <c r="J13" s="48">
        <v>45139</v>
      </c>
      <c r="K13" s="48"/>
      <c r="L13" s="48"/>
      <c r="M13" s="47" t="s">
        <v>52</v>
      </c>
      <c r="N13" s="55" t="s">
        <v>4486</v>
      </c>
      <c r="O13" s="62">
        <v>7200</v>
      </c>
      <c r="P13" s="62">
        <v>600</v>
      </c>
      <c r="Q13" s="62"/>
      <c r="R13" s="62">
        <f t="shared" si="0"/>
        <v>0</v>
      </c>
      <c r="S13" s="62">
        <v>7200</v>
      </c>
      <c r="T13" s="62">
        <f t="shared" si="1"/>
        <v>600</v>
      </c>
      <c r="U13" s="69">
        <v>175</v>
      </c>
      <c r="V13" s="71"/>
      <c r="W13" s="64">
        <f t="shared" si="2"/>
        <v>-1</v>
      </c>
      <c r="X13" s="64" t="e">
        <f t="shared" si="3"/>
        <v>#DIV/0!</v>
      </c>
      <c r="Y13" s="71"/>
      <c r="Z13" s="64">
        <f t="shared" si="4"/>
        <v>-1</v>
      </c>
      <c r="AA13" s="64" t="e">
        <f t="shared" si="5"/>
        <v>#DIV/0!</v>
      </c>
      <c r="AB13" s="71"/>
      <c r="AC13" s="64">
        <f t="shared" si="6"/>
        <v>-1</v>
      </c>
      <c r="AD13" s="64" t="e">
        <f t="shared" si="7"/>
        <v>#DIV/0!</v>
      </c>
      <c r="AE13" s="67"/>
      <c r="AF13" s="47" t="s">
        <v>54</v>
      </c>
      <c r="AG13" s="47">
        <v>0</v>
      </c>
      <c r="AH13" s="47" t="s">
        <v>131</v>
      </c>
      <c r="AI13" s="47" t="s">
        <v>131</v>
      </c>
      <c r="AJ13" s="47" t="s">
        <v>4487</v>
      </c>
      <c r="AK13" s="47" t="s">
        <v>90</v>
      </c>
      <c r="AL13" s="51">
        <v>45504</v>
      </c>
      <c r="AM13" s="47" t="s">
        <v>131</v>
      </c>
    </row>
    <row r="14" spans="1:39" s="52" customFormat="1" ht="12">
      <c r="A14" s="47" t="s">
        <v>4441</v>
      </c>
      <c r="B14" s="59">
        <v>45534</v>
      </c>
      <c r="C14" s="47" t="s">
        <v>45</v>
      </c>
      <c r="D14" s="47" t="s">
        <v>98</v>
      </c>
      <c r="E14" s="47" t="s">
        <v>99</v>
      </c>
      <c r="F14" s="47" t="s">
        <v>4488</v>
      </c>
      <c r="G14" s="47" t="s">
        <v>4489</v>
      </c>
      <c r="H14" s="47" t="s">
        <v>4490</v>
      </c>
      <c r="I14" s="47" t="s">
        <v>51</v>
      </c>
      <c r="J14" s="48">
        <v>44439</v>
      </c>
      <c r="K14" s="48">
        <v>45169</v>
      </c>
      <c r="L14" s="48">
        <v>45534</v>
      </c>
      <c r="M14" s="47" t="s">
        <v>64</v>
      </c>
      <c r="N14" s="55" t="s">
        <v>53</v>
      </c>
      <c r="O14" s="62">
        <v>13980</v>
      </c>
      <c r="P14" s="62">
        <v>1165</v>
      </c>
      <c r="Q14" s="68">
        <v>14400</v>
      </c>
      <c r="R14" s="62">
        <f t="shared" si="0"/>
        <v>1200</v>
      </c>
      <c r="S14" s="62">
        <v>14400</v>
      </c>
      <c r="T14" s="62">
        <f t="shared" si="1"/>
        <v>1200</v>
      </c>
      <c r="U14" s="69">
        <v>12984</v>
      </c>
      <c r="V14" s="71">
        <v>1300</v>
      </c>
      <c r="W14" s="64">
        <f t="shared" si="2"/>
        <v>8.3333333333333329E-2</v>
      </c>
      <c r="X14" s="64">
        <f t="shared" si="3"/>
        <v>8.3333333333333329E-2</v>
      </c>
      <c r="Y14" s="71"/>
      <c r="Z14" s="64">
        <f t="shared" si="4"/>
        <v>-1</v>
      </c>
      <c r="AA14" s="64">
        <f t="shared" si="5"/>
        <v>-1</v>
      </c>
      <c r="AB14" s="71"/>
      <c r="AC14" s="64">
        <f t="shared" si="6"/>
        <v>-1</v>
      </c>
      <c r="AD14" s="64">
        <f t="shared" si="7"/>
        <v>-1</v>
      </c>
      <c r="AE14" s="67"/>
      <c r="AF14" s="47" t="s">
        <v>250</v>
      </c>
      <c r="AG14" s="47">
        <v>459</v>
      </c>
      <c r="AH14" s="47" t="s">
        <v>55</v>
      </c>
      <c r="AI14" s="47" t="s">
        <v>55</v>
      </c>
      <c r="AJ14" s="47" t="s">
        <v>102</v>
      </c>
      <c r="AK14" s="47" t="s">
        <v>57</v>
      </c>
      <c r="AL14" s="51">
        <v>45534</v>
      </c>
      <c r="AM14" s="47" t="s">
        <v>131</v>
      </c>
    </row>
    <row r="15" spans="1:39" s="52" customFormat="1" ht="12">
      <c r="A15" s="47" t="s">
        <v>898</v>
      </c>
      <c r="B15" s="59">
        <v>45487</v>
      </c>
      <c r="C15" s="47" t="s">
        <v>45</v>
      </c>
      <c r="D15" s="47" t="s">
        <v>98</v>
      </c>
      <c r="E15" s="47" t="s">
        <v>99</v>
      </c>
      <c r="F15" s="47" t="s">
        <v>4491</v>
      </c>
      <c r="G15" s="47" t="s">
        <v>4492</v>
      </c>
      <c r="H15" s="47" t="s">
        <v>4493</v>
      </c>
      <c r="I15" s="47" t="s">
        <v>51</v>
      </c>
      <c r="J15" s="48">
        <v>44392</v>
      </c>
      <c r="K15" s="48">
        <v>45122</v>
      </c>
      <c r="L15" s="48">
        <v>45487</v>
      </c>
      <c r="M15" s="47" t="s">
        <v>64</v>
      </c>
      <c r="N15" s="55" t="s">
        <v>53</v>
      </c>
      <c r="O15" s="62">
        <v>14100</v>
      </c>
      <c r="P15" s="62">
        <v>1175</v>
      </c>
      <c r="Q15" s="68">
        <v>14520</v>
      </c>
      <c r="R15" s="62">
        <f t="shared" si="0"/>
        <v>1210</v>
      </c>
      <c r="S15" s="62">
        <v>13620</v>
      </c>
      <c r="T15" s="62">
        <f t="shared" si="1"/>
        <v>1135</v>
      </c>
      <c r="U15" s="69">
        <v>11880</v>
      </c>
      <c r="V15" s="71">
        <v>1240</v>
      </c>
      <c r="W15" s="64">
        <f t="shared" si="2"/>
        <v>9.2511013215859028E-2</v>
      </c>
      <c r="X15" s="64">
        <f t="shared" si="3"/>
        <v>2.4793388429752067E-2</v>
      </c>
      <c r="Y15" s="71"/>
      <c r="Z15" s="64">
        <f t="shared" si="4"/>
        <v>-1</v>
      </c>
      <c r="AA15" s="64">
        <f t="shared" si="5"/>
        <v>-1</v>
      </c>
      <c r="AB15" s="71"/>
      <c r="AC15" s="64">
        <f t="shared" si="6"/>
        <v>-1</v>
      </c>
      <c r="AD15" s="64">
        <f t="shared" si="7"/>
        <v>-1</v>
      </c>
      <c r="AE15" s="67"/>
      <c r="AF15" s="47" t="s">
        <v>54</v>
      </c>
      <c r="AG15" s="47">
        <v>459</v>
      </c>
      <c r="AH15" s="47" t="s">
        <v>55</v>
      </c>
      <c r="AI15" s="47" t="s">
        <v>55</v>
      </c>
      <c r="AJ15" s="47" t="s">
        <v>102</v>
      </c>
      <c r="AK15" s="47" t="s">
        <v>57</v>
      </c>
      <c r="AL15" s="51">
        <v>45487</v>
      </c>
      <c r="AM15" s="47" t="s">
        <v>131</v>
      </c>
    </row>
    <row r="16" spans="1:39" s="52" customFormat="1" ht="12">
      <c r="A16" s="47" t="s">
        <v>898</v>
      </c>
      <c r="B16" s="59">
        <v>45502</v>
      </c>
      <c r="C16" s="47" t="s">
        <v>45</v>
      </c>
      <c r="D16" s="47" t="s">
        <v>98</v>
      </c>
      <c r="E16" s="47" t="s">
        <v>99</v>
      </c>
      <c r="F16" s="47" t="s">
        <v>4494</v>
      </c>
      <c r="G16" s="47" t="s">
        <v>4495</v>
      </c>
      <c r="H16" s="47" t="s">
        <v>4496</v>
      </c>
      <c r="I16" s="47" t="s">
        <v>51</v>
      </c>
      <c r="J16" s="48">
        <v>44408</v>
      </c>
      <c r="K16" s="48">
        <v>45137</v>
      </c>
      <c r="L16" s="48">
        <v>45502</v>
      </c>
      <c r="M16" s="47" t="s">
        <v>64</v>
      </c>
      <c r="N16" s="55" t="s">
        <v>53</v>
      </c>
      <c r="O16" s="62">
        <v>16920</v>
      </c>
      <c r="P16" s="62">
        <v>1410</v>
      </c>
      <c r="Q16" s="68">
        <v>17400</v>
      </c>
      <c r="R16" s="62">
        <f t="shared" si="0"/>
        <v>1450</v>
      </c>
      <c r="S16" s="62">
        <v>16680</v>
      </c>
      <c r="T16" s="62">
        <f t="shared" si="1"/>
        <v>1390</v>
      </c>
      <c r="U16" s="69">
        <v>15180</v>
      </c>
      <c r="V16" s="71">
        <v>1515</v>
      </c>
      <c r="W16" s="64">
        <f t="shared" si="2"/>
        <v>8.9928057553956831E-2</v>
      </c>
      <c r="X16" s="64">
        <f t="shared" si="3"/>
        <v>4.4827586206896551E-2</v>
      </c>
      <c r="Y16" s="71"/>
      <c r="Z16" s="64">
        <f t="shared" si="4"/>
        <v>-1</v>
      </c>
      <c r="AA16" s="64">
        <f t="shared" si="5"/>
        <v>-1</v>
      </c>
      <c r="AB16" s="71"/>
      <c r="AC16" s="64">
        <f t="shared" si="6"/>
        <v>-1</v>
      </c>
      <c r="AD16" s="64">
        <f t="shared" si="7"/>
        <v>-1</v>
      </c>
      <c r="AE16" s="67"/>
      <c r="AF16" s="47" t="s">
        <v>54</v>
      </c>
      <c r="AG16" s="47">
        <v>673</v>
      </c>
      <c r="AH16" s="47" t="s">
        <v>65</v>
      </c>
      <c r="AI16" s="47" t="s">
        <v>65</v>
      </c>
      <c r="AJ16" s="47" t="s">
        <v>448</v>
      </c>
      <c r="AK16" s="47" t="s">
        <v>57</v>
      </c>
      <c r="AL16" s="51">
        <v>45502</v>
      </c>
      <c r="AM16" s="47" t="s">
        <v>131</v>
      </c>
    </row>
    <row r="17" spans="1:39" s="52" customFormat="1" ht="12">
      <c r="A17" s="47" t="s">
        <v>4497</v>
      </c>
      <c r="B17" s="59">
        <v>45526</v>
      </c>
      <c r="C17" s="47" t="s">
        <v>83</v>
      </c>
      <c r="D17" s="47" t="s">
        <v>1587</v>
      </c>
      <c r="E17" s="47" t="s">
        <v>1588</v>
      </c>
      <c r="F17" s="47" t="s">
        <v>4498</v>
      </c>
      <c r="G17" s="47" t="s">
        <v>4499</v>
      </c>
      <c r="H17" s="47" t="s">
        <v>4500</v>
      </c>
      <c r="I17" s="47" t="s">
        <v>51</v>
      </c>
      <c r="J17" s="48">
        <v>44795</v>
      </c>
      <c r="K17" s="48">
        <v>44795</v>
      </c>
      <c r="L17" s="48">
        <v>45159</v>
      </c>
      <c r="M17" s="47" t="s">
        <v>64</v>
      </c>
      <c r="N17" s="55" t="s">
        <v>53</v>
      </c>
      <c r="O17" s="62">
        <v>19200</v>
      </c>
      <c r="P17" s="62">
        <v>1600</v>
      </c>
      <c r="Q17" s="62"/>
      <c r="R17" s="62"/>
      <c r="S17" s="62">
        <v>20400</v>
      </c>
      <c r="T17" s="62">
        <f t="shared" si="1"/>
        <v>1700</v>
      </c>
      <c r="U17" s="69">
        <v>19140</v>
      </c>
      <c r="V17" s="71"/>
      <c r="W17" s="64">
        <f t="shared" si="2"/>
        <v>-1</v>
      </c>
      <c r="X17" s="64" t="e">
        <f t="shared" si="3"/>
        <v>#DIV/0!</v>
      </c>
      <c r="Y17" s="71"/>
      <c r="Z17" s="64">
        <f t="shared" si="4"/>
        <v>-1</v>
      </c>
      <c r="AA17" s="64" t="e">
        <f t="shared" si="5"/>
        <v>#DIV/0!</v>
      </c>
      <c r="AB17" s="71"/>
      <c r="AC17" s="64">
        <f t="shared" si="6"/>
        <v>-1</v>
      </c>
      <c r="AD17" s="64" t="e">
        <f t="shared" si="7"/>
        <v>#DIV/0!</v>
      </c>
      <c r="AE17" s="67"/>
      <c r="AF17" s="47" t="s">
        <v>250</v>
      </c>
      <c r="AG17" s="47">
        <v>422.49</v>
      </c>
      <c r="AH17" s="47" t="s">
        <v>55</v>
      </c>
      <c r="AI17" s="47" t="s">
        <v>55</v>
      </c>
      <c r="AJ17" s="47" t="s">
        <v>1592</v>
      </c>
      <c r="AK17" s="47" t="s">
        <v>90</v>
      </c>
      <c r="AL17" s="51">
        <v>45526</v>
      </c>
      <c r="AM17" s="47" t="s">
        <v>4501</v>
      </c>
    </row>
    <row r="18" spans="1:39" s="52" customFormat="1" ht="12">
      <c r="A18" s="77" t="s">
        <v>1120</v>
      </c>
      <c r="B18" s="59">
        <v>45517</v>
      </c>
      <c r="C18" s="47" t="s">
        <v>83</v>
      </c>
      <c r="D18" s="47" t="s">
        <v>1587</v>
      </c>
      <c r="E18" s="47" t="s">
        <v>1588</v>
      </c>
      <c r="F18" s="47" t="s">
        <v>4502</v>
      </c>
      <c r="G18" s="47" t="s">
        <v>4503</v>
      </c>
      <c r="H18" s="77" t="s">
        <v>4504</v>
      </c>
      <c r="I18" s="47" t="s">
        <v>51</v>
      </c>
      <c r="J18" s="48">
        <v>45152</v>
      </c>
      <c r="K18" s="48">
        <v>45152</v>
      </c>
      <c r="L18" s="48">
        <v>45517</v>
      </c>
      <c r="M18" s="47" t="s">
        <v>52</v>
      </c>
      <c r="N18" s="55" t="s">
        <v>53</v>
      </c>
      <c r="O18" s="62">
        <v>19200</v>
      </c>
      <c r="P18" s="62">
        <v>1600</v>
      </c>
      <c r="Q18" s="62"/>
      <c r="R18" s="62"/>
      <c r="S18" s="62">
        <v>21600</v>
      </c>
      <c r="T18" s="62">
        <f t="shared" si="1"/>
        <v>1800</v>
      </c>
      <c r="U18" s="69">
        <v>19200</v>
      </c>
      <c r="V18" s="71"/>
      <c r="W18" s="64">
        <f t="shared" si="2"/>
        <v>-1</v>
      </c>
      <c r="X18" s="64" t="e">
        <f t="shared" si="3"/>
        <v>#DIV/0!</v>
      </c>
      <c r="Y18" s="71"/>
      <c r="Z18" s="64">
        <f t="shared" si="4"/>
        <v>-1</v>
      </c>
      <c r="AA18" s="64" t="e">
        <f t="shared" si="5"/>
        <v>#DIV/0!</v>
      </c>
      <c r="AB18" s="71"/>
      <c r="AC18" s="64">
        <f t="shared" si="6"/>
        <v>-1</v>
      </c>
      <c r="AD18" s="64" t="e">
        <f t="shared" si="7"/>
        <v>#DIV/0!</v>
      </c>
      <c r="AE18" s="67"/>
      <c r="AF18" s="47" t="s">
        <v>54</v>
      </c>
      <c r="AG18" s="47">
        <v>433.9</v>
      </c>
      <c r="AH18" s="47" t="s">
        <v>55</v>
      </c>
      <c r="AI18" s="47" t="s">
        <v>55</v>
      </c>
      <c r="AJ18" s="47" t="s">
        <v>4505</v>
      </c>
      <c r="AK18" s="47" t="s">
        <v>90</v>
      </c>
      <c r="AL18" s="51">
        <v>45517</v>
      </c>
      <c r="AM18" s="47" t="s">
        <v>131</v>
      </c>
    </row>
    <row r="19" spans="1:39" s="52" customFormat="1" ht="12">
      <c r="A19" s="47" t="s">
        <v>4497</v>
      </c>
      <c r="B19" s="59">
        <v>45486</v>
      </c>
      <c r="C19" s="47" t="s">
        <v>45</v>
      </c>
      <c r="D19" s="47" t="s">
        <v>142</v>
      </c>
      <c r="E19" s="47" t="s">
        <v>143</v>
      </c>
      <c r="F19" s="47" t="s">
        <v>4506</v>
      </c>
      <c r="G19" s="47" t="s">
        <v>4507</v>
      </c>
      <c r="H19" s="47" t="s">
        <v>4508</v>
      </c>
      <c r="I19" s="47" t="s">
        <v>51</v>
      </c>
      <c r="J19" s="48">
        <v>45121</v>
      </c>
      <c r="K19" s="48">
        <v>45121</v>
      </c>
      <c r="L19" s="48">
        <v>45486</v>
      </c>
      <c r="M19" s="47" t="s">
        <v>52</v>
      </c>
      <c r="N19" s="55" t="s">
        <v>53</v>
      </c>
      <c r="O19" s="62">
        <v>15300</v>
      </c>
      <c r="P19" s="62">
        <v>1275</v>
      </c>
      <c r="Q19" s="68">
        <v>15840</v>
      </c>
      <c r="R19" s="62">
        <f>Q19/12</f>
        <v>1320</v>
      </c>
      <c r="S19" s="62">
        <v>15300</v>
      </c>
      <c r="T19" s="62">
        <f t="shared" si="1"/>
        <v>1275</v>
      </c>
      <c r="U19" s="69">
        <v>13740</v>
      </c>
      <c r="V19" s="71">
        <v>1345</v>
      </c>
      <c r="W19" s="64">
        <f t="shared" si="2"/>
        <v>5.4901960784313725E-2</v>
      </c>
      <c r="X19" s="64">
        <f t="shared" si="3"/>
        <v>1.893939393939394E-2</v>
      </c>
      <c r="Y19" s="71"/>
      <c r="Z19" s="64">
        <f t="shared" si="4"/>
        <v>-1</v>
      </c>
      <c r="AA19" s="64">
        <f t="shared" si="5"/>
        <v>-1</v>
      </c>
      <c r="AB19" s="71"/>
      <c r="AC19" s="64">
        <f t="shared" si="6"/>
        <v>-1</v>
      </c>
      <c r="AD19" s="64">
        <f t="shared" si="7"/>
        <v>-1</v>
      </c>
      <c r="AE19" s="67"/>
      <c r="AF19" s="47" t="s">
        <v>395</v>
      </c>
      <c r="AG19" s="47">
        <v>695.3</v>
      </c>
      <c r="AH19" s="47" t="s">
        <v>65</v>
      </c>
      <c r="AI19" s="47" t="s">
        <v>55</v>
      </c>
      <c r="AJ19" s="47" t="s">
        <v>4509</v>
      </c>
      <c r="AK19" s="47" t="s">
        <v>57</v>
      </c>
      <c r="AL19" s="51">
        <v>45486</v>
      </c>
      <c r="AM19" s="47" t="s">
        <v>131</v>
      </c>
    </row>
    <row r="20" spans="1:39" s="52" customFormat="1" ht="12">
      <c r="A20" s="77" t="s">
        <v>1120</v>
      </c>
      <c r="B20" s="59">
        <v>45487</v>
      </c>
      <c r="C20" s="47" t="s">
        <v>45</v>
      </c>
      <c r="D20" s="47" t="s">
        <v>142</v>
      </c>
      <c r="E20" s="47" t="s">
        <v>143</v>
      </c>
      <c r="F20" s="47" t="s">
        <v>4510</v>
      </c>
      <c r="G20" s="47" t="s">
        <v>4511</v>
      </c>
      <c r="H20" s="77" t="s">
        <v>4512</v>
      </c>
      <c r="I20" s="47" t="s">
        <v>51</v>
      </c>
      <c r="J20" s="48">
        <v>44758</v>
      </c>
      <c r="K20" s="48">
        <v>45122</v>
      </c>
      <c r="L20" s="48">
        <v>45487</v>
      </c>
      <c r="M20" s="47" t="s">
        <v>64</v>
      </c>
      <c r="N20" s="55" t="s">
        <v>53</v>
      </c>
      <c r="O20" s="62">
        <v>16440</v>
      </c>
      <c r="P20" s="62">
        <v>1370</v>
      </c>
      <c r="Q20" s="68">
        <v>17040</v>
      </c>
      <c r="R20" s="62">
        <f>Q20/12</f>
        <v>1420</v>
      </c>
      <c r="S20" s="62">
        <v>16440</v>
      </c>
      <c r="T20" s="62">
        <f t="shared" si="1"/>
        <v>1370</v>
      </c>
      <c r="U20" s="69">
        <v>14880</v>
      </c>
      <c r="V20" s="71">
        <v>1435</v>
      </c>
      <c r="W20" s="64">
        <f t="shared" si="2"/>
        <v>4.7445255474452552E-2</v>
      </c>
      <c r="X20" s="64">
        <f t="shared" si="3"/>
        <v>1.0563380281690141E-2</v>
      </c>
      <c r="Y20" s="71"/>
      <c r="Z20" s="64">
        <f t="shared" si="4"/>
        <v>-1</v>
      </c>
      <c r="AA20" s="64">
        <f t="shared" si="5"/>
        <v>-1</v>
      </c>
      <c r="AB20" s="71"/>
      <c r="AC20" s="64">
        <f t="shared" si="6"/>
        <v>-1</v>
      </c>
      <c r="AD20" s="64">
        <f t="shared" si="7"/>
        <v>-1</v>
      </c>
      <c r="AE20" s="67"/>
      <c r="AF20" s="47" t="s">
        <v>54</v>
      </c>
      <c r="AG20" s="47">
        <v>678.1</v>
      </c>
      <c r="AH20" s="47" t="s">
        <v>65</v>
      </c>
      <c r="AI20" s="47" t="s">
        <v>65</v>
      </c>
      <c r="AJ20" s="47" t="s">
        <v>4513</v>
      </c>
      <c r="AK20" s="47" t="s">
        <v>57</v>
      </c>
      <c r="AL20" s="51">
        <v>45487</v>
      </c>
      <c r="AM20" s="47" t="s">
        <v>131</v>
      </c>
    </row>
    <row r="21" spans="1:39" s="52" customFormat="1" ht="12">
      <c r="A21" s="47" t="s">
        <v>898</v>
      </c>
      <c r="B21" s="59">
        <v>45489</v>
      </c>
      <c r="C21" s="47" t="s">
        <v>83</v>
      </c>
      <c r="D21" s="47" t="s">
        <v>118</v>
      </c>
      <c r="E21" s="47" t="s">
        <v>119</v>
      </c>
      <c r="F21" s="47" t="s">
        <v>4514</v>
      </c>
      <c r="G21" s="47" t="s">
        <v>4515</v>
      </c>
      <c r="H21" s="47" t="s">
        <v>4516</v>
      </c>
      <c r="I21" s="47" t="s">
        <v>51</v>
      </c>
      <c r="J21" s="48">
        <v>44302</v>
      </c>
      <c r="K21" s="48">
        <v>45124</v>
      </c>
      <c r="L21" s="48">
        <v>45489</v>
      </c>
      <c r="M21" s="47" t="s">
        <v>64</v>
      </c>
      <c r="N21" s="55" t="s">
        <v>53</v>
      </c>
      <c r="O21" s="62">
        <v>17580</v>
      </c>
      <c r="P21" s="62">
        <v>1465</v>
      </c>
      <c r="Q21" s="62"/>
      <c r="R21" s="62">
        <f>Q21/12</f>
        <v>0</v>
      </c>
      <c r="S21" s="62">
        <v>17700</v>
      </c>
      <c r="T21" s="62">
        <f t="shared" si="1"/>
        <v>1475</v>
      </c>
      <c r="U21" s="69">
        <v>16740</v>
      </c>
      <c r="V21" s="78"/>
      <c r="W21" s="64">
        <f t="shared" si="2"/>
        <v>-1</v>
      </c>
      <c r="X21" s="64" t="e">
        <f t="shared" si="3"/>
        <v>#DIV/0!</v>
      </c>
      <c r="Y21" s="78"/>
      <c r="Z21" s="64">
        <f t="shared" si="4"/>
        <v>-1</v>
      </c>
      <c r="AA21" s="64" t="e">
        <f t="shared" si="5"/>
        <v>#DIV/0!</v>
      </c>
      <c r="AB21" s="78"/>
      <c r="AC21" s="64">
        <f t="shared" si="6"/>
        <v>-1</v>
      </c>
      <c r="AD21" s="64" t="e">
        <f t="shared" si="7"/>
        <v>#DIV/0!</v>
      </c>
      <c r="AE21" s="79"/>
      <c r="AF21" s="47" t="s">
        <v>54</v>
      </c>
      <c r="AG21" s="47">
        <v>486</v>
      </c>
      <c r="AH21" s="47" t="s">
        <v>55</v>
      </c>
      <c r="AI21" s="47" t="s">
        <v>55</v>
      </c>
      <c r="AJ21" s="47" t="s">
        <v>4517</v>
      </c>
      <c r="AK21" s="47" t="s">
        <v>90</v>
      </c>
      <c r="AL21" s="51">
        <v>45489</v>
      </c>
      <c r="AM21" s="47" t="s">
        <v>131</v>
      </c>
    </row>
    <row r="22" spans="1:39" s="52" customFormat="1" ht="24">
      <c r="A22" s="47" t="s">
        <v>1246</v>
      </c>
      <c r="B22" s="59">
        <v>45487</v>
      </c>
      <c r="C22" s="47" t="s">
        <v>83</v>
      </c>
      <c r="D22" s="47" t="s">
        <v>126</v>
      </c>
      <c r="E22" s="47" t="s">
        <v>127</v>
      </c>
      <c r="F22" s="47" t="s">
        <v>4518</v>
      </c>
      <c r="G22" s="47" t="s">
        <v>4519</v>
      </c>
      <c r="H22" s="54" t="s">
        <v>4520</v>
      </c>
      <c r="I22" s="47" t="s">
        <v>51</v>
      </c>
      <c r="J22" s="48">
        <v>44758</v>
      </c>
      <c r="K22" s="48">
        <v>45122</v>
      </c>
      <c r="L22" s="48">
        <v>45487</v>
      </c>
      <c r="M22" s="47" t="s">
        <v>64</v>
      </c>
      <c r="N22" s="55" t="s">
        <v>53</v>
      </c>
      <c r="O22" s="62">
        <v>29400</v>
      </c>
      <c r="P22" s="62">
        <v>2450</v>
      </c>
      <c r="Q22" s="62"/>
      <c r="R22" s="62">
        <f>Q22/12</f>
        <v>0</v>
      </c>
      <c r="S22" s="62">
        <v>29400</v>
      </c>
      <c r="T22" s="62">
        <f t="shared" si="1"/>
        <v>2450</v>
      </c>
      <c r="U22" s="69">
        <v>27600</v>
      </c>
      <c r="V22" s="71"/>
      <c r="W22" s="64">
        <f t="shared" si="2"/>
        <v>-1</v>
      </c>
      <c r="X22" s="64" t="e">
        <f t="shared" si="3"/>
        <v>#DIV/0!</v>
      </c>
      <c r="Y22" s="71"/>
      <c r="Z22" s="64">
        <f t="shared" si="4"/>
        <v>-1</v>
      </c>
      <c r="AA22" s="64" t="e">
        <f t="shared" si="5"/>
        <v>#DIV/0!</v>
      </c>
      <c r="AB22" s="71"/>
      <c r="AC22" s="64">
        <f t="shared" si="6"/>
        <v>-1</v>
      </c>
      <c r="AD22" s="64" t="e">
        <f t="shared" si="7"/>
        <v>#DIV/0!</v>
      </c>
      <c r="AE22" s="67"/>
      <c r="AF22" s="47" t="s">
        <v>395</v>
      </c>
      <c r="AG22" s="47">
        <v>592.02</v>
      </c>
      <c r="AH22" s="47" t="s">
        <v>65</v>
      </c>
      <c r="AI22" s="47" t="s">
        <v>55</v>
      </c>
      <c r="AJ22" s="47" t="s">
        <v>131</v>
      </c>
      <c r="AK22" s="47" t="s">
        <v>90</v>
      </c>
      <c r="AL22" s="51">
        <v>45487</v>
      </c>
      <c r="AM22" s="47" t="s">
        <v>131</v>
      </c>
    </row>
    <row r="23" spans="1:39">
      <c r="A23" s="47" t="s">
        <v>4458</v>
      </c>
      <c r="B23" s="59">
        <v>45483</v>
      </c>
      <c r="C23" s="47" t="s">
        <v>103</v>
      </c>
      <c r="D23" s="47" t="s">
        <v>104</v>
      </c>
      <c r="E23" s="47" t="s">
        <v>105</v>
      </c>
      <c r="F23" s="47" t="s">
        <v>4521</v>
      </c>
      <c r="G23" s="47" t="s">
        <v>4375</v>
      </c>
      <c r="H23" s="47" t="s">
        <v>4522</v>
      </c>
      <c r="I23" s="47" t="s">
        <v>51</v>
      </c>
      <c r="J23" s="48">
        <v>45118</v>
      </c>
      <c r="K23" s="48">
        <v>45118</v>
      </c>
      <c r="L23" s="48">
        <v>45483</v>
      </c>
      <c r="M23" s="47" t="s">
        <v>52</v>
      </c>
      <c r="N23" s="47" t="s">
        <v>53</v>
      </c>
      <c r="O23" s="49">
        <v>9660</v>
      </c>
      <c r="P23" s="49">
        <v>805</v>
      </c>
      <c r="Q23" s="49"/>
      <c r="R23" s="49"/>
      <c r="S23" s="49">
        <v>9360</v>
      </c>
      <c r="T23" s="49">
        <f t="shared" si="1"/>
        <v>780</v>
      </c>
      <c r="U23" s="50">
        <v>8400</v>
      </c>
      <c r="V23" s="63">
        <v>825</v>
      </c>
      <c r="W23" s="90">
        <f t="shared" si="2"/>
        <v>5.7692307692307696E-2</v>
      </c>
      <c r="X23" s="90">
        <f t="shared" ref="X23:X57" si="8">(P23-T23)/T23</f>
        <v>3.2051282051282048E-2</v>
      </c>
      <c r="Y23" s="63"/>
      <c r="Z23" s="90">
        <f t="shared" si="4"/>
        <v>-1</v>
      </c>
      <c r="AA23" s="90">
        <f t="shared" ref="AA23:AA32" si="9">(Y23-P23)/P23</f>
        <v>-1</v>
      </c>
      <c r="AB23" s="63"/>
      <c r="AC23" s="90">
        <f t="shared" si="6"/>
        <v>-1</v>
      </c>
      <c r="AD23" s="90">
        <f t="shared" ref="AD23:AD32" si="10">(AB23-P23)/P23</f>
        <v>-1</v>
      </c>
      <c r="AE23" s="67" t="s">
        <v>4523</v>
      </c>
      <c r="AF23" s="55" t="s">
        <v>54</v>
      </c>
      <c r="AG23" s="55">
        <v>548.96</v>
      </c>
      <c r="AH23" s="55" t="s">
        <v>55</v>
      </c>
      <c r="AI23" s="55" t="s">
        <v>55</v>
      </c>
      <c r="AJ23" s="47" t="s">
        <v>1131</v>
      </c>
      <c r="AK23" s="47" t="s">
        <v>57</v>
      </c>
      <c r="AL23" s="51">
        <v>45483</v>
      </c>
      <c r="AM23" s="47" t="s">
        <v>131</v>
      </c>
    </row>
    <row r="24" spans="1:39">
      <c r="A24" s="47" t="s">
        <v>891</v>
      </c>
      <c r="B24" s="59">
        <v>45534</v>
      </c>
      <c r="C24" s="47" t="s">
        <v>103</v>
      </c>
      <c r="D24" s="47" t="s">
        <v>104</v>
      </c>
      <c r="E24" s="47" t="s">
        <v>105</v>
      </c>
      <c r="F24" s="47" t="s">
        <v>4524</v>
      </c>
      <c r="G24" s="47" t="s">
        <v>4525</v>
      </c>
      <c r="H24" s="47" t="s">
        <v>4526</v>
      </c>
      <c r="I24" s="47" t="s">
        <v>51</v>
      </c>
      <c r="J24" s="48">
        <v>44804</v>
      </c>
      <c r="K24" s="48">
        <v>45169</v>
      </c>
      <c r="L24" s="48">
        <v>45534</v>
      </c>
      <c r="M24" s="47" t="s">
        <v>64</v>
      </c>
      <c r="N24" s="47" t="s">
        <v>53</v>
      </c>
      <c r="O24" s="49">
        <v>6900</v>
      </c>
      <c r="P24" s="49">
        <v>575</v>
      </c>
      <c r="Q24" s="49"/>
      <c r="R24" s="49"/>
      <c r="S24" s="49">
        <v>7500</v>
      </c>
      <c r="T24" s="49">
        <f t="shared" si="1"/>
        <v>625</v>
      </c>
      <c r="U24" s="50">
        <v>6900</v>
      </c>
      <c r="V24" s="63">
        <v>680</v>
      </c>
      <c r="W24" s="90">
        <f t="shared" si="2"/>
        <v>8.7999999999999995E-2</v>
      </c>
      <c r="X24" s="90">
        <f t="shared" si="8"/>
        <v>-0.08</v>
      </c>
      <c r="Y24" s="63"/>
      <c r="Z24" s="90">
        <f t="shared" si="4"/>
        <v>-1</v>
      </c>
      <c r="AA24" s="90">
        <f t="shared" si="9"/>
        <v>-1</v>
      </c>
      <c r="AB24" s="63"/>
      <c r="AC24" s="90">
        <f t="shared" si="6"/>
        <v>-1</v>
      </c>
      <c r="AD24" s="90">
        <f t="shared" si="10"/>
        <v>-1</v>
      </c>
      <c r="AE24" s="67" t="s">
        <v>4523</v>
      </c>
      <c r="AF24" s="55" t="s">
        <v>54</v>
      </c>
      <c r="AG24" s="55">
        <v>344.44</v>
      </c>
      <c r="AH24" s="55" t="s">
        <v>93</v>
      </c>
      <c r="AI24" s="55" t="s">
        <v>55</v>
      </c>
      <c r="AJ24" s="47" t="s">
        <v>4527</v>
      </c>
      <c r="AK24" s="47" t="s">
        <v>57</v>
      </c>
      <c r="AL24" s="51">
        <v>45534</v>
      </c>
      <c r="AM24" s="47" t="s">
        <v>131</v>
      </c>
    </row>
    <row r="25" spans="1:39" ht="36.75">
      <c r="A25" s="47" t="s">
        <v>898</v>
      </c>
      <c r="B25" s="59">
        <v>45486</v>
      </c>
      <c r="C25" s="47" t="s">
        <v>103</v>
      </c>
      <c r="D25" s="47" t="s">
        <v>156</v>
      </c>
      <c r="E25" s="47" t="s">
        <v>157</v>
      </c>
      <c r="F25" s="47" t="s">
        <v>4528</v>
      </c>
      <c r="G25" s="47" t="s">
        <v>4529</v>
      </c>
      <c r="H25" s="54" t="s">
        <v>4530</v>
      </c>
      <c r="I25" s="47" t="s">
        <v>51</v>
      </c>
      <c r="J25" s="48">
        <v>44757</v>
      </c>
      <c r="K25" s="48">
        <v>45121</v>
      </c>
      <c r="L25" s="48">
        <v>45486</v>
      </c>
      <c r="M25" s="47" t="s">
        <v>64</v>
      </c>
      <c r="N25" s="47" t="s">
        <v>53</v>
      </c>
      <c r="O25" s="49">
        <v>11280</v>
      </c>
      <c r="P25" s="49">
        <v>940</v>
      </c>
      <c r="Q25" s="49"/>
      <c r="R25" s="49"/>
      <c r="S25" s="49">
        <v>11520</v>
      </c>
      <c r="T25" s="49">
        <f t="shared" si="1"/>
        <v>960</v>
      </c>
      <c r="U25" s="50">
        <v>10560</v>
      </c>
      <c r="V25" s="63">
        <v>1030</v>
      </c>
      <c r="W25" s="90">
        <f t="shared" si="2"/>
        <v>7.2916666666666671E-2</v>
      </c>
      <c r="X25" s="90">
        <f t="shared" si="8"/>
        <v>-2.0833333333333332E-2</v>
      </c>
      <c r="Y25" s="63"/>
      <c r="Z25" s="90">
        <f t="shared" si="4"/>
        <v>-1</v>
      </c>
      <c r="AA25" s="90">
        <f t="shared" si="9"/>
        <v>-1</v>
      </c>
      <c r="AB25" s="63"/>
      <c r="AC25" s="90">
        <f t="shared" si="6"/>
        <v>-1</v>
      </c>
      <c r="AD25" s="90">
        <f t="shared" si="10"/>
        <v>-1</v>
      </c>
      <c r="AE25" s="67" t="s">
        <v>4523</v>
      </c>
      <c r="AF25" s="55" t="s">
        <v>54</v>
      </c>
      <c r="AG25" s="55">
        <v>602.779</v>
      </c>
      <c r="AH25" s="55" t="s">
        <v>65</v>
      </c>
      <c r="AI25" s="55" t="s">
        <v>55</v>
      </c>
      <c r="AJ25" s="47" t="s">
        <v>298</v>
      </c>
      <c r="AK25" s="47" t="s">
        <v>57</v>
      </c>
      <c r="AL25" s="51">
        <v>45486</v>
      </c>
      <c r="AM25" s="47" t="s">
        <v>131</v>
      </c>
    </row>
    <row r="26" spans="1:39">
      <c r="A26" s="47" t="s">
        <v>4441</v>
      </c>
      <c r="B26" s="59">
        <v>45478</v>
      </c>
      <c r="C26" s="47" t="s">
        <v>103</v>
      </c>
      <c r="D26" s="47" t="s">
        <v>4110</v>
      </c>
      <c r="E26" s="47" t="s">
        <v>47</v>
      </c>
      <c r="F26" s="47" t="s">
        <v>4531</v>
      </c>
      <c r="G26" s="47" t="s">
        <v>4112</v>
      </c>
      <c r="H26" s="47" t="s">
        <v>4532</v>
      </c>
      <c r="I26" s="47" t="s">
        <v>51</v>
      </c>
      <c r="J26" s="48">
        <v>45113</v>
      </c>
      <c r="K26" s="48">
        <v>45113</v>
      </c>
      <c r="L26" s="48">
        <v>45478</v>
      </c>
      <c r="M26" s="47" t="s">
        <v>52</v>
      </c>
      <c r="N26" s="47" t="s">
        <v>53</v>
      </c>
      <c r="O26" s="49">
        <v>10740</v>
      </c>
      <c r="P26" s="49">
        <v>895</v>
      </c>
      <c r="Q26" s="49"/>
      <c r="R26" s="49"/>
      <c r="S26" s="49">
        <v>10560</v>
      </c>
      <c r="T26" s="49">
        <f t="shared" si="1"/>
        <v>880</v>
      </c>
      <c r="U26" s="50">
        <v>9660</v>
      </c>
      <c r="V26" s="63">
        <v>915</v>
      </c>
      <c r="W26" s="90">
        <f t="shared" si="2"/>
        <v>3.9772727272727272E-2</v>
      </c>
      <c r="X26" s="90">
        <f t="shared" si="8"/>
        <v>1.7045454545454544E-2</v>
      </c>
      <c r="Y26" s="63"/>
      <c r="Z26" s="90">
        <f t="shared" si="4"/>
        <v>-1</v>
      </c>
      <c r="AA26" s="90">
        <f t="shared" si="9"/>
        <v>-1</v>
      </c>
      <c r="AB26" s="63"/>
      <c r="AC26" s="90">
        <f t="shared" si="6"/>
        <v>-1</v>
      </c>
      <c r="AD26" s="90">
        <f t="shared" si="10"/>
        <v>-1</v>
      </c>
      <c r="AE26" s="67" t="s">
        <v>4533</v>
      </c>
      <c r="AF26" s="55" t="s">
        <v>54</v>
      </c>
      <c r="AG26" s="55">
        <v>559.72</v>
      </c>
      <c r="AH26" s="55" t="s">
        <v>55</v>
      </c>
      <c r="AI26" s="55" t="s">
        <v>55</v>
      </c>
      <c r="AJ26" s="47" t="s">
        <v>4534</v>
      </c>
      <c r="AK26" s="47" t="s">
        <v>57</v>
      </c>
      <c r="AL26" s="51">
        <v>45478</v>
      </c>
      <c r="AM26" s="47" t="s">
        <v>131</v>
      </c>
    </row>
    <row r="27" spans="1:39">
      <c r="A27" s="47" t="s">
        <v>4441</v>
      </c>
      <c r="B27" s="59">
        <v>45479</v>
      </c>
      <c r="C27" s="47" t="s">
        <v>103</v>
      </c>
      <c r="D27" s="47" t="s">
        <v>4110</v>
      </c>
      <c r="E27" s="47" t="s">
        <v>47</v>
      </c>
      <c r="F27" s="47" t="s">
        <v>4535</v>
      </c>
      <c r="G27" s="47" t="s">
        <v>4536</v>
      </c>
      <c r="H27" s="47" t="s">
        <v>4532</v>
      </c>
      <c r="I27" s="47" t="s">
        <v>51</v>
      </c>
      <c r="J27" s="48">
        <v>45114</v>
      </c>
      <c r="K27" s="48">
        <v>45114</v>
      </c>
      <c r="L27" s="48">
        <v>45479</v>
      </c>
      <c r="M27" s="47" t="s">
        <v>52</v>
      </c>
      <c r="N27" s="47" t="s">
        <v>53</v>
      </c>
      <c r="O27" s="49">
        <v>10740</v>
      </c>
      <c r="P27" s="49">
        <v>895</v>
      </c>
      <c r="Q27" s="49"/>
      <c r="R27" s="49"/>
      <c r="S27" s="49">
        <v>10440</v>
      </c>
      <c r="T27" s="49">
        <f t="shared" si="1"/>
        <v>870</v>
      </c>
      <c r="U27" s="50">
        <v>9600</v>
      </c>
      <c r="V27" s="63">
        <v>925</v>
      </c>
      <c r="W27" s="90">
        <f t="shared" si="2"/>
        <v>6.3218390804597707E-2</v>
      </c>
      <c r="X27" s="90">
        <f t="shared" si="8"/>
        <v>2.8735632183908046E-2</v>
      </c>
      <c r="Y27" s="63"/>
      <c r="Z27" s="90">
        <f t="shared" si="4"/>
        <v>-1</v>
      </c>
      <c r="AA27" s="90">
        <f t="shared" si="9"/>
        <v>-1</v>
      </c>
      <c r="AB27" s="63"/>
      <c r="AC27" s="90">
        <f t="shared" si="6"/>
        <v>-1</v>
      </c>
      <c r="AD27" s="90">
        <f t="shared" si="10"/>
        <v>-1</v>
      </c>
      <c r="AE27" s="67" t="s">
        <v>4533</v>
      </c>
      <c r="AF27" s="55" t="s">
        <v>54</v>
      </c>
      <c r="AG27" s="55">
        <v>559.72</v>
      </c>
      <c r="AH27" s="55" t="s">
        <v>55</v>
      </c>
      <c r="AI27" s="55" t="s">
        <v>55</v>
      </c>
      <c r="AJ27" s="47" t="s">
        <v>4534</v>
      </c>
      <c r="AK27" s="47" t="s">
        <v>57</v>
      </c>
      <c r="AL27" s="51">
        <v>45479</v>
      </c>
      <c r="AM27" s="47" t="s">
        <v>131</v>
      </c>
    </row>
    <row r="28" spans="1:39">
      <c r="A28" s="47" t="s">
        <v>4441</v>
      </c>
      <c r="B28" s="59">
        <v>45480</v>
      </c>
      <c r="C28" s="47" t="s">
        <v>103</v>
      </c>
      <c r="D28" s="47" t="s">
        <v>4110</v>
      </c>
      <c r="E28" s="47" t="s">
        <v>47</v>
      </c>
      <c r="F28" s="47" t="s">
        <v>4537</v>
      </c>
      <c r="G28" s="47" t="s">
        <v>4538</v>
      </c>
      <c r="H28" s="47" t="s">
        <v>4532</v>
      </c>
      <c r="I28" s="47" t="s">
        <v>51</v>
      </c>
      <c r="J28" s="48">
        <v>45115</v>
      </c>
      <c r="K28" s="48">
        <v>45115</v>
      </c>
      <c r="L28" s="48">
        <v>45480</v>
      </c>
      <c r="M28" s="47" t="s">
        <v>52</v>
      </c>
      <c r="N28" s="47" t="s">
        <v>53</v>
      </c>
      <c r="O28" s="49">
        <v>10740</v>
      </c>
      <c r="P28" s="49">
        <v>895</v>
      </c>
      <c r="Q28" s="49"/>
      <c r="R28" s="49"/>
      <c r="S28" s="49">
        <v>10440</v>
      </c>
      <c r="T28" s="49">
        <f t="shared" si="1"/>
        <v>870</v>
      </c>
      <c r="U28" s="50">
        <v>9300</v>
      </c>
      <c r="V28" s="63">
        <v>905</v>
      </c>
      <c r="W28" s="90">
        <f t="shared" si="2"/>
        <v>4.0229885057471264E-2</v>
      </c>
      <c r="X28" s="90">
        <f t="shared" si="8"/>
        <v>2.8735632183908046E-2</v>
      </c>
      <c r="Y28" s="63"/>
      <c r="Z28" s="90">
        <f t="shared" si="4"/>
        <v>-1</v>
      </c>
      <c r="AA28" s="90">
        <f t="shared" si="9"/>
        <v>-1</v>
      </c>
      <c r="AB28" s="63"/>
      <c r="AC28" s="90">
        <f t="shared" si="6"/>
        <v>-1</v>
      </c>
      <c r="AD28" s="90">
        <f t="shared" si="10"/>
        <v>-1</v>
      </c>
      <c r="AE28" s="67" t="s">
        <v>4533</v>
      </c>
      <c r="AF28" s="55" t="s">
        <v>54</v>
      </c>
      <c r="AG28" s="55">
        <v>548.96</v>
      </c>
      <c r="AH28" s="55" t="s">
        <v>55</v>
      </c>
      <c r="AI28" s="55" t="s">
        <v>55</v>
      </c>
      <c r="AJ28" s="47" t="s">
        <v>4534</v>
      </c>
      <c r="AK28" s="47" t="s">
        <v>57</v>
      </c>
      <c r="AL28" s="51">
        <v>45480</v>
      </c>
      <c r="AM28" s="47" t="s">
        <v>131</v>
      </c>
    </row>
    <row r="29" spans="1:39">
      <c r="A29" s="47" t="s">
        <v>4441</v>
      </c>
      <c r="B29" s="59">
        <v>45480</v>
      </c>
      <c r="C29" s="47" t="s">
        <v>103</v>
      </c>
      <c r="D29" s="47" t="s">
        <v>4110</v>
      </c>
      <c r="E29" s="47" t="s">
        <v>47</v>
      </c>
      <c r="F29" s="47" t="s">
        <v>4539</v>
      </c>
      <c r="G29" s="47" t="s">
        <v>4540</v>
      </c>
      <c r="H29" s="47" t="s">
        <v>4532</v>
      </c>
      <c r="I29" s="47" t="s">
        <v>51</v>
      </c>
      <c r="J29" s="48">
        <v>44750</v>
      </c>
      <c r="K29" s="48">
        <v>45115</v>
      </c>
      <c r="L29" s="48">
        <v>45480</v>
      </c>
      <c r="M29" s="47" t="s">
        <v>64</v>
      </c>
      <c r="N29" s="47" t="s">
        <v>53</v>
      </c>
      <c r="O29" s="49">
        <v>13020</v>
      </c>
      <c r="P29" s="49">
        <v>1085</v>
      </c>
      <c r="Q29" s="49"/>
      <c r="R29" s="49"/>
      <c r="S29" s="49">
        <v>12900</v>
      </c>
      <c r="T29" s="49">
        <f t="shared" si="1"/>
        <v>1075</v>
      </c>
      <c r="U29" s="50">
        <v>11520</v>
      </c>
      <c r="V29" s="63">
        <v>1115</v>
      </c>
      <c r="W29" s="90">
        <f t="shared" si="2"/>
        <v>3.7209302325581395E-2</v>
      </c>
      <c r="X29" s="90">
        <f t="shared" si="8"/>
        <v>9.3023255813953487E-3</v>
      </c>
      <c r="Y29" s="63"/>
      <c r="Z29" s="90">
        <f t="shared" si="4"/>
        <v>-1</v>
      </c>
      <c r="AA29" s="90">
        <f t="shared" si="9"/>
        <v>-1</v>
      </c>
      <c r="AB29" s="63"/>
      <c r="AC29" s="90">
        <f t="shared" si="6"/>
        <v>-1</v>
      </c>
      <c r="AD29" s="90">
        <f t="shared" si="10"/>
        <v>-1</v>
      </c>
      <c r="AE29" s="67" t="s">
        <v>4533</v>
      </c>
      <c r="AF29" s="55" t="s">
        <v>54</v>
      </c>
      <c r="AG29" s="55">
        <v>753.47</v>
      </c>
      <c r="AH29" s="55" t="s">
        <v>65</v>
      </c>
      <c r="AI29" s="55" t="s">
        <v>65</v>
      </c>
      <c r="AJ29" s="47" t="s">
        <v>4541</v>
      </c>
      <c r="AK29" s="47" t="s">
        <v>57</v>
      </c>
      <c r="AL29" s="51">
        <v>45480</v>
      </c>
      <c r="AM29" s="47" t="s">
        <v>131</v>
      </c>
    </row>
    <row r="30" spans="1:39">
      <c r="A30" s="47" t="s">
        <v>4441</v>
      </c>
      <c r="B30" s="59">
        <v>45487</v>
      </c>
      <c r="C30" s="47" t="s">
        <v>103</v>
      </c>
      <c r="D30" s="47" t="s">
        <v>4110</v>
      </c>
      <c r="E30" s="47" t="s">
        <v>47</v>
      </c>
      <c r="F30" s="47" t="s">
        <v>4542</v>
      </c>
      <c r="G30" s="47" t="s">
        <v>4543</v>
      </c>
      <c r="H30" s="47" t="s">
        <v>4532</v>
      </c>
      <c r="I30" s="47" t="s">
        <v>51</v>
      </c>
      <c r="J30" s="48">
        <v>44757</v>
      </c>
      <c r="K30" s="48">
        <v>45122</v>
      </c>
      <c r="L30" s="48">
        <v>45487</v>
      </c>
      <c r="M30" s="47" t="s">
        <v>64</v>
      </c>
      <c r="N30" s="47" t="s">
        <v>53</v>
      </c>
      <c r="O30" s="49">
        <v>13020</v>
      </c>
      <c r="P30" s="49">
        <v>1085</v>
      </c>
      <c r="Q30" s="49"/>
      <c r="R30" s="49"/>
      <c r="S30" s="49">
        <v>13140</v>
      </c>
      <c r="T30" s="49">
        <f t="shared" si="1"/>
        <v>1095</v>
      </c>
      <c r="U30" s="50">
        <v>11820</v>
      </c>
      <c r="V30" s="63">
        <v>1140</v>
      </c>
      <c r="W30" s="90">
        <f t="shared" si="2"/>
        <v>4.1095890410958902E-2</v>
      </c>
      <c r="X30" s="90">
        <f t="shared" si="8"/>
        <v>-9.1324200913242004E-3</v>
      </c>
      <c r="Y30" s="63"/>
      <c r="Z30" s="90">
        <f t="shared" si="4"/>
        <v>-1</v>
      </c>
      <c r="AA30" s="90">
        <f t="shared" si="9"/>
        <v>-1</v>
      </c>
      <c r="AB30" s="63"/>
      <c r="AC30" s="90">
        <f t="shared" si="6"/>
        <v>-1</v>
      </c>
      <c r="AD30" s="90">
        <f t="shared" si="10"/>
        <v>-1</v>
      </c>
      <c r="AE30" s="67" t="s">
        <v>4533</v>
      </c>
      <c r="AF30" s="55" t="s">
        <v>54</v>
      </c>
      <c r="AG30" s="55">
        <v>807.29</v>
      </c>
      <c r="AH30" s="55" t="s">
        <v>65</v>
      </c>
      <c r="AI30" s="55" t="s">
        <v>65</v>
      </c>
      <c r="AJ30" s="47" t="s">
        <v>4541</v>
      </c>
      <c r="AK30" s="47" t="s">
        <v>57</v>
      </c>
      <c r="AL30" s="51">
        <v>45487</v>
      </c>
      <c r="AM30" s="47" t="s">
        <v>131</v>
      </c>
    </row>
    <row r="31" spans="1:39">
      <c r="A31" s="47" t="s">
        <v>4441</v>
      </c>
      <c r="B31" s="59">
        <v>45502</v>
      </c>
      <c r="C31" s="47" t="s">
        <v>103</v>
      </c>
      <c r="D31" s="47" t="s">
        <v>4110</v>
      </c>
      <c r="E31" s="47" t="s">
        <v>47</v>
      </c>
      <c r="F31" s="47" t="s">
        <v>4544</v>
      </c>
      <c r="G31" s="47" t="s">
        <v>4545</v>
      </c>
      <c r="H31" s="47" t="s">
        <v>4532</v>
      </c>
      <c r="I31" s="47" t="s">
        <v>51</v>
      </c>
      <c r="J31" s="48">
        <v>44957</v>
      </c>
      <c r="K31" s="48">
        <v>45137</v>
      </c>
      <c r="L31" s="48">
        <v>45502</v>
      </c>
      <c r="M31" s="47" t="s">
        <v>64</v>
      </c>
      <c r="N31" s="47" t="s">
        <v>53</v>
      </c>
      <c r="O31" s="49">
        <v>13020</v>
      </c>
      <c r="P31" s="49">
        <v>1085</v>
      </c>
      <c r="Q31" s="49"/>
      <c r="R31" s="49"/>
      <c r="S31" s="49">
        <v>13140</v>
      </c>
      <c r="T31" s="49">
        <f t="shared" si="1"/>
        <v>1095</v>
      </c>
      <c r="U31" s="50">
        <v>11760</v>
      </c>
      <c r="V31" s="63">
        <v>1140</v>
      </c>
      <c r="W31" s="90">
        <f t="shared" si="2"/>
        <v>4.1095890410958902E-2</v>
      </c>
      <c r="X31" s="90">
        <f t="shared" si="8"/>
        <v>-9.1324200913242004E-3</v>
      </c>
      <c r="Y31" s="63"/>
      <c r="Z31" s="90">
        <f t="shared" si="4"/>
        <v>-1</v>
      </c>
      <c r="AA31" s="90">
        <f t="shared" si="9"/>
        <v>-1</v>
      </c>
      <c r="AB31" s="63"/>
      <c r="AC31" s="90">
        <f t="shared" si="6"/>
        <v>-1</v>
      </c>
      <c r="AD31" s="90">
        <f t="shared" si="10"/>
        <v>-1</v>
      </c>
      <c r="AE31" s="67" t="s">
        <v>4533</v>
      </c>
      <c r="AF31" s="55" t="s">
        <v>250</v>
      </c>
      <c r="AG31" s="55">
        <v>753.47</v>
      </c>
      <c r="AH31" s="55" t="s">
        <v>65</v>
      </c>
      <c r="AI31" s="55" t="s">
        <v>65</v>
      </c>
      <c r="AJ31" s="47" t="s">
        <v>4541</v>
      </c>
      <c r="AK31" s="47" t="s">
        <v>57</v>
      </c>
      <c r="AL31" s="51">
        <v>45502</v>
      </c>
      <c r="AM31" s="47" t="s">
        <v>131</v>
      </c>
    </row>
    <row r="32" spans="1:39">
      <c r="A32" s="47" t="s">
        <v>4441</v>
      </c>
      <c r="B32" s="59">
        <v>45514</v>
      </c>
      <c r="C32" s="47" t="s">
        <v>103</v>
      </c>
      <c r="D32" s="47" t="s">
        <v>4110</v>
      </c>
      <c r="E32" s="47" t="s">
        <v>47</v>
      </c>
      <c r="F32" s="47" t="s">
        <v>4546</v>
      </c>
      <c r="G32" s="47" t="s">
        <v>4547</v>
      </c>
      <c r="H32" s="47" t="s">
        <v>4532</v>
      </c>
      <c r="I32" s="47" t="s">
        <v>51</v>
      </c>
      <c r="J32" s="48">
        <v>45149</v>
      </c>
      <c r="K32" s="48">
        <v>45149</v>
      </c>
      <c r="L32" s="48">
        <v>45514</v>
      </c>
      <c r="M32" s="47" t="s">
        <v>52</v>
      </c>
      <c r="N32" s="47" t="s">
        <v>53</v>
      </c>
      <c r="O32" s="49">
        <v>13020</v>
      </c>
      <c r="P32" s="49">
        <v>1085</v>
      </c>
      <c r="Q32" s="49"/>
      <c r="R32" s="49"/>
      <c r="S32" s="49">
        <v>12600</v>
      </c>
      <c r="T32" s="49">
        <f t="shared" ref="T32:T57" si="11">S32/12</f>
        <v>1050</v>
      </c>
      <c r="U32" s="50">
        <v>11220</v>
      </c>
      <c r="V32" s="63">
        <v>1100</v>
      </c>
      <c r="W32" s="90">
        <f t="shared" si="2"/>
        <v>4.7619047619047616E-2</v>
      </c>
      <c r="X32" s="90">
        <f t="shared" si="8"/>
        <v>3.3333333333333333E-2</v>
      </c>
      <c r="Y32" s="63"/>
      <c r="Z32" s="90">
        <f t="shared" ref="Z32:Z57" si="12">(Y32-T32)/T32</f>
        <v>-1</v>
      </c>
      <c r="AA32" s="90">
        <f t="shared" si="9"/>
        <v>-1</v>
      </c>
      <c r="AB32" s="63"/>
      <c r="AC32" s="90">
        <f t="shared" ref="AC32:AC57" si="13">(AB32-T32)/T32</f>
        <v>-1</v>
      </c>
      <c r="AD32" s="90">
        <f t="shared" si="10"/>
        <v>-1</v>
      </c>
      <c r="AE32" s="67" t="s">
        <v>4533</v>
      </c>
      <c r="AF32" s="55" t="s">
        <v>54</v>
      </c>
      <c r="AG32" s="55">
        <v>753.47</v>
      </c>
      <c r="AH32" s="55" t="s">
        <v>65</v>
      </c>
      <c r="AI32" s="55" t="s">
        <v>65</v>
      </c>
      <c r="AJ32" s="47" t="s">
        <v>4548</v>
      </c>
      <c r="AK32" s="47" t="s">
        <v>57</v>
      </c>
      <c r="AL32" s="51">
        <v>45514</v>
      </c>
      <c r="AM32" s="47" t="s">
        <v>131</v>
      </c>
    </row>
    <row r="33" spans="1:39">
      <c r="A33" s="47" t="s">
        <v>4441</v>
      </c>
      <c r="B33" s="59">
        <v>45481</v>
      </c>
      <c r="C33" s="47" t="s">
        <v>103</v>
      </c>
      <c r="D33" s="47" t="s">
        <v>4549</v>
      </c>
      <c r="E33" s="47" t="s">
        <v>167</v>
      </c>
      <c r="F33" s="47" t="s">
        <v>4550</v>
      </c>
      <c r="G33" s="47" t="s">
        <v>4551</v>
      </c>
      <c r="H33" s="47" t="s">
        <v>50</v>
      </c>
      <c r="I33" s="47" t="s">
        <v>51</v>
      </c>
      <c r="J33" s="48">
        <v>44935</v>
      </c>
      <c r="K33" s="48">
        <v>44935</v>
      </c>
      <c r="L33" s="48">
        <v>45481</v>
      </c>
      <c r="M33" s="47" t="s">
        <v>64</v>
      </c>
      <c r="N33" s="47" t="s">
        <v>53</v>
      </c>
      <c r="O33" s="49">
        <v>10200</v>
      </c>
      <c r="P33" s="49">
        <v>850</v>
      </c>
      <c r="Q33" s="49"/>
      <c r="R33" s="49"/>
      <c r="S33" s="49">
        <v>10939.2</v>
      </c>
      <c r="T33" s="62">
        <f t="shared" si="11"/>
        <v>911.6</v>
      </c>
      <c r="U33" s="50">
        <v>10320</v>
      </c>
      <c r="V33" s="63" t="s">
        <v>123</v>
      </c>
      <c r="W33" s="90"/>
      <c r="X33" s="90">
        <f t="shared" si="8"/>
        <v>-6.7573497147871892E-2</v>
      </c>
      <c r="Y33" s="63"/>
      <c r="Z33" s="90">
        <f t="shared" si="12"/>
        <v>-1</v>
      </c>
      <c r="AA33" s="90" t="s">
        <v>50</v>
      </c>
      <c r="AB33" s="63"/>
      <c r="AC33" s="90">
        <f t="shared" si="13"/>
        <v>-1</v>
      </c>
      <c r="AD33" s="90" t="s">
        <v>50</v>
      </c>
      <c r="AE33" s="67" t="s">
        <v>4533</v>
      </c>
      <c r="AF33" s="55" t="s">
        <v>54</v>
      </c>
      <c r="AG33" s="55">
        <v>559.72</v>
      </c>
      <c r="AH33" s="55" t="s">
        <v>65</v>
      </c>
      <c r="AI33" s="55" t="s">
        <v>55</v>
      </c>
      <c r="AJ33" s="47" t="s">
        <v>4552</v>
      </c>
      <c r="AK33" s="47" t="s">
        <v>57</v>
      </c>
      <c r="AL33" s="51">
        <v>45481</v>
      </c>
      <c r="AM33" s="47" t="s">
        <v>131</v>
      </c>
    </row>
    <row r="34" spans="1:39">
      <c r="A34" s="47" t="s">
        <v>4441</v>
      </c>
      <c r="B34" s="59">
        <v>45482</v>
      </c>
      <c r="C34" s="47" t="s">
        <v>103</v>
      </c>
      <c r="D34" s="47" t="s">
        <v>4549</v>
      </c>
      <c r="E34" s="47" t="s">
        <v>167</v>
      </c>
      <c r="F34" s="47" t="s">
        <v>4553</v>
      </c>
      <c r="G34" s="47" t="s">
        <v>4554</v>
      </c>
      <c r="H34" s="47" t="s">
        <v>50</v>
      </c>
      <c r="I34" s="47" t="s">
        <v>51</v>
      </c>
      <c r="J34" s="48">
        <v>45117</v>
      </c>
      <c r="K34" s="48">
        <v>45117</v>
      </c>
      <c r="L34" s="48">
        <v>45482</v>
      </c>
      <c r="M34" s="47" t="s">
        <v>52</v>
      </c>
      <c r="N34" s="47" t="s">
        <v>53</v>
      </c>
      <c r="O34" s="49">
        <v>10200</v>
      </c>
      <c r="P34" s="49">
        <v>850</v>
      </c>
      <c r="Q34" s="49"/>
      <c r="R34" s="49"/>
      <c r="S34" s="49">
        <v>10620</v>
      </c>
      <c r="T34" s="62">
        <f t="shared" si="11"/>
        <v>885</v>
      </c>
      <c r="U34" s="50">
        <v>10080</v>
      </c>
      <c r="V34" s="63" t="s">
        <v>123</v>
      </c>
      <c r="W34" s="90"/>
      <c r="X34" s="90">
        <f t="shared" si="8"/>
        <v>-3.954802259887006E-2</v>
      </c>
      <c r="Y34" s="63"/>
      <c r="Z34" s="90">
        <f t="shared" si="12"/>
        <v>-1</v>
      </c>
      <c r="AA34" s="90" t="s">
        <v>50</v>
      </c>
      <c r="AB34" s="63"/>
      <c r="AC34" s="90">
        <f t="shared" si="13"/>
        <v>-1</v>
      </c>
      <c r="AD34" s="90" t="s">
        <v>50</v>
      </c>
      <c r="AE34" s="67" t="s">
        <v>4533</v>
      </c>
      <c r="AF34" s="55" t="s">
        <v>54</v>
      </c>
      <c r="AG34" s="55">
        <v>559.72</v>
      </c>
      <c r="AH34" s="55" t="s">
        <v>65</v>
      </c>
      <c r="AI34" s="55" t="s">
        <v>55</v>
      </c>
      <c r="AJ34" s="47" t="s">
        <v>4555</v>
      </c>
      <c r="AK34" s="47" t="s">
        <v>57</v>
      </c>
      <c r="AL34" s="51">
        <v>45482</v>
      </c>
      <c r="AM34" s="47" t="s">
        <v>131</v>
      </c>
    </row>
    <row r="35" spans="1:39">
      <c r="A35" s="47" t="s">
        <v>4441</v>
      </c>
      <c r="B35" s="59">
        <v>45500</v>
      </c>
      <c r="C35" s="47" t="s">
        <v>103</v>
      </c>
      <c r="D35" s="47" t="s">
        <v>4549</v>
      </c>
      <c r="E35" s="47" t="s">
        <v>167</v>
      </c>
      <c r="F35" s="47" t="s">
        <v>4556</v>
      </c>
      <c r="G35" s="47" t="s">
        <v>4557</v>
      </c>
      <c r="H35" s="47" t="s">
        <v>50</v>
      </c>
      <c r="I35" s="47" t="s">
        <v>51</v>
      </c>
      <c r="J35" s="48">
        <v>45135</v>
      </c>
      <c r="K35" s="48">
        <v>45135</v>
      </c>
      <c r="L35" s="48">
        <v>45500</v>
      </c>
      <c r="M35" s="47" t="s">
        <v>52</v>
      </c>
      <c r="N35" s="47" t="s">
        <v>53</v>
      </c>
      <c r="O35" s="49">
        <v>8520</v>
      </c>
      <c r="P35" s="49">
        <v>710</v>
      </c>
      <c r="Q35" s="49"/>
      <c r="R35" s="49"/>
      <c r="S35" s="49">
        <v>8880</v>
      </c>
      <c r="T35" s="62">
        <f t="shared" si="11"/>
        <v>740</v>
      </c>
      <c r="U35" s="50">
        <v>8460</v>
      </c>
      <c r="V35" s="63" t="s">
        <v>123</v>
      </c>
      <c r="W35" s="90"/>
      <c r="X35" s="90">
        <f t="shared" si="8"/>
        <v>-4.0540540540540543E-2</v>
      </c>
      <c r="Y35" s="63"/>
      <c r="Z35" s="90">
        <f t="shared" si="12"/>
        <v>-1</v>
      </c>
      <c r="AA35" s="90" t="s">
        <v>50</v>
      </c>
      <c r="AB35" s="63"/>
      <c r="AC35" s="90">
        <f t="shared" si="13"/>
        <v>-1</v>
      </c>
      <c r="AD35" s="90" t="s">
        <v>50</v>
      </c>
      <c r="AE35" s="67" t="s">
        <v>4533</v>
      </c>
      <c r="AF35" s="55" t="s">
        <v>54</v>
      </c>
      <c r="AG35" s="55">
        <v>387.5</v>
      </c>
      <c r="AH35" s="55" t="s">
        <v>55</v>
      </c>
      <c r="AI35" s="55" t="s">
        <v>55</v>
      </c>
      <c r="AJ35" s="47" t="s">
        <v>4558</v>
      </c>
      <c r="AK35" s="47" t="s">
        <v>57</v>
      </c>
      <c r="AL35" s="51">
        <v>45500</v>
      </c>
      <c r="AM35" s="47" t="s">
        <v>131</v>
      </c>
    </row>
    <row r="36" spans="1:39" ht="60.75">
      <c r="A36" s="47" t="s">
        <v>4441</v>
      </c>
      <c r="B36" s="59">
        <v>45504</v>
      </c>
      <c r="C36" s="47" t="s">
        <v>103</v>
      </c>
      <c r="D36" s="47" t="s">
        <v>4549</v>
      </c>
      <c r="E36" s="47" t="s">
        <v>167</v>
      </c>
      <c r="F36" s="47" t="s">
        <v>4559</v>
      </c>
      <c r="G36" s="47" t="s">
        <v>4560</v>
      </c>
      <c r="H36" s="54" t="s">
        <v>4561</v>
      </c>
      <c r="I36" s="47" t="s">
        <v>51</v>
      </c>
      <c r="J36" s="48">
        <v>45139</v>
      </c>
      <c r="K36" s="48">
        <v>45139</v>
      </c>
      <c r="L36" s="48">
        <v>45504</v>
      </c>
      <c r="M36" s="47" t="s">
        <v>52</v>
      </c>
      <c r="N36" s="47" t="s">
        <v>53</v>
      </c>
      <c r="O36" s="49">
        <v>10200</v>
      </c>
      <c r="P36" s="49">
        <v>850</v>
      </c>
      <c r="Q36" s="49"/>
      <c r="R36" s="49"/>
      <c r="S36" s="49">
        <v>10860</v>
      </c>
      <c r="T36" s="62">
        <f t="shared" si="11"/>
        <v>905</v>
      </c>
      <c r="U36" s="50">
        <v>9780</v>
      </c>
      <c r="V36" s="63" t="s">
        <v>123</v>
      </c>
      <c r="W36" s="90"/>
      <c r="X36" s="90">
        <f t="shared" si="8"/>
        <v>-6.0773480662983423E-2</v>
      </c>
      <c r="Y36" s="63"/>
      <c r="Z36" s="90">
        <f t="shared" si="12"/>
        <v>-1</v>
      </c>
      <c r="AA36" s="90" t="s">
        <v>50</v>
      </c>
      <c r="AB36" s="63"/>
      <c r="AC36" s="90">
        <f t="shared" si="13"/>
        <v>-1</v>
      </c>
      <c r="AD36" s="90" t="s">
        <v>50</v>
      </c>
      <c r="AE36" s="67" t="s">
        <v>4533</v>
      </c>
      <c r="AF36" s="55" t="s">
        <v>54</v>
      </c>
      <c r="AG36" s="55">
        <v>559.72</v>
      </c>
      <c r="AH36" s="55" t="s">
        <v>65</v>
      </c>
      <c r="AI36" s="55" t="s">
        <v>55</v>
      </c>
      <c r="AJ36" s="47" t="s">
        <v>4562</v>
      </c>
      <c r="AK36" s="47" t="s">
        <v>57</v>
      </c>
      <c r="AL36" s="51">
        <v>45504</v>
      </c>
      <c r="AM36" s="47" t="s">
        <v>131</v>
      </c>
    </row>
    <row r="37" spans="1:39">
      <c r="A37" s="47" t="s">
        <v>898</v>
      </c>
      <c r="B37" s="59">
        <v>45512</v>
      </c>
      <c r="C37" s="47" t="s">
        <v>103</v>
      </c>
      <c r="D37" s="47" t="s">
        <v>4549</v>
      </c>
      <c r="E37" s="47" t="s">
        <v>167</v>
      </c>
      <c r="F37" s="47" t="s">
        <v>4563</v>
      </c>
      <c r="G37" s="47" t="s">
        <v>4564</v>
      </c>
      <c r="H37" s="47" t="s">
        <v>50</v>
      </c>
      <c r="I37" s="47" t="s">
        <v>51</v>
      </c>
      <c r="J37" s="48">
        <v>45147</v>
      </c>
      <c r="K37" s="48">
        <v>45147</v>
      </c>
      <c r="L37" s="48">
        <v>45512</v>
      </c>
      <c r="M37" s="47" t="s">
        <v>52</v>
      </c>
      <c r="N37" s="47" t="s">
        <v>53</v>
      </c>
      <c r="O37" s="49">
        <v>10200</v>
      </c>
      <c r="P37" s="49">
        <v>850</v>
      </c>
      <c r="Q37" s="49"/>
      <c r="R37" s="49"/>
      <c r="S37" s="49">
        <v>10440</v>
      </c>
      <c r="T37" s="62">
        <f t="shared" si="11"/>
        <v>870</v>
      </c>
      <c r="U37" s="50">
        <v>9840</v>
      </c>
      <c r="V37" s="63" t="s">
        <v>123</v>
      </c>
      <c r="W37" s="90"/>
      <c r="X37" s="90">
        <f t="shared" si="8"/>
        <v>-2.2988505747126436E-2</v>
      </c>
      <c r="Y37" s="63"/>
      <c r="Z37" s="90">
        <f t="shared" si="12"/>
        <v>-1</v>
      </c>
      <c r="AA37" s="90" t="s">
        <v>50</v>
      </c>
      <c r="AB37" s="63"/>
      <c r="AC37" s="90">
        <f t="shared" si="13"/>
        <v>-1</v>
      </c>
      <c r="AD37" s="90" t="s">
        <v>50</v>
      </c>
      <c r="AE37" s="67" t="s">
        <v>4533</v>
      </c>
      <c r="AF37" s="55" t="s">
        <v>54</v>
      </c>
      <c r="AG37" s="55">
        <v>559.72</v>
      </c>
      <c r="AH37" s="55" t="s">
        <v>65</v>
      </c>
      <c r="AI37" s="55" t="s">
        <v>55</v>
      </c>
      <c r="AJ37" s="47" t="s">
        <v>4565</v>
      </c>
      <c r="AK37" s="47" t="s">
        <v>57</v>
      </c>
      <c r="AL37" s="51">
        <v>45512</v>
      </c>
      <c r="AM37" s="47" t="s">
        <v>131</v>
      </c>
    </row>
    <row r="38" spans="1:39">
      <c r="A38" s="47" t="s">
        <v>898</v>
      </c>
      <c r="B38" s="59">
        <v>45476</v>
      </c>
      <c r="C38" s="47" t="s">
        <v>103</v>
      </c>
      <c r="D38" s="47" t="s">
        <v>4549</v>
      </c>
      <c r="E38" s="47" t="s">
        <v>167</v>
      </c>
      <c r="F38" s="47" t="s">
        <v>4566</v>
      </c>
      <c r="G38" s="47" t="s">
        <v>4567</v>
      </c>
      <c r="H38" s="47" t="s">
        <v>50</v>
      </c>
      <c r="I38" s="47" t="s">
        <v>51</v>
      </c>
      <c r="J38" s="48">
        <v>44746</v>
      </c>
      <c r="K38" s="48">
        <v>45111</v>
      </c>
      <c r="L38" s="48">
        <v>45476</v>
      </c>
      <c r="M38" s="47" t="s">
        <v>64</v>
      </c>
      <c r="N38" s="47" t="s">
        <v>53</v>
      </c>
      <c r="O38" s="49">
        <v>10200</v>
      </c>
      <c r="P38" s="49">
        <v>850</v>
      </c>
      <c r="Q38" s="49"/>
      <c r="R38" s="49"/>
      <c r="S38" s="49">
        <v>10500</v>
      </c>
      <c r="T38" s="62">
        <f t="shared" si="11"/>
        <v>875</v>
      </c>
      <c r="U38" s="50">
        <v>10020</v>
      </c>
      <c r="V38" s="63" t="s">
        <v>123</v>
      </c>
      <c r="W38" s="90"/>
      <c r="X38" s="90">
        <f t="shared" si="8"/>
        <v>-2.8571428571428571E-2</v>
      </c>
      <c r="Y38" s="63"/>
      <c r="Z38" s="90">
        <f t="shared" si="12"/>
        <v>-1</v>
      </c>
      <c r="AA38" s="90" t="s">
        <v>50</v>
      </c>
      <c r="AB38" s="63"/>
      <c r="AC38" s="90">
        <f t="shared" si="13"/>
        <v>-1</v>
      </c>
      <c r="AD38" s="90" t="s">
        <v>50</v>
      </c>
      <c r="AE38" s="67" t="s">
        <v>4533</v>
      </c>
      <c r="AF38" s="55" t="s">
        <v>54</v>
      </c>
      <c r="AG38" s="55">
        <v>559.72</v>
      </c>
      <c r="AH38" s="55" t="s">
        <v>65</v>
      </c>
      <c r="AI38" s="55" t="s">
        <v>55</v>
      </c>
      <c r="AJ38" s="47" t="s">
        <v>4568</v>
      </c>
      <c r="AK38" s="47" t="s">
        <v>57</v>
      </c>
      <c r="AL38" s="51">
        <v>45476</v>
      </c>
      <c r="AM38" s="47" t="s">
        <v>131</v>
      </c>
    </row>
    <row r="39" spans="1:39">
      <c r="A39" s="47" t="s">
        <v>4441</v>
      </c>
      <c r="B39" s="59">
        <v>45497</v>
      </c>
      <c r="C39" s="47" t="s">
        <v>103</v>
      </c>
      <c r="D39" s="47" t="s">
        <v>4569</v>
      </c>
      <c r="E39" s="47" t="s">
        <v>167</v>
      </c>
      <c r="F39" s="47" t="s">
        <v>4570</v>
      </c>
      <c r="G39" s="47" t="s">
        <v>4571</v>
      </c>
      <c r="H39" s="47" t="s">
        <v>50</v>
      </c>
      <c r="I39" s="47" t="s">
        <v>51</v>
      </c>
      <c r="J39" s="48">
        <v>43304</v>
      </c>
      <c r="K39" s="48">
        <v>45132</v>
      </c>
      <c r="L39" s="48">
        <v>45497</v>
      </c>
      <c r="M39" s="47" t="s">
        <v>64</v>
      </c>
      <c r="N39" s="47" t="s">
        <v>53</v>
      </c>
      <c r="O39" s="49">
        <v>7620</v>
      </c>
      <c r="P39" s="49">
        <v>635</v>
      </c>
      <c r="Q39" s="49"/>
      <c r="R39" s="49"/>
      <c r="S39" s="49">
        <v>7200</v>
      </c>
      <c r="T39" s="62">
        <f t="shared" si="11"/>
        <v>600</v>
      </c>
      <c r="U39" s="50">
        <v>6600</v>
      </c>
      <c r="V39" s="63" t="s">
        <v>123</v>
      </c>
      <c r="W39" s="90"/>
      <c r="X39" s="90">
        <f t="shared" si="8"/>
        <v>5.8333333333333334E-2</v>
      </c>
      <c r="Y39" s="63"/>
      <c r="Z39" s="90">
        <f t="shared" si="12"/>
        <v>-1</v>
      </c>
      <c r="AA39" s="90" t="s">
        <v>50</v>
      </c>
      <c r="AB39" s="63"/>
      <c r="AC39" s="90">
        <f t="shared" si="13"/>
        <v>-1</v>
      </c>
      <c r="AD39" s="90" t="s">
        <v>50</v>
      </c>
      <c r="AE39" s="67" t="s">
        <v>4533</v>
      </c>
      <c r="AF39" s="55" t="s">
        <v>54</v>
      </c>
      <c r="AG39" s="55">
        <v>495.14</v>
      </c>
      <c r="AH39" s="55" t="s">
        <v>55</v>
      </c>
      <c r="AI39" s="55" t="s">
        <v>55</v>
      </c>
      <c r="AJ39" s="47" t="s">
        <v>4572</v>
      </c>
      <c r="AK39" s="47" t="s">
        <v>57</v>
      </c>
      <c r="AL39" s="51">
        <v>45497</v>
      </c>
      <c r="AM39" s="47" t="s">
        <v>131</v>
      </c>
    </row>
    <row r="40" spans="1:39">
      <c r="A40" s="47" t="s">
        <v>4441</v>
      </c>
      <c r="B40" s="59">
        <v>45504</v>
      </c>
      <c r="C40" s="47" t="s">
        <v>103</v>
      </c>
      <c r="D40" s="47" t="s">
        <v>4569</v>
      </c>
      <c r="E40" s="47" t="s">
        <v>167</v>
      </c>
      <c r="F40" s="47" t="s">
        <v>4573</v>
      </c>
      <c r="G40" s="47" t="s">
        <v>4574</v>
      </c>
      <c r="H40" s="47" t="s">
        <v>50</v>
      </c>
      <c r="I40" s="47" t="s">
        <v>51</v>
      </c>
      <c r="J40" s="48">
        <v>42462</v>
      </c>
      <c r="K40" s="48">
        <v>45139</v>
      </c>
      <c r="L40" s="48">
        <v>45504</v>
      </c>
      <c r="M40" s="47" t="s">
        <v>64</v>
      </c>
      <c r="N40" s="47" t="s">
        <v>53</v>
      </c>
      <c r="O40" s="49">
        <v>7980</v>
      </c>
      <c r="P40" s="49">
        <v>665</v>
      </c>
      <c r="Q40" s="49"/>
      <c r="R40" s="49"/>
      <c r="S40" s="49">
        <v>7140</v>
      </c>
      <c r="T40" s="62">
        <f t="shared" si="11"/>
        <v>595</v>
      </c>
      <c r="U40" s="50">
        <v>6900</v>
      </c>
      <c r="V40" s="63" t="s">
        <v>123</v>
      </c>
      <c r="W40" s="90"/>
      <c r="X40" s="90">
        <f t="shared" si="8"/>
        <v>0.11764705882352941</v>
      </c>
      <c r="Y40" s="63"/>
      <c r="Z40" s="90">
        <f t="shared" si="12"/>
        <v>-1</v>
      </c>
      <c r="AA40" s="90" t="s">
        <v>50</v>
      </c>
      <c r="AB40" s="63"/>
      <c r="AC40" s="90">
        <f t="shared" si="13"/>
        <v>-1</v>
      </c>
      <c r="AD40" s="90" t="s">
        <v>50</v>
      </c>
      <c r="AE40" s="67" t="s">
        <v>4533</v>
      </c>
      <c r="AF40" s="55" t="s">
        <v>250</v>
      </c>
      <c r="AG40" s="55">
        <v>495.14</v>
      </c>
      <c r="AH40" s="55" t="s">
        <v>65</v>
      </c>
      <c r="AI40" s="55" t="s">
        <v>55</v>
      </c>
      <c r="AJ40" s="47" t="s">
        <v>4575</v>
      </c>
      <c r="AK40" s="47" t="s">
        <v>57</v>
      </c>
      <c r="AL40" s="51">
        <v>45504</v>
      </c>
      <c r="AM40" s="47" t="s">
        <v>131</v>
      </c>
    </row>
    <row r="41" spans="1:39">
      <c r="A41" s="47" t="s">
        <v>4441</v>
      </c>
      <c r="B41" s="59">
        <v>45507</v>
      </c>
      <c r="C41" s="47" t="s">
        <v>103</v>
      </c>
      <c r="D41" s="47" t="s">
        <v>4569</v>
      </c>
      <c r="E41" s="47" t="s">
        <v>167</v>
      </c>
      <c r="F41" s="47" t="s">
        <v>4576</v>
      </c>
      <c r="G41" s="47" t="s">
        <v>4577</v>
      </c>
      <c r="H41" s="47" t="s">
        <v>50</v>
      </c>
      <c r="I41" s="47" t="s">
        <v>51</v>
      </c>
      <c r="J41" s="48">
        <v>45142</v>
      </c>
      <c r="K41" s="48">
        <v>45142</v>
      </c>
      <c r="L41" s="48">
        <v>45507</v>
      </c>
      <c r="M41" s="47" t="s">
        <v>52</v>
      </c>
      <c r="N41" s="47" t="s">
        <v>53</v>
      </c>
      <c r="O41" s="49">
        <v>7620</v>
      </c>
      <c r="P41" s="49">
        <v>635</v>
      </c>
      <c r="Q41" s="49"/>
      <c r="R41" s="49"/>
      <c r="S41" s="49">
        <v>7080</v>
      </c>
      <c r="T41" s="62">
        <f t="shared" si="11"/>
        <v>590</v>
      </c>
      <c r="U41" s="50">
        <v>6660</v>
      </c>
      <c r="V41" s="63" t="s">
        <v>123</v>
      </c>
      <c r="W41" s="90"/>
      <c r="X41" s="90">
        <f t="shared" si="8"/>
        <v>7.6271186440677971E-2</v>
      </c>
      <c r="Y41" s="63"/>
      <c r="Z41" s="90">
        <f t="shared" si="12"/>
        <v>-1</v>
      </c>
      <c r="AA41" s="90" t="s">
        <v>50</v>
      </c>
      <c r="AB41" s="63"/>
      <c r="AC41" s="90">
        <f t="shared" si="13"/>
        <v>-1</v>
      </c>
      <c r="AD41" s="90" t="s">
        <v>50</v>
      </c>
      <c r="AE41" s="67" t="s">
        <v>4533</v>
      </c>
      <c r="AF41" s="55" t="s">
        <v>54</v>
      </c>
      <c r="AG41" s="55">
        <v>495.14</v>
      </c>
      <c r="AH41" s="55" t="s">
        <v>55</v>
      </c>
      <c r="AI41" s="55" t="s">
        <v>55</v>
      </c>
      <c r="AJ41" s="47" t="s">
        <v>4572</v>
      </c>
      <c r="AK41" s="47" t="s">
        <v>57</v>
      </c>
      <c r="AL41" s="51">
        <v>45507</v>
      </c>
      <c r="AM41" s="47" t="s">
        <v>131</v>
      </c>
    </row>
    <row r="42" spans="1:39">
      <c r="A42" s="47" t="s">
        <v>4441</v>
      </c>
      <c r="B42" s="59">
        <v>45524</v>
      </c>
      <c r="C42" s="47" t="s">
        <v>103</v>
      </c>
      <c r="D42" s="47" t="s">
        <v>4569</v>
      </c>
      <c r="E42" s="47" t="s">
        <v>167</v>
      </c>
      <c r="F42" s="47" t="s">
        <v>4578</v>
      </c>
      <c r="G42" s="47" t="s">
        <v>4579</v>
      </c>
      <c r="H42" s="47" t="s">
        <v>50</v>
      </c>
      <c r="I42" s="47" t="s">
        <v>51</v>
      </c>
      <c r="J42" s="48">
        <v>44429</v>
      </c>
      <c r="K42" s="48">
        <v>45159</v>
      </c>
      <c r="L42" s="48">
        <v>45524</v>
      </c>
      <c r="M42" s="47" t="s">
        <v>64</v>
      </c>
      <c r="N42" s="47" t="s">
        <v>53</v>
      </c>
      <c r="O42" s="49">
        <v>7980</v>
      </c>
      <c r="P42" s="49">
        <v>665</v>
      </c>
      <c r="Q42" s="49"/>
      <c r="R42" s="49"/>
      <c r="S42" s="49">
        <v>7800</v>
      </c>
      <c r="T42" s="62">
        <f t="shared" si="11"/>
        <v>650</v>
      </c>
      <c r="U42" s="50">
        <v>7620</v>
      </c>
      <c r="V42" s="63" t="s">
        <v>123</v>
      </c>
      <c r="W42" s="90"/>
      <c r="X42" s="90">
        <f t="shared" si="8"/>
        <v>2.3076923076923078E-2</v>
      </c>
      <c r="Y42" s="63"/>
      <c r="Z42" s="90">
        <f t="shared" si="12"/>
        <v>-1</v>
      </c>
      <c r="AA42" s="90" t="s">
        <v>50</v>
      </c>
      <c r="AB42" s="63"/>
      <c r="AC42" s="90">
        <f t="shared" si="13"/>
        <v>-1</v>
      </c>
      <c r="AD42" s="90" t="s">
        <v>50</v>
      </c>
      <c r="AE42" s="67" t="s">
        <v>4533</v>
      </c>
      <c r="AF42" s="55" t="s">
        <v>54</v>
      </c>
      <c r="AG42" s="55">
        <v>495.14</v>
      </c>
      <c r="AH42" s="55" t="s">
        <v>65</v>
      </c>
      <c r="AI42" s="55" t="s">
        <v>55</v>
      </c>
      <c r="AJ42" s="47" t="s">
        <v>4580</v>
      </c>
      <c r="AK42" s="47" t="s">
        <v>57</v>
      </c>
      <c r="AL42" s="51">
        <v>45524</v>
      </c>
      <c r="AM42" s="47" t="s">
        <v>131</v>
      </c>
    </row>
    <row r="43" spans="1:39">
      <c r="A43" s="47" t="s">
        <v>4441</v>
      </c>
      <c r="B43" s="59">
        <v>45532</v>
      </c>
      <c r="C43" s="47" t="s">
        <v>103</v>
      </c>
      <c r="D43" s="47" t="s">
        <v>4569</v>
      </c>
      <c r="E43" s="47" t="s">
        <v>167</v>
      </c>
      <c r="F43" s="47" t="s">
        <v>4581</v>
      </c>
      <c r="G43" s="47" t="s">
        <v>4582</v>
      </c>
      <c r="H43" s="47" t="s">
        <v>50</v>
      </c>
      <c r="I43" s="47" t="s">
        <v>51</v>
      </c>
      <c r="J43" s="48">
        <v>44802</v>
      </c>
      <c r="K43" s="48">
        <v>45167</v>
      </c>
      <c r="L43" s="48">
        <v>45532</v>
      </c>
      <c r="M43" s="47" t="s">
        <v>64</v>
      </c>
      <c r="N43" s="47" t="s">
        <v>53</v>
      </c>
      <c r="O43" s="49">
        <v>7980</v>
      </c>
      <c r="P43" s="49">
        <v>665</v>
      </c>
      <c r="Q43" s="49"/>
      <c r="R43" s="49"/>
      <c r="S43" s="49">
        <v>7800</v>
      </c>
      <c r="T43" s="62">
        <f t="shared" si="11"/>
        <v>650</v>
      </c>
      <c r="U43" s="50">
        <v>7380</v>
      </c>
      <c r="V43" s="63" t="s">
        <v>123</v>
      </c>
      <c r="W43" s="90"/>
      <c r="X43" s="90">
        <f t="shared" si="8"/>
        <v>2.3076923076923078E-2</v>
      </c>
      <c r="Y43" s="63"/>
      <c r="Z43" s="90">
        <f t="shared" si="12"/>
        <v>-1</v>
      </c>
      <c r="AA43" s="90" t="s">
        <v>50</v>
      </c>
      <c r="AB43" s="63"/>
      <c r="AC43" s="90">
        <f t="shared" si="13"/>
        <v>-1</v>
      </c>
      <c r="AD43" s="90" t="s">
        <v>50</v>
      </c>
      <c r="AE43" s="67" t="s">
        <v>4533</v>
      </c>
      <c r="AF43" s="55" t="s">
        <v>54</v>
      </c>
      <c r="AG43" s="55">
        <v>495.14</v>
      </c>
      <c r="AH43" s="55" t="s">
        <v>65</v>
      </c>
      <c r="AI43" s="55" t="s">
        <v>55</v>
      </c>
      <c r="AJ43" s="47" t="s">
        <v>4583</v>
      </c>
      <c r="AK43" s="47" t="s">
        <v>57</v>
      </c>
      <c r="AL43" s="51">
        <v>45532</v>
      </c>
      <c r="AM43" s="47" t="s">
        <v>131</v>
      </c>
    </row>
    <row r="44" spans="1:39">
      <c r="A44" s="47" t="s">
        <v>898</v>
      </c>
      <c r="B44" s="59">
        <v>45483</v>
      </c>
      <c r="C44" s="47" t="s">
        <v>103</v>
      </c>
      <c r="D44" s="47" t="s">
        <v>4584</v>
      </c>
      <c r="E44" s="47" t="s">
        <v>167</v>
      </c>
      <c r="F44" s="47" t="s">
        <v>4585</v>
      </c>
      <c r="G44" s="47" t="s">
        <v>4586</v>
      </c>
      <c r="H44" s="47" t="s">
        <v>50</v>
      </c>
      <c r="I44" s="47" t="s">
        <v>51</v>
      </c>
      <c r="J44" s="48">
        <v>44754</v>
      </c>
      <c r="K44" s="48">
        <v>45118</v>
      </c>
      <c r="L44" s="48">
        <v>45483</v>
      </c>
      <c r="M44" s="47" t="s">
        <v>64</v>
      </c>
      <c r="N44" s="47" t="s">
        <v>53</v>
      </c>
      <c r="O44" s="49">
        <v>7620</v>
      </c>
      <c r="P44" s="49">
        <v>635</v>
      </c>
      <c r="Q44" s="49"/>
      <c r="R44" s="49"/>
      <c r="S44" s="49">
        <v>8100</v>
      </c>
      <c r="T44" s="62">
        <f t="shared" si="11"/>
        <v>675</v>
      </c>
      <c r="U44" s="50">
        <v>7620</v>
      </c>
      <c r="V44" s="63" t="s">
        <v>123</v>
      </c>
      <c r="W44" s="90"/>
      <c r="X44" s="90">
        <f t="shared" si="8"/>
        <v>-5.9259259259259262E-2</v>
      </c>
      <c r="Y44" s="63"/>
      <c r="Z44" s="90">
        <f t="shared" si="12"/>
        <v>-1</v>
      </c>
      <c r="AA44" s="90" t="s">
        <v>50</v>
      </c>
      <c r="AB44" s="63"/>
      <c r="AC44" s="90">
        <f t="shared" si="13"/>
        <v>-1</v>
      </c>
      <c r="AD44" s="90" t="s">
        <v>50</v>
      </c>
      <c r="AE44" s="67" t="s">
        <v>4533</v>
      </c>
      <c r="AF44" s="55" t="s">
        <v>54</v>
      </c>
      <c r="AG44" s="55">
        <v>548.96</v>
      </c>
      <c r="AH44" s="55" t="s">
        <v>65</v>
      </c>
      <c r="AI44" s="55" t="s">
        <v>55</v>
      </c>
      <c r="AJ44" s="47" t="s">
        <v>4587</v>
      </c>
      <c r="AK44" s="47" t="s">
        <v>57</v>
      </c>
      <c r="AL44" s="51">
        <v>45483</v>
      </c>
      <c r="AM44" s="47" t="s">
        <v>131</v>
      </c>
    </row>
    <row r="45" spans="1:39">
      <c r="A45" s="47" t="s">
        <v>4441</v>
      </c>
      <c r="B45" s="59">
        <v>45514</v>
      </c>
      <c r="C45" s="47" t="s">
        <v>103</v>
      </c>
      <c r="D45" s="47" t="s">
        <v>4584</v>
      </c>
      <c r="E45" s="47" t="s">
        <v>167</v>
      </c>
      <c r="F45" s="47" t="s">
        <v>4588</v>
      </c>
      <c r="G45" s="47" t="s">
        <v>4589</v>
      </c>
      <c r="H45" s="47" t="s">
        <v>50</v>
      </c>
      <c r="I45" s="47" t="s">
        <v>51</v>
      </c>
      <c r="J45" s="48">
        <v>45149</v>
      </c>
      <c r="K45" s="48">
        <v>45149</v>
      </c>
      <c r="L45" s="48">
        <v>45514</v>
      </c>
      <c r="M45" s="47" t="s">
        <v>52</v>
      </c>
      <c r="N45" s="47" t="s">
        <v>53</v>
      </c>
      <c r="O45" s="49">
        <v>6900</v>
      </c>
      <c r="P45" s="49">
        <v>575</v>
      </c>
      <c r="Q45" s="49"/>
      <c r="R45" s="49"/>
      <c r="S45" s="49">
        <v>8220</v>
      </c>
      <c r="T45" s="62">
        <f t="shared" si="11"/>
        <v>685</v>
      </c>
      <c r="U45" s="50">
        <v>6900</v>
      </c>
      <c r="V45" s="63" t="s">
        <v>123</v>
      </c>
      <c r="W45" s="90"/>
      <c r="X45" s="90">
        <f t="shared" si="8"/>
        <v>-0.16058394160583941</v>
      </c>
      <c r="Y45" s="63"/>
      <c r="Z45" s="90">
        <f t="shared" si="12"/>
        <v>-1</v>
      </c>
      <c r="AA45" s="90" t="s">
        <v>50</v>
      </c>
      <c r="AB45" s="63"/>
      <c r="AC45" s="90">
        <f t="shared" si="13"/>
        <v>-1</v>
      </c>
      <c r="AD45" s="90" t="s">
        <v>50</v>
      </c>
      <c r="AE45" s="67" t="s">
        <v>4533</v>
      </c>
      <c r="AF45" s="55" t="s">
        <v>54</v>
      </c>
      <c r="AG45" s="55">
        <v>398.26</v>
      </c>
      <c r="AH45" s="55" t="s">
        <v>55</v>
      </c>
      <c r="AI45" s="55" t="s">
        <v>55</v>
      </c>
      <c r="AJ45" s="47" t="s">
        <v>4590</v>
      </c>
      <c r="AK45" s="47" t="s">
        <v>57</v>
      </c>
      <c r="AL45" s="51">
        <v>45514</v>
      </c>
      <c r="AM45" s="47" t="s">
        <v>131</v>
      </c>
    </row>
    <row r="46" spans="1:39">
      <c r="A46" s="47" t="s">
        <v>898</v>
      </c>
      <c r="B46" s="59">
        <v>45525</v>
      </c>
      <c r="C46" s="47" t="s">
        <v>103</v>
      </c>
      <c r="D46" s="47" t="s">
        <v>4584</v>
      </c>
      <c r="E46" s="47" t="s">
        <v>167</v>
      </c>
      <c r="F46" s="47" t="s">
        <v>4591</v>
      </c>
      <c r="G46" s="47" t="s">
        <v>4592</v>
      </c>
      <c r="H46" s="47" t="s">
        <v>50</v>
      </c>
      <c r="I46" s="47" t="s">
        <v>51</v>
      </c>
      <c r="J46" s="48">
        <v>44673</v>
      </c>
      <c r="K46" s="48">
        <v>45160</v>
      </c>
      <c r="L46" s="48">
        <v>45525</v>
      </c>
      <c r="M46" s="47" t="s">
        <v>64</v>
      </c>
      <c r="N46" s="47" t="s">
        <v>53</v>
      </c>
      <c r="O46" s="49">
        <v>6840</v>
      </c>
      <c r="P46" s="49">
        <v>570</v>
      </c>
      <c r="Q46" s="49"/>
      <c r="R46" s="49"/>
      <c r="S46" s="49">
        <v>7560</v>
      </c>
      <c r="T46" s="62">
        <f t="shared" si="11"/>
        <v>630</v>
      </c>
      <c r="U46" s="50">
        <v>7560</v>
      </c>
      <c r="V46" s="63" t="s">
        <v>123</v>
      </c>
      <c r="W46" s="90"/>
      <c r="X46" s="90">
        <f t="shared" si="8"/>
        <v>-9.5238095238095233E-2</v>
      </c>
      <c r="Y46" s="63"/>
      <c r="Z46" s="90">
        <f t="shared" si="12"/>
        <v>-1</v>
      </c>
      <c r="AA46" s="90" t="s">
        <v>50</v>
      </c>
      <c r="AB46" s="63"/>
      <c r="AC46" s="90">
        <f t="shared" si="13"/>
        <v>-1</v>
      </c>
      <c r="AD46" s="90" t="s">
        <v>50</v>
      </c>
      <c r="AE46" s="67" t="s">
        <v>4533</v>
      </c>
      <c r="AF46" s="55" t="s">
        <v>54</v>
      </c>
      <c r="AG46" s="55">
        <v>409.03</v>
      </c>
      <c r="AH46" s="55" t="s">
        <v>55</v>
      </c>
      <c r="AI46" s="55" t="s">
        <v>55</v>
      </c>
      <c r="AJ46" s="47" t="s">
        <v>4593</v>
      </c>
      <c r="AK46" s="47" t="s">
        <v>57</v>
      </c>
      <c r="AL46" s="51">
        <v>45525</v>
      </c>
      <c r="AM46" s="47" t="s">
        <v>131</v>
      </c>
    </row>
    <row r="47" spans="1:39" ht="72.75">
      <c r="A47" s="47" t="s">
        <v>4441</v>
      </c>
      <c r="B47" s="59">
        <v>45474</v>
      </c>
      <c r="C47" s="47" t="s">
        <v>103</v>
      </c>
      <c r="D47" s="47" t="s">
        <v>4594</v>
      </c>
      <c r="E47" s="47" t="s">
        <v>157</v>
      </c>
      <c r="F47" s="47" t="s">
        <v>4595</v>
      </c>
      <c r="G47" s="47" t="s">
        <v>4596</v>
      </c>
      <c r="H47" s="54" t="s">
        <v>4597</v>
      </c>
      <c r="I47" s="47" t="s">
        <v>51</v>
      </c>
      <c r="J47" s="48">
        <v>44744</v>
      </c>
      <c r="K47" s="48">
        <v>45109</v>
      </c>
      <c r="L47" s="48">
        <v>45474</v>
      </c>
      <c r="M47" s="47" t="s">
        <v>64</v>
      </c>
      <c r="N47" s="47" t="s">
        <v>53</v>
      </c>
      <c r="O47" s="49">
        <v>8940</v>
      </c>
      <c r="P47" s="49">
        <v>745</v>
      </c>
      <c r="Q47" s="49"/>
      <c r="R47" s="49"/>
      <c r="S47" s="49">
        <v>9180</v>
      </c>
      <c r="T47" s="62">
        <f t="shared" si="11"/>
        <v>765</v>
      </c>
      <c r="U47" s="50">
        <v>8520</v>
      </c>
      <c r="V47" s="63">
        <v>800</v>
      </c>
      <c r="W47" s="90">
        <f t="shared" ref="W47:W57" si="14">(V47-T47)/T47</f>
        <v>4.5751633986928102E-2</v>
      </c>
      <c r="X47" s="90">
        <f t="shared" si="8"/>
        <v>-2.6143790849673203E-2</v>
      </c>
      <c r="Y47" s="63"/>
      <c r="Z47" s="90">
        <f t="shared" si="12"/>
        <v>-1</v>
      </c>
      <c r="AA47" s="90" t="s">
        <v>50</v>
      </c>
      <c r="AB47" s="63"/>
      <c r="AC47" s="90">
        <f t="shared" si="13"/>
        <v>-1</v>
      </c>
      <c r="AD47" s="90" t="s">
        <v>50</v>
      </c>
      <c r="AE47" s="67" t="s">
        <v>4533</v>
      </c>
      <c r="AF47" s="55" t="s">
        <v>54</v>
      </c>
      <c r="AG47" s="55">
        <v>613.54</v>
      </c>
      <c r="AH47" s="55" t="s">
        <v>65</v>
      </c>
      <c r="AI47" s="55" t="s">
        <v>55</v>
      </c>
      <c r="AJ47" s="47" t="s">
        <v>4598</v>
      </c>
      <c r="AK47" s="47" t="s">
        <v>57</v>
      </c>
      <c r="AL47" s="51">
        <v>45474</v>
      </c>
      <c r="AM47" s="47" t="s">
        <v>131</v>
      </c>
    </row>
    <row r="48" spans="1:39" ht="72.75">
      <c r="A48" s="47" t="s">
        <v>4441</v>
      </c>
      <c r="B48" s="59">
        <v>45478</v>
      </c>
      <c r="C48" s="47" t="s">
        <v>103</v>
      </c>
      <c r="D48" s="47" t="s">
        <v>4594</v>
      </c>
      <c r="E48" s="47" t="s">
        <v>157</v>
      </c>
      <c r="F48" s="47" t="s">
        <v>4599</v>
      </c>
      <c r="G48" s="47" t="s">
        <v>4600</v>
      </c>
      <c r="H48" s="54" t="s">
        <v>4597</v>
      </c>
      <c r="I48" s="47" t="s">
        <v>51</v>
      </c>
      <c r="J48" s="48">
        <v>45113</v>
      </c>
      <c r="K48" s="48">
        <v>45113</v>
      </c>
      <c r="L48" s="48">
        <v>45478</v>
      </c>
      <c r="M48" s="47" t="s">
        <v>52</v>
      </c>
      <c r="N48" s="47" t="s">
        <v>53</v>
      </c>
      <c r="O48" s="49">
        <v>8100</v>
      </c>
      <c r="P48" s="49">
        <v>675</v>
      </c>
      <c r="Q48" s="49"/>
      <c r="R48" s="49"/>
      <c r="S48" s="49">
        <v>8040</v>
      </c>
      <c r="T48" s="62">
        <f t="shared" si="11"/>
        <v>670</v>
      </c>
      <c r="U48" s="50">
        <v>7920</v>
      </c>
      <c r="V48" s="63">
        <v>695</v>
      </c>
      <c r="W48" s="90">
        <f t="shared" si="14"/>
        <v>3.7313432835820892E-2</v>
      </c>
      <c r="X48" s="90">
        <f t="shared" si="8"/>
        <v>7.462686567164179E-3</v>
      </c>
      <c r="Y48" s="63"/>
      <c r="Z48" s="90">
        <f t="shared" si="12"/>
        <v>-1</v>
      </c>
      <c r="AA48" s="90" t="s">
        <v>50</v>
      </c>
      <c r="AB48" s="63"/>
      <c r="AC48" s="90">
        <f t="shared" si="13"/>
        <v>-1</v>
      </c>
      <c r="AD48" s="90" t="s">
        <v>50</v>
      </c>
      <c r="AE48" s="67" t="s">
        <v>4533</v>
      </c>
      <c r="AF48" s="55" t="s">
        <v>54</v>
      </c>
      <c r="AG48" s="55">
        <v>516.66999999999996</v>
      </c>
      <c r="AH48" s="55" t="s">
        <v>55</v>
      </c>
      <c r="AI48" s="55" t="s">
        <v>55</v>
      </c>
      <c r="AJ48" s="47" t="s">
        <v>4601</v>
      </c>
      <c r="AK48" s="47" t="s">
        <v>57</v>
      </c>
      <c r="AL48" s="51">
        <v>45478</v>
      </c>
      <c r="AM48" s="47" t="s">
        <v>131</v>
      </c>
    </row>
    <row r="49" spans="1:39" ht="72.75">
      <c r="A49" s="47" t="s">
        <v>4441</v>
      </c>
      <c r="B49" s="59">
        <v>45483</v>
      </c>
      <c r="C49" s="47" t="s">
        <v>103</v>
      </c>
      <c r="D49" s="47" t="s">
        <v>4594</v>
      </c>
      <c r="E49" s="47" t="s">
        <v>157</v>
      </c>
      <c r="F49" s="47" t="s">
        <v>4602</v>
      </c>
      <c r="G49" s="47" t="s">
        <v>4603</v>
      </c>
      <c r="H49" s="54" t="s">
        <v>4597</v>
      </c>
      <c r="I49" s="47" t="s">
        <v>51</v>
      </c>
      <c r="J49" s="48">
        <v>45118</v>
      </c>
      <c r="K49" s="48">
        <v>45118</v>
      </c>
      <c r="L49" s="48">
        <v>45483</v>
      </c>
      <c r="M49" s="47" t="s">
        <v>52</v>
      </c>
      <c r="N49" s="47" t="s">
        <v>53</v>
      </c>
      <c r="O49" s="49">
        <v>8100</v>
      </c>
      <c r="P49" s="49">
        <v>675</v>
      </c>
      <c r="Q49" s="49"/>
      <c r="R49" s="49"/>
      <c r="S49" s="49">
        <v>7920</v>
      </c>
      <c r="T49" s="62">
        <f t="shared" si="11"/>
        <v>660</v>
      </c>
      <c r="U49" s="50">
        <v>7680</v>
      </c>
      <c r="V49" s="63">
        <v>685</v>
      </c>
      <c r="W49" s="90">
        <f t="shared" si="14"/>
        <v>3.787878787878788E-2</v>
      </c>
      <c r="X49" s="90">
        <f t="shared" si="8"/>
        <v>2.2727272727272728E-2</v>
      </c>
      <c r="Y49" s="63"/>
      <c r="Z49" s="90">
        <f t="shared" si="12"/>
        <v>-1</v>
      </c>
      <c r="AA49" s="90" t="s">
        <v>50</v>
      </c>
      <c r="AB49" s="63"/>
      <c r="AC49" s="90">
        <f t="shared" si="13"/>
        <v>-1</v>
      </c>
      <c r="AD49" s="90" t="s">
        <v>50</v>
      </c>
      <c r="AE49" s="67" t="s">
        <v>4533</v>
      </c>
      <c r="AF49" s="55" t="s">
        <v>54</v>
      </c>
      <c r="AG49" s="55">
        <v>516.66999999999996</v>
      </c>
      <c r="AH49" s="55" t="s">
        <v>55</v>
      </c>
      <c r="AI49" s="55" t="s">
        <v>55</v>
      </c>
      <c r="AJ49" s="47" t="s">
        <v>4604</v>
      </c>
      <c r="AK49" s="47" t="s">
        <v>57</v>
      </c>
      <c r="AL49" s="51">
        <v>45483</v>
      </c>
      <c r="AM49" s="47" t="s">
        <v>131</v>
      </c>
    </row>
    <row r="50" spans="1:39" ht="72.75">
      <c r="A50" s="47" t="s">
        <v>4441</v>
      </c>
      <c r="B50" s="59">
        <v>45490</v>
      </c>
      <c r="C50" s="47" t="s">
        <v>103</v>
      </c>
      <c r="D50" s="47" t="s">
        <v>4594</v>
      </c>
      <c r="E50" s="47" t="s">
        <v>157</v>
      </c>
      <c r="F50" s="47" t="s">
        <v>4605</v>
      </c>
      <c r="G50" s="47" t="s">
        <v>4606</v>
      </c>
      <c r="H50" s="54" t="s">
        <v>4597</v>
      </c>
      <c r="I50" s="47" t="s">
        <v>51</v>
      </c>
      <c r="J50" s="48">
        <v>44760</v>
      </c>
      <c r="K50" s="48">
        <v>45125</v>
      </c>
      <c r="L50" s="48">
        <v>45490</v>
      </c>
      <c r="M50" s="47" t="s">
        <v>64</v>
      </c>
      <c r="N50" s="47" t="s">
        <v>53</v>
      </c>
      <c r="O50" s="49">
        <v>8940</v>
      </c>
      <c r="P50" s="49">
        <v>745</v>
      </c>
      <c r="Q50" s="49"/>
      <c r="R50" s="49"/>
      <c r="S50" s="49">
        <v>9060</v>
      </c>
      <c r="T50" s="62">
        <f t="shared" si="11"/>
        <v>755</v>
      </c>
      <c r="U50" s="50">
        <v>8400</v>
      </c>
      <c r="V50" s="63">
        <v>790</v>
      </c>
      <c r="W50" s="90">
        <f t="shared" si="14"/>
        <v>4.6357615894039736E-2</v>
      </c>
      <c r="X50" s="90">
        <f t="shared" si="8"/>
        <v>-1.3245033112582781E-2</v>
      </c>
      <c r="Y50" s="63"/>
      <c r="Z50" s="90">
        <f t="shared" si="12"/>
        <v>-1</v>
      </c>
      <c r="AA50" s="90" t="s">
        <v>50</v>
      </c>
      <c r="AB50" s="63"/>
      <c r="AC50" s="90">
        <f t="shared" si="13"/>
        <v>-1</v>
      </c>
      <c r="AD50" s="90" t="s">
        <v>50</v>
      </c>
      <c r="AE50" s="67" t="s">
        <v>4533</v>
      </c>
      <c r="AF50" s="55" t="s">
        <v>54</v>
      </c>
      <c r="AG50" s="55">
        <v>635.07000000000005</v>
      </c>
      <c r="AH50" s="55" t="s">
        <v>65</v>
      </c>
      <c r="AI50" s="55" t="s">
        <v>55</v>
      </c>
      <c r="AJ50" s="47" t="s">
        <v>4607</v>
      </c>
      <c r="AK50" s="47" t="s">
        <v>57</v>
      </c>
      <c r="AL50" s="51">
        <v>45490</v>
      </c>
      <c r="AM50" s="47" t="s">
        <v>131</v>
      </c>
    </row>
    <row r="51" spans="1:39" ht="72.75">
      <c r="A51" s="47" t="s">
        <v>4441</v>
      </c>
      <c r="B51" s="59">
        <v>45504</v>
      </c>
      <c r="C51" s="47" t="s">
        <v>103</v>
      </c>
      <c r="D51" s="47" t="s">
        <v>4594</v>
      </c>
      <c r="E51" s="47" t="s">
        <v>157</v>
      </c>
      <c r="F51" s="47" t="s">
        <v>4608</v>
      </c>
      <c r="G51" s="47" t="s">
        <v>4609</v>
      </c>
      <c r="H51" s="54" t="s">
        <v>4597</v>
      </c>
      <c r="I51" s="47" t="s">
        <v>51</v>
      </c>
      <c r="J51" s="48">
        <v>44774</v>
      </c>
      <c r="K51" s="48">
        <v>45139</v>
      </c>
      <c r="L51" s="48">
        <v>45504</v>
      </c>
      <c r="M51" s="47" t="s">
        <v>64</v>
      </c>
      <c r="N51" s="47" t="s">
        <v>53</v>
      </c>
      <c r="O51" s="49">
        <v>8100</v>
      </c>
      <c r="P51" s="49">
        <v>675</v>
      </c>
      <c r="Q51" s="49"/>
      <c r="R51" s="49"/>
      <c r="S51" s="49">
        <v>7740</v>
      </c>
      <c r="T51" s="62">
        <f t="shared" si="11"/>
        <v>645</v>
      </c>
      <c r="U51" s="50">
        <v>7200</v>
      </c>
      <c r="V51" s="63">
        <v>670</v>
      </c>
      <c r="W51" s="90">
        <f t="shared" si="14"/>
        <v>3.875968992248062E-2</v>
      </c>
      <c r="X51" s="90">
        <f t="shared" si="8"/>
        <v>4.6511627906976744E-2</v>
      </c>
      <c r="Y51" s="63"/>
      <c r="Z51" s="90">
        <f t="shared" si="12"/>
        <v>-1</v>
      </c>
      <c r="AA51" s="90" t="s">
        <v>50</v>
      </c>
      <c r="AB51" s="63"/>
      <c r="AC51" s="90">
        <f t="shared" si="13"/>
        <v>-1</v>
      </c>
      <c r="AD51" s="90" t="s">
        <v>50</v>
      </c>
      <c r="AE51" s="67" t="s">
        <v>4533</v>
      </c>
      <c r="AF51" s="55" t="s">
        <v>54</v>
      </c>
      <c r="AG51" s="55">
        <v>516.66999999999996</v>
      </c>
      <c r="AH51" s="55" t="s">
        <v>55</v>
      </c>
      <c r="AI51" s="55" t="s">
        <v>55</v>
      </c>
      <c r="AJ51" s="47" t="s">
        <v>4610</v>
      </c>
      <c r="AK51" s="47" t="s">
        <v>57</v>
      </c>
      <c r="AL51" s="51">
        <v>45504</v>
      </c>
      <c r="AM51" s="47" t="s">
        <v>131</v>
      </c>
    </row>
    <row r="52" spans="1:39" ht="72.75">
      <c r="A52" s="47" t="s">
        <v>4441</v>
      </c>
      <c r="B52" s="59">
        <v>45510</v>
      </c>
      <c r="C52" s="47" t="s">
        <v>103</v>
      </c>
      <c r="D52" s="47" t="s">
        <v>4594</v>
      </c>
      <c r="E52" s="47" t="s">
        <v>157</v>
      </c>
      <c r="F52" s="47" t="s">
        <v>4611</v>
      </c>
      <c r="G52" s="47" t="s">
        <v>4612</v>
      </c>
      <c r="H52" s="54" t="s">
        <v>4597</v>
      </c>
      <c r="I52" s="47" t="s">
        <v>51</v>
      </c>
      <c r="J52" s="48">
        <v>45145</v>
      </c>
      <c r="K52" s="48">
        <v>45145</v>
      </c>
      <c r="L52" s="48">
        <v>45510</v>
      </c>
      <c r="M52" s="47" t="s">
        <v>52</v>
      </c>
      <c r="N52" s="47" t="s">
        <v>53</v>
      </c>
      <c r="O52" s="49">
        <v>8940</v>
      </c>
      <c r="P52" s="49">
        <v>745</v>
      </c>
      <c r="Q52" s="49"/>
      <c r="R52" s="49"/>
      <c r="S52" s="49">
        <v>9120</v>
      </c>
      <c r="T52" s="62">
        <f t="shared" si="11"/>
        <v>760</v>
      </c>
      <c r="U52" s="50">
        <v>9120</v>
      </c>
      <c r="V52" s="63">
        <v>980</v>
      </c>
      <c r="W52" s="90">
        <f t="shared" si="14"/>
        <v>0.28947368421052633</v>
      </c>
      <c r="X52" s="90">
        <f t="shared" si="8"/>
        <v>-1.9736842105263157E-2</v>
      </c>
      <c r="Y52" s="63"/>
      <c r="Z52" s="90">
        <f t="shared" si="12"/>
        <v>-1</v>
      </c>
      <c r="AA52" s="90" t="s">
        <v>50</v>
      </c>
      <c r="AB52" s="63"/>
      <c r="AC52" s="90">
        <f t="shared" si="13"/>
        <v>-1</v>
      </c>
      <c r="AD52" s="90" t="s">
        <v>50</v>
      </c>
      <c r="AE52" s="67" t="s">
        <v>4533</v>
      </c>
      <c r="AF52" s="55" t="s">
        <v>54</v>
      </c>
      <c r="AG52" s="55">
        <v>613.54</v>
      </c>
      <c r="AH52" s="55" t="s">
        <v>65</v>
      </c>
      <c r="AI52" s="55" t="s">
        <v>55</v>
      </c>
      <c r="AJ52" s="47" t="s">
        <v>4613</v>
      </c>
      <c r="AK52" s="47" t="s">
        <v>57</v>
      </c>
      <c r="AL52" s="51">
        <v>45510</v>
      </c>
      <c r="AM52" s="47" t="s">
        <v>131</v>
      </c>
    </row>
    <row r="53" spans="1:39" ht="72.75">
      <c r="A53" s="47" t="s">
        <v>4441</v>
      </c>
      <c r="B53" s="59">
        <v>45513</v>
      </c>
      <c r="C53" s="47" t="s">
        <v>103</v>
      </c>
      <c r="D53" s="47" t="s">
        <v>4594</v>
      </c>
      <c r="E53" s="47" t="s">
        <v>157</v>
      </c>
      <c r="F53" s="47" t="s">
        <v>4614</v>
      </c>
      <c r="G53" s="47" t="s">
        <v>4615</v>
      </c>
      <c r="H53" s="54" t="s">
        <v>4597</v>
      </c>
      <c r="I53" s="47" t="s">
        <v>51</v>
      </c>
      <c r="J53" s="48">
        <v>45148</v>
      </c>
      <c r="K53" s="48">
        <v>45148</v>
      </c>
      <c r="L53" s="48">
        <v>45513</v>
      </c>
      <c r="M53" s="47" t="s">
        <v>52</v>
      </c>
      <c r="N53" s="47" t="s">
        <v>53</v>
      </c>
      <c r="O53" s="49">
        <v>8100</v>
      </c>
      <c r="P53" s="49">
        <v>675</v>
      </c>
      <c r="Q53" s="49"/>
      <c r="R53" s="49"/>
      <c r="S53" s="49">
        <v>7500</v>
      </c>
      <c r="T53" s="62">
        <f t="shared" si="11"/>
        <v>625</v>
      </c>
      <c r="U53" s="50">
        <v>7416</v>
      </c>
      <c r="V53" s="63"/>
      <c r="W53" s="90">
        <f t="shared" si="14"/>
        <v>-1</v>
      </c>
      <c r="X53" s="90">
        <f t="shared" si="8"/>
        <v>0.08</v>
      </c>
      <c r="Y53" s="63"/>
      <c r="Z53" s="90">
        <f t="shared" si="12"/>
        <v>-1</v>
      </c>
      <c r="AA53" s="90" t="s">
        <v>50</v>
      </c>
      <c r="AB53" s="63"/>
      <c r="AC53" s="90">
        <f t="shared" si="13"/>
        <v>-1</v>
      </c>
      <c r="AD53" s="90" t="s">
        <v>50</v>
      </c>
      <c r="AE53" s="67" t="s">
        <v>4533</v>
      </c>
      <c r="AF53" s="55" t="s">
        <v>54</v>
      </c>
      <c r="AG53" s="55">
        <v>516.66999999999996</v>
      </c>
      <c r="AH53" s="55" t="s">
        <v>55</v>
      </c>
      <c r="AI53" s="55" t="s">
        <v>55</v>
      </c>
      <c r="AJ53" s="47" t="s">
        <v>4616</v>
      </c>
      <c r="AK53" s="47" t="s">
        <v>57</v>
      </c>
      <c r="AL53" s="51">
        <v>45513</v>
      </c>
      <c r="AM53" s="47" t="s">
        <v>131</v>
      </c>
    </row>
    <row r="54" spans="1:39" ht="72.75">
      <c r="A54" s="47" t="s">
        <v>4441</v>
      </c>
      <c r="B54" s="59">
        <v>45517</v>
      </c>
      <c r="C54" s="47" t="s">
        <v>103</v>
      </c>
      <c r="D54" s="47" t="s">
        <v>4594</v>
      </c>
      <c r="E54" s="47" t="s">
        <v>157</v>
      </c>
      <c r="F54" s="47" t="s">
        <v>4617</v>
      </c>
      <c r="G54" s="47" t="s">
        <v>4618</v>
      </c>
      <c r="H54" s="54" t="s">
        <v>4597</v>
      </c>
      <c r="I54" s="47" t="s">
        <v>51</v>
      </c>
      <c r="J54" s="48">
        <v>45152</v>
      </c>
      <c r="K54" s="48">
        <v>45152</v>
      </c>
      <c r="L54" s="48">
        <v>45517</v>
      </c>
      <c r="M54" s="47" t="s">
        <v>52</v>
      </c>
      <c r="N54" s="47" t="s">
        <v>53</v>
      </c>
      <c r="O54" s="49">
        <v>8940</v>
      </c>
      <c r="P54" s="49">
        <v>745</v>
      </c>
      <c r="Q54" s="49"/>
      <c r="R54" s="49"/>
      <c r="S54" s="49">
        <v>8940</v>
      </c>
      <c r="T54" s="62">
        <f t="shared" si="11"/>
        <v>745</v>
      </c>
      <c r="U54" s="50">
        <v>8520</v>
      </c>
      <c r="V54" s="63"/>
      <c r="W54" s="90">
        <f t="shared" si="14"/>
        <v>-1</v>
      </c>
      <c r="X54" s="90">
        <f t="shared" si="8"/>
        <v>0</v>
      </c>
      <c r="Y54" s="63"/>
      <c r="Z54" s="90">
        <f t="shared" si="12"/>
        <v>-1</v>
      </c>
      <c r="AA54" s="90" t="s">
        <v>50</v>
      </c>
      <c r="AB54" s="63"/>
      <c r="AC54" s="90">
        <f t="shared" si="13"/>
        <v>-1</v>
      </c>
      <c r="AD54" s="90" t="s">
        <v>50</v>
      </c>
      <c r="AE54" s="67" t="s">
        <v>4533</v>
      </c>
      <c r="AF54" s="55" t="s">
        <v>250</v>
      </c>
      <c r="AG54" s="55">
        <v>635.07000000000005</v>
      </c>
      <c r="AH54" s="55" t="s">
        <v>65</v>
      </c>
      <c r="AI54" s="55" t="s">
        <v>55</v>
      </c>
      <c r="AJ54" s="47" t="s">
        <v>4619</v>
      </c>
      <c r="AK54" s="47" t="s">
        <v>57</v>
      </c>
      <c r="AL54" s="51">
        <v>45517</v>
      </c>
      <c r="AM54" s="47" t="s">
        <v>131</v>
      </c>
    </row>
    <row r="55" spans="1:39" ht="72.75">
      <c r="A55" s="47" t="s">
        <v>4441</v>
      </c>
      <c r="B55" s="59">
        <v>45519</v>
      </c>
      <c r="C55" s="47" t="s">
        <v>103</v>
      </c>
      <c r="D55" s="47" t="s">
        <v>4594</v>
      </c>
      <c r="E55" s="47" t="s">
        <v>157</v>
      </c>
      <c r="F55" s="47" t="s">
        <v>4620</v>
      </c>
      <c r="G55" s="47" t="s">
        <v>4621</v>
      </c>
      <c r="H55" s="54" t="s">
        <v>4597</v>
      </c>
      <c r="I55" s="47" t="s">
        <v>51</v>
      </c>
      <c r="J55" s="48">
        <v>43600</v>
      </c>
      <c r="K55" s="48">
        <v>45154</v>
      </c>
      <c r="L55" s="48">
        <v>45519</v>
      </c>
      <c r="M55" s="47" t="s">
        <v>64</v>
      </c>
      <c r="N55" s="47" t="s">
        <v>53</v>
      </c>
      <c r="O55" s="49">
        <v>8940</v>
      </c>
      <c r="P55" s="49">
        <v>745</v>
      </c>
      <c r="Q55" s="49"/>
      <c r="R55" s="49"/>
      <c r="S55" s="49">
        <v>8760</v>
      </c>
      <c r="T55" s="62">
        <f t="shared" si="11"/>
        <v>730</v>
      </c>
      <c r="U55" s="50">
        <v>8100</v>
      </c>
      <c r="V55" s="63"/>
      <c r="W55" s="90">
        <f t="shared" si="14"/>
        <v>-1</v>
      </c>
      <c r="X55" s="90">
        <f t="shared" si="8"/>
        <v>2.0547945205479451E-2</v>
      </c>
      <c r="Y55" s="63"/>
      <c r="Z55" s="90">
        <f t="shared" si="12"/>
        <v>-1</v>
      </c>
      <c r="AA55" s="90" t="s">
        <v>50</v>
      </c>
      <c r="AB55" s="63"/>
      <c r="AC55" s="90">
        <f t="shared" si="13"/>
        <v>-1</v>
      </c>
      <c r="AD55" s="90" t="s">
        <v>50</v>
      </c>
      <c r="AE55" s="67" t="s">
        <v>4533</v>
      </c>
      <c r="AF55" s="55" t="s">
        <v>54</v>
      </c>
      <c r="AG55" s="55">
        <v>613.54</v>
      </c>
      <c r="AH55" s="55" t="s">
        <v>65</v>
      </c>
      <c r="AI55" s="55" t="s">
        <v>55</v>
      </c>
      <c r="AJ55" s="47" t="s">
        <v>4622</v>
      </c>
      <c r="AK55" s="47" t="s">
        <v>57</v>
      </c>
      <c r="AL55" s="51">
        <v>45519</v>
      </c>
      <c r="AM55" s="47" t="s">
        <v>131</v>
      </c>
    </row>
    <row r="56" spans="1:39" ht="72.75">
      <c r="A56" s="47" t="s">
        <v>4441</v>
      </c>
      <c r="B56" s="59">
        <v>45527</v>
      </c>
      <c r="C56" s="47" t="s">
        <v>103</v>
      </c>
      <c r="D56" s="47" t="s">
        <v>4594</v>
      </c>
      <c r="E56" s="47" t="s">
        <v>157</v>
      </c>
      <c r="F56" s="47" t="s">
        <v>4623</v>
      </c>
      <c r="G56" s="47" t="s">
        <v>4624</v>
      </c>
      <c r="H56" s="54" t="s">
        <v>4597</v>
      </c>
      <c r="I56" s="47" t="s">
        <v>51</v>
      </c>
      <c r="J56" s="48">
        <v>45162</v>
      </c>
      <c r="K56" s="48">
        <v>45162</v>
      </c>
      <c r="L56" s="48">
        <v>45527</v>
      </c>
      <c r="M56" s="47" t="s">
        <v>52</v>
      </c>
      <c r="N56" s="47" t="s">
        <v>53</v>
      </c>
      <c r="O56" s="49">
        <v>8100</v>
      </c>
      <c r="P56" s="49">
        <v>675</v>
      </c>
      <c r="Q56" s="49"/>
      <c r="R56" s="49"/>
      <c r="S56" s="49">
        <v>7980</v>
      </c>
      <c r="T56" s="62">
        <f t="shared" si="11"/>
        <v>665</v>
      </c>
      <c r="U56" s="50">
        <v>7620</v>
      </c>
      <c r="V56" s="63"/>
      <c r="W56" s="90">
        <f t="shared" si="14"/>
        <v>-1</v>
      </c>
      <c r="X56" s="90">
        <f t="shared" si="8"/>
        <v>1.5037593984962405E-2</v>
      </c>
      <c r="Y56" s="63"/>
      <c r="Z56" s="90">
        <f t="shared" si="12"/>
        <v>-1</v>
      </c>
      <c r="AA56" s="90" t="s">
        <v>50</v>
      </c>
      <c r="AB56" s="63"/>
      <c r="AC56" s="90">
        <f t="shared" si="13"/>
        <v>-1</v>
      </c>
      <c r="AD56" s="90" t="s">
        <v>50</v>
      </c>
      <c r="AE56" s="67" t="s">
        <v>4533</v>
      </c>
      <c r="AF56" s="55" t="s">
        <v>54</v>
      </c>
      <c r="AG56" s="55">
        <v>516.66999999999996</v>
      </c>
      <c r="AH56" s="55" t="s">
        <v>55</v>
      </c>
      <c r="AI56" s="55" t="s">
        <v>55</v>
      </c>
      <c r="AJ56" s="47" t="s">
        <v>4604</v>
      </c>
      <c r="AK56" s="47" t="s">
        <v>57</v>
      </c>
      <c r="AL56" s="51">
        <v>45527</v>
      </c>
      <c r="AM56" s="47" t="s">
        <v>131</v>
      </c>
    </row>
    <row r="57" spans="1:39" ht="72.75">
      <c r="A57" s="47" t="s">
        <v>4441</v>
      </c>
      <c r="B57" s="59">
        <v>45528</v>
      </c>
      <c r="C57" s="47" t="s">
        <v>103</v>
      </c>
      <c r="D57" s="47" t="s">
        <v>4594</v>
      </c>
      <c r="E57" s="47" t="s">
        <v>157</v>
      </c>
      <c r="F57" s="47" t="s">
        <v>4625</v>
      </c>
      <c r="G57" s="47" t="s">
        <v>4626</v>
      </c>
      <c r="H57" s="54" t="s">
        <v>4597</v>
      </c>
      <c r="I57" s="47" t="s">
        <v>51</v>
      </c>
      <c r="J57" s="48">
        <v>44433</v>
      </c>
      <c r="K57" s="48">
        <v>45163</v>
      </c>
      <c r="L57" s="48">
        <v>45528</v>
      </c>
      <c r="M57" s="47" t="s">
        <v>64</v>
      </c>
      <c r="N57" s="47" t="s">
        <v>53</v>
      </c>
      <c r="O57" s="49">
        <v>8940</v>
      </c>
      <c r="P57" s="49">
        <v>745</v>
      </c>
      <c r="Q57" s="49"/>
      <c r="R57" s="49"/>
      <c r="S57" s="49">
        <v>9000</v>
      </c>
      <c r="T57" s="62">
        <f t="shared" si="11"/>
        <v>750</v>
      </c>
      <c r="U57" s="50">
        <v>8400</v>
      </c>
      <c r="V57" s="63"/>
      <c r="W57" s="90">
        <f t="shared" si="14"/>
        <v>-1</v>
      </c>
      <c r="X57" s="90">
        <f t="shared" si="8"/>
        <v>-6.6666666666666671E-3</v>
      </c>
      <c r="Y57" s="63"/>
      <c r="Z57" s="90">
        <f t="shared" si="12"/>
        <v>-1</v>
      </c>
      <c r="AA57" s="90" t="s">
        <v>50</v>
      </c>
      <c r="AB57" s="63"/>
      <c r="AC57" s="90">
        <f t="shared" si="13"/>
        <v>-1</v>
      </c>
      <c r="AD57" s="90" t="s">
        <v>50</v>
      </c>
      <c r="AE57" s="67" t="s">
        <v>4533</v>
      </c>
      <c r="AF57" s="55" t="s">
        <v>54</v>
      </c>
      <c r="AG57" s="55">
        <v>613.54</v>
      </c>
      <c r="AH57" s="55" t="s">
        <v>65</v>
      </c>
      <c r="AI57" s="55" t="s">
        <v>55</v>
      </c>
      <c r="AJ57" s="47" t="s">
        <v>4627</v>
      </c>
      <c r="AK57" s="47" t="s">
        <v>57</v>
      </c>
      <c r="AL57" s="51">
        <v>45528</v>
      </c>
      <c r="AM57" s="47" t="s">
        <v>131</v>
      </c>
    </row>
  </sheetData>
  <autoFilter ref="A1:XEN57" xr:uid="{C13F9780-0ECB-43C7-93E2-288A297E3461}"/>
  <conditionalFormatting sqref="F1">
    <cfRule type="duplicateValues" dxfId="29" priority="33"/>
  </conditionalFormatting>
  <conditionalFormatting sqref="F2">
    <cfRule type="duplicateValues" dxfId="28" priority="32"/>
  </conditionalFormatting>
  <conditionalFormatting sqref="F3">
    <cfRule type="duplicateValues" dxfId="27" priority="30"/>
  </conditionalFormatting>
  <conditionalFormatting sqref="F4">
    <cfRule type="duplicateValues" dxfId="26" priority="28"/>
  </conditionalFormatting>
  <conditionalFormatting sqref="F5">
    <cfRule type="duplicateValues" dxfId="25" priority="26"/>
  </conditionalFormatting>
  <conditionalFormatting sqref="F6">
    <cfRule type="duplicateValues" dxfId="24" priority="25"/>
  </conditionalFormatting>
  <conditionalFormatting sqref="F7">
    <cfRule type="duplicateValues" dxfId="23" priority="24"/>
  </conditionalFormatting>
  <conditionalFormatting sqref="F8">
    <cfRule type="duplicateValues" dxfId="22" priority="23"/>
  </conditionalFormatting>
  <conditionalFormatting sqref="F9">
    <cfRule type="duplicateValues" dxfId="21" priority="22"/>
  </conditionalFormatting>
  <conditionalFormatting sqref="F10">
    <cfRule type="duplicateValues" dxfId="20" priority="21"/>
  </conditionalFormatting>
  <conditionalFormatting sqref="F11">
    <cfRule type="duplicateValues" dxfId="19" priority="20"/>
  </conditionalFormatting>
  <conditionalFormatting sqref="F12">
    <cfRule type="duplicateValues" dxfId="18" priority="19"/>
  </conditionalFormatting>
  <conditionalFormatting sqref="F13">
    <cfRule type="duplicateValues" dxfId="17" priority="18"/>
  </conditionalFormatting>
  <conditionalFormatting sqref="F14">
    <cfRule type="duplicateValues" dxfId="16" priority="16"/>
  </conditionalFormatting>
  <conditionalFormatting sqref="F15">
    <cfRule type="duplicateValues" dxfId="15" priority="15"/>
  </conditionalFormatting>
  <conditionalFormatting sqref="F16">
    <cfRule type="duplicateValues" dxfId="14" priority="14"/>
  </conditionalFormatting>
  <conditionalFormatting sqref="F17">
    <cfRule type="duplicateValues" dxfId="13" priority="13"/>
  </conditionalFormatting>
  <conditionalFormatting sqref="F18">
    <cfRule type="duplicateValues" dxfId="12" priority="12"/>
  </conditionalFormatting>
  <conditionalFormatting sqref="F19">
    <cfRule type="duplicateValues" dxfId="11" priority="11"/>
  </conditionalFormatting>
  <conditionalFormatting sqref="F20">
    <cfRule type="duplicateValues" dxfId="10" priority="10"/>
  </conditionalFormatting>
  <conditionalFormatting sqref="F21">
    <cfRule type="duplicateValues" dxfId="9" priority="9"/>
  </conditionalFormatting>
  <conditionalFormatting sqref="F22">
    <cfRule type="duplicateValues" dxfId="8" priority="8"/>
  </conditionalFormatting>
  <conditionalFormatting sqref="F23">
    <cfRule type="duplicateValues" dxfId="7" priority="7"/>
  </conditionalFormatting>
  <conditionalFormatting sqref="F24">
    <cfRule type="duplicateValues" dxfId="6" priority="6"/>
  </conditionalFormatting>
  <conditionalFormatting sqref="F25">
    <cfRule type="duplicateValues" dxfId="5" priority="5"/>
  </conditionalFormatting>
  <conditionalFormatting sqref="F26:F32">
    <cfRule type="duplicateValues" dxfId="4" priority="4"/>
  </conditionalFormatting>
  <conditionalFormatting sqref="F33:F57">
    <cfRule type="duplicateValues" dxfId="3"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56F80-305F-46C4-85EE-3C04D16B5CD8}">
  <dimension ref="A1:T126"/>
  <sheetViews>
    <sheetView zoomScale="80" zoomScaleNormal="80" workbookViewId="0">
      <pane ySplit="1" topLeftCell="A34" activePane="bottomLeft" state="frozen"/>
      <selection pane="bottomLeft" activeCell="S17" sqref="S17"/>
    </sheetView>
  </sheetViews>
  <sheetFormatPr defaultColWidth="8.85546875" defaultRowHeight="13.5"/>
  <cols>
    <col min="1" max="1" width="11.140625" style="154" customWidth="1"/>
    <col min="2" max="2" width="9.5703125" style="154" customWidth="1"/>
    <col min="3" max="3" width="9.42578125" style="154" customWidth="1"/>
    <col min="4" max="4" width="10" style="154" customWidth="1"/>
    <col min="5" max="5" width="11.42578125" style="154" customWidth="1"/>
    <col min="6" max="7" width="9.28515625" style="154" customWidth="1"/>
    <col min="8" max="8" width="8.85546875" style="154"/>
    <col min="9" max="9" width="8.85546875" style="154" bestFit="1" customWidth="1"/>
    <col min="10" max="10" width="10.28515625" style="155" customWidth="1"/>
    <col min="11" max="11" width="20.7109375" style="154" customWidth="1"/>
    <col min="12" max="12" width="9" style="155" customWidth="1"/>
    <col min="13" max="13" width="29.5703125" style="154" customWidth="1"/>
    <col min="14" max="14" width="13" style="230" customWidth="1"/>
    <col min="15" max="15" width="11.7109375" style="258" customWidth="1"/>
    <col min="16" max="16" width="40.7109375" style="293" customWidth="1"/>
    <col min="17" max="17" width="13.140625" style="154" customWidth="1"/>
    <col min="18" max="18" width="29.140625" style="154" customWidth="1"/>
    <col min="19" max="19" width="31" style="154" customWidth="1"/>
    <col min="20" max="20" width="11.85546875" style="154" customWidth="1"/>
    <col min="21" max="16384" width="8.85546875" style="154"/>
  </cols>
  <sheetData>
    <row r="1" spans="1:20" ht="71.25" customHeight="1">
      <c r="A1" s="146" t="s">
        <v>4628</v>
      </c>
      <c r="B1" s="147" t="s">
        <v>4629</v>
      </c>
      <c r="C1" s="148" t="s">
        <v>4630</v>
      </c>
      <c r="D1" s="148" t="s">
        <v>4</v>
      </c>
      <c r="E1" s="148" t="s">
        <v>4631</v>
      </c>
      <c r="F1" s="148" t="s">
        <v>36</v>
      </c>
      <c r="G1" s="148" t="s">
        <v>3846</v>
      </c>
      <c r="H1" s="149" t="s">
        <v>4632</v>
      </c>
      <c r="I1" s="149" t="s">
        <v>4633</v>
      </c>
      <c r="J1" s="150" t="s">
        <v>4634</v>
      </c>
      <c r="K1" s="151" t="s">
        <v>4635</v>
      </c>
      <c r="L1" s="152" t="s">
        <v>4636</v>
      </c>
      <c r="M1" s="151" t="s">
        <v>4637</v>
      </c>
      <c r="N1" s="224" t="s">
        <v>4638</v>
      </c>
      <c r="O1" s="254" t="s">
        <v>4639</v>
      </c>
      <c r="P1" s="290" t="s">
        <v>4640</v>
      </c>
      <c r="Q1" s="153" t="s">
        <v>4641</v>
      </c>
      <c r="R1" s="153" t="s">
        <v>4642</v>
      </c>
      <c r="S1" s="153" t="s">
        <v>4643</v>
      </c>
      <c r="T1" s="165" t="s">
        <v>4644</v>
      </c>
    </row>
    <row r="2" spans="1:20" ht="27">
      <c r="A2" s="159" t="s">
        <v>4645</v>
      </c>
      <c r="B2" s="160" t="s">
        <v>4646</v>
      </c>
      <c r="C2" s="159" t="s">
        <v>4647</v>
      </c>
      <c r="D2" s="159" t="s">
        <v>1828</v>
      </c>
      <c r="E2" s="159" t="s">
        <v>4648</v>
      </c>
      <c r="F2" s="159">
        <v>1</v>
      </c>
      <c r="G2" s="159">
        <v>2336</v>
      </c>
      <c r="H2" s="159">
        <v>2085</v>
      </c>
      <c r="I2" s="269">
        <v>2350</v>
      </c>
      <c r="J2" s="270">
        <f t="shared" ref="J2:J33" si="0">SUM(I2-H2)/H2</f>
        <v>0.12709832134292565</v>
      </c>
      <c r="K2" s="159">
        <v>2200</v>
      </c>
      <c r="L2" s="161">
        <f t="shared" ref="L2:L33" si="1">SUM(K2-H2)/H2</f>
        <v>5.5155875299760189E-2</v>
      </c>
      <c r="M2" s="159">
        <v>2295</v>
      </c>
      <c r="N2" s="225">
        <f t="shared" ref="N2:N14" si="2">SUM(M2-H2)/H2</f>
        <v>0.10071942446043165</v>
      </c>
      <c r="O2" s="161">
        <f t="shared" ref="O2:O14" si="3">SUM(M2-G2)/G2</f>
        <v>-1.7551369863013699E-2</v>
      </c>
      <c r="P2" s="291" t="s">
        <v>4649</v>
      </c>
      <c r="Q2" s="159" t="s">
        <v>4650</v>
      </c>
      <c r="R2" s="159" t="s">
        <v>4651</v>
      </c>
      <c r="S2" s="167" t="s">
        <v>4643</v>
      </c>
      <c r="T2" s="183"/>
    </row>
    <row r="3" spans="1:20" ht="27">
      <c r="A3" s="159" t="s">
        <v>4645</v>
      </c>
      <c r="B3" s="160" t="s">
        <v>4652</v>
      </c>
      <c r="C3" s="159" t="s">
        <v>4647</v>
      </c>
      <c r="D3" s="159" t="s">
        <v>253</v>
      </c>
      <c r="E3" s="159" t="s">
        <v>4653</v>
      </c>
      <c r="F3" s="159">
        <v>2</v>
      </c>
      <c r="G3" s="159">
        <v>1260</v>
      </c>
      <c r="H3" s="159">
        <v>1210</v>
      </c>
      <c r="I3" s="159">
        <v>1265</v>
      </c>
      <c r="J3" s="161">
        <f t="shared" si="0"/>
        <v>4.5454545454545456E-2</v>
      </c>
      <c r="K3" s="159">
        <v>1210</v>
      </c>
      <c r="L3" s="161">
        <f t="shared" si="1"/>
        <v>0</v>
      </c>
      <c r="M3" s="159">
        <v>1240</v>
      </c>
      <c r="N3" s="161">
        <f t="shared" si="2"/>
        <v>2.4793388429752067E-2</v>
      </c>
      <c r="O3" s="161">
        <f t="shared" si="3"/>
        <v>-1.5873015873015872E-2</v>
      </c>
      <c r="P3" s="291" t="s">
        <v>4654</v>
      </c>
      <c r="Q3" s="159" t="s">
        <v>4655</v>
      </c>
      <c r="R3" s="159" t="s">
        <v>4656</v>
      </c>
      <c r="S3" s="167" t="s">
        <v>4643</v>
      </c>
      <c r="T3" s="183"/>
    </row>
    <row r="4" spans="1:20" ht="27">
      <c r="A4" s="159" t="s">
        <v>4657</v>
      </c>
      <c r="B4" s="160" t="s">
        <v>4652</v>
      </c>
      <c r="C4" s="159" t="s">
        <v>1614</v>
      </c>
      <c r="D4" s="159" t="s">
        <v>46</v>
      </c>
      <c r="E4" s="159" t="s">
        <v>4658</v>
      </c>
      <c r="F4" s="159">
        <v>1</v>
      </c>
      <c r="G4" s="159">
        <v>980</v>
      </c>
      <c r="H4" s="159">
        <v>980</v>
      </c>
      <c r="I4" s="159">
        <v>1045</v>
      </c>
      <c r="J4" s="161">
        <f t="shared" si="0"/>
        <v>6.6326530612244902E-2</v>
      </c>
      <c r="K4" s="159">
        <v>1000</v>
      </c>
      <c r="L4" s="161">
        <f t="shared" si="1"/>
        <v>2.0408163265306121E-2</v>
      </c>
      <c r="M4" s="159">
        <v>1010</v>
      </c>
      <c r="N4" s="161">
        <f t="shared" si="2"/>
        <v>3.0612244897959183E-2</v>
      </c>
      <c r="O4" s="161">
        <f t="shared" si="3"/>
        <v>3.0612244897959183E-2</v>
      </c>
      <c r="P4" s="294" t="s">
        <v>4659</v>
      </c>
      <c r="Q4" s="159" t="s">
        <v>4660</v>
      </c>
      <c r="R4" s="159" t="s">
        <v>4661</v>
      </c>
      <c r="S4" s="164" t="s">
        <v>4643</v>
      </c>
      <c r="T4" s="162" t="s">
        <v>4662</v>
      </c>
    </row>
    <row r="5" spans="1:20">
      <c r="A5" s="159" t="s">
        <v>4663</v>
      </c>
      <c r="B5" s="160" t="s">
        <v>4652</v>
      </c>
      <c r="C5" s="159" t="s">
        <v>1614</v>
      </c>
      <c r="D5" s="159" t="s">
        <v>46</v>
      </c>
      <c r="E5" s="159" t="s">
        <v>4664</v>
      </c>
      <c r="F5" s="159">
        <v>1</v>
      </c>
      <c r="G5" s="159">
        <v>1090</v>
      </c>
      <c r="H5" s="159">
        <v>1035</v>
      </c>
      <c r="I5" s="159">
        <v>1100</v>
      </c>
      <c r="J5" s="161">
        <f t="shared" si="0"/>
        <v>6.280193236714976E-2</v>
      </c>
      <c r="K5" s="159">
        <v>1060</v>
      </c>
      <c r="L5" s="161">
        <f t="shared" si="1"/>
        <v>2.4154589371980676E-2</v>
      </c>
      <c r="M5" s="159">
        <v>1070</v>
      </c>
      <c r="N5" s="161">
        <f t="shared" si="2"/>
        <v>3.3816425120772944E-2</v>
      </c>
      <c r="O5" s="161">
        <f t="shared" si="3"/>
        <v>-1.834862385321101E-2</v>
      </c>
      <c r="P5" s="291" t="s">
        <v>4665</v>
      </c>
      <c r="Q5" s="159" t="s">
        <v>4666</v>
      </c>
      <c r="R5" s="159" t="s">
        <v>4667</v>
      </c>
      <c r="S5" s="164" t="s">
        <v>4643</v>
      </c>
      <c r="T5" s="162" t="s">
        <v>4662</v>
      </c>
    </row>
    <row r="6" spans="1:20" ht="27">
      <c r="A6" s="159" t="s">
        <v>4668</v>
      </c>
      <c r="B6" s="160" t="s">
        <v>4652</v>
      </c>
      <c r="C6" s="159" t="s">
        <v>1614</v>
      </c>
      <c r="D6" s="159" t="s">
        <v>4669</v>
      </c>
      <c r="E6" s="159" t="s">
        <v>4670</v>
      </c>
      <c r="F6" s="159">
        <v>1</v>
      </c>
      <c r="G6" s="159">
        <v>745</v>
      </c>
      <c r="H6" s="159">
        <v>710</v>
      </c>
      <c r="I6" s="159">
        <v>770</v>
      </c>
      <c r="J6" s="161">
        <f t="shared" si="0"/>
        <v>8.4507042253521125E-2</v>
      </c>
      <c r="K6" s="159">
        <v>0</v>
      </c>
      <c r="L6" s="161">
        <f t="shared" si="1"/>
        <v>-1</v>
      </c>
      <c r="M6" s="159">
        <v>770</v>
      </c>
      <c r="N6" s="161">
        <f t="shared" si="2"/>
        <v>8.4507042253521125E-2</v>
      </c>
      <c r="O6" s="161">
        <f t="shared" si="3"/>
        <v>3.3557046979865772E-2</v>
      </c>
      <c r="P6" s="291" t="s">
        <v>4671</v>
      </c>
      <c r="Q6" s="159" t="s">
        <v>4672</v>
      </c>
      <c r="R6" s="159" t="s">
        <v>4673</v>
      </c>
      <c r="S6" s="164" t="s">
        <v>4643</v>
      </c>
      <c r="T6" s="162" t="s">
        <v>4662</v>
      </c>
    </row>
    <row r="7" spans="1:20" ht="27">
      <c r="A7" s="159" t="s">
        <v>4674</v>
      </c>
      <c r="B7" s="160" t="s">
        <v>4675</v>
      </c>
      <c r="C7" s="159" t="s">
        <v>1614</v>
      </c>
      <c r="D7" s="159" t="s">
        <v>4676</v>
      </c>
      <c r="E7" s="159" t="s">
        <v>4677</v>
      </c>
      <c r="F7" s="159">
        <v>1</v>
      </c>
      <c r="G7" s="159">
        <v>1210</v>
      </c>
      <c r="H7" s="159">
        <v>1210</v>
      </c>
      <c r="I7" s="159">
        <v>1215</v>
      </c>
      <c r="J7" s="161">
        <f t="shared" si="0"/>
        <v>4.1322314049586778E-3</v>
      </c>
      <c r="K7" s="159">
        <v>1215</v>
      </c>
      <c r="L7" s="161">
        <f t="shared" si="1"/>
        <v>4.1322314049586778E-3</v>
      </c>
      <c r="M7" s="159">
        <v>1215</v>
      </c>
      <c r="N7" s="161">
        <f t="shared" si="2"/>
        <v>4.1322314049586778E-3</v>
      </c>
      <c r="O7" s="161">
        <f t="shared" si="3"/>
        <v>4.1322314049586778E-3</v>
      </c>
      <c r="P7" s="291" t="s">
        <v>4678</v>
      </c>
      <c r="Q7" s="159"/>
      <c r="R7" s="159"/>
      <c r="S7" s="167"/>
      <c r="T7" s="183"/>
    </row>
    <row r="8" spans="1:20" ht="27">
      <c r="A8" s="159" t="s">
        <v>4679</v>
      </c>
      <c r="B8" s="160" t="s">
        <v>4652</v>
      </c>
      <c r="C8" s="159" t="s">
        <v>1614</v>
      </c>
      <c r="D8" s="159" t="s">
        <v>46</v>
      </c>
      <c r="E8" s="159" t="s">
        <v>4680</v>
      </c>
      <c r="F8" s="159">
        <v>2</v>
      </c>
      <c r="G8" s="159">
        <v>1410</v>
      </c>
      <c r="H8" s="159">
        <v>1360</v>
      </c>
      <c r="I8" s="159">
        <v>1430</v>
      </c>
      <c r="J8" s="161">
        <f t="shared" si="0"/>
        <v>5.1470588235294115E-2</v>
      </c>
      <c r="K8" s="159">
        <v>1380</v>
      </c>
      <c r="L8" s="161">
        <f t="shared" si="1"/>
        <v>1.4705882352941176E-2</v>
      </c>
      <c r="M8" s="159">
        <v>1400</v>
      </c>
      <c r="N8" s="161">
        <f t="shared" si="2"/>
        <v>2.9411764705882353E-2</v>
      </c>
      <c r="O8" s="161">
        <f t="shared" si="3"/>
        <v>-7.0921985815602835E-3</v>
      </c>
      <c r="P8" s="291" t="s">
        <v>4681</v>
      </c>
      <c r="Q8" s="159" t="s">
        <v>4682</v>
      </c>
      <c r="R8" s="159" t="s">
        <v>4683</v>
      </c>
      <c r="S8" s="164" t="s">
        <v>4643</v>
      </c>
      <c r="T8" s="162" t="s">
        <v>4662</v>
      </c>
    </row>
    <row r="9" spans="1:20">
      <c r="A9" s="159" t="s">
        <v>4684</v>
      </c>
      <c r="B9" s="160" t="s">
        <v>4652</v>
      </c>
      <c r="C9" s="159" t="s">
        <v>1614</v>
      </c>
      <c r="D9" s="159" t="s">
        <v>104</v>
      </c>
      <c r="E9" s="159" t="s">
        <v>4685</v>
      </c>
      <c r="F9" s="159">
        <v>1</v>
      </c>
      <c r="G9" s="159">
        <v>805</v>
      </c>
      <c r="H9" s="159">
        <v>785</v>
      </c>
      <c r="I9" s="159">
        <v>845</v>
      </c>
      <c r="J9" s="161">
        <f t="shared" si="0"/>
        <v>7.6433121019108277E-2</v>
      </c>
      <c r="K9" s="159">
        <v>800</v>
      </c>
      <c r="L9" s="161">
        <f t="shared" si="1"/>
        <v>1.9108280254777069E-2</v>
      </c>
      <c r="M9" s="159">
        <v>835</v>
      </c>
      <c r="N9" s="161">
        <f t="shared" si="2"/>
        <v>6.3694267515923567E-2</v>
      </c>
      <c r="O9" s="161">
        <f t="shared" si="3"/>
        <v>3.7267080745341616E-2</v>
      </c>
      <c r="P9" s="291" t="s">
        <v>4686</v>
      </c>
      <c r="Q9" s="159" t="s">
        <v>4687</v>
      </c>
      <c r="R9" s="159" t="s">
        <v>4688</v>
      </c>
      <c r="S9" s="164" t="s">
        <v>4643</v>
      </c>
      <c r="T9" s="162"/>
    </row>
    <row r="10" spans="1:20">
      <c r="A10" s="159" t="s">
        <v>4689</v>
      </c>
      <c r="B10" s="160" t="s">
        <v>4652</v>
      </c>
      <c r="C10" s="159" t="s">
        <v>1614</v>
      </c>
      <c r="D10" s="159" t="s">
        <v>46</v>
      </c>
      <c r="E10" s="159" t="s">
        <v>4690</v>
      </c>
      <c r="F10" s="159">
        <v>1</v>
      </c>
      <c r="G10" s="159">
        <v>1060</v>
      </c>
      <c r="H10" s="159">
        <v>1005</v>
      </c>
      <c r="I10" s="159">
        <v>1065</v>
      </c>
      <c r="J10" s="161">
        <f t="shared" si="0"/>
        <v>5.9701492537313432E-2</v>
      </c>
      <c r="K10" s="159">
        <v>1000</v>
      </c>
      <c r="L10" s="161">
        <f t="shared" si="1"/>
        <v>-4.9751243781094526E-3</v>
      </c>
      <c r="M10" s="159">
        <v>1045</v>
      </c>
      <c r="N10" s="161">
        <f t="shared" si="2"/>
        <v>3.9800995024875621E-2</v>
      </c>
      <c r="O10" s="161">
        <f t="shared" si="3"/>
        <v>-1.4150943396226415E-2</v>
      </c>
      <c r="P10" s="291" t="s">
        <v>4691</v>
      </c>
      <c r="Q10" s="159" t="s">
        <v>4692</v>
      </c>
      <c r="R10" s="159" t="s">
        <v>4693</v>
      </c>
      <c r="S10" s="164" t="s">
        <v>4643</v>
      </c>
      <c r="T10" s="162" t="s">
        <v>4662</v>
      </c>
    </row>
    <row r="11" spans="1:20">
      <c r="A11" s="159" t="s">
        <v>4694</v>
      </c>
      <c r="B11" s="160" t="s">
        <v>4652</v>
      </c>
      <c r="C11" s="159" t="s">
        <v>1614</v>
      </c>
      <c r="D11" s="159" t="s">
        <v>4695</v>
      </c>
      <c r="E11" s="159" t="s">
        <v>4696</v>
      </c>
      <c r="F11" s="159">
        <v>2</v>
      </c>
      <c r="G11" s="159">
        <v>1410</v>
      </c>
      <c r="H11" s="159">
        <v>1360</v>
      </c>
      <c r="I11" s="159">
        <v>1440</v>
      </c>
      <c r="J11" s="161">
        <f t="shared" si="0"/>
        <v>5.8823529411764705E-2</v>
      </c>
      <c r="K11" s="159">
        <v>1410</v>
      </c>
      <c r="L11" s="161">
        <f t="shared" si="1"/>
        <v>3.6764705882352942E-2</v>
      </c>
      <c r="M11" s="159">
        <v>1425</v>
      </c>
      <c r="N11" s="161">
        <f t="shared" si="2"/>
        <v>4.779411764705882E-2</v>
      </c>
      <c r="O11" s="161">
        <f t="shared" si="3"/>
        <v>1.0638297872340425E-2</v>
      </c>
      <c r="P11" s="291" t="s">
        <v>4697</v>
      </c>
      <c r="Q11" s="159" t="s">
        <v>4698</v>
      </c>
      <c r="R11" s="159" t="s">
        <v>4667</v>
      </c>
      <c r="S11" s="164" t="s">
        <v>4643</v>
      </c>
      <c r="T11" s="162" t="s">
        <v>4662</v>
      </c>
    </row>
    <row r="12" spans="1:20" ht="27">
      <c r="A12" s="159" t="s">
        <v>4699</v>
      </c>
      <c r="B12" s="160" t="s">
        <v>4652</v>
      </c>
      <c r="C12" s="159" t="s">
        <v>1614</v>
      </c>
      <c r="D12" s="159" t="s">
        <v>4695</v>
      </c>
      <c r="E12" s="159" t="s">
        <v>4700</v>
      </c>
      <c r="F12" s="159">
        <v>2</v>
      </c>
      <c r="G12" s="159">
        <v>1385</v>
      </c>
      <c r="H12" s="159">
        <v>1300</v>
      </c>
      <c r="I12" s="159">
        <v>1415</v>
      </c>
      <c r="J12" s="161">
        <f t="shared" si="0"/>
        <v>8.8461538461538466E-2</v>
      </c>
      <c r="K12" s="159">
        <v>1350</v>
      </c>
      <c r="L12" s="161">
        <f t="shared" si="1"/>
        <v>3.8461538461538464E-2</v>
      </c>
      <c r="M12" s="159">
        <v>1385</v>
      </c>
      <c r="N12" s="161">
        <f t="shared" si="2"/>
        <v>6.5384615384615388E-2</v>
      </c>
      <c r="O12" s="161">
        <f t="shared" si="3"/>
        <v>0</v>
      </c>
      <c r="P12" s="291" t="s">
        <v>4701</v>
      </c>
      <c r="Q12" s="159" t="s">
        <v>4702</v>
      </c>
      <c r="R12" s="159" t="s">
        <v>4703</v>
      </c>
      <c r="S12" s="164" t="s">
        <v>4643</v>
      </c>
      <c r="T12" s="162" t="s">
        <v>4662</v>
      </c>
    </row>
    <row r="13" spans="1:20" ht="27">
      <c r="A13" s="159" t="s">
        <v>4699</v>
      </c>
      <c r="B13" s="160" t="s">
        <v>4652</v>
      </c>
      <c r="C13" s="159" t="s">
        <v>1614</v>
      </c>
      <c r="D13" s="159" t="s">
        <v>4704</v>
      </c>
      <c r="E13" s="159" t="s">
        <v>4705</v>
      </c>
      <c r="F13" s="159">
        <v>2</v>
      </c>
      <c r="G13" s="159">
        <v>1555</v>
      </c>
      <c r="H13" s="159">
        <v>1490</v>
      </c>
      <c r="I13" s="159">
        <v>1570</v>
      </c>
      <c r="J13" s="161">
        <f t="shared" si="0"/>
        <v>5.3691275167785234E-2</v>
      </c>
      <c r="K13" s="159">
        <v>1500</v>
      </c>
      <c r="L13" s="161">
        <f t="shared" si="1"/>
        <v>6.7114093959731542E-3</v>
      </c>
      <c r="M13" s="159">
        <v>1540</v>
      </c>
      <c r="N13" s="161">
        <f t="shared" si="2"/>
        <v>3.3557046979865772E-2</v>
      </c>
      <c r="O13" s="161">
        <f t="shared" si="3"/>
        <v>-9.6463022508038593E-3</v>
      </c>
      <c r="P13" s="291" t="s">
        <v>4706</v>
      </c>
      <c r="Q13" s="159" t="s">
        <v>4707</v>
      </c>
      <c r="R13" s="159" t="s">
        <v>4708</v>
      </c>
      <c r="S13" s="164" t="s">
        <v>4643</v>
      </c>
      <c r="T13" s="162" t="s">
        <v>4662</v>
      </c>
    </row>
    <row r="14" spans="1:20">
      <c r="A14" s="159" t="s">
        <v>4699</v>
      </c>
      <c r="B14" s="160" t="s">
        <v>4652</v>
      </c>
      <c r="C14" s="159" t="s">
        <v>1614</v>
      </c>
      <c r="D14" s="159" t="s">
        <v>4704</v>
      </c>
      <c r="E14" s="159" t="s">
        <v>4709</v>
      </c>
      <c r="F14" s="159">
        <v>2</v>
      </c>
      <c r="G14" s="159">
        <v>1395</v>
      </c>
      <c r="H14" s="159">
        <v>1335</v>
      </c>
      <c r="I14" s="159">
        <v>1485</v>
      </c>
      <c r="J14" s="161">
        <f t="shared" si="0"/>
        <v>0.11235955056179775</v>
      </c>
      <c r="K14" s="159">
        <v>1356</v>
      </c>
      <c r="L14" s="161">
        <f t="shared" si="1"/>
        <v>1.5730337078651686E-2</v>
      </c>
      <c r="M14" s="159">
        <v>1420</v>
      </c>
      <c r="N14" s="161">
        <f t="shared" si="2"/>
        <v>6.3670411985018729E-2</v>
      </c>
      <c r="O14" s="161">
        <f t="shared" si="3"/>
        <v>1.7921146953405017E-2</v>
      </c>
      <c r="P14" s="291" t="s">
        <v>4710</v>
      </c>
      <c r="Q14" s="159" t="s">
        <v>4698</v>
      </c>
      <c r="R14" s="159" t="s">
        <v>4711</v>
      </c>
      <c r="S14" s="164" t="s">
        <v>4643</v>
      </c>
      <c r="T14" s="162" t="s">
        <v>4662</v>
      </c>
    </row>
    <row r="15" spans="1:20" ht="40.5">
      <c r="A15" s="159" t="s">
        <v>4712</v>
      </c>
      <c r="B15" s="160" t="s">
        <v>4652</v>
      </c>
      <c r="C15" s="159" t="s">
        <v>852</v>
      </c>
      <c r="D15" s="159" t="s">
        <v>4713</v>
      </c>
      <c r="E15" s="159" t="s">
        <v>4714</v>
      </c>
      <c r="F15" s="159">
        <v>1</v>
      </c>
      <c r="G15" s="159">
        <v>1309</v>
      </c>
      <c r="H15" s="159">
        <v>1320</v>
      </c>
      <c r="I15" s="159">
        <v>1470</v>
      </c>
      <c r="J15" s="161">
        <f t="shared" si="0"/>
        <v>0.11363636363636363</v>
      </c>
      <c r="K15" s="166">
        <f>H15/100*3+H15</f>
        <v>1359.6</v>
      </c>
      <c r="L15" s="161">
        <f t="shared" si="1"/>
        <v>2.999999999999993E-2</v>
      </c>
      <c r="M15" s="159" t="s">
        <v>4715</v>
      </c>
      <c r="N15" s="161">
        <f>(1360-H15)/H15</f>
        <v>3.0303030303030304E-2</v>
      </c>
      <c r="O15" s="161">
        <f>(1360-G15)/G15</f>
        <v>3.896103896103896E-2</v>
      </c>
      <c r="P15" s="291" t="s">
        <v>4716</v>
      </c>
      <c r="Q15" s="159" t="s">
        <v>4698</v>
      </c>
      <c r="R15" s="159" t="s">
        <v>4717</v>
      </c>
      <c r="S15" s="167" t="s">
        <v>4718</v>
      </c>
      <c r="T15" s="217" t="s">
        <v>4719</v>
      </c>
    </row>
    <row r="16" spans="1:20" ht="27">
      <c r="A16" s="159" t="s">
        <v>4699</v>
      </c>
      <c r="B16" s="160" t="s">
        <v>4720</v>
      </c>
      <c r="C16" s="159" t="s">
        <v>90</v>
      </c>
      <c r="D16" s="159" t="s">
        <v>210</v>
      </c>
      <c r="E16" s="159" t="s">
        <v>4721</v>
      </c>
      <c r="F16" s="159">
        <v>2</v>
      </c>
      <c r="G16" s="159" t="s">
        <v>164</v>
      </c>
      <c r="H16" s="159">
        <v>2150</v>
      </c>
      <c r="I16" s="159">
        <v>2295</v>
      </c>
      <c r="J16" s="161">
        <f t="shared" si="0"/>
        <v>6.7441860465116285E-2</v>
      </c>
      <c r="K16" s="159">
        <v>2250</v>
      </c>
      <c r="L16" s="161">
        <f t="shared" si="1"/>
        <v>4.6511627906976744E-2</v>
      </c>
      <c r="M16" s="159">
        <v>2265</v>
      </c>
      <c r="N16" s="161">
        <f t="shared" ref="N16:N47" si="4">SUM(M16-H16)/H16</f>
        <v>5.3488372093023255E-2</v>
      </c>
      <c r="O16" s="161" t="e">
        <f t="shared" ref="O16:O47" si="5">SUM(M16-G16)/G16</f>
        <v>#VALUE!</v>
      </c>
      <c r="P16" s="291"/>
      <c r="Q16" s="159" t="s">
        <v>4722</v>
      </c>
      <c r="R16" s="159"/>
      <c r="S16" s="167" t="s">
        <v>4643</v>
      </c>
      <c r="T16" s="183"/>
    </row>
    <row r="17" spans="1:20" ht="27">
      <c r="A17" s="159" t="s">
        <v>4699</v>
      </c>
      <c r="B17" s="160" t="s">
        <v>4652</v>
      </c>
      <c r="C17" s="159" t="s">
        <v>1614</v>
      </c>
      <c r="D17" s="159" t="s">
        <v>46</v>
      </c>
      <c r="E17" s="159" t="s">
        <v>4723</v>
      </c>
      <c r="F17" s="159">
        <v>1</v>
      </c>
      <c r="G17" s="159">
        <v>1040</v>
      </c>
      <c r="H17" s="159">
        <v>980</v>
      </c>
      <c r="I17" s="159">
        <v>1040</v>
      </c>
      <c r="J17" s="161">
        <f t="shared" si="0"/>
        <v>6.1224489795918366E-2</v>
      </c>
      <c r="K17" s="159">
        <v>1000</v>
      </c>
      <c r="L17" s="161">
        <f t="shared" si="1"/>
        <v>2.0408163265306121E-2</v>
      </c>
      <c r="M17" s="159">
        <v>1020</v>
      </c>
      <c r="N17" s="161">
        <f t="shared" si="4"/>
        <v>4.0816326530612242E-2</v>
      </c>
      <c r="O17" s="161">
        <f t="shared" si="5"/>
        <v>-1.9230769230769232E-2</v>
      </c>
      <c r="P17" s="291" t="s">
        <v>4724</v>
      </c>
      <c r="Q17" s="159" t="s">
        <v>4698</v>
      </c>
      <c r="R17" s="159" t="s">
        <v>4725</v>
      </c>
      <c r="S17" s="164" t="s">
        <v>4643</v>
      </c>
      <c r="T17" s="162"/>
    </row>
    <row r="18" spans="1:20" ht="27">
      <c r="A18" s="159" t="s">
        <v>4726</v>
      </c>
      <c r="B18" s="160" t="s">
        <v>4652</v>
      </c>
      <c r="C18" s="159" t="s">
        <v>1614</v>
      </c>
      <c r="D18" s="159" t="s">
        <v>156</v>
      </c>
      <c r="E18" s="159" t="s">
        <v>4727</v>
      </c>
      <c r="F18" s="159">
        <v>1</v>
      </c>
      <c r="G18" s="159">
        <v>745</v>
      </c>
      <c r="H18" s="159">
        <v>700</v>
      </c>
      <c r="I18" s="159">
        <v>765</v>
      </c>
      <c r="J18" s="161">
        <f t="shared" si="0"/>
        <v>9.285714285714286E-2</v>
      </c>
      <c r="K18" s="159">
        <v>740</v>
      </c>
      <c r="L18" s="161">
        <f t="shared" si="1"/>
        <v>5.7142857142857141E-2</v>
      </c>
      <c r="M18" s="159">
        <v>750</v>
      </c>
      <c r="N18" s="161">
        <f t="shared" si="4"/>
        <v>7.1428571428571425E-2</v>
      </c>
      <c r="O18" s="161">
        <f t="shared" si="5"/>
        <v>6.7114093959731542E-3</v>
      </c>
      <c r="P18" s="291" t="s">
        <v>4728</v>
      </c>
      <c r="Q18" s="159" t="s">
        <v>4687</v>
      </c>
      <c r="R18" s="159" t="s">
        <v>4688</v>
      </c>
      <c r="S18" s="164" t="s">
        <v>4643</v>
      </c>
      <c r="T18" s="162" t="s">
        <v>4662</v>
      </c>
    </row>
    <row r="19" spans="1:20" ht="27">
      <c r="A19" s="159" t="s">
        <v>4729</v>
      </c>
      <c r="B19" s="160" t="s">
        <v>4652</v>
      </c>
      <c r="C19" s="159" t="s">
        <v>1614</v>
      </c>
      <c r="D19" s="159" t="s">
        <v>46</v>
      </c>
      <c r="E19" s="159" t="s">
        <v>4730</v>
      </c>
      <c r="F19" s="159">
        <v>1</v>
      </c>
      <c r="G19" s="159">
        <v>1075</v>
      </c>
      <c r="H19" s="159">
        <v>1015</v>
      </c>
      <c r="I19" s="159">
        <v>1075</v>
      </c>
      <c r="J19" s="161">
        <f t="shared" si="0"/>
        <v>5.9113300492610835E-2</v>
      </c>
      <c r="K19" s="159">
        <v>1045</v>
      </c>
      <c r="L19" s="161">
        <f t="shared" si="1"/>
        <v>2.9556650246305417E-2</v>
      </c>
      <c r="M19" s="159">
        <v>1050</v>
      </c>
      <c r="N19" s="161">
        <f t="shared" si="4"/>
        <v>3.4482758620689655E-2</v>
      </c>
      <c r="O19" s="161">
        <f t="shared" si="5"/>
        <v>-2.3255813953488372E-2</v>
      </c>
      <c r="P19" s="291" t="s">
        <v>4731</v>
      </c>
      <c r="Q19" s="159" t="s">
        <v>4732</v>
      </c>
      <c r="R19" s="159" t="s">
        <v>4733</v>
      </c>
      <c r="S19" s="164" t="s">
        <v>4643</v>
      </c>
      <c r="T19" s="162"/>
    </row>
    <row r="20" spans="1:20" ht="27">
      <c r="A20" s="159" t="s">
        <v>4699</v>
      </c>
      <c r="B20" s="160" t="s">
        <v>4646</v>
      </c>
      <c r="C20" s="159" t="s">
        <v>90</v>
      </c>
      <c r="D20" s="159" t="s">
        <v>4734</v>
      </c>
      <c r="E20" s="159" t="s">
        <v>4735</v>
      </c>
      <c r="F20" s="159">
        <v>3</v>
      </c>
      <c r="G20" s="159" t="s">
        <v>50</v>
      </c>
      <c r="H20" s="159" t="s">
        <v>50</v>
      </c>
      <c r="I20" s="159" t="s">
        <v>50</v>
      </c>
      <c r="J20" s="161" t="e">
        <f t="shared" si="0"/>
        <v>#VALUE!</v>
      </c>
      <c r="K20" s="159" t="s">
        <v>50</v>
      </c>
      <c r="L20" s="161" t="e">
        <f t="shared" si="1"/>
        <v>#VALUE!</v>
      </c>
      <c r="M20" s="159" t="s">
        <v>4736</v>
      </c>
      <c r="N20" s="225" t="e">
        <f t="shared" si="4"/>
        <v>#VALUE!</v>
      </c>
      <c r="O20" s="161" t="e">
        <f t="shared" si="5"/>
        <v>#VALUE!</v>
      </c>
      <c r="P20" s="291" t="s">
        <v>4737</v>
      </c>
      <c r="Q20" s="159" t="s">
        <v>4698</v>
      </c>
      <c r="R20" s="159" t="s">
        <v>4738</v>
      </c>
      <c r="S20" s="167" t="s">
        <v>4643</v>
      </c>
      <c r="T20" s="183" t="s">
        <v>4662</v>
      </c>
    </row>
    <row r="21" spans="1:20" ht="27">
      <c r="A21" s="159" t="s">
        <v>4739</v>
      </c>
      <c r="B21" s="160" t="s">
        <v>4652</v>
      </c>
      <c r="C21" s="159" t="s">
        <v>1614</v>
      </c>
      <c r="D21" s="159" t="s">
        <v>4704</v>
      </c>
      <c r="E21" s="159" t="s">
        <v>4740</v>
      </c>
      <c r="F21" s="159">
        <v>3</v>
      </c>
      <c r="G21" s="159">
        <v>2050</v>
      </c>
      <c r="H21" s="159">
        <v>1935</v>
      </c>
      <c r="I21" s="159">
        <v>2100</v>
      </c>
      <c r="J21" s="161">
        <f t="shared" si="0"/>
        <v>8.5271317829457363E-2</v>
      </c>
      <c r="K21" s="159">
        <v>2000</v>
      </c>
      <c r="L21" s="161">
        <f t="shared" si="1"/>
        <v>3.3591731266149873E-2</v>
      </c>
      <c r="M21" s="159">
        <v>2060</v>
      </c>
      <c r="N21" s="161">
        <f t="shared" si="4"/>
        <v>6.4599483204134361E-2</v>
      </c>
      <c r="O21" s="161">
        <f t="shared" si="5"/>
        <v>4.8780487804878049E-3</v>
      </c>
      <c r="P21" s="291" t="s">
        <v>4741</v>
      </c>
      <c r="Q21" s="186">
        <v>2050</v>
      </c>
      <c r="R21" s="159" t="s">
        <v>4742</v>
      </c>
      <c r="S21" s="164" t="s">
        <v>4643</v>
      </c>
      <c r="T21" s="183" t="s">
        <v>4662</v>
      </c>
    </row>
    <row r="22" spans="1:20">
      <c r="A22" s="183" t="s">
        <v>4739</v>
      </c>
      <c r="B22" s="183" t="s">
        <v>4652</v>
      </c>
      <c r="C22" s="183" t="s">
        <v>1614</v>
      </c>
      <c r="D22" s="183" t="s">
        <v>46</v>
      </c>
      <c r="E22" s="183" t="s">
        <v>4743</v>
      </c>
      <c r="F22" s="183">
        <v>1</v>
      </c>
      <c r="G22" s="183"/>
      <c r="H22" s="183"/>
      <c r="I22" s="183"/>
      <c r="J22" s="184" t="e">
        <f t="shared" si="0"/>
        <v>#DIV/0!</v>
      </c>
      <c r="K22" s="183"/>
      <c r="L22" s="184" t="e">
        <f t="shared" si="1"/>
        <v>#DIV/0!</v>
      </c>
      <c r="M22" s="183"/>
      <c r="N22" s="184" t="e">
        <f t="shared" si="4"/>
        <v>#DIV/0!</v>
      </c>
      <c r="O22" s="184" t="e">
        <f t="shared" si="5"/>
        <v>#DIV/0!</v>
      </c>
      <c r="P22" s="233" t="s">
        <v>4744</v>
      </c>
      <c r="Q22" s="183" t="s">
        <v>4672</v>
      </c>
      <c r="R22" s="183" t="s">
        <v>4745</v>
      </c>
      <c r="S22" s="164" t="s">
        <v>4643</v>
      </c>
      <c r="T22" s="183" t="s">
        <v>4662</v>
      </c>
    </row>
    <row r="23" spans="1:20" ht="27">
      <c r="A23" s="183" t="s">
        <v>4739</v>
      </c>
      <c r="B23" s="183" t="s">
        <v>4652</v>
      </c>
      <c r="C23" s="183" t="s">
        <v>1614</v>
      </c>
      <c r="D23" s="183" t="s">
        <v>4704</v>
      </c>
      <c r="E23" s="183" t="s">
        <v>4746</v>
      </c>
      <c r="F23" s="183">
        <v>3</v>
      </c>
      <c r="G23" s="183">
        <v>2050</v>
      </c>
      <c r="H23" s="183">
        <v>1930</v>
      </c>
      <c r="I23" s="183">
        <v>2090</v>
      </c>
      <c r="J23" s="184">
        <f t="shared" si="0"/>
        <v>8.2901554404145081E-2</v>
      </c>
      <c r="K23" s="183">
        <v>2030</v>
      </c>
      <c r="L23" s="184">
        <f t="shared" si="1"/>
        <v>5.181347150259067E-2</v>
      </c>
      <c r="M23" s="183">
        <v>2060</v>
      </c>
      <c r="N23" s="184">
        <f t="shared" si="4"/>
        <v>6.7357512953367879E-2</v>
      </c>
      <c r="O23" s="184">
        <f t="shared" si="5"/>
        <v>4.8780487804878049E-3</v>
      </c>
      <c r="P23" s="233" t="s">
        <v>4747</v>
      </c>
      <c r="Q23" s="185">
        <v>2050</v>
      </c>
      <c r="R23" s="183" t="s">
        <v>4742</v>
      </c>
      <c r="S23" s="164" t="s">
        <v>4643</v>
      </c>
      <c r="T23" s="183" t="s">
        <v>4662</v>
      </c>
    </row>
    <row r="24" spans="1:20">
      <c r="A24" s="187" t="s">
        <v>4748</v>
      </c>
      <c r="B24" s="187" t="s">
        <v>4652</v>
      </c>
      <c r="C24" s="187" t="s">
        <v>1614</v>
      </c>
      <c r="D24" s="187" t="s">
        <v>4704</v>
      </c>
      <c r="E24" s="187" t="s">
        <v>4749</v>
      </c>
      <c r="F24" s="187">
        <v>2</v>
      </c>
      <c r="G24" s="187">
        <v>1455</v>
      </c>
      <c r="H24" s="187">
        <v>1395</v>
      </c>
      <c r="I24" s="187">
        <v>1485</v>
      </c>
      <c r="J24" s="189">
        <f t="shared" si="0"/>
        <v>6.4516129032258063E-2</v>
      </c>
      <c r="K24" s="187">
        <v>1445</v>
      </c>
      <c r="L24" s="189">
        <f t="shared" si="1"/>
        <v>3.5842293906810034E-2</v>
      </c>
      <c r="M24" s="187">
        <v>1455</v>
      </c>
      <c r="N24" s="189">
        <f t="shared" si="4"/>
        <v>4.3010752688172046E-2</v>
      </c>
      <c r="O24" s="189">
        <f t="shared" si="5"/>
        <v>0</v>
      </c>
      <c r="P24" s="292" t="s">
        <v>4750</v>
      </c>
      <c r="Q24" s="190">
        <v>1455</v>
      </c>
      <c r="R24" s="187" t="s">
        <v>4751</v>
      </c>
      <c r="S24" s="164" t="s">
        <v>4643</v>
      </c>
      <c r="T24" s="201" t="s">
        <v>4662</v>
      </c>
    </row>
    <row r="25" spans="1:20">
      <c r="A25" s="183" t="s">
        <v>4752</v>
      </c>
      <c r="B25" s="183" t="s">
        <v>4652</v>
      </c>
      <c r="C25" s="183" t="s">
        <v>852</v>
      </c>
      <c r="D25" s="183" t="s">
        <v>4753</v>
      </c>
      <c r="E25" s="274" t="s">
        <v>4754</v>
      </c>
      <c r="F25" s="183">
        <v>1</v>
      </c>
      <c r="G25" s="183">
        <v>1090</v>
      </c>
      <c r="H25" s="183">
        <v>1070</v>
      </c>
      <c r="I25" s="183">
        <v>115</v>
      </c>
      <c r="J25" s="184">
        <f t="shared" si="0"/>
        <v>-0.89252336448598135</v>
      </c>
      <c r="K25" s="183">
        <v>1080</v>
      </c>
      <c r="L25" s="184">
        <f t="shared" si="1"/>
        <v>9.3457943925233638E-3</v>
      </c>
      <c r="M25" s="183">
        <v>1095</v>
      </c>
      <c r="N25" s="184">
        <f t="shared" si="4"/>
        <v>2.336448598130841E-2</v>
      </c>
      <c r="O25" s="184">
        <f t="shared" si="5"/>
        <v>4.5871559633027525E-3</v>
      </c>
      <c r="P25" s="233" t="s">
        <v>4755</v>
      </c>
      <c r="Q25" s="183" t="s">
        <v>4687</v>
      </c>
      <c r="R25" s="183" t="s">
        <v>4688</v>
      </c>
      <c r="S25" s="183" t="s">
        <v>4718</v>
      </c>
      <c r="T25" s="162"/>
    </row>
    <row r="26" spans="1:20">
      <c r="A26" s="183" t="s">
        <v>4756</v>
      </c>
      <c r="B26" s="183" t="s">
        <v>4652</v>
      </c>
      <c r="C26" s="183" t="s">
        <v>90</v>
      </c>
      <c r="D26" s="183" t="s">
        <v>253</v>
      </c>
      <c r="E26" s="183" t="s">
        <v>4757</v>
      </c>
      <c r="F26" s="183">
        <v>2</v>
      </c>
      <c r="G26" s="183">
        <v>1255</v>
      </c>
      <c r="H26" s="183">
        <v>1205</v>
      </c>
      <c r="I26" s="183">
        <v>1260</v>
      </c>
      <c r="J26" s="184">
        <f t="shared" si="0"/>
        <v>4.5643153526970952E-2</v>
      </c>
      <c r="K26" s="183">
        <v>1235</v>
      </c>
      <c r="L26" s="184">
        <f t="shared" si="1"/>
        <v>2.4896265560165973E-2</v>
      </c>
      <c r="M26" s="183"/>
      <c r="N26" s="184">
        <f t="shared" si="4"/>
        <v>-1</v>
      </c>
      <c r="O26" s="184">
        <f t="shared" si="5"/>
        <v>-1</v>
      </c>
      <c r="P26" s="233"/>
      <c r="Q26" s="185">
        <v>1240</v>
      </c>
      <c r="R26" s="183" t="s">
        <v>4758</v>
      </c>
      <c r="S26" s="183" t="s">
        <v>4643</v>
      </c>
      <c r="T26" s="183"/>
    </row>
    <row r="27" spans="1:20" ht="27">
      <c r="A27" s="210" t="s">
        <v>4759</v>
      </c>
      <c r="B27" s="183" t="s">
        <v>4720</v>
      </c>
      <c r="C27" s="183" t="s">
        <v>90</v>
      </c>
      <c r="D27" s="183" t="s">
        <v>4760</v>
      </c>
      <c r="E27" s="274" t="s">
        <v>4761</v>
      </c>
      <c r="F27" s="183">
        <v>3</v>
      </c>
      <c r="G27" s="183">
        <v>2138</v>
      </c>
      <c r="H27" s="183">
        <v>1975</v>
      </c>
      <c r="I27" s="183">
        <v>2150</v>
      </c>
      <c r="J27" s="184">
        <f t="shared" si="0"/>
        <v>8.8607594936708861E-2</v>
      </c>
      <c r="K27" s="183">
        <v>2000</v>
      </c>
      <c r="L27" s="184">
        <f t="shared" si="1"/>
        <v>1.2658227848101266E-2</v>
      </c>
      <c r="M27" s="183">
        <v>2075</v>
      </c>
      <c r="N27" s="184">
        <f t="shared" si="4"/>
        <v>5.0632911392405063E-2</v>
      </c>
      <c r="O27" s="184">
        <f t="shared" si="5"/>
        <v>-2.9466791393826006E-2</v>
      </c>
      <c r="P27" s="233" t="s">
        <v>4762</v>
      </c>
      <c r="Q27" s="183" t="s">
        <v>4763</v>
      </c>
      <c r="R27" s="183"/>
      <c r="S27" s="183" t="s">
        <v>4643</v>
      </c>
      <c r="T27" s="183"/>
    </row>
    <row r="28" spans="1:20">
      <c r="A28" s="183" t="s">
        <v>3825</v>
      </c>
      <c r="B28" s="183" t="s">
        <v>4764</v>
      </c>
      <c r="C28" s="183" t="s">
        <v>4765</v>
      </c>
      <c r="D28" s="183" t="s">
        <v>4713</v>
      </c>
      <c r="E28" s="274" t="s">
        <v>4766</v>
      </c>
      <c r="F28" s="183">
        <v>1</v>
      </c>
      <c r="G28" s="183">
        <v>1426</v>
      </c>
      <c r="H28" s="183">
        <v>1295</v>
      </c>
      <c r="I28" s="183">
        <v>1470</v>
      </c>
      <c r="J28" s="184">
        <f t="shared" si="0"/>
        <v>0.13513513513513514</v>
      </c>
      <c r="K28" s="183">
        <v>1350</v>
      </c>
      <c r="L28" s="184">
        <f t="shared" si="1"/>
        <v>4.2471042471042469E-2</v>
      </c>
      <c r="M28" s="183">
        <v>1400</v>
      </c>
      <c r="N28" s="184">
        <f t="shared" si="4"/>
        <v>8.1081081081081086E-2</v>
      </c>
      <c r="O28" s="184">
        <f t="shared" si="5"/>
        <v>-1.82328190743338E-2</v>
      </c>
      <c r="P28" s="233" t="s">
        <v>4767</v>
      </c>
      <c r="Q28" s="185">
        <v>1430</v>
      </c>
      <c r="R28" s="183" t="s">
        <v>4768</v>
      </c>
      <c r="S28" s="183" t="s">
        <v>4718</v>
      </c>
      <c r="T28" s="162"/>
    </row>
    <row r="29" spans="1:20">
      <c r="A29" s="183" t="s">
        <v>4769</v>
      </c>
      <c r="B29" s="183" t="s">
        <v>4764</v>
      </c>
      <c r="C29" s="183" t="s">
        <v>4765</v>
      </c>
      <c r="D29" s="183" t="s">
        <v>4713</v>
      </c>
      <c r="E29" s="274" t="s">
        <v>4770</v>
      </c>
      <c r="F29" s="183">
        <v>1</v>
      </c>
      <c r="G29" s="183">
        <v>1426</v>
      </c>
      <c r="H29" s="183">
        <v>1319</v>
      </c>
      <c r="I29" s="183">
        <v>1460</v>
      </c>
      <c r="J29" s="184">
        <f t="shared" si="0"/>
        <v>0.1068991660348749</v>
      </c>
      <c r="K29" s="183">
        <v>1380</v>
      </c>
      <c r="L29" s="184">
        <f t="shared" si="1"/>
        <v>4.6247156937073541E-2</v>
      </c>
      <c r="M29" s="183">
        <v>1400</v>
      </c>
      <c r="N29" s="184">
        <f t="shared" si="4"/>
        <v>6.1410159211523881E-2</v>
      </c>
      <c r="O29" s="184">
        <f t="shared" si="5"/>
        <v>-1.82328190743338E-2</v>
      </c>
      <c r="P29" s="233" t="s">
        <v>4771</v>
      </c>
      <c r="Q29" s="185">
        <v>1430</v>
      </c>
      <c r="R29" s="183" t="s">
        <v>4768</v>
      </c>
      <c r="S29" s="183" t="s">
        <v>4718</v>
      </c>
      <c r="T29" s="162"/>
    </row>
    <row r="30" spans="1:20">
      <c r="A30" s="187" t="s">
        <v>4772</v>
      </c>
      <c r="B30" s="187" t="s">
        <v>4652</v>
      </c>
      <c r="C30" s="187" t="s">
        <v>1614</v>
      </c>
      <c r="D30" s="187" t="s">
        <v>4704</v>
      </c>
      <c r="E30" s="187" t="s">
        <v>4773</v>
      </c>
      <c r="F30" s="187">
        <v>2</v>
      </c>
      <c r="G30" s="187"/>
      <c r="H30" s="187"/>
      <c r="I30" s="187"/>
      <c r="J30" s="184" t="e">
        <f t="shared" si="0"/>
        <v>#DIV/0!</v>
      </c>
      <c r="K30" s="187"/>
      <c r="L30" s="184" t="e">
        <f t="shared" si="1"/>
        <v>#DIV/0!</v>
      </c>
      <c r="M30" s="187"/>
      <c r="N30" s="184" t="e">
        <f t="shared" si="4"/>
        <v>#DIV/0!</v>
      </c>
      <c r="O30" s="184" t="e">
        <f t="shared" si="5"/>
        <v>#DIV/0!</v>
      </c>
      <c r="P30" s="292" t="s">
        <v>4774</v>
      </c>
      <c r="Q30" s="187" t="s">
        <v>4698</v>
      </c>
      <c r="R30" s="187" t="s">
        <v>4775</v>
      </c>
      <c r="S30" s="164" t="s">
        <v>4643</v>
      </c>
      <c r="T30" s="187" t="s">
        <v>4662</v>
      </c>
    </row>
    <row r="31" spans="1:20" ht="27">
      <c r="A31" s="187" t="s">
        <v>4772</v>
      </c>
      <c r="B31" s="187" t="s">
        <v>4652</v>
      </c>
      <c r="C31" s="187" t="s">
        <v>1614</v>
      </c>
      <c r="D31" s="187" t="s">
        <v>4776</v>
      </c>
      <c r="E31" s="187" t="s">
        <v>4777</v>
      </c>
      <c r="F31" s="187">
        <v>2</v>
      </c>
      <c r="G31" s="187"/>
      <c r="H31" s="187"/>
      <c r="I31" s="187"/>
      <c r="J31" s="189" t="e">
        <f t="shared" si="0"/>
        <v>#DIV/0!</v>
      </c>
      <c r="K31" s="187"/>
      <c r="L31" s="189" t="e">
        <f t="shared" si="1"/>
        <v>#DIV/0!</v>
      </c>
      <c r="M31" s="187"/>
      <c r="N31" s="189" t="e">
        <f t="shared" si="4"/>
        <v>#DIV/0!</v>
      </c>
      <c r="O31" s="189" t="e">
        <f t="shared" si="5"/>
        <v>#DIV/0!</v>
      </c>
      <c r="P31" s="292" t="s">
        <v>4778</v>
      </c>
      <c r="Q31" s="187" t="s">
        <v>4687</v>
      </c>
      <c r="R31" s="187" t="s">
        <v>4779</v>
      </c>
      <c r="S31" s="164" t="s">
        <v>4643</v>
      </c>
      <c r="T31" s="201" t="s">
        <v>4662</v>
      </c>
    </row>
    <row r="32" spans="1:20" ht="27">
      <c r="A32" s="187" t="s">
        <v>4712</v>
      </c>
      <c r="B32" s="187" t="s">
        <v>4652</v>
      </c>
      <c r="C32" s="187" t="s">
        <v>852</v>
      </c>
      <c r="D32" s="187" t="s">
        <v>4713</v>
      </c>
      <c r="E32" s="187" t="s">
        <v>4780</v>
      </c>
      <c r="F32" s="187">
        <v>1</v>
      </c>
      <c r="G32" s="187">
        <v>1404</v>
      </c>
      <c r="H32" s="187">
        <v>1300</v>
      </c>
      <c r="I32" s="187">
        <v>1470</v>
      </c>
      <c r="J32" s="189">
        <f t="shared" si="0"/>
        <v>0.13076923076923078</v>
      </c>
      <c r="K32" s="187">
        <v>1405</v>
      </c>
      <c r="L32" s="189">
        <f t="shared" si="1"/>
        <v>8.0769230769230774E-2</v>
      </c>
      <c r="M32" s="187" t="s">
        <v>4781</v>
      </c>
      <c r="N32" s="189" t="e">
        <f t="shared" si="4"/>
        <v>#VALUE!</v>
      </c>
      <c r="O32" s="189" t="e">
        <f t="shared" si="5"/>
        <v>#VALUE!</v>
      </c>
      <c r="P32" s="292" t="s">
        <v>4782</v>
      </c>
      <c r="Q32" s="190">
        <v>1410</v>
      </c>
      <c r="R32" s="187" t="s">
        <v>4783</v>
      </c>
      <c r="S32" s="183" t="s">
        <v>4718</v>
      </c>
      <c r="T32" s="187" t="s">
        <v>4662</v>
      </c>
    </row>
    <row r="33" spans="1:20" ht="27">
      <c r="A33" s="183" t="s">
        <v>4772</v>
      </c>
      <c r="B33" s="183" t="s">
        <v>4720</v>
      </c>
      <c r="C33" s="183" t="s">
        <v>90</v>
      </c>
      <c r="D33" s="183" t="s">
        <v>4784</v>
      </c>
      <c r="E33" s="183" t="s">
        <v>4785</v>
      </c>
      <c r="F33" s="183">
        <v>1</v>
      </c>
      <c r="G33" s="183">
        <v>1975</v>
      </c>
      <c r="H33" s="183">
        <v>1850</v>
      </c>
      <c r="I33" s="183">
        <v>2000</v>
      </c>
      <c r="J33" s="184">
        <f t="shared" si="0"/>
        <v>8.1081081081081086E-2</v>
      </c>
      <c r="K33" s="183">
        <v>1900</v>
      </c>
      <c r="L33" s="184">
        <f t="shared" si="1"/>
        <v>2.7027027027027029E-2</v>
      </c>
      <c r="M33" s="183">
        <v>1975</v>
      </c>
      <c r="N33" s="184">
        <f t="shared" si="4"/>
        <v>6.7567567567567571E-2</v>
      </c>
      <c r="O33" s="184">
        <f t="shared" si="5"/>
        <v>0</v>
      </c>
      <c r="P33" s="233" t="s">
        <v>4786</v>
      </c>
      <c r="Q33" s="183" t="s">
        <v>4787</v>
      </c>
      <c r="R33" s="183"/>
      <c r="S33" s="183" t="s">
        <v>4643</v>
      </c>
      <c r="T33" s="183"/>
    </row>
    <row r="34" spans="1:20" ht="27">
      <c r="A34" s="201" t="s">
        <v>4772</v>
      </c>
      <c r="B34" s="201" t="s">
        <v>4652</v>
      </c>
      <c r="C34" s="201" t="s">
        <v>1614</v>
      </c>
      <c r="D34" s="201" t="s">
        <v>4776</v>
      </c>
      <c r="E34" s="201" t="s">
        <v>4788</v>
      </c>
      <c r="F34" s="201">
        <v>1</v>
      </c>
      <c r="G34" s="201">
        <v>1120</v>
      </c>
      <c r="H34" s="201">
        <v>1080</v>
      </c>
      <c r="I34" s="201">
        <v>1130</v>
      </c>
      <c r="J34" s="202">
        <f t="shared" ref="J34:J65" si="6">SUM(I34-H34)/H34</f>
        <v>4.6296296296296294E-2</v>
      </c>
      <c r="K34" s="201">
        <v>1080</v>
      </c>
      <c r="L34" s="202">
        <f t="shared" ref="L34:L65" si="7">SUM(K34-H34)/H34</f>
        <v>0</v>
      </c>
      <c r="M34" s="201">
        <v>1090</v>
      </c>
      <c r="N34" s="202">
        <f t="shared" si="4"/>
        <v>9.2592592592592587E-3</v>
      </c>
      <c r="O34" s="202">
        <f t="shared" si="5"/>
        <v>-2.6785714285714284E-2</v>
      </c>
      <c r="P34" s="295" t="s">
        <v>4789</v>
      </c>
      <c r="Q34" s="203">
        <v>1120</v>
      </c>
      <c r="R34" s="201"/>
      <c r="S34" s="164" t="s">
        <v>4643</v>
      </c>
      <c r="T34" s="201" t="s">
        <v>4662</v>
      </c>
    </row>
    <row r="35" spans="1:20">
      <c r="A35" s="183" t="s">
        <v>4772</v>
      </c>
      <c r="B35" s="183" t="s">
        <v>4652</v>
      </c>
      <c r="C35" s="183" t="s">
        <v>1614</v>
      </c>
      <c r="D35" s="183" t="s">
        <v>4669</v>
      </c>
      <c r="E35" s="183" t="s">
        <v>4790</v>
      </c>
      <c r="F35" s="183">
        <v>2</v>
      </c>
      <c r="G35" s="183">
        <v>940</v>
      </c>
      <c r="H35" s="183">
        <v>930</v>
      </c>
      <c r="I35" s="183">
        <v>1050</v>
      </c>
      <c r="J35" s="184">
        <f t="shared" si="6"/>
        <v>0.12903225806451613</v>
      </c>
      <c r="K35" s="183">
        <v>930</v>
      </c>
      <c r="L35" s="184">
        <f t="shared" si="7"/>
        <v>0</v>
      </c>
      <c r="M35" s="183">
        <v>995</v>
      </c>
      <c r="N35" s="184">
        <f t="shared" si="4"/>
        <v>6.9892473118279563E-2</v>
      </c>
      <c r="O35" s="184">
        <f t="shared" si="5"/>
        <v>5.8510638297872342E-2</v>
      </c>
      <c r="P35" s="233" t="s">
        <v>4791</v>
      </c>
      <c r="Q35" s="185">
        <v>950</v>
      </c>
      <c r="R35" s="183"/>
      <c r="S35" s="164" t="s">
        <v>4643</v>
      </c>
      <c r="T35" s="201" t="s">
        <v>4662</v>
      </c>
    </row>
    <row r="36" spans="1:20">
      <c r="A36" s="183" t="s">
        <v>4792</v>
      </c>
      <c r="B36" s="183" t="s">
        <v>4652</v>
      </c>
      <c r="C36" s="183" t="s">
        <v>1614</v>
      </c>
      <c r="D36" s="183" t="s">
        <v>4669</v>
      </c>
      <c r="E36" s="183" t="s">
        <v>4793</v>
      </c>
      <c r="F36" s="183">
        <v>1</v>
      </c>
      <c r="G36" s="183">
        <v>745</v>
      </c>
      <c r="H36" s="183">
        <v>800</v>
      </c>
      <c r="I36" s="183">
        <v>870</v>
      </c>
      <c r="J36" s="184">
        <f t="shared" si="6"/>
        <v>8.7499999999999994E-2</v>
      </c>
      <c r="K36" s="183">
        <v>800</v>
      </c>
      <c r="L36" s="184">
        <f t="shared" si="7"/>
        <v>0</v>
      </c>
      <c r="M36" s="183">
        <v>850</v>
      </c>
      <c r="N36" s="184">
        <f t="shared" si="4"/>
        <v>6.25E-2</v>
      </c>
      <c r="O36" s="184">
        <f t="shared" si="5"/>
        <v>0.14093959731543623</v>
      </c>
      <c r="P36" s="233" t="s">
        <v>4794</v>
      </c>
      <c r="Q36" s="185">
        <v>825</v>
      </c>
      <c r="R36" s="183"/>
      <c r="S36" s="164" t="s">
        <v>4643</v>
      </c>
      <c r="T36" s="201" t="s">
        <v>4662</v>
      </c>
    </row>
    <row r="37" spans="1:20">
      <c r="A37" s="187" t="s">
        <v>4792</v>
      </c>
      <c r="B37" s="187" t="s">
        <v>4652</v>
      </c>
      <c r="C37" s="187" t="s">
        <v>1614</v>
      </c>
      <c r="D37" s="187" t="s">
        <v>4669</v>
      </c>
      <c r="E37" s="187" t="s">
        <v>4795</v>
      </c>
      <c r="F37" s="187">
        <v>2</v>
      </c>
      <c r="G37" s="187">
        <v>940</v>
      </c>
      <c r="H37" s="187">
        <v>960</v>
      </c>
      <c r="I37" s="187">
        <v>1005</v>
      </c>
      <c r="J37" s="189">
        <f t="shared" si="6"/>
        <v>4.6875E-2</v>
      </c>
      <c r="K37" s="187">
        <v>960</v>
      </c>
      <c r="L37" s="189">
        <f t="shared" si="7"/>
        <v>0</v>
      </c>
      <c r="M37" s="187">
        <v>990</v>
      </c>
      <c r="N37" s="189">
        <f t="shared" si="4"/>
        <v>3.125E-2</v>
      </c>
      <c r="O37" s="189">
        <f t="shared" si="5"/>
        <v>5.3191489361702128E-2</v>
      </c>
      <c r="P37" s="292" t="s">
        <v>4796</v>
      </c>
      <c r="Q37" s="190">
        <v>975</v>
      </c>
      <c r="R37" s="187"/>
      <c r="S37" s="191" t="s">
        <v>4643</v>
      </c>
      <c r="T37" s="187" t="s">
        <v>4797</v>
      </c>
    </row>
    <row r="38" spans="1:20">
      <c r="A38" s="183" t="s">
        <v>4798</v>
      </c>
      <c r="B38" s="183" t="s">
        <v>4652</v>
      </c>
      <c r="C38" s="252" t="s">
        <v>852</v>
      </c>
      <c r="D38" s="252" t="s">
        <v>4799</v>
      </c>
      <c r="E38" s="275" t="s">
        <v>4800</v>
      </c>
      <c r="F38" s="252">
        <v>2</v>
      </c>
      <c r="G38" s="252">
        <v>1924</v>
      </c>
      <c r="H38" s="252">
        <v>1770</v>
      </c>
      <c r="I38" s="252">
        <v>1950</v>
      </c>
      <c r="J38" s="237">
        <f t="shared" si="6"/>
        <v>0.10169491525423729</v>
      </c>
      <c r="K38" s="252"/>
      <c r="L38" s="237">
        <f t="shared" si="7"/>
        <v>-1</v>
      </c>
      <c r="M38" s="252">
        <v>1900</v>
      </c>
      <c r="N38" s="237">
        <f t="shared" si="4"/>
        <v>7.3446327683615822E-2</v>
      </c>
      <c r="O38" s="255">
        <f t="shared" si="5"/>
        <v>-1.2474012474012475E-2</v>
      </c>
      <c r="P38" s="296" t="s">
        <v>4801</v>
      </c>
      <c r="Q38" s="253">
        <v>1925</v>
      </c>
      <c r="R38" s="252" t="s">
        <v>4802</v>
      </c>
      <c r="S38" s="252" t="s">
        <v>4718</v>
      </c>
      <c r="T38" s="162"/>
    </row>
    <row r="39" spans="1:20">
      <c r="A39" s="183" t="s">
        <v>4803</v>
      </c>
      <c r="B39" s="183" t="s">
        <v>4652</v>
      </c>
      <c r="C39" s="183" t="s">
        <v>852</v>
      </c>
      <c r="D39" s="183" t="s">
        <v>4713</v>
      </c>
      <c r="E39" s="183" t="s">
        <v>4804</v>
      </c>
      <c r="F39" s="183">
        <v>1</v>
      </c>
      <c r="G39" s="183">
        <v>1426</v>
      </c>
      <c r="H39" s="183">
        <v>1270</v>
      </c>
      <c r="I39" s="183">
        <v>1430</v>
      </c>
      <c r="J39" s="184">
        <f t="shared" si="6"/>
        <v>0.12598425196850394</v>
      </c>
      <c r="K39" s="183">
        <v>1350</v>
      </c>
      <c r="L39" s="184">
        <f t="shared" si="7"/>
        <v>6.2992125984251968E-2</v>
      </c>
      <c r="M39" s="183">
        <v>1370</v>
      </c>
      <c r="N39" s="184">
        <f t="shared" si="4"/>
        <v>7.874015748031496E-2</v>
      </c>
      <c r="O39" s="184">
        <f t="shared" si="5"/>
        <v>-3.9270687237026647E-2</v>
      </c>
      <c r="P39" s="233" t="s">
        <v>4805</v>
      </c>
      <c r="Q39" s="183" t="s">
        <v>4806</v>
      </c>
      <c r="R39" s="183" t="s">
        <v>4807</v>
      </c>
      <c r="S39" s="183" t="s">
        <v>4808</v>
      </c>
      <c r="T39" s="217" t="s">
        <v>4797</v>
      </c>
    </row>
    <row r="40" spans="1:20" ht="27">
      <c r="A40" s="187" t="s">
        <v>4809</v>
      </c>
      <c r="B40" s="187" t="s">
        <v>4646</v>
      </c>
      <c r="C40" s="187" t="s">
        <v>90</v>
      </c>
      <c r="D40" s="187" t="s">
        <v>4810</v>
      </c>
      <c r="E40" s="187" t="s">
        <v>4811</v>
      </c>
      <c r="F40" s="187">
        <v>1</v>
      </c>
      <c r="G40" s="187">
        <v>2240</v>
      </c>
      <c r="H40" s="187">
        <v>2250</v>
      </c>
      <c r="I40" s="187">
        <v>2375</v>
      </c>
      <c r="J40" s="189">
        <f t="shared" si="6"/>
        <v>5.5555555555555552E-2</v>
      </c>
      <c r="K40" s="187">
        <v>2250</v>
      </c>
      <c r="L40" s="189">
        <f t="shared" si="7"/>
        <v>0</v>
      </c>
      <c r="M40" s="187">
        <v>2275</v>
      </c>
      <c r="N40" s="226">
        <f t="shared" si="4"/>
        <v>1.1111111111111112E-2</v>
      </c>
      <c r="O40" s="189">
        <f t="shared" si="5"/>
        <v>1.5625E-2</v>
      </c>
      <c r="P40" s="292" t="s">
        <v>4812</v>
      </c>
      <c r="Q40" s="187" t="s">
        <v>4687</v>
      </c>
      <c r="R40" s="187" t="s">
        <v>4813</v>
      </c>
      <c r="S40" s="187" t="s">
        <v>4643</v>
      </c>
      <c r="T40" s="187"/>
    </row>
    <row r="41" spans="1:20" ht="27">
      <c r="A41" s="187" t="s">
        <v>4809</v>
      </c>
      <c r="B41" s="187" t="s">
        <v>4646</v>
      </c>
      <c r="C41" s="187" t="s">
        <v>90</v>
      </c>
      <c r="D41" s="187" t="s">
        <v>4814</v>
      </c>
      <c r="E41" s="187" t="s">
        <v>4815</v>
      </c>
      <c r="F41" s="187">
        <v>2</v>
      </c>
      <c r="G41" s="187">
        <v>2140</v>
      </c>
      <c r="H41" s="187">
        <v>2140</v>
      </c>
      <c r="I41" s="187">
        <v>2350</v>
      </c>
      <c r="J41" s="189">
        <f t="shared" si="6"/>
        <v>9.8130841121495324E-2</v>
      </c>
      <c r="K41" s="187">
        <v>2260</v>
      </c>
      <c r="L41" s="189">
        <f t="shared" si="7"/>
        <v>5.6074766355140186E-2</v>
      </c>
      <c r="M41" s="187">
        <v>2260</v>
      </c>
      <c r="N41" s="226">
        <f t="shared" si="4"/>
        <v>5.6074766355140186E-2</v>
      </c>
      <c r="O41" s="189">
        <f t="shared" si="5"/>
        <v>5.6074766355140186E-2</v>
      </c>
      <c r="P41" s="292" t="s">
        <v>4816</v>
      </c>
      <c r="Q41" s="187" t="s">
        <v>4698</v>
      </c>
      <c r="R41" s="187" t="s">
        <v>4817</v>
      </c>
      <c r="S41" s="187" t="s">
        <v>4643</v>
      </c>
      <c r="T41" s="187" t="s">
        <v>4662</v>
      </c>
    </row>
    <row r="42" spans="1:20" ht="27">
      <c r="A42" s="187" t="s">
        <v>4809</v>
      </c>
      <c r="B42" s="187" t="s">
        <v>4646</v>
      </c>
      <c r="C42" s="187" t="s">
        <v>90</v>
      </c>
      <c r="D42" s="187" t="s">
        <v>4818</v>
      </c>
      <c r="E42" s="187" t="s">
        <v>4819</v>
      </c>
      <c r="F42" s="187" t="s">
        <v>4820</v>
      </c>
      <c r="G42" s="187">
        <v>1310</v>
      </c>
      <c r="H42" s="187">
        <v>1175</v>
      </c>
      <c r="I42" s="187">
        <v>1285</v>
      </c>
      <c r="J42" s="189">
        <f t="shared" si="6"/>
        <v>9.3617021276595741E-2</v>
      </c>
      <c r="K42" s="187">
        <v>1275</v>
      </c>
      <c r="L42" s="189">
        <f t="shared" si="7"/>
        <v>8.5106382978723402E-2</v>
      </c>
      <c r="M42" s="187">
        <v>1275</v>
      </c>
      <c r="N42" s="226">
        <f t="shared" si="4"/>
        <v>8.5106382978723402E-2</v>
      </c>
      <c r="O42" s="189">
        <f t="shared" si="5"/>
        <v>-2.6717557251908396E-2</v>
      </c>
      <c r="P42" s="292" t="s">
        <v>4821</v>
      </c>
      <c r="Q42" s="187" t="s">
        <v>4698</v>
      </c>
      <c r="R42" s="187" t="s">
        <v>4817</v>
      </c>
      <c r="S42" s="187" t="s">
        <v>4643</v>
      </c>
      <c r="T42" s="187" t="s">
        <v>4662</v>
      </c>
    </row>
    <row r="43" spans="1:20" ht="27">
      <c r="A43" s="210">
        <v>45358</v>
      </c>
      <c r="B43" s="183" t="s">
        <v>4652</v>
      </c>
      <c r="C43" s="183" t="s">
        <v>852</v>
      </c>
      <c r="D43" s="183" t="s">
        <v>4713</v>
      </c>
      <c r="E43" s="183" t="s">
        <v>4822</v>
      </c>
      <c r="F43" s="183">
        <v>2</v>
      </c>
      <c r="G43" s="183">
        <v>1798</v>
      </c>
      <c r="H43" s="183">
        <v>1825</v>
      </c>
      <c r="I43" s="183">
        <v>1890</v>
      </c>
      <c r="J43" s="184">
        <f t="shared" si="6"/>
        <v>3.5616438356164383E-2</v>
      </c>
      <c r="K43" s="183">
        <v>1875</v>
      </c>
      <c r="L43" s="184">
        <f t="shared" si="7"/>
        <v>2.7397260273972601E-2</v>
      </c>
      <c r="M43" s="183">
        <v>1875</v>
      </c>
      <c r="N43" s="184">
        <f t="shared" si="4"/>
        <v>2.7397260273972601E-2</v>
      </c>
      <c r="O43" s="184">
        <f t="shared" si="5"/>
        <v>4.2825361512791989E-2</v>
      </c>
      <c r="P43" s="233" t="s">
        <v>4823</v>
      </c>
      <c r="Q43" s="185">
        <v>1875</v>
      </c>
      <c r="R43" s="183" t="s">
        <v>4824</v>
      </c>
      <c r="S43" s="183" t="s">
        <v>4808</v>
      </c>
      <c r="T43" s="162"/>
    </row>
    <row r="44" spans="1:20" ht="27">
      <c r="A44" s="183" t="s">
        <v>4825</v>
      </c>
      <c r="B44" s="183" t="s">
        <v>4646</v>
      </c>
      <c r="C44" s="183" t="s">
        <v>90</v>
      </c>
      <c r="D44" s="183" t="s">
        <v>4826</v>
      </c>
      <c r="E44" s="183" t="s">
        <v>4827</v>
      </c>
      <c r="F44" s="183">
        <v>1</v>
      </c>
      <c r="G44" s="183">
        <v>1875</v>
      </c>
      <c r="H44" s="183">
        <v>1875</v>
      </c>
      <c r="I44" s="183">
        <v>1950</v>
      </c>
      <c r="J44" s="184">
        <f t="shared" si="6"/>
        <v>0.04</v>
      </c>
      <c r="K44" s="183">
        <v>1875</v>
      </c>
      <c r="L44" s="184">
        <f t="shared" si="7"/>
        <v>0</v>
      </c>
      <c r="M44" s="183">
        <v>1900</v>
      </c>
      <c r="N44" s="227">
        <f t="shared" si="4"/>
        <v>1.3333333333333334E-2</v>
      </c>
      <c r="O44" s="184">
        <f t="shared" si="5"/>
        <v>1.3333333333333334E-2</v>
      </c>
      <c r="P44" s="233" t="s">
        <v>4828</v>
      </c>
      <c r="Q44" s="183" t="s">
        <v>4687</v>
      </c>
      <c r="R44" s="183" t="s">
        <v>4829</v>
      </c>
      <c r="S44" s="183" t="s">
        <v>4643</v>
      </c>
      <c r="T44" s="183"/>
    </row>
    <row r="45" spans="1:20" ht="40.5">
      <c r="A45" s="187" t="s">
        <v>4825</v>
      </c>
      <c r="B45" s="187" t="s">
        <v>4646</v>
      </c>
      <c r="C45" s="187" t="s">
        <v>90</v>
      </c>
      <c r="D45" s="187" t="s">
        <v>322</v>
      </c>
      <c r="E45" s="187" t="s">
        <v>4830</v>
      </c>
      <c r="F45" s="187">
        <v>2</v>
      </c>
      <c r="G45" s="187">
        <v>2625</v>
      </c>
      <c r="H45" s="187">
        <v>2460</v>
      </c>
      <c r="I45" s="187">
        <v>2675</v>
      </c>
      <c r="J45" s="189">
        <f t="shared" si="6"/>
        <v>8.7398373983739841E-2</v>
      </c>
      <c r="K45" s="187">
        <v>2500</v>
      </c>
      <c r="L45" s="189">
        <f t="shared" si="7"/>
        <v>1.6260162601626018E-2</v>
      </c>
      <c r="M45" s="187">
        <v>2635</v>
      </c>
      <c r="N45" s="226">
        <f t="shared" si="4"/>
        <v>7.113821138211382E-2</v>
      </c>
      <c r="O45" s="189">
        <f t="shared" si="5"/>
        <v>3.8095238095238095E-3</v>
      </c>
      <c r="P45" s="292" t="s">
        <v>4831</v>
      </c>
      <c r="Q45" s="187" t="s">
        <v>4672</v>
      </c>
      <c r="R45" s="187" t="s">
        <v>4832</v>
      </c>
      <c r="S45" s="187" t="s">
        <v>4643</v>
      </c>
      <c r="T45" s="187"/>
    </row>
    <row r="46" spans="1:20" ht="27">
      <c r="A46" s="162" t="s">
        <v>4825</v>
      </c>
      <c r="B46" s="162" t="s">
        <v>4646</v>
      </c>
      <c r="C46" s="162" t="s">
        <v>90</v>
      </c>
      <c r="D46" s="162" t="s">
        <v>322</v>
      </c>
      <c r="E46" s="162" t="s">
        <v>4833</v>
      </c>
      <c r="F46" s="162">
        <v>3</v>
      </c>
      <c r="G46" s="162">
        <v>3085</v>
      </c>
      <c r="H46" s="162">
        <v>3010</v>
      </c>
      <c r="I46" s="162">
        <v>3150</v>
      </c>
      <c r="J46" s="237">
        <f t="shared" si="6"/>
        <v>4.6511627906976744E-2</v>
      </c>
      <c r="K46" s="162">
        <v>3010</v>
      </c>
      <c r="L46" s="237">
        <f t="shared" si="7"/>
        <v>0</v>
      </c>
      <c r="M46" s="162">
        <v>3125</v>
      </c>
      <c r="N46" s="238">
        <f t="shared" si="4"/>
        <v>3.8205980066445183E-2</v>
      </c>
      <c r="O46" s="237">
        <f t="shared" si="5"/>
        <v>1.2965964343598054E-2</v>
      </c>
      <c r="P46" s="297" t="s">
        <v>4834</v>
      </c>
      <c r="Q46" s="162"/>
      <c r="R46" s="162"/>
      <c r="S46" s="162"/>
      <c r="T46" s="162"/>
    </row>
    <row r="47" spans="1:20" ht="27">
      <c r="A47" s="201" t="s">
        <v>4825</v>
      </c>
      <c r="B47" s="201" t="s">
        <v>4646</v>
      </c>
      <c r="C47" s="201" t="s">
        <v>90</v>
      </c>
      <c r="D47" s="201" t="s">
        <v>4835</v>
      </c>
      <c r="E47" s="201" t="s">
        <v>2562</v>
      </c>
      <c r="F47" s="201" t="s">
        <v>4836</v>
      </c>
      <c r="G47" s="201">
        <v>990</v>
      </c>
      <c r="H47" s="201">
        <v>975</v>
      </c>
      <c r="I47" s="201">
        <v>1035</v>
      </c>
      <c r="J47" s="202">
        <f t="shared" si="6"/>
        <v>6.1538461538461542E-2</v>
      </c>
      <c r="K47" s="201">
        <v>1030</v>
      </c>
      <c r="L47" s="202">
        <f t="shared" si="7"/>
        <v>5.6410256410256411E-2</v>
      </c>
      <c r="M47" s="201">
        <v>1030</v>
      </c>
      <c r="N47" s="239">
        <f t="shared" si="4"/>
        <v>5.6410256410256411E-2</v>
      </c>
      <c r="O47" s="202">
        <f t="shared" si="5"/>
        <v>4.0404040404040407E-2</v>
      </c>
      <c r="P47" s="295" t="s">
        <v>4837</v>
      </c>
      <c r="Q47" s="201" t="s">
        <v>4698</v>
      </c>
      <c r="R47" s="201" t="s">
        <v>4838</v>
      </c>
      <c r="S47" s="201" t="s">
        <v>4643</v>
      </c>
      <c r="T47" s="201" t="s">
        <v>4662</v>
      </c>
    </row>
    <row r="48" spans="1:20" ht="27">
      <c r="A48" s="183" t="s">
        <v>4825</v>
      </c>
      <c r="B48" s="183" t="s">
        <v>4646</v>
      </c>
      <c r="C48" s="183" t="s">
        <v>90</v>
      </c>
      <c r="D48" s="183" t="s">
        <v>4839</v>
      </c>
      <c r="E48" s="183" t="s">
        <v>4840</v>
      </c>
      <c r="F48" s="183">
        <v>2</v>
      </c>
      <c r="G48" s="183">
        <v>2162</v>
      </c>
      <c r="H48" s="183">
        <v>2110</v>
      </c>
      <c r="I48" s="183">
        <v>2225</v>
      </c>
      <c r="J48" s="184">
        <f t="shared" si="6"/>
        <v>5.4502369668246446E-2</v>
      </c>
      <c r="K48" s="183">
        <v>2210</v>
      </c>
      <c r="L48" s="184">
        <f t="shared" si="7"/>
        <v>4.7393364928909949E-2</v>
      </c>
      <c r="M48" s="183">
        <v>2210</v>
      </c>
      <c r="N48" s="227">
        <f t="shared" ref="N48:N79" si="8">SUM(M48-H48)/H48</f>
        <v>4.7393364928909949E-2</v>
      </c>
      <c r="O48" s="184">
        <f t="shared" ref="O48:O79" si="9">SUM(M48-G48)/G48</f>
        <v>2.2201665124884366E-2</v>
      </c>
      <c r="P48" s="233" t="s">
        <v>4841</v>
      </c>
      <c r="Q48" s="183" t="s">
        <v>4698</v>
      </c>
      <c r="R48" s="183" t="s">
        <v>4838</v>
      </c>
      <c r="S48" s="183" t="s">
        <v>4643</v>
      </c>
      <c r="T48" s="183" t="s">
        <v>4662</v>
      </c>
    </row>
    <row r="49" spans="1:20" ht="54">
      <c r="A49" s="187" t="s">
        <v>4825</v>
      </c>
      <c r="B49" s="187" t="s">
        <v>4646</v>
      </c>
      <c r="C49" s="187" t="s">
        <v>90</v>
      </c>
      <c r="D49" s="187" t="s">
        <v>1828</v>
      </c>
      <c r="E49" s="187" t="s">
        <v>4842</v>
      </c>
      <c r="F49" s="187">
        <v>1</v>
      </c>
      <c r="G49" s="187">
        <v>2271</v>
      </c>
      <c r="H49" s="187">
        <v>2025</v>
      </c>
      <c r="I49" s="187">
        <v>2235</v>
      </c>
      <c r="J49" s="189">
        <f t="shared" si="6"/>
        <v>0.1037037037037037</v>
      </c>
      <c r="K49" s="187">
        <v>2146.5</v>
      </c>
      <c r="L49" s="189">
        <f t="shared" si="7"/>
        <v>0.06</v>
      </c>
      <c r="M49" s="187">
        <v>2200</v>
      </c>
      <c r="N49" s="226">
        <f t="shared" si="8"/>
        <v>8.6419753086419748E-2</v>
      </c>
      <c r="O49" s="189">
        <f t="shared" si="9"/>
        <v>-3.1263760457948042E-2</v>
      </c>
      <c r="P49" s="292"/>
      <c r="Q49" s="187" t="s">
        <v>4687</v>
      </c>
      <c r="R49" s="187" t="s">
        <v>4843</v>
      </c>
      <c r="S49" s="187" t="s">
        <v>4643</v>
      </c>
      <c r="T49" s="187"/>
    </row>
    <row r="50" spans="1:20">
      <c r="A50" s="214">
        <v>45479</v>
      </c>
      <c r="B50" s="215" t="s">
        <v>4720</v>
      </c>
      <c r="C50" s="215" t="s">
        <v>852</v>
      </c>
      <c r="D50" s="215" t="s">
        <v>4844</v>
      </c>
      <c r="E50" s="215" t="s">
        <v>4845</v>
      </c>
      <c r="F50" s="183">
        <v>3</v>
      </c>
      <c r="G50" s="183">
        <v>1450</v>
      </c>
      <c r="H50" s="183">
        <v>1375</v>
      </c>
      <c r="I50" s="183">
        <v>1460</v>
      </c>
      <c r="J50" s="184">
        <f t="shared" si="6"/>
        <v>6.1818181818181821E-2</v>
      </c>
      <c r="K50" s="183">
        <v>1400</v>
      </c>
      <c r="L50" s="184">
        <f t="shared" si="7"/>
        <v>1.8181818181818181E-2</v>
      </c>
      <c r="M50" s="183"/>
      <c r="N50" s="184">
        <f t="shared" si="8"/>
        <v>-1</v>
      </c>
      <c r="O50" s="184">
        <f t="shared" si="9"/>
        <v>-1</v>
      </c>
      <c r="P50" s="233" t="s">
        <v>4846</v>
      </c>
      <c r="Q50" s="183" t="s">
        <v>4847</v>
      </c>
      <c r="R50" s="183"/>
      <c r="S50" s="183" t="s">
        <v>4808</v>
      </c>
      <c r="T50" s="162"/>
    </row>
    <row r="51" spans="1:20">
      <c r="A51" s="210">
        <v>45329</v>
      </c>
      <c r="B51" s="183" t="s">
        <v>4848</v>
      </c>
      <c r="C51" s="183" t="s">
        <v>852</v>
      </c>
      <c r="D51" s="183" t="s">
        <v>4713</v>
      </c>
      <c r="E51" s="183" t="s">
        <v>4849</v>
      </c>
      <c r="F51" s="183">
        <v>1</v>
      </c>
      <c r="G51" s="183">
        <v>1404</v>
      </c>
      <c r="H51" s="183">
        <v>1325</v>
      </c>
      <c r="I51" s="183">
        <v>1505</v>
      </c>
      <c r="J51" s="184">
        <f t="shared" si="6"/>
        <v>0.13584905660377358</v>
      </c>
      <c r="K51" s="183">
        <v>1440</v>
      </c>
      <c r="L51" s="184">
        <f t="shared" si="7"/>
        <v>8.6792452830188674E-2</v>
      </c>
      <c r="M51" s="183"/>
      <c r="N51" s="184">
        <f t="shared" si="8"/>
        <v>-1</v>
      </c>
      <c r="O51" s="184">
        <f t="shared" si="9"/>
        <v>-1</v>
      </c>
      <c r="P51" s="233" t="s">
        <v>4850</v>
      </c>
      <c r="Q51" s="185">
        <v>1440</v>
      </c>
      <c r="R51" s="183"/>
      <c r="S51" s="183" t="s">
        <v>4808</v>
      </c>
      <c r="T51" s="162"/>
    </row>
    <row r="52" spans="1:20">
      <c r="A52" s="183" t="s">
        <v>4851</v>
      </c>
      <c r="B52" s="183" t="s">
        <v>4848</v>
      </c>
      <c r="C52" s="183" t="s">
        <v>852</v>
      </c>
      <c r="D52" s="183" t="s">
        <v>4713</v>
      </c>
      <c r="E52" s="183" t="s">
        <v>4852</v>
      </c>
      <c r="F52" s="183">
        <v>1</v>
      </c>
      <c r="G52" s="183">
        <v>1404</v>
      </c>
      <c r="H52" s="183">
        <v>1300</v>
      </c>
      <c r="I52" s="183">
        <v>1480</v>
      </c>
      <c r="J52" s="184">
        <f t="shared" si="6"/>
        <v>0.13846153846153847</v>
      </c>
      <c r="K52" s="183">
        <v>1360</v>
      </c>
      <c r="L52" s="184">
        <f t="shared" si="7"/>
        <v>4.6153846153846156E-2</v>
      </c>
      <c r="M52" s="183">
        <v>1400</v>
      </c>
      <c r="N52" s="184">
        <f t="shared" si="8"/>
        <v>7.6923076923076927E-2</v>
      </c>
      <c r="O52" s="184">
        <f t="shared" si="9"/>
        <v>-2.8490028490028491E-3</v>
      </c>
      <c r="P52" s="233" t="s">
        <v>4853</v>
      </c>
      <c r="Q52" s="185">
        <v>1405</v>
      </c>
      <c r="R52" s="183"/>
      <c r="S52" s="183" t="s">
        <v>4808</v>
      </c>
      <c r="T52" s="183" t="s">
        <v>4662</v>
      </c>
    </row>
    <row r="53" spans="1:20" ht="27">
      <c r="A53" s="183" t="s">
        <v>4854</v>
      </c>
      <c r="B53" s="183" t="s">
        <v>4848</v>
      </c>
      <c r="C53" s="183" t="s">
        <v>852</v>
      </c>
      <c r="D53" s="183" t="s">
        <v>4799</v>
      </c>
      <c r="E53" s="183" t="s">
        <v>4855</v>
      </c>
      <c r="F53" s="183">
        <v>2</v>
      </c>
      <c r="G53" s="183">
        <v>1972</v>
      </c>
      <c r="H53" s="183">
        <v>1880</v>
      </c>
      <c r="I53" s="183">
        <v>1995</v>
      </c>
      <c r="J53" s="184">
        <f t="shared" si="6"/>
        <v>6.1170212765957445E-2</v>
      </c>
      <c r="K53" s="183">
        <v>1880</v>
      </c>
      <c r="L53" s="184">
        <f t="shared" si="7"/>
        <v>0</v>
      </c>
      <c r="M53" s="183">
        <v>1955</v>
      </c>
      <c r="N53" s="184">
        <f t="shared" si="8"/>
        <v>3.9893617021276598E-2</v>
      </c>
      <c r="O53" s="256">
        <f t="shared" si="9"/>
        <v>-8.6206896551724137E-3</v>
      </c>
      <c r="P53" s="233" t="s">
        <v>4856</v>
      </c>
      <c r="Q53" s="185">
        <v>1975</v>
      </c>
      <c r="R53" s="183"/>
      <c r="S53" s="183" t="s">
        <v>4808</v>
      </c>
      <c r="T53" s="162"/>
    </row>
    <row r="54" spans="1:20">
      <c r="A54" s="210">
        <v>45357</v>
      </c>
      <c r="B54" s="183" t="s">
        <v>4848</v>
      </c>
      <c r="C54" s="183" t="s">
        <v>1614</v>
      </c>
      <c r="D54" s="183" t="s">
        <v>4695</v>
      </c>
      <c r="E54" s="183" t="s">
        <v>4857</v>
      </c>
      <c r="F54" s="183">
        <v>1</v>
      </c>
      <c r="G54" s="183">
        <v>1115</v>
      </c>
      <c r="H54" s="183">
        <v>1070</v>
      </c>
      <c r="I54" s="183">
        <v>1160</v>
      </c>
      <c r="J54" s="184">
        <f t="shared" si="6"/>
        <v>8.4112149532710276E-2</v>
      </c>
      <c r="K54" s="183">
        <v>1110</v>
      </c>
      <c r="L54" s="184">
        <f t="shared" si="7"/>
        <v>3.7383177570093455E-2</v>
      </c>
      <c r="M54" s="183">
        <v>1120</v>
      </c>
      <c r="N54" s="184">
        <f t="shared" si="8"/>
        <v>4.6728971962616821E-2</v>
      </c>
      <c r="O54" s="184">
        <f t="shared" si="9"/>
        <v>4.4843049327354259E-3</v>
      </c>
      <c r="P54" s="233" t="s">
        <v>4858</v>
      </c>
      <c r="Q54" s="185">
        <v>1120</v>
      </c>
      <c r="R54" s="183"/>
      <c r="S54" s="191" t="s">
        <v>4643</v>
      </c>
      <c r="T54" s="183"/>
    </row>
    <row r="55" spans="1:20" ht="27">
      <c r="A55" s="210">
        <v>45358</v>
      </c>
      <c r="B55" s="183" t="s">
        <v>4848</v>
      </c>
      <c r="C55" s="183" t="s">
        <v>1614</v>
      </c>
      <c r="D55" s="183" t="s">
        <v>4695</v>
      </c>
      <c r="E55" s="183" t="s">
        <v>4859</v>
      </c>
      <c r="F55" s="183">
        <v>3</v>
      </c>
      <c r="G55" s="183">
        <v>1905</v>
      </c>
      <c r="H55" s="183">
        <v>1815</v>
      </c>
      <c r="I55" s="183">
        <v>1920</v>
      </c>
      <c r="J55" s="184">
        <f t="shared" si="6"/>
        <v>5.7851239669421489E-2</v>
      </c>
      <c r="K55" s="183">
        <v>1870</v>
      </c>
      <c r="L55" s="184">
        <f t="shared" si="7"/>
        <v>3.0303030303030304E-2</v>
      </c>
      <c r="M55" s="183">
        <v>1905</v>
      </c>
      <c r="N55" s="184">
        <f t="shared" si="8"/>
        <v>4.9586776859504134E-2</v>
      </c>
      <c r="O55" s="184">
        <f t="shared" si="9"/>
        <v>0</v>
      </c>
      <c r="P55" s="233" t="s">
        <v>4860</v>
      </c>
      <c r="Q55" s="185">
        <v>1905</v>
      </c>
      <c r="R55" s="183"/>
      <c r="S55" s="191" t="s">
        <v>4643</v>
      </c>
      <c r="T55" s="183"/>
    </row>
    <row r="56" spans="1:20">
      <c r="A56" s="210">
        <v>45481</v>
      </c>
      <c r="B56" s="183" t="s">
        <v>4848</v>
      </c>
      <c r="C56" s="183" t="s">
        <v>852</v>
      </c>
      <c r="D56" s="183" t="s">
        <v>4861</v>
      </c>
      <c r="E56" s="183" t="s">
        <v>4862</v>
      </c>
      <c r="F56" s="183">
        <v>2</v>
      </c>
      <c r="G56" s="183">
        <v>1638</v>
      </c>
      <c r="H56" s="183">
        <v>1620</v>
      </c>
      <c r="I56" s="183">
        <v>1710</v>
      </c>
      <c r="J56" s="184">
        <f t="shared" si="6"/>
        <v>5.5555555555555552E-2</v>
      </c>
      <c r="K56" s="183">
        <v>1650</v>
      </c>
      <c r="L56" s="184">
        <f t="shared" si="7"/>
        <v>1.8518518518518517E-2</v>
      </c>
      <c r="M56" s="183">
        <v>1685</v>
      </c>
      <c r="N56" s="184">
        <f t="shared" si="8"/>
        <v>4.0123456790123455E-2</v>
      </c>
      <c r="O56" s="184">
        <f t="shared" si="9"/>
        <v>2.8693528693528692E-2</v>
      </c>
      <c r="P56" s="233" t="s">
        <v>4863</v>
      </c>
      <c r="Q56" s="185">
        <v>1685</v>
      </c>
      <c r="R56" s="183"/>
      <c r="S56" s="183" t="s">
        <v>4808</v>
      </c>
      <c r="T56" s="162"/>
    </row>
    <row r="57" spans="1:20">
      <c r="A57" s="177">
        <v>45358</v>
      </c>
      <c r="B57" s="162" t="s">
        <v>4848</v>
      </c>
      <c r="C57" s="162" t="s">
        <v>852</v>
      </c>
      <c r="D57" s="162" t="s">
        <v>4713</v>
      </c>
      <c r="E57" s="276" t="s">
        <v>4864</v>
      </c>
      <c r="F57" s="162">
        <v>1</v>
      </c>
      <c r="G57" s="162">
        <v>1443</v>
      </c>
      <c r="H57" s="162">
        <v>1290</v>
      </c>
      <c r="I57" s="162">
        <v>1450</v>
      </c>
      <c r="J57" s="163">
        <f t="shared" si="6"/>
        <v>0.12403100775193798</v>
      </c>
      <c r="K57" s="276">
        <v>1390</v>
      </c>
      <c r="L57" s="163">
        <f t="shared" si="7"/>
        <v>7.7519379844961239E-2</v>
      </c>
      <c r="M57" s="162">
        <v>1400</v>
      </c>
      <c r="N57" s="163">
        <f t="shared" si="8"/>
        <v>8.5271317829457363E-2</v>
      </c>
      <c r="O57" s="163">
        <f t="shared" si="9"/>
        <v>-2.9799029799029798E-2</v>
      </c>
      <c r="P57" s="298" t="s">
        <v>4865</v>
      </c>
      <c r="Q57" s="182">
        <v>1410</v>
      </c>
      <c r="R57" s="162"/>
      <c r="S57" s="162"/>
      <c r="T57" s="162"/>
    </row>
    <row r="58" spans="1:20" ht="27">
      <c r="A58" s="210">
        <v>45357</v>
      </c>
      <c r="B58" s="183" t="s">
        <v>4848</v>
      </c>
      <c r="C58" s="183" t="s">
        <v>1614</v>
      </c>
      <c r="D58" s="183" t="s">
        <v>4866</v>
      </c>
      <c r="E58" s="183" t="s">
        <v>4867</v>
      </c>
      <c r="F58" s="183">
        <v>3</v>
      </c>
      <c r="G58" s="183">
        <v>2145</v>
      </c>
      <c r="H58" s="183">
        <v>2095</v>
      </c>
      <c r="I58" s="183">
        <v>2205</v>
      </c>
      <c r="J58" s="184">
        <f t="shared" si="6"/>
        <v>5.2505966587112173E-2</v>
      </c>
      <c r="K58" s="183">
        <v>1800</v>
      </c>
      <c r="L58" s="184">
        <f t="shared" si="7"/>
        <v>-0.14081145584725538</v>
      </c>
      <c r="M58" s="183">
        <v>2150</v>
      </c>
      <c r="N58" s="184">
        <f t="shared" si="8"/>
        <v>2.6252983293556086E-2</v>
      </c>
      <c r="O58" s="184">
        <f t="shared" si="9"/>
        <v>2.331002331002331E-3</v>
      </c>
      <c r="P58" s="233" t="s">
        <v>4868</v>
      </c>
      <c r="Q58" s="185">
        <v>2150</v>
      </c>
      <c r="R58" s="183"/>
      <c r="S58" s="191" t="s">
        <v>4643</v>
      </c>
      <c r="T58" s="183"/>
    </row>
    <row r="59" spans="1:20" ht="27">
      <c r="A59" s="218">
        <v>45357</v>
      </c>
      <c r="B59" s="187" t="s">
        <v>4848</v>
      </c>
      <c r="C59" s="187" t="s">
        <v>1614</v>
      </c>
      <c r="D59" s="187" t="s">
        <v>4866</v>
      </c>
      <c r="E59" s="187" t="s">
        <v>4869</v>
      </c>
      <c r="F59" s="187">
        <v>2</v>
      </c>
      <c r="G59" s="187">
        <v>1540</v>
      </c>
      <c r="H59" s="187">
        <v>1475</v>
      </c>
      <c r="I59" s="187">
        <v>1600</v>
      </c>
      <c r="J59" s="189">
        <f t="shared" si="6"/>
        <v>8.4745762711864403E-2</v>
      </c>
      <c r="K59" s="187">
        <v>1475</v>
      </c>
      <c r="L59" s="189">
        <f t="shared" si="7"/>
        <v>0</v>
      </c>
      <c r="M59" s="187">
        <v>1540</v>
      </c>
      <c r="N59" s="189">
        <f t="shared" si="8"/>
        <v>4.4067796610169491E-2</v>
      </c>
      <c r="O59" s="184">
        <f t="shared" si="9"/>
        <v>0</v>
      </c>
      <c r="P59" s="292" t="s">
        <v>4870</v>
      </c>
      <c r="Q59" s="190">
        <v>1545</v>
      </c>
      <c r="R59" s="187"/>
      <c r="S59" s="191" t="s">
        <v>4643</v>
      </c>
      <c r="T59" s="183"/>
    </row>
    <row r="60" spans="1:20">
      <c r="A60" s="210">
        <v>45357</v>
      </c>
      <c r="B60" s="183" t="s">
        <v>4848</v>
      </c>
      <c r="C60" s="183" t="s">
        <v>852</v>
      </c>
      <c r="D60" s="183" t="s">
        <v>4861</v>
      </c>
      <c r="E60" s="183" t="s">
        <v>4871</v>
      </c>
      <c r="F60" s="183">
        <v>2</v>
      </c>
      <c r="G60" s="183">
        <v>1638</v>
      </c>
      <c r="H60" s="183">
        <v>1540</v>
      </c>
      <c r="I60" s="183">
        <v>1675</v>
      </c>
      <c r="J60" s="184">
        <f t="shared" si="6"/>
        <v>8.7662337662337664E-2</v>
      </c>
      <c r="K60" s="183">
        <v>1600</v>
      </c>
      <c r="L60" s="184">
        <f t="shared" si="7"/>
        <v>3.896103896103896E-2</v>
      </c>
      <c r="M60" s="183">
        <v>1640</v>
      </c>
      <c r="N60" s="184">
        <f t="shared" si="8"/>
        <v>6.4935064935064929E-2</v>
      </c>
      <c r="O60" s="184">
        <f t="shared" si="9"/>
        <v>1.221001221001221E-3</v>
      </c>
      <c r="P60" s="233"/>
      <c r="Q60" s="185">
        <v>1640</v>
      </c>
      <c r="R60" s="183"/>
      <c r="S60" s="183" t="s">
        <v>4808</v>
      </c>
      <c r="T60" s="162"/>
    </row>
    <row r="61" spans="1:20" ht="27">
      <c r="A61" s="162"/>
      <c r="B61" s="162" t="s">
        <v>4848</v>
      </c>
      <c r="C61" s="162" t="s">
        <v>852</v>
      </c>
      <c r="D61" s="162" t="s">
        <v>4799</v>
      </c>
      <c r="E61" s="162" t="s">
        <v>4872</v>
      </c>
      <c r="F61" s="162">
        <v>2</v>
      </c>
      <c r="G61" s="162">
        <v>1924</v>
      </c>
      <c r="H61" s="162">
        <v>1855</v>
      </c>
      <c r="I61" s="162">
        <v>1960</v>
      </c>
      <c r="J61" s="163">
        <f t="shared" si="6"/>
        <v>5.6603773584905662E-2</v>
      </c>
      <c r="K61" s="162">
        <v>1900</v>
      </c>
      <c r="L61" s="163">
        <f t="shared" si="7"/>
        <v>2.4258760107816711E-2</v>
      </c>
      <c r="M61" s="162">
        <v>1920</v>
      </c>
      <c r="N61" s="163">
        <f t="shared" si="8"/>
        <v>3.5040431266846361E-2</v>
      </c>
      <c r="O61" s="257">
        <f t="shared" si="9"/>
        <v>-2.0790020790020791E-3</v>
      </c>
      <c r="P61" s="297" t="s">
        <v>4873</v>
      </c>
      <c r="Q61" s="182">
        <v>1930</v>
      </c>
      <c r="R61" s="162"/>
      <c r="S61" s="162"/>
      <c r="T61" s="162"/>
    </row>
    <row r="62" spans="1:20" ht="27">
      <c r="A62" s="210">
        <v>45450</v>
      </c>
      <c r="B62" s="215" t="s">
        <v>4720</v>
      </c>
      <c r="C62" s="183" t="s">
        <v>852</v>
      </c>
      <c r="D62" s="183" t="s">
        <v>866</v>
      </c>
      <c r="E62" s="183" t="s">
        <v>4874</v>
      </c>
      <c r="F62" s="183">
        <v>3</v>
      </c>
      <c r="G62" s="183">
        <v>1751</v>
      </c>
      <c r="H62" s="183">
        <v>1885</v>
      </c>
      <c r="I62" s="183">
        <v>1980</v>
      </c>
      <c r="J62" s="184">
        <f t="shared" si="6"/>
        <v>5.0397877984084884E-2</v>
      </c>
      <c r="K62" s="183">
        <v>1885</v>
      </c>
      <c r="L62" s="184">
        <f t="shared" si="7"/>
        <v>0</v>
      </c>
      <c r="M62" s="183">
        <v>1935</v>
      </c>
      <c r="N62" s="184">
        <f t="shared" si="8"/>
        <v>2.6525198938992044E-2</v>
      </c>
      <c r="O62" s="184">
        <f t="shared" si="9"/>
        <v>0.10508280982295831</v>
      </c>
      <c r="P62" s="233" t="s">
        <v>4875</v>
      </c>
      <c r="Q62" s="183" t="s">
        <v>4876</v>
      </c>
      <c r="R62" s="183" t="s">
        <v>4877</v>
      </c>
      <c r="S62" s="183" t="s">
        <v>4808</v>
      </c>
      <c r="T62" s="183" t="s">
        <v>1199</v>
      </c>
    </row>
    <row r="63" spans="1:20" ht="27">
      <c r="A63" s="210">
        <v>45388</v>
      </c>
      <c r="B63" s="183" t="s">
        <v>4646</v>
      </c>
      <c r="C63" s="183" t="s">
        <v>90</v>
      </c>
      <c r="D63" s="183" t="s">
        <v>1140</v>
      </c>
      <c r="E63" s="183" t="s">
        <v>4878</v>
      </c>
      <c r="F63" s="183">
        <v>2</v>
      </c>
      <c r="G63" s="183">
        <v>2769</v>
      </c>
      <c r="H63" s="183">
        <v>2685</v>
      </c>
      <c r="I63" s="183">
        <v>2830</v>
      </c>
      <c r="J63" s="184">
        <f t="shared" si="6"/>
        <v>5.4003724394785846E-2</v>
      </c>
      <c r="K63" s="183">
        <v>2780</v>
      </c>
      <c r="L63" s="184">
        <f t="shared" si="7"/>
        <v>3.5381750465549346E-2</v>
      </c>
      <c r="M63" s="183">
        <v>2800</v>
      </c>
      <c r="N63" s="227">
        <f t="shared" si="8"/>
        <v>4.2830540037243951E-2</v>
      </c>
      <c r="O63" s="184">
        <f t="shared" si="9"/>
        <v>1.119537739256049E-2</v>
      </c>
      <c r="P63" s="233" t="s">
        <v>4879</v>
      </c>
      <c r="Q63" s="183" t="s">
        <v>1974</v>
      </c>
      <c r="R63" s="183"/>
      <c r="S63" s="183" t="s">
        <v>4643</v>
      </c>
      <c r="T63" s="183"/>
    </row>
    <row r="64" spans="1:20">
      <c r="A64" s="183" t="s">
        <v>4880</v>
      </c>
      <c r="B64" s="183" t="s">
        <v>4848</v>
      </c>
      <c r="C64" s="183" t="s">
        <v>852</v>
      </c>
      <c r="D64" s="183" t="s">
        <v>4713</v>
      </c>
      <c r="E64" s="183" t="s">
        <v>4881</v>
      </c>
      <c r="F64" s="183">
        <v>1</v>
      </c>
      <c r="G64" s="183">
        <v>1426</v>
      </c>
      <c r="H64" s="183">
        <v>1290</v>
      </c>
      <c r="I64" s="183">
        <v>1430</v>
      </c>
      <c r="J64" s="184">
        <f t="shared" si="6"/>
        <v>0.10852713178294573</v>
      </c>
      <c r="K64" s="183">
        <v>1390</v>
      </c>
      <c r="L64" s="184">
        <f t="shared" si="7"/>
        <v>7.7519379844961239E-2</v>
      </c>
      <c r="M64" s="183">
        <v>1400</v>
      </c>
      <c r="N64" s="184">
        <f t="shared" si="8"/>
        <v>8.5271317829457363E-2</v>
      </c>
      <c r="O64" s="184">
        <f t="shared" si="9"/>
        <v>-1.82328190743338E-2</v>
      </c>
      <c r="P64" s="233" t="s">
        <v>4882</v>
      </c>
      <c r="Q64" s="183" t="s">
        <v>4806</v>
      </c>
      <c r="R64" s="183"/>
      <c r="S64" s="183" t="s">
        <v>4808</v>
      </c>
      <c r="T64" s="162"/>
    </row>
    <row r="65" spans="1:20">
      <c r="A65" s="210">
        <v>45388</v>
      </c>
      <c r="B65" s="183" t="s">
        <v>4720</v>
      </c>
      <c r="C65" s="183" t="s">
        <v>90</v>
      </c>
      <c r="D65" s="183" t="s">
        <v>4883</v>
      </c>
      <c r="E65" s="183" t="s">
        <v>4884</v>
      </c>
      <c r="F65" s="183">
        <v>1</v>
      </c>
      <c r="G65" s="183">
        <v>2132</v>
      </c>
      <c r="H65" s="183">
        <v>2080</v>
      </c>
      <c r="I65" s="183">
        <v>2150</v>
      </c>
      <c r="J65" s="184">
        <f t="shared" si="6"/>
        <v>3.3653846153846152E-2</v>
      </c>
      <c r="K65" s="183">
        <v>2150</v>
      </c>
      <c r="L65" s="184">
        <f t="shared" si="7"/>
        <v>3.3653846153846152E-2</v>
      </c>
      <c r="M65" s="183">
        <v>2150</v>
      </c>
      <c r="N65" s="184">
        <f t="shared" si="8"/>
        <v>3.3653846153846152E-2</v>
      </c>
      <c r="O65" s="184">
        <f t="shared" si="9"/>
        <v>8.4427767354596627E-3</v>
      </c>
      <c r="P65" s="233" t="s">
        <v>4885</v>
      </c>
      <c r="Q65" s="183"/>
      <c r="R65" s="183" t="s">
        <v>4886</v>
      </c>
      <c r="S65" s="183" t="s">
        <v>4643</v>
      </c>
      <c r="T65" s="183"/>
    </row>
    <row r="66" spans="1:20" ht="27">
      <c r="A66" s="210">
        <v>45418</v>
      </c>
      <c r="B66" s="183" t="s">
        <v>4848</v>
      </c>
      <c r="C66" s="183" t="s">
        <v>1614</v>
      </c>
      <c r="D66" s="183" t="s">
        <v>4776</v>
      </c>
      <c r="E66" s="183" t="s">
        <v>4887</v>
      </c>
      <c r="F66" s="183">
        <v>2</v>
      </c>
      <c r="G66" s="183">
        <v>1435</v>
      </c>
      <c r="H66" s="183">
        <v>1385</v>
      </c>
      <c r="I66" s="183">
        <v>1450</v>
      </c>
      <c r="J66" s="184">
        <f t="shared" ref="J66:J97" si="10">SUM(I66-H66)/H66</f>
        <v>4.6931407942238268E-2</v>
      </c>
      <c r="K66" s="183">
        <v>1400</v>
      </c>
      <c r="L66" s="184">
        <f t="shared" ref="L66:L74" si="11">SUM(K66-H66)/H66</f>
        <v>1.0830324909747292E-2</v>
      </c>
      <c r="M66" s="183">
        <v>1395</v>
      </c>
      <c r="N66" s="184">
        <f t="shared" si="8"/>
        <v>7.2202166064981952E-3</v>
      </c>
      <c r="O66" s="184">
        <f t="shared" si="9"/>
        <v>-2.7874564459930314E-2</v>
      </c>
      <c r="P66" s="233" t="s">
        <v>4888</v>
      </c>
      <c r="Q66" s="185">
        <v>1440</v>
      </c>
      <c r="R66" s="183"/>
      <c r="S66" s="191" t="s">
        <v>4643</v>
      </c>
      <c r="T66" s="183"/>
    </row>
    <row r="67" spans="1:20">
      <c r="A67" s="210">
        <v>45418</v>
      </c>
      <c r="B67" s="183" t="s">
        <v>4848</v>
      </c>
      <c r="C67" s="183" t="s">
        <v>1614</v>
      </c>
      <c r="D67" s="183" t="s">
        <v>4704</v>
      </c>
      <c r="E67" s="183" t="s">
        <v>4889</v>
      </c>
      <c r="F67" s="183">
        <v>2</v>
      </c>
      <c r="G67" s="183">
        <v>1485</v>
      </c>
      <c r="H67" s="183">
        <v>1420</v>
      </c>
      <c r="I67" s="183">
        <v>1565</v>
      </c>
      <c r="J67" s="184">
        <f t="shared" si="10"/>
        <v>0.10211267605633803</v>
      </c>
      <c r="K67" s="183">
        <v>1435</v>
      </c>
      <c r="L67" s="184">
        <f t="shared" si="11"/>
        <v>1.0563380281690141E-2</v>
      </c>
      <c r="M67" s="183">
        <v>1485</v>
      </c>
      <c r="N67" s="184">
        <f t="shared" si="8"/>
        <v>4.5774647887323945E-2</v>
      </c>
      <c r="O67" s="184">
        <f t="shared" si="9"/>
        <v>0</v>
      </c>
      <c r="P67" s="233" t="s">
        <v>4890</v>
      </c>
      <c r="Q67" s="185">
        <v>1500</v>
      </c>
      <c r="R67" s="183"/>
      <c r="S67" s="191" t="s">
        <v>4643</v>
      </c>
      <c r="T67" s="183"/>
    </row>
    <row r="68" spans="1:20">
      <c r="A68" s="210">
        <v>45449</v>
      </c>
      <c r="B68" s="183" t="s">
        <v>4848</v>
      </c>
      <c r="C68" s="183" t="s">
        <v>1614</v>
      </c>
      <c r="D68" s="183" t="s">
        <v>4695</v>
      </c>
      <c r="E68" s="183" t="s">
        <v>4891</v>
      </c>
      <c r="F68" s="183">
        <v>2</v>
      </c>
      <c r="G68" s="183">
        <v>1360</v>
      </c>
      <c r="H68" s="183">
        <v>1295</v>
      </c>
      <c r="I68" s="183">
        <v>1390</v>
      </c>
      <c r="J68" s="184">
        <f t="shared" si="10"/>
        <v>7.3359073359073365E-2</v>
      </c>
      <c r="K68" s="183"/>
      <c r="L68" s="184">
        <f t="shared" si="11"/>
        <v>-1</v>
      </c>
      <c r="M68" s="183">
        <v>1370</v>
      </c>
      <c r="N68" s="184">
        <f t="shared" si="8"/>
        <v>5.7915057915057917E-2</v>
      </c>
      <c r="O68" s="184">
        <f t="shared" si="9"/>
        <v>7.3529411764705881E-3</v>
      </c>
      <c r="P68" s="233" t="s">
        <v>4892</v>
      </c>
      <c r="Q68" s="185">
        <v>1370</v>
      </c>
      <c r="R68" s="183" t="s">
        <v>4893</v>
      </c>
      <c r="S68" s="191" t="s">
        <v>4643</v>
      </c>
      <c r="T68" s="183"/>
    </row>
    <row r="69" spans="1:20" ht="27">
      <c r="A69" s="210">
        <v>45449</v>
      </c>
      <c r="B69" s="183" t="s">
        <v>4848</v>
      </c>
      <c r="C69" s="183" t="s">
        <v>1614</v>
      </c>
      <c r="D69" s="183" t="s">
        <v>4704</v>
      </c>
      <c r="E69" s="183" t="s">
        <v>4894</v>
      </c>
      <c r="F69" s="183">
        <v>2</v>
      </c>
      <c r="G69" s="183">
        <v>1585</v>
      </c>
      <c r="H69" s="183">
        <v>1520</v>
      </c>
      <c r="I69" s="183">
        <v>1600</v>
      </c>
      <c r="J69" s="184">
        <f t="shared" si="10"/>
        <v>5.2631578947368418E-2</v>
      </c>
      <c r="K69" s="183">
        <v>1570</v>
      </c>
      <c r="L69" s="184">
        <f t="shared" si="11"/>
        <v>3.2894736842105261E-2</v>
      </c>
      <c r="M69" s="183">
        <v>1570</v>
      </c>
      <c r="N69" s="184">
        <f t="shared" si="8"/>
        <v>3.2894736842105261E-2</v>
      </c>
      <c r="O69" s="184">
        <f t="shared" si="9"/>
        <v>-9.4637223974763408E-3</v>
      </c>
      <c r="P69" s="233" t="s">
        <v>4895</v>
      </c>
      <c r="Q69" s="185">
        <v>1585</v>
      </c>
      <c r="R69" s="183" t="s">
        <v>4896</v>
      </c>
      <c r="S69" s="191" t="s">
        <v>4643</v>
      </c>
      <c r="T69" s="183"/>
    </row>
    <row r="70" spans="1:20">
      <c r="A70" s="210">
        <v>45449</v>
      </c>
      <c r="B70" s="183" t="s">
        <v>4848</v>
      </c>
      <c r="C70" s="183" t="s">
        <v>1614</v>
      </c>
      <c r="D70" s="183" t="s">
        <v>4695</v>
      </c>
      <c r="E70" s="183" t="s">
        <v>4897</v>
      </c>
      <c r="F70" s="183">
        <v>2</v>
      </c>
      <c r="G70" s="183">
        <v>1410</v>
      </c>
      <c r="H70" s="183">
        <v>1300</v>
      </c>
      <c r="I70" s="183">
        <v>1400</v>
      </c>
      <c r="J70" s="184">
        <f t="shared" si="10"/>
        <v>7.6923076923076927E-2</v>
      </c>
      <c r="K70" s="183">
        <v>1350</v>
      </c>
      <c r="L70" s="184">
        <f t="shared" si="11"/>
        <v>3.8461538461538464E-2</v>
      </c>
      <c r="M70" s="183">
        <v>1370</v>
      </c>
      <c r="N70" s="184">
        <f t="shared" si="8"/>
        <v>5.3846153846153849E-2</v>
      </c>
      <c r="O70" s="184">
        <f t="shared" si="9"/>
        <v>-2.8368794326241134E-2</v>
      </c>
      <c r="P70" s="233" t="s">
        <v>4895</v>
      </c>
      <c r="Q70" s="183" t="s">
        <v>4687</v>
      </c>
      <c r="R70" s="183" t="s">
        <v>4898</v>
      </c>
      <c r="S70" s="191" t="s">
        <v>4643</v>
      </c>
      <c r="T70" s="183"/>
    </row>
    <row r="71" spans="1:20">
      <c r="A71" s="183" t="s">
        <v>4712</v>
      </c>
      <c r="B71" s="183" t="s">
        <v>4848</v>
      </c>
      <c r="C71" s="183" t="s">
        <v>852</v>
      </c>
      <c r="D71" s="183" t="s">
        <v>4713</v>
      </c>
      <c r="E71" s="183" t="s">
        <v>4899</v>
      </c>
      <c r="F71" s="183">
        <v>1</v>
      </c>
      <c r="G71" s="183">
        <v>1404</v>
      </c>
      <c r="H71" s="183">
        <v>1300</v>
      </c>
      <c r="I71" s="183">
        <v>1440</v>
      </c>
      <c r="J71" s="184">
        <f t="shared" si="10"/>
        <v>0.1076923076923077</v>
      </c>
      <c r="K71" s="183">
        <v>1380</v>
      </c>
      <c r="L71" s="184">
        <f t="shared" si="11"/>
        <v>6.1538461538461542E-2</v>
      </c>
      <c r="M71" s="183">
        <v>1400</v>
      </c>
      <c r="N71" s="184">
        <f t="shared" si="8"/>
        <v>7.6923076923076927E-2</v>
      </c>
      <c r="O71" s="184">
        <f t="shared" si="9"/>
        <v>-2.8490028490028491E-3</v>
      </c>
      <c r="P71" s="233" t="s">
        <v>4900</v>
      </c>
      <c r="Q71" s="185">
        <v>1400</v>
      </c>
      <c r="R71" s="183" t="s">
        <v>4901</v>
      </c>
      <c r="S71" s="183" t="s">
        <v>4808</v>
      </c>
      <c r="T71" s="162"/>
    </row>
    <row r="72" spans="1:20" ht="27">
      <c r="A72" s="210">
        <v>45479</v>
      </c>
      <c r="B72" s="183" t="s">
        <v>4848</v>
      </c>
      <c r="C72" s="183" t="s">
        <v>1614</v>
      </c>
      <c r="D72" s="183" t="s">
        <v>4695</v>
      </c>
      <c r="E72" s="183" t="s">
        <v>4902</v>
      </c>
      <c r="F72" s="183">
        <v>2</v>
      </c>
      <c r="G72" s="183">
        <v>1475</v>
      </c>
      <c r="H72" s="183">
        <v>1425</v>
      </c>
      <c r="I72" s="183">
        <v>1505</v>
      </c>
      <c r="J72" s="184">
        <f t="shared" si="10"/>
        <v>5.6140350877192984E-2</v>
      </c>
      <c r="K72" s="183">
        <v>1485</v>
      </c>
      <c r="L72" s="184">
        <f t="shared" si="11"/>
        <v>4.2105263157894736E-2</v>
      </c>
      <c r="M72" s="183">
        <v>1485</v>
      </c>
      <c r="N72" s="184">
        <f t="shared" si="8"/>
        <v>4.2105263157894736E-2</v>
      </c>
      <c r="O72" s="184">
        <f t="shared" si="9"/>
        <v>6.7796610169491523E-3</v>
      </c>
      <c r="P72" s="233" t="s">
        <v>4903</v>
      </c>
      <c r="Q72" s="183" t="s">
        <v>4672</v>
      </c>
      <c r="R72" s="183" t="s">
        <v>4667</v>
      </c>
      <c r="S72" s="191" t="s">
        <v>4643</v>
      </c>
      <c r="T72" s="183"/>
    </row>
    <row r="73" spans="1:20">
      <c r="A73" s="231">
        <v>45603</v>
      </c>
      <c r="B73" s="232" t="s">
        <v>4848</v>
      </c>
      <c r="C73" s="232" t="s">
        <v>852</v>
      </c>
      <c r="D73" s="183" t="s">
        <v>4713</v>
      </c>
      <c r="E73" s="183" t="s">
        <v>4904</v>
      </c>
      <c r="F73" s="183">
        <v>1</v>
      </c>
      <c r="G73" s="183">
        <v>1443</v>
      </c>
      <c r="H73" s="183">
        <v>1360</v>
      </c>
      <c r="I73" s="183">
        <v>1515</v>
      </c>
      <c r="J73" s="184">
        <f t="shared" si="10"/>
        <v>0.11397058823529412</v>
      </c>
      <c r="K73" s="183" t="s">
        <v>4905</v>
      </c>
      <c r="L73" s="184" t="e">
        <f t="shared" si="11"/>
        <v>#VALUE!</v>
      </c>
      <c r="M73" s="183">
        <v>1465</v>
      </c>
      <c r="N73" s="184">
        <f t="shared" si="8"/>
        <v>7.720588235294118E-2</v>
      </c>
      <c r="O73" s="184">
        <f t="shared" si="9"/>
        <v>1.5246015246015246E-2</v>
      </c>
      <c r="P73" s="233" t="s">
        <v>4906</v>
      </c>
      <c r="Q73" s="183" t="s">
        <v>4672</v>
      </c>
      <c r="R73" s="183" t="s">
        <v>4907</v>
      </c>
      <c r="S73" s="183" t="s">
        <v>4808</v>
      </c>
      <c r="T73" s="162"/>
    </row>
    <row r="74" spans="1:20" ht="27">
      <c r="A74" s="210">
        <v>45571</v>
      </c>
      <c r="B74" s="183" t="s">
        <v>4848</v>
      </c>
      <c r="C74" s="183" t="s">
        <v>1614</v>
      </c>
      <c r="D74" s="183" t="s">
        <v>4669</v>
      </c>
      <c r="E74" s="183" t="s">
        <v>4908</v>
      </c>
      <c r="F74" s="183">
        <v>2</v>
      </c>
      <c r="G74" s="183">
        <v>960</v>
      </c>
      <c r="H74" s="183">
        <v>905</v>
      </c>
      <c r="I74" s="183">
        <v>1010</v>
      </c>
      <c r="J74" s="184">
        <f t="shared" si="10"/>
        <v>0.11602209944751381</v>
      </c>
      <c r="K74" s="183">
        <v>910</v>
      </c>
      <c r="L74" s="184">
        <f t="shared" si="11"/>
        <v>5.5248618784530384E-3</v>
      </c>
      <c r="M74" s="183">
        <v>970</v>
      </c>
      <c r="N74" s="184">
        <f t="shared" si="8"/>
        <v>7.18232044198895E-2</v>
      </c>
      <c r="O74" s="184">
        <f t="shared" si="9"/>
        <v>1.0416666666666666E-2</v>
      </c>
      <c r="P74" s="233"/>
      <c r="Q74" s="183" t="s">
        <v>4687</v>
      </c>
      <c r="R74" s="183" t="s">
        <v>4688</v>
      </c>
      <c r="S74" s="191" t="s">
        <v>4643</v>
      </c>
      <c r="T74" s="183"/>
    </row>
    <row r="75" spans="1:20" ht="27">
      <c r="A75" s="218">
        <v>45571</v>
      </c>
      <c r="B75" s="187" t="s">
        <v>4646</v>
      </c>
      <c r="C75" s="187" t="s">
        <v>90</v>
      </c>
      <c r="D75" s="187" t="s">
        <v>4814</v>
      </c>
      <c r="E75" s="187" t="s">
        <v>4909</v>
      </c>
      <c r="F75" s="187">
        <v>2</v>
      </c>
      <c r="G75" s="187"/>
      <c r="H75" s="187">
        <v>2440</v>
      </c>
      <c r="I75" s="187">
        <v>2650</v>
      </c>
      <c r="J75" s="189">
        <f t="shared" si="10"/>
        <v>8.6065573770491802E-2</v>
      </c>
      <c r="K75" s="187" t="s">
        <v>4910</v>
      </c>
      <c r="L75" s="189" t="s">
        <v>50</v>
      </c>
      <c r="M75" s="187">
        <v>2650</v>
      </c>
      <c r="N75" s="226">
        <f t="shared" si="8"/>
        <v>8.6065573770491802E-2</v>
      </c>
      <c r="O75" s="189" t="e">
        <f t="shared" si="9"/>
        <v>#DIV/0!</v>
      </c>
      <c r="P75" s="292" t="s">
        <v>4911</v>
      </c>
      <c r="Q75" s="187" t="s">
        <v>4650</v>
      </c>
      <c r="R75" s="187" t="s">
        <v>4912</v>
      </c>
      <c r="S75" s="187" t="s">
        <v>4643</v>
      </c>
      <c r="T75" s="187"/>
    </row>
    <row r="76" spans="1:20">
      <c r="A76" s="218">
        <v>45571</v>
      </c>
      <c r="B76" s="187" t="s">
        <v>4646</v>
      </c>
      <c r="C76" s="187" t="s">
        <v>90</v>
      </c>
      <c r="D76" s="187" t="s">
        <v>1828</v>
      </c>
      <c r="E76" s="187" t="s">
        <v>4913</v>
      </c>
      <c r="F76" s="187">
        <v>1</v>
      </c>
      <c r="G76" s="187">
        <v>2102</v>
      </c>
      <c r="H76" s="187">
        <v>1725</v>
      </c>
      <c r="I76" s="187">
        <v>2125</v>
      </c>
      <c r="J76" s="189">
        <f t="shared" si="10"/>
        <v>0.2318840579710145</v>
      </c>
      <c r="K76" s="187">
        <v>2000</v>
      </c>
      <c r="L76" s="189">
        <f t="shared" ref="L76:L107" si="12">SUM(K76-H76)/H76</f>
        <v>0.15942028985507245</v>
      </c>
      <c r="M76" s="187">
        <v>2105</v>
      </c>
      <c r="N76" s="226">
        <f t="shared" si="8"/>
        <v>0.22028985507246376</v>
      </c>
      <c r="O76" s="189">
        <f t="shared" si="9"/>
        <v>1.4272121788772598E-3</v>
      </c>
      <c r="P76" s="292" t="s">
        <v>4914</v>
      </c>
      <c r="Q76" s="187" t="s">
        <v>1974</v>
      </c>
      <c r="R76" s="187"/>
      <c r="S76" s="187" t="s">
        <v>4643</v>
      </c>
      <c r="T76" s="187"/>
    </row>
    <row r="77" spans="1:20" ht="27">
      <c r="A77" s="218">
        <v>45602</v>
      </c>
      <c r="B77" s="187" t="s">
        <v>4720</v>
      </c>
      <c r="C77" s="187" t="s">
        <v>90</v>
      </c>
      <c r="D77" s="187" t="s">
        <v>210</v>
      </c>
      <c r="E77" s="187" t="s">
        <v>4915</v>
      </c>
      <c r="F77" s="187">
        <v>2</v>
      </c>
      <c r="G77" s="220">
        <v>2340</v>
      </c>
      <c r="H77" s="187">
        <v>2095</v>
      </c>
      <c r="I77" s="187">
        <v>2295</v>
      </c>
      <c r="J77" s="189">
        <f t="shared" si="10"/>
        <v>9.5465393794749401E-2</v>
      </c>
      <c r="K77" s="187">
        <v>2150</v>
      </c>
      <c r="L77" s="189">
        <f t="shared" si="12"/>
        <v>2.6252983293556086E-2</v>
      </c>
      <c r="M77" s="187">
        <v>2250</v>
      </c>
      <c r="N77" s="189">
        <f t="shared" si="8"/>
        <v>7.3985680190930783E-2</v>
      </c>
      <c r="O77" s="189">
        <f t="shared" si="9"/>
        <v>-3.8461538461538464E-2</v>
      </c>
      <c r="P77" s="299"/>
      <c r="Q77" s="187" t="s">
        <v>4916</v>
      </c>
      <c r="R77" s="187" t="s">
        <v>4917</v>
      </c>
      <c r="S77" s="187" t="s">
        <v>4643</v>
      </c>
      <c r="T77" s="187"/>
    </row>
    <row r="78" spans="1:20" ht="40.5">
      <c r="A78" s="210">
        <v>45604</v>
      </c>
      <c r="B78" s="183" t="s">
        <v>4720</v>
      </c>
      <c r="C78" s="183" t="s">
        <v>852</v>
      </c>
      <c r="D78" s="183" t="s">
        <v>4918</v>
      </c>
      <c r="E78" s="183" t="s">
        <v>4919</v>
      </c>
      <c r="F78" s="183">
        <v>2</v>
      </c>
      <c r="G78" s="183">
        <v>1322</v>
      </c>
      <c r="H78" s="183">
        <v>1242</v>
      </c>
      <c r="I78" s="183">
        <v>1330</v>
      </c>
      <c r="J78" s="184">
        <f t="shared" si="10"/>
        <v>7.0853462157809979E-2</v>
      </c>
      <c r="K78" s="183">
        <v>1300</v>
      </c>
      <c r="L78" s="184">
        <f t="shared" si="12"/>
        <v>4.6698872785829307E-2</v>
      </c>
      <c r="M78" s="183">
        <v>1300</v>
      </c>
      <c r="N78" s="184">
        <f t="shared" si="8"/>
        <v>4.6698872785829307E-2</v>
      </c>
      <c r="O78" s="184">
        <f t="shared" si="9"/>
        <v>-1.6641452344931921E-2</v>
      </c>
      <c r="P78" s="233" t="s">
        <v>4920</v>
      </c>
      <c r="Q78" s="183" t="s">
        <v>4921</v>
      </c>
      <c r="R78" s="183" t="s">
        <v>4922</v>
      </c>
      <c r="S78" s="162" t="s">
        <v>4808</v>
      </c>
      <c r="T78" s="162"/>
    </row>
    <row r="79" spans="1:20" ht="27">
      <c r="A79" s="218">
        <v>45602</v>
      </c>
      <c r="B79" s="187" t="s">
        <v>4646</v>
      </c>
      <c r="C79" s="187" t="s">
        <v>90</v>
      </c>
      <c r="D79" s="187" t="s">
        <v>4923</v>
      </c>
      <c r="E79" s="187" t="s">
        <v>4830</v>
      </c>
      <c r="F79" s="187">
        <v>2</v>
      </c>
      <c r="G79" s="187">
        <v>2625</v>
      </c>
      <c r="H79" s="187">
        <v>2460</v>
      </c>
      <c r="I79" s="187">
        <v>2635</v>
      </c>
      <c r="J79" s="189">
        <f t="shared" si="10"/>
        <v>7.113821138211382E-2</v>
      </c>
      <c r="K79" s="187">
        <v>2555</v>
      </c>
      <c r="L79" s="189">
        <f t="shared" si="12"/>
        <v>3.8617886178861791E-2</v>
      </c>
      <c r="M79" s="187">
        <v>2600</v>
      </c>
      <c r="N79" s="226">
        <f t="shared" si="8"/>
        <v>5.6910569105691054E-2</v>
      </c>
      <c r="O79" s="189">
        <f t="shared" si="9"/>
        <v>-9.5238095238095247E-3</v>
      </c>
      <c r="P79" s="292" t="s">
        <v>4924</v>
      </c>
      <c r="Q79" s="187" t="s">
        <v>1974</v>
      </c>
      <c r="R79" s="187"/>
      <c r="S79" s="187" t="s">
        <v>4643</v>
      </c>
      <c r="T79" s="187"/>
    </row>
    <row r="80" spans="1:20" ht="67.5">
      <c r="A80" s="210">
        <v>45602</v>
      </c>
      <c r="B80" s="183" t="s">
        <v>4646</v>
      </c>
      <c r="C80" s="183" t="s">
        <v>90</v>
      </c>
      <c r="D80" s="183" t="s">
        <v>1140</v>
      </c>
      <c r="E80" s="183" t="s">
        <v>4925</v>
      </c>
      <c r="F80" s="183">
        <v>3</v>
      </c>
      <c r="G80" s="183"/>
      <c r="H80" s="183">
        <v>3125</v>
      </c>
      <c r="I80" s="183">
        <v>3350</v>
      </c>
      <c r="J80" s="184">
        <f t="shared" si="10"/>
        <v>7.1999999999999995E-2</v>
      </c>
      <c r="K80" s="183">
        <v>3125</v>
      </c>
      <c r="L80" s="184">
        <f t="shared" si="12"/>
        <v>0</v>
      </c>
      <c r="M80" s="183">
        <v>3200</v>
      </c>
      <c r="N80" s="227">
        <f t="shared" ref="N80:N111" si="13">SUM(M80-H80)/H80</f>
        <v>2.4E-2</v>
      </c>
      <c r="O80" s="184" t="e">
        <f t="shared" ref="O80:O91" si="14">SUM(M80-G80)/G80</f>
        <v>#DIV/0!</v>
      </c>
      <c r="P80" s="233" t="s">
        <v>4926</v>
      </c>
      <c r="Q80" s="183" t="s">
        <v>4650</v>
      </c>
      <c r="R80" s="183" t="s">
        <v>4927</v>
      </c>
      <c r="S80" s="183" t="s">
        <v>4643</v>
      </c>
      <c r="T80" s="183"/>
    </row>
    <row r="81" spans="1:20" ht="54">
      <c r="A81" s="218">
        <v>45602</v>
      </c>
      <c r="B81" s="187" t="s">
        <v>4720</v>
      </c>
      <c r="C81" s="187" t="s">
        <v>90</v>
      </c>
      <c r="D81" s="187" t="s">
        <v>4928</v>
      </c>
      <c r="E81" s="187" t="s">
        <v>4929</v>
      </c>
      <c r="F81" s="187">
        <v>1</v>
      </c>
      <c r="G81" s="187">
        <v>1515</v>
      </c>
      <c r="H81" s="187">
        <v>1465</v>
      </c>
      <c r="I81" s="187">
        <v>1600</v>
      </c>
      <c r="J81" s="189">
        <f t="shared" si="10"/>
        <v>9.2150170648464161E-2</v>
      </c>
      <c r="K81" s="187">
        <v>1525</v>
      </c>
      <c r="L81" s="189">
        <f t="shared" si="12"/>
        <v>4.0955631399317405E-2</v>
      </c>
      <c r="M81" s="187">
        <v>1525</v>
      </c>
      <c r="N81" s="189">
        <f t="shared" si="13"/>
        <v>4.0955631399317405E-2</v>
      </c>
      <c r="O81" s="189">
        <f t="shared" si="14"/>
        <v>6.6006600660066007E-3</v>
      </c>
      <c r="P81" s="292" t="s">
        <v>4930</v>
      </c>
      <c r="Q81" s="187" t="s">
        <v>4931</v>
      </c>
      <c r="R81" s="187"/>
      <c r="S81" s="187" t="s">
        <v>4643</v>
      </c>
      <c r="T81" s="187"/>
    </row>
    <row r="82" spans="1:20" ht="40.5">
      <c r="A82" s="218">
        <v>45602</v>
      </c>
      <c r="B82" s="187" t="s">
        <v>4646</v>
      </c>
      <c r="C82" s="187" t="s">
        <v>90</v>
      </c>
      <c r="D82" s="187" t="s">
        <v>4835</v>
      </c>
      <c r="E82" s="187" t="s">
        <v>4932</v>
      </c>
      <c r="F82" s="187">
        <v>1</v>
      </c>
      <c r="G82" s="187">
        <v>1850</v>
      </c>
      <c r="H82" s="187">
        <v>1825</v>
      </c>
      <c r="I82" s="187">
        <v>1925</v>
      </c>
      <c r="J82" s="189">
        <f t="shared" si="10"/>
        <v>5.4794520547945202E-2</v>
      </c>
      <c r="K82" s="187"/>
      <c r="L82" s="189">
        <f t="shared" si="12"/>
        <v>-1</v>
      </c>
      <c r="M82" s="187">
        <v>1900</v>
      </c>
      <c r="N82" s="226">
        <f t="shared" si="13"/>
        <v>4.1095890410958902E-2</v>
      </c>
      <c r="O82" s="189">
        <f t="shared" si="14"/>
        <v>2.7027027027027029E-2</v>
      </c>
      <c r="P82" s="292" t="s">
        <v>4933</v>
      </c>
      <c r="Q82" s="187" t="s">
        <v>1974</v>
      </c>
      <c r="R82" s="187"/>
      <c r="S82" s="187" t="s">
        <v>4643</v>
      </c>
      <c r="T82" s="187"/>
    </row>
    <row r="83" spans="1:20">
      <c r="A83" s="210">
        <v>45602</v>
      </c>
      <c r="B83" s="183" t="s">
        <v>4652</v>
      </c>
      <c r="C83" s="183" t="s">
        <v>1614</v>
      </c>
      <c r="D83" s="183" t="s">
        <v>4704</v>
      </c>
      <c r="E83" s="183" t="s">
        <v>4934</v>
      </c>
      <c r="F83" s="183">
        <v>2</v>
      </c>
      <c r="G83" s="183">
        <v>1400</v>
      </c>
      <c r="H83" s="183">
        <v>1400</v>
      </c>
      <c r="I83" s="183">
        <v>1565</v>
      </c>
      <c r="J83" s="184">
        <f t="shared" si="10"/>
        <v>0.11785714285714285</v>
      </c>
      <c r="K83" s="183">
        <v>1485</v>
      </c>
      <c r="L83" s="184">
        <f t="shared" si="12"/>
        <v>6.0714285714285714E-2</v>
      </c>
      <c r="M83" s="183">
        <v>1495</v>
      </c>
      <c r="N83" s="184">
        <f t="shared" si="13"/>
        <v>6.7857142857142852E-2</v>
      </c>
      <c r="O83" s="184">
        <f t="shared" si="14"/>
        <v>6.7857142857142852E-2</v>
      </c>
      <c r="P83" s="233"/>
      <c r="Q83" s="183" t="s">
        <v>4698</v>
      </c>
      <c r="R83" s="183" t="s">
        <v>4667</v>
      </c>
      <c r="S83" s="191" t="s">
        <v>4643</v>
      </c>
      <c r="T83" s="183" t="s">
        <v>4662</v>
      </c>
    </row>
    <row r="84" spans="1:20">
      <c r="A84" s="210">
        <v>45602</v>
      </c>
      <c r="B84" s="183" t="s">
        <v>4652</v>
      </c>
      <c r="C84" s="183" t="s">
        <v>1614</v>
      </c>
      <c r="D84" s="183" t="s">
        <v>46</v>
      </c>
      <c r="E84" s="183" t="s">
        <v>4935</v>
      </c>
      <c r="F84" s="183">
        <v>3</v>
      </c>
      <c r="G84" s="183">
        <v>1790</v>
      </c>
      <c r="H84" s="183">
        <v>1745</v>
      </c>
      <c r="I84" s="183">
        <v>1830</v>
      </c>
      <c r="J84" s="184">
        <f t="shared" si="10"/>
        <v>4.8710601719197708E-2</v>
      </c>
      <c r="K84" s="183">
        <v>1745</v>
      </c>
      <c r="L84" s="184">
        <f t="shared" si="12"/>
        <v>0</v>
      </c>
      <c r="M84" s="183">
        <v>1800</v>
      </c>
      <c r="N84" s="184">
        <f t="shared" si="13"/>
        <v>3.151862464183381E-2</v>
      </c>
      <c r="O84" s="184">
        <f t="shared" si="14"/>
        <v>5.5865921787709499E-3</v>
      </c>
      <c r="P84" s="233" t="s">
        <v>4936</v>
      </c>
      <c r="Q84" s="185">
        <v>1795</v>
      </c>
      <c r="R84" s="183"/>
      <c r="S84" s="191" t="s">
        <v>4643</v>
      </c>
      <c r="T84" s="183"/>
    </row>
    <row r="85" spans="1:20" ht="27">
      <c r="A85" s="218">
        <v>45602</v>
      </c>
      <c r="B85" s="187" t="s">
        <v>4720</v>
      </c>
      <c r="C85" s="187" t="s">
        <v>90</v>
      </c>
      <c r="D85" s="187" t="s">
        <v>1122</v>
      </c>
      <c r="E85" s="187" t="s">
        <v>4937</v>
      </c>
      <c r="F85" s="187">
        <v>1</v>
      </c>
      <c r="G85" s="187">
        <v>2132</v>
      </c>
      <c r="H85" s="187">
        <v>1990</v>
      </c>
      <c r="I85" s="187">
        <v>2135</v>
      </c>
      <c r="J85" s="189">
        <f t="shared" si="10"/>
        <v>7.2864321608040197E-2</v>
      </c>
      <c r="K85" s="187">
        <v>2080</v>
      </c>
      <c r="L85" s="189">
        <f t="shared" si="12"/>
        <v>4.5226130653266333E-2</v>
      </c>
      <c r="M85" s="187">
        <v>2100</v>
      </c>
      <c r="N85" s="189">
        <f t="shared" si="13"/>
        <v>5.5276381909547742E-2</v>
      </c>
      <c r="O85" s="189">
        <f t="shared" si="14"/>
        <v>-1.50093808630394E-2</v>
      </c>
      <c r="P85" s="292" t="s">
        <v>4938</v>
      </c>
      <c r="Q85" s="187" t="s">
        <v>4939</v>
      </c>
      <c r="R85" s="187"/>
      <c r="S85" s="187" t="s">
        <v>4643</v>
      </c>
      <c r="T85" s="187"/>
    </row>
    <row r="86" spans="1:20">
      <c r="A86" s="210">
        <v>45602</v>
      </c>
      <c r="B86" s="183" t="s">
        <v>4652</v>
      </c>
      <c r="C86" s="183" t="s">
        <v>1614</v>
      </c>
      <c r="D86" s="183" t="s">
        <v>4704</v>
      </c>
      <c r="E86" s="183" t="s">
        <v>4940</v>
      </c>
      <c r="F86" s="183">
        <v>2</v>
      </c>
      <c r="G86" s="183">
        <v>1470</v>
      </c>
      <c r="H86" s="183">
        <v>1405</v>
      </c>
      <c r="I86" s="183">
        <v>1510</v>
      </c>
      <c r="J86" s="184">
        <f t="shared" si="10"/>
        <v>7.4733096085409248E-2</v>
      </c>
      <c r="K86" s="183">
        <v>1405</v>
      </c>
      <c r="L86" s="184">
        <f t="shared" si="12"/>
        <v>0</v>
      </c>
      <c r="M86" s="183">
        <v>1480</v>
      </c>
      <c r="N86" s="184">
        <f t="shared" si="13"/>
        <v>5.3380782918149468E-2</v>
      </c>
      <c r="O86" s="184">
        <f t="shared" si="14"/>
        <v>6.8027210884353739E-3</v>
      </c>
      <c r="P86" s="233" t="s">
        <v>4941</v>
      </c>
      <c r="Q86" s="185">
        <v>1475</v>
      </c>
      <c r="R86" s="183"/>
      <c r="S86" s="191" t="s">
        <v>4643</v>
      </c>
      <c r="T86" s="183"/>
    </row>
    <row r="87" spans="1:20" ht="27">
      <c r="A87" s="218">
        <v>45602</v>
      </c>
      <c r="B87" s="187" t="s">
        <v>4848</v>
      </c>
      <c r="C87" s="187" t="s">
        <v>1614</v>
      </c>
      <c r="D87" s="187" t="s">
        <v>4695</v>
      </c>
      <c r="E87" s="187" t="s">
        <v>4942</v>
      </c>
      <c r="F87" s="187">
        <v>3</v>
      </c>
      <c r="G87" s="187">
        <v>1810</v>
      </c>
      <c r="H87" s="187">
        <v>1800</v>
      </c>
      <c r="I87" s="187">
        <v>1925</v>
      </c>
      <c r="J87" s="189">
        <f t="shared" si="10"/>
        <v>6.9444444444444448E-2</v>
      </c>
      <c r="K87" s="187">
        <v>1880</v>
      </c>
      <c r="L87" s="189">
        <f t="shared" si="12"/>
        <v>4.4444444444444446E-2</v>
      </c>
      <c r="M87" s="187">
        <v>1890</v>
      </c>
      <c r="N87" s="189">
        <f t="shared" si="13"/>
        <v>0.05</v>
      </c>
      <c r="O87" s="189">
        <f t="shared" si="14"/>
        <v>4.4198895027624308E-2</v>
      </c>
      <c r="P87" s="292" t="s">
        <v>4903</v>
      </c>
      <c r="Q87" s="187" t="s">
        <v>4672</v>
      </c>
      <c r="R87" s="187" t="s">
        <v>4667</v>
      </c>
      <c r="S87" s="191" t="s">
        <v>4643</v>
      </c>
      <c r="T87" s="187"/>
    </row>
    <row r="88" spans="1:20" ht="27">
      <c r="A88" s="218">
        <v>45632</v>
      </c>
      <c r="B88" s="187" t="s">
        <v>4848</v>
      </c>
      <c r="C88" s="187" t="s">
        <v>1614</v>
      </c>
      <c r="D88" s="187" t="s">
        <v>4695</v>
      </c>
      <c r="E88" s="187" t="s">
        <v>4943</v>
      </c>
      <c r="F88" s="187">
        <v>2</v>
      </c>
      <c r="G88" s="187">
        <v>1380</v>
      </c>
      <c r="H88" s="187">
        <v>1335</v>
      </c>
      <c r="I88" s="187">
        <v>1415</v>
      </c>
      <c r="J88" s="189">
        <f t="shared" si="10"/>
        <v>5.9925093632958802E-2</v>
      </c>
      <c r="K88" s="187">
        <v>1360</v>
      </c>
      <c r="L88" s="189">
        <f t="shared" si="12"/>
        <v>1.8726591760299626E-2</v>
      </c>
      <c r="M88" s="187">
        <v>1390</v>
      </c>
      <c r="N88" s="189">
        <f t="shared" si="13"/>
        <v>4.1198501872659173E-2</v>
      </c>
      <c r="O88" s="189">
        <f t="shared" si="14"/>
        <v>7.246376811594203E-3</v>
      </c>
      <c r="P88" s="292" t="s">
        <v>4944</v>
      </c>
      <c r="Q88" s="190">
        <v>1390</v>
      </c>
      <c r="R88" s="187"/>
      <c r="S88" s="191" t="s">
        <v>4643</v>
      </c>
      <c r="T88" s="187"/>
    </row>
    <row r="89" spans="1:20" ht="27">
      <c r="A89" s="210">
        <v>45632</v>
      </c>
      <c r="B89" s="183" t="s">
        <v>4646</v>
      </c>
      <c r="C89" s="183" t="s">
        <v>90</v>
      </c>
      <c r="D89" s="183" t="s">
        <v>4818</v>
      </c>
      <c r="E89" s="233" t="s">
        <v>4945</v>
      </c>
      <c r="F89" s="183">
        <v>1</v>
      </c>
      <c r="G89" s="183">
        <v>1865</v>
      </c>
      <c r="H89" s="183">
        <v>1840</v>
      </c>
      <c r="I89" s="183">
        <v>1925</v>
      </c>
      <c r="J89" s="184">
        <f t="shared" si="10"/>
        <v>4.619565217391304E-2</v>
      </c>
      <c r="K89" s="183">
        <v>1900</v>
      </c>
      <c r="L89" s="184">
        <f t="shared" si="12"/>
        <v>3.2608695652173912E-2</v>
      </c>
      <c r="M89" s="183">
        <v>1910</v>
      </c>
      <c r="N89" s="227">
        <f t="shared" si="13"/>
        <v>3.8043478260869568E-2</v>
      </c>
      <c r="O89" s="184">
        <f t="shared" si="14"/>
        <v>2.4128686327077747E-2</v>
      </c>
      <c r="P89" s="233" t="s">
        <v>4946</v>
      </c>
      <c r="Q89" s="183" t="s">
        <v>4698</v>
      </c>
      <c r="R89" s="183"/>
      <c r="S89" s="183" t="s">
        <v>4643</v>
      </c>
      <c r="T89" s="183"/>
    </row>
    <row r="90" spans="1:20" ht="27">
      <c r="A90" s="187" t="s">
        <v>4947</v>
      </c>
      <c r="B90" s="187" t="s">
        <v>4646</v>
      </c>
      <c r="C90" s="187" t="s">
        <v>90</v>
      </c>
      <c r="D90" s="187" t="s">
        <v>4818</v>
      </c>
      <c r="E90" s="187" t="s">
        <v>4948</v>
      </c>
      <c r="F90" s="187" t="s">
        <v>4949</v>
      </c>
      <c r="G90" s="187">
        <v>1345</v>
      </c>
      <c r="H90" s="187">
        <v>1125</v>
      </c>
      <c r="I90" s="187">
        <v>1200</v>
      </c>
      <c r="J90" s="189">
        <f t="shared" si="10"/>
        <v>6.6666666666666666E-2</v>
      </c>
      <c r="K90" s="187">
        <v>1150</v>
      </c>
      <c r="L90" s="189">
        <f t="shared" si="12"/>
        <v>2.2222222222222223E-2</v>
      </c>
      <c r="M90" s="187">
        <v>1185</v>
      </c>
      <c r="N90" s="226">
        <f t="shared" si="13"/>
        <v>5.3333333333333337E-2</v>
      </c>
      <c r="O90" s="189">
        <f t="shared" si="14"/>
        <v>-0.11895910780669144</v>
      </c>
      <c r="P90" s="292" t="s">
        <v>4950</v>
      </c>
      <c r="Q90" s="187"/>
      <c r="R90" s="187"/>
      <c r="S90" s="187" t="s">
        <v>4643</v>
      </c>
      <c r="T90" s="187"/>
    </row>
    <row r="91" spans="1:20" ht="27">
      <c r="A91" s="183" t="s">
        <v>4947</v>
      </c>
      <c r="B91" s="183" t="s">
        <v>4848</v>
      </c>
      <c r="C91" s="183" t="s">
        <v>1614</v>
      </c>
      <c r="D91" s="183" t="s">
        <v>4695</v>
      </c>
      <c r="E91" s="183" t="s">
        <v>4951</v>
      </c>
      <c r="F91" s="183">
        <v>3</v>
      </c>
      <c r="G91" s="183">
        <v>1845</v>
      </c>
      <c r="H91" s="183">
        <v>1710</v>
      </c>
      <c r="I91" s="183">
        <v>1815</v>
      </c>
      <c r="J91" s="184">
        <f t="shared" si="10"/>
        <v>6.1403508771929821E-2</v>
      </c>
      <c r="K91" s="183">
        <v>1750</v>
      </c>
      <c r="L91" s="184">
        <f t="shared" si="12"/>
        <v>2.3391812865497075E-2</v>
      </c>
      <c r="M91" s="183">
        <v>1790</v>
      </c>
      <c r="N91" s="184">
        <f t="shared" si="13"/>
        <v>4.6783625730994149E-2</v>
      </c>
      <c r="O91" s="184">
        <f t="shared" si="14"/>
        <v>-2.9810298102981029E-2</v>
      </c>
      <c r="P91" s="233" t="s">
        <v>4895</v>
      </c>
      <c r="Q91" s="183" t="s">
        <v>4687</v>
      </c>
      <c r="R91" s="183" t="s">
        <v>4688</v>
      </c>
      <c r="S91" s="187" t="s">
        <v>4643</v>
      </c>
      <c r="T91" s="183"/>
    </row>
    <row r="92" spans="1:20" ht="27">
      <c r="A92" s="183" t="s">
        <v>4952</v>
      </c>
      <c r="B92" s="183" t="s">
        <v>4848</v>
      </c>
      <c r="C92" s="183" t="s">
        <v>4953</v>
      </c>
      <c r="D92" s="183" t="s">
        <v>4954</v>
      </c>
      <c r="E92" s="183" t="s">
        <v>4955</v>
      </c>
      <c r="F92" s="183">
        <v>2</v>
      </c>
      <c r="G92" s="184">
        <f>-O89</f>
        <v>-2.4128686327077747E-2</v>
      </c>
      <c r="H92" s="183">
        <v>1325</v>
      </c>
      <c r="I92" s="183">
        <v>1450</v>
      </c>
      <c r="J92" s="184">
        <f t="shared" si="10"/>
        <v>9.4339622641509441E-2</v>
      </c>
      <c r="K92" s="183">
        <v>1400</v>
      </c>
      <c r="L92" s="184">
        <f t="shared" si="12"/>
        <v>5.6603773584905662E-2</v>
      </c>
      <c r="M92" s="183">
        <v>1400</v>
      </c>
      <c r="N92" s="184">
        <f t="shared" si="13"/>
        <v>5.6603773584905662E-2</v>
      </c>
      <c r="O92" s="184"/>
      <c r="P92" s="233" t="s">
        <v>4956</v>
      </c>
      <c r="Q92" s="185">
        <v>1425</v>
      </c>
      <c r="R92" s="183" t="s">
        <v>4957</v>
      </c>
      <c r="S92" s="191" t="s">
        <v>4643</v>
      </c>
      <c r="T92" s="183"/>
    </row>
    <row r="93" spans="1:20">
      <c r="A93" s="183" t="s">
        <v>4952</v>
      </c>
      <c r="B93" s="183" t="s">
        <v>4848</v>
      </c>
      <c r="C93" s="183" t="s">
        <v>4953</v>
      </c>
      <c r="D93" s="183" t="s">
        <v>4704</v>
      </c>
      <c r="E93" s="183" t="s">
        <v>4958</v>
      </c>
      <c r="F93" s="183">
        <v>2</v>
      </c>
      <c r="G93" s="183">
        <v>1420</v>
      </c>
      <c r="H93" s="183">
        <v>1420</v>
      </c>
      <c r="I93" s="183">
        <v>1575</v>
      </c>
      <c r="J93" s="184">
        <f t="shared" si="10"/>
        <v>0.10915492957746478</v>
      </c>
      <c r="K93" s="183">
        <v>1500</v>
      </c>
      <c r="L93" s="184">
        <f t="shared" si="12"/>
        <v>5.6338028169014086E-2</v>
      </c>
      <c r="M93" s="183">
        <v>1500</v>
      </c>
      <c r="N93" s="184">
        <f t="shared" si="13"/>
        <v>5.6338028169014086E-2</v>
      </c>
      <c r="O93" s="184">
        <f t="shared" ref="O93:O109" si="15">SUM(M93-G93)/G93</f>
        <v>5.6338028169014086E-2</v>
      </c>
      <c r="P93" s="233" t="s">
        <v>4959</v>
      </c>
      <c r="Q93" s="183" t="s">
        <v>4672</v>
      </c>
      <c r="R93" s="185">
        <v>1500</v>
      </c>
      <c r="S93" s="191" t="s">
        <v>4643</v>
      </c>
      <c r="T93" s="183"/>
    </row>
    <row r="94" spans="1:20" ht="40.5">
      <c r="A94" s="183" t="s">
        <v>4960</v>
      </c>
      <c r="B94" s="183" t="s">
        <v>4646</v>
      </c>
      <c r="C94" s="183" t="s">
        <v>90</v>
      </c>
      <c r="D94" s="183" t="s">
        <v>879</v>
      </c>
      <c r="E94" s="183" t="s">
        <v>4961</v>
      </c>
      <c r="F94" s="183">
        <v>1</v>
      </c>
      <c r="G94" s="183">
        <v>2300</v>
      </c>
      <c r="H94" s="183">
        <v>2300</v>
      </c>
      <c r="I94" s="183">
        <v>2450</v>
      </c>
      <c r="J94" s="189">
        <f t="shared" si="10"/>
        <v>6.5217391304347824E-2</v>
      </c>
      <c r="K94" s="183">
        <v>2300</v>
      </c>
      <c r="L94" s="189">
        <f t="shared" si="12"/>
        <v>0</v>
      </c>
      <c r="M94" s="183">
        <v>2350</v>
      </c>
      <c r="N94" s="226">
        <f t="shared" si="13"/>
        <v>2.1739130434782608E-2</v>
      </c>
      <c r="O94" s="189">
        <f t="shared" si="15"/>
        <v>2.1739130434782608E-2</v>
      </c>
      <c r="P94" s="233" t="s">
        <v>4962</v>
      </c>
      <c r="Q94" s="183" t="s">
        <v>4687</v>
      </c>
      <c r="R94" s="183" t="s">
        <v>4963</v>
      </c>
      <c r="S94" s="183" t="s">
        <v>4643</v>
      </c>
      <c r="T94" s="183"/>
    </row>
    <row r="95" spans="1:20" ht="108">
      <c r="A95" s="183" t="s">
        <v>4960</v>
      </c>
      <c r="B95" s="183" t="s">
        <v>4720</v>
      </c>
      <c r="C95" s="183" t="s">
        <v>90</v>
      </c>
      <c r="D95" s="183" t="s">
        <v>210</v>
      </c>
      <c r="E95" s="183" t="s">
        <v>4964</v>
      </c>
      <c r="F95" s="183">
        <v>1</v>
      </c>
      <c r="G95" s="183">
        <v>1933</v>
      </c>
      <c r="H95" s="183">
        <v>1945</v>
      </c>
      <c r="I95" s="183">
        <v>1970</v>
      </c>
      <c r="J95" s="189">
        <f t="shared" si="10"/>
        <v>1.2853470437017995E-2</v>
      </c>
      <c r="K95" s="183">
        <v>1935</v>
      </c>
      <c r="L95" s="189">
        <f t="shared" si="12"/>
        <v>-5.1413881748071976E-3</v>
      </c>
      <c r="M95" s="183">
        <v>1955</v>
      </c>
      <c r="N95" s="226">
        <f t="shared" si="13"/>
        <v>5.1413881748071976E-3</v>
      </c>
      <c r="O95" s="189">
        <f t="shared" si="15"/>
        <v>1.1381272633212623E-2</v>
      </c>
      <c r="P95" s="233" t="s">
        <v>4965</v>
      </c>
      <c r="Q95" s="183" t="s">
        <v>4966</v>
      </c>
      <c r="R95" s="183" t="s">
        <v>4967</v>
      </c>
      <c r="S95" s="183" t="s">
        <v>4643</v>
      </c>
      <c r="T95" s="183"/>
    </row>
    <row r="96" spans="1:20">
      <c r="A96" s="183" t="s">
        <v>4960</v>
      </c>
      <c r="B96" s="183" t="s">
        <v>4848</v>
      </c>
      <c r="C96" s="183" t="s">
        <v>1614</v>
      </c>
      <c r="D96" s="183" t="s">
        <v>4695</v>
      </c>
      <c r="E96" s="183" t="s">
        <v>4968</v>
      </c>
      <c r="F96" s="183">
        <v>2</v>
      </c>
      <c r="G96" s="183">
        <v>1360</v>
      </c>
      <c r="H96" s="183">
        <v>1315</v>
      </c>
      <c r="I96" s="183">
        <v>1395</v>
      </c>
      <c r="J96" s="189">
        <f t="shared" si="10"/>
        <v>6.0836501901140684E-2</v>
      </c>
      <c r="K96" s="183">
        <v>1325</v>
      </c>
      <c r="L96" s="189">
        <f t="shared" si="12"/>
        <v>7.6045627376425855E-3</v>
      </c>
      <c r="M96" s="183">
        <v>1365</v>
      </c>
      <c r="N96" s="226">
        <f t="shared" si="13"/>
        <v>3.8022813688212927E-2</v>
      </c>
      <c r="O96" s="189">
        <f t="shared" si="15"/>
        <v>3.6764705882352941E-3</v>
      </c>
      <c r="P96" s="233" t="s">
        <v>4969</v>
      </c>
      <c r="Q96" s="185">
        <v>1365</v>
      </c>
      <c r="R96" s="183" t="s">
        <v>4957</v>
      </c>
      <c r="S96" s="191" t="s">
        <v>4643</v>
      </c>
      <c r="T96" s="183"/>
    </row>
    <row r="97" spans="1:20" ht="27">
      <c r="A97" s="187" t="s">
        <v>4960</v>
      </c>
      <c r="B97" s="187" t="s">
        <v>4848</v>
      </c>
      <c r="C97" s="187" t="s">
        <v>1614</v>
      </c>
      <c r="D97" s="187" t="s">
        <v>4970</v>
      </c>
      <c r="E97" s="187" t="s">
        <v>4971</v>
      </c>
      <c r="F97" s="187">
        <v>2</v>
      </c>
      <c r="G97" s="187"/>
      <c r="H97" s="187">
        <v>1385</v>
      </c>
      <c r="I97" s="187">
        <v>1440</v>
      </c>
      <c r="J97" s="189">
        <f t="shared" si="10"/>
        <v>3.9711191335740074E-2</v>
      </c>
      <c r="K97" s="187"/>
      <c r="L97" s="189">
        <f t="shared" si="12"/>
        <v>-1</v>
      </c>
      <c r="M97" s="187">
        <v>1420</v>
      </c>
      <c r="N97" s="226">
        <f t="shared" si="13"/>
        <v>2.5270758122743681E-2</v>
      </c>
      <c r="O97" s="189" t="e">
        <f t="shared" si="15"/>
        <v>#DIV/0!</v>
      </c>
      <c r="P97" s="292" t="s">
        <v>4972</v>
      </c>
      <c r="Q97" s="190">
        <v>1425</v>
      </c>
      <c r="R97" s="187" t="s">
        <v>4957</v>
      </c>
      <c r="S97" s="191" t="s">
        <v>4643</v>
      </c>
      <c r="T97" s="187"/>
    </row>
    <row r="98" spans="1:20">
      <c r="A98" s="183" t="s">
        <v>4960</v>
      </c>
      <c r="B98" s="183" t="s">
        <v>4848</v>
      </c>
      <c r="C98" s="183" t="s">
        <v>1614</v>
      </c>
      <c r="D98" s="183" t="s">
        <v>4669</v>
      </c>
      <c r="E98" s="183" t="s">
        <v>4973</v>
      </c>
      <c r="F98" s="183">
        <v>1</v>
      </c>
      <c r="G98" s="183"/>
      <c r="H98" s="183">
        <v>715</v>
      </c>
      <c r="I98" s="183">
        <v>775</v>
      </c>
      <c r="J98" s="184">
        <f t="shared" ref="J98:J126" si="16">SUM(I98-H98)/H98</f>
        <v>8.3916083916083919E-2</v>
      </c>
      <c r="K98" s="183">
        <v>750</v>
      </c>
      <c r="L98" s="184">
        <f t="shared" si="12"/>
        <v>4.8951048951048952E-2</v>
      </c>
      <c r="M98" s="183">
        <v>765</v>
      </c>
      <c r="N98" s="227">
        <f t="shared" si="13"/>
        <v>6.9930069930069935E-2</v>
      </c>
      <c r="O98" s="184" t="e">
        <f t="shared" si="15"/>
        <v>#DIV/0!</v>
      </c>
      <c r="P98" s="233" t="s">
        <v>4974</v>
      </c>
      <c r="Q98" s="183" t="s">
        <v>4687</v>
      </c>
      <c r="R98" s="183" t="s">
        <v>4688</v>
      </c>
      <c r="S98" s="191" t="s">
        <v>4643</v>
      </c>
      <c r="T98" s="183"/>
    </row>
    <row r="99" spans="1:20" ht="27">
      <c r="A99" s="183" t="s">
        <v>4975</v>
      </c>
      <c r="B99" s="183" t="s">
        <v>4646</v>
      </c>
      <c r="C99" s="183" t="s">
        <v>90</v>
      </c>
      <c r="D99" s="183" t="s">
        <v>4976</v>
      </c>
      <c r="E99" s="183" t="s">
        <v>4977</v>
      </c>
      <c r="F99" s="183" t="s">
        <v>4820</v>
      </c>
      <c r="G99" s="183">
        <v>980</v>
      </c>
      <c r="H99" s="183">
        <v>900</v>
      </c>
      <c r="I99" s="183">
        <v>1000</v>
      </c>
      <c r="J99" s="184">
        <f t="shared" si="16"/>
        <v>0.1111111111111111</v>
      </c>
      <c r="K99" s="183">
        <v>925</v>
      </c>
      <c r="L99" s="184">
        <f t="shared" si="12"/>
        <v>2.7777777777777776E-2</v>
      </c>
      <c r="M99" s="183">
        <v>950</v>
      </c>
      <c r="N99" s="227">
        <f t="shared" si="13"/>
        <v>5.5555555555555552E-2</v>
      </c>
      <c r="O99" s="184">
        <f t="shared" si="15"/>
        <v>-3.0612244897959183E-2</v>
      </c>
      <c r="P99" s="233" t="s">
        <v>4978</v>
      </c>
      <c r="Q99" s="183" t="s">
        <v>4698</v>
      </c>
      <c r="R99" s="183" t="s">
        <v>4979</v>
      </c>
      <c r="S99" s="183" t="s">
        <v>4643</v>
      </c>
      <c r="T99" s="183"/>
    </row>
    <row r="100" spans="1:20" ht="27">
      <c r="A100" s="210">
        <v>45451</v>
      </c>
      <c r="B100" s="183" t="s">
        <v>4848</v>
      </c>
      <c r="C100" s="183" t="s">
        <v>852</v>
      </c>
      <c r="D100" s="183" t="s">
        <v>973</v>
      </c>
      <c r="E100" s="183" t="s">
        <v>4980</v>
      </c>
      <c r="F100" s="183">
        <v>1</v>
      </c>
      <c r="G100" s="183">
        <v>1512</v>
      </c>
      <c r="H100" s="183">
        <v>1268</v>
      </c>
      <c r="I100" s="183">
        <v>1535</v>
      </c>
      <c r="J100" s="184">
        <f t="shared" si="16"/>
        <v>0.21056782334384858</v>
      </c>
      <c r="K100" s="183">
        <v>1335</v>
      </c>
      <c r="L100" s="184">
        <f t="shared" si="12"/>
        <v>5.28391167192429E-2</v>
      </c>
      <c r="M100" s="183">
        <v>1450</v>
      </c>
      <c r="N100" s="227">
        <f t="shared" si="13"/>
        <v>0.14353312302839116</v>
      </c>
      <c r="O100" s="256">
        <f t="shared" si="15"/>
        <v>-4.1005291005291003E-2</v>
      </c>
      <c r="P100" s="233" t="s">
        <v>4981</v>
      </c>
      <c r="Q100" s="185">
        <v>1515</v>
      </c>
      <c r="R100" s="244" t="s">
        <v>4982</v>
      </c>
      <c r="S100" s="183" t="s">
        <v>4808</v>
      </c>
      <c r="T100" s="162"/>
    </row>
    <row r="101" spans="1:20" ht="27">
      <c r="A101" s="187" t="s">
        <v>4975</v>
      </c>
      <c r="B101" s="187" t="s">
        <v>4720</v>
      </c>
      <c r="C101" s="187" t="s">
        <v>90</v>
      </c>
      <c r="D101" s="187" t="s">
        <v>1079</v>
      </c>
      <c r="E101" s="187" t="s">
        <v>4983</v>
      </c>
      <c r="F101" s="187">
        <v>1</v>
      </c>
      <c r="G101" s="187">
        <v>1975</v>
      </c>
      <c r="H101" s="187">
        <v>1925</v>
      </c>
      <c r="I101" s="187">
        <v>2015</v>
      </c>
      <c r="J101" s="189">
        <f t="shared" si="16"/>
        <v>4.6753246753246755E-2</v>
      </c>
      <c r="K101" s="187">
        <v>1950</v>
      </c>
      <c r="L101" s="189">
        <f t="shared" si="12"/>
        <v>1.2987012987012988E-2</v>
      </c>
      <c r="M101" s="187">
        <v>1975</v>
      </c>
      <c r="N101" s="226">
        <f t="shared" si="13"/>
        <v>2.5974025974025976E-2</v>
      </c>
      <c r="O101" s="189">
        <f t="shared" si="15"/>
        <v>0</v>
      </c>
      <c r="P101" s="292"/>
      <c r="Q101" s="187" t="s">
        <v>4984</v>
      </c>
      <c r="R101" s="187" t="s">
        <v>4985</v>
      </c>
      <c r="S101" s="187" t="s">
        <v>4643</v>
      </c>
      <c r="T101" s="187"/>
    </row>
    <row r="102" spans="1:20" ht="94.5">
      <c r="A102" s="183" t="s">
        <v>4986</v>
      </c>
      <c r="B102" s="183" t="s">
        <v>4720</v>
      </c>
      <c r="C102" s="183" t="s">
        <v>90</v>
      </c>
      <c r="D102" s="183" t="s">
        <v>1122</v>
      </c>
      <c r="E102" s="183" t="s">
        <v>4987</v>
      </c>
      <c r="F102" s="183">
        <v>3</v>
      </c>
      <c r="G102" s="183">
        <v>3325</v>
      </c>
      <c r="H102" s="183">
        <v>3080</v>
      </c>
      <c r="I102" s="183">
        <v>3300</v>
      </c>
      <c r="J102" s="184">
        <f t="shared" si="16"/>
        <v>7.1428571428571425E-2</v>
      </c>
      <c r="K102" s="183">
        <v>3150</v>
      </c>
      <c r="L102" s="184">
        <f t="shared" si="12"/>
        <v>2.2727272727272728E-2</v>
      </c>
      <c r="M102" s="183">
        <v>3275</v>
      </c>
      <c r="N102" s="227">
        <f t="shared" si="13"/>
        <v>6.3311688311688305E-2</v>
      </c>
      <c r="O102" s="184">
        <f t="shared" si="15"/>
        <v>-1.5037593984962405E-2</v>
      </c>
      <c r="P102" s="233"/>
      <c r="Q102" s="247" t="s">
        <v>4988</v>
      </c>
      <c r="R102" s="183"/>
      <c r="S102" s="183" t="s">
        <v>4643</v>
      </c>
      <c r="T102" s="183"/>
    </row>
    <row r="103" spans="1:20" ht="27">
      <c r="A103" s="240" t="s">
        <v>4986</v>
      </c>
      <c r="B103" s="240" t="s">
        <v>4720</v>
      </c>
      <c r="C103" s="240" t="s">
        <v>90</v>
      </c>
      <c r="D103" s="240" t="s">
        <v>210</v>
      </c>
      <c r="E103" s="240" t="s">
        <v>4989</v>
      </c>
      <c r="F103" s="240">
        <v>3</v>
      </c>
      <c r="G103" s="240"/>
      <c r="H103" s="240">
        <v>3250</v>
      </c>
      <c r="I103" s="240">
        <v>3385</v>
      </c>
      <c r="J103" s="241">
        <f t="shared" si="16"/>
        <v>4.1538461538461538E-2</v>
      </c>
      <c r="K103" s="240">
        <v>2800</v>
      </c>
      <c r="L103" s="241">
        <f t="shared" si="12"/>
        <v>-0.13846153846153847</v>
      </c>
      <c r="M103" s="240">
        <v>3275</v>
      </c>
      <c r="N103" s="242">
        <f t="shared" si="13"/>
        <v>7.6923076923076927E-3</v>
      </c>
      <c r="O103" s="241" t="e">
        <f t="shared" si="15"/>
        <v>#DIV/0!</v>
      </c>
      <c r="P103" s="300" t="s">
        <v>4990</v>
      </c>
      <c r="Q103" s="240" t="s">
        <v>4672</v>
      </c>
      <c r="R103" s="240" t="s">
        <v>4991</v>
      </c>
      <c r="S103" s="240" t="s">
        <v>4643</v>
      </c>
      <c r="T103" s="201"/>
    </row>
    <row r="104" spans="1:20" ht="27">
      <c r="A104" s="187" t="s">
        <v>4986</v>
      </c>
      <c r="B104" s="187" t="s">
        <v>4646</v>
      </c>
      <c r="C104" s="187" t="s">
        <v>90</v>
      </c>
      <c r="D104" s="187" t="s">
        <v>322</v>
      </c>
      <c r="E104" s="187" t="s">
        <v>4992</v>
      </c>
      <c r="F104" s="187">
        <v>2</v>
      </c>
      <c r="G104" s="187">
        <v>2820</v>
      </c>
      <c r="H104" s="187">
        <v>2910</v>
      </c>
      <c r="I104" s="187">
        <v>2950</v>
      </c>
      <c r="J104" s="189">
        <f t="shared" si="16"/>
        <v>1.3745704467353952E-2</v>
      </c>
      <c r="K104" s="187">
        <v>2700</v>
      </c>
      <c r="L104" s="189">
        <f t="shared" si="12"/>
        <v>-7.2164948453608241E-2</v>
      </c>
      <c r="M104" s="187">
        <v>2910</v>
      </c>
      <c r="N104" s="226">
        <f t="shared" si="13"/>
        <v>0</v>
      </c>
      <c r="O104" s="189">
        <f t="shared" si="15"/>
        <v>3.1914893617021274E-2</v>
      </c>
      <c r="P104" s="292" t="s">
        <v>4993</v>
      </c>
      <c r="Q104" s="187" t="s">
        <v>4687</v>
      </c>
      <c r="R104" s="187" t="s">
        <v>4994</v>
      </c>
      <c r="S104" s="187" t="s">
        <v>4643</v>
      </c>
      <c r="T104" s="235"/>
    </row>
    <row r="105" spans="1:20" ht="40.5">
      <c r="A105" s="178" t="s">
        <v>4986</v>
      </c>
      <c r="B105" s="178" t="s">
        <v>4646</v>
      </c>
      <c r="C105" s="178" t="s">
        <v>90</v>
      </c>
      <c r="D105" s="178" t="s">
        <v>4995</v>
      </c>
      <c r="E105" s="178" t="s">
        <v>4996</v>
      </c>
      <c r="F105" s="178">
        <v>3</v>
      </c>
      <c r="G105" s="178">
        <v>2835</v>
      </c>
      <c r="H105" s="178">
        <v>2835</v>
      </c>
      <c r="I105" s="178">
        <v>3050</v>
      </c>
      <c r="J105" s="219">
        <f t="shared" si="16"/>
        <v>7.5837742504409167E-2</v>
      </c>
      <c r="K105" s="178">
        <v>2850</v>
      </c>
      <c r="L105" s="219">
        <f t="shared" si="12"/>
        <v>5.2910052910052907E-3</v>
      </c>
      <c r="M105" s="178">
        <v>2900</v>
      </c>
      <c r="N105" s="228">
        <f t="shared" si="13"/>
        <v>2.292768959435626E-2</v>
      </c>
      <c r="O105" s="219">
        <f t="shared" si="15"/>
        <v>2.292768959435626E-2</v>
      </c>
      <c r="P105" s="301" t="s">
        <v>4997</v>
      </c>
      <c r="Q105" s="178"/>
      <c r="R105" s="178" t="s">
        <v>4998</v>
      </c>
      <c r="S105" s="178"/>
      <c r="T105" s="178"/>
    </row>
    <row r="106" spans="1:20" ht="40.5">
      <c r="A106" s="183" t="s">
        <v>4999</v>
      </c>
      <c r="B106" s="183" t="s">
        <v>4720</v>
      </c>
      <c r="C106" s="183" t="s">
        <v>90</v>
      </c>
      <c r="D106" s="183" t="s">
        <v>210</v>
      </c>
      <c r="E106" s="183" t="s">
        <v>5000</v>
      </c>
      <c r="F106" s="183">
        <v>2</v>
      </c>
      <c r="G106" s="183">
        <v>2366</v>
      </c>
      <c r="H106" s="183">
        <v>2260</v>
      </c>
      <c r="I106" s="183">
        <v>2350</v>
      </c>
      <c r="J106" s="184">
        <f t="shared" si="16"/>
        <v>3.9823008849557522E-2</v>
      </c>
      <c r="K106" s="183">
        <v>2300</v>
      </c>
      <c r="L106" s="184">
        <f t="shared" si="12"/>
        <v>1.7699115044247787E-2</v>
      </c>
      <c r="M106" s="183">
        <v>2325</v>
      </c>
      <c r="N106" s="227">
        <f t="shared" si="13"/>
        <v>2.8761061946902654E-2</v>
      </c>
      <c r="O106" s="184">
        <f t="shared" si="15"/>
        <v>-1.7328825021132713E-2</v>
      </c>
      <c r="P106" s="233" t="s">
        <v>5001</v>
      </c>
      <c r="Q106" s="183" t="s">
        <v>5002</v>
      </c>
      <c r="R106" s="183"/>
      <c r="S106" s="183" t="s">
        <v>4643</v>
      </c>
      <c r="T106" s="183"/>
    </row>
    <row r="107" spans="1:20" ht="27">
      <c r="A107" s="201" t="s">
        <v>5003</v>
      </c>
      <c r="B107" s="201" t="s">
        <v>4652</v>
      </c>
      <c r="C107" s="201" t="s">
        <v>1614</v>
      </c>
      <c r="D107" s="201" t="s">
        <v>4776</v>
      </c>
      <c r="E107" s="201" t="s">
        <v>5004</v>
      </c>
      <c r="F107" s="201">
        <v>2</v>
      </c>
      <c r="G107" s="201">
        <v>1440</v>
      </c>
      <c r="H107" s="201">
        <v>1390</v>
      </c>
      <c r="I107" s="201">
        <v>1450</v>
      </c>
      <c r="J107" s="241">
        <f t="shared" si="16"/>
        <v>4.3165467625899283E-2</v>
      </c>
      <c r="K107" s="201">
        <v>1405</v>
      </c>
      <c r="L107" s="241">
        <f t="shared" si="12"/>
        <v>1.0791366906474821E-2</v>
      </c>
      <c r="M107" s="201">
        <v>1405</v>
      </c>
      <c r="N107" s="242">
        <f t="shared" si="13"/>
        <v>1.0791366906474821E-2</v>
      </c>
      <c r="O107" s="202">
        <f t="shared" si="15"/>
        <v>-2.4305555555555556E-2</v>
      </c>
      <c r="P107" s="295" t="s">
        <v>5005</v>
      </c>
      <c r="Q107" s="201" t="s">
        <v>4672</v>
      </c>
      <c r="R107" s="203">
        <v>1405</v>
      </c>
      <c r="S107" s="246" t="s">
        <v>4643</v>
      </c>
      <c r="T107" s="201"/>
    </row>
    <row r="108" spans="1:20">
      <c r="A108" s="187" t="s">
        <v>5006</v>
      </c>
      <c r="B108" s="187" t="s">
        <v>4652</v>
      </c>
      <c r="C108" s="187" t="s">
        <v>852</v>
      </c>
      <c r="D108" s="187" t="s">
        <v>4861</v>
      </c>
      <c r="E108" s="187" t="s">
        <v>5007</v>
      </c>
      <c r="F108" s="187">
        <v>1</v>
      </c>
      <c r="G108" s="187">
        <v>1356</v>
      </c>
      <c r="H108" s="187">
        <v>1270</v>
      </c>
      <c r="I108" s="187">
        <v>1405</v>
      </c>
      <c r="J108" s="189">
        <f t="shared" si="16"/>
        <v>0.1062992125984252</v>
      </c>
      <c r="K108" s="187">
        <v>1340</v>
      </c>
      <c r="L108" s="189">
        <f t="shared" ref="L108:L126" si="17">SUM(K108-H108)/H108</f>
        <v>5.5118110236220472E-2</v>
      </c>
      <c r="M108" s="187">
        <v>1355</v>
      </c>
      <c r="N108" s="226">
        <f t="shared" si="13"/>
        <v>6.6929133858267723E-2</v>
      </c>
      <c r="O108" s="189">
        <f t="shared" si="15"/>
        <v>-7.3746312684365781E-4</v>
      </c>
      <c r="P108" s="292" t="s">
        <v>5008</v>
      </c>
      <c r="Q108" s="190">
        <v>1375</v>
      </c>
      <c r="R108" s="187" t="s">
        <v>4957</v>
      </c>
      <c r="S108" s="187"/>
      <c r="T108" s="187"/>
    </row>
    <row r="109" spans="1:20" ht="40.5">
      <c r="A109" s="183" t="s">
        <v>5006</v>
      </c>
      <c r="B109" s="183" t="s">
        <v>4646</v>
      </c>
      <c r="C109" s="183" t="s">
        <v>90</v>
      </c>
      <c r="D109" s="183" t="s">
        <v>1140</v>
      </c>
      <c r="E109" s="183" t="s">
        <v>5009</v>
      </c>
      <c r="F109" s="183">
        <v>2</v>
      </c>
      <c r="G109" s="183">
        <v>2674</v>
      </c>
      <c r="H109" s="183">
        <v>2600</v>
      </c>
      <c r="I109" s="183">
        <v>2775</v>
      </c>
      <c r="J109" s="184">
        <f t="shared" si="16"/>
        <v>6.7307692307692304E-2</v>
      </c>
      <c r="K109" s="183">
        <v>2620</v>
      </c>
      <c r="L109" s="184">
        <f t="shared" si="17"/>
        <v>7.6923076923076927E-3</v>
      </c>
      <c r="M109" s="183">
        <v>2700</v>
      </c>
      <c r="N109" s="227">
        <f t="shared" si="13"/>
        <v>3.8461538461538464E-2</v>
      </c>
      <c r="O109" s="184">
        <f t="shared" si="15"/>
        <v>9.7232610321615551E-3</v>
      </c>
      <c r="P109" s="233"/>
      <c r="Q109" s="183"/>
      <c r="R109" s="183" t="s">
        <v>5010</v>
      </c>
      <c r="S109" s="183" t="s">
        <v>4643</v>
      </c>
      <c r="T109" s="183"/>
    </row>
    <row r="110" spans="1:20" ht="27">
      <c r="A110" s="240" t="s">
        <v>5011</v>
      </c>
      <c r="B110" s="240" t="s">
        <v>4652</v>
      </c>
      <c r="C110" s="240" t="s">
        <v>5012</v>
      </c>
      <c r="D110" s="240" t="s">
        <v>5013</v>
      </c>
      <c r="E110" s="240" t="s">
        <v>5014</v>
      </c>
      <c r="F110" s="240">
        <v>2</v>
      </c>
      <c r="G110" s="240"/>
      <c r="H110" s="240">
        <v>1300</v>
      </c>
      <c r="I110" s="240">
        <v>1410</v>
      </c>
      <c r="J110" s="241">
        <f t="shared" si="16"/>
        <v>8.461538461538462E-2</v>
      </c>
      <c r="K110" s="240">
        <v>1365</v>
      </c>
      <c r="L110" s="241">
        <f t="shared" si="17"/>
        <v>0.05</v>
      </c>
      <c r="M110" s="240">
        <v>1365</v>
      </c>
      <c r="N110" s="242">
        <f t="shared" si="13"/>
        <v>0.05</v>
      </c>
      <c r="O110" s="241"/>
      <c r="P110" s="300" t="s">
        <v>5015</v>
      </c>
      <c r="Q110" s="243">
        <v>1365</v>
      </c>
      <c r="R110" s="240" t="s">
        <v>4957</v>
      </c>
      <c r="S110" s="246" t="s">
        <v>4643</v>
      </c>
      <c r="T110" s="240"/>
    </row>
    <row r="111" spans="1:20">
      <c r="A111" s="183"/>
      <c r="B111" s="183" t="s">
        <v>4764</v>
      </c>
      <c r="C111" s="183" t="s">
        <v>5016</v>
      </c>
      <c r="D111" s="183" t="s">
        <v>4861</v>
      </c>
      <c r="E111" s="183" t="s">
        <v>5017</v>
      </c>
      <c r="F111" s="183">
        <v>1</v>
      </c>
      <c r="G111" s="183">
        <v>1361</v>
      </c>
      <c r="H111" s="183">
        <v>1310</v>
      </c>
      <c r="I111" s="183">
        <v>1405</v>
      </c>
      <c r="J111" s="184">
        <f t="shared" si="16"/>
        <v>7.2519083969465645E-2</v>
      </c>
      <c r="K111" s="183">
        <v>1350</v>
      </c>
      <c r="L111" s="184">
        <f t="shared" si="17"/>
        <v>3.0534351145038167E-2</v>
      </c>
      <c r="M111" s="183">
        <v>1380</v>
      </c>
      <c r="N111" s="227">
        <f t="shared" si="13"/>
        <v>5.3435114503816793E-2</v>
      </c>
      <c r="O111" s="184"/>
      <c r="P111" s="233" t="s">
        <v>5018</v>
      </c>
      <c r="Q111" s="183" t="s">
        <v>4672</v>
      </c>
      <c r="R111" s="185">
        <v>1380</v>
      </c>
      <c r="S111" s="183" t="s">
        <v>4808</v>
      </c>
      <c r="T111" s="162"/>
    </row>
    <row r="112" spans="1:20">
      <c r="A112" s="178" t="s">
        <v>5019</v>
      </c>
      <c r="B112" s="178" t="s">
        <v>4764</v>
      </c>
      <c r="C112" s="178" t="s">
        <v>4765</v>
      </c>
      <c r="D112" s="178" t="s">
        <v>5020</v>
      </c>
      <c r="E112" s="178" t="s">
        <v>5021</v>
      </c>
      <c r="F112" s="178">
        <v>1</v>
      </c>
      <c r="G112" s="178">
        <v>1404</v>
      </c>
      <c r="H112" s="178">
        <v>1300</v>
      </c>
      <c r="I112" s="178">
        <v>1440</v>
      </c>
      <c r="J112" s="219">
        <f t="shared" si="16"/>
        <v>0.1076923076923077</v>
      </c>
      <c r="K112" s="178">
        <v>1350</v>
      </c>
      <c r="L112" s="219">
        <f t="shared" si="17"/>
        <v>3.8461538461538464E-2</v>
      </c>
      <c r="M112" s="178">
        <v>1390</v>
      </c>
      <c r="N112" s="228">
        <f t="shared" ref="N112:N126" si="18">SUM(M112-H112)/H112</f>
        <v>6.9230769230769235E-2</v>
      </c>
      <c r="O112" s="219">
        <f t="shared" ref="O112:O126" si="19">SUM(M112-G112)/G112</f>
        <v>-9.9715099715099714E-3</v>
      </c>
      <c r="P112" s="301" t="s">
        <v>5022</v>
      </c>
      <c r="Q112" s="236">
        <v>1405</v>
      </c>
      <c r="R112" s="178" t="s">
        <v>4957</v>
      </c>
      <c r="S112" s="178"/>
      <c r="T112" s="178"/>
    </row>
    <row r="113" spans="1:20" ht="40.5">
      <c r="A113" s="187" t="s">
        <v>5023</v>
      </c>
      <c r="B113" s="187" t="s">
        <v>4646</v>
      </c>
      <c r="C113" s="187" t="s">
        <v>90</v>
      </c>
      <c r="D113" s="187" t="s">
        <v>411</v>
      </c>
      <c r="E113" s="187" t="s">
        <v>5024</v>
      </c>
      <c r="F113" s="187">
        <v>2</v>
      </c>
      <c r="G113" s="187">
        <v>2427</v>
      </c>
      <c r="H113" s="187">
        <v>2350</v>
      </c>
      <c r="I113" s="187">
        <v>2450</v>
      </c>
      <c r="J113" s="189">
        <f t="shared" si="16"/>
        <v>4.2553191489361701E-2</v>
      </c>
      <c r="K113" s="187">
        <v>2425</v>
      </c>
      <c r="L113" s="189">
        <f t="shared" si="17"/>
        <v>3.1914893617021274E-2</v>
      </c>
      <c r="M113" s="187">
        <v>2430</v>
      </c>
      <c r="N113" s="226">
        <f t="shared" si="18"/>
        <v>3.4042553191489362E-2</v>
      </c>
      <c r="O113" s="189">
        <f t="shared" si="19"/>
        <v>1.2360939431396785E-3</v>
      </c>
      <c r="P113" s="292"/>
      <c r="Q113" s="187" t="s">
        <v>4698</v>
      </c>
      <c r="R113" s="187"/>
      <c r="S113" s="187" t="s">
        <v>4643</v>
      </c>
      <c r="T113" s="187"/>
    </row>
    <row r="114" spans="1:20" ht="27">
      <c r="A114" s="183" t="s">
        <v>5023</v>
      </c>
      <c r="B114" s="183" t="s">
        <v>4848</v>
      </c>
      <c r="C114" s="183" t="s">
        <v>1614</v>
      </c>
      <c r="D114" s="183" t="s">
        <v>5025</v>
      </c>
      <c r="E114" s="183" t="s">
        <v>5026</v>
      </c>
      <c r="F114" s="183">
        <v>2</v>
      </c>
      <c r="G114" s="183">
        <v>1540</v>
      </c>
      <c r="H114" s="183">
        <v>1490</v>
      </c>
      <c r="I114" s="183">
        <v>1550</v>
      </c>
      <c r="J114" s="184">
        <f t="shared" si="16"/>
        <v>4.0268456375838924E-2</v>
      </c>
      <c r="K114" s="183">
        <v>1530</v>
      </c>
      <c r="L114" s="184">
        <f t="shared" si="17"/>
        <v>2.6845637583892617E-2</v>
      </c>
      <c r="M114" s="183">
        <v>1540</v>
      </c>
      <c r="N114" s="227">
        <f t="shared" si="18"/>
        <v>3.3557046979865772E-2</v>
      </c>
      <c r="O114" s="184">
        <f t="shared" si="19"/>
        <v>0</v>
      </c>
      <c r="P114" s="233" t="s">
        <v>5027</v>
      </c>
      <c r="Q114" s="183" t="s">
        <v>4672</v>
      </c>
      <c r="R114" s="185">
        <v>1540</v>
      </c>
      <c r="S114" s="183"/>
      <c r="T114" s="183"/>
    </row>
    <row r="115" spans="1:20">
      <c r="A115" s="248" t="s">
        <v>5028</v>
      </c>
      <c r="B115" s="248" t="s">
        <v>4720</v>
      </c>
      <c r="C115" s="248" t="s">
        <v>852</v>
      </c>
      <c r="D115" s="248" t="s">
        <v>4844</v>
      </c>
      <c r="E115" s="248" t="s">
        <v>5029</v>
      </c>
      <c r="F115" s="248">
        <v>1</v>
      </c>
      <c r="G115" s="248">
        <v>1050</v>
      </c>
      <c r="H115" s="248">
        <v>940</v>
      </c>
      <c r="I115" s="248">
        <v>1050</v>
      </c>
      <c r="J115" s="249">
        <f t="shared" si="16"/>
        <v>0.11702127659574468</v>
      </c>
      <c r="K115" s="248">
        <v>1000</v>
      </c>
      <c r="L115" s="249">
        <f t="shared" si="17"/>
        <v>6.3829787234042548E-2</v>
      </c>
      <c r="M115" s="248">
        <v>1015</v>
      </c>
      <c r="N115" s="250">
        <f t="shared" si="18"/>
        <v>7.9787234042553196E-2</v>
      </c>
      <c r="O115" s="249">
        <f t="shared" si="19"/>
        <v>-3.3333333333333333E-2</v>
      </c>
      <c r="P115" s="302" t="s">
        <v>5030</v>
      </c>
      <c r="Q115" s="248"/>
      <c r="R115" s="248"/>
      <c r="S115" s="248"/>
      <c r="T115" s="248"/>
    </row>
    <row r="116" spans="1:20" ht="27">
      <c r="A116" s="178" t="s">
        <v>5028</v>
      </c>
      <c r="B116" s="178" t="s">
        <v>4848</v>
      </c>
      <c r="C116" s="178" t="s">
        <v>852</v>
      </c>
      <c r="D116" s="178" t="s">
        <v>5031</v>
      </c>
      <c r="E116" s="178" t="s">
        <v>5032</v>
      </c>
      <c r="F116" s="178" t="s">
        <v>4949</v>
      </c>
      <c r="G116" s="178">
        <v>825</v>
      </c>
      <c r="H116" s="178">
        <v>785</v>
      </c>
      <c r="I116" s="178">
        <v>840</v>
      </c>
      <c r="J116" s="219">
        <f t="shared" si="16"/>
        <v>7.0063694267515922E-2</v>
      </c>
      <c r="K116" s="178">
        <v>810</v>
      </c>
      <c r="L116" s="219">
        <f t="shared" si="17"/>
        <v>3.1847133757961783E-2</v>
      </c>
      <c r="M116" s="178">
        <v>825</v>
      </c>
      <c r="N116" s="228">
        <f t="shared" si="18"/>
        <v>5.0955414012738856E-2</v>
      </c>
      <c r="O116" s="219">
        <f t="shared" si="19"/>
        <v>0</v>
      </c>
      <c r="P116" s="301" t="s">
        <v>5033</v>
      </c>
      <c r="Q116" s="178"/>
      <c r="R116" s="178"/>
      <c r="S116" s="178"/>
      <c r="T116" s="178"/>
    </row>
    <row r="117" spans="1:20">
      <c r="A117" s="162" t="s">
        <v>5028</v>
      </c>
      <c r="B117" s="162" t="s">
        <v>4720</v>
      </c>
      <c r="C117" s="162" t="s">
        <v>852</v>
      </c>
      <c r="D117" s="162" t="s">
        <v>4844</v>
      </c>
      <c r="E117" s="276" t="s">
        <v>5034</v>
      </c>
      <c r="F117" s="162">
        <v>1</v>
      </c>
      <c r="G117" s="162">
        <v>1096</v>
      </c>
      <c r="H117" s="162">
        <v>1075</v>
      </c>
      <c r="I117" s="162">
        <v>1135</v>
      </c>
      <c r="J117" s="163">
        <f t="shared" si="16"/>
        <v>5.5813953488372092E-2</v>
      </c>
      <c r="K117" s="162">
        <v>1075</v>
      </c>
      <c r="L117" s="163">
        <f t="shared" si="17"/>
        <v>0</v>
      </c>
      <c r="M117" s="162">
        <v>1095</v>
      </c>
      <c r="N117" s="229">
        <f t="shared" si="18"/>
        <v>1.8604651162790697E-2</v>
      </c>
      <c r="O117" s="163">
        <f t="shared" si="19"/>
        <v>-9.1240875912408756E-4</v>
      </c>
      <c r="P117" s="297" t="s">
        <v>5035</v>
      </c>
      <c r="Q117" s="162"/>
      <c r="R117" s="162"/>
      <c r="S117" s="162"/>
      <c r="T117" s="162"/>
    </row>
    <row r="118" spans="1:20" ht="27">
      <c r="A118" s="218">
        <v>45298</v>
      </c>
      <c r="B118" s="187" t="s">
        <v>4646</v>
      </c>
      <c r="C118" s="187" t="s">
        <v>90</v>
      </c>
      <c r="D118" s="187" t="s">
        <v>5036</v>
      </c>
      <c r="E118" s="187" t="s">
        <v>5037</v>
      </c>
      <c r="F118" s="187" t="s">
        <v>5038</v>
      </c>
      <c r="G118" s="187">
        <v>2065</v>
      </c>
      <c r="H118" s="187">
        <v>2065</v>
      </c>
      <c r="I118" s="187">
        <v>2175</v>
      </c>
      <c r="J118" s="189">
        <f t="shared" si="16"/>
        <v>5.3268765133171914E-2</v>
      </c>
      <c r="K118" s="187">
        <v>2100</v>
      </c>
      <c r="L118" s="189">
        <f t="shared" si="17"/>
        <v>1.6949152542372881E-2</v>
      </c>
      <c r="M118" s="187">
        <v>2145</v>
      </c>
      <c r="N118" s="226">
        <f t="shared" si="18"/>
        <v>3.8740920096852302E-2</v>
      </c>
      <c r="O118" s="189">
        <f t="shared" si="19"/>
        <v>3.8740920096852302E-2</v>
      </c>
      <c r="P118" s="292" t="s">
        <v>5039</v>
      </c>
      <c r="Q118" s="187" t="s">
        <v>4698</v>
      </c>
      <c r="R118" s="187"/>
      <c r="S118" s="187" t="s">
        <v>4643</v>
      </c>
      <c r="T118" s="187"/>
    </row>
    <row r="119" spans="1:20">
      <c r="A119" s="210">
        <v>45329</v>
      </c>
      <c r="B119" s="183" t="s">
        <v>4652</v>
      </c>
      <c r="C119" s="183" t="s">
        <v>1614</v>
      </c>
      <c r="D119" s="183" t="s">
        <v>5040</v>
      </c>
      <c r="E119" s="183" t="s">
        <v>5041</v>
      </c>
      <c r="F119" s="183">
        <v>1</v>
      </c>
      <c r="G119" s="183">
        <v>1045</v>
      </c>
      <c r="H119" s="183">
        <v>955</v>
      </c>
      <c r="I119" s="183">
        <v>1050</v>
      </c>
      <c r="J119" s="184">
        <f t="shared" si="16"/>
        <v>9.947643979057591E-2</v>
      </c>
      <c r="K119" s="183">
        <v>1015</v>
      </c>
      <c r="L119" s="184">
        <f t="shared" si="17"/>
        <v>6.2827225130890049E-2</v>
      </c>
      <c r="M119" s="183">
        <v>1030</v>
      </c>
      <c r="N119" s="227">
        <f t="shared" si="18"/>
        <v>7.8534031413612565E-2</v>
      </c>
      <c r="O119" s="184">
        <f t="shared" si="19"/>
        <v>-1.4354066985645933E-2</v>
      </c>
      <c r="P119" s="233" t="s">
        <v>5042</v>
      </c>
      <c r="Q119" s="183" t="s">
        <v>4672</v>
      </c>
      <c r="R119" s="185">
        <v>11015</v>
      </c>
      <c r="S119" s="183"/>
      <c r="T119" s="183"/>
    </row>
    <row r="120" spans="1:20" ht="27">
      <c r="A120" s="177">
        <v>45358</v>
      </c>
      <c r="B120" s="162" t="s">
        <v>4652</v>
      </c>
      <c r="C120" s="162" t="s">
        <v>1614</v>
      </c>
      <c r="D120" s="162" t="s">
        <v>4704</v>
      </c>
      <c r="E120" s="162" t="s">
        <v>5043</v>
      </c>
      <c r="F120" s="162">
        <v>2</v>
      </c>
      <c r="G120" s="162">
        <v>1485</v>
      </c>
      <c r="H120" s="162">
        <v>1420</v>
      </c>
      <c r="I120" s="162">
        <v>1565</v>
      </c>
      <c r="J120" s="163">
        <f t="shared" si="16"/>
        <v>0.10211267605633803</v>
      </c>
      <c r="K120" s="162"/>
      <c r="L120" s="163">
        <f t="shared" si="17"/>
        <v>-1</v>
      </c>
      <c r="M120" s="162">
        <v>1485</v>
      </c>
      <c r="N120" s="229">
        <f t="shared" si="18"/>
        <v>4.5774647887323945E-2</v>
      </c>
      <c r="O120" s="163">
        <f t="shared" si="19"/>
        <v>0</v>
      </c>
      <c r="P120" s="297" t="s">
        <v>5044</v>
      </c>
      <c r="Q120" s="182">
        <v>1500</v>
      </c>
      <c r="R120" s="162" t="s">
        <v>5045</v>
      </c>
      <c r="S120" s="162"/>
      <c r="T120" s="162"/>
    </row>
    <row r="121" spans="1:20" ht="40.5">
      <c r="A121" s="177">
        <v>45419</v>
      </c>
      <c r="B121" s="162" t="s">
        <v>4652</v>
      </c>
      <c r="C121" s="162" t="s">
        <v>90</v>
      </c>
      <c r="D121" s="162" t="s">
        <v>5046</v>
      </c>
      <c r="E121" s="162" t="s">
        <v>5047</v>
      </c>
      <c r="F121" s="162" t="s">
        <v>4820</v>
      </c>
      <c r="G121" s="162">
        <v>780</v>
      </c>
      <c r="H121" s="162">
        <v>740</v>
      </c>
      <c r="I121" s="162">
        <v>765</v>
      </c>
      <c r="J121" s="219">
        <f t="shared" si="16"/>
        <v>3.3783783783783786E-2</v>
      </c>
      <c r="K121" s="162">
        <v>750</v>
      </c>
      <c r="L121" s="219">
        <f t="shared" si="17"/>
        <v>1.3513513513513514E-2</v>
      </c>
      <c r="M121" s="162">
        <v>755</v>
      </c>
      <c r="N121" s="228">
        <f t="shared" si="18"/>
        <v>2.0270270270270271E-2</v>
      </c>
      <c r="O121" s="219">
        <f t="shared" si="19"/>
        <v>-3.2051282051282048E-2</v>
      </c>
      <c r="P121" s="297"/>
      <c r="Q121" s="162"/>
      <c r="R121" s="162"/>
      <c r="S121" s="162"/>
      <c r="T121" s="162"/>
    </row>
    <row r="122" spans="1:20" ht="40.5">
      <c r="A122" s="177">
        <v>45419</v>
      </c>
      <c r="B122" s="162" t="s">
        <v>4646</v>
      </c>
      <c r="C122" s="162" t="s">
        <v>90</v>
      </c>
      <c r="D122" s="162" t="s">
        <v>4818</v>
      </c>
      <c r="E122" s="162" t="s">
        <v>5048</v>
      </c>
      <c r="F122" s="162">
        <v>1</v>
      </c>
      <c r="G122" s="251">
        <v>1565</v>
      </c>
      <c r="H122" s="162">
        <v>1375</v>
      </c>
      <c r="I122" s="162">
        <v>1575</v>
      </c>
      <c r="J122" s="163">
        <f t="shared" si="16"/>
        <v>0.14545454545454545</v>
      </c>
      <c r="K122" s="162">
        <v>1475</v>
      </c>
      <c r="L122" s="163">
        <f t="shared" si="17"/>
        <v>7.2727272727272724E-2</v>
      </c>
      <c r="M122" s="162">
        <v>1545</v>
      </c>
      <c r="N122" s="228">
        <f t="shared" si="18"/>
        <v>0.12363636363636364</v>
      </c>
      <c r="O122" s="219">
        <f t="shared" si="19"/>
        <v>-1.2779552715654952E-2</v>
      </c>
      <c r="P122" s="297" t="s">
        <v>5049</v>
      </c>
      <c r="Q122" s="162"/>
      <c r="R122" s="162"/>
      <c r="S122" s="162"/>
      <c r="T122" s="162"/>
    </row>
    <row r="123" spans="1:20" ht="27">
      <c r="A123" s="259">
        <v>45542</v>
      </c>
      <c r="B123" s="245" t="s">
        <v>4720</v>
      </c>
      <c r="C123" s="245" t="s">
        <v>90</v>
      </c>
      <c r="D123" s="245" t="s">
        <v>1079</v>
      </c>
      <c r="E123" s="245" t="s">
        <v>5050</v>
      </c>
      <c r="F123" s="245">
        <v>1</v>
      </c>
      <c r="G123" s="245">
        <v>1985</v>
      </c>
      <c r="H123" s="245">
        <v>1750</v>
      </c>
      <c r="I123" s="245">
        <v>1985</v>
      </c>
      <c r="J123" s="163">
        <f t="shared" si="16"/>
        <v>0.13428571428571429</v>
      </c>
      <c r="K123" s="245">
        <v>1850</v>
      </c>
      <c r="L123" s="163">
        <f t="shared" si="17"/>
        <v>5.7142857142857141E-2</v>
      </c>
      <c r="M123" s="245">
        <v>1950</v>
      </c>
      <c r="N123" s="228">
        <f t="shared" si="18"/>
        <v>0.11428571428571428</v>
      </c>
      <c r="O123" s="219">
        <f t="shared" si="19"/>
        <v>-1.7632241813602016E-2</v>
      </c>
      <c r="P123" s="303" t="s">
        <v>5051</v>
      </c>
      <c r="Q123" s="245"/>
      <c r="R123" s="245"/>
      <c r="S123" s="245"/>
      <c r="T123" s="245"/>
    </row>
    <row r="124" spans="1:20">
      <c r="A124" s="260">
        <v>45572</v>
      </c>
      <c r="B124" s="178" t="s">
        <v>4652</v>
      </c>
      <c r="C124" s="178" t="s">
        <v>852</v>
      </c>
      <c r="D124" s="178" t="s">
        <v>5052</v>
      </c>
      <c r="E124" s="273" t="s">
        <v>5053</v>
      </c>
      <c r="F124" s="178">
        <v>2</v>
      </c>
      <c r="G124" s="178">
        <v>1638</v>
      </c>
      <c r="H124" s="178">
        <v>1575</v>
      </c>
      <c r="I124" s="178">
        <v>1735</v>
      </c>
      <c r="J124" s="219">
        <f t="shared" si="16"/>
        <v>0.10158730158730159</v>
      </c>
      <c r="K124" s="178">
        <v>1680</v>
      </c>
      <c r="L124" s="219">
        <f t="shared" si="17"/>
        <v>6.6666666666666666E-2</v>
      </c>
      <c r="M124" s="178">
        <v>1695</v>
      </c>
      <c r="N124" s="228">
        <f t="shared" si="18"/>
        <v>7.6190476190476197E-2</v>
      </c>
      <c r="O124" s="219">
        <f t="shared" si="19"/>
        <v>3.47985347985348E-2</v>
      </c>
      <c r="P124" s="301"/>
      <c r="Q124" s="178" t="s">
        <v>4698</v>
      </c>
      <c r="R124" s="178" t="s">
        <v>5054</v>
      </c>
      <c r="S124" s="178"/>
      <c r="T124" s="178"/>
    </row>
    <row r="125" spans="1:20">
      <c r="A125" s="177">
        <v>45572</v>
      </c>
      <c r="B125" s="162" t="s">
        <v>4652</v>
      </c>
      <c r="C125" s="162" t="s">
        <v>852</v>
      </c>
      <c r="D125" s="162" t="s">
        <v>4713</v>
      </c>
      <c r="E125" s="162" t="s">
        <v>5055</v>
      </c>
      <c r="F125" s="162">
        <v>1</v>
      </c>
      <c r="G125" s="162">
        <v>1443</v>
      </c>
      <c r="H125" s="178"/>
      <c r="I125" s="178"/>
      <c r="J125" s="219" t="e">
        <f t="shared" si="16"/>
        <v>#DIV/0!</v>
      </c>
      <c r="K125" s="178"/>
      <c r="L125" s="219" t="e">
        <f t="shared" si="17"/>
        <v>#DIV/0!</v>
      </c>
      <c r="M125" s="178"/>
      <c r="N125" s="228" t="e">
        <f t="shared" si="18"/>
        <v>#DIV/0!</v>
      </c>
      <c r="O125" s="219">
        <f t="shared" si="19"/>
        <v>-1</v>
      </c>
      <c r="P125" s="297"/>
      <c r="Q125" s="162"/>
      <c r="R125" s="162"/>
      <c r="S125" s="162"/>
      <c r="T125" s="162"/>
    </row>
    <row r="126" spans="1:20" ht="27">
      <c r="A126" s="177">
        <v>45603</v>
      </c>
      <c r="B126" s="162" t="s">
        <v>4720</v>
      </c>
      <c r="C126" s="162" t="s">
        <v>90</v>
      </c>
      <c r="D126" s="162" t="s">
        <v>1079</v>
      </c>
      <c r="E126" s="162" t="s">
        <v>5056</v>
      </c>
      <c r="F126" s="162">
        <v>2</v>
      </c>
      <c r="G126" s="261">
        <v>2425</v>
      </c>
      <c r="H126" s="162">
        <v>2250</v>
      </c>
      <c r="I126" s="162">
        <v>2435</v>
      </c>
      <c r="J126" s="163">
        <f t="shared" si="16"/>
        <v>8.2222222222222224E-2</v>
      </c>
      <c r="K126" s="162">
        <v>2375</v>
      </c>
      <c r="L126" s="163">
        <f t="shared" si="17"/>
        <v>5.5555555555555552E-2</v>
      </c>
      <c r="M126" s="162">
        <v>2400</v>
      </c>
      <c r="N126" s="229">
        <f t="shared" si="18"/>
        <v>6.6666666666666666E-2</v>
      </c>
      <c r="O126" s="163">
        <f t="shared" si="19"/>
        <v>-1.0309278350515464E-2</v>
      </c>
      <c r="P126" s="304"/>
      <c r="Q126" s="162"/>
      <c r="R126" s="162"/>
      <c r="S126" s="162"/>
      <c r="T126" s="162"/>
    </row>
  </sheetData>
  <autoFilter ref="A1:T126" xr:uid="{F9256F80-305F-46C4-85EE-3C04D16B5CD8}"/>
  <conditionalFormatting sqref="D50:E50">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D680E-1768-4D8D-95C9-19AB680A6450}">
  <dimension ref="A1:L72"/>
  <sheetViews>
    <sheetView workbookViewId="0">
      <selection activeCell="K25" sqref="K25"/>
    </sheetView>
  </sheetViews>
  <sheetFormatPr defaultRowHeight="15"/>
  <cols>
    <col min="1" max="1" width="20.42578125" customWidth="1"/>
    <col min="3" max="7" width="11.140625" customWidth="1"/>
  </cols>
  <sheetData>
    <row r="1" spans="1:7" ht="24">
      <c r="A1" s="11" t="s">
        <v>3</v>
      </c>
      <c r="B1" s="12" t="s">
        <v>5057</v>
      </c>
      <c r="C1" s="12" t="s">
        <v>5058</v>
      </c>
      <c r="D1" s="12" t="s">
        <v>5059</v>
      </c>
      <c r="E1" s="12" t="s">
        <v>5060</v>
      </c>
      <c r="F1" s="13" t="s">
        <v>5061</v>
      </c>
      <c r="G1" s="13" t="s">
        <v>5062</v>
      </c>
    </row>
    <row r="2" spans="1:7">
      <c r="A2" s="17" t="s">
        <v>109</v>
      </c>
      <c r="B2" s="18">
        <f>COUNTIFS(Apartments!D:D,'July Summary'!$A2,Apartments!B:B,Apartments!B1230)</f>
        <v>105</v>
      </c>
      <c r="C2" s="85">
        <f>SUMIFS(Apartments!S:S,Apartments!D:D,'July Summary'!$A2,Apartments!B:B,Apartments!B1230)</f>
        <v>195297.6666666666</v>
      </c>
      <c r="D2" s="85">
        <f>SUMIFS(Apartments!U:U,Apartments!D:D,'July Summary'!$A2,Apartments!B:B,Apartments!B1230)</f>
        <v>188247</v>
      </c>
      <c r="E2" s="85">
        <f>SUMIFS(Apartments!AE:AE,Apartments!D:D,'July Summary'!$A2,Apartments!B:B,Apartments!B1230)</f>
        <v>198155</v>
      </c>
      <c r="F2" s="19">
        <f>($E2-$C2)/$C2</f>
        <v>1.4630657816359312E-2</v>
      </c>
      <c r="G2" s="20">
        <f>($E2-$D2)/$D2</f>
        <v>5.2632976886749852E-2</v>
      </c>
    </row>
    <row r="3" spans="1:7">
      <c r="A3" s="17" t="s">
        <v>45</v>
      </c>
      <c r="B3" s="18">
        <f>B41</f>
        <v>96</v>
      </c>
      <c r="C3" s="85">
        <f>C41</f>
        <v>232007.33333333337</v>
      </c>
      <c r="D3" s="85">
        <f>D41</f>
        <v>223320</v>
      </c>
      <c r="E3" s="85">
        <f>E41</f>
        <v>233270</v>
      </c>
      <c r="F3" s="19">
        <f>(E3-C3)/C3</f>
        <v>5.4423567071154111E-3</v>
      </c>
      <c r="G3" s="20">
        <f>(E3-D3)/D3</f>
        <v>4.4554898799928355E-2</v>
      </c>
    </row>
    <row r="4" spans="1:7">
      <c r="A4" s="17" t="s">
        <v>83</v>
      </c>
      <c r="B4" s="18">
        <f>B72</f>
        <v>85</v>
      </c>
      <c r="C4" s="85">
        <f>C72</f>
        <v>150717.31666666665</v>
      </c>
      <c r="D4" s="85">
        <f>D72</f>
        <v>144848.59999999998</v>
      </c>
      <c r="E4" s="85">
        <f>E72</f>
        <v>153800</v>
      </c>
      <c r="F4" s="19">
        <f>(E4-C4)/C4</f>
        <v>2.0453411734705662E-2</v>
      </c>
      <c r="G4" s="20">
        <f>(E4-D4)/D4</f>
        <v>6.1798319072466183E-2</v>
      </c>
    </row>
    <row r="5" spans="1:7" ht="15.75" thickBot="1">
      <c r="A5" s="17" t="s">
        <v>103</v>
      </c>
      <c r="B5" s="18" t="e">
        <f>#REF!</f>
        <v>#REF!</v>
      </c>
      <c r="C5" s="85"/>
      <c r="D5" s="85" t="e">
        <f>#REF!</f>
        <v>#REF!</v>
      </c>
      <c r="E5" s="85" t="e">
        <f>#REF!</f>
        <v>#REF!</v>
      </c>
      <c r="F5" s="19"/>
      <c r="G5" s="20" t="e">
        <f>(E5-D5)/D5</f>
        <v>#REF!</v>
      </c>
    </row>
    <row r="6" spans="1:7" ht="15.75" thickBot="1">
      <c r="A6" s="21" t="s">
        <v>209</v>
      </c>
      <c r="B6" s="18"/>
      <c r="C6" s="85"/>
      <c r="D6" s="85"/>
      <c r="E6" s="85"/>
      <c r="F6" s="19"/>
      <c r="G6" s="20"/>
    </row>
    <row r="7" spans="1:7" ht="15.75" thickBot="1">
      <c r="A7" s="22"/>
      <c r="B7" s="23"/>
      <c r="C7" s="86"/>
      <c r="D7" s="86"/>
      <c r="E7" s="86"/>
      <c r="F7" s="87"/>
      <c r="G7" s="88"/>
    </row>
    <row r="9" spans="1:7" ht="15.75" thickBot="1"/>
    <row r="10" spans="1:7" ht="24">
      <c r="A10" s="11" t="s">
        <v>5063</v>
      </c>
      <c r="B10" s="12" t="s">
        <v>5057</v>
      </c>
      <c r="C10" s="12" t="s">
        <v>5058</v>
      </c>
      <c r="D10" s="12" t="s">
        <v>5059</v>
      </c>
      <c r="E10" s="12" t="s">
        <v>5060</v>
      </c>
      <c r="F10" s="13" t="s">
        <v>5061</v>
      </c>
      <c r="G10" s="13" t="s">
        <v>5062</v>
      </c>
    </row>
    <row r="11" spans="1:7">
      <c r="A11" s="17" t="s">
        <v>1192</v>
      </c>
      <c r="B11" s="18">
        <f>COUNTIFS(Apartments!$E:$E,'Combined Summaries'!$A11,Apartments!B:B,'Combined Summaries'!$A$10)</f>
        <v>8</v>
      </c>
      <c r="C11" s="85">
        <f>SUMIFS(Apartments!$S:$S,Apartments!$E:$E,A11,Apartments!$B:$B,"July")</f>
        <v>13043</v>
      </c>
      <c r="D11" s="85">
        <f>SUMIFS(Apartments!U:U,Apartments!E:E,'Combined Summaries'!$A11,Apartments!B:B,'Combined Summaries'!$A$10)</f>
        <v>12445</v>
      </c>
      <c r="E11" s="85">
        <f>SUMIFS(Apartments!AE:AE,Apartments!E:E,'Combined Summaries'!$A11,Apartments!B:B,'Combined Summaries'!$A$10)</f>
        <v>13320</v>
      </c>
      <c r="F11" s="19">
        <f t="shared" ref="F11:F20" si="0">($E11-$C11)/$C11</f>
        <v>2.1237445372997009E-2</v>
      </c>
      <c r="G11" s="20">
        <f t="shared" ref="G11:G20" si="1">($E11-$D11)/$D11</f>
        <v>7.030936118923263E-2</v>
      </c>
    </row>
    <row r="12" spans="1:7">
      <c r="A12" s="17" t="s">
        <v>1079</v>
      </c>
      <c r="B12" s="18">
        <f>COUNTIFS(Apartments!$E:$E,'Combined Summaries'!$A12,Apartments!B:B,'Combined Summaries'!$A$10)</f>
        <v>8</v>
      </c>
      <c r="C12" s="85">
        <f>SUMIFS(Apartments!$S:$S,Apartments!$E:$E,A12,Apartments!$B:$B,"July")</f>
        <v>17650</v>
      </c>
      <c r="D12" s="85">
        <f>SUMIFS(Apartments!U:U,Apartments!E:E,'Combined Summaries'!$A12,Apartments!B:B,'Combined Summaries'!$A$10)</f>
        <v>16820</v>
      </c>
      <c r="E12" s="85">
        <f>SUMIFS(Apartments!AE:AE,Apartments!E:E,'Combined Summaries'!$A12,Apartments!B:B,'Combined Summaries'!$A$10)</f>
        <v>17775</v>
      </c>
      <c r="F12" s="19">
        <f t="shared" si="0"/>
        <v>7.0821529745042494E-3</v>
      </c>
      <c r="G12" s="20">
        <f t="shared" si="1"/>
        <v>5.6777645659928655E-2</v>
      </c>
    </row>
    <row r="13" spans="1:7">
      <c r="A13" s="17" t="s">
        <v>1122</v>
      </c>
      <c r="B13" s="18">
        <f>COUNTIFS(Apartments!$E:$E,'Combined Summaries'!$A13,Apartments!B:B,'Combined Summaries'!$A$10)</f>
        <v>4</v>
      </c>
      <c r="C13" s="85">
        <f>SUMIFS(Apartments!$S:$S,Apartments!$E:$E,A13,Apartments!$B:$B,"July")</f>
        <v>10322</v>
      </c>
      <c r="D13" s="85">
        <f>SUMIFS(Apartments!U:U,Apartments!E:E,'Combined Summaries'!$A13,Apartments!B:B,'Combined Summaries'!$A$10)</f>
        <v>9980</v>
      </c>
      <c r="E13" s="85">
        <f>SUMIFS(Apartments!AE:AE,Apartments!E:E,'Combined Summaries'!$A13,Apartments!B:B,'Combined Summaries'!$A$10)</f>
        <v>10435</v>
      </c>
      <c r="F13" s="19">
        <f t="shared" si="0"/>
        <v>1.0947490796357295E-2</v>
      </c>
      <c r="G13" s="20">
        <f t="shared" si="1"/>
        <v>4.5591182364729456E-2</v>
      </c>
    </row>
    <row r="14" spans="1:7">
      <c r="A14" s="17" t="s">
        <v>942</v>
      </c>
      <c r="B14" s="18">
        <f>COUNTIFS(Apartments!$E:$E,'Combined Summaries'!$A14,Apartments!B:B,'Combined Summaries'!$A$10)</f>
        <v>8</v>
      </c>
      <c r="C14" s="85">
        <f>SUMIFS(Apartments!$S:$S,Apartments!$E:$E,A14,Apartments!$B:$B,"July")</f>
        <v>10050</v>
      </c>
      <c r="D14" s="85">
        <f>SUMIFS(Apartments!U:U,Apartments!E:E,'Combined Summaries'!$A14,Apartments!B:B,'Combined Summaries'!$A$10)</f>
        <v>9660.56</v>
      </c>
      <c r="E14" s="85">
        <f>SUMIFS(Apartments!AE:AE,Apartments!E:E,'Combined Summaries'!$A14,Apartments!B:B,'Combined Summaries'!$A$10)</f>
        <v>10160</v>
      </c>
      <c r="F14" s="19">
        <f t="shared" si="0"/>
        <v>1.0945273631840797E-2</v>
      </c>
      <c r="G14" s="20">
        <f t="shared" si="1"/>
        <v>5.1698866318308723E-2</v>
      </c>
    </row>
    <row r="15" spans="1:7">
      <c r="A15" s="126" t="s">
        <v>866</v>
      </c>
      <c r="B15" s="18">
        <f>COUNTIFS(Apartments!$E:$E,'Combined Summaries'!$A15,Apartments!B:B,'Combined Summaries'!$A$10)</f>
        <v>13</v>
      </c>
      <c r="C15" s="85">
        <f>SUMIFS(Apartments!$S:$S,Apartments!$E:$E,A15,Apartments!$B:$B,"July")</f>
        <v>17800.666666666668</v>
      </c>
      <c r="D15" s="85">
        <f>SUMIFS(Apartments!U:U,Apartments!E:E,'Combined Summaries'!$A15,Apartments!B:B,'Combined Summaries'!$A$10)</f>
        <v>17785.82</v>
      </c>
      <c r="E15" s="85">
        <f>SUMIFS(Apartments!AE:AE,Apartments!E:E,'Combined Summaries'!$A15,Apartments!B:B,'Combined Summaries'!$A$10)</f>
        <v>18630</v>
      </c>
      <c r="F15" s="19">
        <f t="shared" si="0"/>
        <v>4.6590015355230073E-2</v>
      </c>
      <c r="G15" s="20">
        <f t="shared" si="1"/>
        <v>4.7463653629689288E-2</v>
      </c>
    </row>
    <row r="16" spans="1:7">
      <c r="A16" s="17" t="s">
        <v>1102</v>
      </c>
      <c r="B16" s="18">
        <f>COUNTIFS(Apartments!$E:$E,'Combined Summaries'!$A16,Apartments!B:B,'Combined Summaries'!$A$10)</f>
        <v>6</v>
      </c>
      <c r="C16" s="85">
        <f>SUMIFS(Apartments!$S:$S,Apartments!$E:$E,A16,Apartments!$B:$B,"July")</f>
        <v>9169.3333333333321</v>
      </c>
      <c r="D16" s="85">
        <f>SUMIFS(Apartments!U:U,Apartments!E:E,'Combined Summaries'!$A16,Apartments!B:B,'Combined Summaries'!$A$10)</f>
        <v>8915</v>
      </c>
      <c r="E16" s="85">
        <f>SUMIFS(Apartments!AE:AE,Apartments!E:E,'Combined Summaries'!$A16,Apartments!B:B,'Combined Summaries'!$A$10)</f>
        <v>9280</v>
      </c>
      <c r="F16" s="19">
        <f t="shared" si="0"/>
        <v>1.2069216228006533E-2</v>
      </c>
      <c r="G16" s="20">
        <f t="shared" si="1"/>
        <v>4.0942232192933262E-2</v>
      </c>
    </row>
    <row r="17" spans="1:7">
      <c r="A17" s="17" t="s">
        <v>110</v>
      </c>
      <c r="B17" s="18">
        <f>COUNTIFS(Apartments!$E:$E,'Combined Summaries'!$A17,Apartments!B:B,'Combined Summaries'!$A$10)</f>
        <v>15</v>
      </c>
      <c r="C17" s="85">
        <f>SUMIFS(Apartments!$S:$S,Apartments!$E:$E,A17,Apartments!$B:$B,"July")</f>
        <v>21895</v>
      </c>
      <c r="D17" s="85">
        <f>SUMIFS(Apartments!U:U,Apartments!E:E,'Combined Summaries'!$A17,Apartments!B:B,'Combined Summaries'!$A$10)</f>
        <v>20431.57</v>
      </c>
      <c r="E17" s="85">
        <f>SUMIFS(Apartments!AE:AE,Apartments!E:E,'Combined Summaries'!$A17,Apartments!B:B,'Combined Summaries'!$A$10)</f>
        <v>22015</v>
      </c>
      <c r="F17" s="19">
        <f t="shared" si="0"/>
        <v>5.4807033569308061E-3</v>
      </c>
      <c r="G17" s="20">
        <f t="shared" si="1"/>
        <v>7.7499183861054255E-2</v>
      </c>
    </row>
    <row r="18" spans="1:7">
      <c r="A18" s="17" t="s">
        <v>1041</v>
      </c>
      <c r="B18" s="18">
        <f>COUNTIFS(Apartments!$E:$E,'Combined Summaries'!$A18,Apartments!B:B,'Combined Summaries'!$A$10)</f>
        <v>9</v>
      </c>
      <c r="C18" s="85">
        <f>SUMIFS(Apartments!$S:$S,Apartments!$E:$E,A18,Apartments!$B:$B,"July")</f>
        <v>19635</v>
      </c>
      <c r="D18" s="85">
        <f>SUMIFS(Apartments!U:U,Apartments!E:E,'Combined Summaries'!$A18,Apartments!B:B,'Combined Summaries'!$A$10)</f>
        <v>19270</v>
      </c>
      <c r="E18" s="85">
        <f>SUMIFS(Apartments!AE:AE,Apartments!E:E,'Combined Summaries'!$A18,Apartments!B:B,'Combined Summaries'!$A$10)</f>
        <v>20175</v>
      </c>
      <c r="F18" s="19">
        <f t="shared" si="0"/>
        <v>2.7501909854851032E-2</v>
      </c>
      <c r="G18" s="20">
        <f t="shared" si="1"/>
        <v>4.6964193046185779E-2</v>
      </c>
    </row>
    <row r="19" spans="1:7">
      <c r="A19" s="17" t="s">
        <v>210</v>
      </c>
      <c r="B19" s="18">
        <f>COUNTIFS(Apartments!$E:$E,'Combined Summaries'!$A19,Apartments!B:B,'Combined Summaries'!$A$10)</f>
        <v>11</v>
      </c>
      <c r="C19" s="85">
        <f>SUMIFS(Apartments!$S:$S,Apartments!$E:$E,A19,Apartments!$B:$B,"July")</f>
        <v>0</v>
      </c>
      <c r="D19" s="85">
        <f>SUMIFS(Apartments!U:U,Apartments!E:E,'Combined Summaries'!$A19,Apartments!B:B,'Combined Summaries'!$A$10)</f>
        <v>25475</v>
      </c>
      <c r="E19" s="85">
        <f>SUMIFS(Apartments!AE:AE,Apartments!E:E,'Combined Summaries'!$A19,Apartments!B:B,'Combined Summaries'!$A$10)</f>
        <v>26435</v>
      </c>
      <c r="F19" s="19" t="e">
        <f t="shared" si="0"/>
        <v>#DIV/0!</v>
      </c>
      <c r="G19" s="20">
        <f t="shared" si="1"/>
        <v>3.7684003925417077E-2</v>
      </c>
    </row>
    <row r="20" spans="1:7" ht="15.75" thickBot="1">
      <c r="A20" s="24" t="s">
        <v>343</v>
      </c>
      <c r="B20" s="18">
        <f>COUNTIFS(Apartments!$E:$E,'Combined Summaries'!$A20,Apartments!B:B,'Combined Summaries'!$A$10)</f>
        <v>6</v>
      </c>
      <c r="C20" s="85">
        <f>SUMIFS(Apartments!$S:$S,Apartments!$E:$E,A20,Apartments!$B:$B,"July")</f>
        <v>14906.666666666668</v>
      </c>
      <c r="D20" s="85">
        <f>SUMIFS(Apartments!U:U,Apartments!E:E,'Combined Summaries'!$A20,Apartments!B:B,'Combined Summaries'!$A$10)</f>
        <v>14605</v>
      </c>
      <c r="E20" s="85">
        <f>SUMIFS(Apartments!AE:AE,Apartments!E:E,'Combined Summaries'!$A20,Apartments!B:B,'Combined Summaries'!$A$10)</f>
        <v>15205</v>
      </c>
      <c r="F20" s="19">
        <f t="shared" si="0"/>
        <v>2.0013416815742313E-2</v>
      </c>
      <c r="G20" s="20">
        <f t="shared" si="1"/>
        <v>4.1081821294077371E-2</v>
      </c>
    </row>
    <row r="21" spans="1:7" ht="15.75" thickBot="1">
      <c r="A21" s="22"/>
      <c r="B21" s="23">
        <f>SUM(B11:B20)</f>
        <v>88</v>
      </c>
      <c r="C21" s="86">
        <f>SUM(C11:C20)</f>
        <v>134471.66666666666</v>
      </c>
      <c r="D21" s="86">
        <f>SUM(D11:D20)</f>
        <v>155387.95000000001</v>
      </c>
      <c r="E21" s="86">
        <f>SUM(E11:E20)</f>
        <v>163430</v>
      </c>
      <c r="F21" s="25" t="e">
        <f>AVERAGE(F11:F20)</f>
        <v>#DIV/0!</v>
      </c>
      <c r="G21" s="25">
        <f>AVERAGE(G11:G20)</f>
        <v>5.1601214348155643E-2</v>
      </c>
    </row>
    <row r="25" spans="1:7" ht="15.75" thickBot="1"/>
    <row r="26" spans="1:7" ht="24">
      <c r="A26" s="11" t="s">
        <v>5063</v>
      </c>
      <c r="B26" s="12" t="s">
        <v>5057</v>
      </c>
      <c r="C26" s="12" t="s">
        <v>5058</v>
      </c>
      <c r="D26" s="12" t="s">
        <v>5059</v>
      </c>
      <c r="E26" s="12" t="s">
        <v>5060</v>
      </c>
      <c r="F26" s="13" t="s">
        <v>5061</v>
      </c>
      <c r="G26" s="13" t="s">
        <v>5062</v>
      </c>
    </row>
    <row r="27" spans="1:7">
      <c r="A27" s="17" t="str">
        <f>Apartments!E157</f>
        <v>Brook Place</v>
      </c>
      <c r="B27" s="18">
        <f>COUNTIFS(Apartments!$E:$E,'Combined Summaries'!A27,Apartments!$B:$B, "July")</f>
        <v>8</v>
      </c>
      <c r="C27" s="85">
        <f>SUMIFS(Apartments!$S:$S,Apartments!$E:$E,A27,Apartments!$B:$B,"July")</f>
        <v>27550</v>
      </c>
      <c r="D27" s="85">
        <f>SUMIFS(Apartments!$U:$U,Apartments!$E:$E,A27,Apartments!$B:$B,"July")</f>
        <v>26640</v>
      </c>
      <c r="E27" s="85">
        <f>SUMIFS(Apartments!$AE:$AE,Apartments!$E:$E,A27,Apartments!$B:$B,"July")</f>
        <v>27795</v>
      </c>
      <c r="F27" s="19">
        <f t="shared" ref="F27:F36" si="2">(E27-C27)/C27</f>
        <v>8.8929219600725959E-3</v>
      </c>
      <c r="G27" s="20">
        <f t="shared" ref="G27:G36" si="3">(E27-D27)/D27</f>
        <v>4.3355855855855857E-2</v>
      </c>
    </row>
    <row r="28" spans="1:7">
      <c r="A28" s="17" t="str">
        <f>Apartments!E166</f>
        <v>Churston Close</v>
      </c>
      <c r="B28" s="18">
        <f>COUNTIFS(Apartments!$E:$E,'Combined Summaries'!A28,Apartments!$B:$B, "July")</f>
        <v>13</v>
      </c>
      <c r="C28" s="85">
        <f>SUMIFS(Apartments!$S:$S,Apartments!$E:$E,A28,Apartments!$B:$B,"July")</f>
        <v>4120</v>
      </c>
      <c r="D28" s="85">
        <f>SUMIFS(Apartments!$U:$U,Apartments!$E:$E,A28,Apartments!$B:$B,"July")</f>
        <v>3845</v>
      </c>
      <c r="E28" s="85">
        <f>SUMIFS(Apartments!$AE:$AE,Apartments!$E:$E,A28,Apartments!$B:$B,"July")</f>
        <v>4165</v>
      </c>
      <c r="F28" s="19">
        <f t="shared" si="2"/>
        <v>1.0922330097087379E-2</v>
      </c>
      <c r="G28" s="20">
        <f t="shared" si="3"/>
        <v>8.3224967490247076E-2</v>
      </c>
    </row>
    <row r="29" spans="1:7">
      <c r="A29" s="17" t="str">
        <f>Apartments!E284</f>
        <v>Eagle House</v>
      </c>
      <c r="B29" s="18">
        <f>COUNTIFS(Apartments!$E:$E,'Combined Summaries'!A29,Apartments!$B:$B, "July")</f>
        <v>6</v>
      </c>
      <c r="C29" s="85">
        <f>SUMIFS(Apartments!$S:$S,Apartments!$E:$E,A29,Apartments!$B:$B,"July")</f>
        <v>6270.3333333333339</v>
      </c>
      <c r="D29" s="85">
        <f>SUMIFS(Apartments!$U:$U,Apartments!$E:$E,A29,Apartments!$B:$B,"July")</f>
        <v>6035</v>
      </c>
      <c r="E29" s="85">
        <f>SUMIFS(Apartments!$AE:$AE,Apartments!$E:$E,A29,Apartments!$B:$B,"July")</f>
        <v>6375</v>
      </c>
      <c r="F29" s="19">
        <f t="shared" si="2"/>
        <v>1.6692360852692475E-2</v>
      </c>
      <c r="G29" s="20">
        <f t="shared" si="3"/>
        <v>5.6338028169014086E-2</v>
      </c>
    </row>
    <row r="30" spans="1:7">
      <c r="A30" s="17" t="str">
        <f>Apartments!E396</f>
        <v>Gilders Yard</v>
      </c>
      <c r="B30" s="18">
        <f>COUNTIFS(Apartments!$E:$E,'Combined Summaries'!A30,Apartments!$B:$B, "July")</f>
        <v>15</v>
      </c>
      <c r="C30" s="85">
        <f>SUMIFS(Apartments!$S:$S,Apartments!$E:$E,A30,Apartments!$B:$B,"July")</f>
        <v>16070</v>
      </c>
      <c r="D30" s="85">
        <f>SUMIFS(Apartments!$U:$U,Apartments!$E:$E,A30,Apartments!$B:$B,"July")</f>
        <v>15725</v>
      </c>
      <c r="E30" s="85">
        <f>SUMIFS(Apartments!$AE:$AE,Apartments!$E:$E,A30,Apartments!$B:$B,"July")</f>
        <v>16340</v>
      </c>
      <c r="F30" s="19">
        <f t="shared" si="2"/>
        <v>1.6801493466085875E-2</v>
      </c>
      <c r="G30" s="20">
        <f t="shared" si="3"/>
        <v>3.9109697933227348E-2</v>
      </c>
    </row>
    <row r="31" spans="1:7">
      <c r="A31" s="17" t="str">
        <f>Apartments!E437</f>
        <v>Hawkins &amp; George</v>
      </c>
      <c r="B31" s="18">
        <f>COUNTIFS(Apartments!$E:$E,'Combined Summaries'!A31,Apartments!$B:$B, "July")</f>
        <v>9</v>
      </c>
      <c r="C31" s="85">
        <f>SUMIFS(Apartments!$S:$S,Apartments!$E:$E,A31,Apartments!$B:$B,"July")</f>
        <v>39962</v>
      </c>
      <c r="D31" s="85">
        <f>SUMIFS(Apartments!$U:$U,Apartments!$E:$E,A31,Apartments!$B:$B,"July")</f>
        <v>37930</v>
      </c>
      <c r="E31" s="85">
        <f>SUMIFS(Apartments!$AE:$AE,Apartments!$E:$E,A31,Apartments!$B:$B,"July")</f>
        <v>40025</v>
      </c>
      <c r="F31" s="19">
        <f t="shared" si="2"/>
        <v>1.5764976727891497E-3</v>
      </c>
      <c r="G31" s="20">
        <f t="shared" si="3"/>
        <v>5.5233324545214867E-2</v>
      </c>
    </row>
    <row r="32" spans="1:7">
      <c r="A32" s="17" t="str">
        <f>Apartments!E636</f>
        <v>Pin Yard</v>
      </c>
      <c r="B32" s="18">
        <f>COUNTIFS(Apartments!$E:$E,'Combined Summaries'!A32,Apartments!$B:$B, "July")</f>
        <v>11</v>
      </c>
      <c r="C32" s="85">
        <f>SUMIFS(Apartments!$S:$S,Apartments!$E:$E,A32,Apartments!$B:$B,"July")</f>
        <v>34290</v>
      </c>
      <c r="D32" s="85">
        <f>SUMIFS(Apartments!$U:$U,Apartments!$E:$E,A32,Apartments!$B:$B,"July")</f>
        <v>32440</v>
      </c>
      <c r="E32" s="85">
        <f>SUMIFS(Apartments!$AE:$AE,Apartments!$E:$E,A32,Apartments!$B:$B,"July")</f>
        <v>34285</v>
      </c>
      <c r="F32" s="19">
        <f t="shared" si="2"/>
        <v>-1.4581510644502772E-4</v>
      </c>
      <c r="G32" s="20">
        <f t="shared" si="3"/>
        <v>5.6874229346485818E-2</v>
      </c>
    </row>
    <row r="33" spans="1:12">
      <c r="A33" s="17" t="str">
        <f>Apartments!E664</f>
        <v>Shillington Old School</v>
      </c>
      <c r="B33" s="18">
        <f>COUNTIFS(Apartments!$E:$E,'Combined Summaries'!A33,Apartments!$B:$B, "July")</f>
        <v>6</v>
      </c>
      <c r="C33" s="85">
        <f>SUMIFS(Apartments!$S:$S,Apartments!$E:$E,A33,Apartments!$B:$B,"July")</f>
        <v>3190</v>
      </c>
      <c r="D33" s="85">
        <f>SUMIFS(Apartments!$U:$U,Apartments!$E:$E,A33,Apartments!$B:$B,"July")</f>
        <v>3110</v>
      </c>
      <c r="E33" s="85">
        <f>SUMIFS(Apartments!$AE:$AE,Apartments!$E:$E,A33,Apartments!$B:$B,"July")</f>
        <v>3310</v>
      </c>
      <c r="F33" s="19">
        <f t="shared" si="2"/>
        <v>3.7617554858934171E-2</v>
      </c>
      <c r="G33" s="20">
        <f t="shared" si="3"/>
        <v>6.4308681672025719E-2</v>
      </c>
    </row>
    <row r="34" spans="1:12">
      <c r="A34" s="17" t="str">
        <f>Apartments!E732</f>
        <v>Tabernacle Street</v>
      </c>
      <c r="B34" s="18">
        <f>COUNTIFS(Apartments!$E:$E,'Combined Summaries'!A34,Apartments!$B:$B, "July")</f>
        <v>0</v>
      </c>
      <c r="C34" s="85">
        <f>SUMIFS(Apartments!$S:$S,Apartments!$E:$E,A34,Apartments!$B:$B,"July")</f>
        <v>0</v>
      </c>
      <c r="D34" s="85">
        <f>SUMIFS(Apartments!$U:$U,Apartments!$E:$E,A34,Apartments!$B:$B,"July")</f>
        <v>0</v>
      </c>
      <c r="E34" s="85">
        <f>SUMIFS(Apartments!$AE:$AE,Apartments!$E:$E,A34,Apartments!$B:$B,"July")</f>
        <v>0</v>
      </c>
      <c r="F34" s="19" t="e">
        <f t="shared" si="2"/>
        <v>#DIV/0!</v>
      </c>
      <c r="G34" s="20" t="e">
        <f t="shared" si="3"/>
        <v>#DIV/0!</v>
      </c>
    </row>
    <row r="35" spans="1:12">
      <c r="A35" s="17" t="str">
        <f>Apartments!E835</f>
        <v>The Condor</v>
      </c>
      <c r="B35" s="18">
        <f>COUNTIFS(Apartments!$E:$E,'Combined Summaries'!A35,Apartments!$B:$B, "July")</f>
        <v>0</v>
      </c>
      <c r="C35" s="85">
        <f>SUMIFS(Apartments!$S:$S,Apartments!$E:$E,A35,Apartments!$B:$B,"July")</f>
        <v>9208.3333333333321</v>
      </c>
      <c r="D35" s="85">
        <f>SUMIFS(Apartments!$U:$U,Apartments!$E:$E,A35,Apartments!$B:$B,"July")</f>
        <v>9205</v>
      </c>
      <c r="E35" s="85">
        <f>SUMIFS(Apartments!$AE:$AE,Apartments!$E:$E,A35,Apartments!$B:$B,"July")</f>
        <v>9375</v>
      </c>
      <c r="F35" s="19">
        <f t="shared" si="2"/>
        <v>1.8099547511312351E-2</v>
      </c>
      <c r="G35" s="20">
        <f t="shared" si="3"/>
        <v>1.8468223791417708E-2</v>
      </c>
    </row>
    <row r="36" spans="1:12">
      <c r="A36" s="17" t="str">
        <f>Apartments!E837</f>
        <v>The Condor</v>
      </c>
      <c r="B36" s="18">
        <f>COUNTIFS(Apartments!$E:$E,'Combined Summaries'!A36,Apartments!$B:$B, "July")</f>
        <v>0</v>
      </c>
      <c r="C36" s="85">
        <f>SUMIFS(Apartments!$S:$S,Apartments!$E:$E,A36,Apartments!$B:$B,"July")</f>
        <v>9208.3333333333321</v>
      </c>
      <c r="D36" s="85">
        <f>SUMIFS(Apartments!$U:$U,Apartments!$E:$E,A36,Apartments!$B:$B,"July")</f>
        <v>9205</v>
      </c>
      <c r="E36" s="85">
        <f>SUMIFS(Apartments!$AE:$AE,Apartments!$E:$E,A36,Apartments!$B:$B,"July")</f>
        <v>9375</v>
      </c>
      <c r="F36" s="19">
        <f t="shared" si="2"/>
        <v>1.8099547511312351E-2</v>
      </c>
      <c r="G36" s="20">
        <f t="shared" si="3"/>
        <v>1.8468223791417708E-2</v>
      </c>
      <c r="L36">
        <f>21*7</f>
        <v>147</v>
      </c>
    </row>
    <row r="37" spans="1:12">
      <c r="A37" s="17" t="str">
        <f>Apartments!E838</f>
        <v>The Condor</v>
      </c>
      <c r="B37" s="18">
        <f>COUNTIFS(Apartments!$E:$E,'Combined Summaries'!A37,Apartments!$B:$B, "July")</f>
        <v>0</v>
      </c>
      <c r="C37" s="85">
        <f>SUMIFS(Apartments!$S:$S,Apartments!$E:$E,A37,Apartments!$B:$B,"July")</f>
        <v>9208.3333333333321</v>
      </c>
      <c r="D37" s="85">
        <f>SUMIFS(Apartments!$U:$U,Apartments!$E:$E,A37,Apartments!$B:$B,"July")</f>
        <v>9205</v>
      </c>
      <c r="E37" s="85">
        <f>SUMIFS(Apartments!$AE:$AE,Apartments!$E:$E,A37,Apartments!$B:$B,"July")</f>
        <v>9375</v>
      </c>
      <c r="F37" s="19">
        <f t="shared" ref="F37:F41" si="4">(E37-C37)/C37</f>
        <v>1.8099547511312351E-2</v>
      </c>
      <c r="G37" s="20">
        <f t="shared" ref="G37:G41" si="5">(E37-D37)/D37</f>
        <v>1.8468223791417708E-2</v>
      </c>
    </row>
    <row r="38" spans="1:12">
      <c r="A38" s="17" t="str">
        <f>Apartments!E1007</f>
        <v>The Forge</v>
      </c>
      <c r="B38" s="18">
        <f>COUNTIFS(Apartments!$E:$E,'Combined Summaries'!A38,Apartments!$B:$B, "July")</f>
        <v>0</v>
      </c>
      <c r="C38" s="85">
        <f>SUMIFS(Apartments!$S:$S,Apartments!$E:$E,A38,Apartments!$B:$B,"July")</f>
        <v>47850</v>
      </c>
      <c r="D38" s="85">
        <f>SUMIFS(Apartments!$U:$U,Apartments!$E:$E,A38,Apartments!$B:$B,"July")</f>
        <v>46010</v>
      </c>
      <c r="E38" s="85">
        <f>SUMIFS(Apartments!$AE:$AE,Apartments!$E:$E,A38,Apartments!$B:$B,"July")</f>
        <v>47875</v>
      </c>
      <c r="F38" s="19">
        <f t="shared" si="4"/>
        <v>5.2246603970741907E-4</v>
      </c>
      <c r="G38" s="20">
        <f t="shared" si="5"/>
        <v>4.0534666376874591E-2</v>
      </c>
    </row>
    <row r="39" spans="1:12">
      <c r="A39" s="17" t="str">
        <f>Apartments!E1034</f>
        <v>The Headline</v>
      </c>
      <c r="B39" s="18">
        <f>COUNTIFS(Apartments!$E:$E,'Combined Summaries'!A39,Apartments!$B:$B, "July")</f>
        <v>25</v>
      </c>
      <c r="C39" s="85">
        <f>SUMIFS(Apartments!$S:$S,Apartments!$E:$E,A39,Apartments!$B:$B,"July")</f>
        <v>17725</v>
      </c>
      <c r="D39" s="85">
        <f>SUMIFS(Apartments!$U:$U,Apartments!$E:$E,A39,Apartments!$B:$B,"July")</f>
        <v>16940</v>
      </c>
      <c r="E39" s="85">
        <f>SUMIFS(Apartments!$AE:$AE,Apartments!$E:$E,A39,Apartments!$B:$B,"July")</f>
        <v>17790</v>
      </c>
      <c r="F39" s="19">
        <f t="shared" si="4"/>
        <v>3.6671368124118475E-3</v>
      </c>
      <c r="G39" s="20">
        <f t="shared" si="5"/>
        <v>5.0177095631641085E-2</v>
      </c>
    </row>
    <row r="40" spans="1:12" ht="15.75" thickBot="1">
      <c r="A40" s="81" t="str">
        <f>Apartments!E1117</f>
        <v>The Tilt Works</v>
      </c>
      <c r="B40" s="18">
        <f>COUNTIFS(Apartments!$E:$E,'Combined Summaries'!A40,Apartments!$B:$B, "July")</f>
        <v>3</v>
      </c>
      <c r="C40" s="85">
        <f>SUMIFS(Apartments!$S:$S,Apartments!$E:$E,A40,Apartments!$B:$B,"July")</f>
        <v>7355</v>
      </c>
      <c r="D40" s="85">
        <f>SUMIFS(Apartments!$U:$U,Apartments!$E:$E,A40,Apartments!$B:$B,"July")</f>
        <v>7030</v>
      </c>
      <c r="E40" s="85">
        <f>SUMIFS(Apartments!$AE:$AE,Apartments!$E:$E,A40,Apartments!$B:$B,"July")</f>
        <v>7185</v>
      </c>
      <c r="F40" s="19">
        <f t="shared" si="4"/>
        <v>-2.3113528212100613E-2</v>
      </c>
      <c r="G40" s="20">
        <f t="shared" si="5"/>
        <v>2.2048364153627313E-2</v>
      </c>
    </row>
    <row r="41" spans="1:12" ht="15.75" thickBot="1">
      <c r="A41" s="22"/>
      <c r="B41" s="23">
        <f>SUM(B27:B40)</f>
        <v>96</v>
      </c>
      <c r="C41" s="89">
        <f>SUM(C27:C40)</f>
        <v>232007.33333333337</v>
      </c>
      <c r="D41" s="89">
        <f>SUM(D27:D40)</f>
        <v>223320</v>
      </c>
      <c r="E41" s="89">
        <f>SUM(E27:E40)</f>
        <v>233270</v>
      </c>
      <c r="F41" s="25">
        <f t="shared" si="4"/>
        <v>5.4423567071154111E-3</v>
      </c>
      <c r="G41" s="25">
        <f t="shared" si="5"/>
        <v>4.4554898799928355E-2</v>
      </c>
    </row>
    <row r="47" spans="1:12" ht="15.75" thickBot="1"/>
    <row r="48" spans="1:12" ht="24">
      <c r="A48" s="32" t="s">
        <v>5064</v>
      </c>
      <c r="B48" s="12" t="s">
        <v>5057</v>
      </c>
      <c r="C48" s="12" t="s">
        <v>5058</v>
      </c>
      <c r="D48" s="12" t="s">
        <v>5059</v>
      </c>
      <c r="E48" s="12" t="s">
        <v>5060</v>
      </c>
      <c r="F48" s="13" t="s">
        <v>5061</v>
      </c>
      <c r="G48" s="13" t="s">
        <v>5062</v>
      </c>
    </row>
    <row r="49" spans="1:7">
      <c r="A49" s="33" t="s">
        <v>1828</v>
      </c>
      <c r="B49" s="18">
        <f>COUNTIFS(Apartments!$E:$E,'Combined Summaries'!A61,Apartments!$B:$B, "July")</f>
        <v>9</v>
      </c>
      <c r="C49" s="85">
        <f>SUMIFS(Apartments!$S:$S,Apartments!$E:$E,A49,Apartments!$B:$B,"July")</f>
        <v>20713.333333333332</v>
      </c>
      <c r="D49" s="85">
        <f>SUMIFS(Apartments!$U:$U,Apartments!$E:$E,A49,Apartments!$B:$B,"July")</f>
        <v>18570</v>
      </c>
      <c r="E49" s="85">
        <f>SUMIFS(Apartments!$AE:$AE,Apartments!$E:$E,A49,Apartments!$B:$B,"July")</f>
        <v>20390</v>
      </c>
      <c r="F49" s="19">
        <f>(E49-C49)/C49</f>
        <v>-1.5609913099452791E-2</v>
      </c>
      <c r="G49" s="20">
        <f>(E49-D49)/D49</f>
        <v>9.8007539041464725E-2</v>
      </c>
    </row>
    <row r="50" spans="1:7">
      <c r="A50" s="34" t="s">
        <v>879</v>
      </c>
      <c r="B50" s="18">
        <f>COUNTIFS(Apartments!$E:$E,'Combined Summaries'!A62,Apartments!$B:$B, "July")</f>
        <v>2</v>
      </c>
      <c r="C50" s="85">
        <f>SUMIFS(Apartments!$S:$S,Apartments!$E:$E,A50,Apartments!$B:$B,"July")</f>
        <v>4745</v>
      </c>
      <c r="D50" s="85">
        <f>SUMIFS(Apartments!$U:$U,Apartments!$E:$E,A50,Apartments!$B:$B,"July")</f>
        <v>4225</v>
      </c>
      <c r="E50" s="85">
        <f>SUMIFS(Apartments!$AE:$AE,Apartments!$E:$E,A50,Apartments!$B:$B,"July")</f>
        <v>4640</v>
      </c>
      <c r="F50" s="19">
        <f t="shared" ref="F50:F71" si="6">(E50-C50)/C50</f>
        <v>-2.2128556375131718E-2</v>
      </c>
      <c r="G50" s="20">
        <f t="shared" ref="G50:G71" si="7">(E50-D50)/D50</f>
        <v>9.8224852071005911E-2</v>
      </c>
    </row>
    <row r="51" spans="1:7">
      <c r="A51" s="34" t="s">
        <v>2030</v>
      </c>
      <c r="B51" s="18">
        <f>COUNTIFS(Apartments!$E:$E,'Combined Summaries'!A63,Apartments!$B:$B, "July")</f>
        <v>3</v>
      </c>
      <c r="C51" s="85">
        <f>SUMIFS(Apartments!$S:$S,Apartments!$E:$E,A51,Apartments!$B:$B,"July")</f>
        <v>0</v>
      </c>
      <c r="D51" s="85">
        <f>SUMIFS(Apartments!$U:$U,Apartments!$E:$E,A51,Apartments!$B:$B,"July")</f>
        <v>0</v>
      </c>
      <c r="E51" s="85">
        <f>SUMIFS(Apartments!$AE:$AE,Apartments!$E:$E,A51,Apartments!$B:$B,"July")</f>
        <v>0</v>
      </c>
      <c r="F51" s="19" t="e">
        <f t="shared" si="6"/>
        <v>#DIV/0!</v>
      </c>
      <c r="G51" s="20" t="e">
        <f t="shared" si="7"/>
        <v>#DIV/0!</v>
      </c>
    </row>
    <row r="52" spans="1:7">
      <c r="A52" s="34" t="s">
        <v>1587</v>
      </c>
      <c r="B52" s="18">
        <f>COUNTIFS(Apartments!$E:$E,'Combined Summaries'!A64,Apartments!$B:$B, "July")</f>
        <v>5</v>
      </c>
      <c r="C52" s="85">
        <f>SUMIFS(Apartments!$S:$S,Apartments!$E:$E,A52,Apartments!$B:$B,"July")</f>
        <v>7800.75</v>
      </c>
      <c r="D52" s="85">
        <f>SUMIFS(Apartments!$U:$U,Apartments!$E:$E,A52,Apartments!$B:$B,"July")</f>
        <v>7800.75</v>
      </c>
      <c r="E52" s="85">
        <f>SUMIFS(Apartments!$AE:$AE,Apartments!$E:$E,A52,Apartments!$B:$B,"July")</f>
        <v>8195</v>
      </c>
      <c r="F52" s="19">
        <f t="shared" si="6"/>
        <v>5.054001217831619E-2</v>
      </c>
      <c r="G52" s="20">
        <f t="shared" si="7"/>
        <v>5.054001217831619E-2</v>
      </c>
    </row>
    <row r="53" spans="1:7">
      <c r="A53" s="34" t="s">
        <v>1593</v>
      </c>
      <c r="B53" s="18">
        <f>COUNTIFS(Apartments!$E:$E,'Combined Summaries'!A65,Apartments!$B:$B, "July")</f>
        <v>1</v>
      </c>
      <c r="C53" s="85">
        <f>SUMIFS(Apartments!$S:$S,Apartments!$E:$E,A53,Apartments!$B:$B,"July")</f>
        <v>1765</v>
      </c>
      <c r="D53" s="85">
        <f>SUMIFS(Apartments!$U:$U,Apartments!$E:$E,A53,Apartments!$B:$B,"July")</f>
        <v>1585</v>
      </c>
      <c r="E53" s="85">
        <f>SUMIFS(Apartments!$AE:$AE,Apartments!$E:$E,A53,Apartments!$B:$B,"July")</f>
        <v>1775</v>
      </c>
      <c r="F53" s="19">
        <f t="shared" si="6"/>
        <v>5.6657223796033997E-3</v>
      </c>
      <c r="G53" s="20">
        <f t="shared" si="7"/>
        <v>0.11987381703470032</v>
      </c>
    </row>
    <row r="54" spans="1:7">
      <c r="A54" s="34" t="s">
        <v>84</v>
      </c>
      <c r="B54" s="18">
        <f>COUNTIFS(Apartments!$E:$E,'Combined Summaries'!A66,Apartments!$B:$B, "July")</f>
        <v>3</v>
      </c>
      <c r="C54" s="85">
        <f>SUMIFS(Apartments!$S:$S,Apartments!$E:$E,A54,Apartments!$B:$B,"July")</f>
        <v>4120</v>
      </c>
      <c r="D54" s="85">
        <f>SUMIFS(Apartments!$U:$U,Apartments!$E:$E,A54,Apartments!$B:$B,"July")</f>
        <v>3845</v>
      </c>
      <c r="E54" s="85">
        <f>SUMIFS(Apartments!$AE:$AE,Apartments!$E:$E,A54,Apartments!$B:$B,"July")</f>
        <v>4165</v>
      </c>
      <c r="F54" s="19">
        <f t="shared" si="6"/>
        <v>1.0922330097087379E-2</v>
      </c>
      <c r="G54" s="20">
        <f t="shared" si="7"/>
        <v>8.3224967490247076E-2</v>
      </c>
    </row>
    <row r="55" spans="1:7">
      <c r="A55" s="34" t="s">
        <v>411</v>
      </c>
      <c r="B55" s="18">
        <f>COUNTIFS(Apartments!$E:$E,'Combined Summaries'!A67,Apartments!$B:$B, "July")</f>
        <v>3</v>
      </c>
      <c r="C55" s="85">
        <f>SUMIFS(Apartments!$S:$S,Apartments!$E:$E,A55,Apartments!$B:$B,"July")</f>
        <v>6712.3333333333321</v>
      </c>
      <c r="D55" s="85">
        <f>SUMIFS(Apartments!$U:$U,Apartments!$E:$E,A55,Apartments!$B:$B,"July")</f>
        <v>6255</v>
      </c>
      <c r="E55" s="85">
        <f>SUMIFS(Apartments!$AE:$AE,Apartments!$E:$E,A55,Apartments!$B:$B,"July")</f>
        <v>6550</v>
      </c>
      <c r="F55" s="19">
        <f t="shared" si="6"/>
        <v>-2.4184337289566295E-2</v>
      </c>
      <c r="G55" s="20">
        <f t="shared" si="7"/>
        <v>4.7162270183852918E-2</v>
      </c>
    </row>
    <row r="56" spans="1:7">
      <c r="A56" s="34" t="s">
        <v>1015</v>
      </c>
      <c r="B56" s="18">
        <f>COUNTIFS(Apartments!$E:$E,'Combined Summaries'!A68,Apartments!$B:$B, "July")</f>
        <v>2</v>
      </c>
      <c r="C56" s="85">
        <f>SUMIFS(Apartments!$S:$S,Apartments!$E:$E,A56,Apartments!$B:$B,"July")</f>
        <v>6270.3333333333339</v>
      </c>
      <c r="D56" s="85">
        <f>SUMIFS(Apartments!$U:$U,Apartments!$E:$E,A56,Apartments!$B:$B,"July")</f>
        <v>6035</v>
      </c>
      <c r="E56" s="85">
        <f>SUMIFS(Apartments!$AE:$AE,Apartments!$E:$E,A56,Apartments!$B:$B,"July")</f>
        <v>6375</v>
      </c>
      <c r="F56" s="19">
        <f t="shared" si="6"/>
        <v>1.6692360852692475E-2</v>
      </c>
      <c r="G56" s="20">
        <f t="shared" si="7"/>
        <v>5.6338028169014086E-2</v>
      </c>
    </row>
    <row r="57" spans="1:7">
      <c r="A57" s="34" t="s">
        <v>1897</v>
      </c>
      <c r="B57" s="18">
        <f>COUNTIFS(Apartments!$E:$E,'Combined Summaries'!A69,Apartments!$B:$B, "July")</f>
        <v>0</v>
      </c>
      <c r="C57" s="85">
        <f>SUMIFS(Apartments!$S:$S,Apartments!$E:$E,A57,Apartments!$B:$B,"July")</f>
        <v>0</v>
      </c>
      <c r="D57" s="85">
        <f>SUMIFS(Apartments!$U:$U,Apartments!$E:$E,A57,Apartments!$B:$B,"July")</f>
        <v>0</v>
      </c>
      <c r="E57" s="85">
        <f>SUMIFS(Apartments!$AE:$AE,Apartments!$E:$E,A57,Apartments!$B:$B,"July")</f>
        <v>0</v>
      </c>
      <c r="F57" s="19" t="e">
        <f t="shared" si="6"/>
        <v>#DIV/0!</v>
      </c>
      <c r="G57" s="20" t="e">
        <f t="shared" si="7"/>
        <v>#DIV/0!</v>
      </c>
    </row>
    <row r="58" spans="1:7">
      <c r="A58" s="34" t="s">
        <v>322</v>
      </c>
      <c r="B58" s="18">
        <f>COUNTIFS(Apartments!$E:$E,'Combined Summaries'!A70,Apartments!$B:$B, "July")</f>
        <v>2</v>
      </c>
      <c r="C58" s="85">
        <f>SUMIFS(Apartments!$S:$S,Apartments!$E:$E,A58,Apartments!$B:$B,"July")</f>
        <v>5710</v>
      </c>
      <c r="D58" s="85">
        <f>SUMIFS(Apartments!$U:$U,Apartments!$E:$E,A58,Apartments!$B:$B,"July")</f>
        <v>5470</v>
      </c>
      <c r="E58" s="85">
        <f>SUMIFS(Apartments!$AE:$AE,Apartments!$E:$E,A58,Apartments!$B:$B,"July")</f>
        <v>5800</v>
      </c>
      <c r="F58" s="19">
        <f t="shared" si="6"/>
        <v>1.5761821366024518E-2</v>
      </c>
      <c r="G58" s="20">
        <f t="shared" si="7"/>
        <v>6.0329067641681902E-2</v>
      </c>
    </row>
    <row r="59" spans="1:7">
      <c r="A59" s="34" t="s">
        <v>1217</v>
      </c>
      <c r="B59" s="18">
        <f>COUNTIFS(Apartments!$E:$E,'Combined Summaries'!A71,Apartments!$B:$B, "July")</f>
        <v>3</v>
      </c>
      <c r="C59" s="85">
        <f>SUMIFS(Apartments!$S:$S,Apartments!$E:$E,A59,Apartments!$B:$B,"July")</f>
        <v>6607.3333333333321</v>
      </c>
      <c r="D59" s="85">
        <f>SUMIFS(Apartments!$U:$U,Apartments!$E:$E,A59,Apartments!$B:$B,"July")</f>
        <v>6460</v>
      </c>
      <c r="E59" s="85">
        <f>SUMIFS(Apartments!$AE:$AE,Apartments!$E:$E,A59,Apartments!$B:$B,"July")</f>
        <v>6765</v>
      </c>
      <c r="F59" s="19">
        <f t="shared" si="6"/>
        <v>2.3862375138734928E-2</v>
      </c>
      <c r="G59" s="20">
        <f t="shared" si="7"/>
        <v>4.7213622291021669E-2</v>
      </c>
    </row>
    <row r="60" spans="1:7">
      <c r="A60" s="34" t="s">
        <v>1779</v>
      </c>
      <c r="B60" s="18">
        <f>COUNTIFS(Apartments!$E:$E,'Combined Summaries'!A72,Apartments!$B:$B, "July")</f>
        <v>6</v>
      </c>
      <c r="C60" s="85">
        <f>SUMIFS(Apartments!$S:$S,Apartments!$E:$E,A60,Apartments!$B:$B,"July")</f>
        <v>0</v>
      </c>
      <c r="D60" s="85">
        <f>SUMIFS(Apartments!$U:$U,Apartments!$E:$E,A60,Apartments!$B:$B,"July")</f>
        <v>0</v>
      </c>
      <c r="E60" s="85">
        <f>SUMIFS(Apartments!$AE:$AE,Apartments!$E:$E,A60,Apartments!$B:$B,"July")</f>
        <v>0</v>
      </c>
      <c r="F60" s="19" t="e">
        <f t="shared" si="6"/>
        <v>#DIV/0!</v>
      </c>
      <c r="G60" s="20" t="e">
        <f t="shared" si="7"/>
        <v>#DIV/0!</v>
      </c>
    </row>
    <row r="61" spans="1:7">
      <c r="A61" s="34" t="s">
        <v>2154</v>
      </c>
      <c r="B61" s="18">
        <f>COUNTIFS(Apartments!$E:$E,'Combined Summaries'!A73,Apartments!$B:$B, "July")</f>
        <v>2</v>
      </c>
      <c r="C61" s="85">
        <f>SUMIFS(Apartments!$S:$S,Apartments!$E:$E,A61,Apartments!$B:$B,"July")</f>
        <v>3190</v>
      </c>
      <c r="D61" s="85">
        <f>SUMIFS(Apartments!$U:$U,Apartments!$E:$E,A61,Apartments!$B:$B,"July")</f>
        <v>3110</v>
      </c>
      <c r="E61" s="85">
        <f>SUMIFS(Apartments!$AE:$AE,Apartments!$E:$E,A61,Apartments!$B:$B,"July")</f>
        <v>3310</v>
      </c>
      <c r="F61" s="19">
        <f t="shared" si="6"/>
        <v>3.7617554858934171E-2</v>
      </c>
      <c r="G61" s="20">
        <f t="shared" si="7"/>
        <v>6.4308681672025719E-2</v>
      </c>
    </row>
    <row r="62" spans="1:7">
      <c r="A62" s="34" t="s">
        <v>1140</v>
      </c>
      <c r="B62" s="18">
        <f>COUNTIFS(Apartments!$E:$E,'Combined Summaries'!A74,Apartments!$B:$B, "July")</f>
        <v>5</v>
      </c>
      <c r="C62" s="85">
        <f>SUMIFS(Apartments!$S:$S,Apartments!$E:$E,A62,Apartments!$B:$B,"July")</f>
        <v>13901.333333333334</v>
      </c>
      <c r="D62" s="85">
        <f>SUMIFS(Apartments!$U:$U,Apartments!$E:$E,A62,Apartments!$B:$B,"July")</f>
        <v>13490</v>
      </c>
      <c r="E62" s="85">
        <f>SUMIFS(Apartments!$AE:$AE,Apartments!$E:$E,A62,Apartments!$B:$B,"July")</f>
        <v>14330</v>
      </c>
      <c r="F62" s="19">
        <f t="shared" si="6"/>
        <v>3.0836370611931663E-2</v>
      </c>
      <c r="G62" s="20">
        <f t="shared" si="7"/>
        <v>6.2268346923647147E-2</v>
      </c>
    </row>
    <row r="63" spans="1:7">
      <c r="A63" s="34" t="s">
        <v>1086</v>
      </c>
      <c r="B63" s="18">
        <f>COUNTIFS(Apartments!$E:$E,'Combined Summaries'!A75,Apartments!$B:$B, "July")</f>
        <v>8</v>
      </c>
      <c r="C63" s="85">
        <f>SUMIFS(Apartments!$S:$S,Apartments!$E:$E,A63,Apartments!$B:$B,"July")</f>
        <v>8047</v>
      </c>
      <c r="D63" s="85">
        <f>SUMIFS(Apartments!$U:$U,Apartments!$E:$E,A63,Apartments!$B:$B,"July")</f>
        <v>7910</v>
      </c>
      <c r="E63" s="85">
        <f>SUMIFS(Apartments!$AE:$AE,Apartments!$E:$E,A63,Apartments!$B:$B,"July")</f>
        <v>8235</v>
      </c>
      <c r="F63" s="19">
        <f t="shared" si="6"/>
        <v>2.3362743879706722E-2</v>
      </c>
      <c r="G63" s="20">
        <f t="shared" si="7"/>
        <v>4.1087231352718079E-2</v>
      </c>
    </row>
    <row r="64" spans="1:7">
      <c r="A64" s="34" t="s">
        <v>1546</v>
      </c>
      <c r="B64" s="18">
        <f>COUNTIFS(Apartments!$E:$E,'Combined Summaries'!A76,Apartments!$B:$B, "July")</f>
        <v>2</v>
      </c>
      <c r="C64" s="85">
        <f>SUMIFS(Apartments!$S:$S,Apartments!$E:$E,A64,Apartments!$B:$B,"July")</f>
        <v>3565</v>
      </c>
      <c r="D64" s="85">
        <f>SUMIFS(Apartments!$U:$U,Apartments!$E:$E,A64,Apartments!$B:$B,"July")</f>
        <v>3565</v>
      </c>
      <c r="E64" s="85">
        <f>SUMIFS(Apartments!$AE:$AE,Apartments!$E:$E,A64,Apartments!$B:$B,"July")</f>
        <v>3725</v>
      </c>
      <c r="F64" s="19">
        <f t="shared" si="6"/>
        <v>4.4880785413744739E-2</v>
      </c>
      <c r="G64" s="20">
        <f t="shared" si="7"/>
        <v>4.4880785413744739E-2</v>
      </c>
    </row>
    <row r="65" spans="1:7">
      <c r="A65" s="34" t="s">
        <v>1145</v>
      </c>
      <c r="B65" s="18">
        <f>COUNTIFS(Apartments!$E:$E,'Combined Summaries'!A77,Apartments!$B:$B, "July")</f>
        <v>0</v>
      </c>
      <c r="C65" s="85">
        <f>SUMIFS(Apartments!$S:$S,Apartments!$E:$E,A65,Apartments!$B:$B,"July")</f>
        <v>0</v>
      </c>
      <c r="D65" s="85">
        <f>SUMIFS(Apartments!$U:$U,Apartments!$E:$E,A65,Apartments!$B:$B,"July")</f>
        <v>0</v>
      </c>
      <c r="E65" s="85">
        <f>SUMIFS(Apartments!$AE:$AE,Apartments!$E:$E,A65,Apartments!$B:$B,"July")</f>
        <v>0</v>
      </c>
      <c r="F65" s="19" t="e">
        <f t="shared" si="6"/>
        <v>#DIV/0!</v>
      </c>
      <c r="G65" s="20" t="e">
        <f t="shared" si="7"/>
        <v>#DIV/0!</v>
      </c>
    </row>
    <row r="66" spans="1:7">
      <c r="A66" s="34" t="s">
        <v>118</v>
      </c>
      <c r="B66" s="18">
        <f>COUNTIFS(Apartments!$E:$E,'Combined Summaries'!A78,Apartments!$B:$B, "July")</f>
        <v>9</v>
      </c>
      <c r="C66" s="85">
        <f>SUMIFS(Apartments!$S:$S,Apartments!$E:$E,A66,Apartments!$B:$B,"July")</f>
        <v>16250</v>
      </c>
      <c r="D66" s="85">
        <f>SUMIFS(Apartments!$U:$U,Apartments!$E:$E,A66,Apartments!$B:$B,"July")</f>
        <v>15207.95</v>
      </c>
      <c r="E66" s="85">
        <f>SUMIFS(Apartments!$AE:$AE,Apartments!$E:$E,A66,Apartments!$B:$B,"July")</f>
        <v>16190</v>
      </c>
      <c r="F66" s="19">
        <f t="shared" si="6"/>
        <v>-3.6923076923076922E-3</v>
      </c>
      <c r="G66" s="20">
        <f t="shared" si="7"/>
        <v>6.4574778323179607E-2</v>
      </c>
    </row>
    <row r="67" spans="1:7">
      <c r="A67" s="34" t="s">
        <v>3228</v>
      </c>
      <c r="B67" s="18">
        <f>COUNTIFS(Apartments!$E:$E,'Combined Summaries'!A79,Apartments!$B:$B, "July")</f>
        <v>3</v>
      </c>
      <c r="C67" s="85">
        <f>SUMIFS(Apartments!$S:$S,Apartments!$E:$E,A67,Apartments!$B:$B,"July")</f>
        <v>7100</v>
      </c>
      <c r="D67" s="85">
        <f>SUMIFS(Apartments!$U:$U,Apartments!$E:$E,A67,Apartments!$B:$B,"July")</f>
        <v>7100</v>
      </c>
      <c r="E67" s="85">
        <f>SUMIFS(Apartments!$AE:$AE,Apartments!$E:$E,A67,Apartments!$B:$B,"July")</f>
        <v>7385</v>
      </c>
      <c r="F67" s="19">
        <f t="shared" si="6"/>
        <v>4.0140845070422537E-2</v>
      </c>
      <c r="G67" s="20">
        <f t="shared" si="7"/>
        <v>4.0140845070422537E-2</v>
      </c>
    </row>
    <row r="68" spans="1:7">
      <c r="A68" s="34" t="s">
        <v>928</v>
      </c>
      <c r="B68" s="18">
        <f>COUNTIFS(Apartments!$E:$E,'Combined Summaries'!A80,Apartments!$B:$B, "July")</f>
        <v>2</v>
      </c>
      <c r="C68" s="85">
        <f>SUMIFS(Apartments!$S:$S,Apartments!$E:$E,A68,Apartments!$B:$B,"July")</f>
        <v>0</v>
      </c>
      <c r="D68" s="85">
        <f>SUMIFS(Apartments!$U:$U,Apartments!$E:$E,A68,Apartments!$B:$B,"July")</f>
        <v>0</v>
      </c>
      <c r="E68" s="85">
        <f>SUMIFS(Apartments!$AE:$AE,Apartments!$E:$E,A68,Apartments!$B:$B,"July")</f>
        <v>0</v>
      </c>
      <c r="F68" s="19" t="e">
        <f t="shared" si="6"/>
        <v>#DIV/0!</v>
      </c>
      <c r="G68" s="20" t="e">
        <f t="shared" si="7"/>
        <v>#DIV/0!</v>
      </c>
    </row>
    <row r="69" spans="1:7">
      <c r="A69" s="34" t="s">
        <v>3258</v>
      </c>
      <c r="B69" s="18">
        <f>COUNTIFS(Apartments!$E:$E,'Combined Summaries'!A81,Apartments!$B:$B, "July")</f>
        <v>3</v>
      </c>
      <c r="C69" s="85">
        <f>SUMIFS(Apartments!$S:$S,Apartments!$E:$E,A69,Apartments!$B:$B,"July")</f>
        <v>7293.15</v>
      </c>
      <c r="D69" s="85">
        <f>SUMIFS(Apartments!$U:$U,Apartments!$E:$E,A69,Apartments!$B:$B,"July")</f>
        <v>7293.15</v>
      </c>
      <c r="E69" s="85">
        <f>SUMIFS(Apartments!$AE:$AE,Apartments!$E:$E,A69,Apartments!$B:$B,"July")</f>
        <v>7670</v>
      </c>
      <c r="F69" s="19">
        <f t="shared" si="6"/>
        <v>5.1671774199077272E-2</v>
      </c>
      <c r="G69" s="20">
        <f t="shared" si="7"/>
        <v>5.1671774199077272E-2</v>
      </c>
    </row>
    <row r="70" spans="1:7">
      <c r="A70" s="34" t="s">
        <v>126</v>
      </c>
      <c r="B70" s="18">
        <f>COUNTIFS(Apartments!$E:$E,'Combined Summaries'!A82,Apartments!$B:$B, "July")</f>
        <v>9</v>
      </c>
      <c r="C70" s="85">
        <f>SUMIFS(Apartments!$S:$S,Apartments!$E:$E,A70,Apartments!$B:$B,"July")</f>
        <v>19405</v>
      </c>
      <c r="D70" s="85">
        <f>SUMIFS(Apartments!$U:$U,Apartments!$E:$E,A70,Apartments!$B:$B,"July")</f>
        <v>19405</v>
      </c>
      <c r="E70" s="85">
        <f>SUMIFS(Apartments!$AE:$AE,Apartments!$E:$E,A70,Apartments!$B:$B,"July")</f>
        <v>20375</v>
      </c>
      <c r="F70" s="19">
        <f t="shared" si="6"/>
        <v>4.9987116722494201E-2</v>
      </c>
      <c r="G70" s="20">
        <f>(E70-D70)/D70</f>
        <v>4.9987116722494201E-2</v>
      </c>
    </row>
    <row r="71" spans="1:7" ht="15.75" thickBot="1">
      <c r="A71" s="35" t="s">
        <v>1051</v>
      </c>
      <c r="B71" s="18">
        <f>COUNTIFS(Apartments!$E:$E,'Combined Summaries'!A83,Apartments!$B:$B, "July")</f>
        <v>3</v>
      </c>
      <c r="C71" s="85">
        <f>SUMIFS(Apartments!$S:$S,Apartments!$E:$E,A71,Apartments!$B:$B,"July")</f>
        <v>7521.75</v>
      </c>
      <c r="D71" s="85">
        <f>SUMIFS(Apartments!$U:$U,Apartments!$E:$E,A71,Apartments!$B:$B,"July")</f>
        <v>7521.75</v>
      </c>
      <c r="E71" s="85">
        <f>SUMIFS(Apartments!$AE:$AE,Apartments!$E:$E,A71,Apartments!$B:$B,"July")</f>
        <v>7925</v>
      </c>
      <c r="F71" s="19">
        <f t="shared" si="6"/>
        <v>5.3611194203476584E-2</v>
      </c>
      <c r="G71" s="20">
        <f t="shared" si="7"/>
        <v>5.3611194203476584E-2</v>
      </c>
    </row>
    <row r="72" spans="1:7" ht="15.75" thickBot="1">
      <c r="A72" s="36"/>
      <c r="B72" s="37">
        <f>SUBTOTAL(9,B49:B71)</f>
        <v>85</v>
      </c>
      <c r="C72" s="31">
        <f>SUM(C49:C71)</f>
        <v>150717.31666666665</v>
      </c>
      <c r="D72" s="31">
        <f>SUM(D49:D71)</f>
        <v>144848.59999999998</v>
      </c>
      <c r="E72" s="31">
        <f>SUM(E49:E71)</f>
        <v>153800</v>
      </c>
      <c r="F72" s="25">
        <f>(E72-C72)/C72</f>
        <v>2.0453411734705662E-2</v>
      </c>
      <c r="G72" s="25">
        <f>(E72-D72)/D72</f>
        <v>6.1798319072466183E-2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DD876-ECE1-43CB-98F3-2A984449FB11}">
  <dimension ref="A1:G72"/>
  <sheetViews>
    <sheetView topLeftCell="A33" workbookViewId="0">
      <selection activeCell="N55" sqref="N55"/>
    </sheetView>
  </sheetViews>
  <sheetFormatPr defaultRowHeight="15"/>
  <cols>
    <col min="1" max="1" width="19.28515625" bestFit="1" customWidth="1"/>
    <col min="6" max="6" width="10.85546875" customWidth="1"/>
  </cols>
  <sheetData>
    <row r="1" spans="1:7" ht="36">
      <c r="A1" s="11" t="s">
        <v>3</v>
      </c>
      <c r="B1" s="12" t="s">
        <v>5057</v>
      </c>
      <c r="C1" s="12" t="s">
        <v>5058</v>
      </c>
      <c r="D1" s="12" t="s">
        <v>5059</v>
      </c>
      <c r="E1" s="12" t="s">
        <v>5060</v>
      </c>
      <c r="F1" s="13" t="s">
        <v>5061</v>
      </c>
      <c r="G1" s="13" t="s">
        <v>5062</v>
      </c>
    </row>
    <row r="2" spans="1:7">
      <c r="A2" s="17" t="s">
        <v>109</v>
      </c>
      <c r="B2" s="18">
        <f>COUNTIFS(Apartments!D:D,'August Summary'!$A2,Apartments!B:B,Apartments!B63)</f>
        <v>78</v>
      </c>
      <c r="C2" s="85">
        <f>SUMIFS(Apartments!S:S,Apartments!D:D,'August Summary'!$A2,Apartments!B:B,Apartments!B63)</f>
        <v>136603.66666666669</v>
      </c>
      <c r="D2" s="85">
        <f>SUMIFS(Apartments!U:U,Apartments!D:D,'August Summary'!$A2,Apartments!B:B,Apartments!B63)</f>
        <v>131992.95000000001</v>
      </c>
      <c r="E2" s="85">
        <f>SUMIFS(Apartments!AE:AE,Apartments!D:D,'August Summary'!$A2,Apartments!B:B,Apartments!B63)</f>
        <v>139130</v>
      </c>
      <c r="F2" s="19">
        <f>($E2-$C2)/$C2</f>
        <v>1.8493891086378698E-2</v>
      </c>
      <c r="G2" s="20">
        <f>($E2-$D2)/$D2</f>
        <v>5.407144851296973E-2</v>
      </c>
    </row>
    <row r="3" spans="1:7">
      <c r="A3" s="17" t="s">
        <v>45</v>
      </c>
      <c r="B3" s="18">
        <f>B41</f>
        <v>110</v>
      </c>
      <c r="C3" s="85">
        <f>C41</f>
        <v>352218.33333333331</v>
      </c>
      <c r="D3" s="85">
        <f>D41</f>
        <v>343658.28</v>
      </c>
      <c r="E3" s="85">
        <f>E41</f>
        <v>358080</v>
      </c>
      <c r="F3" s="19">
        <f>(E3-C3)/C3</f>
        <v>1.6642139581982823E-2</v>
      </c>
      <c r="G3" s="20">
        <f>(E3-D3)/D3</f>
        <v>4.196529180091331E-2</v>
      </c>
    </row>
    <row r="4" spans="1:7">
      <c r="A4" s="17" t="s">
        <v>83</v>
      </c>
      <c r="B4" s="18">
        <f>B72</f>
        <v>104</v>
      </c>
      <c r="C4" s="85">
        <f>C72</f>
        <v>190591.93333333335</v>
      </c>
      <c r="D4" s="85">
        <f>D72</f>
        <v>185304.17</v>
      </c>
      <c r="E4" s="85">
        <f>E72</f>
        <v>195015</v>
      </c>
      <c r="F4" s="19">
        <f>(E4-C4)/C4</f>
        <v>2.3206998267502669E-2</v>
      </c>
      <c r="G4" s="20">
        <f>(E4-D4)/D4</f>
        <v>5.2404810965667889E-2</v>
      </c>
    </row>
    <row r="5" spans="1:7" ht="15.75" thickBot="1">
      <c r="A5" s="17" t="s">
        <v>103</v>
      </c>
      <c r="B5" s="18" t="e">
        <f>#REF!</f>
        <v>#REF!</v>
      </c>
      <c r="C5" s="85"/>
      <c r="D5" s="85" t="e">
        <f>#REF!</f>
        <v>#REF!</v>
      </c>
      <c r="E5" s="85" t="e">
        <f>#REF!</f>
        <v>#REF!</v>
      </c>
      <c r="F5" s="19"/>
      <c r="G5" s="20" t="e">
        <f>(E5-D5)/D5</f>
        <v>#REF!</v>
      </c>
    </row>
    <row r="6" spans="1:7" ht="15.75" thickBot="1">
      <c r="A6" s="21" t="s">
        <v>209</v>
      </c>
      <c r="B6" s="18">
        <f>COUNTIFS(Apartments!D:D,'August Summary'!$A6,Apartments!B:B,Apartments!B67)</f>
        <v>11</v>
      </c>
      <c r="C6" s="85">
        <f>SUMIFS(Apartments!S:S,Apartments!D:D,'August Summary'!$A6,Apartments!B:B,Apartments!B67)</f>
        <v>0</v>
      </c>
      <c r="D6" s="85">
        <f>SUMIFS(Apartments!U:U,Apartments!D:D,'August Summary'!$A6,Apartments!B:B,Apartments!B67)</f>
        <v>25475</v>
      </c>
      <c r="E6" s="85">
        <f>SUMIFS(Apartments!AE:AE,Apartments!D:D,'August Summary'!$A6,Apartments!B:B,Apartments!B67)</f>
        <v>26435</v>
      </c>
      <c r="F6" s="19"/>
      <c r="G6" s="20">
        <f>($E6-$D6)/$D6</f>
        <v>3.7684003925417077E-2</v>
      </c>
    </row>
    <row r="7" spans="1:7" ht="15.75" thickBot="1">
      <c r="A7" s="22"/>
      <c r="B7" s="23"/>
      <c r="C7" s="86"/>
      <c r="D7" s="86"/>
      <c r="E7" s="86"/>
      <c r="F7" s="87"/>
      <c r="G7" s="88"/>
    </row>
    <row r="9" spans="1:7" ht="15.75" thickBot="1"/>
    <row r="10" spans="1:7" ht="36">
      <c r="A10" s="11" t="s">
        <v>5063</v>
      </c>
      <c r="B10" s="12" t="s">
        <v>5057</v>
      </c>
      <c r="C10" s="12" t="s">
        <v>5058</v>
      </c>
      <c r="D10" s="12" t="s">
        <v>5059</v>
      </c>
      <c r="E10" s="12" t="s">
        <v>5060</v>
      </c>
      <c r="F10" s="13" t="s">
        <v>5061</v>
      </c>
      <c r="G10" s="13" t="s">
        <v>5062</v>
      </c>
    </row>
    <row r="11" spans="1:7">
      <c r="A11" s="17" t="s">
        <v>1192</v>
      </c>
      <c r="B11" s="18">
        <f>COUNTIFS(Apartments!$E:$E,'Combined Summaries'!A11,Apartments!$B:$B, "August")</f>
        <v>10</v>
      </c>
      <c r="C11" s="85">
        <f>SUMIFS(Apartments!$S:$S,Apartments!$E:$E,A11,Apartments!$B:$B,"August")</f>
        <v>17426</v>
      </c>
      <c r="D11" s="85">
        <f>SUMIFS(Apartments!$U:$U,Apartments!$E:$E,A11,Apartments!$B:$B,"August")</f>
        <v>16880</v>
      </c>
      <c r="E11" s="85">
        <f>SUMIFS(Apartments!$AE:$AE,Apartments!$E:$E,A11,Apartments!$B:$B,"August")</f>
        <v>17590</v>
      </c>
      <c r="F11" s="19">
        <f>($E11-$C11)/$C11</f>
        <v>9.4112246069092166E-3</v>
      </c>
      <c r="G11" s="20">
        <f>($E11-$D11)/$D11</f>
        <v>4.206161137440758E-2</v>
      </c>
    </row>
    <row r="12" spans="1:7">
      <c r="A12" s="17" t="s">
        <v>1079</v>
      </c>
      <c r="B12" s="18">
        <f>COUNTIFS(Apartments!$E:$E,'Combined Summaries'!A12,Apartments!$B:$B, "August")</f>
        <v>15</v>
      </c>
      <c r="C12" s="85">
        <f>SUMIFS(Apartments!$S:$S,Apartments!$E:$E,A12,Apartments!$B:$B,"August")</f>
        <v>33460</v>
      </c>
      <c r="D12" s="85">
        <f>SUMIFS(Apartments!$U:$U,Apartments!$E:$E,A12,Apartments!$B:$B,"August")</f>
        <v>30465</v>
      </c>
      <c r="E12" s="85">
        <f>SUMIFS(Apartments!$AE:$AE,Apartments!$E:$E,A12,Apartments!$B:$B,"August")</f>
        <v>33460</v>
      </c>
      <c r="F12" s="19">
        <f t="shared" ref="F12:F20" si="0">($E12-$C12)/$C12</f>
        <v>0</v>
      </c>
      <c r="G12" s="20">
        <f t="shared" ref="G12:G20" si="1">($E12-$D12)/$D12</f>
        <v>9.8309535532578374E-2</v>
      </c>
    </row>
    <row r="13" spans="1:7">
      <c r="A13" s="17" t="s">
        <v>1122</v>
      </c>
      <c r="B13" s="18">
        <f>COUNTIFS(Apartments!$E:$E,'Combined Summaries'!A13,Apartments!$B:$B, "August")</f>
        <v>12</v>
      </c>
      <c r="C13" s="85">
        <f>SUMIFS(Apartments!$S:$S,Apartments!$E:$E,A13,Apartments!$B:$B,"August")</f>
        <v>31637.666666666672</v>
      </c>
      <c r="D13" s="85">
        <f>SUMIFS(Apartments!$U:$U,Apartments!$E:$E,A13,Apartments!$B:$B,"August")</f>
        <v>30495</v>
      </c>
      <c r="E13" s="85">
        <f>SUMIFS(Apartments!$AE:$AE,Apartments!$E:$E,A13,Apartments!$B:$B,"August")</f>
        <v>31795</v>
      </c>
      <c r="F13" s="19">
        <f t="shared" si="0"/>
        <v>4.9729752510192004E-3</v>
      </c>
      <c r="G13" s="20">
        <f t="shared" si="1"/>
        <v>4.26299393343171E-2</v>
      </c>
    </row>
    <row r="14" spans="1:7">
      <c r="A14" s="17" t="s">
        <v>942</v>
      </c>
      <c r="B14" s="18">
        <f>COUNTIFS(Apartments!$E:$E,'Combined Summaries'!A14,Apartments!$B:$B, "August")</f>
        <v>7</v>
      </c>
      <c r="C14" s="85">
        <f>SUMIFS(Apartments!$S:$S,Apartments!$E:$E,A14,Apartments!$B:$B,"August")</f>
        <v>8875</v>
      </c>
      <c r="D14" s="85">
        <f>SUMIFS(Apartments!$U:$U,Apartments!$E:$E,A14,Apartments!$B:$B,"August")</f>
        <v>8520</v>
      </c>
      <c r="E14" s="85">
        <f>SUMIFS(Apartments!$AE:$AE,Apartments!$E:$E,A14,Apartments!$B:$B,"August")</f>
        <v>8950</v>
      </c>
      <c r="F14" s="19">
        <f t="shared" si="0"/>
        <v>8.4507042253521118E-3</v>
      </c>
      <c r="G14" s="20">
        <f t="shared" si="1"/>
        <v>5.0469483568075117E-2</v>
      </c>
    </row>
    <row r="15" spans="1:7">
      <c r="A15" s="126" t="s">
        <v>866</v>
      </c>
      <c r="B15" s="18">
        <f>COUNTIFS(Apartments!$E:$E,'Combined Summaries'!A15,Apartments!$B:$B, "August")</f>
        <v>8</v>
      </c>
      <c r="C15" s="85">
        <f>SUMIFS(Apartments!$S:$S,Apartments!$E:$E,A15,Apartments!$B:$B,"August")</f>
        <v>9451</v>
      </c>
      <c r="D15" s="85">
        <f>SUMIFS(Apartments!$U:$U,Apartments!$E:$E,A15,Apartments!$B:$B,"August")</f>
        <v>9232</v>
      </c>
      <c r="E15" s="85">
        <f>SUMIFS(Apartments!$AE:$AE,Apartments!$E:$E,A15,Apartments!$B:$B,"August")</f>
        <v>9625</v>
      </c>
      <c r="F15" s="19">
        <f t="shared" si="0"/>
        <v>1.8410750185165591E-2</v>
      </c>
      <c r="G15" s="20">
        <f t="shared" si="1"/>
        <v>4.2569324090121319E-2</v>
      </c>
    </row>
    <row r="16" spans="1:7">
      <c r="A16" s="17" t="s">
        <v>1102</v>
      </c>
      <c r="B16" s="18">
        <f>COUNTIFS(Apartments!$E:$E,'Combined Summaries'!A16,Apartments!$B:$B, "August")</f>
        <v>9</v>
      </c>
      <c r="C16" s="85">
        <f>SUMIFS(Apartments!$S:$S,Apartments!$E:$E,A16,Apartments!$B:$B,"August")</f>
        <v>14235</v>
      </c>
      <c r="D16" s="85">
        <f>SUMIFS(Apartments!$U:$U,Apartments!$E:$E,A16,Apartments!$B:$B,"August")</f>
        <v>14065</v>
      </c>
      <c r="E16" s="85">
        <f>SUMIFS(Apartments!$AE:$AE,Apartments!$E:$E,A16,Apartments!$B:$B,"August")</f>
        <v>14605</v>
      </c>
      <c r="F16" s="19">
        <f t="shared" si="0"/>
        <v>2.5992272567615032E-2</v>
      </c>
      <c r="G16" s="20">
        <f t="shared" si="1"/>
        <v>3.8393174546747247E-2</v>
      </c>
    </row>
    <row r="17" spans="1:7">
      <c r="A17" s="17" t="s">
        <v>110</v>
      </c>
      <c r="B17" s="18">
        <f>COUNTIFS(Apartments!$E:$E,'Combined Summaries'!A17,Apartments!$B:$B, "August")</f>
        <v>15</v>
      </c>
      <c r="C17" s="85">
        <f>SUMIFS(Apartments!$S:$S,Apartments!$E:$E,A17,Apartments!$B:$B,"August")</f>
        <v>22045</v>
      </c>
      <c r="D17" s="85">
        <f>SUMIFS(Apartments!$U:$U,Apartments!$E:$E,A17,Apartments!$B:$B,"August")</f>
        <v>21215</v>
      </c>
      <c r="E17" s="85">
        <f>SUMIFS(Apartments!$AE:$AE,Apartments!$E:$E,A17,Apartments!$B:$B,"August")</f>
        <v>22285</v>
      </c>
      <c r="F17" s="19">
        <f t="shared" si="0"/>
        <v>1.0886822408709458E-2</v>
      </c>
      <c r="G17" s="20">
        <f t="shared" si="1"/>
        <v>5.0436012255479612E-2</v>
      </c>
    </row>
    <row r="18" spans="1:7">
      <c r="A18" s="17" t="s">
        <v>1041</v>
      </c>
      <c r="B18" s="18">
        <f>COUNTIFS(Apartments!$E:$E,'Combined Summaries'!A18,Apartments!$B:$B, "August")</f>
        <v>20</v>
      </c>
      <c r="C18" s="85">
        <f>SUMIFS(Apartments!$S:$S,Apartments!$E:$E,A18,Apartments!$B:$B,"August")</f>
        <v>37940</v>
      </c>
      <c r="D18" s="85">
        <f>SUMIFS(Apartments!$U:$U,Apartments!$E:$E,A18,Apartments!$B:$B,"August")</f>
        <v>37400</v>
      </c>
      <c r="E18" s="85">
        <f>SUMIFS(Apartments!$AE:$AE,Apartments!$E:$E,A18,Apartments!$B:$B,"August")</f>
        <v>39175</v>
      </c>
      <c r="F18" s="19">
        <f t="shared" si="0"/>
        <v>3.2551396942540854E-2</v>
      </c>
      <c r="G18" s="20">
        <f t="shared" si="1"/>
        <v>4.7459893048128345E-2</v>
      </c>
    </row>
    <row r="19" spans="1:7">
      <c r="A19" s="17" t="s">
        <v>210</v>
      </c>
      <c r="B19" s="18">
        <f>COUNTIFS(Apartments!$E:$E,'Combined Summaries'!A19,Apartments!$B:$B, "August")</f>
        <v>16</v>
      </c>
      <c r="C19" s="85">
        <f>SUMIFS(Apartments!$S:$S,Apartments!$E:$E,A19,Apartments!$B:$B,"August")</f>
        <v>0</v>
      </c>
      <c r="D19" s="85">
        <f>SUMIFS(Apartments!$U:$U,Apartments!$E:$E,A19,Apartments!$B:$B,"August")</f>
        <v>38090</v>
      </c>
      <c r="E19" s="85">
        <f>SUMIFS(Apartments!$AE:$AE,Apartments!$E:$E,A19,Apartments!$B:$B,"August")</f>
        <v>39605</v>
      </c>
      <c r="F19" s="19" t="e">
        <f t="shared" si="0"/>
        <v>#DIV/0!</v>
      </c>
      <c r="G19" s="20">
        <f t="shared" si="1"/>
        <v>3.9774218955106327E-2</v>
      </c>
    </row>
    <row r="20" spans="1:7" ht="15.75" thickBot="1">
      <c r="A20" s="24" t="s">
        <v>343</v>
      </c>
      <c r="B20" s="18">
        <f>COUNTIFS(Apartments!$E:$E,'Combined Summaries'!A20,Apartments!$B:$B, "August")</f>
        <v>9</v>
      </c>
      <c r="C20" s="85">
        <f>SUMIFS(Apartments!$S:$S,Apartments!$E:$E,A20,Apartments!$B:$B,"August")</f>
        <v>20228.000000000004</v>
      </c>
      <c r="D20" s="85">
        <f>SUMIFS(Apartments!$U:$U,Apartments!$E:$E,A20,Apartments!$B:$B,"August")</f>
        <v>19975</v>
      </c>
      <c r="E20" s="85">
        <f>SUMIFS(Apartments!$AE:$AE,Apartments!$E:$E,A20,Apartments!$B:$B,"August")</f>
        <v>20670</v>
      </c>
      <c r="F20" s="19">
        <f t="shared" si="0"/>
        <v>2.1850899742930408E-2</v>
      </c>
      <c r="G20" s="20">
        <f t="shared" si="1"/>
        <v>3.4793491864831036E-2</v>
      </c>
    </row>
    <row r="21" spans="1:7" ht="15.75" thickBot="1">
      <c r="A21" s="22"/>
      <c r="B21" s="23">
        <f>SUBTOTAL(9,B11:B20)</f>
        <v>121</v>
      </c>
      <c r="C21" s="86">
        <f>SUBTOTAL(9,C11:C20)</f>
        <v>195297.66666666669</v>
      </c>
      <c r="D21" s="86">
        <f>SUBTOTAL(9,D11:D20)</f>
        <v>226337</v>
      </c>
      <c r="E21" s="86">
        <f>SUBTOTAL(9,E11:E20)</f>
        <v>237760</v>
      </c>
      <c r="F21" s="25">
        <f>AVERAGE(F11:F18,F20)</f>
        <v>1.4725227325582433E-2</v>
      </c>
      <c r="G21" s="25">
        <f>AVERAGE(G11:G20)</f>
        <v>4.868966845697921E-2</v>
      </c>
    </row>
    <row r="25" spans="1:7" ht="15.75" thickBot="1"/>
    <row r="26" spans="1:7" ht="36">
      <c r="A26" s="11" t="s">
        <v>5063</v>
      </c>
      <c r="B26" s="12" t="s">
        <v>5057</v>
      </c>
      <c r="C26" s="12" t="s">
        <v>5058</v>
      </c>
      <c r="D26" s="12" t="s">
        <v>5059</v>
      </c>
      <c r="E26" s="12" t="s">
        <v>5060</v>
      </c>
      <c r="F26" s="13" t="s">
        <v>5061</v>
      </c>
      <c r="G26" s="13" t="s">
        <v>5062</v>
      </c>
    </row>
    <row r="27" spans="1:7">
      <c r="A27" s="17" t="str">
        <f>Apartments!E157</f>
        <v>Brook Place</v>
      </c>
      <c r="B27" s="18">
        <f>COUNTIFS(Apartments!$E:$E,'Combined Summaries'!A27,Apartments!$B:$B, "August")</f>
        <v>7</v>
      </c>
      <c r="C27" s="85">
        <f>SUMIFS(Apartments!$S:$S,Apartments!$E:$E,A27,Apartments!$B:$B,"August")</f>
        <v>22920</v>
      </c>
      <c r="D27" s="85">
        <f>SUMIFS(Apartments!$U:$U,Apartments!$E:$E,A27,Apartments!$B:$B,"August")</f>
        <v>22525</v>
      </c>
      <c r="E27" s="85">
        <f>SUMIFS(Apartments!$AE:$AE,Apartments!$E:$E,A27,Apartments!$B:$B,"August")</f>
        <v>23285</v>
      </c>
      <c r="F27" s="19">
        <f t="shared" ref="F27:F36" si="2">(E27-C27)/C27</f>
        <v>1.5924956369982549E-2</v>
      </c>
      <c r="G27" s="20">
        <f t="shared" ref="G27:G36" si="3">(E27-D27)/D27</f>
        <v>3.374028856825749E-2</v>
      </c>
    </row>
    <row r="28" spans="1:7">
      <c r="A28" s="17" t="str">
        <f>Apartments!E166</f>
        <v>Churston Close</v>
      </c>
      <c r="B28" s="18">
        <f>COUNTIFS(Apartments!$E:$E,'Combined Summaries'!A28,Apartments!$B:$B, "August")</f>
        <v>8</v>
      </c>
      <c r="C28" s="85">
        <f>SUMIFS(Apartments!$S:$S,Apartments!$E:$E,A28,Apartments!$B:$B,"August")</f>
        <v>6715</v>
      </c>
      <c r="D28" s="85">
        <f>SUMIFS(Apartments!$U:$U,Apartments!$E:$E,A28,Apartments!$B:$B,"August")</f>
        <v>6139.03</v>
      </c>
      <c r="E28" s="85">
        <f>SUMIFS(Apartments!$AE:$AE,Apartments!$E:$E,A28,Apartments!$B:$B,"August")</f>
        <v>6450</v>
      </c>
      <c r="F28" s="19">
        <f t="shared" si="2"/>
        <v>-3.9463886820551006E-2</v>
      </c>
      <c r="G28" s="20">
        <f t="shared" si="3"/>
        <v>5.065458223856216E-2</v>
      </c>
    </row>
    <row r="29" spans="1:7">
      <c r="A29" s="17" t="str">
        <f>Apartments!E284</f>
        <v>Eagle House</v>
      </c>
      <c r="B29" s="18">
        <f>COUNTIFS(Apartments!$E:$E,'Combined Summaries'!A29,Apartments!$B:$B, "August")</f>
        <v>9</v>
      </c>
      <c r="C29" s="85">
        <f>SUMIFS(Apartments!$S:$S,Apartments!$E:$E,A29,Apartments!$B:$B,"August")</f>
        <v>5624.666666666667</v>
      </c>
      <c r="D29" s="85">
        <f>SUMIFS(Apartments!$U:$U,Apartments!$E:$E,A29,Apartments!$B:$B,"August")</f>
        <v>5045</v>
      </c>
      <c r="E29" s="85">
        <f>SUMIFS(Apartments!$AE:$AE,Apartments!$E:$E,A29,Apartments!$B:$B,"August")</f>
        <v>5310</v>
      </c>
      <c r="F29" s="19">
        <f t="shared" si="2"/>
        <v>-5.5944055944055993E-2</v>
      </c>
      <c r="G29" s="20">
        <f t="shared" si="3"/>
        <v>5.2527254707631317E-2</v>
      </c>
    </row>
    <row r="30" spans="1:7">
      <c r="A30" s="17" t="str">
        <f>Apartments!E396</f>
        <v>Gilders Yard</v>
      </c>
      <c r="B30" s="18">
        <f>COUNTIFS(Apartments!$E:$E,'Combined Summaries'!A30,Apartments!$B:$B, "August")</f>
        <v>15</v>
      </c>
      <c r="C30" s="85">
        <f>SUMIFS(Apartments!$S:$S,Apartments!$E:$E,A30,Apartments!$B:$B,"August")</f>
        <v>16267.5</v>
      </c>
      <c r="D30" s="85">
        <f>SUMIFS(Apartments!$U:$U,Apartments!$E:$E,A30,Apartments!$B:$B,"August")</f>
        <v>15860</v>
      </c>
      <c r="E30" s="85">
        <f>SUMIFS(Apartments!$AE:$AE,Apartments!$E:$E,A30,Apartments!$B:$B,"August")</f>
        <v>16585</v>
      </c>
      <c r="F30" s="19">
        <f t="shared" si="2"/>
        <v>1.9517442753957278E-2</v>
      </c>
      <c r="G30" s="20">
        <f t="shared" si="3"/>
        <v>4.5712484237074399E-2</v>
      </c>
    </row>
    <row r="31" spans="1:7">
      <c r="A31" s="17" t="str">
        <f>Apartments!E437</f>
        <v>Hawkins &amp; George</v>
      </c>
      <c r="B31" s="18">
        <f>COUNTIFS(Apartments!$E:$E,'Combined Summaries'!A31,Apartments!$B:$B, "August")</f>
        <v>20</v>
      </c>
      <c r="C31" s="85">
        <f>SUMIFS(Apartments!$S:$S,Apartments!$E:$E,A31,Apartments!$B:$B,"August")</f>
        <v>65866.666666666657</v>
      </c>
      <c r="D31" s="85">
        <f>SUMIFS(Apartments!$U:$U,Apartments!$E:$E,A31,Apartments!$B:$B,"August")</f>
        <v>63244.250000000007</v>
      </c>
      <c r="E31" s="85">
        <f>SUMIFS(Apartments!$AE:$AE,Apartments!$E:$E,A31,Apartments!$B:$B,"August")</f>
        <v>66610</v>
      </c>
      <c r="F31" s="19">
        <f t="shared" si="2"/>
        <v>1.1285425101214724E-2</v>
      </c>
      <c r="G31" s="20">
        <f t="shared" si="3"/>
        <v>5.3218276760337774E-2</v>
      </c>
    </row>
    <row r="32" spans="1:7">
      <c r="A32" s="17" t="str">
        <f>Apartments!E636</f>
        <v>Pin Yard</v>
      </c>
      <c r="B32" s="18">
        <f>COUNTIFS(Apartments!$E:$E,'Combined Summaries'!A32,Apartments!$B:$B, "August")</f>
        <v>16</v>
      </c>
      <c r="C32" s="85">
        <f>SUMIFS(Apartments!$S:$S,Apartments!$E:$E,A32,Apartments!$B:$B,"August")</f>
        <v>21110</v>
      </c>
      <c r="D32" s="85">
        <f>SUMIFS(Apartments!$U:$U,Apartments!$E:$E,A32,Apartments!$B:$B,"August")</f>
        <v>20130</v>
      </c>
      <c r="E32" s="85">
        <f>SUMIFS(Apartments!$AE:$AE,Apartments!$E:$E,A32,Apartments!$B:$B,"August")</f>
        <v>21260</v>
      </c>
      <c r="F32" s="19">
        <f t="shared" si="2"/>
        <v>7.1056371387967785E-3</v>
      </c>
      <c r="G32" s="20">
        <f t="shared" si="3"/>
        <v>5.6135121708892198E-2</v>
      </c>
    </row>
    <row r="33" spans="1:7">
      <c r="A33" s="17" t="str">
        <f>Apartments!E664</f>
        <v>Shillington Old School</v>
      </c>
      <c r="B33" s="18">
        <f>COUNTIFS(Apartments!$E:$E,'Combined Summaries'!A33,Apartments!$B:$B, "August")</f>
        <v>9</v>
      </c>
      <c r="C33" s="85">
        <f>SUMIFS(Apartments!$S:$S,Apartments!$E:$E,A33,Apartments!$B:$B,"August")</f>
        <v>3050</v>
      </c>
      <c r="D33" s="85">
        <f>SUMIFS(Apartments!$U:$U,Apartments!$E:$E,A33,Apartments!$B:$B,"August")</f>
        <v>2945</v>
      </c>
      <c r="E33" s="85">
        <f>SUMIFS(Apartments!$AE:$AE,Apartments!$E:$E,A33,Apartments!$B:$B,"August")</f>
        <v>3115</v>
      </c>
      <c r="F33" s="19">
        <f t="shared" si="2"/>
        <v>2.1311475409836064E-2</v>
      </c>
      <c r="G33" s="20">
        <f t="shared" si="3"/>
        <v>5.7724957555178265E-2</v>
      </c>
    </row>
    <row r="34" spans="1:7">
      <c r="A34" s="17" t="str">
        <f>Apartments!E732</f>
        <v>Tabernacle Street</v>
      </c>
      <c r="B34" s="18">
        <f>COUNTIFS(Apartments!$E:$E,'Combined Summaries'!A34,Apartments!$B:$B, "August")</f>
        <v>0</v>
      </c>
      <c r="C34" s="85">
        <f>SUMIFS(Apartments!$S:$S,Apartments!$E:$E,A34,Apartments!$B:$B,"August")</f>
        <v>12054.5</v>
      </c>
      <c r="D34" s="85">
        <f>SUMIFS(Apartments!$U:$U,Apartments!$E:$E,A34,Apartments!$B:$B,"August")</f>
        <v>11680</v>
      </c>
      <c r="E34" s="85">
        <f>SUMIFS(Apartments!$AE:$AE,Apartments!$E:$E,A34,Apartments!$B:$B,"August")</f>
        <v>12225</v>
      </c>
      <c r="F34" s="19">
        <f t="shared" si="2"/>
        <v>1.4144095565971213E-2</v>
      </c>
      <c r="G34" s="20">
        <f t="shared" si="3"/>
        <v>4.6660958904109588E-2</v>
      </c>
    </row>
    <row r="35" spans="1:7">
      <c r="A35" s="17" t="str">
        <f>Apartments!E835</f>
        <v>The Condor</v>
      </c>
      <c r="B35" s="18">
        <f>COUNTIFS(Apartments!$E:$E,'Combined Summaries'!A35,Apartments!$B:$B, "August")</f>
        <v>0</v>
      </c>
      <c r="C35" s="85">
        <f>SUMIFS(Apartments!$S:$S,Apartments!$E:$E,A35,Apartments!$B:$B,"August")</f>
        <v>42475</v>
      </c>
      <c r="D35" s="85">
        <f>SUMIFS(Apartments!$U:$U,Apartments!$E:$E,A35,Apartments!$B:$B,"August")</f>
        <v>42225</v>
      </c>
      <c r="E35" s="85">
        <f>SUMIFS(Apartments!$AE:$AE,Apartments!$E:$E,A35,Apartments!$B:$B,"August")</f>
        <v>43680</v>
      </c>
      <c r="F35" s="19">
        <f t="shared" si="2"/>
        <v>2.8369629193643321E-2</v>
      </c>
      <c r="G35" s="20">
        <f t="shared" si="3"/>
        <v>3.4458259325044406E-2</v>
      </c>
    </row>
    <row r="36" spans="1:7">
      <c r="A36" s="17" t="str">
        <f>Apartments!E837</f>
        <v>The Condor</v>
      </c>
      <c r="B36" s="18">
        <f>COUNTIFS(Apartments!$E:$E,'Combined Summaries'!A36,Apartments!$B:$B, "August")</f>
        <v>0</v>
      </c>
      <c r="C36" s="85">
        <f>SUMIFS(Apartments!$S:$S,Apartments!$E:$E,A36,Apartments!$B:$B,"August")</f>
        <v>42475</v>
      </c>
      <c r="D36" s="85">
        <f>SUMIFS(Apartments!$U:$U,Apartments!$E:$E,A36,Apartments!$B:$B,"August")</f>
        <v>42225</v>
      </c>
      <c r="E36" s="85">
        <f>SUMIFS(Apartments!$AE:$AE,Apartments!$E:$E,A36,Apartments!$B:$B,"August")</f>
        <v>43680</v>
      </c>
      <c r="F36" s="19">
        <f t="shared" si="2"/>
        <v>2.8369629193643321E-2</v>
      </c>
      <c r="G36" s="20">
        <f t="shared" si="3"/>
        <v>3.4458259325044406E-2</v>
      </c>
    </row>
    <row r="37" spans="1:7">
      <c r="A37" s="17" t="str">
        <f>Apartments!E838</f>
        <v>The Condor</v>
      </c>
      <c r="B37" s="18">
        <f>COUNTIFS(Apartments!$E:$E,'Combined Summaries'!A37,Apartments!$B:$B, "August")</f>
        <v>0</v>
      </c>
      <c r="C37" s="85">
        <f>SUMIFS(Apartments!$S:$S,Apartments!$E:$E,A37,Apartments!$B:$B,"August")</f>
        <v>42475</v>
      </c>
      <c r="D37" s="85">
        <f>SUMIFS(Apartments!$U:$U,Apartments!$E:$E,A37,Apartments!$B:$B,"August")</f>
        <v>42225</v>
      </c>
      <c r="E37" s="85">
        <f>SUMIFS(Apartments!$AE:$AE,Apartments!$E:$E,A37,Apartments!$B:$B,"August")</f>
        <v>43680</v>
      </c>
      <c r="F37" s="19">
        <f t="shared" ref="F37:F41" si="4">(E37-C37)/C37</f>
        <v>2.8369629193643321E-2</v>
      </c>
      <c r="G37" s="20">
        <f t="shared" ref="G37:G41" si="5">(E37-D37)/D37</f>
        <v>3.4458259325044406E-2</v>
      </c>
    </row>
    <row r="38" spans="1:7">
      <c r="A38" s="17" t="str">
        <f>Apartments!E1007</f>
        <v>The Forge</v>
      </c>
      <c r="B38" s="18">
        <f>COUNTIFS(Apartments!$E:$E,'Combined Summaries'!A38,Apartments!$B:$B, "August")</f>
        <v>0</v>
      </c>
      <c r="C38" s="85">
        <f>SUMIFS(Apartments!$S:$S,Apartments!$E:$E,A38,Apartments!$B:$B,"August")</f>
        <v>45465</v>
      </c>
      <c r="D38" s="85">
        <f>SUMIFS(Apartments!$U:$U,Apartments!$E:$E,A38,Apartments!$B:$B,"August")</f>
        <v>44420</v>
      </c>
      <c r="E38" s="85">
        <f>SUMIFS(Apartments!$AE:$AE,Apartments!$E:$E,A38,Apartments!$B:$B,"August")</f>
        <v>46170</v>
      </c>
      <c r="F38" s="19">
        <f t="shared" si="4"/>
        <v>1.5506433520290333E-2</v>
      </c>
      <c r="G38" s="20">
        <f t="shared" si="5"/>
        <v>3.939666816749212E-2</v>
      </c>
    </row>
    <row r="39" spans="1:7">
      <c r="A39" s="17" t="str">
        <f>Apartments!E1034</f>
        <v>The Headline</v>
      </c>
      <c r="B39" s="18">
        <f>COUNTIFS(Apartments!$E:$E,'Combined Summaries'!A39,Apartments!$B:$B, "August")</f>
        <v>22</v>
      </c>
      <c r="C39" s="85">
        <f>SUMIFS(Apartments!$S:$S,Apartments!$E:$E,A39,Apartments!$B:$B,"August")</f>
        <v>18825</v>
      </c>
      <c r="D39" s="85">
        <f>SUMIFS(Apartments!$U:$U,Apartments!$E:$E,A39,Apartments!$B:$B,"August")</f>
        <v>18310</v>
      </c>
      <c r="E39" s="85">
        <f>SUMIFS(Apartments!$AE:$AE,Apartments!$E:$E,A39,Apartments!$B:$B,"August")</f>
        <v>19155</v>
      </c>
      <c r="F39" s="19">
        <f t="shared" si="4"/>
        <v>1.752988047808765E-2</v>
      </c>
      <c r="G39" s="20">
        <f t="shared" si="5"/>
        <v>4.6149645002730749E-2</v>
      </c>
    </row>
    <row r="40" spans="1:7" ht="15.75" thickBot="1">
      <c r="A40" s="81" t="str">
        <f>Apartments!E1117</f>
        <v>The Tilt Works</v>
      </c>
      <c r="B40" s="18">
        <f>COUNTIFS(Apartments!$E:$E,'Combined Summaries'!A40,Apartments!$B:$B, "August")</f>
        <v>4</v>
      </c>
      <c r="C40" s="85">
        <f>SUMIFS(Apartments!$S:$S,Apartments!$E:$E,A40,Apartments!$B:$B,"August")</f>
        <v>6895</v>
      </c>
      <c r="D40" s="85">
        <f>SUMIFS(Apartments!$U:$U,Apartments!$E:$E,A40,Apartments!$B:$B,"August")</f>
        <v>6685</v>
      </c>
      <c r="E40" s="85">
        <f>SUMIFS(Apartments!$AE:$AE,Apartments!$E:$E,A40,Apartments!$B:$B,"August")</f>
        <v>6875</v>
      </c>
      <c r="F40" s="19">
        <f t="shared" si="4"/>
        <v>-2.9006526468455403E-3</v>
      </c>
      <c r="G40" s="20">
        <f t="shared" si="5"/>
        <v>2.8421839940164548E-2</v>
      </c>
    </row>
    <row r="41" spans="1:7" ht="15.75" thickBot="1">
      <c r="A41" s="22"/>
      <c r="B41" s="23">
        <f>SUM(B27:B40)</f>
        <v>110</v>
      </c>
      <c r="C41" s="89">
        <f>SUM(C27:C40)</f>
        <v>352218.33333333331</v>
      </c>
      <c r="D41" s="89">
        <f>SUM(D27:D40)</f>
        <v>343658.28</v>
      </c>
      <c r="E41" s="89">
        <f>SUM(E27:E40)</f>
        <v>358080</v>
      </c>
      <c r="F41" s="25">
        <f t="shared" si="4"/>
        <v>1.6642139581982823E-2</v>
      </c>
      <c r="G41" s="25">
        <f t="shared" si="5"/>
        <v>4.196529180091331E-2</v>
      </c>
    </row>
    <row r="47" spans="1:7" ht="15.75" thickBot="1"/>
    <row r="48" spans="1:7" ht="36">
      <c r="A48" s="32" t="s">
        <v>5064</v>
      </c>
      <c r="B48" s="12" t="s">
        <v>5057</v>
      </c>
      <c r="C48" s="12" t="s">
        <v>5058</v>
      </c>
      <c r="D48" s="12" t="s">
        <v>5059</v>
      </c>
      <c r="E48" s="12" t="s">
        <v>5060</v>
      </c>
      <c r="F48" s="13" t="s">
        <v>5061</v>
      </c>
      <c r="G48" s="13" t="s">
        <v>5062</v>
      </c>
    </row>
    <row r="49" spans="1:7">
      <c r="A49" s="33" t="s">
        <v>1828</v>
      </c>
      <c r="B49" s="18">
        <f>COUNTIFS(Apartments!$E:$E,'Combined Summaries'!A61,Apartments!$B:$B, "August")</f>
        <v>3</v>
      </c>
      <c r="C49" s="85">
        <f>SUMIFS(Apartments!$S:$S,Apartments!$E:$E,A49,Apartments!$B:$B,"August")</f>
        <v>7167.3333333333339</v>
      </c>
      <c r="D49" s="85">
        <f>SUMIFS(Apartments!$U:$U,Apartments!$E:$E,A49,Apartments!$B:$B,"August")</f>
        <v>6815</v>
      </c>
      <c r="E49" s="85">
        <f>SUMIFS(Apartments!$AE:$AE,Apartments!$E:$E,A49,Apartments!$B:$B,"August")</f>
        <v>7125</v>
      </c>
      <c r="F49" s="19">
        <f>(E49-C49)/C49</f>
        <v>-5.9064273090876111E-3</v>
      </c>
      <c r="G49" s="20">
        <f>(E49-D49)/D49</f>
        <v>4.5487894350696993E-2</v>
      </c>
    </row>
    <row r="50" spans="1:7">
      <c r="A50" s="34" t="s">
        <v>879</v>
      </c>
      <c r="B50" s="156">
        <f>COUNTIFS(Apartments!$E:$E,'Combined Summaries'!A62,Apartments!$B:$B, "August")</f>
        <v>5</v>
      </c>
      <c r="C50" s="85">
        <f>SUMIFS(Apartments!$S:$S,Apartments!$E:$E,A50,Apartments!$B:$B,"August")</f>
        <v>11713</v>
      </c>
      <c r="D50" s="85">
        <f>SUMIFS(Apartments!$U:$U,Apartments!$E:$E,A50,Apartments!$B:$B,"August")</f>
        <v>11475</v>
      </c>
      <c r="E50" s="85">
        <f>SUMIFS(Apartments!$AE:$AE,Apartments!$E:$E,A50,Apartments!$B:$B,"August")</f>
        <v>12100</v>
      </c>
      <c r="F50" s="19">
        <f t="shared" ref="F50:F71" si="6">(E50-C50)/C50</f>
        <v>3.3040211730555789E-2</v>
      </c>
      <c r="G50" s="20">
        <f t="shared" ref="G50:G71" si="7">(E50-D50)/D50</f>
        <v>5.4466230936819175E-2</v>
      </c>
    </row>
    <row r="51" spans="1:7">
      <c r="A51" s="34" t="s">
        <v>2030</v>
      </c>
      <c r="B51" s="156">
        <f>COUNTIFS(Apartments!$E:$E,'Combined Summaries'!A63,Apartments!$B:$B, "August")</f>
        <v>1</v>
      </c>
      <c r="C51" s="85"/>
      <c r="D51" s="85"/>
      <c r="E51" s="85"/>
      <c r="F51" s="19"/>
      <c r="G51" s="20"/>
    </row>
    <row r="52" spans="1:7">
      <c r="A52" s="34" t="s">
        <v>1587</v>
      </c>
      <c r="B52" s="156">
        <f>COUNTIFS(Apartments!$E:$E,'Combined Summaries'!A64,Apartments!$B:$B, "August")</f>
        <v>4</v>
      </c>
      <c r="C52" s="85">
        <f>SUMIFS(Apartments!$S:$S,Apartments!$E:$E,A52,Apartments!$B:$B,"August")</f>
        <v>6895</v>
      </c>
      <c r="D52" s="85">
        <f>SUMIFS(Apartments!$U:$U,Apartments!$E:$E,A52,Apartments!$B:$B,"August")</f>
        <v>6895</v>
      </c>
      <c r="E52" s="85">
        <f>SUMIFS(Apartments!$AE:$AE,Apartments!$E:$E,A52,Apartments!$B:$B,"August")</f>
        <v>7130</v>
      </c>
      <c r="F52" s="19">
        <f t="shared" si="6"/>
        <v>3.4082668600435101E-2</v>
      </c>
      <c r="G52" s="20">
        <f t="shared" si="7"/>
        <v>3.4082668600435101E-2</v>
      </c>
    </row>
    <row r="53" spans="1:7">
      <c r="A53" s="34" t="s">
        <v>1593</v>
      </c>
      <c r="B53" s="156">
        <f>COUNTIFS(Apartments!$E:$E,'Combined Summaries'!A65,Apartments!$B:$B, "August")</f>
        <v>4</v>
      </c>
      <c r="C53" s="85">
        <f>SUMIFS(Apartments!$S:$S,Apartments!$E:$E,A53,Apartments!$B:$B,"August")</f>
        <v>6710</v>
      </c>
      <c r="D53" s="85">
        <f>SUMIFS(Apartments!$U:$U,Apartments!$E:$E,A53,Apartments!$B:$B,"August")</f>
        <v>6210.75</v>
      </c>
      <c r="E53" s="85">
        <f>SUMIFS(Apartments!$AE:$AE,Apartments!$E:$E,A53,Apartments!$B:$B,"August")</f>
        <v>6645</v>
      </c>
      <c r="F53" s="19">
        <f t="shared" si="6"/>
        <v>-9.6870342771982112E-3</v>
      </c>
      <c r="G53" s="20">
        <f t="shared" si="7"/>
        <v>6.9919091897113872E-2</v>
      </c>
    </row>
    <row r="54" spans="1:7">
      <c r="A54" s="34" t="s">
        <v>84</v>
      </c>
      <c r="B54" s="156">
        <f>COUNTIFS(Apartments!$E:$E,'Combined Summaries'!A66,Apartments!$B:$B, "August")</f>
        <v>4</v>
      </c>
      <c r="C54" s="85">
        <f>SUMIFS(Apartments!$S:$S,Apartments!$E:$E,A54,Apartments!$B:$B,"August")</f>
        <v>6715</v>
      </c>
      <c r="D54" s="85">
        <f>SUMIFS(Apartments!$U:$U,Apartments!$E:$E,A54,Apartments!$B:$B,"August")</f>
        <v>6139.03</v>
      </c>
      <c r="E54" s="85">
        <f>SUMIFS(Apartments!$AE:$AE,Apartments!$E:$E,A54,Apartments!$B:$B,"August")</f>
        <v>6450</v>
      </c>
      <c r="F54" s="19">
        <f t="shared" si="6"/>
        <v>-3.9463886820551006E-2</v>
      </c>
      <c r="G54" s="20">
        <f t="shared" si="7"/>
        <v>5.065458223856216E-2</v>
      </c>
    </row>
    <row r="55" spans="1:7">
      <c r="A55" s="34" t="s">
        <v>411</v>
      </c>
      <c r="B55" s="156">
        <f>COUNTIFS(Apartments!$E:$E,'Combined Summaries'!A67,Apartments!$B:$B, "August")</f>
        <v>4</v>
      </c>
      <c r="C55" s="85">
        <f>SUMIFS(Apartments!$S:$S,Apartments!$E:$E,A55,Apartments!$B:$B,"August")</f>
        <v>9286.3333333333321</v>
      </c>
      <c r="D55" s="85">
        <f>SUMIFS(Apartments!$U:$U,Apartments!$E:$E,A55,Apartments!$B:$B,"August")</f>
        <v>8770</v>
      </c>
      <c r="E55" s="85">
        <f>SUMIFS(Apartments!$AE:$AE,Apartments!$E:$E,A55,Apartments!$B:$B,"August")</f>
        <v>9155</v>
      </c>
      <c r="F55" s="19">
        <f t="shared" si="6"/>
        <v>-1.4142646900462918E-2</v>
      </c>
      <c r="G55" s="20">
        <f t="shared" si="7"/>
        <v>4.3899657924743443E-2</v>
      </c>
    </row>
    <row r="56" spans="1:7">
      <c r="A56" s="34" t="s">
        <v>1015</v>
      </c>
      <c r="B56" s="156">
        <f>COUNTIFS(Apartments!$E:$E,'Combined Summaries'!A68,Apartments!$B:$B, "August")</f>
        <v>2</v>
      </c>
      <c r="C56" s="85">
        <f>SUMIFS(Apartments!$S:$S,Apartments!$E:$E,A56,Apartments!$B:$B,"August")</f>
        <v>5624.666666666667</v>
      </c>
      <c r="D56" s="85">
        <f>SUMIFS(Apartments!$U:$U,Apartments!$E:$E,A56,Apartments!$B:$B,"August")</f>
        <v>5045</v>
      </c>
      <c r="E56" s="85">
        <f>SUMIFS(Apartments!$AE:$AE,Apartments!$E:$E,A56,Apartments!$B:$B,"August")</f>
        <v>5310</v>
      </c>
      <c r="F56" s="19">
        <f t="shared" si="6"/>
        <v>-5.5944055944055993E-2</v>
      </c>
      <c r="G56" s="20">
        <f t="shared" si="7"/>
        <v>5.2527254707631317E-2</v>
      </c>
    </row>
    <row r="57" spans="1:7">
      <c r="A57" s="34" t="s">
        <v>1897</v>
      </c>
      <c r="B57" s="156">
        <f>COUNTIFS(Apartments!$E:$E,'Combined Summaries'!A69,Apartments!$B:$B, "August")</f>
        <v>2</v>
      </c>
      <c r="C57" s="85"/>
      <c r="D57" s="85"/>
      <c r="E57" s="85"/>
      <c r="F57" s="19"/>
      <c r="G57" s="20"/>
    </row>
    <row r="58" spans="1:7">
      <c r="A58" s="34" t="s">
        <v>322</v>
      </c>
      <c r="B58" s="156">
        <f>COUNTIFS(Apartments!$E:$E,'Combined Summaries'!A70,Apartments!$B:$B, "August")</f>
        <v>3</v>
      </c>
      <c r="C58" s="85">
        <f>SUMIFS(Apartments!$S:$S,Apartments!$E:$E,A58,Apartments!$B:$B,"August")</f>
        <v>8460</v>
      </c>
      <c r="D58" s="85">
        <f>SUMIFS(Apartments!$U:$U,Apartments!$E:$E,A58,Apartments!$B:$B,"August")</f>
        <v>8061.2000000000007</v>
      </c>
      <c r="E58" s="85">
        <f>SUMIFS(Apartments!$AE:$AE,Apartments!$E:$E,A58,Apartments!$B:$B,"August")</f>
        <v>8470</v>
      </c>
      <c r="F58" s="19">
        <f t="shared" si="6"/>
        <v>1.1820330969267139E-3</v>
      </c>
      <c r="G58" s="20">
        <f t="shared" si="7"/>
        <v>5.0712052796109665E-2</v>
      </c>
    </row>
    <row r="59" spans="1:7">
      <c r="A59" s="34" t="s">
        <v>1217</v>
      </c>
      <c r="B59" s="156">
        <f>COUNTIFS(Apartments!$E:$E,'Combined Summaries'!A71,Apartments!$B:$B, "August")</f>
        <v>5</v>
      </c>
      <c r="C59" s="85">
        <f>SUMIFS(Apartments!$S:$S,Apartments!$E:$E,A59,Apartments!$B:$B,"August")</f>
        <v>9888</v>
      </c>
      <c r="D59" s="85">
        <f>SUMIFS(Apartments!$U:$U,Apartments!$E:$E,A59,Apartments!$B:$B,"August")</f>
        <v>9775</v>
      </c>
      <c r="E59" s="85">
        <f>SUMIFS(Apartments!$AE:$AE,Apartments!$E:$E,A59,Apartments!$B:$B,"August")</f>
        <v>10275</v>
      </c>
      <c r="F59" s="19">
        <f t="shared" si="6"/>
        <v>3.913834951456311E-2</v>
      </c>
      <c r="G59" s="20">
        <f t="shared" si="7"/>
        <v>5.1150895140664961E-2</v>
      </c>
    </row>
    <row r="60" spans="1:7">
      <c r="A60" s="34" t="s">
        <v>1779</v>
      </c>
      <c r="B60" s="156">
        <f>COUNTIFS(Apartments!$E:$E,'Combined Summaries'!A72,Apartments!$B:$B, "August")</f>
        <v>3</v>
      </c>
      <c r="C60" s="85"/>
      <c r="D60" s="85"/>
      <c r="E60" s="85"/>
      <c r="F60" s="19"/>
      <c r="G60" s="20"/>
    </row>
    <row r="61" spans="1:7">
      <c r="A61" s="34" t="s">
        <v>2154</v>
      </c>
      <c r="B61" s="156">
        <f>COUNTIFS(Apartments!$E:$E,'Combined Summaries'!A73,Apartments!$B:$B, "August")</f>
        <v>2</v>
      </c>
      <c r="C61" s="85">
        <f>SUMIFS(Apartments!$S:$S,Apartments!$E:$E,A61,Apartments!$B:$B,"August")</f>
        <v>3050</v>
      </c>
      <c r="D61" s="85">
        <f>SUMIFS(Apartments!$U:$U,Apartments!$E:$E,A61,Apartments!$B:$B,"August")</f>
        <v>2945</v>
      </c>
      <c r="E61" s="85">
        <f>SUMIFS(Apartments!$AE:$AE,Apartments!$E:$E,A61,Apartments!$B:$B,"August")</f>
        <v>3115</v>
      </c>
      <c r="F61" s="19">
        <f t="shared" si="6"/>
        <v>2.1311475409836064E-2</v>
      </c>
      <c r="G61" s="20">
        <f t="shared" si="7"/>
        <v>5.7724957555178265E-2</v>
      </c>
    </row>
    <row r="62" spans="1:7">
      <c r="A62" s="34" t="s">
        <v>1140</v>
      </c>
      <c r="B62" s="156">
        <f>COUNTIFS(Apartments!$E:$E,'Combined Summaries'!A74,Apartments!$B:$B, "August")</f>
        <v>7</v>
      </c>
      <c r="C62" s="85">
        <f>SUMIFS(Apartments!$S:$S,Apartments!$E:$E,A62,Apartments!$B:$B,"August")</f>
        <v>18997.333333333332</v>
      </c>
      <c r="D62" s="85">
        <f>SUMIFS(Apartments!$U:$U,Apartments!$E:$E,A62,Apartments!$B:$B,"August")</f>
        <v>18495</v>
      </c>
      <c r="E62" s="85">
        <f>SUMIFS(Apartments!$AE:$AE,Apartments!$E:$E,A62,Apartments!$B:$B,"August")</f>
        <v>19605</v>
      </c>
      <c r="F62" s="19">
        <f t="shared" si="6"/>
        <v>3.1986945536215672E-2</v>
      </c>
      <c r="G62" s="20">
        <f t="shared" si="7"/>
        <v>6.0016220600162207E-2</v>
      </c>
    </row>
    <row r="63" spans="1:7">
      <c r="A63" s="34" t="s">
        <v>1086</v>
      </c>
      <c r="B63" s="156">
        <f>COUNTIFS(Apartments!$E:$E,'Combined Summaries'!A75,Apartments!$B:$B, "August")</f>
        <v>9</v>
      </c>
      <c r="C63" s="85">
        <f>SUMIFS(Apartments!$S:$S,Apartments!$E:$E,A63,Apartments!$B:$B,"August")</f>
        <v>9009</v>
      </c>
      <c r="D63" s="85">
        <f>SUMIFS(Apartments!$U:$U,Apartments!$E:$E,A63,Apartments!$B:$B,"August")</f>
        <v>9135</v>
      </c>
      <c r="E63" s="85">
        <f>SUMIFS(Apartments!$AE:$AE,Apartments!$E:$E,A63,Apartments!$B:$B,"August")</f>
        <v>9625</v>
      </c>
      <c r="F63" s="19">
        <f t="shared" si="6"/>
        <v>6.8376068376068383E-2</v>
      </c>
      <c r="G63" s="20">
        <f t="shared" si="7"/>
        <v>5.3639846743295021E-2</v>
      </c>
    </row>
    <row r="64" spans="1:7">
      <c r="A64" s="34" t="s">
        <v>1546</v>
      </c>
      <c r="B64" s="156">
        <f>COUNTIFS(Apartments!$E:$E,'Combined Summaries'!A76,Apartments!$B:$B, "August")</f>
        <v>3</v>
      </c>
      <c r="C64" s="85">
        <f>SUMIFS(Apartments!$S:$S,Apartments!$E:$E,A64,Apartments!$B:$B,"August")</f>
        <v>5730</v>
      </c>
      <c r="D64" s="85">
        <f>SUMIFS(Apartments!$U:$U,Apartments!$E:$E,A64,Apartments!$B:$B,"August")</f>
        <v>5730</v>
      </c>
      <c r="E64" s="85">
        <f>SUMIFS(Apartments!$AE:$AE,Apartments!$E:$E,A64,Apartments!$B:$B,"August")</f>
        <v>5960</v>
      </c>
      <c r="F64" s="19">
        <f t="shared" si="6"/>
        <v>4.0139616055846421E-2</v>
      </c>
      <c r="G64" s="20">
        <f t="shared" si="7"/>
        <v>4.0139616055846421E-2</v>
      </c>
    </row>
    <row r="65" spans="1:7">
      <c r="A65" s="34" t="s">
        <v>1145</v>
      </c>
      <c r="B65" s="156">
        <f>COUNTIFS(Apartments!$E:$E,'Combined Summaries'!A77,Apartments!$B:$B, "August")</f>
        <v>4</v>
      </c>
      <c r="C65" s="85">
        <f>SUMIFS(Apartments!$S:$S,Apartments!$E:$E,A65,Apartments!$B:$B,"August")</f>
        <v>12054.5</v>
      </c>
      <c r="D65" s="85">
        <f>SUMIFS(Apartments!$U:$U,Apartments!$E:$E,A65,Apartments!$B:$B,"August")</f>
        <v>11680</v>
      </c>
      <c r="E65" s="85">
        <f>SUMIFS(Apartments!$AE:$AE,Apartments!$E:$E,A65,Apartments!$B:$B,"August")</f>
        <v>12225</v>
      </c>
      <c r="F65" s="19">
        <f t="shared" si="6"/>
        <v>1.4144095565971213E-2</v>
      </c>
      <c r="G65" s="20">
        <f t="shared" si="7"/>
        <v>4.6660958904109588E-2</v>
      </c>
    </row>
    <row r="66" spans="1:7">
      <c r="A66" s="34" t="s">
        <v>118</v>
      </c>
      <c r="B66" s="156">
        <f>COUNTIFS(Apartments!$E:$E,'Combined Summaries'!A78,Apartments!$B:$B, "August")</f>
        <v>12</v>
      </c>
      <c r="C66" s="85">
        <f>SUMIFS(Apartments!$S:$S,Apartments!$E:$E,A66,Apartments!$B:$B,"August")</f>
        <v>18640</v>
      </c>
      <c r="D66" s="85">
        <f>SUMIFS(Apartments!$U:$U,Apartments!$E:$E,A66,Apartments!$B:$B,"August")</f>
        <v>17481.43</v>
      </c>
      <c r="E66" s="85">
        <f>SUMIFS(Apartments!$AE:$AE,Apartments!$E:$E,A66,Apartments!$B:$B,"August")</f>
        <v>18660</v>
      </c>
      <c r="F66" s="19">
        <f t="shared" si="6"/>
        <v>1.0729613733905579E-3</v>
      </c>
      <c r="G66" s="20">
        <f t="shared" si="7"/>
        <v>6.7418397694010146E-2</v>
      </c>
    </row>
    <row r="67" spans="1:7">
      <c r="A67" s="34" t="s">
        <v>3228</v>
      </c>
      <c r="B67" s="156">
        <f>COUNTIFS(Apartments!$E:$E,'Combined Summaries'!A79,Apartments!$B:$B, "August")</f>
        <v>0</v>
      </c>
      <c r="C67" s="85"/>
      <c r="D67" s="85"/>
      <c r="E67" s="85"/>
      <c r="F67" s="19"/>
      <c r="G67" s="20"/>
    </row>
    <row r="68" spans="1:7">
      <c r="A68" s="34" t="s">
        <v>928</v>
      </c>
      <c r="B68" s="156">
        <f>COUNTIFS(Apartments!$E:$E,'Combined Summaries'!A80,Apartments!$B:$B, "August")</f>
        <v>5</v>
      </c>
      <c r="C68" s="85"/>
      <c r="D68" s="85"/>
      <c r="E68" s="85"/>
      <c r="F68" s="19"/>
      <c r="G68" s="20"/>
    </row>
    <row r="69" spans="1:7">
      <c r="A69" s="34" t="s">
        <v>3258</v>
      </c>
      <c r="B69" s="156">
        <f>COUNTIFS(Apartments!$E:$E,'Combined Summaries'!A81,Apartments!$B:$B, "August")</f>
        <v>1</v>
      </c>
      <c r="C69" s="85">
        <f>SUMIFS(Apartments!$S:$S,Apartments!$E:$E,A69,Apartments!$B:$B,"August")</f>
        <v>2575</v>
      </c>
      <c r="D69" s="85">
        <f>SUMIFS(Apartments!$U:$U,Apartments!$E:$E,A69,Apartments!$B:$B,"August")</f>
        <v>2575</v>
      </c>
      <c r="E69" s="85">
        <f>SUMIFS(Apartments!$AE:$AE,Apartments!$E:$E,A69,Apartments!$B:$B,"August")</f>
        <v>2685</v>
      </c>
      <c r="F69" s="19">
        <f t="shared" si="6"/>
        <v>4.2718446601941747E-2</v>
      </c>
      <c r="G69" s="20">
        <f t="shared" si="7"/>
        <v>4.2718446601941747E-2</v>
      </c>
    </row>
    <row r="70" spans="1:7">
      <c r="A70" s="34" t="s">
        <v>126</v>
      </c>
      <c r="B70" s="18">
        <f>COUNTIFS(Apartments!$E:$E,'Combined Summaries'!A82,Apartments!$B:$B, "August")</f>
        <v>11</v>
      </c>
      <c r="C70" s="85">
        <f>SUMIFS(Apartments!$S:$S,Apartments!$E:$E,A70,Apartments!$B:$B,"August")</f>
        <v>24166.766666666666</v>
      </c>
      <c r="D70" s="85">
        <f>SUMIFS(Apartments!$U:$U,Apartments!$E:$E,A70,Apartments!$B:$B,"August")</f>
        <v>24166.76</v>
      </c>
      <c r="E70" s="85">
        <f>SUMIFS(Apartments!$AE:$AE,Apartments!$E:$E,A70,Apartments!$B:$B,"August")</f>
        <v>25320</v>
      </c>
      <c r="F70" s="19">
        <f t="shared" si="6"/>
        <v>4.7719802538748128E-2</v>
      </c>
      <c r="G70" s="20">
        <f t="shared" si="7"/>
        <v>4.7720091563784373E-2</v>
      </c>
    </row>
    <row r="71" spans="1:7" ht="15.75" thickBot="1">
      <c r="A71" s="35" t="s">
        <v>1051</v>
      </c>
      <c r="B71" s="18">
        <f>COUNTIFS(Apartments!$E:$E,'Combined Summaries'!A83,Apartments!$B:$B, "August")</f>
        <v>10</v>
      </c>
      <c r="C71" s="85">
        <f>SUMIFS(Apartments!$S:$S,Apartments!$E:$E,A71,Apartments!$B:$B,"August")</f>
        <v>23910</v>
      </c>
      <c r="D71" s="85">
        <f>SUMIFS(Apartments!$U:$U,Apartments!$E:$E,A71,Apartments!$B:$B,"August")</f>
        <v>23910</v>
      </c>
      <c r="E71" s="85">
        <f>SUMIFS(Apartments!$AE:$AE,Apartments!$E:$E,A71,Apartments!$B:$B,"August")</f>
        <v>25160</v>
      </c>
      <c r="F71" s="19">
        <f t="shared" si="6"/>
        <v>5.2279381012128819E-2</v>
      </c>
      <c r="G71" s="20">
        <f t="shared" si="7"/>
        <v>5.2279381012128819E-2</v>
      </c>
    </row>
    <row r="72" spans="1:7" ht="15.75" thickBot="1">
      <c r="A72" s="36"/>
      <c r="B72" s="37">
        <f>SUBTOTAL(9,B49:B71)</f>
        <v>104</v>
      </c>
      <c r="C72" s="31">
        <f>SUM(C49:C71)</f>
        <v>190591.93333333335</v>
      </c>
      <c r="D72" s="31">
        <f>SUM(D49:D71)</f>
        <v>185304.17</v>
      </c>
      <c r="E72" s="31">
        <f>SUM(E49:E71)</f>
        <v>195015</v>
      </c>
      <c r="F72" s="25">
        <f>(E72-C72)/C72</f>
        <v>2.3206998267502669E-2</v>
      </c>
      <c r="G72" s="25">
        <f>(E72-D72)/D72</f>
        <v>5.2404810965667889E-2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7F1AA-80F8-46C2-A9E9-142EF07F5A75}">
  <dimension ref="A1:L96"/>
  <sheetViews>
    <sheetView workbookViewId="0">
      <selection activeCell="A14" sqref="A14:G14"/>
    </sheetView>
  </sheetViews>
  <sheetFormatPr defaultRowHeight="15"/>
  <cols>
    <col min="1" max="1" width="19.28515625" bestFit="1" customWidth="1"/>
    <col min="3" max="3" width="12.5703125" customWidth="1"/>
    <col min="4" max="4" width="13.28515625" customWidth="1"/>
    <col min="5" max="5" width="12.28515625" customWidth="1"/>
    <col min="6" max="7" width="13.140625" customWidth="1"/>
  </cols>
  <sheetData>
    <row r="1" spans="1:10" ht="24">
      <c r="A1" s="11" t="s">
        <v>3</v>
      </c>
      <c r="B1" s="12" t="s">
        <v>5057</v>
      </c>
      <c r="C1" s="12" t="s">
        <v>5058</v>
      </c>
      <c r="D1" s="12" t="s">
        <v>5059</v>
      </c>
      <c r="E1" s="12" t="s">
        <v>5060</v>
      </c>
      <c r="F1" s="13" t="s">
        <v>5061</v>
      </c>
      <c r="G1" s="13" t="s">
        <v>5062</v>
      </c>
      <c r="I1" s="15"/>
      <c r="J1" s="16"/>
    </row>
    <row r="2" spans="1:10">
      <c r="A2" s="17" t="s">
        <v>109</v>
      </c>
      <c r="B2" s="18">
        <f>COUNTIFS(Apartments!D:D,'July Summary'!$A2,Apartments!B:B,Apartments!B1230)</f>
        <v>105</v>
      </c>
      <c r="C2" s="85">
        <f>SUMIFS(Apartments!S:S,Apartments!D:D,'July Summary'!$A2,Apartments!B:B,Apartments!B1230)</f>
        <v>195297.6666666666</v>
      </c>
      <c r="D2" s="85">
        <f>SUMIFS(Apartments!U:U,Apartments!D:D,'July Summary'!$A2,Apartments!B:B,Apartments!B1230)</f>
        <v>188247</v>
      </c>
      <c r="E2" s="85">
        <f>SUMIFS(Apartments!AE:AE,Apartments!D:D,'July Summary'!$A2,Apartments!B:B,Apartments!B1230)</f>
        <v>198155</v>
      </c>
      <c r="F2" s="19">
        <f>($E2-$C2)/$C2</f>
        <v>1.4630657816359312E-2</v>
      </c>
      <c r="G2" s="20">
        <f>($E2-$D2)/$D2</f>
        <v>5.2632976886749852E-2</v>
      </c>
      <c r="I2" s="15"/>
      <c r="J2" s="16"/>
    </row>
    <row r="3" spans="1:10">
      <c r="A3" s="17" t="s">
        <v>45</v>
      </c>
      <c r="B3" s="18">
        <f>B53</f>
        <v>690</v>
      </c>
      <c r="C3" s="85">
        <f>C53</f>
        <v>585300.66666666663</v>
      </c>
      <c r="D3" s="85">
        <f>D53</f>
        <v>568083.28</v>
      </c>
      <c r="E3" s="85">
        <f>E53</f>
        <v>592475</v>
      </c>
      <c r="F3" s="19">
        <f>(E3-C3)/C3</f>
        <v>1.2257517788578245E-2</v>
      </c>
      <c r="G3" s="20">
        <f>(E3-D3)/D3</f>
        <v>4.2936873621768928E-2</v>
      </c>
      <c r="I3" s="15"/>
      <c r="J3" s="16"/>
    </row>
    <row r="4" spans="1:10">
      <c r="A4" s="17" t="s">
        <v>83</v>
      </c>
      <c r="B4" s="18"/>
      <c r="C4" s="85"/>
      <c r="D4" s="85"/>
      <c r="E4" s="85"/>
      <c r="F4" s="19"/>
      <c r="G4" s="20"/>
      <c r="I4" s="15"/>
      <c r="J4" s="16"/>
    </row>
    <row r="5" spans="1:10" ht="15.75" thickBot="1">
      <c r="A5" s="17" t="s">
        <v>103</v>
      </c>
      <c r="B5" s="18">
        <f>B93</f>
        <v>145</v>
      </c>
      <c r="C5" s="85"/>
      <c r="D5" s="85">
        <f>C93</f>
        <v>179110.36</v>
      </c>
      <c r="E5" s="85">
        <f>D93</f>
        <v>189025</v>
      </c>
      <c r="F5" s="19"/>
      <c r="G5" s="20">
        <f>(E5-D5)/D5</f>
        <v>5.5354921959846516E-2</v>
      </c>
      <c r="I5" s="15"/>
      <c r="J5" s="16"/>
    </row>
    <row r="6" spans="1:10" ht="15.75" thickBot="1">
      <c r="A6" s="21" t="s">
        <v>209</v>
      </c>
      <c r="B6" s="18">
        <f>COUNTIFS(Apartments!D:D,'July Summary'!$A6,Apartments!B:B,Apartments!B1234)</f>
        <v>16</v>
      </c>
      <c r="C6" s="85">
        <f>SUMIFS(Apartments!S:S,Apartments!D:D,'July Summary'!$A6)</f>
        <v>0</v>
      </c>
      <c r="D6" s="85">
        <f>SUMIFS(Apartments!U:U,Apartments!D:D,'July Summary'!$A6,Apartments!B:B,Apartments!B1234)</f>
        <v>38090</v>
      </c>
      <c r="E6" s="85">
        <f>SUMIFS(Apartments!AE:AE,Apartments!D:D,'July Summary'!$A6,Apartments!B:B,Apartments!B1234)</f>
        <v>39605</v>
      </c>
      <c r="F6" s="19" t="e">
        <f>($E6-$C6)/$C6</f>
        <v>#DIV/0!</v>
      </c>
      <c r="G6" s="20">
        <f>($E6-$D6)/$D6</f>
        <v>3.9774218955106327E-2</v>
      </c>
      <c r="I6" s="15"/>
      <c r="J6" s="16"/>
    </row>
    <row r="7" spans="1:10" ht="15.75" thickBot="1">
      <c r="A7" s="22"/>
      <c r="B7" s="23"/>
      <c r="C7" s="86"/>
      <c r="D7" s="86"/>
      <c r="E7" s="86"/>
      <c r="F7" s="87"/>
      <c r="G7" s="88"/>
      <c r="I7" s="15"/>
      <c r="J7" s="16"/>
    </row>
    <row r="8" spans="1:10">
      <c r="A8" s="14"/>
      <c r="B8" s="15"/>
      <c r="C8" s="15"/>
      <c r="D8" s="15"/>
      <c r="E8" s="15"/>
      <c r="F8" s="15"/>
      <c r="G8" s="15"/>
      <c r="I8" s="15"/>
      <c r="J8" s="16"/>
    </row>
    <row r="9" spans="1:10" ht="15.75" thickBot="1">
      <c r="A9" s="14"/>
      <c r="B9" s="15"/>
      <c r="C9" s="15"/>
      <c r="D9" s="15"/>
      <c r="E9" s="15"/>
      <c r="F9" s="15"/>
      <c r="G9" s="15"/>
      <c r="I9" s="15"/>
      <c r="J9" s="16"/>
    </row>
    <row r="10" spans="1:10" ht="24">
      <c r="A10" s="11" t="s">
        <v>5065</v>
      </c>
      <c r="B10" s="12" t="s">
        <v>5057</v>
      </c>
      <c r="C10" s="12" t="s">
        <v>5058</v>
      </c>
      <c r="D10" s="12" t="s">
        <v>5059</v>
      </c>
      <c r="E10" s="12" t="s">
        <v>5060</v>
      </c>
      <c r="F10" s="13" t="s">
        <v>5061</v>
      </c>
      <c r="G10" s="13" t="s">
        <v>5062</v>
      </c>
      <c r="I10" s="15"/>
      <c r="J10" s="16"/>
    </row>
    <row r="11" spans="1:10">
      <c r="A11" s="17" t="s">
        <v>1192</v>
      </c>
      <c r="B11" s="18">
        <f>COUNTIFS(Apartments!$E:$E,'Combined Summaries'!$A11,Apartments!B:B,'Combined Summaries'!$A$10)</f>
        <v>8</v>
      </c>
      <c r="C11" s="85">
        <f>SUMIFS(Apartments!S:S,Apartments!E:E,'Combined Summaries'!$A11,Apartments!B:B,'Combined Summaries'!$A$10)</f>
        <v>13043</v>
      </c>
      <c r="D11" s="85">
        <f>SUMIFS(Apartments!U:U,Apartments!E:E,'Combined Summaries'!$A11,Apartments!B:B,'Combined Summaries'!$A$10)</f>
        <v>12445</v>
      </c>
      <c r="E11" s="85">
        <f>SUMIFS(Apartments!AE:AE,Apartments!E:E,'Combined Summaries'!$A11,Apartments!B:B,'Combined Summaries'!$A$10)</f>
        <v>13320</v>
      </c>
      <c r="F11" s="19">
        <f t="shared" ref="F11:F20" si="0">($E11-$C11)/$C11</f>
        <v>2.1237445372997009E-2</v>
      </c>
      <c r="G11" s="20">
        <f t="shared" ref="G11:G20" si="1">($E11-$D11)/$D11</f>
        <v>7.030936118923263E-2</v>
      </c>
      <c r="I11" s="15"/>
      <c r="J11" s="16"/>
    </row>
    <row r="12" spans="1:10">
      <c r="A12" s="17" t="s">
        <v>1079</v>
      </c>
      <c r="B12" s="18">
        <f>COUNTIFS(Apartments!$E:$E,'Combined Summaries'!$A12,Apartments!B:B,'Combined Summaries'!$A$10)</f>
        <v>8</v>
      </c>
      <c r="C12" s="85">
        <f>SUMIFS(Apartments!S:S,Apartments!E:E,'Combined Summaries'!$A12,Apartments!B:B,'Combined Summaries'!$A$10)</f>
        <v>17650</v>
      </c>
      <c r="D12" s="85">
        <f>SUMIFS(Apartments!U:U,Apartments!E:E,'Combined Summaries'!$A12,Apartments!B:B,'Combined Summaries'!$A$10)</f>
        <v>16820</v>
      </c>
      <c r="E12" s="85">
        <f>SUMIFS(Apartments!AE:AE,Apartments!E:E,'Combined Summaries'!$A12,Apartments!B:B,'Combined Summaries'!$A$10)</f>
        <v>17775</v>
      </c>
      <c r="F12" s="19">
        <f t="shared" si="0"/>
        <v>7.0821529745042494E-3</v>
      </c>
      <c r="G12" s="20">
        <f t="shared" si="1"/>
        <v>5.6777645659928655E-2</v>
      </c>
      <c r="H12" t="s">
        <v>5066</v>
      </c>
      <c r="I12" s="15"/>
      <c r="J12" s="16"/>
    </row>
    <row r="13" spans="1:10">
      <c r="A13" s="17" t="s">
        <v>1122</v>
      </c>
      <c r="B13" s="18">
        <f>COUNTIFS(Apartments!$E:$E,'Combined Summaries'!$A13,Apartments!B:B,'Combined Summaries'!$A$10)</f>
        <v>4</v>
      </c>
      <c r="C13" s="85">
        <f>SUMIFS(Apartments!S:S,Apartments!E:E,'Combined Summaries'!$A13,Apartments!B:B,'Combined Summaries'!$A$10)</f>
        <v>10322</v>
      </c>
      <c r="D13" s="85">
        <f>SUMIFS(Apartments!U:U,Apartments!E:E,'Combined Summaries'!$A13,Apartments!B:B,'Combined Summaries'!$A$10)</f>
        <v>9980</v>
      </c>
      <c r="E13" s="85">
        <f>SUMIFS(Apartments!AE:AE,Apartments!E:E,'Combined Summaries'!$A13,Apartments!B:B,'Combined Summaries'!$A$10)</f>
        <v>10435</v>
      </c>
      <c r="F13" s="19">
        <f t="shared" si="0"/>
        <v>1.0947490796357295E-2</v>
      </c>
      <c r="G13" s="20">
        <f t="shared" si="1"/>
        <v>4.5591182364729456E-2</v>
      </c>
      <c r="I13" s="15"/>
      <c r="J13" s="16"/>
    </row>
    <row r="14" spans="1:10">
      <c r="A14" s="17" t="s">
        <v>942</v>
      </c>
      <c r="B14" s="18">
        <f>COUNTIFS(Apartments!$E:$E,'Combined Summaries'!$A14,Apartments!B:B,'Combined Summaries'!$A$10)</f>
        <v>8</v>
      </c>
      <c r="C14" s="85">
        <f>SUMIFS(Apartments!S:S,Apartments!E:E,'Combined Summaries'!$A14,Apartments!B:B,'Combined Summaries'!$A$10)</f>
        <v>10050</v>
      </c>
      <c r="D14" s="85">
        <f>SUMIFS(Apartments!U:U,Apartments!E:E,'Combined Summaries'!$A14,Apartments!B:B,'Combined Summaries'!$A$10)</f>
        <v>9660.56</v>
      </c>
      <c r="E14" s="85">
        <f>SUMIFS(Apartments!AE:AE,Apartments!E:E,'Combined Summaries'!$A14,Apartments!B:B,'Combined Summaries'!$A$10)</f>
        <v>10160</v>
      </c>
      <c r="F14" s="19">
        <f t="shared" si="0"/>
        <v>1.0945273631840797E-2</v>
      </c>
      <c r="G14" s="20">
        <f t="shared" si="1"/>
        <v>5.1698866318308723E-2</v>
      </c>
      <c r="I14" s="15"/>
      <c r="J14" s="16"/>
    </row>
    <row r="15" spans="1:10">
      <c r="A15" s="120" t="s">
        <v>866</v>
      </c>
      <c r="B15" s="121">
        <f>COUNTIFS(Apartments!$E:$E,'Combined Summaries'!$A15,Apartments!B:B,'Combined Summaries'!$A$10)</f>
        <v>13</v>
      </c>
      <c r="C15" s="122">
        <f>SUMIFS(Apartments!S:S,Apartments!E:E,'Combined Summaries'!$A15,Apartments!B:B,'Combined Summaries'!$A$10)</f>
        <v>17800.666666666668</v>
      </c>
      <c r="D15" s="122">
        <f>SUMIFS(Apartments!U:U,Apartments!E:E,'Combined Summaries'!$A15,Apartments!B:B,'Combined Summaries'!$A$10)</f>
        <v>17785.82</v>
      </c>
      <c r="E15" s="122">
        <f>SUMIFS(Apartments!AE:AE,Apartments!E:E,'Combined Summaries'!$A15,Apartments!B:B,'Combined Summaries'!$A$10)</f>
        <v>18630</v>
      </c>
      <c r="F15" s="123">
        <f t="shared" si="0"/>
        <v>4.6590015355230073E-2</v>
      </c>
      <c r="G15" s="124">
        <f t="shared" si="1"/>
        <v>4.7463653629689288E-2</v>
      </c>
      <c r="H15" t="s">
        <v>5067</v>
      </c>
      <c r="I15" s="15"/>
      <c r="J15" s="16"/>
    </row>
    <row r="16" spans="1:10">
      <c r="A16" s="17" t="s">
        <v>1102</v>
      </c>
      <c r="B16" s="18">
        <f>COUNTIFS(Apartments!$E:$E,'Combined Summaries'!$A16,Apartments!B:B,'Combined Summaries'!$A$10)</f>
        <v>6</v>
      </c>
      <c r="C16" s="85">
        <f>SUMIFS(Apartments!S:S,Apartments!E:E,'Combined Summaries'!$A16,Apartments!B:B,'Combined Summaries'!$A$10)</f>
        <v>9169.3333333333321</v>
      </c>
      <c r="D16" s="85">
        <f>SUMIFS(Apartments!U:U,Apartments!E:E,'Combined Summaries'!$A16,Apartments!B:B,'Combined Summaries'!$A$10)</f>
        <v>8915</v>
      </c>
      <c r="E16" s="85">
        <f>SUMIFS(Apartments!AE:AE,Apartments!E:E,'Combined Summaries'!$A16,Apartments!B:B,'Combined Summaries'!$A$10)</f>
        <v>9280</v>
      </c>
      <c r="F16" s="19">
        <f t="shared" si="0"/>
        <v>1.2069216228006533E-2</v>
      </c>
      <c r="G16" s="20">
        <f t="shared" si="1"/>
        <v>4.0942232192933262E-2</v>
      </c>
      <c r="H16" t="s">
        <v>5068</v>
      </c>
      <c r="I16" s="15"/>
      <c r="J16" s="16"/>
    </row>
    <row r="17" spans="1:10">
      <c r="A17" s="17" t="s">
        <v>110</v>
      </c>
      <c r="B17" s="18">
        <f>COUNTIFS(Apartments!$E:$E,'Combined Summaries'!$A17,Apartments!B:B,'Combined Summaries'!$A$10)</f>
        <v>15</v>
      </c>
      <c r="C17" s="85">
        <f>SUMIFS(Apartments!S:S,Apartments!E:E,'Combined Summaries'!$A17,Apartments!B:B,'Combined Summaries'!$A$10)</f>
        <v>21895</v>
      </c>
      <c r="D17" s="85">
        <f>SUMIFS(Apartments!U:U,Apartments!E:E,'Combined Summaries'!$A17,Apartments!B:B,'Combined Summaries'!$A$10)</f>
        <v>20431.57</v>
      </c>
      <c r="E17" s="85">
        <f>SUMIFS(Apartments!AE:AE,Apartments!E:E,'Combined Summaries'!$A17,Apartments!B:B,'Combined Summaries'!$A$10)</f>
        <v>22015</v>
      </c>
      <c r="F17" s="19">
        <f t="shared" si="0"/>
        <v>5.4807033569308061E-3</v>
      </c>
      <c r="G17" s="20">
        <f t="shared" si="1"/>
        <v>7.7499183861054255E-2</v>
      </c>
      <c r="H17" t="s">
        <v>5069</v>
      </c>
      <c r="I17" s="15"/>
      <c r="J17" s="16"/>
    </row>
    <row r="18" spans="1:10">
      <c r="A18" s="17" t="s">
        <v>1041</v>
      </c>
      <c r="B18" s="18">
        <f>COUNTIFS(Apartments!$E:$E,'Combined Summaries'!$A18,Apartments!B:B,'Combined Summaries'!$A$10)</f>
        <v>9</v>
      </c>
      <c r="C18" s="85">
        <f>SUMIFS(Apartments!S:S,Apartments!E:E,'Combined Summaries'!$A18,Apartments!B:B,'Combined Summaries'!$A$10)</f>
        <v>19635</v>
      </c>
      <c r="D18" s="85">
        <f>SUMIFS(Apartments!U:U,Apartments!E:E,'Combined Summaries'!$A18,Apartments!B:B,'Combined Summaries'!$A$10)</f>
        <v>19270</v>
      </c>
      <c r="E18" s="85">
        <f>SUMIFS(Apartments!AE:AE,Apartments!E:E,'Combined Summaries'!$A18,Apartments!B:B,'Combined Summaries'!$A$10)</f>
        <v>20175</v>
      </c>
      <c r="F18" s="19">
        <f t="shared" si="0"/>
        <v>2.7501909854851032E-2</v>
      </c>
      <c r="G18" s="20">
        <f t="shared" si="1"/>
        <v>4.6964193046185779E-2</v>
      </c>
      <c r="I18" s="15"/>
      <c r="J18" s="16"/>
    </row>
    <row r="19" spans="1:10">
      <c r="A19" s="17" t="s">
        <v>210</v>
      </c>
      <c r="B19" s="18">
        <f>COUNTIFS(Apartments!$E:$E,'Combined Summaries'!$A19,Apartments!B:B,'Combined Summaries'!$A$10)</f>
        <v>11</v>
      </c>
      <c r="C19" s="85">
        <f>SUMIFS(Apartments!S:S,Apartments!E:E,'Combined Summaries'!$A19,Apartments!B:B,'Combined Summaries'!$A$10)</f>
        <v>0</v>
      </c>
      <c r="D19" s="85">
        <f>SUMIFS(Apartments!U:U,Apartments!E:E,'Combined Summaries'!$A19,Apartments!B:B,'Combined Summaries'!$A$10)</f>
        <v>25475</v>
      </c>
      <c r="E19" s="85">
        <f>SUMIFS(Apartments!AE:AE,Apartments!E:E,'Combined Summaries'!$A19,Apartments!B:B,'Combined Summaries'!$A$10)</f>
        <v>26435</v>
      </c>
      <c r="F19" s="19" t="e">
        <f t="shared" si="0"/>
        <v>#DIV/0!</v>
      </c>
      <c r="G19" s="20">
        <f t="shared" si="1"/>
        <v>3.7684003925417077E-2</v>
      </c>
      <c r="H19" t="s">
        <v>5070</v>
      </c>
      <c r="I19" s="15"/>
      <c r="J19" s="16"/>
    </row>
    <row r="20" spans="1:10" ht="15.75" thickBot="1">
      <c r="A20" s="24" t="s">
        <v>343</v>
      </c>
      <c r="B20" s="18">
        <f>COUNTIFS(Apartments!$E:$E,'Combined Summaries'!$A20,Apartments!B:B,'Combined Summaries'!$A$10)</f>
        <v>6</v>
      </c>
      <c r="C20" s="85">
        <f>SUMIFS(Apartments!S:S,Apartments!E:E,'Combined Summaries'!$A20,Apartments!B:B,'Combined Summaries'!$A$10)</f>
        <v>14906.666666666668</v>
      </c>
      <c r="D20" s="85">
        <f>SUMIFS(Apartments!U:U,Apartments!E:E,'Combined Summaries'!$A20,Apartments!B:B,'Combined Summaries'!$A$10)</f>
        <v>14605</v>
      </c>
      <c r="E20" s="85">
        <f>SUMIFS(Apartments!AE:AE,Apartments!E:E,'Combined Summaries'!$A20,Apartments!B:B,'Combined Summaries'!$A$10)</f>
        <v>15205</v>
      </c>
      <c r="F20" s="19">
        <f t="shared" si="0"/>
        <v>2.0013416815742313E-2</v>
      </c>
      <c r="G20" s="20">
        <f t="shared" si="1"/>
        <v>4.1081821294077371E-2</v>
      </c>
      <c r="H20" t="s">
        <v>5071</v>
      </c>
      <c r="I20" s="15"/>
      <c r="J20" s="16"/>
    </row>
    <row r="21" spans="1:10" ht="15.75" thickBot="1">
      <c r="A21" s="22"/>
      <c r="B21" s="23">
        <f>SUM(B11:B20)</f>
        <v>88</v>
      </c>
      <c r="C21" s="86">
        <f>SUM(C11:C20)</f>
        <v>134471.66666666666</v>
      </c>
      <c r="D21" s="86">
        <f>SUM(D11:D20)</f>
        <v>155387.95000000001</v>
      </c>
      <c r="E21" s="86">
        <f>SUM(E11:E20)</f>
        <v>163430</v>
      </c>
      <c r="F21" s="25" t="e">
        <f>AVERAGE(F11:F20)</f>
        <v>#DIV/0!</v>
      </c>
      <c r="G21" s="25">
        <f>AVERAGE(G11:G20)</f>
        <v>5.1601214348155643E-2</v>
      </c>
      <c r="I21" s="15"/>
      <c r="J21" s="16"/>
    </row>
    <row r="22" spans="1:10" ht="15.75" thickBot="1">
      <c r="A22" s="14"/>
      <c r="B22" s="15"/>
      <c r="C22" s="15"/>
      <c r="D22" s="15"/>
      <c r="E22" s="15"/>
      <c r="F22" s="15"/>
      <c r="G22" s="15"/>
      <c r="I22" s="15"/>
      <c r="J22" s="16"/>
    </row>
    <row r="23" spans="1:10" ht="24">
      <c r="A23" s="11" t="s">
        <v>2711</v>
      </c>
      <c r="B23" s="12" t="s">
        <v>5057</v>
      </c>
      <c r="C23" s="12" t="s">
        <v>5058</v>
      </c>
      <c r="D23" s="12" t="s">
        <v>5059</v>
      </c>
      <c r="E23" s="12" t="s">
        <v>5060</v>
      </c>
      <c r="F23" s="13" t="s">
        <v>5061</v>
      </c>
      <c r="G23" s="13" t="s">
        <v>5062</v>
      </c>
      <c r="I23" s="15"/>
      <c r="J23" s="16"/>
    </row>
    <row r="24" spans="1:10">
      <c r="A24" s="17" t="s">
        <v>1192</v>
      </c>
      <c r="B24" s="18"/>
      <c r="C24" s="85"/>
      <c r="D24" s="85"/>
      <c r="E24" s="85"/>
      <c r="F24" s="19"/>
      <c r="G24" s="20"/>
      <c r="I24" s="15"/>
      <c r="J24" s="16"/>
    </row>
    <row r="25" spans="1:10">
      <c r="A25" s="17" t="s">
        <v>1079</v>
      </c>
      <c r="B25" s="18"/>
      <c r="C25" s="85"/>
      <c r="D25" s="85"/>
      <c r="E25" s="85"/>
      <c r="F25" s="19"/>
      <c r="G25" s="20"/>
      <c r="I25" s="15"/>
      <c r="J25" s="16"/>
    </row>
    <row r="26" spans="1:10">
      <c r="A26" s="17" t="s">
        <v>1122</v>
      </c>
      <c r="B26" s="18"/>
      <c r="C26" s="85"/>
      <c r="D26" s="85"/>
      <c r="E26" s="85"/>
      <c r="F26" s="19"/>
      <c r="G26" s="20"/>
      <c r="I26" s="15"/>
      <c r="J26" s="16"/>
    </row>
    <row r="27" spans="1:10">
      <c r="A27" s="17" t="s">
        <v>942</v>
      </c>
      <c r="B27" s="18"/>
      <c r="C27" s="85"/>
      <c r="D27" s="85"/>
      <c r="E27" s="85"/>
      <c r="F27" s="19"/>
      <c r="G27" s="20"/>
      <c r="I27" s="15"/>
      <c r="J27" s="16"/>
    </row>
    <row r="28" spans="1:10">
      <c r="A28" s="17" t="s">
        <v>866</v>
      </c>
      <c r="B28" s="18"/>
      <c r="C28" s="85"/>
      <c r="D28" s="85"/>
      <c r="E28" s="85"/>
      <c r="F28" s="19"/>
      <c r="G28" s="20"/>
      <c r="I28" s="15"/>
      <c r="J28" s="16"/>
    </row>
    <row r="29" spans="1:10">
      <c r="A29" s="17" t="s">
        <v>1102</v>
      </c>
      <c r="B29" s="18"/>
      <c r="C29" s="85"/>
      <c r="D29" s="85"/>
      <c r="E29" s="85"/>
      <c r="F29" s="19"/>
      <c r="G29" s="20"/>
      <c r="I29" s="15"/>
      <c r="J29" s="16"/>
    </row>
    <row r="30" spans="1:10">
      <c r="A30" s="17" t="s">
        <v>110</v>
      </c>
      <c r="B30" s="18"/>
      <c r="C30" s="85"/>
      <c r="D30" s="85"/>
      <c r="E30" s="85"/>
      <c r="F30" s="19"/>
      <c r="G30" s="20"/>
      <c r="I30" s="15"/>
      <c r="J30" s="16"/>
    </row>
    <row r="31" spans="1:10">
      <c r="A31" s="17" t="s">
        <v>1041</v>
      </c>
      <c r="B31" s="18"/>
      <c r="C31" s="85"/>
      <c r="D31" s="85"/>
      <c r="E31" s="85"/>
      <c r="F31" s="19"/>
      <c r="G31" s="20"/>
      <c r="I31" s="15"/>
      <c r="J31" s="16"/>
    </row>
    <row r="32" spans="1:10">
      <c r="A32" s="17" t="s">
        <v>210</v>
      </c>
      <c r="B32" s="18"/>
      <c r="C32" s="85"/>
      <c r="D32" s="85"/>
      <c r="E32" s="85"/>
      <c r="F32" s="19"/>
      <c r="G32" s="20"/>
      <c r="I32" s="15"/>
      <c r="J32" s="16"/>
    </row>
    <row r="33" spans="1:12" ht="15.75" thickBot="1">
      <c r="A33" s="24" t="s">
        <v>343</v>
      </c>
      <c r="B33" s="18"/>
      <c r="C33" s="85"/>
      <c r="D33" s="85"/>
      <c r="E33" s="85"/>
      <c r="F33" s="19"/>
      <c r="G33" s="20"/>
      <c r="I33" s="15"/>
      <c r="J33" s="16"/>
    </row>
    <row r="34" spans="1:12" ht="15.75" thickBot="1">
      <c r="A34" s="22"/>
      <c r="B34" s="23"/>
      <c r="C34" s="86"/>
      <c r="D34" s="86"/>
      <c r="E34" s="86"/>
      <c r="F34" s="25"/>
      <c r="G34" s="25"/>
      <c r="I34" s="15"/>
      <c r="J34" s="16"/>
    </row>
    <row r="35" spans="1:12">
      <c r="A35" s="14"/>
      <c r="B35" s="15"/>
      <c r="C35" s="15"/>
      <c r="D35" s="15"/>
      <c r="E35" s="15"/>
      <c r="F35" s="15"/>
      <c r="G35" s="15"/>
      <c r="I35" s="15"/>
      <c r="J35" s="16"/>
    </row>
    <row r="36" spans="1:12">
      <c r="A36" s="14"/>
      <c r="B36" s="15"/>
      <c r="C36" s="15"/>
      <c r="D36" s="15"/>
      <c r="E36" s="15"/>
      <c r="F36" s="15"/>
      <c r="G36" s="15"/>
      <c r="I36" s="15"/>
      <c r="J36" s="16"/>
    </row>
    <row r="37" spans="1:12" ht="15.75" thickBot="1">
      <c r="A37" s="14"/>
      <c r="B37" s="15"/>
      <c r="C37" s="15"/>
      <c r="D37" s="15"/>
      <c r="E37" s="15"/>
      <c r="F37" s="15"/>
      <c r="G37" s="15"/>
      <c r="I37" s="15"/>
      <c r="J37" s="16"/>
    </row>
    <row r="38" spans="1:12" ht="24">
      <c r="A38" s="11" t="s">
        <v>5063</v>
      </c>
      <c r="B38" s="12" t="s">
        <v>5057</v>
      </c>
      <c r="C38" s="12" t="s">
        <v>5058</v>
      </c>
      <c r="D38" s="12" t="s">
        <v>5059</v>
      </c>
      <c r="E38" s="12" t="s">
        <v>5060</v>
      </c>
      <c r="F38" s="13" t="s">
        <v>5061</v>
      </c>
      <c r="G38" s="13" t="s">
        <v>5062</v>
      </c>
      <c r="I38" s="15"/>
      <c r="J38" s="16"/>
    </row>
    <row r="39" spans="1:12">
      <c r="A39" s="17" t="str">
        <f>Apartments!E157</f>
        <v>Brook Place</v>
      </c>
      <c r="B39" s="18">
        <v>47</v>
      </c>
      <c r="C39" s="85">
        <f>SUMIF(Apartments!E:E,'Combined Summaries'!A39,Apartments!S:S)</f>
        <v>50470</v>
      </c>
      <c r="D39" s="85">
        <f>SUMIF(Apartments!E:E,'Combined Summaries'!A39,Apartments!U:U)</f>
        <v>49165</v>
      </c>
      <c r="E39" s="85">
        <f>SUMIF(Apartments!E:E,'Combined Summaries'!A39,Apartments!AE:AE)</f>
        <v>51080</v>
      </c>
      <c r="F39" s="19">
        <f t="shared" ref="F39:F48" si="2">(E39-C39)/C39</f>
        <v>1.2086387953239549E-2</v>
      </c>
      <c r="G39" s="20">
        <f t="shared" ref="G39:G48" si="3">(E39-D39)/D39</f>
        <v>3.8950472897386353E-2</v>
      </c>
      <c r="I39" s="15"/>
      <c r="J39" s="118"/>
      <c r="L39" s="107"/>
    </row>
    <row r="40" spans="1:12">
      <c r="A40" s="17" t="str">
        <f>Apartments!E166</f>
        <v>Churston Close</v>
      </c>
      <c r="B40" s="18">
        <v>106</v>
      </c>
      <c r="C40" s="85">
        <f>SUMIF(Apartments!E:E,'Combined Summaries'!A40,Apartments!S:S)</f>
        <v>10835</v>
      </c>
      <c r="D40" s="85">
        <f>SUMIF(Apartments!E:E,'Combined Summaries'!A40,Apartments!U:U)</f>
        <v>9984.0299999999988</v>
      </c>
      <c r="E40" s="85">
        <f>SUMIF(Apartments!E:E,'Combined Summaries'!A40,Apartments!AE:AE)</f>
        <v>10615</v>
      </c>
      <c r="F40" s="19">
        <f t="shared" si="2"/>
        <v>-2.030456852791878E-2</v>
      </c>
      <c r="G40" s="20">
        <f t="shared" si="3"/>
        <v>6.319792708956215E-2</v>
      </c>
      <c r="I40" s="15"/>
      <c r="J40" s="118"/>
      <c r="L40" s="107"/>
    </row>
    <row r="41" spans="1:12">
      <c r="A41" s="17" t="str">
        <f>Apartments!E284</f>
        <v>Eagle House</v>
      </c>
      <c r="B41" s="18">
        <v>58</v>
      </c>
      <c r="C41" s="85">
        <f>SUMIF(Apartments!E:E,'Combined Summaries'!A41,Apartments!S:S)</f>
        <v>11895.000000000002</v>
      </c>
      <c r="D41" s="85">
        <f>SUMIF(Apartments!E:E,'Combined Summaries'!A41,Apartments!U:U)</f>
        <v>11080</v>
      </c>
      <c r="E41" s="85">
        <f>SUMIF(Apartments!E:E,'Combined Summaries'!A41,Apartments!AE:AE)</f>
        <v>11685</v>
      </c>
      <c r="F41" s="19">
        <f t="shared" si="2"/>
        <v>-1.7654476670870264E-2</v>
      </c>
      <c r="G41" s="20">
        <f t="shared" si="3"/>
        <v>5.4602888086642598E-2</v>
      </c>
      <c r="I41" s="15"/>
      <c r="J41" s="118"/>
      <c r="L41" s="107"/>
    </row>
    <row r="42" spans="1:12">
      <c r="A42" s="17" t="str">
        <f>Apartments!E396</f>
        <v>Gilders Yard</v>
      </c>
      <c r="B42" s="18">
        <v>25</v>
      </c>
      <c r="C42" s="85">
        <f>SUMIF(Apartments!E:E,'Combined Summaries'!A42,Apartments!S:S)</f>
        <v>33412.5</v>
      </c>
      <c r="D42" s="85">
        <f>SUMIF(Apartments!E:E,'Combined Summaries'!A42,Apartments!U:U)</f>
        <v>32690</v>
      </c>
      <c r="E42" s="85">
        <f>SUMIF(Apartments!E:E,'Combined Summaries'!A42,Apartments!AE:AE)</f>
        <v>34050</v>
      </c>
      <c r="F42" s="19">
        <f t="shared" si="2"/>
        <v>1.9079685746352413E-2</v>
      </c>
      <c r="G42" s="20">
        <f t="shared" si="3"/>
        <v>4.1602936677883146E-2</v>
      </c>
      <c r="I42" s="15"/>
      <c r="J42" s="118"/>
      <c r="L42" s="107"/>
    </row>
    <row r="43" spans="1:12">
      <c r="A43" s="17" t="str">
        <f>Apartments!E437</f>
        <v>Hawkins &amp; George</v>
      </c>
      <c r="B43" s="18">
        <v>60</v>
      </c>
      <c r="C43" s="85">
        <f>SUMIF(Apartments!E:E,'Combined Summaries'!A43,Apartments!S:S)</f>
        <v>105828.6666666667</v>
      </c>
      <c r="D43" s="85">
        <f>SUMIF(Apartments!E:E,'Combined Summaries'!A43,Apartments!U:U)</f>
        <v>101174.25</v>
      </c>
      <c r="E43" s="85">
        <f>SUMIF(Apartments!E:E,'Combined Summaries'!A43,Apartments!AE:AE)</f>
        <v>106635</v>
      </c>
      <c r="F43" s="19">
        <f t="shared" si="2"/>
        <v>7.6192336040011126E-3</v>
      </c>
      <c r="G43" s="20">
        <f t="shared" si="3"/>
        <v>5.3973713667262176E-2</v>
      </c>
      <c r="I43" s="15"/>
      <c r="J43" s="118"/>
      <c r="L43" s="107"/>
    </row>
    <row r="44" spans="1:12">
      <c r="A44" s="17" t="str">
        <f>Apartments!E636</f>
        <v>Pin Yard</v>
      </c>
      <c r="B44" s="18">
        <v>47</v>
      </c>
      <c r="C44" s="85">
        <f>SUMIF(Apartments!E:E,'Combined Summaries'!A44,Apartments!S:S)</f>
        <v>55400</v>
      </c>
      <c r="D44" s="85">
        <f>SUMIF(Apartments!E:E,'Combined Summaries'!A44,Apartments!U:U)</f>
        <v>52570</v>
      </c>
      <c r="E44" s="85">
        <f>SUMIF(Apartments!E:E,'Combined Summaries'!A44,Apartments!AE:AE)</f>
        <v>55545</v>
      </c>
      <c r="F44" s="19">
        <f t="shared" si="2"/>
        <v>2.6173285198555956E-3</v>
      </c>
      <c r="G44" s="20">
        <f t="shared" si="3"/>
        <v>5.659121171770972E-2</v>
      </c>
      <c r="I44" s="15"/>
      <c r="J44" s="118"/>
      <c r="L44" s="107"/>
    </row>
    <row r="45" spans="1:12">
      <c r="A45" s="17" t="str">
        <f>Apartments!E664</f>
        <v>Shillington Old School</v>
      </c>
      <c r="B45" s="18">
        <v>30</v>
      </c>
      <c r="C45" s="85">
        <f>SUMIF(Apartments!E:E,'Combined Summaries'!A45,Apartments!S:S)</f>
        <v>6240</v>
      </c>
      <c r="D45" s="85">
        <f>SUMIF(Apartments!E:E,'Combined Summaries'!A45,Apartments!U:U)</f>
        <v>6055</v>
      </c>
      <c r="E45" s="85">
        <f>SUMIF(Apartments!E:E,'Combined Summaries'!A45,Apartments!AE:AE)</f>
        <v>6425</v>
      </c>
      <c r="F45" s="19">
        <f t="shared" si="2"/>
        <v>2.9647435897435896E-2</v>
      </c>
      <c r="G45" s="20">
        <f t="shared" si="3"/>
        <v>6.1106523534269201E-2</v>
      </c>
      <c r="H45" s="52" t="s">
        <v>5072</v>
      </c>
      <c r="I45" s="15"/>
      <c r="J45" s="118"/>
      <c r="L45" s="107"/>
    </row>
    <row r="46" spans="1:12">
      <c r="A46" s="17" t="str">
        <f>Apartments!E732</f>
        <v>Tabernacle Street</v>
      </c>
      <c r="B46" s="18">
        <v>52</v>
      </c>
      <c r="C46" s="85">
        <f>SUMIF(Apartments!E:E,'Combined Summaries'!A46,Apartments!S:S)</f>
        <v>12054.5</v>
      </c>
      <c r="D46" s="85">
        <f>SUMIF(Apartments!E:E,'Combined Summaries'!A46,Apartments!U:U)</f>
        <v>11680</v>
      </c>
      <c r="E46" s="85">
        <f>SUMIF(Apartments!E:E,'Combined Summaries'!A46,Apartments!AE:AE)</f>
        <v>12225</v>
      </c>
      <c r="F46" s="19">
        <f t="shared" si="2"/>
        <v>1.4144095565971213E-2</v>
      </c>
      <c r="G46" s="20">
        <f t="shared" si="3"/>
        <v>4.6660958904109588E-2</v>
      </c>
      <c r="I46" s="15"/>
      <c r="J46" s="118"/>
    </row>
    <row r="47" spans="1:12">
      <c r="A47" s="17" t="str">
        <f>Apartments!E835</f>
        <v>The Condor</v>
      </c>
      <c r="B47" s="18">
        <v>52</v>
      </c>
      <c r="C47" s="85">
        <f>SUMIF(Apartments!E:E,'Combined Summaries'!A47,Apartments!S:S)</f>
        <v>51683.333333333328</v>
      </c>
      <c r="D47" s="85">
        <f>SUMIF(Apartments!E:E,'Combined Summaries'!A47,Apartments!U:U)</f>
        <v>51430</v>
      </c>
      <c r="E47" s="85">
        <f>SUMIF(Apartments!E:E,'Combined Summaries'!A47,Apartments!AE:AE)</f>
        <v>53055</v>
      </c>
      <c r="F47" s="19">
        <f t="shared" si="2"/>
        <v>2.6539825862625058E-2</v>
      </c>
      <c r="G47" s="20">
        <f t="shared" si="3"/>
        <v>3.1596344545984832E-2</v>
      </c>
      <c r="I47" s="15"/>
      <c r="J47" s="118"/>
    </row>
    <row r="48" spans="1:12">
      <c r="A48" s="17" t="str">
        <f>Apartments!E837</f>
        <v>The Condor</v>
      </c>
      <c r="B48" s="18">
        <v>2</v>
      </c>
      <c r="C48" s="85">
        <f>SUMIF(Apartments!E:E,'Combined Summaries'!A48,Apartments!S:S)</f>
        <v>51683.333333333328</v>
      </c>
      <c r="D48" s="85">
        <f>SUMIF(Apartments!E:E,'Combined Summaries'!A48,Apartments!U:U)</f>
        <v>51430</v>
      </c>
      <c r="E48" s="85">
        <f>SUMIF(Apartments!E:E,'Combined Summaries'!A48,Apartments!AE:AE)</f>
        <v>53055</v>
      </c>
      <c r="F48" s="19">
        <f t="shared" si="2"/>
        <v>2.6539825862625058E-2</v>
      </c>
      <c r="G48" s="20">
        <f t="shared" si="3"/>
        <v>3.1596344545984832E-2</v>
      </c>
      <c r="I48" s="15"/>
      <c r="J48" s="118"/>
    </row>
    <row r="49" spans="1:12">
      <c r="A49" s="17" t="str">
        <f>Apartments!E838</f>
        <v>The Condor</v>
      </c>
      <c r="B49" s="18">
        <v>97</v>
      </c>
      <c r="C49" s="85">
        <f>SUMIF(Apartments!E:E,'Combined Summaries'!A49,Apartments!S:S)</f>
        <v>51683.333333333328</v>
      </c>
      <c r="D49" s="85">
        <f>SUMIF(Apartments!E:E,'Combined Summaries'!A49,Apartments!U:U)</f>
        <v>51430</v>
      </c>
      <c r="E49" s="85">
        <f>SUMIF(Apartments!E:E,'Combined Summaries'!A49,Apartments!AE:AE)</f>
        <v>53055</v>
      </c>
      <c r="F49" s="19">
        <f t="shared" ref="F49:F53" si="4">(E49-C49)/C49</f>
        <v>2.6539825862625058E-2</v>
      </c>
      <c r="G49" s="20">
        <f t="shared" ref="G49:G53" si="5">(E49-D49)/D49</f>
        <v>3.1596344545984832E-2</v>
      </c>
      <c r="I49" s="15"/>
      <c r="J49" s="118"/>
      <c r="L49" s="107"/>
    </row>
    <row r="50" spans="1:12">
      <c r="A50" s="17" t="str">
        <f>Apartments!E1007</f>
        <v>The Forge</v>
      </c>
      <c r="B50" s="18">
        <v>73</v>
      </c>
      <c r="C50" s="85">
        <f>SUMIF(Apartments!E:E,'Combined Summaries'!A50,Apartments!S:S)</f>
        <v>93315</v>
      </c>
      <c r="D50" s="85">
        <f>SUMIF(Apartments!E:E,'Combined Summaries'!A50,Apartments!U:U)</f>
        <v>90430</v>
      </c>
      <c r="E50" s="85">
        <f>SUMIF(Apartments!E:E,'Combined Summaries'!A50,Apartments!AE:AE)</f>
        <v>94045</v>
      </c>
      <c r="F50" s="19">
        <f t="shared" si="4"/>
        <v>7.8229652253121156E-3</v>
      </c>
      <c r="G50" s="20">
        <f t="shared" si="5"/>
        <v>3.9975671790335066E-2</v>
      </c>
      <c r="I50" s="15"/>
      <c r="J50" s="118"/>
      <c r="L50" s="107"/>
    </row>
    <row r="51" spans="1:12">
      <c r="A51" s="17" t="str">
        <f>Apartments!E1034</f>
        <v>The Headline</v>
      </c>
      <c r="B51" s="18">
        <v>27</v>
      </c>
      <c r="C51" s="85">
        <f>SUMIF(Apartments!E:E,'Combined Summaries'!A51,Apartments!S:S)</f>
        <v>36550</v>
      </c>
      <c r="D51" s="85">
        <f>SUMIF(Apartments!E:E,'Combined Summaries'!A51,Apartments!U:U)</f>
        <v>35250</v>
      </c>
      <c r="E51" s="85">
        <f>SUMIF(Apartments!E:E,'Combined Summaries'!A51,Apartments!AE:AE)</f>
        <v>36945</v>
      </c>
      <c r="F51" s="19">
        <f t="shared" si="4"/>
        <v>1.0807113543091655E-2</v>
      </c>
      <c r="G51" s="20">
        <f t="shared" si="5"/>
        <v>4.8085106382978721E-2</v>
      </c>
      <c r="I51" s="15"/>
      <c r="J51" s="118"/>
      <c r="L51" s="107"/>
    </row>
    <row r="52" spans="1:12" ht="15.75" thickBot="1">
      <c r="A52" s="81" t="str">
        <f>Apartments!E1117</f>
        <v>The Tilt Works</v>
      </c>
      <c r="B52" s="80">
        <v>14</v>
      </c>
      <c r="C52" s="85">
        <f>SUMIF(Apartments!E:E,'Combined Summaries'!A52,Apartments!S:S)</f>
        <v>14250</v>
      </c>
      <c r="D52" s="85">
        <f>SUMIF(Apartments!E:E,'Combined Summaries'!A52,Apartments!U:U)</f>
        <v>13715</v>
      </c>
      <c r="E52" s="85">
        <f>SUMIF(Apartments!E:E,'Combined Summaries'!A52,Apartments!AE:AE)</f>
        <v>14060</v>
      </c>
      <c r="F52" s="19">
        <f t="shared" si="4"/>
        <v>-1.3333333333333334E-2</v>
      </c>
      <c r="G52" s="20">
        <f t="shared" si="5"/>
        <v>2.5154939846882975E-2</v>
      </c>
      <c r="I52" s="15"/>
      <c r="J52" s="16"/>
    </row>
    <row r="53" spans="1:12" ht="15.75" thickBot="1">
      <c r="A53" s="22"/>
      <c r="B53" s="23">
        <f>SUM(B39:B52)</f>
        <v>690</v>
      </c>
      <c r="C53" s="89">
        <f>SUM(C39:C52)</f>
        <v>585300.66666666663</v>
      </c>
      <c r="D53" s="89">
        <f>SUM(D39:D52)</f>
        <v>568083.28</v>
      </c>
      <c r="E53" s="89">
        <f>SUM(E39:E52)</f>
        <v>592475</v>
      </c>
      <c r="F53" s="25">
        <f t="shared" si="4"/>
        <v>1.2257517788578245E-2</v>
      </c>
      <c r="G53" s="25">
        <f t="shared" si="5"/>
        <v>4.2936873621768928E-2</v>
      </c>
      <c r="I53" s="15"/>
      <c r="J53" s="16"/>
    </row>
    <row r="54" spans="1:12">
      <c r="A54" s="60"/>
      <c r="B54" s="15"/>
      <c r="C54" s="38"/>
      <c r="D54" s="38"/>
      <c r="E54" s="38"/>
      <c r="F54" s="39"/>
      <c r="G54" s="39"/>
      <c r="I54" s="15"/>
      <c r="J54" s="16"/>
    </row>
    <row r="55" spans="1:12">
      <c r="A55" s="60" t="s">
        <v>5073</v>
      </c>
      <c r="B55" s="15"/>
      <c r="C55" s="38"/>
      <c r="D55" s="38"/>
      <c r="E55" s="38"/>
      <c r="F55" s="39"/>
      <c r="G55" s="39"/>
      <c r="I55" s="15"/>
      <c r="J55" s="16"/>
    </row>
    <row r="56" spans="1:12">
      <c r="A56" s="60" t="s">
        <v>5074</v>
      </c>
      <c r="B56" s="15"/>
      <c r="C56" s="38"/>
      <c r="D56" s="38"/>
      <c r="E56" s="38"/>
      <c r="F56" s="39"/>
      <c r="G56" s="39"/>
      <c r="I56" s="15"/>
      <c r="J56" s="16"/>
    </row>
    <row r="57" spans="1:12">
      <c r="A57" s="60"/>
      <c r="B57" s="61"/>
      <c r="C57" s="38"/>
      <c r="D57" s="38"/>
      <c r="E57" s="38"/>
      <c r="F57" s="41"/>
      <c r="G57" s="41"/>
      <c r="I57" s="15"/>
      <c r="J57" s="16"/>
    </row>
    <row r="58" spans="1:12">
      <c r="A58" s="14"/>
      <c r="B58" s="15"/>
      <c r="C58" s="15"/>
      <c r="D58" s="15"/>
      <c r="E58" s="15"/>
      <c r="F58" s="15"/>
      <c r="G58" s="15"/>
      <c r="I58" s="15"/>
      <c r="J58" s="16"/>
    </row>
    <row r="59" spans="1:12" ht="15.75" thickBot="1">
      <c r="A59" s="14"/>
      <c r="B59" s="15"/>
      <c r="C59" s="15"/>
      <c r="D59" s="15"/>
      <c r="E59" s="15"/>
      <c r="F59" s="15"/>
      <c r="G59" s="15"/>
      <c r="I59" s="15"/>
      <c r="J59" s="16"/>
    </row>
    <row r="60" spans="1:12" ht="24">
      <c r="A60" s="32" t="s">
        <v>5064</v>
      </c>
      <c r="B60" s="12" t="s">
        <v>5057</v>
      </c>
      <c r="C60" s="12" t="s">
        <v>5058</v>
      </c>
      <c r="D60" s="12" t="s">
        <v>5059</v>
      </c>
      <c r="E60" s="12" t="s">
        <v>5060</v>
      </c>
      <c r="F60" s="13" t="s">
        <v>5061</v>
      </c>
      <c r="G60" s="13" t="s">
        <v>5062</v>
      </c>
      <c r="I60" s="16"/>
      <c r="J60" s="16"/>
    </row>
    <row r="61" spans="1:12">
      <c r="A61" s="33" t="s">
        <v>1828</v>
      </c>
      <c r="B61" s="18">
        <f>COUNTIF(Apartments!$E:$E,'Combined Summaries'!$A61)</f>
        <v>12</v>
      </c>
      <c r="C61" s="85">
        <f>SUMIF(Apartments!$E:$E,'Combined Summaries'!$A61,Apartments!$S:$S)</f>
        <v>27880.666666666664</v>
      </c>
      <c r="D61" s="85">
        <f>SUMIF(Apartments!$E:$E,'Combined Summaries'!$A61,Apartments!$U:$U)</f>
        <v>25385</v>
      </c>
      <c r="E61" s="85">
        <f>SUMIF(Apartments!$E:$E,'Combined Summaries'!$A61,Apartments!$AE:$AE)</f>
        <v>27515</v>
      </c>
      <c r="F61" s="19"/>
      <c r="G61" s="20"/>
      <c r="I61" s="16"/>
      <c r="J61" s="16"/>
    </row>
    <row r="62" spans="1:12">
      <c r="A62" s="34" t="s">
        <v>879</v>
      </c>
      <c r="B62" s="18">
        <f>COUNTIF(Apartments!$E:$E,'Combined Summaries'!$A62)</f>
        <v>7</v>
      </c>
      <c r="C62" s="85">
        <f>SUMIF(Apartments!$E:$E,'Combined Summaries'!$A62,Apartments!$S:$S)</f>
        <v>16458</v>
      </c>
      <c r="D62" s="85">
        <f>SUMIF(Apartments!$E:$E,'Combined Summaries'!$A62,Apartments!$U:$U)</f>
        <v>15700</v>
      </c>
      <c r="E62" s="85">
        <f>SUMIF(Apartments!$E:$E,'Combined Summaries'!$A62,Apartments!$AE:$AE)</f>
        <v>16740</v>
      </c>
      <c r="F62" s="19"/>
      <c r="G62" s="20"/>
      <c r="I62" s="16"/>
      <c r="J62" s="16"/>
    </row>
    <row r="63" spans="1:12">
      <c r="A63" s="34" t="s">
        <v>2030</v>
      </c>
      <c r="B63" s="18">
        <f>COUNTIF(Apartments!$E:$E,'Combined Summaries'!$A63)</f>
        <v>4</v>
      </c>
      <c r="C63" s="85">
        <f>SUMIF(Apartments!$E:$E,'Combined Summaries'!$A63,Apartments!$S:$S)</f>
        <v>0</v>
      </c>
      <c r="D63" s="85">
        <f>SUMIF(Apartments!$E:$E,'Combined Summaries'!$A63,Apartments!$U:$U)</f>
        <v>0</v>
      </c>
      <c r="E63" s="85">
        <f>SUMIF(Apartments!$E:$E,'Combined Summaries'!$A63,Apartments!$AE:$AE)</f>
        <v>0</v>
      </c>
      <c r="F63" s="19"/>
      <c r="G63" s="20"/>
      <c r="I63" s="16"/>
      <c r="J63" s="16"/>
    </row>
    <row r="64" spans="1:12">
      <c r="A64" s="34" t="s">
        <v>1587</v>
      </c>
      <c r="B64" s="18">
        <f>COUNTIF(Apartments!$E:$E,'Combined Summaries'!$A64)</f>
        <v>9</v>
      </c>
      <c r="C64" s="85">
        <f>SUMIF(Apartments!$E:$E,'Combined Summaries'!$A64,Apartments!$S:$S)</f>
        <v>14695.75</v>
      </c>
      <c r="D64" s="85">
        <f>SUMIF(Apartments!$E:$E,'Combined Summaries'!$A64,Apartments!$U:$U)</f>
        <v>14695.75</v>
      </c>
      <c r="E64" s="85">
        <f>SUMIF(Apartments!$E:$E,'Combined Summaries'!$A64,Apartments!$AE:$AE)</f>
        <v>15325</v>
      </c>
      <c r="F64" s="19"/>
      <c r="G64" s="20"/>
      <c r="I64" s="16"/>
      <c r="J64" s="16"/>
    </row>
    <row r="65" spans="1:10">
      <c r="A65" s="34" t="s">
        <v>1593</v>
      </c>
      <c r="B65" s="18">
        <f>COUNTIF(Apartments!$E:$E,'Combined Summaries'!$A65)</f>
        <v>5</v>
      </c>
      <c r="C65" s="85">
        <f>SUMIF(Apartments!$E:$E,'Combined Summaries'!$A65,Apartments!$S:$S)</f>
        <v>8475</v>
      </c>
      <c r="D65" s="85">
        <f>SUMIF(Apartments!$E:$E,'Combined Summaries'!$A65,Apartments!$U:$U)</f>
        <v>7795.75</v>
      </c>
      <c r="E65" s="85">
        <f>SUMIF(Apartments!$E:$E,'Combined Summaries'!$A65,Apartments!$AE:$AE)</f>
        <v>8420</v>
      </c>
      <c r="F65" s="19"/>
      <c r="G65" s="20"/>
      <c r="I65" s="16"/>
      <c r="J65" s="16"/>
    </row>
    <row r="66" spans="1:10">
      <c r="A66" s="34" t="s">
        <v>84</v>
      </c>
      <c r="B66" s="18">
        <f>COUNTIF(Apartments!$E:$E,'Combined Summaries'!$A66)</f>
        <v>7</v>
      </c>
      <c r="C66" s="85">
        <f>SUMIF(Apartments!$E:$E,'Combined Summaries'!$A66,Apartments!$S:$S)</f>
        <v>10835</v>
      </c>
      <c r="D66" s="85">
        <f>SUMIF(Apartments!$E:$E,'Combined Summaries'!$A66,Apartments!$U:$U)</f>
        <v>9984.0299999999988</v>
      </c>
      <c r="E66" s="85">
        <f>SUMIF(Apartments!$E:$E,'Combined Summaries'!$A66,Apartments!$AE:$AE)</f>
        <v>10615</v>
      </c>
      <c r="F66" s="19"/>
      <c r="G66" s="20"/>
      <c r="I66" s="16"/>
      <c r="J66" s="16"/>
    </row>
    <row r="67" spans="1:10">
      <c r="A67" s="34" t="s">
        <v>411</v>
      </c>
      <c r="B67" s="18">
        <f>COUNTIF(Apartments!$E:$E,'Combined Summaries'!$A67)</f>
        <v>7</v>
      </c>
      <c r="C67" s="85">
        <f>SUMIF(Apartments!$E:$E,'Combined Summaries'!$A67,Apartments!$S:$S)</f>
        <v>15998.666666666666</v>
      </c>
      <c r="D67" s="85">
        <f>SUMIF(Apartments!$E:$E,'Combined Summaries'!$A67,Apartments!$U:$U)</f>
        <v>15025</v>
      </c>
      <c r="E67" s="85">
        <f>SUMIF(Apartments!$E:$E,'Combined Summaries'!$A67,Apartments!$AE:$AE)</f>
        <v>15705</v>
      </c>
      <c r="F67" s="19"/>
      <c r="G67" s="20"/>
      <c r="I67" s="16"/>
      <c r="J67" s="16"/>
    </row>
    <row r="68" spans="1:10">
      <c r="A68" s="34" t="s">
        <v>1015</v>
      </c>
      <c r="B68" s="18">
        <f>COUNTIF(Apartments!$E:$E,'Combined Summaries'!$A68)</f>
        <v>4</v>
      </c>
      <c r="C68" s="85">
        <f>SUMIF(Apartments!$E:$E,'Combined Summaries'!$A68,Apartments!$S:$S)</f>
        <v>11895.000000000002</v>
      </c>
      <c r="D68" s="85">
        <f>SUMIF(Apartments!$E:$E,'Combined Summaries'!$A68,Apartments!$U:$U)</f>
        <v>11080</v>
      </c>
      <c r="E68" s="85">
        <f>SUMIF(Apartments!$E:$E,'Combined Summaries'!$A68,Apartments!$AE:$AE)</f>
        <v>11685</v>
      </c>
      <c r="F68" s="19"/>
      <c r="G68" s="20"/>
      <c r="I68" s="16"/>
      <c r="J68" s="16"/>
    </row>
    <row r="69" spans="1:10">
      <c r="A69" s="34" t="s">
        <v>1897</v>
      </c>
      <c r="B69" s="18">
        <f>COUNTIF(Apartments!$E:$E,'Combined Summaries'!$A69)</f>
        <v>2</v>
      </c>
      <c r="C69" s="85">
        <f>SUMIF(Apartments!$E:$E,'Combined Summaries'!$A69,Apartments!$S:$S)</f>
        <v>0</v>
      </c>
      <c r="D69" s="85">
        <f>SUMIF(Apartments!$E:$E,'Combined Summaries'!$A69,Apartments!$U:$U)</f>
        <v>0</v>
      </c>
      <c r="E69" s="85">
        <f>SUMIF(Apartments!$E:$E,'Combined Summaries'!$A69,Apartments!$AE:$AE)</f>
        <v>0</v>
      </c>
      <c r="F69" s="19"/>
      <c r="G69" s="20"/>
      <c r="I69" s="16"/>
      <c r="J69" s="16"/>
    </row>
    <row r="70" spans="1:10">
      <c r="A70" s="34" t="s">
        <v>322</v>
      </c>
      <c r="B70" s="18">
        <f>COUNTIF(Apartments!$E:$E,'Combined Summaries'!$A70)</f>
        <v>5</v>
      </c>
      <c r="C70" s="85">
        <f>SUMIF(Apartments!$E:$E,'Combined Summaries'!$A70,Apartments!$S:$S)</f>
        <v>14170</v>
      </c>
      <c r="D70" s="85">
        <f>SUMIF(Apartments!$E:$E,'Combined Summaries'!$A70,Apartments!$U:$U)</f>
        <v>13531.2</v>
      </c>
      <c r="E70" s="85">
        <f>SUMIF(Apartments!$E:$E,'Combined Summaries'!$A70,Apartments!$AE:$AE)</f>
        <v>14270</v>
      </c>
      <c r="F70" s="19"/>
      <c r="G70" s="20"/>
      <c r="I70" s="16"/>
      <c r="J70" s="16"/>
    </row>
    <row r="71" spans="1:10">
      <c r="A71" s="34" t="s">
        <v>1217</v>
      </c>
      <c r="B71" s="18">
        <f>COUNTIF(Apartments!$E:$E,'Combined Summaries'!$A71)</f>
        <v>8</v>
      </c>
      <c r="C71" s="85">
        <f>SUMIF(Apartments!$E:$E,'Combined Summaries'!$A71,Apartments!$S:$S)</f>
        <v>16495.333333333332</v>
      </c>
      <c r="D71" s="85">
        <f>SUMIF(Apartments!$E:$E,'Combined Summaries'!$A71,Apartments!$U:$U)</f>
        <v>16235</v>
      </c>
      <c r="E71" s="85">
        <f>SUMIF(Apartments!$E:$E,'Combined Summaries'!$A71,Apartments!$AE:$AE)</f>
        <v>17040</v>
      </c>
      <c r="F71" s="19"/>
      <c r="G71" s="20"/>
      <c r="I71" s="16"/>
      <c r="J71" s="16"/>
    </row>
    <row r="72" spans="1:10">
      <c r="A72" s="34" t="s">
        <v>1779</v>
      </c>
      <c r="B72" s="18">
        <f>COUNTIF(Apartments!$E:$E,'Combined Summaries'!$A72)</f>
        <v>9</v>
      </c>
      <c r="C72" s="85">
        <f>SUMIF(Apartments!$E:$E,'Combined Summaries'!$A72,Apartments!$S:$S)</f>
        <v>0</v>
      </c>
      <c r="D72" s="85">
        <f>SUMIF(Apartments!$E:$E,'Combined Summaries'!$A72,Apartments!$U:$U)</f>
        <v>0</v>
      </c>
      <c r="E72" s="85">
        <f>SUMIF(Apartments!$E:$E,'Combined Summaries'!$A72,Apartments!$AE:$AE)</f>
        <v>0</v>
      </c>
      <c r="F72" s="19"/>
      <c r="G72" s="20"/>
      <c r="I72" s="16"/>
      <c r="J72" s="16"/>
    </row>
    <row r="73" spans="1:10">
      <c r="A73" s="34" t="s">
        <v>2154</v>
      </c>
      <c r="B73" s="18">
        <f>COUNTIF(Apartments!$E:$E,'Combined Summaries'!$A73)</f>
        <v>4</v>
      </c>
      <c r="C73" s="85">
        <f>SUMIF(Apartments!$E:$E,'Combined Summaries'!$A73,Apartments!$S:$S)</f>
        <v>6240</v>
      </c>
      <c r="D73" s="85">
        <f>SUMIF(Apartments!$E:$E,'Combined Summaries'!$A73,Apartments!$U:$U)</f>
        <v>6055</v>
      </c>
      <c r="E73" s="85">
        <f>SUMIF(Apartments!$E:$E,'Combined Summaries'!$A73,Apartments!$AE:$AE)</f>
        <v>6425</v>
      </c>
      <c r="F73" s="19"/>
      <c r="G73" s="20"/>
      <c r="I73" s="16"/>
      <c r="J73" s="16"/>
    </row>
    <row r="74" spans="1:10">
      <c r="A74" s="34" t="s">
        <v>1140</v>
      </c>
      <c r="B74" s="18">
        <f>COUNTIF(Apartments!$E:$E,'Combined Summaries'!$A74)</f>
        <v>13</v>
      </c>
      <c r="C74" s="85">
        <f>SUMIF(Apartments!$E:$E,'Combined Summaries'!$A74,Apartments!$S:$S)</f>
        <v>35113.666666666672</v>
      </c>
      <c r="D74" s="85">
        <f>SUMIF(Apartments!$E:$E,'Combined Summaries'!$A74,Apartments!$U:$U)</f>
        <v>35110</v>
      </c>
      <c r="E74" s="85">
        <f>SUMIF(Apartments!$E:$E,'Combined Summaries'!$A74,Apartments!$AE:$AE)</f>
        <v>37210</v>
      </c>
      <c r="F74" s="19"/>
      <c r="G74" s="20"/>
      <c r="I74" s="16"/>
      <c r="J74" s="16"/>
    </row>
    <row r="75" spans="1:10">
      <c r="A75" s="34" t="s">
        <v>1086</v>
      </c>
      <c r="B75" s="18">
        <f>COUNTIF(Apartments!$E:$E,'Combined Summaries'!$A75)</f>
        <v>17</v>
      </c>
      <c r="C75" s="85">
        <f>SUMIF(Apartments!$E:$E,'Combined Summaries'!$A75,Apartments!$S:$S)</f>
        <v>17056</v>
      </c>
      <c r="D75" s="85">
        <f>SUMIF(Apartments!$E:$E,'Combined Summaries'!$A75,Apartments!$U:$U)</f>
        <v>17045</v>
      </c>
      <c r="E75" s="85">
        <f>SUMIF(Apartments!$E:$E,'Combined Summaries'!$A75,Apartments!$AE:$AE)</f>
        <v>17860</v>
      </c>
      <c r="F75" s="19"/>
      <c r="G75" s="20"/>
      <c r="I75" s="16"/>
      <c r="J75" s="16"/>
    </row>
    <row r="76" spans="1:10">
      <c r="A76" s="34" t="s">
        <v>1546</v>
      </c>
      <c r="B76" s="18">
        <f>COUNTIF(Apartments!$E:$E,'Combined Summaries'!$A76)</f>
        <v>5</v>
      </c>
      <c r="C76" s="85">
        <f>SUMIF(Apartments!$E:$E,'Combined Summaries'!$A76,Apartments!$S:$S)</f>
        <v>9295</v>
      </c>
      <c r="D76" s="85">
        <f>SUMIF(Apartments!$E:$E,'Combined Summaries'!$A76,Apartments!$U:$U)</f>
        <v>9295</v>
      </c>
      <c r="E76" s="85">
        <f>SUMIF(Apartments!$E:$E,'Combined Summaries'!$A76,Apartments!$AE:$AE)</f>
        <v>9685</v>
      </c>
      <c r="F76" s="19"/>
      <c r="G76" s="20"/>
      <c r="I76" s="16"/>
      <c r="J76" s="16"/>
    </row>
    <row r="77" spans="1:10">
      <c r="A77" s="34" t="s">
        <v>1145</v>
      </c>
      <c r="B77" s="18">
        <f>COUNTIF(Apartments!$E:$E,'Combined Summaries'!$A77)</f>
        <v>4</v>
      </c>
      <c r="C77" s="85">
        <f>SUMIF(Apartments!$E:$E,'Combined Summaries'!$A77,Apartments!$S:$S)</f>
        <v>12054.5</v>
      </c>
      <c r="D77" s="85">
        <f>SUMIF(Apartments!$E:$E,'Combined Summaries'!$A77,Apartments!$U:$U)</f>
        <v>11680</v>
      </c>
      <c r="E77" s="85">
        <f>SUMIF(Apartments!$E:$E,'Combined Summaries'!$A77,Apartments!$AE:$AE)</f>
        <v>12225</v>
      </c>
      <c r="F77" s="19"/>
      <c r="G77" s="20"/>
      <c r="I77" s="16"/>
      <c r="J77" s="16"/>
    </row>
    <row r="78" spans="1:10">
      <c r="A78" s="34" t="s">
        <v>118</v>
      </c>
      <c r="B78" s="18">
        <f>COUNTIF(Apartments!$E:$E,'Combined Summaries'!$A78)</f>
        <v>21</v>
      </c>
      <c r="C78" s="85">
        <f>SUMIF(Apartments!$E:$E,'Combined Summaries'!$A78,Apartments!$S:$S)</f>
        <v>34890</v>
      </c>
      <c r="D78" s="85">
        <f>SUMIF(Apartments!$E:$E,'Combined Summaries'!$A78,Apartments!$U:$U)</f>
        <v>32689.38</v>
      </c>
      <c r="E78" s="85">
        <f>SUMIF(Apartments!$E:$E,'Combined Summaries'!$A78,Apartments!$AE:$AE)</f>
        <v>34850</v>
      </c>
      <c r="F78" s="19"/>
      <c r="G78" s="20"/>
      <c r="I78" s="16"/>
      <c r="J78" s="16"/>
    </row>
    <row r="79" spans="1:10">
      <c r="A79" s="34" t="s">
        <v>3228</v>
      </c>
      <c r="B79" s="18">
        <f>COUNTIF(Apartments!$E:$E,'Combined Summaries'!$A79)</f>
        <v>3</v>
      </c>
      <c r="C79" s="85">
        <f>SUMIF(Apartments!$E:$E,'Combined Summaries'!$A79,Apartments!$S:$S)</f>
        <v>7100</v>
      </c>
      <c r="D79" s="85">
        <f>SUMIF(Apartments!$E:$E,'Combined Summaries'!$A79,Apartments!$U:$U)</f>
        <v>7100</v>
      </c>
      <c r="E79" s="85">
        <f>SUMIF(Apartments!$E:$E,'Combined Summaries'!$A79,Apartments!$AE:$AE)</f>
        <v>7385</v>
      </c>
      <c r="F79" s="19"/>
      <c r="G79" s="20"/>
      <c r="I79" s="16"/>
      <c r="J79" s="16"/>
    </row>
    <row r="80" spans="1:10">
      <c r="A80" s="34" t="s">
        <v>928</v>
      </c>
      <c r="B80" s="18">
        <f>COUNTIF(Apartments!$E:$E,'Combined Summaries'!$A80)</f>
        <v>7</v>
      </c>
      <c r="C80" s="85">
        <f>SUMIF(Apartments!$E:$E,'Combined Summaries'!$A80,Apartments!$S:$S)</f>
        <v>0</v>
      </c>
      <c r="D80" s="85">
        <f>SUMIF(Apartments!$E:$E,'Combined Summaries'!$A80,Apartments!$U:$U)</f>
        <v>0</v>
      </c>
      <c r="E80" s="85">
        <f>SUMIF(Apartments!$E:$E,'Combined Summaries'!$A80,Apartments!$AE:$AE)</f>
        <v>0</v>
      </c>
      <c r="F80" s="19"/>
      <c r="G80" s="20"/>
      <c r="I80" s="16"/>
      <c r="J80" s="16"/>
    </row>
    <row r="81" spans="1:10">
      <c r="A81" s="34" t="s">
        <v>3258</v>
      </c>
      <c r="B81" s="18">
        <f>COUNTIF(Apartments!$E:$E,'Combined Summaries'!$A81)</f>
        <v>4</v>
      </c>
      <c r="C81" s="85">
        <f>SUMIF(Apartments!$E:$E,'Combined Summaries'!$A81,Apartments!$S:$S)</f>
        <v>9868.15</v>
      </c>
      <c r="D81" s="85">
        <f>SUMIF(Apartments!$E:$E,'Combined Summaries'!$A81,Apartments!$U:$U)</f>
        <v>9868.15</v>
      </c>
      <c r="E81" s="85">
        <f>SUMIF(Apartments!$E:$E,'Combined Summaries'!$A81,Apartments!$AE:$AE)</f>
        <v>10355</v>
      </c>
      <c r="F81" s="19"/>
      <c r="G81" s="20"/>
      <c r="I81" s="16"/>
      <c r="J81" s="16"/>
    </row>
    <row r="82" spans="1:10">
      <c r="A82" s="34" t="s">
        <v>126</v>
      </c>
      <c r="B82" s="18">
        <f>COUNTIF(Apartments!$E:$E,'Combined Summaries'!$A82)</f>
        <v>20</v>
      </c>
      <c r="C82" s="85">
        <f>SUMIF(Apartments!$E:$E,'Combined Summaries'!$A82,Apartments!$S:$S)</f>
        <v>43571.766666666663</v>
      </c>
      <c r="D82" s="85">
        <f>SUMIF(Apartments!$E:$E,'Combined Summaries'!$A82,Apartments!$U:$U)</f>
        <v>43571.759999999995</v>
      </c>
      <c r="E82" s="85">
        <f>SUMIF(Apartments!$E:$E,'Combined Summaries'!$A82,Apartments!$AE:$AE)</f>
        <v>45695</v>
      </c>
      <c r="F82" s="19"/>
      <c r="G82" s="20"/>
      <c r="I82" s="16"/>
      <c r="J82" s="16"/>
    </row>
    <row r="83" spans="1:10" ht="15.75" thickBot="1">
      <c r="A83" s="35" t="s">
        <v>1051</v>
      </c>
      <c r="B83" s="18">
        <f>COUNTIF(Apartments!$E:$E,'Combined Summaries'!$A83)</f>
        <v>13</v>
      </c>
      <c r="C83" s="85">
        <f>SUMIF(Apartments!$E:$E,'Combined Summaries'!$A83,Apartments!$S:$S)</f>
        <v>31431.75</v>
      </c>
      <c r="D83" s="85">
        <f>SUMIF(Apartments!$E:$E,'Combined Summaries'!$A83,Apartments!$U:$U)</f>
        <v>31431.75</v>
      </c>
      <c r="E83" s="85">
        <f>SUMIF(Apartments!$E:$E,'Combined Summaries'!$A83,Apartments!$AE:$AE)</f>
        <v>33085</v>
      </c>
      <c r="F83" s="19"/>
      <c r="G83" s="20"/>
      <c r="I83" s="16"/>
      <c r="J83" s="16"/>
    </row>
    <row r="84" spans="1:10" ht="15.75" thickBot="1">
      <c r="A84" s="36"/>
      <c r="B84" s="37">
        <f>SUBTOTAL(9,B61:B83)</f>
        <v>190</v>
      </c>
      <c r="C84" s="31"/>
      <c r="D84" s="31"/>
      <c r="E84" s="31"/>
      <c r="F84" s="25"/>
      <c r="G84" s="25"/>
      <c r="I84" s="16"/>
      <c r="J84" s="16"/>
    </row>
    <row r="85" spans="1:10">
      <c r="A85" s="14"/>
      <c r="B85" s="15"/>
      <c r="C85" s="15"/>
      <c r="D85" s="15"/>
      <c r="E85" s="15"/>
      <c r="F85" s="15"/>
      <c r="G85" s="15"/>
      <c r="H85" s="15"/>
      <c r="I85" s="15"/>
      <c r="J85" s="16"/>
    </row>
    <row r="86" spans="1:10" ht="15.75" thickBot="1">
      <c r="A86" s="14"/>
      <c r="B86" s="15"/>
      <c r="C86" s="15"/>
      <c r="D86" s="15"/>
      <c r="E86" s="15"/>
      <c r="F86" s="15"/>
      <c r="G86" s="15"/>
      <c r="H86" s="15"/>
      <c r="I86" s="15"/>
      <c r="J86" s="16"/>
    </row>
    <row r="87" spans="1:10" ht="25.5" thickBot="1">
      <c r="A87" s="26" t="s">
        <v>5063</v>
      </c>
      <c r="B87" s="43" t="s">
        <v>5057</v>
      </c>
      <c r="C87" s="27" t="s">
        <v>5059</v>
      </c>
      <c r="D87" s="27" t="s">
        <v>5060</v>
      </c>
      <c r="E87" s="44" t="s">
        <v>5075</v>
      </c>
      <c r="H87" s="42"/>
      <c r="I87" s="42"/>
      <c r="J87" s="16"/>
    </row>
    <row r="88" spans="1:10">
      <c r="A88" s="28" t="str">
        <f>Apartments!E546</f>
        <v>Kings Dock Mill</v>
      </c>
      <c r="B88" s="45">
        <v>37</v>
      </c>
      <c r="C88" s="29">
        <f>SUMIF(Apartments!E:E,'Combined Summaries'!A88,Apartments!U:U)</f>
        <v>33750.979999999996</v>
      </c>
      <c r="D88" s="29">
        <f>SUMIF(Apartments!E:E,'Combined Summaries'!A88,Apartments!AE:AE)</f>
        <v>35655</v>
      </c>
      <c r="E88" s="82">
        <f t="shared" ref="E88:E93" si="6">(D88-C88)/C88</f>
        <v>5.6413769318698431E-2</v>
      </c>
      <c r="F88" s="38"/>
      <c r="G88" s="38"/>
      <c r="H88" s="39"/>
      <c r="I88" s="39"/>
      <c r="J88" s="16"/>
    </row>
    <row r="89" spans="1:10">
      <c r="A89" s="28" t="str">
        <f>Apartments!E637</f>
        <v>Pin Yard</v>
      </c>
      <c r="B89" s="45">
        <v>4</v>
      </c>
      <c r="C89" s="29">
        <f>SUMIF(Apartments!E:E,'Combined Summaries'!A89,Apartments!U:U)</f>
        <v>52570</v>
      </c>
      <c r="D89" s="29">
        <f>SUMIF(Apartments!E:E,'Combined Summaries'!A89,Apartments!AE:AE)</f>
        <v>55545</v>
      </c>
      <c r="E89" s="82">
        <f>(D89-C89)/C89</f>
        <v>5.659121171770972E-2</v>
      </c>
      <c r="F89" s="38"/>
      <c r="G89" s="38"/>
      <c r="H89" s="39"/>
      <c r="I89" s="39"/>
      <c r="J89" s="16"/>
    </row>
    <row r="90" spans="1:10">
      <c r="A90" s="28" t="str">
        <f>Apartments!E641</f>
        <v>Resi Oakleigh</v>
      </c>
      <c r="B90" s="45">
        <v>19</v>
      </c>
      <c r="C90" s="29">
        <f>SUMIF(Apartments!E:E,'Combined Summaries'!A90,Apartments!U:U)</f>
        <v>3430</v>
      </c>
      <c r="D90" s="29">
        <f>SUMIF(Apartments!E:E,'Combined Summaries'!A90,Apartments!AE:AE)</f>
        <v>3625</v>
      </c>
      <c r="E90" s="82">
        <f>(D90-C90)/C90</f>
        <v>5.6851311953352766E-2</v>
      </c>
      <c r="F90" s="38"/>
      <c r="G90" s="38"/>
      <c r="H90" s="39"/>
      <c r="I90" s="39"/>
      <c r="J90" s="16"/>
    </row>
    <row r="91" spans="1:10">
      <c r="A91" s="28" t="str">
        <f>Apartments!E1063</f>
        <v>The Mint</v>
      </c>
      <c r="B91" s="45">
        <v>41</v>
      </c>
      <c r="C91" s="29">
        <f>SUMIF(Apartments!E:E,'Combined Summaries'!A91,Apartments!U:U)</f>
        <v>56670</v>
      </c>
      <c r="D91" s="29">
        <f>SUMIF(Apartments!E:E,'Combined Summaries'!A91,Apartments!AE:AE)</f>
        <v>59350</v>
      </c>
      <c r="E91" s="82">
        <f>(D91-C91)/C91</f>
        <v>4.7291335803776251E-2</v>
      </c>
      <c r="F91" s="38"/>
      <c r="G91" s="38"/>
      <c r="H91" s="39"/>
      <c r="I91" s="39"/>
      <c r="J91" s="16"/>
    </row>
    <row r="92" spans="1:10">
      <c r="A92" s="28" t="str">
        <f>Apartments!E1142</f>
        <v>Tilt Core</v>
      </c>
      <c r="B92" s="45">
        <v>44</v>
      </c>
      <c r="C92" s="29">
        <f>SUMIF(Apartments!E:E,'Combined Summaries'!A92,Apartments!U:U)</f>
        <v>32689.38</v>
      </c>
      <c r="D92" s="29">
        <f>SUMIF(Apartments!E:E,'Combined Summaries'!A92,Apartments!AE:AE)</f>
        <v>34850</v>
      </c>
      <c r="E92" s="82">
        <f>(D92-C92)/C92</f>
        <v>6.609547198509115E-2</v>
      </c>
      <c r="F92" s="38"/>
      <c r="G92" s="38"/>
      <c r="H92" s="39"/>
      <c r="I92" s="39"/>
      <c r="J92" s="16"/>
    </row>
    <row r="93" spans="1:10" ht="15.75" thickBot="1">
      <c r="A93" s="14"/>
      <c r="B93" s="30">
        <f>SUM(B88:B92)</f>
        <v>145</v>
      </c>
      <c r="C93" s="31">
        <f>SUM(C88:C92)</f>
        <v>179110.36</v>
      </c>
      <c r="D93" s="31">
        <f>SUM(D88:D92)</f>
        <v>189025</v>
      </c>
      <c r="E93" s="83">
        <f t="shared" si="6"/>
        <v>5.5354921959846516E-2</v>
      </c>
      <c r="F93" s="84" t="s">
        <v>5076</v>
      </c>
      <c r="G93" s="40"/>
      <c r="H93" s="41"/>
      <c r="I93" s="41"/>
      <c r="J93" s="14"/>
    </row>
    <row r="94" spans="1:10">
      <c r="A94" s="14"/>
      <c r="B94" s="15"/>
      <c r="C94" s="15"/>
      <c r="D94" s="15"/>
      <c r="E94" s="15"/>
      <c r="F94" s="15"/>
      <c r="G94" s="15"/>
      <c r="H94" s="15"/>
      <c r="I94" s="15"/>
      <c r="J94" s="16"/>
    </row>
    <row r="95" spans="1:10">
      <c r="A95" s="14"/>
      <c r="B95" s="15"/>
      <c r="C95" s="15"/>
      <c r="D95" s="15"/>
      <c r="E95" s="15"/>
      <c r="F95" s="15"/>
      <c r="G95" s="15"/>
      <c r="H95" s="15"/>
      <c r="I95" s="15"/>
      <c r="J95" s="16"/>
    </row>
    <row r="96" spans="1:10">
      <c r="A96" s="14"/>
      <c r="B96" s="15"/>
      <c r="C96" s="15"/>
      <c r="D96" s="15"/>
      <c r="E96" s="15"/>
      <c r="F96" s="15"/>
      <c r="G96" s="15"/>
      <c r="H96" s="15"/>
      <c r="I96" s="15"/>
      <c r="J96" s="16"/>
    </row>
  </sheetData>
  <sortState xmlns:xlrd2="http://schemas.microsoft.com/office/spreadsheetml/2017/richdata2" ref="A39:K56">
    <sortCondition ref="A39:A56"/>
  </sortState>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4BA9E-33B2-4352-B38A-BB55ADB45A50}">
  <dimension ref="A1:E29"/>
  <sheetViews>
    <sheetView workbookViewId="0">
      <selection activeCell="C26" sqref="C26"/>
    </sheetView>
  </sheetViews>
  <sheetFormatPr defaultRowHeight="13.5"/>
  <cols>
    <col min="1" max="1" width="49.5703125" style="154" customWidth="1"/>
    <col min="2" max="2" width="56.5703125" style="154" customWidth="1"/>
    <col min="3" max="3" width="24.85546875" style="154" customWidth="1"/>
    <col min="4" max="4" width="35.7109375" style="154" customWidth="1"/>
    <col min="5" max="5" width="24.140625" style="154" customWidth="1"/>
    <col min="6" max="16384" width="9.140625" style="154"/>
  </cols>
  <sheetData>
    <row r="1" spans="1:5">
      <c r="A1" s="262" t="s">
        <v>5077</v>
      </c>
      <c r="B1" s="262" t="s">
        <v>5078</v>
      </c>
      <c r="C1" s="262" t="s">
        <v>5079</v>
      </c>
      <c r="D1" s="262" t="s">
        <v>5080</v>
      </c>
      <c r="E1" s="262" t="s">
        <v>5081</v>
      </c>
    </row>
    <row r="2" spans="1:5" ht="27">
      <c r="A2" s="263" t="s">
        <v>3573</v>
      </c>
      <c r="B2" s="264" t="s">
        <v>5082</v>
      </c>
      <c r="C2" s="264"/>
      <c r="D2" s="264" t="s">
        <v>5083</v>
      </c>
      <c r="E2" s="264"/>
    </row>
    <row r="3" spans="1:5" ht="27">
      <c r="A3" s="263" t="s">
        <v>3626</v>
      </c>
      <c r="B3" s="264" t="s">
        <v>5084</v>
      </c>
      <c r="C3" s="264" t="s">
        <v>5085</v>
      </c>
      <c r="D3" s="264" t="s">
        <v>5086</v>
      </c>
      <c r="E3" s="264"/>
    </row>
    <row r="4" spans="1:5">
      <c r="A4" s="263" t="s">
        <v>3619</v>
      </c>
      <c r="B4" s="264"/>
      <c r="C4" s="264"/>
      <c r="D4" s="264"/>
      <c r="E4" s="264"/>
    </row>
    <row r="5" spans="1:5">
      <c r="A5" s="263" t="s">
        <v>3641</v>
      </c>
      <c r="B5" s="264"/>
      <c r="C5" s="264"/>
      <c r="D5" s="264"/>
      <c r="E5" s="264"/>
    </row>
    <row r="6" spans="1:5">
      <c r="A6" s="263" t="s">
        <v>3659</v>
      </c>
      <c r="B6" s="264"/>
      <c r="C6" s="264"/>
      <c r="D6" s="264"/>
      <c r="E6" s="264"/>
    </row>
    <row r="7" spans="1:5">
      <c r="A7" s="263" t="s">
        <v>3622</v>
      </c>
      <c r="B7" s="264"/>
      <c r="C7" s="264"/>
      <c r="D7" s="264" t="s">
        <v>5087</v>
      </c>
      <c r="E7" s="264"/>
    </row>
    <row r="8" spans="1:5">
      <c r="A8" s="263" t="s">
        <v>3633</v>
      </c>
      <c r="B8" s="264"/>
      <c r="C8" s="264"/>
      <c r="D8" s="264" t="s">
        <v>5088</v>
      </c>
      <c r="E8" s="264"/>
    </row>
    <row r="9" spans="1:5">
      <c r="A9" s="263" t="s">
        <v>3628</v>
      </c>
      <c r="B9" s="264"/>
      <c r="C9" s="264"/>
      <c r="D9" s="264"/>
      <c r="E9" s="264"/>
    </row>
    <row r="10" spans="1:5" ht="40.5">
      <c r="A10" s="263" t="s">
        <v>3631</v>
      </c>
      <c r="B10" s="264" t="s">
        <v>5089</v>
      </c>
      <c r="C10" s="264"/>
      <c r="D10" s="264" t="s">
        <v>5090</v>
      </c>
      <c r="E10" s="264"/>
    </row>
    <row r="11" spans="1:5">
      <c r="A11" s="263" t="s">
        <v>3653</v>
      </c>
      <c r="B11" s="264"/>
      <c r="C11" s="264"/>
      <c r="D11" s="264"/>
      <c r="E11" s="264"/>
    </row>
    <row r="12" spans="1:5">
      <c r="A12" s="263" t="s">
        <v>3576</v>
      </c>
      <c r="B12" s="264"/>
      <c r="C12" s="264"/>
      <c r="D12" s="264"/>
      <c r="E12" s="264"/>
    </row>
    <row r="13" spans="1:5" ht="27">
      <c r="A13" s="263" t="s">
        <v>3650</v>
      </c>
      <c r="B13" s="264" t="s">
        <v>5082</v>
      </c>
      <c r="C13" s="264"/>
      <c r="D13" s="264" t="s">
        <v>5083</v>
      </c>
      <c r="E13" s="264"/>
    </row>
    <row r="14" spans="1:5">
      <c r="A14" s="263" t="s">
        <v>3638</v>
      </c>
      <c r="B14" s="264"/>
      <c r="C14" s="264"/>
      <c r="D14" s="264"/>
      <c r="E14" s="264"/>
    </row>
    <row r="15" spans="1:5">
      <c r="A15" s="265" t="s">
        <v>774</v>
      </c>
      <c r="B15" s="266"/>
      <c r="C15" s="266"/>
      <c r="D15" s="266"/>
      <c r="E15" s="266"/>
    </row>
    <row r="16" spans="1:5">
      <c r="A16" s="252" t="s">
        <v>3664</v>
      </c>
      <c r="B16" s="162"/>
      <c r="C16" s="162"/>
      <c r="D16" s="162"/>
      <c r="E16" s="162"/>
    </row>
    <row r="17" spans="1:5">
      <c r="A17" s="252" t="s">
        <v>3615</v>
      </c>
      <c r="B17" s="162"/>
      <c r="C17" s="162"/>
      <c r="D17" s="162"/>
      <c r="E17" s="162"/>
    </row>
    <row r="18" spans="1:5">
      <c r="A18" s="252" t="s">
        <v>3624</v>
      </c>
      <c r="B18" s="162"/>
      <c r="C18" s="162"/>
      <c r="D18" s="162"/>
      <c r="E18" s="162"/>
    </row>
    <row r="19" spans="1:5">
      <c r="A19" s="252" t="s">
        <v>3617</v>
      </c>
      <c r="B19" s="162"/>
      <c r="C19" s="162"/>
      <c r="D19" s="264" t="s">
        <v>5088</v>
      </c>
      <c r="E19" s="162"/>
    </row>
    <row r="20" spans="1:5">
      <c r="A20" s="252" t="s">
        <v>3579</v>
      </c>
      <c r="B20" s="162"/>
      <c r="C20" s="162"/>
      <c r="D20" s="264" t="s">
        <v>5088</v>
      </c>
      <c r="E20" s="162"/>
    </row>
    <row r="21" spans="1:5" ht="27">
      <c r="A21" s="252" t="s">
        <v>3669</v>
      </c>
      <c r="C21" s="162" t="s">
        <v>5091</v>
      </c>
      <c r="D21" s="162" t="s">
        <v>5092</v>
      </c>
      <c r="E21" s="162"/>
    </row>
    <row r="22" spans="1:5">
      <c r="A22" s="252" t="s">
        <v>3647</v>
      </c>
      <c r="B22" s="162"/>
      <c r="C22" s="162"/>
      <c r="D22" s="162"/>
      <c r="E22" s="162"/>
    </row>
    <row r="23" spans="1:5">
      <c r="A23" s="252" t="s">
        <v>3644</v>
      </c>
      <c r="B23" s="162"/>
      <c r="C23" s="162"/>
      <c r="D23" s="264" t="s">
        <v>5093</v>
      </c>
      <c r="E23" s="162"/>
    </row>
    <row r="24" spans="1:5">
      <c r="A24" s="252" t="s">
        <v>3635</v>
      </c>
      <c r="B24" s="162" t="s">
        <v>5094</v>
      </c>
      <c r="C24" s="162"/>
      <c r="D24" s="162"/>
      <c r="E24" s="162"/>
    </row>
    <row r="25" spans="1:5">
      <c r="A25" s="252" t="s">
        <v>3656</v>
      </c>
      <c r="B25" s="162"/>
      <c r="C25" s="162"/>
      <c r="D25" s="162"/>
      <c r="E25" s="162"/>
    </row>
    <row r="26" spans="1:5">
      <c r="A26" s="252" t="s">
        <v>3666</v>
      </c>
      <c r="B26" s="162"/>
      <c r="C26" s="162"/>
      <c r="D26" s="162"/>
      <c r="E26" s="162"/>
    </row>
    <row r="27" spans="1:5" ht="54">
      <c r="A27" s="252" t="s">
        <v>3661</v>
      </c>
      <c r="B27" s="162" t="s">
        <v>5095</v>
      </c>
      <c r="C27" s="267" t="s">
        <v>5096</v>
      </c>
      <c r="D27" s="162" t="s">
        <v>5097</v>
      </c>
      <c r="E27" s="162"/>
    </row>
    <row r="28" spans="1:5" ht="40.5">
      <c r="A28" s="268" t="s">
        <v>5098</v>
      </c>
      <c r="B28" s="154" t="s">
        <v>5099</v>
      </c>
      <c r="D28" s="154" t="s">
        <v>5100</v>
      </c>
    </row>
    <row r="29" spans="1:5">
      <c r="A29" s="268" t="s">
        <v>5101</v>
      </c>
      <c r="B29" s="154" t="s">
        <v>5102</v>
      </c>
      <c r="D29" s="154" t="s">
        <v>5103</v>
      </c>
    </row>
  </sheetData>
  <autoFilter ref="A1:E1" xr:uid="{5644BA9E-33B2-4352-B38A-BB55ADB45A50}"/>
  <conditionalFormatting sqref="A2:A26">
    <cfRule type="duplicateValues" dxfId="1" priority="2"/>
  </conditionalFormatting>
  <conditionalFormatting sqref="A27">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5676dd91-060c-4b71-810a-dbdca5582071" ContentTypeId="0x010100B16301FA1C2D5E4DB9305F31D037531D020703" PreviousValue="false"/>
</file>

<file path=customXml/item2.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Generic Project Document</TermName>
          <TermId xmlns="http://schemas.microsoft.com/office/infopath/2007/PartnerControls">258c2ed6-b93b-4ffe-8901-a23f2dc98ec9</TermId>
        </TermInfo>
      </Terms>
    </k6ebf865df8440b3a55c1aa81c9bae7c>
    <f0dc22cb723843c1bfbb2e8bcc9db6e4 xmlns="1ffbd5dc-7a64-4097-8396-87f6c90b212f">
      <Terms xmlns="http://schemas.microsoft.com/office/infopath/2007/PartnerControls"/>
    </f0dc22cb723843c1bfbb2e8bcc9db6e4>
    <TaxCatchAll xmlns="1ffbd5dc-7a64-4097-8396-87f6c90b212f">
      <Value>6</Value>
      <Value>5</Value>
      <Value>4</Value>
    </TaxCatchAll>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FEB553D-7268-4ACC-BD15-91C0968C7B2B}">
  <ds:schemaRefs>
    <ds:schemaRef ds:uri="Microsoft.SharePoint.Taxonomy.ContentTypeSync"/>
  </ds:schemaRefs>
</ds:datastoreItem>
</file>

<file path=customXml/itemProps2.xml><?xml version="1.0" encoding="utf-8"?>
<ds:datastoreItem xmlns:ds="http://schemas.openxmlformats.org/officeDocument/2006/customXml" ds:itemID="{EC946745-4978-4D2B-A55D-6C85657EA2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fbd5dc-7a64-4097-8396-87f6c90b2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253C95A-506F-42A5-A72A-F6E9DD2F309C}">
  <ds:schemaRefs>
    <ds:schemaRef ds:uri="http://purl.org/dc/elements/1.1/"/>
    <ds:schemaRef ds:uri="http://purl.org/dc/terms/"/>
    <ds:schemaRef ds:uri="http://schemas.microsoft.com/office/2006/metadata/properties"/>
    <ds:schemaRef ds:uri="1ffbd5dc-7a64-4097-8396-87f6c90b212f"/>
    <ds:schemaRef ds:uri="http://purl.org/dc/dcmitype/"/>
    <ds:schemaRef ds:uri="http://schemas.microsoft.com/office/2006/documentManagement/types"/>
    <ds:schemaRef ds:uri="http://schemas.microsoft.com/office/infopath/2007/PartnerControls"/>
    <ds:schemaRef ds:uri="http://schemas.openxmlformats.org/package/2006/metadata/core-properties"/>
    <ds:schemaRef ds:uri="http://www.w3.org/XML/1998/namespace"/>
  </ds:schemaRefs>
</ds:datastoreItem>
</file>

<file path=customXml/itemProps4.xml><?xml version="1.0" encoding="utf-8"?>
<ds:datastoreItem xmlns:ds="http://schemas.openxmlformats.org/officeDocument/2006/customXml" ds:itemID="{B18F8B29-C0DE-4BA7-90ED-660CAFC20B6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Apartments</vt:lpstr>
      <vt:lpstr>Licences</vt:lpstr>
      <vt:lpstr>DO NOT APPROACH</vt:lpstr>
      <vt:lpstr>Neg Requests</vt:lpstr>
      <vt:lpstr>July Summary</vt:lpstr>
      <vt:lpstr>August Summary</vt:lpstr>
      <vt:lpstr>Combined Summaries</vt:lpstr>
      <vt:lpstr>Barnum and Condor Feedback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Nikki Papenfus</cp:lastModifiedBy>
  <cp:revision/>
  <dcterms:created xsi:type="dcterms:W3CDTF">2024-03-14T16:48:43Z</dcterms:created>
  <dcterms:modified xsi:type="dcterms:W3CDTF">2025-06-05T12:03:48Z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0x010100B16301FA1C2D5E4DB9305F31D037531D02070300B4E123A7400DE24C83BA9D1BFCD12C10</vt:lpwstr>
  </property>
  <property fmtid="{D5CDD505-2E9C-101B-9397-08002B2CF9AE}" pid="3" name="Project Document Type">
    <vt:lpwstr>4;#Generic Project Document|258c2ed6-b93b-4ffe-8901-a23f2dc98ec9</vt:lpwstr>
  </property>
  <property fmtid="{D5CDD505-2E9C-101B-9397-08002B2CF9AE}" pid="4" name="Division">
    <vt:lpwstr>5;#Enterprise Solutions|08c57b01-67e8-4a4f-abc6-ffb3392ace7f</vt:lpwstr>
  </property>
  <property fmtid="{D5CDD505-2E9C-101B-9397-08002B2CF9AE}" pid="5" name="Client">
    <vt:lpwstr>6;#Grainger PLC|a74f1cb5-e995-4f9e-8521-6d52e2c6bf08</vt:lpwstr>
  </property>
  <property fmtid="{D5CDD505-2E9C-101B-9397-08002B2CF9AE}" pid="6" name="Client Project">
    <vt:lpwstr/>
  </property>
  <property fmtid="{D5CDD505-2E9C-101B-9397-08002B2CF9AE}" pid="7" name="MediaServiceImageTags">
    <vt:lpwstr/>
  </property>
  <property fmtid="{D5CDD505-2E9C-101B-9397-08002B2CF9AE}" pid="8" name="lcf76f155ced4ddcb4097134ff3c332f">
    <vt:lpwstr/>
  </property>
  <property fmtid="{D5CDD505-2E9C-101B-9397-08002B2CF9AE}" pid="9" name="Project_x0020_Document_x0020_Type">
    <vt:lpwstr>4;#Generic Project Document|258c2ed6-b93b-4ffe-8901-a23f2dc98ec9</vt:lpwstr>
  </property>
  <property fmtid="{D5CDD505-2E9C-101B-9397-08002B2CF9AE}" pid="10" name="Client_x0020_Project">
    <vt:lpwstr/>
  </property>
</Properties>
</file>