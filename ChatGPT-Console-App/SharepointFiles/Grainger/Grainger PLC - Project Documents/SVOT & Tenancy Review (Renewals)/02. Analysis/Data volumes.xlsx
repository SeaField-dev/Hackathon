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Renewals - Consulting/02. Analysis/"/>
    </mc:Choice>
  </mc:AlternateContent>
  <xr:revisionPtr revIDLastSave="32" documentId="8_{2E297B30-F45A-6040-B27A-226006EC4C52}" xr6:coauthVersionLast="47" xr6:coauthVersionMax="47" xr10:uidLastSave="{2C267710-5A42-6B41-9CE3-7A778C546636}"/>
  <bookViews>
    <workbookView xWindow="0" yWindow="760" windowWidth="29420" windowHeight="18880" xr2:uid="{98D55913-D01E-4749-A2AE-C75FC3A853D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I6" i="1" s="1"/>
  <c r="D6" i="1"/>
  <c r="E6" i="1"/>
  <c r="F6" i="1"/>
  <c r="G6" i="1"/>
  <c r="D7" i="1"/>
  <c r="D8" i="1" s="1"/>
  <c r="E7" i="1"/>
  <c r="E8" i="1" s="1"/>
  <c r="F7" i="1"/>
  <c r="F8" i="1" s="1"/>
  <c r="G7" i="1"/>
  <c r="G8" i="1" s="1"/>
  <c r="C7" i="1"/>
  <c r="H7" i="1" s="1"/>
  <c r="I7" i="1" s="1"/>
  <c r="C6" i="1"/>
  <c r="C5" i="1"/>
  <c r="C11" i="1"/>
  <c r="F3" i="1"/>
  <c r="C8" i="1" l="1"/>
  <c r="H8" i="1" s="1"/>
  <c r="I8" i="1" s="1"/>
  <c r="F5" i="1"/>
  <c r="F11" i="1"/>
  <c r="D3" i="1"/>
  <c r="D5" i="1" s="1"/>
  <c r="G3" i="1"/>
  <c r="G5" i="1" s="1"/>
  <c r="E3" i="1"/>
  <c r="E5" i="1" s="1"/>
  <c r="E11" i="1" l="1"/>
  <c r="D11" i="1"/>
  <c r="H4" i="1"/>
  <c r="H3" i="1"/>
  <c r="I3" i="1" s="1"/>
  <c r="G11" i="1" l="1"/>
  <c r="I11" i="1" s="1"/>
  <c r="H5" i="1"/>
</calcChain>
</file>

<file path=xl/sharedStrings.xml><?xml version="1.0" encoding="utf-8"?>
<sst xmlns="http://schemas.openxmlformats.org/spreadsheetml/2006/main" count="16" uniqueCount="15">
  <si>
    <t>Y1</t>
  </si>
  <si>
    <t>Y2</t>
  </si>
  <si>
    <t>Y3</t>
  </si>
  <si>
    <t>Y4</t>
  </si>
  <si>
    <t>Y5</t>
  </si>
  <si>
    <t xml:space="preserve">Cumulative Volume </t>
  </si>
  <si>
    <t>Data/File Storage (GB)</t>
  </si>
  <si>
    <t># Units</t>
  </si>
  <si>
    <t>File storage/year (GB)</t>
  </si>
  <si>
    <t># New Pricebooks/year</t>
  </si>
  <si>
    <t># New PricebookEntries/year</t>
  </si>
  <si>
    <t>N/A</t>
  </si>
  <si>
    <t># New Opportunities/year</t>
  </si>
  <si>
    <t># New Offers/year</t>
  </si>
  <si>
    <t># New Tenancies/year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</si>
</sst>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0" fillId="2" borderId="1" xfId="0" applyFill="1" applyBorder="1"/>
    <xf numFmtId="0" fontId="2" fillId="2" borderId="1" xfId="0" applyFont="1" applyFill="1" applyBorder="1"/>
    <xf numFmtId="164" fontId="0" fillId="2" borderId="1" xfId="1" applyNumberFormat="1" applyFont="1" applyFill="1" applyBorder="1"/>
    <xf numFmtId="2" fontId="0" fillId="2" borderId="1" xfId="0" applyNumberFormat="1" applyFill="1" applyBorder="1"/>
    <xf numFmtId="0" fontId="2" fillId="2" borderId="0" xfId="0" applyFont="1" applyFill="1" applyBorder="1"/>
    <xf numFmtId="164" fontId="0" fillId="2" borderId="0" xfId="1" applyNumberFormat="1" applyFont="1" applyFill="1" applyBorder="1"/>
    <xf numFmtId="2" fontId="0" fillId="2" borderId="0" xfId="0" applyNumberForma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28123-F3E3-4B41-920E-BF615CBFD2EE}">
  <dimension ref="A1:L21"/>
  <sheetViews>
    <sheetView tabSelected="1" workbookViewId="0">
      <selection activeCell="L16" sqref="L16"/>
    </sheetView>
  </sheetViews>
  <sheetFormatPr baseColWidth="10" defaultColWidth="11" defaultRowHeight="16" x14ac:dyDescent="0.2"/>
  <cols>
    <col min="2" max="2" width="25.5" bestFit="1" customWidth="1"/>
    <col min="3" max="5" width="11.5" bestFit="1" customWidth="1"/>
    <col min="6" max="7" width="13" bestFit="1" customWidth="1"/>
    <col min="8" max="8" width="18" bestFit="1" customWidth="1"/>
    <col min="9" max="9" width="20.1640625" bestFit="1" customWidth="1"/>
  </cols>
  <sheetData>
    <row r="1" spans="1:12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">
      <c r="A2" s="1"/>
      <c r="B2" s="2"/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1"/>
      <c r="K2" s="1"/>
      <c r="L2" s="1"/>
    </row>
    <row r="3" spans="1:12" x14ac:dyDescent="0.2">
      <c r="A3" s="1"/>
      <c r="B3" s="3" t="s">
        <v>7</v>
      </c>
      <c r="C3" s="4">
        <v>13000</v>
      </c>
      <c r="D3" s="4">
        <f>($F$3-$C$3)/3+C3</f>
        <v>17333.333333333332</v>
      </c>
      <c r="E3" s="4">
        <f>($F$3-$C$3)/3+D3</f>
        <v>21666.666666666664</v>
      </c>
      <c r="F3" s="4">
        <f>C3*2</f>
        <v>26000</v>
      </c>
      <c r="G3" s="4">
        <f>($F$3-$C$3)/3+F3</f>
        <v>30333.333333333332</v>
      </c>
      <c r="H3" s="4">
        <f>G3</f>
        <v>30333.333333333332</v>
      </c>
      <c r="I3" s="5">
        <f>H3*2/1024/1024</f>
        <v>5.7856241861979164E-2</v>
      </c>
      <c r="J3" s="1"/>
      <c r="K3" s="1"/>
      <c r="L3" s="1"/>
    </row>
    <row r="4" spans="1:12" x14ac:dyDescent="0.2">
      <c r="A4" s="1"/>
      <c r="B4" s="3" t="s">
        <v>9</v>
      </c>
      <c r="C4" s="4">
        <v>14</v>
      </c>
      <c r="D4" s="4">
        <v>14</v>
      </c>
      <c r="E4" s="4">
        <v>14</v>
      </c>
      <c r="F4" s="4">
        <v>14</v>
      </c>
      <c r="G4" s="4">
        <v>14</v>
      </c>
      <c r="H4" s="4">
        <f>SUM(C4:G4)</f>
        <v>70</v>
      </c>
      <c r="I4" s="5" t="s">
        <v>11</v>
      </c>
      <c r="J4" s="1"/>
      <c r="K4" s="1"/>
      <c r="L4" s="1"/>
    </row>
    <row r="5" spans="1:12" x14ac:dyDescent="0.2">
      <c r="A5" s="1"/>
      <c r="B5" s="3" t="s">
        <v>10</v>
      </c>
      <c r="C5" s="4">
        <f>C4*C3</f>
        <v>182000</v>
      </c>
      <c r="D5" s="4">
        <f>D4*D3</f>
        <v>242666.66666666666</v>
      </c>
      <c r="E5" s="4">
        <f t="shared" ref="E5:G5" si="0">E4*E3</f>
        <v>303333.33333333331</v>
      </c>
      <c r="F5" s="4">
        <f t="shared" si="0"/>
        <v>364000</v>
      </c>
      <c r="G5" s="4">
        <f t="shared" si="0"/>
        <v>424666.66666666663</v>
      </c>
      <c r="H5" s="4">
        <f t="shared" ref="H5:H8" si="1">SUM(C5:G5)</f>
        <v>1516666.6666666665</v>
      </c>
      <c r="I5" s="5" t="s">
        <v>11</v>
      </c>
      <c r="J5" s="1"/>
      <c r="K5" s="1"/>
      <c r="L5" s="1"/>
    </row>
    <row r="6" spans="1:12" x14ac:dyDescent="0.2">
      <c r="A6" s="1"/>
      <c r="B6" s="3" t="s">
        <v>12</v>
      </c>
      <c r="C6" s="4">
        <f>C3</f>
        <v>13000</v>
      </c>
      <c r="D6" s="4">
        <f t="shared" ref="D6:G6" si="2">D3</f>
        <v>17333.333333333332</v>
      </c>
      <c r="E6" s="4">
        <f t="shared" si="2"/>
        <v>21666.666666666664</v>
      </c>
      <c r="F6" s="4">
        <f t="shared" si="2"/>
        <v>26000</v>
      </c>
      <c r="G6" s="4">
        <f t="shared" si="2"/>
        <v>30333.333333333332</v>
      </c>
      <c r="H6" s="4">
        <f t="shared" si="1"/>
        <v>108333.33333333333</v>
      </c>
      <c r="I6" s="5">
        <f>H6*2/1024/1024</f>
        <v>0.20662943522135416</v>
      </c>
      <c r="J6" s="1"/>
      <c r="K6" s="1"/>
      <c r="L6" s="1"/>
    </row>
    <row r="7" spans="1:12" x14ac:dyDescent="0.2">
      <c r="A7" s="1"/>
      <c r="B7" s="3" t="s">
        <v>13</v>
      </c>
      <c r="C7" s="4">
        <f>C6</f>
        <v>13000</v>
      </c>
      <c r="D7" s="4">
        <f t="shared" ref="D7:G8" si="3">D6</f>
        <v>17333.333333333332</v>
      </c>
      <c r="E7" s="4">
        <f t="shared" si="3"/>
        <v>21666.666666666664</v>
      </c>
      <c r="F7" s="4">
        <f t="shared" si="3"/>
        <v>26000</v>
      </c>
      <c r="G7" s="4">
        <f t="shared" si="3"/>
        <v>30333.333333333332</v>
      </c>
      <c r="H7" s="4">
        <f t="shared" si="1"/>
        <v>108333.33333333333</v>
      </c>
      <c r="I7" s="5">
        <f>H7*2/1024/1024</f>
        <v>0.20662943522135416</v>
      </c>
      <c r="J7" s="1"/>
      <c r="K7" s="1"/>
      <c r="L7" s="1"/>
    </row>
    <row r="8" spans="1:12" x14ac:dyDescent="0.2">
      <c r="A8" s="1"/>
      <c r="B8" s="3" t="s">
        <v>14</v>
      </c>
      <c r="C8" s="4">
        <f>C7</f>
        <v>13000</v>
      </c>
      <c r="D8" s="4">
        <f t="shared" si="3"/>
        <v>17333.333333333332</v>
      </c>
      <c r="E8" s="4">
        <f t="shared" si="3"/>
        <v>21666.666666666664</v>
      </c>
      <c r="F8" s="4">
        <f t="shared" si="3"/>
        <v>26000</v>
      </c>
      <c r="G8" s="4">
        <f t="shared" si="3"/>
        <v>30333.333333333332</v>
      </c>
      <c r="H8" s="4">
        <f t="shared" si="1"/>
        <v>108333.33333333333</v>
      </c>
      <c r="I8" s="5">
        <f>H8*2/1024/1024</f>
        <v>0.20662943522135416</v>
      </c>
      <c r="J8" s="1"/>
      <c r="K8" s="1"/>
      <c r="L8" s="1"/>
    </row>
    <row r="9" spans="1:12" x14ac:dyDescent="0.2">
      <c r="A9" s="1"/>
      <c r="B9" s="6"/>
      <c r="C9" s="7"/>
      <c r="D9" s="7"/>
      <c r="E9" s="7"/>
      <c r="F9" s="7"/>
      <c r="G9" s="7"/>
      <c r="H9" s="7"/>
      <c r="I9" s="8"/>
      <c r="J9" s="1"/>
      <c r="K9" s="1"/>
      <c r="L9" s="1"/>
    </row>
    <row r="10" spans="1:12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">
      <c r="A11" s="1"/>
      <c r="B11" s="1" t="s">
        <v>8</v>
      </c>
      <c r="C11" s="1">
        <f>C10*2/1024</f>
        <v>0</v>
      </c>
      <c r="D11" s="1">
        <f t="shared" ref="D11:G11" si="4">D10*2/1024</f>
        <v>0</v>
      </c>
      <c r="E11" s="1">
        <f t="shared" si="4"/>
        <v>0</v>
      </c>
      <c r="F11" s="1">
        <f t="shared" si="4"/>
        <v>0</v>
      </c>
      <c r="G11" s="1">
        <f t="shared" si="4"/>
        <v>0</v>
      </c>
      <c r="H11" s="1"/>
      <c r="I11" s="1">
        <f>SUM(C11:G11)</f>
        <v>0</v>
      </c>
      <c r="J11" s="1"/>
      <c r="K11" s="1"/>
      <c r="L11" s="1"/>
    </row>
    <row r="12" spans="1:12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5</Value>
      <Value>6</Value>
    </TaxCatchAll>
    <k6ebf865df8440b3a55c1aa81c9bae7c xmlns="1ffbd5dc-7a64-4097-8396-87f6c90b212f">
      <Terms xmlns="http://schemas.microsoft.com/office/infopath/2007/PartnerControls"/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79A63D9-6958-4B84-A333-55F0882508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7E1C281-B34F-4B77-B00C-FDF132E09001}">
  <ds:schemaRefs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purl.org/dc/elements/1.1/"/>
    <ds:schemaRef ds:uri="1ffbd5dc-7a64-4097-8396-87f6c90b212f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5655336E-A519-4EA7-A7E9-52C8894FCB10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E320DCEE-3B0B-4D39-AE9F-8A9E2E38A1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Sam Duncan</cp:lastModifiedBy>
  <cp:revision/>
  <dcterms:created xsi:type="dcterms:W3CDTF">2023-06-02T04:40:35Z</dcterms:created>
  <dcterms:modified xsi:type="dcterms:W3CDTF">2024-11-06T10:53:38Z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_x0020_Document_x0020_Type">
    <vt:lpwstr/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_x0020_Project">
    <vt:lpwstr/>
  </property>
  <property fmtid="{D5CDD505-2E9C-101B-9397-08002B2CF9AE}" pid="6" name="Client">
    <vt:lpwstr>6;#Grainger PLC|a74f1cb5-e995-4f9e-8521-6d52e2c6bf08</vt:lpwstr>
  </property>
  <property fmtid="{D5CDD505-2E9C-101B-9397-08002B2CF9AE}" pid="7" name="Project Document Type">
    <vt:lpwstr/>
  </property>
  <property fmtid="{D5CDD505-2E9C-101B-9397-08002B2CF9AE}" pid="8" name="Client Project">
    <vt:lpwstr/>
  </property>
  <property fmtid="{D5CDD505-2E9C-101B-9397-08002B2CF9AE}" pid="9" name="MediaServiceImageTags">
    <vt:lpwstr/>
  </property>
  <property fmtid="{D5CDD505-2E9C-101B-9397-08002B2CF9AE}" pid="10" name="lcf76f155ced4ddcb4097134ff3c332f">
    <vt:lpwstr/>
  </property>
</Properties>
</file>