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"/>
    </mc:Choice>
  </mc:AlternateContent>
  <xr:revisionPtr revIDLastSave="529" documentId="8_{359A183C-54B0-4732-B867-99D75909B167}" xr6:coauthVersionLast="47" xr6:coauthVersionMax="47" xr10:uidLastSave="{D7C797DA-7061-4479-997E-C60C7F871DD7}"/>
  <bookViews>
    <workbookView xWindow="-120" yWindow="-120" windowWidth="29040" windowHeight="15720" tabRatio="654" activeTab="1" xr2:uid="{00000000-000D-0000-FFFF-FFFF00000000}"/>
  </bookViews>
  <sheets>
    <sheet name="AM Review List" sheetId="3" r:id="rId1"/>
    <sheet name="Filter" sheetId="2" r:id="rId2"/>
    <sheet name="Note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3" l="1"/>
  <c r="M17" i="3" s="1"/>
  <c r="J17" i="3"/>
  <c r="N17" i="3" s="1"/>
  <c r="K16" i="3"/>
  <c r="M16" i="3" s="1"/>
  <c r="J16" i="3"/>
  <c r="K15" i="3"/>
  <c r="S15" i="3" s="1"/>
  <c r="J15" i="3"/>
  <c r="O14" i="3"/>
  <c r="R14" i="3" s="1"/>
  <c r="K14" i="3"/>
  <c r="M14" i="3" s="1"/>
  <c r="J14" i="3"/>
  <c r="N14" i="3" s="1"/>
  <c r="O13" i="3"/>
  <c r="K13" i="3"/>
  <c r="S13" i="3" s="1"/>
  <c r="J13" i="3"/>
  <c r="T13" i="3" s="1"/>
  <c r="R12" i="3"/>
  <c r="K12" i="3"/>
  <c r="M12" i="3" s="1"/>
  <c r="J12" i="3"/>
  <c r="Q12" i="3" s="1"/>
  <c r="R11" i="3"/>
  <c r="K11" i="3"/>
  <c r="J11" i="3"/>
  <c r="K10" i="3"/>
  <c r="S10" i="3" s="1"/>
  <c r="J10" i="3"/>
  <c r="N10" i="3" s="1"/>
  <c r="R9" i="3"/>
  <c r="K9" i="3"/>
  <c r="P9" i="3" s="1"/>
  <c r="J9" i="3"/>
  <c r="Q9" i="3" s="1"/>
  <c r="R8" i="3"/>
  <c r="K8" i="3"/>
  <c r="P8" i="3" s="1"/>
  <c r="J8" i="3"/>
  <c r="N8" i="3" s="1"/>
  <c r="O7" i="3"/>
  <c r="R7" i="3" s="1"/>
  <c r="K7" i="3"/>
  <c r="M7" i="3" s="1"/>
  <c r="J7" i="3"/>
  <c r="O6" i="3"/>
  <c r="K6" i="3"/>
  <c r="M6" i="3" s="1"/>
  <c r="J6" i="3"/>
  <c r="N6" i="3" s="1"/>
  <c r="O5" i="3"/>
  <c r="K5" i="3"/>
  <c r="S5" i="3" s="1"/>
  <c r="J5" i="3"/>
  <c r="N5" i="3" s="1"/>
  <c r="P6" i="3" l="1"/>
  <c r="M9" i="3"/>
  <c r="N9" i="3"/>
  <c r="T6" i="3"/>
  <c r="S14" i="3"/>
  <c r="Q6" i="3"/>
  <c r="S6" i="3"/>
  <c r="P5" i="3"/>
  <c r="T5" i="3"/>
  <c r="Q14" i="3"/>
  <c r="M5" i="3"/>
  <c r="Q17" i="3"/>
  <c r="P14" i="3"/>
  <c r="S17" i="3"/>
  <c r="T17" i="3"/>
  <c r="M10" i="3"/>
  <c r="T14" i="3"/>
  <c r="P10" i="3"/>
  <c r="M13" i="3"/>
  <c r="Q10" i="3"/>
  <c r="N13" i="3"/>
  <c r="Q13" i="3"/>
  <c r="T10" i="3"/>
  <c r="T7" i="3"/>
  <c r="P17" i="3"/>
  <c r="S11" i="3"/>
  <c r="T15" i="3"/>
  <c r="Q15" i="3"/>
  <c r="N15" i="3"/>
  <c r="Q5" i="3"/>
  <c r="M8" i="3"/>
  <c r="P12" i="3"/>
  <c r="T12" i="3"/>
  <c r="Q7" i="3"/>
  <c r="N7" i="3"/>
  <c r="P11" i="3"/>
  <c r="M11" i="3"/>
  <c r="P13" i="3"/>
  <c r="S7" i="3"/>
  <c r="T9" i="3"/>
  <c r="S9" i="3"/>
  <c r="T16" i="3"/>
  <c r="Q16" i="3"/>
  <c r="T8" i="3"/>
  <c r="Q8" i="3"/>
  <c r="P16" i="3"/>
  <c r="S16" i="3"/>
  <c r="N12" i="3"/>
  <c r="N16" i="3"/>
  <c r="S8" i="3"/>
  <c r="T11" i="3"/>
  <c r="Q11" i="3"/>
  <c r="N11" i="3"/>
  <c r="M15" i="3"/>
  <c r="S12" i="3"/>
  <c r="P7" i="3"/>
  <c r="P15" i="3"/>
</calcChain>
</file>

<file path=xl/sharedStrings.xml><?xml version="1.0" encoding="utf-8"?>
<sst xmlns="http://schemas.openxmlformats.org/spreadsheetml/2006/main" count="213" uniqueCount="137">
  <si>
    <t>Real world Column</t>
  </si>
  <si>
    <t>Asset Manager</t>
  </si>
  <si>
    <t>Estate</t>
  </si>
  <si>
    <t>Unit [Plot]</t>
  </si>
  <si>
    <t>AM Review Urgent</t>
  </si>
  <si>
    <t>Renewal Date</t>
  </si>
  <si>
    <t>Term Requested by TT</t>
  </si>
  <si>
    <t>Unit Tenure</t>
  </si>
  <si>
    <t>September Monthly ERV</t>
  </si>
  <si>
    <t>March  Monthly ERV</t>
  </si>
  <si>
    <t>Current Monthly Rent</t>
  </si>
  <si>
    <t>Price Book Rent</t>
  </si>
  <si>
    <t>Price Book / Current Rent %</t>
  </si>
  <si>
    <t>Price Book / March  ERV %</t>
  </si>
  <si>
    <t xml:space="preserve">AM Offering </t>
  </si>
  <si>
    <t>AM Offering / Current Rent %</t>
  </si>
  <si>
    <t>AM Offering / March ERV %</t>
  </si>
  <si>
    <t xml:space="preserve">AM Minimum </t>
  </si>
  <si>
    <t>AM Minimum / Current Rent %</t>
  </si>
  <si>
    <t>AM Minimum / March ERV %</t>
  </si>
  <si>
    <t>AM Comments</t>
  </si>
  <si>
    <t>Unit Size</t>
  </si>
  <si>
    <t>Beds</t>
  </si>
  <si>
    <t>Baths</t>
  </si>
  <si>
    <t>Unit Condition</t>
  </si>
  <si>
    <t>Unit Amenities Etc</t>
  </si>
  <si>
    <t>Block Pricing Factors</t>
  </si>
  <si>
    <t xml:space="preserve">Renewal Outcome </t>
  </si>
  <si>
    <t>AM Review Complete</t>
  </si>
  <si>
    <t>Opportunity Name</t>
  </si>
  <si>
    <t>POC Column / Filed:</t>
  </si>
  <si>
    <t>Opportunity Owner</t>
  </si>
  <si>
    <t>UNIT: Estate__c</t>
  </si>
  <si>
    <t>Primary_Offer_Live_Unit__c</t>
  </si>
  <si>
    <t>Add new "AM Review Urgent" Flag: If COL F &lt; Today = red</t>
  </si>
  <si>
    <t>Move_In_Date__c</t>
  </si>
  <si>
    <t>Agreed_Terms__c</t>
  </si>
  <si>
    <t>Agreement_Type__c</t>
  </si>
  <si>
    <t>Monthly_Price__c</t>
  </si>
  <si>
    <t>First_Month_Rental__c</t>
  </si>
  <si>
    <t>Monthly_Rent__c</t>
  </si>
  <si>
    <r>
      <rPr>
        <i/>
        <sz val="9"/>
        <rFont val="Aptos Narrow"/>
        <family val="2"/>
      </rPr>
      <t>Monthly Rent (Default)</t>
    </r>
    <r>
      <rPr>
        <sz val="9"/>
        <rFont val="Aptos Narrow"/>
        <family val="2"/>
      </rPr>
      <t xml:space="preserve"> from  "Standard Price Book" for the Product (top 1) that is linked to the Unit </t>
    </r>
  </si>
  <si>
    <t>= COL L/ COL K</t>
  </si>
  <si>
    <t>= COL L/ COL J</t>
  </si>
  <si>
    <t>Amount</t>
  </si>
  <si>
    <t>= COL O/ COL K</t>
  </si>
  <si>
    <t>Concession__c</t>
  </si>
  <si>
    <t>= COL R/ COL K</t>
  </si>
  <si>
    <t>Notes__c</t>
  </si>
  <si>
    <t>UNIT: Internal Space GIA ft²</t>
  </si>
  <si>
    <t>UNIT: Bedrooms</t>
  </si>
  <si>
    <t>UNIT: Bathrooms</t>
  </si>
  <si>
    <t>UNIT: Summary__c</t>
  </si>
  <si>
    <t>UNIT: Key_Features_picklist__c</t>
  </si>
  <si>
    <t>BLOCK:  Directions__c</t>
  </si>
  <si>
    <t>Application Approval</t>
  </si>
  <si>
    <t>Passing Rent Checked In Qube</t>
  </si>
  <si>
    <t>Opportunity name</t>
  </si>
  <si>
    <t>POC Actions</t>
  </si>
  <si>
    <t>Highlight row or display a flag or some other indicator</t>
  </si>
  <si>
    <t>calc %</t>
  </si>
  <si>
    <t>If null, default to COL L ; EDITABLE</t>
  </si>
  <si>
    <t>EDITABLE</t>
  </si>
  <si>
    <t>Hyperlinked to open opportunity</t>
  </si>
  <si>
    <t>Helen Bowers</t>
  </si>
  <si>
    <t>Clippers Quay</t>
  </si>
  <si>
    <t>718 Torrens Apt, Waterman Wlk, Salford M50</t>
  </si>
  <si>
    <t>AST</t>
  </si>
  <si>
    <t>2</t>
  </si>
  <si>
    <t>2Melbourne</t>
  </si>
  <si>
    <t xml:space="preserve">sent </t>
  </si>
  <si>
    <t>Active</t>
  </si>
  <si>
    <t>303 Tayleur Apt , Waterman Wlk, Salford M50</t>
  </si>
  <si>
    <t>2 BedJakarta</t>
  </si>
  <si>
    <t>Ruth Friend</t>
  </si>
  <si>
    <t>Pin Yard</t>
  </si>
  <si>
    <t>512 Pin Yard, 11 Sweet Street, Leeds</t>
  </si>
  <si>
    <t>2B4P, 2East, Balcony</t>
  </si>
  <si>
    <t>Natasha Burns</t>
  </si>
  <si>
    <t>The Barnum</t>
  </si>
  <si>
    <t>102 The Barnum, 23 Queens Road, Nottingham</t>
  </si>
  <si>
    <t>2B4P,B4aSouth</t>
  </si>
  <si>
    <t>Pending</t>
  </si>
  <si>
    <t>717 The Barnum, 23 Queens Road, Nottingham</t>
  </si>
  <si>
    <t>1</t>
  </si>
  <si>
    <t>1B2P,A1South</t>
  </si>
  <si>
    <t>Hugh Peel</t>
  </si>
  <si>
    <t>Churston Close</t>
  </si>
  <si>
    <t>Flat21,Churston Cl,162-164 Tulse Hill,SW2 3BX</t>
  </si>
  <si>
    <t xml:space="preserve">Passing rent is low to increase will be substantial </t>
  </si>
  <si>
    <t>1 bed/bath(shower), o/p kit/liv - Refurb '17GF</t>
  </si>
  <si>
    <t>826 The Barnum, 23 Queens Road, Nottingham</t>
  </si>
  <si>
    <t>0</t>
  </si>
  <si>
    <t>1B2P,D1North</t>
  </si>
  <si>
    <t>M06 The Barnum, 23 Queens Road, Nottingham</t>
  </si>
  <si>
    <t>1B2P,A1aEast</t>
  </si>
  <si>
    <t>Samantha Lancaster</t>
  </si>
  <si>
    <t>The Filaments</t>
  </si>
  <si>
    <t>1005, Halogen House, 217 Chapel St, Salford,</t>
  </si>
  <si>
    <t>Balcony, ESE1 Bed - TYPE A</t>
  </si>
  <si>
    <t>David Hancock</t>
  </si>
  <si>
    <t>The Rock</t>
  </si>
  <si>
    <t>29, 110 The Rock, Bury, BL9</t>
  </si>
  <si>
    <t>2 Bedroom Type 2D5/Balcony &amp; Terrace</t>
  </si>
  <si>
    <t>Alice Shaw</t>
  </si>
  <si>
    <t>Gatehouse Apartments</t>
  </si>
  <si>
    <t>1 Gatehouse Apts, 86 East St, Southampton</t>
  </si>
  <si>
    <t>HS reduced AM min to £1155 on 20.6.24</t>
  </si>
  <si>
    <t>L1,  Encl. balcony,  Orchard L/Nursery1Bed 2P, Type 1F</t>
  </si>
  <si>
    <t>Sent</t>
  </si>
  <si>
    <t>Yvonne Leggett</t>
  </si>
  <si>
    <t>Tilt Core</t>
  </si>
  <si>
    <t>184 Peckham Rye, SF, London SE22 9QA</t>
  </si>
  <si>
    <t>NPB</t>
  </si>
  <si>
    <t>2 bed, 1 bath, kitch, liv rm, roof terraceP Refurb '18, Second floor</t>
  </si>
  <si>
    <t>signing</t>
  </si>
  <si>
    <t>Miranda Rowe</t>
  </si>
  <si>
    <t>Waterloo Estate</t>
  </si>
  <si>
    <t>6A Mitre Road, London, SE1 8PY</t>
  </si>
  <si>
    <t/>
  </si>
  <si>
    <t xml:space="preserve"> </t>
  </si>
  <si>
    <t xml:space="preserve">Name: </t>
  </si>
  <si>
    <t>Asset Management Renewals List</t>
  </si>
  <si>
    <t>Auto Filter</t>
  </si>
  <si>
    <t>Only display records where "Passing Rent Checked In Qube" = false</t>
  </si>
  <si>
    <t>Filter Options:</t>
  </si>
  <si>
    <t>Checkbox:</t>
  </si>
  <si>
    <t>Only Show My Renewals [i.e. where user = Opportunity Owner]</t>
  </si>
  <si>
    <t>Estate:</t>
  </si>
  <si>
    <t>Text search</t>
  </si>
  <si>
    <t>Unit Bedrooms:</t>
  </si>
  <si>
    <t>Picklist or text search</t>
  </si>
  <si>
    <t>Validation:</t>
  </si>
  <si>
    <t>Or use an existing validation?</t>
  </si>
  <si>
    <t xml:space="preserve">Button: </t>
  </si>
  <si>
    <t>Users can use to bulk update "COL AC" =&gt; true</t>
  </si>
  <si>
    <t xml:space="preserve">can't edit = look up, date, time,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</si>
</sst>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£&quot;#,##0;\-&quot;£&quot;#,##0"/>
    <numFmt numFmtId="165" formatCode="&quot;£&quot;#,##0.00;\-&quot;£&quot;#,##0.00"/>
    <numFmt numFmtId="166" formatCode="_-&quot;£&quot;* #,##0.00_-;\-&quot;£&quot;* #,##0.00_-;_-&quot;£&quot;* &quot;-&quot;??_-;_-@_-"/>
    <numFmt numFmtId="167" formatCode="dd/mm/yy"/>
    <numFmt numFmtId="168" formatCode="&quot;£&quot;#,##0"/>
    <numFmt numFmtId="169" formatCode="0.0%"/>
  </numFmts>
  <fonts count="15">
    <font>
      <sz val="11"/>
      <name val="Aptos Narrow"/>
    </font>
    <font>
      <sz val="11"/>
      <name val="Aptos Narrow"/>
      <family val="2"/>
    </font>
    <font>
      <b/>
      <sz val="9"/>
      <name val="Aptos Narrow"/>
      <family val="2"/>
    </font>
    <font>
      <sz val="9"/>
      <name val="Aptos Narrow"/>
      <family val="2"/>
    </font>
    <font>
      <sz val="9"/>
      <color rgb="FFFF0000"/>
      <name val="Aptos Narrow"/>
      <family val="2"/>
    </font>
    <font>
      <sz val="11"/>
      <name val="Aptos Narrow"/>
      <family val="2"/>
    </font>
    <font>
      <sz val="9"/>
      <name val="Aptos Narrow"/>
      <family val="2"/>
      <scheme val="minor"/>
    </font>
    <font>
      <b/>
      <sz val="9"/>
      <color rgb="FFFF0000"/>
      <name val="Aptos Narrow"/>
      <family val="2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</font>
    <font>
      <sz val="10"/>
      <color rgb="FF00610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</font>
    <font>
      <i/>
      <sz val="9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8" fillId="5" borderId="0" applyNumberFormat="0" applyBorder="0" applyAlignment="0" applyProtection="0"/>
    <xf numFmtId="0" fontId="9" fillId="6" borderId="3" applyNumberFormat="0" applyAlignment="0" applyProtection="0"/>
  </cellStyleXfs>
  <cellXfs count="42">
    <xf numFmtId="0" fontId="0" fillId="0" borderId="0" xfId="0"/>
    <xf numFmtId="0" fontId="3" fillId="0" borderId="1" xfId="0" applyFont="1" applyBorder="1"/>
    <xf numFmtId="167" fontId="3" fillId="0" borderId="1" xfId="0" applyNumberFormat="1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9" fontId="3" fillId="0" borderId="1" xfId="1" applyNumberFormat="1" applyFont="1" applyFill="1" applyBorder="1" applyAlignment="1">
      <alignment horizontal="center"/>
    </xf>
    <xf numFmtId="169" fontId="4" fillId="0" borderId="1" xfId="1" applyNumberFormat="1" applyFon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/>
    <xf numFmtId="165" fontId="3" fillId="2" borderId="1" xfId="0" applyNumberFormat="1" applyFont="1" applyFill="1" applyBorder="1" applyAlignment="1">
      <alignment horizontal="center" wrapText="1"/>
    </xf>
    <xf numFmtId="168" fontId="2" fillId="3" borderId="1" xfId="0" applyNumberFormat="1" applyFont="1" applyFill="1" applyBorder="1" applyAlignment="1">
      <alignment horizontal="center"/>
    </xf>
    <xf numFmtId="0" fontId="3" fillId="0" borderId="2" xfId="0" applyFont="1" applyBorder="1"/>
    <xf numFmtId="168" fontId="7" fillId="2" borderId="1" xfId="0" applyNumberFormat="1" applyFont="1" applyFill="1" applyBorder="1" applyAlignment="1">
      <alignment horizontal="center"/>
    </xf>
    <xf numFmtId="0" fontId="10" fillId="0" borderId="0" xfId="0" applyFont="1"/>
    <xf numFmtId="0" fontId="1" fillId="0" borderId="0" xfId="0" applyFont="1"/>
    <xf numFmtId="168" fontId="11" fillId="5" borderId="1" xfId="3" applyNumberFormat="1" applyFont="1" applyBorder="1" applyAlignment="1">
      <alignment horizontal="center" vertical="center" wrapText="1"/>
    </xf>
    <xf numFmtId="0" fontId="11" fillId="5" borderId="1" xfId="3" applyFont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14" fontId="3" fillId="7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169" fontId="3" fillId="7" borderId="1" xfId="1" applyNumberFormat="1" applyFont="1" applyFill="1" applyBorder="1" applyAlignment="1">
      <alignment horizontal="center" vertical="center"/>
    </xf>
    <xf numFmtId="168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167" fontId="3" fillId="7" borderId="1" xfId="0" applyNumberFormat="1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8" fontId="6" fillId="7" borderId="1" xfId="2" applyNumberFormat="1" applyFont="1" applyFill="1" applyBorder="1" applyAlignment="1">
      <alignment horizontal="center" vertical="center" wrapText="1"/>
    </xf>
    <xf numFmtId="168" fontId="11" fillId="5" borderId="2" xfId="3" applyNumberFormat="1" applyFont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168" fontId="12" fillId="6" borderId="1" xfId="4" applyNumberFormat="1" applyFont="1" applyBorder="1" applyAlignment="1">
      <alignment horizontal="left" vertical="center" wrapText="1"/>
    </xf>
    <xf numFmtId="169" fontId="3" fillId="7" borderId="1" xfId="1" quotePrefix="1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168" fontId="3" fillId="7" borderId="1" xfId="0" applyNumberFormat="1" applyFont="1" applyFill="1" applyBorder="1" applyAlignment="1">
      <alignment horizontal="center" vertical="center"/>
    </xf>
  </cellXfs>
  <cellStyles count="5">
    <cellStyle name="Check Cell" xfId="4" builtinId="23"/>
    <cellStyle name="Currency" xfId="2" builtinId="4"/>
    <cellStyle name="Good" xfId="3" builtinId="26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23</xdr:row>
      <xdr:rowOff>0</xdr:rowOff>
    </xdr:from>
    <xdr:to>
      <xdr:col>16</xdr:col>
      <xdr:colOff>0</xdr:colOff>
      <xdr:row>25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779DBA-E2CE-4CEA-8525-B1C4F9BD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1550" y="3895725"/>
          <a:ext cx="456247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EE96-B650-4955-AAC1-A4B6FF91F52E}">
  <dimension ref="A1:AD21"/>
  <sheetViews>
    <sheetView workbookViewId="0">
      <selection activeCell="W26" sqref="W26"/>
    </sheetView>
  </sheetViews>
  <sheetFormatPr defaultColWidth="9.140625" defaultRowHeight="15" outlineLevelRow="1"/>
  <cols>
    <col min="1" max="1" width="8" style="40" customWidth="1"/>
    <col min="2" max="4" width="9.28515625" customWidth="1"/>
    <col min="5" max="5" width="11.42578125" customWidth="1"/>
    <col min="6" max="8" width="8.140625" customWidth="1"/>
    <col min="9" max="9" width="8.28515625" customWidth="1"/>
    <col min="10" max="11" width="8.140625" customWidth="1"/>
    <col min="12" max="12" width="10.7109375" customWidth="1"/>
    <col min="13" max="15" width="8.140625" customWidth="1"/>
    <col min="16" max="21" width="8.7109375" customWidth="1"/>
    <col min="22" max="24" width="9.140625" customWidth="1"/>
    <col min="25" max="26" width="8.7109375" customWidth="1"/>
    <col min="27" max="27" width="8.140625" customWidth="1"/>
    <col min="28" max="29" width="8.7109375" customWidth="1"/>
    <col min="30" max="30" width="9.85546875" customWidth="1"/>
  </cols>
  <sheetData>
    <row r="1" spans="1:30" ht="63.75" customHeight="1">
      <c r="A1" s="37" t="s">
        <v>0</v>
      </c>
      <c r="B1" s="34" t="s">
        <v>1</v>
      </c>
      <c r="C1" s="19" t="s">
        <v>2</v>
      </c>
      <c r="D1" s="19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</row>
    <row r="2" spans="1:30" s="32" customFormat="1" ht="117" customHeight="1">
      <c r="A2" s="37" t="s">
        <v>30</v>
      </c>
      <c r="B2" s="35" t="s">
        <v>31</v>
      </c>
      <c r="C2" s="27" t="s">
        <v>32</v>
      </c>
      <c r="D2" s="27" t="s">
        <v>33</v>
      </c>
      <c r="E2" s="27" t="s">
        <v>34</v>
      </c>
      <c r="F2" s="28" t="s">
        <v>35</v>
      </c>
      <c r="G2" s="29" t="s">
        <v>36</v>
      </c>
      <c r="H2" s="30" t="s">
        <v>37</v>
      </c>
      <c r="I2" s="31" t="s">
        <v>38</v>
      </c>
      <c r="J2" s="33" t="s">
        <v>39</v>
      </c>
      <c r="K2" s="31" t="s">
        <v>40</v>
      </c>
      <c r="L2" s="31" t="s">
        <v>41</v>
      </c>
      <c r="M2" s="38" t="s">
        <v>42</v>
      </c>
      <c r="N2" s="38" t="s">
        <v>43</v>
      </c>
      <c r="O2" s="31" t="s">
        <v>44</v>
      </c>
      <c r="P2" s="38" t="s">
        <v>45</v>
      </c>
      <c r="Q2" s="38" t="s">
        <v>45</v>
      </c>
      <c r="R2" s="26" t="s">
        <v>46</v>
      </c>
      <c r="S2" s="38" t="s">
        <v>47</v>
      </c>
      <c r="T2" s="38" t="s">
        <v>47</v>
      </c>
      <c r="U2" s="26" t="s">
        <v>48</v>
      </c>
      <c r="V2" s="27" t="s">
        <v>49</v>
      </c>
      <c r="W2" s="27" t="s">
        <v>50</v>
      </c>
      <c r="X2" s="27" t="s">
        <v>51</v>
      </c>
      <c r="Y2" s="27" t="s">
        <v>52</v>
      </c>
      <c r="Z2" s="27" t="s">
        <v>53</v>
      </c>
      <c r="AA2" s="27" t="s">
        <v>54</v>
      </c>
      <c r="AB2" s="26" t="s">
        <v>55</v>
      </c>
      <c r="AC2" s="26" t="s">
        <v>56</v>
      </c>
      <c r="AD2" s="27" t="s">
        <v>57</v>
      </c>
    </row>
    <row r="3" spans="1:30" ht="66" customHeight="1">
      <c r="A3" s="37" t="s">
        <v>58</v>
      </c>
      <c r="B3" s="36"/>
      <c r="C3" s="27"/>
      <c r="D3" s="27"/>
      <c r="E3" s="29" t="s">
        <v>59</v>
      </c>
      <c r="F3" s="22"/>
      <c r="G3" s="23"/>
      <c r="H3" s="24"/>
      <c r="I3" s="25"/>
      <c r="J3" s="25"/>
      <c r="K3" s="25"/>
      <c r="L3" s="41"/>
      <c r="M3" s="25" t="s">
        <v>60</v>
      </c>
      <c r="N3" s="25" t="s">
        <v>60</v>
      </c>
      <c r="O3" s="26" t="s">
        <v>61</v>
      </c>
      <c r="P3" s="25" t="s">
        <v>60</v>
      </c>
      <c r="Q3" s="25" t="s">
        <v>60</v>
      </c>
      <c r="R3" s="41" t="s">
        <v>62</v>
      </c>
      <c r="S3" s="25" t="s">
        <v>60</v>
      </c>
      <c r="T3" s="25" t="s">
        <v>60</v>
      </c>
      <c r="U3" s="41" t="s">
        <v>62</v>
      </c>
      <c r="V3" s="21"/>
      <c r="W3" s="21"/>
      <c r="X3" s="21"/>
      <c r="Y3" s="21"/>
      <c r="Z3" s="21"/>
      <c r="AA3" s="27"/>
      <c r="AB3" s="26" t="s">
        <v>62</v>
      </c>
      <c r="AC3" s="26" t="s">
        <v>62</v>
      </c>
      <c r="AD3" s="27" t="s">
        <v>63</v>
      </c>
    </row>
    <row r="5" spans="1:30" hidden="1" outlineLevel="1">
      <c r="A5" s="39"/>
      <c r="B5" s="15" t="s">
        <v>64</v>
      </c>
      <c r="C5" s="1" t="s">
        <v>65</v>
      </c>
      <c r="D5" s="1" t="s">
        <v>66</v>
      </c>
      <c r="E5" s="2"/>
      <c r="F5" s="5">
        <v>45505</v>
      </c>
      <c r="G5" s="2"/>
      <c r="H5" s="4" t="s">
        <v>67</v>
      </c>
      <c r="I5" s="6">
        <v>1370</v>
      </c>
      <c r="J5" s="6" t="e">
        <f>#REF!/12</f>
        <v>#REF!</v>
      </c>
      <c r="K5" s="6" t="e">
        <f>#REF!/12</f>
        <v>#REF!</v>
      </c>
      <c r="L5" s="9">
        <v>1430</v>
      </c>
      <c r="M5" s="7" t="e">
        <f t="shared" ref="M5:M17" si="0">(L5-K5)/K5</f>
        <v>#REF!</v>
      </c>
      <c r="N5" s="7" t="e">
        <f t="shared" ref="N5:N17" si="1">(L5-J5)/J5</f>
        <v>#REF!</v>
      </c>
      <c r="O5" s="9">
        <f>L5</f>
        <v>1430</v>
      </c>
      <c r="P5" s="7" t="e">
        <f t="shared" ref="P5:P17" si="2">(O5-K5)/K5</f>
        <v>#REF!</v>
      </c>
      <c r="Q5" s="7" t="e">
        <f t="shared" ref="Q5:Q17" si="3">(O5-J5)/J5</f>
        <v>#REF!</v>
      </c>
      <c r="R5" s="9">
        <v>1425</v>
      </c>
      <c r="S5" s="7" t="e">
        <f t="shared" ref="S5:S17" si="4">(R5-K5)/K5</f>
        <v>#REF!</v>
      </c>
      <c r="T5" s="7" t="e">
        <f t="shared" ref="T5:T17" si="5">(R5-J5)/J5</f>
        <v>#REF!</v>
      </c>
      <c r="U5" s="13"/>
      <c r="V5" s="1">
        <v>757</v>
      </c>
      <c r="W5" s="1" t="s">
        <v>68</v>
      </c>
      <c r="X5" s="1" t="s">
        <v>68</v>
      </c>
      <c r="Y5" s="1" t="s">
        <v>69</v>
      </c>
      <c r="Z5" s="1"/>
      <c r="AA5" s="1"/>
      <c r="AB5" s="1" t="s">
        <v>70</v>
      </c>
      <c r="AC5" s="1" t="b">
        <v>0</v>
      </c>
      <c r="AD5" s="1" t="s">
        <v>71</v>
      </c>
    </row>
    <row r="6" spans="1:30" hidden="1" outlineLevel="1">
      <c r="A6" s="39"/>
      <c r="B6" s="15" t="s">
        <v>64</v>
      </c>
      <c r="C6" s="1" t="s">
        <v>65</v>
      </c>
      <c r="D6" s="1" t="s">
        <v>72</v>
      </c>
      <c r="E6" s="2"/>
      <c r="F6" s="5">
        <v>45505</v>
      </c>
      <c r="G6" s="2"/>
      <c r="H6" s="4" t="s">
        <v>67</v>
      </c>
      <c r="I6" s="6">
        <v>1315</v>
      </c>
      <c r="J6" s="6" t="e">
        <f>#REF!/12</f>
        <v>#REF!</v>
      </c>
      <c r="K6" s="6" t="e">
        <f>#REF!/12</f>
        <v>#REF!</v>
      </c>
      <c r="L6" s="9">
        <v>1395</v>
      </c>
      <c r="M6" s="7" t="e">
        <f t="shared" si="0"/>
        <v>#REF!</v>
      </c>
      <c r="N6" s="7" t="e">
        <f t="shared" si="1"/>
        <v>#REF!</v>
      </c>
      <c r="O6" s="9">
        <f>L6</f>
        <v>1395</v>
      </c>
      <c r="P6" s="7" t="e">
        <f t="shared" si="2"/>
        <v>#REF!</v>
      </c>
      <c r="Q6" s="7" t="e">
        <f t="shared" si="3"/>
        <v>#REF!</v>
      </c>
      <c r="R6" s="9">
        <v>1375</v>
      </c>
      <c r="S6" s="7" t="e">
        <f t="shared" si="4"/>
        <v>#REF!</v>
      </c>
      <c r="T6" s="7" t="e">
        <f t="shared" si="5"/>
        <v>#REF!</v>
      </c>
      <c r="U6" s="13"/>
      <c r="V6" s="1">
        <v>795</v>
      </c>
      <c r="W6" s="1" t="s">
        <v>68</v>
      </c>
      <c r="X6" s="1" t="s">
        <v>68</v>
      </c>
      <c r="Y6" s="1" t="s">
        <v>73</v>
      </c>
      <c r="Z6" s="1"/>
      <c r="AA6" s="1"/>
      <c r="AB6" s="1" t="s">
        <v>70</v>
      </c>
      <c r="AC6" s="1" t="b">
        <v>0</v>
      </c>
      <c r="AD6" s="1" t="s">
        <v>71</v>
      </c>
    </row>
    <row r="7" spans="1:30" hidden="1" outlineLevel="1">
      <c r="B7" s="15" t="s">
        <v>74</v>
      </c>
      <c r="C7" s="1" t="s">
        <v>75</v>
      </c>
      <c r="D7" s="1" t="s">
        <v>76</v>
      </c>
      <c r="E7" s="2"/>
      <c r="F7" s="5">
        <v>45487</v>
      </c>
      <c r="G7" s="2"/>
      <c r="H7" s="4" t="s">
        <v>67</v>
      </c>
      <c r="I7" s="6">
        <v>1380</v>
      </c>
      <c r="J7" s="6" t="e">
        <f>#REF!/12</f>
        <v>#REF!</v>
      </c>
      <c r="K7" s="6" t="e">
        <f>#REF!/12</f>
        <v>#REF!</v>
      </c>
      <c r="L7" s="9">
        <v>1400</v>
      </c>
      <c r="M7" s="7" t="e">
        <f t="shared" si="0"/>
        <v>#REF!</v>
      </c>
      <c r="N7" s="7" t="e">
        <f t="shared" si="1"/>
        <v>#REF!</v>
      </c>
      <c r="O7" s="9">
        <f>L7</f>
        <v>1400</v>
      </c>
      <c r="P7" s="7" t="e">
        <f t="shared" si="2"/>
        <v>#REF!</v>
      </c>
      <c r="Q7" s="7" t="e">
        <f t="shared" si="3"/>
        <v>#REF!</v>
      </c>
      <c r="R7" s="9">
        <f>O7</f>
        <v>1400</v>
      </c>
      <c r="S7" s="7" t="e">
        <f t="shared" si="4"/>
        <v>#REF!</v>
      </c>
      <c r="T7" s="7" t="e">
        <f t="shared" si="5"/>
        <v>#REF!</v>
      </c>
      <c r="U7" s="13"/>
      <c r="V7" s="1">
        <v>753</v>
      </c>
      <c r="W7" s="11" t="s">
        <v>68</v>
      </c>
      <c r="X7" s="11" t="s">
        <v>68</v>
      </c>
      <c r="Y7" s="1" t="s">
        <v>77</v>
      </c>
      <c r="Z7" s="1"/>
      <c r="AA7" s="1"/>
      <c r="AB7" s="1" t="s">
        <v>70</v>
      </c>
      <c r="AC7" s="1" t="b">
        <v>0</v>
      </c>
      <c r="AD7" s="1" t="s">
        <v>71</v>
      </c>
    </row>
    <row r="8" spans="1:30" hidden="1" outlineLevel="1">
      <c r="B8" s="15" t="s">
        <v>78</v>
      </c>
      <c r="C8" s="1" t="s">
        <v>79</v>
      </c>
      <c r="D8" s="1" t="s">
        <v>80</v>
      </c>
      <c r="E8" s="2"/>
      <c r="F8" s="5">
        <v>45505</v>
      </c>
      <c r="G8" s="2"/>
      <c r="H8" s="4" t="s">
        <v>67</v>
      </c>
      <c r="I8" s="6">
        <v>1255</v>
      </c>
      <c r="J8" s="6" t="e">
        <f>#REF!/12</f>
        <v>#REF!</v>
      </c>
      <c r="K8" s="6" t="e">
        <f>#REF!/12</f>
        <v>#REF!</v>
      </c>
      <c r="L8" s="9">
        <v>1280</v>
      </c>
      <c r="M8" s="7" t="e">
        <f t="shared" si="0"/>
        <v>#REF!</v>
      </c>
      <c r="N8" s="7" t="e">
        <f t="shared" si="1"/>
        <v>#REF!</v>
      </c>
      <c r="O8" s="9">
        <v>1280</v>
      </c>
      <c r="P8" s="7" t="e">
        <f t="shared" si="2"/>
        <v>#REF!</v>
      </c>
      <c r="Q8" s="7" t="e">
        <f t="shared" si="3"/>
        <v>#REF!</v>
      </c>
      <c r="R8" s="9">
        <f>O8</f>
        <v>1280</v>
      </c>
      <c r="S8" s="7" t="e">
        <f t="shared" si="4"/>
        <v>#REF!</v>
      </c>
      <c r="T8" s="7" t="e">
        <f t="shared" si="5"/>
        <v>#REF!</v>
      </c>
      <c r="U8" s="13"/>
      <c r="V8" s="1">
        <v>640</v>
      </c>
      <c r="W8" s="1" t="s">
        <v>68</v>
      </c>
      <c r="X8" s="1" t="s">
        <v>68</v>
      </c>
      <c r="Y8" s="1" t="s">
        <v>81</v>
      </c>
      <c r="Z8" s="1"/>
      <c r="AA8" s="1"/>
      <c r="AB8" s="1" t="s">
        <v>70</v>
      </c>
      <c r="AC8" s="1" t="b">
        <v>0</v>
      </c>
      <c r="AD8" s="1" t="s">
        <v>82</v>
      </c>
    </row>
    <row r="9" spans="1:30" hidden="1" outlineLevel="1">
      <c r="B9" s="15" t="s">
        <v>78</v>
      </c>
      <c r="C9" s="1" t="s">
        <v>79</v>
      </c>
      <c r="D9" s="1" t="s">
        <v>83</v>
      </c>
      <c r="E9" s="2"/>
      <c r="F9" s="5">
        <v>45505</v>
      </c>
      <c r="G9" s="2"/>
      <c r="H9" s="4" t="s">
        <v>67</v>
      </c>
      <c r="I9" s="6">
        <v>1000</v>
      </c>
      <c r="J9" s="6" t="e">
        <f>#REF!/12</f>
        <v>#REF!</v>
      </c>
      <c r="K9" s="6" t="e">
        <f>#REF!/12</f>
        <v>#REF!</v>
      </c>
      <c r="L9" s="9">
        <v>1080</v>
      </c>
      <c r="M9" s="7" t="e">
        <f t="shared" si="0"/>
        <v>#REF!</v>
      </c>
      <c r="N9" s="7" t="e">
        <f t="shared" si="1"/>
        <v>#REF!</v>
      </c>
      <c r="O9" s="9">
        <v>1080</v>
      </c>
      <c r="P9" s="7" t="e">
        <f t="shared" si="2"/>
        <v>#REF!</v>
      </c>
      <c r="Q9" s="7" t="e">
        <f t="shared" si="3"/>
        <v>#REF!</v>
      </c>
      <c r="R9" s="9">
        <f>O9</f>
        <v>1080</v>
      </c>
      <c r="S9" s="7" t="e">
        <f t="shared" si="4"/>
        <v>#REF!</v>
      </c>
      <c r="T9" s="7" t="e">
        <f t="shared" si="5"/>
        <v>#REF!</v>
      </c>
      <c r="U9" s="13"/>
      <c r="V9" s="1">
        <v>450</v>
      </c>
      <c r="W9" s="1" t="s">
        <v>84</v>
      </c>
      <c r="X9" s="1" t="s">
        <v>84</v>
      </c>
      <c r="Y9" s="1" t="s">
        <v>85</v>
      </c>
      <c r="Z9" s="1"/>
      <c r="AA9" s="1"/>
      <c r="AB9" s="1" t="s">
        <v>70</v>
      </c>
      <c r="AC9" s="1" t="b">
        <v>0</v>
      </c>
      <c r="AD9" s="1" t="s">
        <v>82</v>
      </c>
    </row>
    <row r="10" spans="1:30" ht="60.75" hidden="1" outlineLevel="1">
      <c r="B10" s="15" t="s">
        <v>86</v>
      </c>
      <c r="C10" s="1" t="s">
        <v>87</v>
      </c>
      <c r="D10" s="1" t="s">
        <v>88</v>
      </c>
      <c r="E10" s="2"/>
      <c r="F10" s="5">
        <v>45505</v>
      </c>
      <c r="G10" s="2"/>
      <c r="H10" s="4" t="s">
        <v>67</v>
      </c>
      <c r="I10" s="6">
        <v>1410</v>
      </c>
      <c r="J10" s="6" t="e">
        <f>#REF!/12</f>
        <v>#REF!</v>
      </c>
      <c r="K10" s="6" t="e">
        <f>#REF!/12</f>
        <v>#REF!</v>
      </c>
      <c r="L10" s="9"/>
      <c r="M10" s="8" t="e">
        <f t="shared" si="0"/>
        <v>#REF!</v>
      </c>
      <c r="N10" s="7" t="e">
        <f t="shared" si="1"/>
        <v>#REF!</v>
      </c>
      <c r="O10" s="9">
        <v>1450</v>
      </c>
      <c r="P10" s="7" t="e">
        <f t="shared" si="2"/>
        <v>#REF!</v>
      </c>
      <c r="Q10" s="7" t="e">
        <f t="shared" si="3"/>
        <v>#REF!</v>
      </c>
      <c r="R10" s="9">
        <v>1425</v>
      </c>
      <c r="S10" s="7" t="e">
        <f t="shared" si="4"/>
        <v>#REF!</v>
      </c>
      <c r="T10" s="7" t="e">
        <f t="shared" si="5"/>
        <v>#REF!</v>
      </c>
      <c r="U10" s="13" t="s">
        <v>89</v>
      </c>
      <c r="V10" s="1">
        <v>362</v>
      </c>
      <c r="W10" s="1" t="s">
        <v>84</v>
      </c>
      <c r="X10" s="1" t="s">
        <v>84</v>
      </c>
      <c r="Y10" s="1" t="s">
        <v>90</v>
      </c>
      <c r="Z10" s="1"/>
      <c r="AA10" s="1"/>
      <c r="AB10" s="10" t="s">
        <v>70</v>
      </c>
      <c r="AC10" s="1" t="b">
        <v>0</v>
      </c>
      <c r="AD10" s="1" t="s">
        <v>71</v>
      </c>
    </row>
    <row r="11" spans="1:30" hidden="1" outlineLevel="1">
      <c r="B11" s="15" t="s">
        <v>78</v>
      </c>
      <c r="C11" s="1" t="s">
        <v>79</v>
      </c>
      <c r="D11" s="1" t="s">
        <v>91</v>
      </c>
      <c r="E11" s="2"/>
      <c r="F11" s="5">
        <v>45505</v>
      </c>
      <c r="G11" s="2"/>
      <c r="H11" s="4" t="s">
        <v>67</v>
      </c>
      <c r="I11" s="6">
        <v>895</v>
      </c>
      <c r="J11" s="6" t="e">
        <f>#REF!/12</f>
        <v>#REF!</v>
      </c>
      <c r="K11" s="6" t="e">
        <f>#REF!/12</f>
        <v>#REF!</v>
      </c>
      <c r="L11" s="9">
        <v>995</v>
      </c>
      <c r="M11" s="7" t="e">
        <f t="shared" si="0"/>
        <v>#REF!</v>
      </c>
      <c r="N11" s="7" t="e">
        <f t="shared" si="1"/>
        <v>#REF!</v>
      </c>
      <c r="O11" s="9">
        <v>995</v>
      </c>
      <c r="P11" s="7" t="e">
        <f t="shared" si="2"/>
        <v>#REF!</v>
      </c>
      <c r="Q11" s="7" t="e">
        <f t="shared" si="3"/>
        <v>#REF!</v>
      </c>
      <c r="R11" s="9">
        <f>O11</f>
        <v>995</v>
      </c>
      <c r="S11" s="7" t="e">
        <f t="shared" si="4"/>
        <v>#REF!</v>
      </c>
      <c r="T11" s="7" t="e">
        <f t="shared" si="5"/>
        <v>#REF!</v>
      </c>
      <c r="U11" s="13"/>
      <c r="V11" s="1">
        <v>398</v>
      </c>
      <c r="W11" s="1" t="s">
        <v>92</v>
      </c>
      <c r="X11" s="1" t="s">
        <v>84</v>
      </c>
      <c r="Y11" s="1" t="s">
        <v>93</v>
      </c>
      <c r="Z11" s="1"/>
      <c r="AA11" s="1"/>
      <c r="AB11" s="1" t="s">
        <v>70</v>
      </c>
      <c r="AC11" s="1" t="b">
        <v>0</v>
      </c>
      <c r="AD11" s="1" t="s">
        <v>82</v>
      </c>
    </row>
    <row r="12" spans="1:30" hidden="1" outlineLevel="1">
      <c r="B12" s="15" t="s">
        <v>78</v>
      </c>
      <c r="C12" s="1" t="s">
        <v>79</v>
      </c>
      <c r="D12" s="1" t="s">
        <v>94</v>
      </c>
      <c r="E12" s="2"/>
      <c r="F12" s="5">
        <v>45505</v>
      </c>
      <c r="G12" s="2"/>
      <c r="H12" s="4" t="s">
        <v>67</v>
      </c>
      <c r="I12" s="6">
        <v>975</v>
      </c>
      <c r="J12" s="6" t="e">
        <f>#REF!/12</f>
        <v>#REF!</v>
      </c>
      <c r="K12" s="6" t="e">
        <f>#REF!/12</f>
        <v>#REF!</v>
      </c>
      <c r="L12" s="9">
        <v>940</v>
      </c>
      <c r="M12" s="7" t="e">
        <f t="shared" si="0"/>
        <v>#REF!</v>
      </c>
      <c r="N12" s="7" t="e">
        <f t="shared" si="1"/>
        <v>#REF!</v>
      </c>
      <c r="O12" s="9">
        <v>965</v>
      </c>
      <c r="P12" s="7" t="e">
        <f t="shared" si="2"/>
        <v>#REF!</v>
      </c>
      <c r="Q12" s="7" t="e">
        <f t="shared" si="3"/>
        <v>#REF!</v>
      </c>
      <c r="R12" s="9">
        <f>O12</f>
        <v>965</v>
      </c>
      <c r="S12" s="7" t="e">
        <f t="shared" si="4"/>
        <v>#REF!</v>
      </c>
      <c r="T12" s="7" t="e">
        <f t="shared" si="5"/>
        <v>#REF!</v>
      </c>
      <c r="U12" s="13"/>
      <c r="V12" s="1">
        <v>438</v>
      </c>
      <c r="W12" s="1" t="s">
        <v>84</v>
      </c>
      <c r="X12" s="1" t="s">
        <v>84</v>
      </c>
      <c r="Y12" s="1" t="s">
        <v>95</v>
      </c>
      <c r="Z12" s="1"/>
      <c r="AA12" s="1"/>
      <c r="AB12" s="1" t="s">
        <v>70</v>
      </c>
      <c r="AC12" s="1" t="b">
        <v>0</v>
      </c>
      <c r="AD12" s="1" t="s">
        <v>71</v>
      </c>
    </row>
    <row r="13" spans="1:30" hidden="1" outlineLevel="1">
      <c r="B13" s="15" t="s">
        <v>96</v>
      </c>
      <c r="C13" s="1" t="s">
        <v>97</v>
      </c>
      <c r="D13" s="1" t="s">
        <v>98</v>
      </c>
      <c r="E13" s="2"/>
      <c r="F13" s="5">
        <v>45505</v>
      </c>
      <c r="G13" s="2"/>
      <c r="H13" s="4" t="s">
        <v>67</v>
      </c>
      <c r="I13" s="6">
        <v>1090</v>
      </c>
      <c r="J13" s="6" t="e">
        <f>#REF!/12</f>
        <v>#REF!</v>
      </c>
      <c r="K13" s="6" t="e">
        <f>#REF!/12</f>
        <v>#REF!</v>
      </c>
      <c r="L13" s="9">
        <v>1290</v>
      </c>
      <c r="M13" s="7" t="e">
        <f t="shared" si="0"/>
        <v>#REF!</v>
      </c>
      <c r="N13" s="7" t="e">
        <f t="shared" si="1"/>
        <v>#REF!</v>
      </c>
      <c r="O13" s="9">
        <f>L13</f>
        <v>1290</v>
      </c>
      <c r="P13" s="7" t="e">
        <f t="shared" si="2"/>
        <v>#REF!</v>
      </c>
      <c r="Q13" s="7" t="e">
        <f t="shared" si="3"/>
        <v>#REF!</v>
      </c>
      <c r="R13" s="9">
        <v>1250</v>
      </c>
      <c r="S13" s="7" t="e">
        <f t="shared" si="4"/>
        <v>#REF!</v>
      </c>
      <c r="T13" s="7" t="e">
        <f t="shared" si="5"/>
        <v>#REF!</v>
      </c>
      <c r="U13" s="13"/>
      <c r="V13" s="1">
        <v>459</v>
      </c>
      <c r="W13" s="1" t="s">
        <v>84</v>
      </c>
      <c r="X13" s="1" t="s">
        <v>84</v>
      </c>
      <c r="Y13" s="1" t="s">
        <v>99</v>
      </c>
      <c r="Z13" s="1"/>
      <c r="AA13" s="1"/>
      <c r="AB13" s="1" t="s">
        <v>70</v>
      </c>
      <c r="AC13" s="1" t="b">
        <v>0</v>
      </c>
      <c r="AD13" s="1" t="s">
        <v>71</v>
      </c>
    </row>
    <row r="14" spans="1:30" hidden="1" outlineLevel="1">
      <c r="B14" s="15" t="s">
        <v>100</v>
      </c>
      <c r="C14" s="1" t="s">
        <v>101</v>
      </c>
      <c r="D14" s="1" t="s">
        <v>102</v>
      </c>
      <c r="E14" s="2"/>
      <c r="F14" s="5">
        <v>45505</v>
      </c>
      <c r="G14" s="2"/>
      <c r="H14" s="4" t="s">
        <v>67</v>
      </c>
      <c r="I14" s="6">
        <v>950</v>
      </c>
      <c r="J14" s="6" t="e">
        <f>#REF!/12</f>
        <v>#REF!</v>
      </c>
      <c r="K14" s="6" t="e">
        <f>#REF!/12</f>
        <v>#REF!</v>
      </c>
      <c r="L14" s="9">
        <v>1060</v>
      </c>
      <c r="M14" s="7" t="e">
        <f t="shared" si="0"/>
        <v>#REF!</v>
      </c>
      <c r="N14" s="7" t="e">
        <f t="shared" si="1"/>
        <v>#REF!</v>
      </c>
      <c r="O14" s="9">
        <f>L14</f>
        <v>1060</v>
      </c>
      <c r="P14" s="7" t="e">
        <f t="shared" si="2"/>
        <v>#REF!</v>
      </c>
      <c r="Q14" s="7" t="e">
        <f t="shared" si="3"/>
        <v>#REF!</v>
      </c>
      <c r="R14" s="9">
        <f>O14</f>
        <v>1060</v>
      </c>
      <c r="S14" s="7" t="e">
        <f t="shared" si="4"/>
        <v>#REF!</v>
      </c>
      <c r="T14" s="7" t="e">
        <f t="shared" si="5"/>
        <v>#REF!</v>
      </c>
      <c r="U14" s="13"/>
      <c r="V14" s="1">
        <v>968.75</v>
      </c>
      <c r="W14" s="4" t="s">
        <v>68</v>
      </c>
      <c r="X14" s="4" t="s">
        <v>84</v>
      </c>
      <c r="Y14" s="1" t="s">
        <v>103</v>
      </c>
      <c r="Z14" s="1"/>
      <c r="AA14" s="1"/>
      <c r="AB14" s="1" t="s">
        <v>70</v>
      </c>
      <c r="AC14" s="1" t="b">
        <v>0</v>
      </c>
      <c r="AD14" s="1" t="s">
        <v>71</v>
      </c>
    </row>
    <row r="15" spans="1:30" ht="48.75" hidden="1" outlineLevel="1">
      <c r="B15" s="15" t="s">
        <v>104</v>
      </c>
      <c r="C15" s="1" t="s">
        <v>105</v>
      </c>
      <c r="D15" s="1" t="s">
        <v>106</v>
      </c>
      <c r="E15" s="2"/>
      <c r="F15" s="5">
        <v>45511</v>
      </c>
      <c r="G15" s="2"/>
      <c r="H15" s="4" t="s">
        <v>67</v>
      </c>
      <c r="I15" s="6">
        <v>1160</v>
      </c>
      <c r="J15" s="6" t="e">
        <f>#REF!/12</f>
        <v>#REF!</v>
      </c>
      <c r="K15" s="6" t="e">
        <f>#REF!/12</f>
        <v>#REF!</v>
      </c>
      <c r="L15" s="9">
        <v>1255</v>
      </c>
      <c r="M15" s="7" t="e">
        <f t="shared" si="0"/>
        <v>#REF!</v>
      </c>
      <c r="N15" s="7" t="e">
        <f t="shared" si="1"/>
        <v>#REF!</v>
      </c>
      <c r="O15" s="9">
        <v>1185</v>
      </c>
      <c r="P15" s="7" t="e">
        <f t="shared" si="2"/>
        <v>#REF!</v>
      </c>
      <c r="Q15" s="7" t="e">
        <f t="shared" si="3"/>
        <v>#REF!</v>
      </c>
      <c r="R15" s="14">
        <v>1155</v>
      </c>
      <c r="S15" s="7" t="e">
        <f t="shared" si="4"/>
        <v>#REF!</v>
      </c>
      <c r="T15" s="7" t="e">
        <f t="shared" si="5"/>
        <v>#REF!</v>
      </c>
      <c r="U15" s="13" t="s">
        <v>107</v>
      </c>
      <c r="V15" s="1">
        <v>537</v>
      </c>
      <c r="W15" s="1" t="s">
        <v>84</v>
      </c>
      <c r="X15" s="1" t="s">
        <v>84</v>
      </c>
      <c r="Y15" s="1" t="s">
        <v>108</v>
      </c>
      <c r="Z15" s="1"/>
      <c r="AA15" s="1"/>
      <c r="AB15" s="10" t="s">
        <v>109</v>
      </c>
      <c r="AC15" s="1" t="b">
        <v>0</v>
      </c>
      <c r="AD15" s="1" t="s">
        <v>71</v>
      </c>
    </row>
    <row r="16" spans="1:30" hidden="1" outlineLevel="1">
      <c r="B16" s="15" t="s">
        <v>110</v>
      </c>
      <c r="C16" s="1" t="s">
        <v>111</v>
      </c>
      <c r="D16" s="1" t="s">
        <v>112</v>
      </c>
      <c r="E16" s="2"/>
      <c r="F16" s="5">
        <v>45505</v>
      </c>
      <c r="G16" s="2"/>
      <c r="H16" s="4" t="s">
        <v>67</v>
      </c>
      <c r="I16" s="6">
        <v>1875</v>
      </c>
      <c r="J16" s="6" t="e">
        <f>#REF!/12</f>
        <v>#REF!</v>
      </c>
      <c r="K16" s="6" t="e">
        <f>#REF!/12</f>
        <v>#REF!</v>
      </c>
      <c r="L16" s="9" t="s">
        <v>113</v>
      </c>
      <c r="M16" s="7" t="e">
        <f t="shared" si="0"/>
        <v>#VALUE!</v>
      </c>
      <c r="N16" s="7" t="e">
        <f t="shared" si="1"/>
        <v>#VALUE!</v>
      </c>
      <c r="O16" s="9">
        <v>2050</v>
      </c>
      <c r="P16" s="7" t="e">
        <f t="shared" si="2"/>
        <v>#REF!</v>
      </c>
      <c r="Q16" s="7" t="e">
        <f t="shared" si="3"/>
        <v>#REF!</v>
      </c>
      <c r="R16" s="9">
        <v>2025</v>
      </c>
      <c r="S16" s="7" t="e">
        <f t="shared" si="4"/>
        <v>#REF!</v>
      </c>
      <c r="T16" s="7" t="e">
        <f t="shared" si="5"/>
        <v>#REF!</v>
      </c>
      <c r="U16" s="13"/>
      <c r="V16" s="1">
        <v>657</v>
      </c>
      <c r="W16" s="1" t="s">
        <v>68</v>
      </c>
      <c r="X16" s="1" t="s">
        <v>84</v>
      </c>
      <c r="Y16" s="1" t="s">
        <v>114</v>
      </c>
      <c r="Z16" s="1"/>
      <c r="AA16" s="1"/>
      <c r="AB16" s="12" t="s">
        <v>115</v>
      </c>
      <c r="AC16" s="1" t="b">
        <v>0</v>
      </c>
      <c r="AD16" s="1" t="s">
        <v>71</v>
      </c>
    </row>
    <row r="17" spans="2:30" hidden="1" outlineLevel="1">
      <c r="B17" s="15" t="s">
        <v>116</v>
      </c>
      <c r="C17" s="1" t="s">
        <v>117</v>
      </c>
      <c r="D17" s="1" t="s">
        <v>118</v>
      </c>
      <c r="E17" s="2"/>
      <c r="F17" s="5">
        <v>45506</v>
      </c>
      <c r="G17" s="2"/>
      <c r="H17" s="4" t="s">
        <v>67</v>
      </c>
      <c r="I17" s="6">
        <v>1900</v>
      </c>
      <c r="J17" s="6" t="e">
        <f>#REF!/12</f>
        <v>#REF!</v>
      </c>
      <c r="K17" s="6" t="e">
        <f>#REF!/12</f>
        <v>#REF!</v>
      </c>
      <c r="L17" s="9" t="s">
        <v>113</v>
      </c>
      <c r="M17" s="7" t="e">
        <f t="shared" si="0"/>
        <v>#VALUE!</v>
      </c>
      <c r="N17" s="7" t="e">
        <f t="shared" si="1"/>
        <v>#VALUE!</v>
      </c>
      <c r="O17" s="9">
        <v>2000</v>
      </c>
      <c r="P17" s="7" t="e">
        <f t="shared" si="2"/>
        <v>#REF!</v>
      </c>
      <c r="Q17" s="7" t="e">
        <f t="shared" si="3"/>
        <v>#REF!</v>
      </c>
      <c r="R17" s="16">
        <v>1945</v>
      </c>
      <c r="S17" s="7" t="e">
        <f t="shared" si="4"/>
        <v>#REF!</v>
      </c>
      <c r="T17" s="7" t="e">
        <f t="shared" si="5"/>
        <v>#REF!</v>
      </c>
      <c r="U17" s="13"/>
      <c r="V17" s="1">
        <v>409.03</v>
      </c>
      <c r="W17" s="1" t="s">
        <v>84</v>
      </c>
      <c r="X17" s="1" t="s">
        <v>84</v>
      </c>
      <c r="Y17" s="1" t="s">
        <v>119</v>
      </c>
      <c r="Z17" s="1"/>
      <c r="AA17" s="1"/>
      <c r="AB17" s="10" t="s">
        <v>70</v>
      </c>
      <c r="AC17" s="3" t="s">
        <v>120</v>
      </c>
      <c r="AD17" s="1" t="s">
        <v>71</v>
      </c>
    </row>
    <row r="18" spans="2:30" hidden="1" outlineLevel="1"/>
    <row r="19" spans="2:30" hidden="1" outlineLevel="1"/>
    <row r="20" spans="2:30" hidden="1" outlineLevel="1"/>
    <row r="21" spans="2:30" collapsed="1">
      <c r="C21" s="18"/>
    </row>
  </sheetData>
  <conditionalFormatting sqref="D5:D17 D2">
    <cfRule type="duplicateValues" dxfId="0" priority="4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8135-5214-4ADE-9EF6-53BA422B1661}">
  <dimension ref="A1:C15"/>
  <sheetViews>
    <sheetView tabSelected="1" workbookViewId="0">
      <selection activeCell="A20" sqref="A20"/>
    </sheetView>
  </sheetViews>
  <sheetFormatPr defaultRowHeight="15"/>
  <cols>
    <col min="1" max="1" width="20" customWidth="1"/>
    <col min="2" max="2" width="35" customWidth="1"/>
    <col min="3" max="3" width="46" customWidth="1"/>
  </cols>
  <sheetData>
    <row r="1" spans="1:3">
      <c r="A1" s="17" t="s">
        <v>121</v>
      </c>
      <c r="B1" s="17" t="s">
        <v>122</v>
      </c>
    </row>
    <row r="2" spans="1:3">
      <c r="A2" s="17"/>
      <c r="B2" s="17"/>
    </row>
    <row r="3" spans="1:3" hidden="1">
      <c r="A3" s="17" t="s">
        <v>123</v>
      </c>
      <c r="B3" s="18" t="s">
        <v>124</v>
      </c>
    </row>
    <row r="4" spans="1:3" hidden="1"/>
    <row r="5" spans="1:3">
      <c r="A5" s="17" t="s">
        <v>125</v>
      </c>
      <c r="B5" t="s">
        <v>126</v>
      </c>
      <c r="C5" s="18" t="s">
        <v>127</v>
      </c>
    </row>
    <row r="6" spans="1:3">
      <c r="B6" s="18" t="s">
        <v>128</v>
      </c>
      <c r="C6" s="18" t="s">
        <v>129</v>
      </c>
    </row>
    <row r="7" spans="1:3">
      <c r="B7" s="18" t="s">
        <v>130</v>
      </c>
      <c r="C7" s="18" t="s">
        <v>131</v>
      </c>
    </row>
    <row r="9" spans="1:3">
      <c r="A9" s="17" t="s">
        <v>132</v>
      </c>
      <c r="B9" s="18" t="s">
        <v>133</v>
      </c>
    </row>
    <row r="10" spans="1:3">
      <c r="A10" s="17"/>
    </row>
    <row r="11" spans="1:3">
      <c r="A11" s="17" t="s">
        <v>134</v>
      </c>
      <c r="B11" s="18" t="s">
        <v>28</v>
      </c>
      <c r="C11" s="18" t="s">
        <v>135</v>
      </c>
    </row>
    <row r="12" spans="1:3">
      <c r="A12" s="17"/>
      <c r="B12" s="17"/>
      <c r="C12" s="18"/>
    </row>
    <row r="13" spans="1:3">
      <c r="A13" s="18"/>
      <c r="B13" s="17"/>
    </row>
    <row r="14" spans="1:3">
      <c r="A14" s="17"/>
      <c r="B14" s="17"/>
    </row>
    <row r="15" spans="1:3">
      <c r="A15" s="17"/>
      <c r="B15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BF2F-DA06-43A6-8D18-F10C6B490670}">
  <sheetPr>
    <tabColor theme="1" tint="0.499984740745262"/>
  </sheetPr>
  <dimension ref="A1"/>
  <sheetViews>
    <sheetView workbookViewId="0">
      <selection activeCell="O19" sqref="O19"/>
    </sheetView>
  </sheetViews>
  <sheetFormatPr defaultRowHeight="15"/>
  <sheetData>
    <row r="1" spans="1:1">
      <c r="A1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EB553D-7268-4ACC-BD15-91C0968C7B2B}"/>
</file>

<file path=customXml/itemProps2.xml><?xml version="1.0" encoding="utf-8"?>
<ds:datastoreItem xmlns:ds="http://schemas.openxmlformats.org/officeDocument/2006/customXml" ds:itemID="{EC946745-4978-4D2B-A55D-6C85657EA29D}"/>
</file>

<file path=customXml/itemProps3.xml><?xml version="1.0" encoding="utf-8"?>
<ds:datastoreItem xmlns:ds="http://schemas.openxmlformats.org/officeDocument/2006/customXml" ds:itemID="{4253C95A-506F-42A5-A72A-F6E9DD2F309C}"/>
</file>

<file path=customXml/itemProps4.xml><?xml version="1.0" encoding="utf-8"?>
<ds:datastoreItem xmlns:ds="http://schemas.openxmlformats.org/officeDocument/2006/customXml" ds:itemID="{B18F8B29-C0DE-4BA7-90ED-660CAFC20B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Nikki Papenfus</cp:lastModifiedBy>
  <cp:revision/>
  <dcterms:created xsi:type="dcterms:W3CDTF">2024-03-14T16:48:43Z</dcterms:created>
  <dcterms:modified xsi:type="dcterms:W3CDTF">2024-10-25T08:05:27Z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