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enewals - Consulting/02. Analysis/"/>
    </mc:Choice>
  </mc:AlternateContent>
  <xr:revisionPtr revIDLastSave="1042" documentId="8_{A487D414-4839-4584-96C7-4B5FACCDA093}" xr6:coauthVersionLast="47" xr6:coauthVersionMax="47" xr10:uidLastSave="{9CFA6CE2-46AD-4505-8120-A5276A540834}"/>
  <bookViews>
    <workbookView xWindow="-120" yWindow="-120" windowWidth="29040" windowHeight="15720" tabRatio="699" activeTab="2" xr2:uid="{82DBA3FB-BAAE-4513-8EBD-08C2C1522918}"/>
  </bookViews>
  <sheets>
    <sheet name="SOW_OLD" sheetId="6" r:id="rId1"/>
    <sheet name="Pre Sprint 0 Cost Summary" sheetId="11" r:id="rId2"/>
    <sheet name="Forecasting" sheetId="2" r:id="rId3"/>
    <sheet name="Burnup" sheetId="3" r:id="rId4"/>
    <sheet name="Timeline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1" l="1"/>
  <c r="F8" i="11"/>
  <c r="E32" i="2"/>
  <c r="I19" i="2"/>
  <c r="I23" i="2" s="1"/>
  <c r="I24" i="2" s="1"/>
  <c r="H19" i="2"/>
  <c r="H20" i="2" s="1"/>
  <c r="C19" i="2"/>
  <c r="D19" i="2" s="1"/>
  <c r="C18" i="2"/>
  <c r="D18" i="2" s="1"/>
  <c r="C17" i="2"/>
  <c r="D17" i="2" s="1"/>
  <c r="E29" i="2"/>
  <c r="B4" i="11"/>
  <c r="B3" i="11"/>
  <c r="G5" i="11" s="1"/>
  <c r="C29" i="2"/>
  <c r="C33" i="2"/>
  <c r="C34" i="2" s="1"/>
  <c r="C35" i="2" s="1"/>
  <c r="D22" i="2" s="1"/>
  <c r="F4" i="2"/>
  <c r="F8" i="2" s="1"/>
  <c r="G4" i="2"/>
  <c r="H4" i="2"/>
  <c r="I4" i="2"/>
  <c r="B15" i="7"/>
  <c r="B14" i="7"/>
  <c r="B10" i="7"/>
  <c r="B9" i="7"/>
  <c r="B8" i="7"/>
  <c r="B7" i="7"/>
  <c r="O13" i="2"/>
  <c r="J4" i="2"/>
  <c r="J9" i="6"/>
  <c r="J13" i="6" s="1"/>
  <c r="I9" i="6"/>
  <c r="I13" i="6" s="1"/>
  <c r="AC4" i="2"/>
  <c r="AD4" i="2"/>
  <c r="AE4" i="2"/>
  <c r="AF4" i="2"/>
  <c r="AG4" i="2"/>
  <c r="AH4" i="2"/>
  <c r="AI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AJ4" i="2"/>
  <c r="AK4" i="2"/>
  <c r="AL4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F13" i="2"/>
  <c r="G13" i="2"/>
  <c r="H13" i="2"/>
  <c r="H14" i="2" s="1"/>
  <c r="I13" i="2"/>
  <c r="I14" i="2" s="1"/>
  <c r="J13" i="2"/>
  <c r="J14" i="2" s="1"/>
  <c r="K13" i="2"/>
  <c r="L13" i="2" s="1"/>
  <c r="AD13" i="2"/>
  <c r="AE13" i="2"/>
  <c r="AF13" i="2"/>
  <c r="AG13" i="2"/>
  <c r="AH13" i="2"/>
  <c r="AI13" i="2"/>
  <c r="AJ13" i="2"/>
  <c r="AK13" i="2"/>
  <c r="AL13" i="2"/>
  <c r="F14" i="2"/>
  <c r="G14" i="2"/>
  <c r="I20" i="2" l="1"/>
  <c r="H23" i="2"/>
  <c r="H28" i="2" s="1"/>
  <c r="I28" i="2"/>
  <c r="H24" i="2"/>
  <c r="F5" i="11"/>
  <c r="M13" i="2"/>
  <c r="L14" i="2"/>
  <c r="G8" i="2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AH8" i="2" s="1"/>
  <c r="AI8" i="2" s="1"/>
  <c r="AJ8" i="2" s="1"/>
  <c r="AK8" i="2" s="1"/>
  <c r="AL8" i="2" s="1"/>
  <c r="F7" i="2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AG7" i="2" s="1"/>
  <c r="AH7" i="2" s="1"/>
  <c r="AI7" i="2" s="1"/>
  <c r="AJ7" i="2" s="1"/>
  <c r="AK7" i="2" s="1"/>
  <c r="AL7" i="2" s="1"/>
  <c r="K14" i="2"/>
  <c r="F9" i="2"/>
  <c r="G9" i="2" s="1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B1" i="11"/>
  <c r="G6" i="11" s="1"/>
  <c r="G10" i="11" s="1"/>
  <c r="D30" i="2"/>
  <c r="N13" i="2" l="1"/>
  <c r="N14" i="2" s="1"/>
  <c r="O14" i="2" s="1"/>
  <c r="P14" i="2" s="1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AC14" i="2" s="1"/>
  <c r="AD14" i="2" s="1"/>
  <c r="AE14" i="2" s="1"/>
  <c r="AF14" i="2" s="1"/>
  <c r="AG14" i="2" s="1"/>
  <c r="AH14" i="2" s="1"/>
  <c r="AI14" i="2" s="1"/>
  <c r="AJ14" i="2" s="1"/>
  <c r="AK14" i="2" s="1"/>
  <c r="AL14" i="2" s="1"/>
  <c r="M14" i="2"/>
  <c r="F6" i="11"/>
  <c r="F10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EAEC71-99D6-45F0-B5F6-7CA824947569}" keepAlive="1" name="Query - Reporting Backlog Items" description="Connection to the 'Reporting Backlog Items' query in the workbook." type="5" refreshedVersion="7" background="1" saveData="1">
    <dbPr connection="Provider=Microsoft.Mashup.OleDb.1;Data Source=$Workbook$;Location=&quot;Reporting Backlog Items&quot;;Extended Properties=&quot;&quot;" command="SELECT * FROM [Reporting Backlog Items]"/>
  </connection>
</connections>
</file>

<file path=xl/sharedStrings.xml><?xml version="1.0" encoding="utf-8"?>
<sst xmlns="http://schemas.openxmlformats.org/spreadsheetml/2006/main" count="251" uniqueCount="155">
  <si>
    <r>
      <t>Project Phases</t>
    </r>
    <r>
      <rPr>
        <sz val="9"/>
        <color rgb="FFFFFFFF"/>
        <rFont val="Verdana"/>
        <family val="2"/>
      </rPr>
      <t> </t>
    </r>
  </si>
  <si>
    <t>Duration</t>
  </si>
  <si>
    <t>Lower Bound</t>
  </si>
  <si>
    <t>Upper Bound</t>
  </si>
  <si>
    <t>Sprint 0 </t>
  </si>
  <si>
    <t>2-3 weeks </t>
  </si>
  <si>
    <t xml:space="preserve"> £                   6,000 </t>
  </si>
  <si>
    <t xml:space="preserve"> £            9,000 </t>
  </si>
  <si>
    <t>Sprint 1 - 2</t>
  </si>
  <si>
    <t>3-6 weeks</t>
  </si>
  <si>
    <t xml:space="preserve"> £                 23,400 </t>
  </si>
  <si>
    <t xml:space="preserve"> £          46,800 </t>
  </si>
  <si>
    <t>UAT </t>
  </si>
  <si>
    <t>2 weeks </t>
  </si>
  <si>
    <t xml:space="preserve"> £                   3,600 </t>
  </si>
  <si>
    <t xml:space="preserve"> £            3,600 </t>
  </si>
  <si>
    <t>Production Deployment &amp; Post Go-Live Support </t>
  </si>
  <si>
    <t>User guide creation</t>
  </si>
  <si>
    <t>Done in parallel with sprints </t>
  </si>
  <si>
    <t xml:space="preserve"> £                   3,150 </t>
  </si>
  <si>
    <t xml:space="preserve"> £            3,150 </t>
  </si>
  <si>
    <r>
      <t>Sub Total</t>
    </r>
    <r>
      <rPr>
        <sz val="9"/>
        <color theme="1"/>
        <rFont val="Verdana"/>
        <family val="2"/>
      </rPr>
      <t> </t>
    </r>
  </si>
  <si>
    <t>9 - 13 weeks</t>
  </si>
  <si>
    <t xml:space="preserve"> £                39,750 </t>
  </si>
  <si>
    <t xml:space="preserve"> £         66,150 </t>
  </si>
  <si>
    <t>Contingency for ongoing post-go live support</t>
  </si>
  <si>
    <t>40 hours</t>
  </si>
  <si>
    <t xml:space="preserve"> £                        -   </t>
  </si>
  <si>
    <t xml:space="preserve"> £            4,800 </t>
  </si>
  <si>
    <t>Total</t>
  </si>
  <si>
    <t>9 -13 weeks</t>
  </si>
  <si>
    <t xml:space="preserve"> £                        39,750</t>
  </si>
  <si>
    <r>
      <t xml:space="preserve"> £              70,950 </t>
    </r>
    <r>
      <rPr>
        <sz val="8"/>
        <color theme="1"/>
        <rFont val="Times New Roman"/>
        <family val="1"/>
      </rPr>
      <t> </t>
    </r>
  </si>
  <si>
    <t>Sprint 0</t>
  </si>
  <si>
    <t>Sprint 1</t>
  </si>
  <si>
    <t xml:space="preserve">Sprint 2 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</si>
  <si>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</si>
  <si>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</si>
  <si>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</si>
  <si>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</si>
  <si>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</si>
  <si>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</si>
  <si>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</si>
  <si>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</si>
  <si>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Sprint 11</t>
  </si>
  <si>
    <t>Sprint 12</t>
  </si>
  <si>
    <t>Sprint 13</t>
  </si>
  <si>
    <t>Sprint 14</t>
  </si>
  <si>
    <t>Sprint 15</t>
  </si>
  <si>
    <t>Sprint 16</t>
  </si>
  <si>
    <t>Sprint 17</t>
  </si>
  <si>
    <t>Sprint 18</t>
  </si>
  <si>
    <t>Sprint 19</t>
  </si>
  <si>
    <t>Sprint 20</t>
  </si>
  <si>
    <t>Sprint 21</t>
  </si>
  <si>
    <t>Sprint 22</t>
  </si>
  <si>
    <t>Sprint 23</t>
  </si>
  <si>
    <t>Sprint 24</t>
  </si>
  <si>
    <t>Sprint 25</t>
  </si>
  <si>
    <t>Sprint 26</t>
  </si>
  <si>
    <t>Sprint 27</t>
  </si>
  <si>
    <t>Sprint 28</t>
  </si>
  <si>
    <t>Sprint 29</t>
  </si>
  <si>
    <t>Sprint 30</t>
  </si>
  <si>
    <t>Sprint 31</t>
  </si>
  <si>
    <t>Sprint 32</t>
  </si>
  <si>
    <t>Sprint 33</t>
  </si>
  <si>
    <t>Scheduling</t>
  </si>
  <si>
    <t>Velocity</t>
  </si>
  <si>
    <t xml:space="preserve">Total Velocity Done </t>
  </si>
  <si>
    <t>Total Backlog Size</t>
  </si>
  <si>
    <t>For Bars</t>
  </si>
  <si>
    <t>Optimistic Forecast</t>
  </si>
  <si>
    <t>Likely Forecast</t>
  </si>
  <si>
    <t>Pessimistic Forecast</t>
  </si>
  <si>
    <t>For T&amp;M</t>
  </si>
  <si>
    <t>Costing</t>
  </si>
  <si>
    <t>Team Sprint Cost (Actual)</t>
  </si>
  <si>
    <t>Cumulative Team Cost (Actual)</t>
  </si>
  <si>
    <t>Cumulative Team Cost (Forecast)</t>
  </si>
  <si>
    <t>Team Metrics</t>
  </si>
  <si>
    <t>Optimistic Velocity ( Best Velocity in last 3 sprints)</t>
  </si>
  <si>
    <t>Likely Velocity (Avg Velocity over last 3 sprints)</t>
  </si>
  <si>
    <t>Pessimistic Velocity (Worst Velocity in last 3 sprints)</t>
  </si>
  <si>
    <t>Hourly Rate</t>
  </si>
  <si>
    <t>Allocation</t>
  </si>
  <si>
    <t>Cost Per Sprint</t>
  </si>
  <si>
    <t>Cost per sprint</t>
  </si>
  <si>
    <t>Mon</t>
  </si>
  <si>
    <t>Tue</t>
  </si>
  <si>
    <t>Wed</t>
  </si>
  <si>
    <t>Thu</t>
  </si>
  <si>
    <t>Fri</t>
  </si>
  <si>
    <t>Sat</t>
  </si>
  <si>
    <t>Sun</t>
  </si>
  <si>
    <t>Sprint 2</t>
  </si>
  <si>
    <t>Build</t>
  </si>
  <si>
    <t>UAT</t>
  </si>
  <si>
    <t>Prod Support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</si>
  <si>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</si>
  <si>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</si>
  <si>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</si>
  <si>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</si>
  <si>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</si>
  <si>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</si>
  <si>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</si>
  <si>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</si>
  <si>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</si>
  <si>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</si>
  <si>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Prod support</t>
  </si>
  <si>
    <t>User Guide</t>
  </si>
  <si>
    <t>Nov (S1)</t>
  </si>
  <si>
    <t>Dec (S2 + UG)</t>
  </si>
  <si>
    <t>Jan</t>
  </si>
  <si>
    <t>SOW</t>
  </si>
  <si>
    <t>QA</t>
  </si>
  <si>
    <t>PM</t>
  </si>
  <si>
    <t>Team Composition</t>
  </si>
  <si>
    <t>Dev Junior</t>
  </si>
  <si>
    <t>Dev Senior</t>
  </si>
  <si>
    <t>Team cost / sprint</t>
  </si>
  <si>
    <t>Phase</t>
  </si>
  <si>
    <t>2 weeks</t>
  </si>
  <si>
    <t>Total FTEs</t>
  </si>
  <si>
    <t>Day Rate</t>
  </si>
  <si>
    <t>FTE Rate</t>
  </si>
  <si>
    <t>Sprint</t>
  </si>
  <si>
    <t>Sprints: 5 - 6</t>
  </si>
  <si>
    <t>15 - 18 weeks</t>
  </si>
  <si>
    <t>Notes</t>
  </si>
  <si>
    <t>2x refinement sessions per week</t>
  </si>
  <si>
    <t>FTE Rate per month</t>
  </si>
  <si>
    <t>3 weeks</t>
  </si>
  <si>
    <t>Hour Rate</t>
  </si>
  <si>
    <t>Sprints</t>
  </si>
  <si>
    <t xml:space="preserve">Weeks </t>
  </si>
  <si>
    <t>Months</t>
  </si>
  <si>
    <t>hours per sprint</t>
  </si>
  <si>
    <t>weeks</t>
  </si>
  <si>
    <t>Duration Lower Bound</t>
  </si>
  <si>
    <t>Duration Upper Bound</t>
  </si>
  <si>
    <t>BA &amp; Architect</t>
  </si>
  <si>
    <t>Start</t>
  </si>
  <si>
    <t>Month 1</t>
  </si>
  <si>
    <t>Month 2</t>
  </si>
  <si>
    <t>Month 3</t>
  </si>
  <si>
    <t>Month 4</t>
  </si>
  <si>
    <t>Month 5</t>
  </si>
  <si>
    <t>Month 6</t>
  </si>
  <si>
    <t>Weeks</t>
  </si>
  <si>
    <t>to go live</t>
  </si>
  <si>
    <t>to UAT</t>
  </si>
  <si>
    <t>4 weeks</t>
  </si>
  <si>
    <t>24 - 29 weeks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</si>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</sst>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£-809]#,##0.00"/>
    <numFmt numFmtId="165" formatCode="_-* #,##0.0_-;\-* #,##0.0_-;_-* &quot;-&quot;??_-;_-@_-"/>
    <numFmt numFmtId="166" formatCode="_-* #,##0.0_-;\-* #,##0.0_-;_-* &quot;-&quot;?_-;_-@_-"/>
  </numFmts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color rgb="FFFFFFFF"/>
      <name val="Verdana"/>
      <family val="2"/>
    </font>
    <font>
      <sz val="9"/>
      <color theme="1"/>
      <name val="Verdana"/>
      <family val="2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  <font>
      <sz val="8"/>
      <color theme="1"/>
      <name val="Times New Roman"/>
      <family val="1"/>
    </font>
    <font>
      <sz val="8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4" fontId="0" fillId="0" borderId="0" xfId="0" applyNumberFormat="1" applyAlignment="1">
      <alignment wrapText="1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9" fillId="0" borderId="0" xfId="0" applyFont="1" applyAlignment="1">
      <alignment horizontal="left" vertical="center" indent="5"/>
    </xf>
    <xf numFmtId="0" fontId="2" fillId="0" borderId="0" xfId="0" applyFont="1"/>
    <xf numFmtId="0" fontId="10" fillId="0" borderId="0" xfId="0" applyFont="1"/>
    <xf numFmtId="164" fontId="10" fillId="0" borderId="0" xfId="0" applyNumberFormat="1" applyFont="1"/>
    <xf numFmtId="0" fontId="10" fillId="0" borderId="6" xfId="0" applyFont="1" applyBorder="1"/>
    <xf numFmtId="0" fontId="10" fillId="2" borderId="6" xfId="0" applyFont="1" applyFill="1" applyBorder="1"/>
    <xf numFmtId="16" fontId="10" fillId="0" borderId="6" xfId="0" applyNumberFormat="1" applyFont="1" applyBorder="1"/>
    <xf numFmtId="16" fontId="10" fillId="2" borderId="6" xfId="0" applyNumberFormat="1" applyFont="1" applyFill="1" applyBorder="1"/>
    <xf numFmtId="0" fontId="11" fillId="0" borderId="7" xfId="0" applyFont="1" applyBorder="1" applyAlignment="1">
      <alignment horizontal="center"/>
    </xf>
    <xf numFmtId="0" fontId="11" fillId="0" borderId="0" xfId="0" applyFont="1"/>
    <xf numFmtId="164" fontId="10" fillId="0" borderId="6" xfId="0" applyNumberFormat="1" applyFont="1" applyBorder="1"/>
    <xf numFmtId="164" fontId="11" fillId="0" borderId="12" xfId="0" applyNumberFormat="1" applyFont="1" applyBorder="1"/>
    <xf numFmtId="164" fontId="11" fillId="0" borderId="13" xfId="0" applyNumberFormat="1" applyFont="1" applyBorder="1"/>
    <xf numFmtId="0" fontId="11" fillId="0" borderId="6" xfId="0" applyFont="1" applyBorder="1"/>
    <xf numFmtId="9" fontId="0" fillId="0" borderId="0" xfId="1" applyFont="1" applyAlignment="1">
      <alignment wrapText="1"/>
    </xf>
    <xf numFmtId="164" fontId="2" fillId="0" borderId="0" xfId="0" applyNumberFormat="1" applyFont="1" applyAlignment="1">
      <alignment wrapText="1"/>
    </xf>
    <xf numFmtId="0" fontId="0" fillId="3" borderId="0" xfId="0" applyFill="1"/>
    <xf numFmtId="0" fontId="0" fillId="0" borderId="6" xfId="0" applyBorder="1"/>
    <xf numFmtId="164" fontId="0" fillId="0" borderId="6" xfId="0" applyNumberFormat="1" applyBorder="1"/>
    <xf numFmtId="0" fontId="2" fillId="0" borderId="6" xfId="0" applyFont="1" applyBorder="1"/>
    <xf numFmtId="164" fontId="2" fillId="0" borderId="12" xfId="0" applyNumberFormat="1" applyFont="1" applyBorder="1"/>
    <xf numFmtId="0" fontId="2" fillId="2" borderId="6" xfId="0" applyFont="1" applyFill="1" applyBorder="1"/>
    <xf numFmtId="164" fontId="2" fillId="0" borderId="0" xfId="0" applyNumberFormat="1" applyFont="1"/>
    <xf numFmtId="0" fontId="2" fillId="0" borderId="6" xfId="0" quotePrefix="1" applyFont="1" applyBorder="1"/>
    <xf numFmtId="2" fontId="0" fillId="0" borderId="0" xfId="0" applyNumberFormat="1" applyAlignment="1">
      <alignment wrapText="1"/>
    </xf>
    <xf numFmtId="164" fontId="0" fillId="0" borderId="0" xfId="0" applyNumberFormat="1"/>
    <xf numFmtId="165" fontId="0" fillId="0" borderId="0" xfId="2" applyNumberFormat="1" applyFont="1"/>
    <xf numFmtId="0" fontId="2" fillId="0" borderId="14" xfId="0" applyFont="1" applyBorder="1" applyAlignment="1">
      <alignment wrapText="1"/>
    </xf>
    <xf numFmtId="2" fontId="2" fillId="0" borderId="14" xfId="1" applyNumberFormat="1" applyFont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4" xfId="0" applyBorder="1"/>
    <xf numFmtId="0" fontId="0" fillId="0" borderId="13" xfId="0" applyBorder="1"/>
    <xf numFmtId="164" fontId="0" fillId="3" borderId="6" xfId="0" applyNumberFormat="1" applyFill="1" applyBorder="1"/>
    <xf numFmtId="9" fontId="13" fillId="0" borderId="0" xfId="0" applyNumberFormat="1" applyFont="1" applyAlignment="1">
      <alignment wrapText="1"/>
    </xf>
    <xf numFmtId="166" fontId="14" fillId="0" borderId="0" xfId="0" applyNumberFormat="1" applyFont="1" applyAlignment="1">
      <alignment wrapText="1"/>
    </xf>
    <xf numFmtId="16" fontId="0" fillId="0" borderId="0" xfId="0" applyNumberFormat="1"/>
    <xf numFmtId="43" fontId="0" fillId="0" borderId="0" xfId="2" applyFont="1"/>
    <xf numFmtId="0" fontId="0" fillId="0" borderId="0" xfId="0" applyAlignment="1">
      <alignment horizontal="left" vertical="center" wrapText="1"/>
    </xf>
    <xf numFmtId="0" fontId="11" fillId="0" borderId="11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5674045096711023E-2"/>
          <c:y val="2.1348713816517997E-2"/>
          <c:w val="0.96380553348262643"/>
          <c:h val="0.91117110260924428"/>
        </c:manualLayout>
      </c:layout>
      <c:lineChart>
        <c:grouping val="standard"/>
        <c:varyColors val="0"/>
        <c:ser>
          <c:idx val="10"/>
          <c:order val="0"/>
          <c:tx>
            <c:strRef>
              <c:f>Forecasting!$B$5</c:f>
              <c:strCache>
                <c:ptCount val="1"/>
                <c:pt idx="0">
                  <c:v>Total Backlog Size</c:v>
                </c:pt>
              </c:strCache>
            </c:strRef>
          </c:tx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Forecasting!$E$5:$O$5</c:f>
              <c:numCache>
                <c:formatCode>General</c:formatCode>
                <c:ptCount val="11"/>
                <c:pt idx="0">
                  <c:v>130</c:v>
                </c:pt>
                <c:pt idx="1">
                  <c:v>130</c:v>
                </c:pt>
                <c:pt idx="2">
                  <c:v>130</c:v>
                </c:pt>
                <c:pt idx="3">
                  <c:v>130</c:v>
                </c:pt>
                <c:pt idx="4">
                  <c:v>130</c:v>
                </c:pt>
                <c:pt idx="5">
                  <c:v>130</c:v>
                </c:pt>
                <c:pt idx="6">
                  <c:v>130</c:v>
                </c:pt>
                <c:pt idx="7">
                  <c:v>130</c:v>
                </c:pt>
                <c:pt idx="8">
                  <c:v>130</c:v>
                </c:pt>
                <c:pt idx="9">
                  <c:v>130</c:v>
                </c:pt>
                <c:pt idx="10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F9E-4EA3-95BF-3D41B3F435A8}"/>
            </c:ext>
          </c:extLst>
        </c:ser>
        <c:ser>
          <c:idx val="11"/>
          <c:order val="1"/>
          <c:tx>
            <c:strRef>
              <c:f>Forecasting!$B$8</c:f>
              <c:strCache>
                <c:ptCount val="1"/>
                <c:pt idx="0">
                  <c:v>Likely Forecast</c:v>
                </c:pt>
              </c:strCache>
            </c:strRef>
          </c:tx>
          <c:spPr>
            <a:ln>
              <a:solidFill>
                <a:schemeClr val="accent5"/>
              </a:solidFill>
              <a:prstDash val="sysDash"/>
            </a:ln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Forecasting!$E$8:$O$8</c:f>
              <c:numCache>
                <c:formatCode>General</c:formatCode>
                <c:ptCount val="11"/>
                <c:pt idx="0">
                  <c:v>0</c:v>
                </c:pt>
                <c:pt idx="1">
                  <c:v>26</c:v>
                </c:pt>
                <c:pt idx="2">
                  <c:v>52</c:v>
                </c:pt>
                <c:pt idx="3">
                  <c:v>78</c:v>
                </c:pt>
                <c:pt idx="4">
                  <c:v>104</c:v>
                </c:pt>
                <c:pt idx="5">
                  <c:v>130</c:v>
                </c:pt>
                <c:pt idx="6">
                  <c:v>156</c:v>
                </c:pt>
                <c:pt idx="7">
                  <c:v>182</c:v>
                </c:pt>
                <c:pt idx="8">
                  <c:v>208</c:v>
                </c:pt>
                <c:pt idx="9">
                  <c:v>234</c:v>
                </c:pt>
                <c:pt idx="10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F9E-4EA3-95BF-3D41B3F435A8}"/>
            </c:ext>
          </c:extLst>
        </c:ser>
        <c:ser>
          <c:idx val="12"/>
          <c:order val="2"/>
          <c:tx>
            <c:strRef>
              <c:f>Forecasting!$B$7</c:f>
              <c:strCache>
                <c:ptCount val="1"/>
                <c:pt idx="0">
                  <c:v>Optimistic Forecast</c:v>
                </c:pt>
              </c:strCache>
            </c:strRef>
          </c:tx>
          <c:spPr>
            <a:ln>
              <a:solidFill>
                <a:schemeClr val="accent6"/>
              </a:solidFill>
              <a:prstDash val="sysDash"/>
            </a:ln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Forecasting!$E$7:$O$7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F9E-4EA3-95BF-3D41B3F435A8}"/>
            </c:ext>
          </c:extLst>
        </c:ser>
        <c:ser>
          <c:idx val="13"/>
          <c:order val="3"/>
          <c:tx>
            <c:strRef>
              <c:f>Forecasting!$B$9</c:f>
              <c:strCache>
                <c:ptCount val="1"/>
                <c:pt idx="0">
                  <c:v>Pessimistic Forecast</c:v>
                </c:pt>
              </c:strCache>
            </c:strRef>
          </c:tx>
          <c:spPr>
            <a:ln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Forecasting!$E$9:$O$9</c:f>
              <c:numCache>
                <c:formatCode>General</c:formatCode>
                <c:ptCount val="11"/>
                <c:pt idx="0">
                  <c:v>0</c:v>
                </c:pt>
                <c:pt idx="1">
                  <c:v>22</c:v>
                </c:pt>
                <c:pt idx="2">
                  <c:v>44</c:v>
                </c:pt>
                <c:pt idx="3">
                  <c:v>66</c:v>
                </c:pt>
                <c:pt idx="4">
                  <c:v>88</c:v>
                </c:pt>
                <c:pt idx="5">
                  <c:v>110</c:v>
                </c:pt>
                <c:pt idx="6">
                  <c:v>132</c:v>
                </c:pt>
                <c:pt idx="7">
                  <c:v>154</c:v>
                </c:pt>
                <c:pt idx="8">
                  <c:v>176</c:v>
                </c:pt>
                <c:pt idx="9">
                  <c:v>198</c:v>
                </c:pt>
                <c:pt idx="10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F9E-4EA3-95BF-3D41B3F435A8}"/>
            </c:ext>
          </c:extLst>
        </c:ser>
        <c:ser>
          <c:idx val="14"/>
          <c:order val="4"/>
          <c:tx>
            <c:strRef>
              <c:f>Forecasting!$B$4</c:f>
              <c:strCache>
                <c:ptCount val="1"/>
                <c:pt idx="0">
                  <c:v>Total Velocity Done 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Forecasting!$E$4:$O$4</c:f>
              <c:numCache>
                <c:formatCode>General</c:formatCode>
                <c:ptCount val="1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F9E-4EA3-95BF-3D41B3F435A8}"/>
            </c:ext>
          </c:extLst>
        </c:ser>
        <c:ser>
          <c:idx val="15"/>
          <c:order val="5"/>
          <c:tx>
            <c:strRef>
              <c:f>Forecasting!$B$5</c:f>
              <c:strCache>
                <c:ptCount val="1"/>
                <c:pt idx="0">
                  <c:v>Total Backlog Size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Forecasting!$E$5:$O$5</c:f>
              <c:numCache>
                <c:formatCode>General</c:formatCode>
                <c:ptCount val="11"/>
                <c:pt idx="0">
                  <c:v>130</c:v>
                </c:pt>
                <c:pt idx="1">
                  <c:v>130</c:v>
                </c:pt>
                <c:pt idx="2">
                  <c:v>130</c:v>
                </c:pt>
                <c:pt idx="3">
                  <c:v>130</c:v>
                </c:pt>
                <c:pt idx="4">
                  <c:v>130</c:v>
                </c:pt>
                <c:pt idx="5">
                  <c:v>130</c:v>
                </c:pt>
                <c:pt idx="6">
                  <c:v>130</c:v>
                </c:pt>
                <c:pt idx="7">
                  <c:v>130</c:v>
                </c:pt>
                <c:pt idx="8">
                  <c:v>130</c:v>
                </c:pt>
                <c:pt idx="9">
                  <c:v>130</c:v>
                </c:pt>
                <c:pt idx="10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F9E-4EA3-95BF-3D41B3F435A8}"/>
            </c:ext>
          </c:extLst>
        </c:ser>
        <c:ser>
          <c:idx val="16"/>
          <c:order val="6"/>
          <c:tx>
            <c:strRef>
              <c:f>Forecasting!$B$8</c:f>
              <c:strCache>
                <c:ptCount val="1"/>
                <c:pt idx="0">
                  <c:v>Likely Forecast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Forecasting!$E$8:$O$8</c:f>
              <c:numCache>
                <c:formatCode>General</c:formatCode>
                <c:ptCount val="11"/>
                <c:pt idx="0">
                  <c:v>0</c:v>
                </c:pt>
                <c:pt idx="1">
                  <c:v>26</c:v>
                </c:pt>
                <c:pt idx="2">
                  <c:v>52</c:v>
                </c:pt>
                <c:pt idx="3">
                  <c:v>78</c:v>
                </c:pt>
                <c:pt idx="4">
                  <c:v>104</c:v>
                </c:pt>
                <c:pt idx="5">
                  <c:v>130</c:v>
                </c:pt>
                <c:pt idx="6">
                  <c:v>156</c:v>
                </c:pt>
                <c:pt idx="7">
                  <c:v>182</c:v>
                </c:pt>
                <c:pt idx="8">
                  <c:v>208</c:v>
                </c:pt>
                <c:pt idx="9">
                  <c:v>234</c:v>
                </c:pt>
                <c:pt idx="10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F9E-4EA3-95BF-3D41B3F435A8}"/>
            </c:ext>
          </c:extLst>
        </c:ser>
        <c:ser>
          <c:idx val="17"/>
          <c:order val="7"/>
          <c:tx>
            <c:strRef>
              <c:f>Forecasting!$B$7</c:f>
              <c:strCache>
                <c:ptCount val="1"/>
                <c:pt idx="0">
                  <c:v>Optimistic 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Forecasting!$E$7:$O$7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F9E-4EA3-95BF-3D41B3F435A8}"/>
            </c:ext>
          </c:extLst>
        </c:ser>
        <c:ser>
          <c:idx val="18"/>
          <c:order val="8"/>
          <c:tx>
            <c:strRef>
              <c:f>Forecasting!$B$9</c:f>
              <c:strCache>
                <c:ptCount val="1"/>
                <c:pt idx="0">
                  <c:v>Pessimistic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Forecasting!$E$9:$O$9</c:f>
              <c:numCache>
                <c:formatCode>General</c:formatCode>
                <c:ptCount val="11"/>
                <c:pt idx="0">
                  <c:v>0</c:v>
                </c:pt>
                <c:pt idx="1">
                  <c:v>22</c:v>
                </c:pt>
                <c:pt idx="2">
                  <c:v>44</c:v>
                </c:pt>
                <c:pt idx="3">
                  <c:v>66</c:v>
                </c:pt>
                <c:pt idx="4">
                  <c:v>88</c:v>
                </c:pt>
                <c:pt idx="5">
                  <c:v>110</c:v>
                </c:pt>
                <c:pt idx="6">
                  <c:v>132</c:v>
                </c:pt>
                <c:pt idx="7">
                  <c:v>154</c:v>
                </c:pt>
                <c:pt idx="8">
                  <c:v>176</c:v>
                </c:pt>
                <c:pt idx="9">
                  <c:v>198</c:v>
                </c:pt>
                <c:pt idx="10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F9E-4EA3-95BF-3D41B3F435A8}"/>
            </c:ext>
          </c:extLst>
        </c:ser>
        <c:ser>
          <c:idx val="19"/>
          <c:order val="9"/>
          <c:tx>
            <c:strRef>
              <c:f>Forecasting!$B$4</c:f>
              <c:strCache>
                <c:ptCount val="1"/>
                <c:pt idx="0">
                  <c:v>Total Velocity Done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Forecasting!$E$4:$O$4</c:f>
              <c:numCache>
                <c:formatCode>General</c:formatCode>
                <c:ptCount val="1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F9E-4EA3-95BF-3D41B3F435A8}"/>
            </c:ext>
          </c:extLst>
        </c:ser>
        <c:ser>
          <c:idx val="5"/>
          <c:order val="10"/>
          <c:tx>
            <c:strRef>
              <c:f>Forecasting!$B$5</c:f>
              <c:strCache>
                <c:ptCount val="1"/>
                <c:pt idx="0">
                  <c:v>Total Backlog Size</c:v>
                </c:pt>
              </c:strCache>
            </c:strRef>
          </c:tx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Forecasting!$E$5:$O$5</c:f>
              <c:numCache>
                <c:formatCode>General</c:formatCode>
                <c:ptCount val="11"/>
                <c:pt idx="0">
                  <c:v>130</c:v>
                </c:pt>
                <c:pt idx="1">
                  <c:v>130</c:v>
                </c:pt>
                <c:pt idx="2">
                  <c:v>130</c:v>
                </c:pt>
                <c:pt idx="3">
                  <c:v>130</c:v>
                </c:pt>
                <c:pt idx="4">
                  <c:v>130</c:v>
                </c:pt>
                <c:pt idx="5">
                  <c:v>130</c:v>
                </c:pt>
                <c:pt idx="6">
                  <c:v>130</c:v>
                </c:pt>
                <c:pt idx="7">
                  <c:v>130</c:v>
                </c:pt>
                <c:pt idx="8">
                  <c:v>130</c:v>
                </c:pt>
                <c:pt idx="9">
                  <c:v>130</c:v>
                </c:pt>
                <c:pt idx="10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9E-4EA3-95BF-3D41B3F435A8}"/>
            </c:ext>
          </c:extLst>
        </c:ser>
        <c:ser>
          <c:idx val="6"/>
          <c:order val="11"/>
          <c:tx>
            <c:strRef>
              <c:f>Forecasting!$B$8</c:f>
              <c:strCache>
                <c:ptCount val="1"/>
                <c:pt idx="0">
                  <c:v>Likely Forecast</c:v>
                </c:pt>
              </c:strCache>
            </c:strRef>
          </c:tx>
          <c:spPr>
            <a:ln>
              <a:solidFill>
                <a:schemeClr val="accent5"/>
              </a:solidFill>
              <a:prstDash val="sysDash"/>
            </a:ln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Forecasting!$E$8:$O$8</c:f>
              <c:numCache>
                <c:formatCode>General</c:formatCode>
                <c:ptCount val="11"/>
                <c:pt idx="0">
                  <c:v>0</c:v>
                </c:pt>
                <c:pt idx="1">
                  <c:v>26</c:v>
                </c:pt>
                <c:pt idx="2">
                  <c:v>52</c:v>
                </c:pt>
                <c:pt idx="3">
                  <c:v>78</c:v>
                </c:pt>
                <c:pt idx="4">
                  <c:v>104</c:v>
                </c:pt>
                <c:pt idx="5">
                  <c:v>130</c:v>
                </c:pt>
                <c:pt idx="6">
                  <c:v>156</c:v>
                </c:pt>
                <c:pt idx="7">
                  <c:v>182</c:v>
                </c:pt>
                <c:pt idx="8">
                  <c:v>208</c:v>
                </c:pt>
                <c:pt idx="9">
                  <c:v>234</c:v>
                </c:pt>
                <c:pt idx="10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9E-4EA3-95BF-3D41B3F435A8}"/>
            </c:ext>
          </c:extLst>
        </c:ser>
        <c:ser>
          <c:idx val="7"/>
          <c:order val="12"/>
          <c:tx>
            <c:strRef>
              <c:f>Forecasting!$B$7</c:f>
              <c:strCache>
                <c:ptCount val="1"/>
                <c:pt idx="0">
                  <c:v>Optimistic Forecast</c:v>
                </c:pt>
              </c:strCache>
            </c:strRef>
          </c:tx>
          <c:spPr>
            <a:ln>
              <a:solidFill>
                <a:schemeClr val="accent6"/>
              </a:solidFill>
              <a:prstDash val="sysDash"/>
            </a:ln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Forecasting!$E$7:$O$7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9E-4EA3-95BF-3D41B3F435A8}"/>
            </c:ext>
          </c:extLst>
        </c:ser>
        <c:ser>
          <c:idx val="8"/>
          <c:order val="13"/>
          <c:tx>
            <c:strRef>
              <c:f>Forecasting!$B$9</c:f>
              <c:strCache>
                <c:ptCount val="1"/>
                <c:pt idx="0">
                  <c:v>Pessimistic Forecast</c:v>
                </c:pt>
              </c:strCache>
            </c:strRef>
          </c:tx>
          <c:spPr>
            <a:ln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Forecasting!$E$9:$O$9</c:f>
              <c:numCache>
                <c:formatCode>General</c:formatCode>
                <c:ptCount val="11"/>
                <c:pt idx="0">
                  <c:v>0</c:v>
                </c:pt>
                <c:pt idx="1">
                  <c:v>22</c:v>
                </c:pt>
                <c:pt idx="2">
                  <c:v>44</c:v>
                </c:pt>
                <c:pt idx="3">
                  <c:v>66</c:v>
                </c:pt>
                <c:pt idx="4">
                  <c:v>88</c:v>
                </c:pt>
                <c:pt idx="5">
                  <c:v>110</c:v>
                </c:pt>
                <c:pt idx="6">
                  <c:v>132</c:v>
                </c:pt>
                <c:pt idx="7">
                  <c:v>154</c:v>
                </c:pt>
                <c:pt idx="8">
                  <c:v>176</c:v>
                </c:pt>
                <c:pt idx="9">
                  <c:v>198</c:v>
                </c:pt>
                <c:pt idx="10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F9E-4EA3-95BF-3D41B3F435A8}"/>
            </c:ext>
          </c:extLst>
        </c:ser>
        <c:ser>
          <c:idx val="9"/>
          <c:order val="14"/>
          <c:tx>
            <c:strRef>
              <c:f>Forecasting!$B$4</c:f>
              <c:strCache>
                <c:ptCount val="1"/>
                <c:pt idx="0">
                  <c:v>Total Velocity Done 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Forecasting!$E$4:$O$4</c:f>
              <c:numCache>
                <c:formatCode>General</c:formatCode>
                <c:ptCount val="1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F9E-4EA3-95BF-3D41B3F435A8}"/>
            </c:ext>
          </c:extLst>
        </c:ser>
        <c:ser>
          <c:idx val="0"/>
          <c:order val="15"/>
          <c:tx>
            <c:strRef>
              <c:f>Forecasting!$B$5</c:f>
              <c:strCache>
                <c:ptCount val="1"/>
                <c:pt idx="0">
                  <c:v>Total Backlog Size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Forecasting!$E$5:$O$5</c:f>
              <c:numCache>
                <c:formatCode>General</c:formatCode>
                <c:ptCount val="11"/>
                <c:pt idx="0">
                  <c:v>130</c:v>
                </c:pt>
                <c:pt idx="1">
                  <c:v>130</c:v>
                </c:pt>
                <c:pt idx="2">
                  <c:v>130</c:v>
                </c:pt>
                <c:pt idx="3">
                  <c:v>130</c:v>
                </c:pt>
                <c:pt idx="4">
                  <c:v>130</c:v>
                </c:pt>
                <c:pt idx="5">
                  <c:v>130</c:v>
                </c:pt>
                <c:pt idx="6">
                  <c:v>130</c:v>
                </c:pt>
                <c:pt idx="7">
                  <c:v>130</c:v>
                </c:pt>
                <c:pt idx="8">
                  <c:v>130</c:v>
                </c:pt>
                <c:pt idx="9">
                  <c:v>130</c:v>
                </c:pt>
                <c:pt idx="10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F9E-4EA3-95BF-3D41B3F435A8}"/>
            </c:ext>
          </c:extLst>
        </c:ser>
        <c:ser>
          <c:idx val="1"/>
          <c:order val="16"/>
          <c:tx>
            <c:strRef>
              <c:f>Forecasting!$B$8</c:f>
              <c:strCache>
                <c:ptCount val="1"/>
                <c:pt idx="0">
                  <c:v>Likely Forecast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Forecasting!$E$8:$O$8</c:f>
              <c:numCache>
                <c:formatCode>General</c:formatCode>
                <c:ptCount val="11"/>
                <c:pt idx="0">
                  <c:v>0</c:v>
                </c:pt>
                <c:pt idx="1">
                  <c:v>26</c:v>
                </c:pt>
                <c:pt idx="2">
                  <c:v>52</c:v>
                </c:pt>
                <c:pt idx="3">
                  <c:v>78</c:v>
                </c:pt>
                <c:pt idx="4">
                  <c:v>104</c:v>
                </c:pt>
                <c:pt idx="5">
                  <c:v>130</c:v>
                </c:pt>
                <c:pt idx="6">
                  <c:v>156</c:v>
                </c:pt>
                <c:pt idx="7">
                  <c:v>182</c:v>
                </c:pt>
                <c:pt idx="8">
                  <c:v>208</c:v>
                </c:pt>
                <c:pt idx="9">
                  <c:v>234</c:v>
                </c:pt>
                <c:pt idx="10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F9E-4EA3-95BF-3D41B3F435A8}"/>
            </c:ext>
          </c:extLst>
        </c:ser>
        <c:ser>
          <c:idx val="3"/>
          <c:order val="17"/>
          <c:tx>
            <c:strRef>
              <c:f>Forecasting!$B$7</c:f>
              <c:strCache>
                <c:ptCount val="1"/>
                <c:pt idx="0">
                  <c:v>Optimistic 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Forecasting!$E$7:$O$7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F9E-4EA3-95BF-3D41B3F435A8}"/>
            </c:ext>
          </c:extLst>
        </c:ser>
        <c:ser>
          <c:idx val="4"/>
          <c:order val="18"/>
          <c:tx>
            <c:strRef>
              <c:f>Forecasting!$B$9</c:f>
              <c:strCache>
                <c:ptCount val="1"/>
                <c:pt idx="0">
                  <c:v>Pessimistic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Forecasting!$E$9:$O$9</c:f>
              <c:numCache>
                <c:formatCode>General</c:formatCode>
                <c:ptCount val="11"/>
                <c:pt idx="0">
                  <c:v>0</c:v>
                </c:pt>
                <c:pt idx="1">
                  <c:v>22</c:v>
                </c:pt>
                <c:pt idx="2">
                  <c:v>44</c:v>
                </c:pt>
                <c:pt idx="3">
                  <c:v>66</c:v>
                </c:pt>
                <c:pt idx="4">
                  <c:v>88</c:v>
                </c:pt>
                <c:pt idx="5">
                  <c:v>110</c:v>
                </c:pt>
                <c:pt idx="6">
                  <c:v>132</c:v>
                </c:pt>
                <c:pt idx="7">
                  <c:v>154</c:v>
                </c:pt>
                <c:pt idx="8">
                  <c:v>176</c:v>
                </c:pt>
                <c:pt idx="9">
                  <c:v>198</c:v>
                </c:pt>
                <c:pt idx="10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F9E-4EA3-95BF-3D41B3F435A8}"/>
            </c:ext>
          </c:extLst>
        </c:ser>
        <c:ser>
          <c:idx val="2"/>
          <c:order val="19"/>
          <c:tx>
            <c:strRef>
              <c:f>Forecasting!$B$4</c:f>
              <c:strCache>
                <c:ptCount val="1"/>
                <c:pt idx="0">
                  <c:v>Total Velocity Done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Forecasting!$E$1:$O$1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Forecasting!$E$4:$O$4</c:f>
              <c:numCache>
                <c:formatCode>General</c:formatCode>
                <c:ptCount val="1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F9E-4EA3-95BF-3D41B3F43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8162160"/>
        <c:axId val="1198162992"/>
      </c:lineChart>
      <c:catAx>
        <c:axId val="119816216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62992"/>
        <c:crosses val="autoZero"/>
        <c:auto val="1"/>
        <c:lblAlgn val="ctr"/>
        <c:lblOffset val="100"/>
        <c:noMultiLvlLbl val="0"/>
      </c:catAx>
      <c:valAx>
        <c:axId val="11981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621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4.8214856146238189E-2"/>
          <c:y val="0.14960158536217455"/>
          <c:w val="0.22449213844187532"/>
          <c:h val="0.100923914683078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52</xdr:row>
      <xdr:rowOff>171450</xdr:rowOff>
    </xdr:from>
    <xdr:to>
      <xdr:col>19</xdr:col>
      <xdr:colOff>526031</xdr:colOff>
      <xdr:row>90</xdr:row>
      <xdr:rowOff>162934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A9F0BC-4282-7240-F894-343463363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1625" y="10096500"/>
          <a:ext cx="15451706" cy="72304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99059</xdr:colOff>
      <xdr:row>0</xdr:row>
      <xdr:rowOff>114300</xdr:rowOff>
    </xdr:from>
    <xdr:to>
      <xdr:col>14</xdr:col>
      <xdr:colOff>0</xdr:colOff>
      <xdr:row>28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243A69-66CB-F2CC-7DFC-C845B2328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0.49919</cdr:x>
      <cdr:y>0.06314</cdr:y>
    </cdr:from>
    <cdr:to>
      <cdr:x>0.50025</cdr:x>
      <cdr:y>0.93248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18748E7C-8901-4143-B498-2ED99C44012B}"/>
            </a:ext>
          </a:extLst>
        </cdr:cNvPr>
        <cdr:cNvCxnSpPr/>
      </cdr:nvCxnSpPr>
      <cdr:spPr>
        <a:xfrm xmlns:a="http://schemas.openxmlformats.org/drawingml/2006/main">
          <a:off x="4403304" y="334887"/>
          <a:ext cx="9350" cy="4610562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5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0.59161</cdr:x>
      <cdr:y>0.06034</cdr:y>
    </cdr:from>
    <cdr:to>
      <cdr:x>0.59305</cdr:x>
      <cdr:y>0.93196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1250AF6A-E28D-4154-9987-66E25F1395BD}"/>
            </a:ext>
          </a:extLst>
        </cdr:cNvPr>
        <cdr:cNvCxnSpPr/>
      </cdr:nvCxnSpPr>
      <cdr:spPr>
        <a:xfrm xmlns:a="http://schemas.openxmlformats.org/drawingml/2006/main">
          <a:off x="5218520" y="320029"/>
          <a:ext cx="12702" cy="4622654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2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0.59161</cdr:x>
      <cdr:y>0.06034</cdr:y>
    </cdr:from>
    <cdr:to>
      <cdr:x>0.59305</cdr:x>
      <cdr:y>0.93196</cdr:y>
    </cdr:to>
    <cdr:cxnSp macro="">
      <cdr:nvCxnSpPr>
        <cdr:cNvPr id="3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1250AF6A-E28D-4154-9987-66E25F1395BD}"/>
            </a:ext>
          </a:extLst>
        </cdr:cNvPr>
        <cdr:cNvCxnSpPr/>
      </cdr:nvCxnSpPr>
      <cdr:spPr>
        <a:xfrm xmlns:a="http://schemas.openxmlformats.org/drawingml/2006/main">
          <a:off x="5253358" y="316113"/>
          <a:ext cx="12787" cy="4566297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2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0.99981</cdr:x>
      <cdr:y>0.12746</cdr:y>
    </cdr:from>
    <cdr:to>
      <cdr:x>0.99981</cdr:x>
      <cdr:y>1</cdr:y>
    </cdr:to>
    <cdr:cxnSp macro="">
      <cdr:nvCxnSpPr>
        <cdr:cNvPr id="4" name="Straight Connector 12">
          <a:extLst xmlns:a="http://schemas.openxmlformats.org/drawingml/2006/main">
            <a:ext uri="{FF2B5EF4-FFF2-40B4-BE49-F238E27FC236}">
              <a16:creationId xmlns:a16="http://schemas.microsoft.com/office/drawing/2014/main" id="{FDF20E0A-0D77-4C5D-9DFC-FBE32E5728CB}"/>
            </a:ext>
          </a:extLst>
        </cdr:cNvPr>
        <cdr:cNvCxnSpPr/>
      </cdr:nvCxnSpPr>
      <cdr:spPr>
        <a:xfrm xmlns:a="http://schemas.openxmlformats.org/drawingml/2006/main">
          <a:off x="8910767" y="675987"/>
          <a:ext cx="0" cy="462753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6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5C31-82AF-4E79-8650-807BDC491094}">
  <dimension ref="B2:J14"/>
  <sheetViews>
    <sheetView workbookViewId="0">
      <selection activeCell="J13" sqref="J13"/>
    </sheetView>
  </sheetViews>
  <sheetFormatPr defaultRowHeight="15" x14ac:dyDescent="0.25"/>
  <cols>
    <col min="2" max="2" width="47.85546875" customWidth="1"/>
    <col min="3" max="3" width="27.28515625" bestFit="1" customWidth="1"/>
    <col min="4" max="5" width="27.28515625" customWidth="1"/>
    <col min="6" max="6" width="20.140625" bestFit="1" customWidth="1"/>
    <col min="7" max="7" width="16" bestFit="1" customWidth="1"/>
  </cols>
  <sheetData>
    <row r="2" spans="2:10" ht="15.75" thickBot="1" x14ac:dyDescent="0.3">
      <c r="B2" s="4" t="s">
        <v>0</v>
      </c>
      <c r="C2" s="4" t="s">
        <v>1</v>
      </c>
      <c r="D2" s="4" t="s">
        <v>139</v>
      </c>
      <c r="E2" s="4" t="s">
        <v>140</v>
      </c>
      <c r="F2" s="4" t="s">
        <v>2</v>
      </c>
      <c r="G2" s="4" t="s">
        <v>3</v>
      </c>
    </row>
    <row r="3" spans="2:10" ht="15.75" thickBot="1" x14ac:dyDescent="0.3">
      <c r="B3" s="5" t="s">
        <v>4</v>
      </c>
      <c r="C3" s="6" t="s">
        <v>5</v>
      </c>
      <c r="D3" s="6">
        <v>2</v>
      </c>
      <c r="E3" s="6">
        <v>3</v>
      </c>
      <c r="F3" s="6" t="s">
        <v>6</v>
      </c>
      <c r="G3" s="6" t="s">
        <v>7</v>
      </c>
      <c r="I3">
        <v>6000</v>
      </c>
      <c r="J3">
        <v>9000</v>
      </c>
    </row>
    <row r="4" spans="2:10" ht="15.75" thickBot="1" x14ac:dyDescent="0.3">
      <c r="B4" s="7" t="s">
        <v>8</v>
      </c>
      <c r="C4" s="8" t="s">
        <v>9</v>
      </c>
      <c r="D4" s="8">
        <v>3</v>
      </c>
      <c r="E4" s="8">
        <v>6</v>
      </c>
      <c r="F4" s="8" t="s">
        <v>10</v>
      </c>
      <c r="G4" s="8" t="s">
        <v>11</v>
      </c>
      <c r="I4">
        <v>23400</v>
      </c>
      <c r="J4">
        <v>46800</v>
      </c>
    </row>
    <row r="5" spans="2:10" ht="15.75" thickBot="1" x14ac:dyDescent="0.3">
      <c r="B5" s="7" t="s">
        <v>12</v>
      </c>
      <c r="C5" s="8" t="s">
        <v>13</v>
      </c>
      <c r="D5" s="8">
        <v>2</v>
      </c>
      <c r="E5" s="8">
        <v>2</v>
      </c>
      <c r="F5" s="8" t="s">
        <v>14</v>
      </c>
      <c r="G5" s="8" t="s">
        <v>15</v>
      </c>
      <c r="I5">
        <v>3600</v>
      </c>
      <c r="J5">
        <v>3600</v>
      </c>
    </row>
    <row r="6" spans="2:10" ht="15.75" thickBot="1" x14ac:dyDescent="0.3">
      <c r="B6" s="7" t="s">
        <v>16</v>
      </c>
      <c r="C6" s="8" t="s">
        <v>13</v>
      </c>
      <c r="D6" s="8">
        <v>2</v>
      </c>
      <c r="E6" s="8">
        <v>2</v>
      </c>
      <c r="F6" s="8" t="s">
        <v>14</v>
      </c>
      <c r="G6" s="8" t="s">
        <v>15</v>
      </c>
      <c r="I6">
        <v>3600</v>
      </c>
      <c r="J6">
        <v>3600</v>
      </c>
    </row>
    <row r="7" spans="2:10" ht="15.75" thickBot="1" x14ac:dyDescent="0.3">
      <c r="B7" s="7" t="s">
        <v>17</v>
      </c>
      <c r="C7" s="8" t="s">
        <v>18</v>
      </c>
      <c r="D7" s="8"/>
      <c r="E7" s="8"/>
      <c r="F7" s="8" t="s">
        <v>19</v>
      </c>
      <c r="G7" s="8" t="s">
        <v>20</v>
      </c>
      <c r="I7">
        <v>3150</v>
      </c>
      <c r="J7">
        <v>3150</v>
      </c>
    </row>
    <row r="8" spans="2:10" ht="16.5" thickBot="1" x14ac:dyDescent="0.3">
      <c r="B8" s="9"/>
      <c r="C8" s="10"/>
      <c r="D8" s="10"/>
      <c r="E8" s="10"/>
      <c r="F8" s="10"/>
      <c r="G8" s="10"/>
    </row>
    <row r="9" spans="2:10" ht="15.75" thickBot="1" x14ac:dyDescent="0.3">
      <c r="B9" s="11" t="s">
        <v>21</v>
      </c>
      <c r="C9" s="8" t="s">
        <v>22</v>
      </c>
      <c r="D9" s="8"/>
      <c r="E9" s="8"/>
      <c r="F9" s="12" t="s">
        <v>23</v>
      </c>
      <c r="G9" s="12" t="s">
        <v>24</v>
      </c>
      <c r="I9">
        <f>SUM(I3:I8)</f>
        <v>39750</v>
      </c>
      <c r="J9">
        <f>SUM(J3:J8)</f>
        <v>66150</v>
      </c>
    </row>
    <row r="10" spans="2:10" ht="16.5" thickBot="1" x14ac:dyDescent="0.3">
      <c r="B10" s="9"/>
      <c r="C10" s="10"/>
      <c r="D10" s="10"/>
      <c r="E10" s="10"/>
      <c r="F10" s="10"/>
      <c r="G10" s="10"/>
    </row>
    <row r="11" spans="2:10" ht="15.75" thickBot="1" x14ac:dyDescent="0.3">
      <c r="B11" s="7" t="s">
        <v>25</v>
      </c>
      <c r="C11" s="8" t="s">
        <v>26</v>
      </c>
      <c r="D11" s="8"/>
      <c r="E11" s="8"/>
      <c r="F11" s="8" t="s">
        <v>27</v>
      </c>
      <c r="G11" s="8" t="s">
        <v>28</v>
      </c>
      <c r="J11">
        <v>4800</v>
      </c>
    </row>
    <row r="12" spans="2:10" ht="15.75" thickBot="1" x14ac:dyDescent="0.3"/>
    <row r="13" spans="2:10" ht="16.5" thickBot="1" x14ac:dyDescent="0.3">
      <c r="B13" s="13" t="s">
        <v>29</v>
      </c>
      <c r="C13" s="13" t="s">
        <v>30</v>
      </c>
      <c r="D13" s="13"/>
      <c r="E13" s="13"/>
      <c r="F13" s="13" t="s">
        <v>31</v>
      </c>
      <c r="G13" s="13" t="s">
        <v>32</v>
      </c>
      <c r="I13" s="15">
        <f>I9</f>
        <v>39750</v>
      </c>
      <c r="J13" s="15">
        <f>J9+J11</f>
        <v>70950</v>
      </c>
    </row>
    <row r="14" spans="2:10" ht="15.75" thickTop="1" x14ac:dyDescent="0.25">
      <c r="B14" s="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591C6-2D6B-4559-BAB2-FBE0F2F735DF}">
  <dimension ref="A1:H11"/>
  <sheetViews>
    <sheetView topLeftCell="A4" workbookViewId="0">
      <selection activeCell="A7" sqref="A7:XFD7"/>
    </sheetView>
  </sheetViews>
  <sheetFormatPr defaultRowHeight="15" x14ac:dyDescent="0.25"/>
  <cols>
    <col min="1" max="1" width="14" bestFit="1" customWidth="1"/>
    <col min="2" max="2" width="14" customWidth="1"/>
    <col min="3" max="3" width="5.7109375" customWidth="1"/>
    <col min="4" max="4" width="46.5703125" bestFit="1" customWidth="1"/>
    <col min="5" max="5" width="30.7109375" customWidth="1"/>
    <col min="6" max="6" width="12.5703125" bestFit="1" customWidth="1"/>
    <col min="7" max="7" width="12.7109375" bestFit="1" customWidth="1"/>
    <col min="8" max="8" width="10.5703125" customWidth="1"/>
  </cols>
  <sheetData>
    <row r="1" spans="1:8" x14ac:dyDescent="0.25">
      <c r="A1" t="s">
        <v>87</v>
      </c>
      <c r="B1" s="29">
        <f>Forecasting!D22</f>
        <v>40950</v>
      </c>
      <c r="C1" s="29"/>
    </row>
    <row r="2" spans="1:8" x14ac:dyDescent="0.25">
      <c r="A2" t="s">
        <v>124</v>
      </c>
      <c r="B2" s="3">
        <v>780</v>
      </c>
    </row>
    <row r="3" spans="1:8" x14ac:dyDescent="0.25">
      <c r="A3" t="s">
        <v>133</v>
      </c>
      <c r="B3" s="3">
        <f>B2/8</f>
        <v>97.5</v>
      </c>
    </row>
    <row r="4" spans="1:8" x14ac:dyDescent="0.25">
      <c r="A4" t="s">
        <v>125</v>
      </c>
      <c r="B4" s="39">
        <f>B3*160</f>
        <v>15600</v>
      </c>
      <c r="D4" s="35" t="s">
        <v>121</v>
      </c>
      <c r="E4" s="35" t="s">
        <v>1</v>
      </c>
      <c r="F4" s="35" t="s">
        <v>2</v>
      </c>
      <c r="G4" s="35" t="s">
        <v>3</v>
      </c>
    </row>
    <row r="5" spans="1:8" x14ac:dyDescent="0.25">
      <c r="D5" s="31" t="s">
        <v>33</v>
      </c>
      <c r="E5" s="31" t="s">
        <v>132</v>
      </c>
      <c r="F5" s="32">
        <f>42*B3</f>
        <v>4095</v>
      </c>
      <c r="G5" s="32">
        <f>42*B3</f>
        <v>4095</v>
      </c>
    </row>
    <row r="6" spans="1:8" x14ac:dyDescent="0.25">
      <c r="D6" s="31" t="s">
        <v>127</v>
      </c>
      <c r="E6" s="31" t="s">
        <v>128</v>
      </c>
      <c r="F6" s="32">
        <f>5*B1</f>
        <v>204750</v>
      </c>
      <c r="G6" s="32">
        <f>6*B1</f>
        <v>245700</v>
      </c>
    </row>
    <row r="7" spans="1:8" x14ac:dyDescent="0.25">
      <c r="D7" s="31" t="s">
        <v>17</v>
      </c>
      <c r="E7" s="31" t="s">
        <v>18</v>
      </c>
      <c r="F7" s="46">
        <v>3150</v>
      </c>
      <c r="G7" s="32">
        <v>3150</v>
      </c>
      <c r="H7" s="39"/>
    </row>
    <row r="8" spans="1:8" x14ac:dyDescent="0.25">
      <c r="D8" s="31" t="s">
        <v>97</v>
      </c>
      <c r="E8" s="31" t="s">
        <v>152</v>
      </c>
      <c r="F8" s="32">
        <f>2*3600</f>
        <v>7200</v>
      </c>
      <c r="G8" s="32">
        <f>2*3600</f>
        <v>7200</v>
      </c>
    </row>
    <row r="9" spans="1:8" x14ac:dyDescent="0.25">
      <c r="D9" s="31" t="s">
        <v>16</v>
      </c>
      <c r="E9" s="31" t="s">
        <v>122</v>
      </c>
      <c r="F9" s="32">
        <v>3600</v>
      </c>
      <c r="G9" s="32">
        <v>3600</v>
      </c>
    </row>
    <row r="10" spans="1:8" ht="15.75" thickBot="1" x14ac:dyDescent="0.3">
      <c r="D10" s="33" t="s">
        <v>29</v>
      </c>
      <c r="E10" s="37" t="s">
        <v>153</v>
      </c>
      <c r="F10" s="34">
        <f>SUM(F5:F9)</f>
        <v>222795</v>
      </c>
      <c r="G10" s="34">
        <f>SUM(G6:G9)</f>
        <v>259650</v>
      </c>
    </row>
    <row r="11" spans="1:8" ht="15.75" thickTop="1" x14ac:dyDescent="0.25">
      <c r="D11" s="15"/>
      <c r="E11" s="15"/>
      <c r="F11" s="36"/>
      <c r="G11" s="36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6177-A4DD-4543-8DEC-552B5EC861AC}">
  <dimension ref="A1:AL35"/>
  <sheetViews>
    <sheetView tabSelected="1" topLeftCell="A4" workbookViewId="0">
      <pane xSplit="4" topLeftCell="E1" activePane="topRight" state="frozen"/>
      <selection pane="topRight" activeCell="O30" sqref="O30"/>
    </sheetView>
  </sheetViews>
  <sheetFormatPr defaultRowHeight="15" x14ac:dyDescent="0.25"/>
  <cols>
    <col min="1" max="1" width="26.28515625" style="1" customWidth="1"/>
    <col min="2" max="2" width="16.42578125" style="1" customWidth="1"/>
    <col min="3" max="3" width="12.85546875" style="1" customWidth="1"/>
    <col min="4" max="4" width="17.140625" style="1" customWidth="1"/>
    <col min="5" max="5" width="9.42578125" customWidth="1"/>
  </cols>
  <sheetData>
    <row r="1" spans="1:38" x14ac:dyDescent="0.25"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</row>
    <row r="2" spans="1:38" x14ac:dyDescent="0.25">
      <c r="B2" s="15" t="s">
        <v>67</v>
      </c>
      <c r="C2" s="2"/>
      <c r="D2" s="2"/>
    </row>
    <row r="3" spans="1:38" x14ac:dyDescent="0.25">
      <c r="B3" t="s">
        <v>68</v>
      </c>
    </row>
    <row r="4" spans="1:38" x14ac:dyDescent="0.25">
      <c r="B4" t="s">
        <v>69</v>
      </c>
      <c r="E4">
        <v>0</v>
      </c>
      <c r="F4" t="e">
        <f>IF(COUNTBLANK(F3),NA(),F3+E4)</f>
        <v>#N/A</v>
      </c>
      <c r="G4" t="e">
        <f>IF(COUNTBLANK(G3),NA(),G3+F4)</f>
        <v>#N/A</v>
      </c>
      <c r="H4" t="e">
        <f t="shared" ref="H4" si="0">IF(COUNTBLANK(H3),NA(),H3+G4)</f>
        <v>#N/A</v>
      </c>
      <c r="I4" t="e">
        <f t="shared" ref="I4" si="1">IF(COUNTBLANK(I3),NA(),I3+H4)</f>
        <v>#N/A</v>
      </c>
      <c r="J4" t="e">
        <f t="shared" ref="J4:AG4" si="2">IF(COUNTBLANK(J3),NA(),J3+I4)</f>
        <v>#N/A</v>
      </c>
      <c r="K4" t="e">
        <f t="shared" si="2"/>
        <v>#N/A</v>
      </c>
      <c r="L4" t="e">
        <f t="shared" si="2"/>
        <v>#N/A</v>
      </c>
      <c r="M4" t="e">
        <f t="shared" si="2"/>
        <v>#N/A</v>
      </c>
      <c r="N4" t="e">
        <f t="shared" si="2"/>
        <v>#N/A</v>
      </c>
      <c r="O4" t="e">
        <f t="shared" si="2"/>
        <v>#N/A</v>
      </c>
      <c r="P4" t="e">
        <f t="shared" si="2"/>
        <v>#N/A</v>
      </c>
      <c r="Q4" t="e">
        <f t="shared" si="2"/>
        <v>#N/A</v>
      </c>
      <c r="R4" t="e">
        <f t="shared" si="2"/>
        <v>#N/A</v>
      </c>
      <c r="S4" t="e">
        <f t="shared" si="2"/>
        <v>#N/A</v>
      </c>
      <c r="T4" t="e">
        <f t="shared" si="2"/>
        <v>#N/A</v>
      </c>
      <c r="U4" t="e">
        <f t="shared" si="2"/>
        <v>#N/A</v>
      </c>
      <c r="V4" t="e">
        <f t="shared" si="2"/>
        <v>#N/A</v>
      </c>
      <c r="W4" t="e">
        <f t="shared" si="2"/>
        <v>#N/A</v>
      </c>
      <c r="X4" t="e">
        <f t="shared" si="2"/>
        <v>#N/A</v>
      </c>
      <c r="Y4" t="e">
        <f t="shared" si="2"/>
        <v>#N/A</v>
      </c>
      <c r="Z4" t="e">
        <f t="shared" si="2"/>
        <v>#N/A</v>
      </c>
      <c r="AA4" t="e">
        <f t="shared" si="2"/>
        <v>#N/A</v>
      </c>
      <c r="AB4" t="e">
        <f t="shared" si="2"/>
        <v>#N/A</v>
      </c>
      <c r="AC4" t="e">
        <f t="shared" si="2"/>
        <v>#N/A</v>
      </c>
      <c r="AD4" t="e">
        <f t="shared" si="2"/>
        <v>#N/A</v>
      </c>
      <c r="AE4" t="e">
        <f t="shared" si="2"/>
        <v>#N/A</v>
      </c>
      <c r="AF4" t="e">
        <f t="shared" si="2"/>
        <v>#N/A</v>
      </c>
      <c r="AG4" t="e">
        <f t="shared" si="2"/>
        <v>#N/A</v>
      </c>
      <c r="AH4" t="e">
        <f t="shared" ref="AH4" si="3">IF(COUNTBLANK(AH3),NA(),AH3+AG4)</f>
        <v>#N/A</v>
      </c>
      <c r="AI4" t="e">
        <f t="shared" ref="AI4" si="4">IF(COUNTBLANK(AI3),NA(),AI3+AH4)</f>
        <v>#N/A</v>
      </c>
      <c r="AJ4" t="e">
        <f t="shared" ref="AJ4" si="5">IF(COUNTBLANK(AJ3),NA(),AJ3+AI4)</f>
        <v>#N/A</v>
      </c>
      <c r="AK4" t="e">
        <f t="shared" ref="AK4" si="6">IF(COUNTBLANK(AK3),NA(),AK3+AJ4)</f>
        <v>#N/A</v>
      </c>
      <c r="AL4" t="e">
        <f t="shared" ref="AL4" si="7">IF(COUNTBLANK(AL3),NA(),AL3+AK4)</f>
        <v>#N/A</v>
      </c>
    </row>
    <row r="5" spans="1:38" x14ac:dyDescent="0.25">
      <c r="B5" t="s">
        <v>70</v>
      </c>
      <c r="E5" s="30">
        <v>130</v>
      </c>
      <c r="F5" s="30">
        <v>130</v>
      </c>
      <c r="G5" s="30">
        <v>130</v>
      </c>
      <c r="H5" s="30">
        <v>130</v>
      </c>
      <c r="I5" s="30">
        <v>130</v>
      </c>
      <c r="J5" s="30">
        <v>130</v>
      </c>
      <c r="K5" s="30">
        <v>130</v>
      </c>
      <c r="L5" s="30">
        <v>130</v>
      </c>
      <c r="M5" s="30">
        <v>130</v>
      </c>
      <c r="N5" s="30">
        <v>130</v>
      </c>
      <c r="O5" s="30">
        <v>130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</row>
    <row r="6" spans="1:38" x14ac:dyDescent="0.25">
      <c r="B6"/>
    </row>
    <row r="7" spans="1:38" x14ac:dyDescent="0.25">
      <c r="A7" s="51" t="s">
        <v>71</v>
      </c>
      <c r="B7" t="s">
        <v>72</v>
      </c>
      <c r="E7">
        <v>0</v>
      </c>
      <c r="F7">
        <f>IF(ISNA(F4),E7+$B$17,F4)</f>
        <v>30</v>
      </c>
      <c r="G7">
        <f>IF(ISNA(G4),F7+$B$17,G4)</f>
        <v>60</v>
      </c>
      <c r="H7">
        <f t="shared" ref="H7:AK7" si="8">IF(ISNA(H4),G7+$B$17,H4)</f>
        <v>90</v>
      </c>
      <c r="I7">
        <f t="shared" si="8"/>
        <v>120</v>
      </c>
      <c r="J7">
        <f>IF(ISNA(J4),I7+$B$17,J4)</f>
        <v>150</v>
      </c>
      <c r="K7">
        <f t="shared" si="8"/>
        <v>180</v>
      </c>
      <c r="L7">
        <f t="shared" si="8"/>
        <v>210</v>
      </c>
      <c r="M7">
        <f t="shared" si="8"/>
        <v>240</v>
      </c>
      <c r="N7">
        <f t="shared" si="8"/>
        <v>270</v>
      </c>
      <c r="O7">
        <f t="shared" si="8"/>
        <v>300</v>
      </c>
      <c r="P7">
        <f t="shared" si="8"/>
        <v>330</v>
      </c>
      <c r="Q7">
        <f t="shared" si="8"/>
        <v>360</v>
      </c>
      <c r="R7">
        <f t="shared" si="8"/>
        <v>390</v>
      </c>
      <c r="S7">
        <f t="shared" si="8"/>
        <v>420</v>
      </c>
      <c r="T7">
        <f t="shared" si="8"/>
        <v>450</v>
      </c>
      <c r="U7">
        <f t="shared" si="8"/>
        <v>480</v>
      </c>
      <c r="V7">
        <f t="shared" si="8"/>
        <v>510</v>
      </c>
      <c r="W7">
        <f t="shared" si="8"/>
        <v>540</v>
      </c>
      <c r="X7">
        <f t="shared" si="8"/>
        <v>570</v>
      </c>
      <c r="Y7">
        <f t="shared" si="8"/>
        <v>600</v>
      </c>
      <c r="Z7">
        <f t="shared" si="8"/>
        <v>630</v>
      </c>
      <c r="AA7">
        <f t="shared" si="8"/>
        <v>660</v>
      </c>
      <c r="AB7">
        <f t="shared" si="8"/>
        <v>690</v>
      </c>
      <c r="AC7">
        <f t="shared" si="8"/>
        <v>720</v>
      </c>
      <c r="AD7">
        <f t="shared" si="8"/>
        <v>750</v>
      </c>
      <c r="AE7">
        <f t="shared" si="8"/>
        <v>780</v>
      </c>
      <c r="AF7">
        <f t="shared" si="8"/>
        <v>810</v>
      </c>
      <c r="AG7">
        <f t="shared" si="8"/>
        <v>840</v>
      </c>
      <c r="AH7">
        <f t="shared" si="8"/>
        <v>870</v>
      </c>
      <c r="AI7">
        <f t="shared" si="8"/>
        <v>900</v>
      </c>
      <c r="AJ7">
        <f t="shared" si="8"/>
        <v>930</v>
      </c>
      <c r="AK7">
        <f t="shared" si="8"/>
        <v>960</v>
      </c>
      <c r="AL7">
        <f t="shared" ref="AL7" si="9">IF(ISNA(AL4),AK7+$B$17,AL4)</f>
        <v>990</v>
      </c>
    </row>
    <row r="8" spans="1:38" x14ac:dyDescent="0.25">
      <c r="A8" s="51"/>
      <c r="B8" t="s">
        <v>73</v>
      </c>
      <c r="E8">
        <v>0</v>
      </c>
      <c r="F8">
        <f t="shared" ref="F8:AK8" si="10">IF(ISNA(F4),E8+$B$18,F4)</f>
        <v>26</v>
      </c>
      <c r="G8">
        <f t="shared" si="10"/>
        <v>52</v>
      </c>
      <c r="H8">
        <f t="shared" si="10"/>
        <v>78</v>
      </c>
      <c r="I8">
        <f t="shared" si="10"/>
        <v>104</v>
      </c>
      <c r="J8">
        <f t="shared" si="10"/>
        <v>130</v>
      </c>
      <c r="K8">
        <f t="shared" si="10"/>
        <v>156</v>
      </c>
      <c r="L8">
        <f t="shared" si="10"/>
        <v>182</v>
      </c>
      <c r="M8">
        <f t="shared" si="10"/>
        <v>208</v>
      </c>
      <c r="N8">
        <f t="shared" si="10"/>
        <v>234</v>
      </c>
      <c r="O8">
        <f t="shared" si="10"/>
        <v>260</v>
      </c>
      <c r="P8">
        <f t="shared" si="10"/>
        <v>286</v>
      </c>
      <c r="Q8">
        <f t="shared" si="10"/>
        <v>312</v>
      </c>
      <c r="R8">
        <f t="shared" si="10"/>
        <v>338</v>
      </c>
      <c r="S8">
        <f t="shared" si="10"/>
        <v>364</v>
      </c>
      <c r="T8">
        <f t="shared" si="10"/>
        <v>390</v>
      </c>
      <c r="U8">
        <f t="shared" si="10"/>
        <v>416</v>
      </c>
      <c r="V8">
        <f t="shared" si="10"/>
        <v>442</v>
      </c>
      <c r="W8">
        <f t="shared" si="10"/>
        <v>468</v>
      </c>
      <c r="X8">
        <f t="shared" si="10"/>
        <v>494</v>
      </c>
      <c r="Y8">
        <f t="shared" si="10"/>
        <v>520</v>
      </c>
      <c r="Z8">
        <f t="shared" si="10"/>
        <v>546</v>
      </c>
      <c r="AA8">
        <f t="shared" si="10"/>
        <v>572</v>
      </c>
      <c r="AB8">
        <f t="shared" si="10"/>
        <v>598</v>
      </c>
      <c r="AC8">
        <f t="shared" si="10"/>
        <v>624</v>
      </c>
      <c r="AD8">
        <f t="shared" si="10"/>
        <v>650</v>
      </c>
      <c r="AE8">
        <f t="shared" si="10"/>
        <v>676</v>
      </c>
      <c r="AF8">
        <f t="shared" si="10"/>
        <v>702</v>
      </c>
      <c r="AG8">
        <f t="shared" si="10"/>
        <v>728</v>
      </c>
      <c r="AH8">
        <f t="shared" si="10"/>
        <v>754</v>
      </c>
      <c r="AI8">
        <f t="shared" si="10"/>
        <v>780</v>
      </c>
      <c r="AJ8">
        <f t="shared" si="10"/>
        <v>806</v>
      </c>
      <c r="AK8">
        <f t="shared" si="10"/>
        <v>832</v>
      </c>
      <c r="AL8">
        <f t="shared" ref="AL8" si="11">IF(ISNA(AL4),AK8+$B$18,AL4)</f>
        <v>858</v>
      </c>
    </row>
    <row r="9" spans="1:38" x14ac:dyDescent="0.25">
      <c r="A9" s="51"/>
      <c r="B9" t="s">
        <v>74</v>
      </c>
      <c r="E9">
        <v>0</v>
      </c>
      <c r="F9">
        <f t="shared" ref="F9:AK9" si="12">IF(ISNA(F4),E9+$B$19,F4)</f>
        <v>22</v>
      </c>
      <c r="G9">
        <f t="shared" si="12"/>
        <v>44</v>
      </c>
      <c r="H9">
        <f t="shared" si="12"/>
        <v>66</v>
      </c>
      <c r="I9">
        <f t="shared" si="12"/>
        <v>88</v>
      </c>
      <c r="J9">
        <f t="shared" si="12"/>
        <v>110</v>
      </c>
      <c r="K9">
        <f t="shared" si="12"/>
        <v>132</v>
      </c>
      <c r="L9">
        <f t="shared" si="12"/>
        <v>154</v>
      </c>
      <c r="M9">
        <f t="shared" si="12"/>
        <v>176</v>
      </c>
      <c r="N9">
        <f t="shared" si="12"/>
        <v>198</v>
      </c>
      <c r="O9">
        <f t="shared" si="12"/>
        <v>220</v>
      </c>
      <c r="P9">
        <f t="shared" si="12"/>
        <v>242</v>
      </c>
      <c r="Q9">
        <f t="shared" si="12"/>
        <v>264</v>
      </c>
      <c r="R9">
        <f t="shared" si="12"/>
        <v>286</v>
      </c>
      <c r="S9">
        <f t="shared" si="12"/>
        <v>308</v>
      </c>
      <c r="T9">
        <f t="shared" si="12"/>
        <v>330</v>
      </c>
      <c r="U9">
        <f t="shared" si="12"/>
        <v>352</v>
      </c>
      <c r="V9">
        <f t="shared" si="12"/>
        <v>374</v>
      </c>
      <c r="W9">
        <f t="shared" si="12"/>
        <v>396</v>
      </c>
      <c r="X9">
        <f t="shared" si="12"/>
        <v>418</v>
      </c>
      <c r="Y9">
        <f t="shared" si="12"/>
        <v>440</v>
      </c>
      <c r="Z9">
        <f t="shared" si="12"/>
        <v>462</v>
      </c>
      <c r="AA9">
        <f t="shared" si="12"/>
        <v>484</v>
      </c>
      <c r="AB9">
        <f t="shared" si="12"/>
        <v>506</v>
      </c>
      <c r="AC9">
        <f t="shared" si="12"/>
        <v>528</v>
      </c>
      <c r="AD9">
        <f t="shared" si="12"/>
        <v>550</v>
      </c>
      <c r="AE9">
        <f t="shared" si="12"/>
        <v>572</v>
      </c>
      <c r="AF9">
        <f t="shared" si="12"/>
        <v>594</v>
      </c>
      <c r="AG9">
        <f t="shared" si="12"/>
        <v>616</v>
      </c>
      <c r="AH9">
        <f t="shared" si="12"/>
        <v>638</v>
      </c>
      <c r="AI9">
        <f t="shared" si="12"/>
        <v>660</v>
      </c>
      <c r="AJ9">
        <f t="shared" si="12"/>
        <v>682</v>
      </c>
      <c r="AK9">
        <f t="shared" si="12"/>
        <v>704</v>
      </c>
      <c r="AL9">
        <f t="shared" ref="AL9" si="13">IF(ISNA(AL4),AK9+$B$19,AL4)</f>
        <v>726</v>
      </c>
    </row>
    <row r="10" spans="1:38" x14ac:dyDescent="0.25">
      <c r="B10"/>
    </row>
    <row r="11" spans="1:38" x14ac:dyDescent="0.25">
      <c r="A11" s="51" t="s">
        <v>75</v>
      </c>
      <c r="B11" s="15" t="s">
        <v>76</v>
      </c>
      <c r="C11" s="2"/>
      <c r="D11" s="2"/>
    </row>
    <row r="12" spans="1:38" x14ac:dyDescent="0.25">
      <c r="A12" s="51"/>
      <c r="B12" t="s">
        <v>77</v>
      </c>
      <c r="F12">
        <v>23400</v>
      </c>
      <c r="G12">
        <v>23400</v>
      </c>
      <c r="H12">
        <v>23400</v>
      </c>
      <c r="I12">
        <v>23400</v>
      </c>
      <c r="J12">
        <v>23400</v>
      </c>
      <c r="K12">
        <v>23400</v>
      </c>
      <c r="L12">
        <v>23400</v>
      </c>
      <c r="M12">
        <v>23400</v>
      </c>
      <c r="N12">
        <v>23400</v>
      </c>
    </row>
    <row r="13" spans="1:38" x14ac:dyDescent="0.25">
      <c r="A13" s="51"/>
      <c r="B13" t="s">
        <v>78</v>
      </c>
      <c r="E13">
        <v>0</v>
      </c>
      <c r="F13">
        <f>IF(COUNTBLANK(F12),NA(),F12+E13)</f>
        <v>23400</v>
      </c>
      <c r="G13">
        <f t="shared" ref="G13:AL13" si="14">IF(COUNTBLANK(G12),NA(),G12+F13)</f>
        <v>46800</v>
      </c>
      <c r="H13">
        <f t="shared" si="14"/>
        <v>70200</v>
      </c>
      <c r="I13">
        <f t="shared" si="14"/>
        <v>93600</v>
      </c>
      <c r="J13">
        <f>IF(COUNTBLANK(J12),NA(),J12+I13)</f>
        <v>117000</v>
      </c>
      <c r="K13">
        <f t="shared" si="14"/>
        <v>140400</v>
      </c>
      <c r="L13">
        <f t="shared" si="14"/>
        <v>163800</v>
      </c>
      <c r="M13">
        <f>IF(COUNTBLANK(M12),NA(),M12+L13)</f>
        <v>187200</v>
      </c>
      <c r="N13">
        <f t="shared" si="14"/>
        <v>210600</v>
      </c>
      <c r="O13" t="e">
        <f>IF(COUNTBLANK(O12),NA(),O12+N13)</f>
        <v>#N/A</v>
      </c>
      <c r="P13" t="e">
        <f t="shared" si="14"/>
        <v>#N/A</v>
      </c>
      <c r="Q13" t="e">
        <f t="shared" si="14"/>
        <v>#N/A</v>
      </c>
      <c r="R13" t="e">
        <f t="shared" si="14"/>
        <v>#N/A</v>
      </c>
      <c r="S13" t="e">
        <f t="shared" si="14"/>
        <v>#N/A</v>
      </c>
      <c r="T13" t="e">
        <f t="shared" si="14"/>
        <v>#N/A</v>
      </c>
      <c r="U13" t="e">
        <f t="shared" si="14"/>
        <v>#N/A</v>
      </c>
      <c r="V13" t="e">
        <f t="shared" si="14"/>
        <v>#N/A</v>
      </c>
      <c r="W13" t="e">
        <f t="shared" si="14"/>
        <v>#N/A</v>
      </c>
      <c r="X13" t="e">
        <f t="shared" si="14"/>
        <v>#N/A</v>
      </c>
      <c r="Y13" t="e">
        <f t="shared" si="14"/>
        <v>#N/A</v>
      </c>
      <c r="Z13" t="e">
        <f t="shared" si="14"/>
        <v>#N/A</v>
      </c>
      <c r="AA13" t="e">
        <f t="shared" si="14"/>
        <v>#N/A</v>
      </c>
      <c r="AB13" t="e">
        <f t="shared" si="14"/>
        <v>#N/A</v>
      </c>
      <c r="AC13" t="e">
        <f t="shared" si="14"/>
        <v>#N/A</v>
      </c>
      <c r="AD13" t="e">
        <f t="shared" si="14"/>
        <v>#N/A</v>
      </c>
      <c r="AE13" t="e">
        <f t="shared" si="14"/>
        <v>#N/A</v>
      </c>
      <c r="AF13" t="e">
        <f t="shared" si="14"/>
        <v>#N/A</v>
      </c>
      <c r="AG13" t="e">
        <f t="shared" si="14"/>
        <v>#N/A</v>
      </c>
      <c r="AH13" t="e">
        <f t="shared" si="14"/>
        <v>#N/A</v>
      </c>
      <c r="AI13" t="e">
        <f t="shared" si="14"/>
        <v>#N/A</v>
      </c>
      <c r="AJ13" t="e">
        <f t="shared" si="14"/>
        <v>#N/A</v>
      </c>
      <c r="AK13" t="e">
        <f t="shared" si="14"/>
        <v>#N/A</v>
      </c>
      <c r="AL13" t="e">
        <f t="shared" si="14"/>
        <v>#N/A</v>
      </c>
    </row>
    <row r="14" spans="1:38" x14ac:dyDescent="0.25">
      <c r="A14" s="51"/>
      <c r="B14" t="s">
        <v>79</v>
      </c>
      <c r="E14">
        <v>0</v>
      </c>
      <c r="F14">
        <f t="shared" ref="F14:AK14" si="15">IF(ISNA(F13),E14+$D$30,F13)</f>
        <v>23400</v>
      </c>
      <c r="G14">
        <f t="shared" si="15"/>
        <v>46800</v>
      </c>
      <c r="H14">
        <f t="shared" si="15"/>
        <v>70200</v>
      </c>
      <c r="I14">
        <f t="shared" si="15"/>
        <v>93600</v>
      </c>
      <c r="J14">
        <f t="shared" si="15"/>
        <v>117000</v>
      </c>
      <c r="K14">
        <f t="shared" si="15"/>
        <v>140400</v>
      </c>
      <c r="L14">
        <f t="shared" si="15"/>
        <v>163800</v>
      </c>
      <c r="M14">
        <f t="shared" si="15"/>
        <v>187200</v>
      </c>
      <c r="N14">
        <f t="shared" si="15"/>
        <v>210600</v>
      </c>
      <c r="O14">
        <f t="shared" si="15"/>
        <v>251550</v>
      </c>
      <c r="P14">
        <f t="shared" si="15"/>
        <v>292500</v>
      </c>
      <c r="Q14">
        <f t="shared" si="15"/>
        <v>333450</v>
      </c>
      <c r="R14">
        <f t="shared" si="15"/>
        <v>374400</v>
      </c>
      <c r="S14">
        <f t="shared" si="15"/>
        <v>415350</v>
      </c>
      <c r="T14">
        <f t="shared" si="15"/>
        <v>456300</v>
      </c>
      <c r="U14">
        <f t="shared" si="15"/>
        <v>497250</v>
      </c>
      <c r="V14">
        <f t="shared" si="15"/>
        <v>538200</v>
      </c>
      <c r="W14">
        <f t="shared" si="15"/>
        <v>579150</v>
      </c>
      <c r="X14">
        <f t="shared" si="15"/>
        <v>620100</v>
      </c>
      <c r="Y14">
        <f t="shared" si="15"/>
        <v>661050</v>
      </c>
      <c r="Z14">
        <f t="shared" si="15"/>
        <v>702000</v>
      </c>
      <c r="AA14">
        <f t="shared" si="15"/>
        <v>742950</v>
      </c>
      <c r="AB14">
        <f t="shared" si="15"/>
        <v>783900</v>
      </c>
      <c r="AC14">
        <f t="shared" si="15"/>
        <v>824850</v>
      </c>
      <c r="AD14">
        <f t="shared" si="15"/>
        <v>865800</v>
      </c>
      <c r="AE14">
        <f t="shared" si="15"/>
        <v>906750</v>
      </c>
      <c r="AF14">
        <f t="shared" si="15"/>
        <v>947700</v>
      </c>
      <c r="AG14">
        <f t="shared" si="15"/>
        <v>988650</v>
      </c>
      <c r="AH14">
        <f t="shared" si="15"/>
        <v>1029600</v>
      </c>
      <c r="AI14">
        <f t="shared" si="15"/>
        <v>1070550</v>
      </c>
      <c r="AJ14">
        <f t="shared" si="15"/>
        <v>1111500</v>
      </c>
      <c r="AK14">
        <f t="shared" si="15"/>
        <v>1152450</v>
      </c>
      <c r="AL14">
        <f t="shared" ref="AL14" si="16">IF(ISNA(AL13),AK14+$D$30,AL13)</f>
        <v>1193400</v>
      </c>
    </row>
    <row r="16" spans="1:38" x14ac:dyDescent="0.25">
      <c r="A16" s="2" t="s">
        <v>80</v>
      </c>
      <c r="B16" s="2" t="s">
        <v>68</v>
      </c>
      <c r="C16" s="2" t="s">
        <v>134</v>
      </c>
      <c r="D16" s="47">
        <v>0.1</v>
      </c>
    </row>
    <row r="17" spans="1:17" ht="30" x14ac:dyDescent="0.25">
      <c r="A17" s="1" t="s">
        <v>81</v>
      </c>
      <c r="B17" s="1">
        <v>30</v>
      </c>
      <c r="C17" s="40">
        <f>$E$5/B17</f>
        <v>4.333333333333333</v>
      </c>
      <c r="D17" s="48">
        <f>C17*(1+$D$16)</f>
        <v>4.7666666666666666</v>
      </c>
      <c r="G17" s="2" t="s">
        <v>33</v>
      </c>
      <c r="H17">
        <v>3</v>
      </c>
      <c r="I17">
        <v>3</v>
      </c>
      <c r="J17" t="s">
        <v>138</v>
      </c>
      <c r="N17" s="49">
        <v>45976</v>
      </c>
      <c r="O17" t="s">
        <v>142</v>
      </c>
    </row>
    <row r="18" spans="1:17" ht="30" x14ac:dyDescent="0.25">
      <c r="A18" s="1" t="s">
        <v>82</v>
      </c>
      <c r="B18" s="1">
        <v>26</v>
      </c>
      <c r="C18" s="40">
        <f t="shared" ref="C18:C19" si="17">$E$5/B18</f>
        <v>5</v>
      </c>
      <c r="D18" s="48">
        <f t="shared" ref="D18:D19" si="18">C18*(1+$D$16)</f>
        <v>5.5</v>
      </c>
      <c r="G18" t="s">
        <v>134</v>
      </c>
      <c r="H18">
        <v>5</v>
      </c>
      <c r="I18">
        <v>6</v>
      </c>
      <c r="N18" s="49">
        <v>45641</v>
      </c>
      <c r="O18" t="s">
        <v>143</v>
      </c>
      <c r="P18" t="s">
        <v>149</v>
      </c>
      <c r="Q18">
        <v>4</v>
      </c>
    </row>
    <row r="19" spans="1:17" ht="30.75" thickBot="1" x14ac:dyDescent="0.3">
      <c r="A19" s="1" t="s">
        <v>83</v>
      </c>
      <c r="B19" s="1">
        <v>22</v>
      </c>
      <c r="C19" s="40">
        <f t="shared" si="17"/>
        <v>5.9090909090909092</v>
      </c>
      <c r="D19" s="48">
        <f t="shared" si="18"/>
        <v>6.5000000000000009</v>
      </c>
      <c r="G19" s="44" t="s">
        <v>135</v>
      </c>
      <c r="H19" s="44">
        <f>H18*3+H17</f>
        <v>18</v>
      </c>
      <c r="I19" s="44">
        <f>I18*3+I17</f>
        <v>21</v>
      </c>
      <c r="J19" t="s">
        <v>151</v>
      </c>
      <c r="N19" s="49">
        <v>45306</v>
      </c>
      <c r="O19" t="s">
        <v>144</v>
      </c>
      <c r="Q19">
        <v>8</v>
      </c>
    </row>
    <row r="20" spans="1:17" ht="16.5" thickTop="1" thickBot="1" x14ac:dyDescent="0.3">
      <c r="G20" s="45" t="s">
        <v>136</v>
      </c>
      <c r="H20" s="45">
        <f>H19/4</f>
        <v>4.5</v>
      </c>
      <c r="I20" s="45">
        <f>I19/4</f>
        <v>5.25</v>
      </c>
      <c r="N20" s="49">
        <v>44972</v>
      </c>
      <c r="O20" t="s">
        <v>145</v>
      </c>
      <c r="Q20">
        <v>12</v>
      </c>
    </row>
    <row r="21" spans="1:17" ht="15.75" thickTop="1" x14ac:dyDescent="0.25">
      <c r="A21" s="2" t="s">
        <v>117</v>
      </c>
      <c r="B21" s="2" t="s">
        <v>129</v>
      </c>
      <c r="C21" s="2" t="s">
        <v>85</v>
      </c>
      <c r="D21" s="2" t="s">
        <v>86</v>
      </c>
      <c r="N21" s="49">
        <v>44635</v>
      </c>
      <c r="O21" t="s">
        <v>146</v>
      </c>
      <c r="Q21">
        <v>16</v>
      </c>
    </row>
    <row r="22" spans="1:17" x14ac:dyDescent="0.25">
      <c r="A22" s="2" t="s">
        <v>120</v>
      </c>
      <c r="B22" s="2"/>
      <c r="C22" s="2"/>
      <c r="D22" s="29">
        <f>C35</f>
        <v>40950</v>
      </c>
      <c r="G22" t="s">
        <v>97</v>
      </c>
      <c r="H22">
        <v>4</v>
      </c>
      <c r="I22">
        <v>4</v>
      </c>
      <c r="J22" t="s">
        <v>138</v>
      </c>
      <c r="N22" s="49">
        <v>44301</v>
      </c>
      <c r="O22" t="s">
        <v>147</v>
      </c>
      <c r="Q22">
        <v>20</v>
      </c>
    </row>
    <row r="23" spans="1:17" ht="15.75" thickBot="1" x14ac:dyDescent="0.3">
      <c r="A23" s="1" t="s">
        <v>119</v>
      </c>
      <c r="C23" s="28">
        <v>1</v>
      </c>
      <c r="D23" s="3"/>
      <c r="G23" s="44" t="s">
        <v>135</v>
      </c>
      <c r="H23" s="44">
        <f>H22+H19</f>
        <v>22</v>
      </c>
      <c r="I23" s="44">
        <f>I22+I19</f>
        <v>25</v>
      </c>
      <c r="J23" t="s">
        <v>150</v>
      </c>
      <c r="N23" s="49">
        <v>43966</v>
      </c>
      <c r="O23" t="s">
        <v>148</v>
      </c>
      <c r="Q23">
        <v>24</v>
      </c>
    </row>
    <row r="24" spans="1:17" ht="16.5" thickTop="1" thickBot="1" x14ac:dyDescent="0.3">
      <c r="A24" s="1" t="s">
        <v>119</v>
      </c>
      <c r="C24" s="28">
        <v>1</v>
      </c>
      <c r="D24" s="3"/>
      <c r="G24" s="45" t="s">
        <v>136</v>
      </c>
      <c r="H24" s="45">
        <f>H23/4</f>
        <v>5.5</v>
      </c>
      <c r="I24" s="45">
        <f>I23/4</f>
        <v>6.25</v>
      </c>
      <c r="J24" t="s">
        <v>150</v>
      </c>
    </row>
    <row r="25" spans="1:17" ht="15.75" thickTop="1" x14ac:dyDescent="0.25">
      <c r="A25" s="1" t="s">
        <v>118</v>
      </c>
      <c r="C25" s="28">
        <v>0.5</v>
      </c>
      <c r="D25" s="3"/>
      <c r="H25" s="49">
        <v>45407</v>
      </c>
      <c r="I25" s="49">
        <v>45428</v>
      </c>
    </row>
    <row r="26" spans="1:17" x14ac:dyDescent="0.25">
      <c r="A26" s="1" t="s">
        <v>115</v>
      </c>
      <c r="C26" s="28">
        <v>0.5</v>
      </c>
      <c r="D26" s="3"/>
    </row>
    <row r="27" spans="1:17" x14ac:dyDescent="0.25">
      <c r="A27" s="1" t="s">
        <v>141</v>
      </c>
      <c r="B27" t="s">
        <v>130</v>
      </c>
      <c r="C27" s="28">
        <v>0.35</v>
      </c>
      <c r="D27" s="38"/>
      <c r="G27" t="s">
        <v>154</v>
      </c>
      <c r="H27">
        <v>2</v>
      </c>
      <c r="I27">
        <v>2</v>
      </c>
      <c r="J27" t="s">
        <v>138</v>
      </c>
    </row>
    <row r="28" spans="1:17" ht="15.75" thickBot="1" x14ac:dyDescent="0.3">
      <c r="A28" s="1" t="s">
        <v>116</v>
      </c>
      <c r="C28" s="28">
        <v>0.15</v>
      </c>
      <c r="G28" s="44" t="s">
        <v>135</v>
      </c>
      <c r="H28" s="44">
        <f>H27+H23</f>
        <v>24</v>
      </c>
      <c r="I28" s="44">
        <f>I27+I23</f>
        <v>27</v>
      </c>
    </row>
    <row r="29" spans="1:17" ht="16.5" thickTop="1" thickBot="1" x14ac:dyDescent="0.3">
      <c r="A29" s="41" t="s">
        <v>123</v>
      </c>
      <c r="B29" s="41"/>
      <c r="C29" s="42">
        <f>SUM(C23:C28)</f>
        <v>3.5</v>
      </c>
      <c r="D29" s="43"/>
      <c r="E29" s="1">
        <f>C29*40*3</f>
        <v>420</v>
      </c>
      <c r="F29" t="s">
        <v>137</v>
      </c>
    </row>
    <row r="30" spans="1:17" ht="15.75" thickTop="1" x14ac:dyDescent="0.25">
      <c r="A30" s="2" t="s">
        <v>29</v>
      </c>
      <c r="B30" s="2"/>
      <c r="D30" s="29">
        <f>SUM(D22:D28)</f>
        <v>40950</v>
      </c>
    </row>
    <row r="31" spans="1:17" x14ac:dyDescent="0.25">
      <c r="D31" s="3"/>
    </row>
    <row r="32" spans="1:17" x14ac:dyDescent="0.25">
      <c r="A32" s="1" t="s">
        <v>124</v>
      </c>
      <c r="C32" s="3">
        <v>780</v>
      </c>
      <c r="E32" s="50">
        <f>3600/C32</f>
        <v>4.615384615384615</v>
      </c>
    </row>
    <row r="33" spans="1:5" x14ac:dyDescent="0.25">
      <c r="A33" s="1" t="s">
        <v>84</v>
      </c>
      <c r="C33" s="3">
        <f>C32/8</f>
        <v>97.5</v>
      </c>
      <c r="D33" s="3"/>
      <c r="E33" s="50"/>
    </row>
    <row r="34" spans="1:5" x14ac:dyDescent="0.25">
      <c r="A34" s="1" t="s">
        <v>131</v>
      </c>
      <c r="C34" s="3">
        <f>C33*160*C29</f>
        <v>54600</v>
      </c>
      <c r="E34" s="50"/>
    </row>
    <row r="35" spans="1:5" x14ac:dyDescent="0.25">
      <c r="A35" s="1" t="s">
        <v>126</v>
      </c>
      <c r="C35" s="3">
        <f>C34*3/4</f>
        <v>40950</v>
      </c>
      <c r="E35" s="50"/>
    </row>
  </sheetData>
  <mergeCells count="2">
    <mergeCell ref="A7:A9"/>
    <mergeCell ref="A11:A14"/>
  </mergeCells>
  <phoneticPr fontId="1" type="noConversion"/>
  <conditionalFormatting sqref="E4:BC4">
    <cfRule type="expression" dxfId="0" priority="1">
      <formula>"ISNA()"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070C-09DD-422D-AC25-BE55E6715C93}">
  <dimension ref="A1"/>
  <sheetViews>
    <sheetView zoomScale="85" zoomScaleNormal="85" workbookViewId="0">
      <selection activeCell="W20" sqref="W20"/>
    </sheetView>
  </sheetViews>
  <sheetFormatPr defaultRowHeight="15" x14ac:dyDescent="0.25"/>
  <cols>
    <col min="6" max="7" width="10.28515625" bestFit="1" customWidth="1"/>
    <col min="8" max="9" width="11.28515625" bestFit="1" customWidth="1"/>
  </cols>
  <sheetData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EE87-1F91-4729-84B6-FBBFAB49E737}">
  <dimension ref="A1:BU16"/>
  <sheetViews>
    <sheetView workbookViewId="0">
      <selection activeCell="T34" sqref="T34"/>
    </sheetView>
  </sheetViews>
  <sheetFormatPr defaultColWidth="9.140625" defaultRowHeight="12.75" x14ac:dyDescent="0.2"/>
  <cols>
    <col min="1" max="1" width="14" style="16" bestFit="1" customWidth="1"/>
    <col min="2" max="2" width="10" style="16" bestFit="1" customWidth="1"/>
    <col min="3" max="3" width="1.85546875" style="16" customWidth="1"/>
    <col min="4" max="8" width="6.28515625" style="16" bestFit="1" customWidth="1"/>
    <col min="9" max="10" width="1.140625" style="16" customWidth="1"/>
    <col min="11" max="15" width="6.28515625" style="16" bestFit="1" customWidth="1"/>
    <col min="16" max="17" width="1.5703125" style="16" customWidth="1"/>
    <col min="18" max="21" width="6.28515625" style="16" bestFit="1" customWidth="1"/>
    <col min="22" max="22" width="9.85546875" style="16" bestFit="1" customWidth="1"/>
    <col min="23" max="24" width="1.140625" style="16" customWidth="1"/>
    <col min="25" max="29" width="6.5703125" style="16" bestFit="1" customWidth="1"/>
    <col min="30" max="31" width="1.140625" style="16" customWidth="1"/>
    <col min="32" max="36" width="6.5703125" style="16" bestFit="1" customWidth="1"/>
    <col min="37" max="38" width="1.140625" style="16" customWidth="1"/>
    <col min="39" max="43" width="7.28515625" style="16" bestFit="1" customWidth="1"/>
    <col min="44" max="45" width="1.140625" style="16" customWidth="1"/>
    <col min="46" max="50" width="6.5703125" style="16" bestFit="1" customWidth="1"/>
    <col min="51" max="52" width="1.28515625" style="16" customWidth="1"/>
    <col min="53" max="57" width="6.42578125" style="16" bestFit="1" customWidth="1"/>
    <col min="58" max="59" width="1.28515625" style="16" customWidth="1"/>
    <col min="60" max="64" width="6.42578125" style="16" bestFit="1" customWidth="1"/>
    <col min="65" max="66" width="1.28515625" style="16" customWidth="1"/>
    <col min="67" max="71" width="6.42578125" style="16" bestFit="1" customWidth="1"/>
    <col min="72" max="73" width="2.7109375" style="16" customWidth="1"/>
    <col min="74" max="16384" width="9.140625" style="16"/>
  </cols>
  <sheetData>
    <row r="1" spans="1:73" x14ac:dyDescent="0.2">
      <c r="A1" s="18" t="s">
        <v>87</v>
      </c>
      <c r="B1" s="24">
        <v>23400</v>
      </c>
    </row>
    <row r="2" spans="1:73" x14ac:dyDescent="0.2">
      <c r="A2" s="18" t="s">
        <v>97</v>
      </c>
      <c r="B2" s="24">
        <v>3600</v>
      </c>
      <c r="D2" s="56" t="s">
        <v>34</v>
      </c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Y2" s="56" t="s">
        <v>95</v>
      </c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T2" s="53" t="s">
        <v>97</v>
      </c>
      <c r="AU2" s="54"/>
      <c r="AV2" s="54"/>
      <c r="AW2" s="54"/>
      <c r="AX2" s="55"/>
      <c r="BA2" s="53" t="s">
        <v>97</v>
      </c>
      <c r="BB2" s="54"/>
      <c r="BC2" s="54"/>
      <c r="BD2" s="54"/>
      <c r="BE2" s="55"/>
      <c r="BH2" s="53" t="s">
        <v>98</v>
      </c>
      <c r="BI2" s="54"/>
      <c r="BJ2" s="54"/>
      <c r="BK2" s="54"/>
      <c r="BL2" s="55"/>
      <c r="BO2" s="53" t="s">
        <v>98</v>
      </c>
      <c r="BP2" s="54"/>
      <c r="BQ2" s="54"/>
      <c r="BR2" s="54"/>
      <c r="BS2" s="55"/>
    </row>
    <row r="3" spans="1:73" x14ac:dyDescent="0.2">
      <c r="A3" s="18" t="s">
        <v>109</v>
      </c>
      <c r="B3" s="24">
        <v>3600</v>
      </c>
      <c r="D3" s="58" t="s">
        <v>99</v>
      </c>
      <c r="E3" s="59"/>
      <c r="F3" s="59"/>
      <c r="G3" s="59"/>
      <c r="H3" s="60"/>
      <c r="I3" s="22"/>
      <c r="J3" s="22"/>
      <c r="K3" s="58" t="s">
        <v>100</v>
      </c>
      <c r="L3" s="59"/>
      <c r="M3" s="59"/>
      <c r="N3" s="59"/>
      <c r="O3" s="60"/>
      <c r="P3" s="22"/>
      <c r="Q3" s="22"/>
      <c r="R3" s="58" t="s">
        <v>101</v>
      </c>
      <c r="S3" s="59"/>
      <c r="T3" s="59"/>
      <c r="U3" s="59"/>
      <c r="V3" s="60"/>
      <c r="Y3" s="58" t="s">
        <v>102</v>
      </c>
      <c r="Z3" s="59"/>
      <c r="AA3" s="59"/>
      <c r="AB3" s="59"/>
      <c r="AC3" s="60"/>
      <c r="AD3" s="22"/>
      <c r="AE3" s="22"/>
      <c r="AF3" s="58" t="s">
        <v>103</v>
      </c>
      <c r="AG3" s="59"/>
      <c r="AH3" s="59"/>
      <c r="AI3" s="59"/>
      <c r="AJ3" s="60"/>
      <c r="AK3" s="22"/>
      <c r="AL3" s="22"/>
      <c r="AM3" s="58" t="s">
        <v>104</v>
      </c>
      <c r="AN3" s="59"/>
      <c r="AO3" s="59"/>
      <c r="AP3" s="59"/>
      <c r="AQ3" s="60"/>
      <c r="AT3" s="52" t="s">
        <v>105</v>
      </c>
      <c r="AU3" s="52"/>
      <c r="AV3" s="52"/>
      <c r="AW3" s="52"/>
      <c r="AX3" s="52"/>
      <c r="AY3" s="23"/>
      <c r="AZ3" s="23"/>
      <c r="BA3" s="52" t="s">
        <v>106</v>
      </c>
      <c r="BB3" s="52"/>
      <c r="BC3" s="52"/>
      <c r="BD3" s="52"/>
      <c r="BE3" s="52"/>
      <c r="BF3" s="23"/>
      <c r="BG3" s="23"/>
      <c r="BH3" s="52" t="s">
        <v>107</v>
      </c>
      <c r="BI3" s="52"/>
      <c r="BJ3" s="52"/>
      <c r="BK3" s="52"/>
      <c r="BL3" s="52"/>
      <c r="BM3" s="23"/>
      <c r="BN3" s="23"/>
      <c r="BO3" s="52" t="s">
        <v>108</v>
      </c>
      <c r="BP3" s="52"/>
      <c r="BQ3" s="52"/>
      <c r="BR3" s="52"/>
      <c r="BS3" s="52"/>
    </row>
    <row r="4" spans="1:73" x14ac:dyDescent="0.2">
      <c r="A4" s="18" t="s">
        <v>110</v>
      </c>
      <c r="B4" s="24">
        <v>3150</v>
      </c>
      <c r="D4" s="18" t="s">
        <v>88</v>
      </c>
      <c r="E4" s="18" t="s">
        <v>89</v>
      </c>
      <c r="F4" s="18" t="s">
        <v>90</v>
      </c>
      <c r="G4" s="18" t="s">
        <v>91</v>
      </c>
      <c r="H4" s="18" t="s">
        <v>92</v>
      </c>
      <c r="I4" s="19" t="s">
        <v>93</v>
      </c>
      <c r="J4" s="19" t="s">
        <v>94</v>
      </c>
      <c r="K4" s="18" t="s">
        <v>88</v>
      </c>
      <c r="L4" s="18" t="s">
        <v>89</v>
      </c>
      <c r="M4" s="18" t="s">
        <v>90</v>
      </c>
      <c r="N4" s="18" t="s">
        <v>91</v>
      </c>
      <c r="O4" s="18" t="s">
        <v>92</v>
      </c>
      <c r="P4" s="19" t="s">
        <v>93</v>
      </c>
      <c r="Q4" s="19" t="s">
        <v>94</v>
      </c>
      <c r="R4" s="18" t="s">
        <v>88</v>
      </c>
      <c r="S4" s="18" t="s">
        <v>89</v>
      </c>
      <c r="T4" s="18" t="s">
        <v>90</v>
      </c>
      <c r="U4" s="18" t="s">
        <v>91</v>
      </c>
      <c r="V4" s="18" t="s">
        <v>92</v>
      </c>
      <c r="W4" s="19" t="s">
        <v>93</v>
      </c>
      <c r="X4" s="19" t="s">
        <v>94</v>
      </c>
      <c r="Y4" s="18" t="s">
        <v>88</v>
      </c>
      <c r="Z4" s="18" t="s">
        <v>89</v>
      </c>
      <c r="AA4" s="18" t="s">
        <v>90</v>
      </c>
      <c r="AB4" s="18" t="s">
        <v>91</v>
      </c>
      <c r="AC4" s="18" t="s">
        <v>92</v>
      </c>
      <c r="AD4" s="19" t="s">
        <v>93</v>
      </c>
      <c r="AE4" s="19" t="s">
        <v>94</v>
      </c>
      <c r="AF4" s="18" t="s">
        <v>88</v>
      </c>
      <c r="AG4" s="18" t="s">
        <v>89</v>
      </c>
      <c r="AH4" s="18" t="s">
        <v>90</v>
      </c>
      <c r="AI4" s="18" t="s">
        <v>91</v>
      </c>
      <c r="AJ4" s="18" t="s">
        <v>92</v>
      </c>
      <c r="AK4" s="19" t="s">
        <v>93</v>
      </c>
      <c r="AL4" s="19" t="s">
        <v>94</v>
      </c>
      <c r="AM4" s="18" t="s">
        <v>88</v>
      </c>
      <c r="AN4" s="18" t="s">
        <v>89</v>
      </c>
      <c r="AO4" s="18" t="s">
        <v>90</v>
      </c>
      <c r="AP4" s="18" t="s">
        <v>91</v>
      </c>
      <c r="AQ4" s="18" t="s">
        <v>92</v>
      </c>
      <c r="AR4" s="19" t="s">
        <v>93</v>
      </c>
      <c r="AS4" s="19" t="s">
        <v>94</v>
      </c>
      <c r="AT4" s="18" t="s">
        <v>88</v>
      </c>
      <c r="AU4" s="18" t="s">
        <v>89</v>
      </c>
      <c r="AV4" s="18" t="s">
        <v>90</v>
      </c>
      <c r="AW4" s="18" t="s">
        <v>91</v>
      </c>
      <c r="AX4" s="18" t="s">
        <v>92</v>
      </c>
      <c r="AY4" s="19" t="s">
        <v>93</v>
      </c>
      <c r="AZ4" s="19" t="s">
        <v>94</v>
      </c>
      <c r="BA4" s="18" t="s">
        <v>88</v>
      </c>
      <c r="BB4" s="18" t="s">
        <v>89</v>
      </c>
      <c r="BC4" s="18" t="s">
        <v>90</v>
      </c>
      <c r="BD4" s="18" t="s">
        <v>91</v>
      </c>
      <c r="BE4" s="18" t="s">
        <v>92</v>
      </c>
      <c r="BF4" s="19" t="s">
        <v>93</v>
      </c>
      <c r="BG4" s="19" t="s">
        <v>94</v>
      </c>
      <c r="BH4" s="18" t="s">
        <v>88</v>
      </c>
      <c r="BI4" s="18" t="s">
        <v>89</v>
      </c>
      <c r="BJ4" s="18" t="s">
        <v>90</v>
      </c>
      <c r="BK4" s="18" t="s">
        <v>91</v>
      </c>
      <c r="BL4" s="18" t="s">
        <v>92</v>
      </c>
      <c r="BM4" s="19" t="s">
        <v>93</v>
      </c>
      <c r="BN4" s="19" t="s">
        <v>94</v>
      </c>
      <c r="BO4" s="18" t="s">
        <v>88</v>
      </c>
      <c r="BP4" s="18" t="s">
        <v>89</v>
      </c>
      <c r="BQ4" s="18" t="s">
        <v>90</v>
      </c>
      <c r="BR4" s="18" t="s">
        <v>91</v>
      </c>
      <c r="BS4" s="18" t="s">
        <v>92</v>
      </c>
      <c r="BT4" s="19" t="s">
        <v>93</v>
      </c>
      <c r="BU4" s="19" t="s">
        <v>94</v>
      </c>
    </row>
    <row r="5" spans="1:73" x14ac:dyDescent="0.2">
      <c r="D5" s="20">
        <v>45579</v>
      </c>
      <c r="E5" s="20">
        <v>45580</v>
      </c>
      <c r="F5" s="20">
        <v>45581</v>
      </c>
      <c r="G5" s="20">
        <v>45582</v>
      </c>
      <c r="H5" s="20">
        <v>45583</v>
      </c>
      <c r="I5" s="21">
        <v>45584</v>
      </c>
      <c r="J5" s="21">
        <v>45585</v>
      </c>
      <c r="K5" s="20">
        <v>45586</v>
      </c>
      <c r="L5" s="20">
        <v>45587</v>
      </c>
      <c r="M5" s="20">
        <v>45588</v>
      </c>
      <c r="N5" s="20">
        <v>45589</v>
      </c>
      <c r="O5" s="20">
        <v>45590</v>
      </c>
      <c r="P5" s="21">
        <v>45591</v>
      </c>
      <c r="Q5" s="21">
        <v>45592</v>
      </c>
      <c r="R5" s="20">
        <v>45593</v>
      </c>
      <c r="S5" s="20">
        <v>45594</v>
      </c>
      <c r="T5" s="20">
        <v>45595</v>
      </c>
      <c r="U5" s="20">
        <v>45596</v>
      </c>
      <c r="V5" s="20">
        <v>45597</v>
      </c>
      <c r="W5" s="21">
        <v>45598</v>
      </c>
      <c r="X5" s="21">
        <v>45599</v>
      </c>
      <c r="Y5" s="20">
        <v>45600</v>
      </c>
      <c r="Z5" s="20">
        <v>45601</v>
      </c>
      <c r="AA5" s="20">
        <v>45602</v>
      </c>
      <c r="AB5" s="20">
        <v>45603</v>
      </c>
      <c r="AC5" s="20">
        <v>45604</v>
      </c>
      <c r="AD5" s="21">
        <v>45605</v>
      </c>
      <c r="AE5" s="21">
        <v>45606</v>
      </c>
      <c r="AF5" s="20">
        <v>45607</v>
      </c>
      <c r="AG5" s="20">
        <v>45608</v>
      </c>
      <c r="AH5" s="20">
        <v>45609</v>
      </c>
      <c r="AI5" s="20">
        <v>45610</v>
      </c>
      <c r="AJ5" s="20">
        <v>45611</v>
      </c>
      <c r="AK5" s="21">
        <v>45612</v>
      </c>
      <c r="AL5" s="21">
        <v>45613</v>
      </c>
      <c r="AM5" s="20">
        <v>45614</v>
      </c>
      <c r="AN5" s="20">
        <v>45615</v>
      </c>
      <c r="AO5" s="20">
        <v>45616</v>
      </c>
      <c r="AP5" s="20">
        <v>45617</v>
      </c>
      <c r="AQ5" s="20">
        <v>45618</v>
      </c>
      <c r="AR5" s="21">
        <v>45619</v>
      </c>
      <c r="AS5" s="21">
        <v>45620</v>
      </c>
      <c r="AT5" s="20">
        <v>45621</v>
      </c>
      <c r="AU5" s="20">
        <v>45622</v>
      </c>
      <c r="AV5" s="20">
        <v>45623</v>
      </c>
      <c r="AW5" s="20">
        <v>45624</v>
      </c>
      <c r="AX5" s="20">
        <v>45625</v>
      </c>
      <c r="AY5" s="21">
        <v>45626</v>
      </c>
      <c r="AZ5" s="21">
        <v>45627</v>
      </c>
      <c r="BA5" s="20">
        <v>45628</v>
      </c>
      <c r="BB5" s="20">
        <v>45629</v>
      </c>
      <c r="BC5" s="20">
        <v>45630</v>
      </c>
      <c r="BD5" s="20">
        <v>45631</v>
      </c>
      <c r="BE5" s="20">
        <v>45632</v>
      </c>
      <c r="BF5" s="21">
        <v>45633</v>
      </c>
      <c r="BG5" s="21">
        <v>45634</v>
      </c>
      <c r="BH5" s="20">
        <v>45635</v>
      </c>
      <c r="BI5" s="20">
        <v>45636</v>
      </c>
      <c r="BJ5" s="20">
        <v>45637</v>
      </c>
      <c r="BK5" s="20">
        <v>45638</v>
      </c>
      <c r="BL5" s="20">
        <v>45639</v>
      </c>
      <c r="BM5" s="21">
        <v>45640</v>
      </c>
      <c r="BN5" s="21">
        <v>45641</v>
      </c>
      <c r="BO5" s="20">
        <v>45642</v>
      </c>
      <c r="BP5" s="20">
        <v>45643</v>
      </c>
      <c r="BQ5" s="20">
        <v>45644</v>
      </c>
      <c r="BR5" s="20">
        <v>45645</v>
      </c>
      <c r="BS5" s="20">
        <v>45646</v>
      </c>
      <c r="BT5" s="21">
        <v>45647</v>
      </c>
      <c r="BU5" s="21">
        <v>45648</v>
      </c>
    </row>
    <row r="7" spans="1:73" x14ac:dyDescent="0.2">
      <c r="A7" s="18" t="s">
        <v>111</v>
      </c>
      <c r="B7" s="24">
        <f>B1</f>
        <v>23400</v>
      </c>
      <c r="V7" s="17"/>
      <c r="BE7" s="17"/>
    </row>
    <row r="8" spans="1:73" x14ac:dyDescent="0.2">
      <c r="A8" s="18" t="s">
        <v>112</v>
      </c>
      <c r="B8" s="24">
        <f>B1+B4</f>
        <v>26550</v>
      </c>
    </row>
    <row r="9" spans="1:73" x14ac:dyDescent="0.2">
      <c r="A9" s="18" t="s">
        <v>113</v>
      </c>
      <c r="B9" s="24">
        <f>B2+B3</f>
        <v>7200</v>
      </c>
    </row>
    <row r="10" spans="1:73" ht="13.5" thickBot="1" x14ac:dyDescent="0.25">
      <c r="A10" s="27" t="s">
        <v>29</v>
      </c>
      <c r="B10" s="26">
        <f>SUM(B7:B9)</f>
        <v>57150</v>
      </c>
    </row>
    <row r="11" spans="1:73" ht="13.5" thickTop="1" x14ac:dyDescent="0.2"/>
    <row r="12" spans="1:73" x14ac:dyDescent="0.2">
      <c r="A12" s="57" t="s">
        <v>114</v>
      </c>
      <c r="B12" s="57"/>
    </row>
    <row r="13" spans="1:73" x14ac:dyDescent="0.2">
      <c r="A13" s="18" t="s">
        <v>33</v>
      </c>
      <c r="B13" s="24">
        <v>9000</v>
      </c>
    </row>
    <row r="14" spans="1:73" x14ac:dyDescent="0.2">
      <c r="A14" s="18" t="s">
        <v>96</v>
      </c>
      <c r="B14" s="24">
        <f>66150-9000</f>
        <v>57150</v>
      </c>
    </row>
    <row r="15" spans="1:73" ht="13.5" thickBot="1" x14ac:dyDescent="0.25">
      <c r="A15" s="18" t="s">
        <v>29</v>
      </c>
      <c r="B15" s="25">
        <f>SUM(B13:B14)</f>
        <v>66150</v>
      </c>
    </row>
    <row r="16" spans="1:73" ht="13.5" thickTop="1" x14ac:dyDescent="0.2">
      <c r="B16" s="17"/>
    </row>
  </sheetData>
  <mergeCells count="17">
    <mergeCell ref="D2:V2"/>
    <mergeCell ref="Y2:AQ2"/>
    <mergeCell ref="A12:B12"/>
    <mergeCell ref="BA3:BE3"/>
    <mergeCell ref="BH3:BL3"/>
    <mergeCell ref="D3:H3"/>
    <mergeCell ref="K3:O3"/>
    <mergeCell ref="R3:V3"/>
    <mergeCell ref="Y3:AC3"/>
    <mergeCell ref="AF3:AJ3"/>
    <mergeCell ref="AM3:AQ3"/>
    <mergeCell ref="BO3:BS3"/>
    <mergeCell ref="AT2:AX2"/>
    <mergeCell ref="BA2:BE2"/>
    <mergeCell ref="BH2:BL2"/>
    <mergeCell ref="BO2:BS2"/>
    <mergeCell ref="AT3:AX3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7309DC-290E-4391-BC2D-A08ABD887F47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43EC73B4-88A6-4256-B10D-3BE936A451D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8195739-F48A-45FA-B14B-AA6F1092D482}">
  <ds:schemaRefs>
    <ds:schemaRef ds:uri="http://schemas.microsoft.com/office/infopath/2007/PartnerControls"/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1ffbd5dc-7a64-4097-8396-87f6c90b212f"/>
  </ds:schemaRefs>
</ds:datastoreItem>
</file>

<file path=customXml/itemProps4.xml><?xml version="1.0" encoding="utf-8"?>
<ds:datastoreItem xmlns:ds="http://schemas.openxmlformats.org/officeDocument/2006/customXml" ds:itemID="{1DCBB8FA-0BE6-4FFA-B672-F251BED2EE0A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89466F6D-2D38-4BF9-994C-3771A21F3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SOW_OLD</vt:lpstr>
      <vt:lpstr>Pre Sprint 0 Cost Summary</vt:lpstr>
      <vt:lpstr>Forecasting</vt:lpstr>
      <vt:lpstr>Burnup</vt:lpstr>
      <vt:lpstr>Timeline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 Benkenstein</dc:creator>
  <cp:keywords/>
  <dc:description/>
  <cp:lastModifiedBy>Nikki Papenfus</cp:lastModifiedBy>
  <cp:revision/>
  <dcterms:created xsi:type="dcterms:W3CDTF">2020-08-13T15:11:43Z</dcterms:created>
  <dcterms:modified xsi:type="dcterms:W3CDTF">2024-10-31T10:12:56Z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lcf76f155ced4ddcb4097134ff3c332f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  <property fmtid="{D5CDD505-2E9C-101B-9397-08002B2CF9AE}" pid="9" name="Business Document Type">
    <vt:lpwstr>5;#Project Delivery Document|464596ad-2211-4003-92ff-a963197d93b9</vt:lpwstr>
  </property>
  <property fmtid="{D5CDD505-2E9C-101B-9397-08002B2CF9AE}" pid="10" name="l992f389a8bb4e119e73ef90413f377d">
    <vt:lpwstr>Project Delivery Document|464596ad-2211-4003-92ff-a963197d93b9</vt:lpwstr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  <property fmtid="{D5CDD505-2E9C-101B-9397-08002B2CF9AE}" pid="17" name="Order">
    <vt:r8>28100</vt:r8>
  </property>
  <property fmtid="{D5CDD505-2E9C-101B-9397-08002B2CF9AE}" pid="18" name="Project_x0020_Document_x0020_Type">
    <vt:lpwstr>4;#Generic Project Document|258c2ed6-b93b-4ffe-8901-a23f2dc98ec9</vt:lpwstr>
  </property>
  <property fmtid="{D5CDD505-2E9C-101B-9397-08002B2CF9AE}" pid="19" name="Client_x0020_Project">
    <vt:lpwstr/>
  </property>
</Properties>
</file>