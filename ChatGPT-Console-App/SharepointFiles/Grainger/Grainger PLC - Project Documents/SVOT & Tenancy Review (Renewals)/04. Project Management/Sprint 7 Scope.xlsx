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4. Project Management/"/>
    </mc:Choice>
  </mc:AlternateContent>
  <xr:revisionPtr revIDLastSave="158" documentId="13_ncr:1_{A23458B3-3ADD-4707-A2F3-EA0348ABF936}" xr6:coauthVersionLast="47" xr6:coauthVersionMax="47" xr10:uidLastSave="{D4421A7E-0F0C-4689-A79C-02E5CA8873F5}"/>
  <bookViews>
    <workbookView minimized="1" xWindow="3615" yWindow="1620" windowWidth="17550" windowHeight="13560" xr2:uid="{7E6A43D6-0077-4772-933F-793F97D6208A}"/>
  </bookViews>
  <sheets>
    <sheet name="Sheet1" sheetId="1" r:id="rId1"/>
  </sheets>
  <definedNames>
    <definedName name="_xlnm._FilterDatabase" localSheetId="0" hidden="1">Sheet1!$A$1:$D$26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" i="1"/>
  <c r="E2" i="1"/>
</calcChain>
</file>

<file path=xl/sharedStrings.xml><?xml version="1.0" encoding="utf-8"?>
<sst xmlns="http://schemas.openxmlformats.org/spreadsheetml/2006/main" count="92" uniqueCount="89">
  <si>
    <t>Key</t>
  </si>
  <si>
    <t>User Story</t>
  </si>
  <si>
    <t>Purpose</t>
  </si>
  <si>
    <t>Must Have</t>
  </si>
  <si>
    <t>Data Requirements</t>
  </si>
  <si>
    <t>CJR-30</t>
  </si>
  <si>
    <t>Data Migration - Upload Grainger Trust &amp; Price Book Rent</t>
  </si>
  <si>
    <t>Create price book entries in SF</t>
  </si>
  <si>
    <t>CJR-623</t>
  </si>
  <si>
    <t>Data Migration - Licence Prices</t>
  </si>
  <si>
    <t>CJR-879</t>
  </si>
  <si>
    <t>Data Migration - Upload ERVs</t>
  </si>
  <si>
    <t>Sept 25 &amp; Mar 24 ERVs</t>
  </si>
  <si>
    <t>CJR-900</t>
  </si>
  <si>
    <t>Keep Current &amp; Prior Rent Updated on Current Tenancies</t>
  </si>
  <si>
    <t>Need current/passing rent to populate on opportunities</t>
  </si>
  <si>
    <t>CJR-423</t>
  </si>
  <si>
    <t>Cutover - Renewal Opportunities in Progress</t>
  </si>
  <si>
    <t>Tenant Receives &amp; Responds to Offers</t>
  </si>
  <si>
    <t>CJR-911</t>
  </si>
  <si>
    <t xml:space="preserve">Additional Validations when Sending Offer Email </t>
  </si>
  <si>
    <t>Prevent form assembly errors</t>
  </si>
  <si>
    <t>CJR-565</t>
  </si>
  <si>
    <t>Update Form Assembly Text</t>
  </si>
  <si>
    <t>Replace placeholder text</t>
  </si>
  <si>
    <t>CJR-594</t>
  </si>
  <si>
    <t>Replace placeholder text &amp; add a different template for fixed-term ASTs.</t>
  </si>
  <si>
    <t>CJR-1006</t>
  </si>
  <si>
    <t xml:space="preserve">Tenants See Additional Details for All Fixed-Term Offers </t>
  </si>
  <si>
    <t>Incorporate fixed-term licences &amp; fixed-term ASTs</t>
  </si>
  <si>
    <t>CJR-788</t>
  </si>
  <si>
    <t>Update to send chasers for fixed term ASTs &amp; exclude Deb Caslaws' portfolio.</t>
  </si>
  <si>
    <t xml:space="preserve"> Offer Details</t>
  </si>
  <si>
    <t>CJR-464</t>
  </si>
  <si>
    <t>Update Default Offer Details</t>
  </si>
  <si>
    <t xml:space="preserve">Incorporate new agreement types DMR, DMR Social, Assured, Shared Ownership; Prepop special clauses on all offers. 
Prepop current term/payment freq/break clause for LW, Co Let &amp; Occp Contract offers. </t>
  </si>
  <si>
    <t>CJR-794</t>
  </si>
  <si>
    <t xml:space="preserve">Save Latest Contract Term on Tenancy </t>
  </si>
  <si>
    <t>Needed to prepop current term on LW, Co Let &amp; Occp Contract offers</t>
  </si>
  <si>
    <t>CJR-339</t>
  </si>
  <si>
    <t>Capture Special Clauses for all Agreement Types</t>
  </si>
  <si>
    <t>See current SC &amp; add/update on all offers</t>
  </si>
  <si>
    <t>Generating &amp; Sending Documents</t>
  </si>
  <si>
    <t>CJR-968</t>
  </si>
  <si>
    <t xml:space="preserve">Check/Update Existing Document Templates </t>
  </si>
  <si>
    <t>E.g. Security deposit on new lease vs tenancy review pulls from different objects/ fields.</t>
  </si>
  <si>
    <t>Licences &amp; Alternate Agreement Types</t>
  </si>
  <si>
    <t>CJR-856</t>
  </si>
  <si>
    <t>New Agreement Types - Update RTR Logic</t>
  </si>
  <si>
    <t>Incorporate DMR, DMR Soc, Assured agreement types added in BAU</t>
  </si>
  <si>
    <t>CJR-859</t>
  </si>
  <si>
    <t>Skip first AM Pricing stage; get rent</t>
  </si>
  <si>
    <t>Other</t>
  </si>
  <si>
    <t>CJR-750</t>
  </si>
  <si>
    <t>Update User Guides</t>
  </si>
  <si>
    <t>Should Have</t>
  </si>
  <si>
    <t>CJR-20</t>
  </si>
  <si>
    <t>Generate RHW12 Document</t>
  </si>
  <si>
    <t>Rent increase doc for Wales</t>
  </si>
  <si>
    <t>CJR-989</t>
  </si>
  <si>
    <t>Generate §13 for Post</t>
  </si>
  <si>
    <t>Current S13 + cover letter for Deb Caslaw's portfolio</t>
  </si>
  <si>
    <t>CJR-972</t>
  </si>
  <si>
    <t>Add Document Type: §13 for Post &amp; Date 1st Rent Increase since 2003</t>
  </si>
  <si>
    <t>Deb Caslaw's portfolio</t>
  </si>
  <si>
    <t>CJR-971</t>
  </si>
  <si>
    <t>CJR-970</t>
  </si>
  <si>
    <t>Rent Approval - Bulk Update Rent Review Price by a %</t>
  </si>
  <si>
    <t>CJR-475</t>
  </si>
  <si>
    <t>Tenant Receives Reminder to Sign Renewal Contract</t>
  </si>
  <si>
    <t xml:space="preserve">Update existing chasers. LW, Co Let, Occp Contract, COS. </t>
  </si>
  <si>
    <t>CJR-814</t>
  </si>
  <si>
    <t xml:space="preserve">Tenant Follows Up with more Supporting Evidence </t>
  </si>
  <si>
    <t>Capture in Form Assembly &amp; append to offer response. Currently prompted to reply to email.</t>
  </si>
  <si>
    <t>CJR-21</t>
  </si>
  <si>
    <t>Generate §13 Document</t>
  </si>
  <si>
    <t>CJR-659</t>
  </si>
  <si>
    <t>Implement Final §13 Document &amp; Cover Letter Templates</t>
  </si>
  <si>
    <t>CJR-800</t>
  </si>
  <si>
    <t>CJR-218</t>
  </si>
  <si>
    <t>Update Offer Email Templates: AST/DMR &amp; Licence Offers</t>
  </si>
  <si>
    <t xml:space="preserve">Offer Chaser Emails: Send for all fixed-term </t>
  </si>
  <si>
    <t>AM does not review Licence Prices; AM does review GT</t>
  </si>
  <si>
    <t>CJR-1028</t>
  </si>
  <si>
    <t>Exclude Regulated Tenancies or Migrate RR Diaries</t>
  </si>
  <si>
    <t>Add New Payment Periodicity options &amp; add/update validations</t>
  </si>
  <si>
    <t>Investigate - Default §13 / RHW12 Adobe Sign Recipient Types</t>
  </si>
  <si>
    <t xml:space="preserve">Add Open-Ended Licence Agreements &amp; Exclude from Tenancy Review Process </t>
  </si>
  <si>
    <t>MTCOS chasers - 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</si>
</sst>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3" fillId="0" borderId="0" xfId="2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64" fontId="0" fillId="2" borderId="0" xfId="0" applyNumberFormat="1" applyFill="1"/>
    <xf numFmtId="0" fontId="2" fillId="3" borderId="0" xfId="0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wrapText="1"/>
    </xf>
    <xf numFmtId="0" fontId="3" fillId="0" borderId="0" xfId="2" applyFill="1" applyAlignment="1">
      <alignment vertical="center" wrapText="1"/>
    </xf>
    <xf numFmtId="164" fontId="0" fillId="2" borderId="0" xfId="1" applyNumberFormat="1" applyFont="1" applyFill="1" applyAlignment="1">
      <alignment vertical="center" wrapText="1"/>
    </xf>
    <xf numFmtId="164" fontId="0" fillId="0" borderId="0" xfId="1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0" fillId="4" borderId="0" xfId="1" applyNumberFormat="1" applyFont="1" applyFill="1" applyAlignment="1">
      <alignment vertical="center" wrapText="1"/>
    </xf>
    <xf numFmtId="164" fontId="0" fillId="4" borderId="0" xfId="0" applyNumberFormat="1" applyFill="1"/>
    <xf numFmtId="0" fontId="0" fillId="4" borderId="0" xfId="0" applyFill="1"/>
    <xf numFmtId="6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64" fontId="5" fillId="5" borderId="0" xfId="1" applyNumberFormat="1" applyFont="1" applyFill="1" applyAlignment="1">
      <alignment vertical="center" wrapText="1"/>
    </xf>
    <xf numFmtId="164" fontId="5" fillId="5" borderId="0" xfId="0" applyNumberFormat="1" applyFont="1" applyFill="1"/>
    <xf numFmtId="0" fontId="5" fillId="5" borderId="0" xfId="0" applyFont="1" applyFill="1"/>
    <xf numFmtId="0" fontId="0" fillId="3" borderId="0" xfId="0" applyFill="1"/>
    <xf numFmtId="0" fontId="0" fillId="0" borderId="0" xfId="0" applyFill="1" applyAlignment="1">
      <alignment vertical="center" wrapText="1"/>
    </xf>
    <xf numFmtId="164" fontId="0" fillId="0" borderId="0" xfId="1" applyNumberFormat="1" applyFont="1" applyFill="1" applyAlignment="1">
      <alignment vertical="center"/>
    </xf>
    <xf numFmtId="164" fontId="0" fillId="0" borderId="0" xfId="1" applyNumberFormat="1" applyFont="1" applyFill="1"/>
    <xf numFmtId="0" fontId="0" fillId="0" borderId="0" xfId="0" applyFill="1"/>
    <xf numFmtId="0" fontId="3" fillId="0" borderId="0" xfId="2" applyFill="1"/>
    <xf numFmtId="0" fontId="3" fillId="0" borderId="1" xfId="2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164" fontId="0" fillId="0" borderId="3" xfId="1" applyNumberFormat="1" applyFont="1" applyFill="1" applyBorder="1" applyAlignment="1">
      <alignment vertical="center" wrapText="1"/>
    </xf>
    <xf numFmtId="0" fontId="3" fillId="0" borderId="4" xfId="2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5" xfId="1" applyNumberFormat="1" applyFont="1" applyFill="1" applyBorder="1" applyAlignment="1">
      <alignment vertical="center" wrapText="1"/>
    </xf>
    <xf numFmtId="0" fontId="3" fillId="0" borderId="6" xfId="2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164" fontId="0" fillId="0" borderId="8" xfId="1" applyNumberFormat="1" applyFont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3552824</xdr:colOff>
      <xdr:row>57</xdr:row>
      <xdr:rowOff>148318</xdr:rowOff>
    </xdr:from>
    <xdr:to>
      <xdr:col>5</xdr:col>
      <xdr:colOff>153488</xdr:colOff>
      <xdr:row>73</xdr:row>
      <xdr:rowOff>162424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E0E1F-E96A-7780-47A9-CA13C4F8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4" y="9882868"/>
          <a:ext cx="6687639" cy="306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CJR-879" TargetMode="External"/><Relationship Id="rId13" Type="http://schemas.openxmlformats.org/officeDocument/2006/relationships/hyperlink" Target="https://graingerplc.atlassian.net/browse/CJR-856" TargetMode="External"/><Relationship Id="rId18" Type="http://schemas.openxmlformats.org/officeDocument/2006/relationships/hyperlink" Target="https://graingerplc.atlassian.net/browse/CJR-339" TargetMode="External"/><Relationship Id="rId26" Type="http://schemas.openxmlformats.org/officeDocument/2006/relationships/hyperlink" Target="https://graingerplc.atlassian.net/browse/CJR-814" TargetMode="External"/><Relationship Id="rId3" Type="http://schemas.openxmlformats.org/officeDocument/2006/relationships/hyperlink" Target="https://graingerplc.atlassian.net/browse/CJR-900" TargetMode="External"/><Relationship Id="rId21" Type="http://schemas.openxmlformats.org/officeDocument/2006/relationships/hyperlink" Target="https://graingerplc.atlassian.net/browse/CJR-794" TargetMode="External"/><Relationship Id="rId7" Type="http://schemas.openxmlformats.org/officeDocument/2006/relationships/hyperlink" Target="https://graingerplc.atlassian.net/browse/CJR-20" TargetMode="External"/><Relationship Id="rId12" Type="http://schemas.openxmlformats.org/officeDocument/2006/relationships/hyperlink" Target="https://graingerplc.atlassian.net/browse/CJR-594" TargetMode="External"/><Relationship Id="rId17" Type="http://schemas.openxmlformats.org/officeDocument/2006/relationships/hyperlink" Target="https://graingerplc.atlassian.net/browse/CJR-970" TargetMode="External"/><Relationship Id="rId25" Type="http://schemas.openxmlformats.org/officeDocument/2006/relationships/hyperlink" Target="https://graingerplc.atlassian.net/browse/CJR-423" TargetMode="External"/><Relationship Id="rId2" Type="http://schemas.openxmlformats.org/officeDocument/2006/relationships/hyperlink" Target="https://graingerplc.atlassian.net/browse/CJR-859" TargetMode="External"/><Relationship Id="rId16" Type="http://schemas.openxmlformats.org/officeDocument/2006/relationships/hyperlink" Target="https://graingerplc.atlassian.net/browse/CJR-968" TargetMode="External"/><Relationship Id="rId20" Type="http://schemas.openxmlformats.org/officeDocument/2006/relationships/hyperlink" Target="https://graingerplc.atlassian.net/browse/CJR-788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graingerplc.atlassian.net/browse/CJR-911" TargetMode="External"/><Relationship Id="rId6" Type="http://schemas.openxmlformats.org/officeDocument/2006/relationships/hyperlink" Target="https://graingerplc.atlassian.net/browse/CJR-989" TargetMode="External"/><Relationship Id="rId11" Type="http://schemas.openxmlformats.org/officeDocument/2006/relationships/hyperlink" Target="https://graingerplc.atlassian.net/browse/CJR-750" TargetMode="External"/><Relationship Id="rId24" Type="http://schemas.openxmlformats.org/officeDocument/2006/relationships/hyperlink" Target="https://graingerplc.atlassian.net/browse/CJR-475" TargetMode="External"/><Relationship Id="rId5" Type="http://schemas.openxmlformats.org/officeDocument/2006/relationships/hyperlink" Target="https://graingerplc.atlassian.net/browse/CJR-21" TargetMode="External"/><Relationship Id="rId15" Type="http://schemas.openxmlformats.org/officeDocument/2006/relationships/hyperlink" Target="https://graingerplc.atlassian.net/browse/CJR-971" TargetMode="External"/><Relationship Id="rId23" Type="http://schemas.openxmlformats.org/officeDocument/2006/relationships/hyperlink" Target="https://graingerplc.atlassian.net/browse/CJR-800" TargetMode="External"/><Relationship Id="rId28" Type="http://schemas.openxmlformats.org/officeDocument/2006/relationships/hyperlink" Target="https://graingerplc.atlassian.net/browse/CJR-659" TargetMode="External"/><Relationship Id="rId10" Type="http://schemas.openxmlformats.org/officeDocument/2006/relationships/hyperlink" Target="https://graingerplc.atlassian.net/browse/CJR-565" TargetMode="External"/><Relationship Id="rId19" Type="http://schemas.openxmlformats.org/officeDocument/2006/relationships/hyperlink" Target="https://graingerplc.atlassian.net/browse/CJR-218" TargetMode="External"/><Relationship Id="rId4" Type="http://schemas.openxmlformats.org/officeDocument/2006/relationships/hyperlink" Target="https://graingerplc.atlassian.net/browse/CJR-623" TargetMode="External"/><Relationship Id="rId9" Type="http://schemas.openxmlformats.org/officeDocument/2006/relationships/hyperlink" Target="https://graingerplc.atlassian.net/browse/CJR-30" TargetMode="External"/><Relationship Id="rId14" Type="http://schemas.openxmlformats.org/officeDocument/2006/relationships/hyperlink" Target="https://graingerplc.atlassian.net/browse/CJR-972" TargetMode="External"/><Relationship Id="rId22" Type="http://schemas.openxmlformats.org/officeDocument/2006/relationships/hyperlink" Target="https://graingerplc.atlassian.net/browse/CJR-464" TargetMode="External"/><Relationship Id="rId27" Type="http://schemas.openxmlformats.org/officeDocument/2006/relationships/hyperlink" Target="https://graingerplc.atlassian.net/browse/CJR-1006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4F83-F0C0-4CDE-9927-D9125B62F601}">
  <dimension ref="A1:F46"/>
  <sheetViews>
    <sheetView tabSelected="1" zoomScaleNormal="100" workbookViewId="0">
      <selection activeCell="F9" sqref="F9"/>
    </sheetView>
  </sheetViews>
  <sheetFormatPr defaultRowHeight="15" x14ac:dyDescent="0.25"/>
  <cols>
    <col min="1" max="1" width="10.85546875" customWidth="1"/>
    <col min="2" max="2" width="63" customWidth="1"/>
    <col min="3" max="3" width="59.7109375" customWidth="1"/>
    <col min="4" max="4" width="18.42578125" style="4" bestFit="1" customWidth="1"/>
    <col min="5" max="5" width="10.140625" customWidth="1"/>
  </cols>
  <sheetData>
    <row r="1" spans="1:5" s="29" customFormat="1" ht="16.5" customHeight="1" x14ac:dyDescent="0.25">
      <c r="A1" s="9" t="s">
        <v>0</v>
      </c>
      <c r="B1" s="9" t="s">
        <v>1</v>
      </c>
      <c r="C1" s="14" t="s">
        <v>2</v>
      </c>
      <c r="D1" s="10">
        <f>SUM(D3:D33)</f>
        <v>63</v>
      </c>
      <c r="E1" s="10"/>
    </row>
    <row r="2" spans="1:5" s="22" customFormat="1" x14ac:dyDescent="0.25">
      <c r="A2" s="17" t="s">
        <v>3</v>
      </c>
      <c r="B2" s="18"/>
      <c r="C2" s="19"/>
      <c r="D2" s="20"/>
      <c r="E2" s="21">
        <f>SUM(D3:D26)</f>
        <v>45</v>
      </c>
    </row>
    <row r="3" spans="1:5" x14ac:dyDescent="0.25">
      <c r="A3" s="7" t="s">
        <v>4</v>
      </c>
      <c r="B3" s="5"/>
      <c r="C3" s="15"/>
      <c r="D3" s="6"/>
      <c r="E3" s="8"/>
    </row>
    <row r="4" spans="1:5" x14ac:dyDescent="0.25">
      <c r="A4" s="2" t="s">
        <v>5</v>
      </c>
      <c r="B4" s="1" t="s">
        <v>6</v>
      </c>
      <c r="C4" t="s">
        <v>7</v>
      </c>
      <c r="D4" s="3">
        <v>13</v>
      </c>
    </row>
    <row r="5" spans="1:5" x14ac:dyDescent="0.25">
      <c r="A5" s="2" t="s">
        <v>8</v>
      </c>
      <c r="B5" s="1" t="s">
        <v>9</v>
      </c>
      <c r="C5" s="16" t="s">
        <v>7</v>
      </c>
      <c r="D5" s="3">
        <v>2</v>
      </c>
    </row>
    <row r="6" spans="1:5" x14ac:dyDescent="0.25">
      <c r="A6" s="2" t="s">
        <v>10</v>
      </c>
      <c r="B6" s="1" t="s">
        <v>11</v>
      </c>
      <c r="C6" s="16" t="s">
        <v>12</v>
      </c>
      <c r="D6" s="3">
        <v>2</v>
      </c>
    </row>
    <row r="7" spans="1:5" x14ac:dyDescent="0.25">
      <c r="A7" s="2" t="s">
        <v>13</v>
      </c>
      <c r="B7" s="1" t="s">
        <v>14</v>
      </c>
      <c r="C7" s="16" t="s">
        <v>15</v>
      </c>
      <c r="D7" s="3">
        <v>2</v>
      </c>
    </row>
    <row r="8" spans="1:5" x14ac:dyDescent="0.25">
      <c r="A8" s="11" t="s">
        <v>16</v>
      </c>
      <c r="B8" s="1" t="s">
        <v>17</v>
      </c>
      <c r="C8" s="16"/>
      <c r="D8" s="13">
        <v>2</v>
      </c>
    </row>
    <row r="9" spans="1:5" x14ac:dyDescent="0.25">
      <c r="A9" s="7" t="s">
        <v>18</v>
      </c>
      <c r="B9" s="5"/>
      <c r="C9" s="15"/>
      <c r="D9" s="12"/>
      <c r="E9" s="8"/>
    </row>
    <row r="10" spans="1:5" x14ac:dyDescent="0.25">
      <c r="A10" s="2" t="s">
        <v>19</v>
      </c>
      <c r="B10" s="1" t="s">
        <v>20</v>
      </c>
      <c r="C10" s="16" t="s">
        <v>21</v>
      </c>
      <c r="D10" s="3">
        <v>1</v>
      </c>
    </row>
    <row r="11" spans="1:5" x14ac:dyDescent="0.25">
      <c r="A11" s="2" t="s">
        <v>22</v>
      </c>
      <c r="B11" s="1" t="s">
        <v>23</v>
      </c>
      <c r="C11" s="16" t="s">
        <v>24</v>
      </c>
      <c r="D11" s="3">
        <v>1</v>
      </c>
    </row>
    <row r="12" spans="1:5" x14ac:dyDescent="0.25">
      <c r="A12" s="2" t="s">
        <v>25</v>
      </c>
      <c r="B12" s="1" t="s">
        <v>80</v>
      </c>
      <c r="C12" s="16" t="s">
        <v>26</v>
      </c>
      <c r="D12" s="3">
        <v>2</v>
      </c>
    </row>
    <row r="13" spans="1:5" x14ac:dyDescent="0.25">
      <c r="A13" s="2" t="s">
        <v>27</v>
      </c>
      <c r="B13" s="1" t="s">
        <v>28</v>
      </c>
      <c r="C13" s="16" t="s">
        <v>29</v>
      </c>
      <c r="D13" s="3">
        <v>1</v>
      </c>
    </row>
    <row r="14" spans="1:5" x14ac:dyDescent="0.25">
      <c r="A14" s="2" t="s">
        <v>30</v>
      </c>
      <c r="B14" s="1" t="s">
        <v>81</v>
      </c>
      <c r="C14" s="16" t="s">
        <v>31</v>
      </c>
      <c r="D14" s="3">
        <v>2</v>
      </c>
    </row>
    <row r="15" spans="1:5" x14ac:dyDescent="0.25">
      <c r="A15" s="7" t="s">
        <v>32</v>
      </c>
      <c r="B15" s="5"/>
      <c r="C15" s="15"/>
      <c r="D15" s="12"/>
      <c r="E15" s="8"/>
    </row>
    <row r="16" spans="1:5" x14ac:dyDescent="0.25">
      <c r="A16" s="2" t="s">
        <v>33</v>
      </c>
      <c r="B16" s="1" t="s">
        <v>34</v>
      </c>
      <c r="C16" s="16" t="s">
        <v>35</v>
      </c>
      <c r="D16" s="3">
        <v>5</v>
      </c>
    </row>
    <row r="17" spans="1:5" x14ac:dyDescent="0.25">
      <c r="A17" s="2" t="s">
        <v>36</v>
      </c>
      <c r="B17" s="1" t="s">
        <v>37</v>
      </c>
      <c r="C17" s="16" t="s">
        <v>38</v>
      </c>
      <c r="D17" s="3">
        <v>1</v>
      </c>
    </row>
    <row r="18" spans="1:5" x14ac:dyDescent="0.25">
      <c r="A18" s="2" t="s">
        <v>39</v>
      </c>
      <c r="B18" s="1" t="s">
        <v>40</v>
      </c>
      <c r="C18" s="16" t="s">
        <v>41</v>
      </c>
      <c r="D18" s="3">
        <v>2</v>
      </c>
    </row>
    <row r="19" spans="1:5" x14ac:dyDescent="0.25">
      <c r="A19" s="7" t="s">
        <v>42</v>
      </c>
      <c r="B19" s="5"/>
      <c r="C19" s="15"/>
      <c r="D19" s="12"/>
      <c r="E19" s="8"/>
    </row>
    <row r="20" spans="1:5" x14ac:dyDescent="0.25">
      <c r="A20" s="11" t="s">
        <v>43</v>
      </c>
      <c r="B20" s="1" t="s">
        <v>44</v>
      </c>
      <c r="C20" s="16" t="s">
        <v>45</v>
      </c>
      <c r="D20" s="3">
        <v>3</v>
      </c>
    </row>
    <row r="21" spans="1:5" x14ac:dyDescent="0.25">
      <c r="A21" s="7" t="s">
        <v>46</v>
      </c>
      <c r="B21" s="5"/>
      <c r="C21" s="15"/>
      <c r="D21" s="12"/>
      <c r="E21" s="8"/>
    </row>
    <row r="22" spans="1:5" x14ac:dyDescent="0.25">
      <c r="A22" s="2" t="s">
        <v>47</v>
      </c>
      <c r="B22" s="1" t="s">
        <v>48</v>
      </c>
      <c r="C22" s="16" t="s">
        <v>49</v>
      </c>
      <c r="D22" s="3">
        <v>3</v>
      </c>
    </row>
    <row r="23" spans="1:5" x14ac:dyDescent="0.25">
      <c r="A23" s="2" t="s">
        <v>50</v>
      </c>
      <c r="B23" s="1" t="s">
        <v>82</v>
      </c>
      <c r="C23" s="16" t="s">
        <v>51</v>
      </c>
      <c r="D23" s="3">
        <v>2</v>
      </c>
    </row>
    <row r="24" spans="1:5" x14ac:dyDescent="0.25">
      <c r="A24" s="2" t="s">
        <v>83</v>
      </c>
      <c r="B24" s="1" t="s">
        <v>84</v>
      </c>
      <c r="C24" s="16"/>
      <c r="D24" s="3">
        <v>1</v>
      </c>
    </row>
    <row r="25" spans="1:5" x14ac:dyDescent="0.25">
      <c r="A25" s="7" t="s">
        <v>52</v>
      </c>
      <c r="B25" s="5"/>
      <c r="C25" s="15"/>
      <c r="D25" s="12"/>
      <c r="E25" s="8"/>
    </row>
    <row r="26" spans="1:5" x14ac:dyDescent="0.25">
      <c r="A26" s="2" t="s">
        <v>53</v>
      </c>
      <c r="B26" s="1" t="s">
        <v>54</v>
      </c>
      <c r="C26" s="16"/>
      <c r="D26" s="3">
        <v>0</v>
      </c>
    </row>
    <row r="27" spans="1:5" s="22" customFormat="1" x14ac:dyDescent="0.25">
      <c r="A27" s="17" t="s">
        <v>55</v>
      </c>
      <c r="B27" s="18"/>
      <c r="C27" s="19"/>
      <c r="D27" s="20"/>
      <c r="E27" s="21">
        <f>SUM(D28:D46)</f>
        <v>24</v>
      </c>
    </row>
    <row r="28" spans="1:5" x14ac:dyDescent="0.25">
      <c r="A28" s="35" t="s">
        <v>59</v>
      </c>
      <c r="B28" s="36" t="s">
        <v>60</v>
      </c>
      <c r="C28" s="37" t="s">
        <v>61</v>
      </c>
      <c r="D28" s="38">
        <v>5</v>
      </c>
    </row>
    <row r="29" spans="1:5" x14ac:dyDescent="0.25">
      <c r="A29" s="39" t="s">
        <v>62</v>
      </c>
      <c r="B29" s="40" t="s">
        <v>63</v>
      </c>
      <c r="C29" s="41" t="s">
        <v>64</v>
      </c>
      <c r="D29" s="42">
        <v>1</v>
      </c>
    </row>
    <row r="30" spans="1:5" x14ac:dyDescent="0.25">
      <c r="A30" s="43" t="s">
        <v>65</v>
      </c>
      <c r="B30" s="44" t="s">
        <v>85</v>
      </c>
      <c r="C30" s="45" t="s">
        <v>64</v>
      </c>
      <c r="D30" s="46">
        <v>2</v>
      </c>
    </row>
    <row r="31" spans="1:5" x14ac:dyDescent="0.25">
      <c r="A31" s="11" t="s">
        <v>66</v>
      </c>
      <c r="B31" s="1" t="s">
        <v>67</v>
      </c>
      <c r="C31" s="16" t="s">
        <v>64</v>
      </c>
      <c r="D31" s="3">
        <v>5</v>
      </c>
    </row>
    <row r="33" spans="1:6" x14ac:dyDescent="0.25">
      <c r="A33" s="11" t="s">
        <v>56</v>
      </c>
      <c r="B33" s="1" t="s">
        <v>57</v>
      </c>
      <c r="C33" s="16" t="s">
        <v>58</v>
      </c>
      <c r="D33" s="13">
        <v>5</v>
      </c>
    </row>
    <row r="36" spans="1:6" s="28" customFormat="1" ht="17.25" hidden="1" customHeight="1" x14ac:dyDescent="0.25">
      <c r="A36" s="23">
        <v>3</v>
      </c>
      <c r="B36" s="24"/>
      <c r="C36" s="25"/>
      <c r="D36" s="26"/>
      <c r="E36" s="27"/>
    </row>
    <row r="37" spans="1:6" s="33" customFormat="1" hidden="1" x14ac:dyDescent="0.25">
      <c r="A37" s="11" t="s">
        <v>74</v>
      </c>
      <c r="B37" s="30" t="s">
        <v>75</v>
      </c>
      <c r="C37" s="31">
        <v>5</v>
      </c>
      <c r="D37" s="32"/>
    </row>
    <row r="38" spans="1:6" s="33" customFormat="1" hidden="1" x14ac:dyDescent="0.25">
      <c r="A38" s="34" t="s">
        <v>76</v>
      </c>
      <c r="B38" s="30" t="s">
        <v>77</v>
      </c>
      <c r="C38" s="31">
        <v>7</v>
      </c>
    </row>
    <row r="39" spans="1:6" s="33" customFormat="1" hidden="1" x14ac:dyDescent="0.25">
      <c r="A39" s="11" t="s">
        <v>78</v>
      </c>
      <c r="B39" s="30" t="s">
        <v>86</v>
      </c>
      <c r="C39" s="31">
        <v>2</v>
      </c>
      <c r="D39" s="32"/>
    </row>
    <row r="40" spans="1:6" s="33" customFormat="1" ht="15.75" hidden="1" customHeight="1" x14ac:dyDescent="0.25">
      <c r="A40" s="11" t="s">
        <v>79</v>
      </c>
      <c r="B40" s="30" t="s">
        <v>87</v>
      </c>
      <c r="C40" s="31">
        <v>5</v>
      </c>
      <c r="D40" s="32"/>
    </row>
    <row r="41" spans="1:6" s="33" customFormat="1" hidden="1" x14ac:dyDescent="0.25">
      <c r="D41" s="32"/>
    </row>
    <row r="43" spans="1:6" x14ac:dyDescent="0.25">
      <c r="A43" s="11" t="s">
        <v>68</v>
      </c>
      <c r="B43" s="1" t="s">
        <v>69</v>
      </c>
      <c r="C43" s="16" t="s">
        <v>70</v>
      </c>
      <c r="D43" s="13">
        <v>3</v>
      </c>
      <c r="F43" t="s">
        <v>88</v>
      </c>
    </row>
    <row r="46" spans="1:6" x14ac:dyDescent="0.25">
      <c r="A46" s="11" t="s">
        <v>71</v>
      </c>
      <c r="B46" s="1" t="s">
        <v>72</v>
      </c>
      <c r="C46" s="16" t="s">
        <v>73</v>
      </c>
      <c r="D46" s="13">
        <v>3</v>
      </c>
    </row>
  </sheetData>
  <hyperlinks>
    <hyperlink ref="A10" r:id="rId1" display="https://graingerplc.atlassian.net/browse/CJR-911" xr:uid="{BBD74E81-9DC5-4143-904C-3CFA882E7E59}"/>
    <hyperlink ref="A23" r:id="rId2" display="https://graingerplc.atlassian.net/browse/CJR-859" xr:uid="{E5383379-6230-4609-91B2-EB62E9CFDE12}"/>
    <hyperlink ref="A7" r:id="rId3" display="https://graingerplc.atlassian.net/browse/CJR-900" xr:uid="{34D3218E-0A7B-4C4D-AF5E-6AF6C77CAEDF}"/>
    <hyperlink ref="A5" r:id="rId4" display="https://graingerplc.atlassian.net/browse/CJR-623" xr:uid="{273610A1-E4F1-47F5-BCDD-129DBD42CCD8}"/>
    <hyperlink ref="A37" r:id="rId5" display="https://graingerplc.atlassian.net/browse/CJR-21" xr:uid="{7F779A59-3A03-4E0D-B1A8-03301E0EE596}"/>
    <hyperlink ref="A28" r:id="rId6" display="https://graingerplc.atlassian.net/browse/CJR-989" xr:uid="{CCE92579-666A-4AAC-8C7C-6A18A5A2EB16}"/>
    <hyperlink ref="A33" r:id="rId7" display="https://graingerplc.atlassian.net/browse/CJR-20" xr:uid="{6159D5F3-0981-47E1-9367-A234FF4B1F0E}"/>
    <hyperlink ref="A6" r:id="rId8" display="https://graingerplc.atlassian.net/browse/CJR-879" xr:uid="{58155A74-446E-4A0F-A4C8-62CAA34734C6}"/>
    <hyperlink ref="A4" r:id="rId9" display="https://graingerplc.atlassian.net/browse/CJR-30" xr:uid="{C082FA3C-AE43-4A11-B345-C924E8A15428}"/>
    <hyperlink ref="A11" r:id="rId10" display="https://graingerplc.atlassian.net/browse/CJR-565" xr:uid="{83278C8F-6443-406A-84EC-D7EF692AFCF9}"/>
    <hyperlink ref="A26" r:id="rId11" display="https://graingerplc.atlassian.net/browse/CJR-750" xr:uid="{7D75CA2E-DE83-46D5-8B54-71271EA82F4E}"/>
    <hyperlink ref="A12" r:id="rId12" display="https://graingerplc.atlassian.net/browse/CJR-594" xr:uid="{B6AD016C-4CE8-463E-8F52-866F406F935A}"/>
    <hyperlink ref="A22" r:id="rId13" display="https://graingerplc.atlassian.net/browse/CJR-856" xr:uid="{A1B647EC-04BC-4337-B556-D5C5816870E2}"/>
    <hyperlink ref="A29" r:id="rId14" display="https://graingerplc.atlassian.net/browse/CJR-972" xr:uid="{52046D28-DCCF-4C99-B537-468930B384EC}"/>
    <hyperlink ref="A30" r:id="rId15" display="https://graingerplc.atlassian.net/browse/CJR-971" xr:uid="{9C4238CA-FDCA-4229-B61D-2E6E5E13EF32}"/>
    <hyperlink ref="A20" r:id="rId16" display="https://graingerplc.atlassian.net/browse/CJR-968" xr:uid="{B9F57A21-8DEB-46A1-BC10-052E09F23C1F}"/>
    <hyperlink ref="A31" r:id="rId17" display="https://graingerplc.atlassian.net/browse/CJR-970" xr:uid="{7F7727BC-CAAB-4C4C-9507-F991C2EAF5D7}"/>
    <hyperlink ref="A18" r:id="rId18" display="https://graingerplc.atlassian.net/browse/CJR-339" xr:uid="{82FE3289-49EE-4C39-BDD6-07B827A82698}"/>
    <hyperlink ref="A40" r:id="rId19" display="https://graingerplc.atlassian.net/browse/CJR-218" xr:uid="{49C73227-C813-414E-9435-55E68F15C893}"/>
    <hyperlink ref="A14" r:id="rId20" display="https://graingerplc.atlassian.net/browse/CJR-788" xr:uid="{AAB62B7F-181C-4B51-A86A-BAA45B397879}"/>
    <hyperlink ref="A17" r:id="rId21" display="https://graingerplc.atlassian.net/browse/CJR-794" xr:uid="{D463ED5D-4A70-41DE-AE89-493BF226772B}"/>
    <hyperlink ref="A16" r:id="rId22" display="https://graingerplc.atlassian.net/browse/CJR-464" xr:uid="{9D15EF93-7246-4C23-9D57-C50BDB3E8550}"/>
    <hyperlink ref="A39" r:id="rId23" display="https://graingerplc.atlassian.net/browse/CJR-800" xr:uid="{39E356B9-F2C9-47D7-A262-6FC0FB5946E0}"/>
    <hyperlink ref="A43" r:id="rId24" display="https://graingerplc.atlassian.net/browse/CJR-475" xr:uid="{B3F8563F-D330-4665-834E-D1826E959051}"/>
    <hyperlink ref="A8" r:id="rId25" display="https://graingerplc.atlassian.net/browse/CJR-423" xr:uid="{E42BB3E7-7FCF-41B9-ABBC-2C196E5D1113}"/>
    <hyperlink ref="A46" r:id="rId26" display="https://graingerplc.atlassian.net/browse/CJR-814" xr:uid="{D4E19C9C-FF20-4789-8678-659C1075EB3F}"/>
    <hyperlink ref="A13" r:id="rId27" xr:uid="{DF2CFE76-31EE-4775-AF59-A7AEA52E4E79}"/>
    <hyperlink ref="A38" r:id="rId28" xr:uid="{B686A616-B4A4-41DE-9745-266A41AAA927}"/>
  </hyperlinks>
  <pageMargins left="0.7" right="0.7" top="0.75" bottom="0.75" header="0.3" footer="0.3"/>
  <pageSetup paperSize="9" orientation="portrait" r:id="rId29"/>
  <drawing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4EF29-606C-4492-82B9-7A151D3F0C8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79792A6-24EB-4C52-A687-FFA12D4A7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B9D89C-FBF6-49F3-8BDD-26B7B53E7EDD}">
  <ds:schemaRefs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1ffbd5dc-7a64-4097-8396-87f6c90b212f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CD9291B7-0620-495B-918E-27EB06266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2025-07-03T13:17:28Z</dcterms:created>
  <dcterms:modified xsi:type="dcterms:W3CDTF">2025-07-08T15:16:06Z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