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1. Sales/"/>
    </mc:Choice>
  </mc:AlternateContent>
  <xr:revisionPtr revIDLastSave="1857" documentId="8_{A487D414-4839-4584-96C7-4B5FACCDA093}" xr6:coauthVersionLast="47" xr6:coauthVersionMax="47" xr10:uidLastSave="{92C6253E-62D5-5B49-8C3E-9C1D4C4AFA4B}"/>
  <bookViews>
    <workbookView xWindow="-120" yWindow="620" windowWidth="29040" windowHeight="15720" tabRatio="699" activeTab="3" xr2:uid="{82DBA3FB-BAAE-4513-8EBD-08C2C1522918}"/>
  </bookViews>
  <sheets>
    <sheet name="Billing Milestones" sheetId="17" r:id="rId1"/>
    <sheet name="Velocity" sheetId="18" r:id="rId2"/>
    <sheet name="SOW Timeline" sheetId="16" r:id="rId3"/>
    <sheet name="SOW Costing v2" sheetId="14" r:id="rId4"/>
    <sheet name="Actuals vs Esatimate" sheetId="19" r:id="rId5"/>
    <sheet name="Actuals Vs Estiamte Data" sheetId="20" r:id="rId6"/>
    <sheet name="Pre Sprint 0 Cost Summary" sheetId="11" r:id="rId7"/>
    <sheet name="Forecasting" sheetId="2" r:id="rId8"/>
    <sheet name="Burnup" sheetId="3" r:id="rId9"/>
    <sheet name="SOW_OLD" sheetId="6" r:id="rId10"/>
    <sheet name="Timeline Old" sheetId="7" r:id="rId11"/>
    <sheet name="Timeline v2 OLD" sheetId="12" r:id="rId12"/>
  </sheet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7" l="1"/>
  <c r="H20" i="2"/>
  <c r="F10" i="18"/>
  <c r="D10" i="18"/>
  <c r="G9" i="19"/>
  <c r="H5" i="19"/>
  <c r="H6" i="19"/>
  <c r="H7" i="19"/>
  <c r="H8" i="19"/>
  <c r="H4" i="19"/>
  <c r="C21" i="19"/>
  <c r="C13" i="19"/>
  <c r="C15" i="19" s="1"/>
  <c r="F8" i="19" s="1"/>
  <c r="C9" i="19"/>
  <c r="C34" i="2"/>
  <c r="C35" i="2"/>
  <c r="D22" i="2"/>
  <c r="C29" i="2"/>
  <c r="F9" i="18"/>
  <c r="F8" i="18"/>
  <c r="F4" i="18"/>
  <c r="F5" i="18"/>
  <c r="F6" i="18"/>
  <c r="F7" i="18"/>
  <c r="F3" i="18"/>
  <c r="G19" i="17"/>
  <c r="H19" i="17"/>
  <c r="K19" i="17"/>
  <c r="J19" i="17"/>
  <c r="I19" i="17"/>
  <c r="F19" i="17"/>
  <c r="E6" i="17"/>
  <c r="E19" i="17" s="1"/>
  <c r="D5" i="17"/>
  <c r="D19" i="17" s="1"/>
  <c r="B1" i="17"/>
  <c r="G19" i="14"/>
  <c r="F19" i="14"/>
  <c r="G10" i="14"/>
  <c r="F10" i="14"/>
  <c r="G11" i="14"/>
  <c r="F11" i="14"/>
  <c r="G20" i="14"/>
  <c r="F20" i="14"/>
  <c r="G8" i="11"/>
  <c r="F8" i="11"/>
  <c r="C3" i="14"/>
  <c r="G8" i="14"/>
  <c r="GI3" i="12"/>
  <c r="GJ3" i="12"/>
  <c r="GK3" i="12"/>
  <c r="GL3" i="12"/>
  <c r="GM3" i="12"/>
  <c r="GN3" i="12"/>
  <c r="GO3" i="12"/>
  <c r="GB3" i="12"/>
  <c r="GC3" i="12"/>
  <c r="GD3" i="12"/>
  <c r="GE3" i="12"/>
  <c r="GF3" i="12"/>
  <c r="GG3" i="12"/>
  <c r="GH3" i="12"/>
  <c r="FW3" i="12"/>
  <c r="FX3" i="12"/>
  <c r="FY3" i="12"/>
  <c r="FZ3" i="12"/>
  <c r="GA3" i="12"/>
  <c r="FV3" i="12"/>
  <c r="FU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BF3" i="12"/>
  <c r="BG3" i="12"/>
  <c r="BH3" i="12"/>
  <c r="BI3" i="12"/>
  <c r="BJ3" i="12"/>
  <c r="BK3" i="12"/>
  <c r="BL3" i="12"/>
  <c r="BM3" i="12"/>
  <c r="BN3" i="12"/>
  <c r="BO3" i="12"/>
  <c r="BP3" i="12"/>
  <c r="BQ3" i="12"/>
  <c r="BR3" i="12"/>
  <c r="BS3" i="12"/>
  <c r="BT3" i="12"/>
  <c r="BU3" i="12"/>
  <c r="BV3" i="12"/>
  <c r="BW3" i="12"/>
  <c r="BX3" i="12"/>
  <c r="BY3" i="12"/>
  <c r="BZ3" i="12"/>
  <c r="CA3" i="12"/>
  <c r="CB3" i="12"/>
  <c r="CC3" i="12"/>
  <c r="CD3" i="12"/>
  <c r="CE3" i="12"/>
  <c r="CF3" i="12"/>
  <c r="CG3" i="12"/>
  <c r="CH3" i="12"/>
  <c r="CI3" i="12"/>
  <c r="CJ3" i="12"/>
  <c r="CK3" i="12"/>
  <c r="CL3" i="12"/>
  <c r="CM3" i="12"/>
  <c r="CN3" i="12"/>
  <c r="CO3" i="12"/>
  <c r="CP3" i="12"/>
  <c r="CQ3" i="12"/>
  <c r="CR3" i="12"/>
  <c r="CS3" i="12"/>
  <c r="CT3" i="12"/>
  <c r="CU3" i="12"/>
  <c r="CV3" i="12"/>
  <c r="CW3" i="12"/>
  <c r="CX3" i="12"/>
  <c r="CY3" i="12"/>
  <c r="CZ3" i="12"/>
  <c r="DA3" i="12"/>
  <c r="DB3" i="12"/>
  <c r="DC3" i="12"/>
  <c r="DD3" i="12"/>
  <c r="DE3" i="12"/>
  <c r="DF3" i="12"/>
  <c r="DG3" i="12"/>
  <c r="DH3" i="12"/>
  <c r="DI3" i="12"/>
  <c r="DJ3" i="12"/>
  <c r="DK3" i="12"/>
  <c r="DL3" i="12"/>
  <c r="DM3" i="12"/>
  <c r="DN3" i="12"/>
  <c r="DO3" i="12"/>
  <c r="DP3" i="12"/>
  <c r="DQ3" i="12"/>
  <c r="DR3" i="12"/>
  <c r="DS3" i="12"/>
  <c r="DT3" i="12"/>
  <c r="DU3" i="12"/>
  <c r="DV3" i="12"/>
  <c r="DW3" i="12"/>
  <c r="DX3" i="12"/>
  <c r="DY3" i="12"/>
  <c r="DZ3" i="12"/>
  <c r="EA3" i="12"/>
  <c r="EB3" i="12"/>
  <c r="EC3" i="12"/>
  <c r="ED3" i="12"/>
  <c r="EE3" i="12"/>
  <c r="EF3" i="12"/>
  <c r="EG3" i="12"/>
  <c r="EH3" i="12"/>
  <c r="EI3" i="12"/>
  <c r="EJ3" i="12"/>
  <c r="EK3" i="12"/>
  <c r="EL3" i="12"/>
  <c r="EM3" i="12"/>
  <c r="EN3" i="12"/>
  <c r="EO3" i="12"/>
  <c r="EP3" i="12"/>
  <c r="EQ3" i="12"/>
  <c r="ER3" i="12"/>
  <c r="ES3" i="12"/>
  <c r="ET3" i="12"/>
  <c r="EU3" i="12"/>
  <c r="EV3" i="12"/>
  <c r="EW3" i="12"/>
  <c r="EX3" i="12"/>
  <c r="EY3" i="12"/>
  <c r="EZ3" i="12"/>
  <c r="FA3" i="12"/>
  <c r="FB3" i="12"/>
  <c r="FC3" i="12"/>
  <c r="FD3" i="12"/>
  <c r="FE3" i="12"/>
  <c r="FF3" i="12"/>
  <c r="FG3" i="12"/>
  <c r="FH3" i="12"/>
  <c r="FI3" i="12"/>
  <c r="FJ3" i="12"/>
  <c r="FK3" i="12"/>
  <c r="FL3" i="12"/>
  <c r="FM3" i="12"/>
  <c r="FN3" i="12"/>
  <c r="FO3" i="12"/>
  <c r="FP3" i="12"/>
  <c r="FQ3" i="12"/>
  <c r="FR3" i="12"/>
  <c r="FS3" i="12"/>
  <c r="FT3" i="12"/>
  <c r="C4" i="14"/>
  <c r="F8" i="14"/>
  <c r="B4" i="11"/>
  <c r="G5" i="11"/>
  <c r="F5" i="11"/>
  <c r="B3" i="11"/>
  <c r="I24" i="2"/>
  <c r="I25" i="2"/>
  <c r="H24" i="2"/>
  <c r="H29" i="2"/>
  <c r="E32" i="2"/>
  <c r="I20" i="2"/>
  <c r="H21" i="2"/>
  <c r="I21" i="2"/>
  <c r="C19" i="2"/>
  <c r="D19" i="2"/>
  <c r="C18" i="2"/>
  <c r="D18" i="2"/>
  <c r="C17" i="2"/>
  <c r="D17" i="2"/>
  <c r="C33" i="2"/>
  <c r="F4" i="2"/>
  <c r="F8" i="2"/>
  <c r="G4" i="2"/>
  <c r="H4" i="2"/>
  <c r="I4" i="2"/>
  <c r="B15" i="7"/>
  <c r="B14" i="7"/>
  <c r="B10" i="7"/>
  <c r="B9" i="7"/>
  <c r="B8" i="7"/>
  <c r="B7" i="7"/>
  <c r="O13" i="2"/>
  <c r="J4" i="2"/>
  <c r="J9" i="6"/>
  <c r="J13" i="6"/>
  <c r="I9" i="6"/>
  <c r="I13" i="6"/>
  <c r="AC4" i="2"/>
  <c r="AD4" i="2"/>
  <c r="AE4" i="2"/>
  <c r="AF4" i="2"/>
  <c r="AG4" i="2"/>
  <c r="AH4" i="2"/>
  <c r="AI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AJ4" i="2"/>
  <c r="AK4" i="2"/>
  <c r="AL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F13" i="2"/>
  <c r="G13" i="2"/>
  <c r="H13" i="2"/>
  <c r="H14" i="2"/>
  <c r="I13" i="2"/>
  <c r="I14" i="2"/>
  <c r="J13" i="2"/>
  <c r="J14" i="2"/>
  <c r="K13" i="2"/>
  <c r="L13" i="2"/>
  <c r="AD13" i="2"/>
  <c r="AE13" i="2"/>
  <c r="AF13" i="2"/>
  <c r="AG13" i="2"/>
  <c r="AH13" i="2"/>
  <c r="AI13" i="2"/>
  <c r="AJ13" i="2"/>
  <c r="AK13" i="2"/>
  <c r="AL13" i="2"/>
  <c r="F14" i="2"/>
  <c r="G14" i="2"/>
  <c r="I29" i="2"/>
  <c r="H25" i="2"/>
  <c r="M13" i="2"/>
  <c r="L14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G8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K14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N13" i="2"/>
  <c r="N14" i="2"/>
  <c r="M14" i="2"/>
  <c r="E29" i="2"/>
  <c r="F4" i="19" l="1"/>
  <c r="F5" i="19"/>
  <c r="C18" i="19"/>
  <c r="C24" i="19" s="1"/>
  <c r="F6" i="19"/>
  <c r="F7" i="19"/>
  <c r="D30" i="2"/>
  <c r="C1" i="14" s="1"/>
  <c r="B1" i="11"/>
  <c r="O14" i="2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G18" i="14"/>
  <c r="G22" i="14" s="1"/>
  <c r="F18" i="14"/>
  <c r="F22" i="14" s="1"/>
  <c r="F9" i="14"/>
  <c r="F13" i="14" s="1"/>
  <c r="G9" i="14"/>
  <c r="G13" i="14" s="1"/>
  <c r="C25" i="19"/>
  <c r="F9" i="19" l="1"/>
  <c r="C23" i="19"/>
  <c r="G26" i="14"/>
  <c r="F6" i="11"/>
  <c r="F10" i="11" s="1"/>
  <c r="G6" i="11"/>
  <c r="G10" i="11" s="1"/>
  <c r="F2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<sst xmlns="http://schemas.openxmlformats.org/spreadsheetml/2006/main" count="1247" uniqueCount="259">
  <si>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</si>
  <si>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</si>
  <si>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</si>
  <si>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</si>
  <si>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</si>
  <si>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2-3 weeks </t>
  </si>
  <si>
    <t xml:space="preserve"> £                   6,000 </t>
  </si>
  <si>
    <t xml:space="preserve"> £            9,000 </t>
  </si>
  <si>
    <t>Sprint 1 - 2</t>
  </si>
  <si>
    <t>3-6 weeks</t>
  </si>
  <si>
    <t xml:space="preserve"> £                 23,400 </t>
  </si>
  <si>
    <t xml:space="preserve"> £          46,800 </t>
  </si>
  <si>
    <t>UAT </t>
  </si>
  <si>
    <t>2 weeks </t>
  </si>
  <si>
    <t xml:space="preserve"> £                   3,600 </t>
  </si>
  <si>
    <t xml:space="preserve"> £            3,600 </t>
  </si>
  <si>
    <t>Production Deployment &amp; Post Go-Live Support </t>
  </si>
  <si>
    <t>User guide creation</t>
  </si>
  <si>
    <t>Done in parallel with sprints </t>
  </si>
  <si>
    <t xml:space="preserve"> £                   3,150 </t>
  </si>
  <si>
    <t xml:space="preserve"> £            3,150 </t>
  </si>
  <si>
    <r>
      <t>Sub Total</t>
    </r>
    <r>
      <rPr>
        <sz val="9"/>
        <color theme="1"/>
        <rFont val="Verdana"/>
        <family val="2"/>
      </rPr>
      <t> </t>
    </r>
  </si>
  <si>
    <t>9 - 13 weeks</t>
  </si>
  <si>
    <t xml:space="preserve"> £                39,750 </t>
  </si>
  <si>
    <t xml:space="preserve"> £         66,150 </t>
  </si>
  <si>
    <t>Contingency for ongoing post-go live support</t>
  </si>
  <si>
    <t>40 hours</t>
  </si>
  <si>
    <t xml:space="preserve"> £                        -   </t>
  </si>
  <si>
    <t xml:space="preserve"> £            4,800 </t>
  </si>
  <si>
    <t>Total</t>
  </si>
  <si>
    <t>9 -13 weeks</t>
  </si>
  <si>
    <t xml:space="preserve"> £                        39,750</t>
  </si>
  <si>
    <r>
      <t xml:space="preserve"> £              70,950 </t>
    </r>
    <r>
      <rPr>
        <sz val="8"/>
        <color theme="1"/>
        <rFont val="Times New Roman"/>
        <family val="1"/>
      </rPr>
      <t> </t>
    </r>
  </si>
  <si>
    <t>Sprint 0</t>
  </si>
  <si>
    <t>Sprint 1</t>
  </si>
  <si>
    <t xml:space="preserve">Sprint 2 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</si>
  <si>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</si>
  <si>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</si>
  <si>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</si>
  <si>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</si>
  <si>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</si>
  <si>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</si>
  <si>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</si>
  <si>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</si>
  <si>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</si>
  <si>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</si>
  <si>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</si>
  <si>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</si>
  <si>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</si>
  <si>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</si>
  <si>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</si>
  <si>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</si>
  <si>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</si>
  <si>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</si>
  <si>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</si>
  <si>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</si>
  <si>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</si>
  <si>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</si>
  <si>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</si>
  <si>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</si>
  <si>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</si>
  <si>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</si>
  <si>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</si>
  <si>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</si>
  <si>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</si>
  <si>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</si>
  <si>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</si>
  <si>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Scheduling</t>
  </si>
  <si>
    <t>Velocity</t>
  </si>
  <si>
    <t xml:space="preserve">Total Velocity Done </t>
  </si>
  <si>
    <t>Total Backlog Size</t>
  </si>
  <si>
    <t>For Bars</t>
  </si>
  <si>
    <t>Optimistic Forecast</t>
  </si>
  <si>
    <t>Likely Forecast</t>
  </si>
  <si>
    <t>Pessimistic Forecast</t>
  </si>
  <si>
    <t>For T&amp;M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</si>
  <si>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</si>
  <si>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</si>
  <si>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</si>
  <si>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</si>
  <si>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</si>
  <si>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</si>
  <si>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</si>
  <si>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</si>
  <si>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Hourly Rate</t>
  </si>
  <si>
    <t>Allocation</t>
  </si>
  <si>
    <t>Cost Per Sprint</t>
  </si>
  <si>
    <t>Cost per sprint</t>
  </si>
  <si>
    <t>Mon</t>
  </si>
  <si>
    <t>Tue</t>
  </si>
  <si>
    <t>Wed</t>
  </si>
  <si>
    <t>Thu</t>
  </si>
  <si>
    <t>Fri</t>
  </si>
  <si>
    <t>Sat</t>
  </si>
  <si>
    <t>Sun</t>
  </si>
  <si>
    <t>Sprint 2</t>
  </si>
  <si>
    <t>Build</t>
  </si>
  <si>
    <t>UAT</t>
  </si>
  <si>
    <t>Prod Support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</si>
  <si>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</si>
  <si>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</si>
  <si>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</si>
  <si>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</si>
  <si>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</si>
  <si>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</si>
  <si>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</si>
  <si>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</si>
  <si>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</si>
  <si>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</si>
  <si>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Prod support</t>
  </si>
  <si>
    <t>User Guide</t>
  </si>
  <si>
    <t>Nov (S1)</t>
  </si>
  <si>
    <t>Dec (S2 + UG)</t>
  </si>
  <si>
    <t>Jan</t>
  </si>
  <si>
    <t>SOW</t>
  </si>
  <si>
    <t>QA</t>
  </si>
  <si>
    <t>PM</t>
  </si>
  <si>
    <t>Team Composition</t>
  </si>
  <si>
    <t>Dev Junior</t>
  </si>
  <si>
    <t>Dev Senior</t>
  </si>
  <si>
    <t>Team cost / sprint</t>
  </si>
  <si>
    <t>Phase</t>
  </si>
  <si>
    <t>2 weeks</t>
  </si>
  <si>
    <t>Total FTEs</t>
  </si>
  <si>
    <t>Day Rate</t>
  </si>
  <si>
    <t>FTE Rate</t>
  </si>
  <si>
    <t>Sprint</t>
  </si>
  <si>
    <t>Sprints: 5 - 6</t>
  </si>
  <si>
    <t>15 - 18 weeks</t>
  </si>
  <si>
    <t>Notes</t>
  </si>
  <si>
    <t>2x refinement sessions per week</t>
  </si>
  <si>
    <t>FTE Rate per month</t>
  </si>
  <si>
    <t>3 weeks</t>
  </si>
  <si>
    <t>Hour Rate</t>
  </si>
  <si>
    <t>Sprints</t>
  </si>
  <si>
    <t xml:space="preserve">Weeks </t>
  </si>
  <si>
    <t>Months</t>
  </si>
  <si>
    <t>hours per sprint</t>
  </si>
  <si>
    <t>weeks</t>
  </si>
  <si>
    <t>Duration Lower Bound</t>
  </si>
  <si>
    <t>Duration Upper Bound</t>
  </si>
  <si>
    <t>BA &amp; Architect</t>
  </si>
  <si>
    <t>Start</t>
  </si>
  <si>
    <t>Month 1</t>
  </si>
  <si>
    <t>Month 2</t>
  </si>
  <si>
    <t>Month 3</t>
  </si>
  <si>
    <t>Month 4</t>
  </si>
  <si>
    <t>Month 5</t>
  </si>
  <si>
    <t>Month 6</t>
  </si>
  <si>
    <t>Weeks</t>
  </si>
  <si>
    <t>to go live</t>
  </si>
  <si>
    <t>to UAT</t>
  </si>
  <si>
    <t>4 weeks</t>
  </si>
  <si>
    <t>24 - 29 weeks</t>
  </si>
  <si>
    <t>support</t>
  </si>
  <si>
    <t>Week 11</t>
  </si>
  <si>
    <t>Week 12</t>
  </si>
  <si>
    <t>Release 1 - SVOC - UAT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</si>
  <si>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</si>
  <si>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</si>
  <si>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</si>
  <si>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</si>
  <si>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</si>
  <si>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</si>
  <si>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</si>
  <si>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</si>
  <si>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</si>
  <si>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</si>
  <si>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</si>
  <si>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</si>
  <si>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</si>
  <si>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GO LIVE</t>
  </si>
  <si>
    <t>Release 1 - SVOC - SIT</t>
  </si>
  <si>
    <t>Release 2 - Renewals - UAT</t>
  </si>
  <si>
    <t>Post go-live support</t>
  </si>
  <si>
    <t>Release 1</t>
  </si>
  <si>
    <t>2 Sprints</t>
  </si>
  <si>
    <t>7 weeks</t>
  </si>
  <si>
    <t>15 weeks</t>
  </si>
  <si>
    <t>4-5 Sprints</t>
  </si>
  <si>
    <t>12 - 15 weeks</t>
  </si>
  <si>
    <t>Release 2</t>
  </si>
  <si>
    <t>TOTAL</t>
  </si>
  <si>
    <t>16 - 19 weeks</t>
  </si>
  <si>
    <t>User guide updates</t>
  </si>
  <si>
    <t>Release 1 GO LIVE</t>
  </si>
  <si>
    <t>Release 1 - Post go-live support</t>
  </si>
  <si>
    <t>April</t>
  </si>
  <si>
    <t>May</t>
  </si>
  <si>
    <t>June</t>
  </si>
  <si>
    <t>July</t>
  </si>
  <si>
    <t>August</t>
  </si>
  <si>
    <t>March</t>
  </si>
  <si>
    <t>September</t>
  </si>
  <si>
    <t>October</t>
  </si>
  <si>
    <t>User Guide Updates</t>
  </si>
  <si>
    <t>Extention of UAT</t>
  </si>
  <si>
    <t>Ave</t>
  </si>
  <si>
    <t>Velocity per week</t>
  </si>
  <si>
    <t>Total Build FTEs</t>
  </si>
  <si>
    <t>UAT Extention</t>
  </si>
  <si>
    <t>Total Weeks</t>
  </si>
  <si>
    <t>Team</t>
  </si>
  <si>
    <t>Hours</t>
  </si>
  <si>
    <t>Estimated</t>
  </si>
  <si>
    <t>Actual</t>
  </si>
  <si>
    <t>Billable</t>
  </si>
  <si>
    <t>Non-Billable</t>
  </si>
  <si>
    <t>Total Actual Hours</t>
  </si>
  <si>
    <t>Utilization</t>
  </si>
  <si>
    <t>Over Util Cost</t>
  </si>
  <si>
    <t>Invoice Total</t>
  </si>
  <si>
    <t>Estaimte</t>
  </si>
  <si>
    <t>Client Hierarchy - Client</t>
  </si>
  <si>
    <t>Client Hierarchy - Project</t>
  </si>
  <si>
    <t>Client Hierarchy - Section</t>
  </si>
  <si>
    <t>Client Hierarchy - Task</t>
  </si>
  <si>
    <t>Sum of Hours</t>
  </si>
  <si>
    <t>%</t>
  </si>
  <si>
    <t>Employee</t>
  </si>
  <si>
    <t>Month</t>
  </si>
  <si>
    <t>Grainger PLC</t>
  </si>
  <si>
    <t>SVOT &amp; Renewals Journey - Delivery (FC)</t>
  </si>
  <si>
    <t>Delivery</t>
  </si>
  <si>
    <t>Akshat Jain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</si>
  <si>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</si>
  <si>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</si>
  <si>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</si>
  <si>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</si>
  <si>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</si>
  <si>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</si>
  <si>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</si>
  <si>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</si>
  <si>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Anjali Salecha</t>
  </si>
  <si>
    <t>Jacob Smycz</t>
  </si>
  <si>
    <t>Khonani Davhana</t>
  </si>
  <si>
    <t>Lee Gibbs</t>
  </si>
  <si>
    <t>Delivery (Non-Billable)</t>
  </si>
  <si>
    <t>Matthew Cornfield</t>
  </si>
  <si>
    <t>Release 1 Prod Support</t>
  </si>
  <si>
    <t>Matthew Pitcairn</t>
  </si>
  <si>
    <t>Nadia Swarts</t>
  </si>
  <si>
    <t>Nikki Papenfus</t>
  </si>
  <si>
    <t>Dec 2024</t>
  </si>
  <si>
    <t>Sam Duncan</t>
  </si>
  <si>
    <t>Sarah Jessiman</t>
  </si>
  <si>
    <t>Shaun Barrett</t>
  </si>
  <si>
    <t>Tafadzwa Toro</t>
  </si>
  <si>
    <t>Sum of Sum of Hours</t>
  </si>
  <si>
    <t>Row Labels</t>
  </si>
  <si>
    <t>Grand Total</t>
  </si>
  <si>
    <t>People</t>
  </si>
  <si>
    <t>Matt P, Matt C, Lee, Toro</t>
  </si>
  <si>
    <t>Sam, Nikki, Jacob</t>
  </si>
  <si>
    <t>Akshat, Anjalie</t>
  </si>
  <si>
    <t>Khonani, Sarah, Nadia</t>
  </si>
  <si>
    <t>Shaun</t>
  </si>
  <si>
    <t>Util</t>
  </si>
  <si>
    <t>Util Per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</si>
</sst>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[$£-809]#,##0.00"/>
    <numFmt numFmtId="166" formatCode="_-* #,##0.0_-;\-* #,##0.0_-;_-* &quot;-&quot;??_-;_-@_-"/>
    <numFmt numFmtId="167" formatCode="_-* #,##0.0_-;\-* #,##0.0_-;_-* &quot;-&quot;?_-;_-@_-"/>
    <numFmt numFmtId="168" formatCode="[$£-809]#,##0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rgb="FFFFFFFF"/>
      <name val="Verdana"/>
      <family val="2"/>
    </font>
    <font>
      <sz val="9"/>
      <color theme="1"/>
      <name val="Verdana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8"/>
      <color theme="1"/>
      <name val="Times New Roman"/>
      <family val="1"/>
    </font>
    <font>
      <sz val="8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5" applyNumberFormat="0" applyAlignment="0" applyProtection="0"/>
  </cellStyleXfs>
  <cellXfs count="12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 indent="5"/>
    </xf>
    <xf numFmtId="0" fontId="2" fillId="0" borderId="0" xfId="0" applyFont="1"/>
    <xf numFmtId="0" fontId="10" fillId="0" borderId="0" xfId="0" applyFont="1"/>
    <xf numFmtId="165" fontId="10" fillId="0" borderId="0" xfId="0" applyNumberFormat="1" applyFont="1"/>
    <xf numFmtId="0" fontId="10" fillId="0" borderId="6" xfId="0" applyFont="1" applyBorder="1"/>
    <xf numFmtId="0" fontId="10" fillId="2" borderId="6" xfId="0" applyFont="1" applyFill="1" applyBorder="1"/>
    <xf numFmtId="16" fontId="10" fillId="0" borderId="6" xfId="0" applyNumberFormat="1" applyFont="1" applyBorder="1"/>
    <xf numFmtId="16" fontId="10" fillId="2" borderId="6" xfId="0" applyNumberFormat="1" applyFont="1" applyFill="1" applyBorder="1"/>
    <xf numFmtId="0" fontId="11" fillId="0" borderId="7" xfId="0" applyFont="1" applyBorder="1" applyAlignment="1">
      <alignment horizontal="center"/>
    </xf>
    <xf numFmtId="0" fontId="11" fillId="0" borderId="0" xfId="0" applyFont="1"/>
    <xf numFmtId="165" fontId="10" fillId="0" borderId="6" xfId="0" applyNumberFormat="1" applyFont="1" applyBorder="1"/>
    <xf numFmtId="165" fontId="11" fillId="0" borderId="12" xfId="0" applyNumberFormat="1" applyFont="1" applyBorder="1"/>
    <xf numFmtId="165" fontId="11" fillId="0" borderId="13" xfId="0" applyNumberFormat="1" applyFont="1" applyBorder="1"/>
    <xf numFmtId="0" fontId="11" fillId="0" borderId="6" xfId="0" applyFont="1" applyBorder="1"/>
    <xf numFmtId="9" fontId="0" fillId="0" borderId="0" xfId="1" applyFont="1" applyAlignment="1">
      <alignment wrapText="1"/>
    </xf>
    <xf numFmtId="165" fontId="2" fillId="0" borderId="0" xfId="0" applyNumberFormat="1" applyFont="1" applyAlignment="1">
      <alignment wrapText="1"/>
    </xf>
    <xf numFmtId="0" fontId="0" fillId="3" borderId="0" xfId="0" applyFill="1"/>
    <xf numFmtId="0" fontId="0" fillId="0" borderId="6" xfId="0" applyBorder="1"/>
    <xf numFmtId="165" fontId="0" fillId="0" borderId="6" xfId="0" applyNumberFormat="1" applyBorder="1"/>
    <xf numFmtId="0" fontId="2" fillId="0" borderId="6" xfId="0" applyFont="1" applyBorder="1"/>
    <xf numFmtId="165" fontId="2" fillId="0" borderId="12" xfId="0" applyNumberFormat="1" applyFont="1" applyBorder="1"/>
    <xf numFmtId="0" fontId="2" fillId="2" borderId="6" xfId="0" applyFont="1" applyFill="1" applyBorder="1"/>
    <xf numFmtId="165" fontId="2" fillId="0" borderId="0" xfId="0" applyNumberFormat="1" applyFont="1"/>
    <xf numFmtId="0" fontId="2" fillId="0" borderId="6" xfId="0" quotePrefix="1" applyFont="1" applyBorder="1"/>
    <xf numFmtId="2" fontId="0" fillId="0" borderId="0" xfId="0" applyNumberFormat="1" applyAlignment="1">
      <alignment wrapText="1"/>
    </xf>
    <xf numFmtId="165" fontId="0" fillId="0" borderId="0" xfId="0" applyNumberFormat="1"/>
    <xf numFmtId="166" fontId="0" fillId="0" borderId="0" xfId="2" applyNumberFormat="1" applyFont="1"/>
    <xf numFmtId="0" fontId="2" fillId="0" borderId="14" xfId="0" applyFont="1" applyBorder="1" applyAlignment="1">
      <alignment wrapText="1"/>
    </xf>
    <xf numFmtId="2" fontId="2" fillId="0" borderId="14" xfId="1" applyNumberFormat="1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3" xfId="0" applyBorder="1"/>
    <xf numFmtId="165" fontId="0" fillId="3" borderId="6" xfId="0" applyNumberFormat="1" applyFill="1" applyBorder="1"/>
    <xf numFmtId="9" fontId="13" fillId="0" borderId="0" xfId="0" applyNumberFormat="1" applyFont="1" applyAlignment="1">
      <alignment wrapText="1"/>
    </xf>
    <xf numFmtId="167" fontId="14" fillId="0" borderId="0" xfId="0" applyNumberFormat="1" applyFont="1" applyAlignment="1">
      <alignment wrapText="1"/>
    </xf>
    <xf numFmtId="16" fontId="0" fillId="0" borderId="0" xfId="0" applyNumberFormat="1"/>
    <xf numFmtId="164" fontId="0" fillId="0" borderId="0" xfId="2" applyFont="1"/>
    <xf numFmtId="0" fontId="11" fillId="0" borderId="0" xfId="0" applyFont="1" applyAlignment="1">
      <alignment horizontal="center"/>
    </xf>
    <xf numFmtId="0" fontId="10" fillId="2" borderId="0" xfId="0" applyFont="1" applyFill="1"/>
    <xf numFmtId="16" fontId="10" fillId="0" borderId="0" xfId="0" applyNumberFormat="1" applyFont="1"/>
    <xf numFmtId="0" fontId="16" fillId="5" borderId="0" xfId="4"/>
    <xf numFmtId="168" fontId="0" fillId="0" borderId="6" xfId="0" applyNumberFormat="1" applyBorder="1"/>
    <xf numFmtId="168" fontId="2" fillId="0" borderId="12" xfId="0" applyNumberFormat="1" applyFont="1" applyBorder="1"/>
    <xf numFmtId="168" fontId="0" fillId="0" borderId="0" xfId="0" applyNumberFormat="1"/>
    <xf numFmtId="168" fontId="2" fillId="2" borderId="6" xfId="0" applyNumberFormat="1" applyFont="1" applyFill="1" applyBorder="1"/>
    <xf numFmtId="168" fontId="2" fillId="0" borderId="0" xfId="0" applyNumberFormat="1" applyFont="1"/>
    <xf numFmtId="0" fontId="16" fillId="5" borderId="0" xfId="4" applyBorder="1" applyAlignment="1">
      <alignment horizontal="center"/>
    </xf>
    <xf numFmtId="165" fontId="2" fillId="0" borderId="6" xfId="0" applyNumberFormat="1" applyFont="1" applyBorder="1"/>
    <xf numFmtId="1" fontId="0" fillId="0" borderId="6" xfId="0" applyNumberFormat="1" applyBorder="1"/>
    <xf numFmtId="0" fontId="0" fillId="12" borderId="6" xfId="0" applyFill="1" applyBorder="1"/>
    <xf numFmtId="0" fontId="2" fillId="12" borderId="6" xfId="0" applyFont="1" applyFill="1" applyBorder="1"/>
    <xf numFmtId="165" fontId="0" fillId="12" borderId="6" xfId="0" applyNumberFormat="1" applyFill="1" applyBorder="1"/>
    <xf numFmtId="165" fontId="2" fillId="12" borderId="6" xfId="0" applyNumberFormat="1" applyFont="1" applyFill="1" applyBorder="1"/>
    <xf numFmtId="0" fontId="2" fillId="3" borderId="6" xfId="0" applyFont="1" applyFill="1" applyBorder="1"/>
    <xf numFmtId="0" fontId="0" fillId="0" borderId="6" xfId="0" applyBorder="1" applyAlignment="1">
      <alignment wrapText="1"/>
    </xf>
    <xf numFmtId="9" fontId="0" fillId="0" borderId="6" xfId="1" applyFont="1" applyBorder="1" applyAlignment="1">
      <alignment wrapText="1"/>
    </xf>
    <xf numFmtId="1" fontId="0" fillId="0" borderId="6" xfId="1" applyNumberFormat="1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/>
    <xf numFmtId="0" fontId="19" fillId="0" borderId="0" xfId="0" applyFont="1"/>
    <xf numFmtId="9" fontId="19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6" xfId="1" applyFont="1" applyBorder="1"/>
    <xf numFmtId="0" fontId="20" fillId="0" borderId="6" xfId="0" applyFont="1" applyBorder="1"/>
    <xf numFmtId="0" fontId="20" fillId="0" borderId="12" xfId="0" applyFont="1" applyBorder="1"/>
    <xf numFmtId="1" fontId="20" fillId="0" borderId="12" xfId="0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4" borderId="0" xfId="3" applyAlignment="1">
      <alignment horizontal="center"/>
    </xf>
    <xf numFmtId="0" fontId="11" fillId="10" borderId="23" xfId="0" applyFont="1" applyFill="1" applyBorder="1" applyAlignment="1">
      <alignment horizontal="center"/>
    </xf>
    <xf numFmtId="0" fontId="11" fillId="10" borderId="24" xfId="0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10" borderId="16" xfId="0" applyFont="1" applyFill="1" applyBorder="1" applyAlignment="1">
      <alignment horizontal="center"/>
    </xf>
    <xf numFmtId="0" fontId="11" fillId="10" borderId="17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17" fillId="6" borderId="25" xfId="5" applyBorder="1" applyAlignment="1">
      <alignment horizontal="center"/>
    </xf>
    <xf numFmtId="0" fontId="17" fillId="6" borderId="26" xfId="5" applyBorder="1" applyAlignment="1">
      <alignment horizontal="center"/>
    </xf>
    <xf numFmtId="0" fontId="17" fillId="6" borderId="27" xfId="5" applyBorder="1" applyAlignment="1">
      <alignment horizontal="center"/>
    </xf>
    <xf numFmtId="0" fontId="18" fillId="7" borderId="15" xfId="6" applyAlignment="1">
      <alignment horizontal="center"/>
    </xf>
    <xf numFmtId="0" fontId="11" fillId="11" borderId="16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/>
    </xf>
    <xf numFmtId="0" fontId="11" fillId="11" borderId="18" xfId="0" applyFont="1" applyFill="1" applyBorder="1" applyAlignment="1">
      <alignment horizontal="center"/>
    </xf>
    <xf numFmtId="0" fontId="17" fillId="6" borderId="22" xfId="5" applyBorder="1" applyAlignment="1">
      <alignment horizontal="center"/>
    </xf>
    <xf numFmtId="0" fontId="17" fillId="6" borderId="0" xfId="5" applyBorder="1" applyAlignment="1">
      <alignment horizontal="center"/>
    </xf>
  </cellXfs>
  <cellStyles count="7">
    <cellStyle name="Bad" xfId="4" builtinId="27"/>
    <cellStyle name="Comma" xfId="2" builtinId="3"/>
    <cellStyle name="Good" xfId="3" builtinId="26"/>
    <cellStyle name="Input" xfId="6" builtinId="20"/>
    <cellStyle name="Neutral" xfId="5" builtinId="28"/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74045096711023E-2"/>
          <c:y val="2.1348713816517997E-2"/>
          <c:w val="0.96380553348262643"/>
          <c:h val="0.91117110260924428"/>
        </c:manualLayout>
      </c:layout>
      <c:lineChart>
        <c:grouping val="standard"/>
        <c:varyColors val="0"/>
        <c:ser>
          <c:idx val="10"/>
          <c:order val="0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9E-4EA3-95BF-3D41B3F435A8}"/>
            </c:ext>
          </c:extLst>
        </c:ser>
        <c:ser>
          <c:idx val="11"/>
          <c:order val="1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F9E-4EA3-95BF-3D41B3F435A8}"/>
            </c:ext>
          </c:extLst>
        </c:ser>
        <c:ser>
          <c:idx val="12"/>
          <c:order val="2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38</c:v>
                </c:pt>
                <c:pt idx="2">
                  <c:v>76</c:v>
                </c:pt>
                <c:pt idx="3">
                  <c:v>114</c:v>
                </c:pt>
                <c:pt idx="4">
                  <c:v>152</c:v>
                </c:pt>
                <c:pt idx="5">
                  <c:v>190</c:v>
                </c:pt>
                <c:pt idx="6">
                  <c:v>228</c:v>
                </c:pt>
                <c:pt idx="7">
                  <c:v>266</c:v>
                </c:pt>
                <c:pt idx="8">
                  <c:v>304</c:v>
                </c:pt>
                <c:pt idx="9">
                  <c:v>342</c:v>
                </c:pt>
                <c:pt idx="10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9E-4EA3-95BF-3D41B3F435A8}"/>
            </c:ext>
          </c:extLst>
        </c:ser>
        <c:ser>
          <c:idx val="13"/>
          <c:order val="3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F9E-4EA3-95BF-3D41B3F435A8}"/>
            </c:ext>
          </c:extLst>
        </c:ser>
        <c:ser>
          <c:idx val="14"/>
          <c:order val="4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9E-4EA3-95BF-3D41B3F435A8}"/>
            </c:ext>
          </c:extLst>
        </c:ser>
        <c:ser>
          <c:idx val="15"/>
          <c:order val="5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F9E-4EA3-95BF-3D41B3F435A8}"/>
            </c:ext>
          </c:extLst>
        </c:ser>
        <c:ser>
          <c:idx val="16"/>
          <c:order val="6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9E-4EA3-95BF-3D41B3F435A8}"/>
            </c:ext>
          </c:extLst>
        </c:ser>
        <c:ser>
          <c:idx val="17"/>
          <c:order val="7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38</c:v>
                </c:pt>
                <c:pt idx="2">
                  <c:v>76</c:v>
                </c:pt>
                <c:pt idx="3">
                  <c:v>114</c:v>
                </c:pt>
                <c:pt idx="4">
                  <c:v>152</c:v>
                </c:pt>
                <c:pt idx="5">
                  <c:v>190</c:v>
                </c:pt>
                <c:pt idx="6">
                  <c:v>228</c:v>
                </c:pt>
                <c:pt idx="7">
                  <c:v>266</c:v>
                </c:pt>
                <c:pt idx="8">
                  <c:v>304</c:v>
                </c:pt>
                <c:pt idx="9">
                  <c:v>342</c:v>
                </c:pt>
                <c:pt idx="10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9E-4EA3-95BF-3D41B3F435A8}"/>
            </c:ext>
          </c:extLst>
        </c:ser>
        <c:ser>
          <c:idx val="18"/>
          <c:order val="8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9E-4EA3-95BF-3D41B3F435A8}"/>
            </c:ext>
          </c:extLst>
        </c:ser>
        <c:ser>
          <c:idx val="19"/>
          <c:order val="9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F9E-4EA3-95BF-3D41B3F435A8}"/>
            </c:ext>
          </c:extLst>
        </c:ser>
        <c:ser>
          <c:idx val="5"/>
          <c:order val="10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E-4EA3-95BF-3D41B3F435A8}"/>
            </c:ext>
          </c:extLst>
        </c:ser>
        <c:ser>
          <c:idx val="6"/>
          <c:order val="11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9E-4EA3-95BF-3D41B3F435A8}"/>
            </c:ext>
          </c:extLst>
        </c:ser>
        <c:ser>
          <c:idx val="7"/>
          <c:order val="12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38</c:v>
                </c:pt>
                <c:pt idx="2">
                  <c:v>76</c:v>
                </c:pt>
                <c:pt idx="3">
                  <c:v>114</c:v>
                </c:pt>
                <c:pt idx="4">
                  <c:v>152</c:v>
                </c:pt>
                <c:pt idx="5">
                  <c:v>190</c:v>
                </c:pt>
                <c:pt idx="6">
                  <c:v>228</c:v>
                </c:pt>
                <c:pt idx="7">
                  <c:v>266</c:v>
                </c:pt>
                <c:pt idx="8">
                  <c:v>304</c:v>
                </c:pt>
                <c:pt idx="9">
                  <c:v>342</c:v>
                </c:pt>
                <c:pt idx="10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9E-4EA3-95BF-3D41B3F435A8}"/>
            </c:ext>
          </c:extLst>
        </c:ser>
        <c:ser>
          <c:idx val="8"/>
          <c:order val="13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9E-4EA3-95BF-3D41B3F435A8}"/>
            </c:ext>
          </c:extLst>
        </c:ser>
        <c:ser>
          <c:idx val="9"/>
          <c:order val="14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9E-4EA3-95BF-3D41B3F435A8}"/>
            </c:ext>
          </c:extLst>
        </c:ser>
        <c:ser>
          <c:idx val="0"/>
          <c:order val="15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9E-4EA3-95BF-3D41B3F435A8}"/>
            </c:ext>
          </c:extLst>
        </c:ser>
        <c:ser>
          <c:idx val="1"/>
          <c:order val="16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9E-4EA3-95BF-3D41B3F435A8}"/>
            </c:ext>
          </c:extLst>
        </c:ser>
        <c:ser>
          <c:idx val="3"/>
          <c:order val="17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38</c:v>
                </c:pt>
                <c:pt idx="2">
                  <c:v>76</c:v>
                </c:pt>
                <c:pt idx="3">
                  <c:v>114</c:v>
                </c:pt>
                <c:pt idx="4">
                  <c:v>152</c:v>
                </c:pt>
                <c:pt idx="5">
                  <c:v>190</c:v>
                </c:pt>
                <c:pt idx="6">
                  <c:v>228</c:v>
                </c:pt>
                <c:pt idx="7">
                  <c:v>266</c:v>
                </c:pt>
                <c:pt idx="8">
                  <c:v>304</c:v>
                </c:pt>
                <c:pt idx="9">
                  <c:v>342</c:v>
                </c:pt>
                <c:pt idx="10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F9E-4EA3-95BF-3D41B3F435A8}"/>
            </c:ext>
          </c:extLst>
        </c:ser>
        <c:ser>
          <c:idx val="4"/>
          <c:order val="18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F9E-4EA3-95BF-3D41B3F435A8}"/>
            </c:ext>
          </c:extLst>
        </c:ser>
        <c:ser>
          <c:idx val="2"/>
          <c:order val="19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9E-4EA3-95BF-3D41B3F43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4.8214856146238189E-2"/>
          <c:y val="0.14960158536217455"/>
          <c:w val="0.22449213844187532"/>
          <c:h val="0.10092391468307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116103</xdr:colOff>
      <xdr:row>23</xdr:row>
      <xdr:rowOff>133980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383D0-2B1A-4662-A505-C8760FA8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17703" cy="4515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21</xdr:col>
      <xdr:colOff>540960</xdr:colOff>
      <xdr:row>43</xdr:row>
      <xdr:rowOff>27019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AD4719-44B4-4466-96A0-5DDFAB478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13342560" cy="3456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52</xdr:row>
      <xdr:rowOff>171450</xdr:rowOff>
    </xdr:from>
    <xdr:to>
      <xdr:col>19</xdr:col>
      <xdr:colOff>529841</xdr:colOff>
      <xdr:row>90</xdr:row>
      <xdr:rowOff>159124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A9F0BC-4282-7240-F894-343463363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10096500"/>
          <a:ext cx="15451706" cy="72304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</xdr:colOff>
      <xdr:row>0</xdr:row>
      <xdr:rowOff>114300</xdr:rowOff>
    </xdr:from>
    <xdr:to>
      <xdr:col>14</xdr:col>
      <xdr:colOff>0</xdr:colOff>
      <xdr:row>28</xdr:row>
      <xdr:rowOff>83820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0.42043</cdr:x>
      <cdr:y>0.06737</cdr:y>
    </cdr:from>
    <cdr:to>
      <cdr:x>0.42149</cdr:x>
      <cdr:y>0.93671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3733352" y="352954"/>
          <a:ext cx="9413" cy="455435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0.59161</cdr:x>
      <cdr:y>0.06034</cdr:y>
    </cdr:from>
    <cdr:to>
      <cdr:x>0.59305</cdr:x>
      <cdr:y>0.93196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5218520" y="320029"/>
          <a:ext cx="12702" cy="462265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0.59161</cdr:x>
      <cdr:y>0.06034</cdr:y>
    </cdr:from>
    <cdr:to>
      <cdr:x>0.59305</cdr:x>
      <cdr:y>0.93196</cdr:y>
    </cdr:to>
    <cdr:cxnSp macro="">
      <cdr:nvCxnSpPr>
        <cdr:cNvPr id="3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5253358" y="316113"/>
          <a:ext cx="12787" cy="456629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0.99981</cdr:x>
      <cdr:y>0.12746</cdr:y>
    </cdr:from>
    <cdr:to>
      <cdr:x>0.99981</cdr:x>
      <cdr:y>1</cdr:y>
    </cdr:to>
    <cdr:cxnSp macro="">
      <cdr:nvCxnSpPr>
        <cdr:cNvPr id="4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8910767" y="675987"/>
          <a:ext cx="0" cy="4627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10</xdr:row>
      <xdr:rowOff>66675</xdr:rowOff>
    </xdr:from>
    <xdr:to>
      <xdr:col>39</xdr:col>
      <xdr:colOff>219075</xdr:colOff>
      <xdr:row>31</xdr:row>
      <xdr:rowOff>53975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E2E5718-C741-B00C-6C2A-E59815885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866900"/>
          <a:ext cx="13820775" cy="373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Barrett" refreshedDate="45894.683075347224" createdVersion="8" refreshedVersion="8" minRefreshableVersion="3" recordCount="103" xr:uid="{9EF8B6B7-5AF9-48B1-8FE8-7F292A0F1096}">
  <cacheSource type="worksheet">
    <worksheetSource name="Table1"/>
  </cacheSource>
  <cacheFields count="8">
    <cacheField name="Client Hierarchy - Client" numFmtId="0">
      <sharedItems/>
    </cacheField>
    <cacheField name="Client Hierarchy - Project" numFmtId="0">
      <sharedItems/>
    </cacheField>
    <cacheField name="Client Hierarchy - Section" numFmtId="0">
      <sharedItems/>
    </cacheField>
    <cacheField name="Client Hierarchy - Task" numFmtId="0">
      <sharedItems/>
    </cacheField>
    <cacheField name="Sum of Hours" numFmtId="0">
      <sharedItems containsSemiMixedTypes="0" containsString="0" containsNumber="1" minValue="0.75" maxValue="178.5"/>
    </cacheField>
    <cacheField name="%" numFmtId="0">
      <sharedItems containsSemiMixedTypes="0" containsString="0" containsNumber="1" minValue="1.8604651162790701E-2" maxValue="1"/>
    </cacheField>
    <cacheField name="Employee" numFmtId="0">
      <sharedItems count="13">
        <s v="Akshat Jain"/>
        <s v="Anjali Salecha"/>
        <s v="Jacob Smycz"/>
        <s v="Khonani Davhana"/>
        <s v="Lee Gibbs"/>
        <s v="Matthew Cornfield"/>
        <s v="Matthew Pitcairn"/>
        <s v="Nadia Swarts"/>
        <s v="Nikki Papenfus"/>
        <s v="Sam Duncan"/>
        <s v="Sarah Jessiman"/>
        <s v="Shaun Barrett"/>
        <s v="Tafadzwa Toro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Grainger PLC"/>
    <s v="SVOT &amp; Renewals Journey - Delivery (FC)"/>
    <s v="Build"/>
    <s v="Delivery"/>
    <n v="39.5"/>
    <n v="1"/>
    <x v="0"/>
    <s v="Jan 2025"/>
  </r>
  <r>
    <s v="Grainger PLC"/>
    <s v="SVOT &amp; Renewals Journey - Delivery (FC)"/>
    <s v="Build"/>
    <s v="Delivery"/>
    <n v="136"/>
    <n v="1"/>
    <x v="0"/>
    <s v="Feb 2025"/>
  </r>
  <r>
    <s v="Grainger PLC"/>
    <s v="SVOT &amp; Renewals Journey - Delivery (FC)"/>
    <s v="Build"/>
    <s v="Delivery"/>
    <n v="144.5"/>
    <n v="1"/>
    <x v="0"/>
    <s v="Mar 2025"/>
  </r>
  <r>
    <s v="Grainger PLC"/>
    <s v="SVOT &amp; Renewals Journey - Delivery (FC)"/>
    <s v="Build"/>
    <s v="Delivery"/>
    <n v="170"/>
    <n v="1"/>
    <x v="0"/>
    <s v="Apr 2025"/>
  </r>
  <r>
    <s v="Grainger PLC"/>
    <s v="SVOT &amp; Renewals Journey - Delivery (FC)"/>
    <s v="Build"/>
    <s v="Delivery"/>
    <n v="153"/>
    <n v="1"/>
    <x v="0"/>
    <s v="May 2025"/>
  </r>
  <r>
    <s v="Grainger PLC"/>
    <s v="SVOT &amp; Renewals Journey - Delivery (FC)"/>
    <s v="Build"/>
    <s v="Delivery"/>
    <n v="170"/>
    <n v="1"/>
    <x v="0"/>
    <s v="Jun 2025"/>
  </r>
  <r>
    <s v="Grainger PLC"/>
    <s v="SVOT &amp; Renewals Journey - Delivery (FC)"/>
    <s v="Build"/>
    <s v="Delivery"/>
    <n v="178.5"/>
    <n v="1"/>
    <x v="0"/>
    <s v="Jul 2025"/>
  </r>
  <r>
    <s v="Grainger PLC"/>
    <s v="SVOT &amp; Renewals Journey - Delivery (FC)"/>
    <s v="Build"/>
    <s v="Delivery"/>
    <n v="47"/>
    <n v="1"/>
    <x v="0"/>
    <s v="Aug 2025"/>
  </r>
  <r>
    <s v="Grainger PLC"/>
    <s v="SVOT &amp; Renewals Journey - Delivery (FC)"/>
    <s v="Build"/>
    <s v="Delivery"/>
    <n v="27.25"/>
    <n v="1"/>
    <x v="1"/>
    <s v="Jan 2025"/>
  </r>
  <r>
    <s v="Grainger PLC"/>
    <s v="SVOT &amp; Renewals Journey - Delivery (FC)"/>
    <s v="Build"/>
    <s v="Delivery"/>
    <n v="120"/>
    <n v="1"/>
    <x v="1"/>
    <s v="Feb 2025"/>
  </r>
  <r>
    <s v="Grainger PLC"/>
    <s v="SVOT &amp; Renewals Journey - Delivery (FC)"/>
    <s v="Build"/>
    <s v="Delivery"/>
    <n v="120.5"/>
    <n v="1"/>
    <x v="1"/>
    <s v="Mar 2025"/>
  </r>
  <r>
    <s v="Grainger PLC"/>
    <s v="SVOT &amp; Renewals Journey - Delivery (FC)"/>
    <s v="Build"/>
    <s v="Delivery"/>
    <n v="148.5"/>
    <n v="1"/>
    <x v="1"/>
    <s v="Apr 2025"/>
  </r>
  <r>
    <s v="Grainger PLC"/>
    <s v="SVOT &amp; Renewals Journey - Delivery (FC)"/>
    <s v="Build"/>
    <s v="Delivery"/>
    <n v="141"/>
    <n v="1"/>
    <x v="1"/>
    <s v="May 2025"/>
  </r>
  <r>
    <s v="Grainger PLC"/>
    <s v="SVOT &amp; Renewals Journey - Delivery (FC)"/>
    <s v="Build"/>
    <s v="Delivery"/>
    <n v="143.25"/>
    <n v="1"/>
    <x v="1"/>
    <s v="Jun 2025"/>
  </r>
  <r>
    <s v="Grainger PLC"/>
    <s v="SVOT &amp; Renewals Journey - Delivery (FC)"/>
    <s v="Build"/>
    <s v="Delivery"/>
    <n v="166"/>
    <n v="1"/>
    <x v="1"/>
    <s v="Jul 2025"/>
  </r>
  <r>
    <s v="Grainger PLC"/>
    <s v="SVOT &amp; Renewals Journey - Delivery (FC)"/>
    <s v="Build"/>
    <s v="Delivery"/>
    <n v="27.75"/>
    <n v="1"/>
    <x v="1"/>
    <s v="Aug 2025"/>
  </r>
  <r>
    <s v="Grainger PLC"/>
    <s v="SVOT &amp; Renewals Journey - Delivery (FC)"/>
    <s v="Build"/>
    <s v="Delivery"/>
    <n v="4"/>
    <n v="1"/>
    <x v="2"/>
    <s v="Jan 2025"/>
  </r>
  <r>
    <s v="Grainger PLC"/>
    <s v="SVOT &amp; Renewals Journey - Delivery (FC)"/>
    <s v="Build"/>
    <s v="Delivery"/>
    <n v="15.5"/>
    <n v="0.95384615384615401"/>
    <x v="2"/>
    <s v="Feb 2025"/>
  </r>
  <r>
    <s v="Grainger PLC"/>
    <s v="SVOT &amp; Renewals Journey - Delivery (FC)"/>
    <s v="Build"/>
    <s v="Delivery"/>
    <n v="28"/>
    <n v="1"/>
    <x v="2"/>
    <s v="Mar 2025"/>
  </r>
  <r>
    <s v="Grainger PLC"/>
    <s v="SVOT &amp; Renewals Journey - Delivery (FC)"/>
    <s v="Build"/>
    <s v="Delivery"/>
    <n v="46.75"/>
    <n v="1"/>
    <x v="2"/>
    <s v="Apr 2025"/>
  </r>
  <r>
    <s v="Grainger PLC"/>
    <s v="SVOT &amp; Renewals Journey - Delivery (FC)"/>
    <s v="Build"/>
    <s v="Delivery"/>
    <n v="51"/>
    <n v="1"/>
    <x v="2"/>
    <s v="May 2025"/>
  </r>
  <r>
    <s v="Grainger PLC"/>
    <s v="SVOT &amp; Renewals Journey - Delivery (FC)"/>
    <s v="Build"/>
    <s v="Delivery"/>
    <n v="68.5"/>
    <n v="1"/>
    <x v="2"/>
    <s v="Jun 2025"/>
  </r>
  <r>
    <s v="Grainger PLC"/>
    <s v="SVOT &amp; Renewals Journey - Delivery (FC)"/>
    <s v="Build"/>
    <s v="Delivery"/>
    <n v="70.75"/>
    <n v="1"/>
    <x v="2"/>
    <s v="Jul 2025"/>
  </r>
  <r>
    <s v="Grainger PLC"/>
    <s v="SVOT &amp; Renewals Journey - Delivery (FC)"/>
    <s v="Build"/>
    <s v="Delivery"/>
    <n v="27.25"/>
    <n v="1"/>
    <x v="2"/>
    <s v="Aug 2025"/>
  </r>
  <r>
    <s v="Grainger PLC"/>
    <s v="SVOT &amp; Renewals Journey - Delivery (FC)"/>
    <s v="Sprint 0"/>
    <s v="Sprint 0"/>
    <n v="0.75"/>
    <n v="4.6153846153846198E-2"/>
    <x v="2"/>
    <s v="Feb 2025"/>
  </r>
  <r>
    <s v="Grainger PLC"/>
    <s v="SVOT &amp; Renewals Journey - Delivery (FC)"/>
    <s v="Build"/>
    <s v="Delivery"/>
    <n v="7.25"/>
    <n v="1"/>
    <x v="3"/>
    <s v="Jan 2025"/>
  </r>
  <r>
    <s v="Grainger PLC"/>
    <s v="SVOT &amp; Renewals Journey - Delivery (FC)"/>
    <s v="Build"/>
    <s v="Delivery"/>
    <n v="98.25"/>
    <n v="1"/>
    <x v="3"/>
    <s v="Feb 2025"/>
  </r>
  <r>
    <s v="Grainger PLC"/>
    <s v="SVOT &amp; Renewals Journey - Delivery (FC)"/>
    <s v="Build"/>
    <s v="Delivery"/>
    <n v="105.25"/>
    <n v="1"/>
    <x v="3"/>
    <s v="Mar 2025"/>
  </r>
  <r>
    <s v="Grainger PLC"/>
    <s v="SVOT &amp; Renewals Journey - Delivery (FC)"/>
    <s v="Build"/>
    <s v="Delivery"/>
    <n v="58.75"/>
    <n v="1"/>
    <x v="3"/>
    <s v="Apr 2025"/>
  </r>
  <r>
    <s v="Grainger PLC"/>
    <s v="SVOT &amp; Renewals Journey - Delivery (FC)"/>
    <s v="Build"/>
    <s v="Delivery"/>
    <n v="92.25"/>
    <n v="1"/>
    <x v="3"/>
    <s v="May 2025"/>
  </r>
  <r>
    <s v="Grainger PLC"/>
    <s v="SVOT &amp; Renewals Journey - Delivery (FC)"/>
    <s v="Build"/>
    <s v="Delivery"/>
    <n v="103.5"/>
    <n v="1"/>
    <x v="3"/>
    <s v="Jun 2025"/>
  </r>
  <r>
    <s v="Grainger PLC"/>
    <s v="SVOT &amp; Renewals Journey - Delivery (FC)"/>
    <s v="Build"/>
    <s v="Delivery"/>
    <n v="120"/>
    <n v="1"/>
    <x v="3"/>
    <s v="Jul 2025"/>
  </r>
  <r>
    <s v="Grainger PLC"/>
    <s v="SVOT &amp; Renewals Journey - Delivery (FC)"/>
    <s v="Build"/>
    <s v="Delivery"/>
    <n v="24"/>
    <n v="1"/>
    <x v="3"/>
    <s v="Aug 2025"/>
  </r>
  <r>
    <s v="Grainger PLC"/>
    <s v="SVOT &amp; Renewals Journey - Delivery (FC)"/>
    <s v="Build"/>
    <s v="Delivery"/>
    <n v="50"/>
    <n v="0.92165898617511499"/>
    <x v="4"/>
    <s v="May 2025"/>
  </r>
  <r>
    <s v="Grainger PLC"/>
    <s v="SVOT &amp; Renewals Journey - Delivery (FC)"/>
    <s v="Build"/>
    <s v="Delivery"/>
    <n v="74.5"/>
    <n v="0.87390029325513197"/>
    <x v="4"/>
    <s v="Jun 2025"/>
  </r>
  <r>
    <s v="Grainger PLC"/>
    <s v="SVOT &amp; Renewals Journey - Delivery (FC)"/>
    <s v="Build"/>
    <s v="Delivery"/>
    <n v="78"/>
    <n v="0.89913544668587897"/>
    <x v="4"/>
    <s v="Jul 2025"/>
  </r>
  <r>
    <s v="Grainger PLC"/>
    <s v="SVOT &amp; Renewals Journey - Delivery (FC)"/>
    <s v="Build"/>
    <s v="Delivery"/>
    <n v="4.75"/>
    <n v="1"/>
    <x v="4"/>
    <s v="Aug 2025"/>
  </r>
  <r>
    <s v="Grainger PLC"/>
    <s v="SVOT &amp; Renewals Journey - Delivery (FC)"/>
    <s v="Build"/>
    <s v="Delivery (Non-Billable)"/>
    <n v="4.25"/>
    <n v="7.83410138248848E-2"/>
    <x v="4"/>
    <s v="May 2025"/>
  </r>
  <r>
    <s v="Grainger PLC"/>
    <s v="SVOT &amp; Renewals Journey - Delivery (FC)"/>
    <s v="Build"/>
    <s v="Delivery (Non-Billable)"/>
    <n v="10.75"/>
    <n v="0.12609970674486801"/>
    <x v="4"/>
    <s v="Jun 2025"/>
  </r>
  <r>
    <s v="Grainger PLC"/>
    <s v="SVOT &amp; Renewals Journey - Delivery (FC)"/>
    <s v="Build"/>
    <s v="Delivery (Non-Billable)"/>
    <n v="8.75"/>
    <n v="0.100864553314121"/>
    <x v="4"/>
    <s v="Jul 2025"/>
  </r>
  <r>
    <s v="Grainger PLC"/>
    <s v="SVOT &amp; Renewals Journey - Delivery (FC)"/>
    <s v="Build"/>
    <s v="Delivery"/>
    <n v="28.75"/>
    <n v="1"/>
    <x v="5"/>
    <s v="Feb 2025"/>
  </r>
  <r>
    <s v="Grainger PLC"/>
    <s v="SVOT &amp; Renewals Journey - Delivery (FC)"/>
    <s v="Build"/>
    <s v="Delivery"/>
    <n v="124.5"/>
    <n v="1"/>
    <x v="5"/>
    <s v="Mar 2025"/>
  </r>
  <r>
    <s v="Grainger PLC"/>
    <s v="SVOT &amp; Renewals Journey - Delivery (FC)"/>
    <s v="Build"/>
    <s v="Delivery"/>
    <n v="141.5"/>
    <n v="1"/>
    <x v="5"/>
    <s v="Apr 2025"/>
  </r>
  <r>
    <s v="Grainger PLC"/>
    <s v="SVOT &amp; Renewals Journey - Delivery (FC)"/>
    <s v="Build"/>
    <s v="Delivery"/>
    <n v="114"/>
    <n v="1"/>
    <x v="5"/>
    <s v="May 2025"/>
  </r>
  <r>
    <s v="Grainger PLC"/>
    <s v="SVOT &amp; Renewals Journey - Delivery (FC)"/>
    <s v="Build"/>
    <s v="Delivery"/>
    <n v="105.5"/>
    <n v="0.98139534883720903"/>
    <x v="5"/>
    <s v="Jun 2025"/>
  </r>
  <r>
    <s v="Grainger PLC"/>
    <s v="SVOT &amp; Renewals Journey - Delivery (FC)"/>
    <s v="Build"/>
    <s v="Delivery"/>
    <n v="96.75"/>
    <n v="1"/>
    <x v="5"/>
    <s v="Jul 2025"/>
  </r>
  <r>
    <s v="Grainger PLC"/>
    <s v="SVOT &amp; Renewals Journey - Delivery (FC)"/>
    <s v="Build"/>
    <s v="Delivery"/>
    <n v="24.5"/>
    <n v="1"/>
    <x v="5"/>
    <s v="Aug 2025"/>
  </r>
  <r>
    <s v="Grainger PLC"/>
    <s v="SVOT &amp; Renewals Journey - Delivery (FC)"/>
    <s v="Build"/>
    <s v="Release 1 Prod Support"/>
    <n v="2"/>
    <n v="1.8604651162790701E-2"/>
    <x v="5"/>
    <s v="Jun 2025"/>
  </r>
  <r>
    <s v="Grainger PLC"/>
    <s v="SVOT &amp; Renewals Journey - Delivery (FC)"/>
    <s v="Build"/>
    <s v="Delivery"/>
    <n v="0.75"/>
    <n v="0.42857142857142899"/>
    <x v="6"/>
    <s v="Jan 2025"/>
  </r>
  <r>
    <s v="Grainger PLC"/>
    <s v="SVOT &amp; Renewals Journey - Delivery (FC)"/>
    <s v="Build"/>
    <s v="Delivery"/>
    <n v="3.75"/>
    <n v="1"/>
    <x v="6"/>
    <s v="Feb 2025"/>
  </r>
  <r>
    <s v="Grainger PLC"/>
    <s v="SVOT &amp; Renewals Journey - Delivery (FC)"/>
    <s v="Build"/>
    <s v="Delivery"/>
    <n v="74"/>
    <n v="1"/>
    <x v="6"/>
    <s v="Mar 2025"/>
  </r>
  <r>
    <s v="Grainger PLC"/>
    <s v="SVOT &amp; Renewals Journey - Delivery (FC)"/>
    <s v="Build"/>
    <s v="Delivery"/>
    <n v="61.25"/>
    <n v="1"/>
    <x v="6"/>
    <s v="Apr 2025"/>
  </r>
  <r>
    <s v="Grainger PLC"/>
    <s v="SVOT &amp; Renewals Journey - Delivery (FC)"/>
    <s v="Build"/>
    <s v="Delivery"/>
    <n v="92.5"/>
    <n v="1"/>
    <x v="6"/>
    <s v="May 2025"/>
  </r>
  <r>
    <s v="Grainger PLC"/>
    <s v="SVOT &amp; Renewals Journey - Delivery (FC)"/>
    <s v="Build"/>
    <s v="Delivery"/>
    <n v="59.25"/>
    <n v="1"/>
    <x v="6"/>
    <s v="Jun 2025"/>
  </r>
  <r>
    <s v="Grainger PLC"/>
    <s v="SVOT &amp; Renewals Journey - Delivery (FC)"/>
    <s v="Build"/>
    <s v="Delivery"/>
    <n v="82.5"/>
    <n v="1"/>
    <x v="6"/>
    <s v="Jul 2025"/>
  </r>
  <r>
    <s v="Grainger PLC"/>
    <s v="SVOT &amp; Renewals Journey - Delivery (FC)"/>
    <s v="Build"/>
    <s v="Delivery"/>
    <n v="2.75"/>
    <n v="1"/>
    <x v="6"/>
    <s v="Aug 2025"/>
  </r>
  <r>
    <s v="Grainger PLC"/>
    <s v="SVOT &amp; Renewals Journey - Delivery (FC)"/>
    <s v="Sprint 0"/>
    <s v="Sprint 0"/>
    <n v="1"/>
    <n v="0.57142857142857095"/>
    <x v="6"/>
    <s v="Jan 2025"/>
  </r>
  <r>
    <s v="Grainger PLC"/>
    <s v="SVOT &amp; Renewals Journey - Delivery (FC)"/>
    <s v="Build"/>
    <s v="Delivery"/>
    <n v="21.5"/>
    <n v="0.934782608695652"/>
    <x v="7"/>
    <s v="May 2025"/>
  </r>
  <r>
    <s v="Grainger PLC"/>
    <s v="SVOT &amp; Renewals Journey - Delivery (FC)"/>
    <s v="Build"/>
    <s v="Delivery"/>
    <n v="42"/>
    <n v="1"/>
    <x v="7"/>
    <s v="Jun 2025"/>
  </r>
  <r>
    <s v="Grainger PLC"/>
    <s v="SVOT &amp; Renewals Journey - Delivery (FC)"/>
    <s v="Build"/>
    <s v="Delivery"/>
    <n v="53.5"/>
    <n v="1"/>
    <x v="7"/>
    <s v="Jul 2025"/>
  </r>
  <r>
    <s v="Grainger PLC"/>
    <s v="SVOT &amp; Renewals Journey - Delivery (FC)"/>
    <s v="Build"/>
    <s v="Delivery"/>
    <n v="7"/>
    <n v="1"/>
    <x v="7"/>
    <s v="Aug 2025"/>
  </r>
  <r>
    <s v="Grainger PLC"/>
    <s v="SVOT &amp; Renewals Journey - Delivery (FC)"/>
    <s v="Build"/>
    <s v="Delivery (Non-Billable)"/>
    <n v="25"/>
    <n v="1"/>
    <x v="7"/>
    <s v="Feb 2025"/>
  </r>
  <r>
    <s v="Grainger PLC"/>
    <s v="SVOT &amp; Renewals Journey - Delivery (FC)"/>
    <s v="Build"/>
    <s v="Delivery (Non-Billable)"/>
    <n v="59.75"/>
    <n v="1"/>
    <x v="7"/>
    <s v="Mar 2025"/>
  </r>
  <r>
    <s v="Grainger PLC"/>
    <s v="SVOT &amp; Renewals Journey - Delivery (FC)"/>
    <s v="Build"/>
    <s v="Delivery (Non-Billable)"/>
    <n v="32.5"/>
    <n v="1"/>
    <x v="7"/>
    <s v="Apr 2025"/>
  </r>
  <r>
    <s v="Grainger PLC"/>
    <s v="SVOT &amp; Renewals Journey - Delivery (FC)"/>
    <s v="Build"/>
    <s v="Delivery (Non-Billable)"/>
    <n v="1.5"/>
    <n v="6.5217391304347797E-2"/>
    <x v="7"/>
    <s v="May 2025"/>
  </r>
  <r>
    <s v="Grainger PLC"/>
    <s v="SVOT &amp; Renewals Journey - Delivery (FC)"/>
    <s v="Build"/>
    <s v="Delivery"/>
    <n v="19.25"/>
    <n v="0.57894736842105299"/>
    <x v="8"/>
    <s v="Jan 2025"/>
  </r>
  <r>
    <s v="Grainger PLC"/>
    <s v="SVOT &amp; Renewals Journey - Delivery (FC)"/>
    <s v="Build"/>
    <s v="Delivery"/>
    <n v="39"/>
    <n v="1"/>
    <x v="8"/>
    <s v="Feb 2025"/>
  </r>
  <r>
    <s v="Grainger PLC"/>
    <s v="SVOT &amp; Renewals Journey - Delivery (FC)"/>
    <s v="Build"/>
    <s v="Delivery"/>
    <n v="116.25"/>
    <n v="1"/>
    <x v="8"/>
    <s v="Mar 2025"/>
  </r>
  <r>
    <s v="Grainger PLC"/>
    <s v="SVOT &amp; Renewals Journey - Delivery (FC)"/>
    <s v="Build"/>
    <s v="Delivery"/>
    <n v="152"/>
    <n v="1"/>
    <x v="8"/>
    <s v="Apr 2025"/>
  </r>
  <r>
    <s v="Grainger PLC"/>
    <s v="SVOT &amp; Renewals Journey - Delivery (FC)"/>
    <s v="Build"/>
    <s v="Delivery"/>
    <n v="145.25"/>
    <n v="1"/>
    <x v="8"/>
    <s v="May 2025"/>
  </r>
  <r>
    <s v="Grainger PLC"/>
    <s v="SVOT &amp; Renewals Journey - Delivery (FC)"/>
    <s v="Build"/>
    <s v="Delivery"/>
    <n v="103.25"/>
    <n v="1"/>
    <x v="8"/>
    <s v="Jun 2025"/>
  </r>
  <r>
    <s v="Grainger PLC"/>
    <s v="SVOT &amp; Renewals Journey - Delivery (FC)"/>
    <s v="Build"/>
    <s v="Delivery"/>
    <n v="144"/>
    <n v="1"/>
    <x v="8"/>
    <s v="Jul 2025"/>
  </r>
  <r>
    <s v="Grainger PLC"/>
    <s v="SVOT &amp; Renewals Journey - Delivery (FC)"/>
    <s v="Build"/>
    <s v="Delivery"/>
    <n v="32"/>
    <n v="1"/>
    <x v="8"/>
    <s v="Aug 2025"/>
  </r>
  <r>
    <s v="Grainger PLC"/>
    <s v="SVOT &amp; Renewals Journey - Delivery (FC)"/>
    <s v="Sprint 0"/>
    <s v="Sprint 0"/>
    <n v="14.75"/>
    <n v="1"/>
    <x v="8"/>
    <s v="Dec 2024"/>
  </r>
  <r>
    <s v="Grainger PLC"/>
    <s v="SVOT &amp; Renewals Journey - Delivery (FC)"/>
    <s v="Sprint 0"/>
    <s v="Sprint 0"/>
    <n v="14"/>
    <n v="0.42105263157894701"/>
    <x v="8"/>
    <s v="Jan 2025"/>
  </r>
  <r>
    <s v="Grainger PLC"/>
    <s v="SVOT &amp; Renewals Journey - Delivery (FC)"/>
    <s v="Build"/>
    <s v="Delivery"/>
    <n v="5"/>
    <n v="0.76923076923076905"/>
    <x v="9"/>
    <s v="Jan 2025"/>
  </r>
  <r>
    <s v="Grainger PLC"/>
    <s v="SVOT &amp; Renewals Journey - Delivery (FC)"/>
    <s v="Build"/>
    <s v="Delivery"/>
    <n v="10"/>
    <n v="1"/>
    <x v="9"/>
    <s v="Feb 2025"/>
  </r>
  <r>
    <s v="Grainger PLC"/>
    <s v="SVOT &amp; Renewals Journey - Delivery (FC)"/>
    <s v="Build"/>
    <s v="Delivery"/>
    <n v="28.75"/>
    <n v="0.93495934959349603"/>
    <x v="9"/>
    <s v="Mar 2025"/>
  </r>
  <r>
    <s v="Grainger PLC"/>
    <s v="SVOT &amp; Renewals Journey - Delivery (FC)"/>
    <s v="Build"/>
    <s v="Delivery"/>
    <n v="38"/>
    <n v="1"/>
    <x v="9"/>
    <s v="Apr 2025"/>
  </r>
  <r>
    <s v="Grainger PLC"/>
    <s v="SVOT &amp; Renewals Journey - Delivery (FC)"/>
    <s v="Build"/>
    <s v="Delivery"/>
    <n v="48"/>
    <n v="1"/>
    <x v="9"/>
    <s v="May 2025"/>
  </r>
  <r>
    <s v="Grainger PLC"/>
    <s v="SVOT &amp; Renewals Journey - Delivery (FC)"/>
    <s v="Build"/>
    <s v="Delivery"/>
    <n v="14.25"/>
    <n v="0.87692307692307703"/>
    <x v="9"/>
    <s v="Jun 2025"/>
  </r>
  <r>
    <s v="Grainger PLC"/>
    <s v="SVOT &amp; Renewals Journey - Delivery (FC)"/>
    <s v="Build"/>
    <s v="Delivery"/>
    <n v="19.25"/>
    <n v="1"/>
    <x v="9"/>
    <s v="Jul 2025"/>
  </r>
  <r>
    <s v="Grainger PLC"/>
    <s v="SVOT &amp; Renewals Journey - Delivery (FC)"/>
    <s v="Build"/>
    <s v="Delivery"/>
    <n v="7"/>
    <n v="1"/>
    <x v="9"/>
    <s v="Aug 2025"/>
  </r>
  <r>
    <s v="Grainger PLC"/>
    <s v="SVOT &amp; Renewals Journey - Delivery (FC)"/>
    <s v="Build"/>
    <s v="Delivery (Non-Billable)"/>
    <n v="2"/>
    <n v="6.50406504065041E-2"/>
    <x v="9"/>
    <s v="Mar 2025"/>
  </r>
  <r>
    <s v="Grainger PLC"/>
    <s v="SVOT &amp; Renewals Journey - Delivery (FC)"/>
    <s v="Build"/>
    <s v="Release 1 Prod Support"/>
    <n v="2"/>
    <n v="0.123076923076923"/>
    <x v="9"/>
    <s v="Jun 2025"/>
  </r>
  <r>
    <s v="Grainger PLC"/>
    <s v="SVOT &amp; Renewals Journey - Delivery (FC)"/>
    <s v="Sprint 0"/>
    <s v="Sprint 0"/>
    <n v="1.5"/>
    <n v="0.230769230769231"/>
    <x v="9"/>
    <s v="Jan 2025"/>
  </r>
  <r>
    <s v="Grainger PLC"/>
    <s v="SVOT &amp; Renewals Journey - Delivery (FC)"/>
    <s v="Build"/>
    <s v="Delivery"/>
    <n v="21"/>
    <n v="1"/>
    <x v="10"/>
    <s v="Mar 2025"/>
  </r>
  <r>
    <s v="Grainger PLC"/>
    <s v="SVOT &amp; Renewals Journey - Delivery (FC)"/>
    <s v="Build"/>
    <s v="Delivery"/>
    <n v="60.5"/>
    <n v="1"/>
    <x v="10"/>
    <s v="Apr 2025"/>
  </r>
  <r>
    <s v="Grainger PLC"/>
    <s v="SVOT &amp; Renewals Journey - Delivery (FC)"/>
    <s v="Build"/>
    <s v="Delivery"/>
    <n v="66"/>
    <n v="1"/>
    <x v="10"/>
    <s v="May 2025"/>
  </r>
  <r>
    <s v="Grainger PLC"/>
    <s v="SVOT &amp; Renewals Journey - Delivery (FC)"/>
    <s v="Build"/>
    <s v="Delivery"/>
    <n v="93.25"/>
    <n v="1"/>
    <x v="10"/>
    <s v="Jun 2025"/>
  </r>
  <r>
    <s v="Grainger PLC"/>
    <s v="SVOT &amp; Renewals Journey - Delivery (FC)"/>
    <s v="Build"/>
    <s v="Delivery"/>
    <n v="71.75"/>
    <n v="1"/>
    <x v="10"/>
    <s v="Jul 2025"/>
  </r>
  <r>
    <s v="Grainger PLC"/>
    <s v="SVOT &amp; Renewals Journey - Delivery (FC)"/>
    <s v="Build"/>
    <s v="Delivery"/>
    <n v="4.25"/>
    <n v="1"/>
    <x v="10"/>
    <s v="Aug 2025"/>
  </r>
  <r>
    <s v="Grainger PLC"/>
    <s v="SVOT &amp; Renewals Journey - Delivery (FC)"/>
    <s v="Build"/>
    <s v="Delivery"/>
    <n v="8"/>
    <n v="1"/>
    <x v="11"/>
    <s v="Jan 2025"/>
  </r>
  <r>
    <s v="Grainger PLC"/>
    <s v="SVOT &amp; Renewals Journey - Delivery (FC)"/>
    <s v="Build"/>
    <s v="Delivery"/>
    <n v="15.25"/>
    <n v="1"/>
    <x v="11"/>
    <s v="Feb 2025"/>
  </r>
  <r>
    <s v="Grainger PLC"/>
    <s v="SVOT &amp; Renewals Journey - Delivery (FC)"/>
    <s v="Build"/>
    <s v="Delivery"/>
    <n v="27.75"/>
    <n v="1"/>
    <x v="11"/>
    <s v="Mar 2025"/>
  </r>
  <r>
    <s v="Grainger PLC"/>
    <s v="SVOT &amp; Renewals Journey - Delivery (FC)"/>
    <s v="Build"/>
    <s v="Delivery"/>
    <n v="37"/>
    <n v="1"/>
    <x v="11"/>
    <s v="Apr 2025"/>
  </r>
  <r>
    <s v="Grainger PLC"/>
    <s v="SVOT &amp; Renewals Journey - Delivery (FC)"/>
    <s v="Build"/>
    <s v="Delivery"/>
    <n v="29"/>
    <n v="1"/>
    <x v="11"/>
    <s v="May 2025"/>
  </r>
  <r>
    <s v="Grainger PLC"/>
    <s v="SVOT &amp; Renewals Journey - Delivery (FC)"/>
    <s v="Build"/>
    <s v="Delivery"/>
    <n v="33"/>
    <n v="1"/>
    <x v="11"/>
    <s v="Jun 2025"/>
  </r>
  <r>
    <s v="Grainger PLC"/>
    <s v="SVOT &amp; Renewals Journey - Delivery (FC)"/>
    <s v="Build"/>
    <s v="Delivery"/>
    <n v="30.25"/>
    <n v="1"/>
    <x v="11"/>
    <s v="Jul 2025"/>
  </r>
  <r>
    <s v="Grainger PLC"/>
    <s v="SVOT &amp; Renewals Journey - Delivery (FC)"/>
    <s v="Build"/>
    <s v="Delivery"/>
    <n v="17.75"/>
    <n v="1"/>
    <x v="11"/>
    <s v="Aug 2025"/>
  </r>
  <r>
    <s v="Grainger PLC"/>
    <s v="SVOT &amp; Renewals Journey - Delivery (FC)"/>
    <s v="Build"/>
    <s v="Delivery"/>
    <n v="18.25"/>
    <n v="0.96052631578947401"/>
    <x v="12"/>
    <s v="Jun 2025"/>
  </r>
  <r>
    <s v="Grainger PLC"/>
    <s v="SVOT &amp; Renewals Journey - Delivery (FC)"/>
    <s v="Build"/>
    <s v="Delivery (Non-Billable)"/>
    <n v="0.75"/>
    <n v="3.94736842105263E-2"/>
    <x v="12"/>
    <s v="Jun 2025"/>
  </r>
  <r>
    <s v="Grainger PLC"/>
    <s v="SVOT &amp; Renewals Journey - Delivery (FC)"/>
    <s v="Build"/>
    <s v="Delivery (Non-Billable)"/>
    <n v="7.5"/>
    <n v="1"/>
    <x v="12"/>
    <s v="Jul 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39BA1-D0C4-468A-B560-569AAEA22F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5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um of H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AE9DA-8B59-42C2-9A48-4447F06DE285}" name="Table1" displayName="Table1" ref="F1:M104">
  <autoFilter ref="F1:M104" xr:uid="{980AE9DA-8B59-42C2-9A48-4447F06DE285}"/>
  <tableColumns count="8">
    <tableColumn id="1" xr3:uid="{097B1FDF-D843-4BCD-857D-06329F8E53E5}" name="Client Hierarchy - Client"/>
    <tableColumn id="2" xr3:uid="{B2E03994-BFC2-4F70-91B6-45956AD8A72A}" name="Client Hierarchy - Project"/>
    <tableColumn id="3" xr3:uid="{5B9EC9F3-4A7B-42D6-876C-88A96F4966DD}" name="Client Hierarchy - Section"/>
    <tableColumn id="4" xr3:uid="{65128CFF-4482-40D4-AF1E-F4D3E2ECFFE3}" name="Client Hierarchy - Task"/>
    <tableColumn id="5" xr3:uid="{181D2264-8A12-4132-B671-8B49BAAB487F}" name="Sum of Hours"/>
    <tableColumn id="6" xr3:uid="{403571E3-4A0B-4111-A29F-9D0C76814F93}" name="%"/>
    <tableColumn id="7" xr3:uid="{B0DAD7BE-4480-4347-91BC-8FA9D413796E}" name="Employee"/>
    <tableColumn id="8" xr3:uid="{5A559A3E-B6F9-4D68-BC5F-4377FF4771FF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049F-184E-46F8-A4FA-2AC2848B7954}">
  <dimension ref="A1:L21"/>
  <sheetViews>
    <sheetView workbookViewId="0">
      <selection activeCell="O23" sqref="O23"/>
    </sheetView>
  </sheetViews>
  <sheetFormatPr baseColWidth="10" defaultColWidth="8.83203125" defaultRowHeight="15" x14ac:dyDescent="0.2"/>
  <cols>
    <col min="1" max="1" width="14" bestFit="1" customWidth="1"/>
    <col min="2" max="2" width="11.33203125" customWidth="1"/>
    <col min="3" max="3" width="19.1640625" bestFit="1" customWidth="1"/>
    <col min="4" max="9" width="11.6640625" customWidth="1"/>
    <col min="10" max="10" width="13.6640625" customWidth="1"/>
    <col min="11" max="12" width="11.6640625" customWidth="1"/>
    <col min="14" max="17" width="12.5" customWidth="1"/>
  </cols>
  <sheetData>
    <row r="1" spans="1:12" x14ac:dyDescent="0.2">
      <c r="A1" s="31" t="s">
        <v>87</v>
      </c>
      <c r="B1" s="32">
        <f>163800/4</f>
        <v>40950</v>
      </c>
    </row>
    <row r="2" spans="1:12" x14ac:dyDescent="0.2">
      <c r="D2" s="31">
        <v>3</v>
      </c>
      <c r="E2" s="31">
        <v>4</v>
      </c>
      <c r="F2" s="31">
        <v>5</v>
      </c>
      <c r="G2" s="31">
        <v>6</v>
      </c>
      <c r="H2" s="31">
        <v>7</v>
      </c>
      <c r="I2" s="31">
        <v>8</v>
      </c>
      <c r="J2" s="63">
        <v>9</v>
      </c>
      <c r="K2" s="31">
        <v>10</v>
      </c>
    </row>
    <row r="3" spans="1:12" x14ac:dyDescent="0.2">
      <c r="D3" s="35" t="s">
        <v>192</v>
      </c>
      <c r="E3" s="35" t="s">
        <v>187</v>
      </c>
      <c r="F3" s="35" t="s">
        <v>188</v>
      </c>
      <c r="G3" s="35" t="s">
        <v>189</v>
      </c>
      <c r="H3" s="35" t="s">
        <v>190</v>
      </c>
      <c r="I3" s="35" t="s">
        <v>191</v>
      </c>
      <c r="J3" s="64" t="s">
        <v>193</v>
      </c>
      <c r="K3" s="35" t="s">
        <v>194</v>
      </c>
      <c r="L3" s="35" t="s">
        <v>29</v>
      </c>
    </row>
    <row r="4" spans="1:12" x14ac:dyDescent="0.2">
      <c r="B4" s="81" t="s">
        <v>175</v>
      </c>
      <c r="C4" s="33" t="s">
        <v>33</v>
      </c>
      <c r="D4" s="32">
        <v>4095</v>
      </c>
      <c r="E4" s="32"/>
      <c r="F4" s="32"/>
      <c r="G4" s="32"/>
      <c r="H4" s="32"/>
      <c r="I4" s="32"/>
      <c r="J4" s="65"/>
      <c r="K4" s="32"/>
      <c r="L4" s="32"/>
    </row>
    <row r="5" spans="1:12" x14ac:dyDescent="0.2">
      <c r="B5" s="81"/>
      <c r="C5" s="33" t="s">
        <v>34</v>
      </c>
      <c r="D5" s="32">
        <f>81900/2</f>
        <v>40950</v>
      </c>
      <c r="E5" s="32"/>
      <c r="F5" s="32"/>
      <c r="G5" s="32"/>
      <c r="H5" s="32"/>
      <c r="I5" s="32"/>
      <c r="J5" s="65"/>
      <c r="K5" s="32"/>
      <c r="L5" s="32"/>
    </row>
    <row r="6" spans="1:12" x14ac:dyDescent="0.2">
      <c r="B6" s="81"/>
      <c r="C6" s="33" t="s">
        <v>95</v>
      </c>
      <c r="D6" s="32"/>
      <c r="E6" s="32">
        <f>81900/2</f>
        <v>40950</v>
      </c>
      <c r="F6" s="32"/>
      <c r="G6" s="32"/>
      <c r="H6" s="32"/>
      <c r="I6" s="32"/>
      <c r="J6" s="65"/>
      <c r="K6" s="32"/>
      <c r="L6" s="32"/>
    </row>
    <row r="7" spans="1:12" x14ac:dyDescent="0.2">
      <c r="B7" s="81"/>
      <c r="C7" s="33" t="s">
        <v>97</v>
      </c>
      <c r="D7" s="32"/>
      <c r="E7" s="32"/>
      <c r="F7" s="32">
        <v>7200</v>
      </c>
      <c r="G7" s="32"/>
      <c r="H7" s="32"/>
      <c r="I7" s="32"/>
      <c r="J7" s="65"/>
      <c r="K7" s="32"/>
      <c r="L7" s="32"/>
    </row>
    <row r="8" spans="1:12" x14ac:dyDescent="0.2">
      <c r="B8" s="81"/>
      <c r="C8" s="67" t="s">
        <v>196</v>
      </c>
      <c r="D8" s="46"/>
      <c r="E8" s="46"/>
      <c r="F8" s="46"/>
      <c r="G8" s="46">
        <v>13650</v>
      </c>
      <c r="H8" s="32"/>
      <c r="I8" s="32"/>
      <c r="J8" s="65"/>
      <c r="K8" s="32"/>
      <c r="L8" s="32"/>
    </row>
    <row r="9" spans="1:12" x14ac:dyDescent="0.2">
      <c r="B9" s="81"/>
      <c r="C9" s="33" t="s">
        <v>195</v>
      </c>
      <c r="D9" s="32"/>
      <c r="E9" s="32"/>
      <c r="F9" s="32"/>
      <c r="G9" s="32"/>
      <c r="H9" s="32">
        <v>1575</v>
      </c>
      <c r="I9" s="32"/>
      <c r="J9" s="65"/>
      <c r="K9" s="32"/>
      <c r="L9" s="32"/>
    </row>
    <row r="10" spans="1:12" x14ac:dyDescent="0.2">
      <c r="B10" s="81"/>
      <c r="C10" s="33" t="s">
        <v>98</v>
      </c>
      <c r="D10" s="32"/>
      <c r="E10" s="32"/>
      <c r="F10" s="32"/>
      <c r="G10" s="32"/>
      <c r="H10" s="32">
        <v>3600</v>
      </c>
      <c r="I10" s="32"/>
      <c r="J10" s="65"/>
      <c r="K10" s="32"/>
      <c r="L10" s="32"/>
    </row>
    <row r="11" spans="1:12" x14ac:dyDescent="0.2">
      <c r="B11" s="82" t="s">
        <v>181</v>
      </c>
      <c r="C11" s="33" t="s">
        <v>36</v>
      </c>
      <c r="D11" s="32"/>
      <c r="E11" s="32"/>
      <c r="F11" s="32">
        <v>40950</v>
      </c>
      <c r="G11" s="32"/>
      <c r="H11" s="32"/>
      <c r="I11" s="32"/>
      <c r="J11" s="65"/>
      <c r="K11" s="32"/>
      <c r="L11" s="32"/>
    </row>
    <row r="12" spans="1:12" x14ac:dyDescent="0.2">
      <c r="B12" s="83"/>
      <c r="C12" s="33" t="s">
        <v>37</v>
      </c>
      <c r="D12" s="32"/>
      <c r="E12" s="32"/>
      <c r="F12" s="32"/>
      <c r="G12" s="32">
        <v>40950</v>
      </c>
      <c r="H12" s="32"/>
      <c r="I12" s="32"/>
      <c r="J12" s="65"/>
      <c r="K12" s="32"/>
      <c r="L12" s="32"/>
    </row>
    <row r="13" spans="1:12" x14ac:dyDescent="0.2">
      <c r="B13" s="83"/>
      <c r="C13" s="33" t="s">
        <v>38</v>
      </c>
      <c r="D13" s="32"/>
      <c r="E13" s="32"/>
      <c r="F13" s="32"/>
      <c r="G13" s="32"/>
      <c r="H13" s="32">
        <v>40950</v>
      </c>
      <c r="I13" s="32"/>
      <c r="J13" s="65"/>
      <c r="K13" s="32"/>
      <c r="L13" s="32"/>
    </row>
    <row r="14" spans="1:12" x14ac:dyDescent="0.2">
      <c r="B14" s="83"/>
      <c r="C14" s="33" t="s">
        <v>39</v>
      </c>
      <c r="D14" s="32"/>
      <c r="E14" s="32"/>
      <c r="F14" s="32"/>
      <c r="G14" s="32"/>
      <c r="H14" s="32"/>
      <c r="I14" s="32">
        <v>40950</v>
      </c>
      <c r="J14" s="65"/>
      <c r="K14" s="32"/>
      <c r="L14" s="32"/>
    </row>
    <row r="15" spans="1:12" x14ac:dyDescent="0.2">
      <c r="B15" s="83"/>
      <c r="C15" s="33" t="s">
        <v>40</v>
      </c>
      <c r="D15" s="32"/>
      <c r="E15" s="32"/>
      <c r="F15" s="32"/>
      <c r="G15" s="32"/>
      <c r="H15" s="32"/>
      <c r="I15" s="32"/>
      <c r="J15" s="65">
        <v>40950</v>
      </c>
      <c r="K15" s="32"/>
      <c r="L15" s="32"/>
    </row>
    <row r="16" spans="1:12" x14ac:dyDescent="0.2">
      <c r="B16" s="83"/>
      <c r="C16" s="33" t="s">
        <v>97</v>
      </c>
      <c r="D16" s="31"/>
      <c r="E16" s="31"/>
      <c r="F16" s="31"/>
      <c r="G16" s="31"/>
      <c r="H16" s="31"/>
      <c r="I16" s="31"/>
      <c r="J16" s="65">
        <v>7200</v>
      </c>
      <c r="K16" s="32"/>
      <c r="L16" s="32"/>
    </row>
    <row r="17" spans="2:12" x14ac:dyDescent="0.2">
      <c r="B17" s="83"/>
      <c r="C17" s="33" t="s">
        <v>195</v>
      </c>
      <c r="D17" s="31"/>
      <c r="E17" s="31"/>
      <c r="F17" s="31"/>
      <c r="G17" s="31"/>
      <c r="H17" s="31"/>
      <c r="I17" s="31"/>
      <c r="J17" s="65">
        <v>1575</v>
      </c>
      <c r="K17" s="32"/>
      <c r="L17" s="32"/>
    </row>
    <row r="18" spans="2:12" x14ac:dyDescent="0.2">
      <c r="B18" s="84"/>
      <c r="C18" s="33" t="s">
        <v>98</v>
      </c>
      <c r="D18" s="31"/>
      <c r="E18" s="31"/>
      <c r="F18" s="31"/>
      <c r="G18" s="31"/>
      <c r="H18" s="31"/>
      <c r="I18" s="31"/>
      <c r="J18" s="65"/>
      <c r="K18" s="32">
        <v>3600</v>
      </c>
      <c r="L18" s="32"/>
    </row>
    <row r="19" spans="2:12" x14ac:dyDescent="0.2">
      <c r="B19" s="33"/>
      <c r="C19" s="33" t="s">
        <v>29</v>
      </c>
      <c r="D19" s="61">
        <f t="shared" ref="D19:K19" si="0">SUM(D4:D18)</f>
        <v>45045</v>
      </c>
      <c r="E19" s="61">
        <f t="shared" si="0"/>
        <v>40950</v>
      </c>
      <c r="F19" s="61">
        <f t="shared" si="0"/>
        <v>48150</v>
      </c>
      <c r="G19" s="61">
        <f t="shared" si="0"/>
        <v>54600</v>
      </c>
      <c r="H19" s="61">
        <f t="shared" si="0"/>
        <v>46125</v>
      </c>
      <c r="I19" s="61">
        <f t="shared" si="0"/>
        <v>40950</v>
      </c>
      <c r="J19" s="66">
        <f t="shared" si="0"/>
        <v>49725</v>
      </c>
      <c r="K19" s="61">
        <f t="shared" si="0"/>
        <v>3600</v>
      </c>
      <c r="L19" s="61">
        <f>SUM(D19:K19)</f>
        <v>329145</v>
      </c>
    </row>
    <row r="21" spans="2:12" x14ac:dyDescent="0.2">
      <c r="L21" s="39"/>
    </row>
  </sheetData>
  <mergeCells count="2">
    <mergeCell ref="B4:B10"/>
    <mergeCell ref="B11:B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B447-5525-4F6A-ACE9-D9C37E102963}">
  <dimension ref="C2:F11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10.83203125" bestFit="1" customWidth="1"/>
    <col min="4" max="4" width="12.5" bestFit="1" customWidth="1"/>
    <col min="6" max="6" width="18.5" bestFit="1" customWidth="1"/>
  </cols>
  <sheetData>
    <row r="2" spans="3:6" x14ac:dyDescent="0.2">
      <c r="C2" s="35" t="s">
        <v>126</v>
      </c>
      <c r="D2" s="35" t="s">
        <v>68</v>
      </c>
      <c r="E2" s="35" t="s">
        <v>149</v>
      </c>
      <c r="F2" s="35" t="s">
        <v>198</v>
      </c>
    </row>
    <row r="3" spans="3:6" x14ac:dyDescent="0.2">
      <c r="C3" s="31" t="s">
        <v>34</v>
      </c>
      <c r="D3" s="31">
        <v>31.25</v>
      </c>
      <c r="E3" s="31">
        <v>5</v>
      </c>
      <c r="F3" s="62">
        <f>D3/E3</f>
        <v>6.25</v>
      </c>
    </row>
    <row r="4" spans="3:6" x14ac:dyDescent="0.2">
      <c r="C4" s="31" t="s">
        <v>95</v>
      </c>
      <c r="D4" s="31">
        <v>67.25</v>
      </c>
      <c r="E4" s="31">
        <v>4</v>
      </c>
      <c r="F4" s="62">
        <f t="shared" ref="F4:F6" si="0">D4/E4</f>
        <v>16.8125</v>
      </c>
    </row>
    <row r="5" spans="3:6" x14ac:dyDescent="0.2">
      <c r="C5" s="31" t="s">
        <v>36</v>
      </c>
      <c r="D5" s="31">
        <v>77.75</v>
      </c>
      <c r="E5" s="31">
        <v>4</v>
      </c>
      <c r="F5" s="62">
        <f t="shared" si="0"/>
        <v>19.4375</v>
      </c>
    </row>
    <row r="6" spans="3:6" x14ac:dyDescent="0.2">
      <c r="C6" s="31" t="s">
        <v>37</v>
      </c>
      <c r="D6" s="31">
        <v>62.5</v>
      </c>
      <c r="E6" s="31">
        <v>4</v>
      </c>
      <c r="F6" s="62">
        <f t="shared" si="0"/>
        <v>15.625</v>
      </c>
    </row>
    <row r="7" spans="3:6" x14ac:dyDescent="0.2">
      <c r="C7" s="31" t="s">
        <v>38</v>
      </c>
      <c r="D7" s="31">
        <v>62</v>
      </c>
      <c r="E7" s="31">
        <v>4</v>
      </c>
      <c r="F7" s="62">
        <f>D7/E7</f>
        <v>15.5</v>
      </c>
    </row>
    <row r="8" spans="3:6" x14ac:dyDescent="0.2">
      <c r="C8" s="31" t="s">
        <v>39</v>
      </c>
      <c r="D8" s="31">
        <v>73</v>
      </c>
      <c r="E8" s="31">
        <v>3</v>
      </c>
      <c r="F8" s="62">
        <f>D8/E8</f>
        <v>24.333333333333332</v>
      </c>
    </row>
    <row r="9" spans="3:6" x14ac:dyDescent="0.2">
      <c r="C9" s="31" t="s">
        <v>40</v>
      </c>
      <c r="D9" s="31">
        <v>65</v>
      </c>
      <c r="E9" s="31">
        <v>3</v>
      </c>
      <c r="F9" s="62">
        <f>D9/E9</f>
        <v>21.666666666666668</v>
      </c>
    </row>
    <row r="10" spans="3:6" ht="16" thickBot="1" x14ac:dyDescent="0.25">
      <c r="C10" s="78" t="s">
        <v>197</v>
      </c>
      <c r="D10" s="79">
        <f>AVERAGE(D3:D9)</f>
        <v>62.678571428571431</v>
      </c>
      <c r="E10" s="78" t="s">
        <v>29</v>
      </c>
      <c r="F10" s="80">
        <f>SUM(F3:F9)</f>
        <v>119.625</v>
      </c>
    </row>
    <row r="11" spans="3:6" ht="16" thickTop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C61A-A114-4AC2-ADAB-29F3BC45321A}">
  <dimension ref="A1"/>
  <sheetViews>
    <sheetView topLeftCell="A16" workbookViewId="0">
      <selection activeCell="Z34" sqref="Z34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8E9F-C27E-B049-A899-4A85B72772C0}">
  <dimension ref="A1:G26"/>
  <sheetViews>
    <sheetView tabSelected="1" workbookViewId="0">
      <selection activeCell="F8" sqref="F8"/>
    </sheetView>
  </sheetViews>
  <sheetFormatPr baseColWidth="10" defaultColWidth="11.5" defaultRowHeight="15" x14ac:dyDescent="0.2"/>
  <cols>
    <col min="2" max="2" width="13.83203125" bestFit="1" customWidth="1"/>
    <col min="4" max="4" width="38" bestFit="1" customWidth="1"/>
    <col min="5" max="5" width="22.83203125" bestFit="1" customWidth="1"/>
    <col min="6" max="6" width="11.33203125" bestFit="1" customWidth="1"/>
  </cols>
  <sheetData>
    <row r="1" spans="1:7" x14ac:dyDescent="0.2">
      <c r="B1" t="s">
        <v>87</v>
      </c>
      <c r="C1" s="29">
        <f>Forecasting!D30</f>
        <v>40950</v>
      </c>
      <c r="D1" s="29"/>
    </row>
    <row r="2" spans="1:7" x14ac:dyDescent="0.2">
      <c r="B2" t="s">
        <v>124</v>
      </c>
      <c r="C2" s="3">
        <v>780</v>
      </c>
      <c r="D2" s="39"/>
    </row>
    <row r="3" spans="1:7" x14ac:dyDescent="0.2">
      <c r="B3" t="s">
        <v>133</v>
      </c>
      <c r="C3" s="3">
        <f>C2/8</f>
        <v>97.5</v>
      </c>
    </row>
    <row r="4" spans="1:7" x14ac:dyDescent="0.2">
      <c r="B4" t="s">
        <v>125</v>
      </c>
      <c r="C4" s="39">
        <f>C3*160</f>
        <v>15600</v>
      </c>
    </row>
    <row r="6" spans="1:7" x14ac:dyDescent="0.2">
      <c r="A6" s="15" t="s">
        <v>175</v>
      </c>
    </row>
    <row r="7" spans="1:7" x14ac:dyDescent="0.2">
      <c r="D7" s="35" t="s">
        <v>121</v>
      </c>
      <c r="E7" s="35" t="s">
        <v>1</v>
      </c>
      <c r="F7" s="35" t="s">
        <v>2</v>
      </c>
      <c r="G7" s="35" t="s">
        <v>3</v>
      </c>
    </row>
    <row r="8" spans="1:7" x14ac:dyDescent="0.2">
      <c r="D8" s="31" t="s">
        <v>33</v>
      </c>
      <c r="E8" s="31" t="s">
        <v>122</v>
      </c>
      <c r="F8" s="55">
        <f>42*C3</f>
        <v>4095</v>
      </c>
      <c r="G8" s="55">
        <f>42*C3</f>
        <v>4095</v>
      </c>
    </row>
    <row r="9" spans="1:7" x14ac:dyDescent="0.2">
      <c r="D9" s="31" t="s">
        <v>176</v>
      </c>
      <c r="E9" s="31" t="s">
        <v>177</v>
      </c>
      <c r="F9" s="55">
        <f>2*$C$1</f>
        <v>81900</v>
      </c>
      <c r="G9" s="55">
        <f>2*$C$1</f>
        <v>81900</v>
      </c>
    </row>
    <row r="10" spans="1:7" x14ac:dyDescent="0.2">
      <c r="D10" s="31" t="s">
        <v>184</v>
      </c>
      <c r="E10" s="31" t="s">
        <v>18</v>
      </c>
      <c r="F10" s="55">
        <f>3150/2</f>
        <v>1575</v>
      </c>
      <c r="G10" s="55">
        <f>3150/2</f>
        <v>1575</v>
      </c>
    </row>
    <row r="11" spans="1:7" x14ac:dyDescent="0.2">
      <c r="D11" s="31" t="s">
        <v>97</v>
      </c>
      <c r="E11" s="31" t="s">
        <v>152</v>
      </c>
      <c r="F11" s="55">
        <f>2*3600</f>
        <v>7200</v>
      </c>
      <c r="G11" s="55">
        <f>2*3600</f>
        <v>7200</v>
      </c>
    </row>
    <row r="12" spans="1:7" x14ac:dyDescent="0.2">
      <c r="D12" s="31" t="s">
        <v>16</v>
      </c>
      <c r="E12" s="31" t="s">
        <v>122</v>
      </c>
      <c r="F12" s="55">
        <v>3600</v>
      </c>
      <c r="G12" s="55">
        <v>3600</v>
      </c>
    </row>
    <row r="13" spans="1:7" ht="16" thickBot="1" x14ac:dyDescent="0.25">
      <c r="D13" s="33" t="s">
        <v>29</v>
      </c>
      <c r="E13" s="37" t="s">
        <v>178</v>
      </c>
      <c r="F13" s="56">
        <f>SUM(F8:F12)</f>
        <v>98370</v>
      </c>
      <c r="G13" s="56">
        <f>SUM(G8:G12)</f>
        <v>98370</v>
      </c>
    </row>
    <row r="14" spans="1:7" ht="16" thickTop="1" x14ac:dyDescent="0.2">
      <c r="F14" s="57"/>
      <c r="G14" s="57"/>
    </row>
    <row r="15" spans="1:7" x14ac:dyDescent="0.2">
      <c r="F15" s="57"/>
      <c r="G15" s="57"/>
    </row>
    <row r="16" spans="1:7" x14ac:dyDescent="0.2">
      <c r="A16" s="15" t="s">
        <v>181</v>
      </c>
      <c r="F16" s="57"/>
      <c r="G16" s="57"/>
    </row>
    <row r="17" spans="1:7" x14ac:dyDescent="0.2">
      <c r="D17" s="35" t="s">
        <v>121</v>
      </c>
      <c r="E17" s="35" t="s">
        <v>1</v>
      </c>
      <c r="F17" s="58" t="s">
        <v>2</v>
      </c>
      <c r="G17" s="58" t="s">
        <v>3</v>
      </c>
    </row>
    <row r="18" spans="1:7" x14ac:dyDescent="0.2">
      <c r="D18" s="31" t="s">
        <v>179</v>
      </c>
      <c r="E18" s="31" t="s">
        <v>180</v>
      </c>
      <c r="F18" s="55">
        <f>4*$C$1</f>
        <v>163800</v>
      </c>
      <c r="G18" s="55">
        <f>5*$C$1</f>
        <v>204750</v>
      </c>
    </row>
    <row r="19" spans="1:7" x14ac:dyDescent="0.2">
      <c r="D19" s="31" t="s">
        <v>184</v>
      </c>
      <c r="E19" s="31" t="s">
        <v>18</v>
      </c>
      <c r="F19" s="55">
        <f>3150/2</f>
        <v>1575</v>
      </c>
      <c r="G19" s="55">
        <f>3150/2</f>
        <v>1575</v>
      </c>
    </row>
    <row r="20" spans="1:7" x14ac:dyDescent="0.2">
      <c r="D20" s="31" t="s">
        <v>97</v>
      </c>
      <c r="E20" s="31" t="s">
        <v>122</v>
      </c>
      <c r="F20" s="55">
        <f>2*3600</f>
        <v>7200</v>
      </c>
      <c r="G20" s="55">
        <f>2*3600</f>
        <v>7200</v>
      </c>
    </row>
    <row r="21" spans="1:7" x14ac:dyDescent="0.2">
      <c r="D21" s="31" t="s">
        <v>16</v>
      </c>
      <c r="E21" s="31" t="s">
        <v>122</v>
      </c>
      <c r="F21" s="55">
        <v>3600</v>
      </c>
      <c r="G21" s="55">
        <v>3600</v>
      </c>
    </row>
    <row r="22" spans="1:7" ht="16" thickBot="1" x14ac:dyDescent="0.25">
      <c r="D22" s="33" t="s">
        <v>29</v>
      </c>
      <c r="E22" s="37" t="s">
        <v>183</v>
      </c>
      <c r="F22" s="56">
        <f>SUM(F18:F21)</f>
        <v>176175</v>
      </c>
      <c r="G22" s="56">
        <f>SUM(G18:G21)</f>
        <v>217125</v>
      </c>
    </row>
    <row r="23" spans="1:7" ht="16" thickTop="1" x14ac:dyDescent="0.2"/>
    <row r="26" spans="1:7" x14ac:dyDescent="0.2">
      <c r="A26" s="15" t="s">
        <v>182</v>
      </c>
      <c r="F26" s="59">
        <f>F13+F22</f>
        <v>274545</v>
      </c>
      <c r="G26" s="59">
        <f>G13+G22</f>
        <v>315495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2355-2506-4C7B-BDB8-F11B33A3957F}">
  <dimension ref="B2:I25"/>
  <sheetViews>
    <sheetView workbookViewId="0">
      <selection activeCell="G19" sqref="G19"/>
    </sheetView>
  </sheetViews>
  <sheetFormatPr baseColWidth="10" defaultColWidth="8.83203125" defaultRowHeight="15" x14ac:dyDescent="0.2"/>
  <cols>
    <col min="2" max="2" width="19.6640625" customWidth="1"/>
    <col min="3" max="3" width="10.83203125" bestFit="1" customWidth="1"/>
    <col min="5" max="5" width="19.33203125" customWidth="1"/>
    <col min="9" max="9" width="23" bestFit="1" customWidth="1"/>
  </cols>
  <sheetData>
    <row r="2" spans="2:9" x14ac:dyDescent="0.2">
      <c r="B2" s="85" t="s">
        <v>202</v>
      </c>
      <c r="C2" s="85"/>
      <c r="E2" s="85" t="s">
        <v>258</v>
      </c>
      <c r="F2" s="85"/>
      <c r="G2" s="85"/>
      <c r="H2" s="85"/>
      <c r="I2" s="85"/>
    </row>
    <row r="3" spans="2:9" ht="16" x14ac:dyDescent="0.2">
      <c r="B3" s="68" t="s">
        <v>119</v>
      </c>
      <c r="C3" s="69">
        <v>1</v>
      </c>
      <c r="E3" s="31"/>
      <c r="F3" s="31" t="s">
        <v>212</v>
      </c>
      <c r="G3" s="31" t="s">
        <v>205</v>
      </c>
      <c r="H3" s="31" t="s">
        <v>257</v>
      </c>
      <c r="I3" s="31" t="s">
        <v>251</v>
      </c>
    </row>
    <row r="4" spans="2:9" ht="16" x14ac:dyDescent="0.2">
      <c r="B4" s="68" t="s">
        <v>119</v>
      </c>
      <c r="C4" s="69">
        <v>1</v>
      </c>
      <c r="E4" s="31" t="s">
        <v>119</v>
      </c>
      <c r="F4" s="31">
        <f>(2*40*C15)</f>
        <v>1760</v>
      </c>
      <c r="G4" s="31">
        <v>1932.75</v>
      </c>
      <c r="H4" s="77">
        <f>G4/F4</f>
        <v>1.0981534090909091</v>
      </c>
      <c r="I4" s="31" t="s">
        <v>254</v>
      </c>
    </row>
    <row r="5" spans="2:9" ht="16" x14ac:dyDescent="0.2">
      <c r="B5" s="68" t="s">
        <v>118</v>
      </c>
      <c r="C5" s="69">
        <v>0.5</v>
      </c>
      <c r="E5" s="68" t="s">
        <v>118</v>
      </c>
      <c r="F5" s="31">
        <f>0.5*40*C15</f>
        <v>440</v>
      </c>
      <c r="G5" s="31">
        <v>1272.75</v>
      </c>
      <c r="H5" s="77">
        <f t="shared" ref="H5:H8" si="0">G5/F5</f>
        <v>2.8926136363636363</v>
      </c>
      <c r="I5" s="31" t="s">
        <v>252</v>
      </c>
    </row>
    <row r="6" spans="2:9" ht="16" x14ac:dyDescent="0.2">
      <c r="B6" s="68" t="s">
        <v>115</v>
      </c>
      <c r="C6" s="69">
        <v>0.5</v>
      </c>
      <c r="E6" s="68" t="s">
        <v>115</v>
      </c>
      <c r="F6" s="31">
        <f>0.5*40*C15</f>
        <v>440</v>
      </c>
      <c r="G6" s="31">
        <v>1168.75</v>
      </c>
      <c r="H6" s="77">
        <f t="shared" si="0"/>
        <v>2.65625</v>
      </c>
      <c r="I6" s="31" t="s">
        <v>255</v>
      </c>
    </row>
    <row r="7" spans="2:9" ht="16" x14ac:dyDescent="0.2">
      <c r="B7" s="68" t="s">
        <v>141</v>
      </c>
      <c r="C7" s="69">
        <v>0.35</v>
      </c>
      <c r="E7" s="68" t="s">
        <v>141</v>
      </c>
      <c r="F7" s="31">
        <f>0.35*40*C15</f>
        <v>308</v>
      </c>
      <c r="G7" s="31">
        <v>1268</v>
      </c>
      <c r="H7" s="77">
        <f t="shared" si="0"/>
        <v>4.116883116883117</v>
      </c>
      <c r="I7" s="31" t="s">
        <v>253</v>
      </c>
    </row>
    <row r="8" spans="2:9" ht="16" x14ac:dyDescent="0.2">
      <c r="B8" s="68" t="s">
        <v>116</v>
      </c>
      <c r="C8" s="69">
        <v>0.15</v>
      </c>
      <c r="E8" s="68" t="s">
        <v>116</v>
      </c>
      <c r="F8" s="31">
        <f>0.15*40*C15</f>
        <v>132</v>
      </c>
      <c r="G8" s="31">
        <v>198</v>
      </c>
      <c r="H8" s="77">
        <f t="shared" si="0"/>
        <v>1.5</v>
      </c>
      <c r="I8" s="31" t="s">
        <v>256</v>
      </c>
    </row>
    <row r="9" spans="2:9" ht="17" thickBot="1" x14ac:dyDescent="0.25">
      <c r="B9" s="71" t="s">
        <v>199</v>
      </c>
      <c r="C9" s="72">
        <f>SUM(C3:C8)</f>
        <v>3.5</v>
      </c>
      <c r="E9" s="71" t="s">
        <v>29</v>
      </c>
      <c r="F9" s="72">
        <f>SUM(F4:F8)</f>
        <v>3080</v>
      </c>
      <c r="G9" s="72">
        <f>SUM(G4:G8)</f>
        <v>5840.25</v>
      </c>
      <c r="H9" s="15"/>
    </row>
    <row r="10" spans="2:9" ht="16" thickTop="1" x14ac:dyDescent="0.2"/>
    <row r="11" spans="2:9" x14ac:dyDescent="0.2">
      <c r="B11" s="86" t="s">
        <v>1</v>
      </c>
      <c r="C11" s="86"/>
    </row>
    <row r="12" spans="2:9" ht="16" x14ac:dyDescent="0.2">
      <c r="B12" s="68" t="s">
        <v>134</v>
      </c>
      <c r="C12" s="70">
        <v>7</v>
      </c>
    </row>
    <row r="13" spans="2:9" ht="16" x14ac:dyDescent="0.2">
      <c r="B13" s="68" t="s">
        <v>149</v>
      </c>
      <c r="C13" s="31">
        <f>C12*3</f>
        <v>21</v>
      </c>
    </row>
    <row r="14" spans="2:9" ht="16" x14ac:dyDescent="0.2">
      <c r="B14" s="68" t="s">
        <v>200</v>
      </c>
      <c r="C14" s="31">
        <v>1</v>
      </c>
    </row>
    <row r="15" spans="2:9" ht="17" thickBot="1" x14ac:dyDescent="0.25">
      <c r="B15" s="71" t="s">
        <v>201</v>
      </c>
      <c r="C15" s="72">
        <f>C13+C14</f>
        <v>22</v>
      </c>
    </row>
    <row r="16" spans="2:9" ht="16" thickTop="1" x14ac:dyDescent="0.2"/>
    <row r="17" spans="2:3" x14ac:dyDescent="0.2">
      <c r="B17" s="86" t="s">
        <v>203</v>
      </c>
      <c r="C17" s="86"/>
    </row>
    <row r="18" spans="2:3" ht="16" x14ac:dyDescent="0.2">
      <c r="B18" s="68" t="s">
        <v>204</v>
      </c>
      <c r="C18" s="31">
        <f>(3.5*40*C15)</f>
        <v>3080</v>
      </c>
    </row>
    <row r="19" spans="2:3" ht="16" x14ac:dyDescent="0.2">
      <c r="B19" s="68" t="s">
        <v>206</v>
      </c>
      <c r="C19" s="31">
        <v>5687.5</v>
      </c>
    </row>
    <row r="20" spans="2:3" x14ac:dyDescent="0.2">
      <c r="B20" s="31" t="s">
        <v>207</v>
      </c>
      <c r="C20" s="31">
        <v>152.75</v>
      </c>
    </row>
    <row r="21" spans="2:3" ht="17" thickBot="1" x14ac:dyDescent="0.25">
      <c r="B21" s="71" t="s">
        <v>208</v>
      </c>
      <c r="C21" s="72">
        <f>C19+C20</f>
        <v>5840.25</v>
      </c>
    </row>
    <row r="22" spans="2:3" ht="16" thickTop="1" x14ac:dyDescent="0.2"/>
    <row r="23" spans="2:3" x14ac:dyDescent="0.2">
      <c r="B23" s="73" t="s">
        <v>209</v>
      </c>
      <c r="C23" s="74">
        <f>C21/C18</f>
        <v>1.8961850649350649</v>
      </c>
    </row>
    <row r="24" spans="2:3" x14ac:dyDescent="0.2">
      <c r="B24" t="s">
        <v>210</v>
      </c>
      <c r="C24" s="39">
        <f>(C21-C18)*Forecasting!C33</f>
        <v>269124.375</v>
      </c>
    </row>
    <row r="25" spans="2:3" x14ac:dyDescent="0.2">
      <c r="B25" t="s">
        <v>211</v>
      </c>
      <c r="C25" s="39">
        <f>'Billing Milestones'!L19</f>
        <v>329145</v>
      </c>
    </row>
  </sheetData>
  <mergeCells count="4">
    <mergeCell ref="B2:C2"/>
    <mergeCell ref="B11:C11"/>
    <mergeCell ref="B17:C17"/>
    <mergeCell ref="E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1CE2-74F4-433D-862D-D6198FC73F31}">
  <dimension ref="A1:M104"/>
  <sheetViews>
    <sheetView workbookViewId="0">
      <selection activeCell="D27" sqref="D27"/>
    </sheetView>
  </sheetViews>
  <sheetFormatPr baseColWidth="10" defaultColWidth="8.83203125" defaultRowHeight="15" x14ac:dyDescent="0.2"/>
  <cols>
    <col min="1" max="1" width="18" bestFit="1" customWidth="1"/>
    <col min="2" max="2" width="19" bestFit="1" customWidth="1"/>
  </cols>
  <sheetData>
    <row r="1" spans="1:13" x14ac:dyDescent="0.2">
      <c r="A1" s="75" t="s">
        <v>249</v>
      </c>
      <c r="B1" t="s">
        <v>248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</row>
    <row r="2" spans="1:13" x14ac:dyDescent="0.2">
      <c r="A2" s="76" t="s">
        <v>224</v>
      </c>
      <c r="B2">
        <v>1038.5</v>
      </c>
      <c r="F2" t="s">
        <v>221</v>
      </c>
      <c r="G2" t="s">
        <v>222</v>
      </c>
      <c r="H2" t="s">
        <v>96</v>
      </c>
      <c r="I2" t="s">
        <v>223</v>
      </c>
      <c r="J2">
        <v>39.5</v>
      </c>
      <c r="K2">
        <v>1</v>
      </c>
      <c r="L2" t="s">
        <v>224</v>
      </c>
      <c r="M2" t="s">
        <v>225</v>
      </c>
    </row>
    <row r="3" spans="1:13" x14ac:dyDescent="0.2">
      <c r="A3" s="76" t="s">
        <v>233</v>
      </c>
      <c r="B3">
        <v>894.25</v>
      </c>
      <c r="F3" t="s">
        <v>221</v>
      </c>
      <c r="G3" t="s">
        <v>222</v>
      </c>
      <c r="H3" t="s">
        <v>96</v>
      </c>
      <c r="I3" t="s">
        <v>223</v>
      </c>
      <c r="J3">
        <v>136</v>
      </c>
      <c r="K3">
        <v>1</v>
      </c>
      <c r="L3" t="s">
        <v>224</v>
      </c>
      <c r="M3" t="s">
        <v>226</v>
      </c>
    </row>
    <row r="4" spans="1:13" x14ac:dyDescent="0.2">
      <c r="A4" s="76" t="s">
        <v>234</v>
      </c>
      <c r="B4">
        <v>312.5</v>
      </c>
      <c r="F4" t="s">
        <v>221</v>
      </c>
      <c r="G4" t="s">
        <v>222</v>
      </c>
      <c r="H4" t="s">
        <v>96</v>
      </c>
      <c r="I4" t="s">
        <v>223</v>
      </c>
      <c r="J4">
        <v>144.5</v>
      </c>
      <c r="K4">
        <v>1</v>
      </c>
      <c r="L4" t="s">
        <v>224</v>
      </c>
      <c r="M4" t="s">
        <v>227</v>
      </c>
    </row>
    <row r="5" spans="1:13" x14ac:dyDescent="0.2">
      <c r="A5" s="76" t="s">
        <v>235</v>
      </c>
      <c r="B5">
        <v>609.25</v>
      </c>
      <c r="F5" t="s">
        <v>221</v>
      </c>
      <c r="G5" t="s">
        <v>222</v>
      </c>
      <c r="H5" t="s">
        <v>96</v>
      </c>
      <c r="I5" t="s">
        <v>223</v>
      </c>
      <c r="J5">
        <v>170</v>
      </c>
      <c r="K5">
        <v>1</v>
      </c>
      <c r="L5" t="s">
        <v>224</v>
      </c>
      <c r="M5" t="s">
        <v>228</v>
      </c>
    </row>
    <row r="6" spans="1:13" x14ac:dyDescent="0.2">
      <c r="A6" s="76" t="s">
        <v>236</v>
      </c>
      <c r="B6">
        <v>231</v>
      </c>
      <c r="F6" t="s">
        <v>221</v>
      </c>
      <c r="G6" t="s">
        <v>222</v>
      </c>
      <c r="H6" t="s">
        <v>96</v>
      </c>
      <c r="I6" t="s">
        <v>223</v>
      </c>
      <c r="J6">
        <v>153</v>
      </c>
      <c r="K6">
        <v>1</v>
      </c>
      <c r="L6" t="s">
        <v>224</v>
      </c>
      <c r="M6" t="s">
        <v>229</v>
      </c>
    </row>
    <row r="7" spans="1:13" x14ac:dyDescent="0.2">
      <c r="A7" s="76" t="s">
        <v>238</v>
      </c>
      <c r="B7">
        <v>637.5</v>
      </c>
      <c r="F7" t="s">
        <v>221</v>
      </c>
      <c r="G7" t="s">
        <v>222</v>
      </c>
      <c r="H7" t="s">
        <v>96</v>
      </c>
      <c r="I7" t="s">
        <v>223</v>
      </c>
      <c r="J7">
        <v>170</v>
      </c>
      <c r="K7">
        <v>1</v>
      </c>
      <c r="L7" t="s">
        <v>224</v>
      </c>
      <c r="M7" t="s">
        <v>230</v>
      </c>
    </row>
    <row r="8" spans="1:13" x14ac:dyDescent="0.2">
      <c r="A8" s="76" t="s">
        <v>240</v>
      </c>
      <c r="B8">
        <v>377.75</v>
      </c>
      <c r="F8" t="s">
        <v>221</v>
      </c>
      <c r="G8" t="s">
        <v>222</v>
      </c>
      <c r="H8" t="s">
        <v>96</v>
      </c>
      <c r="I8" t="s">
        <v>223</v>
      </c>
      <c r="J8">
        <v>178.5</v>
      </c>
      <c r="K8">
        <v>1</v>
      </c>
      <c r="L8" t="s">
        <v>224</v>
      </c>
      <c r="M8" t="s">
        <v>231</v>
      </c>
    </row>
    <row r="9" spans="1:13" x14ac:dyDescent="0.2">
      <c r="A9" s="76" t="s">
        <v>241</v>
      </c>
      <c r="B9">
        <v>242.75</v>
      </c>
      <c r="F9" t="s">
        <v>221</v>
      </c>
      <c r="G9" t="s">
        <v>222</v>
      </c>
      <c r="H9" t="s">
        <v>96</v>
      </c>
      <c r="I9" t="s">
        <v>223</v>
      </c>
      <c r="J9">
        <v>47</v>
      </c>
      <c r="K9">
        <v>1</v>
      </c>
      <c r="L9" t="s">
        <v>224</v>
      </c>
      <c r="M9" t="s">
        <v>232</v>
      </c>
    </row>
    <row r="10" spans="1:13" x14ac:dyDescent="0.2">
      <c r="A10" s="76" t="s">
        <v>242</v>
      </c>
      <c r="B10">
        <v>779.75</v>
      </c>
      <c r="F10" t="s">
        <v>221</v>
      </c>
      <c r="G10" t="s">
        <v>222</v>
      </c>
      <c r="H10" t="s">
        <v>96</v>
      </c>
      <c r="I10" t="s">
        <v>223</v>
      </c>
      <c r="J10">
        <v>27.25</v>
      </c>
      <c r="K10">
        <v>1</v>
      </c>
      <c r="L10" t="s">
        <v>233</v>
      </c>
      <c r="M10" t="s">
        <v>225</v>
      </c>
    </row>
    <row r="11" spans="1:13" x14ac:dyDescent="0.2">
      <c r="A11" s="76" t="s">
        <v>244</v>
      </c>
      <c r="B11">
        <v>175.75</v>
      </c>
      <c r="F11" t="s">
        <v>221</v>
      </c>
      <c r="G11" t="s">
        <v>222</v>
      </c>
      <c r="H11" t="s">
        <v>96</v>
      </c>
      <c r="I11" t="s">
        <v>223</v>
      </c>
      <c r="J11">
        <v>120</v>
      </c>
      <c r="K11">
        <v>1</v>
      </c>
      <c r="L11" t="s">
        <v>233</v>
      </c>
      <c r="M11" t="s">
        <v>226</v>
      </c>
    </row>
    <row r="12" spans="1:13" x14ac:dyDescent="0.2">
      <c r="A12" s="76" t="s">
        <v>245</v>
      </c>
      <c r="B12">
        <v>316.75</v>
      </c>
      <c r="F12" t="s">
        <v>221</v>
      </c>
      <c r="G12" t="s">
        <v>222</v>
      </c>
      <c r="H12" t="s">
        <v>96</v>
      </c>
      <c r="I12" t="s">
        <v>223</v>
      </c>
      <c r="J12">
        <v>120.5</v>
      </c>
      <c r="K12">
        <v>1</v>
      </c>
      <c r="L12" t="s">
        <v>233</v>
      </c>
      <c r="M12" t="s">
        <v>227</v>
      </c>
    </row>
    <row r="13" spans="1:13" x14ac:dyDescent="0.2">
      <c r="A13" s="76" t="s">
        <v>246</v>
      </c>
      <c r="B13">
        <v>198</v>
      </c>
      <c r="F13" t="s">
        <v>221</v>
      </c>
      <c r="G13" t="s">
        <v>222</v>
      </c>
      <c r="H13" t="s">
        <v>96</v>
      </c>
      <c r="I13" t="s">
        <v>223</v>
      </c>
      <c r="J13">
        <v>148.5</v>
      </c>
      <c r="K13">
        <v>1</v>
      </c>
      <c r="L13" t="s">
        <v>233</v>
      </c>
      <c r="M13" t="s">
        <v>228</v>
      </c>
    </row>
    <row r="14" spans="1:13" x14ac:dyDescent="0.2">
      <c r="A14" s="76" t="s">
        <v>247</v>
      </c>
      <c r="B14">
        <v>26.5</v>
      </c>
      <c r="F14" t="s">
        <v>221</v>
      </c>
      <c r="G14" t="s">
        <v>222</v>
      </c>
      <c r="H14" t="s">
        <v>96</v>
      </c>
      <c r="I14" t="s">
        <v>223</v>
      </c>
      <c r="J14">
        <v>141</v>
      </c>
      <c r="K14">
        <v>1</v>
      </c>
      <c r="L14" t="s">
        <v>233</v>
      </c>
      <c r="M14" t="s">
        <v>229</v>
      </c>
    </row>
    <row r="15" spans="1:13" x14ac:dyDescent="0.2">
      <c r="A15" s="76" t="s">
        <v>250</v>
      </c>
      <c r="B15">
        <v>5840.25</v>
      </c>
      <c r="F15" t="s">
        <v>221</v>
      </c>
      <c r="G15" t="s">
        <v>222</v>
      </c>
      <c r="H15" t="s">
        <v>96</v>
      </c>
      <c r="I15" t="s">
        <v>223</v>
      </c>
      <c r="J15">
        <v>143.25</v>
      </c>
      <c r="K15">
        <v>1</v>
      </c>
      <c r="L15" t="s">
        <v>233</v>
      </c>
      <c r="M15" t="s">
        <v>230</v>
      </c>
    </row>
    <row r="16" spans="1:13" x14ac:dyDescent="0.2">
      <c r="F16" t="s">
        <v>221</v>
      </c>
      <c r="G16" t="s">
        <v>222</v>
      </c>
      <c r="H16" t="s">
        <v>96</v>
      </c>
      <c r="I16" t="s">
        <v>223</v>
      </c>
      <c r="J16">
        <v>166</v>
      </c>
      <c r="K16">
        <v>1</v>
      </c>
      <c r="L16" t="s">
        <v>233</v>
      </c>
      <c r="M16" t="s">
        <v>231</v>
      </c>
    </row>
    <row r="17" spans="6:13" x14ac:dyDescent="0.2">
      <c r="F17" t="s">
        <v>221</v>
      </c>
      <c r="G17" t="s">
        <v>222</v>
      </c>
      <c r="H17" t="s">
        <v>96</v>
      </c>
      <c r="I17" t="s">
        <v>223</v>
      </c>
      <c r="J17">
        <v>27.75</v>
      </c>
      <c r="K17">
        <v>1</v>
      </c>
      <c r="L17" t="s">
        <v>233</v>
      </c>
      <c r="M17" t="s">
        <v>232</v>
      </c>
    </row>
    <row r="18" spans="6:13" x14ac:dyDescent="0.2">
      <c r="F18" t="s">
        <v>221</v>
      </c>
      <c r="G18" t="s">
        <v>222</v>
      </c>
      <c r="H18" t="s">
        <v>96</v>
      </c>
      <c r="I18" t="s">
        <v>223</v>
      </c>
      <c r="J18">
        <v>4</v>
      </c>
      <c r="K18">
        <v>1</v>
      </c>
      <c r="L18" t="s">
        <v>234</v>
      </c>
      <c r="M18" t="s">
        <v>225</v>
      </c>
    </row>
    <row r="19" spans="6:13" x14ac:dyDescent="0.2">
      <c r="F19" t="s">
        <v>221</v>
      </c>
      <c r="G19" t="s">
        <v>222</v>
      </c>
      <c r="H19" t="s">
        <v>96</v>
      </c>
      <c r="I19" t="s">
        <v>223</v>
      </c>
      <c r="J19">
        <v>15.5</v>
      </c>
      <c r="K19">
        <v>0.95384615384615401</v>
      </c>
      <c r="L19" t="s">
        <v>234</v>
      </c>
      <c r="M19" t="s">
        <v>226</v>
      </c>
    </row>
    <row r="20" spans="6:13" x14ac:dyDescent="0.2">
      <c r="F20" t="s">
        <v>221</v>
      </c>
      <c r="G20" t="s">
        <v>222</v>
      </c>
      <c r="H20" t="s">
        <v>96</v>
      </c>
      <c r="I20" t="s">
        <v>223</v>
      </c>
      <c r="J20">
        <v>28</v>
      </c>
      <c r="K20">
        <v>1</v>
      </c>
      <c r="L20" t="s">
        <v>234</v>
      </c>
      <c r="M20" t="s">
        <v>227</v>
      </c>
    </row>
    <row r="21" spans="6:13" x14ac:dyDescent="0.2">
      <c r="F21" t="s">
        <v>221</v>
      </c>
      <c r="G21" t="s">
        <v>222</v>
      </c>
      <c r="H21" t="s">
        <v>96</v>
      </c>
      <c r="I21" t="s">
        <v>223</v>
      </c>
      <c r="J21">
        <v>46.75</v>
      </c>
      <c r="K21">
        <v>1</v>
      </c>
      <c r="L21" t="s">
        <v>234</v>
      </c>
      <c r="M21" t="s">
        <v>228</v>
      </c>
    </row>
    <row r="22" spans="6:13" x14ac:dyDescent="0.2">
      <c r="F22" t="s">
        <v>221</v>
      </c>
      <c r="G22" t="s">
        <v>222</v>
      </c>
      <c r="H22" t="s">
        <v>96</v>
      </c>
      <c r="I22" t="s">
        <v>223</v>
      </c>
      <c r="J22">
        <v>51</v>
      </c>
      <c r="K22">
        <v>1</v>
      </c>
      <c r="L22" t="s">
        <v>234</v>
      </c>
      <c r="M22" t="s">
        <v>229</v>
      </c>
    </row>
    <row r="23" spans="6:13" x14ac:dyDescent="0.2">
      <c r="F23" t="s">
        <v>221</v>
      </c>
      <c r="G23" t="s">
        <v>222</v>
      </c>
      <c r="H23" t="s">
        <v>96</v>
      </c>
      <c r="I23" t="s">
        <v>223</v>
      </c>
      <c r="J23">
        <v>68.5</v>
      </c>
      <c r="K23">
        <v>1</v>
      </c>
      <c r="L23" t="s">
        <v>234</v>
      </c>
      <c r="M23" t="s">
        <v>230</v>
      </c>
    </row>
    <row r="24" spans="6:13" x14ac:dyDescent="0.2">
      <c r="F24" t="s">
        <v>221</v>
      </c>
      <c r="G24" t="s">
        <v>222</v>
      </c>
      <c r="H24" t="s">
        <v>96</v>
      </c>
      <c r="I24" t="s">
        <v>223</v>
      </c>
      <c r="J24">
        <v>70.75</v>
      </c>
      <c r="K24">
        <v>1</v>
      </c>
      <c r="L24" t="s">
        <v>234</v>
      </c>
      <c r="M24" t="s">
        <v>231</v>
      </c>
    </row>
    <row r="25" spans="6:13" x14ac:dyDescent="0.2">
      <c r="F25" t="s">
        <v>221</v>
      </c>
      <c r="G25" t="s">
        <v>222</v>
      </c>
      <c r="H25" t="s">
        <v>96</v>
      </c>
      <c r="I25" t="s">
        <v>223</v>
      </c>
      <c r="J25">
        <v>27.25</v>
      </c>
      <c r="K25">
        <v>1</v>
      </c>
      <c r="L25" t="s">
        <v>234</v>
      </c>
      <c r="M25" t="s">
        <v>232</v>
      </c>
    </row>
    <row r="26" spans="6:13" x14ac:dyDescent="0.2">
      <c r="F26" t="s">
        <v>221</v>
      </c>
      <c r="G26" t="s">
        <v>222</v>
      </c>
      <c r="H26" t="s">
        <v>33</v>
      </c>
      <c r="I26" t="s">
        <v>33</v>
      </c>
      <c r="J26">
        <v>0.75</v>
      </c>
      <c r="K26">
        <v>4.6153846153846198E-2</v>
      </c>
      <c r="L26" t="s">
        <v>234</v>
      </c>
      <c r="M26" t="s">
        <v>226</v>
      </c>
    </row>
    <row r="27" spans="6:13" x14ac:dyDescent="0.2">
      <c r="F27" t="s">
        <v>221</v>
      </c>
      <c r="G27" t="s">
        <v>222</v>
      </c>
      <c r="H27" t="s">
        <v>96</v>
      </c>
      <c r="I27" t="s">
        <v>223</v>
      </c>
      <c r="J27">
        <v>7.25</v>
      </c>
      <c r="K27">
        <v>1</v>
      </c>
      <c r="L27" t="s">
        <v>235</v>
      </c>
      <c r="M27" t="s">
        <v>225</v>
      </c>
    </row>
    <row r="28" spans="6:13" x14ac:dyDescent="0.2">
      <c r="F28" t="s">
        <v>221</v>
      </c>
      <c r="G28" t="s">
        <v>222</v>
      </c>
      <c r="H28" t="s">
        <v>96</v>
      </c>
      <c r="I28" t="s">
        <v>223</v>
      </c>
      <c r="J28">
        <v>98.25</v>
      </c>
      <c r="K28">
        <v>1</v>
      </c>
      <c r="L28" t="s">
        <v>235</v>
      </c>
      <c r="M28" t="s">
        <v>226</v>
      </c>
    </row>
    <row r="29" spans="6:13" x14ac:dyDescent="0.2">
      <c r="F29" t="s">
        <v>221</v>
      </c>
      <c r="G29" t="s">
        <v>222</v>
      </c>
      <c r="H29" t="s">
        <v>96</v>
      </c>
      <c r="I29" t="s">
        <v>223</v>
      </c>
      <c r="J29">
        <v>105.25</v>
      </c>
      <c r="K29">
        <v>1</v>
      </c>
      <c r="L29" t="s">
        <v>235</v>
      </c>
      <c r="M29" t="s">
        <v>227</v>
      </c>
    </row>
    <row r="30" spans="6:13" x14ac:dyDescent="0.2">
      <c r="F30" t="s">
        <v>221</v>
      </c>
      <c r="G30" t="s">
        <v>222</v>
      </c>
      <c r="H30" t="s">
        <v>96</v>
      </c>
      <c r="I30" t="s">
        <v>223</v>
      </c>
      <c r="J30">
        <v>58.75</v>
      </c>
      <c r="K30">
        <v>1</v>
      </c>
      <c r="L30" t="s">
        <v>235</v>
      </c>
      <c r="M30" t="s">
        <v>228</v>
      </c>
    </row>
    <row r="31" spans="6:13" x14ac:dyDescent="0.2">
      <c r="F31" t="s">
        <v>221</v>
      </c>
      <c r="G31" t="s">
        <v>222</v>
      </c>
      <c r="H31" t="s">
        <v>96</v>
      </c>
      <c r="I31" t="s">
        <v>223</v>
      </c>
      <c r="J31">
        <v>92.25</v>
      </c>
      <c r="K31">
        <v>1</v>
      </c>
      <c r="L31" t="s">
        <v>235</v>
      </c>
      <c r="M31" t="s">
        <v>229</v>
      </c>
    </row>
    <row r="32" spans="6:13" x14ac:dyDescent="0.2">
      <c r="F32" t="s">
        <v>221</v>
      </c>
      <c r="G32" t="s">
        <v>222</v>
      </c>
      <c r="H32" t="s">
        <v>96</v>
      </c>
      <c r="I32" t="s">
        <v>223</v>
      </c>
      <c r="J32">
        <v>103.5</v>
      </c>
      <c r="K32">
        <v>1</v>
      </c>
      <c r="L32" t="s">
        <v>235</v>
      </c>
      <c r="M32" t="s">
        <v>230</v>
      </c>
    </row>
    <row r="33" spans="6:13" x14ac:dyDescent="0.2">
      <c r="F33" t="s">
        <v>221</v>
      </c>
      <c r="G33" t="s">
        <v>222</v>
      </c>
      <c r="H33" t="s">
        <v>96</v>
      </c>
      <c r="I33" t="s">
        <v>223</v>
      </c>
      <c r="J33">
        <v>120</v>
      </c>
      <c r="K33">
        <v>1</v>
      </c>
      <c r="L33" t="s">
        <v>235</v>
      </c>
      <c r="M33" t="s">
        <v>231</v>
      </c>
    </row>
    <row r="34" spans="6:13" x14ac:dyDescent="0.2">
      <c r="F34" t="s">
        <v>221</v>
      </c>
      <c r="G34" t="s">
        <v>222</v>
      </c>
      <c r="H34" t="s">
        <v>96</v>
      </c>
      <c r="I34" t="s">
        <v>223</v>
      </c>
      <c r="J34">
        <v>24</v>
      </c>
      <c r="K34">
        <v>1</v>
      </c>
      <c r="L34" t="s">
        <v>235</v>
      </c>
      <c r="M34" t="s">
        <v>232</v>
      </c>
    </row>
    <row r="35" spans="6:13" x14ac:dyDescent="0.2">
      <c r="F35" t="s">
        <v>221</v>
      </c>
      <c r="G35" t="s">
        <v>222</v>
      </c>
      <c r="H35" t="s">
        <v>96</v>
      </c>
      <c r="I35" t="s">
        <v>223</v>
      </c>
      <c r="J35">
        <v>50</v>
      </c>
      <c r="K35">
        <v>0.92165898617511499</v>
      </c>
      <c r="L35" t="s">
        <v>236</v>
      </c>
      <c r="M35" t="s">
        <v>229</v>
      </c>
    </row>
    <row r="36" spans="6:13" x14ac:dyDescent="0.2">
      <c r="F36" t="s">
        <v>221</v>
      </c>
      <c r="G36" t="s">
        <v>222</v>
      </c>
      <c r="H36" t="s">
        <v>96</v>
      </c>
      <c r="I36" t="s">
        <v>223</v>
      </c>
      <c r="J36">
        <v>74.5</v>
      </c>
      <c r="K36">
        <v>0.87390029325513197</v>
      </c>
      <c r="L36" t="s">
        <v>236</v>
      </c>
      <c r="M36" t="s">
        <v>230</v>
      </c>
    </row>
    <row r="37" spans="6:13" x14ac:dyDescent="0.2">
      <c r="F37" t="s">
        <v>221</v>
      </c>
      <c r="G37" t="s">
        <v>222</v>
      </c>
      <c r="H37" t="s">
        <v>96</v>
      </c>
      <c r="I37" t="s">
        <v>223</v>
      </c>
      <c r="J37">
        <v>78</v>
      </c>
      <c r="K37">
        <v>0.89913544668587897</v>
      </c>
      <c r="L37" t="s">
        <v>236</v>
      </c>
      <c r="M37" t="s">
        <v>231</v>
      </c>
    </row>
    <row r="38" spans="6:13" x14ac:dyDescent="0.2">
      <c r="F38" t="s">
        <v>221</v>
      </c>
      <c r="G38" t="s">
        <v>222</v>
      </c>
      <c r="H38" t="s">
        <v>96</v>
      </c>
      <c r="I38" t="s">
        <v>223</v>
      </c>
      <c r="J38">
        <v>4.75</v>
      </c>
      <c r="K38">
        <v>1</v>
      </c>
      <c r="L38" t="s">
        <v>236</v>
      </c>
      <c r="M38" t="s">
        <v>232</v>
      </c>
    </row>
    <row r="39" spans="6:13" x14ac:dyDescent="0.2">
      <c r="F39" t="s">
        <v>221</v>
      </c>
      <c r="G39" t="s">
        <v>222</v>
      </c>
      <c r="H39" t="s">
        <v>96</v>
      </c>
      <c r="I39" t="s">
        <v>237</v>
      </c>
      <c r="J39">
        <v>4.25</v>
      </c>
      <c r="K39">
        <v>7.83410138248848E-2</v>
      </c>
      <c r="L39" t="s">
        <v>236</v>
      </c>
      <c r="M39" t="s">
        <v>229</v>
      </c>
    </row>
    <row r="40" spans="6:13" x14ac:dyDescent="0.2">
      <c r="F40" t="s">
        <v>221</v>
      </c>
      <c r="G40" t="s">
        <v>222</v>
      </c>
      <c r="H40" t="s">
        <v>96</v>
      </c>
      <c r="I40" t="s">
        <v>237</v>
      </c>
      <c r="J40">
        <v>10.75</v>
      </c>
      <c r="K40">
        <v>0.12609970674486801</v>
      </c>
      <c r="L40" t="s">
        <v>236</v>
      </c>
      <c r="M40" t="s">
        <v>230</v>
      </c>
    </row>
    <row r="41" spans="6:13" x14ac:dyDescent="0.2">
      <c r="F41" t="s">
        <v>221</v>
      </c>
      <c r="G41" t="s">
        <v>222</v>
      </c>
      <c r="H41" t="s">
        <v>96</v>
      </c>
      <c r="I41" t="s">
        <v>237</v>
      </c>
      <c r="J41">
        <v>8.75</v>
      </c>
      <c r="K41">
        <v>0.100864553314121</v>
      </c>
      <c r="L41" t="s">
        <v>236</v>
      </c>
      <c r="M41" t="s">
        <v>231</v>
      </c>
    </row>
    <row r="42" spans="6:13" x14ac:dyDescent="0.2">
      <c r="F42" t="s">
        <v>221</v>
      </c>
      <c r="G42" t="s">
        <v>222</v>
      </c>
      <c r="H42" t="s">
        <v>96</v>
      </c>
      <c r="I42" t="s">
        <v>223</v>
      </c>
      <c r="J42">
        <v>28.75</v>
      </c>
      <c r="K42">
        <v>1</v>
      </c>
      <c r="L42" t="s">
        <v>238</v>
      </c>
      <c r="M42" t="s">
        <v>226</v>
      </c>
    </row>
    <row r="43" spans="6:13" x14ac:dyDescent="0.2">
      <c r="F43" t="s">
        <v>221</v>
      </c>
      <c r="G43" t="s">
        <v>222</v>
      </c>
      <c r="H43" t="s">
        <v>96</v>
      </c>
      <c r="I43" t="s">
        <v>223</v>
      </c>
      <c r="J43">
        <v>124.5</v>
      </c>
      <c r="K43">
        <v>1</v>
      </c>
      <c r="L43" t="s">
        <v>238</v>
      </c>
      <c r="M43" t="s">
        <v>227</v>
      </c>
    </row>
    <row r="44" spans="6:13" x14ac:dyDescent="0.2">
      <c r="F44" t="s">
        <v>221</v>
      </c>
      <c r="G44" t="s">
        <v>222</v>
      </c>
      <c r="H44" t="s">
        <v>96</v>
      </c>
      <c r="I44" t="s">
        <v>223</v>
      </c>
      <c r="J44">
        <v>141.5</v>
      </c>
      <c r="K44">
        <v>1</v>
      </c>
      <c r="L44" t="s">
        <v>238</v>
      </c>
      <c r="M44" t="s">
        <v>228</v>
      </c>
    </row>
    <row r="45" spans="6:13" x14ac:dyDescent="0.2">
      <c r="F45" t="s">
        <v>221</v>
      </c>
      <c r="G45" t="s">
        <v>222</v>
      </c>
      <c r="H45" t="s">
        <v>96</v>
      </c>
      <c r="I45" t="s">
        <v>223</v>
      </c>
      <c r="J45">
        <v>114</v>
      </c>
      <c r="K45">
        <v>1</v>
      </c>
      <c r="L45" t="s">
        <v>238</v>
      </c>
      <c r="M45" t="s">
        <v>229</v>
      </c>
    </row>
    <row r="46" spans="6:13" x14ac:dyDescent="0.2">
      <c r="F46" t="s">
        <v>221</v>
      </c>
      <c r="G46" t="s">
        <v>222</v>
      </c>
      <c r="H46" t="s">
        <v>96</v>
      </c>
      <c r="I46" t="s">
        <v>223</v>
      </c>
      <c r="J46">
        <v>105.5</v>
      </c>
      <c r="K46">
        <v>0.98139534883720903</v>
      </c>
      <c r="L46" t="s">
        <v>238</v>
      </c>
      <c r="M46" t="s">
        <v>230</v>
      </c>
    </row>
    <row r="47" spans="6:13" x14ac:dyDescent="0.2">
      <c r="F47" t="s">
        <v>221</v>
      </c>
      <c r="G47" t="s">
        <v>222</v>
      </c>
      <c r="H47" t="s">
        <v>96</v>
      </c>
      <c r="I47" t="s">
        <v>223</v>
      </c>
      <c r="J47">
        <v>96.75</v>
      </c>
      <c r="K47">
        <v>1</v>
      </c>
      <c r="L47" t="s">
        <v>238</v>
      </c>
      <c r="M47" t="s">
        <v>231</v>
      </c>
    </row>
    <row r="48" spans="6:13" x14ac:dyDescent="0.2">
      <c r="F48" t="s">
        <v>221</v>
      </c>
      <c r="G48" t="s">
        <v>222</v>
      </c>
      <c r="H48" t="s">
        <v>96</v>
      </c>
      <c r="I48" t="s">
        <v>223</v>
      </c>
      <c r="J48">
        <v>24.5</v>
      </c>
      <c r="K48">
        <v>1</v>
      </c>
      <c r="L48" t="s">
        <v>238</v>
      </c>
      <c r="M48" t="s">
        <v>232</v>
      </c>
    </row>
    <row r="49" spans="6:13" x14ac:dyDescent="0.2">
      <c r="F49" t="s">
        <v>221</v>
      </c>
      <c r="G49" t="s">
        <v>222</v>
      </c>
      <c r="H49" t="s">
        <v>96</v>
      </c>
      <c r="I49" t="s">
        <v>239</v>
      </c>
      <c r="J49">
        <v>2</v>
      </c>
      <c r="K49">
        <v>1.8604651162790701E-2</v>
      </c>
      <c r="L49" t="s">
        <v>238</v>
      </c>
      <c r="M49" t="s">
        <v>230</v>
      </c>
    </row>
    <row r="50" spans="6:13" x14ac:dyDescent="0.2">
      <c r="F50" t="s">
        <v>221</v>
      </c>
      <c r="G50" t="s">
        <v>222</v>
      </c>
      <c r="H50" t="s">
        <v>96</v>
      </c>
      <c r="I50" t="s">
        <v>223</v>
      </c>
      <c r="J50">
        <v>0.75</v>
      </c>
      <c r="K50">
        <v>0.42857142857142899</v>
      </c>
      <c r="L50" t="s">
        <v>240</v>
      </c>
      <c r="M50" t="s">
        <v>225</v>
      </c>
    </row>
    <row r="51" spans="6:13" x14ac:dyDescent="0.2">
      <c r="F51" t="s">
        <v>221</v>
      </c>
      <c r="G51" t="s">
        <v>222</v>
      </c>
      <c r="H51" t="s">
        <v>96</v>
      </c>
      <c r="I51" t="s">
        <v>223</v>
      </c>
      <c r="J51">
        <v>3.75</v>
      </c>
      <c r="K51">
        <v>1</v>
      </c>
      <c r="L51" t="s">
        <v>240</v>
      </c>
      <c r="M51" t="s">
        <v>226</v>
      </c>
    </row>
    <row r="52" spans="6:13" x14ac:dyDescent="0.2">
      <c r="F52" t="s">
        <v>221</v>
      </c>
      <c r="G52" t="s">
        <v>222</v>
      </c>
      <c r="H52" t="s">
        <v>96</v>
      </c>
      <c r="I52" t="s">
        <v>223</v>
      </c>
      <c r="J52">
        <v>74</v>
      </c>
      <c r="K52">
        <v>1</v>
      </c>
      <c r="L52" t="s">
        <v>240</v>
      </c>
      <c r="M52" t="s">
        <v>227</v>
      </c>
    </row>
    <row r="53" spans="6:13" x14ac:dyDescent="0.2">
      <c r="F53" t="s">
        <v>221</v>
      </c>
      <c r="G53" t="s">
        <v>222</v>
      </c>
      <c r="H53" t="s">
        <v>96</v>
      </c>
      <c r="I53" t="s">
        <v>223</v>
      </c>
      <c r="J53">
        <v>61.25</v>
      </c>
      <c r="K53">
        <v>1</v>
      </c>
      <c r="L53" t="s">
        <v>240</v>
      </c>
      <c r="M53" t="s">
        <v>228</v>
      </c>
    </row>
    <row r="54" spans="6:13" x14ac:dyDescent="0.2">
      <c r="F54" t="s">
        <v>221</v>
      </c>
      <c r="G54" t="s">
        <v>222</v>
      </c>
      <c r="H54" t="s">
        <v>96</v>
      </c>
      <c r="I54" t="s">
        <v>223</v>
      </c>
      <c r="J54">
        <v>92.5</v>
      </c>
      <c r="K54">
        <v>1</v>
      </c>
      <c r="L54" t="s">
        <v>240</v>
      </c>
      <c r="M54" t="s">
        <v>229</v>
      </c>
    </row>
    <row r="55" spans="6:13" x14ac:dyDescent="0.2">
      <c r="F55" t="s">
        <v>221</v>
      </c>
      <c r="G55" t="s">
        <v>222</v>
      </c>
      <c r="H55" t="s">
        <v>96</v>
      </c>
      <c r="I55" t="s">
        <v>223</v>
      </c>
      <c r="J55">
        <v>59.25</v>
      </c>
      <c r="K55">
        <v>1</v>
      </c>
      <c r="L55" t="s">
        <v>240</v>
      </c>
      <c r="M55" t="s">
        <v>230</v>
      </c>
    </row>
    <row r="56" spans="6:13" x14ac:dyDescent="0.2">
      <c r="F56" t="s">
        <v>221</v>
      </c>
      <c r="G56" t="s">
        <v>222</v>
      </c>
      <c r="H56" t="s">
        <v>96</v>
      </c>
      <c r="I56" t="s">
        <v>223</v>
      </c>
      <c r="J56">
        <v>82.5</v>
      </c>
      <c r="K56">
        <v>1</v>
      </c>
      <c r="L56" t="s">
        <v>240</v>
      </c>
      <c r="M56" t="s">
        <v>231</v>
      </c>
    </row>
    <row r="57" spans="6:13" x14ac:dyDescent="0.2">
      <c r="F57" t="s">
        <v>221</v>
      </c>
      <c r="G57" t="s">
        <v>222</v>
      </c>
      <c r="H57" t="s">
        <v>96</v>
      </c>
      <c r="I57" t="s">
        <v>223</v>
      </c>
      <c r="J57">
        <v>2.75</v>
      </c>
      <c r="K57">
        <v>1</v>
      </c>
      <c r="L57" t="s">
        <v>240</v>
      </c>
      <c r="M57" t="s">
        <v>232</v>
      </c>
    </row>
    <row r="58" spans="6:13" x14ac:dyDescent="0.2">
      <c r="F58" t="s">
        <v>221</v>
      </c>
      <c r="G58" t="s">
        <v>222</v>
      </c>
      <c r="H58" t="s">
        <v>33</v>
      </c>
      <c r="I58" t="s">
        <v>33</v>
      </c>
      <c r="J58">
        <v>1</v>
      </c>
      <c r="K58">
        <v>0.57142857142857095</v>
      </c>
      <c r="L58" t="s">
        <v>240</v>
      </c>
      <c r="M58" t="s">
        <v>225</v>
      </c>
    </row>
    <row r="59" spans="6:13" x14ac:dyDescent="0.2">
      <c r="F59" t="s">
        <v>221</v>
      </c>
      <c r="G59" t="s">
        <v>222</v>
      </c>
      <c r="H59" t="s">
        <v>96</v>
      </c>
      <c r="I59" t="s">
        <v>223</v>
      </c>
      <c r="J59">
        <v>21.5</v>
      </c>
      <c r="K59">
        <v>0.934782608695652</v>
      </c>
      <c r="L59" t="s">
        <v>241</v>
      </c>
      <c r="M59" t="s">
        <v>229</v>
      </c>
    </row>
    <row r="60" spans="6:13" x14ac:dyDescent="0.2">
      <c r="F60" t="s">
        <v>221</v>
      </c>
      <c r="G60" t="s">
        <v>222</v>
      </c>
      <c r="H60" t="s">
        <v>96</v>
      </c>
      <c r="I60" t="s">
        <v>223</v>
      </c>
      <c r="J60">
        <v>42</v>
      </c>
      <c r="K60">
        <v>1</v>
      </c>
      <c r="L60" t="s">
        <v>241</v>
      </c>
      <c r="M60" t="s">
        <v>230</v>
      </c>
    </row>
    <row r="61" spans="6:13" x14ac:dyDescent="0.2">
      <c r="F61" t="s">
        <v>221</v>
      </c>
      <c r="G61" t="s">
        <v>222</v>
      </c>
      <c r="H61" t="s">
        <v>96</v>
      </c>
      <c r="I61" t="s">
        <v>223</v>
      </c>
      <c r="J61">
        <v>53.5</v>
      </c>
      <c r="K61">
        <v>1</v>
      </c>
      <c r="L61" t="s">
        <v>241</v>
      </c>
      <c r="M61" t="s">
        <v>231</v>
      </c>
    </row>
    <row r="62" spans="6:13" x14ac:dyDescent="0.2">
      <c r="F62" t="s">
        <v>221</v>
      </c>
      <c r="G62" t="s">
        <v>222</v>
      </c>
      <c r="H62" t="s">
        <v>96</v>
      </c>
      <c r="I62" t="s">
        <v>223</v>
      </c>
      <c r="J62">
        <v>7</v>
      </c>
      <c r="K62">
        <v>1</v>
      </c>
      <c r="L62" t="s">
        <v>241</v>
      </c>
      <c r="M62" t="s">
        <v>232</v>
      </c>
    </row>
    <row r="63" spans="6:13" x14ac:dyDescent="0.2">
      <c r="F63" t="s">
        <v>221</v>
      </c>
      <c r="G63" t="s">
        <v>222</v>
      </c>
      <c r="H63" t="s">
        <v>96</v>
      </c>
      <c r="I63" t="s">
        <v>237</v>
      </c>
      <c r="J63">
        <v>25</v>
      </c>
      <c r="K63">
        <v>1</v>
      </c>
      <c r="L63" t="s">
        <v>241</v>
      </c>
      <c r="M63" t="s">
        <v>226</v>
      </c>
    </row>
    <row r="64" spans="6:13" x14ac:dyDescent="0.2">
      <c r="F64" t="s">
        <v>221</v>
      </c>
      <c r="G64" t="s">
        <v>222</v>
      </c>
      <c r="H64" t="s">
        <v>96</v>
      </c>
      <c r="I64" t="s">
        <v>237</v>
      </c>
      <c r="J64">
        <v>59.75</v>
      </c>
      <c r="K64">
        <v>1</v>
      </c>
      <c r="L64" t="s">
        <v>241</v>
      </c>
      <c r="M64" t="s">
        <v>227</v>
      </c>
    </row>
    <row r="65" spans="6:13" x14ac:dyDescent="0.2">
      <c r="F65" t="s">
        <v>221</v>
      </c>
      <c r="G65" t="s">
        <v>222</v>
      </c>
      <c r="H65" t="s">
        <v>96</v>
      </c>
      <c r="I65" t="s">
        <v>237</v>
      </c>
      <c r="J65">
        <v>32.5</v>
      </c>
      <c r="K65">
        <v>1</v>
      </c>
      <c r="L65" t="s">
        <v>241</v>
      </c>
      <c r="M65" t="s">
        <v>228</v>
      </c>
    </row>
    <row r="66" spans="6:13" x14ac:dyDescent="0.2">
      <c r="F66" t="s">
        <v>221</v>
      </c>
      <c r="G66" t="s">
        <v>222</v>
      </c>
      <c r="H66" t="s">
        <v>96</v>
      </c>
      <c r="I66" t="s">
        <v>237</v>
      </c>
      <c r="J66">
        <v>1.5</v>
      </c>
      <c r="K66">
        <v>6.5217391304347797E-2</v>
      </c>
      <c r="L66" t="s">
        <v>241</v>
      </c>
      <c r="M66" t="s">
        <v>229</v>
      </c>
    </row>
    <row r="67" spans="6:13" x14ac:dyDescent="0.2">
      <c r="F67" t="s">
        <v>221</v>
      </c>
      <c r="G67" t="s">
        <v>222</v>
      </c>
      <c r="H67" t="s">
        <v>96</v>
      </c>
      <c r="I67" t="s">
        <v>223</v>
      </c>
      <c r="J67">
        <v>19.25</v>
      </c>
      <c r="K67">
        <v>0.57894736842105299</v>
      </c>
      <c r="L67" t="s">
        <v>242</v>
      </c>
      <c r="M67" t="s">
        <v>225</v>
      </c>
    </row>
    <row r="68" spans="6:13" x14ac:dyDescent="0.2">
      <c r="F68" t="s">
        <v>221</v>
      </c>
      <c r="G68" t="s">
        <v>222</v>
      </c>
      <c r="H68" t="s">
        <v>96</v>
      </c>
      <c r="I68" t="s">
        <v>223</v>
      </c>
      <c r="J68">
        <v>39</v>
      </c>
      <c r="K68">
        <v>1</v>
      </c>
      <c r="L68" t="s">
        <v>242</v>
      </c>
      <c r="M68" t="s">
        <v>226</v>
      </c>
    </row>
    <row r="69" spans="6:13" x14ac:dyDescent="0.2">
      <c r="F69" t="s">
        <v>221</v>
      </c>
      <c r="G69" t="s">
        <v>222</v>
      </c>
      <c r="H69" t="s">
        <v>96</v>
      </c>
      <c r="I69" t="s">
        <v>223</v>
      </c>
      <c r="J69">
        <v>116.25</v>
      </c>
      <c r="K69">
        <v>1</v>
      </c>
      <c r="L69" t="s">
        <v>242</v>
      </c>
      <c r="M69" t="s">
        <v>227</v>
      </c>
    </row>
    <row r="70" spans="6:13" x14ac:dyDescent="0.2">
      <c r="F70" t="s">
        <v>221</v>
      </c>
      <c r="G70" t="s">
        <v>222</v>
      </c>
      <c r="H70" t="s">
        <v>96</v>
      </c>
      <c r="I70" t="s">
        <v>223</v>
      </c>
      <c r="J70">
        <v>152</v>
      </c>
      <c r="K70">
        <v>1</v>
      </c>
      <c r="L70" t="s">
        <v>242</v>
      </c>
      <c r="M70" t="s">
        <v>228</v>
      </c>
    </row>
    <row r="71" spans="6:13" x14ac:dyDescent="0.2">
      <c r="F71" t="s">
        <v>221</v>
      </c>
      <c r="G71" t="s">
        <v>222</v>
      </c>
      <c r="H71" t="s">
        <v>96</v>
      </c>
      <c r="I71" t="s">
        <v>223</v>
      </c>
      <c r="J71">
        <v>145.25</v>
      </c>
      <c r="K71">
        <v>1</v>
      </c>
      <c r="L71" t="s">
        <v>242</v>
      </c>
      <c r="M71" t="s">
        <v>229</v>
      </c>
    </row>
    <row r="72" spans="6:13" x14ac:dyDescent="0.2">
      <c r="F72" t="s">
        <v>221</v>
      </c>
      <c r="G72" t="s">
        <v>222</v>
      </c>
      <c r="H72" t="s">
        <v>96</v>
      </c>
      <c r="I72" t="s">
        <v>223</v>
      </c>
      <c r="J72">
        <v>103.25</v>
      </c>
      <c r="K72">
        <v>1</v>
      </c>
      <c r="L72" t="s">
        <v>242</v>
      </c>
      <c r="M72" t="s">
        <v>230</v>
      </c>
    </row>
    <row r="73" spans="6:13" x14ac:dyDescent="0.2">
      <c r="F73" t="s">
        <v>221</v>
      </c>
      <c r="G73" t="s">
        <v>222</v>
      </c>
      <c r="H73" t="s">
        <v>96</v>
      </c>
      <c r="I73" t="s">
        <v>223</v>
      </c>
      <c r="J73">
        <v>144</v>
      </c>
      <c r="K73">
        <v>1</v>
      </c>
      <c r="L73" t="s">
        <v>242</v>
      </c>
      <c r="M73" t="s">
        <v>231</v>
      </c>
    </row>
    <row r="74" spans="6:13" x14ac:dyDescent="0.2">
      <c r="F74" t="s">
        <v>221</v>
      </c>
      <c r="G74" t="s">
        <v>222</v>
      </c>
      <c r="H74" t="s">
        <v>96</v>
      </c>
      <c r="I74" t="s">
        <v>223</v>
      </c>
      <c r="J74">
        <v>32</v>
      </c>
      <c r="K74">
        <v>1</v>
      </c>
      <c r="L74" t="s">
        <v>242</v>
      </c>
      <c r="M74" t="s">
        <v>232</v>
      </c>
    </row>
    <row r="75" spans="6:13" x14ac:dyDescent="0.2">
      <c r="F75" t="s">
        <v>221</v>
      </c>
      <c r="G75" t="s">
        <v>222</v>
      </c>
      <c r="H75" t="s">
        <v>33</v>
      </c>
      <c r="I75" t="s">
        <v>33</v>
      </c>
      <c r="J75">
        <v>14.75</v>
      </c>
      <c r="K75">
        <v>1</v>
      </c>
      <c r="L75" t="s">
        <v>242</v>
      </c>
      <c r="M75" t="s">
        <v>243</v>
      </c>
    </row>
    <row r="76" spans="6:13" x14ac:dyDescent="0.2">
      <c r="F76" t="s">
        <v>221</v>
      </c>
      <c r="G76" t="s">
        <v>222</v>
      </c>
      <c r="H76" t="s">
        <v>33</v>
      </c>
      <c r="I76" t="s">
        <v>33</v>
      </c>
      <c r="J76">
        <v>14</v>
      </c>
      <c r="K76">
        <v>0.42105263157894701</v>
      </c>
      <c r="L76" t="s">
        <v>242</v>
      </c>
      <c r="M76" t="s">
        <v>225</v>
      </c>
    </row>
    <row r="77" spans="6:13" x14ac:dyDescent="0.2">
      <c r="F77" t="s">
        <v>221</v>
      </c>
      <c r="G77" t="s">
        <v>222</v>
      </c>
      <c r="H77" t="s">
        <v>96</v>
      </c>
      <c r="I77" t="s">
        <v>223</v>
      </c>
      <c r="J77">
        <v>5</v>
      </c>
      <c r="K77">
        <v>0.76923076923076905</v>
      </c>
      <c r="L77" t="s">
        <v>244</v>
      </c>
      <c r="M77" t="s">
        <v>225</v>
      </c>
    </row>
    <row r="78" spans="6:13" x14ac:dyDescent="0.2">
      <c r="F78" t="s">
        <v>221</v>
      </c>
      <c r="G78" t="s">
        <v>222</v>
      </c>
      <c r="H78" t="s">
        <v>96</v>
      </c>
      <c r="I78" t="s">
        <v>223</v>
      </c>
      <c r="J78">
        <v>10</v>
      </c>
      <c r="K78">
        <v>1</v>
      </c>
      <c r="L78" t="s">
        <v>244</v>
      </c>
      <c r="M78" t="s">
        <v>226</v>
      </c>
    </row>
    <row r="79" spans="6:13" x14ac:dyDescent="0.2">
      <c r="F79" t="s">
        <v>221</v>
      </c>
      <c r="G79" t="s">
        <v>222</v>
      </c>
      <c r="H79" t="s">
        <v>96</v>
      </c>
      <c r="I79" t="s">
        <v>223</v>
      </c>
      <c r="J79">
        <v>28.75</v>
      </c>
      <c r="K79">
        <v>0.93495934959349603</v>
      </c>
      <c r="L79" t="s">
        <v>244</v>
      </c>
      <c r="M79" t="s">
        <v>227</v>
      </c>
    </row>
    <row r="80" spans="6:13" x14ac:dyDescent="0.2">
      <c r="F80" t="s">
        <v>221</v>
      </c>
      <c r="G80" t="s">
        <v>222</v>
      </c>
      <c r="H80" t="s">
        <v>96</v>
      </c>
      <c r="I80" t="s">
        <v>223</v>
      </c>
      <c r="J80">
        <v>38</v>
      </c>
      <c r="K80">
        <v>1</v>
      </c>
      <c r="L80" t="s">
        <v>244</v>
      </c>
      <c r="M80" t="s">
        <v>228</v>
      </c>
    </row>
    <row r="81" spans="6:13" x14ac:dyDescent="0.2">
      <c r="F81" t="s">
        <v>221</v>
      </c>
      <c r="G81" t="s">
        <v>222</v>
      </c>
      <c r="H81" t="s">
        <v>96</v>
      </c>
      <c r="I81" t="s">
        <v>223</v>
      </c>
      <c r="J81">
        <v>48</v>
      </c>
      <c r="K81">
        <v>1</v>
      </c>
      <c r="L81" t="s">
        <v>244</v>
      </c>
      <c r="M81" t="s">
        <v>229</v>
      </c>
    </row>
    <row r="82" spans="6:13" x14ac:dyDescent="0.2">
      <c r="F82" t="s">
        <v>221</v>
      </c>
      <c r="G82" t="s">
        <v>222</v>
      </c>
      <c r="H82" t="s">
        <v>96</v>
      </c>
      <c r="I82" t="s">
        <v>223</v>
      </c>
      <c r="J82">
        <v>14.25</v>
      </c>
      <c r="K82">
        <v>0.87692307692307703</v>
      </c>
      <c r="L82" t="s">
        <v>244</v>
      </c>
      <c r="M82" t="s">
        <v>230</v>
      </c>
    </row>
    <row r="83" spans="6:13" x14ac:dyDescent="0.2">
      <c r="F83" t="s">
        <v>221</v>
      </c>
      <c r="G83" t="s">
        <v>222</v>
      </c>
      <c r="H83" t="s">
        <v>96</v>
      </c>
      <c r="I83" t="s">
        <v>223</v>
      </c>
      <c r="J83">
        <v>19.25</v>
      </c>
      <c r="K83">
        <v>1</v>
      </c>
      <c r="L83" t="s">
        <v>244</v>
      </c>
      <c r="M83" t="s">
        <v>231</v>
      </c>
    </row>
    <row r="84" spans="6:13" x14ac:dyDescent="0.2">
      <c r="F84" t="s">
        <v>221</v>
      </c>
      <c r="G84" t="s">
        <v>222</v>
      </c>
      <c r="H84" t="s">
        <v>96</v>
      </c>
      <c r="I84" t="s">
        <v>223</v>
      </c>
      <c r="J84">
        <v>7</v>
      </c>
      <c r="K84">
        <v>1</v>
      </c>
      <c r="L84" t="s">
        <v>244</v>
      </c>
      <c r="M84" t="s">
        <v>232</v>
      </c>
    </row>
    <row r="85" spans="6:13" x14ac:dyDescent="0.2">
      <c r="F85" t="s">
        <v>221</v>
      </c>
      <c r="G85" t="s">
        <v>222</v>
      </c>
      <c r="H85" t="s">
        <v>96</v>
      </c>
      <c r="I85" t="s">
        <v>237</v>
      </c>
      <c r="J85">
        <v>2</v>
      </c>
      <c r="K85">
        <v>6.50406504065041E-2</v>
      </c>
      <c r="L85" t="s">
        <v>244</v>
      </c>
      <c r="M85" t="s">
        <v>227</v>
      </c>
    </row>
    <row r="86" spans="6:13" x14ac:dyDescent="0.2">
      <c r="F86" t="s">
        <v>221</v>
      </c>
      <c r="G86" t="s">
        <v>222</v>
      </c>
      <c r="H86" t="s">
        <v>96</v>
      </c>
      <c r="I86" t="s">
        <v>239</v>
      </c>
      <c r="J86">
        <v>2</v>
      </c>
      <c r="K86">
        <v>0.123076923076923</v>
      </c>
      <c r="L86" t="s">
        <v>244</v>
      </c>
      <c r="M86" t="s">
        <v>230</v>
      </c>
    </row>
    <row r="87" spans="6:13" x14ac:dyDescent="0.2">
      <c r="F87" t="s">
        <v>221</v>
      </c>
      <c r="G87" t="s">
        <v>222</v>
      </c>
      <c r="H87" t="s">
        <v>33</v>
      </c>
      <c r="I87" t="s">
        <v>33</v>
      </c>
      <c r="J87">
        <v>1.5</v>
      </c>
      <c r="K87">
        <v>0.230769230769231</v>
      </c>
      <c r="L87" t="s">
        <v>244</v>
      </c>
      <c r="M87" t="s">
        <v>225</v>
      </c>
    </row>
    <row r="88" spans="6:13" x14ac:dyDescent="0.2">
      <c r="F88" t="s">
        <v>221</v>
      </c>
      <c r="G88" t="s">
        <v>222</v>
      </c>
      <c r="H88" t="s">
        <v>96</v>
      </c>
      <c r="I88" t="s">
        <v>223</v>
      </c>
      <c r="J88">
        <v>21</v>
      </c>
      <c r="K88">
        <v>1</v>
      </c>
      <c r="L88" t="s">
        <v>245</v>
      </c>
      <c r="M88" t="s">
        <v>227</v>
      </c>
    </row>
    <row r="89" spans="6:13" x14ac:dyDescent="0.2">
      <c r="F89" t="s">
        <v>221</v>
      </c>
      <c r="G89" t="s">
        <v>222</v>
      </c>
      <c r="H89" t="s">
        <v>96</v>
      </c>
      <c r="I89" t="s">
        <v>223</v>
      </c>
      <c r="J89">
        <v>60.5</v>
      </c>
      <c r="K89">
        <v>1</v>
      </c>
      <c r="L89" t="s">
        <v>245</v>
      </c>
      <c r="M89" t="s">
        <v>228</v>
      </c>
    </row>
    <row r="90" spans="6:13" x14ac:dyDescent="0.2">
      <c r="F90" t="s">
        <v>221</v>
      </c>
      <c r="G90" t="s">
        <v>222</v>
      </c>
      <c r="H90" t="s">
        <v>96</v>
      </c>
      <c r="I90" t="s">
        <v>223</v>
      </c>
      <c r="J90">
        <v>66</v>
      </c>
      <c r="K90">
        <v>1</v>
      </c>
      <c r="L90" t="s">
        <v>245</v>
      </c>
      <c r="M90" t="s">
        <v>229</v>
      </c>
    </row>
    <row r="91" spans="6:13" x14ac:dyDescent="0.2">
      <c r="F91" t="s">
        <v>221</v>
      </c>
      <c r="G91" t="s">
        <v>222</v>
      </c>
      <c r="H91" t="s">
        <v>96</v>
      </c>
      <c r="I91" t="s">
        <v>223</v>
      </c>
      <c r="J91">
        <v>93.25</v>
      </c>
      <c r="K91">
        <v>1</v>
      </c>
      <c r="L91" t="s">
        <v>245</v>
      </c>
      <c r="M91" t="s">
        <v>230</v>
      </c>
    </row>
    <row r="92" spans="6:13" x14ac:dyDescent="0.2">
      <c r="F92" t="s">
        <v>221</v>
      </c>
      <c r="G92" t="s">
        <v>222</v>
      </c>
      <c r="H92" t="s">
        <v>96</v>
      </c>
      <c r="I92" t="s">
        <v>223</v>
      </c>
      <c r="J92">
        <v>71.75</v>
      </c>
      <c r="K92">
        <v>1</v>
      </c>
      <c r="L92" t="s">
        <v>245</v>
      </c>
      <c r="M92" t="s">
        <v>231</v>
      </c>
    </row>
    <row r="93" spans="6:13" x14ac:dyDescent="0.2">
      <c r="F93" t="s">
        <v>221</v>
      </c>
      <c r="G93" t="s">
        <v>222</v>
      </c>
      <c r="H93" t="s">
        <v>96</v>
      </c>
      <c r="I93" t="s">
        <v>223</v>
      </c>
      <c r="J93">
        <v>4.25</v>
      </c>
      <c r="K93">
        <v>1</v>
      </c>
      <c r="L93" t="s">
        <v>245</v>
      </c>
      <c r="M93" t="s">
        <v>232</v>
      </c>
    </row>
    <row r="94" spans="6:13" x14ac:dyDescent="0.2">
      <c r="F94" t="s">
        <v>221</v>
      </c>
      <c r="G94" t="s">
        <v>222</v>
      </c>
      <c r="H94" t="s">
        <v>96</v>
      </c>
      <c r="I94" t="s">
        <v>223</v>
      </c>
      <c r="J94">
        <v>8</v>
      </c>
      <c r="K94">
        <v>1</v>
      </c>
      <c r="L94" t="s">
        <v>246</v>
      </c>
      <c r="M94" t="s">
        <v>225</v>
      </c>
    </row>
    <row r="95" spans="6:13" x14ac:dyDescent="0.2">
      <c r="F95" t="s">
        <v>221</v>
      </c>
      <c r="G95" t="s">
        <v>222</v>
      </c>
      <c r="H95" t="s">
        <v>96</v>
      </c>
      <c r="I95" t="s">
        <v>223</v>
      </c>
      <c r="J95">
        <v>15.25</v>
      </c>
      <c r="K95">
        <v>1</v>
      </c>
      <c r="L95" t="s">
        <v>246</v>
      </c>
      <c r="M95" t="s">
        <v>226</v>
      </c>
    </row>
    <row r="96" spans="6:13" x14ac:dyDescent="0.2">
      <c r="F96" t="s">
        <v>221</v>
      </c>
      <c r="G96" t="s">
        <v>222</v>
      </c>
      <c r="H96" t="s">
        <v>96</v>
      </c>
      <c r="I96" t="s">
        <v>223</v>
      </c>
      <c r="J96">
        <v>27.75</v>
      </c>
      <c r="K96">
        <v>1</v>
      </c>
      <c r="L96" t="s">
        <v>246</v>
      </c>
      <c r="M96" t="s">
        <v>227</v>
      </c>
    </row>
    <row r="97" spans="6:13" x14ac:dyDescent="0.2">
      <c r="F97" t="s">
        <v>221</v>
      </c>
      <c r="G97" t="s">
        <v>222</v>
      </c>
      <c r="H97" t="s">
        <v>96</v>
      </c>
      <c r="I97" t="s">
        <v>223</v>
      </c>
      <c r="J97">
        <v>37</v>
      </c>
      <c r="K97">
        <v>1</v>
      </c>
      <c r="L97" t="s">
        <v>246</v>
      </c>
      <c r="M97" t="s">
        <v>228</v>
      </c>
    </row>
    <row r="98" spans="6:13" x14ac:dyDescent="0.2">
      <c r="F98" t="s">
        <v>221</v>
      </c>
      <c r="G98" t="s">
        <v>222</v>
      </c>
      <c r="H98" t="s">
        <v>96</v>
      </c>
      <c r="I98" t="s">
        <v>223</v>
      </c>
      <c r="J98">
        <v>29</v>
      </c>
      <c r="K98">
        <v>1</v>
      </c>
      <c r="L98" t="s">
        <v>246</v>
      </c>
      <c r="M98" t="s">
        <v>229</v>
      </c>
    </row>
    <row r="99" spans="6:13" x14ac:dyDescent="0.2">
      <c r="F99" t="s">
        <v>221</v>
      </c>
      <c r="G99" t="s">
        <v>222</v>
      </c>
      <c r="H99" t="s">
        <v>96</v>
      </c>
      <c r="I99" t="s">
        <v>223</v>
      </c>
      <c r="J99">
        <v>33</v>
      </c>
      <c r="K99">
        <v>1</v>
      </c>
      <c r="L99" t="s">
        <v>246</v>
      </c>
      <c r="M99" t="s">
        <v>230</v>
      </c>
    </row>
    <row r="100" spans="6:13" x14ac:dyDescent="0.2">
      <c r="F100" t="s">
        <v>221</v>
      </c>
      <c r="G100" t="s">
        <v>222</v>
      </c>
      <c r="H100" t="s">
        <v>96</v>
      </c>
      <c r="I100" t="s">
        <v>223</v>
      </c>
      <c r="J100">
        <v>30.25</v>
      </c>
      <c r="K100">
        <v>1</v>
      </c>
      <c r="L100" t="s">
        <v>246</v>
      </c>
      <c r="M100" t="s">
        <v>231</v>
      </c>
    </row>
    <row r="101" spans="6:13" x14ac:dyDescent="0.2">
      <c r="F101" t="s">
        <v>221</v>
      </c>
      <c r="G101" t="s">
        <v>222</v>
      </c>
      <c r="H101" t="s">
        <v>96</v>
      </c>
      <c r="I101" t="s">
        <v>223</v>
      </c>
      <c r="J101">
        <v>17.75</v>
      </c>
      <c r="K101">
        <v>1</v>
      </c>
      <c r="L101" t="s">
        <v>246</v>
      </c>
      <c r="M101" t="s">
        <v>232</v>
      </c>
    </row>
    <row r="102" spans="6:13" x14ac:dyDescent="0.2">
      <c r="F102" t="s">
        <v>221</v>
      </c>
      <c r="G102" t="s">
        <v>222</v>
      </c>
      <c r="H102" t="s">
        <v>96</v>
      </c>
      <c r="I102" t="s">
        <v>223</v>
      </c>
      <c r="J102">
        <v>18.25</v>
      </c>
      <c r="K102">
        <v>0.96052631578947401</v>
      </c>
      <c r="L102" t="s">
        <v>247</v>
      </c>
      <c r="M102" t="s">
        <v>230</v>
      </c>
    </row>
    <row r="103" spans="6:13" x14ac:dyDescent="0.2">
      <c r="F103" t="s">
        <v>221</v>
      </c>
      <c r="G103" t="s">
        <v>222</v>
      </c>
      <c r="H103" t="s">
        <v>96</v>
      </c>
      <c r="I103" t="s">
        <v>237</v>
      </c>
      <c r="J103">
        <v>0.75</v>
      </c>
      <c r="K103">
        <v>3.94736842105263E-2</v>
      </c>
      <c r="L103" t="s">
        <v>247</v>
      </c>
      <c r="M103" t="s">
        <v>230</v>
      </c>
    </row>
    <row r="104" spans="6:13" x14ac:dyDescent="0.2">
      <c r="F104" t="s">
        <v>221</v>
      </c>
      <c r="G104" t="s">
        <v>222</v>
      </c>
      <c r="H104" t="s">
        <v>96</v>
      </c>
      <c r="I104" t="s">
        <v>237</v>
      </c>
      <c r="J104">
        <v>7.5</v>
      </c>
      <c r="K104">
        <v>1</v>
      </c>
      <c r="L104" t="s">
        <v>247</v>
      </c>
      <c r="M104" t="s">
        <v>231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1C6-2D6B-4559-BAB2-FBE0F2F735DF}">
  <dimension ref="A1:H11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14" bestFit="1" customWidth="1"/>
    <col min="2" max="2" width="14" customWidth="1"/>
    <col min="3" max="3" width="5.6640625" customWidth="1"/>
    <col min="4" max="4" width="46.5" bestFit="1" customWidth="1"/>
    <col min="5" max="5" width="30.6640625" customWidth="1"/>
    <col min="6" max="6" width="12.5" bestFit="1" customWidth="1"/>
    <col min="7" max="7" width="12.6640625" bestFit="1" customWidth="1"/>
    <col min="8" max="8" width="10.5" customWidth="1"/>
  </cols>
  <sheetData>
    <row r="1" spans="1:8" x14ac:dyDescent="0.2">
      <c r="A1" t="s">
        <v>87</v>
      </c>
      <c r="B1" s="29">
        <f>Forecasting!D22</f>
        <v>40950</v>
      </c>
      <c r="C1" s="29"/>
    </row>
    <row r="2" spans="1:8" x14ac:dyDescent="0.2">
      <c r="A2" t="s">
        <v>124</v>
      </c>
      <c r="B2" s="3">
        <v>780</v>
      </c>
    </row>
    <row r="3" spans="1:8" x14ac:dyDescent="0.2">
      <c r="A3" t="s">
        <v>133</v>
      </c>
      <c r="B3" s="3">
        <f>B2/8</f>
        <v>97.5</v>
      </c>
    </row>
    <row r="4" spans="1:8" x14ac:dyDescent="0.2">
      <c r="A4" t="s">
        <v>125</v>
      </c>
      <c r="B4" s="39">
        <f>B3*160</f>
        <v>15600</v>
      </c>
      <c r="D4" s="35" t="s">
        <v>121</v>
      </c>
      <c r="E4" s="35" t="s">
        <v>1</v>
      </c>
      <c r="F4" s="35" t="s">
        <v>2</v>
      </c>
      <c r="G4" s="35" t="s">
        <v>3</v>
      </c>
    </row>
    <row r="5" spans="1:8" x14ac:dyDescent="0.2">
      <c r="D5" s="31" t="s">
        <v>33</v>
      </c>
      <c r="E5" s="31" t="s">
        <v>132</v>
      </c>
      <c r="F5" s="32">
        <f>42*B3</f>
        <v>4095</v>
      </c>
      <c r="G5" s="32">
        <f>42*B3</f>
        <v>4095</v>
      </c>
    </row>
    <row r="6" spans="1:8" x14ac:dyDescent="0.2">
      <c r="D6" s="31" t="s">
        <v>127</v>
      </c>
      <c r="E6" s="31" t="s">
        <v>128</v>
      </c>
      <c r="F6" s="32">
        <f>5*B1</f>
        <v>204750</v>
      </c>
      <c r="G6" s="32">
        <f>6*B1</f>
        <v>245700</v>
      </c>
    </row>
    <row r="7" spans="1:8" x14ac:dyDescent="0.2">
      <c r="D7" s="31" t="s">
        <v>17</v>
      </c>
      <c r="E7" s="31" t="s">
        <v>18</v>
      </c>
      <c r="F7" s="46">
        <v>3150</v>
      </c>
      <c r="G7" s="32">
        <v>3150</v>
      </c>
      <c r="H7" s="39"/>
    </row>
    <row r="8" spans="1:8" x14ac:dyDescent="0.2">
      <c r="D8" s="31" t="s">
        <v>97</v>
      </c>
      <c r="E8" s="31" t="s">
        <v>152</v>
      </c>
      <c r="F8" s="32">
        <f>2*3600</f>
        <v>7200</v>
      </c>
      <c r="G8" s="32">
        <f>2*3600</f>
        <v>7200</v>
      </c>
    </row>
    <row r="9" spans="1:8" x14ac:dyDescent="0.2">
      <c r="D9" s="31" t="s">
        <v>16</v>
      </c>
      <c r="E9" s="31" t="s">
        <v>122</v>
      </c>
      <c r="F9" s="32">
        <v>3600</v>
      </c>
      <c r="G9" s="32">
        <v>3600</v>
      </c>
    </row>
    <row r="10" spans="1:8" ht="16" thickBot="1" x14ac:dyDescent="0.25">
      <c r="D10" s="33" t="s">
        <v>29</v>
      </c>
      <c r="E10" s="37" t="s">
        <v>153</v>
      </c>
      <c r="F10" s="34">
        <f>SUM(F5:F9)</f>
        <v>222795</v>
      </c>
      <c r="G10" s="34">
        <f>SUM(G5:G9)</f>
        <v>263745</v>
      </c>
    </row>
    <row r="11" spans="1:8" ht="16" thickTop="1" x14ac:dyDescent="0.2">
      <c r="D11" s="15"/>
      <c r="E11" s="15"/>
      <c r="F11" s="36"/>
      <c r="G11" s="36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AL38"/>
  <sheetViews>
    <sheetView workbookViewId="0">
      <pane xSplit="4" topLeftCell="E1" activePane="topRight" state="frozen"/>
      <selection pane="topRight" activeCell="L23" sqref="L23"/>
    </sheetView>
  </sheetViews>
  <sheetFormatPr baseColWidth="10" defaultColWidth="8.83203125" defaultRowHeight="15" x14ac:dyDescent="0.2"/>
  <cols>
    <col min="1" max="1" width="26.33203125" style="1" customWidth="1"/>
    <col min="2" max="2" width="16.5" style="1" customWidth="1"/>
    <col min="3" max="3" width="12.83203125" style="1" customWidth="1"/>
    <col min="4" max="4" width="17.1640625" style="1" customWidth="1"/>
    <col min="5" max="5" width="9.5" customWidth="1"/>
  </cols>
  <sheetData>
    <row r="1" spans="1:38" x14ac:dyDescent="0.2"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 spans="1:38" x14ac:dyDescent="0.2">
      <c r="B2" s="15" t="s">
        <v>67</v>
      </c>
      <c r="C2" s="2"/>
      <c r="D2" s="2"/>
    </row>
    <row r="3" spans="1:38" x14ac:dyDescent="0.2">
      <c r="B3" t="s">
        <v>68</v>
      </c>
    </row>
    <row r="4" spans="1:38" x14ac:dyDescent="0.2">
      <c r="B4" t="s">
        <v>69</v>
      </c>
      <c r="E4">
        <v>0</v>
      </c>
      <c r="F4" t="e">
        <f>IF(COUNTBLANK(F3),NA(),F3+E4)</f>
        <v>#N/A</v>
      </c>
      <c r="G4" t="e">
        <f>IF(COUNTBLANK(G3),NA(),G3+F4)</f>
        <v>#N/A</v>
      </c>
      <c r="H4" t="e">
        <f t="shared" ref="H4" si="0">IF(COUNTBLANK(H3),NA(),H3+G4)</f>
        <v>#N/A</v>
      </c>
      <c r="I4" t="e">
        <f t="shared" ref="I4" si="1">IF(COUNTBLANK(I3),NA(),I3+H4)</f>
        <v>#N/A</v>
      </c>
      <c r="J4" t="e">
        <f t="shared" ref="J4:AG4" si="2">IF(COUNTBLANK(J3),NA(),J3+I4)</f>
        <v>#N/A</v>
      </c>
      <c r="K4" t="e">
        <f t="shared" si="2"/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 t="e">
        <f t="shared" si="2"/>
        <v>#N/A</v>
      </c>
      <c r="S4" t="e">
        <f t="shared" si="2"/>
        <v>#N/A</v>
      </c>
      <c r="T4" t="e">
        <f t="shared" si="2"/>
        <v>#N/A</v>
      </c>
      <c r="U4" t="e">
        <f t="shared" si="2"/>
        <v>#N/A</v>
      </c>
      <c r="V4" t="e">
        <f t="shared" si="2"/>
        <v>#N/A</v>
      </c>
      <c r="W4" t="e">
        <f t="shared" si="2"/>
        <v>#N/A</v>
      </c>
      <c r="X4" t="e">
        <f t="shared" si="2"/>
        <v>#N/A</v>
      </c>
      <c r="Y4" t="e">
        <f t="shared" si="2"/>
        <v>#N/A</v>
      </c>
      <c r="Z4" t="e">
        <f t="shared" si="2"/>
        <v>#N/A</v>
      </c>
      <c r="AA4" t="e">
        <f t="shared" si="2"/>
        <v>#N/A</v>
      </c>
      <c r="AB4" t="e">
        <f t="shared" si="2"/>
        <v>#N/A</v>
      </c>
      <c r="AC4" t="e">
        <f t="shared" si="2"/>
        <v>#N/A</v>
      </c>
      <c r="AD4" t="e">
        <f t="shared" si="2"/>
        <v>#N/A</v>
      </c>
      <c r="AE4" t="e">
        <f t="shared" si="2"/>
        <v>#N/A</v>
      </c>
      <c r="AF4" t="e">
        <f t="shared" si="2"/>
        <v>#N/A</v>
      </c>
      <c r="AG4" t="e">
        <f t="shared" si="2"/>
        <v>#N/A</v>
      </c>
      <c r="AH4" t="e">
        <f t="shared" ref="AH4" si="3">IF(COUNTBLANK(AH3),NA(),AH3+AG4)</f>
        <v>#N/A</v>
      </c>
      <c r="AI4" t="e">
        <f t="shared" ref="AI4" si="4">IF(COUNTBLANK(AI3),NA(),AI3+AH4)</f>
        <v>#N/A</v>
      </c>
      <c r="AJ4" t="e">
        <f t="shared" ref="AJ4" si="5">IF(COUNTBLANK(AJ3),NA(),AJ3+AI4)</f>
        <v>#N/A</v>
      </c>
      <c r="AK4" t="e">
        <f t="shared" ref="AK4" si="6">IF(COUNTBLANK(AK3),NA(),AK3+AJ4)</f>
        <v>#N/A</v>
      </c>
      <c r="AL4" t="e">
        <f t="shared" ref="AL4" si="7">IF(COUNTBLANK(AL3),NA(),AL3+AK4)</f>
        <v>#N/A</v>
      </c>
    </row>
    <row r="5" spans="1:38" x14ac:dyDescent="0.2">
      <c r="B5" t="s">
        <v>70</v>
      </c>
      <c r="E5" s="30">
        <v>130</v>
      </c>
      <c r="F5" s="30">
        <v>130</v>
      </c>
      <c r="G5" s="30">
        <v>130</v>
      </c>
      <c r="H5" s="30">
        <v>130</v>
      </c>
      <c r="I5" s="30">
        <v>130</v>
      </c>
      <c r="J5" s="30">
        <v>130</v>
      </c>
      <c r="K5" s="30">
        <v>130</v>
      </c>
      <c r="L5" s="30">
        <v>130</v>
      </c>
      <c r="M5" s="30">
        <v>130</v>
      </c>
      <c r="N5" s="30">
        <v>130</v>
      </c>
      <c r="O5" s="30">
        <v>130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</row>
    <row r="6" spans="1:38" x14ac:dyDescent="0.2">
      <c r="B6"/>
    </row>
    <row r="7" spans="1:38" x14ac:dyDescent="0.2">
      <c r="A7" s="87" t="s">
        <v>71</v>
      </c>
      <c r="B7" t="s">
        <v>72</v>
      </c>
      <c r="E7">
        <v>0</v>
      </c>
      <c r="F7">
        <f>IF(ISNA(F4),E7+$B$17,F4)</f>
        <v>38</v>
      </c>
      <c r="G7">
        <f>IF(ISNA(G4),F7+$B$17,G4)</f>
        <v>76</v>
      </c>
      <c r="H7">
        <f t="shared" ref="H7:AK7" si="8">IF(ISNA(H4),G7+$B$17,H4)</f>
        <v>114</v>
      </c>
      <c r="I7">
        <f t="shared" si="8"/>
        <v>152</v>
      </c>
      <c r="J7">
        <f>IF(ISNA(J4),I7+$B$17,J4)</f>
        <v>190</v>
      </c>
      <c r="K7">
        <f t="shared" si="8"/>
        <v>228</v>
      </c>
      <c r="L7">
        <f t="shared" si="8"/>
        <v>266</v>
      </c>
      <c r="M7">
        <f t="shared" si="8"/>
        <v>304</v>
      </c>
      <c r="N7">
        <f t="shared" si="8"/>
        <v>342</v>
      </c>
      <c r="O7">
        <f t="shared" si="8"/>
        <v>380</v>
      </c>
      <c r="P7">
        <f t="shared" si="8"/>
        <v>418</v>
      </c>
      <c r="Q7">
        <f t="shared" si="8"/>
        <v>456</v>
      </c>
      <c r="R7">
        <f t="shared" si="8"/>
        <v>494</v>
      </c>
      <c r="S7">
        <f t="shared" si="8"/>
        <v>532</v>
      </c>
      <c r="T7">
        <f t="shared" si="8"/>
        <v>570</v>
      </c>
      <c r="U7">
        <f t="shared" si="8"/>
        <v>608</v>
      </c>
      <c r="V7">
        <f t="shared" si="8"/>
        <v>646</v>
      </c>
      <c r="W7">
        <f t="shared" si="8"/>
        <v>684</v>
      </c>
      <c r="X7">
        <f t="shared" si="8"/>
        <v>722</v>
      </c>
      <c r="Y7">
        <f t="shared" si="8"/>
        <v>760</v>
      </c>
      <c r="Z7">
        <f t="shared" si="8"/>
        <v>798</v>
      </c>
      <c r="AA7">
        <f t="shared" si="8"/>
        <v>836</v>
      </c>
      <c r="AB7">
        <f t="shared" si="8"/>
        <v>874</v>
      </c>
      <c r="AC7">
        <f t="shared" si="8"/>
        <v>912</v>
      </c>
      <c r="AD7">
        <f t="shared" si="8"/>
        <v>950</v>
      </c>
      <c r="AE7">
        <f t="shared" si="8"/>
        <v>988</v>
      </c>
      <c r="AF7">
        <f t="shared" si="8"/>
        <v>1026</v>
      </c>
      <c r="AG7">
        <f t="shared" si="8"/>
        <v>1064</v>
      </c>
      <c r="AH7">
        <f t="shared" si="8"/>
        <v>1102</v>
      </c>
      <c r="AI7">
        <f t="shared" si="8"/>
        <v>1140</v>
      </c>
      <c r="AJ7">
        <f t="shared" si="8"/>
        <v>1178</v>
      </c>
      <c r="AK7">
        <f t="shared" si="8"/>
        <v>1216</v>
      </c>
      <c r="AL7">
        <f t="shared" ref="AL7" si="9">IF(ISNA(AL4),AK7+$B$17,AL4)</f>
        <v>1254</v>
      </c>
    </row>
    <row r="8" spans="1:38" x14ac:dyDescent="0.2">
      <c r="A8" s="87"/>
      <c r="B8" t="s">
        <v>73</v>
      </c>
      <c r="E8">
        <v>0</v>
      </c>
      <c r="F8">
        <f t="shared" ref="F8:AK8" si="10">IF(ISNA(F4),E8+$B$18,F4)</f>
        <v>35</v>
      </c>
      <c r="G8">
        <f t="shared" si="10"/>
        <v>70</v>
      </c>
      <c r="H8">
        <f t="shared" si="10"/>
        <v>105</v>
      </c>
      <c r="I8">
        <f t="shared" si="10"/>
        <v>140</v>
      </c>
      <c r="J8">
        <f t="shared" si="10"/>
        <v>175</v>
      </c>
      <c r="K8">
        <f t="shared" si="10"/>
        <v>210</v>
      </c>
      <c r="L8">
        <f t="shared" si="10"/>
        <v>245</v>
      </c>
      <c r="M8">
        <f t="shared" si="10"/>
        <v>280</v>
      </c>
      <c r="N8">
        <f t="shared" si="10"/>
        <v>315</v>
      </c>
      <c r="O8">
        <f t="shared" si="10"/>
        <v>350</v>
      </c>
      <c r="P8">
        <f t="shared" si="10"/>
        <v>385</v>
      </c>
      <c r="Q8">
        <f t="shared" si="10"/>
        <v>420</v>
      </c>
      <c r="R8">
        <f t="shared" si="10"/>
        <v>455</v>
      </c>
      <c r="S8">
        <f t="shared" si="10"/>
        <v>490</v>
      </c>
      <c r="T8">
        <f t="shared" si="10"/>
        <v>525</v>
      </c>
      <c r="U8">
        <f t="shared" si="10"/>
        <v>560</v>
      </c>
      <c r="V8">
        <f t="shared" si="10"/>
        <v>595</v>
      </c>
      <c r="W8">
        <f t="shared" si="10"/>
        <v>630</v>
      </c>
      <c r="X8">
        <f t="shared" si="10"/>
        <v>665</v>
      </c>
      <c r="Y8">
        <f t="shared" si="10"/>
        <v>700</v>
      </c>
      <c r="Z8">
        <f t="shared" si="10"/>
        <v>735</v>
      </c>
      <c r="AA8">
        <f t="shared" si="10"/>
        <v>770</v>
      </c>
      <c r="AB8">
        <f t="shared" si="10"/>
        <v>805</v>
      </c>
      <c r="AC8">
        <f t="shared" si="10"/>
        <v>840</v>
      </c>
      <c r="AD8">
        <f t="shared" si="10"/>
        <v>875</v>
      </c>
      <c r="AE8">
        <f t="shared" si="10"/>
        <v>910</v>
      </c>
      <c r="AF8">
        <f t="shared" si="10"/>
        <v>945</v>
      </c>
      <c r="AG8">
        <f t="shared" si="10"/>
        <v>980</v>
      </c>
      <c r="AH8">
        <f t="shared" si="10"/>
        <v>1015</v>
      </c>
      <c r="AI8">
        <f t="shared" si="10"/>
        <v>1050</v>
      </c>
      <c r="AJ8">
        <f t="shared" si="10"/>
        <v>1085</v>
      </c>
      <c r="AK8">
        <f t="shared" si="10"/>
        <v>1120</v>
      </c>
      <c r="AL8">
        <f t="shared" ref="AL8" si="11">IF(ISNA(AL4),AK8+$B$18,AL4)</f>
        <v>1155</v>
      </c>
    </row>
    <row r="9" spans="1:38" x14ac:dyDescent="0.2">
      <c r="A9" s="87"/>
      <c r="B9" t="s">
        <v>74</v>
      </c>
      <c r="E9">
        <v>0</v>
      </c>
      <c r="F9">
        <f t="shared" ref="F9:AK9" si="12">IF(ISNA(F4),E9+$B$19,F4)</f>
        <v>25</v>
      </c>
      <c r="G9">
        <f t="shared" si="12"/>
        <v>50</v>
      </c>
      <c r="H9">
        <f t="shared" si="12"/>
        <v>75</v>
      </c>
      <c r="I9">
        <f t="shared" si="12"/>
        <v>100</v>
      </c>
      <c r="J9">
        <f t="shared" si="12"/>
        <v>125</v>
      </c>
      <c r="K9">
        <f t="shared" si="12"/>
        <v>150</v>
      </c>
      <c r="L9">
        <f t="shared" si="12"/>
        <v>175</v>
      </c>
      <c r="M9">
        <f t="shared" si="12"/>
        <v>200</v>
      </c>
      <c r="N9">
        <f t="shared" si="12"/>
        <v>225</v>
      </c>
      <c r="O9">
        <f t="shared" si="12"/>
        <v>250</v>
      </c>
      <c r="P9">
        <f t="shared" si="12"/>
        <v>275</v>
      </c>
      <c r="Q9">
        <f t="shared" si="12"/>
        <v>300</v>
      </c>
      <c r="R9">
        <f t="shared" si="12"/>
        <v>325</v>
      </c>
      <c r="S9">
        <f t="shared" si="12"/>
        <v>350</v>
      </c>
      <c r="T9">
        <f t="shared" si="12"/>
        <v>375</v>
      </c>
      <c r="U9">
        <f t="shared" si="12"/>
        <v>400</v>
      </c>
      <c r="V9">
        <f t="shared" si="12"/>
        <v>425</v>
      </c>
      <c r="W9">
        <f t="shared" si="12"/>
        <v>450</v>
      </c>
      <c r="X9">
        <f t="shared" si="12"/>
        <v>475</v>
      </c>
      <c r="Y9">
        <f t="shared" si="12"/>
        <v>500</v>
      </c>
      <c r="Z9">
        <f t="shared" si="12"/>
        <v>525</v>
      </c>
      <c r="AA9">
        <f t="shared" si="12"/>
        <v>550</v>
      </c>
      <c r="AB9">
        <f t="shared" si="12"/>
        <v>575</v>
      </c>
      <c r="AC9">
        <f t="shared" si="12"/>
        <v>600</v>
      </c>
      <c r="AD9">
        <f t="shared" si="12"/>
        <v>625</v>
      </c>
      <c r="AE9">
        <f t="shared" si="12"/>
        <v>650</v>
      </c>
      <c r="AF9">
        <f t="shared" si="12"/>
        <v>675</v>
      </c>
      <c r="AG9">
        <f t="shared" si="12"/>
        <v>700</v>
      </c>
      <c r="AH9">
        <f t="shared" si="12"/>
        <v>725</v>
      </c>
      <c r="AI9">
        <f t="shared" si="12"/>
        <v>750</v>
      </c>
      <c r="AJ9">
        <f t="shared" si="12"/>
        <v>775</v>
      </c>
      <c r="AK9">
        <f t="shared" si="12"/>
        <v>800</v>
      </c>
      <c r="AL9">
        <f t="shared" ref="AL9" si="13">IF(ISNA(AL4),AK9+$B$19,AL4)</f>
        <v>825</v>
      </c>
    </row>
    <row r="10" spans="1:38" x14ac:dyDescent="0.2">
      <c r="B10"/>
    </row>
    <row r="11" spans="1:38" x14ac:dyDescent="0.2">
      <c r="A11" s="87" t="s">
        <v>75</v>
      </c>
      <c r="B11" s="15" t="s">
        <v>76</v>
      </c>
      <c r="C11" s="2"/>
      <c r="D11" s="2"/>
    </row>
    <row r="12" spans="1:38" x14ac:dyDescent="0.2">
      <c r="A12" s="87"/>
      <c r="B12" t="s">
        <v>77</v>
      </c>
      <c r="F12">
        <v>23400</v>
      </c>
      <c r="G12">
        <v>23400</v>
      </c>
      <c r="H12">
        <v>23400</v>
      </c>
      <c r="I12">
        <v>23400</v>
      </c>
      <c r="J12">
        <v>23400</v>
      </c>
      <c r="K12">
        <v>23400</v>
      </c>
      <c r="L12">
        <v>23400</v>
      </c>
      <c r="M12">
        <v>23400</v>
      </c>
      <c r="N12">
        <v>23400</v>
      </c>
    </row>
    <row r="13" spans="1:38" x14ac:dyDescent="0.2">
      <c r="A13" s="87"/>
      <c r="B13" t="s">
        <v>78</v>
      </c>
      <c r="E13">
        <v>0</v>
      </c>
      <c r="F13">
        <f>IF(COUNTBLANK(F12),NA(),F12+E13)</f>
        <v>23400</v>
      </c>
      <c r="G13">
        <f t="shared" ref="G13:AL13" si="14">IF(COUNTBLANK(G12),NA(),G12+F13)</f>
        <v>46800</v>
      </c>
      <c r="H13">
        <f t="shared" si="14"/>
        <v>70200</v>
      </c>
      <c r="I13">
        <f t="shared" si="14"/>
        <v>93600</v>
      </c>
      <c r="J13">
        <f>IF(COUNTBLANK(J12),NA(),J12+I13)</f>
        <v>117000</v>
      </c>
      <c r="K13">
        <f t="shared" si="14"/>
        <v>140400</v>
      </c>
      <c r="L13">
        <f t="shared" si="14"/>
        <v>163800</v>
      </c>
      <c r="M13">
        <f>IF(COUNTBLANK(M12),NA(),M12+L13)</f>
        <v>187200</v>
      </c>
      <c r="N13">
        <f t="shared" si="14"/>
        <v>210600</v>
      </c>
      <c r="O13" t="e">
        <f>IF(COUNTBLANK(O12),NA(),O12+N13)</f>
        <v>#N/A</v>
      </c>
      <c r="P13" t="e">
        <f t="shared" si="14"/>
        <v>#N/A</v>
      </c>
      <c r="Q13" t="e">
        <f t="shared" si="14"/>
        <v>#N/A</v>
      </c>
      <c r="R13" t="e">
        <f t="shared" si="14"/>
        <v>#N/A</v>
      </c>
      <c r="S13" t="e">
        <f t="shared" si="14"/>
        <v>#N/A</v>
      </c>
      <c r="T13" t="e">
        <f t="shared" si="14"/>
        <v>#N/A</v>
      </c>
      <c r="U13" t="e">
        <f t="shared" si="14"/>
        <v>#N/A</v>
      </c>
      <c r="V13" t="e">
        <f t="shared" si="14"/>
        <v>#N/A</v>
      </c>
      <c r="W13" t="e">
        <f t="shared" si="14"/>
        <v>#N/A</v>
      </c>
      <c r="X13" t="e">
        <f t="shared" si="14"/>
        <v>#N/A</v>
      </c>
      <c r="Y13" t="e">
        <f t="shared" si="14"/>
        <v>#N/A</v>
      </c>
      <c r="Z13" t="e">
        <f t="shared" si="14"/>
        <v>#N/A</v>
      </c>
      <c r="AA13" t="e">
        <f t="shared" si="14"/>
        <v>#N/A</v>
      </c>
      <c r="AB13" t="e">
        <f t="shared" si="14"/>
        <v>#N/A</v>
      </c>
      <c r="AC13" t="e">
        <f t="shared" si="14"/>
        <v>#N/A</v>
      </c>
      <c r="AD13" t="e">
        <f t="shared" si="14"/>
        <v>#N/A</v>
      </c>
      <c r="AE13" t="e">
        <f t="shared" si="14"/>
        <v>#N/A</v>
      </c>
      <c r="AF13" t="e">
        <f t="shared" si="14"/>
        <v>#N/A</v>
      </c>
      <c r="AG13" t="e">
        <f t="shared" si="14"/>
        <v>#N/A</v>
      </c>
      <c r="AH13" t="e">
        <f t="shared" si="14"/>
        <v>#N/A</v>
      </c>
      <c r="AI13" t="e">
        <f t="shared" si="14"/>
        <v>#N/A</v>
      </c>
      <c r="AJ13" t="e">
        <f t="shared" si="14"/>
        <v>#N/A</v>
      </c>
      <c r="AK13" t="e">
        <f t="shared" si="14"/>
        <v>#N/A</v>
      </c>
      <c r="AL13" t="e">
        <f t="shared" si="14"/>
        <v>#N/A</v>
      </c>
    </row>
    <row r="14" spans="1:38" x14ac:dyDescent="0.2">
      <c r="A14" s="87"/>
      <c r="B14" t="s">
        <v>79</v>
      </c>
      <c r="E14">
        <v>0</v>
      </c>
      <c r="F14">
        <f t="shared" ref="F14:AK14" si="15">IF(ISNA(F13),E14+$D$30,F13)</f>
        <v>23400</v>
      </c>
      <c r="G14">
        <f t="shared" si="15"/>
        <v>46800</v>
      </c>
      <c r="H14">
        <f t="shared" si="15"/>
        <v>70200</v>
      </c>
      <c r="I14">
        <f t="shared" si="15"/>
        <v>93600</v>
      </c>
      <c r="J14">
        <f t="shared" si="15"/>
        <v>117000</v>
      </c>
      <c r="K14">
        <f t="shared" si="15"/>
        <v>140400</v>
      </c>
      <c r="L14">
        <f t="shared" si="15"/>
        <v>163800</v>
      </c>
      <c r="M14">
        <f t="shared" si="15"/>
        <v>187200</v>
      </c>
      <c r="N14">
        <f t="shared" si="15"/>
        <v>210600</v>
      </c>
      <c r="O14">
        <f t="shared" si="15"/>
        <v>251550</v>
      </c>
      <c r="P14">
        <f t="shared" si="15"/>
        <v>292500</v>
      </c>
      <c r="Q14">
        <f t="shared" si="15"/>
        <v>333450</v>
      </c>
      <c r="R14">
        <f t="shared" si="15"/>
        <v>374400</v>
      </c>
      <c r="S14">
        <f t="shared" si="15"/>
        <v>415350</v>
      </c>
      <c r="T14">
        <f t="shared" si="15"/>
        <v>456300</v>
      </c>
      <c r="U14">
        <f t="shared" si="15"/>
        <v>497250</v>
      </c>
      <c r="V14">
        <f t="shared" si="15"/>
        <v>538200</v>
      </c>
      <c r="W14">
        <f t="shared" si="15"/>
        <v>579150</v>
      </c>
      <c r="X14">
        <f t="shared" si="15"/>
        <v>620100</v>
      </c>
      <c r="Y14">
        <f t="shared" si="15"/>
        <v>661050</v>
      </c>
      <c r="Z14">
        <f t="shared" si="15"/>
        <v>702000</v>
      </c>
      <c r="AA14">
        <f t="shared" si="15"/>
        <v>742950</v>
      </c>
      <c r="AB14">
        <f t="shared" si="15"/>
        <v>783900</v>
      </c>
      <c r="AC14">
        <f t="shared" si="15"/>
        <v>824850</v>
      </c>
      <c r="AD14">
        <f t="shared" si="15"/>
        <v>865800</v>
      </c>
      <c r="AE14">
        <f t="shared" si="15"/>
        <v>906750</v>
      </c>
      <c r="AF14">
        <f t="shared" si="15"/>
        <v>947700</v>
      </c>
      <c r="AG14">
        <f t="shared" si="15"/>
        <v>988650</v>
      </c>
      <c r="AH14">
        <f t="shared" si="15"/>
        <v>1029600</v>
      </c>
      <c r="AI14">
        <f t="shared" si="15"/>
        <v>1070550</v>
      </c>
      <c r="AJ14">
        <f t="shared" si="15"/>
        <v>1111500</v>
      </c>
      <c r="AK14">
        <f t="shared" si="15"/>
        <v>1152450</v>
      </c>
      <c r="AL14">
        <f t="shared" ref="AL14" si="16">IF(ISNA(AL13),AK14+$D$30,AL13)</f>
        <v>1193400</v>
      </c>
    </row>
    <row r="16" spans="1:38" ht="16" x14ac:dyDescent="0.2">
      <c r="A16" s="2" t="s">
        <v>80</v>
      </c>
      <c r="B16" s="2" t="s">
        <v>68</v>
      </c>
      <c r="C16" s="2" t="s">
        <v>134</v>
      </c>
      <c r="D16" s="47">
        <v>0.1</v>
      </c>
    </row>
    <row r="17" spans="1:17" ht="32" x14ac:dyDescent="0.2">
      <c r="A17" s="1" t="s">
        <v>81</v>
      </c>
      <c r="B17" s="1">
        <v>38</v>
      </c>
      <c r="C17" s="40">
        <f>$E$5/B17</f>
        <v>3.4210526315789473</v>
      </c>
      <c r="D17" s="48">
        <f>C17*(1+$D$16)</f>
        <v>3.7631578947368425</v>
      </c>
    </row>
    <row r="18" spans="1:17" ht="32" x14ac:dyDescent="0.2">
      <c r="A18" s="1" t="s">
        <v>82</v>
      </c>
      <c r="B18" s="1">
        <v>35</v>
      </c>
      <c r="C18" s="40">
        <f t="shared" ref="C18:C19" si="17">$E$5/B18</f>
        <v>3.7142857142857144</v>
      </c>
      <c r="D18" s="48">
        <f t="shared" ref="D18:D19" si="18">C18*(1+$D$16)</f>
        <v>4.0857142857142863</v>
      </c>
      <c r="G18" s="2" t="s">
        <v>33</v>
      </c>
      <c r="H18">
        <v>3</v>
      </c>
      <c r="I18">
        <v>3</v>
      </c>
      <c r="J18" t="s">
        <v>138</v>
      </c>
      <c r="N18" s="49">
        <v>45976</v>
      </c>
      <c r="O18" t="s">
        <v>142</v>
      </c>
    </row>
    <row r="19" spans="1:17" ht="32" x14ac:dyDescent="0.2">
      <c r="A19" s="1" t="s">
        <v>83</v>
      </c>
      <c r="B19" s="1">
        <v>25</v>
      </c>
      <c r="C19" s="40">
        <f t="shared" si="17"/>
        <v>5.2</v>
      </c>
      <c r="D19" s="48">
        <f t="shared" si="18"/>
        <v>5.7200000000000006</v>
      </c>
      <c r="G19" t="s">
        <v>134</v>
      </c>
      <c r="H19">
        <v>5</v>
      </c>
      <c r="I19">
        <v>6</v>
      </c>
      <c r="N19" s="49">
        <v>45641</v>
      </c>
      <c r="O19" t="s">
        <v>143</v>
      </c>
      <c r="P19" t="s">
        <v>149</v>
      </c>
      <c r="Q19">
        <v>4</v>
      </c>
    </row>
    <row r="20" spans="1:17" ht="16" thickBot="1" x14ac:dyDescent="0.25">
      <c r="G20" s="44" t="s">
        <v>135</v>
      </c>
      <c r="H20" s="44">
        <f>H19*3+H18</f>
        <v>18</v>
      </c>
      <c r="I20" s="44">
        <f>I19*3+I18</f>
        <v>21</v>
      </c>
      <c r="J20" t="s">
        <v>151</v>
      </c>
      <c r="N20" s="49">
        <v>45306</v>
      </c>
      <c r="O20" t="s">
        <v>144</v>
      </c>
      <c r="Q20">
        <v>8</v>
      </c>
    </row>
    <row r="21" spans="1:17" ht="18" thickTop="1" thickBot="1" x14ac:dyDescent="0.25">
      <c r="A21" s="2" t="s">
        <v>117</v>
      </c>
      <c r="B21" s="2" t="s">
        <v>129</v>
      </c>
      <c r="C21" s="2" t="s">
        <v>85</v>
      </c>
      <c r="D21" s="2" t="s">
        <v>86</v>
      </c>
      <c r="G21" s="45" t="s">
        <v>136</v>
      </c>
      <c r="H21" s="45">
        <f>H20/4</f>
        <v>4.5</v>
      </c>
      <c r="I21" s="45">
        <f>I20/4</f>
        <v>5.25</v>
      </c>
      <c r="N21" s="49">
        <v>44972</v>
      </c>
      <c r="O21" t="s">
        <v>145</v>
      </c>
      <c r="Q21">
        <v>12</v>
      </c>
    </row>
    <row r="22" spans="1:17" ht="17" thickTop="1" x14ac:dyDescent="0.2">
      <c r="A22" s="2" t="s">
        <v>120</v>
      </c>
      <c r="B22" s="2"/>
      <c r="C22" s="2"/>
      <c r="D22" s="29">
        <f>C35</f>
        <v>40950</v>
      </c>
      <c r="N22" s="49">
        <v>44635</v>
      </c>
      <c r="O22" t="s">
        <v>146</v>
      </c>
      <c r="Q22">
        <v>16</v>
      </c>
    </row>
    <row r="23" spans="1:17" ht="16" x14ac:dyDescent="0.2">
      <c r="A23" s="1" t="s">
        <v>119</v>
      </c>
      <c r="C23" s="28">
        <v>1</v>
      </c>
      <c r="D23" s="3"/>
      <c r="G23" t="s">
        <v>97</v>
      </c>
      <c r="H23">
        <v>4</v>
      </c>
      <c r="I23">
        <v>4</v>
      </c>
      <c r="J23" t="s">
        <v>138</v>
      </c>
      <c r="N23" s="49">
        <v>44301</v>
      </c>
      <c r="O23" t="s">
        <v>147</v>
      </c>
      <c r="Q23">
        <v>20</v>
      </c>
    </row>
    <row r="24" spans="1:17" ht="17" thickBot="1" x14ac:dyDescent="0.25">
      <c r="A24" s="1" t="s">
        <v>119</v>
      </c>
      <c r="C24" s="28">
        <v>1</v>
      </c>
      <c r="D24" s="3"/>
      <c r="G24" s="44" t="s">
        <v>135</v>
      </c>
      <c r="H24" s="44">
        <f>H23+H20</f>
        <v>22</v>
      </c>
      <c r="I24" s="44">
        <f>I23+I20</f>
        <v>25</v>
      </c>
      <c r="J24" t="s">
        <v>150</v>
      </c>
      <c r="N24" s="49">
        <v>43966</v>
      </c>
      <c r="O24" t="s">
        <v>148</v>
      </c>
      <c r="Q24">
        <v>24</v>
      </c>
    </row>
    <row r="25" spans="1:17" ht="18" thickTop="1" thickBot="1" x14ac:dyDescent="0.25">
      <c r="A25" s="1" t="s">
        <v>118</v>
      </c>
      <c r="C25" s="28">
        <v>0.5</v>
      </c>
      <c r="D25" s="3"/>
      <c r="G25" s="45" t="s">
        <v>136</v>
      </c>
      <c r="H25" s="45">
        <f>H24/4</f>
        <v>5.5</v>
      </c>
      <c r="I25" s="45">
        <f>I24/4</f>
        <v>6.25</v>
      </c>
      <c r="J25" t="s">
        <v>150</v>
      </c>
    </row>
    <row r="26" spans="1:17" ht="17" thickTop="1" x14ac:dyDescent="0.2">
      <c r="A26" s="1" t="s">
        <v>115</v>
      </c>
      <c r="C26" s="28">
        <v>0.5</v>
      </c>
      <c r="D26" s="3"/>
      <c r="H26" s="49">
        <v>45407</v>
      </c>
      <c r="I26" s="49">
        <v>45428</v>
      </c>
    </row>
    <row r="27" spans="1:17" ht="16" x14ac:dyDescent="0.2">
      <c r="A27" s="1" t="s">
        <v>141</v>
      </c>
      <c r="B27" t="s">
        <v>130</v>
      </c>
      <c r="C27" s="28">
        <v>0.35</v>
      </c>
      <c r="D27" s="38"/>
    </row>
    <row r="28" spans="1:17" ht="16" x14ac:dyDescent="0.2">
      <c r="A28" s="1" t="s">
        <v>116</v>
      </c>
      <c r="C28" s="28">
        <v>0.15</v>
      </c>
      <c r="G28" t="s">
        <v>154</v>
      </c>
      <c r="H28">
        <v>2</v>
      </c>
      <c r="I28">
        <v>2</v>
      </c>
      <c r="J28" t="s">
        <v>138</v>
      </c>
    </row>
    <row r="29" spans="1:17" ht="17" thickBot="1" x14ac:dyDescent="0.25">
      <c r="A29" s="41" t="s">
        <v>123</v>
      </c>
      <c r="B29" s="41"/>
      <c r="C29" s="42">
        <f>SUM(C23:C28)</f>
        <v>3.5</v>
      </c>
      <c r="D29" s="43"/>
      <c r="E29" s="1">
        <f>C29*40*3</f>
        <v>420</v>
      </c>
      <c r="F29" t="s">
        <v>137</v>
      </c>
      <c r="G29" s="44" t="s">
        <v>135</v>
      </c>
      <c r="H29" s="44">
        <f>H28+H24</f>
        <v>24</v>
      </c>
      <c r="I29" s="44">
        <f>I28+I24</f>
        <v>27</v>
      </c>
    </row>
    <row r="30" spans="1:17" ht="17" thickTop="1" x14ac:dyDescent="0.2">
      <c r="A30" s="2" t="s">
        <v>29</v>
      </c>
      <c r="B30" s="2"/>
      <c r="D30" s="29">
        <f>SUM(D22:D28)</f>
        <v>40950</v>
      </c>
    </row>
    <row r="31" spans="1:17" x14ac:dyDescent="0.2">
      <c r="D31" s="3"/>
    </row>
    <row r="32" spans="1:17" ht="16" x14ac:dyDescent="0.2">
      <c r="A32" s="1" t="s">
        <v>124</v>
      </c>
      <c r="C32" s="3">
        <v>780</v>
      </c>
      <c r="E32" s="50">
        <f>3600/C32</f>
        <v>4.615384615384615</v>
      </c>
    </row>
    <row r="33" spans="1:5" ht="16" x14ac:dyDescent="0.2">
      <c r="A33" s="1" t="s">
        <v>84</v>
      </c>
      <c r="C33" s="3">
        <f>C32/8</f>
        <v>97.5</v>
      </c>
      <c r="D33" s="3"/>
      <c r="E33" s="50"/>
    </row>
    <row r="34" spans="1:5" ht="16" x14ac:dyDescent="0.2">
      <c r="A34" s="1" t="s">
        <v>131</v>
      </c>
      <c r="C34" s="3">
        <f>C33*160*C29</f>
        <v>54600</v>
      </c>
      <c r="E34" s="50"/>
    </row>
    <row r="35" spans="1:5" ht="16" x14ac:dyDescent="0.2">
      <c r="A35" s="1" t="s">
        <v>126</v>
      </c>
      <c r="C35" s="3">
        <f>C34*3/4</f>
        <v>40950</v>
      </c>
      <c r="E35" s="50"/>
    </row>
    <row r="38" spans="1:5" x14ac:dyDescent="0.2">
      <c r="C38" s="3"/>
    </row>
  </sheetData>
  <mergeCells count="2">
    <mergeCell ref="A7:A9"/>
    <mergeCell ref="A11:A14"/>
  </mergeCells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115" zoomScaleNormal="115" workbookViewId="0">
      <selection activeCell="P11" sqref="P11"/>
    </sheetView>
  </sheetViews>
  <sheetFormatPr baseColWidth="10" defaultColWidth="8.83203125" defaultRowHeight="15" x14ac:dyDescent="0.2"/>
  <cols>
    <col min="6" max="7" width="10.33203125" bestFit="1" customWidth="1"/>
    <col min="8" max="9" width="11.33203125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B2:J14"/>
  <sheetViews>
    <sheetView workbookViewId="0">
      <selection activeCell="D30" sqref="D30"/>
    </sheetView>
  </sheetViews>
  <sheetFormatPr baseColWidth="10" defaultColWidth="8.83203125" defaultRowHeight="15" x14ac:dyDescent="0.2"/>
  <cols>
    <col min="2" max="2" width="47.83203125" customWidth="1"/>
    <col min="3" max="3" width="27.33203125" bestFit="1" customWidth="1"/>
    <col min="4" max="5" width="27.33203125" customWidth="1"/>
    <col min="6" max="6" width="20.1640625" bestFit="1" customWidth="1"/>
    <col min="7" max="7" width="16" bestFit="1" customWidth="1"/>
  </cols>
  <sheetData>
    <row r="2" spans="2:10" ht="16" thickBot="1" x14ac:dyDescent="0.25">
      <c r="B2" s="4" t="s">
        <v>0</v>
      </c>
      <c r="C2" s="4" t="s">
        <v>1</v>
      </c>
      <c r="D2" s="4" t="s">
        <v>139</v>
      </c>
      <c r="E2" s="4" t="s">
        <v>140</v>
      </c>
      <c r="F2" s="4" t="s">
        <v>2</v>
      </c>
      <c r="G2" s="4" t="s">
        <v>3</v>
      </c>
    </row>
    <row r="3" spans="2:10" ht="16" thickBot="1" x14ac:dyDescent="0.25">
      <c r="B3" s="5" t="s">
        <v>4</v>
      </c>
      <c r="C3" s="6" t="s">
        <v>5</v>
      </c>
      <c r="D3" s="6">
        <v>2</v>
      </c>
      <c r="E3" s="6">
        <v>3</v>
      </c>
      <c r="F3" s="6" t="s">
        <v>6</v>
      </c>
      <c r="G3" s="6" t="s">
        <v>7</v>
      </c>
      <c r="I3">
        <v>6000</v>
      </c>
      <c r="J3">
        <v>9000</v>
      </c>
    </row>
    <row r="4" spans="2:10" ht="16" thickBot="1" x14ac:dyDescent="0.25">
      <c r="B4" s="7" t="s">
        <v>8</v>
      </c>
      <c r="C4" s="8" t="s">
        <v>9</v>
      </c>
      <c r="D4" s="8">
        <v>3</v>
      </c>
      <c r="E4" s="8">
        <v>6</v>
      </c>
      <c r="F4" s="8" t="s">
        <v>10</v>
      </c>
      <c r="G4" s="8" t="s">
        <v>11</v>
      </c>
      <c r="I4">
        <v>23400</v>
      </c>
      <c r="J4">
        <v>46800</v>
      </c>
    </row>
    <row r="5" spans="2:10" ht="16" thickBot="1" x14ac:dyDescent="0.25">
      <c r="B5" s="7" t="s">
        <v>12</v>
      </c>
      <c r="C5" s="8" t="s">
        <v>13</v>
      </c>
      <c r="D5" s="8">
        <v>2</v>
      </c>
      <c r="E5" s="8">
        <v>2</v>
      </c>
      <c r="F5" s="8" t="s">
        <v>14</v>
      </c>
      <c r="G5" s="8" t="s">
        <v>15</v>
      </c>
      <c r="I5">
        <v>3600</v>
      </c>
      <c r="J5">
        <v>3600</v>
      </c>
    </row>
    <row r="6" spans="2:10" ht="16" thickBot="1" x14ac:dyDescent="0.25">
      <c r="B6" s="7" t="s">
        <v>16</v>
      </c>
      <c r="C6" s="8" t="s">
        <v>13</v>
      </c>
      <c r="D6" s="8">
        <v>2</v>
      </c>
      <c r="E6" s="8">
        <v>2</v>
      </c>
      <c r="F6" s="8" t="s">
        <v>14</v>
      </c>
      <c r="G6" s="8" t="s">
        <v>15</v>
      </c>
      <c r="I6">
        <v>3600</v>
      </c>
      <c r="J6">
        <v>3600</v>
      </c>
    </row>
    <row r="7" spans="2:10" ht="16" thickBot="1" x14ac:dyDescent="0.25">
      <c r="B7" s="7" t="s">
        <v>17</v>
      </c>
      <c r="C7" s="8" t="s">
        <v>18</v>
      </c>
      <c r="D7" s="8"/>
      <c r="E7" s="8"/>
      <c r="F7" s="8" t="s">
        <v>19</v>
      </c>
      <c r="G7" s="8" t="s">
        <v>20</v>
      </c>
      <c r="I7">
        <v>3150</v>
      </c>
      <c r="J7">
        <v>3150</v>
      </c>
    </row>
    <row r="8" spans="2:10" ht="17" thickBot="1" x14ac:dyDescent="0.25">
      <c r="B8" s="9"/>
      <c r="C8" s="10"/>
      <c r="D8" s="10"/>
      <c r="E8" s="10"/>
      <c r="F8" s="10"/>
      <c r="G8" s="10"/>
    </row>
    <row r="9" spans="2:10" ht="16" thickBot="1" x14ac:dyDescent="0.25">
      <c r="B9" s="11" t="s">
        <v>21</v>
      </c>
      <c r="C9" s="8" t="s">
        <v>22</v>
      </c>
      <c r="D9" s="8"/>
      <c r="E9" s="8"/>
      <c r="F9" s="12" t="s">
        <v>23</v>
      </c>
      <c r="G9" s="12" t="s">
        <v>24</v>
      </c>
      <c r="I9">
        <f>SUM(I3:I8)</f>
        <v>39750</v>
      </c>
      <c r="J9">
        <f>SUM(J3:J8)</f>
        <v>66150</v>
      </c>
    </row>
    <row r="10" spans="2:10" ht="17" thickBot="1" x14ac:dyDescent="0.25">
      <c r="B10" s="9"/>
      <c r="C10" s="10"/>
      <c r="D10" s="10"/>
      <c r="E10" s="10"/>
      <c r="F10" s="10"/>
      <c r="G10" s="10"/>
    </row>
    <row r="11" spans="2:10" ht="16" thickBot="1" x14ac:dyDescent="0.25">
      <c r="B11" s="7" t="s">
        <v>25</v>
      </c>
      <c r="C11" s="8" t="s">
        <v>26</v>
      </c>
      <c r="D11" s="8"/>
      <c r="E11" s="8"/>
      <c r="F11" s="8" t="s">
        <v>27</v>
      </c>
      <c r="G11" s="8" t="s">
        <v>28</v>
      </c>
      <c r="J11">
        <v>4800</v>
      </c>
    </row>
    <row r="12" spans="2:10" ht="16" thickBot="1" x14ac:dyDescent="0.25"/>
    <row r="13" spans="2:10" ht="17" thickBot="1" x14ac:dyDescent="0.25">
      <c r="B13" s="13" t="s">
        <v>29</v>
      </c>
      <c r="C13" s="13" t="s">
        <v>30</v>
      </c>
      <c r="D13" s="13"/>
      <c r="E13" s="13"/>
      <c r="F13" s="13" t="s">
        <v>31</v>
      </c>
      <c r="G13" s="13" t="s">
        <v>32</v>
      </c>
      <c r="I13" s="15">
        <f>I9</f>
        <v>39750</v>
      </c>
      <c r="J13" s="15">
        <f>J9+J11</f>
        <v>70950</v>
      </c>
    </row>
    <row r="14" spans="2:10" ht="16" thickTop="1" x14ac:dyDescent="0.2">
      <c r="B14" s="1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EE87-1F91-4729-84B6-FBBFAB49E737}">
  <dimension ref="A1:BU16"/>
  <sheetViews>
    <sheetView workbookViewId="0">
      <selection activeCell="U33" sqref="U33"/>
    </sheetView>
  </sheetViews>
  <sheetFormatPr baseColWidth="10" defaultColWidth="9.1640625" defaultRowHeight="14" x14ac:dyDescent="0.2"/>
  <cols>
    <col min="1" max="1" width="14" style="16" bestFit="1" customWidth="1"/>
    <col min="2" max="2" width="10" style="16" bestFit="1" customWidth="1"/>
    <col min="3" max="3" width="1.83203125" style="16" customWidth="1"/>
    <col min="4" max="8" width="6.33203125" style="16" bestFit="1" customWidth="1"/>
    <col min="9" max="10" width="1.1640625" style="16" customWidth="1"/>
    <col min="11" max="15" width="6.33203125" style="16" bestFit="1" customWidth="1"/>
    <col min="16" max="17" width="1.5" style="16" customWidth="1"/>
    <col min="18" max="21" width="6.33203125" style="16" bestFit="1" customWidth="1"/>
    <col min="22" max="22" width="9.83203125" style="16" bestFit="1" customWidth="1"/>
    <col min="23" max="24" width="1.1640625" style="16" customWidth="1"/>
    <col min="25" max="29" width="6.5" style="16" bestFit="1" customWidth="1"/>
    <col min="30" max="31" width="1.1640625" style="16" customWidth="1"/>
    <col min="32" max="36" width="6.5" style="16" bestFit="1" customWidth="1"/>
    <col min="37" max="38" width="1.1640625" style="16" customWidth="1"/>
    <col min="39" max="43" width="7.33203125" style="16" bestFit="1" customWidth="1"/>
    <col min="44" max="45" width="1.1640625" style="16" customWidth="1"/>
    <col min="46" max="50" width="6.5" style="16" bestFit="1" customWidth="1"/>
    <col min="51" max="52" width="1.33203125" style="16" customWidth="1"/>
    <col min="53" max="57" width="6.5" style="16" bestFit="1" customWidth="1"/>
    <col min="58" max="59" width="1.33203125" style="16" customWidth="1"/>
    <col min="60" max="64" width="6.5" style="16" bestFit="1" customWidth="1"/>
    <col min="65" max="66" width="1.33203125" style="16" customWidth="1"/>
    <col min="67" max="71" width="6.5" style="16" bestFit="1" customWidth="1"/>
    <col min="72" max="73" width="2.6640625" style="16" customWidth="1"/>
    <col min="74" max="16384" width="9.1640625" style="16"/>
  </cols>
  <sheetData>
    <row r="1" spans="1:73" x14ac:dyDescent="0.2">
      <c r="A1" s="18" t="s">
        <v>87</v>
      </c>
      <c r="B1" s="24">
        <v>23400</v>
      </c>
    </row>
    <row r="2" spans="1:73" x14ac:dyDescent="0.2">
      <c r="A2" s="18" t="s">
        <v>97</v>
      </c>
      <c r="B2" s="24">
        <v>3600</v>
      </c>
      <c r="D2" s="88" t="s">
        <v>34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Y2" s="88" t="s">
        <v>95</v>
      </c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T2" s="94" t="s">
        <v>97</v>
      </c>
      <c r="AU2" s="95"/>
      <c r="AV2" s="95"/>
      <c r="AW2" s="95"/>
      <c r="AX2" s="96"/>
      <c r="BA2" s="94" t="s">
        <v>97</v>
      </c>
      <c r="BB2" s="95"/>
      <c r="BC2" s="95"/>
      <c r="BD2" s="95"/>
      <c r="BE2" s="96"/>
      <c r="BH2" s="94" t="s">
        <v>98</v>
      </c>
      <c r="BI2" s="95"/>
      <c r="BJ2" s="95"/>
      <c r="BK2" s="95"/>
      <c r="BL2" s="96"/>
      <c r="BO2" s="94" t="s">
        <v>98</v>
      </c>
      <c r="BP2" s="95"/>
      <c r="BQ2" s="95"/>
      <c r="BR2" s="95"/>
      <c r="BS2" s="96"/>
    </row>
    <row r="3" spans="1:73" x14ac:dyDescent="0.2">
      <c r="A3" s="18" t="s">
        <v>109</v>
      </c>
      <c r="B3" s="24">
        <v>3600</v>
      </c>
      <c r="D3" s="91" t="s">
        <v>99</v>
      </c>
      <c r="E3" s="92"/>
      <c r="F3" s="92"/>
      <c r="G3" s="92"/>
      <c r="H3" s="93"/>
      <c r="I3" s="22"/>
      <c r="J3" s="22"/>
      <c r="K3" s="91" t="s">
        <v>100</v>
      </c>
      <c r="L3" s="92"/>
      <c r="M3" s="92"/>
      <c r="N3" s="92"/>
      <c r="O3" s="93"/>
      <c r="P3" s="22"/>
      <c r="Q3" s="22"/>
      <c r="R3" s="91" t="s">
        <v>101</v>
      </c>
      <c r="S3" s="92"/>
      <c r="T3" s="92"/>
      <c r="U3" s="92"/>
      <c r="V3" s="93"/>
      <c r="Y3" s="91" t="s">
        <v>102</v>
      </c>
      <c r="Z3" s="92"/>
      <c r="AA3" s="92"/>
      <c r="AB3" s="92"/>
      <c r="AC3" s="93"/>
      <c r="AD3" s="22"/>
      <c r="AE3" s="22"/>
      <c r="AF3" s="91" t="s">
        <v>103</v>
      </c>
      <c r="AG3" s="92"/>
      <c r="AH3" s="92"/>
      <c r="AI3" s="92"/>
      <c r="AJ3" s="93"/>
      <c r="AK3" s="22"/>
      <c r="AL3" s="22"/>
      <c r="AM3" s="91" t="s">
        <v>104</v>
      </c>
      <c r="AN3" s="92"/>
      <c r="AO3" s="92"/>
      <c r="AP3" s="92"/>
      <c r="AQ3" s="93"/>
      <c r="AT3" s="90" t="s">
        <v>105</v>
      </c>
      <c r="AU3" s="90"/>
      <c r="AV3" s="90"/>
      <c r="AW3" s="90"/>
      <c r="AX3" s="90"/>
      <c r="AY3" s="23"/>
      <c r="AZ3" s="23"/>
      <c r="BA3" s="90" t="s">
        <v>106</v>
      </c>
      <c r="BB3" s="90"/>
      <c r="BC3" s="90"/>
      <c r="BD3" s="90"/>
      <c r="BE3" s="90"/>
      <c r="BF3" s="23"/>
      <c r="BG3" s="23"/>
      <c r="BH3" s="90" t="s">
        <v>107</v>
      </c>
      <c r="BI3" s="90"/>
      <c r="BJ3" s="90"/>
      <c r="BK3" s="90"/>
      <c r="BL3" s="90"/>
      <c r="BM3" s="23"/>
      <c r="BN3" s="23"/>
      <c r="BO3" s="90" t="s">
        <v>108</v>
      </c>
      <c r="BP3" s="90"/>
      <c r="BQ3" s="90"/>
      <c r="BR3" s="90"/>
      <c r="BS3" s="90"/>
    </row>
    <row r="4" spans="1:73" x14ac:dyDescent="0.2">
      <c r="A4" s="18" t="s">
        <v>110</v>
      </c>
      <c r="B4" s="24">
        <v>3150</v>
      </c>
      <c r="D4" s="18" t="s">
        <v>88</v>
      </c>
      <c r="E4" s="18" t="s">
        <v>89</v>
      </c>
      <c r="F4" s="18" t="s">
        <v>90</v>
      </c>
      <c r="G4" s="18" t="s">
        <v>91</v>
      </c>
      <c r="H4" s="18" t="s">
        <v>92</v>
      </c>
      <c r="I4" s="19" t="s">
        <v>93</v>
      </c>
      <c r="J4" s="19" t="s">
        <v>94</v>
      </c>
      <c r="K4" s="18" t="s">
        <v>88</v>
      </c>
      <c r="L4" s="18" t="s">
        <v>89</v>
      </c>
      <c r="M4" s="18" t="s">
        <v>90</v>
      </c>
      <c r="N4" s="18" t="s">
        <v>91</v>
      </c>
      <c r="O4" s="18" t="s">
        <v>92</v>
      </c>
      <c r="P4" s="19" t="s">
        <v>93</v>
      </c>
      <c r="Q4" s="19" t="s">
        <v>94</v>
      </c>
      <c r="R4" s="18" t="s">
        <v>88</v>
      </c>
      <c r="S4" s="18" t="s">
        <v>89</v>
      </c>
      <c r="T4" s="18" t="s">
        <v>90</v>
      </c>
      <c r="U4" s="18" t="s">
        <v>91</v>
      </c>
      <c r="V4" s="18" t="s">
        <v>92</v>
      </c>
      <c r="W4" s="19" t="s">
        <v>93</v>
      </c>
      <c r="X4" s="19" t="s">
        <v>94</v>
      </c>
      <c r="Y4" s="18" t="s">
        <v>88</v>
      </c>
      <c r="Z4" s="18" t="s">
        <v>89</v>
      </c>
      <c r="AA4" s="18" t="s">
        <v>90</v>
      </c>
      <c r="AB4" s="18" t="s">
        <v>91</v>
      </c>
      <c r="AC4" s="18" t="s">
        <v>92</v>
      </c>
      <c r="AD4" s="19" t="s">
        <v>93</v>
      </c>
      <c r="AE4" s="19" t="s">
        <v>94</v>
      </c>
      <c r="AF4" s="18" t="s">
        <v>88</v>
      </c>
      <c r="AG4" s="18" t="s">
        <v>89</v>
      </c>
      <c r="AH4" s="18" t="s">
        <v>90</v>
      </c>
      <c r="AI4" s="18" t="s">
        <v>91</v>
      </c>
      <c r="AJ4" s="18" t="s">
        <v>92</v>
      </c>
      <c r="AK4" s="19" t="s">
        <v>93</v>
      </c>
      <c r="AL4" s="19" t="s">
        <v>94</v>
      </c>
      <c r="AM4" s="18" t="s">
        <v>88</v>
      </c>
      <c r="AN4" s="18" t="s">
        <v>89</v>
      </c>
      <c r="AO4" s="18" t="s">
        <v>90</v>
      </c>
      <c r="AP4" s="18" t="s">
        <v>91</v>
      </c>
      <c r="AQ4" s="18" t="s">
        <v>92</v>
      </c>
      <c r="AR4" s="19" t="s">
        <v>93</v>
      </c>
      <c r="AS4" s="19" t="s">
        <v>94</v>
      </c>
      <c r="AT4" s="18" t="s">
        <v>88</v>
      </c>
      <c r="AU4" s="18" t="s">
        <v>89</v>
      </c>
      <c r="AV4" s="18" t="s">
        <v>90</v>
      </c>
      <c r="AW4" s="18" t="s">
        <v>91</v>
      </c>
      <c r="AX4" s="18" t="s">
        <v>92</v>
      </c>
      <c r="AY4" s="19" t="s">
        <v>93</v>
      </c>
      <c r="AZ4" s="19" t="s">
        <v>94</v>
      </c>
      <c r="BA4" s="18" t="s">
        <v>88</v>
      </c>
      <c r="BB4" s="18" t="s">
        <v>89</v>
      </c>
      <c r="BC4" s="18" t="s">
        <v>90</v>
      </c>
      <c r="BD4" s="18" t="s">
        <v>91</v>
      </c>
      <c r="BE4" s="18" t="s">
        <v>92</v>
      </c>
      <c r="BF4" s="19" t="s">
        <v>93</v>
      </c>
      <c r="BG4" s="19" t="s">
        <v>94</v>
      </c>
      <c r="BH4" s="18" t="s">
        <v>88</v>
      </c>
      <c r="BI4" s="18" t="s">
        <v>89</v>
      </c>
      <c r="BJ4" s="18" t="s">
        <v>90</v>
      </c>
      <c r="BK4" s="18" t="s">
        <v>91</v>
      </c>
      <c r="BL4" s="18" t="s">
        <v>92</v>
      </c>
      <c r="BM4" s="19" t="s">
        <v>93</v>
      </c>
      <c r="BN4" s="19" t="s">
        <v>94</v>
      </c>
      <c r="BO4" s="18" t="s">
        <v>88</v>
      </c>
      <c r="BP4" s="18" t="s">
        <v>89</v>
      </c>
      <c r="BQ4" s="18" t="s">
        <v>90</v>
      </c>
      <c r="BR4" s="18" t="s">
        <v>91</v>
      </c>
      <c r="BS4" s="18" t="s">
        <v>92</v>
      </c>
      <c r="BT4" s="19" t="s">
        <v>93</v>
      </c>
      <c r="BU4" s="19" t="s">
        <v>94</v>
      </c>
    </row>
    <row r="5" spans="1:73" x14ac:dyDescent="0.2">
      <c r="D5" s="20">
        <v>45579</v>
      </c>
      <c r="E5" s="20">
        <v>45580</v>
      </c>
      <c r="F5" s="20">
        <v>45581</v>
      </c>
      <c r="G5" s="20">
        <v>45582</v>
      </c>
      <c r="H5" s="20">
        <v>45583</v>
      </c>
      <c r="I5" s="21">
        <v>45584</v>
      </c>
      <c r="J5" s="21">
        <v>45585</v>
      </c>
      <c r="K5" s="20">
        <v>45586</v>
      </c>
      <c r="L5" s="20">
        <v>45587</v>
      </c>
      <c r="M5" s="20">
        <v>45588</v>
      </c>
      <c r="N5" s="20">
        <v>45589</v>
      </c>
      <c r="O5" s="20">
        <v>45590</v>
      </c>
      <c r="P5" s="21">
        <v>45591</v>
      </c>
      <c r="Q5" s="21">
        <v>45592</v>
      </c>
      <c r="R5" s="20">
        <v>45593</v>
      </c>
      <c r="S5" s="20">
        <v>45594</v>
      </c>
      <c r="T5" s="20">
        <v>45595</v>
      </c>
      <c r="U5" s="20">
        <v>45596</v>
      </c>
      <c r="V5" s="20">
        <v>45597</v>
      </c>
      <c r="W5" s="21">
        <v>45598</v>
      </c>
      <c r="X5" s="21">
        <v>45599</v>
      </c>
      <c r="Y5" s="20">
        <v>45600</v>
      </c>
      <c r="Z5" s="20">
        <v>45601</v>
      </c>
      <c r="AA5" s="20">
        <v>45602</v>
      </c>
      <c r="AB5" s="20">
        <v>45603</v>
      </c>
      <c r="AC5" s="20">
        <v>45604</v>
      </c>
      <c r="AD5" s="21">
        <v>45605</v>
      </c>
      <c r="AE5" s="21">
        <v>45606</v>
      </c>
      <c r="AF5" s="20">
        <v>45607</v>
      </c>
      <c r="AG5" s="20">
        <v>45608</v>
      </c>
      <c r="AH5" s="20">
        <v>45609</v>
      </c>
      <c r="AI5" s="20">
        <v>45610</v>
      </c>
      <c r="AJ5" s="20">
        <v>45611</v>
      </c>
      <c r="AK5" s="21">
        <v>45612</v>
      </c>
      <c r="AL5" s="21">
        <v>45613</v>
      </c>
      <c r="AM5" s="20">
        <v>45614</v>
      </c>
      <c r="AN5" s="20">
        <v>45615</v>
      </c>
      <c r="AO5" s="20">
        <v>45616</v>
      </c>
      <c r="AP5" s="20">
        <v>45617</v>
      </c>
      <c r="AQ5" s="20">
        <v>45618</v>
      </c>
      <c r="AR5" s="21">
        <v>45619</v>
      </c>
      <c r="AS5" s="21">
        <v>45620</v>
      </c>
      <c r="AT5" s="20">
        <v>45621</v>
      </c>
      <c r="AU5" s="20">
        <v>45622</v>
      </c>
      <c r="AV5" s="20">
        <v>45623</v>
      </c>
      <c r="AW5" s="20">
        <v>45624</v>
      </c>
      <c r="AX5" s="20">
        <v>45625</v>
      </c>
      <c r="AY5" s="21">
        <v>45626</v>
      </c>
      <c r="AZ5" s="21">
        <v>45627</v>
      </c>
      <c r="BA5" s="20">
        <v>45628</v>
      </c>
      <c r="BB5" s="20">
        <v>45629</v>
      </c>
      <c r="BC5" s="20">
        <v>45630</v>
      </c>
      <c r="BD5" s="20">
        <v>45631</v>
      </c>
      <c r="BE5" s="20">
        <v>45632</v>
      </c>
      <c r="BF5" s="21">
        <v>45633</v>
      </c>
      <c r="BG5" s="21">
        <v>45634</v>
      </c>
      <c r="BH5" s="20">
        <v>45635</v>
      </c>
      <c r="BI5" s="20">
        <v>45636</v>
      </c>
      <c r="BJ5" s="20">
        <v>45637</v>
      </c>
      <c r="BK5" s="20">
        <v>45638</v>
      </c>
      <c r="BL5" s="20">
        <v>45639</v>
      </c>
      <c r="BM5" s="21">
        <v>45640</v>
      </c>
      <c r="BN5" s="21">
        <v>45641</v>
      </c>
      <c r="BO5" s="20">
        <v>45642</v>
      </c>
      <c r="BP5" s="20">
        <v>45643</v>
      </c>
      <c r="BQ5" s="20">
        <v>45644</v>
      </c>
      <c r="BR5" s="20">
        <v>45645</v>
      </c>
      <c r="BS5" s="20">
        <v>45646</v>
      </c>
      <c r="BT5" s="21">
        <v>45647</v>
      </c>
      <c r="BU5" s="21">
        <v>45648</v>
      </c>
    </row>
    <row r="7" spans="1:73" x14ac:dyDescent="0.2">
      <c r="A7" s="18" t="s">
        <v>111</v>
      </c>
      <c r="B7" s="24">
        <f>B1</f>
        <v>23400</v>
      </c>
      <c r="V7" s="17"/>
      <c r="BE7" s="17"/>
    </row>
    <row r="8" spans="1:73" x14ac:dyDescent="0.2">
      <c r="A8" s="18" t="s">
        <v>112</v>
      </c>
      <c r="B8" s="24">
        <f>B1+B4</f>
        <v>26550</v>
      </c>
    </row>
    <row r="9" spans="1:73" x14ac:dyDescent="0.2">
      <c r="A9" s="18" t="s">
        <v>113</v>
      </c>
      <c r="B9" s="24">
        <f>B2+B3</f>
        <v>7200</v>
      </c>
    </row>
    <row r="10" spans="1:73" ht="15" thickBot="1" x14ac:dyDescent="0.25">
      <c r="A10" s="27" t="s">
        <v>29</v>
      </c>
      <c r="B10" s="26">
        <f>SUM(B7:B9)</f>
        <v>57150</v>
      </c>
    </row>
    <row r="11" spans="1:73" ht="15" thickTop="1" x14ac:dyDescent="0.2"/>
    <row r="12" spans="1:73" x14ac:dyDescent="0.2">
      <c r="A12" s="89" t="s">
        <v>114</v>
      </c>
      <c r="B12" s="89"/>
    </row>
    <row r="13" spans="1:73" x14ac:dyDescent="0.2">
      <c r="A13" s="18" t="s">
        <v>33</v>
      </c>
      <c r="B13" s="24">
        <v>9000</v>
      </c>
    </row>
    <row r="14" spans="1:73" x14ac:dyDescent="0.2">
      <c r="A14" s="18" t="s">
        <v>96</v>
      </c>
      <c r="B14" s="24">
        <f>66150-9000</f>
        <v>57150</v>
      </c>
    </row>
    <row r="15" spans="1:73" ht="15" thickBot="1" x14ac:dyDescent="0.25">
      <c r="A15" s="18" t="s">
        <v>29</v>
      </c>
      <c r="B15" s="25">
        <f>SUM(B13:B14)</f>
        <v>66150</v>
      </c>
    </row>
    <row r="16" spans="1:73" ht="15" thickTop="1" x14ac:dyDescent="0.2">
      <c r="B16" s="17"/>
    </row>
  </sheetData>
  <mergeCells count="17">
    <mergeCell ref="BO3:BS3"/>
    <mergeCell ref="AT2:AX2"/>
    <mergeCell ref="BA2:BE2"/>
    <mergeCell ref="BH2:BL2"/>
    <mergeCell ref="BO2:BS2"/>
    <mergeCell ref="AT3:AX3"/>
    <mergeCell ref="D2:V2"/>
    <mergeCell ref="Y2:AQ2"/>
    <mergeCell ref="A12:B12"/>
    <mergeCell ref="BA3:BE3"/>
    <mergeCell ref="BH3:BL3"/>
    <mergeCell ref="D3:H3"/>
    <mergeCell ref="K3:O3"/>
    <mergeCell ref="R3:V3"/>
    <mergeCell ref="Y3:AC3"/>
    <mergeCell ref="AF3:AJ3"/>
    <mergeCell ref="AM3:AQ3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2D53-DC3F-CC43-8143-653DF45D210E}">
  <dimension ref="A1:GQ24"/>
  <sheetViews>
    <sheetView workbookViewId="0">
      <pane xSplit="1" ySplit="4" topLeftCell="BW5" activePane="bottomRight" state="frozenSplit"/>
      <selection pane="topRight" activeCell="G1" sqref="G1"/>
      <selection pane="bottomLeft" activeCell="A20" sqref="A20"/>
      <selection pane="bottomRight" activeCell="CT27" sqref="CT27"/>
    </sheetView>
  </sheetViews>
  <sheetFormatPr baseColWidth="10" defaultColWidth="9.1640625" defaultRowHeight="14" x14ac:dyDescent="0.2"/>
  <cols>
    <col min="1" max="1" width="10" style="16" bestFit="1" customWidth="1"/>
    <col min="2" max="6" width="5.6640625" style="16" bestFit="1" customWidth="1"/>
    <col min="7" max="7" width="2" style="16" customWidth="1"/>
    <col min="8" max="8" width="1.83203125" style="16" customWidth="1"/>
    <col min="9" max="13" width="5.6640625" style="16" bestFit="1" customWidth="1"/>
    <col min="14" max="14" width="2.1640625" style="16" customWidth="1"/>
    <col min="15" max="15" width="2.6640625" style="16" customWidth="1"/>
    <col min="16" max="16" width="5.6640625" style="16" bestFit="1" customWidth="1"/>
    <col min="17" max="20" width="6.33203125" style="16" bestFit="1" customWidth="1"/>
    <col min="21" max="22" width="1.1640625" style="16" customWidth="1"/>
    <col min="23" max="27" width="6.33203125" style="16" bestFit="1" customWidth="1"/>
    <col min="28" max="29" width="1.5" style="16" customWidth="1"/>
    <col min="30" max="33" width="6.33203125" style="16" bestFit="1" customWidth="1"/>
    <col min="34" max="34" width="9.83203125" style="16" bestFit="1" customWidth="1"/>
    <col min="35" max="36" width="1.1640625" style="16" customWidth="1"/>
    <col min="37" max="41" width="6.5" style="16" bestFit="1" customWidth="1"/>
    <col min="42" max="43" width="1.1640625" style="16" customWidth="1"/>
    <col min="44" max="48" width="6.5" style="16" bestFit="1" customWidth="1"/>
    <col min="49" max="50" width="1.1640625" style="16" customWidth="1"/>
    <col min="51" max="55" width="7.33203125" style="16" bestFit="1" customWidth="1"/>
    <col min="56" max="57" width="1.1640625" style="16" customWidth="1"/>
    <col min="58" max="62" width="6.5" style="16" bestFit="1" customWidth="1"/>
    <col min="63" max="64" width="1.33203125" style="16" customWidth="1"/>
    <col min="65" max="69" width="6.5" style="16" bestFit="1" customWidth="1"/>
    <col min="70" max="71" width="1.33203125" style="16" customWidth="1"/>
    <col min="72" max="76" width="6.5" style="16" bestFit="1" customWidth="1"/>
    <col min="77" max="78" width="1.33203125" style="16" customWidth="1"/>
    <col min="79" max="83" width="5.83203125" style="16" bestFit="1" customWidth="1"/>
    <col min="84" max="114" width="6.1640625" style="16" bestFit="1" customWidth="1"/>
    <col min="115" max="127" width="5.6640625" style="16" bestFit="1" customWidth="1"/>
    <col min="128" max="169" width="5.6640625" style="16" customWidth="1"/>
    <col min="170" max="170" width="12" style="16" customWidth="1"/>
    <col min="171" max="173" width="5.6640625" style="16" customWidth="1"/>
    <col min="174" max="16384" width="9.1640625" style="16"/>
  </cols>
  <sheetData>
    <row r="1" spans="1:199" x14ac:dyDescent="0.2">
      <c r="B1" s="100" t="s">
        <v>99</v>
      </c>
      <c r="C1" s="101"/>
      <c r="D1" s="101"/>
      <c r="E1" s="101"/>
      <c r="F1" s="101"/>
      <c r="G1" s="101"/>
      <c r="H1" s="102"/>
      <c r="I1" s="100" t="s">
        <v>100</v>
      </c>
      <c r="J1" s="101"/>
      <c r="K1" s="101"/>
      <c r="L1" s="101"/>
      <c r="M1" s="101"/>
      <c r="N1" s="101"/>
      <c r="O1" s="102"/>
      <c r="P1" s="100" t="s">
        <v>101</v>
      </c>
      <c r="Q1" s="101"/>
      <c r="R1" s="101"/>
      <c r="S1" s="101"/>
      <c r="T1" s="101"/>
      <c r="U1" s="101"/>
      <c r="V1" s="102"/>
      <c r="W1" s="100" t="s">
        <v>102</v>
      </c>
      <c r="X1" s="101"/>
      <c r="Y1" s="101"/>
      <c r="Z1" s="101"/>
      <c r="AA1" s="101"/>
      <c r="AB1" s="101"/>
      <c r="AC1" s="102"/>
      <c r="AD1" s="100" t="s">
        <v>103</v>
      </c>
      <c r="AE1" s="101"/>
      <c r="AF1" s="101"/>
      <c r="AG1" s="101"/>
      <c r="AH1" s="101"/>
      <c r="AI1" s="101"/>
      <c r="AJ1" s="102"/>
      <c r="AK1" s="100" t="s">
        <v>104</v>
      </c>
      <c r="AL1" s="101"/>
      <c r="AM1" s="101"/>
      <c r="AN1" s="101"/>
      <c r="AO1" s="101"/>
      <c r="AP1" s="101"/>
      <c r="AQ1" s="102"/>
      <c r="AR1" s="100" t="s">
        <v>105</v>
      </c>
      <c r="AS1" s="101"/>
      <c r="AT1" s="101"/>
      <c r="AU1" s="101"/>
      <c r="AV1" s="101"/>
      <c r="AW1" s="101"/>
      <c r="AX1" s="102"/>
      <c r="AY1" s="100" t="s">
        <v>106</v>
      </c>
      <c r="AZ1" s="101"/>
      <c r="BA1" s="101"/>
      <c r="BB1" s="101"/>
      <c r="BC1" s="101"/>
      <c r="BD1" s="101"/>
      <c r="BE1" s="102"/>
      <c r="BF1" s="100" t="s">
        <v>107</v>
      </c>
      <c r="BG1" s="101"/>
      <c r="BH1" s="101"/>
      <c r="BI1" s="101"/>
      <c r="BJ1" s="101"/>
      <c r="BK1" s="101"/>
      <c r="BL1" s="102"/>
      <c r="BM1" s="100" t="s">
        <v>108</v>
      </c>
      <c r="BN1" s="101"/>
      <c r="BO1" s="101"/>
      <c r="BP1" s="101"/>
      <c r="BQ1" s="101"/>
      <c r="BR1" s="101"/>
      <c r="BS1" s="102"/>
      <c r="BT1" s="100" t="s">
        <v>155</v>
      </c>
      <c r="BU1" s="101"/>
      <c r="BV1" s="101"/>
      <c r="BW1" s="101"/>
      <c r="BX1" s="101"/>
      <c r="BY1" s="101"/>
      <c r="BZ1" s="102"/>
      <c r="CA1" s="100" t="s">
        <v>156</v>
      </c>
      <c r="CB1" s="101"/>
      <c r="CC1" s="101"/>
      <c r="CD1" s="101"/>
      <c r="CE1" s="101"/>
      <c r="CF1" s="101"/>
      <c r="CG1" s="102"/>
      <c r="CH1" s="100" t="s">
        <v>158</v>
      </c>
      <c r="CI1" s="101"/>
      <c r="CJ1" s="101"/>
      <c r="CK1" s="101"/>
      <c r="CL1" s="101"/>
      <c r="CM1" s="101"/>
      <c r="CN1" s="102"/>
      <c r="CO1" s="100" t="s">
        <v>159</v>
      </c>
      <c r="CP1" s="101"/>
      <c r="CQ1" s="101"/>
      <c r="CR1" s="101"/>
      <c r="CS1" s="101"/>
      <c r="CT1" s="101"/>
      <c r="CU1" s="102"/>
      <c r="CV1" s="100" t="s">
        <v>160</v>
      </c>
      <c r="CW1" s="101"/>
      <c r="CX1" s="101"/>
      <c r="CY1" s="101"/>
      <c r="CZ1" s="101"/>
      <c r="DA1" s="101"/>
      <c r="DB1" s="102"/>
      <c r="DC1" s="100" t="s">
        <v>161</v>
      </c>
      <c r="DD1" s="101"/>
      <c r="DE1" s="101"/>
      <c r="DF1" s="101"/>
      <c r="DG1" s="101"/>
      <c r="DH1" s="101"/>
      <c r="DI1" s="102"/>
      <c r="DJ1" s="100" t="s">
        <v>162</v>
      </c>
      <c r="DK1" s="101"/>
      <c r="DL1" s="101"/>
      <c r="DM1" s="101"/>
      <c r="DN1" s="101"/>
      <c r="DO1" s="101"/>
      <c r="DP1" s="102"/>
      <c r="DQ1" s="100" t="s">
        <v>163</v>
      </c>
      <c r="DR1" s="101"/>
      <c r="DS1" s="101"/>
      <c r="DT1" s="101"/>
      <c r="DU1" s="101"/>
      <c r="DV1" s="101"/>
      <c r="DW1" s="102"/>
      <c r="DX1" s="100" t="s">
        <v>164</v>
      </c>
      <c r="DY1" s="101"/>
      <c r="DZ1" s="101"/>
      <c r="EA1" s="101"/>
      <c r="EB1" s="101"/>
      <c r="EC1" s="101"/>
      <c r="ED1" s="102"/>
      <c r="EE1" s="100" t="s">
        <v>165</v>
      </c>
      <c r="EF1" s="101"/>
      <c r="EG1" s="101"/>
      <c r="EH1" s="101"/>
      <c r="EI1" s="101"/>
      <c r="EJ1" s="101"/>
      <c r="EK1" s="102"/>
      <c r="EL1" s="100" t="s">
        <v>166</v>
      </c>
      <c r="EM1" s="101"/>
      <c r="EN1" s="101"/>
      <c r="EO1" s="101"/>
      <c r="EP1" s="101"/>
      <c r="EQ1" s="101"/>
      <c r="ER1" s="102"/>
      <c r="ES1" s="100" t="s">
        <v>167</v>
      </c>
      <c r="ET1" s="101"/>
      <c r="EU1" s="101"/>
      <c r="EV1" s="101"/>
      <c r="EW1" s="101"/>
      <c r="EX1" s="101"/>
      <c r="EY1" s="102"/>
      <c r="EZ1" s="100" t="s">
        <v>168</v>
      </c>
      <c r="FA1" s="101"/>
      <c r="FB1" s="101"/>
      <c r="FC1" s="101"/>
      <c r="FD1" s="101"/>
      <c r="FE1" s="101"/>
      <c r="FF1" s="102"/>
      <c r="FG1" s="100" t="s">
        <v>169</v>
      </c>
      <c r="FH1" s="101"/>
      <c r="FI1" s="101"/>
      <c r="FJ1" s="101"/>
      <c r="FK1" s="101"/>
      <c r="FL1" s="101"/>
      <c r="FM1" s="102"/>
      <c r="FN1" s="100" t="s">
        <v>170</v>
      </c>
      <c r="FO1" s="101"/>
      <c r="FP1" s="101"/>
      <c r="FQ1" s="101"/>
      <c r="FR1" s="101"/>
      <c r="FS1" s="101"/>
      <c r="FT1" s="102"/>
      <c r="FU1" s="100" t="s">
        <v>170</v>
      </c>
      <c r="FV1" s="101"/>
      <c r="FW1" s="101"/>
      <c r="FX1" s="101"/>
      <c r="FY1" s="101"/>
      <c r="FZ1" s="101"/>
      <c r="GA1" s="102"/>
      <c r="GB1" s="100" t="s">
        <v>170</v>
      </c>
      <c r="GC1" s="101"/>
      <c r="GD1" s="101"/>
      <c r="GE1" s="101"/>
      <c r="GF1" s="101"/>
      <c r="GG1" s="101"/>
      <c r="GH1" s="102"/>
      <c r="GI1" s="100" t="s">
        <v>170</v>
      </c>
      <c r="GJ1" s="101"/>
      <c r="GK1" s="101"/>
      <c r="GL1" s="101"/>
      <c r="GM1" s="101"/>
      <c r="GN1" s="101"/>
      <c r="GO1" s="102"/>
      <c r="GP1" s="51"/>
      <c r="GQ1" s="51"/>
    </row>
    <row r="2" spans="1:199" x14ac:dyDescent="0.2"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9" t="s">
        <v>93</v>
      </c>
      <c r="H2" s="19" t="s">
        <v>94</v>
      </c>
      <c r="I2" s="18" t="s">
        <v>88</v>
      </c>
      <c r="J2" s="18" t="s">
        <v>89</v>
      </c>
      <c r="K2" s="18" t="s">
        <v>90</v>
      </c>
      <c r="L2" s="18" t="s">
        <v>91</v>
      </c>
      <c r="M2" s="18" t="s">
        <v>92</v>
      </c>
      <c r="N2" s="19" t="s">
        <v>93</v>
      </c>
      <c r="O2" s="19" t="s">
        <v>94</v>
      </c>
      <c r="P2" s="18" t="s">
        <v>88</v>
      </c>
      <c r="Q2" s="18" t="s">
        <v>89</v>
      </c>
      <c r="R2" s="18" t="s">
        <v>90</v>
      </c>
      <c r="S2" s="18" t="s">
        <v>91</v>
      </c>
      <c r="T2" s="18" t="s">
        <v>92</v>
      </c>
      <c r="U2" s="19" t="s">
        <v>93</v>
      </c>
      <c r="V2" s="19" t="s">
        <v>94</v>
      </c>
      <c r="W2" s="18" t="s">
        <v>88</v>
      </c>
      <c r="X2" s="18" t="s">
        <v>89</v>
      </c>
      <c r="Y2" s="18" t="s">
        <v>90</v>
      </c>
      <c r="Z2" s="18" t="s">
        <v>91</v>
      </c>
      <c r="AA2" s="18" t="s">
        <v>92</v>
      </c>
      <c r="AB2" s="19" t="s">
        <v>93</v>
      </c>
      <c r="AC2" s="19" t="s">
        <v>94</v>
      </c>
      <c r="AD2" s="18" t="s">
        <v>88</v>
      </c>
      <c r="AE2" s="18" t="s">
        <v>89</v>
      </c>
      <c r="AF2" s="18" t="s">
        <v>90</v>
      </c>
      <c r="AG2" s="18" t="s">
        <v>91</v>
      </c>
      <c r="AH2" s="18" t="s">
        <v>92</v>
      </c>
      <c r="AI2" s="19" t="s">
        <v>93</v>
      </c>
      <c r="AJ2" s="19" t="s">
        <v>94</v>
      </c>
      <c r="AK2" s="18" t="s">
        <v>88</v>
      </c>
      <c r="AL2" s="18" t="s">
        <v>89</v>
      </c>
      <c r="AM2" s="18" t="s">
        <v>90</v>
      </c>
      <c r="AN2" s="18" t="s">
        <v>91</v>
      </c>
      <c r="AO2" s="18" t="s">
        <v>92</v>
      </c>
      <c r="AP2" s="19" t="s">
        <v>93</v>
      </c>
      <c r="AQ2" s="19" t="s">
        <v>94</v>
      </c>
      <c r="AR2" s="18" t="s">
        <v>88</v>
      </c>
      <c r="AS2" s="18" t="s">
        <v>89</v>
      </c>
      <c r="AT2" s="18" t="s">
        <v>90</v>
      </c>
      <c r="AU2" s="18" t="s">
        <v>91</v>
      </c>
      <c r="AV2" s="18" t="s">
        <v>92</v>
      </c>
      <c r="AW2" s="19" t="s">
        <v>93</v>
      </c>
      <c r="AX2" s="19" t="s">
        <v>94</v>
      </c>
      <c r="AY2" s="18" t="s">
        <v>88</v>
      </c>
      <c r="AZ2" s="18" t="s">
        <v>89</v>
      </c>
      <c r="BA2" s="18" t="s">
        <v>90</v>
      </c>
      <c r="BB2" s="18" t="s">
        <v>91</v>
      </c>
      <c r="BC2" s="18" t="s">
        <v>92</v>
      </c>
      <c r="BD2" s="19" t="s">
        <v>93</v>
      </c>
      <c r="BE2" s="19" t="s">
        <v>94</v>
      </c>
      <c r="BF2" s="18" t="s">
        <v>88</v>
      </c>
      <c r="BG2" s="18" t="s">
        <v>89</v>
      </c>
      <c r="BH2" s="18" t="s">
        <v>90</v>
      </c>
      <c r="BI2" s="18" t="s">
        <v>91</v>
      </c>
      <c r="BJ2" s="18" t="s">
        <v>92</v>
      </c>
      <c r="BK2" s="19" t="s">
        <v>93</v>
      </c>
      <c r="BL2" s="19" t="s">
        <v>94</v>
      </c>
      <c r="BM2" s="18" t="s">
        <v>88</v>
      </c>
      <c r="BN2" s="18" t="s">
        <v>89</v>
      </c>
      <c r="BO2" s="18" t="s">
        <v>90</v>
      </c>
      <c r="BP2" s="18" t="s">
        <v>91</v>
      </c>
      <c r="BQ2" s="18" t="s">
        <v>92</v>
      </c>
      <c r="BR2" s="19" t="s">
        <v>93</v>
      </c>
      <c r="BS2" s="19" t="s">
        <v>94</v>
      </c>
      <c r="BT2" s="18" t="s">
        <v>88</v>
      </c>
      <c r="BU2" s="18" t="s">
        <v>89</v>
      </c>
      <c r="BV2" s="18" t="s">
        <v>90</v>
      </c>
      <c r="BW2" s="18" t="s">
        <v>91</v>
      </c>
      <c r="BX2" s="18" t="s">
        <v>92</v>
      </c>
      <c r="BY2" s="19" t="s">
        <v>93</v>
      </c>
      <c r="BZ2" s="19" t="s">
        <v>94</v>
      </c>
      <c r="CA2" s="18" t="s">
        <v>88</v>
      </c>
      <c r="CB2" s="18" t="s">
        <v>89</v>
      </c>
      <c r="CC2" s="18" t="s">
        <v>90</v>
      </c>
      <c r="CD2" s="18" t="s">
        <v>91</v>
      </c>
      <c r="CE2" s="18" t="s">
        <v>92</v>
      </c>
      <c r="CF2" s="19" t="s">
        <v>93</v>
      </c>
      <c r="CG2" s="19" t="s">
        <v>94</v>
      </c>
      <c r="CH2" s="18" t="s">
        <v>88</v>
      </c>
      <c r="CI2" s="18" t="s">
        <v>89</v>
      </c>
      <c r="CJ2" s="18" t="s">
        <v>90</v>
      </c>
      <c r="CK2" s="18" t="s">
        <v>91</v>
      </c>
      <c r="CL2" s="18" t="s">
        <v>92</v>
      </c>
      <c r="CM2" s="19" t="s">
        <v>93</v>
      </c>
      <c r="CN2" s="19" t="s">
        <v>94</v>
      </c>
      <c r="CO2" s="18" t="s">
        <v>88</v>
      </c>
      <c r="CP2" s="18" t="s">
        <v>89</v>
      </c>
      <c r="CQ2" s="18" t="s">
        <v>90</v>
      </c>
      <c r="CR2" s="18" t="s">
        <v>91</v>
      </c>
      <c r="CS2" s="18" t="s">
        <v>92</v>
      </c>
      <c r="CT2" s="19" t="s">
        <v>93</v>
      </c>
      <c r="CU2" s="19" t="s">
        <v>94</v>
      </c>
      <c r="CV2" s="18" t="s">
        <v>88</v>
      </c>
      <c r="CW2" s="18" t="s">
        <v>89</v>
      </c>
      <c r="CX2" s="18" t="s">
        <v>90</v>
      </c>
      <c r="CY2" s="18" t="s">
        <v>91</v>
      </c>
      <c r="CZ2" s="18" t="s">
        <v>92</v>
      </c>
      <c r="DA2" s="19" t="s">
        <v>93</v>
      </c>
      <c r="DB2" s="19" t="s">
        <v>94</v>
      </c>
      <c r="DC2" s="18" t="s">
        <v>88</v>
      </c>
      <c r="DD2" s="18" t="s">
        <v>89</v>
      </c>
      <c r="DE2" s="18" t="s">
        <v>90</v>
      </c>
      <c r="DF2" s="18" t="s">
        <v>91</v>
      </c>
      <c r="DG2" s="18" t="s">
        <v>92</v>
      </c>
      <c r="DH2" s="19" t="s">
        <v>93</v>
      </c>
      <c r="DI2" s="19" t="s">
        <v>94</v>
      </c>
      <c r="DJ2" s="18" t="s">
        <v>88</v>
      </c>
      <c r="DK2" s="18" t="s">
        <v>89</v>
      </c>
      <c r="DL2" s="18" t="s">
        <v>90</v>
      </c>
      <c r="DM2" s="18" t="s">
        <v>91</v>
      </c>
      <c r="DN2" s="18" t="s">
        <v>92</v>
      </c>
      <c r="DO2" s="19" t="s">
        <v>93</v>
      </c>
      <c r="DP2" s="19" t="s">
        <v>94</v>
      </c>
      <c r="DQ2" s="18" t="s">
        <v>88</v>
      </c>
      <c r="DR2" s="18" t="s">
        <v>89</v>
      </c>
      <c r="DS2" s="18" t="s">
        <v>90</v>
      </c>
      <c r="DT2" s="18" t="s">
        <v>91</v>
      </c>
      <c r="DU2" s="18" t="s">
        <v>92</v>
      </c>
      <c r="DV2" s="19" t="s">
        <v>93</v>
      </c>
      <c r="DW2" s="19" t="s">
        <v>94</v>
      </c>
      <c r="DX2" s="18" t="s">
        <v>88</v>
      </c>
      <c r="DY2" s="18" t="s">
        <v>89</v>
      </c>
      <c r="DZ2" s="18" t="s">
        <v>90</v>
      </c>
      <c r="EA2" s="18" t="s">
        <v>91</v>
      </c>
      <c r="EB2" s="18" t="s">
        <v>92</v>
      </c>
      <c r="EC2" s="19" t="s">
        <v>93</v>
      </c>
      <c r="ED2" s="19" t="s">
        <v>94</v>
      </c>
      <c r="EE2" s="18" t="s">
        <v>88</v>
      </c>
      <c r="EF2" s="18" t="s">
        <v>89</v>
      </c>
      <c r="EG2" s="18" t="s">
        <v>90</v>
      </c>
      <c r="EH2" s="18" t="s">
        <v>91</v>
      </c>
      <c r="EI2" s="18" t="s">
        <v>92</v>
      </c>
      <c r="EJ2" s="19" t="s">
        <v>93</v>
      </c>
      <c r="EK2" s="19" t="s">
        <v>94</v>
      </c>
      <c r="EL2" s="18" t="s">
        <v>88</v>
      </c>
      <c r="EM2" s="18" t="s">
        <v>89</v>
      </c>
      <c r="EN2" s="18" t="s">
        <v>90</v>
      </c>
      <c r="EO2" s="18" t="s">
        <v>91</v>
      </c>
      <c r="EP2" s="18" t="s">
        <v>92</v>
      </c>
      <c r="EQ2" s="19" t="s">
        <v>93</v>
      </c>
      <c r="ER2" s="19" t="s">
        <v>94</v>
      </c>
      <c r="ES2" s="18" t="s">
        <v>88</v>
      </c>
      <c r="ET2" s="18" t="s">
        <v>89</v>
      </c>
      <c r="EU2" s="18" t="s">
        <v>90</v>
      </c>
      <c r="EV2" s="18" t="s">
        <v>91</v>
      </c>
      <c r="EW2" s="18" t="s">
        <v>92</v>
      </c>
      <c r="EX2" s="19" t="s">
        <v>93</v>
      </c>
      <c r="EY2" s="19" t="s">
        <v>94</v>
      </c>
      <c r="EZ2" s="18" t="s">
        <v>88</v>
      </c>
      <c r="FA2" s="18" t="s">
        <v>89</v>
      </c>
      <c r="FB2" s="18" t="s">
        <v>90</v>
      </c>
      <c r="FC2" s="18" t="s">
        <v>91</v>
      </c>
      <c r="FD2" s="18" t="s">
        <v>92</v>
      </c>
      <c r="FE2" s="19" t="s">
        <v>93</v>
      </c>
      <c r="FF2" s="19" t="s">
        <v>94</v>
      </c>
      <c r="FG2" s="18" t="s">
        <v>88</v>
      </c>
      <c r="FH2" s="18" t="s">
        <v>89</v>
      </c>
      <c r="FI2" s="18" t="s">
        <v>90</v>
      </c>
      <c r="FJ2" s="18" t="s">
        <v>91</v>
      </c>
      <c r="FK2" s="18" t="s">
        <v>92</v>
      </c>
      <c r="FL2" s="19" t="s">
        <v>93</v>
      </c>
      <c r="FM2" s="19" t="s">
        <v>94</v>
      </c>
      <c r="FN2" s="18" t="s">
        <v>88</v>
      </c>
      <c r="FO2" s="18" t="s">
        <v>89</v>
      </c>
      <c r="FP2" s="18" t="s">
        <v>90</v>
      </c>
      <c r="FQ2" s="18" t="s">
        <v>91</v>
      </c>
      <c r="FR2" s="18" t="s">
        <v>92</v>
      </c>
      <c r="FS2" s="19" t="s">
        <v>93</v>
      </c>
      <c r="FT2" s="19" t="s">
        <v>94</v>
      </c>
      <c r="FU2" s="18" t="s">
        <v>88</v>
      </c>
      <c r="FV2" s="18" t="s">
        <v>89</v>
      </c>
      <c r="FW2" s="18" t="s">
        <v>90</v>
      </c>
      <c r="FX2" s="18" t="s">
        <v>91</v>
      </c>
      <c r="FY2" s="18" t="s">
        <v>92</v>
      </c>
      <c r="FZ2" s="19" t="s">
        <v>93</v>
      </c>
      <c r="GA2" s="19" t="s">
        <v>94</v>
      </c>
      <c r="GB2" s="18" t="s">
        <v>88</v>
      </c>
      <c r="GC2" s="18" t="s">
        <v>89</v>
      </c>
      <c r="GD2" s="18" t="s">
        <v>90</v>
      </c>
      <c r="GE2" s="18" t="s">
        <v>91</v>
      </c>
      <c r="GF2" s="18" t="s">
        <v>92</v>
      </c>
      <c r="GG2" s="19" t="s">
        <v>93</v>
      </c>
      <c r="GH2" s="19" t="s">
        <v>94</v>
      </c>
      <c r="GI2" s="18" t="s">
        <v>88</v>
      </c>
      <c r="GJ2" s="18" t="s">
        <v>89</v>
      </c>
      <c r="GK2" s="18" t="s">
        <v>90</v>
      </c>
      <c r="GL2" s="18" t="s">
        <v>91</v>
      </c>
      <c r="GM2" s="18" t="s">
        <v>92</v>
      </c>
      <c r="GN2" s="19" t="s">
        <v>93</v>
      </c>
      <c r="GO2" s="19" t="s">
        <v>94</v>
      </c>
      <c r="GP2" s="52"/>
      <c r="GQ2" s="52"/>
    </row>
    <row r="3" spans="1:199" x14ac:dyDescent="0.2">
      <c r="B3" s="20">
        <v>45635</v>
      </c>
      <c r="C3" s="20">
        <f>B3+1</f>
        <v>45636</v>
      </c>
      <c r="D3" s="20">
        <f t="shared" ref="D3:BO3" si="0">C3+1</f>
        <v>45637</v>
      </c>
      <c r="E3" s="20">
        <f t="shared" si="0"/>
        <v>45638</v>
      </c>
      <c r="F3" s="20">
        <f t="shared" si="0"/>
        <v>45639</v>
      </c>
      <c r="G3" s="20">
        <f t="shared" si="0"/>
        <v>45640</v>
      </c>
      <c r="H3" s="20">
        <f t="shared" si="0"/>
        <v>45641</v>
      </c>
      <c r="I3" s="20">
        <f t="shared" si="0"/>
        <v>45642</v>
      </c>
      <c r="J3" s="20">
        <f t="shared" si="0"/>
        <v>45643</v>
      </c>
      <c r="K3" s="20">
        <f t="shared" si="0"/>
        <v>45644</v>
      </c>
      <c r="L3" s="20">
        <f t="shared" si="0"/>
        <v>45645</v>
      </c>
      <c r="M3" s="20">
        <f t="shared" si="0"/>
        <v>45646</v>
      </c>
      <c r="N3" s="20">
        <f t="shared" si="0"/>
        <v>45647</v>
      </c>
      <c r="O3" s="20">
        <f t="shared" si="0"/>
        <v>45648</v>
      </c>
      <c r="P3" s="20">
        <f t="shared" si="0"/>
        <v>45649</v>
      </c>
      <c r="Q3" s="20">
        <f t="shared" si="0"/>
        <v>45650</v>
      </c>
      <c r="R3" s="20">
        <f t="shared" si="0"/>
        <v>45651</v>
      </c>
      <c r="S3" s="20">
        <f t="shared" si="0"/>
        <v>45652</v>
      </c>
      <c r="T3" s="20">
        <f t="shared" si="0"/>
        <v>45653</v>
      </c>
      <c r="U3" s="20">
        <f t="shared" si="0"/>
        <v>45654</v>
      </c>
      <c r="V3" s="20">
        <f t="shared" si="0"/>
        <v>45655</v>
      </c>
      <c r="W3" s="20">
        <f t="shared" si="0"/>
        <v>45656</v>
      </c>
      <c r="X3" s="20">
        <f t="shared" si="0"/>
        <v>45657</v>
      </c>
      <c r="Y3" s="20">
        <f t="shared" si="0"/>
        <v>45658</v>
      </c>
      <c r="Z3" s="20">
        <f t="shared" si="0"/>
        <v>45659</v>
      </c>
      <c r="AA3" s="20">
        <f t="shared" si="0"/>
        <v>45660</v>
      </c>
      <c r="AB3" s="20">
        <f t="shared" si="0"/>
        <v>45661</v>
      </c>
      <c r="AC3" s="20">
        <f t="shared" si="0"/>
        <v>45662</v>
      </c>
      <c r="AD3" s="20">
        <f t="shared" si="0"/>
        <v>45663</v>
      </c>
      <c r="AE3" s="20">
        <f t="shared" si="0"/>
        <v>45664</v>
      </c>
      <c r="AF3" s="20">
        <f t="shared" si="0"/>
        <v>45665</v>
      </c>
      <c r="AG3" s="20">
        <f t="shared" si="0"/>
        <v>45666</v>
      </c>
      <c r="AH3" s="20">
        <f t="shared" si="0"/>
        <v>45667</v>
      </c>
      <c r="AI3" s="20">
        <f t="shared" si="0"/>
        <v>45668</v>
      </c>
      <c r="AJ3" s="20">
        <f t="shared" si="0"/>
        <v>45669</v>
      </c>
      <c r="AK3" s="20">
        <f t="shared" si="0"/>
        <v>45670</v>
      </c>
      <c r="AL3" s="20">
        <f t="shared" si="0"/>
        <v>45671</v>
      </c>
      <c r="AM3" s="20">
        <f t="shared" si="0"/>
        <v>45672</v>
      </c>
      <c r="AN3" s="20">
        <f t="shared" si="0"/>
        <v>45673</v>
      </c>
      <c r="AO3" s="20">
        <f t="shared" si="0"/>
        <v>45674</v>
      </c>
      <c r="AP3" s="20">
        <f t="shared" si="0"/>
        <v>45675</v>
      </c>
      <c r="AQ3" s="20">
        <f t="shared" si="0"/>
        <v>45676</v>
      </c>
      <c r="AR3" s="20">
        <f t="shared" si="0"/>
        <v>45677</v>
      </c>
      <c r="AS3" s="20">
        <f t="shared" si="0"/>
        <v>45678</v>
      </c>
      <c r="AT3" s="20">
        <f t="shared" si="0"/>
        <v>45679</v>
      </c>
      <c r="AU3" s="20">
        <f t="shared" si="0"/>
        <v>45680</v>
      </c>
      <c r="AV3" s="20">
        <f t="shared" si="0"/>
        <v>45681</v>
      </c>
      <c r="AW3" s="20">
        <f t="shared" si="0"/>
        <v>45682</v>
      </c>
      <c r="AX3" s="20">
        <f t="shared" si="0"/>
        <v>45683</v>
      </c>
      <c r="AY3" s="20">
        <f t="shared" si="0"/>
        <v>45684</v>
      </c>
      <c r="AZ3" s="20">
        <f t="shared" si="0"/>
        <v>45685</v>
      </c>
      <c r="BA3" s="20">
        <f t="shared" si="0"/>
        <v>45686</v>
      </c>
      <c r="BB3" s="20">
        <f t="shared" si="0"/>
        <v>45687</v>
      </c>
      <c r="BC3" s="20">
        <f t="shared" si="0"/>
        <v>45688</v>
      </c>
      <c r="BD3" s="20">
        <f t="shared" si="0"/>
        <v>45689</v>
      </c>
      <c r="BE3" s="20">
        <f t="shared" si="0"/>
        <v>45690</v>
      </c>
      <c r="BF3" s="20">
        <f t="shared" si="0"/>
        <v>45691</v>
      </c>
      <c r="BG3" s="20">
        <f t="shared" si="0"/>
        <v>45692</v>
      </c>
      <c r="BH3" s="20">
        <f t="shared" si="0"/>
        <v>45693</v>
      </c>
      <c r="BI3" s="20">
        <f t="shared" si="0"/>
        <v>45694</v>
      </c>
      <c r="BJ3" s="20">
        <f t="shared" si="0"/>
        <v>45695</v>
      </c>
      <c r="BK3" s="20">
        <f t="shared" si="0"/>
        <v>45696</v>
      </c>
      <c r="BL3" s="20">
        <f t="shared" si="0"/>
        <v>45697</v>
      </c>
      <c r="BM3" s="20">
        <f t="shared" si="0"/>
        <v>45698</v>
      </c>
      <c r="BN3" s="20">
        <f t="shared" si="0"/>
        <v>45699</v>
      </c>
      <c r="BO3" s="20">
        <f t="shared" si="0"/>
        <v>45700</v>
      </c>
      <c r="BP3" s="20">
        <f t="shared" ref="BP3:CG3" si="1">BO3+1</f>
        <v>45701</v>
      </c>
      <c r="BQ3" s="20">
        <f t="shared" si="1"/>
        <v>45702</v>
      </c>
      <c r="BR3" s="20">
        <f t="shared" si="1"/>
        <v>45703</v>
      </c>
      <c r="BS3" s="20">
        <f t="shared" si="1"/>
        <v>45704</v>
      </c>
      <c r="BT3" s="20">
        <f t="shared" si="1"/>
        <v>45705</v>
      </c>
      <c r="BU3" s="20">
        <f t="shared" si="1"/>
        <v>45706</v>
      </c>
      <c r="BV3" s="20">
        <f t="shared" si="1"/>
        <v>45707</v>
      </c>
      <c r="BW3" s="20">
        <f t="shared" si="1"/>
        <v>45708</v>
      </c>
      <c r="BX3" s="20">
        <f t="shared" si="1"/>
        <v>45709</v>
      </c>
      <c r="BY3" s="20">
        <f t="shared" si="1"/>
        <v>45710</v>
      </c>
      <c r="BZ3" s="20">
        <f t="shared" si="1"/>
        <v>45711</v>
      </c>
      <c r="CA3" s="20">
        <f t="shared" si="1"/>
        <v>45712</v>
      </c>
      <c r="CB3" s="20">
        <f t="shared" si="1"/>
        <v>45713</v>
      </c>
      <c r="CC3" s="20">
        <f t="shared" si="1"/>
        <v>45714</v>
      </c>
      <c r="CD3" s="20">
        <f t="shared" si="1"/>
        <v>45715</v>
      </c>
      <c r="CE3" s="20">
        <f t="shared" si="1"/>
        <v>45716</v>
      </c>
      <c r="CF3" s="20">
        <f t="shared" si="1"/>
        <v>45717</v>
      </c>
      <c r="CG3" s="20">
        <f t="shared" si="1"/>
        <v>45718</v>
      </c>
      <c r="CH3" s="20">
        <f t="shared" ref="CH3:DW3" si="2">CG3+1</f>
        <v>45719</v>
      </c>
      <c r="CI3" s="20">
        <f t="shared" si="2"/>
        <v>45720</v>
      </c>
      <c r="CJ3" s="20">
        <f t="shared" si="2"/>
        <v>45721</v>
      </c>
      <c r="CK3" s="20">
        <f t="shared" si="2"/>
        <v>45722</v>
      </c>
      <c r="CL3" s="20">
        <f t="shared" si="2"/>
        <v>45723</v>
      </c>
      <c r="CM3" s="20">
        <f t="shared" si="2"/>
        <v>45724</v>
      </c>
      <c r="CN3" s="20">
        <f t="shared" si="2"/>
        <v>45725</v>
      </c>
      <c r="CO3" s="20">
        <f t="shared" si="2"/>
        <v>45726</v>
      </c>
      <c r="CP3" s="20">
        <f t="shared" si="2"/>
        <v>45727</v>
      </c>
      <c r="CQ3" s="20">
        <f t="shared" si="2"/>
        <v>45728</v>
      </c>
      <c r="CR3" s="20">
        <f t="shared" si="2"/>
        <v>45729</v>
      </c>
      <c r="CS3" s="20">
        <f t="shared" si="2"/>
        <v>45730</v>
      </c>
      <c r="CT3" s="20">
        <f t="shared" si="2"/>
        <v>45731</v>
      </c>
      <c r="CU3" s="20">
        <f t="shared" si="2"/>
        <v>45732</v>
      </c>
      <c r="CV3" s="20">
        <f t="shared" si="2"/>
        <v>45733</v>
      </c>
      <c r="CW3" s="20">
        <f t="shared" si="2"/>
        <v>45734</v>
      </c>
      <c r="CX3" s="20">
        <f t="shared" si="2"/>
        <v>45735</v>
      </c>
      <c r="CY3" s="20">
        <f t="shared" si="2"/>
        <v>45736</v>
      </c>
      <c r="CZ3" s="20">
        <f t="shared" si="2"/>
        <v>45737</v>
      </c>
      <c r="DA3" s="20">
        <f t="shared" si="2"/>
        <v>45738</v>
      </c>
      <c r="DB3" s="20">
        <f t="shared" si="2"/>
        <v>45739</v>
      </c>
      <c r="DC3" s="20">
        <f t="shared" si="2"/>
        <v>45740</v>
      </c>
      <c r="DD3" s="20">
        <f t="shared" si="2"/>
        <v>45741</v>
      </c>
      <c r="DE3" s="20">
        <f t="shared" si="2"/>
        <v>45742</v>
      </c>
      <c r="DF3" s="20">
        <f t="shared" si="2"/>
        <v>45743</v>
      </c>
      <c r="DG3" s="20">
        <f t="shared" si="2"/>
        <v>45744</v>
      </c>
      <c r="DH3" s="20">
        <f t="shared" si="2"/>
        <v>45745</v>
      </c>
      <c r="DI3" s="20">
        <f t="shared" si="2"/>
        <v>45746</v>
      </c>
      <c r="DJ3" s="20">
        <f t="shared" si="2"/>
        <v>45747</v>
      </c>
      <c r="DK3" s="20">
        <f t="shared" si="2"/>
        <v>45748</v>
      </c>
      <c r="DL3" s="20">
        <f t="shared" si="2"/>
        <v>45749</v>
      </c>
      <c r="DM3" s="20">
        <f t="shared" si="2"/>
        <v>45750</v>
      </c>
      <c r="DN3" s="20">
        <f t="shared" si="2"/>
        <v>45751</v>
      </c>
      <c r="DO3" s="20">
        <f t="shared" si="2"/>
        <v>45752</v>
      </c>
      <c r="DP3" s="20">
        <f t="shared" si="2"/>
        <v>45753</v>
      </c>
      <c r="DQ3" s="20">
        <f t="shared" si="2"/>
        <v>45754</v>
      </c>
      <c r="DR3" s="20">
        <f t="shared" si="2"/>
        <v>45755</v>
      </c>
      <c r="DS3" s="20">
        <f t="shared" si="2"/>
        <v>45756</v>
      </c>
      <c r="DT3" s="20">
        <f t="shared" si="2"/>
        <v>45757</v>
      </c>
      <c r="DU3" s="20">
        <f t="shared" si="2"/>
        <v>45758</v>
      </c>
      <c r="DV3" s="20">
        <f t="shared" si="2"/>
        <v>45759</v>
      </c>
      <c r="DW3" s="20">
        <f t="shared" si="2"/>
        <v>45760</v>
      </c>
      <c r="DX3" s="20">
        <f t="shared" ref="DX3:FM3" si="3">DW3+1</f>
        <v>45761</v>
      </c>
      <c r="DY3" s="20">
        <f t="shared" si="3"/>
        <v>45762</v>
      </c>
      <c r="DZ3" s="20">
        <f t="shared" si="3"/>
        <v>45763</v>
      </c>
      <c r="EA3" s="20">
        <f t="shared" si="3"/>
        <v>45764</v>
      </c>
      <c r="EB3" s="20">
        <f t="shared" si="3"/>
        <v>45765</v>
      </c>
      <c r="EC3" s="20">
        <f t="shared" si="3"/>
        <v>45766</v>
      </c>
      <c r="ED3" s="20">
        <f t="shared" si="3"/>
        <v>45767</v>
      </c>
      <c r="EE3" s="20">
        <f t="shared" si="3"/>
        <v>45768</v>
      </c>
      <c r="EF3" s="20">
        <f t="shared" si="3"/>
        <v>45769</v>
      </c>
      <c r="EG3" s="20">
        <f t="shared" si="3"/>
        <v>45770</v>
      </c>
      <c r="EH3" s="20">
        <f t="shared" si="3"/>
        <v>45771</v>
      </c>
      <c r="EI3" s="20">
        <f t="shared" si="3"/>
        <v>45772</v>
      </c>
      <c r="EJ3" s="20">
        <f t="shared" si="3"/>
        <v>45773</v>
      </c>
      <c r="EK3" s="20">
        <f t="shared" si="3"/>
        <v>45774</v>
      </c>
      <c r="EL3" s="20">
        <f t="shared" si="3"/>
        <v>45775</v>
      </c>
      <c r="EM3" s="20">
        <f t="shared" si="3"/>
        <v>45776</v>
      </c>
      <c r="EN3" s="20">
        <f t="shared" si="3"/>
        <v>45777</v>
      </c>
      <c r="EO3" s="20">
        <f t="shared" si="3"/>
        <v>45778</v>
      </c>
      <c r="EP3" s="20">
        <f t="shared" si="3"/>
        <v>45779</v>
      </c>
      <c r="EQ3" s="20">
        <f t="shared" si="3"/>
        <v>45780</v>
      </c>
      <c r="ER3" s="20">
        <f t="shared" si="3"/>
        <v>45781</v>
      </c>
      <c r="ES3" s="20">
        <f t="shared" si="3"/>
        <v>45782</v>
      </c>
      <c r="ET3" s="20">
        <f t="shared" si="3"/>
        <v>45783</v>
      </c>
      <c r="EU3" s="20">
        <f t="shared" si="3"/>
        <v>45784</v>
      </c>
      <c r="EV3" s="20">
        <f t="shared" si="3"/>
        <v>45785</v>
      </c>
      <c r="EW3" s="20">
        <f t="shared" si="3"/>
        <v>45786</v>
      </c>
      <c r="EX3" s="20">
        <f t="shared" si="3"/>
        <v>45787</v>
      </c>
      <c r="EY3" s="20">
        <f t="shared" si="3"/>
        <v>45788</v>
      </c>
      <c r="EZ3" s="20">
        <f t="shared" si="3"/>
        <v>45789</v>
      </c>
      <c r="FA3" s="20">
        <f t="shared" si="3"/>
        <v>45790</v>
      </c>
      <c r="FB3" s="20">
        <f t="shared" si="3"/>
        <v>45791</v>
      </c>
      <c r="FC3" s="20">
        <f t="shared" si="3"/>
        <v>45792</v>
      </c>
      <c r="FD3" s="20">
        <f t="shared" si="3"/>
        <v>45793</v>
      </c>
      <c r="FE3" s="20">
        <f t="shared" si="3"/>
        <v>45794</v>
      </c>
      <c r="FF3" s="20">
        <f t="shared" si="3"/>
        <v>45795</v>
      </c>
      <c r="FG3" s="20">
        <f t="shared" si="3"/>
        <v>45796</v>
      </c>
      <c r="FH3" s="20">
        <f t="shared" si="3"/>
        <v>45797</v>
      </c>
      <c r="FI3" s="20">
        <f t="shared" si="3"/>
        <v>45798</v>
      </c>
      <c r="FJ3" s="20">
        <f t="shared" si="3"/>
        <v>45799</v>
      </c>
      <c r="FK3" s="20">
        <f t="shared" si="3"/>
        <v>45800</v>
      </c>
      <c r="FL3" s="20">
        <f t="shared" si="3"/>
        <v>45801</v>
      </c>
      <c r="FM3" s="20">
        <f t="shared" si="3"/>
        <v>45802</v>
      </c>
      <c r="FN3" s="20">
        <f t="shared" ref="FN3:FT3" si="4">FM3+1</f>
        <v>45803</v>
      </c>
      <c r="FO3" s="20">
        <f t="shared" si="4"/>
        <v>45804</v>
      </c>
      <c r="FP3" s="20">
        <f t="shared" si="4"/>
        <v>45805</v>
      </c>
      <c r="FQ3" s="20">
        <f t="shared" si="4"/>
        <v>45806</v>
      </c>
      <c r="FR3" s="20">
        <f t="shared" si="4"/>
        <v>45807</v>
      </c>
      <c r="FS3" s="20">
        <f t="shared" si="4"/>
        <v>45808</v>
      </c>
      <c r="FT3" s="20">
        <f t="shared" si="4"/>
        <v>45809</v>
      </c>
      <c r="FU3" s="20">
        <f t="shared" ref="FU3:GH3" si="5">FT3+1</f>
        <v>45810</v>
      </c>
      <c r="FV3" s="20">
        <f t="shared" si="5"/>
        <v>45811</v>
      </c>
      <c r="FW3" s="20">
        <f t="shared" si="5"/>
        <v>45812</v>
      </c>
      <c r="FX3" s="20">
        <f t="shared" si="5"/>
        <v>45813</v>
      </c>
      <c r="FY3" s="20">
        <f t="shared" si="5"/>
        <v>45814</v>
      </c>
      <c r="FZ3" s="20">
        <f t="shared" si="5"/>
        <v>45815</v>
      </c>
      <c r="GA3" s="20">
        <f t="shared" si="5"/>
        <v>45816</v>
      </c>
      <c r="GB3" s="20">
        <f t="shared" si="5"/>
        <v>45817</v>
      </c>
      <c r="GC3" s="20">
        <f t="shared" si="5"/>
        <v>45818</v>
      </c>
      <c r="GD3" s="20">
        <f t="shared" si="5"/>
        <v>45819</v>
      </c>
      <c r="GE3" s="20">
        <f t="shared" si="5"/>
        <v>45820</v>
      </c>
      <c r="GF3" s="20">
        <f t="shared" si="5"/>
        <v>45821</v>
      </c>
      <c r="GG3" s="20">
        <f t="shared" si="5"/>
        <v>45822</v>
      </c>
      <c r="GH3" s="20">
        <f t="shared" si="5"/>
        <v>45823</v>
      </c>
      <c r="GI3" s="20">
        <f t="shared" ref="GI3:GO3" si="6">GH3+1</f>
        <v>45824</v>
      </c>
      <c r="GJ3" s="20">
        <f t="shared" si="6"/>
        <v>45825</v>
      </c>
      <c r="GK3" s="20">
        <f t="shared" si="6"/>
        <v>45826</v>
      </c>
      <c r="GL3" s="20">
        <f t="shared" si="6"/>
        <v>45827</v>
      </c>
      <c r="GM3" s="20">
        <f t="shared" si="6"/>
        <v>45828</v>
      </c>
      <c r="GN3" s="20">
        <f t="shared" si="6"/>
        <v>45829</v>
      </c>
      <c r="GO3" s="20">
        <f t="shared" si="6"/>
        <v>45830</v>
      </c>
      <c r="GP3" s="53"/>
      <c r="GQ3" s="53"/>
    </row>
    <row r="4" spans="1:199" ht="16" x14ac:dyDescent="0.2">
      <c r="B4" s="103" t="s">
        <v>33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5"/>
      <c r="P4" s="106" t="s">
        <v>34</v>
      </c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  <c r="AK4" s="109" t="s">
        <v>95</v>
      </c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1"/>
      <c r="BF4" s="112" t="s">
        <v>172</v>
      </c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4"/>
      <c r="BT4" s="115" t="s">
        <v>157</v>
      </c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</row>
    <row r="5" spans="1:199" ht="16" x14ac:dyDescent="0.2">
      <c r="BF5" s="98" t="s">
        <v>36</v>
      </c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116" t="s">
        <v>37</v>
      </c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8"/>
      <c r="DC5" s="116" t="s">
        <v>38</v>
      </c>
      <c r="DD5" s="117"/>
      <c r="DE5" s="117"/>
      <c r="DF5" s="117"/>
      <c r="DG5" s="117"/>
      <c r="DH5" s="117"/>
      <c r="DI5" s="117"/>
      <c r="DJ5" s="117"/>
      <c r="DK5" s="117"/>
      <c r="DL5" s="117"/>
      <c r="DM5" s="117"/>
      <c r="DN5" s="117"/>
      <c r="DO5" s="117"/>
      <c r="DP5" s="117"/>
      <c r="DQ5" s="117"/>
      <c r="DR5" s="117"/>
      <c r="DS5" s="117"/>
      <c r="DT5" s="117"/>
      <c r="DU5" s="117"/>
      <c r="DV5" s="117"/>
      <c r="DW5" s="118"/>
      <c r="DX5" s="116" t="s">
        <v>39</v>
      </c>
      <c r="DY5" s="117"/>
      <c r="DZ5" s="117"/>
      <c r="EA5" s="117"/>
      <c r="EB5" s="117"/>
      <c r="EC5" s="117"/>
      <c r="ED5" s="117"/>
      <c r="EE5" s="117"/>
      <c r="EF5" s="117"/>
      <c r="EG5" s="117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8"/>
      <c r="ES5" s="116" t="s">
        <v>40</v>
      </c>
      <c r="ET5" s="117"/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7"/>
      <c r="FL5" s="117"/>
      <c r="FM5" s="118"/>
      <c r="FN5" s="119" t="s">
        <v>173</v>
      </c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54" t="s">
        <v>171</v>
      </c>
    </row>
    <row r="6" spans="1:199" ht="16" x14ac:dyDescent="0.2">
      <c r="A6" s="17"/>
      <c r="CH6" s="60" t="s">
        <v>185</v>
      </c>
      <c r="GB6" s="97" t="s">
        <v>174</v>
      </c>
      <c r="GC6" s="97"/>
      <c r="GD6" s="97"/>
      <c r="GE6" s="97"/>
      <c r="GF6" s="97"/>
      <c r="GG6" s="97"/>
      <c r="GH6" s="97"/>
      <c r="GI6" s="97"/>
      <c r="GJ6" s="97"/>
      <c r="GK6" s="97"/>
      <c r="GL6" s="97"/>
      <c r="GM6" s="97"/>
      <c r="GN6" s="97"/>
      <c r="GO6" s="97"/>
    </row>
    <row r="7" spans="1:199" ht="16" x14ac:dyDescent="0.2">
      <c r="CH7" s="97" t="s">
        <v>186</v>
      </c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</row>
    <row r="24" spans="20:20" ht="15" x14ac:dyDescent="0.2">
      <c r="T24"/>
    </row>
  </sheetData>
  <mergeCells count="41">
    <mergeCell ref="BF1:BL1"/>
    <mergeCell ref="BM1:BS1"/>
    <mergeCell ref="BT1:BZ1"/>
    <mergeCell ref="CH5:DB5"/>
    <mergeCell ref="DC5:DW5"/>
    <mergeCell ref="CH1:CN1"/>
    <mergeCell ref="CO1:CU1"/>
    <mergeCell ref="CV1:DB1"/>
    <mergeCell ref="DC1:DI1"/>
    <mergeCell ref="DJ1:DP1"/>
    <mergeCell ref="DQ1:DW1"/>
    <mergeCell ref="GB6:GO6"/>
    <mergeCell ref="EZ1:FF1"/>
    <mergeCell ref="FG1:FM1"/>
    <mergeCell ref="DX5:ER5"/>
    <mergeCell ref="ES5:FM5"/>
    <mergeCell ref="FN1:FT1"/>
    <mergeCell ref="FU1:GA1"/>
    <mergeCell ref="DX1:ED1"/>
    <mergeCell ref="EE1:EK1"/>
    <mergeCell ref="EL1:ER1"/>
    <mergeCell ref="ES1:EY1"/>
    <mergeCell ref="GB1:GH1"/>
    <mergeCell ref="FN5:GA5"/>
    <mergeCell ref="GI1:GO1"/>
    <mergeCell ref="CH7:CU7"/>
    <mergeCell ref="BF5:CG5"/>
    <mergeCell ref="CA1:CG1"/>
    <mergeCell ref="B1:H1"/>
    <mergeCell ref="I1:O1"/>
    <mergeCell ref="P1:V1"/>
    <mergeCell ref="W1:AC1"/>
    <mergeCell ref="AD1:AJ1"/>
    <mergeCell ref="AK1:AQ1"/>
    <mergeCell ref="B4:O4"/>
    <mergeCell ref="P4:AJ4"/>
    <mergeCell ref="AK4:BE4"/>
    <mergeCell ref="AR1:AX1"/>
    <mergeCell ref="AY1:BE1"/>
    <mergeCell ref="BF4:BS4"/>
    <mergeCell ref="BT4:CG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��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95739-F48A-45FA-B14B-AA6F1092D482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1ffbd5dc-7a64-4097-8396-87f6c90b212f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77309DC-290E-4391-BC2D-A08ABD887F47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89466F6D-2D38-4BF9-994C-3771A21F3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Billing Milestones</vt:lpstr>
      <vt:lpstr>Velocity</vt:lpstr>
      <vt:lpstr>SOW Timeline</vt:lpstr>
      <vt:lpstr>SOW Costing v2</vt:lpstr>
      <vt:lpstr>Actuals vs Esatimate</vt:lpstr>
      <vt:lpstr>Actuals Vs Estiamte Data</vt:lpstr>
      <vt:lpstr>Pre Sprint 0 Cost Summary</vt:lpstr>
      <vt:lpstr>Forecasting</vt:lpstr>
      <vt:lpstr>Burnup</vt:lpstr>
      <vt:lpstr>SOW_OLD</vt:lpstr>
      <vt:lpstr>Timeline Old</vt:lpstr>
      <vt:lpstr>Timeline v2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Sam Duncan</cp:lastModifiedBy>
  <cp:revision/>
  <dcterms:created xsi:type="dcterms:W3CDTF">2020-08-13T15:11:43Z</dcterms:created>
  <dcterms:modified xsi:type="dcterms:W3CDTF">2025-10-27T12:43:28Z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</Properties>
</file>