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Conga Templates/"/>
    </mc:Choice>
  </mc:AlternateContent>
  <xr:revisionPtr revIDLastSave="1607" documentId="8_{EF53A97E-78FA-4C43-BDDC-6B733F5DF2CE}" xr6:coauthVersionLast="47" xr6:coauthVersionMax="47" xr10:uidLastSave="{971EA195-FD1C-435E-83FA-BACBB1AF1B82}"/>
  <bookViews>
    <workbookView xWindow="28680" yWindow="-165" windowWidth="29040" windowHeight="15720" xr2:uid="{F22B3CFE-4DCE-4BCB-8026-8E48B752094C}"/>
  </bookViews>
  <sheets>
    <sheet name="Dev-&gt;QA_Setup" sheetId="9" r:id="rId1"/>
    <sheet name="Migrate Template&amp;Query Records" sheetId="2" r:id="rId2"/>
    <sheet name="UAT-&gt;Dev_DocId" sheetId="3" r:id="rId3"/>
    <sheet name="UAT-&gt;Dev_Query+GenDoc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3" i="9" l="1"/>
  <c r="N103" i="9" s="1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234" i="9"/>
  <c r="L231" i="9"/>
  <c r="L228" i="9"/>
  <c r="L225" i="9"/>
  <c r="L222" i="9"/>
  <c r="L219" i="9"/>
  <c r="L216" i="9"/>
  <c r="L213" i="9"/>
  <c r="L210" i="9"/>
  <c r="L207" i="9"/>
  <c r="L204" i="9"/>
  <c r="L201" i="9"/>
  <c r="L196" i="9"/>
  <c r="L191" i="9"/>
  <c r="L188" i="9"/>
  <c r="L185" i="9"/>
  <c r="L182" i="9"/>
  <c r="L181" i="9"/>
  <c r="L183" i="9"/>
  <c r="L184" i="9"/>
  <c r="L186" i="9"/>
  <c r="L187" i="9"/>
  <c r="L189" i="9"/>
  <c r="L190" i="9"/>
  <c r="L192" i="9"/>
  <c r="L193" i="9"/>
  <c r="L194" i="9"/>
  <c r="L195" i="9"/>
  <c r="L197" i="9"/>
  <c r="L198" i="9"/>
  <c r="L199" i="9"/>
  <c r="L200" i="9"/>
  <c r="L202" i="9"/>
  <c r="L203" i="9"/>
  <c r="L205" i="9"/>
  <c r="L206" i="9"/>
  <c r="L208" i="9"/>
  <c r="L209" i="9"/>
  <c r="L211" i="9"/>
  <c r="L212" i="9"/>
  <c r="L214" i="9"/>
  <c r="L215" i="9"/>
  <c r="L217" i="9"/>
  <c r="L218" i="9"/>
  <c r="L220" i="9"/>
  <c r="L221" i="9"/>
  <c r="L223" i="9"/>
  <c r="L224" i="9"/>
  <c r="L226" i="9"/>
  <c r="L227" i="9"/>
  <c r="L229" i="9"/>
  <c r="L230" i="9"/>
  <c r="L232" i="9"/>
  <c r="L233" i="9"/>
  <c r="L180" i="9"/>
  <c r="L107" i="9"/>
  <c r="O103" i="9"/>
  <c r="P103" i="9"/>
  <c r="L106" i="9"/>
  <c r="L132" i="9"/>
  <c r="L133" i="9"/>
  <c r="L134" i="9"/>
  <c r="L135" i="9"/>
  <c r="L136" i="9"/>
  <c r="L137" i="9"/>
  <c r="L138" i="9"/>
  <c r="L139" i="9"/>
  <c r="L131" i="9"/>
  <c r="L105" i="9"/>
  <c r="L104" i="9"/>
  <c r="V116" i="3"/>
  <c r="V112" i="3"/>
  <c r="V104" i="3"/>
  <c r="V100" i="3"/>
  <c r="V96" i="3"/>
  <c r="V92" i="3"/>
  <c r="V88" i="3"/>
  <c r="V84" i="3"/>
  <c r="V80" i="3"/>
  <c r="V76" i="3"/>
  <c r="V72" i="3"/>
  <c r="V66" i="3"/>
  <c r="V60" i="3"/>
  <c r="V56" i="3"/>
  <c r="V52" i="3"/>
  <c r="V48" i="3"/>
  <c r="Q44" i="3"/>
  <c r="M65" i="3"/>
  <c r="O65" i="3" s="1"/>
  <c r="S65" i="3" s="1"/>
  <c r="R65" i="3" s="1"/>
  <c r="M64" i="3"/>
  <c r="O64" i="3" s="1"/>
  <c r="S64" i="3" s="1"/>
  <c r="Q64" i="3" s="1"/>
  <c r="M63" i="3"/>
  <c r="O63" i="3" s="1"/>
  <c r="S63" i="3" s="1"/>
  <c r="M62" i="3"/>
  <c r="N62" i="3" s="1"/>
  <c r="M61" i="3"/>
  <c r="N61" i="3" s="1"/>
  <c r="M60" i="3"/>
  <c r="P60" i="3" s="1"/>
  <c r="M59" i="3"/>
  <c r="P59" i="3" s="1"/>
  <c r="M58" i="3"/>
  <c r="P58" i="3" s="1"/>
  <c r="M57" i="3"/>
  <c r="P57" i="3" s="1"/>
  <c r="M56" i="3"/>
  <c r="P56" i="3" s="1"/>
  <c r="M55" i="3"/>
  <c r="N55" i="3" s="1"/>
  <c r="M54" i="3"/>
  <c r="N54" i="3" s="1"/>
  <c r="M53" i="3"/>
  <c r="P53" i="3" s="1"/>
  <c r="M52" i="3"/>
  <c r="N52" i="3" s="1"/>
  <c r="M51" i="3"/>
  <c r="O51" i="3" s="1"/>
  <c r="S51" i="3" s="1"/>
  <c r="M50" i="3"/>
  <c r="P50" i="3" s="1"/>
  <c r="M49" i="3"/>
  <c r="O49" i="3" s="1"/>
  <c r="S49" i="3" s="1"/>
  <c r="Q71" i="3"/>
  <c r="R71" i="3"/>
  <c r="S71" i="3"/>
  <c r="T71" i="3" s="1" a="1"/>
  <c r="T71" i="3" s="1"/>
  <c r="O66" i="3"/>
  <c r="S66" i="3" s="1"/>
  <c r="O67" i="3"/>
  <c r="S67" i="3" s="1"/>
  <c r="O68" i="3"/>
  <c r="O69" i="3"/>
  <c r="O70" i="3"/>
  <c r="S70" i="3" s="1"/>
  <c r="O71" i="3"/>
  <c r="P66" i="3"/>
  <c r="P67" i="3"/>
  <c r="P68" i="3"/>
  <c r="P69" i="3"/>
  <c r="P70" i="3"/>
  <c r="P71" i="3"/>
  <c r="N66" i="3"/>
  <c r="N67" i="3"/>
  <c r="N68" i="3"/>
  <c r="N69" i="3"/>
  <c r="N70" i="3"/>
  <c r="N71" i="3"/>
  <c r="AB40" i="4"/>
  <c r="AB39" i="4"/>
  <c r="AB38" i="4"/>
  <c r="AB37" i="4"/>
  <c r="AB36" i="4"/>
  <c r="AB35" i="4"/>
  <c r="AB34" i="4"/>
  <c r="AB33" i="4"/>
  <c r="AB32" i="4"/>
  <c r="T70" i="3" l="1" a="1"/>
  <c r="T70" i="3" s="1"/>
  <c r="R70" i="3"/>
  <c r="Q70" i="3"/>
  <c r="Q67" i="3"/>
  <c r="T67" i="3" a="1"/>
  <c r="T67" i="3" s="1"/>
  <c r="R67" i="3"/>
  <c r="T66" i="3" a="1"/>
  <c r="T66" i="3" s="1"/>
  <c r="Q66" i="3"/>
  <c r="R66" i="3"/>
  <c r="N65" i="3"/>
  <c r="P65" i="3"/>
  <c r="N60" i="3"/>
  <c r="O60" i="3"/>
  <c r="S60" i="3" s="1"/>
  <c r="T60" i="3" s="1" a="1"/>
  <c r="T60" i="3" s="1"/>
  <c r="O59" i="3"/>
  <c r="S59" i="3" s="1"/>
  <c r="T59" i="3" s="1" a="1"/>
  <c r="T59" i="3" s="1"/>
  <c r="N59" i="3"/>
  <c r="O58" i="3"/>
  <c r="S58" i="3" s="1"/>
  <c r="R58" i="3" s="1"/>
  <c r="N58" i="3"/>
  <c r="N57" i="3"/>
  <c r="O57" i="3"/>
  <c r="S57" i="3" s="1"/>
  <c r="Q57" i="3" s="1"/>
  <c r="O56" i="3"/>
  <c r="S56" i="3" s="1"/>
  <c r="N56" i="3"/>
  <c r="P55" i="3"/>
  <c r="O55" i="3"/>
  <c r="S55" i="3" s="1"/>
  <c r="Q55" i="3" s="1"/>
  <c r="O54" i="3"/>
  <c r="S54" i="3" s="1"/>
  <c r="Q54" i="3" s="1"/>
  <c r="P52" i="3"/>
  <c r="P51" i="3"/>
  <c r="O50" i="3"/>
  <c r="S50" i="3" s="1"/>
  <c r="Q50" i="3" s="1"/>
  <c r="Q58" i="3"/>
  <c r="T58" i="3" a="1"/>
  <c r="T58" i="3" s="1"/>
  <c r="R51" i="3"/>
  <c r="Q51" i="3"/>
  <c r="T51" i="3" a="1"/>
  <c r="T51" i="3" s="1"/>
  <c r="T57" i="3" a="1"/>
  <c r="T57" i="3" s="1"/>
  <c r="R57" i="3"/>
  <c r="Q56" i="3"/>
  <c r="R56" i="3"/>
  <c r="T56" i="3" a="1"/>
  <c r="T56" i="3" s="1"/>
  <c r="T55" i="3" a="1"/>
  <c r="T55" i="3" s="1"/>
  <c r="T49" i="3" a="1"/>
  <c r="T49" i="3" s="1"/>
  <c r="Q49" i="3"/>
  <c r="R49" i="3"/>
  <c r="N53" i="3"/>
  <c r="N49" i="3"/>
  <c r="N50" i="3"/>
  <c r="N51" i="3"/>
  <c r="P49" i="3"/>
  <c r="P54" i="3"/>
  <c r="P61" i="3"/>
  <c r="O53" i="3"/>
  <c r="S53" i="3" s="1"/>
  <c r="O52" i="3"/>
  <c r="S52" i="3" s="1"/>
  <c r="O61" i="3"/>
  <c r="S61" i="3" s="1"/>
  <c r="P64" i="3"/>
  <c r="N64" i="3"/>
  <c r="P63" i="3"/>
  <c r="O62" i="3"/>
  <c r="S62" i="3" s="1"/>
  <c r="P62" i="3"/>
  <c r="Q63" i="3"/>
  <c r="V108" i="3" s="1"/>
  <c r="T63" i="3" a="1"/>
  <c r="T63" i="3" s="1"/>
  <c r="R63" i="3"/>
  <c r="N63" i="3"/>
  <c r="T65" i="3" a="1"/>
  <c r="T65" i="3" s="1"/>
  <c r="Q65" i="3"/>
  <c r="T64" i="3" a="1"/>
  <c r="T64" i="3" s="1"/>
  <c r="R64" i="3"/>
  <c r="L35" i="3"/>
  <c r="L36" i="3"/>
  <c r="J14" i="3"/>
  <c r="J15" i="3"/>
  <c r="J16" i="3"/>
  <c r="J17" i="3"/>
  <c r="J26" i="3"/>
  <c r="J27" i="3"/>
  <c r="J28" i="3"/>
  <c r="J29" i="3"/>
  <c r="I14" i="3"/>
  <c r="K14" i="3" s="1"/>
  <c r="O14" i="3" s="1"/>
  <c r="I15" i="3"/>
  <c r="K15" i="3" s="1"/>
  <c r="O15" i="3" s="1"/>
  <c r="I16" i="3"/>
  <c r="K16" i="3" s="1"/>
  <c r="O16" i="3" s="1"/>
  <c r="I17" i="3"/>
  <c r="K17" i="3" s="1"/>
  <c r="O17" i="3" s="1"/>
  <c r="I18" i="3"/>
  <c r="J18" i="3" s="1"/>
  <c r="I19" i="3"/>
  <c r="J19" i="3" s="1"/>
  <c r="I20" i="3"/>
  <c r="L20" i="3" s="1"/>
  <c r="I21" i="3"/>
  <c r="L21" i="3" s="1"/>
  <c r="I22" i="3"/>
  <c r="J22" i="3" s="1"/>
  <c r="I23" i="3"/>
  <c r="L23" i="3" s="1"/>
  <c r="I24" i="3"/>
  <c r="J24" i="3" s="1"/>
  <c r="I25" i="3"/>
  <c r="L25" i="3" s="1"/>
  <c r="I26" i="3"/>
  <c r="L26" i="3" s="1"/>
  <c r="I27" i="3"/>
  <c r="L27" i="3" s="1"/>
  <c r="I28" i="3"/>
  <c r="K28" i="3" s="1"/>
  <c r="O28" i="3" s="1"/>
  <c r="I29" i="3"/>
  <c r="K29" i="3" s="1"/>
  <c r="O29" i="3" s="1"/>
  <c r="I30" i="3"/>
  <c r="K30" i="3" s="1"/>
  <c r="O30" i="3" s="1"/>
  <c r="I31" i="3"/>
  <c r="K31" i="3" s="1"/>
  <c r="O31" i="3" s="1"/>
  <c r="I32" i="3"/>
  <c r="L32" i="3" s="1"/>
  <c r="I33" i="3"/>
  <c r="L33" i="3" s="1"/>
  <c r="I34" i="3"/>
  <c r="J34" i="3" s="1"/>
  <c r="I35" i="3"/>
  <c r="J35" i="3" s="1"/>
  <c r="I36" i="3"/>
  <c r="J36" i="3" s="1"/>
  <c r="L16" i="3"/>
  <c r="L18" i="3"/>
  <c r="L30" i="3"/>
  <c r="I13" i="3"/>
  <c r="L13" i="3" s="1"/>
  <c r="L14" i="3"/>
  <c r="V7" i="4"/>
  <c r="AB7" i="4" s="1"/>
  <c r="V8" i="4"/>
  <c r="AB8" i="4" s="1"/>
  <c r="V6" i="4"/>
  <c r="AB6" i="4" s="1"/>
  <c r="O32" i="4"/>
  <c r="O33" i="4"/>
  <c r="O34" i="4"/>
  <c r="O35" i="4"/>
  <c r="O36" i="4"/>
  <c r="O37" i="4"/>
  <c r="O38" i="4"/>
  <c r="O39" i="4"/>
  <c r="O40" i="4"/>
  <c r="M10" i="4"/>
  <c r="P10" i="4" s="1"/>
  <c r="M11" i="4"/>
  <c r="O11" i="4" s="1"/>
  <c r="S11" i="4" s="1"/>
  <c r="Q11" i="4" s="1"/>
  <c r="M12" i="4"/>
  <c r="P12" i="4" s="1"/>
  <c r="M13" i="4"/>
  <c r="N13" i="4" s="1"/>
  <c r="M14" i="4"/>
  <c r="N14" i="4" s="1"/>
  <c r="M15" i="4"/>
  <c r="N15" i="4" s="1"/>
  <c r="M16" i="4"/>
  <c r="N16" i="4" s="1"/>
  <c r="M17" i="4"/>
  <c r="O17" i="4" s="1"/>
  <c r="S17" i="4" s="1"/>
  <c r="T17" i="4" s="1"/>
  <c r="M18" i="4"/>
  <c r="O18" i="4" s="1"/>
  <c r="S18" i="4" s="1"/>
  <c r="T18" i="4" s="1"/>
  <c r="M19" i="4"/>
  <c r="O19" i="4" s="1"/>
  <c r="S19" i="4" s="1"/>
  <c r="R19" i="4" s="1"/>
  <c r="M20" i="4"/>
  <c r="O20" i="4" s="1"/>
  <c r="S20" i="4" s="1"/>
  <c r="R20" i="4" s="1"/>
  <c r="M21" i="4"/>
  <c r="O21" i="4" s="1"/>
  <c r="S21" i="4" s="1"/>
  <c r="R21" i="4" s="1"/>
  <c r="M22" i="4"/>
  <c r="O22" i="4" s="1"/>
  <c r="S22" i="4" s="1"/>
  <c r="R22" i="4" s="1"/>
  <c r="M23" i="4"/>
  <c r="O23" i="4" s="1"/>
  <c r="S23" i="4" s="1"/>
  <c r="Q23" i="4" s="1"/>
  <c r="M24" i="4"/>
  <c r="O24" i="4" s="1"/>
  <c r="S24" i="4" s="1"/>
  <c r="R24" i="4" s="1"/>
  <c r="M25" i="4"/>
  <c r="N25" i="4" s="1"/>
  <c r="M26" i="4"/>
  <c r="P26" i="4" s="1"/>
  <c r="M27" i="4"/>
  <c r="N27" i="4" s="1"/>
  <c r="M28" i="4"/>
  <c r="N28" i="4" s="1"/>
  <c r="M29" i="4"/>
  <c r="N29" i="4" s="1"/>
  <c r="M30" i="4"/>
  <c r="N30" i="4" s="1"/>
  <c r="M31" i="4"/>
  <c r="O31" i="4" s="1"/>
  <c r="S31" i="4" s="1"/>
  <c r="T31" i="4" s="1"/>
  <c r="M9" i="4"/>
  <c r="P9" i="4" s="1"/>
  <c r="Q59" i="3" l="1"/>
  <c r="T50" i="3" a="1"/>
  <c r="T50" i="3" s="1"/>
  <c r="R59" i="3"/>
  <c r="K32" i="3"/>
  <c r="O32" i="3" s="1"/>
  <c r="T54" i="3" a="1"/>
  <c r="T54" i="3" s="1"/>
  <c r="R50" i="3"/>
  <c r="Q60" i="3"/>
  <c r="R60" i="3"/>
  <c r="R54" i="3"/>
  <c r="K21" i="3"/>
  <c r="O21" i="3" s="1"/>
  <c r="M21" i="3" s="1"/>
  <c r="R55" i="3"/>
  <c r="K35" i="3"/>
  <c r="O35" i="3" s="1"/>
  <c r="N35" i="3" s="1"/>
  <c r="K25" i="3"/>
  <c r="O25" i="3" s="1"/>
  <c r="P25" i="3" s="1"/>
  <c r="J31" i="3"/>
  <c r="K18" i="3"/>
  <c r="O18" i="3" s="1"/>
  <c r="J30" i="3"/>
  <c r="T53" i="3" a="1"/>
  <c r="T53" i="3" s="1"/>
  <c r="Q53" i="3"/>
  <c r="R53" i="3"/>
  <c r="T61" i="3" a="1"/>
  <c r="T61" i="3" s="1"/>
  <c r="R61" i="3"/>
  <c r="Q61" i="3"/>
  <c r="R52" i="3"/>
  <c r="T52" i="3" a="1"/>
  <c r="T52" i="3" s="1"/>
  <c r="Q52" i="3"/>
  <c r="Q62" i="3"/>
  <c r="R62" i="3"/>
  <c r="T62" i="3" a="1"/>
  <c r="T62" i="3" s="1"/>
  <c r="M15" i="3"/>
  <c r="N15" i="3"/>
  <c r="P15" i="3"/>
  <c r="M30" i="3"/>
  <c r="N30" i="3"/>
  <c r="P30" i="3"/>
  <c r="M28" i="3"/>
  <c r="P28" i="3"/>
  <c r="N28" i="3"/>
  <c r="N18" i="3"/>
  <c r="M18" i="3"/>
  <c r="P18" i="3"/>
  <c r="N17" i="3"/>
  <c r="P17" i="3"/>
  <c r="M17" i="3"/>
  <c r="M14" i="3"/>
  <c r="N14" i="3"/>
  <c r="P14" i="3"/>
  <c r="M32" i="3"/>
  <c r="N32" i="3"/>
  <c r="P32" i="3"/>
  <c r="M16" i="3"/>
  <c r="N16" i="3"/>
  <c r="P16" i="3"/>
  <c r="M31" i="3"/>
  <c r="P31" i="3"/>
  <c r="N31" i="3"/>
  <c r="M29" i="3"/>
  <c r="P29" i="3"/>
  <c r="N29" i="3"/>
  <c r="K22" i="3"/>
  <c r="O22" i="3" s="1"/>
  <c r="K24" i="3"/>
  <c r="O24" i="3" s="1"/>
  <c r="K20" i="3"/>
  <c r="O20" i="3" s="1"/>
  <c r="J25" i="3"/>
  <c r="K33" i="3"/>
  <c r="O33" i="3" s="1"/>
  <c r="K19" i="3"/>
  <c r="O19" i="3" s="1"/>
  <c r="J23" i="3"/>
  <c r="K34" i="3"/>
  <c r="O34" i="3" s="1"/>
  <c r="K23" i="3"/>
  <c r="O23" i="3" s="1"/>
  <c r="L19" i="3"/>
  <c r="J21" i="3"/>
  <c r="J20" i="3"/>
  <c r="J33" i="3"/>
  <c r="K27" i="3"/>
  <c r="O27" i="3" s="1"/>
  <c r="K36" i="3"/>
  <c r="O36" i="3" s="1"/>
  <c r="J32" i="3"/>
  <c r="K26" i="3"/>
  <c r="O26" i="3" s="1"/>
  <c r="R17" i="4"/>
  <c r="R31" i="4"/>
  <c r="Q19" i="4"/>
  <c r="V19" i="4" s="1"/>
  <c r="AB19" i="4" s="1"/>
  <c r="Q24" i="4"/>
  <c r="V24" i="4" s="1"/>
  <c r="AB24" i="4" s="1"/>
  <c r="R18" i="4"/>
  <c r="T11" i="4"/>
  <c r="Q22" i="4"/>
  <c r="V22" i="4" s="1"/>
  <c r="AB22" i="4" s="1"/>
  <c r="T24" i="4"/>
  <c r="Q21" i="4"/>
  <c r="V21" i="4" s="1"/>
  <c r="AB21" i="4" s="1"/>
  <c r="T23" i="4"/>
  <c r="Q20" i="4"/>
  <c r="V20" i="4" s="1"/>
  <c r="AB20" i="4" s="1"/>
  <c r="T22" i="4"/>
  <c r="T21" i="4"/>
  <c r="Q18" i="4"/>
  <c r="V18" i="4" s="1"/>
  <c r="AB18" i="4" s="1"/>
  <c r="T20" i="4"/>
  <c r="Q31" i="4"/>
  <c r="V31" i="4" s="1"/>
  <c r="AB31" i="4" s="1"/>
  <c r="Q17" i="4"/>
  <c r="V17" i="4" s="1"/>
  <c r="AB17" i="4" s="1"/>
  <c r="R11" i="4"/>
  <c r="T19" i="4"/>
  <c r="R23" i="4"/>
  <c r="N11" i="4"/>
  <c r="N19" i="4"/>
  <c r="P25" i="4"/>
  <c r="P19" i="4"/>
  <c r="P24" i="4"/>
  <c r="N10" i="4"/>
  <c r="P23" i="4"/>
  <c r="N24" i="4"/>
  <c r="O10" i="4"/>
  <c r="S10" i="4" s="1"/>
  <c r="N12" i="4"/>
  <c r="O9" i="4"/>
  <c r="S9" i="4" s="1"/>
  <c r="P18" i="4"/>
  <c r="P22" i="4"/>
  <c r="O27" i="4"/>
  <c r="S27" i="4" s="1"/>
  <c r="O25" i="4"/>
  <c r="S25" i="4" s="1"/>
  <c r="P21" i="4"/>
  <c r="P20" i="4"/>
  <c r="O30" i="4"/>
  <c r="S30" i="4" s="1"/>
  <c r="O29" i="4"/>
  <c r="S29" i="4" s="1"/>
  <c r="P11" i="4"/>
  <c r="N23" i="4"/>
  <c r="O14" i="4"/>
  <c r="S14" i="4" s="1"/>
  <c r="O26" i="4"/>
  <c r="S26" i="4" s="1"/>
  <c r="O16" i="4"/>
  <c r="S16" i="4" s="1"/>
  <c r="O15" i="4"/>
  <c r="S15" i="4" s="1"/>
  <c r="N22" i="4"/>
  <c r="O13" i="4"/>
  <c r="S13" i="4" s="1"/>
  <c r="N26" i="4"/>
  <c r="N21" i="4"/>
  <c r="O12" i="4"/>
  <c r="S12" i="4" s="1"/>
  <c r="O28" i="4"/>
  <c r="S28" i="4" s="1"/>
  <c r="N20" i="4"/>
  <c r="V23" i="4"/>
  <c r="AB23" i="4" s="1"/>
  <c r="V11" i="4"/>
  <c r="AB11" i="4" s="1"/>
  <c r="N9" i="4"/>
  <c r="N18" i="4"/>
  <c r="P31" i="4"/>
  <c r="P17" i="4"/>
  <c r="N31" i="4"/>
  <c r="N17" i="4"/>
  <c r="P30" i="4"/>
  <c r="P16" i="4"/>
  <c r="P29" i="4"/>
  <c r="P15" i="4"/>
  <c r="P28" i="4"/>
  <c r="P14" i="4"/>
  <c r="P27" i="4"/>
  <c r="P13" i="4"/>
  <c r="L34" i="3"/>
  <c r="L17" i="3"/>
  <c r="J13" i="3"/>
  <c r="L24" i="3"/>
  <c r="K13" i="3"/>
  <c r="O13" i="3" s="1"/>
  <c r="L31" i="3"/>
  <c r="L22" i="3"/>
  <c r="L15" i="3"/>
  <c r="L29" i="3"/>
  <c r="L28" i="3"/>
  <c r="N21" i="3" l="1"/>
  <c r="N25" i="3"/>
  <c r="M25" i="3"/>
  <c r="P35" i="3"/>
  <c r="P21" i="3"/>
  <c r="L10" i="3"/>
  <c r="M35" i="3"/>
  <c r="N33" i="3"/>
  <c r="P33" i="3"/>
  <c r="M33" i="3"/>
  <c r="P36" i="3"/>
  <c r="N36" i="3"/>
  <c r="M36" i="3"/>
  <c r="M26" i="3"/>
  <c r="P26" i="3"/>
  <c r="N26" i="3"/>
  <c r="M27" i="3"/>
  <c r="P27" i="3"/>
  <c r="N27" i="3"/>
  <c r="N20" i="3"/>
  <c r="P20" i="3"/>
  <c r="M20" i="3"/>
  <c r="N24" i="3"/>
  <c r="M24" i="3"/>
  <c r="P24" i="3"/>
  <c r="N23" i="3"/>
  <c r="M23" i="3"/>
  <c r="P23" i="3"/>
  <c r="P13" i="3"/>
  <c r="N13" i="3"/>
  <c r="M13" i="3"/>
  <c r="N34" i="3"/>
  <c r="M34" i="3"/>
  <c r="P34" i="3"/>
  <c r="N22" i="3"/>
  <c r="P22" i="3"/>
  <c r="M22" i="3"/>
  <c r="N19" i="3"/>
  <c r="P19" i="3"/>
  <c r="M19" i="3"/>
  <c r="T28" i="4"/>
  <c r="Q28" i="4"/>
  <c r="V28" i="4" s="1"/>
  <c r="AB28" i="4" s="1"/>
  <c r="R28" i="4"/>
  <c r="T30" i="4"/>
  <c r="Q30" i="4"/>
  <c r="V30" i="4" s="1"/>
  <c r="AB30" i="4" s="1"/>
  <c r="R30" i="4"/>
  <c r="T29" i="4"/>
  <c r="Q29" i="4"/>
  <c r="V29" i="4" s="1"/>
  <c r="AB29" i="4" s="1"/>
  <c r="R29" i="4"/>
  <c r="Q12" i="4"/>
  <c r="V12" i="4" s="1"/>
  <c r="AB12" i="4" s="1"/>
  <c r="R12" i="4"/>
  <c r="T12" i="4"/>
  <c r="Q25" i="4"/>
  <c r="V25" i="4" s="1"/>
  <c r="AB25" i="4" s="1"/>
  <c r="R25" i="4"/>
  <c r="T25" i="4"/>
  <c r="T13" i="4"/>
  <c r="Q13" i="4"/>
  <c r="V13" i="4" s="1"/>
  <c r="AB13" i="4" s="1"/>
  <c r="R13" i="4"/>
  <c r="T27" i="4"/>
  <c r="Q27" i="4"/>
  <c r="V27" i="4" s="1"/>
  <c r="AB27" i="4" s="1"/>
  <c r="R27" i="4"/>
  <c r="T15" i="4"/>
  <c r="Q15" i="4"/>
  <c r="V15" i="4" s="1"/>
  <c r="AB15" i="4" s="1"/>
  <c r="R15" i="4"/>
  <c r="Q9" i="4"/>
  <c r="V9" i="4" s="1"/>
  <c r="AB9" i="4" s="1"/>
  <c r="R9" i="4"/>
  <c r="T9" i="4"/>
  <c r="T16" i="4"/>
  <c r="Q16" i="4"/>
  <c r="V16" i="4" s="1"/>
  <c r="AB16" i="4" s="1"/>
  <c r="R16" i="4"/>
  <c r="R10" i="4"/>
  <c r="T10" i="4"/>
  <c r="Q10" i="4"/>
  <c r="V10" i="4" s="1"/>
  <c r="AB10" i="4" s="1"/>
  <c r="Q26" i="4"/>
  <c r="V26" i="4" s="1"/>
  <c r="AB26" i="4" s="1"/>
  <c r="R26" i="4"/>
  <c r="T26" i="4"/>
  <c r="T14" i="4"/>
  <c r="Q14" i="4"/>
  <c r="V14" i="4" s="1"/>
  <c r="AB14" i="4" s="1"/>
  <c r="R14" i="4"/>
  <c r="P1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<sst xmlns="http://schemas.openxmlformats.org/spreadsheetml/2006/main" count="2376" uniqueCount="633">
  <si>
    <t>DEV:</t>
  </si>
  <si>
    <t>QA:</t>
  </si>
  <si>
    <r>
      <t xml:space="preserve">Conga Template </t>
    </r>
    <r>
      <rPr>
        <b/>
        <sz val="14"/>
        <color theme="1"/>
        <rFont val="Verdana"/>
        <family val="2"/>
      </rPr>
      <t>UPSERT</t>
    </r>
  </si>
  <si>
    <t>Query</t>
  </si>
  <si>
    <t>SELECT Id, Name, APXTConga4__Name__c, APXTConga4__Key__c, APXTConga4__Label_Template_Use_Detail_Data__c, APXTConga4__Template_Type__c FROM APXTConga4__Conga_Template__c</t>
  </si>
  <si>
    <t>Insert</t>
  </si>
  <si>
    <t>salesforce-inspector-import-options=&amp;apiType=Enterprise&amp;action=upsert&amp;object=APXTConga4__Conga_Template__c&amp;externalId=APXTConga4__Key__c&amp;batchSize=200&amp;threads=6</t>
  </si>
  <si>
    <t>EXCLUDE ON INSERT</t>
  </si>
  <si>
    <t>Upsert External Id</t>
  </si>
  <si>
    <t>Data</t>
  </si>
  <si>
    <t>_</t>
  </si>
  <si>
    <t>Id</t>
  </si>
  <si>
    <t>Name</t>
  </si>
  <si>
    <t>APXTConga4__Name__c</t>
  </si>
  <si>
    <t>APXTConga4__Key__c</t>
  </si>
  <si>
    <t>APXTConga4__Label_Template_Use_Detail_Data__c</t>
  </si>
  <si>
    <t>APXTConga4__Template_Type__c</t>
  </si>
  <si>
    <t>Post Insert Report</t>
  </si>
  <si>
    <t>_Id</t>
  </si>
  <si>
    <t>_Name</t>
  </si>
  <si>
    <t>__Status</t>
  </si>
  <si>
    <t>__Id</t>
  </si>
  <si>
    <t>__Action</t>
  </si>
  <si>
    <t>__Errors</t>
  </si>
  <si>
    <t>[APXTConga4__Conga_Template__c]</t>
  </si>
  <si>
    <t>a0KUE00000CbQvt2AF</t>
  </si>
  <si>
    <t>CMT-00019</t>
  </si>
  <si>
    <t>Memorandum of Agreement 2020</t>
  </si>
  <si>
    <t>0T_000UAE264650</t>
  </si>
  <si>
    <t>Document</t>
  </si>
  <si>
    <t>Succeeded</t>
  </si>
  <si>
    <t>a0KTA00000F6Agn2AF</t>
  </si>
  <si>
    <t>Inserted</t>
  </si>
  <si>
    <t>a0KUE00000CbQvu2AF</t>
  </si>
  <si>
    <t>CMT-00020</t>
  </si>
  <si>
    <t>Prescribed Info 2020</t>
  </si>
  <si>
    <t>0T_001UAE264672</t>
  </si>
  <si>
    <t>a0KTA00000F6Ago2AF</t>
  </si>
  <si>
    <t>a0KUE00000CbQvv2AF</t>
  </si>
  <si>
    <t>CMT-00021</t>
  </si>
  <si>
    <t>Occupation Licence 2020</t>
  </si>
  <si>
    <t>0T_002UAE264672</t>
  </si>
  <si>
    <t>a0KTA00000F6Agp2AF</t>
  </si>
  <si>
    <t>a0KUE00000CbQvw2AF</t>
  </si>
  <si>
    <t>CMT-00022</t>
  </si>
  <si>
    <t>Shed Licence 2020</t>
  </si>
  <si>
    <t>0T_003UAE264672</t>
  </si>
  <si>
    <t>a0KTA00000F6Agq2AF</t>
  </si>
  <si>
    <t>a0KUE00000CbQvx2AF</t>
  </si>
  <si>
    <t>CMT-00023</t>
  </si>
  <si>
    <t>NHA Company Let 2020</t>
  </si>
  <si>
    <t>0T_004UAE264672</t>
  </si>
  <si>
    <t>a0KTA00000F6Agr2AF</t>
  </si>
  <si>
    <t>a0KUE00000CbQvy2AF</t>
  </si>
  <si>
    <t>CMT-00024</t>
  </si>
  <si>
    <t>SD Lead Tenant</t>
  </si>
  <si>
    <t>0T_005UAE264672</t>
  </si>
  <si>
    <t>a0KTA00000F6Ags2AF</t>
  </si>
  <si>
    <t>a0KUE00000CbQvz2AF</t>
  </si>
  <si>
    <t>CMT-00025</t>
  </si>
  <si>
    <t>SD Tenant 2</t>
  </si>
  <si>
    <t>0T_006UAE264672</t>
  </si>
  <si>
    <t>a0KTA00000F6Agt2AF</t>
  </si>
  <si>
    <t>a0KUE00000CbQw02AF</t>
  </si>
  <si>
    <t>CMT-00026</t>
  </si>
  <si>
    <t>SD Tenant 3</t>
  </si>
  <si>
    <t>0T_007UAE264672</t>
  </si>
  <si>
    <t>a0KTA00000F6Agu2AF</t>
  </si>
  <si>
    <t>a0KUE00000CbQw12AF</t>
  </si>
  <si>
    <t>CMT-00027</t>
  </si>
  <si>
    <t>SD Tenant 4</t>
  </si>
  <si>
    <t>0T_008UAE264672</t>
  </si>
  <si>
    <t>a0KTA00000F6Agv2AF</t>
  </si>
  <si>
    <t>a0KUE00000CbQw22AF</t>
  </si>
  <si>
    <t>CMT-00028</t>
  </si>
  <si>
    <t>Parking 2020</t>
  </si>
  <si>
    <t>0T_009UAE264672</t>
  </si>
  <si>
    <t>a0KTA00000F6Agw2AF</t>
  </si>
  <si>
    <t>a0KUE00000CbQw32AF</t>
  </si>
  <si>
    <t>CMT-00029</t>
  </si>
  <si>
    <t>AST 2020</t>
  </si>
  <si>
    <t>0T_010UAE289695</t>
  </si>
  <si>
    <t>a0KTA00000F6Agx2AF</t>
  </si>
  <si>
    <t>a0KUE00000CbQw42AF</t>
  </si>
  <si>
    <t>CMT-00030</t>
  </si>
  <si>
    <t>Live Work 2020</t>
  </si>
  <si>
    <t>0T_011UAE289695</t>
  </si>
  <si>
    <t>a0KTA00000F6Agy2AF</t>
  </si>
  <si>
    <t>a0KUE00000CbQw52AF</t>
  </si>
  <si>
    <t>CMT-00031</t>
  </si>
  <si>
    <t>NHA 2020</t>
  </si>
  <si>
    <t>0T_012UAE289695</t>
  </si>
  <si>
    <t>a0KTA00000F6Agz2AF</t>
  </si>
  <si>
    <t>a0KUE00000CbQw62AF</t>
  </si>
  <si>
    <t>CMT-00032</t>
  </si>
  <si>
    <t>Simple Declaration LeadTenant</t>
  </si>
  <si>
    <t>0T_013UAE357588</t>
  </si>
  <si>
    <t>a0KTA00000F6Ah02AF</t>
  </si>
  <si>
    <t>a0KUE00000CbQw72AF</t>
  </si>
  <si>
    <t>CMT-00033</t>
  </si>
  <si>
    <t>Simple Declaration Tenant 2</t>
  </si>
  <si>
    <t>0T_014UAE288059</t>
  </si>
  <si>
    <t>a0KTA00000F6Ah12AF</t>
  </si>
  <si>
    <t>a0KUE00000CbQw82AF</t>
  </si>
  <si>
    <t>CMT-00034</t>
  </si>
  <si>
    <t>Simple Declaration Tenant 3</t>
  </si>
  <si>
    <t>0T_016UAE512202</t>
  </si>
  <si>
    <t>a0KTA00000F6Ah22AF</t>
  </si>
  <si>
    <t>a0KUE00000CbQw92AF</t>
  </si>
  <si>
    <t>CMT-00035</t>
  </si>
  <si>
    <t>Simple Declaration Tenant 4</t>
  </si>
  <si>
    <t>0T_015UAE919410</t>
  </si>
  <si>
    <t>a0KTA00000F6Ah32AF</t>
  </si>
  <si>
    <t>a0KUE00000CbQwA2AV</t>
  </si>
  <si>
    <t>CMT-00036</t>
  </si>
  <si>
    <t>Occupation Contract 2024</t>
  </si>
  <si>
    <t>0T_017UAE326918</t>
  </si>
  <si>
    <t>a0KTA00000F6Ah42AF</t>
  </si>
  <si>
    <t>a0KUE00000CbQwB2AV</t>
  </si>
  <si>
    <t>CMT-00037</t>
  </si>
  <si>
    <t>Decant Agreement Normal</t>
  </si>
  <si>
    <t>0T_019MAQ098641</t>
  </si>
  <si>
    <t>a0KTA00000F6Ah52AF</t>
  </si>
  <si>
    <t>a0KUE00000CbQwC2AV</t>
  </si>
  <si>
    <t>CMT-00038</t>
  </si>
  <si>
    <t>Decant Agreement  Wales</t>
  </si>
  <si>
    <t>0T_018MAQ629556</t>
  </si>
  <si>
    <t>a0KTA00000F6Ah62AF</t>
  </si>
  <si>
    <t>a0KUE00000CbQwD2AV</t>
  </si>
  <si>
    <t>CMT-00039</t>
  </si>
  <si>
    <t>Parking license oxford</t>
  </si>
  <si>
    <t>0T_020MAQ777827</t>
  </si>
  <si>
    <t>a0KTA00000F6Ah72AF</t>
  </si>
  <si>
    <t>a0KUE00000CbQwE2AV</t>
  </si>
  <si>
    <t>CMT-00040</t>
  </si>
  <si>
    <t>Affordable 2025</t>
  </si>
  <si>
    <t>0T_021MAQ219375</t>
  </si>
  <si>
    <t>a0KTA00000F6Ah82AF</t>
  </si>
  <si>
    <t>a0KUE00000CbQwF2AV</t>
  </si>
  <si>
    <t>CMT-00041</t>
  </si>
  <si>
    <t>DMR Social</t>
  </si>
  <si>
    <t>0T_022MAQ827582</t>
  </si>
  <si>
    <t>a0KTA00000F6Ah92AF</t>
  </si>
  <si>
    <t>a0KUE00000CbQwG2AV</t>
  </si>
  <si>
    <t>CMT-00042</t>
  </si>
  <si>
    <t>RHW12 Document</t>
  </si>
  <si>
    <t>0T_023MAQ064790</t>
  </si>
  <si>
    <t>a0KTA00000F6AhA2AV</t>
  </si>
  <si>
    <t>a0KUE00000CeZ1n2AF</t>
  </si>
  <si>
    <t>CMT-00043</t>
  </si>
  <si>
    <t>Section 13 for Post</t>
  </si>
  <si>
    <t>0T_0432A4679214</t>
  </si>
  <si>
    <t>a0KTA00000F6AhB2AV</t>
  </si>
  <si>
    <r>
      <t xml:space="preserve">Conga Merge Query </t>
    </r>
    <r>
      <rPr>
        <b/>
        <sz val="16"/>
        <color theme="1"/>
        <rFont val="Verdana"/>
        <family val="2"/>
      </rPr>
      <t>UPSERT</t>
    </r>
  </si>
  <si>
    <t xml:space="preserve">SELECT Id, Name, APXTConga4__Name__c, APXTConga4__Key__c, APXTConga4__Query__c FROM APXTConga4__Conga_Merge_Query__c </t>
  </si>
  <si>
    <t>salesforce-inspector-import-options=&amp;apiType=Enterprise&amp;action=upsert&amp;object=APXTConga4__Conga_Merge_Query__c&amp;externalId=APXTConga4__Key__c&amp;batchSize=200&amp;threads=6</t>
  </si>
  <si>
    <t>APXTConga4__Query__c</t>
  </si>
  <si>
    <t>[APXTConga4__Conga_Merge_Query__c]</t>
  </si>
  <si>
    <t>a0CUE00002LfJPp2AN</t>
  </si>
  <si>
    <t>CMQ-0025</t>
  </si>
  <si>
    <t>Special Clauses on Tenancy</t>
  </si>
  <si>
    <t>0Q_000UAE783770</t>
  </si>
  <si>
    <t>SELECT Description__c, Name FROM Special_Clause__c  WHERE Tenancy__c = '{pv0}' ORDER BY Name ASC</t>
  </si>
  <si>
    <t>a0CTA00002cPdTt2AK</t>
  </si>
  <si>
    <t>a0CUE00002LfJPq2AN</t>
  </si>
  <si>
    <t>CMQ-0026</t>
  </si>
  <si>
    <t>Tenancy Payment Schedule</t>
  </si>
  <si>
    <t>0Q_001UAE783770</t>
  </si>
  <si>
    <t>SELECT Amount__c, Payment_Date__c, Payment_Sub_Type__c FROM Tenancy_Payment_Schedule__c WHERE Offer_Line_Item__r.Unit_Record_Type__c = 'Live Unit' AND Opportunity__c = '{pv0}' ORDER BY Payment_Date__c ASC</t>
  </si>
  <si>
    <t>a0CTA00002cPdTu2AK</t>
  </si>
  <si>
    <t>a0CUE00002LfJPr2AN</t>
  </si>
  <si>
    <t>CMQ-0027</t>
  </si>
  <si>
    <t>Parking Payment Schedule</t>
  </si>
  <si>
    <t>0Q_002UAE783770</t>
  </si>
  <si>
    <t>SELECT Amount__c, Payment_Date__c FROM Tenancy_Payment_Schedule__c  WHERE Offer_Line_Item__r.Unit_Record_Type__c = 'Parking/ Garage' AND Opportunity__c = '{pv0}'</t>
  </si>
  <si>
    <t>a0CTA00002cPdTv2AK</t>
  </si>
  <si>
    <t>a0CUE00002LfJPs2AN</t>
  </si>
  <si>
    <t>CMQ-0028</t>
  </si>
  <si>
    <t>Offer</t>
  </si>
  <si>
    <t>0Q_003UAE783770</t>
  </si>
  <si>
    <t>SELECT Monthly_Rent_Live_Unit__c, Monthly_Rent_Parking_Garage__c, Monthly_Rent_Shed__c, Move_in_End__c, Move_in_Start__c, TotalPrice FROM Quote  WHERE Opportunity.Id = '{pv0}' AND Primary_Quote__c = True</t>
  </si>
  <si>
    <t>a0CTA00002cPdTw2AK</t>
  </si>
  <si>
    <t>a0CUE00002LfJPt2AN</t>
  </si>
  <si>
    <t>CMQ-0029</t>
  </si>
  <si>
    <t>Shed Parking Schedule</t>
  </si>
  <si>
    <t>0Q_004UAE783770</t>
  </si>
  <si>
    <t>SELECT Amount__c, Payment_Date__c FROM Tenancy_Payment_Schedule__c WHERE Offer_Line_Item__r.Unit_Record_Type__c = 'Shed' AND Opportunity__c = '{pv0}'</t>
  </si>
  <si>
    <t>a0CTA00002cPdTx2AK</t>
  </si>
  <si>
    <t>a0CUE00002LfJPu2AN</t>
  </si>
  <si>
    <t>CMQ-0030</t>
  </si>
  <si>
    <t>OCR Guarantor</t>
  </si>
  <si>
    <t>0Q_005UAE783770</t>
  </si>
  <si>
    <t>SELECT Contact.Email, Contact.MailingAddress, Contact.MailingCity, Contact.MailingCountry, Contact.MailingPostalCode, Contact.MailingState, Contact.MailingStreet, Contact.Name, Contact.Phone, Role FROM OpportunityContactRole  WHERE Tenancy__r.Id = '{pv0}' AND Role = '3 Guarantor' AND Active__c = True ORDER BY Role ASC</t>
  </si>
  <si>
    <t>a0CTA00002cPdTy2AK</t>
  </si>
  <si>
    <t>a0CUE00002LfJPv2AN</t>
  </si>
  <si>
    <t>CMQ-0031</t>
  </si>
  <si>
    <t>OCR Relevant Person</t>
  </si>
  <si>
    <t>0Q_006UAE783770</t>
  </si>
  <si>
    <t>SELECT Contact.Name, Contact.Email, Contact.Phone, Contact.MailingAddress, Contact.MailingCity, Contact.MailingCountry, Contact.MailingPostalCode, Contact.MailingState, Contact.MailingStreet, Role FROM OpportunityContactRole WHERE Tenancy__r.Id = '{pv0}' AND Role = '5 Relevant Person' AND Active__c = True ORDER BY Role ASC</t>
  </si>
  <si>
    <t>a0CTA00002cPdTz2AK</t>
  </si>
  <si>
    <t>a0CUE00002LfJPw2AN</t>
  </si>
  <si>
    <t>CMQ-0032</t>
  </si>
  <si>
    <t>OCR Permitted Occupier</t>
  </si>
  <si>
    <t>0Q_007UAE783771</t>
  </si>
  <si>
    <t>SELECT Contact.Name, Contact.Email, Contact.Phone, Contact.MailingAddress, Contact.MailingCity, Contact.MailingCountry, Contact.MailingPostalCode, Contact.MailingState, Contact.MailingStreet, Role FROM OpportunityContactRole WHERE Tenancy__r.Id = '{pv0}' AND Role = '4 Permitted Occupier' AND Active__c = True ORDER BY Role ASC</t>
  </si>
  <si>
    <t>a0CTA00002cPdU02AK</t>
  </si>
  <si>
    <t>a0CUE00002LfJPx2AN</t>
  </si>
  <si>
    <t>CMQ-0033</t>
  </si>
  <si>
    <t>OCR Tenant Offset 0</t>
  </si>
  <si>
    <t>0Q_008UAE783771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</si>
  <si>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Opportunity.Move_In_Date__c, Role FROM OpportunityContactRole  WHERE Tenancy__r.Id = '{pv0}' AND Role = '2 Tenant' AND Active__c = True ORDER BY Contact_Full_Name__c ASC LIMIT 1</t>
  </si>
  <si>
    <t>a0CTA00002cPdU12AK</t>
  </si>
  <si>
    <t>a0CUE00002LfJPy2AN</t>
  </si>
  <si>
    <t>CMQ-0034</t>
  </si>
  <si>
    <t>OCR Tenant Offset 1</t>
  </si>
  <si>
    <t>0Q_009UAE783771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</si>
  <si>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Role, Opportunity.Move_In_Date__c FROM OpportunityContactRole WHERE Tenancy__r.Id = '{pv0}' AND Role = '2 Tenant' AND Active__c = True ORDER BY Contact_Full_Name__c ASC LIMIT 1 OFFSET 1</t>
  </si>
  <si>
    <t>a0CTA00002cPdU22AK</t>
  </si>
  <si>
    <t>a0CUE00002LfJPz2AN</t>
  </si>
  <si>
    <t>CMQ-0035</t>
  </si>
  <si>
    <t>OCR Tenant Offset 2</t>
  </si>
  <si>
    <t>0Q_010UAE810610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</si>
  <si>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Opportunity.Move_In_Date__c, Role FROM OpportunityContactRole  WHERE Tenancy__r.Id = '{pv0}' AND Role = '2 Tenant' AND Active__c = True ORDER BY Contact_Full_Name__c ASC LIMIT 1 OFFSET 2</t>
  </si>
  <si>
    <t>a0CTA00002cPdU32AK</t>
  </si>
  <si>
    <t>a0CUE00002LfJQ02AN</t>
  </si>
  <si>
    <t>CMQ-0036</t>
  </si>
  <si>
    <t>Offer Line Items</t>
  </si>
  <si>
    <t>0Q_011UAE810611</t>
  </si>
  <si>
    <t>SELECT TotalPrice, Unit_Record_Type__c FROM QuoteLineItem  WHERE Opportunity__r.Id = '{pv0}' AND Unit_Record_Type__c = 'Parking/ Garage'</t>
  </si>
  <si>
    <t>a0CTA00002cPdU42AK</t>
  </si>
  <si>
    <t>a0CUE00002LfJQ12AN</t>
  </si>
  <si>
    <t>CMQ-0037</t>
  </si>
  <si>
    <t>OCRTSign</t>
  </si>
  <si>
    <t>0Q_012UAE810611</t>
  </si>
  <si>
    <t>SELECT Contact.Name, Tenancy__r.Number_of_Tenants__c FROM OpportunityContactRole  WHERE Tenancy__r.Id = '{pv0}' AND Active__c = True AND Role = '2 Tenant' ORDER BY Role ASC LIMIT 1</t>
  </si>
  <si>
    <t>a0CTA00002cPdU52AK</t>
  </si>
  <si>
    <t>a0CUE00002LfJQ22AN</t>
  </si>
  <si>
    <t>CMQ-0038</t>
  </si>
  <si>
    <t>OCR Lead Tenant (Parking)</t>
  </si>
  <si>
    <t>0Q_013UAE810611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</si>
  <si>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Parking_Garage_Licence__r.Id = '{pv0}' AND Role = '1 Lead Tenant' AND Active__c = True ORDER BY Role ASC</t>
  </si>
  <si>
    <t>a0CTA00002cPdU62AK</t>
  </si>
  <si>
    <t>a0CUE00002LfJQ32AN</t>
  </si>
  <si>
    <t>CMQ-0039</t>
  </si>
  <si>
    <t>OCR Tenant (Parking)</t>
  </si>
  <si>
    <t>0Q_014UAE810611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</si>
  <si>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Parking_Garage_Licence__r.Id = '{pv0}' AND Role = '2 Tenant' AND Active__c = True ORDER BY Role ASC</t>
  </si>
  <si>
    <t>a0CTA00002cPdU72AK</t>
  </si>
  <si>
    <t>a0CUE00002LfJQ42AN</t>
  </si>
  <si>
    <t>CMQ-0040</t>
  </si>
  <si>
    <t>OCR Tenant (Shed)</t>
  </si>
  <si>
    <t>0Q_015UAE810611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</si>
  <si>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Shed_Licence__r.Id = '{pv0}' AND Role = '2 Tenant' AND Active__c = True ORDER BY Role ASC</t>
  </si>
  <si>
    <t>a0CTA00002cPdU82AK</t>
  </si>
  <si>
    <t>a0CUE00002LfJQ52AN</t>
  </si>
  <si>
    <t>CMQ-0041</t>
  </si>
  <si>
    <t>NHA OCR Company</t>
  </si>
  <si>
    <t>0Q_016UAE810611</t>
  </si>
  <si>
    <t>SELECT Account__r.BillingAddress, Account__r.BillingCity, Account__r.BillingCountry, Account__r.BillingPostalCode, Account__r.BillingState, Account__r.BillingStreet, Account__r.PersonMailingAddress, Account__r.PersonMailingCity, Account__r.PersonMailingCountry, Account__r.PersonMailingPostalCode, Account__r.PersonMailingState, Account__r.PersonMailingStreet FROM OpportunityContactRole  WHERE Tenancy__c = '{pv0}' AND Role = '1 Lead Tenant' AND Active__c = True ORDER BY Role ASC</t>
  </si>
  <si>
    <t>a0CTA00002cPdU92AK</t>
  </si>
  <si>
    <t>a0CUE00002LfJQ62AN</t>
  </si>
  <si>
    <t>CMQ-0042</t>
  </si>
  <si>
    <t>NHA OCR Company 2</t>
  </si>
  <si>
    <t>0Q_017UAE810611</t>
  </si>
  <si>
    <t>SELECT Account.BillingAddress, Account.BillingCity, Account.BillingCountry, Account.BillingPostalCode, Account.BillingState, Account.BillingStreet, Account.Name, Account.PersonMailingAddress, Account.PersonMailingCity, Account.PersonMailingCountry, Account.PersonMailingPostalCode, Account.PersonMailingState, Account.PersonMailingStreet FROM Contract  WHERE Id = '{pv0}'</t>
  </si>
  <si>
    <t>a0CTA00002cPdUA2A0</t>
  </si>
  <si>
    <t>a0CUE00002LfJQ72AN</t>
  </si>
  <si>
    <t>CMQ-0043</t>
  </si>
  <si>
    <t>Unit for Tenancy</t>
  </si>
  <si>
    <t>0Q_018UAE810611</t>
  </si>
  <si>
    <t>SELECT Unit__r.City__c, Unit__r.Flat_No__c, Unit__r.Landlord_City__c, Unit__r.Landlord_County__c, Unit__r.Landlord_Name__c, Unit__r.Landlord_Street__c, Unit__r.Landlord_Zip_Postal_Code__c, Unit__r.Managing_Agent_City__c, Unit__r.Managing_Agent_Country__c, Unit__r.Managing_Agent_County__c, Unit__r.Managing_Agent_Name__c, Unit__r.Managing_Agent_Street__c, Unit__r.Managing_Agent_Zip_Postal_Code__c, Unit__r.Name, Unit__r.Post_Code__c, Unit__r.Street_Name__c, Unit__r.Street_No__c FROM Contract  WHERE Id = '{pv0}'</t>
  </si>
  <si>
    <t>a0CTA00002cPdUB2A0</t>
  </si>
  <si>
    <t>a0CUE00002LfJQ82AN</t>
  </si>
  <si>
    <t>CMQ-0044</t>
  </si>
  <si>
    <t>OCR Lead Tenant (Shed)</t>
  </si>
  <si>
    <t>0Q_019UAE810611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</si>
  <si>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Shed_Licence__r.Id = '{pv0}' AND Role = '1 Lead Tenant' AND Active__c = True ORDER BY Role ASC</t>
  </si>
  <si>
    <t>a0CTA00002cPdUC2A0</t>
  </si>
  <si>
    <t>a0CUE00002LfJQ92AN</t>
  </si>
  <si>
    <t>CMQ-0045</t>
  </si>
  <si>
    <t>OCR Tenant</t>
  </si>
  <si>
    <t>0Q_020UAE815352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</si>
  <si>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Opportunity.Move_In_Date__c, Role FROM OpportunityContactRole WHERE Tenancy__r.Id = '{pv0}' AND Role = '2 Tenant' AND Active__c = True ORDER BY Role ASC</t>
  </si>
  <si>
    <t>a0CTA00002cPdUD2A0</t>
  </si>
  <si>
    <t>a0CUE00002LfJQA2A3</t>
  </si>
  <si>
    <t>CMQ-0046</t>
  </si>
  <si>
    <t>Opportunity</t>
  </si>
  <si>
    <t>0Q_021UAE815352</t>
  </si>
  <si>
    <t>SELECT Advance_Paid__c, Advance_Paid_Date__c, Advance_Payment__c, Advance_Payment_Made__c, Advanced_Payment_Date__c, Apportioned_Rent__c, Apportioned_Rent_Start__c, Concession__c, First_Full_Month_Rent_Start__c, First_Month_Rent_Plus_Six_Months__c, First_Month_Rental__c, Less_Advance_Payment__c, Monthly_Price__c, Payment_Periodicity__c, PS_Doc_Select__c, Security_Deposit__c, Security_Deposit_Registered_Date__c, New_Payment_Frequency__c, Current_Payment_Frequency__c, Current_Rent__c_x000D_
FROM Opportunity WHERE Id = '{pv0}'</t>
  </si>
  <si>
    <t>SELECT Advance_Paid__c, Advance_Paid_Date__c, Advance_Payment__c, Advance_Payment_Made__c, Advanced_Payment_Date__c, Apportioned_Rent__c, Apportioned_Rent_Start__c, Concession__c, First_Full_Month_Rent_Start__c, First_Month_Rent_Plus_Six_Months__c, First_Month_Rental__c, Less_Advance_Payment__c, Monthly_Price__c, Payment_Periodicity__c, PS_Doc_Select__c, Security_Deposit__c, Security_Deposit_Registered_Date__c, New_Payment_Frequency__c, Current_Payment_Frequency__c, Current_Rent__c
FROM Opportunity WHERE Id = '{pv0}'</t>
  </si>
  <si>
    <t>a0CTA00002cPdUE2A0</t>
  </si>
  <si>
    <t>a0CUE00002LfJQB2A3</t>
  </si>
  <si>
    <t>CMQ-0047</t>
  </si>
  <si>
    <t>Tenant Names</t>
  </si>
  <si>
    <t>0Q_022UAE815352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</si>
  <si>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WHERE Tenancy__r.Id = '{pv0}' AND ( Role = '1 Lead Tenant' OR Role = '2 Tenant' ) AND Active__c = True ORDER BY Role ASC</t>
  </si>
  <si>
    <t>a0CTA00002cPdUF2A0</t>
  </si>
  <si>
    <t>a0CUE00002LfJQC2A3</t>
  </si>
  <si>
    <t>CMQ-0048</t>
  </si>
  <si>
    <t>OCR Lead Tenant</t>
  </si>
  <si>
    <t>0Q_023UAE815352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</si>
  <si>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Opportunity.Move_In_Date__c, Role FROM OpportunityContactRole WHERE Tenancy__r.Id = '{pv0}' AND Role = '1 Lead Tenant' AND Active__c = True ORDER BY Role ASC</t>
  </si>
  <si>
    <t>a0CTA00002cPdUG2A0</t>
  </si>
  <si>
    <t>APXTConga4__Conga_Merge_Query__c</t>
  </si>
  <si>
    <t>a0CUE00002N4oWg2AJ</t>
  </si>
  <si>
    <t>CMQ-0052</t>
  </si>
  <si>
    <t>Contract</t>
  </si>
  <si>
    <t>0Q_0522A4943564</t>
  </si>
  <si>
    <t>SELECT Tenancy__r.First_Rent_Increase_Since_2003__c FROM Contract WHERE Id = '{pv0}'</t>
  </si>
  <si>
    <t>GET Current Conga Merge Query</t>
  </si>
  <si>
    <t>a0CTA00002cQHBq2AO</t>
  </si>
  <si>
    <t>CMQ-0077</t>
  </si>
  <si>
    <t>a0CTA00002cQHBr2AO</t>
  </si>
  <si>
    <t>CMQ-0078</t>
  </si>
  <si>
    <t>a0CTA00002cQHBs2AO</t>
  </si>
  <si>
    <t>CMQ-0079</t>
  </si>
  <si>
    <t>a0CTA00002cQHBt2AO</t>
  </si>
  <si>
    <t>CMQ-0080</t>
  </si>
  <si>
    <t>a0CTA00002cQHBu2AO</t>
  </si>
  <si>
    <t>CMQ-0081</t>
  </si>
  <si>
    <t>a0CTA00002cQHBv2AO</t>
  </si>
  <si>
    <t>CMQ-0082</t>
  </si>
  <si>
    <t>a0CTA00002cQHBw2AO</t>
  </si>
  <si>
    <t>CMQ-0083</t>
  </si>
  <si>
    <t>a0CTA00002cQHBx2AO</t>
  </si>
  <si>
    <t>CMQ-0084</t>
  </si>
  <si>
    <t>a0CTA00002cQHBy2AO</t>
  </si>
  <si>
    <t>CMQ-0085</t>
  </si>
  <si>
    <t>a0CTA00002cQHBz2AO</t>
  </si>
  <si>
    <t>CMQ-0086</t>
  </si>
  <si>
    <t>a0CTA00002cQHC02AO</t>
  </si>
  <si>
    <t>CMQ-0087</t>
  </si>
  <si>
    <t>a0CTA00002cQHC12AO</t>
  </si>
  <si>
    <t>CMQ-0088</t>
  </si>
  <si>
    <t>a0CTA00002cQHC22AO</t>
  </si>
  <si>
    <t>CMQ-0089</t>
  </si>
  <si>
    <t>a0CTA00002cQHC32AO</t>
  </si>
  <si>
    <t>CMQ-0090</t>
  </si>
  <si>
    <t>a0CTA00002cQHC42AO</t>
  </si>
  <si>
    <t>CMQ-0091</t>
  </si>
  <si>
    <t>a0CTA00002cQHC52AO</t>
  </si>
  <si>
    <t>CMQ-0092</t>
  </si>
  <si>
    <t>a0CTA00002cQHC62AO</t>
  </si>
  <si>
    <t>CMQ-0093</t>
  </si>
  <si>
    <t>a0CTA00002cQHC72AO</t>
  </si>
  <si>
    <t>CMQ-0094</t>
  </si>
  <si>
    <t>a0CTA00002cQHC82AO</t>
  </si>
  <si>
    <t>CMQ-0095</t>
  </si>
  <si>
    <t>a0CTA00002cQHC92AO</t>
  </si>
  <si>
    <t>CMQ-0096</t>
  </si>
  <si>
    <t>a0CTA00002cQHCA2A4</t>
  </si>
  <si>
    <t>CMQ-0097</t>
  </si>
  <si>
    <t>a0CTA00002cQHCB2A4</t>
  </si>
  <si>
    <t>CMQ-0098</t>
  </si>
  <si>
    <t>a0CTA00002cQHCC2A4</t>
  </si>
  <si>
    <t>CMQ-0099</t>
  </si>
  <si>
    <t>a0CTA00002cQHCD2A4</t>
  </si>
  <si>
    <t>CMQ-0100</t>
  </si>
  <si>
    <t>a0CUE00002Miv562AB</t>
  </si>
  <si>
    <t>CMQ-0051</t>
  </si>
  <si>
    <t>test query</t>
  </si>
  <si>
    <t>0Q_0512A4215667</t>
  </si>
  <si>
    <t>a0CTA00002cQHCE2A4</t>
  </si>
  <si>
    <t>CMQ-0101</t>
  </si>
  <si>
    <t>a0CTA00002cfMC52AM</t>
  </si>
  <si>
    <t>CMQ-0102</t>
  </si>
  <si>
    <t>extract id</t>
  </si>
  <si>
    <t>match key</t>
  </si>
  <si>
    <t xml:space="preserve">lookup if from key in new table </t>
  </si>
  <si>
    <t>replace in button</t>
  </si>
  <si>
    <t>Button</t>
  </si>
  <si>
    <t>Generate Documents</t>
  </si>
  <si>
    <t>TENANCY OBJECT</t>
  </si>
  <si>
    <t>Link OR URL</t>
  </si>
  <si>
    <t>https://eu-composer.congamerge.com</t>
  </si>
  <si>
    <t>?serverUrl={!API.Partner_Server_URL_370}</t>
  </si>
  <si>
    <t>&amp;id={!Contract.Id}</t>
  </si>
  <si>
    <t>&amp;QueryID=[Unit]a0CUE00002LfJQ72AN,</t>
  </si>
  <si>
    <t>[Opp]a0CUE00002LfJQA2A3?pv0={!Contract.OpportunityId__c},</t>
  </si>
  <si>
    <t>[OCRLeadTenant]a0CUE00002LfJQC2A3,</t>
  </si>
  <si>
    <t>[OCRTenant]a0CUE00002LfJQ92AN,</t>
  </si>
  <si>
    <t>[OCRGuarantor]a0CUE00002LfJPu2AN,</t>
  </si>
  <si>
    <t>[OCRPermittedOccupier]a0CUE00002LfJPw2AN,</t>
  </si>
  <si>
    <t>[OCRRelevantPerson]a0CUE00002LfJPv2AN,</t>
  </si>
  <si>
    <t>[POCRLeadTenant]a0CUE00002LfJQ22AN,</t>
  </si>
  <si>
    <t>[POCRTenant]a0CUE00002LfJQ32AN,</t>
  </si>
  <si>
    <t>[SOCRLeadTenant]a0CUE00002LfJQ82AN,</t>
  </si>
  <si>
    <t>[SOCRTenant]a0CUE00002LfJQ42AN,</t>
  </si>
  <si>
    <t>[OLI]a0CUE00002LfJQ02AN,</t>
  </si>
  <si>
    <t>[SPC]a0CUE00002LfJPp2AN,</t>
  </si>
  <si>
    <t>[Offer]a0CUE00002LfJPs2AN?pv0={!Contract.OpportunityId__c},</t>
  </si>
  <si>
    <t>[TPS]a0CUE00002LfJPq2AN?pv0={!Contract.OpportunityId__c},</t>
  </si>
  <si>
    <t>[PPS]a0CUE00002LfJPr2AN?pv0={!Contract.OpportunityId__c},</t>
  </si>
  <si>
    <t>[SPS]a0CUE00002LfJPt2AN?pv0={!Contract.OpportunityId__c},</t>
  </si>
  <si>
    <t>[OCRTSign]a0CUE00002LfJQ12AN,</t>
  </si>
  <si>
    <t>[TO0]a0CUE00002LfJPx2AN,</t>
  </si>
  <si>
    <t>[TO1]a0CUE00002LfJPy2AN,</t>
  </si>
  <si>
    <t>[TO2]a0CUE00002LfJPz2AN,</t>
  </si>
  <si>
    <t>[Tenants]a0CUE00002LfJQB2A3,</t>
  </si>
  <si>
    <t>[NHA]a0CUE00002LfJQ62AN,</t>
  </si>
  <si>
    <t xml:space="preserve">[Tenancy]a0CUE00002N4oWg2AJ?pv0={!Contract.Id} </t>
  </si>
  <si>
    <t>&amp;ESVisible=1</t>
  </si>
  <si>
    <t>&amp;ESContractId={!Contract.Id}</t>
  </si>
  <si>
    <t>&amp;ESOpportunityId={!Contract.OpportunityId__c}</t>
  </si>
  <si>
    <t>&amp;SC0=1</t>
  </si>
  <si>
    <t>&amp;SC1=SalesforceFile</t>
  </si>
  <si>
    <t>&amp;DS7=4</t>
  </si>
  <si>
    <t>&amp;ZipFiles=0</t>
  </si>
  <si>
    <t>&amp;TemplateId={!Contract.Conga_Document_Id__c}</t>
  </si>
  <si>
    <t>&amp;ESAgreementTemplateId={!Contract.Adobe_Agreement_TemplateID__c}</t>
  </si>
  <si>
    <t>GET Current Conga Templates</t>
  </si>
  <si>
    <t>Document Id Reference</t>
  </si>
  <si>
    <t>Conga_Document_Id__c</t>
  </si>
  <si>
    <t>IF(</t>
  </si>
  <si>
    <t>INCLUDES(Document_Type__c , "AST"),</t>
  </si>
  <si>
    <t>"a0KUE00000CbQw32AF",null)&amp;"," &amp;</t>
  </si>
  <si>
    <t>INCLUDES(Document_Type__c , "Affordable"),</t>
  </si>
  <si>
    <t>"a0KUE00000CbQwE2AV",null)&amp;"," &amp;</t>
  </si>
  <si>
    <t>INCLUDES(Document_Type__c , "DMR Social"),</t>
  </si>
  <si>
    <t>"a0KUE00000CbQwF2AV",null)&amp;"," &amp;</t>
  </si>
  <si>
    <t>INCLUDES(Document_Type__c , "Occupation Contract"),</t>
  </si>
  <si>
    <t>"a0KUE00000CbQwA2AV",null)&amp;"," &amp;</t>
  </si>
  <si>
    <t>AND(</t>
  </si>
  <si>
    <t>INCLUDES(Document_Type__c , "NHA Company Let"),</t>
  </si>
  <si>
    <t>Number_of_Tenants__c &gt; 1),</t>
  </si>
  <si>
    <t>"a0KUE00000CbQvx2AF",null)&amp;"," &amp;</t>
  </si>
  <si>
    <t>Number_of_Tenants__c = 1),</t>
  </si>
  <si>
    <t>INCLUDES(Document_Type__c , "Live Work Agreement"),</t>
  </si>
  <si>
    <t>"a0KUE00000CbQw42AF",null)&amp;"," &amp;</t>
  </si>
  <si>
    <t>INCLUDES(Document_Type__c , "Parking Licence"),</t>
  </si>
  <si>
    <t>"a0KUE00000CbQw22AF",null)&amp;"," &amp;</t>
  </si>
  <si>
    <t>INCLUDES(Document_Type__c , "Parking license Oxford"),</t>
  </si>
  <si>
    <t>"a0KUE00000CbQwD2AV",null)&amp;"," &amp;</t>
  </si>
  <si>
    <t>INCLUDES(Document_Type__c , "DECANT AGREEMENT NORMAL"),</t>
  </si>
  <si>
    <t>"a0KUE00000CbQwB2AV",null)&amp;"," &amp;</t>
  </si>
  <si>
    <t>INCLUDES(Document_Type__c , "Decant Agreement Wales"),</t>
  </si>
  <si>
    <t>"a0KUE00000CbQwC2AV",null)&amp;"," &amp;</t>
  </si>
  <si>
    <t>INCLUDES(Document_Type__c , "Shed Licence"),</t>
  </si>
  <si>
    <t>"a0KUE00000CbQvw2AF",null)&amp;"," &amp;</t>
  </si>
  <si>
    <t>INCLUDES(Document_Type__c , "Occupation Licence"),</t>
  </si>
  <si>
    <t>"a0KUE00000CbQvv2AF",null)&amp;"," &amp;</t>
  </si>
  <si>
    <t>INCLUDES(Document_Type__c , "Prescribed Information"),</t>
  </si>
  <si>
    <t>"a0KUE00000CbQvu2AF",null)&amp;","&amp;</t>
  </si>
  <si>
    <t>INCLUDES(Document_Type__c , "Memo of Agreement (any change of)"),</t>
  </si>
  <si>
    <t>"a0KUE00000CbQvt2AF",null)&amp;","&amp;</t>
  </si>
  <si>
    <t>INCLUDES(Document_Type__c , "Section 13 for Post"),</t>
  </si>
  <si>
    <t>"a0KUE00000CeZ1n2AF",null)&amp;","&amp;</t>
  </si>
  <si>
    <t>INCLUDES(Document_Type__c , "RHW12"),</t>
  </si>
  <si>
    <t>"a0KUE00000CbQwG2AV",null)</t>
  </si>
  <si>
    <t>DON’T FORGET TO UPOAD EACH TEMPLATE DOCUMENT TO THE EACH CONGA RECORD AFTER THE ABOVE IS DONE</t>
  </si>
  <si>
    <t>Template:</t>
  </si>
  <si>
    <t>EXPORT SOQL QUERY:</t>
  </si>
  <si>
    <t>Upsert/ Insert:</t>
  </si>
  <si>
    <t>If Exists -&gt; Use APXTConga4__Key__c</t>
  </si>
  <si>
    <t>Else Insert</t>
  </si>
  <si>
    <t>Query:</t>
  </si>
  <si>
    <t>UAT</t>
  </si>
  <si>
    <t>a0K4J000000ou4WUAQ</t>
  </si>
  <si>
    <t>CMT-00000</t>
  </si>
  <si>
    <t>a0K4J000000ou4XUAQ</t>
  </si>
  <si>
    <t>CMT-00001</t>
  </si>
  <si>
    <t>a0K4J000000ou4YUAQ</t>
  </si>
  <si>
    <t>CMT-00002</t>
  </si>
  <si>
    <t>a0K4J000000ou4ZUAQ</t>
  </si>
  <si>
    <t>CMT-00003</t>
  </si>
  <si>
    <t>a0K4J000000ou4aUAA</t>
  </si>
  <si>
    <t>CMT-00004</t>
  </si>
  <si>
    <t>a0K4J000000ou4bUAA</t>
  </si>
  <si>
    <t>CMT-00005</t>
  </si>
  <si>
    <t>a0K4J000000ou4cUAA</t>
  </si>
  <si>
    <t>CMT-00006</t>
  </si>
  <si>
    <t>a0K4J000000ou4dUAA</t>
  </si>
  <si>
    <t>CMT-00007</t>
  </si>
  <si>
    <t>a0K4J000000ou4eUAA</t>
  </si>
  <si>
    <t>CMT-00008</t>
  </si>
  <si>
    <t>UAT -- MATCH ON Id</t>
  </si>
  <si>
    <t xml:space="preserve">Count = </t>
  </si>
  <si>
    <t>a0K4J000000ou4fUAA</t>
  </si>
  <si>
    <t>CMT-00009</t>
  </si>
  <si>
    <t>Extract Id from Button Link</t>
  </si>
  <si>
    <t>DEV -- MATCH ON Conga Key</t>
  </si>
  <si>
    <t>a0K4J000000ou4gUAA</t>
  </si>
  <si>
    <t>CMT-00010</t>
  </si>
  <si>
    <t>a0K4J000000ou4hUAA</t>
  </si>
  <si>
    <t>CMT-00011</t>
  </si>
  <si>
    <t>a0K4J000000ou4iUAA</t>
  </si>
  <si>
    <t>CMT-00012</t>
  </si>
  <si>
    <t>a0K4J000004FMXeUAO</t>
  </si>
  <si>
    <t>CMT-00013</t>
  </si>
  <si>
    <t>a0K4J000004FMXjUAO</t>
  </si>
  <si>
    <t>CMT-00014</t>
  </si>
  <si>
    <t>a0K4J000004FMXkUAO</t>
  </si>
  <si>
    <t>CMT-00016</t>
  </si>
  <si>
    <t>a0K4J000004FMXoUAO</t>
  </si>
  <si>
    <t>CMT-00015</t>
  </si>
  <si>
    <t>a0KNz000007i0oLMAQ</t>
  </si>
  <si>
    <t>CMT-00017</t>
  </si>
  <si>
    <t>a0KPv0000097wN5MAI</t>
  </si>
  <si>
    <t>a0KPv0000097wenMAA</t>
  </si>
  <si>
    <t>CMT-00018</t>
  </si>
  <si>
    <t>a0KPv00000BJilNMAT</t>
  </si>
  <si>
    <t>a0KPv00000DMExkMAH</t>
  </si>
  <si>
    <t>a0KPv00000DMO2bMAH</t>
  </si>
  <si>
    <t>a0KPv00000DrEzqMAF</t>
  </si>
  <si>
    <t>QUERY</t>
  </si>
  <si>
    <t>SELECT Id, name, APXTConga4__Key__c, APXTConga4__Name__c</t>
  </si>
  <si>
    <t xml:space="preserve">FROM APXTConga4__Conga_Template__c </t>
  </si>
  <si>
    <t>DEV</t>
  </si>
  <si>
    <t>Dev UPDATED Conga Document Id Field</t>
  </si>
  <si>
    <t>Dev ORIGINAL Conga Document Id Field</t>
  </si>
  <si>
    <t>UAT Conga Document Id Field</t>
  </si>
  <si>
    <t>Dev -- MATCH ON Conga Key</t>
  </si>
  <si>
    <t>a0K4J000000ou4gUAA,null)&amp;"," &amp;</t>
  </si>
  <si>
    <t>"a0K4J000000ou4gUAA",null)&amp;"," &amp;</t>
  </si>
  <si>
    <t>a0KPv00000DMExkMAH,null)&amp;"," &amp;</t>
  </si>
  <si>
    <t>"a0KPv00000DMExkMAH",null)&amp;"," &amp;</t>
  </si>
  <si>
    <t>a0KPv00000DMO2bMAH,null)&amp;"," &amp;</t>
  </si>
  <si>
    <t>"a0KPv00000DMO2bMAH",null)&amp;"," &amp;</t>
  </si>
  <si>
    <t>a0KNz000007i0oLMAQ,null)&amp;"," &amp;</t>
  </si>
  <si>
    <t>"a0KNz000007i0oLMAQ",null)&amp;"," &amp;</t>
  </si>
  <si>
    <t xml:space="preserve">INCLUDES(Document_Type__c , "NHA Company Let"), </t>
  </si>
  <si>
    <t>Number_of_Tenants__c  &gt;  1),</t>
  </si>
  <si>
    <t>a0K4J000000ou4iUAA,null)&amp;"," &amp;</t>
  </si>
  <si>
    <t>"a0K4J000000ou4iUAA",null)&amp;"," &amp;</t>
  </si>
  <si>
    <t>a0K4J000000ou4aUAA,null)&amp;"," &amp;</t>
  </si>
  <si>
    <t>"a0K4J000000ou4aUAA",null)&amp;"," &amp;</t>
  </si>
  <si>
    <t>a0K4J000000ou4hUAA,null)&amp;"," &amp;</t>
  </si>
  <si>
    <t>"a0K4J000000ou4hUAA",null)&amp;"," &amp;</t>
  </si>
  <si>
    <t>a0K4J000000ou4fUAA,null)&amp;"," &amp;</t>
  </si>
  <si>
    <t>"a0K4J000000ou4fUAA",null)&amp;"," &amp;</t>
  </si>
  <si>
    <t>NEW DEV DOCUMENTS</t>
  </si>
  <si>
    <t>a0KPv00000BJilNMAT,null)&amp;"," &amp;</t>
  </si>
  <si>
    <t>"a0KPv00000BJilNMAT",null)&amp;"," &amp;</t>
  </si>
  <si>
    <t>a0KPv0000097wN5MAI,null)&amp;"," &amp;</t>
  </si>
  <si>
    <t>"a0KPv0000097wN5MAI",null)&amp;"," &amp;</t>
  </si>
  <si>
    <t>a0KPv0000097wenMAA,null)&amp;"," &amp;</t>
  </si>
  <si>
    <t>"a0KPv0000097wenMAA",null)&amp;"," &amp;</t>
  </si>
  <si>
    <t>a0K4J000000ou4ZUAQ,null)&amp;"," &amp;</t>
  </si>
  <si>
    <t>"a0K4J000000ou4ZUAQ",null)&amp;"," &amp;</t>
  </si>
  <si>
    <t>a0K4J000000ou4YUAQ,null)&amp;"," &amp;</t>
  </si>
  <si>
    <t>"a0K4J000000ou4YUAQ",null)&amp;"," &amp;</t>
  </si>
  <si>
    <t>a0K4J000000ou4XUAQ,null)&amp;","&amp;</t>
  </si>
  <si>
    <t>"a0K4J000000ou4XUAQ",null)&amp;","&amp;</t>
  </si>
  <si>
    <t>a0K4J000000ou4WUAQ,null)</t>
  </si>
  <si>
    <t>"a0K4J000000ou4WUAQ",null)&amp;","&amp;</t>
  </si>
  <si>
    <t>"xxxxxxxxxxxxxxxxxx",null)&amp;","&amp;</t>
  </si>
  <si>
    <t>"xxxxxxxxxxxxxxxxxx",null)</t>
  </si>
  <si>
    <t>a0C4J000000kfioUAA</t>
  </si>
  <si>
    <t>CMQ-0000</t>
  </si>
  <si>
    <t>UAT Button</t>
  </si>
  <si>
    <t>a0C4J000000kfipUAA</t>
  </si>
  <si>
    <t>CMQ-0001</t>
  </si>
  <si>
    <t>Label</t>
  </si>
  <si>
    <t>Object Name</t>
  </si>
  <si>
    <t>a0C4J000000kfiqUAA</t>
  </si>
  <si>
    <t>CMQ-0002</t>
  </si>
  <si>
    <t>Generate_Documents</t>
  </si>
  <si>
    <t>Link Encoding</t>
  </si>
  <si>
    <t>Unicode (UTF-8)</t>
  </si>
  <si>
    <t>Dev Generate Documents Button</t>
  </si>
  <si>
    <t>a0C4J000000kfirUAA</t>
  </si>
  <si>
    <t>CMQ-0003</t>
  </si>
  <si>
    <t>Behavior</t>
  </si>
  <si>
    <t>Display in existing window with sidebar</t>
  </si>
  <si>
    <t>Display Type</t>
  </si>
  <si>
    <t>Detail Page Button</t>
  </si>
  <si>
    <t>Reconstruct button link</t>
  </si>
  <si>
    <t>Dev ORIGINAL Generate Documents Button</t>
  </si>
  <si>
    <t>Validation of Id Mapping from original Link to recalculated Id Using Template Name</t>
  </si>
  <si>
    <t>a0C4J000000kfisUAA</t>
  </si>
  <si>
    <t>CMQ-0004</t>
  </si>
  <si>
    <t>Button or Link URL</t>
  </si>
  <si>
    <t>a0C4J000000kfitUAA</t>
  </si>
  <si>
    <t>CMQ-0005</t>
  </si>
  <si>
    <t>a0C4J000000kfiuUAA</t>
  </si>
  <si>
    <t>CMQ-0006</t>
  </si>
  <si>
    <t>a0C4J000000kfivUAA</t>
  </si>
  <si>
    <t>CMQ-0007</t>
  </si>
  <si>
    <t>&amp;QueryID=[Unit]a0C4J000000kfj6UAA,</t>
  </si>
  <si>
    <t>a0C4J000000kfiwUAA</t>
  </si>
  <si>
    <t>CMQ-0008</t>
  </si>
  <si>
    <t>[Opp]a0C4J000000kfj9UAA?pv0={!Contract.OpportunityId__c},</t>
  </si>
  <si>
    <t>a0C4J000000kfixUAA</t>
  </si>
  <si>
    <t>CMQ-0009</t>
  </si>
  <si>
    <t>[OCRLeadTenant]a0C4J000000kfjBUAQ,</t>
  </si>
  <si>
    <t>a0C4J000000kfiyUAA</t>
  </si>
  <si>
    <t>CMQ-0010</t>
  </si>
  <si>
    <t>[OCRTenant]a0C4J000000kfj8UAA,</t>
  </si>
  <si>
    <t>a0C4J000000kfizUAA</t>
  </si>
  <si>
    <t>CMQ-0011</t>
  </si>
  <si>
    <t>[OCRGuarantor]a0C4J000000kfitUAA,</t>
  </si>
  <si>
    <t>a0C4J000000kfj0UAA</t>
  </si>
  <si>
    <t>CMQ-0012</t>
  </si>
  <si>
    <t>[OCRPermittedOccupier]a0C4J000000kfivUAA,</t>
  </si>
  <si>
    <t>a0C4J000000kfj1UAA</t>
  </si>
  <si>
    <t>CMQ-0013</t>
  </si>
  <si>
    <t>[OCRRelevantPerson]a0C4J000000kfiuUAA,</t>
  </si>
  <si>
    <t>a0C4J000000kfj2UAA</t>
  </si>
  <si>
    <t>CMQ-0014</t>
  </si>
  <si>
    <t>[POCRLeadTenant]a0C4J000000kfj1UAA,</t>
  </si>
  <si>
    <t>a0C4J000000kfj3UAA</t>
  </si>
  <si>
    <t>CMQ-0015</t>
  </si>
  <si>
    <t>[POCRTenant]a0C4J000000kfj2UAA,</t>
  </si>
  <si>
    <t>a0C4J000000kfj4UAA</t>
  </si>
  <si>
    <t>CMQ-0016</t>
  </si>
  <si>
    <t>[SOCRLeadTenant]a0C4J000000kfj7UAA,</t>
  </si>
  <si>
    <t>a0C4J000000kfj5UAA</t>
  </si>
  <si>
    <t>CMQ-0017</t>
  </si>
  <si>
    <t>[SOCRTenant]a0C4J000000kfj3UAA,</t>
  </si>
  <si>
    <t>a0C4J000000kfj6UAA</t>
  </si>
  <si>
    <t>CMQ-0018</t>
  </si>
  <si>
    <t>[OLI]a0C4J000000kfizUAA,</t>
  </si>
  <si>
    <t>a0C4J000000kfj7UAA</t>
  </si>
  <si>
    <t>CMQ-0019</t>
  </si>
  <si>
    <t>[SPC]a0C4J000000kfioUAA,</t>
  </si>
  <si>
    <t>a0C4J000000kfj8UAA</t>
  </si>
  <si>
    <t>CMQ-0020</t>
  </si>
  <si>
    <t>[Offer]a0C4J000000kfirUAA?pv0={!Contract.OpportunityId__c},</t>
  </si>
  <si>
    <t>a0C4J000000kfj9UAA</t>
  </si>
  <si>
    <t>CMQ-0021</t>
  </si>
  <si>
    <t>[TPS]a0C4J000000kfipUAA?pv0={!Contract.OpportunityId__c},</t>
  </si>
  <si>
    <t>a0C4J000000kfjAUAQ</t>
  </si>
  <si>
    <t>CMQ-0022</t>
  </si>
  <si>
    <t>[PPS]a0C4J000000kfiqUAA?pv0={!Contract.OpportunityId__c},</t>
  </si>
  <si>
    <t>a0C4J000000kfjBUAQ</t>
  </si>
  <si>
    <t>CMQ-0023</t>
  </si>
  <si>
    <t>[SPS]a0C4J000000kfisUAA?pv0={!Contract.OpportunityId__c},</t>
  </si>
  <si>
    <t>[OCRTSign]a0C4J000000kfj0UAA,</t>
  </si>
  <si>
    <t>[TO0]a0C4J000000kfiwUAA,</t>
  </si>
  <si>
    <t>[TO1]a0C4J000000kfixUAA,</t>
  </si>
  <si>
    <t>[TO2]a0C4J000000kfiyUAA,</t>
  </si>
  <si>
    <t>[Tenants]a0C4J000000kfjAUAQ,</t>
  </si>
  <si>
    <t>[NHA]a0C4J000000kfj5UAA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</si>
</sst>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0"/>
      <color theme="1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6"/>
      <color theme="1"/>
      <name val="Verdana"/>
      <family val="2"/>
    </font>
    <font>
      <sz val="20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7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" fillId="0" borderId="13" xfId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1" fillId="0" borderId="1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6" xfId="0" applyFont="1" applyBorder="1"/>
    <xf numFmtId="0" fontId="1" fillId="3" borderId="1" xfId="0" applyFont="1" applyFill="1" applyBorder="1"/>
    <xf numFmtId="0" fontId="0" fillId="0" borderId="16" xfId="0" applyBorder="1"/>
    <xf numFmtId="0" fontId="0" fillId="0" borderId="15" xfId="0" applyBorder="1"/>
    <xf numFmtId="0" fontId="0" fillId="5" borderId="0" xfId="0" applyFill="1" applyAlignment="1">
      <alignment vertical="center" wrapText="1"/>
    </xf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0" borderId="17" xfId="0" applyFont="1" applyBorder="1"/>
    <xf numFmtId="0" fontId="3" fillId="0" borderId="0" xfId="0" applyFont="1"/>
    <xf numFmtId="0" fontId="4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0" fillId="0" borderId="0" xfId="0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0" fillId="5" borderId="0" xfId="0" applyFill="1"/>
    <xf numFmtId="0" fontId="0" fillId="5" borderId="12" xfId="0" applyFill="1" applyBorder="1"/>
    <xf numFmtId="0" fontId="1" fillId="5" borderId="4" xfId="0" applyFont="1" applyFill="1" applyBorder="1"/>
    <xf numFmtId="0" fontId="0" fillId="5" borderId="4" xfId="0" applyFill="1" applyBorder="1"/>
    <xf numFmtId="0" fontId="0" fillId="5" borderId="13" xfId="0" applyFill="1" applyBorder="1"/>
    <xf numFmtId="0" fontId="0" fillId="5" borderId="7" xfId="0" applyFill="1" applyBorder="1"/>
    <xf numFmtId="0" fontId="0" fillId="5" borderId="0" xfId="0" applyFill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0" fillId="5" borderId="22" xfId="0" applyFill="1" applyBorder="1"/>
    <xf numFmtId="0" fontId="0" fillId="5" borderId="9" xfId="0" applyFill="1" applyBorder="1"/>
    <xf numFmtId="0" fontId="0" fillId="5" borderId="27" xfId="0" applyFill="1" applyBorder="1"/>
    <xf numFmtId="0" fontId="0" fillId="5" borderId="10" xfId="0" applyFill="1" applyBorder="1"/>
    <xf numFmtId="0" fontId="0" fillId="8" borderId="0" xfId="0" applyFill="1"/>
    <xf numFmtId="0" fontId="1" fillId="8" borderId="25" xfId="0" applyFont="1" applyFill="1" applyBorder="1" applyAlignment="1">
      <alignment horizontal="center" vertical="center"/>
    </xf>
    <xf numFmtId="0" fontId="0" fillId="8" borderId="25" xfId="0" applyFill="1" applyBorder="1" applyAlignment="1">
      <alignment vertical="center" wrapText="1"/>
    </xf>
    <xf numFmtId="0" fontId="0" fillId="8" borderId="12" xfId="0" applyFill="1" applyBorder="1"/>
    <xf numFmtId="0" fontId="0" fillId="8" borderId="2" xfId="0" applyFill="1" applyBorder="1"/>
    <xf numFmtId="0" fontId="0" fillId="8" borderId="24" xfId="0" applyFill="1" applyBorder="1"/>
    <xf numFmtId="0" fontId="0" fillId="8" borderId="18" xfId="0" applyFill="1" applyBorder="1"/>
    <xf numFmtId="0" fontId="1" fillId="8" borderId="18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9" xfId="0" applyFill="1" applyBorder="1"/>
    <xf numFmtId="0" fontId="0" fillId="8" borderId="27" xfId="0" applyFill="1" applyBorder="1"/>
    <xf numFmtId="0" fontId="0" fillId="8" borderId="28" xfId="0" applyFill="1" applyBorder="1"/>
    <xf numFmtId="0" fontId="5" fillId="8" borderId="0" xfId="0" applyFont="1" applyFill="1"/>
    <xf numFmtId="0" fontId="5" fillId="5" borderId="0" xfId="0" applyFont="1" applyFill="1"/>
    <xf numFmtId="0" fontId="0" fillId="8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8" borderId="4" xfId="0" applyFont="1" applyFill="1" applyBorder="1" applyAlignment="1">
      <alignment horizontal="center" vertical="center"/>
    </xf>
    <xf numFmtId="0" fontId="0" fillId="8" borderId="29" xfId="0" applyFill="1" applyBorder="1" applyAlignment="1">
      <alignment vertical="center" wrapText="1"/>
    </xf>
    <xf numFmtId="0" fontId="0" fillId="8" borderId="9" xfId="0" applyFill="1" applyBorder="1" applyAlignment="1">
      <alignment wrapText="1"/>
    </xf>
    <xf numFmtId="0" fontId="0" fillId="0" borderId="0" xfId="0" applyAlignment="1">
      <alignment wrapText="1"/>
    </xf>
    <xf numFmtId="0" fontId="1" fillId="8" borderId="3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5" borderId="12" xfId="0" applyFont="1" applyFill="1" applyBorder="1"/>
    <xf numFmtId="0" fontId="0" fillId="8" borderId="12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5" borderId="33" xfId="0" applyFont="1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8" borderId="17" xfId="0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0" xfId="0" applyFill="1" applyAlignment="1">
      <alignment horizontal="center"/>
    </xf>
    <xf numFmtId="0" fontId="0" fillId="5" borderId="6" xfId="0" applyFill="1" applyBorder="1"/>
    <xf numFmtId="0" fontId="1" fillId="5" borderId="17" xfId="0" applyFont="1" applyFill="1" applyBorder="1"/>
    <xf numFmtId="0" fontId="0" fillId="5" borderId="8" xfId="0" applyFill="1" applyBorder="1"/>
    <xf numFmtId="0" fontId="0" fillId="8" borderId="9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0" xfId="0" applyFill="1" applyAlignment="1">
      <alignment horizontal="center" wrapText="1"/>
    </xf>
    <xf numFmtId="0" fontId="0" fillId="8" borderId="9" xfId="0" applyFill="1" applyBorder="1" applyAlignment="1">
      <alignment horizont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33" xfId="0" applyFont="1" applyFill="1" applyBorder="1" applyAlignment="1">
      <alignment horizontal="center" vertical="center" wrapText="1"/>
    </xf>
    <xf numFmtId="0" fontId="1" fillId="8" borderId="32" xfId="0" applyFont="1" applyFill="1" applyBorder="1" applyAlignment="1">
      <alignment horizontal="center" vertical="center" wrapText="1"/>
    </xf>
    <xf numFmtId="0" fontId="1" fillId="8" borderId="35" xfId="0" applyFont="1" applyFill="1" applyBorder="1" applyAlignment="1">
      <alignment horizontal="center" vertical="center" wrapText="1"/>
    </xf>
    <xf numFmtId="0" fontId="1" fillId="5" borderId="3" xfId="0" applyFont="1" applyFill="1" applyBorder="1"/>
    <xf numFmtId="0" fontId="1" fillId="5" borderId="33" xfId="0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35" xfId="0" applyFont="1" applyFill="1" applyBorder="1" applyAlignment="1">
      <alignment horizontal="center" vertical="center" wrapText="1"/>
    </xf>
    <xf numFmtId="0" fontId="0" fillId="8" borderId="29" xfId="0" applyFill="1" applyBorder="1" applyAlignment="1">
      <alignment vertical="center"/>
    </xf>
    <xf numFmtId="0" fontId="0" fillId="5" borderId="29" xfId="0" applyFill="1" applyBorder="1"/>
    <xf numFmtId="0" fontId="0" fillId="8" borderId="25" xfId="0" applyFill="1" applyBorder="1" applyAlignment="1">
      <alignment vertical="center"/>
    </xf>
    <xf numFmtId="0" fontId="0" fillId="0" borderId="11" xfId="0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8" fillId="2" borderId="17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0" fillId="5" borderId="0" xfId="0" applyFill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javascript:srcUp(%27%2Fp%2Fsetup%2Flink%2FActionButtonLinkList%3FpageName%3DContract%26type%3DContract%26isdtp%3Dp1%27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C554-F11C-4130-A4A3-5BB2A2728758}">
  <dimension ref="A1:W238"/>
  <sheetViews>
    <sheetView tabSelected="1" topLeftCell="A150" zoomScale="70" zoomScaleNormal="70" workbookViewId="0">
      <selection activeCell="L182" sqref="L182:P182"/>
    </sheetView>
  </sheetViews>
  <sheetFormatPr defaultRowHeight="12.75" x14ac:dyDescent="0.2"/>
  <cols>
    <col min="1" max="1" width="26.375" customWidth="1"/>
    <col min="2" max="2" width="17.375" customWidth="1"/>
    <col min="3" max="3" width="9.375" customWidth="1"/>
    <col min="4" max="4" width="23.875" customWidth="1"/>
    <col min="5" max="5" width="10.375" bestFit="1" customWidth="1"/>
    <col min="6" max="6" width="28.5" bestFit="1" customWidth="1"/>
    <col min="7" max="7" width="16.875" bestFit="1" customWidth="1"/>
    <col min="8" max="8" width="28.75" bestFit="1" customWidth="1"/>
    <col min="9" max="9" width="15" customWidth="1"/>
    <col min="10" max="10" width="16.125" bestFit="1" customWidth="1"/>
    <col min="11" max="11" width="12.375" customWidth="1"/>
    <col min="13" max="13" width="22.125" customWidth="1"/>
    <col min="14" max="14" width="23.75" customWidth="1"/>
    <col min="15" max="15" width="14.75" customWidth="1"/>
    <col min="16" max="16" width="28.5" bestFit="1" customWidth="1"/>
    <col min="17" max="17" width="16.875" bestFit="1" customWidth="1"/>
    <col min="18" max="18" width="27.25" customWidth="1"/>
    <col min="19" max="19" width="14.625" bestFit="1" customWidth="1"/>
    <col min="20" max="20" width="27.375" customWidth="1"/>
    <col min="21" max="21" width="20" bestFit="1" customWidth="1"/>
    <col min="22" max="22" width="8.25" bestFit="1" customWidth="1"/>
    <col min="23" max="23" width="12.875" customWidth="1"/>
  </cols>
  <sheetData>
    <row r="1" spans="1:23" ht="45" customHeight="1" x14ac:dyDescent="0.3">
      <c r="B1" s="83" t="s">
        <v>0</v>
      </c>
      <c r="K1" s="84" t="s">
        <v>1</v>
      </c>
    </row>
    <row r="2" spans="1:23" ht="13.5" thickBot="1" x14ac:dyDescent="0.25">
      <c r="B2" s="68"/>
      <c r="K2" s="53"/>
    </row>
    <row r="3" spans="1:23" ht="48.75" customHeight="1" thickBot="1" x14ac:dyDescent="0.25">
      <c r="A3" s="92" t="s">
        <v>2</v>
      </c>
      <c r="B3" s="69" t="s">
        <v>3</v>
      </c>
      <c r="C3" s="70" t="s">
        <v>4</v>
      </c>
      <c r="D3" s="71"/>
      <c r="E3" s="71"/>
      <c r="F3" s="71"/>
      <c r="G3" s="71"/>
      <c r="H3" s="71"/>
      <c r="I3" s="71"/>
      <c r="J3" s="18"/>
      <c r="K3" s="54"/>
      <c r="L3" s="55" t="s">
        <v>5</v>
      </c>
      <c r="M3" s="56" t="s">
        <v>6</v>
      </c>
      <c r="N3" s="54"/>
      <c r="O3" s="54"/>
      <c r="P3" s="54"/>
      <c r="Q3" s="54"/>
      <c r="R3" s="54"/>
      <c r="S3" s="54"/>
      <c r="T3" s="54"/>
      <c r="U3" s="54"/>
      <c r="V3" s="54"/>
      <c r="W3" s="57"/>
    </row>
    <row r="4" spans="1:23" x14ac:dyDescent="0.2">
      <c r="A4" s="1"/>
      <c r="B4" s="68"/>
      <c r="C4" s="68"/>
      <c r="D4" s="68"/>
      <c r="E4" s="68"/>
      <c r="F4" s="68"/>
      <c r="G4" s="68"/>
      <c r="H4" s="68"/>
      <c r="I4" s="68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8"/>
    </row>
    <row r="5" spans="1:23" x14ac:dyDescent="0.2">
      <c r="A5" s="1"/>
      <c r="B5" s="68"/>
      <c r="C5" s="68"/>
      <c r="D5" s="68"/>
      <c r="E5" s="68"/>
      <c r="F5" s="68"/>
      <c r="G5" s="68"/>
      <c r="H5" s="68"/>
      <c r="I5" s="68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8"/>
    </row>
    <row r="6" spans="1:23" ht="13.5" customHeight="1" x14ac:dyDescent="0.2">
      <c r="A6" s="1"/>
      <c r="B6" s="68"/>
      <c r="C6" s="68"/>
      <c r="D6" s="72" t="s">
        <v>7</v>
      </c>
      <c r="E6" s="73"/>
      <c r="F6" s="68"/>
      <c r="G6" s="74" t="s">
        <v>8</v>
      </c>
      <c r="H6" s="68"/>
      <c r="I6" s="68"/>
      <c r="K6" s="53"/>
      <c r="L6" s="53"/>
      <c r="M6" s="59"/>
      <c r="N6" s="59"/>
      <c r="O6" s="59"/>
      <c r="P6" s="59"/>
      <c r="Q6" s="59"/>
      <c r="R6" s="59"/>
      <c r="S6" s="59"/>
      <c r="T6" s="59"/>
      <c r="U6" s="59"/>
      <c r="V6" s="59"/>
      <c r="W6" s="58"/>
    </row>
    <row r="7" spans="1:23" ht="50.25" customHeight="1" x14ac:dyDescent="0.2">
      <c r="A7" s="1"/>
      <c r="B7" s="75" t="s">
        <v>9</v>
      </c>
      <c r="C7" s="76" t="s">
        <v>10</v>
      </c>
      <c r="D7" s="76" t="s">
        <v>11</v>
      </c>
      <c r="E7" s="76" t="s">
        <v>12</v>
      </c>
      <c r="F7" s="76" t="s">
        <v>13</v>
      </c>
      <c r="G7" s="76" t="s">
        <v>14</v>
      </c>
      <c r="H7" s="76" t="s">
        <v>15</v>
      </c>
      <c r="I7" s="77" t="s">
        <v>16</v>
      </c>
      <c r="J7" s="51"/>
      <c r="K7" s="59"/>
      <c r="L7" s="60" t="s">
        <v>17</v>
      </c>
      <c r="M7" s="61" t="s">
        <v>10</v>
      </c>
      <c r="N7" s="62" t="s">
        <v>18</v>
      </c>
      <c r="O7" s="62" t="s">
        <v>19</v>
      </c>
      <c r="P7" s="62" t="s">
        <v>13</v>
      </c>
      <c r="Q7" s="62" t="s">
        <v>14</v>
      </c>
      <c r="R7" s="62" t="s">
        <v>15</v>
      </c>
      <c r="S7" s="62" t="s">
        <v>16</v>
      </c>
      <c r="T7" s="62" t="s">
        <v>20</v>
      </c>
      <c r="U7" s="62" t="s">
        <v>21</v>
      </c>
      <c r="V7" s="62" t="s">
        <v>22</v>
      </c>
      <c r="W7" s="63" t="s">
        <v>23</v>
      </c>
    </row>
    <row r="8" spans="1:23" x14ac:dyDescent="0.2">
      <c r="A8" s="1"/>
      <c r="B8" s="68"/>
      <c r="C8" s="78" t="s">
        <v>24</v>
      </c>
      <c r="D8" s="68" t="s">
        <v>25</v>
      </c>
      <c r="E8" s="68" t="s">
        <v>26</v>
      </c>
      <c r="F8" s="68" t="s">
        <v>27</v>
      </c>
      <c r="G8" s="68" t="s">
        <v>28</v>
      </c>
      <c r="H8" s="68" t="b">
        <v>0</v>
      </c>
      <c r="I8" s="79" t="s">
        <v>29</v>
      </c>
      <c r="K8" s="53"/>
      <c r="L8" s="53"/>
      <c r="M8" s="64" t="s">
        <v>24</v>
      </c>
      <c r="N8" s="53" t="s">
        <v>25</v>
      </c>
      <c r="O8" s="53" t="s">
        <v>26</v>
      </c>
      <c r="P8" s="53" t="s">
        <v>27</v>
      </c>
      <c r="Q8" s="53" t="s">
        <v>28</v>
      </c>
      <c r="R8" s="53" t="b">
        <v>0</v>
      </c>
      <c r="S8" s="53" t="s">
        <v>29</v>
      </c>
      <c r="T8" s="53" t="s">
        <v>30</v>
      </c>
      <c r="U8" s="53" t="s">
        <v>31</v>
      </c>
      <c r="V8" s="53" t="s">
        <v>32</v>
      </c>
      <c r="W8" s="58"/>
    </row>
    <row r="9" spans="1:23" x14ac:dyDescent="0.2">
      <c r="A9" s="1"/>
      <c r="B9" s="68"/>
      <c r="C9" s="78" t="s">
        <v>24</v>
      </c>
      <c r="D9" s="68" t="s">
        <v>33</v>
      </c>
      <c r="E9" s="68" t="s">
        <v>34</v>
      </c>
      <c r="F9" s="68" t="s">
        <v>35</v>
      </c>
      <c r="G9" s="68" t="s">
        <v>36</v>
      </c>
      <c r="H9" s="68" t="b">
        <v>0</v>
      </c>
      <c r="I9" s="79" t="s">
        <v>29</v>
      </c>
      <c r="K9" s="53"/>
      <c r="L9" s="53"/>
      <c r="M9" s="64" t="s">
        <v>24</v>
      </c>
      <c r="N9" s="53" t="s">
        <v>33</v>
      </c>
      <c r="O9" s="53" t="s">
        <v>34</v>
      </c>
      <c r="P9" s="53" t="s">
        <v>35</v>
      </c>
      <c r="Q9" s="53" t="s">
        <v>36</v>
      </c>
      <c r="R9" s="53" t="b">
        <v>0</v>
      </c>
      <c r="S9" s="53" t="s">
        <v>29</v>
      </c>
      <c r="T9" s="53" t="s">
        <v>30</v>
      </c>
      <c r="U9" s="53" t="s">
        <v>37</v>
      </c>
      <c r="V9" s="53" t="s">
        <v>32</v>
      </c>
      <c r="W9" s="58"/>
    </row>
    <row r="10" spans="1:23" x14ac:dyDescent="0.2">
      <c r="A10" s="1"/>
      <c r="B10" s="68"/>
      <c r="C10" s="78" t="s">
        <v>24</v>
      </c>
      <c r="D10" s="68" t="s">
        <v>38</v>
      </c>
      <c r="E10" s="68" t="s">
        <v>39</v>
      </c>
      <c r="F10" s="68" t="s">
        <v>40</v>
      </c>
      <c r="G10" s="68" t="s">
        <v>41</v>
      </c>
      <c r="H10" s="68" t="b">
        <v>0</v>
      </c>
      <c r="I10" s="79" t="s">
        <v>29</v>
      </c>
      <c r="K10" s="53"/>
      <c r="L10" s="53"/>
      <c r="M10" s="64" t="s">
        <v>24</v>
      </c>
      <c r="N10" s="53" t="s">
        <v>38</v>
      </c>
      <c r="O10" s="53" t="s">
        <v>39</v>
      </c>
      <c r="P10" s="53" t="s">
        <v>40</v>
      </c>
      <c r="Q10" s="53" t="s">
        <v>41</v>
      </c>
      <c r="R10" s="53" t="b">
        <v>0</v>
      </c>
      <c r="S10" s="53" t="s">
        <v>29</v>
      </c>
      <c r="T10" s="53" t="s">
        <v>30</v>
      </c>
      <c r="U10" s="53" t="s">
        <v>42</v>
      </c>
      <c r="V10" s="53" t="s">
        <v>32</v>
      </c>
      <c r="W10" s="58"/>
    </row>
    <row r="11" spans="1:23" x14ac:dyDescent="0.2">
      <c r="A11" s="1"/>
      <c r="B11" s="68"/>
      <c r="C11" s="78" t="s">
        <v>24</v>
      </c>
      <c r="D11" s="68" t="s">
        <v>43</v>
      </c>
      <c r="E11" s="68" t="s">
        <v>44</v>
      </c>
      <c r="F11" s="68" t="s">
        <v>45</v>
      </c>
      <c r="G11" s="68" t="s">
        <v>46</v>
      </c>
      <c r="H11" s="68" t="b">
        <v>0</v>
      </c>
      <c r="I11" s="79" t="s">
        <v>29</v>
      </c>
      <c r="K11" s="53"/>
      <c r="L11" s="53"/>
      <c r="M11" s="64" t="s">
        <v>24</v>
      </c>
      <c r="N11" s="53" t="s">
        <v>43</v>
      </c>
      <c r="O11" s="53" t="s">
        <v>44</v>
      </c>
      <c r="P11" s="53" t="s">
        <v>45</v>
      </c>
      <c r="Q11" s="53" t="s">
        <v>46</v>
      </c>
      <c r="R11" s="53" t="b">
        <v>0</v>
      </c>
      <c r="S11" s="53" t="s">
        <v>29</v>
      </c>
      <c r="T11" s="53" t="s">
        <v>30</v>
      </c>
      <c r="U11" s="53" t="s">
        <v>47</v>
      </c>
      <c r="V11" s="53" t="s">
        <v>32</v>
      </c>
      <c r="W11" s="58"/>
    </row>
    <row r="12" spans="1:23" x14ac:dyDescent="0.2">
      <c r="A12" s="1"/>
      <c r="B12" s="68"/>
      <c r="C12" s="78" t="s">
        <v>24</v>
      </c>
      <c r="D12" s="68" t="s">
        <v>48</v>
      </c>
      <c r="E12" s="68" t="s">
        <v>49</v>
      </c>
      <c r="F12" s="68" t="s">
        <v>50</v>
      </c>
      <c r="G12" s="68" t="s">
        <v>51</v>
      </c>
      <c r="H12" s="68" t="b">
        <v>0</v>
      </c>
      <c r="I12" s="79" t="s">
        <v>29</v>
      </c>
      <c r="K12" s="53"/>
      <c r="L12" s="53"/>
      <c r="M12" s="64" t="s">
        <v>24</v>
      </c>
      <c r="N12" s="53" t="s">
        <v>48</v>
      </c>
      <c r="O12" s="53" t="s">
        <v>49</v>
      </c>
      <c r="P12" s="53" t="s">
        <v>50</v>
      </c>
      <c r="Q12" s="53" t="s">
        <v>51</v>
      </c>
      <c r="R12" s="53" t="b">
        <v>0</v>
      </c>
      <c r="S12" s="53" t="s">
        <v>29</v>
      </c>
      <c r="T12" s="53" t="s">
        <v>30</v>
      </c>
      <c r="U12" s="53" t="s">
        <v>52</v>
      </c>
      <c r="V12" s="53" t="s">
        <v>32</v>
      </c>
      <c r="W12" s="58"/>
    </row>
    <row r="13" spans="1:23" x14ac:dyDescent="0.2">
      <c r="A13" s="1"/>
      <c r="B13" s="68"/>
      <c r="C13" s="78" t="s">
        <v>24</v>
      </c>
      <c r="D13" s="68" t="s">
        <v>53</v>
      </c>
      <c r="E13" s="68" t="s">
        <v>54</v>
      </c>
      <c r="F13" s="68" t="s">
        <v>55</v>
      </c>
      <c r="G13" s="68" t="s">
        <v>56</v>
      </c>
      <c r="H13" s="68" t="b">
        <v>0</v>
      </c>
      <c r="I13" s="79" t="s">
        <v>29</v>
      </c>
      <c r="K13" s="53"/>
      <c r="L13" s="53"/>
      <c r="M13" s="64" t="s">
        <v>24</v>
      </c>
      <c r="N13" s="53" t="s">
        <v>53</v>
      </c>
      <c r="O13" s="53" t="s">
        <v>54</v>
      </c>
      <c r="P13" s="53" t="s">
        <v>55</v>
      </c>
      <c r="Q13" s="53" t="s">
        <v>56</v>
      </c>
      <c r="R13" s="53" t="b">
        <v>0</v>
      </c>
      <c r="S13" s="53" t="s">
        <v>29</v>
      </c>
      <c r="T13" s="53" t="s">
        <v>30</v>
      </c>
      <c r="U13" s="53" t="s">
        <v>57</v>
      </c>
      <c r="V13" s="53" t="s">
        <v>32</v>
      </c>
      <c r="W13" s="58"/>
    </row>
    <row r="14" spans="1:23" x14ac:dyDescent="0.2">
      <c r="A14" s="1"/>
      <c r="B14" s="68"/>
      <c r="C14" s="78" t="s">
        <v>24</v>
      </c>
      <c r="D14" s="68" t="s">
        <v>58</v>
      </c>
      <c r="E14" s="68" t="s">
        <v>59</v>
      </c>
      <c r="F14" s="68" t="s">
        <v>60</v>
      </c>
      <c r="G14" s="68" t="s">
        <v>61</v>
      </c>
      <c r="H14" s="68" t="b">
        <v>0</v>
      </c>
      <c r="I14" s="79" t="s">
        <v>29</v>
      </c>
      <c r="K14" s="53"/>
      <c r="L14" s="53"/>
      <c r="M14" s="64" t="s">
        <v>24</v>
      </c>
      <c r="N14" s="53" t="s">
        <v>58</v>
      </c>
      <c r="O14" s="53" t="s">
        <v>59</v>
      </c>
      <c r="P14" s="53" t="s">
        <v>60</v>
      </c>
      <c r="Q14" s="53" t="s">
        <v>61</v>
      </c>
      <c r="R14" s="53" t="b">
        <v>0</v>
      </c>
      <c r="S14" s="53" t="s">
        <v>29</v>
      </c>
      <c r="T14" s="53" t="s">
        <v>30</v>
      </c>
      <c r="U14" s="53" t="s">
        <v>62</v>
      </c>
      <c r="V14" s="53" t="s">
        <v>32</v>
      </c>
      <c r="W14" s="58"/>
    </row>
    <row r="15" spans="1:23" x14ac:dyDescent="0.2">
      <c r="A15" s="1"/>
      <c r="B15" s="68"/>
      <c r="C15" s="78" t="s">
        <v>24</v>
      </c>
      <c r="D15" s="68" t="s">
        <v>63</v>
      </c>
      <c r="E15" s="68" t="s">
        <v>64</v>
      </c>
      <c r="F15" s="68" t="s">
        <v>65</v>
      </c>
      <c r="G15" s="68" t="s">
        <v>66</v>
      </c>
      <c r="H15" s="68" t="b">
        <v>0</v>
      </c>
      <c r="I15" s="79" t="s">
        <v>29</v>
      </c>
      <c r="K15" s="53"/>
      <c r="L15" s="53"/>
      <c r="M15" s="64" t="s">
        <v>24</v>
      </c>
      <c r="N15" s="53" t="s">
        <v>63</v>
      </c>
      <c r="O15" s="53" t="s">
        <v>64</v>
      </c>
      <c r="P15" s="53" t="s">
        <v>65</v>
      </c>
      <c r="Q15" s="53" t="s">
        <v>66</v>
      </c>
      <c r="R15" s="53" t="b">
        <v>0</v>
      </c>
      <c r="S15" s="53" t="s">
        <v>29</v>
      </c>
      <c r="T15" s="53" t="s">
        <v>30</v>
      </c>
      <c r="U15" s="53" t="s">
        <v>67</v>
      </c>
      <c r="V15" s="53" t="s">
        <v>32</v>
      </c>
      <c r="W15" s="58"/>
    </row>
    <row r="16" spans="1:23" x14ac:dyDescent="0.2">
      <c r="A16" s="1"/>
      <c r="B16" s="68"/>
      <c r="C16" s="78" t="s">
        <v>24</v>
      </c>
      <c r="D16" s="68" t="s">
        <v>68</v>
      </c>
      <c r="E16" s="68" t="s">
        <v>69</v>
      </c>
      <c r="F16" s="68" t="s">
        <v>70</v>
      </c>
      <c r="G16" s="68" t="s">
        <v>71</v>
      </c>
      <c r="H16" s="68" t="b">
        <v>0</v>
      </c>
      <c r="I16" s="79" t="s">
        <v>29</v>
      </c>
      <c r="K16" s="53"/>
      <c r="L16" s="53"/>
      <c r="M16" s="64" t="s">
        <v>24</v>
      </c>
      <c r="N16" s="53" t="s">
        <v>68</v>
      </c>
      <c r="O16" s="53" t="s">
        <v>69</v>
      </c>
      <c r="P16" s="53" t="s">
        <v>70</v>
      </c>
      <c r="Q16" s="53" t="s">
        <v>71</v>
      </c>
      <c r="R16" s="53" t="b">
        <v>0</v>
      </c>
      <c r="S16" s="53" t="s">
        <v>29</v>
      </c>
      <c r="T16" s="53" t="s">
        <v>30</v>
      </c>
      <c r="U16" s="53" t="s">
        <v>72</v>
      </c>
      <c r="V16" s="53" t="s">
        <v>32</v>
      </c>
      <c r="W16" s="58"/>
    </row>
    <row r="17" spans="1:23" x14ac:dyDescent="0.2">
      <c r="A17" s="1"/>
      <c r="B17" s="68"/>
      <c r="C17" s="78" t="s">
        <v>24</v>
      </c>
      <c r="D17" s="68" t="s">
        <v>73</v>
      </c>
      <c r="E17" s="68" t="s">
        <v>74</v>
      </c>
      <c r="F17" s="68" t="s">
        <v>75</v>
      </c>
      <c r="G17" s="68" t="s">
        <v>76</v>
      </c>
      <c r="H17" s="68" t="b">
        <v>0</v>
      </c>
      <c r="I17" s="79" t="s">
        <v>29</v>
      </c>
      <c r="K17" s="53"/>
      <c r="L17" s="53"/>
      <c r="M17" s="64" t="s">
        <v>24</v>
      </c>
      <c r="N17" s="53" t="s">
        <v>73</v>
      </c>
      <c r="O17" s="53" t="s">
        <v>74</v>
      </c>
      <c r="P17" s="53" t="s">
        <v>75</v>
      </c>
      <c r="Q17" s="53" t="s">
        <v>76</v>
      </c>
      <c r="R17" s="53" t="b">
        <v>0</v>
      </c>
      <c r="S17" s="53" t="s">
        <v>29</v>
      </c>
      <c r="T17" s="53" t="s">
        <v>30</v>
      </c>
      <c r="U17" s="53" t="s">
        <v>77</v>
      </c>
      <c r="V17" s="53" t="s">
        <v>32</v>
      </c>
      <c r="W17" s="58"/>
    </row>
    <row r="18" spans="1:23" x14ac:dyDescent="0.2">
      <c r="A18" s="1"/>
      <c r="B18" s="68"/>
      <c r="C18" s="78" t="s">
        <v>24</v>
      </c>
      <c r="D18" s="68" t="s">
        <v>78</v>
      </c>
      <c r="E18" s="68" t="s">
        <v>79</v>
      </c>
      <c r="F18" s="68" t="s">
        <v>80</v>
      </c>
      <c r="G18" s="68" t="s">
        <v>81</v>
      </c>
      <c r="H18" s="68" t="b">
        <v>0</v>
      </c>
      <c r="I18" s="79" t="s">
        <v>29</v>
      </c>
      <c r="K18" s="53"/>
      <c r="L18" s="53"/>
      <c r="M18" s="64" t="s">
        <v>24</v>
      </c>
      <c r="N18" s="53" t="s">
        <v>78</v>
      </c>
      <c r="O18" s="53" t="s">
        <v>79</v>
      </c>
      <c r="P18" s="53" t="s">
        <v>80</v>
      </c>
      <c r="Q18" s="53" t="s">
        <v>81</v>
      </c>
      <c r="R18" s="53" t="b">
        <v>0</v>
      </c>
      <c r="S18" s="53" t="s">
        <v>29</v>
      </c>
      <c r="T18" s="53" t="s">
        <v>30</v>
      </c>
      <c r="U18" s="53" t="s">
        <v>82</v>
      </c>
      <c r="V18" s="53" t="s">
        <v>32</v>
      </c>
      <c r="W18" s="58"/>
    </row>
    <row r="19" spans="1:23" x14ac:dyDescent="0.2">
      <c r="A19" s="1"/>
      <c r="B19" s="68"/>
      <c r="C19" s="78" t="s">
        <v>24</v>
      </c>
      <c r="D19" s="68" t="s">
        <v>83</v>
      </c>
      <c r="E19" s="68" t="s">
        <v>84</v>
      </c>
      <c r="F19" s="68" t="s">
        <v>85</v>
      </c>
      <c r="G19" s="68" t="s">
        <v>86</v>
      </c>
      <c r="H19" s="68" t="b">
        <v>0</v>
      </c>
      <c r="I19" s="79" t="s">
        <v>29</v>
      </c>
      <c r="K19" s="53"/>
      <c r="L19" s="53"/>
      <c r="M19" s="64" t="s">
        <v>24</v>
      </c>
      <c r="N19" s="53" t="s">
        <v>83</v>
      </c>
      <c r="O19" s="53" t="s">
        <v>84</v>
      </c>
      <c r="P19" s="53" t="s">
        <v>85</v>
      </c>
      <c r="Q19" s="53" t="s">
        <v>86</v>
      </c>
      <c r="R19" s="53" t="b">
        <v>0</v>
      </c>
      <c r="S19" s="53" t="s">
        <v>29</v>
      </c>
      <c r="T19" s="53" t="s">
        <v>30</v>
      </c>
      <c r="U19" s="53" t="s">
        <v>87</v>
      </c>
      <c r="V19" s="53" t="s">
        <v>32</v>
      </c>
      <c r="W19" s="58"/>
    </row>
    <row r="20" spans="1:23" x14ac:dyDescent="0.2">
      <c r="A20" s="1"/>
      <c r="B20" s="68"/>
      <c r="C20" s="78" t="s">
        <v>24</v>
      </c>
      <c r="D20" s="68" t="s">
        <v>88</v>
      </c>
      <c r="E20" s="68" t="s">
        <v>89</v>
      </c>
      <c r="F20" s="68" t="s">
        <v>90</v>
      </c>
      <c r="G20" s="68" t="s">
        <v>91</v>
      </c>
      <c r="H20" s="68" t="b">
        <v>0</v>
      </c>
      <c r="I20" s="79" t="s">
        <v>29</v>
      </c>
      <c r="K20" s="53"/>
      <c r="L20" s="53"/>
      <c r="M20" s="64" t="s">
        <v>24</v>
      </c>
      <c r="N20" s="53" t="s">
        <v>88</v>
      </c>
      <c r="O20" s="53" t="s">
        <v>89</v>
      </c>
      <c r="P20" s="53" t="s">
        <v>90</v>
      </c>
      <c r="Q20" s="53" t="s">
        <v>91</v>
      </c>
      <c r="R20" s="53" t="b">
        <v>0</v>
      </c>
      <c r="S20" s="53" t="s">
        <v>29</v>
      </c>
      <c r="T20" s="53" t="s">
        <v>30</v>
      </c>
      <c r="U20" s="53" t="s">
        <v>92</v>
      </c>
      <c r="V20" s="53" t="s">
        <v>32</v>
      </c>
      <c r="W20" s="58"/>
    </row>
    <row r="21" spans="1:23" x14ac:dyDescent="0.2">
      <c r="A21" s="1"/>
      <c r="B21" s="68"/>
      <c r="C21" s="78" t="s">
        <v>24</v>
      </c>
      <c r="D21" s="68" t="s">
        <v>93</v>
      </c>
      <c r="E21" s="68" t="s">
        <v>94</v>
      </c>
      <c r="F21" s="68" t="s">
        <v>95</v>
      </c>
      <c r="G21" s="68" t="s">
        <v>96</v>
      </c>
      <c r="H21" s="68" t="b">
        <v>0</v>
      </c>
      <c r="I21" s="79" t="s">
        <v>29</v>
      </c>
      <c r="K21" s="53"/>
      <c r="L21" s="53"/>
      <c r="M21" s="64" t="s">
        <v>24</v>
      </c>
      <c r="N21" s="53" t="s">
        <v>93</v>
      </c>
      <c r="O21" s="53" t="s">
        <v>94</v>
      </c>
      <c r="P21" s="53" t="s">
        <v>95</v>
      </c>
      <c r="Q21" s="53" t="s">
        <v>96</v>
      </c>
      <c r="R21" s="53" t="b">
        <v>0</v>
      </c>
      <c r="S21" s="53" t="s">
        <v>29</v>
      </c>
      <c r="T21" s="53" t="s">
        <v>30</v>
      </c>
      <c r="U21" s="53" t="s">
        <v>97</v>
      </c>
      <c r="V21" s="53" t="s">
        <v>32</v>
      </c>
      <c r="W21" s="58"/>
    </row>
    <row r="22" spans="1:23" x14ac:dyDescent="0.2">
      <c r="A22" s="1"/>
      <c r="B22" s="68"/>
      <c r="C22" s="78" t="s">
        <v>24</v>
      </c>
      <c r="D22" s="68" t="s">
        <v>98</v>
      </c>
      <c r="E22" s="68" t="s">
        <v>99</v>
      </c>
      <c r="F22" s="68" t="s">
        <v>100</v>
      </c>
      <c r="G22" s="68" t="s">
        <v>101</v>
      </c>
      <c r="H22" s="68" t="b">
        <v>0</v>
      </c>
      <c r="I22" s="79" t="s">
        <v>29</v>
      </c>
      <c r="K22" s="53"/>
      <c r="L22" s="53"/>
      <c r="M22" s="64" t="s">
        <v>24</v>
      </c>
      <c r="N22" s="53" t="s">
        <v>98</v>
      </c>
      <c r="O22" s="53" t="s">
        <v>99</v>
      </c>
      <c r="P22" s="53" t="s">
        <v>100</v>
      </c>
      <c r="Q22" s="53" t="s">
        <v>101</v>
      </c>
      <c r="R22" s="53" t="b">
        <v>0</v>
      </c>
      <c r="S22" s="53" t="s">
        <v>29</v>
      </c>
      <c r="T22" s="53" t="s">
        <v>30</v>
      </c>
      <c r="U22" s="53" t="s">
        <v>102</v>
      </c>
      <c r="V22" s="53" t="s">
        <v>32</v>
      </c>
      <c r="W22" s="58"/>
    </row>
    <row r="23" spans="1:23" x14ac:dyDescent="0.2">
      <c r="A23" s="1"/>
      <c r="B23" s="68"/>
      <c r="C23" s="78" t="s">
        <v>24</v>
      </c>
      <c r="D23" s="68" t="s">
        <v>103</v>
      </c>
      <c r="E23" s="68" t="s">
        <v>104</v>
      </c>
      <c r="F23" s="68" t="s">
        <v>105</v>
      </c>
      <c r="G23" s="68" t="s">
        <v>106</v>
      </c>
      <c r="H23" s="68" t="b">
        <v>0</v>
      </c>
      <c r="I23" s="79" t="s">
        <v>29</v>
      </c>
      <c r="K23" s="53"/>
      <c r="L23" s="53"/>
      <c r="M23" s="64" t="s">
        <v>24</v>
      </c>
      <c r="N23" s="53" t="s">
        <v>103</v>
      </c>
      <c r="O23" s="53" t="s">
        <v>104</v>
      </c>
      <c r="P23" s="53" t="s">
        <v>105</v>
      </c>
      <c r="Q23" s="53" t="s">
        <v>106</v>
      </c>
      <c r="R23" s="53" t="b">
        <v>0</v>
      </c>
      <c r="S23" s="53" t="s">
        <v>29</v>
      </c>
      <c r="T23" s="53" t="s">
        <v>30</v>
      </c>
      <c r="U23" s="53" t="s">
        <v>107</v>
      </c>
      <c r="V23" s="53" t="s">
        <v>32</v>
      </c>
      <c r="W23" s="58"/>
    </row>
    <row r="24" spans="1:23" x14ac:dyDescent="0.2">
      <c r="A24" s="1"/>
      <c r="B24" s="68"/>
      <c r="C24" s="78" t="s">
        <v>24</v>
      </c>
      <c r="D24" s="68" t="s">
        <v>108</v>
      </c>
      <c r="E24" s="68" t="s">
        <v>109</v>
      </c>
      <c r="F24" s="68" t="s">
        <v>110</v>
      </c>
      <c r="G24" s="68" t="s">
        <v>111</v>
      </c>
      <c r="H24" s="68" t="b">
        <v>0</v>
      </c>
      <c r="I24" s="79" t="s">
        <v>29</v>
      </c>
      <c r="K24" s="53"/>
      <c r="L24" s="53"/>
      <c r="M24" s="64" t="s">
        <v>24</v>
      </c>
      <c r="N24" s="53" t="s">
        <v>108</v>
      </c>
      <c r="O24" s="53" t="s">
        <v>109</v>
      </c>
      <c r="P24" s="53" t="s">
        <v>110</v>
      </c>
      <c r="Q24" s="53" t="s">
        <v>111</v>
      </c>
      <c r="R24" s="53" t="b">
        <v>0</v>
      </c>
      <c r="S24" s="53" t="s">
        <v>29</v>
      </c>
      <c r="T24" s="53" t="s">
        <v>30</v>
      </c>
      <c r="U24" s="53" t="s">
        <v>112</v>
      </c>
      <c r="V24" s="53" t="s">
        <v>32</v>
      </c>
      <c r="W24" s="58"/>
    </row>
    <row r="25" spans="1:23" x14ac:dyDescent="0.2">
      <c r="A25" s="1"/>
      <c r="B25" s="68"/>
      <c r="C25" s="78" t="s">
        <v>24</v>
      </c>
      <c r="D25" s="68" t="s">
        <v>113</v>
      </c>
      <c r="E25" s="68" t="s">
        <v>114</v>
      </c>
      <c r="F25" s="68" t="s">
        <v>115</v>
      </c>
      <c r="G25" s="68" t="s">
        <v>116</v>
      </c>
      <c r="H25" s="68" t="b">
        <v>0</v>
      </c>
      <c r="I25" s="79" t="s">
        <v>29</v>
      </c>
      <c r="K25" s="53"/>
      <c r="L25" s="53"/>
      <c r="M25" s="64" t="s">
        <v>24</v>
      </c>
      <c r="N25" s="53" t="s">
        <v>113</v>
      </c>
      <c r="O25" s="53" t="s">
        <v>114</v>
      </c>
      <c r="P25" s="53" t="s">
        <v>115</v>
      </c>
      <c r="Q25" s="53" t="s">
        <v>116</v>
      </c>
      <c r="R25" s="53" t="b">
        <v>0</v>
      </c>
      <c r="S25" s="53" t="s">
        <v>29</v>
      </c>
      <c r="T25" s="53" t="s">
        <v>30</v>
      </c>
      <c r="U25" s="53" t="s">
        <v>117</v>
      </c>
      <c r="V25" s="53" t="s">
        <v>32</v>
      </c>
      <c r="W25" s="58"/>
    </row>
    <row r="26" spans="1:23" x14ac:dyDescent="0.2">
      <c r="A26" s="1"/>
      <c r="B26" s="68"/>
      <c r="C26" s="78" t="s">
        <v>24</v>
      </c>
      <c r="D26" s="68" t="s">
        <v>118</v>
      </c>
      <c r="E26" s="68" t="s">
        <v>119</v>
      </c>
      <c r="F26" s="68" t="s">
        <v>120</v>
      </c>
      <c r="G26" s="68" t="s">
        <v>121</v>
      </c>
      <c r="H26" s="68" t="b">
        <v>0</v>
      </c>
      <c r="I26" s="79" t="s">
        <v>29</v>
      </c>
      <c r="K26" s="53"/>
      <c r="L26" s="53"/>
      <c r="M26" s="64" t="s">
        <v>24</v>
      </c>
      <c r="N26" s="53" t="s">
        <v>118</v>
      </c>
      <c r="O26" s="53" t="s">
        <v>119</v>
      </c>
      <c r="P26" s="53" t="s">
        <v>120</v>
      </c>
      <c r="Q26" s="53" t="s">
        <v>121</v>
      </c>
      <c r="R26" s="53" t="b">
        <v>0</v>
      </c>
      <c r="S26" s="53" t="s">
        <v>29</v>
      </c>
      <c r="T26" s="53" t="s">
        <v>30</v>
      </c>
      <c r="U26" s="53" t="s">
        <v>122</v>
      </c>
      <c r="V26" s="53" t="s">
        <v>32</v>
      </c>
      <c r="W26" s="58"/>
    </row>
    <row r="27" spans="1:23" x14ac:dyDescent="0.2">
      <c r="A27" s="1"/>
      <c r="B27" s="68"/>
      <c r="C27" s="78" t="s">
        <v>24</v>
      </c>
      <c r="D27" s="68" t="s">
        <v>123</v>
      </c>
      <c r="E27" s="68" t="s">
        <v>124</v>
      </c>
      <c r="F27" s="68" t="s">
        <v>125</v>
      </c>
      <c r="G27" s="68" t="s">
        <v>126</v>
      </c>
      <c r="H27" s="68" t="b">
        <v>0</v>
      </c>
      <c r="I27" s="79" t="s">
        <v>29</v>
      </c>
      <c r="K27" s="53"/>
      <c r="L27" s="53"/>
      <c r="M27" s="64" t="s">
        <v>24</v>
      </c>
      <c r="N27" s="53" t="s">
        <v>123</v>
      </c>
      <c r="O27" s="53" t="s">
        <v>124</v>
      </c>
      <c r="P27" s="53" t="s">
        <v>125</v>
      </c>
      <c r="Q27" s="53" t="s">
        <v>126</v>
      </c>
      <c r="R27" s="53" t="b">
        <v>0</v>
      </c>
      <c r="S27" s="53" t="s">
        <v>29</v>
      </c>
      <c r="T27" s="53" t="s">
        <v>30</v>
      </c>
      <c r="U27" s="53" t="s">
        <v>127</v>
      </c>
      <c r="V27" s="53" t="s">
        <v>32</v>
      </c>
      <c r="W27" s="58"/>
    </row>
    <row r="28" spans="1:23" x14ac:dyDescent="0.2">
      <c r="A28" s="1"/>
      <c r="B28" s="68"/>
      <c r="C28" s="78" t="s">
        <v>24</v>
      </c>
      <c r="D28" s="68" t="s">
        <v>128</v>
      </c>
      <c r="E28" s="68" t="s">
        <v>129</v>
      </c>
      <c r="F28" s="68" t="s">
        <v>130</v>
      </c>
      <c r="G28" s="68" t="s">
        <v>131</v>
      </c>
      <c r="H28" s="68" t="b">
        <v>0</v>
      </c>
      <c r="I28" s="79" t="s">
        <v>29</v>
      </c>
      <c r="K28" s="53"/>
      <c r="L28" s="53"/>
      <c r="M28" s="64" t="s">
        <v>24</v>
      </c>
      <c r="N28" s="53" t="s">
        <v>128</v>
      </c>
      <c r="O28" s="53" t="s">
        <v>129</v>
      </c>
      <c r="P28" s="53" t="s">
        <v>130</v>
      </c>
      <c r="Q28" s="53" t="s">
        <v>131</v>
      </c>
      <c r="R28" s="53" t="b">
        <v>0</v>
      </c>
      <c r="S28" s="53" t="s">
        <v>29</v>
      </c>
      <c r="T28" s="53" t="s">
        <v>30</v>
      </c>
      <c r="U28" s="53" t="s">
        <v>132</v>
      </c>
      <c r="V28" s="53" t="s">
        <v>32</v>
      </c>
      <c r="W28" s="58"/>
    </row>
    <row r="29" spans="1:23" x14ac:dyDescent="0.2">
      <c r="A29" s="1"/>
      <c r="B29" s="68"/>
      <c r="C29" s="78" t="s">
        <v>24</v>
      </c>
      <c r="D29" s="68" t="s">
        <v>133</v>
      </c>
      <c r="E29" s="68" t="s">
        <v>134</v>
      </c>
      <c r="F29" s="68" t="s">
        <v>135</v>
      </c>
      <c r="G29" s="68" t="s">
        <v>136</v>
      </c>
      <c r="H29" s="68" t="b">
        <v>0</v>
      </c>
      <c r="I29" s="79" t="s">
        <v>29</v>
      </c>
      <c r="K29" s="53"/>
      <c r="L29" s="53"/>
      <c r="M29" s="64" t="s">
        <v>24</v>
      </c>
      <c r="N29" s="53" t="s">
        <v>133</v>
      </c>
      <c r="O29" s="53" t="s">
        <v>134</v>
      </c>
      <c r="P29" s="53" t="s">
        <v>135</v>
      </c>
      <c r="Q29" s="53" t="s">
        <v>136</v>
      </c>
      <c r="R29" s="53" t="b">
        <v>0</v>
      </c>
      <c r="S29" s="53" t="s">
        <v>29</v>
      </c>
      <c r="T29" s="53" t="s">
        <v>30</v>
      </c>
      <c r="U29" s="53" t="s">
        <v>137</v>
      </c>
      <c r="V29" s="53" t="s">
        <v>32</v>
      </c>
      <c r="W29" s="58"/>
    </row>
    <row r="30" spans="1:23" x14ac:dyDescent="0.2">
      <c r="A30" s="1"/>
      <c r="B30" s="68"/>
      <c r="C30" s="78" t="s">
        <v>24</v>
      </c>
      <c r="D30" s="68" t="s">
        <v>138</v>
      </c>
      <c r="E30" s="68" t="s">
        <v>139</v>
      </c>
      <c r="F30" s="68" t="s">
        <v>140</v>
      </c>
      <c r="G30" s="68" t="s">
        <v>141</v>
      </c>
      <c r="H30" s="68" t="b">
        <v>0</v>
      </c>
      <c r="I30" s="79" t="s">
        <v>29</v>
      </c>
      <c r="K30" s="53"/>
      <c r="L30" s="53"/>
      <c r="M30" s="64" t="s">
        <v>24</v>
      </c>
      <c r="N30" s="53" t="s">
        <v>138</v>
      </c>
      <c r="O30" s="53" t="s">
        <v>139</v>
      </c>
      <c r="P30" s="53" t="s">
        <v>140</v>
      </c>
      <c r="Q30" s="53" t="s">
        <v>141</v>
      </c>
      <c r="R30" s="53" t="b">
        <v>0</v>
      </c>
      <c r="S30" s="53" t="s">
        <v>29</v>
      </c>
      <c r="T30" s="53" t="s">
        <v>30</v>
      </c>
      <c r="U30" s="53" t="s">
        <v>142</v>
      </c>
      <c r="V30" s="53" t="s">
        <v>32</v>
      </c>
      <c r="W30" s="58"/>
    </row>
    <row r="31" spans="1:23" x14ac:dyDescent="0.2">
      <c r="A31" s="1"/>
      <c r="B31" s="68"/>
      <c r="C31" s="78" t="s">
        <v>24</v>
      </c>
      <c r="D31" s="68" t="s">
        <v>143</v>
      </c>
      <c r="E31" s="68" t="s">
        <v>144</v>
      </c>
      <c r="F31" s="68" t="s">
        <v>145</v>
      </c>
      <c r="G31" s="68" t="s">
        <v>146</v>
      </c>
      <c r="H31" s="68" t="b">
        <v>0</v>
      </c>
      <c r="I31" s="79" t="s">
        <v>29</v>
      </c>
      <c r="K31" s="53"/>
      <c r="L31" s="53"/>
      <c r="M31" s="64" t="s">
        <v>24</v>
      </c>
      <c r="N31" s="53" t="s">
        <v>143</v>
      </c>
      <c r="O31" s="53" t="s">
        <v>144</v>
      </c>
      <c r="P31" s="53" t="s">
        <v>145</v>
      </c>
      <c r="Q31" s="53" t="s">
        <v>146</v>
      </c>
      <c r="R31" s="53" t="b">
        <v>0</v>
      </c>
      <c r="S31" s="53" t="s">
        <v>29</v>
      </c>
      <c r="T31" s="53" t="s">
        <v>30</v>
      </c>
      <c r="U31" s="53" t="s">
        <v>147</v>
      </c>
      <c r="V31" s="53" t="s">
        <v>32</v>
      </c>
      <c r="W31" s="58"/>
    </row>
    <row r="32" spans="1:23" ht="13.5" thickBot="1" x14ac:dyDescent="0.25">
      <c r="A32" s="3"/>
      <c r="B32" s="80"/>
      <c r="C32" s="81" t="s">
        <v>24</v>
      </c>
      <c r="D32" s="80" t="s">
        <v>148</v>
      </c>
      <c r="E32" s="80" t="s">
        <v>149</v>
      </c>
      <c r="F32" s="80" t="s">
        <v>150</v>
      </c>
      <c r="G32" s="80" t="s">
        <v>151</v>
      </c>
      <c r="H32" s="80" t="b">
        <v>0</v>
      </c>
      <c r="I32" s="82" t="s">
        <v>29</v>
      </c>
      <c r="J32" s="4"/>
      <c r="K32" s="65"/>
      <c r="L32" s="65"/>
      <c r="M32" s="66" t="s">
        <v>24</v>
      </c>
      <c r="N32" s="65" t="s">
        <v>148</v>
      </c>
      <c r="O32" s="65" t="s">
        <v>149</v>
      </c>
      <c r="P32" s="65" t="s">
        <v>150</v>
      </c>
      <c r="Q32" s="65" t="s">
        <v>151</v>
      </c>
      <c r="R32" s="65" t="b">
        <v>0</v>
      </c>
      <c r="S32" s="65" t="s">
        <v>29</v>
      </c>
      <c r="T32" s="65" t="s">
        <v>30</v>
      </c>
      <c r="U32" s="65" t="s">
        <v>152</v>
      </c>
      <c r="V32" s="65" t="s">
        <v>32</v>
      </c>
      <c r="W32" s="67"/>
    </row>
    <row r="34" spans="1:23" ht="13.5" thickBot="1" x14ac:dyDescent="0.25"/>
    <row r="35" spans="1:23" ht="48.75" customHeight="1" thickBot="1" x14ac:dyDescent="0.25">
      <c r="A35" s="93" t="s">
        <v>153</v>
      </c>
      <c r="B35" s="87" t="s">
        <v>3</v>
      </c>
      <c r="C35" s="88" t="s">
        <v>154</v>
      </c>
      <c r="D35" s="71"/>
      <c r="E35" s="71"/>
      <c r="F35" s="71"/>
      <c r="G35" s="71"/>
      <c r="H35" s="71"/>
      <c r="I35" s="71"/>
      <c r="J35" s="18"/>
      <c r="K35" s="54"/>
      <c r="L35" s="55" t="s">
        <v>5</v>
      </c>
      <c r="M35" s="56" t="s">
        <v>155</v>
      </c>
      <c r="N35" s="54"/>
      <c r="O35" s="54"/>
      <c r="P35" s="54"/>
      <c r="Q35" s="54"/>
      <c r="R35" s="54"/>
      <c r="S35" s="54"/>
      <c r="T35" s="54"/>
      <c r="U35" s="54"/>
      <c r="V35" s="54"/>
      <c r="W35" s="57"/>
    </row>
    <row r="36" spans="1:23" x14ac:dyDescent="0.2">
      <c r="A36" s="1"/>
      <c r="B36" s="68"/>
      <c r="C36" s="68"/>
      <c r="D36" s="68"/>
      <c r="E36" s="68"/>
      <c r="F36" s="68"/>
      <c r="G36" s="68"/>
      <c r="H36" s="68"/>
      <c r="I36" s="68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8"/>
    </row>
    <row r="37" spans="1:23" x14ac:dyDescent="0.2">
      <c r="A37" s="1"/>
      <c r="B37" s="68"/>
      <c r="C37" s="68"/>
      <c r="D37" s="68"/>
      <c r="E37" s="68"/>
      <c r="F37" s="68"/>
      <c r="G37" s="68"/>
      <c r="H37" s="68"/>
      <c r="I37" s="68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8"/>
    </row>
    <row r="38" spans="1:23" ht="13.5" customHeight="1" x14ac:dyDescent="0.2">
      <c r="A38" s="1"/>
      <c r="B38" s="68"/>
      <c r="C38" s="68"/>
      <c r="D38" s="72" t="s">
        <v>7</v>
      </c>
      <c r="E38" s="73"/>
      <c r="F38" s="68"/>
      <c r="G38" s="74" t="s">
        <v>8</v>
      </c>
      <c r="H38" s="68"/>
      <c r="I38" s="68"/>
      <c r="K38" s="53"/>
      <c r="L38" s="53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8"/>
    </row>
    <row r="39" spans="1:23" ht="50.25" customHeight="1" x14ac:dyDescent="0.2">
      <c r="A39" s="1"/>
      <c r="B39" s="75" t="s">
        <v>9</v>
      </c>
      <c r="C39" s="76" t="s">
        <v>10</v>
      </c>
      <c r="D39" s="76" t="s">
        <v>11</v>
      </c>
      <c r="E39" s="76" t="s">
        <v>12</v>
      </c>
      <c r="F39" s="76" t="s">
        <v>13</v>
      </c>
      <c r="G39" s="76" t="s">
        <v>14</v>
      </c>
      <c r="H39" s="76" t="s">
        <v>156</v>
      </c>
      <c r="I39" s="77"/>
      <c r="J39" s="51"/>
      <c r="K39" s="59"/>
      <c r="L39" s="60" t="s">
        <v>17</v>
      </c>
      <c r="M39" s="61" t="s">
        <v>10</v>
      </c>
      <c r="N39" s="62" t="s">
        <v>18</v>
      </c>
      <c r="O39" s="62" t="s">
        <v>19</v>
      </c>
      <c r="P39" s="62" t="s">
        <v>13</v>
      </c>
      <c r="Q39" s="62" t="s">
        <v>14</v>
      </c>
      <c r="R39" s="62" t="s">
        <v>156</v>
      </c>
      <c r="S39" s="62" t="s">
        <v>20</v>
      </c>
      <c r="T39" s="62" t="s">
        <v>21</v>
      </c>
      <c r="U39" s="62" t="s">
        <v>22</v>
      </c>
      <c r="V39" s="62" t="s">
        <v>23</v>
      </c>
      <c r="W39" s="63"/>
    </row>
    <row r="40" spans="1:23" ht="20.25" customHeight="1" x14ac:dyDescent="0.2">
      <c r="A40" s="1"/>
      <c r="B40" s="68"/>
      <c r="C40" s="78" t="s">
        <v>157</v>
      </c>
      <c r="D40" s="68" t="s">
        <v>158</v>
      </c>
      <c r="E40" s="68" t="s">
        <v>159</v>
      </c>
      <c r="F40" s="68" t="s">
        <v>160</v>
      </c>
      <c r="G40" s="68" t="s">
        <v>161</v>
      </c>
      <c r="H40" s="85" t="s">
        <v>162</v>
      </c>
      <c r="I40" s="79"/>
      <c r="K40" s="53"/>
      <c r="L40" s="53"/>
      <c r="M40" s="64" t="s">
        <v>157</v>
      </c>
      <c r="N40" s="53" t="s">
        <v>158</v>
      </c>
      <c r="O40" s="53" t="s">
        <v>159</v>
      </c>
      <c r="P40" s="53" t="s">
        <v>160</v>
      </c>
      <c r="Q40" s="53" t="s">
        <v>161</v>
      </c>
      <c r="R40" s="53" t="s">
        <v>162</v>
      </c>
      <c r="S40" s="53" t="s">
        <v>30</v>
      </c>
      <c r="T40" s="53" t="s">
        <v>163</v>
      </c>
      <c r="U40" s="53" t="s">
        <v>32</v>
      </c>
      <c r="V40" s="53"/>
      <c r="W40" s="58"/>
    </row>
    <row r="41" spans="1:23" ht="19.5" customHeight="1" x14ac:dyDescent="0.2">
      <c r="A41" s="1"/>
      <c r="B41" s="68"/>
      <c r="C41" s="78" t="s">
        <v>157</v>
      </c>
      <c r="D41" s="68" t="s">
        <v>164</v>
      </c>
      <c r="E41" s="68" t="s">
        <v>165</v>
      </c>
      <c r="F41" s="68" t="s">
        <v>166</v>
      </c>
      <c r="G41" s="68" t="s">
        <v>167</v>
      </c>
      <c r="H41" s="85" t="s">
        <v>168</v>
      </c>
      <c r="I41" s="79"/>
      <c r="K41" s="53"/>
      <c r="L41" s="53"/>
      <c r="M41" s="64" t="s">
        <v>157</v>
      </c>
      <c r="N41" s="53" t="s">
        <v>164</v>
      </c>
      <c r="O41" s="53" t="s">
        <v>165</v>
      </c>
      <c r="P41" s="53" t="s">
        <v>166</v>
      </c>
      <c r="Q41" s="53" t="s">
        <v>167</v>
      </c>
      <c r="R41" s="53" t="s">
        <v>168</v>
      </c>
      <c r="S41" s="53" t="s">
        <v>30</v>
      </c>
      <c r="T41" s="53" t="s">
        <v>169</v>
      </c>
      <c r="U41" s="53" t="s">
        <v>32</v>
      </c>
      <c r="V41" s="53"/>
      <c r="W41" s="58"/>
    </row>
    <row r="42" spans="1:23" ht="20.25" customHeight="1" x14ac:dyDescent="0.2">
      <c r="A42" s="1"/>
      <c r="B42" s="68"/>
      <c r="C42" s="78" t="s">
        <v>157</v>
      </c>
      <c r="D42" s="68" t="s">
        <v>170</v>
      </c>
      <c r="E42" s="68" t="s">
        <v>171</v>
      </c>
      <c r="F42" s="68" t="s">
        <v>172</v>
      </c>
      <c r="G42" s="68" t="s">
        <v>173</v>
      </c>
      <c r="H42" s="85" t="s">
        <v>174</v>
      </c>
      <c r="I42" s="79"/>
      <c r="K42" s="53"/>
      <c r="L42" s="53"/>
      <c r="M42" s="64" t="s">
        <v>157</v>
      </c>
      <c r="N42" s="53" t="s">
        <v>170</v>
      </c>
      <c r="O42" s="53" t="s">
        <v>171</v>
      </c>
      <c r="P42" s="53" t="s">
        <v>172</v>
      </c>
      <c r="Q42" s="53" t="s">
        <v>173</v>
      </c>
      <c r="R42" s="53" t="s">
        <v>174</v>
      </c>
      <c r="S42" s="53" t="s">
        <v>30</v>
      </c>
      <c r="T42" s="53" t="s">
        <v>175</v>
      </c>
      <c r="U42" s="53" t="s">
        <v>32</v>
      </c>
      <c r="V42" s="53"/>
      <c r="W42" s="58"/>
    </row>
    <row r="43" spans="1:23" ht="15.75" customHeight="1" x14ac:dyDescent="0.2">
      <c r="A43" s="1"/>
      <c r="B43" s="68"/>
      <c r="C43" s="78" t="s">
        <v>157</v>
      </c>
      <c r="D43" s="68" t="s">
        <v>176</v>
      </c>
      <c r="E43" s="68" t="s">
        <v>177</v>
      </c>
      <c r="F43" s="68" t="s">
        <v>178</v>
      </c>
      <c r="G43" s="68" t="s">
        <v>179</v>
      </c>
      <c r="H43" s="85" t="s">
        <v>180</v>
      </c>
      <c r="I43" s="79"/>
      <c r="K43" s="53"/>
      <c r="L43" s="53"/>
      <c r="M43" s="64" t="s">
        <v>157</v>
      </c>
      <c r="N43" s="53" t="s">
        <v>176</v>
      </c>
      <c r="O43" s="53" t="s">
        <v>177</v>
      </c>
      <c r="P43" s="53" t="s">
        <v>178</v>
      </c>
      <c r="Q43" s="53" t="s">
        <v>179</v>
      </c>
      <c r="R43" s="53" t="s">
        <v>180</v>
      </c>
      <c r="S43" s="53" t="s">
        <v>30</v>
      </c>
      <c r="T43" s="53" t="s">
        <v>181</v>
      </c>
      <c r="U43" s="53" t="s">
        <v>32</v>
      </c>
      <c r="V43" s="53"/>
      <c r="W43" s="58"/>
    </row>
    <row r="44" spans="1:23" ht="14.25" customHeight="1" x14ac:dyDescent="0.2">
      <c r="A44" s="1"/>
      <c r="B44" s="68"/>
      <c r="C44" s="78" t="s">
        <v>157</v>
      </c>
      <c r="D44" s="68" t="s">
        <v>182</v>
      </c>
      <c r="E44" s="68" t="s">
        <v>183</v>
      </c>
      <c r="F44" s="68" t="s">
        <v>184</v>
      </c>
      <c r="G44" s="68" t="s">
        <v>185</v>
      </c>
      <c r="H44" s="85" t="s">
        <v>186</v>
      </c>
      <c r="I44" s="79"/>
      <c r="K44" s="53"/>
      <c r="L44" s="53"/>
      <c r="M44" s="64" t="s">
        <v>157</v>
      </c>
      <c r="N44" s="53" t="s">
        <v>182</v>
      </c>
      <c r="O44" s="53" t="s">
        <v>183</v>
      </c>
      <c r="P44" s="53" t="s">
        <v>184</v>
      </c>
      <c r="Q44" s="53" t="s">
        <v>185</v>
      </c>
      <c r="R44" s="53" t="s">
        <v>186</v>
      </c>
      <c r="S44" s="53" t="s">
        <v>30</v>
      </c>
      <c r="T44" s="53" t="s">
        <v>187</v>
      </c>
      <c r="U44" s="53" t="s">
        <v>32</v>
      </c>
      <c r="V44" s="53"/>
      <c r="W44" s="58"/>
    </row>
    <row r="45" spans="1:23" ht="16.5" customHeight="1" x14ac:dyDescent="0.2">
      <c r="A45" s="1"/>
      <c r="B45" s="68"/>
      <c r="C45" s="78" t="s">
        <v>157</v>
      </c>
      <c r="D45" s="68" t="s">
        <v>188</v>
      </c>
      <c r="E45" s="68" t="s">
        <v>189</v>
      </c>
      <c r="F45" s="68" t="s">
        <v>190</v>
      </c>
      <c r="G45" s="68" t="s">
        <v>191</v>
      </c>
      <c r="H45" s="85" t="s">
        <v>192</v>
      </c>
      <c r="I45" s="79"/>
      <c r="K45" s="53"/>
      <c r="L45" s="53"/>
      <c r="M45" s="64" t="s">
        <v>157</v>
      </c>
      <c r="N45" s="53" t="s">
        <v>188</v>
      </c>
      <c r="O45" s="53" t="s">
        <v>189</v>
      </c>
      <c r="P45" s="53" t="s">
        <v>190</v>
      </c>
      <c r="Q45" s="53" t="s">
        <v>191</v>
      </c>
      <c r="R45" s="53" t="s">
        <v>192</v>
      </c>
      <c r="S45" s="53" t="s">
        <v>30</v>
      </c>
      <c r="T45" s="53" t="s">
        <v>193</v>
      </c>
      <c r="U45" s="53" t="s">
        <v>32</v>
      </c>
      <c r="V45" s="53"/>
      <c r="W45" s="58"/>
    </row>
    <row r="46" spans="1:23" ht="15.75" customHeight="1" x14ac:dyDescent="0.2">
      <c r="A46" s="1"/>
      <c r="B46" s="68"/>
      <c r="C46" s="78" t="s">
        <v>157</v>
      </c>
      <c r="D46" s="68" t="s">
        <v>194</v>
      </c>
      <c r="E46" s="68" t="s">
        <v>195</v>
      </c>
      <c r="F46" s="68" t="s">
        <v>196</v>
      </c>
      <c r="G46" s="68" t="s">
        <v>197</v>
      </c>
      <c r="H46" s="85" t="s">
        <v>198</v>
      </c>
      <c r="I46" s="79"/>
      <c r="K46" s="53"/>
      <c r="L46" s="53"/>
      <c r="M46" s="64" t="s">
        <v>157</v>
      </c>
      <c r="N46" s="53" t="s">
        <v>194</v>
      </c>
      <c r="O46" s="53" t="s">
        <v>195</v>
      </c>
      <c r="P46" s="53" t="s">
        <v>196</v>
      </c>
      <c r="Q46" s="53" t="s">
        <v>197</v>
      </c>
      <c r="R46" s="53" t="s">
        <v>198</v>
      </c>
      <c r="S46" s="53" t="s">
        <v>30</v>
      </c>
      <c r="T46" s="53" t="s">
        <v>199</v>
      </c>
      <c r="U46" s="53" t="s">
        <v>32</v>
      </c>
      <c r="V46" s="53"/>
      <c r="W46" s="58"/>
    </row>
    <row r="47" spans="1:23" ht="15.75" customHeight="1" x14ac:dyDescent="0.2">
      <c r="A47" s="1"/>
      <c r="B47" s="68"/>
      <c r="C47" s="78" t="s">
        <v>157</v>
      </c>
      <c r="D47" s="68" t="s">
        <v>200</v>
      </c>
      <c r="E47" s="68" t="s">
        <v>201</v>
      </c>
      <c r="F47" s="68" t="s">
        <v>202</v>
      </c>
      <c r="G47" s="68" t="s">
        <v>203</v>
      </c>
      <c r="H47" s="85" t="s">
        <v>204</v>
      </c>
      <c r="I47" s="79"/>
      <c r="K47" s="53"/>
      <c r="L47" s="53"/>
      <c r="M47" s="64" t="s">
        <v>157</v>
      </c>
      <c r="N47" s="53" t="s">
        <v>200</v>
      </c>
      <c r="O47" s="53" t="s">
        <v>201</v>
      </c>
      <c r="P47" s="53" t="s">
        <v>202</v>
      </c>
      <c r="Q47" s="53" t="s">
        <v>203</v>
      </c>
      <c r="R47" s="53" t="s">
        <v>204</v>
      </c>
      <c r="S47" s="53" t="s">
        <v>30</v>
      </c>
      <c r="T47" s="53" t="s">
        <v>205</v>
      </c>
      <c r="U47" s="53" t="s">
        <v>32</v>
      </c>
      <c r="V47" s="53"/>
      <c r="W47" s="58"/>
    </row>
    <row r="48" spans="1:23" ht="15" customHeight="1" x14ac:dyDescent="0.2">
      <c r="A48" s="1"/>
      <c r="B48" s="68"/>
      <c r="C48" s="78" t="s">
        <v>157</v>
      </c>
      <c r="D48" s="68" t="s">
        <v>206</v>
      </c>
      <c r="E48" s="68" t="s">
        <v>207</v>
      </c>
      <c r="F48" s="68" t="s">
        <v>208</v>
      </c>
      <c r="G48" s="68" t="s">
        <v>209</v>
      </c>
      <c r="H48" s="85" t="s">
        <v>210</v>
      </c>
      <c r="I48" s="79"/>
      <c r="K48" s="53"/>
      <c r="L48" s="53"/>
      <c r="M48" s="64" t="s">
        <v>157</v>
      </c>
      <c r="N48" s="53" t="s">
        <v>206</v>
      </c>
      <c r="O48" s="53" t="s">
        <v>207</v>
      </c>
      <c r="P48" s="53" t="s">
        <v>208</v>
      </c>
      <c r="Q48" s="53" t="s">
        <v>209</v>
      </c>
      <c r="R48" s="53" t="s">
        <v>210</v>
      </c>
      <c r="S48" s="53" t="s">
        <v>30</v>
      </c>
      <c r="T48" s="53" t="s">
        <v>211</v>
      </c>
      <c r="U48" s="53" t="s">
        <v>32</v>
      </c>
      <c r="V48" s="53"/>
      <c r="W48" s="58"/>
    </row>
    <row r="49" spans="1:23" ht="16.5" customHeight="1" x14ac:dyDescent="0.2">
      <c r="A49" s="1"/>
      <c r="B49" s="68"/>
      <c r="C49" s="78" t="s">
        <v>157</v>
      </c>
      <c r="D49" s="68" t="s">
        <v>212</v>
      </c>
      <c r="E49" s="68" t="s">
        <v>213</v>
      </c>
      <c r="F49" s="68" t="s">
        <v>214</v>
      </c>
      <c r="G49" s="68" t="s">
        <v>215</v>
      </c>
      <c r="H49" s="85" t="s">
        <v>216</v>
      </c>
      <c r="I49" s="79"/>
      <c r="K49" s="53"/>
      <c r="L49" s="53"/>
      <c r="M49" s="64" t="s">
        <v>157</v>
      </c>
      <c r="N49" s="53" t="s">
        <v>212</v>
      </c>
      <c r="O49" s="53" t="s">
        <v>213</v>
      </c>
      <c r="P49" s="53" t="s">
        <v>214</v>
      </c>
      <c r="Q49" s="53" t="s">
        <v>215</v>
      </c>
      <c r="R49" s="53" t="s">
        <v>216</v>
      </c>
      <c r="S49" s="53" t="s">
        <v>30</v>
      </c>
      <c r="T49" s="53" t="s">
        <v>217</v>
      </c>
      <c r="U49" s="53" t="s">
        <v>32</v>
      </c>
      <c r="V49" s="53"/>
      <c r="W49" s="58"/>
    </row>
    <row r="50" spans="1:23" ht="21.75" customHeight="1" x14ac:dyDescent="0.2">
      <c r="A50" s="1"/>
      <c r="B50" s="68"/>
      <c r="C50" s="78" t="s">
        <v>157</v>
      </c>
      <c r="D50" s="68" t="s">
        <v>218</v>
      </c>
      <c r="E50" s="68" t="s">
        <v>219</v>
      </c>
      <c r="F50" s="68" t="s">
        <v>220</v>
      </c>
      <c r="G50" s="68" t="s">
        <v>221</v>
      </c>
      <c r="H50" s="85" t="s">
        <v>222</v>
      </c>
      <c r="I50" s="79"/>
      <c r="K50" s="53"/>
      <c r="L50" s="53"/>
      <c r="M50" s="64" t="s">
        <v>157</v>
      </c>
      <c r="N50" s="53" t="s">
        <v>218</v>
      </c>
      <c r="O50" s="53" t="s">
        <v>219</v>
      </c>
      <c r="P50" s="53" t="s">
        <v>220</v>
      </c>
      <c r="Q50" s="53" t="s">
        <v>221</v>
      </c>
      <c r="R50" s="53" t="s">
        <v>222</v>
      </c>
      <c r="S50" s="53" t="s">
        <v>30</v>
      </c>
      <c r="T50" s="53" t="s">
        <v>223</v>
      </c>
      <c r="U50" s="53" t="s">
        <v>32</v>
      </c>
      <c r="V50" s="53"/>
      <c r="W50" s="58"/>
    </row>
    <row r="51" spans="1:23" ht="19.5" customHeight="1" x14ac:dyDescent="0.2">
      <c r="A51" s="1"/>
      <c r="B51" s="68"/>
      <c r="C51" s="78" t="s">
        <v>157</v>
      </c>
      <c r="D51" s="68" t="s">
        <v>224</v>
      </c>
      <c r="E51" s="68" t="s">
        <v>225</v>
      </c>
      <c r="F51" s="68" t="s">
        <v>226</v>
      </c>
      <c r="G51" s="68" t="s">
        <v>227</v>
      </c>
      <c r="H51" s="85" t="s">
        <v>228</v>
      </c>
      <c r="I51" s="79"/>
      <c r="K51" s="53"/>
      <c r="L51" s="53"/>
      <c r="M51" s="64" t="s">
        <v>157</v>
      </c>
      <c r="N51" s="53" t="s">
        <v>224</v>
      </c>
      <c r="O51" s="53" t="s">
        <v>225</v>
      </c>
      <c r="P51" s="53" t="s">
        <v>226</v>
      </c>
      <c r="Q51" s="53" t="s">
        <v>227</v>
      </c>
      <c r="R51" s="53" t="s">
        <v>228</v>
      </c>
      <c r="S51" s="53" t="s">
        <v>30</v>
      </c>
      <c r="T51" s="53" t="s">
        <v>229</v>
      </c>
      <c r="U51" s="53" t="s">
        <v>32</v>
      </c>
      <c r="V51" s="53"/>
      <c r="W51" s="58"/>
    </row>
    <row r="52" spans="1:23" ht="20.25" customHeight="1" x14ac:dyDescent="0.2">
      <c r="A52" s="1"/>
      <c r="B52" s="68"/>
      <c r="C52" s="78" t="s">
        <v>157</v>
      </c>
      <c r="D52" s="68" t="s">
        <v>230</v>
      </c>
      <c r="E52" s="68" t="s">
        <v>231</v>
      </c>
      <c r="F52" s="68" t="s">
        <v>232</v>
      </c>
      <c r="G52" s="68" t="s">
        <v>233</v>
      </c>
      <c r="H52" s="85" t="s">
        <v>234</v>
      </c>
      <c r="I52" s="79"/>
      <c r="K52" s="53"/>
      <c r="L52" s="53"/>
      <c r="M52" s="64" t="s">
        <v>157</v>
      </c>
      <c r="N52" s="53" t="s">
        <v>230</v>
      </c>
      <c r="O52" s="53" t="s">
        <v>231</v>
      </c>
      <c r="P52" s="53" t="s">
        <v>232</v>
      </c>
      <c r="Q52" s="53" t="s">
        <v>233</v>
      </c>
      <c r="R52" s="53" t="s">
        <v>234</v>
      </c>
      <c r="S52" s="53" t="s">
        <v>30</v>
      </c>
      <c r="T52" s="53" t="s">
        <v>235</v>
      </c>
      <c r="U52" s="53" t="s">
        <v>32</v>
      </c>
      <c r="V52" s="53"/>
      <c r="W52" s="58"/>
    </row>
    <row r="53" spans="1:23" ht="17.25" customHeight="1" x14ac:dyDescent="0.2">
      <c r="A53" s="1"/>
      <c r="B53" s="68"/>
      <c r="C53" s="78" t="s">
        <v>157</v>
      </c>
      <c r="D53" s="68" t="s">
        <v>236</v>
      </c>
      <c r="E53" s="68" t="s">
        <v>237</v>
      </c>
      <c r="F53" s="68" t="s">
        <v>238</v>
      </c>
      <c r="G53" s="68" t="s">
        <v>239</v>
      </c>
      <c r="H53" s="85" t="s">
        <v>240</v>
      </c>
      <c r="I53" s="79"/>
      <c r="K53" s="53"/>
      <c r="L53" s="53"/>
      <c r="M53" s="64" t="s">
        <v>157</v>
      </c>
      <c r="N53" s="53" t="s">
        <v>236</v>
      </c>
      <c r="O53" s="53" t="s">
        <v>237</v>
      </c>
      <c r="P53" s="53" t="s">
        <v>238</v>
      </c>
      <c r="Q53" s="53" t="s">
        <v>239</v>
      </c>
      <c r="R53" s="53" t="s">
        <v>240</v>
      </c>
      <c r="S53" s="53" t="s">
        <v>30</v>
      </c>
      <c r="T53" s="53" t="s">
        <v>241</v>
      </c>
      <c r="U53" s="53" t="s">
        <v>32</v>
      </c>
      <c r="V53" s="53"/>
      <c r="W53" s="58"/>
    </row>
    <row r="54" spans="1:23" ht="20.25" customHeight="1" x14ac:dyDescent="0.2">
      <c r="A54" s="1"/>
      <c r="B54" s="68"/>
      <c r="C54" s="78" t="s">
        <v>157</v>
      </c>
      <c r="D54" s="68" t="s">
        <v>242</v>
      </c>
      <c r="E54" s="68" t="s">
        <v>243</v>
      </c>
      <c r="F54" s="68" t="s">
        <v>244</v>
      </c>
      <c r="G54" s="68" t="s">
        <v>245</v>
      </c>
      <c r="H54" s="85" t="s">
        <v>246</v>
      </c>
      <c r="I54" s="79"/>
      <c r="K54" s="53"/>
      <c r="L54" s="53"/>
      <c r="M54" s="64" t="s">
        <v>157</v>
      </c>
      <c r="N54" s="53" t="s">
        <v>242</v>
      </c>
      <c r="O54" s="53" t="s">
        <v>243</v>
      </c>
      <c r="P54" s="53" t="s">
        <v>244</v>
      </c>
      <c r="Q54" s="53" t="s">
        <v>245</v>
      </c>
      <c r="R54" s="53" t="s">
        <v>246</v>
      </c>
      <c r="S54" s="53" t="s">
        <v>30</v>
      </c>
      <c r="T54" s="53" t="s">
        <v>247</v>
      </c>
      <c r="U54" s="53" t="s">
        <v>32</v>
      </c>
      <c r="V54" s="53"/>
      <c r="W54" s="58"/>
    </row>
    <row r="55" spans="1:23" ht="18.75" customHeight="1" x14ac:dyDescent="0.2">
      <c r="A55" s="1"/>
      <c r="B55" s="68"/>
      <c r="C55" s="78" t="s">
        <v>157</v>
      </c>
      <c r="D55" s="68" t="s">
        <v>248</v>
      </c>
      <c r="E55" s="68" t="s">
        <v>249</v>
      </c>
      <c r="F55" s="68" t="s">
        <v>250</v>
      </c>
      <c r="G55" s="68" t="s">
        <v>251</v>
      </c>
      <c r="H55" s="85" t="s">
        <v>252</v>
      </c>
      <c r="I55" s="79"/>
      <c r="K55" s="53"/>
      <c r="L55" s="53"/>
      <c r="M55" s="64" t="s">
        <v>157</v>
      </c>
      <c r="N55" s="53" t="s">
        <v>248</v>
      </c>
      <c r="O55" s="53" t="s">
        <v>249</v>
      </c>
      <c r="P55" s="53" t="s">
        <v>250</v>
      </c>
      <c r="Q55" s="53" t="s">
        <v>251</v>
      </c>
      <c r="R55" s="53" t="s">
        <v>252</v>
      </c>
      <c r="S55" s="53" t="s">
        <v>30</v>
      </c>
      <c r="T55" s="53" t="s">
        <v>253</v>
      </c>
      <c r="U55" s="53" t="s">
        <v>32</v>
      </c>
      <c r="V55" s="53"/>
      <c r="W55" s="58"/>
    </row>
    <row r="56" spans="1:23" ht="20.25" customHeight="1" x14ac:dyDescent="0.2">
      <c r="A56" s="1"/>
      <c r="B56" s="68"/>
      <c r="C56" s="78" t="s">
        <v>157</v>
      </c>
      <c r="D56" s="68" t="s">
        <v>254</v>
      </c>
      <c r="E56" s="68" t="s">
        <v>255</v>
      </c>
      <c r="F56" s="68" t="s">
        <v>256</v>
      </c>
      <c r="G56" s="68" t="s">
        <v>257</v>
      </c>
      <c r="H56" s="85" t="s">
        <v>258</v>
      </c>
      <c r="I56" s="79"/>
      <c r="K56" s="53"/>
      <c r="L56" s="53"/>
      <c r="M56" s="64" t="s">
        <v>157</v>
      </c>
      <c r="N56" s="53" t="s">
        <v>254</v>
      </c>
      <c r="O56" s="53" t="s">
        <v>255</v>
      </c>
      <c r="P56" s="53" t="s">
        <v>256</v>
      </c>
      <c r="Q56" s="53" t="s">
        <v>257</v>
      </c>
      <c r="R56" s="53" t="s">
        <v>258</v>
      </c>
      <c r="S56" s="53" t="s">
        <v>30</v>
      </c>
      <c r="T56" s="53" t="s">
        <v>259</v>
      </c>
      <c r="U56" s="53" t="s">
        <v>32</v>
      </c>
      <c r="V56" s="53"/>
      <c r="W56" s="58"/>
    </row>
    <row r="57" spans="1:23" ht="22.5" customHeight="1" x14ac:dyDescent="0.2">
      <c r="A57" s="1"/>
      <c r="B57" s="68"/>
      <c r="C57" s="78" t="s">
        <v>157</v>
      </c>
      <c r="D57" s="68" t="s">
        <v>260</v>
      </c>
      <c r="E57" s="68" t="s">
        <v>261</v>
      </c>
      <c r="F57" s="68" t="s">
        <v>262</v>
      </c>
      <c r="G57" s="68" t="s">
        <v>263</v>
      </c>
      <c r="H57" s="85" t="s">
        <v>264</v>
      </c>
      <c r="I57" s="79"/>
      <c r="K57" s="53"/>
      <c r="L57" s="53"/>
      <c r="M57" s="64" t="s">
        <v>157</v>
      </c>
      <c r="N57" s="53" t="s">
        <v>260</v>
      </c>
      <c r="O57" s="53" t="s">
        <v>261</v>
      </c>
      <c r="P57" s="53" t="s">
        <v>262</v>
      </c>
      <c r="Q57" s="53" t="s">
        <v>263</v>
      </c>
      <c r="R57" s="53" t="s">
        <v>264</v>
      </c>
      <c r="S57" s="53" t="s">
        <v>30</v>
      </c>
      <c r="T57" s="53" t="s">
        <v>265</v>
      </c>
      <c r="U57" s="53" t="s">
        <v>32</v>
      </c>
      <c r="V57" s="53"/>
      <c r="W57" s="58"/>
    </row>
    <row r="58" spans="1:23" ht="19.5" customHeight="1" x14ac:dyDescent="0.2">
      <c r="A58" s="1"/>
      <c r="B58" s="68"/>
      <c r="C58" s="78" t="s">
        <v>157</v>
      </c>
      <c r="D58" s="68" t="s">
        <v>266</v>
      </c>
      <c r="E58" s="68" t="s">
        <v>267</v>
      </c>
      <c r="F58" s="68" t="s">
        <v>268</v>
      </c>
      <c r="G58" s="68" t="s">
        <v>269</v>
      </c>
      <c r="H58" s="85" t="s">
        <v>270</v>
      </c>
      <c r="I58" s="79"/>
      <c r="K58" s="53"/>
      <c r="L58" s="53"/>
      <c r="M58" s="64" t="s">
        <v>157</v>
      </c>
      <c r="N58" s="53" t="s">
        <v>266</v>
      </c>
      <c r="O58" s="53" t="s">
        <v>267</v>
      </c>
      <c r="P58" s="53" t="s">
        <v>268</v>
      </c>
      <c r="Q58" s="53" t="s">
        <v>269</v>
      </c>
      <c r="R58" s="53" t="s">
        <v>270</v>
      </c>
      <c r="S58" s="53" t="s">
        <v>30</v>
      </c>
      <c r="T58" s="53" t="s">
        <v>271</v>
      </c>
      <c r="U58" s="53" t="s">
        <v>32</v>
      </c>
      <c r="V58" s="53"/>
      <c r="W58" s="58"/>
    </row>
    <row r="59" spans="1:23" ht="21" customHeight="1" x14ac:dyDescent="0.2">
      <c r="A59" s="1"/>
      <c r="B59" s="68"/>
      <c r="C59" s="78" t="s">
        <v>157</v>
      </c>
      <c r="D59" s="68" t="s">
        <v>272</v>
      </c>
      <c r="E59" s="68" t="s">
        <v>273</v>
      </c>
      <c r="F59" s="68" t="s">
        <v>274</v>
      </c>
      <c r="G59" s="68" t="s">
        <v>275</v>
      </c>
      <c r="H59" s="85" t="s">
        <v>276</v>
      </c>
      <c r="I59" s="79"/>
      <c r="K59" s="53"/>
      <c r="L59" s="53"/>
      <c r="M59" s="64" t="s">
        <v>157</v>
      </c>
      <c r="N59" s="53" t="s">
        <v>272</v>
      </c>
      <c r="O59" s="53" t="s">
        <v>273</v>
      </c>
      <c r="P59" s="53" t="s">
        <v>274</v>
      </c>
      <c r="Q59" s="53" t="s">
        <v>275</v>
      </c>
      <c r="R59" s="53" t="s">
        <v>276</v>
      </c>
      <c r="S59" s="53" t="s">
        <v>30</v>
      </c>
      <c r="T59" s="53" t="s">
        <v>277</v>
      </c>
      <c r="U59" s="53" t="s">
        <v>32</v>
      </c>
      <c r="V59" s="53"/>
      <c r="W59" s="58"/>
    </row>
    <row r="60" spans="1:23" ht="18" customHeight="1" x14ac:dyDescent="0.2">
      <c r="A60" s="1"/>
      <c r="B60" s="68"/>
      <c r="C60" s="78" t="s">
        <v>157</v>
      </c>
      <c r="D60" s="68" t="s">
        <v>278</v>
      </c>
      <c r="E60" s="68" t="s">
        <v>279</v>
      </c>
      <c r="F60" s="68" t="s">
        <v>280</v>
      </c>
      <c r="G60" s="68" t="s">
        <v>281</v>
      </c>
      <c r="H60" s="85" t="s">
        <v>282</v>
      </c>
      <c r="I60" s="79"/>
      <c r="K60" s="53"/>
      <c r="L60" s="53"/>
      <c r="M60" s="64" t="s">
        <v>157</v>
      </c>
      <c r="N60" s="53" t="s">
        <v>278</v>
      </c>
      <c r="O60" s="53" t="s">
        <v>279</v>
      </c>
      <c r="P60" s="53" t="s">
        <v>280</v>
      </c>
      <c r="Q60" s="53" t="s">
        <v>281</v>
      </c>
      <c r="R60" s="53" t="s">
        <v>282</v>
      </c>
      <c r="S60" s="53" t="s">
        <v>30</v>
      </c>
      <c r="T60" s="53" t="s">
        <v>283</v>
      </c>
      <c r="U60" s="53" t="s">
        <v>32</v>
      </c>
      <c r="V60" s="53"/>
      <c r="W60" s="58"/>
    </row>
    <row r="61" spans="1:23" ht="18" customHeight="1" x14ac:dyDescent="0.2">
      <c r="A61" s="1"/>
      <c r="B61" s="68"/>
      <c r="C61" s="78" t="s">
        <v>157</v>
      </c>
      <c r="D61" s="68" t="s">
        <v>284</v>
      </c>
      <c r="E61" s="68" t="s">
        <v>285</v>
      </c>
      <c r="F61" s="68" t="s">
        <v>286</v>
      </c>
      <c r="G61" s="68" t="s">
        <v>287</v>
      </c>
      <c r="H61" s="85" t="s">
        <v>288</v>
      </c>
      <c r="I61" s="79"/>
      <c r="K61" s="53"/>
      <c r="L61" s="53"/>
      <c r="M61" s="64" t="s">
        <v>157</v>
      </c>
      <c r="N61" s="53" t="s">
        <v>284</v>
      </c>
      <c r="O61" s="53" t="s">
        <v>285</v>
      </c>
      <c r="P61" s="53" t="s">
        <v>286</v>
      </c>
      <c r="Q61" s="53" t="s">
        <v>287</v>
      </c>
      <c r="R61" s="86" t="s">
        <v>289</v>
      </c>
      <c r="S61" s="53" t="s">
        <v>30</v>
      </c>
      <c r="T61" s="53" t="s">
        <v>290</v>
      </c>
      <c r="U61" s="53" t="s">
        <v>32</v>
      </c>
      <c r="V61" s="53"/>
      <c r="W61" s="58"/>
    </row>
    <row r="62" spans="1:23" ht="18.75" customHeight="1" x14ac:dyDescent="0.2">
      <c r="A62" s="1"/>
      <c r="B62" s="68"/>
      <c r="C62" s="78" t="s">
        <v>157</v>
      </c>
      <c r="D62" s="68" t="s">
        <v>291</v>
      </c>
      <c r="E62" s="68" t="s">
        <v>292</v>
      </c>
      <c r="F62" s="68" t="s">
        <v>293</v>
      </c>
      <c r="G62" s="68" t="s">
        <v>294</v>
      </c>
      <c r="H62" s="85" t="s">
        <v>295</v>
      </c>
      <c r="I62" s="79"/>
      <c r="K62" s="53"/>
      <c r="L62" s="53"/>
      <c r="M62" s="64" t="s">
        <v>157</v>
      </c>
      <c r="N62" s="53" t="s">
        <v>291</v>
      </c>
      <c r="O62" s="53" t="s">
        <v>292</v>
      </c>
      <c r="P62" s="53" t="s">
        <v>293</v>
      </c>
      <c r="Q62" s="53" t="s">
        <v>294</v>
      </c>
      <c r="R62" s="53" t="s">
        <v>295</v>
      </c>
      <c r="S62" s="53" t="s">
        <v>30</v>
      </c>
      <c r="T62" s="53" t="s">
        <v>296</v>
      </c>
      <c r="U62" s="53" t="s">
        <v>32</v>
      </c>
      <c r="V62" s="53"/>
      <c r="W62" s="58"/>
    </row>
    <row r="63" spans="1:23" ht="18.75" customHeight="1" x14ac:dyDescent="0.2">
      <c r="A63" s="1"/>
      <c r="B63" s="68"/>
      <c r="C63" s="78" t="s">
        <v>157</v>
      </c>
      <c r="D63" s="68" t="s">
        <v>297</v>
      </c>
      <c r="E63" s="68" t="s">
        <v>298</v>
      </c>
      <c r="F63" s="68" t="s">
        <v>299</v>
      </c>
      <c r="G63" s="68" t="s">
        <v>300</v>
      </c>
      <c r="H63" s="85" t="s">
        <v>301</v>
      </c>
      <c r="I63" s="79"/>
      <c r="K63" s="53"/>
      <c r="L63" s="53"/>
      <c r="M63" s="64" t="s">
        <v>157</v>
      </c>
      <c r="N63" s="53" t="s">
        <v>297</v>
      </c>
      <c r="O63" s="53" t="s">
        <v>298</v>
      </c>
      <c r="P63" s="53" t="s">
        <v>299</v>
      </c>
      <c r="Q63" s="53" t="s">
        <v>300</v>
      </c>
      <c r="R63" s="53" t="s">
        <v>301</v>
      </c>
      <c r="S63" s="53" t="s">
        <v>30</v>
      </c>
      <c r="T63" s="53" t="s">
        <v>302</v>
      </c>
      <c r="U63" s="53" t="s">
        <v>32</v>
      </c>
      <c r="V63" s="53"/>
      <c r="W63" s="58"/>
    </row>
    <row r="64" spans="1:23" ht="17.25" customHeight="1" thickBot="1" x14ac:dyDescent="0.25">
      <c r="A64" s="3"/>
      <c r="B64" s="80"/>
      <c r="C64" s="81" t="s">
        <v>303</v>
      </c>
      <c r="D64" s="80" t="s">
        <v>304</v>
      </c>
      <c r="E64" s="80" t="s">
        <v>305</v>
      </c>
      <c r="F64" s="80" t="s">
        <v>306</v>
      </c>
      <c r="G64" s="80" t="s">
        <v>307</v>
      </c>
      <c r="H64" s="89" t="s">
        <v>308</v>
      </c>
      <c r="I64" s="82"/>
      <c r="J64" s="4"/>
      <c r="K64" s="65"/>
      <c r="L64" s="65"/>
      <c r="M64" s="66" t="s">
        <v>303</v>
      </c>
      <c r="N64" s="65" t="s">
        <v>304</v>
      </c>
      <c r="O64" s="65" t="s">
        <v>305</v>
      </c>
      <c r="P64" s="65" t="s">
        <v>306</v>
      </c>
      <c r="Q64" s="65" t="s">
        <v>307</v>
      </c>
      <c r="R64" s="65" t="s">
        <v>308</v>
      </c>
      <c r="S64" s="65" t="s">
        <v>30</v>
      </c>
      <c r="T64" s="65"/>
      <c r="U64" s="65" t="s">
        <v>32</v>
      </c>
      <c r="V64" s="65"/>
      <c r="W64" s="67"/>
    </row>
    <row r="65" spans="1:23" x14ac:dyDescent="0.2">
      <c r="B65" s="18"/>
      <c r="H65" s="90"/>
      <c r="I65" s="18"/>
      <c r="L65" s="18"/>
      <c r="W65" s="18"/>
    </row>
    <row r="66" spans="1:23" ht="13.5" thickBot="1" x14ac:dyDescent="0.25"/>
    <row r="67" spans="1:23" ht="53.25" customHeight="1" thickBot="1" x14ac:dyDescent="0.25">
      <c r="A67" s="99" t="s">
        <v>309</v>
      </c>
      <c r="B67" s="91" t="s">
        <v>3</v>
      </c>
      <c r="C67" s="124" t="s">
        <v>154</v>
      </c>
      <c r="D67" s="71"/>
      <c r="E67" s="71"/>
      <c r="F67" s="71"/>
      <c r="G67" s="71"/>
      <c r="H67" s="71"/>
      <c r="I67" s="71"/>
      <c r="J67" s="18"/>
      <c r="K67" s="54"/>
      <c r="L67" s="98" t="s">
        <v>3</v>
      </c>
      <c r="M67" s="125" t="s">
        <v>154</v>
      </c>
      <c r="N67" s="54"/>
      <c r="O67" s="54"/>
      <c r="P67" s="54"/>
      <c r="Q67" s="54"/>
      <c r="R67" s="54"/>
      <c r="S67" s="54"/>
      <c r="T67" s="54"/>
      <c r="U67" s="54"/>
      <c r="V67" s="54"/>
      <c r="W67" s="57"/>
    </row>
    <row r="68" spans="1:23" x14ac:dyDescent="0.2">
      <c r="A68" s="1"/>
      <c r="B68" s="68"/>
      <c r="C68" s="68"/>
      <c r="D68" s="68"/>
      <c r="E68" s="68"/>
      <c r="F68" s="68"/>
      <c r="G68" s="68"/>
      <c r="H68" s="68"/>
      <c r="I68" s="68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8"/>
    </row>
    <row r="69" spans="1:23" x14ac:dyDescent="0.2">
      <c r="A69" s="1"/>
      <c r="B69" s="68"/>
      <c r="C69" s="68"/>
      <c r="D69" s="68"/>
      <c r="E69" s="68"/>
      <c r="F69" s="68"/>
      <c r="G69" s="68"/>
      <c r="H69" s="68"/>
      <c r="I69" s="68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8"/>
    </row>
    <row r="70" spans="1:23" ht="13.5" thickBot="1" x14ac:dyDescent="0.25">
      <c r="A70" s="1"/>
      <c r="B70" s="68"/>
      <c r="C70" s="68"/>
      <c r="D70" s="68"/>
      <c r="E70" s="68"/>
      <c r="F70" s="68"/>
      <c r="G70" s="68"/>
      <c r="H70" s="68"/>
      <c r="I70" s="68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8"/>
    </row>
    <row r="71" spans="1:23" ht="51" customHeight="1" x14ac:dyDescent="0.2">
      <c r="A71" s="1"/>
      <c r="B71" s="116" t="s">
        <v>9</v>
      </c>
      <c r="C71" s="117" t="s">
        <v>10</v>
      </c>
      <c r="D71" s="118" t="s">
        <v>11</v>
      </c>
      <c r="E71" s="118" t="s">
        <v>12</v>
      </c>
      <c r="F71" s="118" t="s">
        <v>13</v>
      </c>
      <c r="G71" s="118" t="s">
        <v>14</v>
      </c>
      <c r="H71" s="118" t="s">
        <v>156</v>
      </c>
      <c r="I71" s="119"/>
      <c r="K71" s="53"/>
      <c r="L71" s="120" t="s">
        <v>9</v>
      </c>
      <c r="M71" s="121" t="s">
        <v>10</v>
      </c>
      <c r="N71" s="122" t="s">
        <v>11</v>
      </c>
      <c r="O71" s="122" t="s">
        <v>12</v>
      </c>
      <c r="P71" s="122" t="s">
        <v>13</v>
      </c>
      <c r="Q71" s="122" t="s">
        <v>14</v>
      </c>
      <c r="R71" s="122" t="s">
        <v>156</v>
      </c>
      <c r="S71" s="123"/>
      <c r="T71" s="53"/>
      <c r="U71" s="53"/>
      <c r="V71" s="53"/>
      <c r="W71" s="58"/>
    </row>
    <row r="72" spans="1:23" ht="20.25" customHeight="1" x14ac:dyDescent="0.2">
      <c r="A72" s="1"/>
      <c r="B72" s="103"/>
      <c r="C72" s="112" t="s">
        <v>157</v>
      </c>
      <c r="D72" s="107" t="s">
        <v>158</v>
      </c>
      <c r="E72" s="107" t="s">
        <v>159</v>
      </c>
      <c r="F72" s="107" t="s">
        <v>160</v>
      </c>
      <c r="G72" s="107" t="s">
        <v>161</v>
      </c>
      <c r="H72" s="114" t="s">
        <v>162</v>
      </c>
      <c r="I72" s="104"/>
      <c r="K72" s="53"/>
      <c r="L72" s="108"/>
      <c r="M72" s="64" t="s">
        <v>157</v>
      </c>
      <c r="N72" s="53" t="s">
        <v>310</v>
      </c>
      <c r="O72" s="53" t="s">
        <v>311</v>
      </c>
      <c r="P72" s="53" t="s">
        <v>160</v>
      </c>
      <c r="Q72" s="53" t="s">
        <v>161</v>
      </c>
      <c r="R72" s="86" t="s">
        <v>162</v>
      </c>
      <c r="S72" s="58"/>
      <c r="T72" s="53"/>
      <c r="U72" s="53"/>
      <c r="V72" s="53"/>
      <c r="W72" s="58"/>
    </row>
    <row r="73" spans="1:23" ht="25.5" customHeight="1" x14ac:dyDescent="0.2">
      <c r="A73" s="1"/>
      <c r="B73" s="103"/>
      <c r="C73" s="112" t="s">
        <v>157</v>
      </c>
      <c r="D73" s="107" t="s">
        <v>164</v>
      </c>
      <c r="E73" s="107" t="s">
        <v>165</v>
      </c>
      <c r="F73" s="107" t="s">
        <v>166</v>
      </c>
      <c r="G73" s="107" t="s">
        <v>167</v>
      </c>
      <c r="H73" s="114" t="s">
        <v>168</v>
      </c>
      <c r="I73" s="104"/>
      <c r="K73" s="53"/>
      <c r="L73" s="108"/>
      <c r="M73" s="64" t="s">
        <v>157</v>
      </c>
      <c r="N73" s="53" t="s">
        <v>312</v>
      </c>
      <c r="O73" s="53" t="s">
        <v>313</v>
      </c>
      <c r="P73" s="53" t="s">
        <v>166</v>
      </c>
      <c r="Q73" s="53" t="s">
        <v>167</v>
      </c>
      <c r="R73" s="86" t="s">
        <v>168</v>
      </c>
      <c r="S73" s="58"/>
      <c r="T73" s="53"/>
      <c r="U73" s="53"/>
      <c r="V73" s="53"/>
      <c r="W73" s="58"/>
    </row>
    <row r="74" spans="1:23" ht="17.25" customHeight="1" x14ac:dyDescent="0.2">
      <c r="A74" s="1"/>
      <c r="B74" s="103"/>
      <c r="C74" s="112" t="s">
        <v>157</v>
      </c>
      <c r="D74" s="107" t="s">
        <v>170</v>
      </c>
      <c r="E74" s="107" t="s">
        <v>171</v>
      </c>
      <c r="F74" s="107" t="s">
        <v>172</v>
      </c>
      <c r="G74" s="107" t="s">
        <v>173</v>
      </c>
      <c r="H74" s="114" t="s">
        <v>174</v>
      </c>
      <c r="I74" s="104"/>
      <c r="K74" s="53"/>
      <c r="L74" s="108"/>
      <c r="M74" s="64" t="s">
        <v>157</v>
      </c>
      <c r="N74" s="53" t="s">
        <v>314</v>
      </c>
      <c r="O74" s="53" t="s">
        <v>315</v>
      </c>
      <c r="P74" s="53" t="s">
        <v>172</v>
      </c>
      <c r="Q74" s="53" t="s">
        <v>173</v>
      </c>
      <c r="R74" s="86" t="s">
        <v>174</v>
      </c>
      <c r="S74" s="58"/>
      <c r="T74" s="53"/>
      <c r="U74" s="53"/>
      <c r="V74" s="53"/>
      <c r="W74" s="58"/>
    </row>
    <row r="75" spans="1:23" ht="21.75" customHeight="1" x14ac:dyDescent="0.2">
      <c r="A75" s="1"/>
      <c r="B75" s="103"/>
      <c r="C75" s="112" t="s">
        <v>157</v>
      </c>
      <c r="D75" s="107" t="s">
        <v>176</v>
      </c>
      <c r="E75" s="107" t="s">
        <v>177</v>
      </c>
      <c r="F75" s="107" t="s">
        <v>178</v>
      </c>
      <c r="G75" s="107" t="s">
        <v>179</v>
      </c>
      <c r="H75" s="114" t="s">
        <v>180</v>
      </c>
      <c r="I75" s="104"/>
      <c r="K75" s="53"/>
      <c r="L75" s="108"/>
      <c r="M75" s="64" t="s">
        <v>157</v>
      </c>
      <c r="N75" s="53" t="s">
        <v>316</v>
      </c>
      <c r="O75" s="53" t="s">
        <v>317</v>
      </c>
      <c r="P75" s="53" t="s">
        <v>178</v>
      </c>
      <c r="Q75" s="53" t="s">
        <v>179</v>
      </c>
      <c r="R75" s="86" t="s">
        <v>180</v>
      </c>
      <c r="S75" s="58"/>
      <c r="T75" s="53"/>
      <c r="U75" s="53"/>
      <c r="V75" s="53"/>
      <c r="W75" s="58"/>
    </row>
    <row r="76" spans="1:23" ht="17.25" customHeight="1" x14ac:dyDescent="0.2">
      <c r="A76" s="1"/>
      <c r="B76" s="103"/>
      <c r="C76" s="112" t="s">
        <v>157</v>
      </c>
      <c r="D76" s="107" t="s">
        <v>182</v>
      </c>
      <c r="E76" s="107" t="s">
        <v>183</v>
      </c>
      <c r="F76" s="107" t="s">
        <v>184</v>
      </c>
      <c r="G76" s="107" t="s">
        <v>185</v>
      </c>
      <c r="H76" s="114" t="s">
        <v>186</v>
      </c>
      <c r="I76" s="104"/>
      <c r="K76" s="53"/>
      <c r="L76" s="108"/>
      <c r="M76" s="64" t="s">
        <v>157</v>
      </c>
      <c r="N76" s="53" t="s">
        <v>318</v>
      </c>
      <c r="O76" s="53" t="s">
        <v>319</v>
      </c>
      <c r="P76" s="53" t="s">
        <v>184</v>
      </c>
      <c r="Q76" s="53" t="s">
        <v>185</v>
      </c>
      <c r="R76" s="86" t="s">
        <v>186</v>
      </c>
      <c r="S76" s="58"/>
      <c r="T76" s="53"/>
      <c r="U76" s="53"/>
      <c r="V76" s="53"/>
      <c r="W76" s="58"/>
    </row>
    <row r="77" spans="1:23" ht="20.25" customHeight="1" x14ac:dyDescent="0.2">
      <c r="A77" s="1"/>
      <c r="B77" s="103"/>
      <c r="C77" s="112" t="s">
        <v>157</v>
      </c>
      <c r="D77" s="107" t="s">
        <v>188</v>
      </c>
      <c r="E77" s="107" t="s">
        <v>189</v>
      </c>
      <c r="F77" s="107" t="s">
        <v>190</v>
      </c>
      <c r="G77" s="107" t="s">
        <v>191</v>
      </c>
      <c r="H77" s="114" t="s">
        <v>192</v>
      </c>
      <c r="I77" s="104"/>
      <c r="K77" s="53"/>
      <c r="L77" s="108"/>
      <c r="M77" s="64" t="s">
        <v>157</v>
      </c>
      <c r="N77" s="53" t="s">
        <v>320</v>
      </c>
      <c r="O77" s="53" t="s">
        <v>321</v>
      </c>
      <c r="P77" s="53" t="s">
        <v>190</v>
      </c>
      <c r="Q77" s="53" t="s">
        <v>191</v>
      </c>
      <c r="R77" s="86" t="s">
        <v>192</v>
      </c>
      <c r="S77" s="58"/>
      <c r="T77" s="53"/>
      <c r="U77" s="53"/>
      <c r="V77" s="53"/>
      <c r="W77" s="58"/>
    </row>
    <row r="78" spans="1:23" ht="17.25" customHeight="1" x14ac:dyDescent="0.2">
      <c r="A78" s="1"/>
      <c r="B78" s="103"/>
      <c r="C78" s="112" t="s">
        <v>157</v>
      </c>
      <c r="D78" s="107" t="s">
        <v>194</v>
      </c>
      <c r="E78" s="107" t="s">
        <v>195</v>
      </c>
      <c r="F78" s="107" t="s">
        <v>196</v>
      </c>
      <c r="G78" s="107" t="s">
        <v>197</v>
      </c>
      <c r="H78" s="114" t="s">
        <v>198</v>
      </c>
      <c r="I78" s="104"/>
      <c r="K78" s="53"/>
      <c r="L78" s="108"/>
      <c r="M78" s="64" t="s">
        <v>157</v>
      </c>
      <c r="N78" s="53" t="s">
        <v>322</v>
      </c>
      <c r="O78" s="53" t="s">
        <v>323</v>
      </c>
      <c r="P78" s="53" t="s">
        <v>196</v>
      </c>
      <c r="Q78" s="53" t="s">
        <v>197</v>
      </c>
      <c r="R78" s="86" t="s">
        <v>198</v>
      </c>
      <c r="S78" s="58"/>
      <c r="T78" s="53"/>
      <c r="U78" s="53"/>
      <c r="V78" s="53"/>
      <c r="W78" s="58"/>
    </row>
    <row r="79" spans="1:23" ht="20.25" customHeight="1" x14ac:dyDescent="0.2">
      <c r="A79" s="1"/>
      <c r="B79" s="103"/>
      <c r="C79" s="112" t="s">
        <v>157</v>
      </c>
      <c r="D79" s="107" t="s">
        <v>200</v>
      </c>
      <c r="E79" s="107" t="s">
        <v>201</v>
      </c>
      <c r="F79" s="107" t="s">
        <v>202</v>
      </c>
      <c r="G79" s="107" t="s">
        <v>203</v>
      </c>
      <c r="H79" s="114" t="s">
        <v>204</v>
      </c>
      <c r="I79" s="104"/>
      <c r="K79" s="53"/>
      <c r="L79" s="108"/>
      <c r="M79" s="64" t="s">
        <v>157</v>
      </c>
      <c r="N79" s="53" t="s">
        <v>324</v>
      </c>
      <c r="O79" s="53" t="s">
        <v>325</v>
      </c>
      <c r="P79" s="53" t="s">
        <v>202</v>
      </c>
      <c r="Q79" s="53" t="s">
        <v>203</v>
      </c>
      <c r="R79" s="86" t="s">
        <v>204</v>
      </c>
      <c r="S79" s="58"/>
      <c r="T79" s="53"/>
      <c r="U79" s="53"/>
      <c r="V79" s="53"/>
      <c r="W79" s="58"/>
    </row>
    <row r="80" spans="1:23" ht="16.5" customHeight="1" x14ac:dyDescent="0.2">
      <c r="A80" s="1"/>
      <c r="B80" s="103"/>
      <c r="C80" s="112" t="s">
        <v>157</v>
      </c>
      <c r="D80" s="107" t="s">
        <v>206</v>
      </c>
      <c r="E80" s="107" t="s">
        <v>207</v>
      </c>
      <c r="F80" s="107" t="s">
        <v>208</v>
      </c>
      <c r="G80" s="107" t="s">
        <v>209</v>
      </c>
      <c r="H80" s="114" t="s">
        <v>210</v>
      </c>
      <c r="I80" s="104"/>
      <c r="K80" s="53"/>
      <c r="L80" s="108"/>
      <c r="M80" s="64" t="s">
        <v>157</v>
      </c>
      <c r="N80" s="53" t="s">
        <v>326</v>
      </c>
      <c r="O80" s="53" t="s">
        <v>327</v>
      </c>
      <c r="P80" s="53" t="s">
        <v>208</v>
      </c>
      <c r="Q80" s="53" t="s">
        <v>209</v>
      </c>
      <c r="R80" s="86" t="s">
        <v>210</v>
      </c>
      <c r="S80" s="58"/>
      <c r="T80" s="53"/>
      <c r="U80" s="53"/>
      <c r="V80" s="53"/>
      <c r="W80" s="58"/>
    </row>
    <row r="81" spans="1:23" ht="18.75" customHeight="1" x14ac:dyDescent="0.2">
      <c r="A81" s="1"/>
      <c r="B81" s="103"/>
      <c r="C81" s="112" t="s">
        <v>157</v>
      </c>
      <c r="D81" s="107" t="s">
        <v>212</v>
      </c>
      <c r="E81" s="107" t="s">
        <v>213</v>
      </c>
      <c r="F81" s="107" t="s">
        <v>214</v>
      </c>
      <c r="G81" s="107" t="s">
        <v>215</v>
      </c>
      <c r="H81" s="114" t="s">
        <v>216</v>
      </c>
      <c r="I81" s="104"/>
      <c r="K81" s="53"/>
      <c r="L81" s="108"/>
      <c r="M81" s="64" t="s">
        <v>157</v>
      </c>
      <c r="N81" s="53" t="s">
        <v>328</v>
      </c>
      <c r="O81" s="53" t="s">
        <v>329</v>
      </c>
      <c r="P81" s="53" t="s">
        <v>214</v>
      </c>
      <c r="Q81" s="53" t="s">
        <v>215</v>
      </c>
      <c r="R81" s="86" t="s">
        <v>216</v>
      </c>
      <c r="S81" s="58"/>
      <c r="T81" s="53"/>
      <c r="U81" s="53"/>
      <c r="V81" s="53"/>
      <c r="W81" s="58"/>
    </row>
    <row r="82" spans="1:23" ht="26.25" customHeight="1" x14ac:dyDescent="0.2">
      <c r="A82" s="1"/>
      <c r="B82" s="103"/>
      <c r="C82" s="112" t="s">
        <v>157</v>
      </c>
      <c r="D82" s="107" t="s">
        <v>218</v>
      </c>
      <c r="E82" s="107" t="s">
        <v>219</v>
      </c>
      <c r="F82" s="107" t="s">
        <v>220</v>
      </c>
      <c r="G82" s="107" t="s">
        <v>221</v>
      </c>
      <c r="H82" s="114" t="s">
        <v>222</v>
      </c>
      <c r="I82" s="104"/>
      <c r="K82" s="53"/>
      <c r="L82" s="108"/>
      <c r="M82" s="64" t="s">
        <v>157</v>
      </c>
      <c r="N82" s="53" t="s">
        <v>330</v>
      </c>
      <c r="O82" s="53" t="s">
        <v>331</v>
      </c>
      <c r="P82" s="53" t="s">
        <v>220</v>
      </c>
      <c r="Q82" s="53" t="s">
        <v>221</v>
      </c>
      <c r="R82" s="86" t="s">
        <v>222</v>
      </c>
      <c r="S82" s="58"/>
      <c r="T82" s="53"/>
      <c r="U82" s="53"/>
      <c r="V82" s="53"/>
      <c r="W82" s="58"/>
    </row>
    <row r="83" spans="1:23" ht="19.5" customHeight="1" x14ac:dyDescent="0.2">
      <c r="A83" s="1"/>
      <c r="B83" s="103"/>
      <c r="C83" s="112" t="s">
        <v>157</v>
      </c>
      <c r="D83" s="107" t="s">
        <v>224</v>
      </c>
      <c r="E83" s="107" t="s">
        <v>225</v>
      </c>
      <c r="F83" s="107" t="s">
        <v>226</v>
      </c>
      <c r="G83" s="107" t="s">
        <v>227</v>
      </c>
      <c r="H83" s="114" t="s">
        <v>228</v>
      </c>
      <c r="I83" s="104"/>
      <c r="K83" s="53"/>
      <c r="L83" s="108"/>
      <c r="M83" s="64" t="s">
        <v>157</v>
      </c>
      <c r="N83" s="53" t="s">
        <v>332</v>
      </c>
      <c r="O83" s="53" t="s">
        <v>333</v>
      </c>
      <c r="P83" s="53" t="s">
        <v>226</v>
      </c>
      <c r="Q83" s="53" t="s">
        <v>227</v>
      </c>
      <c r="R83" s="86" t="s">
        <v>228</v>
      </c>
      <c r="S83" s="58"/>
      <c r="T83" s="53"/>
      <c r="U83" s="53"/>
      <c r="V83" s="53"/>
      <c r="W83" s="58"/>
    </row>
    <row r="84" spans="1:23" ht="17.25" customHeight="1" x14ac:dyDescent="0.2">
      <c r="A84" s="1"/>
      <c r="B84" s="103"/>
      <c r="C84" s="112" t="s">
        <v>157</v>
      </c>
      <c r="D84" s="107" t="s">
        <v>230</v>
      </c>
      <c r="E84" s="107" t="s">
        <v>231</v>
      </c>
      <c r="F84" s="107" t="s">
        <v>232</v>
      </c>
      <c r="G84" s="107" t="s">
        <v>233</v>
      </c>
      <c r="H84" s="114" t="s">
        <v>234</v>
      </c>
      <c r="I84" s="104"/>
      <c r="K84" s="53"/>
      <c r="L84" s="108"/>
      <c r="M84" s="64" t="s">
        <v>157</v>
      </c>
      <c r="N84" s="53" t="s">
        <v>334</v>
      </c>
      <c r="O84" s="53" t="s">
        <v>335</v>
      </c>
      <c r="P84" s="53" t="s">
        <v>232</v>
      </c>
      <c r="Q84" s="53" t="s">
        <v>233</v>
      </c>
      <c r="R84" s="86" t="s">
        <v>234</v>
      </c>
      <c r="S84" s="58"/>
      <c r="T84" s="53"/>
      <c r="U84" s="53"/>
      <c r="V84" s="53"/>
      <c r="W84" s="58"/>
    </row>
    <row r="85" spans="1:23" ht="18" customHeight="1" x14ac:dyDescent="0.2">
      <c r="A85" s="1"/>
      <c r="B85" s="103"/>
      <c r="C85" s="112" t="s">
        <v>157</v>
      </c>
      <c r="D85" s="107" t="s">
        <v>236</v>
      </c>
      <c r="E85" s="107" t="s">
        <v>237</v>
      </c>
      <c r="F85" s="107" t="s">
        <v>238</v>
      </c>
      <c r="G85" s="107" t="s">
        <v>239</v>
      </c>
      <c r="H85" s="114" t="s">
        <v>240</v>
      </c>
      <c r="I85" s="104"/>
      <c r="K85" s="53"/>
      <c r="L85" s="108"/>
      <c r="M85" s="64" t="s">
        <v>157</v>
      </c>
      <c r="N85" s="53" t="s">
        <v>336</v>
      </c>
      <c r="O85" s="53" t="s">
        <v>337</v>
      </c>
      <c r="P85" s="53" t="s">
        <v>238</v>
      </c>
      <c r="Q85" s="53" t="s">
        <v>239</v>
      </c>
      <c r="R85" s="86" t="s">
        <v>240</v>
      </c>
      <c r="S85" s="58"/>
      <c r="T85" s="53"/>
      <c r="U85" s="53"/>
      <c r="V85" s="53"/>
      <c r="W85" s="58"/>
    </row>
    <row r="86" spans="1:23" ht="20.25" customHeight="1" x14ac:dyDescent="0.2">
      <c r="A86" s="1"/>
      <c r="B86" s="103"/>
      <c r="C86" s="112" t="s">
        <v>157</v>
      </c>
      <c r="D86" s="107" t="s">
        <v>242</v>
      </c>
      <c r="E86" s="107" t="s">
        <v>243</v>
      </c>
      <c r="F86" s="107" t="s">
        <v>244</v>
      </c>
      <c r="G86" s="107" t="s">
        <v>245</v>
      </c>
      <c r="H86" s="114" t="s">
        <v>246</v>
      </c>
      <c r="I86" s="104"/>
      <c r="K86" s="53"/>
      <c r="L86" s="108"/>
      <c r="M86" s="64" t="s">
        <v>157</v>
      </c>
      <c r="N86" s="53" t="s">
        <v>338</v>
      </c>
      <c r="O86" s="53" t="s">
        <v>339</v>
      </c>
      <c r="P86" s="53" t="s">
        <v>244</v>
      </c>
      <c r="Q86" s="53" t="s">
        <v>245</v>
      </c>
      <c r="R86" s="86" t="s">
        <v>246</v>
      </c>
      <c r="S86" s="58"/>
      <c r="T86" s="53"/>
      <c r="U86" s="53"/>
      <c r="V86" s="53"/>
      <c r="W86" s="58"/>
    </row>
    <row r="87" spans="1:23" ht="23.25" customHeight="1" x14ac:dyDescent="0.2">
      <c r="A87" s="1"/>
      <c r="B87" s="103"/>
      <c r="C87" s="112" t="s">
        <v>157</v>
      </c>
      <c r="D87" s="107" t="s">
        <v>248</v>
      </c>
      <c r="E87" s="107" t="s">
        <v>249</v>
      </c>
      <c r="F87" s="107" t="s">
        <v>250</v>
      </c>
      <c r="G87" s="107" t="s">
        <v>251</v>
      </c>
      <c r="H87" s="114" t="s">
        <v>252</v>
      </c>
      <c r="I87" s="104"/>
      <c r="K87" s="53"/>
      <c r="L87" s="108"/>
      <c r="M87" s="64" t="s">
        <v>157</v>
      </c>
      <c r="N87" s="53" t="s">
        <v>340</v>
      </c>
      <c r="O87" s="53" t="s">
        <v>341</v>
      </c>
      <c r="P87" s="53" t="s">
        <v>250</v>
      </c>
      <c r="Q87" s="53" t="s">
        <v>251</v>
      </c>
      <c r="R87" s="86" t="s">
        <v>252</v>
      </c>
      <c r="S87" s="58"/>
      <c r="T87" s="53"/>
      <c r="U87" s="53"/>
      <c r="V87" s="53"/>
      <c r="W87" s="58"/>
    </row>
    <row r="88" spans="1:23" ht="20.25" customHeight="1" x14ac:dyDescent="0.2">
      <c r="A88" s="1"/>
      <c r="B88" s="103"/>
      <c r="C88" s="112" t="s">
        <v>157</v>
      </c>
      <c r="D88" s="107" t="s">
        <v>254</v>
      </c>
      <c r="E88" s="107" t="s">
        <v>255</v>
      </c>
      <c r="F88" s="107" t="s">
        <v>256</v>
      </c>
      <c r="G88" s="107" t="s">
        <v>257</v>
      </c>
      <c r="H88" s="114" t="s">
        <v>258</v>
      </c>
      <c r="I88" s="104"/>
      <c r="K88" s="53"/>
      <c r="L88" s="108"/>
      <c r="M88" s="64" t="s">
        <v>157</v>
      </c>
      <c r="N88" s="53" t="s">
        <v>342</v>
      </c>
      <c r="O88" s="53" t="s">
        <v>343</v>
      </c>
      <c r="P88" s="53" t="s">
        <v>256</v>
      </c>
      <c r="Q88" s="53" t="s">
        <v>257</v>
      </c>
      <c r="R88" s="86" t="s">
        <v>258</v>
      </c>
      <c r="S88" s="58"/>
      <c r="T88" s="53"/>
      <c r="U88" s="53"/>
      <c r="V88" s="53"/>
      <c r="W88" s="58"/>
    </row>
    <row r="89" spans="1:23" ht="21.75" customHeight="1" x14ac:dyDescent="0.2">
      <c r="A89" s="1"/>
      <c r="B89" s="103"/>
      <c r="C89" s="112" t="s">
        <v>157</v>
      </c>
      <c r="D89" s="107" t="s">
        <v>260</v>
      </c>
      <c r="E89" s="107" t="s">
        <v>261</v>
      </c>
      <c r="F89" s="107" t="s">
        <v>262</v>
      </c>
      <c r="G89" s="107" t="s">
        <v>263</v>
      </c>
      <c r="H89" s="114" t="s">
        <v>264</v>
      </c>
      <c r="I89" s="104"/>
      <c r="K89" s="53"/>
      <c r="L89" s="108"/>
      <c r="M89" s="64" t="s">
        <v>157</v>
      </c>
      <c r="N89" s="53" t="s">
        <v>344</v>
      </c>
      <c r="O89" s="53" t="s">
        <v>345</v>
      </c>
      <c r="P89" s="53" t="s">
        <v>262</v>
      </c>
      <c r="Q89" s="53" t="s">
        <v>263</v>
      </c>
      <c r="R89" s="86" t="s">
        <v>264</v>
      </c>
      <c r="S89" s="58"/>
      <c r="T89" s="53"/>
      <c r="U89" s="53"/>
      <c r="V89" s="53"/>
      <c r="W89" s="58"/>
    </row>
    <row r="90" spans="1:23" ht="18" customHeight="1" x14ac:dyDescent="0.2">
      <c r="A90" s="1"/>
      <c r="B90" s="103"/>
      <c r="C90" s="112" t="s">
        <v>157</v>
      </c>
      <c r="D90" s="107" t="s">
        <v>266</v>
      </c>
      <c r="E90" s="107" t="s">
        <v>267</v>
      </c>
      <c r="F90" s="107" t="s">
        <v>268</v>
      </c>
      <c r="G90" s="107" t="s">
        <v>269</v>
      </c>
      <c r="H90" s="114" t="s">
        <v>270</v>
      </c>
      <c r="I90" s="104"/>
      <c r="K90" s="53"/>
      <c r="L90" s="108"/>
      <c r="M90" s="64" t="s">
        <v>157</v>
      </c>
      <c r="N90" s="53" t="s">
        <v>346</v>
      </c>
      <c r="O90" s="53" t="s">
        <v>347</v>
      </c>
      <c r="P90" s="53" t="s">
        <v>268</v>
      </c>
      <c r="Q90" s="53" t="s">
        <v>269</v>
      </c>
      <c r="R90" s="86" t="s">
        <v>270</v>
      </c>
      <c r="S90" s="58"/>
      <c r="T90" s="53"/>
      <c r="U90" s="53"/>
      <c r="V90" s="53"/>
      <c r="W90" s="58"/>
    </row>
    <row r="91" spans="1:23" ht="24.75" customHeight="1" x14ac:dyDescent="0.2">
      <c r="A91" s="1"/>
      <c r="B91" s="103"/>
      <c r="C91" s="112" t="s">
        <v>157</v>
      </c>
      <c r="D91" s="107" t="s">
        <v>272</v>
      </c>
      <c r="E91" s="107" t="s">
        <v>273</v>
      </c>
      <c r="F91" s="107" t="s">
        <v>274</v>
      </c>
      <c r="G91" s="107" t="s">
        <v>275</v>
      </c>
      <c r="H91" s="114" t="s">
        <v>276</v>
      </c>
      <c r="I91" s="104"/>
      <c r="K91" s="53"/>
      <c r="L91" s="108"/>
      <c r="M91" s="64" t="s">
        <v>157</v>
      </c>
      <c r="N91" s="53" t="s">
        <v>348</v>
      </c>
      <c r="O91" s="53" t="s">
        <v>349</v>
      </c>
      <c r="P91" s="53" t="s">
        <v>274</v>
      </c>
      <c r="Q91" s="53" t="s">
        <v>275</v>
      </c>
      <c r="R91" s="86" t="s">
        <v>276</v>
      </c>
      <c r="S91" s="58"/>
      <c r="T91" s="53"/>
      <c r="U91" s="53"/>
      <c r="V91" s="53"/>
      <c r="W91" s="58"/>
    </row>
    <row r="92" spans="1:23" ht="21" customHeight="1" x14ac:dyDescent="0.2">
      <c r="A92" s="1"/>
      <c r="B92" s="103"/>
      <c r="C92" s="112" t="s">
        <v>157</v>
      </c>
      <c r="D92" s="107" t="s">
        <v>278</v>
      </c>
      <c r="E92" s="107" t="s">
        <v>279</v>
      </c>
      <c r="F92" s="107" t="s">
        <v>280</v>
      </c>
      <c r="G92" s="107" t="s">
        <v>281</v>
      </c>
      <c r="H92" s="114" t="s">
        <v>282</v>
      </c>
      <c r="I92" s="104"/>
      <c r="K92" s="53"/>
      <c r="L92" s="108"/>
      <c r="M92" s="64" t="s">
        <v>157</v>
      </c>
      <c r="N92" s="53" t="s">
        <v>350</v>
      </c>
      <c r="O92" s="53" t="s">
        <v>351</v>
      </c>
      <c r="P92" s="53" t="s">
        <v>280</v>
      </c>
      <c r="Q92" s="53" t="s">
        <v>281</v>
      </c>
      <c r="R92" s="86" t="s">
        <v>282</v>
      </c>
      <c r="S92" s="58"/>
      <c r="T92" s="53"/>
      <c r="U92" s="53"/>
      <c r="V92" s="53"/>
      <c r="W92" s="58"/>
    </row>
    <row r="93" spans="1:23" ht="12.75" customHeight="1" x14ac:dyDescent="0.2">
      <c r="A93" s="1"/>
      <c r="B93" s="103"/>
      <c r="C93" s="112" t="s">
        <v>157</v>
      </c>
      <c r="D93" s="107" t="s">
        <v>284</v>
      </c>
      <c r="E93" s="107" t="s">
        <v>285</v>
      </c>
      <c r="F93" s="107" t="s">
        <v>286</v>
      </c>
      <c r="G93" s="107" t="s">
        <v>287</v>
      </c>
      <c r="H93" s="114" t="s">
        <v>288</v>
      </c>
      <c r="I93" s="104"/>
      <c r="K93" s="53"/>
      <c r="L93" s="108"/>
      <c r="M93" s="64" t="s">
        <v>157</v>
      </c>
      <c r="N93" s="53" t="s">
        <v>352</v>
      </c>
      <c r="O93" s="53" t="s">
        <v>353</v>
      </c>
      <c r="P93" s="53" t="s">
        <v>286</v>
      </c>
      <c r="Q93" s="53" t="s">
        <v>287</v>
      </c>
      <c r="R93" s="86" t="s">
        <v>289</v>
      </c>
      <c r="S93" s="58"/>
      <c r="T93" s="53"/>
      <c r="U93" s="53"/>
      <c r="V93" s="53"/>
      <c r="W93" s="58"/>
    </row>
    <row r="94" spans="1:23" ht="12.75" customHeight="1" x14ac:dyDescent="0.2">
      <c r="A94" s="1"/>
      <c r="B94" s="103"/>
      <c r="C94" s="112" t="s">
        <v>157</v>
      </c>
      <c r="D94" s="107" t="s">
        <v>291</v>
      </c>
      <c r="E94" s="107" t="s">
        <v>292</v>
      </c>
      <c r="F94" s="107" t="s">
        <v>293</v>
      </c>
      <c r="G94" s="107" t="s">
        <v>294</v>
      </c>
      <c r="H94" s="114" t="s">
        <v>295</v>
      </c>
      <c r="I94" s="104"/>
      <c r="K94" s="53"/>
      <c r="L94" s="108"/>
      <c r="M94" s="64" t="s">
        <v>157</v>
      </c>
      <c r="N94" s="53" t="s">
        <v>354</v>
      </c>
      <c r="O94" s="53" t="s">
        <v>355</v>
      </c>
      <c r="P94" s="53" t="s">
        <v>293</v>
      </c>
      <c r="Q94" s="53" t="s">
        <v>294</v>
      </c>
      <c r="R94" s="86" t="s">
        <v>295</v>
      </c>
      <c r="S94" s="58"/>
      <c r="T94" s="53"/>
      <c r="U94" s="53"/>
      <c r="V94" s="53"/>
      <c r="W94" s="58"/>
    </row>
    <row r="95" spans="1:23" ht="20.25" customHeight="1" x14ac:dyDescent="0.2">
      <c r="A95" s="1"/>
      <c r="B95" s="103"/>
      <c r="C95" s="112" t="s">
        <v>157</v>
      </c>
      <c r="D95" s="107" t="s">
        <v>297</v>
      </c>
      <c r="E95" s="107" t="s">
        <v>298</v>
      </c>
      <c r="F95" s="107" t="s">
        <v>299</v>
      </c>
      <c r="G95" s="107" t="s">
        <v>300</v>
      </c>
      <c r="H95" s="114" t="s">
        <v>301</v>
      </c>
      <c r="I95" s="104"/>
      <c r="K95" s="53"/>
      <c r="L95" s="108"/>
      <c r="M95" s="64" t="s">
        <v>157</v>
      </c>
      <c r="N95" s="53" t="s">
        <v>356</v>
      </c>
      <c r="O95" s="53" t="s">
        <v>357</v>
      </c>
      <c r="P95" s="53" t="s">
        <v>299</v>
      </c>
      <c r="Q95" s="53" t="s">
        <v>300</v>
      </c>
      <c r="R95" s="86" t="s">
        <v>301</v>
      </c>
      <c r="S95" s="58"/>
      <c r="T95" s="53"/>
      <c r="U95" s="53"/>
      <c r="V95" s="53"/>
      <c r="W95" s="58"/>
    </row>
    <row r="96" spans="1:23" ht="16.5" customHeight="1" x14ac:dyDescent="0.2">
      <c r="A96" s="1"/>
      <c r="B96" s="103"/>
      <c r="C96" s="112" t="s">
        <v>157</v>
      </c>
      <c r="D96" s="107" t="s">
        <v>358</v>
      </c>
      <c r="E96" s="107" t="s">
        <v>359</v>
      </c>
      <c r="F96" s="107" t="s">
        <v>360</v>
      </c>
      <c r="G96" s="107" t="s">
        <v>361</v>
      </c>
      <c r="H96" s="114"/>
      <c r="I96" s="104"/>
      <c r="K96" s="53"/>
      <c r="L96" s="108"/>
      <c r="M96" s="64" t="s">
        <v>157</v>
      </c>
      <c r="N96" s="53" t="s">
        <v>362</v>
      </c>
      <c r="O96" s="53" t="s">
        <v>363</v>
      </c>
      <c r="P96" s="53" t="s">
        <v>360</v>
      </c>
      <c r="Q96" s="53" t="s">
        <v>361</v>
      </c>
      <c r="R96" s="86"/>
      <c r="S96" s="58"/>
      <c r="T96" s="53"/>
      <c r="U96" s="53"/>
      <c r="V96" s="53"/>
      <c r="W96" s="58"/>
    </row>
    <row r="97" spans="1:23" ht="18" customHeight="1" thickBot="1" x14ac:dyDescent="0.25">
      <c r="A97" s="1"/>
      <c r="B97" s="105"/>
      <c r="C97" s="113" t="s">
        <v>303</v>
      </c>
      <c r="D97" s="111" t="s">
        <v>304</v>
      </c>
      <c r="E97" s="111" t="s">
        <v>305</v>
      </c>
      <c r="F97" s="111" t="s">
        <v>306</v>
      </c>
      <c r="G97" s="111" t="s">
        <v>307</v>
      </c>
      <c r="H97" s="115" t="s">
        <v>308</v>
      </c>
      <c r="I97" s="106"/>
      <c r="K97" s="53"/>
      <c r="L97" s="110"/>
      <c r="M97" s="66" t="s">
        <v>303</v>
      </c>
      <c r="N97" s="65" t="s">
        <v>364</v>
      </c>
      <c r="O97" s="65" t="s">
        <v>365</v>
      </c>
      <c r="P97" s="65" t="s">
        <v>306</v>
      </c>
      <c r="Q97" s="65" t="s">
        <v>307</v>
      </c>
      <c r="R97" s="65" t="s">
        <v>308</v>
      </c>
      <c r="S97" s="67"/>
      <c r="T97" s="53"/>
      <c r="U97" s="53"/>
      <c r="V97" s="53"/>
      <c r="W97" s="58"/>
    </row>
    <row r="98" spans="1:23" x14ac:dyDescent="0.2">
      <c r="A98" s="1"/>
      <c r="B98" s="68"/>
      <c r="C98" s="68"/>
      <c r="D98" s="68"/>
      <c r="E98" s="68"/>
      <c r="F98" s="68"/>
      <c r="G98" s="68"/>
      <c r="H98" s="68"/>
      <c r="I98" s="68"/>
      <c r="K98" s="53"/>
      <c r="L98" s="53"/>
      <c r="M98" s="54"/>
      <c r="N98" s="54"/>
      <c r="O98" s="54"/>
      <c r="P98" s="54"/>
      <c r="Q98" s="54"/>
      <c r="R98" s="54"/>
      <c r="S98" s="54"/>
      <c r="T98" s="53"/>
      <c r="U98" s="53"/>
      <c r="V98" s="53"/>
      <c r="W98" s="58"/>
    </row>
    <row r="99" spans="1:23" x14ac:dyDescent="0.2">
      <c r="A99" s="1"/>
      <c r="B99" s="68"/>
      <c r="C99" s="68"/>
      <c r="D99" s="68"/>
      <c r="E99" s="68"/>
      <c r="F99" s="68"/>
      <c r="G99" s="68"/>
      <c r="H99" s="68"/>
      <c r="I99" s="68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8"/>
    </row>
    <row r="100" spans="1:23" ht="13.5" thickBot="1" x14ac:dyDescent="0.25">
      <c r="A100" s="3"/>
      <c r="B100" s="80"/>
      <c r="C100" s="80"/>
      <c r="D100" s="80"/>
      <c r="E100" s="80"/>
      <c r="F100" s="80"/>
      <c r="G100" s="80"/>
      <c r="H100" s="80"/>
      <c r="I100" s="80"/>
      <c r="J100" s="4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7"/>
    </row>
    <row r="102" spans="1:23" ht="26.25" thickBot="1" x14ac:dyDescent="0.25">
      <c r="M102" s="28" t="s">
        <v>366</v>
      </c>
      <c r="N102" s="28" t="s">
        <v>367</v>
      </c>
      <c r="O102" s="28" t="s">
        <v>368</v>
      </c>
      <c r="P102" s="28" t="s">
        <v>369</v>
      </c>
    </row>
    <row r="103" spans="1:23" ht="48.75" customHeight="1" thickBot="1" x14ac:dyDescent="0.25">
      <c r="A103" s="52" t="s">
        <v>370</v>
      </c>
      <c r="B103" s="97" t="s">
        <v>371</v>
      </c>
      <c r="C103" s="95"/>
      <c r="D103" s="71"/>
      <c r="E103" s="71"/>
      <c r="F103" s="71"/>
      <c r="G103" s="71"/>
      <c r="H103" s="71"/>
      <c r="I103" s="71"/>
      <c r="J103" s="18"/>
      <c r="K103" s="96" t="s">
        <v>371</v>
      </c>
      <c r="L103" s="94"/>
      <c r="M103" s="54" t="str">
        <f>TRIM(MID(C130, FIND("]", C130) + 1, 18))</f>
        <v>a0CUE00002N4oWg2AJ</v>
      </c>
      <c r="N103" s="54" t="str">
        <f>_xlfn.XLOOKUP(M103, D72:D97, G72:G97, "ERROR 404")</f>
        <v>0Q_0522A4943564</v>
      </c>
      <c r="O103" s="54" t="str">
        <f>_xlfn.XLOOKUP(_xlfn.XLOOKUP(TRIM(MID(C107, FIND("]", C107) + 1, 18)), D72:D97, G72:G97, "ERROR 404"), Q72:Q97, N72:N97, "ERROR 404")</f>
        <v>a0CTA00002cQHC82AO</v>
      </c>
      <c r="P103" s="54" t="str">
        <f>TRIM(MID(C107, FIND("]", C107) + 1, 18))</f>
        <v>a0CUE00002LfJQ72AN</v>
      </c>
      <c r="Q103" s="54"/>
      <c r="R103" s="54"/>
      <c r="S103" s="54"/>
      <c r="T103" s="54"/>
      <c r="U103" s="54"/>
      <c r="V103" s="54"/>
      <c r="W103" s="57"/>
    </row>
    <row r="104" spans="1:23" ht="13.5" thickBot="1" x14ac:dyDescent="0.25">
      <c r="A104" s="35" t="s">
        <v>372</v>
      </c>
      <c r="B104" s="100" t="s">
        <v>373</v>
      </c>
      <c r="C104" s="101" t="s">
        <v>374</v>
      </c>
      <c r="D104" s="71"/>
      <c r="E104" s="71"/>
      <c r="F104" s="102"/>
      <c r="G104" s="68"/>
      <c r="H104" s="68"/>
      <c r="I104" s="68"/>
      <c r="K104" s="109" t="s">
        <v>373</v>
      </c>
      <c r="L104" s="146" t="str">
        <f>C104</f>
        <v>https://eu-composer.congamerge.com</v>
      </c>
      <c r="M104" s="147"/>
      <c r="N104" s="147"/>
      <c r="O104" s="147"/>
      <c r="P104" s="148"/>
      <c r="Q104" s="53"/>
      <c r="R104" s="53"/>
      <c r="S104" s="53"/>
      <c r="T104" s="53"/>
      <c r="U104" s="53"/>
      <c r="V104" s="53"/>
      <c r="W104" s="58"/>
    </row>
    <row r="105" spans="1:23" x14ac:dyDescent="0.2">
      <c r="A105" s="1"/>
      <c r="B105" s="68"/>
      <c r="C105" s="103" t="s">
        <v>375</v>
      </c>
      <c r="D105" s="68"/>
      <c r="E105" s="68"/>
      <c r="F105" s="104"/>
      <c r="G105" s="68"/>
      <c r="H105" s="68"/>
      <c r="I105" s="68"/>
      <c r="K105" s="53"/>
      <c r="L105" s="137" t="str">
        <f t="shared" ref="L105" si="0">C105</f>
        <v>?serverUrl={!API.Partner_Server_URL_370}</v>
      </c>
      <c r="M105" s="138"/>
      <c r="N105" s="138"/>
      <c r="O105" s="138"/>
      <c r="P105" s="139"/>
      <c r="Q105" s="53"/>
      <c r="R105" s="53"/>
      <c r="S105" s="53"/>
      <c r="T105" s="53"/>
      <c r="U105" s="53"/>
      <c r="V105" s="53"/>
      <c r="W105" s="58"/>
    </row>
    <row r="106" spans="1:23" x14ac:dyDescent="0.2">
      <c r="A106" s="1"/>
      <c r="B106" s="68"/>
      <c r="C106" s="103" t="s">
        <v>376</v>
      </c>
      <c r="D106" s="68"/>
      <c r="E106" s="68"/>
      <c r="F106" s="104"/>
      <c r="G106" s="68"/>
      <c r="H106" s="68"/>
      <c r="I106" s="68"/>
      <c r="K106" s="53"/>
      <c r="L106" s="137" t="str">
        <f t="shared" ref="L106" si="1">C106</f>
        <v>&amp;id={!Contract.Id}</v>
      </c>
      <c r="M106" s="138"/>
      <c r="N106" s="138"/>
      <c r="O106" s="138"/>
      <c r="P106" s="139"/>
      <c r="Q106" s="53"/>
      <c r="R106" s="53"/>
      <c r="S106" s="53"/>
      <c r="T106" s="53"/>
      <c r="U106" s="53"/>
      <c r="V106" s="53"/>
      <c r="W106" s="58"/>
    </row>
    <row r="107" spans="1:23" x14ac:dyDescent="0.2">
      <c r="A107" s="1"/>
      <c r="B107" s="68"/>
      <c r="C107" s="103" t="s">
        <v>377</v>
      </c>
      <c r="D107" s="68"/>
      <c r="E107" s="68"/>
      <c r="F107" s="104"/>
      <c r="G107" s="68"/>
      <c r="H107" s="68"/>
      <c r="I107" s="68"/>
      <c r="K107" s="53"/>
      <c r="L107" s="137" t="str">
        <f>REPLACE(C107,FIND("]", C107) + 1, 18,_xlfn.XLOOKUP(_xlfn.XLOOKUP(TRIM(MID(C107, FIND("]", C107) + 1, 18)), $D$72:$D$97, $G$72:$G$97, "ERROR 404"), $Q$72:$Q$97, $N$72:$N$97, "ERROR 404"))</f>
        <v>&amp;QueryID=[Unit]a0CTA00002cQHC82AO,</v>
      </c>
      <c r="M107" s="138"/>
      <c r="N107" s="138"/>
      <c r="O107" s="138"/>
      <c r="P107" s="139"/>
      <c r="Q107" s="53"/>
      <c r="R107" s="53"/>
      <c r="S107" s="53"/>
      <c r="T107" s="53"/>
      <c r="U107" s="53"/>
      <c r="V107" s="53"/>
      <c r="W107" s="58"/>
    </row>
    <row r="108" spans="1:23" x14ac:dyDescent="0.2">
      <c r="A108" s="1"/>
      <c r="B108" s="68"/>
      <c r="C108" s="103" t="s">
        <v>378</v>
      </c>
      <c r="D108" s="68"/>
      <c r="E108" s="68"/>
      <c r="F108" s="104"/>
      <c r="G108" s="68"/>
      <c r="H108" s="68"/>
      <c r="I108" s="68"/>
      <c r="K108" s="53"/>
      <c r="L108" s="137" t="str">
        <f t="shared" ref="L108:L130" si="2">REPLACE(C108,FIND("]", C108) + 1, 18,_xlfn.XLOOKUP(_xlfn.XLOOKUP(TRIM(MID(C108, FIND("]", C108) + 1, 18)), $D$72:$D$97, $G$72:$G$97, "ERROR 404"), $Q$72:$Q$97, $N$72:$N$97, "ERROR 404"))</f>
        <v>[Opp]a0CTA00002cQHCB2A4?pv0={!Contract.OpportunityId__c},</v>
      </c>
      <c r="M108" s="138"/>
      <c r="N108" s="138"/>
      <c r="O108" s="138"/>
      <c r="P108" s="139"/>
      <c r="Q108" s="53"/>
      <c r="R108" s="53"/>
      <c r="S108" s="53"/>
      <c r="T108" s="53"/>
      <c r="U108" s="53"/>
      <c r="V108" s="53"/>
      <c r="W108" s="58"/>
    </row>
    <row r="109" spans="1:23" x14ac:dyDescent="0.2">
      <c r="A109" s="1"/>
      <c r="B109" s="68"/>
      <c r="C109" s="103" t="s">
        <v>379</v>
      </c>
      <c r="D109" s="68"/>
      <c r="E109" s="68"/>
      <c r="F109" s="104"/>
      <c r="G109" s="68"/>
      <c r="H109" s="68"/>
      <c r="I109" s="68"/>
      <c r="K109" s="53"/>
      <c r="L109" s="137" t="str">
        <f t="shared" si="2"/>
        <v>[OCRLeadTenant]a0CTA00002cQHCD2A4,</v>
      </c>
      <c r="M109" s="138"/>
      <c r="N109" s="138"/>
      <c r="O109" s="138"/>
      <c r="P109" s="139"/>
      <c r="Q109" s="53"/>
      <c r="R109" s="53"/>
      <c r="S109" s="53"/>
      <c r="T109" s="53"/>
      <c r="U109" s="53"/>
      <c r="V109" s="53"/>
      <c r="W109" s="58"/>
    </row>
    <row r="110" spans="1:23" x14ac:dyDescent="0.2">
      <c r="A110" s="1"/>
      <c r="B110" s="68"/>
      <c r="C110" s="103" t="s">
        <v>380</v>
      </c>
      <c r="D110" s="68"/>
      <c r="E110" s="68"/>
      <c r="F110" s="104"/>
      <c r="G110" s="68"/>
      <c r="H110" s="68"/>
      <c r="I110" s="68"/>
      <c r="K110" s="53"/>
      <c r="L110" s="137" t="str">
        <f t="shared" si="2"/>
        <v>[OCRTenant]a0CTA00002cQHCA2A4,</v>
      </c>
      <c r="M110" s="138"/>
      <c r="N110" s="138"/>
      <c r="O110" s="138"/>
      <c r="P110" s="139"/>
      <c r="Q110" s="53"/>
      <c r="R110" s="53"/>
      <c r="S110" s="53"/>
      <c r="T110" s="53"/>
      <c r="U110" s="53"/>
      <c r="V110" s="53"/>
      <c r="W110" s="58"/>
    </row>
    <row r="111" spans="1:23" x14ac:dyDescent="0.2">
      <c r="A111" s="1"/>
      <c r="B111" s="68"/>
      <c r="C111" s="103" t="s">
        <v>381</v>
      </c>
      <c r="D111" s="68"/>
      <c r="E111" s="68"/>
      <c r="F111" s="104"/>
      <c r="G111" s="68"/>
      <c r="H111" s="68"/>
      <c r="I111" s="68"/>
      <c r="K111" s="53"/>
      <c r="L111" s="137" t="str">
        <f t="shared" si="2"/>
        <v>[OCRGuarantor]a0CTA00002cQHBv2AO,</v>
      </c>
      <c r="M111" s="138"/>
      <c r="N111" s="138"/>
      <c r="O111" s="138"/>
      <c r="P111" s="139"/>
      <c r="Q111" s="53"/>
      <c r="R111" s="53"/>
      <c r="S111" s="53"/>
      <c r="T111" s="53"/>
      <c r="U111" s="53"/>
      <c r="V111" s="53"/>
      <c r="W111" s="58"/>
    </row>
    <row r="112" spans="1:23" x14ac:dyDescent="0.2">
      <c r="A112" s="1"/>
      <c r="B112" s="68"/>
      <c r="C112" s="103" t="s">
        <v>382</v>
      </c>
      <c r="D112" s="68"/>
      <c r="E112" s="68"/>
      <c r="F112" s="104"/>
      <c r="G112" s="68"/>
      <c r="H112" s="68"/>
      <c r="I112" s="68"/>
      <c r="K112" s="53"/>
      <c r="L112" s="137" t="str">
        <f t="shared" si="2"/>
        <v>[OCRPermittedOccupier]a0CTA00002cQHBx2AO,</v>
      </c>
      <c r="M112" s="138"/>
      <c r="N112" s="138"/>
      <c r="O112" s="138"/>
      <c r="P112" s="139"/>
      <c r="Q112" s="53"/>
      <c r="R112" s="53"/>
      <c r="S112" s="53"/>
      <c r="T112" s="53"/>
      <c r="U112" s="53"/>
      <c r="V112" s="53"/>
      <c r="W112" s="58"/>
    </row>
    <row r="113" spans="1:23" x14ac:dyDescent="0.2">
      <c r="A113" s="1"/>
      <c r="B113" s="68"/>
      <c r="C113" s="103" t="s">
        <v>383</v>
      </c>
      <c r="D113" s="68"/>
      <c r="E113" s="68"/>
      <c r="F113" s="104"/>
      <c r="G113" s="68"/>
      <c r="H113" s="68"/>
      <c r="I113" s="68"/>
      <c r="K113" s="53"/>
      <c r="L113" s="137" t="str">
        <f t="shared" si="2"/>
        <v>[OCRRelevantPerson]a0CTA00002cQHBw2AO,</v>
      </c>
      <c r="M113" s="138"/>
      <c r="N113" s="138"/>
      <c r="O113" s="138"/>
      <c r="P113" s="139"/>
      <c r="Q113" s="53"/>
      <c r="R113" s="53"/>
      <c r="S113" s="53"/>
      <c r="T113" s="53"/>
      <c r="U113" s="53"/>
      <c r="V113" s="53"/>
      <c r="W113" s="58"/>
    </row>
    <row r="114" spans="1:23" x14ac:dyDescent="0.2">
      <c r="A114" s="1"/>
      <c r="B114" s="68"/>
      <c r="C114" s="103" t="s">
        <v>384</v>
      </c>
      <c r="D114" s="68"/>
      <c r="E114" s="68"/>
      <c r="F114" s="104"/>
      <c r="G114" s="68"/>
      <c r="H114" s="68"/>
      <c r="I114" s="68"/>
      <c r="K114" s="53"/>
      <c r="L114" s="137" t="str">
        <f t="shared" si="2"/>
        <v>[POCRLeadTenant]a0CTA00002cQHC32AO,</v>
      </c>
      <c r="M114" s="138"/>
      <c r="N114" s="138"/>
      <c r="O114" s="138"/>
      <c r="P114" s="139"/>
      <c r="Q114" s="53"/>
      <c r="R114" s="53"/>
      <c r="S114" s="53"/>
      <c r="T114" s="53"/>
      <c r="U114" s="53"/>
      <c r="V114" s="53"/>
      <c r="W114" s="58"/>
    </row>
    <row r="115" spans="1:23" x14ac:dyDescent="0.2">
      <c r="A115" s="1"/>
      <c r="B115" s="68"/>
      <c r="C115" s="103" t="s">
        <v>385</v>
      </c>
      <c r="D115" s="68"/>
      <c r="E115" s="68"/>
      <c r="F115" s="104"/>
      <c r="G115" s="68"/>
      <c r="H115" s="68"/>
      <c r="I115" s="68"/>
      <c r="K115" s="53"/>
      <c r="L115" s="137" t="str">
        <f t="shared" si="2"/>
        <v>[POCRTenant]a0CTA00002cQHC42AO,</v>
      </c>
      <c r="M115" s="138"/>
      <c r="N115" s="138"/>
      <c r="O115" s="138"/>
      <c r="P115" s="139"/>
      <c r="Q115" s="53"/>
      <c r="R115" s="53"/>
      <c r="S115" s="53"/>
      <c r="T115" s="53"/>
      <c r="U115" s="53"/>
      <c r="V115" s="53"/>
      <c r="W115" s="58"/>
    </row>
    <row r="116" spans="1:23" x14ac:dyDescent="0.2">
      <c r="A116" s="1"/>
      <c r="B116" s="68"/>
      <c r="C116" s="103" t="s">
        <v>386</v>
      </c>
      <c r="D116" s="68"/>
      <c r="E116" s="68"/>
      <c r="F116" s="104"/>
      <c r="G116" s="68"/>
      <c r="H116" s="68"/>
      <c r="I116" s="68"/>
      <c r="K116" s="53"/>
      <c r="L116" s="137" t="str">
        <f t="shared" si="2"/>
        <v>[SOCRLeadTenant]a0CTA00002cQHC92AO,</v>
      </c>
      <c r="M116" s="138"/>
      <c r="N116" s="138"/>
      <c r="O116" s="138"/>
      <c r="P116" s="139"/>
      <c r="Q116" s="53"/>
      <c r="R116" s="53"/>
      <c r="S116" s="53"/>
      <c r="T116" s="53"/>
      <c r="U116" s="53"/>
      <c r="V116" s="53"/>
      <c r="W116" s="58"/>
    </row>
    <row r="117" spans="1:23" x14ac:dyDescent="0.2">
      <c r="A117" s="1"/>
      <c r="B117" s="68"/>
      <c r="C117" s="103" t="s">
        <v>387</v>
      </c>
      <c r="D117" s="68"/>
      <c r="E117" s="68"/>
      <c r="F117" s="104"/>
      <c r="G117" s="68"/>
      <c r="H117" s="68"/>
      <c r="I117" s="68"/>
      <c r="K117" s="53"/>
      <c r="L117" s="137" t="str">
        <f t="shared" si="2"/>
        <v>[SOCRTenant]a0CTA00002cQHC52AO,</v>
      </c>
      <c r="M117" s="138"/>
      <c r="N117" s="138"/>
      <c r="O117" s="138"/>
      <c r="P117" s="139"/>
      <c r="Q117" s="53"/>
      <c r="R117" s="53"/>
      <c r="S117" s="53"/>
      <c r="T117" s="53"/>
      <c r="U117" s="53"/>
      <c r="V117" s="53"/>
      <c r="W117" s="58"/>
    </row>
    <row r="118" spans="1:23" x14ac:dyDescent="0.2">
      <c r="A118" s="1"/>
      <c r="B118" s="68"/>
      <c r="C118" s="103" t="s">
        <v>388</v>
      </c>
      <c r="D118" s="68"/>
      <c r="E118" s="68"/>
      <c r="F118" s="104"/>
      <c r="G118" s="68"/>
      <c r="H118" s="68"/>
      <c r="I118" s="68"/>
      <c r="K118" s="53"/>
      <c r="L118" s="137" t="str">
        <f t="shared" si="2"/>
        <v>[OLI]a0CTA00002cQHC12AO,</v>
      </c>
      <c r="M118" s="138"/>
      <c r="N118" s="138"/>
      <c r="O118" s="138"/>
      <c r="P118" s="139"/>
      <c r="Q118" s="53"/>
      <c r="R118" s="53"/>
      <c r="S118" s="53"/>
      <c r="T118" s="53"/>
      <c r="U118" s="53"/>
      <c r="V118" s="53"/>
      <c r="W118" s="58"/>
    </row>
    <row r="119" spans="1:23" x14ac:dyDescent="0.2">
      <c r="A119" s="1"/>
      <c r="B119" s="68"/>
      <c r="C119" s="103" t="s">
        <v>389</v>
      </c>
      <c r="D119" s="68"/>
      <c r="E119" s="68"/>
      <c r="F119" s="104"/>
      <c r="G119" s="68"/>
      <c r="H119" s="68"/>
      <c r="I119" s="68"/>
      <c r="K119" s="53"/>
      <c r="L119" s="137" t="str">
        <f t="shared" si="2"/>
        <v>[SPC]a0CTA00002cQHBq2AO,</v>
      </c>
      <c r="M119" s="138"/>
      <c r="N119" s="138"/>
      <c r="O119" s="138"/>
      <c r="P119" s="139"/>
      <c r="Q119" s="53"/>
      <c r="R119" s="53"/>
      <c r="S119" s="53"/>
      <c r="T119" s="53"/>
      <c r="U119" s="53"/>
      <c r="V119" s="53"/>
      <c r="W119" s="58"/>
    </row>
    <row r="120" spans="1:23" x14ac:dyDescent="0.2">
      <c r="A120" s="1"/>
      <c r="B120" s="68"/>
      <c r="C120" s="103" t="s">
        <v>390</v>
      </c>
      <c r="D120" s="68"/>
      <c r="E120" s="68"/>
      <c r="F120" s="104"/>
      <c r="G120" s="68"/>
      <c r="H120" s="68"/>
      <c r="I120" s="68"/>
      <c r="K120" s="53"/>
      <c r="L120" s="137" t="str">
        <f t="shared" si="2"/>
        <v>[Offer]a0CTA00002cQHBt2AO?pv0={!Contract.OpportunityId__c},</v>
      </c>
      <c r="M120" s="138"/>
      <c r="N120" s="138"/>
      <c r="O120" s="138"/>
      <c r="P120" s="139"/>
      <c r="Q120" s="53"/>
      <c r="R120" s="53"/>
      <c r="S120" s="53"/>
      <c r="T120" s="53"/>
      <c r="U120" s="53"/>
      <c r="V120" s="53"/>
      <c r="W120" s="58"/>
    </row>
    <row r="121" spans="1:23" x14ac:dyDescent="0.2">
      <c r="A121" s="1"/>
      <c r="B121" s="68"/>
      <c r="C121" s="103" t="s">
        <v>391</v>
      </c>
      <c r="D121" s="68"/>
      <c r="E121" s="68"/>
      <c r="F121" s="104"/>
      <c r="G121" s="68"/>
      <c r="H121" s="68"/>
      <c r="I121" s="68"/>
      <c r="K121" s="53"/>
      <c r="L121" s="137" t="str">
        <f t="shared" si="2"/>
        <v>[TPS]a0CTA00002cQHBr2AO?pv0={!Contract.OpportunityId__c},</v>
      </c>
      <c r="M121" s="138"/>
      <c r="N121" s="138"/>
      <c r="O121" s="138"/>
      <c r="P121" s="139"/>
      <c r="Q121" s="53"/>
      <c r="R121" s="53"/>
      <c r="S121" s="53"/>
      <c r="T121" s="53"/>
      <c r="U121" s="53"/>
      <c r="V121" s="53"/>
      <c r="W121" s="58"/>
    </row>
    <row r="122" spans="1:23" x14ac:dyDescent="0.2">
      <c r="A122" s="1"/>
      <c r="B122" s="68"/>
      <c r="C122" s="103" t="s">
        <v>392</v>
      </c>
      <c r="D122" s="68"/>
      <c r="E122" s="68"/>
      <c r="F122" s="104"/>
      <c r="G122" s="68"/>
      <c r="H122" s="68"/>
      <c r="I122" s="68"/>
      <c r="K122" s="53"/>
      <c r="L122" s="137" t="str">
        <f t="shared" si="2"/>
        <v>[PPS]a0CTA00002cQHBs2AO?pv0={!Contract.OpportunityId__c},</v>
      </c>
      <c r="M122" s="138"/>
      <c r="N122" s="138"/>
      <c r="O122" s="138"/>
      <c r="P122" s="139"/>
      <c r="Q122" s="53"/>
      <c r="R122" s="53"/>
      <c r="S122" s="53"/>
      <c r="T122" s="53"/>
      <c r="U122" s="53"/>
      <c r="V122" s="53"/>
      <c r="W122" s="58"/>
    </row>
    <row r="123" spans="1:23" x14ac:dyDescent="0.2">
      <c r="A123" s="1"/>
      <c r="B123" s="68"/>
      <c r="C123" s="103" t="s">
        <v>393</v>
      </c>
      <c r="D123" s="68"/>
      <c r="E123" s="68"/>
      <c r="F123" s="104"/>
      <c r="G123" s="68"/>
      <c r="H123" s="68"/>
      <c r="I123" s="68"/>
      <c r="K123" s="53"/>
      <c r="L123" s="137" t="str">
        <f t="shared" si="2"/>
        <v>[SPS]a0CTA00002cQHBu2AO?pv0={!Contract.OpportunityId__c},</v>
      </c>
      <c r="M123" s="138"/>
      <c r="N123" s="138"/>
      <c r="O123" s="138"/>
      <c r="P123" s="139"/>
      <c r="Q123" s="53"/>
      <c r="R123" s="53"/>
      <c r="S123" s="53"/>
      <c r="T123" s="53"/>
      <c r="U123" s="53"/>
      <c r="V123" s="53"/>
      <c r="W123" s="58"/>
    </row>
    <row r="124" spans="1:23" x14ac:dyDescent="0.2">
      <c r="A124" s="1"/>
      <c r="B124" s="68"/>
      <c r="C124" s="103" t="s">
        <v>394</v>
      </c>
      <c r="D124" s="68"/>
      <c r="E124" s="68"/>
      <c r="F124" s="104"/>
      <c r="G124" s="68"/>
      <c r="H124" s="68"/>
      <c r="I124" s="68"/>
      <c r="K124" s="53"/>
      <c r="L124" s="137" t="str">
        <f t="shared" si="2"/>
        <v>[OCRTSign]a0CTA00002cQHC22AO,</v>
      </c>
      <c r="M124" s="138"/>
      <c r="N124" s="138"/>
      <c r="O124" s="138"/>
      <c r="P124" s="139"/>
      <c r="Q124" s="53"/>
      <c r="R124" s="53"/>
      <c r="S124" s="53"/>
      <c r="T124" s="53"/>
      <c r="U124" s="53"/>
      <c r="V124" s="53"/>
      <c r="W124" s="58"/>
    </row>
    <row r="125" spans="1:23" x14ac:dyDescent="0.2">
      <c r="A125" s="1"/>
      <c r="B125" s="68"/>
      <c r="C125" s="103" t="s">
        <v>395</v>
      </c>
      <c r="D125" s="68"/>
      <c r="E125" s="68"/>
      <c r="F125" s="104"/>
      <c r="G125" s="68"/>
      <c r="H125" s="68"/>
      <c r="I125" s="68"/>
      <c r="K125" s="53"/>
      <c r="L125" s="137" t="str">
        <f t="shared" si="2"/>
        <v>[TO0]a0CTA00002cQHBy2AO,</v>
      </c>
      <c r="M125" s="138"/>
      <c r="N125" s="138"/>
      <c r="O125" s="138"/>
      <c r="P125" s="139"/>
      <c r="Q125" s="53"/>
      <c r="R125" s="53"/>
      <c r="S125" s="53"/>
      <c r="T125" s="53"/>
      <c r="U125" s="53"/>
      <c r="V125" s="53"/>
      <c r="W125" s="58"/>
    </row>
    <row r="126" spans="1:23" x14ac:dyDescent="0.2">
      <c r="A126" s="1"/>
      <c r="B126" s="68"/>
      <c r="C126" s="103" t="s">
        <v>396</v>
      </c>
      <c r="D126" s="68"/>
      <c r="E126" s="68"/>
      <c r="F126" s="104"/>
      <c r="G126" s="68"/>
      <c r="H126" s="68"/>
      <c r="I126" s="68"/>
      <c r="K126" s="53"/>
      <c r="L126" s="137" t="str">
        <f t="shared" si="2"/>
        <v>[TO1]a0CTA00002cQHBz2AO,</v>
      </c>
      <c r="M126" s="138"/>
      <c r="N126" s="138"/>
      <c r="O126" s="138"/>
      <c r="P126" s="139"/>
      <c r="Q126" s="53"/>
      <c r="R126" s="53"/>
      <c r="S126" s="53"/>
      <c r="T126" s="53"/>
      <c r="U126" s="53"/>
      <c r="V126" s="53"/>
      <c r="W126" s="58"/>
    </row>
    <row r="127" spans="1:23" x14ac:dyDescent="0.2">
      <c r="A127" s="1"/>
      <c r="B127" s="68"/>
      <c r="C127" s="103" t="s">
        <v>397</v>
      </c>
      <c r="D127" s="68"/>
      <c r="E127" s="68"/>
      <c r="F127" s="104"/>
      <c r="G127" s="68"/>
      <c r="H127" s="68"/>
      <c r="I127" s="68"/>
      <c r="K127" s="53"/>
      <c r="L127" s="137" t="str">
        <f t="shared" si="2"/>
        <v>[TO2]a0CTA00002cQHC02AO,</v>
      </c>
      <c r="M127" s="138"/>
      <c r="N127" s="138"/>
      <c r="O127" s="138"/>
      <c r="P127" s="139"/>
      <c r="Q127" s="53"/>
      <c r="R127" s="53"/>
      <c r="S127" s="53"/>
      <c r="T127" s="53"/>
      <c r="U127" s="53"/>
      <c r="V127" s="53"/>
      <c r="W127" s="58"/>
    </row>
    <row r="128" spans="1:23" x14ac:dyDescent="0.2">
      <c r="A128" s="1"/>
      <c r="B128" s="68"/>
      <c r="C128" s="103" t="s">
        <v>398</v>
      </c>
      <c r="D128" s="68"/>
      <c r="E128" s="68"/>
      <c r="F128" s="104"/>
      <c r="G128" s="68"/>
      <c r="H128" s="68"/>
      <c r="I128" s="68"/>
      <c r="K128" s="53"/>
      <c r="L128" s="137" t="str">
        <f t="shared" si="2"/>
        <v>[Tenants]a0CTA00002cQHCC2A4,</v>
      </c>
      <c r="M128" s="138"/>
      <c r="N128" s="138"/>
      <c r="O128" s="138"/>
      <c r="P128" s="139"/>
      <c r="Q128" s="53"/>
      <c r="R128" s="53"/>
      <c r="S128" s="53"/>
      <c r="T128" s="53"/>
      <c r="U128" s="53"/>
      <c r="V128" s="53"/>
      <c r="W128" s="58"/>
    </row>
    <row r="129" spans="1:23" x14ac:dyDescent="0.2">
      <c r="A129" s="1"/>
      <c r="B129" s="68"/>
      <c r="C129" s="103" t="s">
        <v>399</v>
      </c>
      <c r="D129" s="68"/>
      <c r="E129" s="68"/>
      <c r="F129" s="104"/>
      <c r="G129" s="68"/>
      <c r="H129" s="68"/>
      <c r="I129" s="68"/>
      <c r="K129" s="53"/>
      <c r="L129" s="137" t="str">
        <f t="shared" si="2"/>
        <v>[NHA]a0CTA00002cQHC72AO,</v>
      </c>
      <c r="M129" s="138"/>
      <c r="N129" s="138"/>
      <c r="O129" s="138"/>
      <c r="P129" s="139"/>
      <c r="Q129" s="53"/>
      <c r="R129" s="53"/>
      <c r="S129" s="53"/>
      <c r="T129" s="53"/>
      <c r="U129" s="53"/>
      <c r="V129" s="53"/>
      <c r="W129" s="58"/>
    </row>
    <row r="130" spans="1:23" x14ac:dyDescent="0.2">
      <c r="A130" s="1"/>
      <c r="B130" s="68"/>
      <c r="C130" s="103" t="s">
        <v>400</v>
      </c>
      <c r="D130" s="68"/>
      <c r="E130" s="68"/>
      <c r="F130" s="104"/>
      <c r="G130" s="68"/>
      <c r="H130" s="68"/>
      <c r="I130" s="68"/>
      <c r="K130" s="53"/>
      <c r="L130" s="137" t="str">
        <f t="shared" si="2"/>
        <v xml:space="preserve">[Tenancy]a0CTA00002cfMC52AM?pv0={!Contract.Id} </v>
      </c>
      <c r="M130" s="138"/>
      <c r="N130" s="138"/>
      <c r="O130" s="138"/>
      <c r="P130" s="139"/>
      <c r="Q130" s="53"/>
      <c r="R130" s="53"/>
      <c r="S130" s="53"/>
      <c r="T130" s="53"/>
      <c r="U130" s="53"/>
      <c r="V130" s="53"/>
      <c r="W130" s="58"/>
    </row>
    <row r="131" spans="1:23" x14ac:dyDescent="0.2">
      <c r="A131" s="1"/>
      <c r="B131" s="68"/>
      <c r="C131" s="103" t="s">
        <v>401</v>
      </c>
      <c r="D131" s="68"/>
      <c r="E131" s="68"/>
      <c r="F131" s="104"/>
      <c r="G131" s="68"/>
      <c r="H131" s="68"/>
      <c r="I131" s="68"/>
      <c r="K131" s="53"/>
      <c r="L131" s="137" t="str">
        <f>C131</f>
        <v>&amp;ESVisible=1</v>
      </c>
      <c r="M131" s="138"/>
      <c r="N131" s="138"/>
      <c r="O131" s="138"/>
      <c r="P131" s="139"/>
      <c r="Q131" s="53"/>
      <c r="R131" s="53"/>
      <c r="S131" s="53"/>
      <c r="T131" s="53"/>
      <c r="U131" s="53"/>
      <c r="V131" s="53"/>
      <c r="W131" s="58"/>
    </row>
    <row r="132" spans="1:23" x14ac:dyDescent="0.2">
      <c r="A132" s="1"/>
      <c r="B132" s="68"/>
      <c r="C132" s="103" t="s">
        <v>402</v>
      </c>
      <c r="D132" s="68"/>
      <c r="E132" s="68"/>
      <c r="F132" s="104"/>
      <c r="G132" s="68"/>
      <c r="H132" s="68"/>
      <c r="I132" s="68"/>
      <c r="K132" s="53"/>
      <c r="L132" s="137" t="str">
        <f t="shared" ref="L132:L139" si="3">C132</f>
        <v>&amp;ESContractId={!Contract.Id}</v>
      </c>
      <c r="M132" s="138"/>
      <c r="N132" s="138"/>
      <c r="O132" s="138"/>
      <c r="P132" s="139"/>
      <c r="Q132" s="53"/>
      <c r="R132" s="53"/>
      <c r="S132" s="53"/>
      <c r="T132" s="53"/>
      <c r="U132" s="53"/>
      <c r="V132" s="53"/>
      <c r="W132" s="58"/>
    </row>
    <row r="133" spans="1:23" x14ac:dyDescent="0.2">
      <c r="A133" s="1"/>
      <c r="B133" s="68"/>
      <c r="C133" s="103" t="s">
        <v>403</v>
      </c>
      <c r="D133" s="68"/>
      <c r="E133" s="68"/>
      <c r="F133" s="104"/>
      <c r="G133" s="68"/>
      <c r="H133" s="68"/>
      <c r="I133" s="68"/>
      <c r="K133" s="53"/>
      <c r="L133" s="137" t="str">
        <f t="shared" si="3"/>
        <v>&amp;ESOpportunityId={!Contract.OpportunityId__c}</v>
      </c>
      <c r="M133" s="138"/>
      <c r="N133" s="138"/>
      <c r="O133" s="138"/>
      <c r="P133" s="139"/>
      <c r="Q133" s="53"/>
      <c r="R133" s="53"/>
      <c r="S133" s="53"/>
      <c r="T133" s="53"/>
      <c r="U133" s="53"/>
      <c r="V133" s="53"/>
      <c r="W133" s="58"/>
    </row>
    <row r="134" spans="1:23" x14ac:dyDescent="0.2">
      <c r="A134" s="1"/>
      <c r="B134" s="68"/>
      <c r="C134" s="103" t="s">
        <v>404</v>
      </c>
      <c r="D134" s="68"/>
      <c r="E134" s="68"/>
      <c r="F134" s="104"/>
      <c r="G134" s="68"/>
      <c r="H134" s="68"/>
      <c r="I134" s="68"/>
      <c r="K134" s="53"/>
      <c r="L134" s="137" t="str">
        <f t="shared" si="3"/>
        <v>&amp;SC0=1</v>
      </c>
      <c r="M134" s="138"/>
      <c r="N134" s="138"/>
      <c r="O134" s="138"/>
      <c r="P134" s="139"/>
      <c r="Q134" s="53"/>
      <c r="R134" s="53"/>
      <c r="S134" s="53"/>
      <c r="T134" s="53"/>
      <c r="U134" s="53"/>
      <c r="V134" s="53"/>
      <c r="W134" s="58"/>
    </row>
    <row r="135" spans="1:23" x14ac:dyDescent="0.2">
      <c r="A135" s="1"/>
      <c r="B135" s="68"/>
      <c r="C135" s="103" t="s">
        <v>405</v>
      </c>
      <c r="D135" s="68"/>
      <c r="E135" s="68"/>
      <c r="F135" s="104"/>
      <c r="G135" s="68"/>
      <c r="H135" s="68"/>
      <c r="I135" s="68"/>
      <c r="K135" s="53"/>
      <c r="L135" s="137" t="str">
        <f t="shared" si="3"/>
        <v>&amp;SC1=SalesforceFile</v>
      </c>
      <c r="M135" s="138"/>
      <c r="N135" s="138"/>
      <c r="O135" s="138"/>
      <c r="P135" s="139"/>
      <c r="Q135" s="53"/>
      <c r="R135" s="53"/>
      <c r="S135" s="53"/>
      <c r="T135" s="53"/>
      <c r="U135" s="53"/>
      <c r="V135" s="53"/>
      <c r="W135" s="58"/>
    </row>
    <row r="136" spans="1:23" x14ac:dyDescent="0.2">
      <c r="A136" s="1"/>
      <c r="B136" s="68"/>
      <c r="C136" s="103" t="s">
        <v>406</v>
      </c>
      <c r="D136" s="68"/>
      <c r="E136" s="68"/>
      <c r="F136" s="104"/>
      <c r="G136" s="68"/>
      <c r="H136" s="68"/>
      <c r="I136" s="68"/>
      <c r="K136" s="53"/>
      <c r="L136" s="137" t="str">
        <f t="shared" si="3"/>
        <v>&amp;DS7=4</v>
      </c>
      <c r="M136" s="138"/>
      <c r="N136" s="138"/>
      <c r="O136" s="138"/>
      <c r="P136" s="139"/>
      <c r="Q136" s="53"/>
      <c r="R136" s="53"/>
      <c r="S136" s="53"/>
      <c r="T136" s="53"/>
      <c r="U136" s="53"/>
      <c r="V136" s="53"/>
      <c r="W136" s="58"/>
    </row>
    <row r="137" spans="1:23" x14ac:dyDescent="0.2">
      <c r="A137" s="1"/>
      <c r="B137" s="68"/>
      <c r="C137" s="103" t="s">
        <v>407</v>
      </c>
      <c r="D137" s="68"/>
      <c r="E137" s="68"/>
      <c r="F137" s="104"/>
      <c r="G137" s="68"/>
      <c r="H137" s="68"/>
      <c r="I137" s="68"/>
      <c r="K137" s="53"/>
      <c r="L137" s="137" t="str">
        <f t="shared" si="3"/>
        <v>&amp;ZipFiles=0</v>
      </c>
      <c r="M137" s="138"/>
      <c r="N137" s="138"/>
      <c r="O137" s="138"/>
      <c r="P137" s="139"/>
      <c r="Q137" s="53"/>
      <c r="R137" s="53"/>
      <c r="S137" s="53"/>
      <c r="T137" s="53"/>
      <c r="U137" s="53"/>
      <c r="V137" s="53"/>
      <c r="W137" s="58"/>
    </row>
    <row r="138" spans="1:23" x14ac:dyDescent="0.2">
      <c r="A138" s="1"/>
      <c r="B138" s="68"/>
      <c r="C138" s="103" t="s">
        <v>408</v>
      </c>
      <c r="D138" s="68"/>
      <c r="E138" s="68"/>
      <c r="F138" s="104"/>
      <c r="G138" s="68"/>
      <c r="H138" s="68"/>
      <c r="I138" s="68"/>
      <c r="K138" s="53"/>
      <c r="L138" s="137" t="str">
        <f t="shared" si="3"/>
        <v>&amp;TemplateId={!Contract.Conga_Document_Id__c}</v>
      </c>
      <c r="M138" s="138"/>
      <c r="N138" s="138"/>
      <c r="O138" s="138"/>
      <c r="P138" s="139"/>
      <c r="Q138" s="53"/>
      <c r="R138" s="53"/>
      <c r="S138" s="53"/>
      <c r="T138" s="53"/>
      <c r="U138" s="53"/>
      <c r="V138" s="53"/>
      <c r="W138" s="58"/>
    </row>
    <row r="139" spans="1:23" ht="13.5" thickBot="1" x14ac:dyDescent="0.25">
      <c r="A139" s="1"/>
      <c r="B139" s="68"/>
      <c r="C139" s="105" t="s">
        <v>409</v>
      </c>
      <c r="D139" s="80"/>
      <c r="E139" s="80"/>
      <c r="F139" s="106"/>
      <c r="G139" s="68"/>
      <c r="H139" s="68"/>
      <c r="I139" s="68"/>
      <c r="K139" s="53"/>
      <c r="L139" s="140" t="str">
        <f t="shared" si="3"/>
        <v>&amp;ESAgreementTemplateId={!Contract.Adobe_Agreement_TemplateID__c}</v>
      </c>
      <c r="M139" s="141"/>
      <c r="N139" s="141"/>
      <c r="O139" s="141"/>
      <c r="P139" s="142"/>
      <c r="Q139" s="53"/>
      <c r="R139" s="53"/>
      <c r="S139" s="53"/>
      <c r="T139" s="53"/>
      <c r="U139" s="53"/>
      <c r="V139" s="53"/>
      <c r="W139" s="58"/>
    </row>
    <row r="140" spans="1:23" x14ac:dyDescent="0.2">
      <c r="A140" s="1"/>
      <c r="B140" s="68"/>
      <c r="C140" s="68"/>
      <c r="D140" s="68"/>
      <c r="E140" s="68"/>
      <c r="F140" s="68"/>
      <c r="G140" s="68"/>
      <c r="H140" s="68"/>
      <c r="I140" s="68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8"/>
    </row>
    <row r="141" spans="1:23" ht="13.5" thickBot="1" x14ac:dyDescent="0.25">
      <c r="A141" s="3"/>
      <c r="B141" s="80"/>
      <c r="C141" s="80"/>
      <c r="D141" s="80"/>
      <c r="E141" s="80"/>
      <c r="F141" s="80"/>
      <c r="G141" s="80"/>
      <c r="H141" s="80"/>
      <c r="I141" s="80"/>
      <c r="J141" s="4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7"/>
    </row>
    <row r="143" spans="1:23" ht="13.5" thickBot="1" x14ac:dyDescent="0.25"/>
    <row r="144" spans="1:23" ht="53.25" customHeight="1" thickBot="1" x14ac:dyDescent="0.25">
      <c r="A144" s="99" t="s">
        <v>410</v>
      </c>
      <c r="B144" s="91" t="s">
        <v>3</v>
      </c>
      <c r="C144" s="126" t="s">
        <v>4</v>
      </c>
      <c r="D144" s="71"/>
      <c r="E144" s="71"/>
      <c r="F144" s="71"/>
      <c r="G144" s="71"/>
      <c r="H144" s="71"/>
      <c r="I144" s="71"/>
      <c r="J144" s="18"/>
      <c r="K144" s="54"/>
      <c r="L144" s="98" t="s">
        <v>3</v>
      </c>
      <c r="M144" s="125" t="s">
        <v>4</v>
      </c>
      <c r="N144" s="54"/>
      <c r="O144" s="54"/>
      <c r="P144" s="54"/>
      <c r="Q144" s="54"/>
      <c r="R144" s="54"/>
      <c r="S144" s="54"/>
      <c r="T144" s="54"/>
      <c r="U144" s="54"/>
      <c r="V144" s="54"/>
      <c r="W144" s="57"/>
    </row>
    <row r="145" spans="1:23" x14ac:dyDescent="0.2">
      <c r="A145" s="1"/>
      <c r="B145" s="68"/>
      <c r="C145" s="68"/>
      <c r="D145" s="68"/>
      <c r="E145" s="68"/>
      <c r="F145" s="68"/>
      <c r="G145" s="68"/>
      <c r="H145" s="68"/>
      <c r="I145" s="68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8"/>
    </row>
    <row r="146" spans="1:23" x14ac:dyDescent="0.2">
      <c r="A146" s="1"/>
      <c r="B146" s="68"/>
      <c r="C146" s="68"/>
      <c r="D146" s="68"/>
      <c r="E146" s="68"/>
      <c r="F146" s="68"/>
      <c r="G146" s="68"/>
      <c r="H146" s="68"/>
      <c r="I146" s="68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8"/>
    </row>
    <row r="147" spans="1:23" ht="13.5" thickBot="1" x14ac:dyDescent="0.25">
      <c r="A147" s="1"/>
      <c r="B147" s="68"/>
      <c r="C147" s="68"/>
      <c r="D147" s="68"/>
      <c r="E147" s="68"/>
      <c r="F147" s="68"/>
      <c r="G147" s="68"/>
      <c r="H147" s="68"/>
      <c r="I147" s="68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8"/>
    </row>
    <row r="148" spans="1:23" ht="51" customHeight="1" x14ac:dyDescent="0.2">
      <c r="A148" s="1"/>
      <c r="B148" s="116" t="s">
        <v>9</v>
      </c>
      <c r="C148" s="117" t="s">
        <v>10</v>
      </c>
      <c r="D148" s="118" t="s">
        <v>11</v>
      </c>
      <c r="E148" s="118" t="s">
        <v>12</v>
      </c>
      <c r="F148" s="118" t="s">
        <v>13</v>
      </c>
      <c r="G148" s="118" t="s">
        <v>14</v>
      </c>
      <c r="H148" s="118" t="s">
        <v>15</v>
      </c>
      <c r="I148" s="119" t="s">
        <v>16</v>
      </c>
      <c r="K148" s="53"/>
      <c r="L148" s="120" t="s">
        <v>9</v>
      </c>
      <c r="M148" s="121" t="s">
        <v>10</v>
      </c>
      <c r="N148" s="122" t="s">
        <v>11</v>
      </c>
      <c r="O148" s="122" t="s">
        <v>12</v>
      </c>
      <c r="P148" s="122" t="s">
        <v>13</v>
      </c>
      <c r="Q148" s="122" t="s">
        <v>14</v>
      </c>
      <c r="R148" s="122" t="s">
        <v>15</v>
      </c>
      <c r="S148" s="123" t="s">
        <v>16</v>
      </c>
      <c r="T148" s="53"/>
      <c r="U148" s="53"/>
      <c r="V148" s="53"/>
      <c r="W148" s="58"/>
    </row>
    <row r="149" spans="1:23" ht="20.25" customHeight="1" x14ac:dyDescent="0.2">
      <c r="A149" s="1"/>
      <c r="B149" s="103"/>
      <c r="C149" s="112" t="s">
        <v>24</v>
      </c>
      <c r="D149" s="107" t="s">
        <v>25</v>
      </c>
      <c r="E149" s="107" t="s">
        <v>26</v>
      </c>
      <c r="F149" s="107" t="s">
        <v>27</v>
      </c>
      <c r="G149" s="107" t="s">
        <v>28</v>
      </c>
      <c r="H149" s="114" t="b">
        <v>0</v>
      </c>
      <c r="I149" s="104" t="s">
        <v>29</v>
      </c>
      <c r="K149" s="53"/>
      <c r="L149" s="108"/>
      <c r="M149" s="64" t="s">
        <v>24</v>
      </c>
      <c r="N149" s="53" t="s">
        <v>31</v>
      </c>
      <c r="O149" s="53" t="s">
        <v>26</v>
      </c>
      <c r="P149" s="53" t="s">
        <v>27</v>
      </c>
      <c r="Q149" s="53" t="s">
        <v>28</v>
      </c>
      <c r="R149" s="86" t="b">
        <v>0</v>
      </c>
      <c r="S149" s="58" t="s">
        <v>29</v>
      </c>
      <c r="T149" s="53"/>
      <c r="U149" s="53"/>
      <c r="V149" s="53"/>
      <c r="W149" s="58"/>
    </row>
    <row r="150" spans="1:23" ht="25.5" customHeight="1" x14ac:dyDescent="0.2">
      <c r="A150" s="1"/>
      <c r="B150" s="103"/>
      <c r="C150" s="112" t="s">
        <v>24</v>
      </c>
      <c r="D150" s="107" t="s">
        <v>33</v>
      </c>
      <c r="E150" s="107" t="s">
        <v>34</v>
      </c>
      <c r="F150" s="107" t="s">
        <v>35</v>
      </c>
      <c r="G150" s="107" t="s">
        <v>36</v>
      </c>
      <c r="H150" s="114" t="b">
        <v>0</v>
      </c>
      <c r="I150" s="104" t="s">
        <v>29</v>
      </c>
      <c r="K150" s="53"/>
      <c r="L150" s="108"/>
      <c r="M150" s="64" t="s">
        <v>24</v>
      </c>
      <c r="N150" s="53" t="s">
        <v>37</v>
      </c>
      <c r="O150" s="53" t="s">
        <v>34</v>
      </c>
      <c r="P150" s="53" t="s">
        <v>35</v>
      </c>
      <c r="Q150" s="53" t="s">
        <v>36</v>
      </c>
      <c r="R150" s="86" t="b">
        <v>0</v>
      </c>
      <c r="S150" s="58" t="s">
        <v>29</v>
      </c>
      <c r="T150" s="53"/>
      <c r="U150" s="53"/>
      <c r="V150" s="53"/>
      <c r="W150" s="58"/>
    </row>
    <row r="151" spans="1:23" ht="17.25" customHeight="1" x14ac:dyDescent="0.2">
      <c r="A151" s="1"/>
      <c r="B151" s="103"/>
      <c r="C151" s="112" t="s">
        <v>24</v>
      </c>
      <c r="D151" s="107" t="s">
        <v>38</v>
      </c>
      <c r="E151" s="107" t="s">
        <v>39</v>
      </c>
      <c r="F151" s="107" t="s">
        <v>40</v>
      </c>
      <c r="G151" s="107" t="s">
        <v>41</v>
      </c>
      <c r="H151" s="114" t="b">
        <v>0</v>
      </c>
      <c r="I151" s="104" t="s">
        <v>29</v>
      </c>
      <c r="K151" s="53"/>
      <c r="L151" s="108"/>
      <c r="M151" s="64" t="s">
        <v>24</v>
      </c>
      <c r="N151" s="53" t="s">
        <v>42</v>
      </c>
      <c r="O151" s="53" t="s">
        <v>39</v>
      </c>
      <c r="P151" s="53" t="s">
        <v>40</v>
      </c>
      <c r="Q151" s="53" t="s">
        <v>41</v>
      </c>
      <c r="R151" s="86" t="b">
        <v>0</v>
      </c>
      <c r="S151" s="58" t="s">
        <v>29</v>
      </c>
      <c r="T151" s="53"/>
      <c r="U151" s="53"/>
      <c r="V151" s="53"/>
      <c r="W151" s="58"/>
    </row>
    <row r="152" spans="1:23" ht="21.75" customHeight="1" x14ac:dyDescent="0.2">
      <c r="A152" s="1"/>
      <c r="B152" s="103"/>
      <c r="C152" s="112" t="s">
        <v>24</v>
      </c>
      <c r="D152" s="107" t="s">
        <v>43</v>
      </c>
      <c r="E152" s="107" t="s">
        <v>44</v>
      </c>
      <c r="F152" s="107" t="s">
        <v>45</v>
      </c>
      <c r="G152" s="107" t="s">
        <v>46</v>
      </c>
      <c r="H152" s="114" t="b">
        <v>0</v>
      </c>
      <c r="I152" s="104" t="s">
        <v>29</v>
      </c>
      <c r="K152" s="53"/>
      <c r="L152" s="108"/>
      <c r="M152" s="64" t="s">
        <v>24</v>
      </c>
      <c r="N152" s="53" t="s">
        <v>47</v>
      </c>
      <c r="O152" s="53" t="s">
        <v>44</v>
      </c>
      <c r="P152" s="53" t="s">
        <v>45</v>
      </c>
      <c r="Q152" s="53" t="s">
        <v>46</v>
      </c>
      <c r="R152" s="86" t="b">
        <v>0</v>
      </c>
      <c r="S152" s="58" t="s">
        <v>29</v>
      </c>
      <c r="T152" s="53"/>
      <c r="U152" s="53"/>
      <c r="V152" s="53"/>
      <c r="W152" s="58"/>
    </row>
    <row r="153" spans="1:23" ht="17.25" customHeight="1" x14ac:dyDescent="0.2">
      <c r="A153" s="1"/>
      <c r="B153" s="103"/>
      <c r="C153" s="112" t="s">
        <v>24</v>
      </c>
      <c r="D153" s="107" t="s">
        <v>48</v>
      </c>
      <c r="E153" s="107" t="s">
        <v>49</v>
      </c>
      <c r="F153" s="107" t="s">
        <v>50</v>
      </c>
      <c r="G153" s="107" t="s">
        <v>51</v>
      </c>
      <c r="H153" s="114" t="b">
        <v>0</v>
      </c>
      <c r="I153" s="104" t="s">
        <v>29</v>
      </c>
      <c r="K153" s="53"/>
      <c r="L153" s="108"/>
      <c r="M153" s="64" t="s">
        <v>24</v>
      </c>
      <c r="N153" s="53" t="s">
        <v>52</v>
      </c>
      <c r="O153" s="53" t="s">
        <v>49</v>
      </c>
      <c r="P153" s="53" t="s">
        <v>50</v>
      </c>
      <c r="Q153" s="53" t="s">
        <v>51</v>
      </c>
      <c r="R153" s="86" t="b">
        <v>0</v>
      </c>
      <c r="S153" s="58" t="s">
        <v>29</v>
      </c>
      <c r="T153" s="53"/>
      <c r="U153" s="53"/>
      <c r="V153" s="53"/>
      <c r="W153" s="58"/>
    </row>
    <row r="154" spans="1:23" ht="20.25" customHeight="1" x14ac:dyDescent="0.2">
      <c r="A154" s="1"/>
      <c r="B154" s="103"/>
      <c r="C154" s="112" t="s">
        <v>24</v>
      </c>
      <c r="D154" s="107" t="s">
        <v>53</v>
      </c>
      <c r="E154" s="107" t="s">
        <v>54</v>
      </c>
      <c r="F154" s="107" t="s">
        <v>55</v>
      </c>
      <c r="G154" s="107" t="s">
        <v>56</v>
      </c>
      <c r="H154" s="114" t="b">
        <v>0</v>
      </c>
      <c r="I154" s="104" t="s">
        <v>29</v>
      </c>
      <c r="K154" s="53"/>
      <c r="L154" s="108"/>
      <c r="M154" s="64" t="s">
        <v>24</v>
      </c>
      <c r="N154" s="53" t="s">
        <v>57</v>
      </c>
      <c r="O154" s="53" t="s">
        <v>54</v>
      </c>
      <c r="P154" s="53" t="s">
        <v>55</v>
      </c>
      <c r="Q154" s="53" t="s">
        <v>56</v>
      </c>
      <c r="R154" s="86" t="b">
        <v>0</v>
      </c>
      <c r="S154" s="58" t="s">
        <v>29</v>
      </c>
      <c r="T154" s="53"/>
      <c r="U154" s="53"/>
      <c r="V154" s="53"/>
      <c r="W154" s="58"/>
    </row>
    <row r="155" spans="1:23" ht="17.25" customHeight="1" x14ac:dyDescent="0.2">
      <c r="A155" s="1"/>
      <c r="B155" s="103"/>
      <c r="C155" s="112" t="s">
        <v>24</v>
      </c>
      <c r="D155" s="107" t="s">
        <v>58</v>
      </c>
      <c r="E155" s="107" t="s">
        <v>59</v>
      </c>
      <c r="F155" s="107" t="s">
        <v>60</v>
      </c>
      <c r="G155" s="107" t="s">
        <v>61</v>
      </c>
      <c r="H155" s="114" t="b">
        <v>0</v>
      </c>
      <c r="I155" s="104" t="s">
        <v>29</v>
      </c>
      <c r="K155" s="53"/>
      <c r="L155" s="108"/>
      <c r="M155" s="64" t="s">
        <v>24</v>
      </c>
      <c r="N155" s="53" t="s">
        <v>62</v>
      </c>
      <c r="O155" s="53" t="s">
        <v>59</v>
      </c>
      <c r="P155" s="53" t="s">
        <v>60</v>
      </c>
      <c r="Q155" s="53" t="s">
        <v>61</v>
      </c>
      <c r="R155" s="86" t="b">
        <v>0</v>
      </c>
      <c r="S155" s="58" t="s">
        <v>29</v>
      </c>
      <c r="T155" s="53"/>
      <c r="U155" s="53"/>
      <c r="V155" s="53"/>
      <c r="W155" s="58"/>
    </row>
    <row r="156" spans="1:23" ht="20.25" customHeight="1" x14ac:dyDescent="0.2">
      <c r="A156" s="1"/>
      <c r="B156" s="103"/>
      <c r="C156" s="112" t="s">
        <v>24</v>
      </c>
      <c r="D156" s="107" t="s">
        <v>63</v>
      </c>
      <c r="E156" s="107" t="s">
        <v>64</v>
      </c>
      <c r="F156" s="107" t="s">
        <v>65</v>
      </c>
      <c r="G156" s="107" t="s">
        <v>66</v>
      </c>
      <c r="H156" s="114" t="b">
        <v>0</v>
      </c>
      <c r="I156" s="104" t="s">
        <v>29</v>
      </c>
      <c r="K156" s="53"/>
      <c r="L156" s="108"/>
      <c r="M156" s="64" t="s">
        <v>24</v>
      </c>
      <c r="N156" s="53" t="s">
        <v>67</v>
      </c>
      <c r="O156" s="53" t="s">
        <v>64</v>
      </c>
      <c r="P156" s="53" t="s">
        <v>65</v>
      </c>
      <c r="Q156" s="53" t="s">
        <v>66</v>
      </c>
      <c r="R156" s="86" t="b">
        <v>0</v>
      </c>
      <c r="S156" s="58" t="s">
        <v>29</v>
      </c>
      <c r="T156" s="53"/>
      <c r="U156" s="53"/>
      <c r="V156" s="53"/>
      <c r="W156" s="58"/>
    </row>
    <row r="157" spans="1:23" ht="16.5" customHeight="1" x14ac:dyDescent="0.2">
      <c r="A157" s="1"/>
      <c r="B157" s="103"/>
      <c r="C157" s="112" t="s">
        <v>24</v>
      </c>
      <c r="D157" s="107" t="s">
        <v>68</v>
      </c>
      <c r="E157" s="107" t="s">
        <v>69</v>
      </c>
      <c r="F157" s="107" t="s">
        <v>70</v>
      </c>
      <c r="G157" s="107" t="s">
        <v>71</v>
      </c>
      <c r="H157" s="114" t="b">
        <v>0</v>
      </c>
      <c r="I157" s="104" t="s">
        <v>29</v>
      </c>
      <c r="K157" s="53"/>
      <c r="L157" s="108"/>
      <c r="M157" s="64" t="s">
        <v>24</v>
      </c>
      <c r="N157" s="53" t="s">
        <v>72</v>
      </c>
      <c r="O157" s="53" t="s">
        <v>69</v>
      </c>
      <c r="P157" s="53" t="s">
        <v>70</v>
      </c>
      <c r="Q157" s="53" t="s">
        <v>71</v>
      </c>
      <c r="R157" s="86" t="b">
        <v>0</v>
      </c>
      <c r="S157" s="58" t="s">
        <v>29</v>
      </c>
      <c r="T157" s="53"/>
      <c r="U157" s="53"/>
      <c r="V157" s="53"/>
      <c r="W157" s="58"/>
    </row>
    <row r="158" spans="1:23" ht="18.75" customHeight="1" x14ac:dyDescent="0.2">
      <c r="A158" s="1"/>
      <c r="B158" s="103"/>
      <c r="C158" s="112" t="s">
        <v>24</v>
      </c>
      <c r="D158" s="107" t="s">
        <v>73</v>
      </c>
      <c r="E158" s="107" t="s">
        <v>74</v>
      </c>
      <c r="F158" s="107" t="s">
        <v>75</v>
      </c>
      <c r="G158" s="107" t="s">
        <v>76</v>
      </c>
      <c r="H158" s="114" t="b">
        <v>0</v>
      </c>
      <c r="I158" s="104" t="s">
        <v>29</v>
      </c>
      <c r="K158" s="53"/>
      <c r="L158" s="108"/>
      <c r="M158" s="64" t="s">
        <v>24</v>
      </c>
      <c r="N158" s="53" t="s">
        <v>77</v>
      </c>
      <c r="O158" s="53" t="s">
        <v>74</v>
      </c>
      <c r="P158" s="53" t="s">
        <v>75</v>
      </c>
      <c r="Q158" s="53" t="s">
        <v>76</v>
      </c>
      <c r="R158" s="86" t="b">
        <v>0</v>
      </c>
      <c r="S158" s="58" t="s">
        <v>29</v>
      </c>
      <c r="T158" s="53"/>
      <c r="U158" s="53"/>
      <c r="V158" s="53"/>
      <c r="W158" s="58"/>
    </row>
    <row r="159" spans="1:23" ht="26.25" customHeight="1" x14ac:dyDescent="0.2">
      <c r="A159" s="1"/>
      <c r="B159" s="103"/>
      <c r="C159" s="112" t="s">
        <v>24</v>
      </c>
      <c r="D159" s="107" t="s">
        <v>78</v>
      </c>
      <c r="E159" s="107" t="s">
        <v>79</v>
      </c>
      <c r="F159" s="107" t="s">
        <v>80</v>
      </c>
      <c r="G159" s="107" t="s">
        <v>81</v>
      </c>
      <c r="H159" s="114" t="b">
        <v>0</v>
      </c>
      <c r="I159" s="104" t="s">
        <v>29</v>
      </c>
      <c r="K159" s="53"/>
      <c r="L159" s="108"/>
      <c r="M159" s="64" t="s">
        <v>24</v>
      </c>
      <c r="N159" s="53" t="s">
        <v>82</v>
      </c>
      <c r="O159" s="53" t="s">
        <v>79</v>
      </c>
      <c r="P159" s="53" t="s">
        <v>80</v>
      </c>
      <c r="Q159" s="53" t="s">
        <v>81</v>
      </c>
      <c r="R159" s="86" t="b">
        <v>0</v>
      </c>
      <c r="S159" s="58" t="s">
        <v>29</v>
      </c>
      <c r="T159" s="53"/>
      <c r="U159" s="53"/>
      <c r="V159" s="53"/>
      <c r="W159" s="58"/>
    </row>
    <row r="160" spans="1:23" ht="19.5" customHeight="1" x14ac:dyDescent="0.2">
      <c r="A160" s="1"/>
      <c r="B160" s="103"/>
      <c r="C160" s="112" t="s">
        <v>24</v>
      </c>
      <c r="D160" s="107" t="s">
        <v>83</v>
      </c>
      <c r="E160" s="107" t="s">
        <v>84</v>
      </c>
      <c r="F160" s="107" t="s">
        <v>85</v>
      </c>
      <c r="G160" s="107" t="s">
        <v>86</v>
      </c>
      <c r="H160" s="114" t="b">
        <v>0</v>
      </c>
      <c r="I160" s="104" t="s">
        <v>29</v>
      </c>
      <c r="K160" s="53"/>
      <c r="L160" s="108"/>
      <c r="M160" s="64" t="s">
        <v>24</v>
      </c>
      <c r="N160" s="53" t="s">
        <v>87</v>
      </c>
      <c r="O160" s="53" t="s">
        <v>84</v>
      </c>
      <c r="P160" s="53" t="s">
        <v>85</v>
      </c>
      <c r="Q160" s="53" t="s">
        <v>86</v>
      </c>
      <c r="R160" s="86" t="b">
        <v>0</v>
      </c>
      <c r="S160" s="58" t="s">
        <v>29</v>
      </c>
      <c r="T160" s="53"/>
      <c r="U160" s="53"/>
      <c r="V160" s="53"/>
      <c r="W160" s="58"/>
    </row>
    <row r="161" spans="1:23" ht="17.25" customHeight="1" x14ac:dyDescent="0.2">
      <c r="A161" s="1"/>
      <c r="B161" s="103"/>
      <c r="C161" s="112" t="s">
        <v>24</v>
      </c>
      <c r="D161" s="107" t="s">
        <v>88</v>
      </c>
      <c r="E161" s="107" t="s">
        <v>89</v>
      </c>
      <c r="F161" s="107" t="s">
        <v>90</v>
      </c>
      <c r="G161" s="107" t="s">
        <v>91</v>
      </c>
      <c r="H161" s="114" t="b">
        <v>0</v>
      </c>
      <c r="I161" s="104" t="s">
        <v>29</v>
      </c>
      <c r="K161" s="53"/>
      <c r="L161" s="108"/>
      <c r="M161" s="64" t="s">
        <v>24</v>
      </c>
      <c r="N161" s="53" t="s">
        <v>92</v>
      </c>
      <c r="O161" s="53" t="s">
        <v>89</v>
      </c>
      <c r="P161" s="53" t="s">
        <v>90</v>
      </c>
      <c r="Q161" s="53" t="s">
        <v>91</v>
      </c>
      <c r="R161" s="86" t="b">
        <v>0</v>
      </c>
      <c r="S161" s="58" t="s">
        <v>29</v>
      </c>
      <c r="T161" s="53"/>
      <c r="U161" s="53"/>
      <c r="V161" s="53"/>
      <c r="W161" s="58"/>
    </row>
    <row r="162" spans="1:23" ht="18" customHeight="1" x14ac:dyDescent="0.2">
      <c r="A162" s="1"/>
      <c r="B162" s="103"/>
      <c r="C162" s="112" t="s">
        <v>24</v>
      </c>
      <c r="D162" s="107" t="s">
        <v>93</v>
      </c>
      <c r="E162" s="107" t="s">
        <v>94</v>
      </c>
      <c r="F162" s="107" t="s">
        <v>95</v>
      </c>
      <c r="G162" s="107" t="s">
        <v>96</v>
      </c>
      <c r="H162" s="114" t="b">
        <v>0</v>
      </c>
      <c r="I162" s="104" t="s">
        <v>29</v>
      </c>
      <c r="K162" s="53"/>
      <c r="L162" s="108"/>
      <c r="M162" s="64" t="s">
        <v>24</v>
      </c>
      <c r="N162" s="53" t="s">
        <v>97</v>
      </c>
      <c r="O162" s="53" t="s">
        <v>94</v>
      </c>
      <c r="P162" s="53" t="s">
        <v>95</v>
      </c>
      <c r="Q162" s="53" t="s">
        <v>96</v>
      </c>
      <c r="R162" s="86" t="b">
        <v>0</v>
      </c>
      <c r="S162" s="58" t="s">
        <v>29</v>
      </c>
      <c r="T162" s="53"/>
      <c r="U162" s="53"/>
      <c r="V162" s="53"/>
      <c r="W162" s="58"/>
    </row>
    <row r="163" spans="1:23" ht="20.25" customHeight="1" x14ac:dyDescent="0.2">
      <c r="A163" s="1"/>
      <c r="B163" s="103"/>
      <c r="C163" s="112" t="s">
        <v>24</v>
      </c>
      <c r="D163" s="107" t="s">
        <v>98</v>
      </c>
      <c r="E163" s="107" t="s">
        <v>99</v>
      </c>
      <c r="F163" s="107" t="s">
        <v>100</v>
      </c>
      <c r="G163" s="107" t="s">
        <v>101</v>
      </c>
      <c r="H163" s="114" t="b">
        <v>0</v>
      </c>
      <c r="I163" s="104" t="s">
        <v>29</v>
      </c>
      <c r="K163" s="53"/>
      <c r="L163" s="108"/>
      <c r="M163" s="64" t="s">
        <v>24</v>
      </c>
      <c r="N163" s="53" t="s">
        <v>102</v>
      </c>
      <c r="O163" s="53" t="s">
        <v>99</v>
      </c>
      <c r="P163" s="53" t="s">
        <v>100</v>
      </c>
      <c r="Q163" s="53" t="s">
        <v>101</v>
      </c>
      <c r="R163" s="86" t="b">
        <v>0</v>
      </c>
      <c r="S163" s="58" t="s">
        <v>29</v>
      </c>
      <c r="T163" s="53"/>
      <c r="U163" s="53"/>
      <c r="V163" s="53"/>
      <c r="W163" s="58"/>
    </row>
    <row r="164" spans="1:23" ht="23.25" customHeight="1" x14ac:dyDescent="0.2">
      <c r="A164" s="1"/>
      <c r="B164" s="103"/>
      <c r="C164" s="112" t="s">
        <v>24</v>
      </c>
      <c r="D164" s="107" t="s">
        <v>103</v>
      </c>
      <c r="E164" s="107" t="s">
        <v>104</v>
      </c>
      <c r="F164" s="107" t="s">
        <v>105</v>
      </c>
      <c r="G164" s="107" t="s">
        <v>106</v>
      </c>
      <c r="H164" s="114" t="b">
        <v>0</v>
      </c>
      <c r="I164" s="104" t="s">
        <v>29</v>
      </c>
      <c r="K164" s="53"/>
      <c r="L164" s="108"/>
      <c r="M164" s="64" t="s">
        <v>24</v>
      </c>
      <c r="N164" s="53" t="s">
        <v>107</v>
      </c>
      <c r="O164" s="53" t="s">
        <v>104</v>
      </c>
      <c r="P164" s="53" t="s">
        <v>105</v>
      </c>
      <c r="Q164" s="53" t="s">
        <v>106</v>
      </c>
      <c r="R164" s="86" t="b">
        <v>0</v>
      </c>
      <c r="S164" s="58" t="s">
        <v>29</v>
      </c>
      <c r="T164" s="53"/>
      <c r="U164" s="53"/>
      <c r="V164" s="53"/>
      <c r="W164" s="58"/>
    </row>
    <row r="165" spans="1:23" ht="20.25" customHeight="1" x14ac:dyDescent="0.2">
      <c r="A165" s="1"/>
      <c r="B165" s="103"/>
      <c r="C165" s="112" t="s">
        <v>24</v>
      </c>
      <c r="D165" s="107" t="s">
        <v>108</v>
      </c>
      <c r="E165" s="107" t="s">
        <v>109</v>
      </c>
      <c r="F165" s="107" t="s">
        <v>110</v>
      </c>
      <c r="G165" s="107" t="s">
        <v>111</v>
      </c>
      <c r="H165" s="114" t="b">
        <v>0</v>
      </c>
      <c r="I165" s="104" t="s">
        <v>29</v>
      </c>
      <c r="K165" s="53"/>
      <c r="L165" s="108"/>
      <c r="M165" s="64" t="s">
        <v>24</v>
      </c>
      <c r="N165" s="53" t="s">
        <v>112</v>
      </c>
      <c r="O165" s="53" t="s">
        <v>109</v>
      </c>
      <c r="P165" s="53" t="s">
        <v>110</v>
      </c>
      <c r="Q165" s="53" t="s">
        <v>111</v>
      </c>
      <c r="R165" s="86" t="b">
        <v>0</v>
      </c>
      <c r="S165" s="58" t="s">
        <v>29</v>
      </c>
      <c r="T165" s="53"/>
      <c r="U165" s="53"/>
      <c r="V165" s="53"/>
      <c r="W165" s="58"/>
    </row>
    <row r="166" spans="1:23" ht="21.75" customHeight="1" x14ac:dyDescent="0.2">
      <c r="A166" s="1"/>
      <c r="B166" s="103"/>
      <c r="C166" s="112" t="s">
        <v>24</v>
      </c>
      <c r="D166" s="107" t="s">
        <v>113</v>
      </c>
      <c r="E166" s="107" t="s">
        <v>114</v>
      </c>
      <c r="F166" s="107" t="s">
        <v>115</v>
      </c>
      <c r="G166" s="107" t="s">
        <v>116</v>
      </c>
      <c r="H166" s="114" t="b">
        <v>0</v>
      </c>
      <c r="I166" s="104" t="s">
        <v>29</v>
      </c>
      <c r="K166" s="53"/>
      <c r="L166" s="108"/>
      <c r="M166" s="64" t="s">
        <v>24</v>
      </c>
      <c r="N166" s="53" t="s">
        <v>117</v>
      </c>
      <c r="O166" s="53" t="s">
        <v>114</v>
      </c>
      <c r="P166" s="53" t="s">
        <v>115</v>
      </c>
      <c r="Q166" s="53" t="s">
        <v>116</v>
      </c>
      <c r="R166" s="86" t="b">
        <v>0</v>
      </c>
      <c r="S166" s="58" t="s">
        <v>29</v>
      </c>
      <c r="T166" s="53"/>
      <c r="U166" s="53"/>
      <c r="V166" s="53"/>
      <c r="W166" s="58"/>
    </row>
    <row r="167" spans="1:23" ht="18" customHeight="1" x14ac:dyDescent="0.2">
      <c r="A167" s="1"/>
      <c r="B167" s="103"/>
      <c r="C167" s="112" t="s">
        <v>24</v>
      </c>
      <c r="D167" s="107" t="s">
        <v>118</v>
      </c>
      <c r="E167" s="107" t="s">
        <v>119</v>
      </c>
      <c r="F167" s="107" t="s">
        <v>120</v>
      </c>
      <c r="G167" s="107" t="s">
        <v>121</v>
      </c>
      <c r="H167" s="114" t="b">
        <v>0</v>
      </c>
      <c r="I167" s="104" t="s">
        <v>29</v>
      </c>
      <c r="K167" s="53"/>
      <c r="L167" s="108"/>
      <c r="M167" s="64" t="s">
        <v>24</v>
      </c>
      <c r="N167" s="53" t="s">
        <v>122</v>
      </c>
      <c r="O167" s="53" t="s">
        <v>119</v>
      </c>
      <c r="P167" s="53" t="s">
        <v>120</v>
      </c>
      <c r="Q167" s="53" t="s">
        <v>121</v>
      </c>
      <c r="R167" s="86" t="b">
        <v>0</v>
      </c>
      <c r="S167" s="58" t="s">
        <v>29</v>
      </c>
      <c r="T167" s="53"/>
      <c r="U167" s="53"/>
      <c r="V167" s="53"/>
      <c r="W167" s="58"/>
    </row>
    <row r="168" spans="1:23" ht="24.75" customHeight="1" x14ac:dyDescent="0.2">
      <c r="A168" s="1"/>
      <c r="B168" s="103"/>
      <c r="C168" s="112" t="s">
        <v>24</v>
      </c>
      <c r="D168" s="107" t="s">
        <v>123</v>
      </c>
      <c r="E168" s="107" t="s">
        <v>124</v>
      </c>
      <c r="F168" s="107" t="s">
        <v>125</v>
      </c>
      <c r="G168" s="107" t="s">
        <v>126</v>
      </c>
      <c r="H168" s="114" t="b">
        <v>0</v>
      </c>
      <c r="I168" s="104" t="s">
        <v>29</v>
      </c>
      <c r="K168" s="53"/>
      <c r="L168" s="108"/>
      <c r="M168" s="64" t="s">
        <v>24</v>
      </c>
      <c r="N168" s="53" t="s">
        <v>127</v>
      </c>
      <c r="O168" s="53" t="s">
        <v>124</v>
      </c>
      <c r="P168" s="53" t="s">
        <v>125</v>
      </c>
      <c r="Q168" s="53" t="s">
        <v>126</v>
      </c>
      <c r="R168" s="86" t="b">
        <v>0</v>
      </c>
      <c r="S168" s="58" t="s">
        <v>29</v>
      </c>
      <c r="T168" s="53"/>
      <c r="U168" s="53"/>
      <c r="V168" s="53"/>
      <c r="W168" s="58"/>
    </row>
    <row r="169" spans="1:23" ht="21" customHeight="1" x14ac:dyDescent="0.2">
      <c r="A169" s="1"/>
      <c r="B169" s="103"/>
      <c r="C169" s="112" t="s">
        <v>24</v>
      </c>
      <c r="D169" s="107" t="s">
        <v>128</v>
      </c>
      <c r="E169" s="107" t="s">
        <v>129</v>
      </c>
      <c r="F169" s="107" t="s">
        <v>130</v>
      </c>
      <c r="G169" s="107" t="s">
        <v>131</v>
      </c>
      <c r="H169" s="114" t="b">
        <v>0</v>
      </c>
      <c r="I169" s="104" t="s">
        <v>29</v>
      </c>
      <c r="K169" s="53"/>
      <c r="L169" s="108"/>
      <c r="M169" s="64" t="s">
        <v>24</v>
      </c>
      <c r="N169" s="53" t="s">
        <v>132</v>
      </c>
      <c r="O169" s="53" t="s">
        <v>129</v>
      </c>
      <c r="P169" s="53" t="s">
        <v>130</v>
      </c>
      <c r="Q169" s="53" t="s">
        <v>131</v>
      </c>
      <c r="R169" s="86" t="b">
        <v>0</v>
      </c>
      <c r="S169" s="58" t="s">
        <v>29</v>
      </c>
      <c r="T169" s="53"/>
      <c r="U169" s="53"/>
      <c r="V169" s="53"/>
      <c r="W169" s="58"/>
    </row>
    <row r="170" spans="1:23" ht="12.75" customHeight="1" x14ac:dyDescent="0.2">
      <c r="A170" s="1"/>
      <c r="B170" s="103"/>
      <c r="C170" s="112" t="s">
        <v>24</v>
      </c>
      <c r="D170" s="107" t="s">
        <v>133</v>
      </c>
      <c r="E170" s="107" t="s">
        <v>134</v>
      </c>
      <c r="F170" s="107" t="s">
        <v>135</v>
      </c>
      <c r="G170" s="107" t="s">
        <v>136</v>
      </c>
      <c r="H170" s="114" t="b">
        <v>0</v>
      </c>
      <c r="I170" s="104" t="s">
        <v>29</v>
      </c>
      <c r="K170" s="53"/>
      <c r="L170" s="108"/>
      <c r="M170" s="64" t="s">
        <v>24</v>
      </c>
      <c r="N170" s="53" t="s">
        <v>137</v>
      </c>
      <c r="O170" s="53" t="s">
        <v>134</v>
      </c>
      <c r="P170" s="53" t="s">
        <v>135</v>
      </c>
      <c r="Q170" s="53" t="s">
        <v>136</v>
      </c>
      <c r="R170" s="86" t="b">
        <v>0</v>
      </c>
      <c r="S170" s="58" t="s">
        <v>29</v>
      </c>
      <c r="T170" s="53"/>
      <c r="U170" s="53"/>
      <c r="V170" s="53"/>
      <c r="W170" s="58"/>
    </row>
    <row r="171" spans="1:23" ht="12.75" customHeight="1" x14ac:dyDescent="0.2">
      <c r="A171" s="1"/>
      <c r="B171" s="103"/>
      <c r="C171" s="112" t="s">
        <v>24</v>
      </c>
      <c r="D171" s="107" t="s">
        <v>138</v>
      </c>
      <c r="E171" s="107" t="s">
        <v>139</v>
      </c>
      <c r="F171" s="107" t="s">
        <v>140</v>
      </c>
      <c r="G171" s="107" t="s">
        <v>141</v>
      </c>
      <c r="H171" s="114" t="b">
        <v>0</v>
      </c>
      <c r="I171" s="104" t="s">
        <v>29</v>
      </c>
      <c r="K171" s="53"/>
      <c r="L171" s="108"/>
      <c r="M171" s="64" t="s">
        <v>24</v>
      </c>
      <c r="N171" s="53" t="s">
        <v>142</v>
      </c>
      <c r="O171" s="53" t="s">
        <v>139</v>
      </c>
      <c r="P171" s="53" t="s">
        <v>140</v>
      </c>
      <c r="Q171" s="53" t="s">
        <v>141</v>
      </c>
      <c r="R171" s="86" t="b">
        <v>0</v>
      </c>
      <c r="S171" s="58" t="s">
        <v>29</v>
      </c>
      <c r="T171" s="53"/>
      <c r="U171" s="53"/>
      <c r="V171" s="53"/>
      <c r="W171" s="58"/>
    </row>
    <row r="172" spans="1:23" ht="20.25" customHeight="1" x14ac:dyDescent="0.2">
      <c r="A172" s="1"/>
      <c r="B172" s="103"/>
      <c r="C172" s="112" t="s">
        <v>24</v>
      </c>
      <c r="D172" s="107" t="s">
        <v>143</v>
      </c>
      <c r="E172" s="107" t="s">
        <v>144</v>
      </c>
      <c r="F172" s="107" t="s">
        <v>145</v>
      </c>
      <c r="G172" s="107" t="s">
        <v>146</v>
      </c>
      <c r="H172" s="114" t="b">
        <v>0</v>
      </c>
      <c r="I172" s="104" t="s">
        <v>29</v>
      </c>
      <c r="K172" s="53"/>
      <c r="L172" s="108"/>
      <c r="M172" s="64" t="s">
        <v>24</v>
      </c>
      <c r="N172" s="53" t="s">
        <v>147</v>
      </c>
      <c r="O172" s="53" t="s">
        <v>144</v>
      </c>
      <c r="P172" s="53" t="s">
        <v>145</v>
      </c>
      <c r="Q172" s="53" t="s">
        <v>146</v>
      </c>
      <c r="R172" s="86" t="b">
        <v>0</v>
      </c>
      <c r="S172" s="58" t="s">
        <v>29</v>
      </c>
      <c r="T172" s="53"/>
      <c r="U172" s="53"/>
      <c r="V172" s="53"/>
      <c r="W172" s="58"/>
    </row>
    <row r="173" spans="1:23" ht="13.5" thickBot="1" x14ac:dyDescent="0.25">
      <c r="A173" s="1"/>
      <c r="B173" s="105"/>
      <c r="C173" s="113" t="s">
        <v>24</v>
      </c>
      <c r="D173" s="111" t="s">
        <v>148</v>
      </c>
      <c r="E173" s="111" t="s">
        <v>149</v>
      </c>
      <c r="F173" s="111" t="s">
        <v>150</v>
      </c>
      <c r="G173" s="111" t="s">
        <v>151</v>
      </c>
      <c r="H173" s="115" t="b">
        <v>0</v>
      </c>
      <c r="I173" s="106" t="s">
        <v>29</v>
      </c>
      <c r="K173" s="53"/>
      <c r="L173" s="110"/>
      <c r="M173" s="66" t="s">
        <v>24</v>
      </c>
      <c r="N173" s="65" t="s">
        <v>152</v>
      </c>
      <c r="O173" s="65" t="s">
        <v>149</v>
      </c>
      <c r="P173" s="65" t="s">
        <v>150</v>
      </c>
      <c r="Q173" s="65" t="s">
        <v>151</v>
      </c>
      <c r="R173" s="65" t="b">
        <v>0</v>
      </c>
      <c r="S173" s="67" t="s">
        <v>29</v>
      </c>
      <c r="T173" s="53"/>
      <c r="U173" s="53"/>
      <c r="V173" s="53"/>
      <c r="W173" s="58"/>
    </row>
    <row r="174" spans="1:23" x14ac:dyDescent="0.2">
      <c r="A174" s="1"/>
      <c r="B174" s="68"/>
      <c r="C174" s="68"/>
      <c r="D174" s="68"/>
      <c r="E174" s="68"/>
      <c r="F174" s="68"/>
      <c r="G174" s="68"/>
      <c r="H174" s="68"/>
      <c r="I174" s="68"/>
      <c r="K174" s="53"/>
      <c r="L174" s="53"/>
      <c r="M174" s="54"/>
      <c r="N174" s="54"/>
      <c r="O174" s="54"/>
      <c r="P174" s="54"/>
      <c r="Q174" s="54"/>
      <c r="R174" s="54"/>
      <c r="S174" s="54"/>
      <c r="T174" s="53"/>
      <c r="U174" s="53"/>
      <c r="V174" s="53"/>
      <c r="W174" s="58"/>
    </row>
    <row r="175" spans="1:23" x14ac:dyDescent="0.2">
      <c r="A175" s="1"/>
      <c r="B175" s="68"/>
      <c r="C175" s="68"/>
      <c r="D175" s="68"/>
      <c r="E175" s="68"/>
      <c r="F175" s="68"/>
      <c r="G175" s="68"/>
      <c r="H175" s="68"/>
      <c r="I175" s="68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8"/>
    </row>
    <row r="176" spans="1:23" ht="13.5" thickBot="1" x14ac:dyDescent="0.25">
      <c r="A176" s="3"/>
      <c r="B176" s="80"/>
      <c r="C176" s="80"/>
      <c r="D176" s="80"/>
      <c r="E176" s="80"/>
      <c r="F176" s="80"/>
      <c r="G176" s="80"/>
      <c r="H176" s="80"/>
      <c r="I176" s="80"/>
      <c r="J176" s="4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7"/>
    </row>
    <row r="178" spans="1:23" ht="13.5" thickBot="1" x14ac:dyDescent="0.25"/>
    <row r="179" spans="1:23" ht="39" customHeight="1" thickBot="1" x14ac:dyDescent="0.25">
      <c r="A179" s="52" t="s">
        <v>411</v>
      </c>
      <c r="B179" s="97" t="s">
        <v>412</v>
      </c>
      <c r="C179" s="95"/>
      <c r="D179" s="71"/>
      <c r="E179" s="71"/>
      <c r="F179" s="71"/>
      <c r="G179" s="71"/>
      <c r="H179" s="71"/>
      <c r="I179" s="71"/>
      <c r="J179" s="18"/>
      <c r="K179" s="96" t="s">
        <v>371</v>
      </c>
      <c r="L179" s="9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7"/>
    </row>
    <row r="180" spans="1:23" ht="13.5" thickBot="1" x14ac:dyDescent="0.25">
      <c r="A180" s="35" t="s">
        <v>372</v>
      </c>
      <c r="B180" s="100" t="s">
        <v>373</v>
      </c>
      <c r="C180" s="143" t="s">
        <v>413</v>
      </c>
      <c r="D180" s="144"/>
      <c r="E180" s="144"/>
      <c r="F180" s="145"/>
      <c r="G180" s="68"/>
      <c r="H180" s="68"/>
      <c r="I180" s="68"/>
      <c r="K180" s="109" t="s">
        <v>373</v>
      </c>
      <c r="L180" s="146" t="str">
        <f>C180</f>
        <v>IF(</v>
      </c>
      <c r="M180" s="147"/>
      <c r="N180" s="147"/>
      <c r="O180" s="147"/>
      <c r="P180" s="148"/>
      <c r="Q180" s="53"/>
      <c r="R180" s="53"/>
      <c r="S180" s="53"/>
      <c r="T180" s="53"/>
      <c r="U180" s="53"/>
      <c r="V180" s="53"/>
      <c r="W180" s="58"/>
    </row>
    <row r="181" spans="1:23" x14ac:dyDescent="0.2">
      <c r="A181" s="1"/>
      <c r="B181" s="68"/>
      <c r="C181" s="128" t="s">
        <v>414</v>
      </c>
      <c r="D181" s="129"/>
      <c r="E181" s="129"/>
      <c r="F181" s="130"/>
      <c r="G181" s="68"/>
      <c r="H181" s="68"/>
      <c r="I181" s="68"/>
      <c r="K181" s="53"/>
      <c r="L181" s="137" t="str">
        <f t="shared" ref="L181:L233" si="4">C181</f>
        <v>INCLUDES(Document_Type__c , "AST"),</v>
      </c>
      <c r="M181" s="138"/>
      <c r="N181" s="138"/>
      <c r="O181" s="138"/>
      <c r="P181" s="139"/>
      <c r="Q181" s="53"/>
      <c r="R181" s="53"/>
      <c r="S181" s="53"/>
      <c r="T181" s="53"/>
      <c r="U181" s="53"/>
      <c r="V181" s="53"/>
      <c r="W181" s="58"/>
    </row>
    <row r="182" spans="1:23" x14ac:dyDescent="0.2">
      <c r="A182" s="1"/>
      <c r="B182" s="68"/>
      <c r="C182" s="128" t="s">
        <v>415</v>
      </c>
      <c r="D182" s="129"/>
      <c r="E182" s="129"/>
      <c r="F182" s="130"/>
      <c r="G182" s="68"/>
      <c r="H182" s="68"/>
      <c r="I182" s="68"/>
      <c r="K182" s="53"/>
      <c r="L182" s="137" t="str">
        <f>REPLACE(C182,2, 18,_xlfn.XLOOKUP(_xlfn.XLOOKUP(TRIM(MID(C182, 2, 18)), $D$149:$D$173, $G$149:$G$173, "ERROR 404"), $Q$149:$Q$173, $N$149:$N$173, "ERROR 404"))</f>
        <v>"a0KTA00000F6Agx2AF",null)&amp;"," &amp;</v>
      </c>
      <c r="M182" s="138"/>
      <c r="N182" s="138"/>
      <c r="O182" s="138"/>
      <c r="P182" s="139"/>
      <c r="Q182" s="53"/>
      <c r="R182" s="53"/>
      <c r="S182" s="53"/>
      <c r="T182" s="53"/>
      <c r="U182" s="53"/>
      <c r="V182" s="53"/>
      <c r="W182" s="58"/>
    </row>
    <row r="183" spans="1:23" x14ac:dyDescent="0.2">
      <c r="A183" s="1"/>
      <c r="B183" s="68"/>
      <c r="C183" s="128" t="s">
        <v>413</v>
      </c>
      <c r="D183" s="129"/>
      <c r="E183" s="129"/>
      <c r="F183" s="130"/>
      <c r="G183" s="68"/>
      <c r="H183" s="68"/>
      <c r="I183" s="68"/>
      <c r="K183" s="53"/>
      <c r="L183" s="137" t="str">
        <f t="shared" si="4"/>
        <v>IF(</v>
      </c>
      <c r="M183" s="138"/>
      <c r="N183" s="138"/>
      <c r="O183" s="138"/>
      <c r="P183" s="139"/>
      <c r="Q183" s="53"/>
      <c r="R183" s="53"/>
      <c r="S183" s="53"/>
      <c r="T183" s="53"/>
      <c r="U183" s="53"/>
      <c r="V183" s="53"/>
      <c r="W183" s="58"/>
    </row>
    <row r="184" spans="1:23" x14ac:dyDescent="0.2">
      <c r="A184" s="1"/>
      <c r="B184" s="68"/>
      <c r="C184" s="128" t="s">
        <v>416</v>
      </c>
      <c r="D184" s="129"/>
      <c r="E184" s="129"/>
      <c r="F184" s="130"/>
      <c r="G184" s="68"/>
      <c r="H184" s="68"/>
      <c r="I184" s="68"/>
      <c r="K184" s="53"/>
      <c r="L184" s="137" t="str">
        <f t="shared" si="4"/>
        <v>INCLUDES(Document_Type__c , "Affordable"),</v>
      </c>
      <c r="M184" s="138"/>
      <c r="N184" s="138"/>
      <c r="O184" s="138"/>
      <c r="P184" s="139"/>
      <c r="Q184" s="53"/>
      <c r="R184" s="53"/>
      <c r="S184" s="53"/>
      <c r="T184" s="53"/>
      <c r="U184" s="53"/>
      <c r="V184" s="53"/>
      <c r="W184" s="58"/>
    </row>
    <row r="185" spans="1:23" x14ac:dyDescent="0.2">
      <c r="A185" s="1"/>
      <c r="B185" s="68"/>
      <c r="C185" s="128" t="s">
        <v>417</v>
      </c>
      <c r="D185" s="129"/>
      <c r="E185" s="129"/>
      <c r="F185" s="130"/>
      <c r="G185" s="68"/>
      <c r="H185" s="68"/>
      <c r="I185" s="68"/>
      <c r="K185" s="53"/>
      <c r="L185" s="137" t="str">
        <f>REPLACE(C185,2, 18,_xlfn.XLOOKUP(_xlfn.XLOOKUP(TRIM(MID(C185, 2, 18)), $D$149:$D$173, $G$149:$G$173, "ERROR 404"), $Q$149:$Q$173, $N$149:$N$173, "ERROR 404"))</f>
        <v>"a0KTA00000F6Ah82AF",null)&amp;"," &amp;</v>
      </c>
      <c r="M185" s="138"/>
      <c r="N185" s="138"/>
      <c r="O185" s="138"/>
      <c r="P185" s="139"/>
      <c r="Q185" s="53"/>
      <c r="R185" s="53"/>
      <c r="S185" s="53"/>
      <c r="T185" s="53"/>
      <c r="U185" s="53"/>
      <c r="V185" s="53"/>
      <c r="W185" s="58"/>
    </row>
    <row r="186" spans="1:23" x14ac:dyDescent="0.2">
      <c r="A186" s="1"/>
      <c r="B186" s="68"/>
      <c r="C186" s="128" t="s">
        <v>413</v>
      </c>
      <c r="D186" s="129"/>
      <c r="E186" s="129"/>
      <c r="F186" s="130"/>
      <c r="G186" s="68"/>
      <c r="H186" s="68"/>
      <c r="I186" s="68"/>
      <c r="K186" s="53"/>
      <c r="L186" s="137" t="str">
        <f t="shared" si="4"/>
        <v>IF(</v>
      </c>
      <c r="M186" s="138"/>
      <c r="N186" s="138"/>
      <c r="O186" s="138"/>
      <c r="P186" s="139"/>
      <c r="Q186" s="53"/>
      <c r="R186" s="53"/>
      <c r="S186" s="53"/>
      <c r="T186" s="53"/>
      <c r="U186" s="53"/>
      <c r="V186" s="53"/>
      <c r="W186" s="58"/>
    </row>
    <row r="187" spans="1:23" x14ac:dyDescent="0.2">
      <c r="A187" s="1"/>
      <c r="B187" s="68"/>
      <c r="C187" s="128" t="s">
        <v>418</v>
      </c>
      <c r="D187" s="129"/>
      <c r="E187" s="129"/>
      <c r="F187" s="130"/>
      <c r="G187" s="68"/>
      <c r="H187" s="68"/>
      <c r="I187" s="68"/>
      <c r="K187" s="53"/>
      <c r="L187" s="137" t="str">
        <f t="shared" si="4"/>
        <v>INCLUDES(Document_Type__c , "DMR Social"),</v>
      </c>
      <c r="M187" s="138"/>
      <c r="N187" s="138"/>
      <c r="O187" s="138"/>
      <c r="P187" s="139"/>
      <c r="Q187" s="53"/>
      <c r="R187" s="53"/>
      <c r="S187" s="53"/>
      <c r="T187" s="53"/>
      <c r="U187" s="53"/>
      <c r="V187" s="53"/>
      <c r="W187" s="58"/>
    </row>
    <row r="188" spans="1:23" x14ac:dyDescent="0.2">
      <c r="A188" s="1"/>
      <c r="B188" s="68"/>
      <c r="C188" s="128" t="s">
        <v>419</v>
      </c>
      <c r="D188" s="129"/>
      <c r="E188" s="129"/>
      <c r="F188" s="130"/>
      <c r="G188" s="68"/>
      <c r="H188" s="68"/>
      <c r="I188" s="68"/>
      <c r="K188" s="53"/>
      <c r="L188" s="137" t="str">
        <f>REPLACE(C188,2, 18,_xlfn.XLOOKUP(_xlfn.XLOOKUP(TRIM(MID(C188, 2, 18)), $D$149:$D$173, $G$149:$G$173, "ERROR 404"), $Q$149:$Q$173, $N$149:$N$173, "ERROR 404"))</f>
        <v>"a0KTA00000F6Ah92AF",null)&amp;"," &amp;</v>
      </c>
      <c r="M188" s="138"/>
      <c r="N188" s="138"/>
      <c r="O188" s="138"/>
      <c r="P188" s="139"/>
      <c r="Q188" s="53"/>
      <c r="R188" s="53"/>
      <c r="S188" s="53"/>
      <c r="T188" s="53"/>
      <c r="U188" s="53"/>
      <c r="V188" s="53"/>
      <c r="W188" s="58"/>
    </row>
    <row r="189" spans="1:23" x14ac:dyDescent="0.2">
      <c r="A189" s="1"/>
      <c r="B189" s="68"/>
      <c r="C189" s="128" t="s">
        <v>413</v>
      </c>
      <c r="D189" s="129"/>
      <c r="E189" s="129"/>
      <c r="F189" s="130"/>
      <c r="G189" s="68"/>
      <c r="H189" s="68"/>
      <c r="I189" s="68"/>
      <c r="K189" s="53"/>
      <c r="L189" s="137" t="str">
        <f t="shared" si="4"/>
        <v>IF(</v>
      </c>
      <c r="M189" s="138"/>
      <c r="N189" s="138"/>
      <c r="O189" s="138"/>
      <c r="P189" s="139"/>
      <c r="Q189" s="53"/>
      <c r="R189" s="53"/>
      <c r="S189" s="53"/>
      <c r="T189" s="53"/>
      <c r="U189" s="53"/>
      <c r="V189" s="53"/>
      <c r="W189" s="58"/>
    </row>
    <row r="190" spans="1:23" x14ac:dyDescent="0.2">
      <c r="A190" s="1"/>
      <c r="B190" s="68"/>
      <c r="C190" s="128" t="s">
        <v>420</v>
      </c>
      <c r="D190" s="129"/>
      <c r="E190" s="129"/>
      <c r="F190" s="130"/>
      <c r="G190" s="68"/>
      <c r="H190" s="68"/>
      <c r="I190" s="68"/>
      <c r="K190" s="53"/>
      <c r="L190" s="137" t="str">
        <f t="shared" si="4"/>
        <v>INCLUDES(Document_Type__c , "Occupation Contract"),</v>
      </c>
      <c r="M190" s="138"/>
      <c r="N190" s="138"/>
      <c r="O190" s="138"/>
      <c r="P190" s="139"/>
      <c r="Q190" s="53"/>
      <c r="R190" s="53"/>
      <c r="S190" s="53"/>
      <c r="T190" s="53"/>
      <c r="U190" s="53"/>
      <c r="V190" s="53"/>
      <c r="W190" s="58"/>
    </row>
    <row r="191" spans="1:23" x14ac:dyDescent="0.2">
      <c r="A191" s="1"/>
      <c r="B191" s="68"/>
      <c r="C191" s="128" t="s">
        <v>421</v>
      </c>
      <c r="D191" s="129"/>
      <c r="E191" s="129"/>
      <c r="F191" s="130"/>
      <c r="G191" s="68"/>
      <c r="H191" s="68"/>
      <c r="I191" s="68"/>
      <c r="K191" s="53"/>
      <c r="L191" s="137" t="str">
        <f>REPLACE(C191,2, 18,_xlfn.XLOOKUP(_xlfn.XLOOKUP(TRIM(MID(C191, 2, 18)), $D$149:$D$173, $G$149:$G$173, "ERROR 404"), $Q$149:$Q$173, $N$149:$N$173, "ERROR 404"))</f>
        <v>"a0KTA00000F6Ah42AF",null)&amp;"," &amp;</v>
      </c>
      <c r="M191" s="138"/>
      <c r="N191" s="138"/>
      <c r="O191" s="138"/>
      <c r="P191" s="139"/>
      <c r="Q191" s="53"/>
      <c r="R191" s="53"/>
      <c r="S191" s="53"/>
      <c r="T191" s="53"/>
      <c r="U191" s="53"/>
      <c r="V191" s="53"/>
      <c r="W191" s="58"/>
    </row>
    <row r="192" spans="1:23" x14ac:dyDescent="0.2">
      <c r="A192" s="1"/>
      <c r="B192" s="68"/>
      <c r="C192" s="128" t="s">
        <v>413</v>
      </c>
      <c r="D192" s="129"/>
      <c r="E192" s="129"/>
      <c r="F192" s="130"/>
      <c r="G192" s="68"/>
      <c r="H192" s="68"/>
      <c r="I192" s="68"/>
      <c r="K192" s="53"/>
      <c r="L192" s="137" t="str">
        <f t="shared" si="4"/>
        <v>IF(</v>
      </c>
      <c r="M192" s="138"/>
      <c r="N192" s="138"/>
      <c r="O192" s="138"/>
      <c r="P192" s="139"/>
      <c r="Q192" s="53"/>
      <c r="R192" s="53"/>
      <c r="S192" s="53"/>
      <c r="T192" s="53"/>
      <c r="U192" s="53"/>
      <c r="V192" s="53"/>
      <c r="W192" s="58"/>
    </row>
    <row r="193" spans="1:23" x14ac:dyDescent="0.2">
      <c r="A193" s="1"/>
      <c r="B193" s="68"/>
      <c r="C193" s="128" t="s">
        <v>422</v>
      </c>
      <c r="D193" s="129"/>
      <c r="E193" s="129"/>
      <c r="F193" s="130"/>
      <c r="G193" s="68"/>
      <c r="H193" s="68"/>
      <c r="I193" s="68"/>
      <c r="K193" s="53"/>
      <c r="L193" s="137" t="str">
        <f t="shared" si="4"/>
        <v>AND(</v>
      </c>
      <c r="M193" s="138"/>
      <c r="N193" s="138"/>
      <c r="O193" s="138"/>
      <c r="P193" s="139"/>
      <c r="Q193" s="53"/>
      <c r="R193" s="53"/>
      <c r="S193" s="53"/>
      <c r="T193" s="53"/>
      <c r="U193" s="53"/>
      <c r="V193" s="53"/>
      <c r="W193" s="58"/>
    </row>
    <row r="194" spans="1:23" x14ac:dyDescent="0.2">
      <c r="A194" s="1"/>
      <c r="B194" s="68"/>
      <c r="C194" s="128" t="s">
        <v>423</v>
      </c>
      <c r="D194" s="129"/>
      <c r="E194" s="129"/>
      <c r="F194" s="130"/>
      <c r="G194" s="68"/>
      <c r="H194" s="68"/>
      <c r="I194" s="68"/>
      <c r="K194" s="53"/>
      <c r="L194" s="137" t="str">
        <f t="shared" si="4"/>
        <v>INCLUDES(Document_Type__c , "NHA Company Let"),</v>
      </c>
      <c r="M194" s="138"/>
      <c r="N194" s="138"/>
      <c r="O194" s="138"/>
      <c r="P194" s="139"/>
      <c r="Q194" s="53"/>
      <c r="R194" s="53"/>
      <c r="S194" s="53"/>
      <c r="T194" s="53"/>
      <c r="U194" s="53"/>
      <c r="V194" s="53"/>
      <c r="W194" s="58"/>
    </row>
    <row r="195" spans="1:23" x14ac:dyDescent="0.2">
      <c r="A195" s="1"/>
      <c r="B195" s="68"/>
      <c r="C195" s="128" t="s">
        <v>424</v>
      </c>
      <c r="D195" s="129"/>
      <c r="E195" s="129"/>
      <c r="F195" s="130"/>
      <c r="G195" s="68"/>
      <c r="H195" s="68"/>
      <c r="I195" s="68"/>
      <c r="K195" s="53"/>
      <c r="L195" s="137" t="str">
        <f t="shared" si="4"/>
        <v>Number_of_Tenants__c &gt; 1),</v>
      </c>
      <c r="M195" s="138"/>
      <c r="N195" s="138"/>
      <c r="O195" s="138"/>
      <c r="P195" s="139"/>
      <c r="Q195" s="53"/>
      <c r="R195" s="53"/>
      <c r="S195" s="53"/>
      <c r="T195" s="53"/>
      <c r="U195" s="53"/>
      <c r="V195" s="53"/>
      <c r="W195" s="58"/>
    </row>
    <row r="196" spans="1:23" x14ac:dyDescent="0.2">
      <c r="A196" s="1"/>
      <c r="B196" s="68"/>
      <c r="C196" s="128" t="s">
        <v>425</v>
      </c>
      <c r="D196" s="129"/>
      <c r="E196" s="129"/>
      <c r="F196" s="130"/>
      <c r="G196" s="68"/>
      <c r="H196" s="68"/>
      <c r="I196" s="68"/>
      <c r="K196" s="53"/>
      <c r="L196" s="137" t="str">
        <f>REPLACE(C196,2, 18,_xlfn.XLOOKUP(_xlfn.XLOOKUP(TRIM(MID(C196, 2, 18)), $D$149:$D$173, $G$149:$G$173, "ERROR 404"), $Q$149:$Q$173, $N$149:$N$173, "ERROR 404"))</f>
        <v>"a0KTA00000F6Agr2AF",null)&amp;"," &amp;</v>
      </c>
      <c r="M196" s="138"/>
      <c r="N196" s="138"/>
      <c r="O196" s="138"/>
      <c r="P196" s="139"/>
      <c r="Q196" s="53"/>
      <c r="R196" s="53"/>
      <c r="S196" s="53"/>
      <c r="T196" s="53"/>
      <c r="U196" s="53"/>
      <c r="V196" s="53"/>
      <c r="W196" s="58"/>
    </row>
    <row r="197" spans="1:23" x14ac:dyDescent="0.2">
      <c r="A197" s="1"/>
      <c r="B197" s="68"/>
      <c r="C197" s="128" t="s">
        <v>413</v>
      </c>
      <c r="D197" s="129"/>
      <c r="E197" s="129"/>
      <c r="F197" s="130"/>
      <c r="G197" s="68"/>
      <c r="H197" s="68"/>
      <c r="I197" s="68"/>
      <c r="K197" s="53"/>
      <c r="L197" s="137" t="str">
        <f t="shared" si="4"/>
        <v>IF(</v>
      </c>
      <c r="M197" s="138"/>
      <c r="N197" s="138"/>
      <c r="O197" s="138"/>
      <c r="P197" s="139"/>
      <c r="Q197" s="53"/>
      <c r="R197" s="53"/>
      <c r="S197" s="53"/>
      <c r="T197" s="53"/>
      <c r="U197" s="53"/>
      <c r="V197" s="53"/>
      <c r="W197" s="58"/>
    </row>
    <row r="198" spans="1:23" x14ac:dyDescent="0.2">
      <c r="A198" s="1"/>
      <c r="B198" s="68"/>
      <c r="C198" s="128" t="s">
        <v>422</v>
      </c>
      <c r="D198" s="129"/>
      <c r="E198" s="129"/>
      <c r="F198" s="130"/>
      <c r="G198" s="68"/>
      <c r="H198" s="68"/>
      <c r="I198" s="68"/>
      <c r="K198" s="53"/>
      <c r="L198" s="137" t="str">
        <f t="shared" si="4"/>
        <v>AND(</v>
      </c>
      <c r="M198" s="138"/>
      <c r="N198" s="138"/>
      <c r="O198" s="138"/>
      <c r="P198" s="139"/>
      <c r="Q198" s="53"/>
      <c r="R198" s="53"/>
      <c r="S198" s="53"/>
      <c r="T198" s="53"/>
      <c r="U198" s="53"/>
      <c r="V198" s="53"/>
      <c r="W198" s="58"/>
    </row>
    <row r="199" spans="1:23" x14ac:dyDescent="0.2">
      <c r="A199" s="1"/>
      <c r="B199" s="68"/>
      <c r="C199" s="128" t="s">
        <v>423</v>
      </c>
      <c r="D199" s="129"/>
      <c r="E199" s="129"/>
      <c r="F199" s="130"/>
      <c r="G199" s="68"/>
      <c r="H199" s="68"/>
      <c r="I199" s="68"/>
      <c r="K199" s="53"/>
      <c r="L199" s="137" t="str">
        <f t="shared" si="4"/>
        <v>INCLUDES(Document_Type__c , "NHA Company Let"),</v>
      </c>
      <c r="M199" s="138"/>
      <c r="N199" s="138"/>
      <c r="O199" s="138"/>
      <c r="P199" s="139"/>
      <c r="Q199" s="53"/>
      <c r="R199" s="53"/>
      <c r="S199" s="53"/>
      <c r="T199" s="53"/>
      <c r="U199" s="53"/>
      <c r="V199" s="53"/>
      <c r="W199" s="58"/>
    </row>
    <row r="200" spans="1:23" x14ac:dyDescent="0.2">
      <c r="A200" s="1"/>
      <c r="B200" s="68"/>
      <c r="C200" s="128" t="s">
        <v>426</v>
      </c>
      <c r="D200" s="129"/>
      <c r="E200" s="129"/>
      <c r="F200" s="130"/>
      <c r="G200" s="68"/>
      <c r="H200" s="68"/>
      <c r="I200" s="68"/>
      <c r="K200" s="53"/>
      <c r="L200" s="137" t="str">
        <f t="shared" si="4"/>
        <v>Number_of_Tenants__c = 1),</v>
      </c>
      <c r="M200" s="138"/>
      <c r="N200" s="138"/>
      <c r="O200" s="138"/>
      <c r="P200" s="139"/>
      <c r="Q200" s="53"/>
      <c r="R200" s="53"/>
      <c r="S200" s="53"/>
      <c r="T200" s="53"/>
      <c r="U200" s="53"/>
      <c r="V200" s="53"/>
      <c r="W200" s="58"/>
    </row>
    <row r="201" spans="1:23" x14ac:dyDescent="0.2">
      <c r="A201" s="1"/>
      <c r="B201" s="68"/>
      <c r="C201" s="128" t="s">
        <v>425</v>
      </c>
      <c r="D201" s="129"/>
      <c r="E201" s="129"/>
      <c r="F201" s="130"/>
      <c r="G201" s="68"/>
      <c r="H201" s="68"/>
      <c r="I201" s="68"/>
      <c r="K201" s="53"/>
      <c r="L201" s="137" t="str">
        <f>REPLACE(C201,2, 18,_xlfn.XLOOKUP(_xlfn.XLOOKUP(TRIM(MID(C201, 2, 18)), $D$149:$D$173, $G$149:$G$173, "ERROR 404"), $Q$149:$Q$173, $N$149:$N$173, "ERROR 404"))</f>
        <v>"a0KTA00000F6Agr2AF",null)&amp;"," &amp;</v>
      </c>
      <c r="M201" s="138"/>
      <c r="N201" s="138"/>
      <c r="O201" s="138"/>
      <c r="P201" s="139"/>
      <c r="Q201" s="53"/>
      <c r="R201" s="53"/>
      <c r="S201" s="53"/>
      <c r="T201" s="53"/>
      <c r="U201" s="53"/>
      <c r="V201" s="53"/>
      <c r="W201" s="58"/>
    </row>
    <row r="202" spans="1:23" x14ac:dyDescent="0.2">
      <c r="A202" s="1"/>
      <c r="B202" s="68"/>
      <c r="C202" s="128" t="s">
        <v>413</v>
      </c>
      <c r="D202" s="129"/>
      <c r="E202" s="129"/>
      <c r="F202" s="130"/>
      <c r="G202" s="68"/>
      <c r="H202" s="68"/>
      <c r="I202" s="68"/>
      <c r="K202" s="53"/>
      <c r="L202" s="137" t="str">
        <f t="shared" si="4"/>
        <v>IF(</v>
      </c>
      <c r="M202" s="138"/>
      <c r="N202" s="138"/>
      <c r="O202" s="138"/>
      <c r="P202" s="139"/>
      <c r="Q202" s="53"/>
      <c r="R202" s="53"/>
      <c r="S202" s="53"/>
      <c r="T202" s="53"/>
      <c r="U202" s="53"/>
      <c r="V202" s="53"/>
      <c r="W202" s="58"/>
    </row>
    <row r="203" spans="1:23" x14ac:dyDescent="0.2">
      <c r="A203" s="1"/>
      <c r="B203" s="68"/>
      <c r="C203" s="128" t="s">
        <v>427</v>
      </c>
      <c r="D203" s="129"/>
      <c r="E203" s="129"/>
      <c r="F203" s="130"/>
      <c r="G203" s="68"/>
      <c r="H203" s="68"/>
      <c r="I203" s="68"/>
      <c r="K203" s="53"/>
      <c r="L203" s="137" t="str">
        <f t="shared" si="4"/>
        <v>INCLUDES(Document_Type__c , "Live Work Agreement"),</v>
      </c>
      <c r="M203" s="138"/>
      <c r="N203" s="138"/>
      <c r="O203" s="138"/>
      <c r="P203" s="139"/>
      <c r="Q203" s="53"/>
      <c r="R203" s="53"/>
      <c r="S203" s="53"/>
      <c r="T203" s="53"/>
      <c r="U203" s="53"/>
      <c r="V203" s="53"/>
      <c r="W203" s="58"/>
    </row>
    <row r="204" spans="1:23" x14ac:dyDescent="0.2">
      <c r="A204" s="1"/>
      <c r="B204" s="68"/>
      <c r="C204" s="128" t="s">
        <v>428</v>
      </c>
      <c r="D204" s="129"/>
      <c r="E204" s="129"/>
      <c r="F204" s="130"/>
      <c r="G204" s="68"/>
      <c r="H204" s="68"/>
      <c r="I204" s="68"/>
      <c r="K204" s="53"/>
      <c r="L204" s="137" t="str">
        <f>REPLACE(C204,2, 18,_xlfn.XLOOKUP(_xlfn.XLOOKUP(TRIM(MID(C204, 2, 18)), $D$149:$D$173, $G$149:$G$173, "ERROR 404"), $Q$149:$Q$173, $N$149:$N$173, "ERROR 404"))</f>
        <v>"a0KTA00000F6Agy2AF",null)&amp;"," &amp;</v>
      </c>
      <c r="M204" s="138"/>
      <c r="N204" s="138"/>
      <c r="O204" s="138"/>
      <c r="P204" s="139"/>
      <c r="Q204" s="53"/>
      <c r="R204" s="53"/>
      <c r="S204" s="53"/>
      <c r="T204" s="53"/>
      <c r="U204" s="53"/>
      <c r="V204" s="53"/>
      <c r="W204" s="58"/>
    </row>
    <row r="205" spans="1:23" x14ac:dyDescent="0.2">
      <c r="A205" s="1"/>
      <c r="B205" s="68"/>
      <c r="C205" s="128" t="s">
        <v>413</v>
      </c>
      <c r="D205" s="129"/>
      <c r="E205" s="129"/>
      <c r="F205" s="130"/>
      <c r="G205" s="68"/>
      <c r="H205" s="68"/>
      <c r="I205" s="68"/>
      <c r="K205" s="53"/>
      <c r="L205" s="137" t="str">
        <f t="shared" si="4"/>
        <v>IF(</v>
      </c>
      <c r="M205" s="138"/>
      <c r="N205" s="138"/>
      <c r="O205" s="138"/>
      <c r="P205" s="139"/>
      <c r="Q205" s="53"/>
      <c r="R205" s="53"/>
      <c r="S205" s="53"/>
      <c r="T205" s="53"/>
      <c r="U205" s="53"/>
      <c r="V205" s="53"/>
      <c r="W205" s="58"/>
    </row>
    <row r="206" spans="1:23" x14ac:dyDescent="0.2">
      <c r="A206" s="1"/>
      <c r="B206" s="68"/>
      <c r="C206" s="128" t="s">
        <v>429</v>
      </c>
      <c r="D206" s="129"/>
      <c r="E206" s="129"/>
      <c r="F206" s="130"/>
      <c r="G206" s="68"/>
      <c r="H206" s="68"/>
      <c r="I206" s="68"/>
      <c r="K206" s="53"/>
      <c r="L206" s="137" t="str">
        <f t="shared" si="4"/>
        <v>INCLUDES(Document_Type__c , "Parking Licence"),</v>
      </c>
      <c r="M206" s="138"/>
      <c r="N206" s="138"/>
      <c r="O206" s="138"/>
      <c r="P206" s="139"/>
      <c r="Q206" s="53"/>
      <c r="R206" s="53"/>
      <c r="S206" s="53"/>
      <c r="T206" s="53"/>
      <c r="U206" s="53"/>
      <c r="V206" s="53"/>
      <c r="W206" s="58"/>
    </row>
    <row r="207" spans="1:23" x14ac:dyDescent="0.2">
      <c r="A207" s="1"/>
      <c r="B207" s="68"/>
      <c r="C207" s="128" t="s">
        <v>430</v>
      </c>
      <c r="D207" s="129"/>
      <c r="E207" s="129"/>
      <c r="F207" s="130"/>
      <c r="G207" s="68"/>
      <c r="H207" s="68"/>
      <c r="I207" s="68"/>
      <c r="K207" s="53"/>
      <c r="L207" s="137" t="str">
        <f>REPLACE(C207,2, 18,_xlfn.XLOOKUP(_xlfn.XLOOKUP(TRIM(MID(C207, 2, 18)), $D$149:$D$173, $G$149:$G$173, "ERROR 404"), $Q$149:$Q$173, $N$149:$N$173, "ERROR 404"))</f>
        <v>"a0KTA00000F6Agw2AF",null)&amp;"," &amp;</v>
      </c>
      <c r="M207" s="138"/>
      <c r="N207" s="138"/>
      <c r="O207" s="138"/>
      <c r="P207" s="139"/>
      <c r="Q207" s="53"/>
      <c r="R207" s="53"/>
      <c r="S207" s="53"/>
      <c r="T207" s="53"/>
      <c r="U207" s="53"/>
      <c r="V207" s="53"/>
      <c r="W207" s="58"/>
    </row>
    <row r="208" spans="1:23" x14ac:dyDescent="0.2">
      <c r="A208" s="1"/>
      <c r="B208" s="68"/>
      <c r="C208" s="128" t="s">
        <v>413</v>
      </c>
      <c r="D208" s="129"/>
      <c r="E208" s="129"/>
      <c r="F208" s="130"/>
      <c r="G208" s="68"/>
      <c r="H208" s="68"/>
      <c r="I208" s="68"/>
      <c r="K208" s="53"/>
      <c r="L208" s="137" t="str">
        <f t="shared" si="4"/>
        <v>IF(</v>
      </c>
      <c r="M208" s="138"/>
      <c r="N208" s="138"/>
      <c r="O208" s="138"/>
      <c r="P208" s="139"/>
      <c r="Q208" s="53"/>
      <c r="R208" s="53"/>
      <c r="S208" s="53"/>
      <c r="T208" s="53"/>
      <c r="U208" s="53"/>
      <c r="V208" s="53"/>
      <c r="W208" s="58"/>
    </row>
    <row r="209" spans="1:23" x14ac:dyDescent="0.2">
      <c r="A209" s="1"/>
      <c r="B209" s="68"/>
      <c r="C209" s="128" t="s">
        <v>431</v>
      </c>
      <c r="D209" s="129"/>
      <c r="E209" s="129"/>
      <c r="F209" s="130"/>
      <c r="G209" s="68"/>
      <c r="H209" s="68"/>
      <c r="I209" s="68"/>
      <c r="K209" s="53"/>
      <c r="L209" s="137" t="str">
        <f t="shared" si="4"/>
        <v>INCLUDES(Document_Type__c , "Parking license Oxford"),</v>
      </c>
      <c r="M209" s="138"/>
      <c r="N209" s="138"/>
      <c r="O209" s="138"/>
      <c r="P209" s="139"/>
      <c r="Q209" s="53"/>
      <c r="R209" s="53"/>
      <c r="S209" s="53"/>
      <c r="T209" s="53"/>
      <c r="U209" s="53"/>
      <c r="V209" s="53"/>
      <c r="W209" s="58"/>
    </row>
    <row r="210" spans="1:23" x14ac:dyDescent="0.2">
      <c r="A210" s="1"/>
      <c r="B210" s="68"/>
      <c r="C210" s="128" t="s">
        <v>432</v>
      </c>
      <c r="D210" s="129"/>
      <c r="E210" s="129"/>
      <c r="F210" s="130"/>
      <c r="G210" s="68"/>
      <c r="H210" s="68"/>
      <c r="I210" s="68"/>
      <c r="K210" s="53"/>
      <c r="L210" s="137" t="str">
        <f>REPLACE(C210,2, 18,_xlfn.XLOOKUP(_xlfn.XLOOKUP(TRIM(MID(C210, 2, 18)), $D$149:$D$173, $G$149:$G$173, "ERROR 404"), $Q$149:$Q$173, $N$149:$N$173, "ERROR 404"))</f>
        <v>"a0KTA00000F6Ah72AF",null)&amp;"," &amp;</v>
      </c>
      <c r="M210" s="138"/>
      <c r="N210" s="138"/>
      <c r="O210" s="138"/>
      <c r="P210" s="139"/>
      <c r="Q210" s="53"/>
      <c r="R210" s="53"/>
      <c r="S210" s="53"/>
      <c r="T210" s="53"/>
      <c r="U210" s="53"/>
      <c r="V210" s="53"/>
      <c r="W210" s="58"/>
    </row>
    <row r="211" spans="1:23" x14ac:dyDescent="0.2">
      <c r="A211" s="1"/>
      <c r="B211" s="68"/>
      <c r="C211" s="128" t="s">
        <v>413</v>
      </c>
      <c r="D211" s="129"/>
      <c r="E211" s="129"/>
      <c r="F211" s="130"/>
      <c r="G211" s="68"/>
      <c r="H211" s="68"/>
      <c r="I211" s="68"/>
      <c r="K211" s="53"/>
      <c r="L211" s="137" t="str">
        <f t="shared" si="4"/>
        <v>IF(</v>
      </c>
      <c r="M211" s="138"/>
      <c r="N211" s="138"/>
      <c r="O211" s="138"/>
      <c r="P211" s="139"/>
      <c r="Q211" s="53"/>
      <c r="R211" s="53"/>
      <c r="S211" s="53"/>
      <c r="T211" s="53"/>
      <c r="U211" s="53"/>
      <c r="V211" s="53"/>
      <c r="W211" s="58"/>
    </row>
    <row r="212" spans="1:23" x14ac:dyDescent="0.2">
      <c r="A212" s="1"/>
      <c r="B212" s="68"/>
      <c r="C212" s="128" t="s">
        <v>433</v>
      </c>
      <c r="D212" s="129"/>
      <c r="E212" s="129"/>
      <c r="F212" s="130"/>
      <c r="G212" s="68"/>
      <c r="H212" s="68"/>
      <c r="I212" s="68"/>
      <c r="K212" s="53"/>
      <c r="L212" s="137" t="str">
        <f t="shared" si="4"/>
        <v>INCLUDES(Document_Type__c , "DECANT AGREEMENT NORMAL"),</v>
      </c>
      <c r="M212" s="138"/>
      <c r="N212" s="138"/>
      <c r="O212" s="138"/>
      <c r="P212" s="139"/>
      <c r="Q212" s="53"/>
      <c r="R212" s="53"/>
      <c r="S212" s="53"/>
      <c r="T212" s="53"/>
      <c r="U212" s="53"/>
      <c r="V212" s="53"/>
      <c r="W212" s="58"/>
    </row>
    <row r="213" spans="1:23" x14ac:dyDescent="0.2">
      <c r="A213" s="1"/>
      <c r="B213" s="68"/>
      <c r="C213" s="128" t="s">
        <v>434</v>
      </c>
      <c r="D213" s="129"/>
      <c r="E213" s="129"/>
      <c r="F213" s="130"/>
      <c r="G213" s="68"/>
      <c r="H213" s="68"/>
      <c r="I213" s="68"/>
      <c r="K213" s="53"/>
      <c r="L213" s="137" t="str">
        <f>REPLACE(C213,2, 18,_xlfn.XLOOKUP(_xlfn.XLOOKUP(TRIM(MID(C213, 2, 18)), $D$149:$D$173, $G$149:$G$173, "ERROR 404"), $Q$149:$Q$173, $N$149:$N$173, "ERROR 404"))</f>
        <v>"a0KTA00000F6Ah52AF",null)&amp;"," &amp;</v>
      </c>
      <c r="M213" s="138"/>
      <c r="N213" s="138"/>
      <c r="O213" s="138"/>
      <c r="P213" s="139"/>
      <c r="Q213" s="53"/>
      <c r="R213" s="53"/>
      <c r="S213" s="53"/>
      <c r="T213" s="53"/>
      <c r="U213" s="53"/>
      <c r="V213" s="53"/>
      <c r="W213" s="58"/>
    </row>
    <row r="214" spans="1:23" x14ac:dyDescent="0.2">
      <c r="A214" s="1"/>
      <c r="B214" s="68"/>
      <c r="C214" s="128" t="s">
        <v>413</v>
      </c>
      <c r="D214" s="129"/>
      <c r="E214" s="129"/>
      <c r="F214" s="130"/>
      <c r="G214" s="68"/>
      <c r="H214" s="68"/>
      <c r="I214" s="68"/>
      <c r="K214" s="53"/>
      <c r="L214" s="137" t="str">
        <f t="shared" si="4"/>
        <v>IF(</v>
      </c>
      <c r="M214" s="138"/>
      <c r="N214" s="138"/>
      <c r="O214" s="138"/>
      <c r="P214" s="139"/>
      <c r="Q214" s="53"/>
      <c r="R214" s="53"/>
      <c r="S214" s="53"/>
      <c r="T214" s="53"/>
      <c r="U214" s="53"/>
      <c r="V214" s="53"/>
      <c r="W214" s="58"/>
    </row>
    <row r="215" spans="1:23" x14ac:dyDescent="0.2">
      <c r="A215" s="1"/>
      <c r="B215" s="68"/>
      <c r="C215" s="128" t="s">
        <v>435</v>
      </c>
      <c r="D215" s="129"/>
      <c r="E215" s="129"/>
      <c r="F215" s="130"/>
      <c r="G215" s="68"/>
      <c r="H215" s="68"/>
      <c r="I215" s="68"/>
      <c r="K215" s="53"/>
      <c r="L215" s="137" t="str">
        <f t="shared" si="4"/>
        <v>INCLUDES(Document_Type__c , "Decant Agreement Wales"),</v>
      </c>
      <c r="M215" s="138"/>
      <c r="N215" s="138"/>
      <c r="O215" s="138"/>
      <c r="P215" s="139"/>
      <c r="Q215" s="53"/>
      <c r="R215" s="53"/>
      <c r="S215" s="53"/>
      <c r="T215" s="53"/>
      <c r="U215" s="53"/>
      <c r="V215" s="53"/>
      <c r="W215" s="58"/>
    </row>
    <row r="216" spans="1:23" x14ac:dyDescent="0.2">
      <c r="A216" s="1"/>
      <c r="B216" s="68"/>
      <c r="C216" s="128" t="s">
        <v>436</v>
      </c>
      <c r="D216" s="129"/>
      <c r="E216" s="129"/>
      <c r="F216" s="130"/>
      <c r="G216" s="68"/>
      <c r="H216" s="68"/>
      <c r="I216" s="68"/>
      <c r="K216" s="53"/>
      <c r="L216" s="137" t="str">
        <f>REPLACE(C216,2, 18,_xlfn.XLOOKUP(_xlfn.XLOOKUP(TRIM(MID(C216, 2, 18)), $D$149:$D$173, $G$149:$G$173, "ERROR 404"), $Q$149:$Q$173, $N$149:$N$173, "ERROR 404"))</f>
        <v>"a0KTA00000F6Ah62AF",null)&amp;"," &amp;</v>
      </c>
      <c r="M216" s="138"/>
      <c r="N216" s="138"/>
      <c r="O216" s="138"/>
      <c r="P216" s="139"/>
      <c r="Q216" s="53"/>
      <c r="R216" s="53"/>
      <c r="S216" s="53"/>
      <c r="T216" s="53"/>
      <c r="U216" s="53"/>
      <c r="V216" s="53"/>
      <c r="W216" s="58"/>
    </row>
    <row r="217" spans="1:23" x14ac:dyDescent="0.2">
      <c r="A217" s="1"/>
      <c r="B217" s="68"/>
      <c r="C217" s="128" t="s">
        <v>413</v>
      </c>
      <c r="D217" s="129"/>
      <c r="E217" s="129"/>
      <c r="F217" s="130"/>
      <c r="G217" s="68"/>
      <c r="H217" s="68"/>
      <c r="I217" s="68"/>
      <c r="K217" s="53"/>
      <c r="L217" s="137" t="str">
        <f t="shared" si="4"/>
        <v>IF(</v>
      </c>
      <c r="M217" s="138"/>
      <c r="N217" s="138"/>
      <c r="O217" s="138"/>
      <c r="P217" s="139"/>
      <c r="Q217" s="53"/>
      <c r="R217" s="53"/>
      <c r="S217" s="53"/>
      <c r="T217" s="53"/>
      <c r="U217" s="53"/>
      <c r="V217" s="53"/>
      <c r="W217" s="58"/>
    </row>
    <row r="218" spans="1:23" x14ac:dyDescent="0.2">
      <c r="A218" s="1"/>
      <c r="B218" s="68"/>
      <c r="C218" s="128" t="s">
        <v>437</v>
      </c>
      <c r="D218" s="129"/>
      <c r="E218" s="129"/>
      <c r="F218" s="130"/>
      <c r="G218" s="68"/>
      <c r="H218" s="68"/>
      <c r="I218" s="68"/>
      <c r="K218" s="53"/>
      <c r="L218" s="137" t="str">
        <f t="shared" si="4"/>
        <v>INCLUDES(Document_Type__c , "Shed Licence"),</v>
      </c>
      <c r="M218" s="138"/>
      <c r="N218" s="138"/>
      <c r="O218" s="138"/>
      <c r="P218" s="139"/>
      <c r="Q218" s="53"/>
      <c r="R218" s="53"/>
      <c r="S218" s="53"/>
      <c r="T218" s="53"/>
      <c r="U218" s="53"/>
      <c r="V218" s="53"/>
      <c r="W218" s="58"/>
    </row>
    <row r="219" spans="1:23" x14ac:dyDescent="0.2">
      <c r="A219" s="1"/>
      <c r="B219" s="68"/>
      <c r="C219" s="128" t="s">
        <v>438</v>
      </c>
      <c r="D219" s="129"/>
      <c r="E219" s="129"/>
      <c r="F219" s="130"/>
      <c r="G219" s="68"/>
      <c r="H219" s="68"/>
      <c r="I219" s="68"/>
      <c r="K219" s="53"/>
      <c r="L219" s="137" t="str">
        <f>REPLACE(C219,2, 18,_xlfn.XLOOKUP(_xlfn.XLOOKUP(TRIM(MID(C219, 2, 18)), $D$149:$D$173, $G$149:$G$173, "ERROR 404"), $Q$149:$Q$173, $N$149:$N$173, "ERROR 404"))</f>
        <v>"a0KTA00000F6Agq2AF",null)&amp;"," &amp;</v>
      </c>
      <c r="M219" s="138"/>
      <c r="N219" s="138"/>
      <c r="O219" s="138"/>
      <c r="P219" s="139"/>
      <c r="Q219" s="53"/>
      <c r="R219" s="53"/>
      <c r="S219" s="53"/>
      <c r="T219" s="53"/>
      <c r="U219" s="53"/>
      <c r="V219" s="53"/>
      <c r="W219" s="58"/>
    </row>
    <row r="220" spans="1:23" x14ac:dyDescent="0.2">
      <c r="A220" s="1"/>
      <c r="B220" s="68"/>
      <c r="C220" s="128" t="s">
        <v>413</v>
      </c>
      <c r="D220" s="129"/>
      <c r="E220" s="129"/>
      <c r="F220" s="130"/>
      <c r="G220" s="68"/>
      <c r="H220" s="68"/>
      <c r="I220" s="68"/>
      <c r="K220" s="53"/>
      <c r="L220" s="137" t="str">
        <f t="shared" si="4"/>
        <v>IF(</v>
      </c>
      <c r="M220" s="138"/>
      <c r="N220" s="138"/>
      <c r="O220" s="138"/>
      <c r="P220" s="139"/>
      <c r="Q220" s="53"/>
      <c r="R220" s="53"/>
      <c r="S220" s="53"/>
      <c r="T220" s="53"/>
      <c r="U220" s="53"/>
      <c r="V220" s="53"/>
      <c r="W220" s="58"/>
    </row>
    <row r="221" spans="1:23" x14ac:dyDescent="0.2">
      <c r="A221" s="1"/>
      <c r="B221" s="68"/>
      <c r="C221" s="128" t="s">
        <v>439</v>
      </c>
      <c r="D221" s="129"/>
      <c r="E221" s="129"/>
      <c r="F221" s="130"/>
      <c r="G221" s="68"/>
      <c r="H221" s="68"/>
      <c r="I221" s="68"/>
      <c r="K221" s="53"/>
      <c r="L221" s="137" t="str">
        <f t="shared" si="4"/>
        <v>INCLUDES(Document_Type__c , "Occupation Licence"),</v>
      </c>
      <c r="M221" s="138"/>
      <c r="N221" s="138"/>
      <c r="O221" s="138"/>
      <c r="P221" s="139"/>
      <c r="Q221" s="53"/>
      <c r="R221" s="53"/>
      <c r="S221" s="53"/>
      <c r="T221" s="53"/>
      <c r="U221" s="53"/>
      <c r="V221" s="53"/>
      <c r="W221" s="58"/>
    </row>
    <row r="222" spans="1:23" x14ac:dyDescent="0.2">
      <c r="A222" s="1"/>
      <c r="B222" s="68"/>
      <c r="C222" s="128" t="s">
        <v>440</v>
      </c>
      <c r="D222" s="129"/>
      <c r="E222" s="129"/>
      <c r="F222" s="130"/>
      <c r="G222" s="68"/>
      <c r="H222" s="68"/>
      <c r="I222" s="68"/>
      <c r="K222" s="53"/>
      <c r="L222" s="137" t="str">
        <f>REPLACE(C222,2, 18,_xlfn.XLOOKUP(_xlfn.XLOOKUP(TRIM(MID(C222, 2, 18)), $D$149:$D$173, $G$149:$G$173, "ERROR 404"), $Q$149:$Q$173, $N$149:$N$173, "ERROR 404"))</f>
        <v>"a0KTA00000F6Agp2AF",null)&amp;"," &amp;</v>
      </c>
      <c r="M222" s="138"/>
      <c r="N222" s="138"/>
      <c r="O222" s="138"/>
      <c r="P222" s="139"/>
      <c r="Q222" s="53"/>
      <c r="R222" s="53"/>
      <c r="S222" s="53"/>
      <c r="T222" s="53"/>
      <c r="U222" s="53"/>
      <c r="V222" s="53"/>
      <c r="W222" s="58"/>
    </row>
    <row r="223" spans="1:23" x14ac:dyDescent="0.2">
      <c r="A223" s="1"/>
      <c r="B223" s="68"/>
      <c r="C223" s="128" t="s">
        <v>413</v>
      </c>
      <c r="D223" s="129"/>
      <c r="E223" s="129"/>
      <c r="F223" s="130"/>
      <c r="G223" s="68"/>
      <c r="H223" s="68"/>
      <c r="I223" s="68"/>
      <c r="K223" s="53"/>
      <c r="L223" s="137" t="str">
        <f t="shared" si="4"/>
        <v>IF(</v>
      </c>
      <c r="M223" s="138"/>
      <c r="N223" s="138"/>
      <c r="O223" s="138"/>
      <c r="P223" s="139"/>
      <c r="Q223" s="53"/>
      <c r="R223" s="53"/>
      <c r="S223" s="53"/>
      <c r="T223" s="53"/>
      <c r="U223" s="53"/>
      <c r="V223" s="53"/>
      <c r="W223" s="58"/>
    </row>
    <row r="224" spans="1:23" x14ac:dyDescent="0.2">
      <c r="A224" s="1"/>
      <c r="B224" s="68"/>
      <c r="C224" s="128" t="s">
        <v>441</v>
      </c>
      <c r="D224" s="129"/>
      <c r="E224" s="129"/>
      <c r="F224" s="130"/>
      <c r="G224" s="68"/>
      <c r="H224" s="68"/>
      <c r="I224" s="68"/>
      <c r="K224" s="53"/>
      <c r="L224" s="137" t="str">
        <f t="shared" si="4"/>
        <v>INCLUDES(Document_Type__c , "Prescribed Information"),</v>
      </c>
      <c r="M224" s="138"/>
      <c r="N224" s="138"/>
      <c r="O224" s="138"/>
      <c r="P224" s="139"/>
      <c r="Q224" s="53"/>
      <c r="R224" s="53"/>
      <c r="S224" s="53"/>
      <c r="T224" s="53"/>
      <c r="U224" s="53"/>
      <c r="V224" s="53"/>
      <c r="W224" s="58"/>
    </row>
    <row r="225" spans="1:23" x14ac:dyDescent="0.2">
      <c r="A225" s="1"/>
      <c r="B225" s="68"/>
      <c r="C225" s="128" t="s">
        <v>442</v>
      </c>
      <c r="D225" s="129"/>
      <c r="E225" s="129"/>
      <c r="F225" s="130"/>
      <c r="G225" s="68"/>
      <c r="H225" s="68"/>
      <c r="I225" s="68"/>
      <c r="K225" s="53"/>
      <c r="L225" s="137" t="str">
        <f>REPLACE(C225,2, 18,_xlfn.XLOOKUP(_xlfn.XLOOKUP(TRIM(MID(C225, 2, 18)), $D$149:$D$173, $G$149:$G$173, "ERROR 404"), $Q$149:$Q$173, $N$149:$N$173, "ERROR 404"))</f>
        <v>"a0KTA00000F6Ago2AF",null)&amp;","&amp;</v>
      </c>
      <c r="M225" s="138"/>
      <c r="N225" s="138"/>
      <c r="O225" s="138"/>
      <c r="P225" s="139"/>
      <c r="Q225" s="53"/>
      <c r="R225" s="53"/>
      <c r="S225" s="53"/>
      <c r="T225" s="53"/>
      <c r="U225" s="53"/>
      <c r="V225" s="53"/>
      <c r="W225" s="58"/>
    </row>
    <row r="226" spans="1:23" x14ac:dyDescent="0.2">
      <c r="A226" s="1"/>
      <c r="B226" s="68"/>
      <c r="C226" s="128" t="s">
        <v>413</v>
      </c>
      <c r="D226" s="129"/>
      <c r="E226" s="129"/>
      <c r="F226" s="130"/>
      <c r="G226" s="68"/>
      <c r="H226" s="68"/>
      <c r="I226" s="68"/>
      <c r="K226" s="53"/>
      <c r="L226" s="137" t="str">
        <f t="shared" si="4"/>
        <v>IF(</v>
      </c>
      <c r="M226" s="138"/>
      <c r="N226" s="138"/>
      <c r="O226" s="138"/>
      <c r="P226" s="139"/>
      <c r="Q226" s="53"/>
      <c r="R226" s="53"/>
      <c r="S226" s="53"/>
      <c r="T226" s="53"/>
      <c r="U226" s="53"/>
      <c r="V226" s="53"/>
      <c r="W226" s="58"/>
    </row>
    <row r="227" spans="1:23" x14ac:dyDescent="0.2">
      <c r="A227" s="1"/>
      <c r="B227" s="68"/>
      <c r="C227" s="128" t="s">
        <v>443</v>
      </c>
      <c r="D227" s="129"/>
      <c r="E227" s="129"/>
      <c r="F227" s="130"/>
      <c r="G227" s="68"/>
      <c r="H227" s="68"/>
      <c r="I227" s="68"/>
      <c r="K227" s="53"/>
      <c r="L227" s="137" t="str">
        <f t="shared" si="4"/>
        <v>INCLUDES(Document_Type__c , "Memo of Agreement (any change of)"),</v>
      </c>
      <c r="M227" s="138"/>
      <c r="N227" s="138"/>
      <c r="O227" s="138"/>
      <c r="P227" s="139"/>
      <c r="Q227" s="53"/>
      <c r="R227" s="53"/>
      <c r="S227" s="53"/>
      <c r="T227" s="53"/>
      <c r="U227" s="53"/>
      <c r="V227" s="53"/>
      <c r="W227" s="58"/>
    </row>
    <row r="228" spans="1:23" x14ac:dyDescent="0.2">
      <c r="A228" s="1"/>
      <c r="B228" s="68"/>
      <c r="C228" s="128" t="s">
        <v>444</v>
      </c>
      <c r="D228" s="129"/>
      <c r="E228" s="129"/>
      <c r="F228" s="130"/>
      <c r="G228" s="68"/>
      <c r="H228" s="68"/>
      <c r="I228" s="68"/>
      <c r="K228" s="53"/>
      <c r="L228" s="137" t="str">
        <f>REPLACE(C228,2, 18,_xlfn.XLOOKUP(_xlfn.XLOOKUP(TRIM(MID(C228, 2, 18)), $D$149:$D$173, $G$149:$G$173, "ERROR 404"), $Q$149:$Q$173, $N$149:$N$173, "ERROR 404"))</f>
        <v>"a0KTA00000F6Agn2AF",null)&amp;","&amp;</v>
      </c>
      <c r="M228" s="138"/>
      <c r="N228" s="138"/>
      <c r="O228" s="138"/>
      <c r="P228" s="139"/>
      <c r="Q228" s="53"/>
      <c r="R228" s="53"/>
      <c r="S228" s="53"/>
      <c r="T228" s="53"/>
      <c r="U228" s="53"/>
      <c r="V228" s="53"/>
      <c r="W228" s="58"/>
    </row>
    <row r="229" spans="1:23" x14ac:dyDescent="0.2">
      <c r="A229" s="1"/>
      <c r="B229" s="68"/>
      <c r="C229" s="128" t="s">
        <v>413</v>
      </c>
      <c r="D229" s="129"/>
      <c r="E229" s="129"/>
      <c r="F229" s="130"/>
      <c r="G229" s="68"/>
      <c r="H229" s="68"/>
      <c r="I229" s="68"/>
      <c r="K229" s="53"/>
      <c r="L229" s="137" t="str">
        <f t="shared" si="4"/>
        <v>IF(</v>
      </c>
      <c r="M229" s="138"/>
      <c r="N229" s="138"/>
      <c r="O229" s="138"/>
      <c r="P229" s="139"/>
      <c r="Q229" s="53"/>
      <c r="R229" s="53"/>
      <c r="S229" s="53"/>
      <c r="T229" s="53"/>
      <c r="U229" s="53"/>
      <c r="V229" s="53"/>
      <c r="W229" s="58"/>
    </row>
    <row r="230" spans="1:23" x14ac:dyDescent="0.2">
      <c r="A230" s="1"/>
      <c r="B230" s="68"/>
      <c r="C230" s="128" t="s">
        <v>445</v>
      </c>
      <c r="D230" s="129"/>
      <c r="E230" s="129"/>
      <c r="F230" s="130"/>
      <c r="G230" s="68"/>
      <c r="H230" s="68"/>
      <c r="I230" s="68"/>
      <c r="K230" s="53"/>
      <c r="L230" s="137" t="str">
        <f t="shared" si="4"/>
        <v>INCLUDES(Document_Type__c , "Section 13 for Post"),</v>
      </c>
      <c r="M230" s="138"/>
      <c r="N230" s="138"/>
      <c r="O230" s="138"/>
      <c r="P230" s="139"/>
      <c r="Q230" s="53"/>
      <c r="R230" s="53"/>
      <c r="S230" s="53"/>
      <c r="T230" s="53"/>
      <c r="U230" s="53"/>
      <c r="V230" s="53"/>
      <c r="W230" s="58"/>
    </row>
    <row r="231" spans="1:23" x14ac:dyDescent="0.2">
      <c r="A231" s="1"/>
      <c r="B231" s="68"/>
      <c r="C231" s="128" t="s">
        <v>446</v>
      </c>
      <c r="D231" s="129"/>
      <c r="E231" s="129"/>
      <c r="F231" s="130"/>
      <c r="G231" s="68"/>
      <c r="H231" s="68"/>
      <c r="I231" s="68"/>
      <c r="K231" s="53"/>
      <c r="L231" s="137" t="str">
        <f>REPLACE(C231,2, 18,_xlfn.XLOOKUP(_xlfn.XLOOKUP(TRIM(MID(C231, 2, 18)), $D$149:$D$173, $G$149:$G$173, "ERROR 404"), $Q$149:$Q$173, $N$149:$N$173, "ERROR 404"))</f>
        <v>"a0KTA00000F6AhB2AV",null)&amp;","&amp;</v>
      </c>
      <c r="M231" s="138"/>
      <c r="N231" s="138"/>
      <c r="O231" s="138"/>
      <c r="P231" s="139"/>
      <c r="Q231" s="53"/>
      <c r="R231" s="53"/>
      <c r="S231" s="53"/>
      <c r="T231" s="53"/>
      <c r="U231" s="53"/>
      <c r="V231" s="53"/>
      <c r="W231" s="58"/>
    </row>
    <row r="232" spans="1:23" x14ac:dyDescent="0.2">
      <c r="A232" s="1"/>
      <c r="B232" s="68"/>
      <c r="C232" s="128" t="s">
        <v>413</v>
      </c>
      <c r="D232" s="129"/>
      <c r="E232" s="129"/>
      <c r="F232" s="130"/>
      <c r="G232" s="68"/>
      <c r="H232" s="68"/>
      <c r="I232" s="68"/>
      <c r="K232" s="53"/>
      <c r="L232" s="137" t="str">
        <f t="shared" si="4"/>
        <v>IF(</v>
      </c>
      <c r="M232" s="138"/>
      <c r="N232" s="138"/>
      <c r="O232" s="138"/>
      <c r="P232" s="139"/>
      <c r="Q232" s="53"/>
      <c r="R232" s="53"/>
      <c r="S232" s="53"/>
      <c r="T232" s="53"/>
      <c r="U232" s="53"/>
      <c r="V232" s="53"/>
      <c r="W232" s="58"/>
    </row>
    <row r="233" spans="1:23" x14ac:dyDescent="0.2">
      <c r="A233" s="1"/>
      <c r="B233" s="68"/>
      <c r="C233" s="128" t="s">
        <v>447</v>
      </c>
      <c r="D233" s="129"/>
      <c r="E233" s="129"/>
      <c r="F233" s="130"/>
      <c r="G233" s="68"/>
      <c r="H233" s="68"/>
      <c r="I233" s="68"/>
      <c r="K233" s="53"/>
      <c r="L233" s="137" t="str">
        <f t="shared" si="4"/>
        <v>INCLUDES(Document_Type__c , "RHW12"),</v>
      </c>
      <c r="M233" s="138"/>
      <c r="N233" s="138"/>
      <c r="O233" s="138"/>
      <c r="P233" s="139"/>
      <c r="Q233" s="53"/>
      <c r="R233" s="53"/>
      <c r="S233" s="53"/>
      <c r="T233" s="53"/>
      <c r="U233" s="53"/>
      <c r="V233" s="53"/>
      <c r="W233" s="58"/>
    </row>
    <row r="234" spans="1:23" ht="13.5" thickBot="1" x14ac:dyDescent="0.25">
      <c r="A234" s="1"/>
      <c r="B234" s="68"/>
      <c r="C234" s="131" t="s">
        <v>448</v>
      </c>
      <c r="D234" s="132"/>
      <c r="E234" s="132"/>
      <c r="F234" s="133"/>
      <c r="G234" s="68"/>
      <c r="H234" s="68"/>
      <c r="I234" s="68"/>
      <c r="K234" s="53"/>
      <c r="L234" s="140" t="str">
        <f>REPLACE(C234,2, 18,_xlfn.XLOOKUP(_xlfn.XLOOKUP(TRIM(MID(C234, 2, 18)), $D$149:$D$173, $G$149:$G$173, "ERROR 404"), $Q$149:$Q$173, $N$149:$N$173, "ERROR 404"))</f>
        <v>"a0KTA00000F6AhA2AV",null)</v>
      </c>
      <c r="M234" s="141"/>
      <c r="N234" s="141"/>
      <c r="O234" s="141"/>
      <c r="P234" s="142"/>
      <c r="Q234" s="53"/>
      <c r="R234" s="53"/>
      <c r="S234" s="53"/>
      <c r="T234" s="53"/>
      <c r="U234" s="53"/>
      <c r="V234" s="53"/>
      <c r="W234" s="58"/>
    </row>
    <row r="235" spans="1:23" ht="13.5" thickBot="1" x14ac:dyDescent="0.25">
      <c r="A235" s="3"/>
      <c r="B235" s="80"/>
      <c r="C235" s="80"/>
      <c r="D235" s="80"/>
      <c r="E235" s="80"/>
      <c r="F235" s="80"/>
      <c r="G235" s="80"/>
      <c r="H235" s="80"/>
      <c r="I235" s="80"/>
      <c r="J235" s="4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7"/>
    </row>
    <row r="237" spans="1:23" ht="13.5" thickBot="1" x14ac:dyDescent="0.25"/>
    <row r="238" spans="1:23" ht="81" customHeight="1" thickBot="1" x14ac:dyDescent="0.25">
      <c r="A238" s="134" t="s">
        <v>449</v>
      </c>
      <c r="B238" s="135"/>
      <c r="C238" s="135"/>
      <c r="D238" s="135"/>
      <c r="E238" s="135"/>
      <c r="F238" s="135"/>
      <c r="G238" s="135"/>
      <c r="H238" s="136"/>
    </row>
  </sheetData>
  <mergeCells count="147">
    <mergeCell ref="L104:P104"/>
    <mergeCell ref="L105:P105"/>
    <mergeCell ref="L106:P106"/>
    <mergeCell ref="L107:P107"/>
    <mergeCell ref="L108:P108"/>
    <mergeCell ref="L109:P109"/>
    <mergeCell ref="L116:P116"/>
    <mergeCell ref="L117:P117"/>
    <mergeCell ref="L118:P118"/>
    <mergeCell ref="L119:P119"/>
    <mergeCell ref="L120:P120"/>
    <mergeCell ref="L121:P121"/>
    <mergeCell ref="L110:P110"/>
    <mergeCell ref="L111:P111"/>
    <mergeCell ref="L112:P112"/>
    <mergeCell ref="L113:P113"/>
    <mergeCell ref="L114:P114"/>
    <mergeCell ref="L115:P115"/>
    <mergeCell ref="L128:P128"/>
    <mergeCell ref="L129:P129"/>
    <mergeCell ref="L131:P131"/>
    <mergeCell ref="L132:P132"/>
    <mergeCell ref="L133:P133"/>
    <mergeCell ref="L134:P134"/>
    <mergeCell ref="L122:P122"/>
    <mergeCell ref="L123:P123"/>
    <mergeCell ref="L124:P124"/>
    <mergeCell ref="L125:P125"/>
    <mergeCell ref="L126:P126"/>
    <mergeCell ref="L127:P127"/>
    <mergeCell ref="L130:P130"/>
    <mergeCell ref="L182:P182"/>
    <mergeCell ref="L183:P183"/>
    <mergeCell ref="L184:P184"/>
    <mergeCell ref="L185:P185"/>
    <mergeCell ref="L186:P186"/>
    <mergeCell ref="L187:P187"/>
    <mergeCell ref="L180:P180"/>
    <mergeCell ref="L181:P181"/>
    <mergeCell ref="L135:P135"/>
    <mergeCell ref="L136:P136"/>
    <mergeCell ref="L137:P137"/>
    <mergeCell ref="L138:P138"/>
    <mergeCell ref="L139:P139"/>
    <mergeCell ref="L196:P196"/>
    <mergeCell ref="L197:P197"/>
    <mergeCell ref="L198:P198"/>
    <mergeCell ref="L199:P199"/>
    <mergeCell ref="L188:P188"/>
    <mergeCell ref="L189:P189"/>
    <mergeCell ref="L190:P190"/>
    <mergeCell ref="L191:P191"/>
    <mergeCell ref="L192:P192"/>
    <mergeCell ref="L193:P193"/>
    <mergeCell ref="L233:P233"/>
    <mergeCell ref="L234:P234"/>
    <mergeCell ref="C180:F180"/>
    <mergeCell ref="C181:F181"/>
    <mergeCell ref="C182:F182"/>
    <mergeCell ref="C183:F183"/>
    <mergeCell ref="C184:F184"/>
    <mergeCell ref="L224:P224"/>
    <mergeCell ref="L225:P225"/>
    <mergeCell ref="L226:P226"/>
    <mergeCell ref="L227:P227"/>
    <mergeCell ref="L228:P228"/>
    <mergeCell ref="L229:P229"/>
    <mergeCell ref="L218:P218"/>
    <mergeCell ref="L219:P219"/>
    <mergeCell ref="L220:P220"/>
    <mergeCell ref="L221:P221"/>
    <mergeCell ref="L222:P222"/>
    <mergeCell ref="L223:P223"/>
    <mergeCell ref="L212:P212"/>
    <mergeCell ref="L213:P213"/>
    <mergeCell ref="L214:P214"/>
    <mergeCell ref="L215:P215"/>
    <mergeCell ref="L216:P216"/>
    <mergeCell ref="C185:F185"/>
    <mergeCell ref="C186:F186"/>
    <mergeCell ref="C187:F187"/>
    <mergeCell ref="C188:F188"/>
    <mergeCell ref="C189:F189"/>
    <mergeCell ref="C190:F190"/>
    <mergeCell ref="L230:P230"/>
    <mergeCell ref="L231:P231"/>
    <mergeCell ref="L232:P232"/>
    <mergeCell ref="L217:P217"/>
    <mergeCell ref="L206:P206"/>
    <mergeCell ref="L207:P207"/>
    <mergeCell ref="L208:P208"/>
    <mergeCell ref="L209:P209"/>
    <mergeCell ref="L210:P210"/>
    <mergeCell ref="L211:P211"/>
    <mergeCell ref="L200:P200"/>
    <mergeCell ref="L201:P201"/>
    <mergeCell ref="L202:P202"/>
    <mergeCell ref="L203:P203"/>
    <mergeCell ref="L204:P204"/>
    <mergeCell ref="L205:P205"/>
    <mergeCell ref="L194:P194"/>
    <mergeCell ref="L195:P195"/>
    <mergeCell ref="C197:F197"/>
    <mergeCell ref="C198:F198"/>
    <mergeCell ref="C199:F199"/>
    <mergeCell ref="C200:F200"/>
    <mergeCell ref="C201:F201"/>
    <mergeCell ref="C202:F202"/>
    <mergeCell ref="C191:F191"/>
    <mergeCell ref="C192:F192"/>
    <mergeCell ref="C193:F193"/>
    <mergeCell ref="C194:F194"/>
    <mergeCell ref="C195:F195"/>
    <mergeCell ref="C196:F196"/>
    <mergeCell ref="C209:F209"/>
    <mergeCell ref="C210:F210"/>
    <mergeCell ref="C211:F211"/>
    <mergeCell ref="C212:F212"/>
    <mergeCell ref="C213:F213"/>
    <mergeCell ref="C214:F214"/>
    <mergeCell ref="C203:F203"/>
    <mergeCell ref="C204:F204"/>
    <mergeCell ref="C205:F205"/>
    <mergeCell ref="C206:F206"/>
    <mergeCell ref="C207:F207"/>
    <mergeCell ref="C208:F208"/>
    <mergeCell ref="C221:F221"/>
    <mergeCell ref="C222:F222"/>
    <mergeCell ref="C223:F223"/>
    <mergeCell ref="C224:F224"/>
    <mergeCell ref="C225:F225"/>
    <mergeCell ref="C226:F226"/>
    <mergeCell ref="C215:F215"/>
    <mergeCell ref="C216:F216"/>
    <mergeCell ref="C217:F217"/>
    <mergeCell ref="C218:F218"/>
    <mergeCell ref="C219:F219"/>
    <mergeCell ref="C220:F220"/>
    <mergeCell ref="C233:F233"/>
    <mergeCell ref="C234:F234"/>
    <mergeCell ref="A238:H238"/>
    <mergeCell ref="C227:F227"/>
    <mergeCell ref="C228:F228"/>
    <mergeCell ref="C229:F229"/>
    <mergeCell ref="C230:F230"/>
    <mergeCell ref="C231:F231"/>
    <mergeCell ref="C232:F2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2A2F-C44F-404D-B67D-B0718E5170A3}">
  <dimension ref="A2:B17"/>
  <sheetViews>
    <sheetView workbookViewId="0">
      <selection activeCell="B13" sqref="B13"/>
    </sheetView>
  </sheetViews>
  <sheetFormatPr defaultRowHeight="12.75" x14ac:dyDescent="0.2"/>
  <cols>
    <col min="1" max="1" width="15.75" style="47" customWidth="1"/>
    <col min="2" max="2" width="21.125" style="47" customWidth="1"/>
    <col min="3" max="3" width="9.625" style="47" customWidth="1"/>
    <col min="4" max="4" width="11.5" style="47" customWidth="1"/>
    <col min="5" max="5" width="9" style="47"/>
    <col min="6" max="6" width="13.125" style="47" customWidth="1"/>
    <col min="7" max="7" width="12.875" style="47" customWidth="1"/>
    <col min="8" max="8" width="16.875" style="47" customWidth="1"/>
    <col min="9" max="9" width="16.625" style="47" customWidth="1"/>
    <col min="10" max="10" width="18.25" style="47" customWidth="1"/>
    <col min="11" max="11" width="17" style="47" customWidth="1"/>
    <col min="12" max="12" width="20.375" style="47" customWidth="1"/>
    <col min="13" max="13" width="27.375" style="47" customWidth="1"/>
    <col min="14" max="14" width="21.25" style="47" customWidth="1"/>
    <col min="15" max="15" width="45.625" style="47" customWidth="1"/>
    <col min="16" max="18" width="37.25" style="47" customWidth="1"/>
    <col min="19" max="19" width="22.75" style="47" customWidth="1"/>
    <col min="20" max="20" width="34.75" style="47" customWidth="1"/>
    <col min="21" max="21" width="31.625" style="47" customWidth="1"/>
    <col min="22" max="22" width="31" style="47" customWidth="1"/>
    <col min="23" max="23" width="10.25" style="47" customWidth="1"/>
    <col min="24" max="24" width="9" style="47"/>
    <col min="25" max="25" width="10" style="47" customWidth="1"/>
    <col min="26" max="26" width="9.5" style="47" customWidth="1"/>
    <col min="27" max="16384" width="9" style="47"/>
  </cols>
  <sheetData>
    <row r="2" spans="1:2" ht="13.5" thickBot="1" x14ac:dyDescent="0.25"/>
    <row r="3" spans="1:2" x14ac:dyDescent="0.2">
      <c r="A3" s="47" t="s">
        <v>450</v>
      </c>
      <c r="B3" s="48" t="s">
        <v>451</v>
      </c>
    </row>
    <row r="4" spans="1:2" ht="13.5" thickBot="1" x14ac:dyDescent="0.25">
      <c r="B4" s="49" t="s">
        <v>4</v>
      </c>
    </row>
    <row r="5" spans="1:2" ht="13.5" thickBot="1" x14ac:dyDescent="0.25"/>
    <row r="6" spans="1:2" x14ac:dyDescent="0.2">
      <c r="B6" s="48" t="s">
        <v>452</v>
      </c>
    </row>
    <row r="7" spans="1:2" x14ac:dyDescent="0.2">
      <c r="B7" s="50" t="s">
        <v>453</v>
      </c>
    </row>
    <row r="8" spans="1:2" ht="13.5" thickBot="1" x14ac:dyDescent="0.25">
      <c r="B8" s="49" t="s">
        <v>454</v>
      </c>
    </row>
    <row r="11" spans="1:2" ht="13.5" thickBot="1" x14ac:dyDescent="0.25"/>
    <row r="12" spans="1:2" x14ac:dyDescent="0.2">
      <c r="A12" s="47" t="s">
        <v>455</v>
      </c>
      <c r="B12" s="48" t="s">
        <v>451</v>
      </c>
    </row>
    <row r="13" spans="1:2" ht="13.5" thickBot="1" x14ac:dyDescent="0.25">
      <c r="B13" s="49" t="s">
        <v>154</v>
      </c>
    </row>
    <row r="14" spans="1:2" ht="13.5" thickBot="1" x14ac:dyDescent="0.25"/>
    <row r="15" spans="1:2" x14ac:dyDescent="0.2">
      <c r="B15" s="48" t="s">
        <v>452</v>
      </c>
    </row>
    <row r="16" spans="1:2" x14ac:dyDescent="0.2">
      <c r="B16" s="50" t="s">
        <v>453</v>
      </c>
    </row>
    <row r="17" spans="2:2" ht="13.5" thickBot="1" x14ac:dyDescent="0.25">
      <c r="B17" s="49" t="s">
        <v>454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7975-8F56-4620-A5ED-94C2EC088DD7}">
  <dimension ref="A1:AC117"/>
  <sheetViews>
    <sheetView zoomScale="25" zoomScaleNormal="25" workbookViewId="0">
      <selection activeCell="Q151" sqref="Q151"/>
    </sheetView>
  </sheetViews>
  <sheetFormatPr defaultRowHeight="12.75" x14ac:dyDescent="0.2"/>
  <cols>
    <col min="2" max="2" width="4.75" customWidth="1"/>
    <col min="3" max="3" width="23" bestFit="1" customWidth="1"/>
    <col min="4" max="4" width="11.25" bestFit="1" customWidth="1"/>
    <col min="5" max="5" width="24" bestFit="1" customWidth="1"/>
    <col min="6" max="6" width="31.75" bestFit="1" customWidth="1"/>
    <col min="8" max="8" width="17.75" bestFit="1" customWidth="1"/>
    <col min="9" max="9" width="29.375" bestFit="1" customWidth="1"/>
    <col min="10" max="10" width="12.5" customWidth="1"/>
    <col min="11" max="11" width="24" customWidth="1"/>
    <col min="12" max="12" width="31.75" bestFit="1" customWidth="1"/>
    <col min="13" max="13" width="30.25" bestFit="1" customWidth="1"/>
    <col min="14" max="14" width="12.375" customWidth="1"/>
    <col min="15" max="15" width="23.125" customWidth="1"/>
    <col min="16" max="16" width="31.75" bestFit="1" customWidth="1"/>
    <col min="17" max="17" width="29.375" bestFit="1" customWidth="1"/>
    <col min="18" max="18" width="14.375" customWidth="1"/>
    <col min="19" max="19" width="23" bestFit="1" customWidth="1"/>
    <col min="20" max="20" width="28.5" bestFit="1" customWidth="1"/>
    <col min="21" max="21" width="7" customWidth="1"/>
    <col min="22" max="22" width="62.75" bestFit="1" customWidth="1"/>
    <col min="26" max="26" width="62.75" bestFit="1" customWidth="1"/>
    <col min="27" max="27" width="9" customWidth="1"/>
  </cols>
  <sheetData>
    <row r="1" spans="1:16" x14ac:dyDescent="0.2">
      <c r="A1" s="6" t="s">
        <v>456</v>
      </c>
      <c r="B1" s="7" t="s">
        <v>10</v>
      </c>
      <c r="C1" s="8" t="s">
        <v>11</v>
      </c>
      <c r="D1" s="8" t="s">
        <v>12</v>
      </c>
      <c r="E1" s="8" t="s">
        <v>14</v>
      </c>
      <c r="F1" s="9" t="s">
        <v>13</v>
      </c>
    </row>
    <row r="2" spans="1:16" x14ac:dyDescent="0.2">
      <c r="B2" s="1" t="s">
        <v>24</v>
      </c>
      <c r="C2" t="s">
        <v>457</v>
      </c>
      <c r="D2" t="s">
        <v>458</v>
      </c>
      <c r="E2" t="s">
        <v>28</v>
      </c>
      <c r="F2" s="2" t="s">
        <v>27</v>
      </c>
    </row>
    <row r="3" spans="1:16" x14ac:dyDescent="0.2">
      <c r="B3" s="1" t="s">
        <v>24</v>
      </c>
      <c r="C3" t="s">
        <v>459</v>
      </c>
      <c r="D3" t="s">
        <v>460</v>
      </c>
      <c r="E3" t="s">
        <v>36</v>
      </c>
      <c r="F3" s="2" t="s">
        <v>35</v>
      </c>
    </row>
    <row r="4" spans="1:16" x14ac:dyDescent="0.2">
      <c r="B4" s="1" t="s">
        <v>24</v>
      </c>
      <c r="C4" t="s">
        <v>461</v>
      </c>
      <c r="D4" t="s">
        <v>462</v>
      </c>
      <c r="E4" t="s">
        <v>41</v>
      </c>
      <c r="F4" s="2" t="s">
        <v>40</v>
      </c>
    </row>
    <row r="5" spans="1:16" x14ac:dyDescent="0.2">
      <c r="B5" s="1" t="s">
        <v>24</v>
      </c>
      <c r="C5" t="s">
        <v>463</v>
      </c>
      <c r="D5" t="s">
        <v>464</v>
      </c>
      <c r="E5" t="s">
        <v>46</v>
      </c>
      <c r="F5" s="2" t="s">
        <v>45</v>
      </c>
    </row>
    <row r="6" spans="1:16" x14ac:dyDescent="0.2">
      <c r="B6" s="1" t="s">
        <v>24</v>
      </c>
      <c r="C6" t="s">
        <v>465</v>
      </c>
      <c r="D6" t="s">
        <v>466</v>
      </c>
      <c r="E6" t="s">
        <v>51</v>
      </c>
      <c r="F6" s="2" t="s">
        <v>50</v>
      </c>
    </row>
    <row r="7" spans="1:16" x14ac:dyDescent="0.2">
      <c r="B7" s="1" t="s">
        <v>24</v>
      </c>
      <c r="C7" t="s">
        <v>467</v>
      </c>
      <c r="D7" t="s">
        <v>468</v>
      </c>
      <c r="E7" t="s">
        <v>56</v>
      </c>
      <c r="F7" s="2" t="s">
        <v>55</v>
      </c>
    </row>
    <row r="8" spans="1:16" x14ac:dyDescent="0.2">
      <c r="B8" s="1" t="s">
        <v>24</v>
      </c>
      <c r="C8" t="s">
        <v>469</v>
      </c>
      <c r="D8" t="s">
        <v>470</v>
      </c>
      <c r="E8" t="s">
        <v>61</v>
      </c>
      <c r="F8" s="2" t="s">
        <v>60</v>
      </c>
    </row>
    <row r="9" spans="1:16" ht="13.5" thickBot="1" x14ac:dyDescent="0.25">
      <c r="B9" s="1" t="s">
        <v>24</v>
      </c>
      <c r="C9" t="s">
        <v>471</v>
      </c>
      <c r="D9" t="s">
        <v>472</v>
      </c>
      <c r="E9" t="s">
        <v>66</v>
      </c>
      <c r="F9" s="2" t="s">
        <v>65</v>
      </c>
    </row>
    <row r="10" spans="1:16" ht="13.5" thickBot="1" x14ac:dyDescent="0.25">
      <c r="B10" s="1" t="s">
        <v>24</v>
      </c>
      <c r="C10" t="s">
        <v>473</v>
      </c>
      <c r="D10" t="s">
        <v>474</v>
      </c>
      <c r="E10" t="s">
        <v>71</v>
      </c>
      <c r="F10" s="2" t="s">
        <v>70</v>
      </c>
      <c r="I10" s="17" t="s">
        <v>475</v>
      </c>
      <c r="J10" s="18"/>
      <c r="K10" s="18" t="s">
        <v>476</v>
      </c>
      <c r="L10" s="19">
        <f>COUNTA(L13:L41)</f>
        <v>24</v>
      </c>
    </row>
    <row r="11" spans="1:16" x14ac:dyDescent="0.2">
      <c r="B11" s="1" t="s">
        <v>24</v>
      </c>
      <c r="C11" t="s">
        <v>477</v>
      </c>
      <c r="D11" t="s">
        <v>478</v>
      </c>
      <c r="E11" t="s">
        <v>76</v>
      </c>
      <c r="F11" s="2" t="s">
        <v>75</v>
      </c>
      <c r="I11" s="38" t="s">
        <v>479</v>
      </c>
      <c r="J11" s="15"/>
      <c r="L11" s="2"/>
      <c r="M11" s="17" t="s">
        <v>480</v>
      </c>
      <c r="N11" s="18"/>
      <c r="O11" s="18" t="s">
        <v>476</v>
      </c>
      <c r="P11" s="19">
        <f>COUNTA(P13:P41)</f>
        <v>24</v>
      </c>
    </row>
    <row r="12" spans="1:16" x14ac:dyDescent="0.2">
      <c r="B12" s="1" t="s">
        <v>24</v>
      </c>
      <c r="C12" t="s">
        <v>481</v>
      </c>
      <c r="D12" t="s">
        <v>482</v>
      </c>
      <c r="E12" t="s">
        <v>81</v>
      </c>
      <c r="F12" s="2" t="s">
        <v>80</v>
      </c>
      <c r="I12" s="22" t="s">
        <v>11</v>
      </c>
      <c r="J12" s="14" t="s">
        <v>12</v>
      </c>
      <c r="K12" s="14" t="s">
        <v>14</v>
      </c>
      <c r="L12" s="23" t="s">
        <v>13</v>
      </c>
      <c r="M12" s="20" t="s">
        <v>11</v>
      </c>
      <c r="N12" s="16" t="s">
        <v>12</v>
      </c>
      <c r="O12" s="16" t="s">
        <v>14</v>
      </c>
      <c r="P12" s="21" t="s">
        <v>13</v>
      </c>
    </row>
    <row r="13" spans="1:16" x14ac:dyDescent="0.2">
      <c r="B13" s="1" t="s">
        <v>24</v>
      </c>
      <c r="C13" t="s">
        <v>483</v>
      </c>
      <c r="D13" t="s">
        <v>484</v>
      </c>
      <c r="E13" t="s">
        <v>86</v>
      </c>
      <c r="F13" s="2" t="s">
        <v>85</v>
      </c>
      <c r="I13" s="1" t="str">
        <f>C2</f>
        <v>a0K4J000000ou4WUAQ</v>
      </c>
      <c r="J13" t="str">
        <f>_xlfn.XLOOKUP(I13, $C$2:$C$25, $D$2:$D$25, "")</f>
        <v>CMT-00000</v>
      </c>
      <c r="K13" t="str">
        <f>_xlfn.XLOOKUP(I13, $C$2:$C$25, $E$2:$E$25, "")</f>
        <v>0T_000UAE264650</v>
      </c>
      <c r="L13" s="2" t="str">
        <f>_xlfn.XLOOKUP(I13, $C$2:$C$25, $F$2:$F$25, "")</f>
        <v>Memorandum of Agreement 2020</v>
      </c>
      <c r="M13" s="1" t="str">
        <f>_xlfn.XLOOKUP(O13, $E$34:$E$57, $C$34:$C$57, "")</f>
        <v>a0KUE00000CbQvt2AF</v>
      </c>
      <c r="N13" t="str">
        <f>_xlfn.XLOOKUP(O13, $E$34:$E$57, $D$34:$D$57, "")</f>
        <v>CMT-00019</v>
      </c>
      <c r="O13" t="str">
        <f>K13</f>
        <v>0T_000UAE264650</v>
      </c>
      <c r="P13" s="2" t="str">
        <f>_xlfn.XLOOKUP(O13, $E$34:$E$57, $F$34:$F$57, "")</f>
        <v>Memorandum of Agreement 2020</v>
      </c>
    </row>
    <row r="14" spans="1:16" x14ac:dyDescent="0.2">
      <c r="B14" s="1" t="s">
        <v>24</v>
      </c>
      <c r="C14" t="s">
        <v>485</v>
      </c>
      <c r="D14" t="s">
        <v>486</v>
      </c>
      <c r="E14" t="s">
        <v>91</v>
      </c>
      <c r="F14" s="2" t="s">
        <v>90</v>
      </c>
      <c r="I14" s="1" t="str">
        <f t="shared" ref="I14:I36" si="0">C3</f>
        <v>a0K4J000000ou4XUAQ</v>
      </c>
      <c r="J14" t="str">
        <f t="shared" ref="J14:J36" si="1">_xlfn.XLOOKUP(I14, $C$2:$C$25, $D$2:$D$25, "")</f>
        <v>CMT-00001</v>
      </c>
      <c r="K14" t="str">
        <f t="shared" ref="K14:K35" si="2">_xlfn.XLOOKUP(I14, $C$2:$C$25, $E$2:$E$25, "")</f>
        <v>0T_001UAE264672</v>
      </c>
      <c r="L14" s="2" t="str">
        <f t="shared" ref="L14:L36" si="3">_xlfn.XLOOKUP(I14, $C$2:$C$25, $F$2:$F$25, "")</f>
        <v>Prescribed Info 2020</v>
      </c>
      <c r="M14" s="1" t="str">
        <f t="shared" ref="M14:M36" si="4">_xlfn.XLOOKUP(O14, $E$34:$E$57, $C$34:$C$57, "")</f>
        <v>a0KUE00000CbQvu2AF</v>
      </c>
      <c r="N14" t="str">
        <f t="shared" ref="N14:N36" si="5">_xlfn.XLOOKUP(O14, $E$34:$E$57, $D$34:$D$57, "")</f>
        <v>CMT-00020</v>
      </c>
      <c r="O14" t="str">
        <f t="shared" ref="O14:O36" si="6">K14</f>
        <v>0T_001UAE264672</v>
      </c>
      <c r="P14" s="2" t="str">
        <f t="shared" ref="P14:P36" si="7">_xlfn.XLOOKUP(O14, $E$34:$E$57, $F$34:$F$57, "")</f>
        <v>Prescribed Info 2020</v>
      </c>
    </row>
    <row r="15" spans="1:16" x14ac:dyDescent="0.2">
      <c r="B15" s="1" t="s">
        <v>24</v>
      </c>
      <c r="C15" t="s">
        <v>487</v>
      </c>
      <c r="D15" t="s">
        <v>488</v>
      </c>
      <c r="E15" t="s">
        <v>96</v>
      </c>
      <c r="F15" s="2" t="s">
        <v>95</v>
      </c>
      <c r="I15" s="1" t="str">
        <f t="shared" si="0"/>
        <v>a0K4J000000ou4YUAQ</v>
      </c>
      <c r="J15" t="str">
        <f t="shared" si="1"/>
        <v>CMT-00002</v>
      </c>
      <c r="K15" t="str">
        <f t="shared" si="2"/>
        <v>0T_002UAE264672</v>
      </c>
      <c r="L15" s="2" t="str">
        <f t="shared" si="3"/>
        <v>Occupation Licence 2020</v>
      </c>
      <c r="M15" s="1" t="str">
        <f t="shared" si="4"/>
        <v>a0KUE00000CbQvv2AF</v>
      </c>
      <c r="N15" t="str">
        <f t="shared" si="5"/>
        <v>CMT-00021</v>
      </c>
      <c r="O15" t="str">
        <f t="shared" si="6"/>
        <v>0T_002UAE264672</v>
      </c>
      <c r="P15" s="2" t="str">
        <f t="shared" si="7"/>
        <v>Occupation Licence 2020</v>
      </c>
    </row>
    <row r="16" spans="1:16" x14ac:dyDescent="0.2">
      <c r="B16" s="1" t="s">
        <v>24</v>
      </c>
      <c r="C16" t="s">
        <v>489</v>
      </c>
      <c r="D16" t="s">
        <v>490</v>
      </c>
      <c r="E16" t="s">
        <v>101</v>
      </c>
      <c r="F16" s="2" t="s">
        <v>100</v>
      </c>
      <c r="I16" s="1" t="str">
        <f t="shared" si="0"/>
        <v>a0K4J000000ou4ZUAQ</v>
      </c>
      <c r="J16" t="str">
        <f t="shared" si="1"/>
        <v>CMT-00003</v>
      </c>
      <c r="K16" t="str">
        <f t="shared" si="2"/>
        <v>0T_003UAE264672</v>
      </c>
      <c r="L16" s="2" t="str">
        <f t="shared" si="3"/>
        <v>Shed Licence 2020</v>
      </c>
      <c r="M16" s="1" t="str">
        <f t="shared" si="4"/>
        <v>a0KUE00000CbQvw2AF</v>
      </c>
      <c r="N16" t="str">
        <f t="shared" si="5"/>
        <v>CMT-00022</v>
      </c>
      <c r="O16" t="str">
        <f t="shared" si="6"/>
        <v>0T_003UAE264672</v>
      </c>
      <c r="P16" s="2" t="str">
        <f t="shared" si="7"/>
        <v>Shed Licence 2020</v>
      </c>
    </row>
    <row r="17" spans="1:16" x14ac:dyDescent="0.2">
      <c r="B17" s="1" t="s">
        <v>24</v>
      </c>
      <c r="C17" t="s">
        <v>491</v>
      </c>
      <c r="D17" t="s">
        <v>492</v>
      </c>
      <c r="E17" t="s">
        <v>106</v>
      </c>
      <c r="F17" s="2" t="s">
        <v>105</v>
      </c>
      <c r="I17" s="1" t="str">
        <f t="shared" si="0"/>
        <v>a0K4J000000ou4aUAA</v>
      </c>
      <c r="J17" t="str">
        <f t="shared" si="1"/>
        <v>CMT-00004</v>
      </c>
      <c r="K17" t="str">
        <f t="shared" si="2"/>
        <v>0T_004UAE264672</v>
      </c>
      <c r="L17" s="2" t="str">
        <f t="shared" si="3"/>
        <v>NHA Company Let 2020</v>
      </c>
      <c r="M17" s="1" t="str">
        <f t="shared" si="4"/>
        <v>a0KUE00000CbQvx2AF</v>
      </c>
      <c r="N17" t="str">
        <f t="shared" si="5"/>
        <v>CMT-00023</v>
      </c>
      <c r="O17" t="str">
        <f t="shared" si="6"/>
        <v>0T_004UAE264672</v>
      </c>
      <c r="P17" s="2" t="str">
        <f t="shared" si="7"/>
        <v>NHA Company Let 2020</v>
      </c>
    </row>
    <row r="18" spans="1:16" x14ac:dyDescent="0.2">
      <c r="B18" s="1" t="s">
        <v>24</v>
      </c>
      <c r="C18" t="s">
        <v>493</v>
      </c>
      <c r="D18" t="s">
        <v>494</v>
      </c>
      <c r="E18" t="s">
        <v>111</v>
      </c>
      <c r="F18" s="2" t="s">
        <v>110</v>
      </c>
      <c r="I18" s="1" t="str">
        <f t="shared" si="0"/>
        <v>a0K4J000000ou4bUAA</v>
      </c>
      <c r="J18" t="str">
        <f t="shared" si="1"/>
        <v>CMT-00005</v>
      </c>
      <c r="K18" t="str">
        <f t="shared" si="2"/>
        <v>0T_005UAE264672</v>
      </c>
      <c r="L18" s="2" t="str">
        <f t="shared" si="3"/>
        <v>SD Lead Tenant</v>
      </c>
      <c r="M18" s="1" t="str">
        <f t="shared" si="4"/>
        <v>a0KUE00000CbQvy2AF</v>
      </c>
      <c r="N18" t="str">
        <f t="shared" si="5"/>
        <v>CMT-00024</v>
      </c>
      <c r="O18" t="str">
        <f t="shared" si="6"/>
        <v>0T_005UAE264672</v>
      </c>
      <c r="P18" s="2" t="str">
        <f t="shared" si="7"/>
        <v>SD Lead Tenant</v>
      </c>
    </row>
    <row r="19" spans="1:16" x14ac:dyDescent="0.2">
      <c r="B19" s="1" t="s">
        <v>24</v>
      </c>
      <c r="C19" t="s">
        <v>495</v>
      </c>
      <c r="D19" t="s">
        <v>496</v>
      </c>
      <c r="E19" t="s">
        <v>116</v>
      </c>
      <c r="F19" s="2" t="s">
        <v>115</v>
      </c>
      <c r="I19" s="1" t="str">
        <f t="shared" si="0"/>
        <v>a0K4J000000ou4cUAA</v>
      </c>
      <c r="J19" t="str">
        <f t="shared" si="1"/>
        <v>CMT-00006</v>
      </c>
      <c r="K19" t="str">
        <f t="shared" si="2"/>
        <v>0T_006UAE264672</v>
      </c>
      <c r="L19" s="2" t="str">
        <f t="shared" si="3"/>
        <v>SD Tenant 2</v>
      </c>
      <c r="M19" s="1" t="str">
        <f t="shared" si="4"/>
        <v>a0KUE00000CbQvz2AF</v>
      </c>
      <c r="N19" t="str">
        <f t="shared" si="5"/>
        <v>CMT-00025</v>
      </c>
      <c r="O19" t="str">
        <f t="shared" si="6"/>
        <v>0T_006UAE264672</v>
      </c>
      <c r="P19" s="2" t="str">
        <f t="shared" si="7"/>
        <v>SD Tenant 2</v>
      </c>
    </row>
    <row r="20" spans="1:16" x14ac:dyDescent="0.2">
      <c r="B20" s="1" t="s">
        <v>24</v>
      </c>
      <c r="C20" t="s">
        <v>497</v>
      </c>
      <c r="D20" t="s">
        <v>26</v>
      </c>
      <c r="E20" t="s">
        <v>121</v>
      </c>
      <c r="F20" s="2" t="s">
        <v>120</v>
      </c>
      <c r="I20" s="1" t="str">
        <f t="shared" si="0"/>
        <v>a0K4J000000ou4dUAA</v>
      </c>
      <c r="J20" t="str">
        <f t="shared" si="1"/>
        <v>CMT-00007</v>
      </c>
      <c r="K20" t="str">
        <f t="shared" si="2"/>
        <v>0T_007UAE264672</v>
      </c>
      <c r="L20" s="2" t="str">
        <f t="shared" si="3"/>
        <v>SD Tenant 3</v>
      </c>
      <c r="M20" s="1" t="str">
        <f t="shared" si="4"/>
        <v>a0KUE00000CbQw02AF</v>
      </c>
      <c r="N20" t="str">
        <f t="shared" si="5"/>
        <v>CMT-00026</v>
      </c>
      <c r="O20" t="str">
        <f t="shared" si="6"/>
        <v>0T_007UAE264672</v>
      </c>
      <c r="P20" s="2" t="str">
        <f t="shared" si="7"/>
        <v>SD Tenant 3</v>
      </c>
    </row>
    <row r="21" spans="1:16" x14ac:dyDescent="0.2">
      <c r="B21" s="1" t="s">
        <v>24</v>
      </c>
      <c r="C21" t="s">
        <v>498</v>
      </c>
      <c r="D21" t="s">
        <v>499</v>
      </c>
      <c r="E21" t="s">
        <v>126</v>
      </c>
      <c r="F21" s="2" t="s">
        <v>125</v>
      </c>
      <c r="I21" s="1" t="str">
        <f t="shared" si="0"/>
        <v>a0K4J000000ou4eUAA</v>
      </c>
      <c r="J21" t="str">
        <f t="shared" si="1"/>
        <v>CMT-00008</v>
      </c>
      <c r="K21" t="str">
        <f t="shared" si="2"/>
        <v>0T_008UAE264672</v>
      </c>
      <c r="L21" s="2" t="str">
        <f t="shared" si="3"/>
        <v>SD Tenant 4</v>
      </c>
      <c r="M21" s="1" t="str">
        <f t="shared" si="4"/>
        <v>a0KUE00000CbQw12AF</v>
      </c>
      <c r="N21" t="str">
        <f t="shared" si="5"/>
        <v>CMT-00027</v>
      </c>
      <c r="O21" t="str">
        <f t="shared" si="6"/>
        <v>0T_008UAE264672</v>
      </c>
      <c r="P21" s="2" t="str">
        <f t="shared" si="7"/>
        <v>SD Tenant 4</v>
      </c>
    </row>
    <row r="22" spans="1:16" x14ac:dyDescent="0.2">
      <c r="B22" s="1" t="s">
        <v>24</v>
      </c>
      <c r="C22" t="s">
        <v>500</v>
      </c>
      <c r="D22" t="s">
        <v>34</v>
      </c>
      <c r="E22" t="s">
        <v>131</v>
      </c>
      <c r="F22" s="2" t="s">
        <v>130</v>
      </c>
      <c r="I22" s="1" t="str">
        <f t="shared" si="0"/>
        <v>a0K4J000000ou4fUAA</v>
      </c>
      <c r="J22" t="str">
        <f t="shared" si="1"/>
        <v>CMT-00009</v>
      </c>
      <c r="K22" t="str">
        <f t="shared" si="2"/>
        <v>0T_009UAE264672</v>
      </c>
      <c r="L22" s="2" t="str">
        <f t="shared" si="3"/>
        <v>Parking 2020</v>
      </c>
      <c r="M22" s="1" t="str">
        <f t="shared" si="4"/>
        <v>a0KUE00000CbQw22AF</v>
      </c>
      <c r="N22" t="str">
        <f t="shared" si="5"/>
        <v>CMT-00028</v>
      </c>
      <c r="O22" t="str">
        <f t="shared" si="6"/>
        <v>0T_009UAE264672</v>
      </c>
      <c r="P22" s="2" t="str">
        <f t="shared" si="7"/>
        <v>Parking 2020</v>
      </c>
    </row>
    <row r="23" spans="1:16" x14ac:dyDescent="0.2">
      <c r="B23" s="1" t="s">
        <v>24</v>
      </c>
      <c r="C23" t="s">
        <v>501</v>
      </c>
      <c r="D23" t="s">
        <v>39</v>
      </c>
      <c r="E23" t="s">
        <v>136</v>
      </c>
      <c r="F23" s="2" t="s">
        <v>135</v>
      </c>
      <c r="I23" s="1" t="str">
        <f t="shared" si="0"/>
        <v>a0K4J000000ou4gUAA</v>
      </c>
      <c r="J23" t="str">
        <f t="shared" si="1"/>
        <v>CMT-00010</v>
      </c>
      <c r="K23" t="str">
        <f t="shared" si="2"/>
        <v>0T_010UAE289695</v>
      </c>
      <c r="L23" s="2" t="str">
        <f t="shared" si="3"/>
        <v>AST 2020</v>
      </c>
      <c r="M23" s="1" t="str">
        <f t="shared" si="4"/>
        <v>a0KUE00000CbQw32AF</v>
      </c>
      <c r="N23" t="str">
        <f t="shared" si="5"/>
        <v>CMT-00029</v>
      </c>
      <c r="O23" t="str">
        <f t="shared" si="6"/>
        <v>0T_010UAE289695</v>
      </c>
      <c r="P23" s="2" t="str">
        <f t="shared" si="7"/>
        <v>AST 2020</v>
      </c>
    </row>
    <row r="24" spans="1:16" x14ac:dyDescent="0.2">
      <c r="B24" s="1" t="s">
        <v>24</v>
      </c>
      <c r="C24" t="s">
        <v>502</v>
      </c>
      <c r="D24" t="s">
        <v>44</v>
      </c>
      <c r="E24" t="s">
        <v>141</v>
      </c>
      <c r="F24" s="2" t="s">
        <v>140</v>
      </c>
      <c r="I24" s="1" t="str">
        <f t="shared" si="0"/>
        <v>a0K4J000000ou4hUAA</v>
      </c>
      <c r="J24" t="str">
        <f t="shared" si="1"/>
        <v>CMT-00011</v>
      </c>
      <c r="K24" t="str">
        <f t="shared" si="2"/>
        <v>0T_011UAE289695</v>
      </c>
      <c r="L24" s="2" t="str">
        <f t="shared" si="3"/>
        <v>Live Work 2020</v>
      </c>
      <c r="M24" s="1" t="str">
        <f t="shared" si="4"/>
        <v>a0KUE00000CbQw42AF</v>
      </c>
      <c r="N24" t="str">
        <f t="shared" si="5"/>
        <v>CMT-00030</v>
      </c>
      <c r="O24" t="str">
        <f t="shared" si="6"/>
        <v>0T_011UAE289695</v>
      </c>
      <c r="P24" s="2" t="str">
        <f t="shared" si="7"/>
        <v>Live Work 2020</v>
      </c>
    </row>
    <row r="25" spans="1:16" ht="13.5" thickBot="1" x14ac:dyDescent="0.25">
      <c r="B25" s="3" t="s">
        <v>24</v>
      </c>
      <c r="C25" s="4" t="s">
        <v>503</v>
      </c>
      <c r="D25" s="4" t="s">
        <v>49</v>
      </c>
      <c r="E25" s="4" t="s">
        <v>146</v>
      </c>
      <c r="F25" s="5" t="s">
        <v>145</v>
      </c>
      <c r="I25" s="1" t="str">
        <f t="shared" si="0"/>
        <v>a0K4J000000ou4iUAA</v>
      </c>
      <c r="J25" t="str">
        <f t="shared" si="1"/>
        <v>CMT-00012</v>
      </c>
      <c r="K25" t="str">
        <f t="shared" si="2"/>
        <v>0T_012UAE289695</v>
      </c>
      <c r="L25" s="2" t="str">
        <f t="shared" si="3"/>
        <v>NHA 2020</v>
      </c>
      <c r="M25" s="1" t="str">
        <f t="shared" si="4"/>
        <v>a0KUE00000CbQw52AF</v>
      </c>
      <c r="N25" t="str">
        <f t="shared" si="5"/>
        <v>CMT-00031</v>
      </c>
      <c r="O25" t="str">
        <f t="shared" si="6"/>
        <v>0T_012UAE289695</v>
      </c>
      <c r="P25" s="2" t="str">
        <f t="shared" si="7"/>
        <v>NHA 2020</v>
      </c>
    </row>
    <row r="26" spans="1:16" x14ac:dyDescent="0.2">
      <c r="I26" s="1" t="str">
        <f t="shared" si="0"/>
        <v>a0K4J000004FMXeUAO</v>
      </c>
      <c r="J26" t="str">
        <f t="shared" si="1"/>
        <v>CMT-00013</v>
      </c>
      <c r="K26" t="str">
        <f t="shared" si="2"/>
        <v>0T_013UAE357588</v>
      </c>
      <c r="L26" s="2" t="str">
        <f t="shared" si="3"/>
        <v>Simple Declaration LeadTenant</v>
      </c>
      <c r="M26" s="1" t="str">
        <f t="shared" si="4"/>
        <v>a0KUE00000CbQw62AF</v>
      </c>
      <c r="N26" t="str">
        <f t="shared" si="5"/>
        <v>CMT-00032</v>
      </c>
      <c r="O26" t="str">
        <f t="shared" si="6"/>
        <v>0T_013UAE357588</v>
      </c>
      <c r="P26" s="2" t="str">
        <f t="shared" si="7"/>
        <v>Simple Declaration LeadTenant</v>
      </c>
    </row>
    <row r="27" spans="1:16" x14ac:dyDescent="0.2">
      <c r="I27" s="1" t="str">
        <f t="shared" si="0"/>
        <v>a0K4J000004FMXjUAO</v>
      </c>
      <c r="J27" t="str">
        <f t="shared" si="1"/>
        <v>CMT-00014</v>
      </c>
      <c r="K27" t="str">
        <f t="shared" si="2"/>
        <v>0T_014UAE288059</v>
      </c>
      <c r="L27" s="2" t="str">
        <f t="shared" si="3"/>
        <v>Simple Declaration Tenant 2</v>
      </c>
      <c r="M27" s="1" t="str">
        <f t="shared" si="4"/>
        <v>a0KUE00000CbQw72AF</v>
      </c>
      <c r="N27" t="str">
        <f t="shared" si="5"/>
        <v>CMT-00033</v>
      </c>
      <c r="O27" t="str">
        <f t="shared" si="6"/>
        <v>0T_014UAE288059</v>
      </c>
      <c r="P27" s="2" t="str">
        <f t="shared" si="7"/>
        <v>Simple Declaration Tenant 2</v>
      </c>
    </row>
    <row r="28" spans="1:16" x14ac:dyDescent="0.2">
      <c r="I28" s="1" t="str">
        <f t="shared" si="0"/>
        <v>a0K4J000004FMXkUAO</v>
      </c>
      <c r="J28" t="str">
        <f t="shared" si="1"/>
        <v>CMT-00016</v>
      </c>
      <c r="K28" t="str">
        <f t="shared" si="2"/>
        <v>0T_016UAE512202</v>
      </c>
      <c r="L28" s="2" t="str">
        <f t="shared" si="3"/>
        <v>Simple Declaration Tenant 3</v>
      </c>
      <c r="M28" s="1" t="str">
        <f t="shared" si="4"/>
        <v>a0KUE00000CbQw82AF</v>
      </c>
      <c r="N28" t="str">
        <f t="shared" si="5"/>
        <v>CMT-00034</v>
      </c>
      <c r="O28" t="str">
        <f t="shared" si="6"/>
        <v>0T_016UAE512202</v>
      </c>
      <c r="P28" s="2" t="str">
        <f t="shared" si="7"/>
        <v>Simple Declaration Tenant 3</v>
      </c>
    </row>
    <row r="29" spans="1:16" x14ac:dyDescent="0.2">
      <c r="A29" s="15" t="s">
        <v>504</v>
      </c>
      <c r="I29" s="1" t="str">
        <f t="shared" si="0"/>
        <v>a0K4J000004FMXoUAO</v>
      </c>
      <c r="J29" t="str">
        <f t="shared" si="1"/>
        <v>CMT-00015</v>
      </c>
      <c r="K29" t="str">
        <f t="shared" si="2"/>
        <v>0T_015UAE919410</v>
      </c>
      <c r="L29" s="2" t="str">
        <f t="shared" si="3"/>
        <v>Simple Declaration Tenant 4</v>
      </c>
      <c r="M29" s="1" t="str">
        <f t="shared" si="4"/>
        <v>a0KUE00000CbQw92AF</v>
      </c>
      <c r="N29" t="str">
        <f t="shared" si="5"/>
        <v>CMT-00035</v>
      </c>
      <c r="O29" t="str">
        <f t="shared" si="6"/>
        <v>0T_015UAE919410</v>
      </c>
      <c r="P29" s="2" t="str">
        <f t="shared" si="7"/>
        <v>Simple Declaration Tenant 4</v>
      </c>
    </row>
    <row r="30" spans="1:16" x14ac:dyDescent="0.2">
      <c r="A30" t="s">
        <v>505</v>
      </c>
      <c r="I30" s="1" t="str">
        <f t="shared" si="0"/>
        <v>a0KNz000007i0oLMAQ</v>
      </c>
      <c r="J30" t="str">
        <f t="shared" si="1"/>
        <v>CMT-00017</v>
      </c>
      <c r="K30" t="str">
        <f t="shared" si="2"/>
        <v>0T_017UAE326918</v>
      </c>
      <c r="L30" s="2" t="str">
        <f t="shared" si="3"/>
        <v>Occupation Contract 2024</v>
      </c>
      <c r="M30" s="1" t="str">
        <f t="shared" si="4"/>
        <v>a0KUE00000CbQwA2AV</v>
      </c>
      <c r="N30" t="str">
        <f t="shared" si="5"/>
        <v>CMT-00036</v>
      </c>
      <c r="O30" t="str">
        <f t="shared" si="6"/>
        <v>0T_017UAE326918</v>
      </c>
      <c r="P30" s="2" t="str">
        <f t="shared" si="7"/>
        <v>Occupation Contract 2024</v>
      </c>
    </row>
    <row r="31" spans="1:16" x14ac:dyDescent="0.2">
      <c r="A31" t="s">
        <v>506</v>
      </c>
      <c r="B31" s="15"/>
      <c r="C31" s="15"/>
      <c r="D31" s="15"/>
      <c r="E31" s="15"/>
      <c r="F31" s="15"/>
      <c r="I31" s="1" t="str">
        <f t="shared" si="0"/>
        <v>a0KPv0000097wN5MAI</v>
      </c>
      <c r="J31" t="str">
        <f t="shared" si="1"/>
        <v>CMT-00019</v>
      </c>
      <c r="K31" t="str">
        <f t="shared" si="2"/>
        <v>0T_019MAQ098641</v>
      </c>
      <c r="L31" s="2" t="str">
        <f t="shared" si="3"/>
        <v>Decant Agreement Normal</v>
      </c>
      <c r="M31" s="1" t="str">
        <f t="shared" si="4"/>
        <v>a0KUE00000CbQwB2AV</v>
      </c>
      <c r="N31" t="str">
        <f t="shared" si="5"/>
        <v>CMT-00037</v>
      </c>
      <c r="O31" t="str">
        <f t="shared" si="6"/>
        <v>0T_019MAQ098641</v>
      </c>
      <c r="P31" s="2" t="str">
        <f t="shared" si="7"/>
        <v>Decant Agreement Normal</v>
      </c>
    </row>
    <row r="32" spans="1:16" ht="13.5" thickBot="1" x14ac:dyDescent="0.25">
      <c r="I32" s="1" t="str">
        <f t="shared" si="0"/>
        <v>a0KPv0000097wenMAA</v>
      </c>
      <c r="J32" t="str">
        <f t="shared" si="1"/>
        <v>CMT-00018</v>
      </c>
      <c r="K32" t="str">
        <f t="shared" si="2"/>
        <v>0T_018MAQ629556</v>
      </c>
      <c r="L32" s="2" t="str">
        <f t="shared" si="3"/>
        <v>Decant Agreement  Wales</v>
      </c>
      <c r="M32" s="1" t="str">
        <f t="shared" si="4"/>
        <v>a0KUE00000CbQwC2AV</v>
      </c>
      <c r="N32" t="str">
        <f t="shared" si="5"/>
        <v>CMT-00038</v>
      </c>
      <c r="O32" t="str">
        <f t="shared" si="6"/>
        <v>0T_018MAQ629556</v>
      </c>
      <c r="P32" s="2" t="str">
        <f t="shared" si="7"/>
        <v>Decant Agreement  Wales</v>
      </c>
    </row>
    <row r="33" spans="1:29" ht="13.5" thickBot="1" x14ac:dyDescent="0.25">
      <c r="A33" s="39" t="s">
        <v>507</v>
      </c>
      <c r="B33" s="11" t="s">
        <v>10</v>
      </c>
      <c r="C33" s="12" t="s">
        <v>11</v>
      </c>
      <c r="D33" s="12" t="s">
        <v>12</v>
      </c>
      <c r="E33" s="12" t="s">
        <v>14</v>
      </c>
      <c r="F33" s="13" t="s">
        <v>13</v>
      </c>
      <c r="I33" s="1" t="str">
        <f t="shared" si="0"/>
        <v>a0KPv00000BJilNMAT</v>
      </c>
      <c r="J33" t="str">
        <f t="shared" si="1"/>
        <v>CMT-00020</v>
      </c>
      <c r="K33" t="str">
        <f t="shared" si="2"/>
        <v>0T_020MAQ777827</v>
      </c>
      <c r="L33" s="2" t="str">
        <f t="shared" si="3"/>
        <v>Parking license oxford</v>
      </c>
      <c r="M33" s="1" t="str">
        <f t="shared" si="4"/>
        <v>a0KUE00000CbQwD2AV</v>
      </c>
      <c r="N33" t="str">
        <f t="shared" si="5"/>
        <v>CMT-00039</v>
      </c>
      <c r="O33" t="str">
        <f t="shared" si="6"/>
        <v>0T_020MAQ777827</v>
      </c>
      <c r="P33" s="2" t="str">
        <f t="shared" si="7"/>
        <v>Parking license oxford</v>
      </c>
    </row>
    <row r="34" spans="1:29" x14ac:dyDescent="0.2">
      <c r="B34" s="1" t="s">
        <v>24</v>
      </c>
      <c r="C34" t="s">
        <v>25</v>
      </c>
      <c r="D34" t="s">
        <v>26</v>
      </c>
      <c r="E34" t="s">
        <v>28</v>
      </c>
      <c r="F34" s="2" t="s">
        <v>27</v>
      </c>
      <c r="I34" s="1" t="str">
        <f t="shared" si="0"/>
        <v>a0KPv00000DMExkMAH</v>
      </c>
      <c r="J34" t="str">
        <f t="shared" si="1"/>
        <v>CMT-00021</v>
      </c>
      <c r="K34" t="str">
        <f t="shared" si="2"/>
        <v>0T_021MAQ219375</v>
      </c>
      <c r="L34" s="2" t="str">
        <f t="shared" si="3"/>
        <v>Affordable 2025</v>
      </c>
      <c r="M34" s="1" t="str">
        <f t="shared" si="4"/>
        <v>a0KUE00000CbQwE2AV</v>
      </c>
      <c r="N34" t="str">
        <f t="shared" si="5"/>
        <v>CMT-00040</v>
      </c>
      <c r="O34" t="str">
        <f t="shared" si="6"/>
        <v>0T_021MAQ219375</v>
      </c>
      <c r="P34" s="2" t="str">
        <f t="shared" si="7"/>
        <v>Affordable 2025</v>
      </c>
    </row>
    <row r="35" spans="1:29" x14ac:dyDescent="0.2">
      <c r="B35" s="1" t="s">
        <v>24</v>
      </c>
      <c r="C35" t="s">
        <v>33</v>
      </c>
      <c r="D35" t="s">
        <v>34</v>
      </c>
      <c r="E35" t="s">
        <v>36</v>
      </c>
      <c r="F35" s="2" t="s">
        <v>35</v>
      </c>
      <c r="I35" s="1" t="str">
        <f t="shared" si="0"/>
        <v>a0KPv00000DMO2bMAH</v>
      </c>
      <c r="J35" t="str">
        <f t="shared" si="1"/>
        <v>CMT-00022</v>
      </c>
      <c r="K35" t="str">
        <f t="shared" si="2"/>
        <v>0T_022MAQ827582</v>
      </c>
      <c r="L35" s="2" t="str">
        <f t="shared" si="3"/>
        <v>DMR Social</v>
      </c>
      <c r="M35" s="1" t="str">
        <f t="shared" si="4"/>
        <v>a0KUE00000CbQwF2AV</v>
      </c>
      <c r="N35" t="str">
        <f t="shared" si="5"/>
        <v>CMT-00041</v>
      </c>
      <c r="O35" t="str">
        <f t="shared" si="6"/>
        <v>0T_022MAQ827582</v>
      </c>
      <c r="P35" s="2" t="str">
        <f t="shared" si="7"/>
        <v>DMR Social</v>
      </c>
    </row>
    <row r="36" spans="1:29" ht="13.5" thickBot="1" x14ac:dyDescent="0.25">
      <c r="B36" s="1" t="s">
        <v>24</v>
      </c>
      <c r="C36" t="s">
        <v>38</v>
      </c>
      <c r="D36" t="s">
        <v>39</v>
      </c>
      <c r="E36" t="s">
        <v>41</v>
      </c>
      <c r="F36" s="2" t="s">
        <v>40</v>
      </c>
      <c r="I36" s="3" t="str">
        <f t="shared" si="0"/>
        <v>a0KPv00000DrEzqMAF</v>
      </c>
      <c r="J36" s="4" t="str">
        <f t="shared" si="1"/>
        <v>CMT-00023</v>
      </c>
      <c r="K36" s="4" t="str">
        <f>_xlfn.XLOOKUP(I36, $C$2:$C$25, $E$2:$E$25, "")</f>
        <v>0T_023MAQ064790</v>
      </c>
      <c r="L36" s="5" t="str">
        <f t="shared" si="3"/>
        <v>RHW12 Document</v>
      </c>
      <c r="M36" s="3" t="str">
        <f t="shared" si="4"/>
        <v>a0KUE00000CbQwG2AV</v>
      </c>
      <c r="N36" s="4" t="str">
        <f t="shared" si="5"/>
        <v>CMT-00042</v>
      </c>
      <c r="O36" s="4" t="str">
        <f t="shared" si="6"/>
        <v>0T_023MAQ064790</v>
      </c>
      <c r="P36" s="5" t="str">
        <f t="shared" si="7"/>
        <v>RHW12 Document</v>
      </c>
    </row>
    <row r="37" spans="1:29" x14ac:dyDescent="0.2">
      <c r="B37" s="1" t="s">
        <v>24</v>
      </c>
      <c r="C37" t="s">
        <v>43</v>
      </c>
      <c r="D37" t="s">
        <v>44</v>
      </c>
      <c r="E37" t="s">
        <v>46</v>
      </c>
      <c r="F37" s="2" t="s">
        <v>45</v>
      </c>
    </row>
    <row r="38" spans="1:29" x14ac:dyDescent="0.2">
      <c r="B38" s="1" t="s">
        <v>24</v>
      </c>
      <c r="C38" t="s">
        <v>48</v>
      </c>
      <c r="D38" t="s">
        <v>49</v>
      </c>
      <c r="E38" t="s">
        <v>51</v>
      </c>
      <c r="F38" s="2" t="s">
        <v>50</v>
      </c>
    </row>
    <row r="39" spans="1:29" x14ac:dyDescent="0.2">
      <c r="B39" s="1" t="s">
        <v>24</v>
      </c>
      <c r="C39" t="s">
        <v>53</v>
      </c>
      <c r="D39" t="s">
        <v>54</v>
      </c>
      <c r="E39" t="s">
        <v>56</v>
      </c>
      <c r="F39" s="2" t="s">
        <v>55</v>
      </c>
    </row>
    <row r="40" spans="1:29" x14ac:dyDescent="0.2">
      <c r="B40" s="1" t="s">
        <v>24</v>
      </c>
      <c r="C40" t="s">
        <v>58</v>
      </c>
      <c r="D40" t="s">
        <v>59</v>
      </c>
      <c r="E40" t="s">
        <v>61</v>
      </c>
      <c r="F40" s="2" t="s">
        <v>60</v>
      </c>
    </row>
    <row r="41" spans="1:29" x14ac:dyDescent="0.2">
      <c r="B41" s="1" t="s">
        <v>24</v>
      </c>
      <c r="C41" t="s">
        <v>63</v>
      </c>
      <c r="D41" t="s">
        <v>64</v>
      </c>
      <c r="E41" t="s">
        <v>66</v>
      </c>
      <c r="F41" s="2" t="s">
        <v>65</v>
      </c>
    </row>
    <row r="42" spans="1:29" x14ac:dyDescent="0.2">
      <c r="B42" s="1" t="s">
        <v>24</v>
      </c>
      <c r="C42" t="s">
        <v>68</v>
      </c>
      <c r="D42" t="s">
        <v>69</v>
      </c>
      <c r="E42" t="s">
        <v>71</v>
      </c>
      <c r="F42" s="2" t="s">
        <v>70</v>
      </c>
    </row>
    <row r="43" spans="1:29" ht="13.5" thickBot="1" x14ac:dyDescent="0.25">
      <c r="B43" s="1" t="s">
        <v>24</v>
      </c>
      <c r="C43" t="s">
        <v>73</v>
      </c>
      <c r="D43" t="s">
        <v>74</v>
      </c>
      <c r="E43" t="s">
        <v>76</v>
      </c>
      <c r="F43" s="2" t="s">
        <v>75</v>
      </c>
    </row>
    <row r="44" spans="1:29" ht="13.5" thickBot="1" x14ac:dyDescent="0.25">
      <c r="B44" s="1" t="s">
        <v>24</v>
      </c>
      <c r="C44" t="s">
        <v>78</v>
      </c>
      <c r="D44" t="s">
        <v>79</v>
      </c>
      <c r="E44" t="s">
        <v>81</v>
      </c>
      <c r="F44" s="2" t="s">
        <v>80</v>
      </c>
      <c r="Q44">
        <f>LEN(Q49)</f>
        <v>18</v>
      </c>
      <c r="U44" s="17" t="s">
        <v>508</v>
      </c>
      <c r="V44" s="18"/>
      <c r="W44" s="19"/>
      <c r="Z44" s="17" t="s">
        <v>509</v>
      </c>
      <c r="AA44" s="18"/>
      <c r="AB44" s="18"/>
      <c r="AC44" s="19"/>
    </row>
    <row r="45" spans="1:29" ht="13.5" thickBot="1" x14ac:dyDescent="0.25">
      <c r="B45" s="1" t="s">
        <v>24</v>
      </c>
      <c r="C45" t="s">
        <v>83</v>
      </c>
      <c r="D45" t="s">
        <v>84</v>
      </c>
      <c r="E45" t="s">
        <v>86</v>
      </c>
      <c r="F45" s="2" t="s">
        <v>85</v>
      </c>
      <c r="I45" s="17" t="s">
        <v>510</v>
      </c>
      <c r="J45" s="18"/>
      <c r="K45" s="19"/>
      <c r="M45" s="127"/>
      <c r="N45" s="18"/>
      <c r="O45" s="18"/>
      <c r="P45" s="18"/>
      <c r="Q45" s="18"/>
      <c r="R45" s="18"/>
      <c r="S45" s="18"/>
      <c r="T45" s="19"/>
      <c r="U45" s="38"/>
      <c r="W45" s="2"/>
      <c r="Z45" s="38"/>
      <c r="AC45" s="2"/>
    </row>
    <row r="46" spans="1:29" ht="13.5" thickBot="1" x14ac:dyDescent="0.25">
      <c r="B46" s="1" t="s">
        <v>24</v>
      </c>
      <c r="C46" t="s">
        <v>88</v>
      </c>
      <c r="D46" t="s">
        <v>89</v>
      </c>
      <c r="E46" t="s">
        <v>91</v>
      </c>
      <c r="F46" s="2" t="s">
        <v>90</v>
      </c>
      <c r="I46" s="38"/>
      <c r="K46" s="2"/>
      <c r="M46" s="17" t="s">
        <v>475</v>
      </c>
      <c r="N46" s="18"/>
      <c r="O46" s="18"/>
      <c r="P46" s="19"/>
      <c r="T46" s="2"/>
      <c r="U46" s="1"/>
      <c r="V46" t="s">
        <v>413</v>
      </c>
      <c r="W46" s="2"/>
      <c r="Z46" s="1" t="s">
        <v>413</v>
      </c>
      <c r="AC46" s="2"/>
    </row>
    <row r="47" spans="1:29" ht="13.5" thickBot="1" x14ac:dyDescent="0.25">
      <c r="B47" s="1" t="s">
        <v>24</v>
      </c>
      <c r="C47" t="s">
        <v>93</v>
      </c>
      <c r="D47" t="s">
        <v>94</v>
      </c>
      <c r="E47" t="s">
        <v>96</v>
      </c>
      <c r="F47" s="2" t="s">
        <v>95</v>
      </c>
      <c r="I47" s="1" t="s">
        <v>413</v>
      </c>
      <c r="K47" s="2"/>
      <c r="M47" s="38" t="s">
        <v>479</v>
      </c>
      <c r="N47" s="15"/>
      <c r="P47" s="2"/>
      <c r="Q47" s="46" t="s">
        <v>511</v>
      </c>
      <c r="R47" s="18"/>
      <c r="S47" s="18"/>
      <c r="T47" s="19"/>
      <c r="U47" s="1"/>
      <c r="V47" t="s">
        <v>414</v>
      </c>
      <c r="W47" s="2"/>
      <c r="Z47" s="1" t="s">
        <v>414</v>
      </c>
      <c r="AC47" s="2"/>
    </row>
    <row r="48" spans="1:29" x14ac:dyDescent="0.2">
      <c r="B48" s="1" t="s">
        <v>24</v>
      </c>
      <c r="C48" t="s">
        <v>98</v>
      </c>
      <c r="D48" t="s">
        <v>99</v>
      </c>
      <c r="E48" t="s">
        <v>101</v>
      </c>
      <c r="F48" s="2" t="s">
        <v>100</v>
      </c>
      <c r="I48" s="1" t="s">
        <v>414</v>
      </c>
      <c r="K48" s="2"/>
      <c r="M48" s="22" t="s">
        <v>11</v>
      </c>
      <c r="N48" s="14" t="s">
        <v>12</v>
      </c>
      <c r="O48" s="14" t="s">
        <v>14</v>
      </c>
      <c r="P48" s="23" t="s">
        <v>13</v>
      </c>
      <c r="Q48" s="44" t="s">
        <v>11</v>
      </c>
      <c r="R48" s="44" t="s">
        <v>12</v>
      </c>
      <c r="S48" s="44" t="s">
        <v>14</v>
      </c>
      <c r="T48" s="45" t="s">
        <v>13</v>
      </c>
      <c r="U48" s="1"/>
      <c r="V48" t="str">
        <f>REPLACE(I49, 2,18, Q49)</f>
        <v>"a0KUE00000CbQw32AF",null)&amp;"," &amp;</v>
      </c>
      <c r="W48" s="2"/>
      <c r="Z48" s="1" t="s">
        <v>512</v>
      </c>
      <c r="AC48" s="2"/>
    </row>
    <row r="49" spans="2:29" x14ac:dyDescent="0.2">
      <c r="B49" s="1" t="s">
        <v>24</v>
      </c>
      <c r="C49" t="s">
        <v>103</v>
      </c>
      <c r="D49" t="s">
        <v>104</v>
      </c>
      <c r="E49" t="s">
        <v>106</v>
      </c>
      <c r="F49" s="2" t="s">
        <v>105</v>
      </c>
      <c r="I49" s="1" t="s">
        <v>513</v>
      </c>
      <c r="K49" s="2"/>
      <c r="M49" s="1" t="str">
        <f>TRIM(MID(I49, 2, FIND(",", I49) -3))</f>
        <v>a0K4J000000ou4gUAA</v>
      </c>
      <c r="N49" t="str">
        <f>_xlfn.XLOOKUP(M49, $C$2:$C$25, $D$2:$D$25, "")</f>
        <v>CMT-00010</v>
      </c>
      <c r="O49" t="str">
        <f>_xlfn.XLOOKUP(M49, $C$2:$C$25, $E$2:$E$25, "")</f>
        <v>0T_010UAE289695</v>
      </c>
      <c r="P49" s="2" t="str">
        <f>_xlfn.XLOOKUP(M49, $C$2:$C$25, $F$2:$F$25, "")</f>
        <v>AST 2020</v>
      </c>
      <c r="Q49" t="str">
        <f>_xlfn.XLOOKUP(S49, $E$34:$E$57, $C$34:$C$57, "")</f>
        <v>a0KUE00000CbQw32AF</v>
      </c>
      <c r="R49" t="str">
        <f>_xlfn.XLOOKUP(S49, $E$34:$E$57, $D$34:$D$57, "")</f>
        <v>CMT-00029</v>
      </c>
      <c r="S49" t="str">
        <f>O49</f>
        <v>0T_010UAE289695</v>
      </c>
      <c r="T49" s="2" t="str" cm="1">
        <f t="array" ref="T49">_xlfn.XLOOKUP(S49, $E$34:$E$57, F$34:$F$57, "")</f>
        <v>AST 2020</v>
      </c>
      <c r="U49" s="1"/>
      <c r="W49" s="2"/>
      <c r="Z49" s="1"/>
      <c r="AC49" s="2"/>
    </row>
    <row r="50" spans="2:29" x14ac:dyDescent="0.2">
      <c r="B50" s="1" t="s">
        <v>24</v>
      </c>
      <c r="C50" t="s">
        <v>108</v>
      </c>
      <c r="D50" t="s">
        <v>109</v>
      </c>
      <c r="E50" t="s">
        <v>111</v>
      </c>
      <c r="F50" s="2" t="s">
        <v>110</v>
      </c>
      <c r="I50" s="1"/>
      <c r="K50" s="2"/>
      <c r="M50" s="1" t="str">
        <f>TRIM(MID(I53, 2, FIND(",", I53) -3))</f>
        <v>a0KPv00000DMExkMAH</v>
      </c>
      <c r="N50" t="str">
        <f t="shared" ref="N50:N71" si="8">_xlfn.XLOOKUP(M50, $C$2:$C$25, $D$2:$D$25, "")</f>
        <v>CMT-00021</v>
      </c>
      <c r="O50" t="str">
        <f t="shared" ref="O50:O71" si="9">_xlfn.XLOOKUP(M50, $C$2:$C$25, $E$2:$E$25, "")</f>
        <v>0T_021MAQ219375</v>
      </c>
      <c r="P50" s="2" t="str">
        <f t="shared" ref="P50:P71" si="10">_xlfn.XLOOKUP(M50, $C$2:$C$25, $F$2:$F$25, "")</f>
        <v>Affordable 2025</v>
      </c>
      <c r="Q50" t="str">
        <f t="shared" ref="Q50:Q71" si="11">_xlfn.XLOOKUP(S50, $E$34:$E$57, $C$34:$C$57, "")</f>
        <v>a0KUE00000CbQwE2AV</v>
      </c>
      <c r="R50" t="str">
        <f t="shared" ref="R50:R71" si="12">_xlfn.XLOOKUP(S50, $E$34:$E$57, $D$34:$D$57, "")</f>
        <v>CMT-00040</v>
      </c>
      <c r="S50" t="str">
        <f t="shared" ref="S50:S71" si="13">O50</f>
        <v>0T_021MAQ219375</v>
      </c>
      <c r="T50" s="2" t="str" cm="1">
        <f t="array" ref="T50">_xlfn.XLOOKUP(S50, $E$34:$E$57, F$34:$F$57, "")</f>
        <v>Affordable 2025</v>
      </c>
      <c r="U50" s="1"/>
      <c r="V50" t="s">
        <v>413</v>
      </c>
      <c r="W50" s="2"/>
      <c r="Z50" s="1" t="s">
        <v>413</v>
      </c>
      <c r="AC50" s="2"/>
    </row>
    <row r="51" spans="2:29" x14ac:dyDescent="0.2">
      <c r="B51" s="1" t="s">
        <v>24</v>
      </c>
      <c r="C51" t="s">
        <v>113</v>
      </c>
      <c r="D51" t="s">
        <v>114</v>
      </c>
      <c r="E51" t="s">
        <v>116</v>
      </c>
      <c r="F51" s="2" t="s">
        <v>115</v>
      </c>
      <c r="I51" s="1" t="s">
        <v>413</v>
      </c>
      <c r="K51" s="2"/>
      <c r="M51" s="1" t="str">
        <f>TRIM(MID(I57, 2, FIND(",", I57) -3))</f>
        <v>a0KPv00000DMO2bMAH</v>
      </c>
      <c r="N51" t="str">
        <f t="shared" si="8"/>
        <v>CMT-00022</v>
      </c>
      <c r="O51" t="str">
        <f t="shared" si="9"/>
        <v>0T_022MAQ827582</v>
      </c>
      <c r="P51" s="2" t="str">
        <f t="shared" si="10"/>
        <v>DMR Social</v>
      </c>
      <c r="Q51" t="str">
        <f t="shared" si="11"/>
        <v>a0KUE00000CbQwF2AV</v>
      </c>
      <c r="R51" t="str">
        <f t="shared" si="12"/>
        <v>CMT-00041</v>
      </c>
      <c r="S51" t="str">
        <f t="shared" si="13"/>
        <v>0T_022MAQ827582</v>
      </c>
      <c r="T51" s="2" t="str" cm="1">
        <f t="array" ref="T51">_xlfn.XLOOKUP(S51, $E$34:$E$57, F$34:$F$57, "")</f>
        <v>DMR Social</v>
      </c>
      <c r="U51" s="1"/>
      <c r="V51" t="s">
        <v>416</v>
      </c>
      <c r="W51" s="2"/>
      <c r="Z51" s="1" t="s">
        <v>416</v>
      </c>
      <c r="AC51" s="2"/>
    </row>
    <row r="52" spans="2:29" x14ac:dyDescent="0.2">
      <c r="B52" s="1" t="s">
        <v>24</v>
      </c>
      <c r="C52" t="s">
        <v>118</v>
      </c>
      <c r="D52" t="s">
        <v>119</v>
      </c>
      <c r="E52" t="s">
        <v>121</v>
      </c>
      <c r="F52" s="2" t="s">
        <v>120</v>
      </c>
      <c r="I52" s="1" t="s">
        <v>416</v>
      </c>
      <c r="K52" s="2"/>
      <c r="M52" s="1" t="str">
        <f>TRIM(MID(I61, 2, FIND(",", I61) -3))</f>
        <v>a0KNz000007i0oLMAQ</v>
      </c>
      <c r="N52" t="str">
        <f t="shared" si="8"/>
        <v>CMT-00017</v>
      </c>
      <c r="O52" t="str">
        <f t="shared" si="9"/>
        <v>0T_017UAE326918</v>
      </c>
      <c r="P52" s="2" t="str">
        <f t="shared" si="10"/>
        <v>Occupation Contract 2024</v>
      </c>
      <c r="Q52" t="str">
        <f t="shared" si="11"/>
        <v>a0KUE00000CbQwA2AV</v>
      </c>
      <c r="R52" t="str">
        <f t="shared" si="12"/>
        <v>CMT-00036</v>
      </c>
      <c r="S52" t="str">
        <f t="shared" si="13"/>
        <v>0T_017UAE326918</v>
      </c>
      <c r="T52" s="2" t="str" cm="1">
        <f t="array" ref="T52">_xlfn.XLOOKUP(S52, $E$34:$E$57, F$34:$F$57, "")</f>
        <v>Occupation Contract 2024</v>
      </c>
      <c r="U52" s="1"/>
      <c r="V52" t="str">
        <f>REPLACE(I53, 2,18, Q50)</f>
        <v>"a0KUE00000CbQwE2AV",null)&amp;"," &amp;</v>
      </c>
      <c r="W52" s="2"/>
      <c r="Z52" s="1" t="s">
        <v>514</v>
      </c>
      <c r="AC52" s="2"/>
    </row>
    <row r="53" spans="2:29" x14ac:dyDescent="0.2">
      <c r="B53" s="1" t="s">
        <v>24</v>
      </c>
      <c r="C53" t="s">
        <v>123</v>
      </c>
      <c r="D53" t="s">
        <v>124</v>
      </c>
      <c r="E53" t="s">
        <v>126</v>
      </c>
      <c r="F53" s="2" t="s">
        <v>125</v>
      </c>
      <c r="I53" s="1" t="s">
        <v>515</v>
      </c>
      <c r="K53" s="2"/>
      <c r="M53" s="1" t="str">
        <f>TRIM(MID(I67, 2, FIND(",", I67) -3))</f>
        <v>a0K4J000000ou4iUAA</v>
      </c>
      <c r="N53" t="str">
        <f t="shared" si="8"/>
        <v>CMT-00012</v>
      </c>
      <c r="O53" t="str">
        <f t="shared" si="9"/>
        <v>0T_012UAE289695</v>
      </c>
      <c r="P53" s="2" t="str">
        <f t="shared" si="10"/>
        <v>NHA 2020</v>
      </c>
      <c r="Q53" t="str">
        <f t="shared" si="11"/>
        <v>a0KUE00000CbQw52AF</v>
      </c>
      <c r="R53" t="str">
        <f t="shared" si="12"/>
        <v>CMT-00031</v>
      </c>
      <c r="S53" t="str">
        <f t="shared" si="13"/>
        <v>0T_012UAE289695</v>
      </c>
      <c r="T53" s="2" t="str" cm="1">
        <f t="array" ref="T53">_xlfn.XLOOKUP(S53, $E$34:$E$57, F$34:$F$57, "")</f>
        <v>NHA 2020</v>
      </c>
      <c r="U53" s="1"/>
      <c r="W53" s="2"/>
      <c r="Z53" s="1"/>
      <c r="AC53" s="2"/>
    </row>
    <row r="54" spans="2:29" x14ac:dyDescent="0.2">
      <c r="B54" s="1" t="s">
        <v>24</v>
      </c>
      <c r="C54" t="s">
        <v>128</v>
      </c>
      <c r="D54" t="s">
        <v>129</v>
      </c>
      <c r="E54" t="s">
        <v>131</v>
      </c>
      <c r="F54" s="2" t="s">
        <v>130</v>
      </c>
      <c r="I54" s="1"/>
      <c r="K54" s="2"/>
      <c r="M54" s="1" t="str">
        <f>TRIM(MID(I73, 2, FIND(",", I73) -3))</f>
        <v>a0K4J000000ou4aUAA</v>
      </c>
      <c r="N54" t="str">
        <f t="shared" si="8"/>
        <v>CMT-00004</v>
      </c>
      <c r="O54" t="str">
        <f t="shared" si="9"/>
        <v>0T_004UAE264672</v>
      </c>
      <c r="P54" s="2" t="str">
        <f t="shared" si="10"/>
        <v>NHA Company Let 2020</v>
      </c>
      <c r="Q54" t="str">
        <f t="shared" si="11"/>
        <v>a0KUE00000CbQvx2AF</v>
      </c>
      <c r="R54" t="str">
        <f t="shared" si="12"/>
        <v>CMT-00023</v>
      </c>
      <c r="S54" t="str">
        <f t="shared" si="13"/>
        <v>0T_004UAE264672</v>
      </c>
      <c r="T54" s="2" t="str" cm="1">
        <f t="array" ref="T54">_xlfn.XLOOKUP(S54, $E$34:$E$57, F$34:$F$57, "")</f>
        <v>NHA Company Let 2020</v>
      </c>
      <c r="U54" s="1"/>
      <c r="V54" t="s">
        <v>413</v>
      </c>
      <c r="W54" s="2"/>
      <c r="Z54" s="1" t="s">
        <v>413</v>
      </c>
      <c r="AC54" s="2"/>
    </row>
    <row r="55" spans="2:29" x14ac:dyDescent="0.2">
      <c r="B55" s="1" t="s">
        <v>24</v>
      </c>
      <c r="C55" t="s">
        <v>133</v>
      </c>
      <c r="D55" t="s">
        <v>134</v>
      </c>
      <c r="E55" t="s">
        <v>136</v>
      </c>
      <c r="F55" s="2" t="s">
        <v>135</v>
      </c>
      <c r="I55" s="1" t="s">
        <v>413</v>
      </c>
      <c r="K55" s="2"/>
      <c r="M55" s="1" t="str">
        <f>TRIM(MID(I77, 2, FIND(",", I77) -3))</f>
        <v>a0K4J000000ou4hUAA</v>
      </c>
      <c r="N55" t="str">
        <f t="shared" si="8"/>
        <v>CMT-00011</v>
      </c>
      <c r="O55" t="str">
        <f t="shared" si="9"/>
        <v>0T_011UAE289695</v>
      </c>
      <c r="P55" s="2" t="str">
        <f t="shared" si="10"/>
        <v>Live Work 2020</v>
      </c>
      <c r="Q55" t="str">
        <f t="shared" si="11"/>
        <v>a0KUE00000CbQw42AF</v>
      </c>
      <c r="R55" t="str">
        <f t="shared" si="12"/>
        <v>CMT-00030</v>
      </c>
      <c r="S55" t="str">
        <f t="shared" si="13"/>
        <v>0T_011UAE289695</v>
      </c>
      <c r="T55" s="2" t="str" cm="1">
        <f t="array" ref="T55">_xlfn.XLOOKUP(S55, $E$34:$E$57, F$34:$F$57, "")</f>
        <v>Live Work 2020</v>
      </c>
      <c r="U55" s="1"/>
      <c r="V55" t="s">
        <v>418</v>
      </c>
      <c r="W55" s="2"/>
      <c r="Z55" s="1" t="s">
        <v>418</v>
      </c>
      <c r="AC55" s="2"/>
    </row>
    <row r="56" spans="2:29" x14ac:dyDescent="0.2">
      <c r="B56" s="1" t="s">
        <v>24</v>
      </c>
      <c r="C56" t="s">
        <v>138</v>
      </c>
      <c r="D56" t="s">
        <v>139</v>
      </c>
      <c r="E56" t="s">
        <v>141</v>
      </c>
      <c r="F56" s="2" t="s">
        <v>140</v>
      </c>
      <c r="I56" s="1" t="s">
        <v>418</v>
      </c>
      <c r="K56" s="2"/>
      <c r="M56" s="1" t="str">
        <f>TRIM(MID(I81, 2, FIND(",", I81) -3))</f>
        <v>a0K4J000000ou4fUAA</v>
      </c>
      <c r="N56" t="str">
        <f t="shared" si="8"/>
        <v>CMT-00009</v>
      </c>
      <c r="O56" t="str">
        <f t="shared" si="9"/>
        <v>0T_009UAE264672</v>
      </c>
      <c r="P56" s="2" t="str">
        <f t="shared" si="10"/>
        <v>Parking 2020</v>
      </c>
      <c r="Q56" t="str">
        <f t="shared" si="11"/>
        <v>a0KUE00000CbQw22AF</v>
      </c>
      <c r="R56" t="str">
        <f t="shared" si="12"/>
        <v>CMT-00028</v>
      </c>
      <c r="S56" t="str">
        <f t="shared" si="13"/>
        <v>0T_009UAE264672</v>
      </c>
      <c r="T56" s="2" t="str" cm="1">
        <f t="array" ref="T56">_xlfn.XLOOKUP(S56, $E$34:$E$57, F$34:$F$57, "")</f>
        <v>Parking 2020</v>
      </c>
      <c r="U56" s="1"/>
      <c r="V56" t="str">
        <f>REPLACE(I57, 2,18, Q51)</f>
        <v>"a0KUE00000CbQwF2AV",null)&amp;"," &amp;</v>
      </c>
      <c r="W56" s="2"/>
      <c r="Z56" s="1" t="s">
        <v>516</v>
      </c>
      <c r="AC56" s="2"/>
    </row>
    <row r="57" spans="2:29" ht="13.5" thickBot="1" x14ac:dyDescent="0.25">
      <c r="B57" s="3" t="s">
        <v>24</v>
      </c>
      <c r="C57" s="4" t="s">
        <v>143</v>
      </c>
      <c r="D57" s="4" t="s">
        <v>144</v>
      </c>
      <c r="E57" s="4" t="s">
        <v>146</v>
      </c>
      <c r="F57" s="5" t="s">
        <v>145</v>
      </c>
      <c r="I57" s="1" t="s">
        <v>517</v>
      </c>
      <c r="K57" s="2"/>
      <c r="M57" s="1" t="str">
        <f>TRIM(MID(I85, 2, FIND(",", I85) -3))</f>
        <v>a0KPv00000BJilNMAT</v>
      </c>
      <c r="N57" t="str">
        <f t="shared" si="8"/>
        <v>CMT-00020</v>
      </c>
      <c r="O57" t="str">
        <f t="shared" si="9"/>
        <v>0T_020MAQ777827</v>
      </c>
      <c r="P57" s="2" t="str">
        <f t="shared" si="10"/>
        <v>Parking license oxford</v>
      </c>
      <c r="Q57" t="str">
        <f t="shared" si="11"/>
        <v>a0KUE00000CbQwD2AV</v>
      </c>
      <c r="R57" t="str">
        <f t="shared" si="12"/>
        <v>CMT-00039</v>
      </c>
      <c r="S57" t="str">
        <f t="shared" si="13"/>
        <v>0T_020MAQ777827</v>
      </c>
      <c r="T57" s="2" t="str" cm="1">
        <f t="array" ref="T57">_xlfn.XLOOKUP(S57, $E$34:$E$57, F$34:$F$57, "")</f>
        <v>Parking license oxford</v>
      </c>
      <c r="U57" s="1"/>
      <c r="W57" s="2"/>
      <c r="Z57" s="1"/>
      <c r="AC57" s="2"/>
    </row>
    <row r="58" spans="2:29" x14ac:dyDescent="0.2">
      <c r="I58" s="1"/>
      <c r="K58" s="2"/>
      <c r="M58" s="1" t="str">
        <f>TRIM(MID(I89, 2, FIND(",", I89) -3))</f>
        <v>a0KPv0000097wN5MAI</v>
      </c>
      <c r="N58" t="str">
        <f t="shared" si="8"/>
        <v>CMT-00019</v>
      </c>
      <c r="O58" t="str">
        <f t="shared" si="9"/>
        <v>0T_019MAQ098641</v>
      </c>
      <c r="P58" s="2" t="str">
        <f t="shared" si="10"/>
        <v>Decant Agreement Normal</v>
      </c>
      <c r="Q58" t="str">
        <f t="shared" si="11"/>
        <v>a0KUE00000CbQwB2AV</v>
      </c>
      <c r="R58" t="str">
        <f t="shared" si="12"/>
        <v>CMT-00037</v>
      </c>
      <c r="S58" t="str">
        <f t="shared" si="13"/>
        <v>0T_019MAQ098641</v>
      </c>
      <c r="T58" s="2" t="str" cm="1">
        <f t="array" ref="T58">_xlfn.XLOOKUP(S58, $E$34:$E$57, F$34:$F$57, "")</f>
        <v>Decant Agreement Normal</v>
      </c>
      <c r="U58" s="1"/>
      <c r="V58" t="s">
        <v>413</v>
      </c>
      <c r="W58" s="2"/>
      <c r="Z58" s="1" t="s">
        <v>413</v>
      </c>
      <c r="AC58" s="2"/>
    </row>
    <row r="59" spans="2:29" x14ac:dyDescent="0.2">
      <c r="I59" s="1" t="s">
        <v>413</v>
      </c>
      <c r="K59" s="2"/>
      <c r="M59" s="1" t="str">
        <f>TRIM(MID(I93, 2, FIND(",", I93) -3))</f>
        <v>a0KPv0000097wenMAA</v>
      </c>
      <c r="N59" t="str">
        <f t="shared" si="8"/>
        <v>CMT-00018</v>
      </c>
      <c r="O59" t="str">
        <f t="shared" si="9"/>
        <v>0T_018MAQ629556</v>
      </c>
      <c r="P59" s="2" t="str">
        <f t="shared" si="10"/>
        <v>Decant Agreement  Wales</v>
      </c>
      <c r="Q59" t="str">
        <f t="shared" si="11"/>
        <v>a0KUE00000CbQwC2AV</v>
      </c>
      <c r="R59" t="str">
        <f t="shared" si="12"/>
        <v>CMT-00038</v>
      </c>
      <c r="S59" t="str">
        <f t="shared" si="13"/>
        <v>0T_018MAQ629556</v>
      </c>
      <c r="T59" s="2" t="str" cm="1">
        <f t="array" ref="T59">_xlfn.XLOOKUP(S59, $E$34:$E$57, F$34:$F$57, "")</f>
        <v>Decant Agreement  Wales</v>
      </c>
      <c r="U59" s="1"/>
      <c r="V59" t="s">
        <v>420</v>
      </c>
      <c r="W59" s="2"/>
      <c r="Z59" s="1" t="s">
        <v>420</v>
      </c>
      <c r="AC59" s="2"/>
    </row>
    <row r="60" spans="2:29" x14ac:dyDescent="0.2">
      <c r="I60" s="1" t="s">
        <v>420</v>
      </c>
      <c r="K60" s="2"/>
      <c r="M60" s="1" t="str">
        <f>TRIM(MID(I97, 2, FIND(",", I97) -3))</f>
        <v>a0K4J000000ou4ZUAQ</v>
      </c>
      <c r="N60" t="str">
        <f t="shared" si="8"/>
        <v>CMT-00003</v>
      </c>
      <c r="O60" t="str">
        <f t="shared" si="9"/>
        <v>0T_003UAE264672</v>
      </c>
      <c r="P60" s="2" t="str">
        <f t="shared" si="10"/>
        <v>Shed Licence 2020</v>
      </c>
      <c r="Q60" t="str">
        <f t="shared" si="11"/>
        <v>a0KUE00000CbQvw2AF</v>
      </c>
      <c r="R60" t="str">
        <f t="shared" si="12"/>
        <v>CMT-00022</v>
      </c>
      <c r="S60" t="str">
        <f t="shared" si="13"/>
        <v>0T_003UAE264672</v>
      </c>
      <c r="T60" s="2" t="str" cm="1">
        <f t="array" ref="T60">_xlfn.XLOOKUP(S60, $E$34:$E$57, F$34:$F$57, "")</f>
        <v>Shed Licence 2020</v>
      </c>
      <c r="U60" s="1"/>
      <c r="V60" t="str">
        <f>REPLACE(I61, 2,18, Q52)</f>
        <v>"a0KUE00000CbQwA2AV",null)&amp;"," &amp;</v>
      </c>
      <c r="W60" s="2"/>
      <c r="Z60" s="1" t="s">
        <v>518</v>
      </c>
      <c r="AC60" s="2"/>
    </row>
    <row r="61" spans="2:29" x14ac:dyDescent="0.2">
      <c r="I61" s="1" t="s">
        <v>519</v>
      </c>
      <c r="K61" s="2"/>
      <c r="M61" s="1" t="str">
        <f>TRIM(MID(I101, 2, FIND(",", I101) -3))</f>
        <v>a0K4J000000ou4YUAQ</v>
      </c>
      <c r="N61" t="str">
        <f t="shared" si="8"/>
        <v>CMT-00002</v>
      </c>
      <c r="O61" t="str">
        <f t="shared" si="9"/>
        <v>0T_002UAE264672</v>
      </c>
      <c r="P61" s="2" t="str">
        <f t="shared" si="10"/>
        <v>Occupation Licence 2020</v>
      </c>
      <c r="Q61" t="str">
        <f t="shared" si="11"/>
        <v>a0KUE00000CbQvv2AF</v>
      </c>
      <c r="R61" t="str">
        <f t="shared" si="12"/>
        <v>CMT-00021</v>
      </c>
      <c r="S61" t="str">
        <f t="shared" si="13"/>
        <v>0T_002UAE264672</v>
      </c>
      <c r="T61" s="2" t="str" cm="1">
        <f t="array" ref="T61">_xlfn.XLOOKUP(S61, $E$34:$E$57, F$34:$F$57, "")</f>
        <v>Occupation Licence 2020</v>
      </c>
      <c r="U61" s="1"/>
      <c r="W61" s="2"/>
      <c r="Z61" s="1"/>
      <c r="AC61" s="2"/>
    </row>
    <row r="62" spans="2:29" x14ac:dyDescent="0.2">
      <c r="I62" s="1"/>
      <c r="K62" s="2"/>
      <c r="M62" s="1" t="str">
        <f>TRIM(MID(I105, 2, FIND(",", I105) -3))</f>
        <v>a0K4J000000ou4XUAQ</v>
      </c>
      <c r="N62" t="str">
        <f t="shared" si="8"/>
        <v>CMT-00001</v>
      </c>
      <c r="O62" t="str">
        <f t="shared" si="9"/>
        <v>0T_001UAE264672</v>
      </c>
      <c r="P62" s="2" t="str">
        <f t="shared" si="10"/>
        <v>Prescribed Info 2020</v>
      </c>
      <c r="Q62" t="str">
        <f t="shared" si="11"/>
        <v>a0KUE00000CbQvu2AF</v>
      </c>
      <c r="R62" t="str">
        <f t="shared" si="12"/>
        <v>CMT-00020</v>
      </c>
      <c r="S62" t="str">
        <f t="shared" si="13"/>
        <v>0T_001UAE264672</v>
      </c>
      <c r="T62" s="2" t="str" cm="1">
        <f t="array" ref="T62">_xlfn.XLOOKUP(S62, $E$34:$E$57, F$34:$F$57, "")</f>
        <v>Prescribed Info 2020</v>
      </c>
      <c r="U62" s="1"/>
      <c r="V62" t="s">
        <v>413</v>
      </c>
      <c r="W62" s="2"/>
      <c r="Z62" s="1" t="s">
        <v>413</v>
      </c>
      <c r="AC62" s="2"/>
    </row>
    <row r="63" spans="2:29" x14ac:dyDescent="0.2">
      <c r="I63" s="1" t="s">
        <v>413</v>
      </c>
      <c r="K63" s="2"/>
      <c r="M63" s="1" t="str">
        <f>TRIM(MID(I109, 2, FIND(",", I109) -3))</f>
        <v>a0K4J000000ou4WUAQ</v>
      </c>
      <c r="N63" t="str">
        <f t="shared" si="8"/>
        <v>CMT-00000</v>
      </c>
      <c r="O63" t="str">
        <f t="shared" si="9"/>
        <v>0T_000UAE264650</v>
      </c>
      <c r="P63" s="2" t="str">
        <f t="shared" si="10"/>
        <v>Memorandum of Agreement 2020</v>
      </c>
      <c r="Q63" t="str">
        <f t="shared" si="11"/>
        <v>a0KUE00000CbQvt2AF</v>
      </c>
      <c r="R63" t="str">
        <f t="shared" si="12"/>
        <v>CMT-00019</v>
      </c>
      <c r="S63" t="str">
        <f t="shared" si="13"/>
        <v>0T_000UAE264650</v>
      </c>
      <c r="T63" s="2" t="str" cm="1">
        <f t="array" ref="T63">_xlfn.XLOOKUP(S63, $E$34:$E$57, F$34:$F$57, "")</f>
        <v>Memorandum of Agreement 2020</v>
      </c>
      <c r="U63" s="1"/>
      <c r="V63" t="s">
        <v>422</v>
      </c>
      <c r="W63" s="2"/>
      <c r="Z63" s="1" t="s">
        <v>422</v>
      </c>
      <c r="AC63" s="2"/>
    </row>
    <row r="64" spans="2:29" x14ac:dyDescent="0.2">
      <c r="I64" s="1" t="s">
        <v>422</v>
      </c>
      <c r="K64" s="2"/>
      <c r="M64" s="1" t="str">
        <f>TRIM(MID(I113, 2, FIND(",", I113) -3))</f>
        <v>xxxxxxxxxxxxxxxxxx</v>
      </c>
      <c r="N64" t="str">
        <f t="shared" si="8"/>
        <v/>
      </c>
      <c r="O64" t="str">
        <f t="shared" si="9"/>
        <v/>
      </c>
      <c r="P64" s="2" t="str">
        <f t="shared" si="10"/>
        <v/>
      </c>
      <c r="Q64" t="str">
        <f t="shared" si="11"/>
        <v/>
      </c>
      <c r="R64" t="str">
        <f t="shared" si="12"/>
        <v/>
      </c>
      <c r="S64" t="str">
        <f t="shared" si="13"/>
        <v/>
      </c>
      <c r="T64" s="2" t="str" cm="1">
        <f t="array" ref="T64">_xlfn.XLOOKUP(S64, $E$34:$E$57, F$34:$F$57, "")</f>
        <v/>
      </c>
      <c r="U64" s="1"/>
      <c r="V64" t="s">
        <v>520</v>
      </c>
      <c r="W64" s="2"/>
      <c r="Z64" s="1" t="s">
        <v>520</v>
      </c>
      <c r="AC64" s="2"/>
    </row>
    <row r="65" spans="9:29" x14ac:dyDescent="0.2">
      <c r="I65" s="1" t="s">
        <v>423</v>
      </c>
      <c r="K65" s="2"/>
      <c r="M65" s="1" t="str">
        <f>TRIM(MID(I117, 2, FIND(",", I117) -3))</f>
        <v>xxxxxxxxxxxxxxxxxx</v>
      </c>
      <c r="N65" t="str">
        <f t="shared" si="8"/>
        <v/>
      </c>
      <c r="O65" t="str">
        <f t="shared" si="9"/>
        <v/>
      </c>
      <c r="P65" s="2" t="str">
        <f t="shared" si="10"/>
        <v/>
      </c>
      <c r="Q65" t="str">
        <f t="shared" si="11"/>
        <v/>
      </c>
      <c r="R65" t="str">
        <f t="shared" si="12"/>
        <v/>
      </c>
      <c r="S65" t="str">
        <f t="shared" si="13"/>
        <v/>
      </c>
      <c r="T65" s="2" t="str" cm="1">
        <f t="array" ref="T65">_xlfn.XLOOKUP(S65, $E$34:$E$57, F$34:$F$57, "")</f>
        <v/>
      </c>
      <c r="U65" s="1"/>
      <c r="V65" t="s">
        <v>521</v>
      </c>
      <c r="W65" s="2"/>
      <c r="Z65" s="1" t="s">
        <v>521</v>
      </c>
      <c r="AC65" s="2"/>
    </row>
    <row r="66" spans="9:29" x14ac:dyDescent="0.2">
      <c r="I66" s="1" t="s">
        <v>424</v>
      </c>
      <c r="K66" s="2"/>
      <c r="M66" s="1"/>
      <c r="N66" t="str">
        <f t="shared" si="8"/>
        <v/>
      </c>
      <c r="O66" t="str">
        <f t="shared" si="9"/>
        <v/>
      </c>
      <c r="P66" s="2" t="str">
        <f t="shared" si="10"/>
        <v/>
      </c>
      <c r="Q66" t="str">
        <f t="shared" si="11"/>
        <v/>
      </c>
      <c r="R66" t="str">
        <f t="shared" si="12"/>
        <v/>
      </c>
      <c r="S66" t="str">
        <f t="shared" si="13"/>
        <v/>
      </c>
      <c r="T66" s="2" t="str" cm="1">
        <f t="array" ref="T66">_xlfn.XLOOKUP(S66, $E$34:$E$57, F$34:$F$57, "")</f>
        <v/>
      </c>
      <c r="U66" s="1"/>
      <c r="V66" t="str">
        <f>REPLACE(I67, 2,18, Q54)</f>
        <v>"a0KUE00000CbQvx2AF",null)&amp;"," &amp;</v>
      </c>
      <c r="W66" s="2"/>
      <c r="Z66" s="1" t="s">
        <v>522</v>
      </c>
      <c r="AC66" s="2"/>
    </row>
    <row r="67" spans="9:29" x14ac:dyDescent="0.2">
      <c r="I67" s="1" t="s">
        <v>523</v>
      </c>
      <c r="K67" s="2"/>
      <c r="M67" s="1"/>
      <c r="N67" t="str">
        <f t="shared" si="8"/>
        <v/>
      </c>
      <c r="O67" t="str">
        <f t="shared" si="9"/>
        <v/>
      </c>
      <c r="P67" s="2" t="str">
        <f t="shared" si="10"/>
        <v/>
      </c>
      <c r="Q67" t="str">
        <f t="shared" si="11"/>
        <v/>
      </c>
      <c r="R67" t="str">
        <f t="shared" si="12"/>
        <v/>
      </c>
      <c r="S67" t="str">
        <f t="shared" si="13"/>
        <v/>
      </c>
      <c r="T67" s="2" t="str" cm="1">
        <f t="array" ref="T67">_xlfn.XLOOKUP(S67, $E$34:$E$57, F$34:$F$57, "")</f>
        <v/>
      </c>
      <c r="U67" s="1"/>
      <c r="W67" s="2"/>
      <c r="Z67" s="1"/>
      <c r="AC67" s="2"/>
    </row>
    <row r="68" spans="9:29" x14ac:dyDescent="0.2">
      <c r="I68" s="1"/>
      <c r="K68" s="2"/>
      <c r="M68" s="1"/>
      <c r="N68" t="str">
        <f t="shared" si="8"/>
        <v/>
      </c>
      <c r="O68" t="str">
        <f t="shared" si="9"/>
        <v/>
      </c>
      <c r="P68" t="str">
        <f t="shared" si="10"/>
        <v/>
      </c>
      <c r="Q68" t="s">
        <v>143</v>
      </c>
      <c r="R68" t="s">
        <v>144</v>
      </c>
      <c r="S68" t="s">
        <v>146</v>
      </c>
      <c r="T68" s="2" t="s">
        <v>145</v>
      </c>
      <c r="U68" s="1"/>
      <c r="V68" t="s">
        <v>413</v>
      </c>
      <c r="W68" s="2"/>
      <c r="Z68" s="1" t="s">
        <v>413</v>
      </c>
      <c r="AC68" s="2"/>
    </row>
    <row r="69" spans="9:29" x14ac:dyDescent="0.2">
      <c r="I69" s="1" t="s">
        <v>413</v>
      </c>
      <c r="K69" s="2"/>
      <c r="M69" s="1"/>
      <c r="N69" t="str">
        <f t="shared" si="8"/>
        <v/>
      </c>
      <c r="O69" t="str">
        <f t="shared" si="9"/>
        <v/>
      </c>
      <c r="P69" t="str">
        <f t="shared" si="10"/>
        <v/>
      </c>
      <c r="Q69" t="s">
        <v>148</v>
      </c>
      <c r="R69" t="s">
        <v>149</v>
      </c>
      <c r="S69" t="s">
        <v>151</v>
      </c>
      <c r="T69" s="2" t="s">
        <v>150</v>
      </c>
      <c r="U69" s="1"/>
      <c r="V69" t="s">
        <v>422</v>
      </c>
      <c r="W69" s="2"/>
      <c r="Z69" s="1" t="s">
        <v>422</v>
      </c>
      <c r="AC69" s="2"/>
    </row>
    <row r="70" spans="9:29" ht="13.5" thickBot="1" x14ac:dyDescent="0.25">
      <c r="I70" s="1" t="s">
        <v>422</v>
      </c>
      <c r="K70" s="2"/>
      <c r="M70" s="3"/>
      <c r="N70" s="4" t="str">
        <f t="shared" si="8"/>
        <v/>
      </c>
      <c r="O70" s="4" t="str">
        <f t="shared" si="9"/>
        <v/>
      </c>
      <c r="P70" s="4" t="str">
        <f t="shared" si="10"/>
        <v/>
      </c>
      <c r="Q70" s="4" t="str">
        <f t="shared" si="11"/>
        <v/>
      </c>
      <c r="R70" s="4" t="str">
        <f t="shared" si="12"/>
        <v/>
      </c>
      <c r="S70" s="4" t="str">
        <f t="shared" si="13"/>
        <v/>
      </c>
      <c r="T70" s="5" t="str" cm="1">
        <f t="array" ref="T70">_xlfn.XLOOKUP(S70, $E$34:$E$57, F$34:$F$57, "")</f>
        <v/>
      </c>
      <c r="U70" s="1"/>
      <c r="V70" t="s">
        <v>520</v>
      </c>
      <c r="W70" s="2"/>
      <c r="Z70" s="1" t="s">
        <v>520</v>
      </c>
      <c r="AC70" s="2"/>
    </row>
    <row r="71" spans="9:29" x14ac:dyDescent="0.2">
      <c r="I71" s="1" t="s">
        <v>423</v>
      </c>
      <c r="K71" s="2"/>
      <c r="N71" t="str">
        <f t="shared" si="8"/>
        <v/>
      </c>
      <c r="O71" t="str">
        <f t="shared" si="9"/>
        <v/>
      </c>
      <c r="P71" t="str">
        <f t="shared" si="10"/>
        <v/>
      </c>
      <c r="Q71" t="str">
        <f t="shared" si="11"/>
        <v/>
      </c>
      <c r="R71" t="str">
        <f t="shared" si="12"/>
        <v/>
      </c>
      <c r="S71" t="str">
        <f t="shared" si="13"/>
        <v/>
      </c>
      <c r="T71" t="str" cm="1">
        <f t="array" ref="T71">_xlfn.XLOOKUP(S71, $E$34:$E$57, F$34:$F$57, "")</f>
        <v/>
      </c>
      <c r="U71" s="1"/>
      <c r="V71" t="s">
        <v>426</v>
      </c>
      <c r="W71" s="2"/>
      <c r="Z71" s="1" t="s">
        <v>426</v>
      </c>
      <c r="AC71" s="2"/>
    </row>
    <row r="72" spans="9:29" x14ac:dyDescent="0.2">
      <c r="I72" s="1" t="s">
        <v>426</v>
      </c>
      <c r="K72" s="2"/>
      <c r="U72" s="1"/>
      <c r="V72" t="str">
        <f>REPLACE(I73, 2,18, Q54)</f>
        <v>"a0KUE00000CbQvx2AF",null)&amp;"," &amp;</v>
      </c>
      <c r="W72" s="2"/>
      <c r="Z72" s="1" t="s">
        <v>524</v>
      </c>
      <c r="AC72" s="2"/>
    </row>
    <row r="73" spans="9:29" x14ac:dyDescent="0.2">
      <c r="I73" s="1" t="s">
        <v>525</v>
      </c>
      <c r="K73" s="2"/>
      <c r="U73" s="1"/>
      <c r="W73" s="2"/>
      <c r="Z73" s="1"/>
      <c r="AC73" s="2"/>
    </row>
    <row r="74" spans="9:29" x14ac:dyDescent="0.2">
      <c r="I74" s="1"/>
      <c r="K74" s="2"/>
      <c r="U74" s="1"/>
      <c r="V74" t="s">
        <v>413</v>
      </c>
      <c r="W74" s="2"/>
      <c r="Z74" s="1" t="s">
        <v>413</v>
      </c>
      <c r="AC74" s="2"/>
    </row>
    <row r="75" spans="9:29" x14ac:dyDescent="0.2">
      <c r="I75" s="1" t="s">
        <v>413</v>
      </c>
      <c r="K75" s="2"/>
      <c r="U75" s="1"/>
      <c r="V75" t="s">
        <v>427</v>
      </c>
      <c r="W75" s="2"/>
      <c r="Z75" s="1" t="s">
        <v>427</v>
      </c>
      <c r="AC75" s="2"/>
    </row>
    <row r="76" spans="9:29" x14ac:dyDescent="0.2">
      <c r="I76" s="1" t="s">
        <v>427</v>
      </c>
      <c r="K76" s="2"/>
      <c r="U76" s="1"/>
      <c r="V76" t="str">
        <f>REPLACE(I77, 2,18, Q55)</f>
        <v>"a0KUE00000CbQw42AF",null)&amp;"," &amp;</v>
      </c>
      <c r="W76" s="2"/>
      <c r="Z76" s="1" t="s">
        <v>526</v>
      </c>
      <c r="AC76" s="2"/>
    </row>
    <row r="77" spans="9:29" x14ac:dyDescent="0.2">
      <c r="I77" s="1" t="s">
        <v>527</v>
      </c>
      <c r="K77" s="2"/>
      <c r="U77" s="1"/>
      <c r="W77" s="2"/>
      <c r="Z77" s="1"/>
      <c r="AC77" s="2"/>
    </row>
    <row r="78" spans="9:29" x14ac:dyDescent="0.2">
      <c r="I78" s="1"/>
      <c r="K78" s="2"/>
      <c r="U78" s="1"/>
      <c r="V78" t="s">
        <v>413</v>
      </c>
      <c r="W78" s="2"/>
      <c r="Z78" s="1" t="s">
        <v>413</v>
      </c>
      <c r="AC78" s="2"/>
    </row>
    <row r="79" spans="9:29" x14ac:dyDescent="0.2">
      <c r="I79" s="1" t="s">
        <v>413</v>
      </c>
      <c r="K79" s="2"/>
      <c r="U79" s="1"/>
      <c r="V79" t="s">
        <v>429</v>
      </c>
      <c r="W79" s="2"/>
      <c r="Z79" s="1" t="s">
        <v>429</v>
      </c>
      <c r="AC79" s="2"/>
    </row>
    <row r="80" spans="9:29" ht="13.5" thickBot="1" x14ac:dyDescent="0.25">
      <c r="I80" s="1" t="s">
        <v>429</v>
      </c>
      <c r="K80" s="2"/>
      <c r="U80" s="1"/>
      <c r="V80" t="str">
        <f>REPLACE(I81, 2,18, Q56)</f>
        <v>"a0KUE00000CbQw22AF",null)&amp;"," &amp;</v>
      </c>
      <c r="W80" s="2"/>
      <c r="Z80" s="1" t="s">
        <v>528</v>
      </c>
      <c r="AC80" s="2"/>
    </row>
    <row r="81" spans="9:29" x14ac:dyDescent="0.2">
      <c r="I81" s="1" t="s">
        <v>529</v>
      </c>
      <c r="K81" s="2"/>
      <c r="P81" s="17" t="s">
        <v>530</v>
      </c>
      <c r="Q81" s="18"/>
      <c r="R81" s="18"/>
      <c r="S81" s="19"/>
      <c r="U81" s="1"/>
      <c r="W81" s="2"/>
      <c r="Z81" s="1"/>
      <c r="AC81" s="2"/>
    </row>
    <row r="82" spans="9:29" x14ac:dyDescent="0.2">
      <c r="I82" s="1"/>
      <c r="K82" s="2"/>
      <c r="P82" s="1" t="s">
        <v>143</v>
      </c>
      <c r="Q82" t="s">
        <v>144</v>
      </c>
      <c r="R82" t="s">
        <v>146</v>
      </c>
      <c r="S82" s="2" t="s">
        <v>145</v>
      </c>
      <c r="U82" s="1"/>
      <c r="V82" t="s">
        <v>413</v>
      </c>
      <c r="W82" s="2"/>
      <c r="Z82" s="1" t="s">
        <v>413</v>
      </c>
      <c r="AC82" s="2"/>
    </row>
    <row r="83" spans="9:29" ht="13.5" thickBot="1" x14ac:dyDescent="0.25">
      <c r="I83" s="1" t="s">
        <v>413</v>
      </c>
      <c r="K83" s="2"/>
      <c r="P83" s="3" t="s">
        <v>148</v>
      </c>
      <c r="Q83" s="4" t="s">
        <v>149</v>
      </c>
      <c r="R83" s="4" t="s">
        <v>151</v>
      </c>
      <c r="S83" s="5" t="s">
        <v>150</v>
      </c>
      <c r="U83" s="1"/>
      <c r="V83" t="s">
        <v>431</v>
      </c>
      <c r="W83" s="2"/>
      <c r="Z83" s="1" t="s">
        <v>431</v>
      </c>
      <c r="AC83" s="2"/>
    </row>
    <row r="84" spans="9:29" x14ac:dyDescent="0.2">
      <c r="I84" s="1" t="s">
        <v>431</v>
      </c>
      <c r="K84" s="2"/>
      <c r="U84" s="1"/>
      <c r="V84" t="str">
        <f>REPLACE(I85, 2,18, Q57)</f>
        <v>"a0KUE00000CbQwD2AV",null)&amp;"," &amp;</v>
      </c>
      <c r="W84" s="2"/>
      <c r="Z84" s="1" t="s">
        <v>531</v>
      </c>
      <c r="AC84" s="2"/>
    </row>
    <row r="85" spans="9:29" x14ac:dyDescent="0.2">
      <c r="I85" s="1" t="s">
        <v>532</v>
      </c>
      <c r="K85" s="2"/>
      <c r="U85" s="1"/>
      <c r="W85" s="2"/>
      <c r="Z85" s="1"/>
      <c r="AC85" s="2"/>
    </row>
    <row r="86" spans="9:29" x14ac:dyDescent="0.2">
      <c r="I86" s="1"/>
      <c r="K86" s="2"/>
      <c r="U86" s="1"/>
      <c r="V86" t="s">
        <v>413</v>
      </c>
      <c r="W86" s="2"/>
      <c r="Z86" s="1" t="s">
        <v>413</v>
      </c>
      <c r="AC86" s="2"/>
    </row>
    <row r="87" spans="9:29" x14ac:dyDescent="0.2">
      <c r="I87" s="1" t="s">
        <v>413</v>
      </c>
      <c r="K87" s="2"/>
      <c r="U87" s="1"/>
      <c r="V87" t="s">
        <v>433</v>
      </c>
      <c r="W87" s="2"/>
      <c r="Z87" s="1" t="s">
        <v>433</v>
      </c>
      <c r="AC87" s="2"/>
    </row>
    <row r="88" spans="9:29" x14ac:dyDescent="0.2">
      <c r="I88" s="1" t="s">
        <v>433</v>
      </c>
      <c r="K88" s="2"/>
      <c r="U88" s="1"/>
      <c r="V88" t="str">
        <f>REPLACE(I89, 2,18, Q58)</f>
        <v>"a0KUE00000CbQwB2AV",null)&amp;"," &amp;</v>
      </c>
      <c r="W88" s="2"/>
      <c r="Z88" s="1" t="s">
        <v>533</v>
      </c>
      <c r="AC88" s="2"/>
    </row>
    <row r="89" spans="9:29" x14ac:dyDescent="0.2">
      <c r="I89" s="1" t="s">
        <v>534</v>
      </c>
      <c r="K89" s="2"/>
      <c r="U89" s="1"/>
      <c r="W89" s="2"/>
      <c r="Z89" s="1"/>
      <c r="AC89" s="2"/>
    </row>
    <row r="90" spans="9:29" x14ac:dyDescent="0.2">
      <c r="I90" s="1"/>
      <c r="K90" s="2"/>
      <c r="U90" s="1"/>
      <c r="V90" t="s">
        <v>413</v>
      </c>
      <c r="W90" s="2"/>
      <c r="Z90" s="1" t="s">
        <v>413</v>
      </c>
      <c r="AC90" s="2"/>
    </row>
    <row r="91" spans="9:29" x14ac:dyDescent="0.2">
      <c r="I91" s="1" t="s">
        <v>413</v>
      </c>
      <c r="K91" s="2"/>
      <c r="U91" s="1"/>
      <c r="V91" t="s">
        <v>435</v>
      </c>
      <c r="W91" s="2"/>
      <c r="Z91" s="1" t="s">
        <v>435</v>
      </c>
      <c r="AC91" s="2"/>
    </row>
    <row r="92" spans="9:29" x14ac:dyDescent="0.2">
      <c r="I92" s="1" t="s">
        <v>435</v>
      </c>
      <c r="K92" s="2"/>
      <c r="U92" s="1"/>
      <c r="V92" t="str">
        <f>REPLACE(I93, 2,18, Q59)</f>
        <v>"a0KUE00000CbQwC2AV",null)&amp;"," &amp;</v>
      </c>
      <c r="W92" s="2"/>
      <c r="Z92" s="1" t="s">
        <v>535</v>
      </c>
      <c r="AC92" s="2"/>
    </row>
    <row r="93" spans="9:29" x14ac:dyDescent="0.2">
      <c r="I93" s="1" t="s">
        <v>536</v>
      </c>
      <c r="K93" s="2"/>
      <c r="U93" s="1"/>
      <c r="W93" s="2"/>
      <c r="Z93" s="1"/>
      <c r="AC93" s="2"/>
    </row>
    <row r="94" spans="9:29" x14ac:dyDescent="0.2">
      <c r="I94" s="1"/>
      <c r="K94" s="2"/>
      <c r="U94" s="1"/>
      <c r="V94" t="s">
        <v>413</v>
      </c>
      <c r="W94" s="2"/>
      <c r="Z94" s="1" t="s">
        <v>413</v>
      </c>
      <c r="AC94" s="2"/>
    </row>
    <row r="95" spans="9:29" x14ac:dyDescent="0.2">
      <c r="I95" s="1" t="s">
        <v>413</v>
      </c>
      <c r="K95" s="2"/>
      <c r="U95" s="1"/>
      <c r="V95" t="s">
        <v>437</v>
      </c>
      <c r="W95" s="2"/>
      <c r="Z95" s="1" t="s">
        <v>437</v>
      </c>
      <c r="AC95" s="2"/>
    </row>
    <row r="96" spans="9:29" x14ac:dyDescent="0.2">
      <c r="I96" s="1" t="s">
        <v>437</v>
      </c>
      <c r="K96" s="2"/>
      <c r="U96" s="1"/>
      <c r="V96" t="str">
        <f>REPLACE(I97, 2,18, Q60)</f>
        <v>"a0KUE00000CbQvw2AF",null)&amp;"," &amp;</v>
      </c>
      <c r="W96" s="2"/>
      <c r="Z96" s="1" t="s">
        <v>537</v>
      </c>
      <c r="AC96" s="2"/>
    </row>
    <row r="97" spans="9:29" x14ac:dyDescent="0.2">
      <c r="I97" s="1" t="s">
        <v>538</v>
      </c>
      <c r="K97" s="2"/>
      <c r="U97" s="1"/>
      <c r="W97" s="2"/>
      <c r="Z97" s="1"/>
      <c r="AC97" s="2"/>
    </row>
    <row r="98" spans="9:29" x14ac:dyDescent="0.2">
      <c r="I98" s="1"/>
      <c r="K98" s="2"/>
      <c r="U98" s="1"/>
      <c r="V98" t="s">
        <v>413</v>
      </c>
      <c r="W98" s="2"/>
      <c r="Z98" s="1" t="s">
        <v>413</v>
      </c>
      <c r="AC98" s="2"/>
    </row>
    <row r="99" spans="9:29" x14ac:dyDescent="0.2">
      <c r="I99" s="1" t="s">
        <v>413</v>
      </c>
      <c r="K99" s="2"/>
      <c r="U99" s="1"/>
      <c r="V99" t="s">
        <v>439</v>
      </c>
      <c r="W99" s="2"/>
      <c r="Z99" s="1" t="s">
        <v>439</v>
      </c>
      <c r="AC99" s="2"/>
    </row>
    <row r="100" spans="9:29" x14ac:dyDescent="0.2">
      <c r="I100" s="1" t="s">
        <v>439</v>
      </c>
      <c r="K100" s="2"/>
      <c r="U100" s="1"/>
      <c r="V100" t="str">
        <f>REPLACE(I101, 2,18, Q61)</f>
        <v>"a0KUE00000CbQvv2AF",null)&amp;"," &amp;</v>
      </c>
      <c r="W100" s="2"/>
      <c r="Z100" s="1" t="s">
        <v>539</v>
      </c>
      <c r="AC100" s="2"/>
    </row>
    <row r="101" spans="9:29" x14ac:dyDescent="0.2">
      <c r="I101" s="1" t="s">
        <v>540</v>
      </c>
      <c r="K101" s="2"/>
      <c r="U101" s="1"/>
      <c r="W101" s="2"/>
      <c r="Z101" s="1"/>
      <c r="AC101" s="2"/>
    </row>
    <row r="102" spans="9:29" x14ac:dyDescent="0.2">
      <c r="I102" s="1"/>
      <c r="K102" s="2"/>
      <c r="U102" s="1"/>
      <c r="V102" t="s">
        <v>413</v>
      </c>
      <c r="W102" s="2"/>
      <c r="Z102" s="1" t="s">
        <v>413</v>
      </c>
      <c r="AC102" s="2"/>
    </row>
    <row r="103" spans="9:29" x14ac:dyDescent="0.2">
      <c r="I103" s="1" t="s">
        <v>413</v>
      </c>
      <c r="K103" s="2"/>
      <c r="U103" s="1"/>
      <c r="V103" t="s">
        <v>441</v>
      </c>
      <c r="W103" s="2"/>
      <c r="Z103" s="1" t="s">
        <v>441</v>
      </c>
      <c r="AC103" s="2"/>
    </row>
    <row r="104" spans="9:29" x14ac:dyDescent="0.2">
      <c r="I104" s="1" t="s">
        <v>441</v>
      </c>
      <c r="K104" s="2"/>
      <c r="U104" s="1"/>
      <c r="V104" t="str">
        <f>REPLACE(I105, 2,18, Q62)</f>
        <v>"a0KUE00000CbQvu2AF",null)&amp;","&amp;</v>
      </c>
      <c r="W104" s="2"/>
      <c r="Z104" s="1" t="s">
        <v>541</v>
      </c>
      <c r="AC104" s="2"/>
    </row>
    <row r="105" spans="9:29" x14ac:dyDescent="0.2">
      <c r="I105" s="1" t="s">
        <v>542</v>
      </c>
      <c r="K105" s="2"/>
      <c r="U105" s="1"/>
      <c r="W105" s="2"/>
      <c r="Z105" s="1"/>
      <c r="AC105" s="2"/>
    </row>
    <row r="106" spans="9:29" x14ac:dyDescent="0.2">
      <c r="I106" s="1"/>
      <c r="K106" s="2"/>
      <c r="U106" s="1"/>
      <c r="V106" t="s">
        <v>413</v>
      </c>
      <c r="W106" s="2"/>
      <c r="Z106" s="1" t="s">
        <v>413</v>
      </c>
      <c r="AC106" s="2"/>
    </row>
    <row r="107" spans="9:29" x14ac:dyDescent="0.2">
      <c r="I107" s="1" t="s">
        <v>413</v>
      </c>
      <c r="K107" s="2"/>
      <c r="U107" s="1"/>
      <c r="V107" t="s">
        <v>443</v>
      </c>
      <c r="W107" s="2"/>
      <c r="Z107" s="1" t="s">
        <v>443</v>
      </c>
      <c r="AC107" s="2"/>
    </row>
    <row r="108" spans="9:29" x14ac:dyDescent="0.2">
      <c r="I108" s="1" t="s">
        <v>443</v>
      </c>
      <c r="K108" s="2"/>
      <c r="U108" s="1"/>
      <c r="V108" t="str">
        <f>REPLACE(I109, 2,18, Q63)</f>
        <v>"a0KUE00000CbQvt2AF",null)&amp;","&amp;</v>
      </c>
      <c r="W108" s="2"/>
      <c r="Z108" s="1" t="s">
        <v>543</v>
      </c>
      <c r="AC108" s="2"/>
    </row>
    <row r="109" spans="9:29" x14ac:dyDescent="0.2">
      <c r="I109" s="1" t="s">
        <v>544</v>
      </c>
      <c r="K109" s="2"/>
      <c r="U109" s="1"/>
      <c r="W109" s="2"/>
      <c r="Z109" s="1"/>
      <c r="AC109" s="2"/>
    </row>
    <row r="110" spans="9:29" x14ac:dyDescent="0.2">
      <c r="I110" s="1"/>
      <c r="K110" s="2"/>
      <c r="U110" s="1"/>
      <c r="V110" t="s">
        <v>413</v>
      </c>
      <c r="W110" s="2"/>
      <c r="Z110" s="1"/>
      <c r="AC110" s="2"/>
    </row>
    <row r="111" spans="9:29" x14ac:dyDescent="0.2">
      <c r="I111" s="1" t="s">
        <v>413</v>
      </c>
      <c r="K111" s="2"/>
      <c r="U111" s="1"/>
      <c r="V111" t="s">
        <v>445</v>
      </c>
      <c r="W111" s="2"/>
      <c r="Z111" s="1"/>
      <c r="AC111" s="2"/>
    </row>
    <row r="112" spans="9:29" x14ac:dyDescent="0.2">
      <c r="I112" s="1" t="s">
        <v>445</v>
      </c>
      <c r="K112" s="2"/>
      <c r="U112" s="1"/>
      <c r="V112" t="str">
        <f>REPLACE(I113, 2,18, Q69)</f>
        <v>"a0KUE00000CeZ1n2AF",null)&amp;","&amp;</v>
      </c>
      <c r="W112" s="2"/>
      <c r="Z112" s="1"/>
      <c r="AC112" s="2"/>
    </row>
    <row r="113" spans="9:29" x14ac:dyDescent="0.2">
      <c r="I113" s="1" t="s">
        <v>545</v>
      </c>
      <c r="K113" s="2"/>
      <c r="U113" s="1"/>
      <c r="W113" s="2"/>
      <c r="Z113" s="1"/>
      <c r="AC113" s="2"/>
    </row>
    <row r="114" spans="9:29" x14ac:dyDescent="0.2">
      <c r="I114" s="1"/>
      <c r="K114" s="2"/>
      <c r="U114" s="1"/>
      <c r="V114" t="s">
        <v>413</v>
      </c>
      <c r="W114" s="2"/>
      <c r="Z114" s="1"/>
      <c r="AC114" s="2"/>
    </row>
    <row r="115" spans="9:29" x14ac:dyDescent="0.2">
      <c r="I115" s="1" t="s">
        <v>413</v>
      </c>
      <c r="K115" s="2"/>
      <c r="U115" s="1"/>
      <c r="V115" t="s">
        <v>447</v>
      </c>
      <c r="W115" s="2"/>
      <c r="Z115" s="1"/>
      <c r="AC115" s="2"/>
    </row>
    <row r="116" spans="9:29" ht="13.5" thickBot="1" x14ac:dyDescent="0.25">
      <c r="I116" s="1" t="s">
        <v>447</v>
      </c>
      <c r="K116" s="2"/>
      <c r="U116" s="3"/>
      <c r="V116" s="4" t="str">
        <f>REPLACE(I117, 2,18, Q68)</f>
        <v>"a0KUE00000CbQwG2AV",null)</v>
      </c>
      <c r="W116" s="5"/>
      <c r="Z116" s="3"/>
      <c r="AA116" s="4"/>
      <c r="AB116" s="4"/>
      <c r="AC116" s="5"/>
    </row>
    <row r="117" spans="9:29" ht="13.5" thickBot="1" x14ac:dyDescent="0.25">
      <c r="I117" s="3" t="s">
        <v>546</v>
      </c>
      <c r="J117" s="4"/>
      <c r="K117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B81D-4317-4D3F-8FF6-2620B36C3B04}">
  <dimension ref="A1:AB66"/>
  <sheetViews>
    <sheetView topLeftCell="F1" zoomScale="25" zoomScaleNormal="25" workbookViewId="0">
      <selection activeCell="V71" sqref="V71"/>
    </sheetView>
  </sheetViews>
  <sheetFormatPr defaultRowHeight="12.75" x14ac:dyDescent="0.2"/>
  <cols>
    <col min="3" max="3" width="21.375" bestFit="1" customWidth="1"/>
    <col min="4" max="4" width="10.5" bestFit="1" customWidth="1"/>
    <col min="5" max="5" width="24" bestFit="1" customWidth="1"/>
    <col min="6" max="6" width="26.5" bestFit="1" customWidth="1"/>
    <col min="7" max="7" width="19.25" bestFit="1" customWidth="1"/>
    <col min="8" max="8" width="16.125" bestFit="1" customWidth="1"/>
    <col min="9" max="9" width="62.75" bestFit="1" customWidth="1"/>
    <col min="10" max="10" width="12" bestFit="1" customWidth="1"/>
    <col min="11" max="11" width="18.75" customWidth="1"/>
    <col min="12" max="12" width="21.25" bestFit="1" customWidth="1"/>
    <col min="13" max="13" width="24.25" bestFit="1" customWidth="1"/>
    <col min="14" max="15" width="23.75" bestFit="1" customWidth="1"/>
    <col min="16" max="16" width="25" bestFit="1" customWidth="1"/>
    <col min="17" max="17" width="20.125" bestFit="1" customWidth="1"/>
    <col min="18" max="18" width="25" bestFit="1" customWidth="1"/>
    <col min="19" max="19" width="24" bestFit="1" customWidth="1"/>
    <col min="20" max="20" width="26.125" bestFit="1" customWidth="1"/>
    <col min="21" max="21" width="13.875" customWidth="1"/>
    <col min="22" max="22" width="61.125" bestFit="1" customWidth="1"/>
    <col min="26" max="26" width="68.25" customWidth="1"/>
  </cols>
  <sheetData>
    <row r="1" spans="1:28" ht="13.5" thickBot="1" x14ac:dyDescent="0.25">
      <c r="A1" s="6" t="s">
        <v>456</v>
      </c>
      <c r="B1" s="7" t="s">
        <v>10</v>
      </c>
      <c r="C1" s="8" t="s">
        <v>11</v>
      </c>
      <c r="D1" s="8" t="s">
        <v>12</v>
      </c>
      <c r="E1" s="8" t="s">
        <v>14</v>
      </c>
      <c r="F1" s="9" t="s">
        <v>13</v>
      </c>
    </row>
    <row r="2" spans="1:28" ht="13.5" thickBot="1" x14ac:dyDescent="0.25">
      <c r="B2" s="1" t="s">
        <v>157</v>
      </c>
      <c r="C2" t="s">
        <v>547</v>
      </c>
      <c r="D2" t="s">
        <v>548</v>
      </c>
      <c r="E2" t="s">
        <v>161</v>
      </c>
      <c r="F2" s="2" t="s">
        <v>160</v>
      </c>
      <c r="H2" s="35" t="s">
        <v>549</v>
      </c>
    </row>
    <row r="3" spans="1:28" ht="13.5" thickBot="1" x14ac:dyDescent="0.25">
      <c r="B3" s="1" t="s">
        <v>157</v>
      </c>
      <c r="C3" t="s">
        <v>550</v>
      </c>
      <c r="D3" t="s">
        <v>551</v>
      </c>
      <c r="E3" t="s">
        <v>167</v>
      </c>
      <c r="F3" s="2" t="s">
        <v>166</v>
      </c>
      <c r="H3" s="24" t="s">
        <v>552</v>
      </c>
      <c r="I3" s="25" t="s">
        <v>371</v>
      </c>
      <c r="J3" s="25" t="s">
        <v>553</v>
      </c>
      <c r="K3" s="26" t="s">
        <v>306</v>
      </c>
    </row>
    <row r="4" spans="1:28" ht="13.5" thickBot="1" x14ac:dyDescent="0.25">
      <c r="B4" s="1" t="s">
        <v>157</v>
      </c>
      <c r="C4" t="s">
        <v>554</v>
      </c>
      <c r="D4" t="s">
        <v>555</v>
      </c>
      <c r="E4" t="s">
        <v>173</v>
      </c>
      <c r="F4" s="2" t="s">
        <v>172</v>
      </c>
      <c r="H4" s="27" t="s">
        <v>12</v>
      </c>
      <c r="I4" s="28" t="s">
        <v>556</v>
      </c>
      <c r="J4" s="28" t="s">
        <v>557</v>
      </c>
      <c r="K4" s="29" t="s">
        <v>558</v>
      </c>
      <c r="U4" s="36" t="s">
        <v>559</v>
      </c>
    </row>
    <row r="5" spans="1:28" ht="13.5" thickBot="1" x14ac:dyDescent="0.25">
      <c r="B5" s="1" t="s">
        <v>157</v>
      </c>
      <c r="C5" t="s">
        <v>560</v>
      </c>
      <c r="D5" t="s">
        <v>561</v>
      </c>
      <c r="E5" t="s">
        <v>179</v>
      </c>
      <c r="F5" s="2" t="s">
        <v>178</v>
      </c>
      <c r="H5" s="27" t="s">
        <v>562</v>
      </c>
      <c r="I5" s="28" t="s">
        <v>563</v>
      </c>
      <c r="J5" s="28" t="s">
        <v>564</v>
      </c>
      <c r="K5" s="29" t="s">
        <v>565</v>
      </c>
      <c r="U5" s="37" t="s">
        <v>566</v>
      </c>
      <c r="Z5" s="36" t="s">
        <v>567</v>
      </c>
      <c r="AB5" t="s">
        <v>568</v>
      </c>
    </row>
    <row r="6" spans="1:28" ht="26.25" thickBot="1" x14ac:dyDescent="0.25">
      <c r="B6" s="1" t="s">
        <v>157</v>
      </c>
      <c r="C6" t="s">
        <v>569</v>
      </c>
      <c r="D6" t="s">
        <v>570</v>
      </c>
      <c r="E6" t="s">
        <v>185</v>
      </c>
      <c r="F6" s="2" t="s">
        <v>184</v>
      </c>
      <c r="H6" s="153" t="s">
        <v>571</v>
      </c>
      <c r="I6" s="149" t="s">
        <v>374</v>
      </c>
      <c r="J6" s="149"/>
      <c r="K6" s="150"/>
      <c r="M6" s="17" t="s">
        <v>475</v>
      </c>
      <c r="N6" s="18"/>
      <c r="O6" s="18"/>
      <c r="P6" s="19"/>
      <c r="U6" s="24" t="s">
        <v>571</v>
      </c>
      <c r="V6" s="25" t="str">
        <f>I6</f>
        <v>https://eu-composer.congamerge.com</v>
      </c>
      <c r="W6" s="25"/>
      <c r="X6" s="33"/>
      <c r="Z6" s="40" t="s">
        <v>374</v>
      </c>
      <c r="AB6" t="b">
        <f t="shared" ref="AB6:AB8" si="0">IF(Z6=V6, TRUE, FALSE)</f>
        <v>1</v>
      </c>
    </row>
    <row r="7" spans="1:28" ht="13.5" customHeight="1" thickBot="1" x14ac:dyDescent="0.25">
      <c r="B7" s="1" t="s">
        <v>157</v>
      </c>
      <c r="C7" t="s">
        <v>572</v>
      </c>
      <c r="D7" t="s">
        <v>573</v>
      </c>
      <c r="E7" t="s">
        <v>191</v>
      </c>
      <c r="F7" s="2" t="s">
        <v>190</v>
      </c>
      <c r="H7" s="153"/>
      <c r="I7" s="149" t="s">
        <v>375</v>
      </c>
      <c r="J7" s="149"/>
      <c r="K7" s="150"/>
      <c r="M7" s="38" t="s">
        <v>479</v>
      </c>
      <c r="N7" s="15"/>
      <c r="Q7" s="35" t="s">
        <v>511</v>
      </c>
      <c r="U7" s="27"/>
      <c r="V7" s="28" t="str">
        <f>I7</f>
        <v>?serverUrl={!API.Partner_Server_URL_370}</v>
      </c>
      <c r="W7" s="28"/>
      <c r="X7" s="29"/>
      <c r="Z7" s="40" t="s">
        <v>375</v>
      </c>
      <c r="AB7" t="b">
        <f t="shared" si="0"/>
        <v>1</v>
      </c>
    </row>
    <row r="8" spans="1:28" ht="12.75" customHeight="1" x14ac:dyDescent="0.2">
      <c r="B8" s="1" t="s">
        <v>157</v>
      </c>
      <c r="C8" t="s">
        <v>574</v>
      </c>
      <c r="D8" t="s">
        <v>575</v>
      </c>
      <c r="E8" t="s">
        <v>197</v>
      </c>
      <c r="F8" s="2" t="s">
        <v>196</v>
      </c>
      <c r="H8" s="153"/>
      <c r="I8" s="149" t="s">
        <v>376</v>
      </c>
      <c r="J8" s="149"/>
      <c r="K8" s="150"/>
      <c r="M8" s="22" t="s">
        <v>11</v>
      </c>
      <c r="N8" s="14" t="s">
        <v>12</v>
      </c>
      <c r="O8" s="14" t="s">
        <v>14</v>
      </c>
      <c r="P8" s="14" t="s">
        <v>13</v>
      </c>
      <c r="Q8" s="43" t="s">
        <v>11</v>
      </c>
      <c r="R8" s="44" t="s">
        <v>12</v>
      </c>
      <c r="S8" s="44" t="s">
        <v>14</v>
      </c>
      <c r="T8" s="44" t="s">
        <v>13</v>
      </c>
      <c r="U8" s="27"/>
      <c r="V8" s="28" t="str">
        <f>I8</f>
        <v>&amp;id={!Contract.Id}</v>
      </c>
      <c r="W8" s="28"/>
      <c r="X8" s="29"/>
      <c r="Z8" s="40" t="s">
        <v>376</v>
      </c>
      <c r="AB8" t="b">
        <f t="shared" si="0"/>
        <v>1</v>
      </c>
    </row>
    <row r="9" spans="1:28" ht="12.75" customHeight="1" x14ac:dyDescent="0.2">
      <c r="B9" s="1" t="s">
        <v>157</v>
      </c>
      <c r="C9" t="s">
        <v>576</v>
      </c>
      <c r="D9" t="s">
        <v>577</v>
      </c>
      <c r="E9" t="s">
        <v>203</v>
      </c>
      <c r="F9" s="2" t="s">
        <v>202</v>
      </c>
      <c r="H9" s="153"/>
      <c r="I9" s="151" t="s">
        <v>578</v>
      </c>
      <c r="J9" s="151"/>
      <c r="K9" s="152"/>
      <c r="M9" s="1" t="str">
        <f>TRIM(MID(I9, FIND("]", I9) + 1, 18))</f>
        <v>a0C4J000000kfj6UAA</v>
      </c>
      <c r="N9" t="str">
        <f>_xlfn.XLOOKUP(M9, $C$2:$C$25, $D$2:$D$25, "")</f>
        <v>CMQ-0018</v>
      </c>
      <c r="O9" t="str">
        <f>_xlfn.XLOOKUP(M9, $C$2:$C$25, $E$2:$E$25, "")</f>
        <v>0Q_018UAE810611</v>
      </c>
      <c r="P9" t="str">
        <f>_xlfn.XLOOKUP(M9, $C$2:$C$25, $F$2:$F$25, "")</f>
        <v>Unit for Tenancy</v>
      </c>
      <c r="Q9" s="1" t="str">
        <f>_xlfn.XLOOKUP(S9, $E$32:$E$61, $C$32:$C$61, "")</f>
        <v>a0CUE00002LfJQ72AN</v>
      </c>
      <c r="R9" t="str">
        <f>_xlfn.XLOOKUP(S9, $E$32:$E$61, $D$32:$D$61, "")</f>
        <v>CMQ-0043</v>
      </c>
      <c r="S9" t="str">
        <f>O9</f>
        <v>0Q_018UAE810611</v>
      </c>
      <c r="T9" t="str">
        <f>_xlfn.XLOOKUP(S9, $E$32:$E$61, $F$32:$F$61, "")</f>
        <v>Unit for Tenancy</v>
      </c>
      <c r="U9" s="27"/>
      <c r="V9" s="42" t="str">
        <f t="shared" ref="V9:V31" si="1">REPLACE(I9,FIND("]", I9) + 1, 18,Q9)</f>
        <v>&amp;QueryID=[Unit]a0CUE00002LfJQ72AN,</v>
      </c>
      <c r="W9" s="42"/>
      <c r="X9" s="34"/>
      <c r="Z9" s="40" t="s">
        <v>578</v>
      </c>
      <c r="AB9" t="b">
        <f>IF(Z9=V9, TRUE, FALSE)</f>
        <v>0</v>
      </c>
    </row>
    <row r="10" spans="1:28" x14ac:dyDescent="0.2">
      <c r="B10" s="1" t="s">
        <v>157</v>
      </c>
      <c r="C10" t="s">
        <v>579</v>
      </c>
      <c r="D10" t="s">
        <v>580</v>
      </c>
      <c r="E10" t="s">
        <v>209</v>
      </c>
      <c r="F10" s="2" t="s">
        <v>208</v>
      </c>
      <c r="H10" s="153"/>
      <c r="I10" s="151" t="s">
        <v>581</v>
      </c>
      <c r="J10" s="151"/>
      <c r="K10" s="152"/>
      <c r="M10" s="1" t="str">
        <f t="shared" ref="M10:M31" si="2">TRIM(MID(I10, FIND("]", I10) + 1, 18))</f>
        <v>a0C4J000000kfj9UAA</v>
      </c>
      <c r="N10" t="str">
        <f t="shared" ref="N10:N31" si="3">_xlfn.XLOOKUP(M10, $C$2:$C$25, $D$2:$D$25, "")</f>
        <v>CMQ-0021</v>
      </c>
      <c r="O10" t="str">
        <f t="shared" ref="O10:O40" si="4">_xlfn.XLOOKUP(M10, $C$2:$C$25, $E$2:$E$25, "")</f>
        <v>0Q_021UAE815352</v>
      </c>
      <c r="P10" t="str">
        <f t="shared" ref="P10:P31" si="5">_xlfn.XLOOKUP(M10, $C$2:$C$25, $F$2:$F$25, "")</f>
        <v>Opportunity</v>
      </c>
      <c r="Q10" s="1" t="str">
        <f t="shared" ref="Q10:Q31" si="6">_xlfn.XLOOKUP(S10, $E$32:$E$61, $C$32:$C$61, "")</f>
        <v>a0CUE00002LfJQA2A3</v>
      </c>
      <c r="R10" t="str">
        <f t="shared" ref="R10:R31" si="7">_xlfn.XLOOKUP(S10, $E$32:$E$61, $D$32:$D$61, "")</f>
        <v>CMQ-0046</v>
      </c>
      <c r="S10" t="str">
        <f t="shared" ref="S10:S31" si="8">O10</f>
        <v>0Q_021UAE815352</v>
      </c>
      <c r="T10" t="str">
        <f t="shared" ref="T10:T31" si="9">_xlfn.XLOOKUP(S10, $E$32:$E$61, $F$32:$F$61, "")</f>
        <v>Opportunity</v>
      </c>
      <c r="U10" s="27"/>
      <c r="V10" s="42" t="str">
        <f t="shared" si="1"/>
        <v>[Opp]a0CUE00002LfJQA2A3?pv0={!Contract.OpportunityId__c},</v>
      </c>
      <c r="W10" s="42"/>
      <c r="X10" s="34"/>
      <c r="Z10" s="40" t="s">
        <v>581</v>
      </c>
      <c r="AB10" t="b">
        <f t="shared" ref="AB10:AB40" si="10">IF(Z10=V10, TRUE, FALSE)</f>
        <v>0</v>
      </c>
    </row>
    <row r="11" spans="1:28" ht="12.75" customHeight="1" x14ac:dyDescent="0.2">
      <c r="B11" s="1" t="s">
        <v>157</v>
      </c>
      <c r="C11" t="s">
        <v>582</v>
      </c>
      <c r="D11" t="s">
        <v>583</v>
      </c>
      <c r="E11" t="s">
        <v>215</v>
      </c>
      <c r="F11" s="2" t="s">
        <v>214</v>
      </c>
      <c r="H11" s="153"/>
      <c r="I11" s="151" t="s">
        <v>584</v>
      </c>
      <c r="J11" s="151"/>
      <c r="K11" s="152"/>
      <c r="M11" s="1" t="str">
        <f t="shared" si="2"/>
        <v>a0C4J000000kfjBUAQ</v>
      </c>
      <c r="N11" t="str">
        <f t="shared" si="3"/>
        <v>CMQ-0023</v>
      </c>
      <c r="O11" t="str">
        <f t="shared" si="4"/>
        <v>0Q_023UAE815352</v>
      </c>
      <c r="P11" t="str">
        <f t="shared" si="5"/>
        <v>OCR Lead Tenant</v>
      </c>
      <c r="Q11" s="1" t="str">
        <f t="shared" si="6"/>
        <v>a0CUE00002LfJQC2A3</v>
      </c>
      <c r="R11" t="str">
        <f t="shared" si="7"/>
        <v>CMQ-0048</v>
      </c>
      <c r="S11" t="str">
        <f t="shared" si="8"/>
        <v>0Q_023UAE815352</v>
      </c>
      <c r="T11" t="str">
        <f t="shared" si="9"/>
        <v>OCR Lead Tenant</v>
      </c>
      <c r="U11" s="27"/>
      <c r="V11" s="42" t="str">
        <f t="shared" si="1"/>
        <v>[OCRLeadTenant]a0CUE00002LfJQC2A3,</v>
      </c>
      <c r="W11" s="42"/>
      <c r="X11" s="34"/>
      <c r="Z11" s="40" t="s">
        <v>584</v>
      </c>
      <c r="AB11" t="b">
        <f t="shared" si="10"/>
        <v>0</v>
      </c>
    </row>
    <row r="12" spans="1:28" ht="12.75" customHeight="1" x14ac:dyDescent="0.2">
      <c r="B12" s="1" t="s">
        <v>157</v>
      </c>
      <c r="C12" t="s">
        <v>585</v>
      </c>
      <c r="D12" t="s">
        <v>586</v>
      </c>
      <c r="E12" t="s">
        <v>221</v>
      </c>
      <c r="F12" s="2" t="s">
        <v>220</v>
      </c>
      <c r="H12" s="153"/>
      <c r="I12" s="151" t="s">
        <v>587</v>
      </c>
      <c r="J12" s="151"/>
      <c r="K12" s="152"/>
      <c r="M12" s="1" t="str">
        <f t="shared" si="2"/>
        <v>a0C4J000000kfj8UAA</v>
      </c>
      <c r="N12" t="str">
        <f t="shared" si="3"/>
        <v>CMQ-0020</v>
      </c>
      <c r="O12" t="str">
        <f t="shared" si="4"/>
        <v>0Q_020UAE815352</v>
      </c>
      <c r="P12" t="str">
        <f t="shared" si="5"/>
        <v>OCR Tenant</v>
      </c>
      <c r="Q12" s="1" t="str">
        <f t="shared" si="6"/>
        <v>a0CUE00002LfJQ92AN</v>
      </c>
      <c r="R12" t="str">
        <f t="shared" si="7"/>
        <v>CMQ-0045</v>
      </c>
      <c r="S12" t="str">
        <f t="shared" si="8"/>
        <v>0Q_020UAE815352</v>
      </c>
      <c r="T12" t="str">
        <f t="shared" si="9"/>
        <v>OCR Tenant</v>
      </c>
      <c r="U12" s="27"/>
      <c r="V12" s="42" t="str">
        <f t="shared" si="1"/>
        <v>[OCRTenant]a0CUE00002LfJQ92AN,</v>
      </c>
      <c r="W12" s="42"/>
      <c r="X12" s="34"/>
      <c r="Z12" s="40" t="s">
        <v>587</v>
      </c>
      <c r="AB12" t="b">
        <f t="shared" si="10"/>
        <v>0</v>
      </c>
    </row>
    <row r="13" spans="1:28" ht="12.75" customHeight="1" x14ac:dyDescent="0.2">
      <c r="B13" s="1" t="s">
        <v>157</v>
      </c>
      <c r="C13" t="s">
        <v>588</v>
      </c>
      <c r="D13" t="s">
        <v>589</v>
      </c>
      <c r="E13" t="s">
        <v>227</v>
      </c>
      <c r="F13" s="2" t="s">
        <v>226</v>
      </c>
      <c r="H13" s="153"/>
      <c r="I13" s="151" t="s">
        <v>590</v>
      </c>
      <c r="J13" s="151"/>
      <c r="K13" s="152"/>
      <c r="M13" s="1" t="str">
        <f t="shared" si="2"/>
        <v>a0C4J000000kfitUAA</v>
      </c>
      <c r="N13" t="str">
        <f t="shared" si="3"/>
        <v>CMQ-0005</v>
      </c>
      <c r="O13" t="str">
        <f t="shared" si="4"/>
        <v>0Q_005UAE783770</v>
      </c>
      <c r="P13" t="str">
        <f t="shared" si="5"/>
        <v>OCR Guarantor</v>
      </c>
      <c r="Q13" s="1" t="str">
        <f t="shared" si="6"/>
        <v>a0CUE00002LfJPu2AN</v>
      </c>
      <c r="R13" t="str">
        <f t="shared" si="7"/>
        <v>CMQ-0030</v>
      </c>
      <c r="S13" t="str">
        <f t="shared" si="8"/>
        <v>0Q_005UAE783770</v>
      </c>
      <c r="T13" t="str">
        <f t="shared" si="9"/>
        <v>OCR Guarantor</v>
      </c>
      <c r="U13" s="27"/>
      <c r="V13" s="42" t="str">
        <f t="shared" si="1"/>
        <v>[OCRGuarantor]a0CUE00002LfJPu2AN,</v>
      </c>
      <c r="W13" s="42"/>
      <c r="X13" s="34"/>
      <c r="Z13" s="40" t="s">
        <v>590</v>
      </c>
      <c r="AB13" t="b">
        <f t="shared" si="10"/>
        <v>0</v>
      </c>
    </row>
    <row r="14" spans="1:28" ht="12.75" customHeight="1" x14ac:dyDescent="0.2">
      <c r="B14" s="1" t="s">
        <v>157</v>
      </c>
      <c r="C14" t="s">
        <v>591</v>
      </c>
      <c r="D14" t="s">
        <v>592</v>
      </c>
      <c r="E14" t="s">
        <v>233</v>
      </c>
      <c r="F14" s="2" t="s">
        <v>232</v>
      </c>
      <c r="H14" s="153"/>
      <c r="I14" s="151" t="s">
        <v>593</v>
      </c>
      <c r="J14" s="151"/>
      <c r="K14" s="152"/>
      <c r="M14" s="1" t="str">
        <f t="shared" si="2"/>
        <v>a0C4J000000kfivUAA</v>
      </c>
      <c r="N14" t="str">
        <f t="shared" si="3"/>
        <v>CMQ-0007</v>
      </c>
      <c r="O14" t="str">
        <f t="shared" si="4"/>
        <v>0Q_007UAE783771</v>
      </c>
      <c r="P14" t="str">
        <f t="shared" si="5"/>
        <v>OCR Permitted Occupier</v>
      </c>
      <c r="Q14" s="1" t="str">
        <f t="shared" si="6"/>
        <v>a0CUE00002LfJPw2AN</v>
      </c>
      <c r="R14" t="str">
        <f t="shared" si="7"/>
        <v>CMQ-0032</v>
      </c>
      <c r="S14" t="str">
        <f t="shared" si="8"/>
        <v>0Q_007UAE783771</v>
      </c>
      <c r="T14" t="str">
        <f t="shared" si="9"/>
        <v>OCR Permitted Occupier</v>
      </c>
      <c r="U14" s="27"/>
      <c r="V14" s="42" t="str">
        <f t="shared" si="1"/>
        <v>[OCRPermittedOccupier]a0CUE00002LfJPw2AN,</v>
      </c>
      <c r="W14" s="42"/>
      <c r="X14" s="34"/>
      <c r="Z14" s="40" t="s">
        <v>593</v>
      </c>
      <c r="AB14" t="b">
        <f t="shared" si="10"/>
        <v>0</v>
      </c>
    </row>
    <row r="15" spans="1:28" ht="12.75" customHeight="1" x14ac:dyDescent="0.2">
      <c r="B15" s="1" t="s">
        <v>157</v>
      </c>
      <c r="C15" t="s">
        <v>594</v>
      </c>
      <c r="D15" t="s">
        <v>595</v>
      </c>
      <c r="E15" t="s">
        <v>239</v>
      </c>
      <c r="F15" s="2" t="s">
        <v>238</v>
      </c>
      <c r="H15" s="153"/>
      <c r="I15" s="151" t="s">
        <v>596</v>
      </c>
      <c r="J15" s="151"/>
      <c r="K15" s="152"/>
      <c r="M15" s="1" t="str">
        <f t="shared" si="2"/>
        <v>a0C4J000000kfiuUAA</v>
      </c>
      <c r="N15" t="str">
        <f t="shared" si="3"/>
        <v>CMQ-0006</v>
      </c>
      <c r="O15" t="str">
        <f t="shared" si="4"/>
        <v>0Q_006UAE783770</v>
      </c>
      <c r="P15" t="str">
        <f t="shared" si="5"/>
        <v>OCR Relevant Person</v>
      </c>
      <c r="Q15" s="1" t="str">
        <f t="shared" si="6"/>
        <v>a0CUE00002LfJPv2AN</v>
      </c>
      <c r="R15" t="str">
        <f t="shared" si="7"/>
        <v>CMQ-0031</v>
      </c>
      <c r="S15" t="str">
        <f t="shared" si="8"/>
        <v>0Q_006UAE783770</v>
      </c>
      <c r="T15" t="str">
        <f t="shared" si="9"/>
        <v>OCR Relevant Person</v>
      </c>
      <c r="U15" s="27"/>
      <c r="V15" s="42" t="str">
        <f t="shared" si="1"/>
        <v>[OCRRelevantPerson]a0CUE00002LfJPv2AN,</v>
      </c>
      <c r="W15" s="42"/>
      <c r="X15" s="34"/>
      <c r="Z15" s="40" t="s">
        <v>596</v>
      </c>
      <c r="AB15" t="b">
        <f t="shared" si="10"/>
        <v>0</v>
      </c>
    </row>
    <row r="16" spans="1:28" ht="12.75" customHeight="1" x14ac:dyDescent="0.2">
      <c r="B16" s="1" t="s">
        <v>157</v>
      </c>
      <c r="C16" t="s">
        <v>597</v>
      </c>
      <c r="D16" t="s">
        <v>598</v>
      </c>
      <c r="E16" t="s">
        <v>245</v>
      </c>
      <c r="F16" s="2" t="s">
        <v>244</v>
      </c>
      <c r="H16" s="153"/>
      <c r="I16" s="151" t="s">
        <v>599</v>
      </c>
      <c r="J16" s="151"/>
      <c r="K16" s="152"/>
      <c r="M16" s="1" t="str">
        <f t="shared" si="2"/>
        <v>a0C4J000000kfj1UAA</v>
      </c>
      <c r="N16" t="str">
        <f t="shared" si="3"/>
        <v>CMQ-0013</v>
      </c>
      <c r="O16" t="str">
        <f t="shared" si="4"/>
        <v>0Q_013UAE810611</v>
      </c>
      <c r="P16" t="str">
        <f t="shared" si="5"/>
        <v>OCR Lead Tenant (Parking)</v>
      </c>
      <c r="Q16" s="1" t="str">
        <f t="shared" si="6"/>
        <v>a0CUE00002LfJQ22AN</v>
      </c>
      <c r="R16" t="str">
        <f t="shared" si="7"/>
        <v>CMQ-0038</v>
      </c>
      <c r="S16" t="str">
        <f t="shared" si="8"/>
        <v>0Q_013UAE810611</v>
      </c>
      <c r="T16" t="str">
        <f t="shared" si="9"/>
        <v>OCR Lead Tenant (Parking)</v>
      </c>
      <c r="U16" s="27"/>
      <c r="V16" s="42" t="str">
        <f t="shared" si="1"/>
        <v>[POCRLeadTenant]a0CUE00002LfJQ22AN,</v>
      </c>
      <c r="W16" s="42"/>
      <c r="X16" s="34"/>
      <c r="Z16" s="40" t="s">
        <v>599</v>
      </c>
      <c r="AB16" t="b">
        <f t="shared" si="10"/>
        <v>0</v>
      </c>
    </row>
    <row r="17" spans="1:28" ht="12.75" customHeight="1" x14ac:dyDescent="0.2">
      <c r="B17" s="1" t="s">
        <v>157</v>
      </c>
      <c r="C17" t="s">
        <v>600</v>
      </c>
      <c r="D17" t="s">
        <v>601</v>
      </c>
      <c r="E17" t="s">
        <v>251</v>
      </c>
      <c r="F17" s="2" t="s">
        <v>250</v>
      </c>
      <c r="H17" s="153"/>
      <c r="I17" s="151" t="s">
        <v>602</v>
      </c>
      <c r="J17" s="151"/>
      <c r="K17" s="152"/>
      <c r="M17" s="1" t="str">
        <f t="shared" si="2"/>
        <v>a0C4J000000kfj2UAA</v>
      </c>
      <c r="N17" t="str">
        <f t="shared" si="3"/>
        <v>CMQ-0014</v>
      </c>
      <c r="O17" t="str">
        <f t="shared" si="4"/>
        <v>0Q_014UAE810611</v>
      </c>
      <c r="P17" t="str">
        <f t="shared" si="5"/>
        <v>OCR Tenant (Parking)</v>
      </c>
      <c r="Q17" s="1" t="str">
        <f t="shared" si="6"/>
        <v>a0CUE00002LfJQ32AN</v>
      </c>
      <c r="R17" t="str">
        <f t="shared" si="7"/>
        <v>CMQ-0039</v>
      </c>
      <c r="S17" t="str">
        <f t="shared" si="8"/>
        <v>0Q_014UAE810611</v>
      </c>
      <c r="T17" t="str">
        <f t="shared" si="9"/>
        <v>OCR Tenant (Parking)</v>
      </c>
      <c r="U17" s="27"/>
      <c r="V17" s="42" t="str">
        <f t="shared" si="1"/>
        <v>[POCRTenant]a0CUE00002LfJQ32AN,</v>
      </c>
      <c r="W17" s="42"/>
      <c r="X17" s="34"/>
      <c r="Z17" s="40" t="s">
        <v>602</v>
      </c>
      <c r="AB17" t="b">
        <f t="shared" si="10"/>
        <v>0</v>
      </c>
    </row>
    <row r="18" spans="1:28" ht="12.75" customHeight="1" x14ac:dyDescent="0.2">
      <c r="B18" s="1" t="s">
        <v>157</v>
      </c>
      <c r="C18" t="s">
        <v>603</v>
      </c>
      <c r="D18" t="s">
        <v>604</v>
      </c>
      <c r="E18" t="s">
        <v>257</v>
      </c>
      <c r="F18" s="2" t="s">
        <v>256</v>
      </c>
      <c r="H18" s="153"/>
      <c r="I18" s="151" t="s">
        <v>605</v>
      </c>
      <c r="J18" s="151"/>
      <c r="K18" s="152"/>
      <c r="M18" s="1" t="str">
        <f t="shared" si="2"/>
        <v>a0C4J000000kfj7UAA</v>
      </c>
      <c r="N18" t="str">
        <f t="shared" si="3"/>
        <v>CMQ-0019</v>
      </c>
      <c r="O18" t="str">
        <f t="shared" si="4"/>
        <v>0Q_019UAE810611</v>
      </c>
      <c r="P18" t="str">
        <f t="shared" si="5"/>
        <v>OCR Lead Tenant (Shed)</v>
      </c>
      <c r="Q18" s="1" t="str">
        <f t="shared" si="6"/>
        <v>a0CUE00002LfJQ82AN</v>
      </c>
      <c r="R18" t="str">
        <f t="shared" si="7"/>
        <v>CMQ-0044</v>
      </c>
      <c r="S18" t="str">
        <f t="shared" si="8"/>
        <v>0Q_019UAE810611</v>
      </c>
      <c r="T18" t="str">
        <f t="shared" si="9"/>
        <v>OCR Lead Tenant (Shed)</v>
      </c>
      <c r="U18" s="27"/>
      <c r="V18" s="42" t="str">
        <f t="shared" si="1"/>
        <v>[SOCRLeadTenant]a0CUE00002LfJQ82AN,</v>
      </c>
      <c r="W18" s="42"/>
      <c r="X18" s="34"/>
      <c r="Z18" s="40" t="s">
        <v>605</v>
      </c>
      <c r="AB18" t="b">
        <f t="shared" si="10"/>
        <v>0</v>
      </c>
    </row>
    <row r="19" spans="1:28" ht="12.75" customHeight="1" x14ac:dyDescent="0.2">
      <c r="B19" s="1" t="s">
        <v>157</v>
      </c>
      <c r="C19" t="s">
        <v>606</v>
      </c>
      <c r="D19" t="s">
        <v>607</v>
      </c>
      <c r="E19" t="s">
        <v>263</v>
      </c>
      <c r="F19" s="2" t="s">
        <v>262</v>
      </c>
      <c r="H19" s="153"/>
      <c r="I19" s="151" t="s">
        <v>608</v>
      </c>
      <c r="J19" s="151"/>
      <c r="K19" s="152"/>
      <c r="M19" s="1" t="str">
        <f t="shared" si="2"/>
        <v>a0C4J000000kfj3UAA</v>
      </c>
      <c r="N19" t="str">
        <f t="shared" si="3"/>
        <v>CMQ-0015</v>
      </c>
      <c r="O19" t="str">
        <f t="shared" si="4"/>
        <v>0Q_015UAE810611</v>
      </c>
      <c r="P19" t="str">
        <f t="shared" si="5"/>
        <v>OCR Tenant (Shed)</v>
      </c>
      <c r="Q19" s="1" t="str">
        <f t="shared" si="6"/>
        <v>a0CUE00002LfJQ42AN</v>
      </c>
      <c r="R19" t="str">
        <f t="shared" si="7"/>
        <v>CMQ-0040</v>
      </c>
      <c r="S19" t="str">
        <f t="shared" si="8"/>
        <v>0Q_015UAE810611</v>
      </c>
      <c r="T19" t="str">
        <f t="shared" si="9"/>
        <v>OCR Tenant (Shed)</v>
      </c>
      <c r="U19" s="27"/>
      <c r="V19" s="42" t="str">
        <f t="shared" si="1"/>
        <v>[SOCRTenant]a0CUE00002LfJQ42AN,</v>
      </c>
      <c r="W19" s="42"/>
      <c r="X19" s="34"/>
      <c r="Z19" s="40" t="s">
        <v>608</v>
      </c>
      <c r="AB19" t="b">
        <f t="shared" si="10"/>
        <v>0</v>
      </c>
    </row>
    <row r="20" spans="1:28" ht="12.75" customHeight="1" x14ac:dyDescent="0.2">
      <c r="B20" s="1" t="s">
        <v>157</v>
      </c>
      <c r="C20" t="s">
        <v>609</v>
      </c>
      <c r="D20" t="s">
        <v>610</v>
      </c>
      <c r="E20" t="s">
        <v>269</v>
      </c>
      <c r="F20" s="2" t="s">
        <v>268</v>
      </c>
      <c r="H20" s="153"/>
      <c r="I20" s="151" t="s">
        <v>611</v>
      </c>
      <c r="J20" s="151"/>
      <c r="K20" s="152"/>
      <c r="M20" s="1" t="str">
        <f t="shared" si="2"/>
        <v>a0C4J000000kfizUAA</v>
      </c>
      <c r="N20" t="str">
        <f t="shared" si="3"/>
        <v>CMQ-0011</v>
      </c>
      <c r="O20" t="str">
        <f t="shared" si="4"/>
        <v>0Q_011UAE810611</v>
      </c>
      <c r="P20" t="str">
        <f t="shared" si="5"/>
        <v>Offer Line Items</v>
      </c>
      <c r="Q20" s="1" t="str">
        <f t="shared" si="6"/>
        <v>a0CUE00002LfJQ02AN</v>
      </c>
      <c r="R20" t="str">
        <f t="shared" si="7"/>
        <v>CMQ-0036</v>
      </c>
      <c r="S20" t="str">
        <f t="shared" si="8"/>
        <v>0Q_011UAE810611</v>
      </c>
      <c r="T20" t="str">
        <f t="shared" si="9"/>
        <v>Offer Line Items</v>
      </c>
      <c r="U20" s="27"/>
      <c r="V20" s="42" t="str">
        <f t="shared" si="1"/>
        <v>[OLI]a0CUE00002LfJQ02AN,</v>
      </c>
      <c r="W20" s="42"/>
      <c r="X20" s="34"/>
      <c r="Z20" s="40" t="s">
        <v>611</v>
      </c>
      <c r="AB20" t="b">
        <f t="shared" si="10"/>
        <v>0</v>
      </c>
    </row>
    <row r="21" spans="1:28" ht="12.75" customHeight="1" x14ac:dyDescent="0.2">
      <c r="B21" s="1" t="s">
        <v>157</v>
      </c>
      <c r="C21" t="s">
        <v>612</v>
      </c>
      <c r="D21" t="s">
        <v>613</v>
      </c>
      <c r="E21" t="s">
        <v>275</v>
      </c>
      <c r="F21" s="2" t="s">
        <v>274</v>
      </c>
      <c r="H21" s="153"/>
      <c r="I21" s="151" t="s">
        <v>614</v>
      </c>
      <c r="J21" s="151"/>
      <c r="K21" s="152"/>
      <c r="M21" s="1" t="str">
        <f t="shared" si="2"/>
        <v>a0C4J000000kfioUAA</v>
      </c>
      <c r="N21" t="str">
        <f t="shared" si="3"/>
        <v>CMQ-0000</v>
      </c>
      <c r="O21" t="str">
        <f t="shared" si="4"/>
        <v>0Q_000UAE783770</v>
      </c>
      <c r="P21" t="str">
        <f t="shared" si="5"/>
        <v>Special Clauses on Tenancy</v>
      </c>
      <c r="Q21" s="1" t="str">
        <f t="shared" si="6"/>
        <v>a0CUE00002LfJPp2AN</v>
      </c>
      <c r="R21" t="str">
        <f t="shared" si="7"/>
        <v>CMQ-0025</v>
      </c>
      <c r="S21" t="str">
        <f t="shared" si="8"/>
        <v>0Q_000UAE783770</v>
      </c>
      <c r="T21" t="str">
        <f t="shared" si="9"/>
        <v>Special Clauses on Tenancy</v>
      </c>
      <c r="U21" s="27"/>
      <c r="V21" s="42" t="str">
        <f t="shared" si="1"/>
        <v>[SPC]a0CUE00002LfJPp2AN,</v>
      </c>
      <c r="W21" s="42"/>
      <c r="X21" s="34"/>
      <c r="Z21" s="40" t="s">
        <v>614</v>
      </c>
      <c r="AB21" t="b">
        <f t="shared" si="10"/>
        <v>0</v>
      </c>
    </row>
    <row r="22" spans="1:28" ht="12.75" customHeight="1" x14ac:dyDescent="0.2">
      <c r="B22" s="1" t="s">
        <v>157</v>
      </c>
      <c r="C22" t="s">
        <v>615</v>
      </c>
      <c r="D22" t="s">
        <v>616</v>
      </c>
      <c r="E22" t="s">
        <v>281</v>
      </c>
      <c r="F22" s="2" t="s">
        <v>280</v>
      </c>
      <c r="H22" s="153"/>
      <c r="I22" s="151" t="s">
        <v>617</v>
      </c>
      <c r="J22" s="151"/>
      <c r="K22" s="152"/>
      <c r="M22" s="1" t="str">
        <f t="shared" si="2"/>
        <v>a0C4J000000kfirUAA</v>
      </c>
      <c r="N22" t="str">
        <f t="shared" si="3"/>
        <v>CMQ-0003</v>
      </c>
      <c r="O22" t="str">
        <f t="shared" si="4"/>
        <v>0Q_003UAE783770</v>
      </c>
      <c r="P22" t="str">
        <f t="shared" si="5"/>
        <v>Offer</v>
      </c>
      <c r="Q22" s="1" t="str">
        <f t="shared" si="6"/>
        <v>a0CUE00002LfJPs2AN</v>
      </c>
      <c r="R22" t="str">
        <f t="shared" si="7"/>
        <v>CMQ-0028</v>
      </c>
      <c r="S22" t="str">
        <f t="shared" si="8"/>
        <v>0Q_003UAE783770</v>
      </c>
      <c r="T22" t="str">
        <f t="shared" si="9"/>
        <v>Offer</v>
      </c>
      <c r="U22" s="27"/>
      <c r="V22" s="42" t="str">
        <f t="shared" si="1"/>
        <v>[Offer]a0CUE00002LfJPs2AN?pv0={!Contract.OpportunityId__c},</v>
      </c>
      <c r="W22" s="42"/>
      <c r="X22" s="34"/>
      <c r="Z22" s="40" t="s">
        <v>617</v>
      </c>
      <c r="AB22" t="b">
        <f t="shared" si="10"/>
        <v>0</v>
      </c>
    </row>
    <row r="23" spans="1:28" ht="12.75" customHeight="1" x14ac:dyDescent="0.2">
      <c r="B23" s="1" t="s">
        <v>157</v>
      </c>
      <c r="C23" t="s">
        <v>618</v>
      </c>
      <c r="D23" t="s">
        <v>619</v>
      </c>
      <c r="E23" t="s">
        <v>287</v>
      </c>
      <c r="F23" s="2" t="s">
        <v>286</v>
      </c>
      <c r="H23" s="153"/>
      <c r="I23" s="151" t="s">
        <v>620</v>
      </c>
      <c r="J23" s="151"/>
      <c r="K23" s="152"/>
      <c r="M23" s="1" t="str">
        <f t="shared" si="2"/>
        <v>a0C4J000000kfipUAA</v>
      </c>
      <c r="N23" t="str">
        <f t="shared" si="3"/>
        <v>CMQ-0001</v>
      </c>
      <c r="O23" t="str">
        <f t="shared" si="4"/>
        <v>0Q_001UAE783770</v>
      </c>
      <c r="P23" t="str">
        <f t="shared" si="5"/>
        <v>Tenancy Payment Schedule</v>
      </c>
      <c r="Q23" s="1" t="str">
        <f t="shared" si="6"/>
        <v>a0CUE00002LfJPq2AN</v>
      </c>
      <c r="R23" t="str">
        <f t="shared" si="7"/>
        <v>CMQ-0026</v>
      </c>
      <c r="S23" t="str">
        <f t="shared" si="8"/>
        <v>0Q_001UAE783770</v>
      </c>
      <c r="T23" t="str">
        <f t="shared" si="9"/>
        <v>Tenancy Payment Schedule</v>
      </c>
      <c r="U23" s="27"/>
      <c r="V23" s="42" t="str">
        <f t="shared" si="1"/>
        <v>[TPS]a0CUE00002LfJPq2AN?pv0={!Contract.OpportunityId__c},</v>
      </c>
      <c r="W23" s="42"/>
      <c r="X23" s="34"/>
      <c r="Z23" s="40" t="s">
        <v>620</v>
      </c>
      <c r="AB23" t="b">
        <f t="shared" si="10"/>
        <v>0</v>
      </c>
    </row>
    <row r="24" spans="1:28" ht="12.75" customHeight="1" x14ac:dyDescent="0.2">
      <c r="B24" s="1" t="s">
        <v>157</v>
      </c>
      <c r="C24" t="s">
        <v>621</v>
      </c>
      <c r="D24" t="s">
        <v>622</v>
      </c>
      <c r="E24" t="s">
        <v>294</v>
      </c>
      <c r="F24" s="2" t="s">
        <v>293</v>
      </c>
      <c r="H24" s="153"/>
      <c r="I24" s="151" t="s">
        <v>623</v>
      </c>
      <c r="J24" s="151"/>
      <c r="K24" s="152"/>
      <c r="M24" s="1" t="str">
        <f t="shared" si="2"/>
        <v>a0C4J000000kfiqUAA</v>
      </c>
      <c r="N24" t="str">
        <f t="shared" si="3"/>
        <v>CMQ-0002</v>
      </c>
      <c r="O24" t="str">
        <f t="shared" si="4"/>
        <v>0Q_002UAE783770</v>
      </c>
      <c r="P24" t="str">
        <f t="shared" si="5"/>
        <v>Parking Payment Schedule</v>
      </c>
      <c r="Q24" s="1" t="str">
        <f t="shared" si="6"/>
        <v>a0CUE00002LfJPr2AN</v>
      </c>
      <c r="R24" t="str">
        <f t="shared" si="7"/>
        <v>CMQ-0027</v>
      </c>
      <c r="S24" t="str">
        <f t="shared" si="8"/>
        <v>0Q_002UAE783770</v>
      </c>
      <c r="T24" t="str">
        <f t="shared" si="9"/>
        <v>Parking Payment Schedule</v>
      </c>
      <c r="U24" s="27"/>
      <c r="V24" s="42" t="str">
        <f t="shared" si="1"/>
        <v>[PPS]a0CUE00002LfJPr2AN?pv0={!Contract.OpportunityId__c},</v>
      </c>
      <c r="W24" s="42"/>
      <c r="X24" s="34"/>
      <c r="Z24" s="40" t="s">
        <v>623</v>
      </c>
      <c r="AB24" t="b">
        <f t="shared" si="10"/>
        <v>0</v>
      </c>
    </row>
    <row r="25" spans="1:28" ht="13.5" customHeight="1" thickBot="1" x14ac:dyDescent="0.25">
      <c r="B25" s="3" t="s">
        <v>157</v>
      </c>
      <c r="C25" s="4" t="s">
        <v>624</v>
      </c>
      <c r="D25" s="4" t="s">
        <v>625</v>
      </c>
      <c r="E25" s="4" t="s">
        <v>300</v>
      </c>
      <c r="F25" s="5" t="s">
        <v>299</v>
      </c>
      <c r="H25" s="153"/>
      <c r="I25" s="151" t="s">
        <v>626</v>
      </c>
      <c r="J25" s="151"/>
      <c r="K25" s="152"/>
      <c r="M25" s="1" t="str">
        <f t="shared" si="2"/>
        <v>a0C4J000000kfisUAA</v>
      </c>
      <c r="N25" t="str">
        <f t="shared" si="3"/>
        <v>CMQ-0004</v>
      </c>
      <c r="O25" t="str">
        <f t="shared" si="4"/>
        <v>0Q_004UAE783770</v>
      </c>
      <c r="P25" t="str">
        <f t="shared" si="5"/>
        <v>Shed Parking Schedule</v>
      </c>
      <c r="Q25" s="1" t="str">
        <f t="shared" si="6"/>
        <v>a0CUE00002LfJPt2AN</v>
      </c>
      <c r="R25" t="str">
        <f t="shared" si="7"/>
        <v>CMQ-0029</v>
      </c>
      <c r="S25" t="str">
        <f t="shared" si="8"/>
        <v>0Q_004UAE783770</v>
      </c>
      <c r="T25" t="str">
        <f t="shared" si="9"/>
        <v>Shed Parking Schedule</v>
      </c>
      <c r="U25" s="27"/>
      <c r="V25" s="42" t="str">
        <f t="shared" si="1"/>
        <v>[SPS]a0CUE00002LfJPt2AN?pv0={!Contract.OpportunityId__c},</v>
      </c>
      <c r="W25" s="42"/>
      <c r="X25" s="34"/>
      <c r="Z25" s="40" t="s">
        <v>626</v>
      </c>
      <c r="AB25" t="b">
        <f t="shared" si="10"/>
        <v>0</v>
      </c>
    </row>
    <row r="26" spans="1:28" ht="12.75" customHeight="1" thickBot="1" x14ac:dyDescent="0.25">
      <c r="H26" s="153"/>
      <c r="I26" s="151" t="s">
        <v>627</v>
      </c>
      <c r="J26" s="151"/>
      <c r="K26" s="152"/>
      <c r="M26" s="1" t="str">
        <f t="shared" si="2"/>
        <v>a0C4J000000kfj0UAA</v>
      </c>
      <c r="N26" t="str">
        <f t="shared" si="3"/>
        <v>CMQ-0012</v>
      </c>
      <c r="O26" t="str">
        <f t="shared" si="4"/>
        <v>0Q_012UAE810611</v>
      </c>
      <c r="P26" t="str">
        <f t="shared" si="5"/>
        <v>OCRTSign</v>
      </c>
      <c r="Q26" s="1" t="str">
        <f t="shared" si="6"/>
        <v>a0CUE00002LfJQ12AN</v>
      </c>
      <c r="R26" t="str">
        <f t="shared" si="7"/>
        <v>CMQ-0037</v>
      </c>
      <c r="S26" t="str">
        <f t="shared" si="8"/>
        <v>0Q_012UAE810611</v>
      </c>
      <c r="T26" t="str">
        <f t="shared" si="9"/>
        <v>OCRTSign</v>
      </c>
      <c r="U26" s="27"/>
      <c r="V26" s="42" t="str">
        <f t="shared" si="1"/>
        <v>[OCRTSign]a0CUE00002LfJQ12AN,</v>
      </c>
      <c r="W26" s="42"/>
      <c r="X26" s="34"/>
      <c r="Z26" s="40" t="s">
        <v>627</v>
      </c>
      <c r="AB26" t="b">
        <f t="shared" si="10"/>
        <v>0</v>
      </c>
    </row>
    <row r="27" spans="1:28" ht="12.75" customHeight="1" thickBot="1" x14ac:dyDescent="0.25">
      <c r="A27" s="35" t="s">
        <v>504</v>
      </c>
      <c r="H27" s="153"/>
      <c r="I27" s="151" t="s">
        <v>628</v>
      </c>
      <c r="J27" s="151"/>
      <c r="K27" s="152"/>
      <c r="M27" s="1" t="str">
        <f t="shared" si="2"/>
        <v>a0C4J000000kfiwUAA</v>
      </c>
      <c r="N27" t="str">
        <f t="shared" si="3"/>
        <v>CMQ-0008</v>
      </c>
      <c r="O27" t="str">
        <f t="shared" si="4"/>
        <v>0Q_008UAE783771</v>
      </c>
      <c r="P27" t="str">
        <f t="shared" si="5"/>
        <v>OCR Tenant Offset 0</v>
      </c>
      <c r="Q27" s="1" t="str">
        <f t="shared" si="6"/>
        <v>a0CUE00002LfJPx2AN</v>
      </c>
      <c r="R27" t="str">
        <f t="shared" si="7"/>
        <v>CMQ-0033</v>
      </c>
      <c r="S27" t="str">
        <f t="shared" si="8"/>
        <v>0Q_008UAE783771</v>
      </c>
      <c r="T27" t="str">
        <f t="shared" si="9"/>
        <v>OCR Tenant Offset 0</v>
      </c>
      <c r="U27" s="27"/>
      <c r="V27" s="42" t="str">
        <f t="shared" si="1"/>
        <v>[TO0]a0CUE00002LfJPx2AN,</v>
      </c>
      <c r="W27" s="42"/>
      <c r="X27" s="34"/>
      <c r="Z27" s="40" t="s">
        <v>628</v>
      </c>
      <c r="AB27" t="b">
        <f t="shared" si="10"/>
        <v>0</v>
      </c>
    </row>
    <row r="28" spans="1:28" ht="12.75" customHeight="1" x14ac:dyDescent="0.2">
      <c r="H28" s="153"/>
      <c r="I28" s="151" t="s">
        <v>629</v>
      </c>
      <c r="J28" s="151"/>
      <c r="K28" s="152"/>
      <c r="M28" s="1" t="str">
        <f t="shared" si="2"/>
        <v>a0C4J000000kfixUAA</v>
      </c>
      <c r="N28" t="str">
        <f t="shared" si="3"/>
        <v>CMQ-0009</v>
      </c>
      <c r="O28" t="str">
        <f t="shared" si="4"/>
        <v>0Q_009UAE783771</v>
      </c>
      <c r="P28" t="str">
        <f t="shared" si="5"/>
        <v>OCR Tenant Offset 1</v>
      </c>
      <c r="Q28" s="1" t="str">
        <f t="shared" si="6"/>
        <v>a0CUE00002LfJPy2AN</v>
      </c>
      <c r="R28" t="str">
        <f t="shared" si="7"/>
        <v>CMQ-0034</v>
      </c>
      <c r="S28" t="str">
        <f t="shared" si="8"/>
        <v>0Q_009UAE783771</v>
      </c>
      <c r="T28" t="str">
        <f t="shared" si="9"/>
        <v>OCR Tenant Offset 1</v>
      </c>
      <c r="U28" s="27"/>
      <c r="V28" s="42" t="str">
        <f t="shared" si="1"/>
        <v>[TO1]a0CUE00002LfJPy2AN,</v>
      </c>
      <c r="W28" s="42"/>
      <c r="X28" s="34"/>
      <c r="Z28" s="40" t="s">
        <v>629</v>
      </c>
      <c r="AB28" t="b">
        <f t="shared" si="10"/>
        <v>0</v>
      </c>
    </row>
    <row r="29" spans="1:28" ht="12.75" customHeight="1" x14ac:dyDescent="0.2">
      <c r="H29" s="153"/>
      <c r="I29" s="151" t="s">
        <v>630</v>
      </c>
      <c r="J29" s="151"/>
      <c r="K29" s="152"/>
      <c r="M29" s="1" t="str">
        <f t="shared" si="2"/>
        <v>a0C4J000000kfiyUAA</v>
      </c>
      <c r="N29" t="str">
        <f t="shared" si="3"/>
        <v>CMQ-0010</v>
      </c>
      <c r="O29" t="str">
        <f t="shared" si="4"/>
        <v>0Q_010UAE810610</v>
      </c>
      <c r="P29" t="str">
        <f t="shared" si="5"/>
        <v>OCR Tenant Offset 2</v>
      </c>
      <c r="Q29" s="1" t="str">
        <f t="shared" si="6"/>
        <v>a0CUE00002LfJPz2AN</v>
      </c>
      <c r="R29" t="str">
        <f t="shared" si="7"/>
        <v>CMQ-0035</v>
      </c>
      <c r="S29" t="str">
        <f t="shared" si="8"/>
        <v>0Q_010UAE810610</v>
      </c>
      <c r="T29" t="str">
        <f t="shared" si="9"/>
        <v>OCR Tenant Offset 2</v>
      </c>
      <c r="U29" s="27"/>
      <c r="V29" s="42" t="str">
        <f t="shared" si="1"/>
        <v>[TO2]a0CUE00002LfJPz2AN,</v>
      </c>
      <c r="W29" s="42"/>
      <c r="X29" s="34"/>
      <c r="Z29" s="40" t="s">
        <v>630</v>
      </c>
      <c r="AB29" t="b">
        <f t="shared" si="10"/>
        <v>0</v>
      </c>
    </row>
    <row r="30" spans="1:28" ht="13.5" customHeight="1" thickBot="1" x14ac:dyDescent="0.25">
      <c r="H30" s="153"/>
      <c r="I30" s="151" t="s">
        <v>631</v>
      </c>
      <c r="J30" s="151"/>
      <c r="K30" s="152"/>
      <c r="M30" s="1" t="str">
        <f t="shared" si="2"/>
        <v>a0C4J000000kfjAUAQ</v>
      </c>
      <c r="N30" t="str">
        <f t="shared" si="3"/>
        <v>CMQ-0022</v>
      </c>
      <c r="O30" t="str">
        <f t="shared" si="4"/>
        <v>0Q_022UAE815352</v>
      </c>
      <c r="P30" t="str">
        <f t="shared" si="5"/>
        <v>Tenant Names</v>
      </c>
      <c r="Q30" s="1" t="str">
        <f t="shared" si="6"/>
        <v>a0CUE00002LfJQB2A3</v>
      </c>
      <c r="R30" t="str">
        <f t="shared" si="7"/>
        <v>CMQ-0047</v>
      </c>
      <c r="S30" t="str">
        <f t="shared" si="8"/>
        <v>0Q_022UAE815352</v>
      </c>
      <c r="T30" t="str">
        <f t="shared" si="9"/>
        <v>Tenant Names</v>
      </c>
      <c r="U30" s="27"/>
      <c r="V30" s="42" t="str">
        <f t="shared" si="1"/>
        <v>[Tenants]a0CUE00002LfJQB2A3,</v>
      </c>
      <c r="W30" s="42"/>
      <c r="X30" s="34"/>
      <c r="Z30" s="40" t="s">
        <v>631</v>
      </c>
      <c r="AB30" t="b">
        <f t="shared" si="10"/>
        <v>0</v>
      </c>
    </row>
    <row r="31" spans="1:28" ht="13.5" customHeight="1" thickBot="1" x14ac:dyDescent="0.25">
      <c r="A31" s="10" t="s">
        <v>507</v>
      </c>
      <c r="B31" s="43" t="s">
        <v>10</v>
      </c>
      <c r="C31" s="44" t="s">
        <v>11</v>
      </c>
      <c r="D31" s="44" t="s">
        <v>12</v>
      </c>
      <c r="E31" s="44" t="s">
        <v>14</v>
      </c>
      <c r="F31" s="45" t="s">
        <v>13</v>
      </c>
      <c r="H31" s="153"/>
      <c r="I31" s="151" t="s">
        <v>632</v>
      </c>
      <c r="J31" s="151"/>
      <c r="K31" s="152"/>
      <c r="M31" s="3" t="str">
        <f t="shared" si="2"/>
        <v>a0C4J000000kfj5UAA</v>
      </c>
      <c r="N31" s="4" t="str">
        <f t="shared" si="3"/>
        <v>CMQ-0017</v>
      </c>
      <c r="O31" s="4" t="str">
        <f t="shared" si="4"/>
        <v>0Q_017UAE810611</v>
      </c>
      <c r="P31" s="4" t="str">
        <f t="shared" si="5"/>
        <v>NHA OCR Company 2</v>
      </c>
      <c r="Q31" s="3" t="str">
        <f t="shared" si="6"/>
        <v>a0CUE00002LfJQ62AN</v>
      </c>
      <c r="R31" s="4" t="str">
        <f t="shared" si="7"/>
        <v>CMQ-0042</v>
      </c>
      <c r="S31" s="4" t="str">
        <f t="shared" si="8"/>
        <v>0Q_017UAE810611</v>
      </c>
      <c r="T31" s="4" t="str">
        <f t="shared" si="9"/>
        <v>NHA OCR Company 2</v>
      </c>
      <c r="U31" s="27"/>
      <c r="V31" s="42" t="str">
        <f t="shared" si="1"/>
        <v>[NHA]a0CUE00002LfJQ62AN</v>
      </c>
      <c r="W31" s="42"/>
      <c r="X31" s="34"/>
      <c r="Z31" s="40" t="s">
        <v>632</v>
      </c>
      <c r="AB31" t="b">
        <f t="shared" si="10"/>
        <v>0</v>
      </c>
    </row>
    <row r="32" spans="1:28" ht="12.75" customHeight="1" x14ac:dyDescent="0.2">
      <c r="B32" s="1" t="s">
        <v>157</v>
      </c>
      <c r="C32" t="s">
        <v>158</v>
      </c>
      <c r="D32" t="s">
        <v>159</v>
      </c>
      <c r="E32" t="s">
        <v>161</v>
      </c>
      <c r="F32" s="2" t="s">
        <v>160</v>
      </c>
      <c r="H32" s="153"/>
      <c r="I32" s="149" t="s">
        <v>401</v>
      </c>
      <c r="J32" s="149"/>
      <c r="K32" s="150"/>
      <c r="O32" t="str">
        <f t="shared" si="4"/>
        <v/>
      </c>
      <c r="U32" s="27"/>
      <c r="V32" s="28" t="s">
        <v>401</v>
      </c>
      <c r="W32" s="28"/>
      <c r="X32" s="29"/>
      <c r="Z32" s="40" t="s">
        <v>401</v>
      </c>
      <c r="AB32" t="b">
        <f t="shared" si="10"/>
        <v>1</v>
      </c>
    </row>
    <row r="33" spans="2:28" x14ac:dyDescent="0.2">
      <c r="B33" s="1" t="s">
        <v>157</v>
      </c>
      <c r="C33" t="s">
        <v>164</v>
      </c>
      <c r="D33" t="s">
        <v>165</v>
      </c>
      <c r="E33" t="s">
        <v>167</v>
      </c>
      <c r="F33" s="2" t="s">
        <v>166</v>
      </c>
      <c r="H33" s="153"/>
      <c r="I33" s="149" t="s">
        <v>402</v>
      </c>
      <c r="J33" s="149"/>
      <c r="K33" s="150"/>
      <c r="O33" t="str">
        <f t="shared" si="4"/>
        <v/>
      </c>
      <c r="U33" s="27"/>
      <c r="V33" s="28" t="s">
        <v>402</v>
      </c>
      <c r="W33" s="28"/>
      <c r="X33" s="29"/>
      <c r="Z33" s="40" t="s">
        <v>402</v>
      </c>
      <c r="AB33" t="b">
        <f t="shared" si="10"/>
        <v>1</v>
      </c>
    </row>
    <row r="34" spans="2:28" x14ac:dyDescent="0.2">
      <c r="B34" s="1" t="s">
        <v>157</v>
      </c>
      <c r="C34" t="s">
        <v>170</v>
      </c>
      <c r="D34" t="s">
        <v>171</v>
      </c>
      <c r="E34" t="s">
        <v>173</v>
      </c>
      <c r="F34" s="2" t="s">
        <v>172</v>
      </c>
      <c r="H34" s="153"/>
      <c r="I34" s="149" t="s">
        <v>403</v>
      </c>
      <c r="J34" s="149"/>
      <c r="K34" s="150"/>
      <c r="O34" t="str">
        <f t="shared" si="4"/>
        <v/>
      </c>
      <c r="U34" s="27"/>
      <c r="V34" s="28" t="s">
        <v>403</v>
      </c>
      <c r="W34" s="28"/>
      <c r="X34" s="29"/>
      <c r="Z34" s="40" t="s">
        <v>403</v>
      </c>
      <c r="AB34" t="b">
        <f t="shared" si="10"/>
        <v>1</v>
      </c>
    </row>
    <row r="35" spans="2:28" x14ac:dyDescent="0.2">
      <c r="B35" s="1" t="s">
        <v>157</v>
      </c>
      <c r="C35" t="s">
        <v>176</v>
      </c>
      <c r="D35" t="s">
        <v>177</v>
      </c>
      <c r="E35" t="s">
        <v>179</v>
      </c>
      <c r="F35" s="2" t="s">
        <v>178</v>
      </c>
      <c r="H35" s="153"/>
      <c r="I35" s="149" t="s">
        <v>404</v>
      </c>
      <c r="J35" s="149"/>
      <c r="K35" s="150"/>
      <c r="O35" t="str">
        <f t="shared" si="4"/>
        <v/>
      </c>
      <c r="U35" s="27"/>
      <c r="V35" s="28" t="s">
        <v>404</v>
      </c>
      <c r="W35" s="28"/>
      <c r="X35" s="29"/>
      <c r="Z35" s="40" t="s">
        <v>404</v>
      </c>
      <c r="AB35" t="b">
        <f t="shared" si="10"/>
        <v>1</v>
      </c>
    </row>
    <row r="36" spans="2:28" x14ac:dyDescent="0.2">
      <c r="B36" s="1" t="s">
        <v>157</v>
      </c>
      <c r="C36" t="s">
        <v>182</v>
      </c>
      <c r="D36" t="s">
        <v>183</v>
      </c>
      <c r="E36" t="s">
        <v>185</v>
      </c>
      <c r="F36" s="2" t="s">
        <v>184</v>
      </c>
      <c r="H36" s="153"/>
      <c r="I36" s="149" t="s">
        <v>405</v>
      </c>
      <c r="J36" s="149"/>
      <c r="K36" s="150"/>
      <c r="O36" t="str">
        <f t="shared" si="4"/>
        <v/>
      </c>
      <c r="U36" s="27"/>
      <c r="V36" s="28" t="s">
        <v>405</v>
      </c>
      <c r="W36" s="28"/>
      <c r="X36" s="29"/>
      <c r="Z36" s="40" t="s">
        <v>405</v>
      </c>
      <c r="AB36" t="b">
        <f t="shared" si="10"/>
        <v>1</v>
      </c>
    </row>
    <row r="37" spans="2:28" x14ac:dyDescent="0.2">
      <c r="B37" s="1" t="s">
        <v>157</v>
      </c>
      <c r="C37" t="s">
        <v>188</v>
      </c>
      <c r="D37" t="s">
        <v>189</v>
      </c>
      <c r="E37" t="s">
        <v>191</v>
      </c>
      <c r="F37" s="2" t="s">
        <v>190</v>
      </c>
      <c r="H37" s="153"/>
      <c r="I37" s="149" t="s">
        <v>406</v>
      </c>
      <c r="J37" s="149"/>
      <c r="K37" s="150"/>
      <c r="O37" t="str">
        <f t="shared" si="4"/>
        <v/>
      </c>
      <c r="U37" s="27"/>
      <c r="V37" s="28" t="s">
        <v>406</v>
      </c>
      <c r="W37" s="28"/>
      <c r="X37" s="29"/>
      <c r="Z37" s="40" t="s">
        <v>406</v>
      </c>
      <c r="AB37" t="b">
        <f t="shared" si="10"/>
        <v>1</v>
      </c>
    </row>
    <row r="38" spans="2:28" x14ac:dyDescent="0.2">
      <c r="B38" s="1" t="s">
        <v>157</v>
      </c>
      <c r="C38" t="s">
        <v>194</v>
      </c>
      <c r="D38" t="s">
        <v>195</v>
      </c>
      <c r="E38" t="s">
        <v>197</v>
      </c>
      <c r="F38" s="2" t="s">
        <v>196</v>
      </c>
      <c r="H38" s="153"/>
      <c r="I38" s="149" t="s">
        <v>407</v>
      </c>
      <c r="J38" s="149"/>
      <c r="K38" s="150"/>
      <c r="O38" t="str">
        <f t="shared" si="4"/>
        <v/>
      </c>
      <c r="U38" s="27"/>
      <c r="V38" s="28" t="s">
        <v>407</v>
      </c>
      <c r="W38" s="28"/>
      <c r="X38" s="29"/>
      <c r="Z38" s="40" t="s">
        <v>407</v>
      </c>
      <c r="AB38" t="b">
        <f t="shared" si="10"/>
        <v>1</v>
      </c>
    </row>
    <row r="39" spans="2:28" x14ac:dyDescent="0.2">
      <c r="B39" s="1" t="s">
        <v>157</v>
      </c>
      <c r="C39" t="s">
        <v>200</v>
      </c>
      <c r="D39" t="s">
        <v>201</v>
      </c>
      <c r="E39" t="s">
        <v>203</v>
      </c>
      <c r="F39" s="2" t="s">
        <v>202</v>
      </c>
      <c r="H39" s="153"/>
      <c r="I39" s="149" t="s">
        <v>408</v>
      </c>
      <c r="J39" s="149"/>
      <c r="K39" s="150"/>
      <c r="O39" t="str">
        <f t="shared" si="4"/>
        <v/>
      </c>
      <c r="U39" s="27"/>
      <c r="V39" s="28" t="s">
        <v>408</v>
      </c>
      <c r="W39" s="28"/>
      <c r="X39" s="29"/>
      <c r="Z39" s="40" t="s">
        <v>408</v>
      </c>
      <c r="AB39" t="b">
        <f t="shared" si="10"/>
        <v>1</v>
      </c>
    </row>
    <row r="40" spans="2:28" ht="26.25" thickBot="1" x14ac:dyDescent="0.25">
      <c r="B40" s="1" t="s">
        <v>157</v>
      </c>
      <c r="C40" t="s">
        <v>206</v>
      </c>
      <c r="D40" t="s">
        <v>207</v>
      </c>
      <c r="E40" t="s">
        <v>209</v>
      </c>
      <c r="F40" s="2" t="s">
        <v>208</v>
      </c>
      <c r="H40" s="154"/>
      <c r="I40" s="155" t="s">
        <v>409</v>
      </c>
      <c r="J40" s="155"/>
      <c r="K40" s="156"/>
      <c r="O40" t="str">
        <f t="shared" si="4"/>
        <v/>
      </c>
      <c r="U40" s="30"/>
      <c r="V40" s="31" t="s">
        <v>409</v>
      </c>
      <c r="W40" s="31"/>
      <c r="X40" s="32"/>
      <c r="Z40" s="41" t="s">
        <v>409</v>
      </c>
      <c r="AB40" t="b">
        <f t="shared" si="10"/>
        <v>1</v>
      </c>
    </row>
    <row r="41" spans="2:28" ht="13.5" customHeight="1" x14ac:dyDescent="0.2">
      <c r="B41" s="1" t="s">
        <v>157</v>
      </c>
      <c r="C41" t="s">
        <v>212</v>
      </c>
      <c r="D41" t="s">
        <v>213</v>
      </c>
      <c r="E41" t="s">
        <v>215</v>
      </c>
      <c r="F41" s="2" t="s">
        <v>214</v>
      </c>
    </row>
    <row r="42" spans="2:28" x14ac:dyDescent="0.2">
      <c r="B42" s="1" t="s">
        <v>157</v>
      </c>
      <c r="C42" t="s">
        <v>218</v>
      </c>
      <c r="D42" t="s">
        <v>219</v>
      </c>
      <c r="E42" t="s">
        <v>221</v>
      </c>
      <c r="F42" s="2" t="s">
        <v>220</v>
      </c>
    </row>
    <row r="43" spans="2:28" x14ac:dyDescent="0.2">
      <c r="B43" s="1" t="s">
        <v>157</v>
      </c>
      <c r="C43" t="s">
        <v>224</v>
      </c>
      <c r="D43" t="s">
        <v>225</v>
      </c>
      <c r="E43" t="s">
        <v>227</v>
      </c>
      <c r="F43" s="2" t="s">
        <v>226</v>
      </c>
    </row>
    <row r="44" spans="2:28" x14ac:dyDescent="0.2">
      <c r="B44" s="1" t="s">
        <v>157</v>
      </c>
      <c r="C44" t="s">
        <v>230</v>
      </c>
      <c r="D44" t="s">
        <v>231</v>
      </c>
      <c r="E44" t="s">
        <v>233</v>
      </c>
      <c r="F44" s="2" t="s">
        <v>232</v>
      </c>
    </row>
    <row r="45" spans="2:28" x14ac:dyDescent="0.2">
      <c r="B45" s="1" t="s">
        <v>157</v>
      </c>
      <c r="C45" t="s">
        <v>236</v>
      </c>
      <c r="D45" t="s">
        <v>237</v>
      </c>
      <c r="E45" t="s">
        <v>239</v>
      </c>
      <c r="F45" s="2" t="s">
        <v>238</v>
      </c>
    </row>
    <row r="46" spans="2:28" x14ac:dyDescent="0.2">
      <c r="B46" s="1" t="s">
        <v>157</v>
      </c>
      <c r="C46" t="s">
        <v>242</v>
      </c>
      <c r="D46" t="s">
        <v>243</v>
      </c>
      <c r="E46" t="s">
        <v>245</v>
      </c>
      <c r="F46" s="2" t="s">
        <v>244</v>
      </c>
    </row>
    <row r="47" spans="2:28" x14ac:dyDescent="0.2">
      <c r="B47" s="1" t="s">
        <v>157</v>
      </c>
      <c r="C47" t="s">
        <v>248</v>
      </c>
      <c r="D47" t="s">
        <v>249</v>
      </c>
      <c r="E47" t="s">
        <v>251</v>
      </c>
      <c r="F47" s="2" t="s">
        <v>250</v>
      </c>
    </row>
    <row r="48" spans="2:28" x14ac:dyDescent="0.2">
      <c r="B48" s="1" t="s">
        <v>157</v>
      </c>
      <c r="C48" t="s">
        <v>254</v>
      </c>
      <c r="D48" t="s">
        <v>255</v>
      </c>
      <c r="E48" t="s">
        <v>257</v>
      </c>
      <c r="F48" s="2" t="s">
        <v>256</v>
      </c>
    </row>
    <row r="49" spans="2:6" x14ac:dyDescent="0.2">
      <c r="B49" s="1" t="s">
        <v>157</v>
      </c>
      <c r="C49" t="s">
        <v>260</v>
      </c>
      <c r="D49" t="s">
        <v>261</v>
      </c>
      <c r="E49" t="s">
        <v>263</v>
      </c>
      <c r="F49" s="2" t="s">
        <v>262</v>
      </c>
    </row>
    <row r="50" spans="2:6" x14ac:dyDescent="0.2">
      <c r="B50" s="1" t="s">
        <v>157</v>
      </c>
      <c r="C50" t="s">
        <v>266</v>
      </c>
      <c r="D50" t="s">
        <v>267</v>
      </c>
      <c r="E50" t="s">
        <v>269</v>
      </c>
      <c r="F50" s="2" t="s">
        <v>268</v>
      </c>
    </row>
    <row r="51" spans="2:6" x14ac:dyDescent="0.2">
      <c r="B51" s="1" t="s">
        <v>157</v>
      </c>
      <c r="C51" t="s">
        <v>272</v>
      </c>
      <c r="D51" t="s">
        <v>273</v>
      </c>
      <c r="E51" t="s">
        <v>275</v>
      </c>
      <c r="F51" s="2" t="s">
        <v>274</v>
      </c>
    </row>
    <row r="52" spans="2:6" x14ac:dyDescent="0.2">
      <c r="B52" s="1" t="s">
        <v>157</v>
      </c>
      <c r="C52" t="s">
        <v>278</v>
      </c>
      <c r="D52" t="s">
        <v>279</v>
      </c>
      <c r="E52" t="s">
        <v>281</v>
      </c>
      <c r="F52" s="2" t="s">
        <v>280</v>
      </c>
    </row>
    <row r="53" spans="2:6" x14ac:dyDescent="0.2">
      <c r="B53" s="1" t="s">
        <v>157</v>
      </c>
      <c r="C53" t="s">
        <v>284</v>
      </c>
      <c r="D53" t="s">
        <v>285</v>
      </c>
      <c r="E53" t="s">
        <v>287</v>
      </c>
      <c r="F53" s="2" t="s">
        <v>286</v>
      </c>
    </row>
    <row r="54" spans="2:6" x14ac:dyDescent="0.2">
      <c r="B54" s="1" t="s">
        <v>157</v>
      </c>
      <c r="C54" t="s">
        <v>291</v>
      </c>
      <c r="D54" t="s">
        <v>292</v>
      </c>
      <c r="E54" t="s">
        <v>294</v>
      </c>
      <c r="F54" s="2" t="s">
        <v>293</v>
      </c>
    </row>
    <row r="55" spans="2:6" ht="13.5" thickBot="1" x14ac:dyDescent="0.25">
      <c r="B55" s="3" t="s">
        <v>157</v>
      </c>
      <c r="C55" s="4" t="s">
        <v>297</v>
      </c>
      <c r="D55" s="4" t="s">
        <v>298</v>
      </c>
      <c r="E55" s="4" t="s">
        <v>300</v>
      </c>
      <c r="F55" s="5" t="s">
        <v>299</v>
      </c>
    </row>
    <row r="66" spans="3:7" x14ac:dyDescent="0.2">
      <c r="C66" s="15"/>
      <c r="D66" s="15"/>
      <c r="E66" s="15"/>
      <c r="F66" s="15"/>
      <c r="G66" s="15"/>
    </row>
  </sheetData>
  <mergeCells count="36">
    <mergeCell ref="I36:K36"/>
    <mergeCell ref="I37:K37"/>
    <mergeCell ref="H6:H40"/>
    <mergeCell ref="I38:K38"/>
    <mergeCell ref="I39:K39"/>
    <mergeCell ref="I40:K40"/>
    <mergeCell ref="I30:K30"/>
    <mergeCell ref="I31:K31"/>
    <mergeCell ref="I32:K32"/>
    <mergeCell ref="I33:K33"/>
    <mergeCell ref="I21:K21"/>
    <mergeCell ref="I22:K22"/>
    <mergeCell ref="I23:K23"/>
    <mergeCell ref="I34:K34"/>
    <mergeCell ref="I35:K35"/>
    <mergeCell ref="I24:K24"/>
    <mergeCell ref="I25:K25"/>
    <mergeCell ref="I26:K26"/>
    <mergeCell ref="I27:K27"/>
    <mergeCell ref="I28:K28"/>
    <mergeCell ref="I29:K29"/>
    <mergeCell ref="I16:K16"/>
    <mergeCell ref="I17:K17"/>
    <mergeCell ref="I18:K18"/>
    <mergeCell ref="I19:K19"/>
    <mergeCell ref="I20:K20"/>
    <mergeCell ref="I11:K11"/>
    <mergeCell ref="I12:K12"/>
    <mergeCell ref="I13:K13"/>
    <mergeCell ref="I14:K14"/>
    <mergeCell ref="I15:K15"/>
    <mergeCell ref="I6:K6"/>
    <mergeCell ref="I7:K7"/>
    <mergeCell ref="I8:K8"/>
    <mergeCell ref="I9:K9"/>
    <mergeCell ref="I10:K10"/>
  </mergeCells>
  <conditionalFormatting sqref="AB6:AB40">
    <cfRule type="cellIs" dxfId="0" priority="1" operator="equal">
      <formula>FALSE</formula>
    </cfRule>
  </conditionalFormatting>
  <hyperlinks>
    <hyperlink ref="K3" r:id="rId1" display="javascript:srcUp(%27%2Fp%2Fsetup%2Flink%2FActionButtonLinkList%3FpageName%3DContract%26type%3DContract%26isdtp%3Dp1%27);" xr:uid="{808789C1-7AE3-404D-9CD7-F1CF03D49296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A63E3934-617D-4E09-A546-CDD0BF239B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44604E-9204-438E-B10A-94A56478A3B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3DD3ACB-EAB0-4F4C-8D41-FD658E3102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2EB03B5-3381-4DDE-B5C4-3019460A1347}">
  <ds:schemaRefs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1ffbd5dc-7a64-4097-8396-87f6c90b212f"/>
    <ds:schemaRef ds:uri="http://purl.org/dc/dcmitype/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Dev-&gt;QA_Setup</vt:lpstr>
      <vt:lpstr>Migrate Template&amp;Query Records</vt:lpstr>
      <vt:lpstr>UAT-&gt;Dev_DocId</vt:lpstr>
      <vt:lpstr>UAT-&gt;Dev_Query+GenDoc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Gibbs</dc:creator>
  <cp:keywords/>
  <dc:description/>
  <cp:lastModifiedBy>Lee Gibbs</cp:lastModifiedBy>
  <cp:revision/>
  <dcterms:created xsi:type="dcterms:W3CDTF">2025-07-18T10:59:04Z</dcterms:created>
  <dcterms:modified xsi:type="dcterms:W3CDTF">2025-09-23T12:11:16Z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