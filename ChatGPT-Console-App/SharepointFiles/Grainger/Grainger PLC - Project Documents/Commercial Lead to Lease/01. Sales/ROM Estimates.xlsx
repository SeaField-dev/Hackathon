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1. Sales/"/>
    </mc:Choice>
  </mc:AlternateContent>
  <xr:revisionPtr revIDLastSave="134" documentId="8_{5065D16D-12A4-8448-8A3A-444462BDA95C}" xr6:coauthVersionLast="47" xr6:coauthVersionMax="47" xr10:uidLastSave="{CA7479EE-8C83-48B0-9C21-9F9505CD6339}"/>
  <bookViews>
    <workbookView xWindow="28680" yWindow="-120" windowWidth="29040" windowHeight="15720" activeTab="2" xr2:uid="{EAECDA27-2F1E-7649-A541-40A0345A53F0}"/>
  </bookViews>
  <sheets>
    <sheet name="Sheet1" sheetId="1" r:id="rId1"/>
    <sheet name="Sheet2" sheetId="2" r:id="rId2"/>
    <sheet name="Actual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3" l="1"/>
  <c r="G23" i="3"/>
  <c r="G22" i="3"/>
  <c r="G17" i="3"/>
  <c r="G10" i="3"/>
  <c r="G12" i="3" s="1"/>
  <c r="G19" i="3" s="1"/>
  <c r="A5" i="2"/>
  <c r="B3" i="2"/>
  <c r="B2" i="2"/>
  <c r="D7" i="1"/>
  <c r="E7" i="1"/>
  <c r="B7" i="1"/>
  <c r="C4" i="1"/>
  <c r="C7" i="1" s="1"/>
  <c r="G11" i="3" l="1"/>
</calcChain>
</file>

<file path=xl/sharedStrings.xml><?xml version="1.0" encoding="utf-8"?>
<sst xmlns="http://schemas.openxmlformats.org/spreadsheetml/2006/main" count="25" uniqueCount="24">
  <si>
    <t>Phase</t>
  </si>
  <si>
    <t>Min Cost</t>
  </si>
  <si>
    <t>Max Cost</t>
  </si>
  <si>
    <t>Min duration</t>
  </si>
  <si>
    <t>Max duration</t>
  </si>
  <si>
    <t>Analysis</t>
  </si>
  <si>
    <t>Development</t>
  </si>
  <si>
    <t xml:space="preserve">UAT </t>
  </si>
  <si>
    <t>PROD deployment + support</t>
  </si>
  <si>
    <t>TOTAL</t>
  </si>
  <si>
    <t>cost per sprint</t>
  </si>
  <si>
    <t>cost per week</t>
  </si>
  <si>
    <t>cost per day</t>
  </si>
  <si>
    <t>Days</t>
  </si>
  <si>
    <t>Sprints</t>
  </si>
  <si>
    <t>Actual</t>
  </si>
  <si>
    <t>SOW</t>
  </si>
  <si>
    <t>Cost per Day</t>
  </si>
  <si>
    <t>Total Cost</t>
  </si>
  <si>
    <t>"Cost" for actual effort</t>
  </si>
  <si>
    <t>Cost Difference</t>
  </si>
  <si>
    <t>Actual Days</t>
  </si>
  <si>
    <t>Estimated Days</t>
  </si>
  <si>
    <t>Util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</si>
</sst>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64" fontId="0" fillId="0" borderId="0" xfId="0" applyNumberFormat="1"/>
    <xf numFmtId="164" fontId="1" fillId="0" borderId="0" xfId="0" applyNumberFormat="1" applyFont="1"/>
    <xf numFmtId="4" fontId="2" fillId="0" borderId="0" xfId="0" applyNumberFormat="1" applyFont="1"/>
    <xf numFmtId="0" fontId="0" fillId="0" borderId="1" xfId="0" applyBorder="1" applyAlignment="1">
      <alignment horizontal="center" vertical="center"/>
    </xf>
    <xf numFmtId="4" fontId="0" fillId="0" borderId="1" xfId="0" applyNumberFormat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47624</xdr:colOff>
      <xdr:row>0</xdr:row>
      <xdr:rowOff>38100</xdr:rowOff>
    </xdr:from>
    <xdr:to>
      <xdr:col>7</xdr:col>
      <xdr:colOff>28575</xdr:colOff>
      <xdr:row>8</xdr:row>
      <xdr:rowOff>36164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3AD1B0-0F52-C555-38A3-FB6380A96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224" y="38100"/>
          <a:ext cx="4286251" cy="1598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7900-0C86-7C46-857D-6393E3A85D48}">
  <dimension ref="A1:E7"/>
  <sheetViews>
    <sheetView workbookViewId="0">
      <selection activeCell="A32" sqref="A32"/>
    </sheetView>
  </sheetViews>
  <sheetFormatPr defaultColWidth="11" defaultRowHeight="15.75" x14ac:dyDescent="0.25"/>
  <cols>
    <col min="1" max="1" width="28.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12000</v>
      </c>
      <c r="C2">
        <v>18000</v>
      </c>
      <c r="D2">
        <v>4</v>
      </c>
      <c r="E2">
        <v>5</v>
      </c>
    </row>
    <row r="3" spans="1:5" x14ac:dyDescent="0.25">
      <c r="A3" t="s">
        <v>6</v>
      </c>
      <c r="B3">
        <v>37800</v>
      </c>
      <c r="C3">
        <v>56700</v>
      </c>
      <c r="D3">
        <v>6</v>
      </c>
      <c r="E3">
        <v>9</v>
      </c>
    </row>
    <row r="4" spans="1:5" x14ac:dyDescent="0.25">
      <c r="A4" t="s">
        <v>7</v>
      </c>
      <c r="B4">
        <v>3150</v>
      </c>
      <c r="C4">
        <f>B4</f>
        <v>3150</v>
      </c>
      <c r="D4">
        <v>2</v>
      </c>
      <c r="E4">
        <v>2</v>
      </c>
    </row>
    <row r="5" spans="1:5" x14ac:dyDescent="0.25">
      <c r="A5" t="s">
        <v>8</v>
      </c>
      <c r="B5">
        <v>1600</v>
      </c>
      <c r="C5">
        <v>1600</v>
      </c>
      <c r="D5">
        <v>2</v>
      </c>
      <c r="E5">
        <v>2</v>
      </c>
    </row>
    <row r="7" spans="1:5" x14ac:dyDescent="0.25">
      <c r="A7" t="s">
        <v>9</v>
      </c>
      <c r="B7">
        <f>SUM(B2:B5)</f>
        <v>54550</v>
      </c>
      <c r="C7">
        <f t="shared" ref="C7:E7" si="0">SUM(C2:C5)</f>
        <v>79450</v>
      </c>
      <c r="D7">
        <f t="shared" si="0"/>
        <v>14</v>
      </c>
      <c r="E7">
        <f t="shared" si="0"/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04E5-B1C2-3042-B508-890B3677BAD7}">
  <dimension ref="A1:B5"/>
  <sheetViews>
    <sheetView workbookViewId="0">
      <selection activeCell="E14" sqref="E14"/>
    </sheetView>
  </sheetViews>
  <sheetFormatPr defaultColWidth="11" defaultRowHeight="15.75" x14ac:dyDescent="0.25"/>
  <cols>
    <col min="1" max="1" width="12.625" bestFit="1" customWidth="1"/>
  </cols>
  <sheetData>
    <row r="1" spans="1:2" x14ac:dyDescent="0.25">
      <c r="A1" t="s">
        <v>10</v>
      </c>
      <c r="B1">
        <v>18900</v>
      </c>
    </row>
    <row r="2" spans="1:2" x14ac:dyDescent="0.25">
      <c r="A2" t="s">
        <v>11</v>
      </c>
      <c r="B2">
        <f>B1/3</f>
        <v>6300</v>
      </c>
    </row>
    <row r="3" spans="1:2" x14ac:dyDescent="0.25">
      <c r="A3" t="s">
        <v>12</v>
      </c>
      <c r="B3">
        <f>B2/5</f>
        <v>1260</v>
      </c>
    </row>
    <row r="5" spans="1:2" x14ac:dyDescent="0.25">
      <c r="A5">
        <f>B3/2</f>
        <v>630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532D5-A9CA-C740-B658-76DEA8E47FC5}">
  <dimension ref="E10:G24"/>
  <sheetViews>
    <sheetView tabSelected="1" workbookViewId="0">
      <selection activeCell="M20" sqref="M20"/>
    </sheetView>
  </sheetViews>
  <sheetFormatPr defaultRowHeight="15.75" x14ac:dyDescent="0.25"/>
  <cols>
    <col min="6" max="6" width="18.75" bestFit="1" customWidth="1"/>
    <col min="7" max="7" width="10.75" bestFit="1" customWidth="1"/>
  </cols>
  <sheetData>
    <row r="10" spans="5:7" x14ac:dyDescent="0.25">
      <c r="E10" s="5" t="s">
        <v>15</v>
      </c>
      <c r="F10" s="1" t="s">
        <v>13</v>
      </c>
      <c r="G10" s="1">
        <f>1248/8</f>
        <v>156</v>
      </c>
    </row>
    <row r="11" spans="5:7" x14ac:dyDescent="0.25">
      <c r="E11" s="5"/>
      <c r="F11" s="1" t="s">
        <v>14</v>
      </c>
      <c r="G11" s="1">
        <f>G10/15</f>
        <v>10.4</v>
      </c>
    </row>
    <row r="12" spans="5:7" x14ac:dyDescent="0.25">
      <c r="F12" t="s">
        <v>19</v>
      </c>
      <c r="G12" s="3">
        <f>G15*G10</f>
        <v>196560</v>
      </c>
    </row>
    <row r="15" spans="5:7" x14ac:dyDescent="0.25">
      <c r="E15" t="s">
        <v>16</v>
      </c>
      <c r="F15" t="s">
        <v>17</v>
      </c>
      <c r="G15" s="2">
        <v>1260</v>
      </c>
    </row>
    <row r="16" spans="5:7" x14ac:dyDescent="0.25">
      <c r="F16" t="s">
        <v>18</v>
      </c>
      <c r="G16" s="3">
        <v>82600</v>
      </c>
    </row>
    <row r="17" spans="6:7" x14ac:dyDescent="0.25">
      <c r="F17" t="s">
        <v>13</v>
      </c>
      <c r="G17" s="4">
        <f>G16/G15</f>
        <v>65.555555555555557</v>
      </c>
    </row>
    <row r="19" spans="6:7" x14ac:dyDescent="0.25">
      <c r="F19" t="s">
        <v>20</v>
      </c>
      <c r="G19" s="3">
        <f>G12-G16</f>
        <v>113960</v>
      </c>
    </row>
    <row r="22" spans="6:7" x14ac:dyDescent="0.25">
      <c r="F22" s="1" t="s">
        <v>21</v>
      </c>
      <c r="G22" s="1">
        <f>G10</f>
        <v>156</v>
      </c>
    </row>
    <row r="23" spans="6:7" x14ac:dyDescent="0.25">
      <c r="F23" s="1" t="s">
        <v>22</v>
      </c>
      <c r="G23" s="6">
        <f>G17</f>
        <v>65.555555555555557</v>
      </c>
    </row>
    <row r="24" spans="6:7" x14ac:dyDescent="0.25">
      <c r="F24" s="1" t="s">
        <v>23</v>
      </c>
      <c r="G24" s="7">
        <f>G22/G23</f>
        <v>2.3796610169491523</v>
      </c>
    </row>
  </sheetData>
  <mergeCells count="1">
    <mergeCell ref="E10:E1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00E5268D-73A7-4AF7-9E59-61DB870D2E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CF384D-2C78-4B48-BD13-F8ED132F80AD}">
  <ds:schemaRefs>
    <ds:schemaRef ds:uri="http://schemas.microsoft.com/office/2006/documentManagement/types"/>
    <ds:schemaRef ds:uri="http://purl.org/dc/dcmitype/"/>
    <ds:schemaRef ds:uri="1ffbd5dc-7a64-4097-8396-87f6c90b212f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D244947-C4DA-4FA8-AA45-B4BE75B4D02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6C56E63-4524-4A25-8EBB-1EAFDABB7D83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Actuals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Shaun Barrett</cp:lastModifiedBy>
  <cp:revision/>
  <dcterms:created xsi:type="dcterms:W3CDTF">2024-02-12T06:11:15Z</dcterms:created>
  <dcterms:modified xsi:type="dcterms:W3CDTF">2025-03-05T15:36:20Z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MediaServiceImageTags">
    <vt:lpwstr/>
  </property>
  <property fmtid="{D5CDD505-2E9C-101B-9397-08002B2CF9AE}" pid="8" name="Project_x0020_Document_x0020_Type">
    <vt:lpwstr>4;#Generic Project Document|258c2ed6-b93b-4ffe-8901-a23f2dc98ec9</vt:lpwstr>
  </property>
  <property fmtid="{D5CDD505-2E9C-101B-9397-08002B2CF9AE}" pid="9" name="Client_x0020_Project">
    <vt:lpwstr/>
  </property>
  <property fmtid="{D5CDD505-2E9C-101B-9397-08002B2CF9AE}" pid="10" name="lcf76f155ced4ddcb4097134ff3c332f">
    <vt:lpwstr/>
  </property>
</Properties>
</file>